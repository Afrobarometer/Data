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2_indigenization" sheetId="1" r:id="rId4"/>
    <sheet state="visible" name="R2-Cleaned" sheetId="2" r:id="rId5"/>
    <sheet state="visible" name="R3_indigenization" sheetId="3" r:id="rId6"/>
    <sheet state="visible" name="R3-Cleaned" sheetId="4" r:id="rId7"/>
    <sheet state="visible" name="R4_indigenization" sheetId="5" r:id="rId8"/>
    <sheet state="visible" name="R4-Cleaned" sheetId="6" r:id="rId9"/>
    <sheet state="visible" name="R5_indigenization" sheetId="7" r:id="rId10"/>
    <sheet state="visible" name="R5-Cleaned" sheetId="8" r:id="rId11"/>
    <sheet state="visible" name="R6_indigenization" sheetId="9" r:id="rId12"/>
    <sheet state="visible" name="R6-Cleaned" sheetId="10" r:id="rId13"/>
    <sheet state="visible" name="R7_indigenization" sheetId="11" r:id="rId14"/>
    <sheet state="visible" name="R7-Cleaned" sheetId="12" r:id="rId15"/>
    <sheet state="visible" name="R8_indigenization" sheetId="13" r:id="rId16"/>
    <sheet state="visible" name="R8-Cleaned" sheetId="14" r:id="rId17"/>
    <sheet state="visible" name="R9_indigenization" sheetId="15" r:id="rId18"/>
    <sheet state="visible" name="R9-Cleaned" sheetId="16" r:id="rId19"/>
    <sheet state="visible" name="R10_indigenization" sheetId="17" r:id="rId20"/>
    <sheet state="visible" name="R10-Cleaned" sheetId="18" r:id="rId21"/>
    <sheet state="visible" name="Combined-Data" sheetId="19" r:id="rId22"/>
    <sheet state="visible" name="Corrected countries" sheetId="20" r:id="rId23"/>
  </sheets>
  <definedNames/>
  <calcPr/>
  <extLst>
    <ext uri="GoogleSheetsCustomDataVersion2">
      <go:sheetsCustomData xmlns:go="http://customooxmlschemas.google.com/" r:id="rId24" roundtripDataChecksum="cgxt7CMhwO9fEfakYp/FDRfLm9aGd6b4+/8MIDJ2QsA="/>
    </ext>
  </extLst>
</workbook>
</file>

<file path=xl/sharedStrings.xml><?xml version="1.0" encoding="utf-8"?>
<sst xmlns="http://schemas.openxmlformats.org/spreadsheetml/2006/main" count="70328" uniqueCount="4253">
  <si>
    <t>ROUND_ID</t>
  </si>
  <si>
    <t>QST ID</t>
  </si>
  <si>
    <t>QST NO.</t>
  </si>
  <si>
    <t>QST LABEL</t>
  </si>
  <si>
    <t>BOTSWANA</t>
  </si>
  <si>
    <t>CABO VERDE</t>
  </si>
  <si>
    <t>GHANA</t>
  </si>
  <si>
    <t>KENYA</t>
  </si>
  <si>
    <t>LESOTHO</t>
  </si>
  <si>
    <t>MALAWI</t>
  </si>
  <si>
    <t>MALI</t>
  </si>
  <si>
    <t>MOZAMBIQUE</t>
  </si>
  <si>
    <t>NAMIBIA</t>
  </si>
  <si>
    <t>NIGERIA</t>
  </si>
  <si>
    <t>SENEGAL</t>
  </si>
  <si>
    <t>SOUTH AFRICA</t>
  </si>
  <si>
    <t>TANZANIA</t>
  </si>
  <si>
    <t>UGANDA</t>
  </si>
  <si>
    <t>ZAMBIA</t>
  </si>
  <si>
    <t>ZIMBABWE</t>
  </si>
  <si>
    <t>A_05_07</t>
  </si>
  <si>
    <t>Q29a</t>
  </si>
  <si>
    <t>Q29a. Contact Local government representative</t>
  </si>
  <si>
    <t>A Local Government councilor</t>
  </si>
  <si>
    <t>A District Chief Executive</t>
  </si>
  <si>
    <t>A member of your Village Development Council</t>
  </si>
  <si>
    <t>A municipal councilor</t>
  </si>
  <si>
    <t>A_05_12</t>
  </si>
  <si>
    <t>Q29a1</t>
  </si>
  <si>
    <t>Q29a1. Contact Regional government representative</t>
  </si>
  <si>
    <t>A District Commissioner</t>
  </si>
  <si>
    <t>A Regional Councilor</t>
  </si>
  <si>
    <t>A State Assembly representative</t>
  </si>
  <si>
    <t>A District or LC V Chairman</t>
  </si>
  <si>
    <t>A Provincial Governor</t>
  </si>
  <si>
    <t>A_05_09</t>
  </si>
  <si>
    <t>Q29b</t>
  </si>
  <si>
    <t>Q29b. Contact Parliamentary representative</t>
  </si>
  <si>
    <t>A Member of Parliament</t>
  </si>
  <si>
    <t>A National Assembly representative</t>
  </si>
  <si>
    <t>A representative in the National Assembly</t>
  </si>
  <si>
    <t>A National Assembly reprensentative</t>
  </si>
  <si>
    <t>A Parliamentary representative</t>
  </si>
  <si>
    <t>B_01_05</t>
  </si>
  <si>
    <t>Q32</t>
  </si>
  <si>
    <t>Q32. No term limits for president vs. two terms only</t>
  </si>
  <si>
    <t>President /He</t>
  </si>
  <si>
    <t>President/He</t>
  </si>
  <si>
    <t>Prime Minister/He</t>
  </si>
  <si>
    <t>B_01_06</t>
  </si>
  <si>
    <t>Q33</t>
  </si>
  <si>
    <t>Q33. Parliament makes laws vs. president does</t>
  </si>
  <si>
    <t>Members of Parliament vs  President</t>
  </si>
  <si>
    <t>National Assembly  vs President</t>
  </si>
  <si>
    <t>Parliament vs President</t>
  </si>
  <si>
    <t>National Assembly vs Prime Minister</t>
  </si>
  <si>
    <t>National Assembly vs President</t>
  </si>
  <si>
    <t>Members of Parliament vs President</t>
  </si>
  <si>
    <t>Members of Parliament  vs President</t>
  </si>
  <si>
    <t>A_01_37</t>
  </si>
  <si>
    <t>Q35d</t>
  </si>
  <si>
    <t>Q35d. Reject one-man rule</t>
  </si>
  <si>
    <t>B_01_01</t>
  </si>
  <si>
    <t>Q41c</t>
  </si>
  <si>
    <t>Q41c. President ignores the Constitution</t>
  </si>
  <si>
    <t>President</t>
  </si>
  <si>
    <t>Prime Minister</t>
  </si>
  <si>
    <t>H_18</t>
  </si>
  <si>
    <t>Q43a</t>
  </si>
  <si>
    <t>Q43a. Trust the President</t>
  </si>
  <si>
    <t>The President</t>
  </si>
  <si>
    <t>The Prime Minister</t>
  </si>
  <si>
    <t>H_14</t>
  </si>
  <si>
    <t>Q43b</t>
  </si>
  <si>
    <t>Q43b. Trust Parliament/National Assembly</t>
  </si>
  <si>
    <t>The Parliament</t>
  </si>
  <si>
    <t>The National Assembly</t>
  </si>
  <si>
    <t>Parliament</t>
  </si>
  <si>
    <t>H_09</t>
  </si>
  <si>
    <t>Q43c</t>
  </si>
  <si>
    <t>Q43c. Trust the National Electoral Commission</t>
  </si>
  <si>
    <t>The Independent Electoral Commission</t>
  </si>
  <si>
    <t>The National Electoral Commission</t>
  </si>
  <si>
    <t>The Electoral Commission of Kenya</t>
  </si>
  <si>
    <t>The National Electoral Commission of Namibia</t>
  </si>
  <si>
    <t>The Independent National Electoral Commission</t>
  </si>
  <si>
    <t>The National Elections Observatory</t>
  </si>
  <si>
    <t>The Electoral Supervisory Commission</t>
  </si>
  <si>
    <t>H_26</t>
  </si>
  <si>
    <t>Q43d</t>
  </si>
  <si>
    <t>Q43d. Trust the regional government body</t>
  </si>
  <si>
    <t>Your Regional Coordinating Council</t>
  </si>
  <si>
    <t>Your District Administration</t>
  </si>
  <si>
    <t>District Development Council</t>
  </si>
  <si>
    <t>he Regional Assembly</t>
  </si>
  <si>
    <t>Provincial courts</t>
  </si>
  <si>
    <t>Your Regional Council</t>
  </si>
  <si>
    <t>Your State Assembly</t>
  </si>
  <si>
    <t>The Regional Council</t>
  </si>
  <si>
    <t>The Government of this Province</t>
  </si>
  <si>
    <t>The Provincial Governor</t>
  </si>
  <si>
    <t>H_30</t>
  </si>
  <si>
    <t>Q43e</t>
  </si>
  <si>
    <t>Q43e. Trust the local government body</t>
  </si>
  <si>
    <t>Your Local Council</t>
  </si>
  <si>
    <t>Your Local Authority Council</t>
  </si>
  <si>
    <t>Your Village Development Council</t>
  </si>
  <si>
    <t>The Local Assembly</t>
  </si>
  <si>
    <t>Local Council</t>
  </si>
  <si>
    <t>Your Local Government Council</t>
  </si>
  <si>
    <t>The Municipal or Rural Council</t>
  </si>
  <si>
    <t>Your District or LC V Council</t>
  </si>
  <si>
    <t>H_27</t>
  </si>
  <si>
    <t>Q43f</t>
  </si>
  <si>
    <t>Q43f. Trust the ruling party</t>
  </si>
  <si>
    <t>The Ruling Party</t>
  </si>
  <si>
    <t>The Movement</t>
  </si>
  <si>
    <t>H_05</t>
  </si>
  <si>
    <t>Q43l</t>
  </si>
  <si>
    <t>Q43l. Trust government broadcasting service</t>
  </si>
  <si>
    <t>Department of Information and broadcasting</t>
  </si>
  <si>
    <t>Government broadcasting service</t>
  </si>
  <si>
    <t>B_01_07</t>
  </si>
  <si>
    <t>Q48a</t>
  </si>
  <si>
    <t>Q48a. Performance: President</t>
  </si>
  <si>
    <t>President Mogae</t>
  </si>
  <si>
    <t>President Nujoma</t>
  </si>
  <si>
    <t>President J. A.  Kufuor</t>
  </si>
  <si>
    <t>President Kibaki</t>
  </si>
  <si>
    <t>Prime Minister Pakalitha Mosisili</t>
  </si>
  <si>
    <t>President Muluzi</t>
  </si>
  <si>
    <t>The President of the Republic</t>
  </si>
  <si>
    <t>President of Mozambique</t>
  </si>
  <si>
    <t>President NujomaObasanjo</t>
  </si>
  <si>
    <t>President Mbeki</t>
  </si>
  <si>
    <t>President Mkapa</t>
  </si>
  <si>
    <t>President Museveni</t>
  </si>
  <si>
    <t>President Mwanawasa</t>
  </si>
  <si>
    <t>President Mugabe</t>
  </si>
  <si>
    <t>B_04_07</t>
  </si>
  <si>
    <t>Q48b</t>
  </si>
  <si>
    <t>Q48b. Performance: Member of Parliament</t>
  </si>
  <si>
    <t>Your Member of Parliament</t>
  </si>
  <si>
    <t>Your Representative to the National Assembly</t>
  </si>
  <si>
    <t>Your Parliamentarian</t>
  </si>
  <si>
    <t>Your representative in the National Assembly</t>
  </si>
  <si>
    <t>Chairman of the National Assembly</t>
  </si>
  <si>
    <t>The Members of Parliament</t>
  </si>
  <si>
    <t>Your Provincial Governor</t>
  </si>
  <si>
    <t>B_04_08</t>
  </si>
  <si>
    <t>48c</t>
  </si>
  <si>
    <t>Q48c. Performance: Regional Govenrment / Official / Assembly</t>
  </si>
  <si>
    <t>The Mayor</t>
  </si>
  <si>
    <t>Your Regional Minister</t>
  </si>
  <si>
    <t>Your District Commissioner</t>
  </si>
  <si>
    <t>Your District Development Councilor</t>
  </si>
  <si>
    <t>The High Commissioner of your region</t>
  </si>
  <si>
    <t>Provincial Governor</t>
  </si>
  <si>
    <t>Your Regional Councilor</t>
  </si>
  <si>
    <t>Your Representative to the State Assembly</t>
  </si>
  <si>
    <t>The Governor of your region</t>
  </si>
  <si>
    <t>The members of the Provincial Legislative Assembly</t>
  </si>
  <si>
    <t>B_03_29</t>
  </si>
  <si>
    <t>Q48d</t>
  </si>
  <si>
    <t>Q48d. Performance: Local Government / Official / Assembly</t>
  </si>
  <si>
    <t>Your Local Government Councilor</t>
  </si>
  <si>
    <t>Your DCE</t>
  </si>
  <si>
    <t>Your Local Government Councillor</t>
  </si>
  <si>
    <t>Your Local Mayor</t>
  </si>
  <si>
    <t>Your Local Government Chairman</t>
  </si>
  <si>
    <t>Your local governmnent councilor</t>
  </si>
  <si>
    <t>Your District or LC V Chairman</t>
  </si>
  <si>
    <t>G_18</t>
  </si>
  <si>
    <t>Q51a</t>
  </si>
  <si>
    <t>Q51a. Corruption: office of the Presidency</t>
  </si>
  <si>
    <t>President/His</t>
  </si>
  <si>
    <t>The Prime Minister/His</t>
  </si>
  <si>
    <t>G_06</t>
  </si>
  <si>
    <t>Q51b</t>
  </si>
  <si>
    <t>Q51b. Corruption: elected leaders</t>
  </si>
  <si>
    <t>Elected leaders, Parliamentarians or local councilors</t>
  </si>
  <si>
    <t>Elected leaders, such as parliamentarians or local councilors</t>
  </si>
  <si>
    <t>Elected leaders, such as parliamentarians or district development councilors</t>
  </si>
  <si>
    <t>Elected leaders, such as parliamentarians or local councillors</t>
  </si>
  <si>
    <t>Elected leaders</t>
  </si>
  <si>
    <t>Elected leaders, such as National Assembly members, State Governors or Local Government Councilors</t>
  </si>
  <si>
    <t>Elected leaders, such as parliamentarians or local council chairmen</t>
  </si>
  <si>
    <t>2</t>
  </si>
  <si>
    <t>BENIN</t>
  </si>
  <si>
    <t>MADAGASCAR</t>
  </si>
  <si>
    <t>A_10_29</t>
  </si>
  <si>
    <t>Q29</t>
  </si>
  <si>
    <t>Q29. Registered to vote</t>
  </si>
  <si>
    <t>A_10_33</t>
  </si>
  <si>
    <t>Q30</t>
  </si>
  <si>
    <t>Q30 Voted last election</t>
  </si>
  <si>
    <t>Q32a</t>
  </si>
  <si>
    <t>Q32a. Contact local government councillor</t>
  </si>
  <si>
    <t>A Local Government councillor</t>
  </si>
  <si>
    <t>A member of the Municipal Assembly</t>
  </si>
  <si>
    <t>A DCE</t>
  </si>
  <si>
    <t>Municipal Assembly</t>
  </si>
  <si>
    <t>A Local Government Councillor</t>
  </si>
  <si>
    <t>A municipal councillor</t>
  </si>
  <si>
    <t>LC (local council official)</t>
  </si>
  <si>
    <t>Q32b</t>
  </si>
  <si>
    <t>Q32b. Contact MP</t>
  </si>
  <si>
    <t>A representative of the National Assembly</t>
  </si>
  <si>
    <t>A member of the National Assembly</t>
  </si>
  <si>
    <t>A Parliamentarian</t>
  </si>
  <si>
    <t>A member of parliament</t>
  </si>
  <si>
    <t>A Representative to the National Assembly</t>
  </si>
  <si>
    <t>A Member of National Assembly</t>
  </si>
  <si>
    <t>A Deputy</t>
  </si>
  <si>
    <t>A representative to the National Assembly</t>
  </si>
  <si>
    <t>A Member of parliament</t>
  </si>
  <si>
    <t>A Member of Parliament (MP)</t>
  </si>
  <si>
    <t>Q36c</t>
  </si>
  <si>
    <t>Q36c. One -man rule</t>
  </si>
  <si>
    <t>Parliament vs Prime Minister</t>
  </si>
  <si>
    <t>Parliament vs Presient</t>
  </si>
  <si>
    <t>Q40</t>
  </si>
  <si>
    <t>Q40. Parliament makes laws vs. president does</t>
  </si>
  <si>
    <t>B_01_08</t>
  </si>
  <si>
    <t>Q41</t>
  </si>
  <si>
    <t>Q41. President free to act vs. obey the laws and courts</t>
  </si>
  <si>
    <t>Prime Minister /He</t>
  </si>
  <si>
    <t>A_10_10</t>
  </si>
  <si>
    <t>Q45</t>
  </si>
  <si>
    <t>Q45.  Elections free and fair</t>
  </si>
  <si>
    <t>Q53b</t>
  </si>
  <si>
    <t>Q53c. Presidents ignore the Constitution</t>
  </si>
  <si>
    <t>president</t>
  </si>
  <si>
    <t>Q55a</t>
  </si>
  <si>
    <t>Q55a. Trust the President</t>
  </si>
  <si>
    <t>Q55b</t>
  </si>
  <si>
    <t>Q55b. Trust Parliament/National Assembly</t>
  </si>
  <si>
    <t>The  Parliament</t>
  </si>
  <si>
    <t>Members of Parliament</t>
  </si>
  <si>
    <t>The Antional Assembly</t>
  </si>
  <si>
    <t>Member of Parliament</t>
  </si>
  <si>
    <t>Q55c</t>
  </si>
  <si>
    <t>Q55c. Trust the Electoral Commission</t>
  </si>
  <si>
    <t>The Autonomous National Electoral Commission</t>
  </si>
  <si>
    <t>The National Elections Commission</t>
  </si>
  <si>
    <t>The Electoral Commission</t>
  </si>
  <si>
    <t>The Independent National Electoral Commission (INEC)</t>
  </si>
  <si>
    <t>The Independent National Electoral Commission (CENI)</t>
  </si>
  <si>
    <t>The Electoral Commission Of Zambia</t>
  </si>
  <si>
    <t>Q55d</t>
  </si>
  <si>
    <t>Q55d. Trust your local council</t>
  </si>
  <si>
    <t>Your municipal council</t>
  </si>
  <si>
    <t>Your Elected Local Government Council</t>
  </si>
  <si>
    <t>The Municipal Assembly</t>
  </si>
  <si>
    <t>Your Assembly Men/Women</t>
  </si>
  <si>
    <t>our local municipal council</t>
  </si>
  <si>
    <t>Your Elected Local Government Councillor</t>
  </si>
  <si>
    <t>Local council</t>
  </si>
  <si>
    <t>Your Elected Councillor</t>
  </si>
  <si>
    <t>Q55e</t>
  </si>
  <si>
    <t>Q55e. Trust the ruling party</t>
  </si>
  <si>
    <t>Parties aligned with the presidential majority</t>
  </si>
  <si>
    <t>Q56a</t>
  </si>
  <si>
    <t>Q56a. Corruption: office of the Presidency</t>
  </si>
  <si>
    <t>The President/His</t>
  </si>
  <si>
    <t>Prime Minister/His</t>
  </si>
  <si>
    <t>Presidenr/His</t>
  </si>
  <si>
    <t>G_13</t>
  </si>
  <si>
    <t>Q56b</t>
  </si>
  <si>
    <t>Q56b. Corruption: Members of Parliament</t>
  </si>
  <si>
    <t>The Members of the National Assembly</t>
  </si>
  <si>
    <t>Members of the National Assembly</t>
  </si>
  <si>
    <t>Representatives to the National Assembly</t>
  </si>
  <si>
    <t>Members of National Assembly</t>
  </si>
  <si>
    <t>G_11</t>
  </si>
  <si>
    <t>Q56c</t>
  </si>
  <si>
    <t>Q56c. Corruption: local government councilors</t>
  </si>
  <si>
    <t>Municipal councilors</t>
  </si>
  <si>
    <t>Elected Local Government Councillors</t>
  </si>
  <si>
    <t>municipal councilors</t>
  </si>
  <si>
    <t>Assembly Man/Woman</t>
  </si>
  <si>
    <t>Elected Village Development Councillors</t>
  </si>
  <si>
    <t>Elected Local Government council</t>
  </si>
  <si>
    <t>Elected Councillors</t>
  </si>
  <si>
    <t>G_15</t>
  </si>
  <si>
    <t>Q56d</t>
  </si>
  <si>
    <t>Q56d. Corruption: national government officials</t>
  </si>
  <si>
    <t>The Members of the Government</t>
  </si>
  <si>
    <t>National Government Officials</t>
  </si>
  <si>
    <t>Central Government Officials</t>
  </si>
  <si>
    <t>G_12</t>
  </si>
  <si>
    <t>Q56e</t>
  </si>
  <si>
    <t>Q56e. Corruption: local government officials</t>
  </si>
  <si>
    <t>Local Government Officials</t>
  </si>
  <si>
    <t>Local representatives of the government</t>
  </si>
  <si>
    <t>A_10_06</t>
  </si>
  <si>
    <t>Q57f</t>
  </si>
  <si>
    <t>Q57f. Election incentives offered</t>
  </si>
  <si>
    <t>B_04_13</t>
  </si>
  <si>
    <t>Q60</t>
  </si>
  <si>
    <t>Q60. Time MP should spend</t>
  </si>
  <si>
    <t>representative to the National Assembly</t>
  </si>
  <si>
    <t>National Assembly representative</t>
  </si>
  <si>
    <t>representatives to the National Assembly</t>
  </si>
  <si>
    <t>Member of National Assembly</t>
  </si>
  <si>
    <t>Member of the National Assembly</t>
  </si>
  <si>
    <t>B_04_12</t>
  </si>
  <si>
    <t>Q61</t>
  </si>
  <si>
    <t>Q61.  Time MP does spend</t>
  </si>
  <si>
    <t>B_04_06</t>
  </si>
  <si>
    <t>Q62a</t>
  </si>
  <si>
    <t>Q62a. MPs listen</t>
  </si>
  <si>
    <t>National Assembly representatives</t>
  </si>
  <si>
    <t>Deputies</t>
  </si>
  <si>
    <t>B_03_15</t>
  </si>
  <si>
    <t>Q62b</t>
  </si>
  <si>
    <t>Q62b. Local government councilors listen</t>
  </si>
  <si>
    <t>Elected Local Government Councilors</t>
  </si>
  <si>
    <t>Elected Local Government councilors</t>
  </si>
  <si>
    <t>Local Government Councillors</t>
  </si>
  <si>
    <t>Q68a</t>
  </si>
  <si>
    <t>Q68a. Performance: President</t>
  </si>
  <si>
    <t>President Kerekou</t>
  </si>
  <si>
    <t>President Pedro Pires</t>
  </si>
  <si>
    <t>President Kufuor</t>
  </si>
  <si>
    <t>President Ravalomanana</t>
  </si>
  <si>
    <t>President Mutharika</t>
  </si>
  <si>
    <t>President of the Republic</t>
  </si>
  <si>
    <t>President Armando Guebuza</t>
  </si>
  <si>
    <t>President Hifikepunye Pohamba</t>
  </si>
  <si>
    <t>President Obasanjo</t>
  </si>
  <si>
    <t>Presodent Wade</t>
  </si>
  <si>
    <t>President Yoweri Kagutta Museveni</t>
  </si>
  <si>
    <t>President Levy Mwanawasa</t>
  </si>
  <si>
    <t>Q68b</t>
  </si>
  <si>
    <t>Q68b. Performance: MP/National Assembly rep</t>
  </si>
  <si>
    <t>The Representatives to the National Assembly</t>
  </si>
  <si>
    <t>members of the National Assembly</t>
  </si>
  <si>
    <t>Your Member of National Assembly</t>
  </si>
  <si>
    <t>The representatives to the National Assembly</t>
  </si>
  <si>
    <t>Your Member of Parliament (MP)</t>
  </si>
  <si>
    <t>Q68C</t>
  </si>
  <si>
    <t>Q68c. Performance: local government councilor</t>
  </si>
  <si>
    <t>Your Assembly Man/Woman</t>
  </si>
  <si>
    <t>Your Elected Village Development Councillor</t>
  </si>
  <si>
    <t>Your Elected Local Government Councilor</t>
  </si>
  <si>
    <t>our municipal councilo</t>
  </si>
  <si>
    <t>B_04_14</t>
  </si>
  <si>
    <t>Q76a</t>
  </si>
  <si>
    <t>Q76a. Who responsible: MPs do jobs</t>
  </si>
  <si>
    <t>members of Parliament</t>
  </si>
  <si>
    <t>members of parliament</t>
  </si>
  <si>
    <t>repesentaives of the National Assembly</t>
  </si>
  <si>
    <t>members of National Assembly</t>
  </si>
  <si>
    <t>B_03_32</t>
  </si>
  <si>
    <t>Q76b</t>
  </si>
  <si>
    <t>Q76b. Who responsible: local councilors do jobs</t>
  </si>
  <si>
    <t>local government councillors</t>
  </si>
  <si>
    <t>Municipal Councillors</t>
  </si>
  <si>
    <t>village development councillors</t>
  </si>
  <si>
    <t>Mayor and their councilors</t>
  </si>
  <si>
    <t>local government concilors</t>
  </si>
  <si>
    <t>A_10_09</t>
  </si>
  <si>
    <t>Q77a</t>
  </si>
  <si>
    <t>Q77a. Elections ensure parliament reflects voters</t>
  </si>
  <si>
    <t>National Assembly</t>
  </si>
  <si>
    <t>members Parliament</t>
  </si>
  <si>
    <t>A_10_32</t>
  </si>
  <si>
    <t>Q99</t>
  </si>
  <si>
    <t>Q99. Vote for which party</t>
  </si>
  <si>
    <t>presidential/2003</t>
  </si>
  <si>
    <t>presidential elections/2004</t>
  </si>
  <si>
    <t>presidential elections/2001</t>
  </si>
  <si>
    <t>presidential elections/2002</t>
  </si>
  <si>
    <t>general elections/2002</t>
  </si>
  <si>
    <t>presidential elections/2003</t>
  </si>
  <si>
    <t>presidential elections/2000</t>
  </si>
  <si>
    <t>presidential elections/2005</t>
  </si>
  <si>
    <t>3</t>
  </si>
  <si>
    <t>2003</t>
  </si>
  <si>
    <t>2004</t>
  </si>
  <si>
    <t>2001</t>
  </si>
  <si>
    <t>2002</t>
  </si>
  <si>
    <t>2000</t>
  </si>
  <si>
    <t>2007</t>
  </si>
  <si>
    <t>2005</t>
  </si>
  <si>
    <t>BURKINA FASO</t>
  </si>
  <si>
    <t>CAPE VERDE</t>
  </si>
  <si>
    <t>LIBERIA</t>
  </si>
  <si>
    <t>Q23d</t>
  </si>
  <si>
    <t>Q23d. Voted last election</t>
  </si>
  <si>
    <t>B_03_27</t>
  </si>
  <si>
    <t>Q24a</t>
  </si>
  <si>
    <t>Q24a. Make local government councilors listen</t>
  </si>
  <si>
    <t>Municipal councillor</t>
  </si>
  <si>
    <t>local government councillor</t>
  </si>
  <si>
    <t>local councillor</t>
  </si>
  <si>
    <t>Assembly man/woman</t>
  </si>
  <si>
    <t>Community Councillor</t>
  </si>
  <si>
    <t>Local Government</t>
  </si>
  <si>
    <t>District Commissioner</t>
  </si>
  <si>
    <t>Municipal councilor or district administrator</t>
  </si>
  <si>
    <t>local authority councillor</t>
  </si>
  <si>
    <t>Municipal or local councillor</t>
  </si>
  <si>
    <t>local councillor listen</t>
  </si>
  <si>
    <t>B_04_03</t>
  </si>
  <si>
    <t>Q24b</t>
  </si>
  <si>
    <t>Q24b. Make MPs listen</t>
  </si>
  <si>
    <t>Your representative to the National Assembly</t>
  </si>
  <si>
    <t>member of  Parliament</t>
  </si>
  <si>
    <t>Your Representative to the National Legislature</t>
  </si>
  <si>
    <t>member of the National Assembly</t>
  </si>
  <si>
    <t>Your representative to the Assembly of the Republic</t>
  </si>
  <si>
    <t>Your representative to the House Assembly</t>
  </si>
  <si>
    <t>Q25a</t>
  </si>
  <si>
    <t>Q25a. Contact local government councillor</t>
  </si>
  <si>
    <t>A Municipal councillor</t>
  </si>
  <si>
    <t>A local government councillor</t>
  </si>
  <si>
    <t>An   Assembly man/woman</t>
  </si>
  <si>
    <t>A Community Councillor</t>
  </si>
  <si>
    <t>A Local Government Official</t>
  </si>
  <si>
    <t>A Municipal councilor or member of a district council</t>
  </si>
  <si>
    <t>A Local Authority Councillor</t>
  </si>
  <si>
    <t>Q25b</t>
  </si>
  <si>
    <t>Q25b. Contact MP</t>
  </si>
  <si>
    <t>A member of  Parliament</t>
  </si>
  <si>
    <t>A Representative to the National Legislature</t>
  </si>
  <si>
    <t>A Member of the National Assembly</t>
  </si>
  <si>
    <t>A Representative to the Assembly of the Republic</t>
  </si>
  <si>
    <t>A Member of  Parliament</t>
  </si>
  <si>
    <t>A Representative to Parliament</t>
  </si>
  <si>
    <t>Q29c</t>
  </si>
  <si>
    <t>Q29c. Reject one-man rule</t>
  </si>
  <si>
    <t>Parliament  vs President</t>
  </si>
  <si>
    <t>National Legislature vs President</t>
  </si>
  <si>
    <t>National Assembly vs president</t>
  </si>
  <si>
    <t>Assembly of the Republic vs President</t>
  </si>
  <si>
    <t>B_01_09</t>
  </si>
  <si>
    <t>Q33. President monitored by parliament vs. free to act on own</t>
  </si>
  <si>
    <t>Q36</t>
  </si>
  <si>
    <t>Q36. Parliament makes laws vs. president does</t>
  </si>
  <si>
    <t>Q37</t>
  </si>
  <si>
    <t>Q37. President free to act vs. obey the laws and courts</t>
  </si>
  <si>
    <t>President/she</t>
  </si>
  <si>
    <t>President/he</t>
  </si>
  <si>
    <t>President/they</t>
  </si>
  <si>
    <t>Q38</t>
  </si>
  <si>
    <t>Q38. Presidential two term limit vs. no term limits</t>
  </si>
  <si>
    <t>prime minister</t>
  </si>
  <si>
    <t>Q45b</t>
  </si>
  <si>
    <t>Q45b. How often president ignores laws</t>
  </si>
  <si>
    <t>Presidents</t>
  </si>
  <si>
    <t>Q49a</t>
  </si>
  <si>
    <t>Q49a. Trust president</t>
  </si>
  <si>
    <t>The President of Faso</t>
  </si>
  <si>
    <t>The new President Kgalema Motlanthe</t>
  </si>
  <si>
    <t>The late President</t>
  </si>
  <si>
    <t>Q49b</t>
  </si>
  <si>
    <t>Q49b. Trust parliament/national assembly</t>
  </si>
  <si>
    <t>The National Legislature</t>
  </si>
  <si>
    <t>The Assembly of the Republic</t>
  </si>
  <si>
    <t>Q49c</t>
  </si>
  <si>
    <t>Q49c. Trust national electoral commission</t>
  </si>
  <si>
    <t>The Independent Electoral Commission (IEC)</t>
  </si>
  <si>
    <t>The National Independent  Electoral Commission</t>
  </si>
  <si>
    <t>The National Electoral Commission of Cape Verde</t>
  </si>
  <si>
    <t>The Electoral Commission of Ghana</t>
  </si>
  <si>
    <t>The National Elections Commission of Liberia</t>
  </si>
  <si>
    <t>The Malawi Electoral Commission</t>
  </si>
  <si>
    <t>The Electoral Commission of Namibia</t>
  </si>
  <si>
    <t>The Autonomous National Electoral Commission (CENA)</t>
  </si>
  <si>
    <t>The Electoral Commission of Uganda</t>
  </si>
  <si>
    <t>The Electoral Commission of Zambia</t>
  </si>
  <si>
    <t>The Zimbabwe Electoral Commission</t>
  </si>
  <si>
    <t>Q49d</t>
  </si>
  <si>
    <t>Q49d. Trust your elected local government council</t>
  </si>
  <si>
    <t>Your elected municipal council</t>
  </si>
  <si>
    <t>Your Metropolitan, Municipal or District Assembly</t>
  </si>
  <si>
    <t>Your Elected Community Council</t>
  </si>
  <si>
    <t>Your Local Government</t>
  </si>
  <si>
    <t>Your District  Assembly</t>
  </si>
  <si>
    <t>Your Municipal Assembly or District Council</t>
  </si>
  <si>
    <t>Your Elected Local Authority Council</t>
  </si>
  <si>
    <t>Your Elected Local Council</t>
  </si>
  <si>
    <t>Q49e</t>
  </si>
  <si>
    <t>Q49e. Trust the ruling party</t>
  </si>
  <si>
    <t>The Ruling Party/Coalition</t>
  </si>
  <si>
    <t>Q50a</t>
  </si>
  <si>
    <t>Q50a. Corruption: office of the Presidency</t>
  </si>
  <si>
    <t>Presient/Her</t>
  </si>
  <si>
    <t>President/his</t>
  </si>
  <si>
    <t>Presient/His</t>
  </si>
  <si>
    <t>President Kgalema Motlanthe /His</t>
  </si>
  <si>
    <t>Q50b</t>
  </si>
  <si>
    <t>Q50b. Corruption: Members of Parliament</t>
  </si>
  <si>
    <t>Members of  Parliament</t>
  </si>
  <si>
    <t>Representatives to the National Legislature</t>
  </si>
  <si>
    <t>Representatives to the Assembly of the Republic</t>
  </si>
  <si>
    <t>Representatives to the Parliament</t>
  </si>
  <si>
    <t>Q50c</t>
  </si>
  <si>
    <t>Q50c. Corruption: local government councilors</t>
  </si>
  <si>
    <t>municipal councillors</t>
  </si>
  <si>
    <t>Elected Assembly men/women</t>
  </si>
  <si>
    <t>Elected Community Councillors</t>
  </si>
  <si>
    <t>District Commissioners</t>
  </si>
  <si>
    <t>Municiapal Councilors or members of the District Council</t>
  </si>
  <si>
    <t>Elected Local Authority Councillors</t>
  </si>
  <si>
    <t>B_04_04</t>
  </si>
  <si>
    <t>Q52</t>
  </si>
  <si>
    <t>Q52. Most important responsibility of MP</t>
  </si>
  <si>
    <t>Representatives to the National</t>
  </si>
  <si>
    <t>Members of the Parliament</t>
  </si>
  <si>
    <t>Q53a</t>
  </si>
  <si>
    <t>Q53a. Time MPs should spend</t>
  </si>
  <si>
    <t>member of Parliament</t>
  </si>
  <si>
    <t>representative to the National Legislature</t>
  </si>
  <si>
    <t>representative to the Assembly of the Republic</t>
  </si>
  <si>
    <t>representative to the House of Assembly</t>
  </si>
  <si>
    <t>Q53b. Time MP does spend</t>
  </si>
  <si>
    <t>Representative to the National Assembly</t>
  </si>
  <si>
    <t>Representative to the National Legislature</t>
  </si>
  <si>
    <t>Q54a</t>
  </si>
  <si>
    <t>Q54a. MPs listen</t>
  </si>
  <si>
    <t>Members of parliament</t>
  </si>
  <si>
    <t>Q54b</t>
  </si>
  <si>
    <t>Q54b. Local government councilors listen</t>
  </si>
  <si>
    <t>Elected local government  councillors</t>
  </si>
  <si>
    <t>Assembly men / women</t>
  </si>
  <si>
    <t>Municipal Councilors ou members of the District Council</t>
  </si>
  <si>
    <t>B_07_05</t>
  </si>
  <si>
    <t>Q54c</t>
  </si>
  <si>
    <t>Q54c. Traditional leaders listen</t>
  </si>
  <si>
    <t>Traditional leaders</t>
  </si>
  <si>
    <t>B_04_05</t>
  </si>
  <si>
    <t>Q55</t>
  </si>
  <si>
    <t>Q55. MPs benefit local community vs. whole country</t>
  </si>
  <si>
    <t>representative to the National Assembly,</t>
  </si>
  <si>
    <t>Municipal Councillor</t>
  </si>
  <si>
    <t>a representative to the Assembly</t>
  </si>
  <si>
    <t>member of parliament</t>
  </si>
  <si>
    <t>representative to the Parliament</t>
  </si>
  <si>
    <t>Q70a</t>
  </si>
  <si>
    <t>Q70a. Performance: President</t>
  </si>
  <si>
    <t>President Boni YAYI</t>
  </si>
  <si>
    <t>Your Member of  Parliament</t>
  </si>
  <si>
    <t>President Blaise COMPAORE</t>
  </si>
  <si>
    <t>President J. A. Kufuor</t>
  </si>
  <si>
    <t>President Mwai Kibaki</t>
  </si>
  <si>
    <t>President Ellen Johnson Sirleaf</t>
  </si>
  <si>
    <t>President Marc Ravalomanana</t>
  </si>
  <si>
    <t>President Bingu wa Mutharika</t>
  </si>
  <si>
    <t>President ATT (Amadou Toumani Toure)</t>
  </si>
  <si>
    <t>President Musa Yar’ Adua</t>
  </si>
  <si>
    <t>President Abdoulaye WADE</t>
  </si>
  <si>
    <t>The former President Thabo Mbeki</t>
  </si>
  <si>
    <t>President Kikwete</t>
  </si>
  <si>
    <t>President Yoweri Museveni</t>
  </si>
  <si>
    <t>President Rupiah Banda</t>
  </si>
  <si>
    <t>President Robert Mugabe</t>
  </si>
  <si>
    <t>Q70b</t>
  </si>
  <si>
    <t>Q70b. Performance: MP/National Assembly rep</t>
  </si>
  <si>
    <t>Your member of the National Assembly</t>
  </si>
  <si>
    <t>Your Representative to the Assembly of the Republic</t>
  </si>
  <si>
    <t>Your Representative to the House of Assembly</t>
  </si>
  <si>
    <t>Q70c</t>
  </si>
  <si>
    <t>Q70c. Performance: local government councilor</t>
  </si>
  <si>
    <t>President Ian Khama</t>
  </si>
  <si>
    <t>Your Elected Assembly man/woman</t>
  </si>
  <si>
    <t>Your Elected Community Councillor</t>
  </si>
  <si>
    <t>Your Local Government Officials</t>
  </si>
  <si>
    <t>Your municipal councillor</t>
  </si>
  <si>
    <t>Your Municipal Councilor or District Administrator</t>
  </si>
  <si>
    <t>Your Elected Local Authority Councillors</t>
  </si>
  <si>
    <t>Q71</t>
  </si>
  <si>
    <t>Q71.  Elections free and fair</t>
  </si>
  <si>
    <t>20xx</t>
  </si>
  <si>
    <t>Q72a</t>
  </si>
  <si>
    <t>Q72a. Elections ensure parliament reflects voters</t>
  </si>
  <si>
    <t>Members of the National Assemly</t>
  </si>
  <si>
    <t>the Representatives to the National Assembly</t>
  </si>
  <si>
    <t>Q73a</t>
  </si>
  <si>
    <t>Q73a. Who responsible: MPs do jobs</t>
  </si>
  <si>
    <t>Q73b</t>
  </si>
  <si>
    <t>Q73b. Who responsible: local councilors do jobs</t>
  </si>
  <si>
    <t>Assembly men/women</t>
  </si>
  <si>
    <t>community councillors</t>
  </si>
  <si>
    <t>local government officials</t>
  </si>
  <si>
    <t>District Assembly</t>
  </si>
  <si>
    <t>municipal councilors or district administrators</t>
  </si>
  <si>
    <t>local authority councillors</t>
  </si>
  <si>
    <t>B_01_11</t>
  </si>
  <si>
    <t>Q73c</t>
  </si>
  <si>
    <t>Q73c. Who responsible: president does job</t>
  </si>
  <si>
    <t>4</t>
  </si>
  <si>
    <t>2008</t>
  </si>
  <si>
    <t>2006</t>
  </si>
  <si>
    <t>ALGERIA</t>
  </si>
  <si>
    <t xml:space="preserve">BOTSWANA </t>
  </si>
  <si>
    <t xml:space="preserve">CABO VERDE </t>
  </si>
  <si>
    <t>EGYPT</t>
  </si>
  <si>
    <t>ETHIOPIA</t>
  </si>
  <si>
    <t xml:space="preserve">GHANA </t>
  </si>
  <si>
    <t xml:space="preserve">KENYA  </t>
  </si>
  <si>
    <t xml:space="preserve">LESOTHO </t>
  </si>
  <si>
    <t xml:space="preserve">LIBERIA  </t>
  </si>
  <si>
    <t xml:space="preserve">MALAWI </t>
  </si>
  <si>
    <t xml:space="preserve">MOROCCO </t>
  </si>
  <si>
    <t xml:space="preserve">NAMIBIA </t>
  </si>
  <si>
    <t xml:space="preserve">NIGERIA </t>
  </si>
  <si>
    <t>SIERRA LEONE</t>
  </si>
  <si>
    <t>SUDAN</t>
  </si>
  <si>
    <t xml:space="preserve">TUNISIA </t>
  </si>
  <si>
    <t xml:space="preserve">UGANDA  </t>
  </si>
  <si>
    <t>Q27</t>
  </si>
  <si>
    <t>Voting in the most recent national election</t>
  </si>
  <si>
    <t>Q28</t>
  </si>
  <si>
    <t>Freeness and fairness of the last national election</t>
  </si>
  <si>
    <t>A_10_23</t>
  </si>
  <si>
    <t>Last national election: attend a campaign meeting or rally</t>
  </si>
  <si>
    <t>A_10_26</t>
  </si>
  <si>
    <t xml:space="preserve"> Last national election: persuade others to vote for a certain candidate or party</t>
  </si>
  <si>
    <t>A_10_27</t>
  </si>
  <si>
    <t xml:space="preserve"> Last national election: work for a candidate or party</t>
  </si>
  <si>
    <t>Q31c</t>
  </si>
  <si>
    <t xml:space="preserve"> Reject one-man rule</t>
  </si>
  <si>
    <t>Prime minister</t>
  </si>
  <si>
    <t>Elections and the National Assembly are abolished so that the President can decide everything.</t>
  </si>
  <si>
    <t>Q36.</t>
  </si>
  <si>
    <t>President monitored by parliament vs. free to act on own</t>
  </si>
  <si>
    <t>President, Parliament</t>
  </si>
  <si>
    <t>President, parliament</t>
  </si>
  <si>
    <t>Q39</t>
  </si>
  <si>
    <t xml:space="preserve"> Parliament makes laws vs. president does</t>
  </si>
  <si>
    <t>MPs, Parliament</t>
  </si>
  <si>
    <t xml:space="preserve"> representatives to the National Assembly</t>
  </si>
  <si>
    <t xml:space="preserve"> President free to act vs. obey the laws and courts</t>
  </si>
  <si>
    <t>A_01_27</t>
  </si>
  <si>
    <t>Q46b</t>
  </si>
  <si>
    <t>Level of democracy: ten years ago</t>
  </si>
  <si>
    <t>2002 [Under President Bakili Muluzi]?</t>
  </si>
  <si>
    <t>Our country ten years ago, in 2001?</t>
  </si>
  <si>
    <t>Sudan ten years ago, in 2003?</t>
  </si>
  <si>
    <t>Tunisia ten years ago, in 2003?</t>
  </si>
  <si>
    <t>Our country ten years ago, in 2002?</t>
  </si>
  <si>
    <t>A_01_29</t>
  </si>
  <si>
    <t>Q46c</t>
  </si>
  <si>
    <t>Level of democracy: under previous non-democratic regime</t>
  </si>
  <si>
    <t>Dikgosi Rule</t>
  </si>
  <si>
    <t>Our country under one party rule before 1990</t>
  </si>
  <si>
    <t>Egypt under the rule of Mohammad Hosni Mubarak?</t>
  </si>
  <si>
    <t>Derg Military Government</t>
  </si>
  <si>
    <t>Provisional National Defense Council (PNDC)</t>
  </si>
  <si>
    <t>Moi’s one party rule?</t>
  </si>
  <si>
    <t>military rule</t>
  </si>
  <si>
    <t>Our country under the People’s Redemption Council (PRC) of Samuel Doe</t>
  </si>
  <si>
    <t>Our country under one party rule under Dr. Kamuzu Banda</t>
  </si>
  <si>
    <t>Morocco under French colonial rule?</t>
  </si>
  <si>
    <t>Our country under One party regime</t>
  </si>
  <si>
    <t>Our country under South African rule?</t>
  </si>
  <si>
    <t>Our country under millitary</t>
  </si>
  <si>
    <t>Our country under the National Provincial Ruling Council (NPRC)</t>
  </si>
  <si>
    <t>Our country under Apartheid?</t>
  </si>
  <si>
    <t>Our country under the rule of previous parties (the third democracy)?</t>
  </si>
  <si>
    <t>Our country under Mwalimu Julius Nyerere’s one-party rule?</t>
  </si>
  <si>
    <t>Tunisia under Zine El Abidine Ben Ali’s rule?</t>
  </si>
  <si>
    <t>Our country under the Milton Obote II regime</t>
  </si>
  <si>
    <t>Our country under under President Kenneth Kaunda’s one-party rule?.</t>
  </si>
  <si>
    <t>Our country under colonialism (Ian Smith regime)</t>
  </si>
  <si>
    <t>A_01_26</t>
  </si>
  <si>
    <t>Q46d</t>
  </si>
  <si>
    <t>Level of democracy: in the future</t>
  </si>
  <si>
    <t>And on the same scale, where would you want our country to be in the future?</t>
  </si>
  <si>
    <t>And on the same scale, where would you want Egypt to be in the future?</t>
  </si>
  <si>
    <t>A_01_25</t>
  </si>
  <si>
    <t>Q47e</t>
  </si>
  <si>
    <t>Level of democracy: former Colonial Power</t>
  </si>
  <si>
    <t>Britain, the United Kingdom or UK</t>
  </si>
  <si>
    <t>Q59a</t>
  </si>
  <si>
    <t>Trust key leadership figure (President/Prime Minister)</t>
  </si>
  <si>
    <t>A. The President</t>
  </si>
  <si>
    <t>President Joyce Banda</t>
  </si>
  <si>
    <t>The Prime MInister</t>
  </si>
  <si>
    <t>Q59b</t>
  </si>
  <si>
    <t>Trust parliament/national assembly</t>
  </si>
  <si>
    <t>The Prime-Minister</t>
  </si>
  <si>
    <t>The House of Peoples’ Representatives</t>
  </si>
  <si>
    <t>B. Parliament</t>
  </si>
  <si>
    <t>The House of Representatives</t>
  </si>
  <si>
    <t>The National Constituent Council</t>
  </si>
  <si>
    <t>Q59c</t>
  </si>
  <si>
    <t>Trust national electoral commission</t>
  </si>
  <si>
    <t>The National Electoral Board</t>
  </si>
  <si>
    <t>C. The Electoral Commission</t>
  </si>
  <si>
    <t>Independent Electoral and Boundaries Commission</t>
  </si>
  <si>
    <t>Independent National Electoral Commission (INEC)</t>
  </si>
  <si>
    <t>The National Electoral Commission (NEC)</t>
  </si>
  <si>
    <t>The Electoral Commission (Not asked in Tunisia)</t>
  </si>
  <si>
    <t>The Electoral Commission of Zambia or ECZ</t>
  </si>
  <si>
    <t>The Zimbabwe Electoral Commission (ZEC)</t>
  </si>
  <si>
    <t>H_24</t>
  </si>
  <si>
    <t>Q59d</t>
  </si>
  <si>
    <t>Trust tax department</t>
  </si>
  <si>
    <t>The Tax Department</t>
  </si>
  <si>
    <t>The Botswana Unified Revenue Services</t>
  </si>
  <si>
    <t>Ministry of Finance Tax officials</t>
  </si>
  <si>
    <t>The Ethiopian Revenues and Tax Authority or ERCA</t>
  </si>
  <si>
    <t>D. The Tax Department (i.e. Ghana Revenue Authority)</t>
  </si>
  <si>
    <t>Kenya Revenue Authority</t>
  </si>
  <si>
    <t>Lesotho Revenue Authority</t>
  </si>
  <si>
    <t>The Revenue Department</t>
  </si>
  <si>
    <t>The Malawi Revenue Authority</t>
  </si>
  <si>
    <t>Mozambique Revenue Authority</t>
  </si>
  <si>
    <t>The Ministry of Finance, Inland Revenue</t>
  </si>
  <si>
    <t>Federal Inland Revenue</t>
  </si>
  <si>
    <t>The National Revenue Authority (NRA)</t>
  </si>
  <si>
    <t>The South African Revenue Service (SARS)</t>
  </si>
  <si>
    <t>The Tanzania Revenue Authority (TRA)</t>
  </si>
  <si>
    <t>Uganda Revenue Authority</t>
  </si>
  <si>
    <t>The Zambia Revenue Authority or ZRA</t>
  </si>
  <si>
    <t>Zimbabwe Revenue Authority (ZIMRA)</t>
  </si>
  <si>
    <t>Q59e</t>
  </si>
  <si>
    <t>Trust your elected local government council</t>
  </si>
  <si>
    <t>E. Your Metropolitan, Municipal or District Assembly</t>
  </si>
  <si>
    <t>Your Community Council</t>
  </si>
  <si>
    <t>Your Municipal Councilor or Member of the District Council</t>
  </si>
  <si>
    <t>Your Local Authority Council, that is the district, city or municipal council.</t>
  </si>
  <si>
    <t>Q59f</t>
  </si>
  <si>
    <t>Trust the ruling party</t>
  </si>
  <si>
    <t>Ruling party</t>
  </si>
  <si>
    <t>The Ruling Party- EPRDF</t>
  </si>
  <si>
    <t>F. The Ruling Party</t>
  </si>
  <si>
    <t>The Ruling Coalition</t>
  </si>
  <si>
    <t>The Ruling Coalition government</t>
  </si>
  <si>
    <t>ZANU-PF after the Inclusive Government</t>
  </si>
  <si>
    <t>H_11</t>
  </si>
  <si>
    <t>Q59g</t>
  </si>
  <si>
    <t>Trust opposition political parties</t>
  </si>
  <si>
    <t>Opposition Political Parties</t>
  </si>
  <si>
    <t>G. Opposition Political Parties</t>
  </si>
  <si>
    <t>Opposition Political Parties, you know, such as UDM, Narck-Kenya, Safina and KADDU</t>
  </si>
  <si>
    <t>Oposition political parties</t>
  </si>
  <si>
    <t>H_16</t>
  </si>
  <si>
    <t>Q59h</t>
  </si>
  <si>
    <t>Trust police</t>
  </si>
  <si>
    <t>The Police</t>
  </si>
  <si>
    <t>H. The Police</t>
  </si>
  <si>
    <t>H_25</t>
  </si>
  <si>
    <t>Q59i</t>
  </si>
  <si>
    <t>Trust army</t>
  </si>
  <si>
    <t>The Army</t>
  </si>
  <si>
    <t>I. The Army</t>
  </si>
  <si>
    <t>Army</t>
  </si>
  <si>
    <t>H_04</t>
  </si>
  <si>
    <t>Q59j</t>
  </si>
  <si>
    <t>Trust courts of law</t>
  </si>
  <si>
    <t>Courts of law</t>
  </si>
  <si>
    <t>J. Courts of law</t>
  </si>
  <si>
    <t>Q60a</t>
  </si>
  <si>
    <t>Corruption: office of the President/Prime Minister</t>
  </si>
  <si>
    <t xml:space="preserve">The  President and Officials in his Office </t>
  </si>
  <si>
    <t>The President and Officials in his Office</t>
  </si>
  <si>
    <t>The Prime Minister and Officials in his Office</t>
  </si>
  <si>
    <t>A. The President and Officials in his Office</t>
  </si>
  <si>
    <t>The President and Officials in her Office</t>
  </si>
  <si>
    <t>President Joyce Banda and Officials in her Office</t>
  </si>
  <si>
    <t>The Prime Minister and Officials in his Offic</t>
  </si>
  <si>
    <t>Q60b</t>
  </si>
  <si>
    <t>Corruption: Members of Parliament</t>
  </si>
  <si>
    <t>Members of the House of Peoples’ Representatives</t>
  </si>
  <si>
    <t>B. Members of Parliament</t>
  </si>
  <si>
    <t>Members of the House of Representatives</t>
  </si>
  <si>
    <t>Members of the Assembly of the Republic</t>
  </si>
  <si>
    <t>Members of the National Constituent Council</t>
  </si>
  <si>
    <t>G_14</t>
  </si>
  <si>
    <t>Q60c</t>
  </si>
  <si>
    <t>Corruption: government officials</t>
  </si>
  <si>
    <t>Government officials</t>
  </si>
  <si>
    <t>C. Government officials</t>
  </si>
  <si>
    <t>Q60d</t>
  </si>
  <si>
    <t>Corruption: local government councillors</t>
  </si>
  <si>
    <t>Local government councilors</t>
  </si>
  <si>
    <t>Local government councilors
Blocked for Egypt</t>
  </si>
  <si>
    <t>Members of local councils</t>
  </si>
  <si>
    <t>D. Assembly men and women</t>
  </si>
  <si>
    <t>Community councilors</t>
  </si>
  <si>
    <t>Local Authority Councillors</t>
  </si>
  <si>
    <t>Municipal Councilors or Members of the District Council</t>
  </si>
  <si>
    <t>Local Authority Councilors</t>
  </si>
  <si>
    <t>G_19</t>
  </si>
  <si>
    <t>Q60e</t>
  </si>
  <si>
    <t>Corruption: police</t>
  </si>
  <si>
    <t>Police / National Gendarmarie</t>
  </si>
  <si>
    <t>Police</t>
  </si>
  <si>
    <t>E. Police</t>
  </si>
  <si>
    <t>G_21</t>
  </si>
  <si>
    <t>Q60f</t>
  </si>
  <si>
    <t>Corruption: tax officials</t>
  </si>
  <si>
    <t>Tax Officials, like Ministry of Finance officials or Local Government tax collectors</t>
  </si>
  <si>
    <t>Tax Officials, like Botswana Unified Revenue Services officials or Local Government tax collectors</t>
  </si>
  <si>
    <t>Tax Officials, like Ethiopian Revenues and Tax Authority or ERCA officials or Regional State or local tax collectors</t>
  </si>
  <si>
    <t>F. Tax Officials (i.e. Ghana Revenue Authority Officials)</t>
  </si>
  <si>
    <t>Tax Officials, like Kenya Revenue Authority and local government tax collectors</t>
  </si>
  <si>
    <t>Tax Officials, like Lesotho Revenue Authority or Local Government tax collectors</t>
  </si>
  <si>
    <t>Tax Officials, like Department of Revenue Officials in the Ministry of Finance or City Government tax collectors</t>
  </si>
  <si>
    <t>Tax Officials, like Malawi Revenue Authority officials or Local Government tax collectors</t>
  </si>
  <si>
    <t>Tax Officials, like Mozambique Revenue Authority officials or Customs officials and local government tax collectors</t>
  </si>
  <si>
    <t>Tax Officials, like Ministry of Finance and Inland Revenue officials</t>
  </si>
  <si>
    <t>Officials of Federal Inland Revenue</t>
  </si>
  <si>
    <t>Tax Officials, like National Revenue Authority officials or Local Government tax collectors</t>
  </si>
  <si>
    <t>Tax Officials, like TRA officials or Local Government tax collectors</t>
  </si>
  <si>
    <t>Tax Officials, like URA officials or Local Government tax collectors</t>
  </si>
  <si>
    <t>Tax Officials such as- Zambia Revenue Authority (ZRA) officials or Local Government tax collectors</t>
  </si>
  <si>
    <t>Tax Officials, like the Zimbabwe Revenue Authority.</t>
  </si>
  <si>
    <t>G_09</t>
  </si>
  <si>
    <t>Q60g</t>
  </si>
  <si>
    <t>Corruption: judges and magistrates</t>
  </si>
  <si>
    <t>Judges and Magistrates</t>
  </si>
  <si>
    <t>G. Judges and Magistrates</t>
  </si>
  <si>
    <t>Q61f</t>
  </si>
  <si>
    <t>Election incentives offered</t>
  </si>
  <si>
    <t>MPs listen</t>
  </si>
  <si>
    <t>MPS</t>
  </si>
  <si>
    <t>Local government councillors listen</t>
  </si>
  <si>
    <t xml:space="preserve"> Local government councillors</t>
  </si>
  <si>
    <t>Assembly men and women</t>
  </si>
  <si>
    <t>Municipal Councilor or Member of the District Council</t>
  </si>
  <si>
    <t>C_01_17</t>
  </si>
  <si>
    <t>Q63</t>
  </si>
  <si>
    <t xml:space="preserve"> Most important problems - 1st response</t>
  </si>
  <si>
    <t>B_03_22</t>
  </si>
  <si>
    <t>Q66a</t>
  </si>
  <si>
    <t xml:space="preserve"> Local govt. handling maintaining roads</t>
  </si>
  <si>
    <t>(Municipal Council)</t>
  </si>
  <si>
    <t>municipal or local government council</t>
  </si>
  <si>
    <t>Q71a</t>
  </si>
  <si>
    <t xml:space="preserve"> Performance: President/Prime Minister</t>
  </si>
  <si>
    <t>President Bouteflika</t>
  </si>
  <si>
    <t>President Jorge Carlos Fonseca, The Prime-Minister – José Maria Neves</t>
  </si>
  <si>
    <t>President Mohammad Morsi</t>
  </si>
  <si>
    <t>Q71b</t>
  </si>
  <si>
    <t>Performance: MP/National Assembly rep</t>
  </si>
  <si>
    <t>Your Member of the National Assembly</t>
  </si>
  <si>
    <t>Q71c</t>
  </si>
  <si>
    <t xml:space="preserve"> Performance: local government councillor</t>
  </si>
  <si>
    <t xml:space="preserve"> local government councilor</t>
  </si>
  <si>
    <t>Your elected local government councilor</t>
  </si>
  <si>
    <t>Your elected Mayor</t>
  </si>
  <si>
    <t>Your elected local government councilor Blocked for Egypt</t>
  </si>
  <si>
    <t>Who responsible: MPs do jobs</t>
  </si>
  <si>
    <t>Your Member of the Constitution Drafting Committee</t>
  </si>
  <si>
    <t>Q72b</t>
  </si>
  <si>
    <t>Who responsible: local councillors do jobs</t>
  </si>
  <si>
    <t>Q72c</t>
  </si>
  <si>
    <t>Who responsible: President/Prime Minister does job</t>
  </si>
  <si>
    <t>K_42</t>
  </si>
  <si>
    <t>Q85c</t>
  </si>
  <si>
    <t>Proud of nationality</t>
  </si>
  <si>
    <t>Algerian</t>
  </si>
  <si>
    <t xml:space="preserve"> Vote for which party</t>
  </si>
  <si>
    <t>presidential election</t>
  </si>
  <si>
    <t>presidetial election</t>
  </si>
  <si>
    <t>5</t>
  </si>
  <si>
    <t>2012</t>
  </si>
  <si>
    <t>2009</t>
  </si>
  <si>
    <t>2011</t>
  </si>
  <si>
    <t>2010</t>
  </si>
  <si>
    <t>BURUNDI</t>
  </si>
  <si>
    <t>CAMEROON</t>
  </si>
  <si>
    <t>COTE D'IVOIRE</t>
  </si>
  <si>
    <t>ESWATINI</t>
  </si>
  <si>
    <t>GABON</t>
  </si>
  <si>
    <t>GUINEA</t>
  </si>
  <si>
    <t>MAURITIUS</t>
  </si>
  <si>
    <t>MOROCCO</t>
  </si>
  <si>
    <t>NIGER</t>
  </si>
  <si>
    <t>SAO TOME AND PRINCIPE</t>
  </si>
  <si>
    <t>TOGO</t>
  </si>
  <si>
    <t>TUNISIA</t>
  </si>
  <si>
    <t>Q21</t>
  </si>
  <si>
    <t>Q21. Voting in the most recent national election</t>
  </si>
  <si>
    <t>Q22</t>
  </si>
  <si>
    <t>Q22. Freeness and fairness of the last national election</t>
  </si>
  <si>
    <t>A_10_24</t>
  </si>
  <si>
    <t>Q23A</t>
  </si>
  <si>
    <t>Q23a. Last national election: attend a campaign rally</t>
  </si>
  <si>
    <t>A_10_22</t>
  </si>
  <si>
    <t>Q23B</t>
  </si>
  <si>
    <t>Q23b. Last national election: attend a campaign meeting</t>
  </si>
  <si>
    <t>Q23C</t>
  </si>
  <si>
    <t>Q23c. Last national election: persuade others to vote for a certain candidate or party</t>
  </si>
  <si>
    <t>Q23D</t>
  </si>
  <si>
    <t>Q23d. Last national election: work for a candidate or party</t>
  </si>
  <si>
    <t>Q24A</t>
  </si>
  <si>
    <t>Q24a. Contact local government councilor</t>
  </si>
  <si>
    <t>A local government councilor</t>
  </si>
  <si>
    <t>A Municipal Councilor</t>
  </si>
  <si>
    <t>A municipal or departmental councilor</t>
  </si>
  <si>
    <t>An Assembly man or woman</t>
  </si>
  <si>
    <t>A communal councilor</t>
  </si>
  <si>
    <t>A local member of County Assembly</t>
  </si>
  <si>
    <t>Councillor</t>
  </si>
  <si>
    <t>A local authority councilor</t>
  </si>
  <si>
    <t>N/A</t>
  </si>
  <si>
    <t>A municipal or district councilor</t>
  </si>
  <si>
    <t>A municipal councilor or director of district services</t>
  </si>
  <si>
    <t xml:space="preserve">A. A Local Authority Councilor
A1-NAM A Regional Councilor
</t>
  </si>
  <si>
    <t>Local government councilor</t>
  </si>
  <si>
    <t>A prefectural / municipal councillor</t>
  </si>
  <si>
    <t>District Councillor</t>
  </si>
  <si>
    <t>Q24B</t>
  </si>
  <si>
    <t>Q24b. Contact MP</t>
  </si>
  <si>
    <t>A deputy or a Senator</t>
  </si>
  <si>
    <t>B.	A Member of Parliament (MP)
B1-GAB	A parliamentary senator</t>
  </si>
  <si>
    <t>A deputy/member of the National Assembly</t>
  </si>
  <si>
    <t>A Member of House of Representatives</t>
  </si>
  <si>
    <t>A Member of Assembly of the Republic</t>
  </si>
  <si>
    <t xml:space="preserve">B. A Member of the National Assembly
B1-NAM A National Council Representative
</t>
  </si>
  <si>
    <t xml:space="preserve">A Member of Parliament
</t>
  </si>
  <si>
    <t>A_05_10</t>
  </si>
  <si>
    <t>Q24C</t>
  </si>
  <si>
    <t>Q24c. Contact official of a government agency</t>
  </si>
  <si>
    <t>An official of a government agency</t>
  </si>
  <si>
    <t>A government official</t>
  </si>
  <si>
    <t>Employee of a certain government institution (Public Servant)</t>
  </si>
  <si>
    <t>An official of the central government</t>
  </si>
  <si>
    <t>A_05_11</t>
  </si>
  <si>
    <t>Q24D</t>
  </si>
  <si>
    <t>Q24d. Contact political party official</t>
  </si>
  <si>
    <t>A political party official</t>
  </si>
  <si>
    <t>Employee of a political party</t>
  </si>
  <si>
    <t>A_05_15</t>
  </si>
  <si>
    <t>Q24E</t>
  </si>
  <si>
    <t>Q24e. Contact traditional leader</t>
  </si>
  <si>
    <t>Traditional Leaders</t>
  </si>
  <si>
    <t>A traditional leader</t>
  </si>
  <si>
    <t>A traditional chief</t>
  </si>
  <si>
    <t>A customary chief</t>
  </si>
  <si>
    <t>Traditional Leaders(Bucopho)</t>
  </si>
  <si>
    <t>A traditional/customary chief</t>
  </si>
  <si>
    <t>Leaders in public affairs/chiefs (Traditional leaders)</t>
  </si>
  <si>
    <t>A_02_06</t>
  </si>
  <si>
    <t>Q26A</t>
  </si>
  <si>
    <t>Q26a. Citizens vote</t>
  </si>
  <si>
    <t>B_02_26</t>
  </si>
  <si>
    <t>Q36. Media checks government vs. avoid negative reporting</t>
  </si>
  <si>
    <t>King/he</t>
  </si>
  <si>
    <t>Q37. Parliament makes laws vs. president does</t>
  </si>
  <si>
    <t>Members of parliament vs President</t>
  </si>
  <si>
    <t>Members of national assemply vs President</t>
  </si>
  <si>
    <t>Members of national assembly vs President</t>
  </si>
  <si>
    <t>National assembly vs President/He</t>
  </si>
  <si>
    <t>House of Representatives vs President/he</t>
  </si>
  <si>
    <t>Parliament vs King/he</t>
  </si>
  <si>
    <t>Parliament vs President/He</t>
  </si>
  <si>
    <t>National Assembly vs President/He</t>
  </si>
  <si>
    <t>Parliament vs President/he</t>
  </si>
  <si>
    <t>House of Representatives vs President</t>
  </si>
  <si>
    <t>National Assemmbly vs President</t>
  </si>
  <si>
    <t>Parliament vs President/she</t>
  </si>
  <si>
    <t>National Assembly vs President/he</t>
  </si>
  <si>
    <t>Q38. President free to act vs. obey the laws and courts</t>
  </si>
  <si>
    <t>Prime Minister/he</t>
  </si>
  <si>
    <t>Q39. Presidential two term limit vs. no term limits</t>
  </si>
  <si>
    <t>Q45C</t>
  </si>
  <si>
    <t>Q45c. How often president ignores laws</t>
  </si>
  <si>
    <t>President/he
Prime Minister</t>
  </si>
  <si>
    <t>B_01_02</t>
  </si>
  <si>
    <t>Q45E</t>
  </si>
  <si>
    <t>Q45e. How often president ignores parliament</t>
  </si>
  <si>
    <t>Q52A</t>
  </si>
  <si>
    <t>Q52a. Trust president</t>
  </si>
  <si>
    <t>The President/he</t>
  </si>
  <si>
    <t>A. The President of the Republic
A1-CVE. The Prime Minister</t>
  </si>
  <si>
    <t xml:space="preserve">A1_SWZ.
The King
A.
The Prime Minister
</t>
  </si>
  <si>
    <t xml:space="preserve">A.
The Prime Minister
A1-MAU
The President
</t>
  </si>
  <si>
    <t>The President of Government</t>
  </si>
  <si>
    <t xml:space="preserve">A. The President of the Republic
A1-MOZ The Prime Minister
</t>
  </si>
  <si>
    <t xml:space="preserve">A.
The President
A1-NAM
The Prime Minister
</t>
  </si>
  <si>
    <t>Q52B</t>
  </si>
  <si>
    <t>Q52b. Trust parliament/national assembly</t>
  </si>
  <si>
    <t>Members of national assemply</t>
  </si>
  <si>
    <t>The parliament, i.e., the National Assembly and the Senate</t>
  </si>
  <si>
    <t xml:space="preserve">B1_SWZ The Queen Mother
B. Parliament
</t>
  </si>
  <si>
    <t>House of Representatives</t>
  </si>
  <si>
    <t>Assembly of the Republic</t>
  </si>
  <si>
    <t xml:space="preserve">B. The National Assembly
B1-NAM The National Council
</t>
  </si>
  <si>
    <t>Q52C</t>
  </si>
  <si>
    <t>Q52c. Trust national electoral commission</t>
  </si>
  <si>
    <t>The National Independent Electoral Commission</t>
  </si>
  <si>
    <t>Elections Cameroon or ELECAM</t>
  </si>
  <si>
    <t>The Elections and Boundaries Commission</t>
  </si>
  <si>
    <t>The National Autonomous and Permanent Electoral Commission (CENAP)</t>
  </si>
  <si>
    <t>Independent Electoral Commission</t>
  </si>
  <si>
    <t>The Independent National Electoral Commission (CENI-T)</t>
  </si>
  <si>
    <t>The Independent National Electoral Commission or INEC</t>
  </si>
  <si>
    <t>The National Autonomous Electoral Commission</t>
  </si>
  <si>
    <t xml:space="preserve">C. The Independent Electoral Commission(IEC)
C1-SAF The Premier of this province
</t>
  </si>
  <si>
    <t>National Election Commission</t>
  </si>
  <si>
    <t>The Uganda Electoral Commission</t>
  </si>
  <si>
    <t>The Zimbabwe Electoral Commission (ZEC</t>
  </si>
  <si>
    <t>Q52D</t>
  </si>
  <si>
    <t>Q52d. Trust tax department</t>
  </si>
  <si>
    <t>The tax department</t>
  </si>
  <si>
    <t>The General Directorate of Taxes</t>
  </si>
  <si>
    <t xml:space="preserve">	The Burundi Revenue Authority (OBR)</t>
  </si>
  <si>
    <t>Finance Officials</t>
  </si>
  <si>
    <t>The Directorate General of Taxes</t>
  </si>
  <si>
    <t>Swaziland Revenue Authority</t>
  </si>
  <si>
    <t>The Tax Department (i.e. Ghana Revenue Authority)</t>
  </si>
  <si>
    <t>The National Tax Directorate</t>
  </si>
  <si>
    <t>Tax Revenue Authority (or Revenue Collection Centre)</t>
  </si>
  <si>
    <t>The Mauritius Revenue Authority (MRA)</t>
  </si>
  <si>
    <t>The  General Tax Directorate</t>
  </si>
  <si>
    <t>The Mozambique Tax Authority</t>
  </si>
  <si>
    <t xml:space="preserve">D. The Ministry of Finance, Inland Revenue
D1-NAM Your Regional Council
</t>
  </si>
  <si>
    <t>The General Directorate of Taxes (DGI)</t>
  </si>
  <si>
    <t>The Federal Inland Revenue Services</t>
  </si>
  <si>
    <t>The Ministry of Finance and Public Administration</t>
  </si>
  <si>
    <t>The National Revenue Authority or NRA</t>
  </si>
  <si>
    <t>The South African Revenue Services orSARS</t>
  </si>
  <si>
    <t>The Uganda  Revenue Authority</t>
  </si>
  <si>
    <t>Zambia Revenue Authority (ZRA)</t>
  </si>
  <si>
    <t>Q52E</t>
  </si>
  <si>
    <t>Q52e. Trust your elected local government council</t>
  </si>
  <si>
    <t>Your municipal / communal council</t>
  </si>
  <si>
    <t>The Municipal Executive (Mayor and councilors)</t>
  </si>
  <si>
    <t>Your municipal/communal council</t>
  </si>
  <si>
    <t>Your municipal / departmental council</t>
  </si>
  <si>
    <t>Your local council</t>
  </si>
  <si>
    <t xml:space="preserve">E. Your County Assembly 
E1-KEN Your County Governor 
</t>
  </si>
  <si>
    <t>Local Government Council</t>
  </si>
  <si>
    <t>Your communal council</t>
  </si>
  <si>
    <t>Your Municipal or District Council</t>
  </si>
  <si>
    <t xml:space="preserve">E. Your Local Government (district or Municipal)
E1-MOZ  Provincial Government
</t>
  </si>
  <si>
    <t xml:space="preserve">E. Your Local Authority Council
E1-NAM Your appointed Regional Governor
</t>
  </si>
  <si>
    <t>Municipal council</t>
  </si>
  <si>
    <t>Municipal / communal council</t>
  </si>
  <si>
    <t>Council of State</t>
  </si>
  <si>
    <t>Your prefectural / municipal council</t>
  </si>
  <si>
    <t>Your District Council</t>
  </si>
  <si>
    <t>Q52F</t>
  </si>
  <si>
    <t>Q52f. Trust the ruling party</t>
  </si>
  <si>
    <t>The parties of the presidential movement</t>
  </si>
  <si>
    <t>The government in power</t>
  </si>
  <si>
    <t>Pro-presidential parties</t>
  </si>
  <si>
    <t>The Ruling Coalition (Jubilee)</t>
  </si>
  <si>
    <t>Coalition Government
Basotho National Council
National Dialogue Forum (or Council of National Government by the People)
Basotho National Party</t>
  </si>
  <si>
    <t>The presidential majority parties</t>
  </si>
  <si>
    <t>Parties of the presidential movement</t>
  </si>
  <si>
    <t>Q52G</t>
  </si>
  <si>
    <t>Q52g. Trust opposition political parties</t>
  </si>
  <si>
    <t>Q52I</t>
  </si>
  <si>
    <t>Q52i. Trust army</t>
  </si>
  <si>
    <t>Kenya Defense Force (KDF)</t>
  </si>
  <si>
    <t>Uganda Peoples Defence Force (UPDF)</t>
  </si>
  <si>
    <t>Q52J</t>
  </si>
  <si>
    <t>Q52j. Trust courts of law</t>
  </si>
  <si>
    <t>The courts and tribunals</t>
  </si>
  <si>
    <t>H_29</t>
  </si>
  <si>
    <t>Q52K</t>
  </si>
  <si>
    <t>Q52k. Trust traditional leaders</t>
  </si>
  <si>
    <t>K. Traditional leaders (Chiefs)
K1_SWZ. Traditional leaders (Bucopho)</t>
  </si>
  <si>
    <t>Customary chiefs</t>
  </si>
  <si>
    <t>The customary chiefs</t>
  </si>
  <si>
    <t>Q53A</t>
  </si>
  <si>
    <t>Q53a. Corruption: office of the Presidency</t>
  </si>
  <si>
    <t>President of the Republic and officials of the Presidency</t>
  </si>
  <si>
    <t>The President and Officials of his Cabinet
The Prime Minister and Officials of his Cabinet</t>
  </si>
  <si>
    <t>The President of the Republic and officials of the Presidency</t>
  </si>
  <si>
    <t>Officials in the Presidency</t>
  </si>
  <si>
    <t>The President of the Republic and officials in the Presidency</t>
  </si>
  <si>
    <t xml:space="preserve">	The President of the Republic and officials of the Presidency</t>
  </si>
  <si>
    <t>A. The Prime Minister and Officials in his Office 
A1-MAU The President and Officials in his Office</t>
  </si>
  <si>
    <t>The President of Government and officials in his office</t>
  </si>
  <si>
    <t xml:space="preserve">A. The President and Officials in his Office 
A1-NAM The Prime Minister
</t>
  </si>
  <si>
    <t>The President of the Republic and Presidency officials</t>
  </si>
  <si>
    <t xml:space="preserve">The President and Officials in his Office 
</t>
  </si>
  <si>
    <t>Q53B</t>
  </si>
  <si>
    <t>Q53b. Corruption: Members of Parliament</t>
  </si>
  <si>
    <t>The deputies and senators of Parliament</t>
  </si>
  <si>
    <t xml:space="preserve">B. Members of Parliament
  B1-GHA. Electoral Commission Officials
</t>
  </si>
  <si>
    <t>Members of Assembly of the Republic</t>
  </si>
  <si>
    <t xml:space="preserve">B.
Members of the National Assembly
B1-NAM
Representatives to the National Council
</t>
  </si>
  <si>
    <t>Q53C</t>
  </si>
  <si>
    <t>Q53c. Corruption: government officials</t>
  </si>
  <si>
    <t>Members of the Government (Ministers)</t>
  </si>
  <si>
    <t>Public Officials</t>
  </si>
  <si>
    <t>The members of the Government</t>
  </si>
  <si>
    <t>Members of the Government</t>
  </si>
  <si>
    <t xml:space="preserve">Government officials
</t>
  </si>
  <si>
    <t>Q53D</t>
  </si>
  <si>
    <t>Q53d. Corruption: local government councilors</t>
  </si>
  <si>
    <t>Municipal/communal councilors</t>
  </si>
  <si>
    <t>The municipal/communal councilors</t>
  </si>
  <si>
    <t>Municipal/Departmental Councilors</t>
  </si>
  <si>
    <t xml:space="preserve">D. Assembly men and women
  D1-GHA. District Chief Executives
</t>
  </si>
  <si>
    <t>Communal councilors</t>
  </si>
  <si>
    <t xml:space="preserve">Members of your County Assembly
D1-KEN Your County Governor and Officials in his Office
</t>
  </si>
  <si>
    <t>Community or urban councillors</t>
  </si>
  <si>
    <t>Communal/Municipal councilors</t>
  </si>
  <si>
    <t>Municipal/District councilors</t>
  </si>
  <si>
    <t xml:space="preserve">D. Local government councilors (municipal and district)
D1-MOZ Provincial governors
</t>
  </si>
  <si>
    <t xml:space="preserve">D. Local Authority Councilors
D1-NAM Regional Councilors
D2-NAM Regional Governors
</t>
  </si>
  <si>
    <t>Municipal/communal councillors</t>
  </si>
  <si>
    <t xml:space="preserve">Local government councilors
</t>
  </si>
  <si>
    <t>District Councillors</t>
  </si>
  <si>
    <t>Q53E</t>
  </si>
  <si>
    <t>Q53e. Corruption: police</t>
  </si>
  <si>
    <t>Police / Gendarmerie officers</t>
  </si>
  <si>
    <t xml:space="preserve">E.Police
E1-KEN Members of the Kenya Defense Forces (KDF)
</t>
  </si>
  <si>
    <t xml:space="preserve">E. Police
E1-UGA Members of the Uganda Peoples Defense Forces (UPDF)
</t>
  </si>
  <si>
    <t>Q53F</t>
  </si>
  <si>
    <t>Q53f. Corruption: tax officials</t>
  </si>
  <si>
    <t>Tax Officials, like Ministry of Finance officials or Local tax collectors</t>
  </si>
  <si>
    <t>Tax agents, such as agents of the Ministry of Finance or local tax collectors</t>
  </si>
  <si>
    <t>Tax Officials, like  Botswana Unified Revenue Services officials</t>
  </si>
  <si>
    <t>Tax officials, such as agents from the Ministry of Economy and Finance or local tax collectors</t>
  </si>
  <si>
    <t>OBR agents, such as agents of the Ministry of Finance or local tax collectors</t>
  </si>
  <si>
    <t>The tax agents, such as agents of the Ministry of Finance</t>
  </si>
  <si>
    <t>Tax agents, such as agents of the Ministry to the Prime Minister in charge of the economy and finance or local tax collectors</t>
  </si>
  <si>
    <t xml:space="preserve">Tax Officials, like Ministry of Finance officials or Local Government tax collectors
</t>
  </si>
  <si>
    <t>Swaziland Revenue Authority officials</t>
  </si>
  <si>
    <t>Tax officials, such as agents from the Ministry of Finance or local tax collectors</t>
  </si>
  <si>
    <t>Tax Officials (i.e. Ghana Revenue Authority Officials)</t>
  </si>
  <si>
    <t>Officials of Kenya Revenue Authority (KRA)</t>
  </si>
  <si>
    <t>Lesotho Revenue Authority or LRA</t>
  </si>
  <si>
    <t>Tax Officials, like Department of Revenue Officials in the  Ministry of Finance or City Government tax collectors</t>
  </si>
  <si>
    <t>Tax officials, such as agents of the Ministry of Finance and Budget or local tax collectors</t>
  </si>
  <si>
    <t>Malawi Revenue Authority Officials</t>
  </si>
  <si>
    <t>Tax officials, such as agents of the Ministry of Finance or local tax collectors</t>
  </si>
  <si>
    <t>Tax Officials, like Mauritius Revenue Authority officials or Local Government tax collectors</t>
  </si>
  <si>
    <t>Tax Officials, like General Tax Directorate officials or Local Government tax collectors</t>
  </si>
  <si>
    <t>Tax Officials, like Mozambique Tax Authority officials or Local Government tax collectors</t>
  </si>
  <si>
    <t>Tax Officials, like Ministry of Finance officials or Inland Revenue officials</t>
  </si>
  <si>
    <t>Tax agents, such as agents of the General Directorate of Taxes (DGI) local tax collectors</t>
  </si>
  <si>
    <t>Tax Officials, like the Federal Inland Revenue Service officials or Local Government tax collectors</t>
  </si>
  <si>
    <t>Tax officials, like Ministry of  Finance and Public Administration  officials or Local Government tax collectors</t>
  </si>
  <si>
    <t>Tax Officials, like South African Revenue Servicesofficials or Local Government tax collectors</t>
  </si>
  <si>
    <t>Tax Officials, like the Tanzania Revenue Authority (TRA) officials or Local Government tax collectors</t>
  </si>
  <si>
    <t>Tax agents, such as agents of the Togolese Revenue Office or local tax collectors</t>
  </si>
  <si>
    <t>Tax Officials, like Uganda Revenue Authority (URA) or District tax collectors</t>
  </si>
  <si>
    <t>Tax Officials, like Zambia Revenue Authority  or Local Government tax collectors</t>
  </si>
  <si>
    <t>Tax Officials, like Zimbabwe Revenue Authority (ZIMRA) officials or Local Government tax collectors</t>
  </si>
  <si>
    <t>Q53G</t>
  </si>
  <si>
    <t>Q53g. Corruption: judges and magistrates</t>
  </si>
  <si>
    <t>Court Officials</t>
  </si>
  <si>
    <t>G_23</t>
  </si>
  <si>
    <t>Q53H</t>
  </si>
  <si>
    <t>Q53h. Corruption: traditional leaders</t>
  </si>
  <si>
    <t xml:space="preserve">H. Traditional leaders (Chiefs)
H1_SWZ. Traditional leaders (Bucopho)
</t>
  </si>
  <si>
    <t>Q59A</t>
  </si>
  <si>
    <t>Q59a. MPs listen</t>
  </si>
  <si>
    <t>Members of national assembly</t>
  </si>
  <si>
    <t>The deputies and senators of parliament</t>
  </si>
  <si>
    <t>Members of Parliament / Parliamentarians</t>
  </si>
  <si>
    <t xml:space="preserve">A.
Members of the National Assembly
A1-NAM
Representatives to the National Council
</t>
  </si>
  <si>
    <t>The National Assembly deputies</t>
  </si>
  <si>
    <t>Q59B</t>
  </si>
  <si>
    <t>Q59b. Local government councilors listen</t>
  </si>
  <si>
    <t>Elected councilors</t>
  </si>
  <si>
    <t>Municipal/departmental councilors / Local representatives</t>
  </si>
  <si>
    <t>Members of County Assembly</t>
  </si>
  <si>
    <t>Members of the local government council</t>
  </si>
  <si>
    <t xml:space="preserve">B. Local Authority Councilors
B1-NAM Regional Councilors
</t>
  </si>
  <si>
    <t>The municipal councilors</t>
  </si>
  <si>
    <t>Q68A</t>
  </si>
  <si>
    <t>President Abdelaziz Bouteflika</t>
  </si>
  <si>
    <t>President Yayi Boni</t>
  </si>
  <si>
    <t>The President Pierre Nkurunziza</t>
  </si>
  <si>
    <t>A. President Jorge Carlos Fonseca
A1-CVE. The Prime Minister – José Maria Neves</t>
  </si>
  <si>
    <t>President Paul BIYA</t>
  </si>
  <si>
    <t>President Alassane OUATTARA</t>
  </si>
  <si>
    <t>President Abdel FattahAl-Sissi</t>
  </si>
  <si>
    <t>Prime Minister Sibusiso Dlamini</t>
  </si>
  <si>
    <t>President Ali BONGO ONDIMBA</t>
  </si>
  <si>
    <t>President John Dramani Mahama</t>
  </si>
  <si>
    <t>President Alpha CONDE</t>
  </si>
  <si>
    <t>President Uhuru Kenyatta</t>
  </si>
  <si>
    <t>Prime Minister Thabane</t>
  </si>
  <si>
    <t>President Hery RAJAONARIMAMPIANINA</t>
  </si>
  <si>
    <t>The President Ibrahim Boubacar Keïta /IBK</t>
  </si>
  <si>
    <t>A. Prime Minister Navin Ramgoolam 
A1-MAU President Kailash Purryag</t>
  </si>
  <si>
    <t>President of Government Abdallah ben Kirane</t>
  </si>
  <si>
    <t xml:space="preserve">A. President Filipe Nyusi
A1-MOZ Prime-Minister – Agostinho do Rosário
</t>
  </si>
  <si>
    <t xml:space="preserve">A. President Hifikipunye Pohama
A1-NAM The Prime Minister, Hage Geingob
</t>
  </si>
  <si>
    <t xml:space="preserve">	The President Mahamadou Issoufou</t>
  </si>
  <si>
    <t>President Goodluck Jonathan</t>
  </si>
  <si>
    <t xml:space="preserve">President Manuel Pinto da Costa
Prime-Minister Patrice Trovoada
</t>
  </si>
  <si>
    <t>President Macky SALL</t>
  </si>
  <si>
    <t>President Ernest Bai Koroma</t>
  </si>
  <si>
    <t>President Jacob Zuma</t>
  </si>
  <si>
    <t>President Omar El Bechir</t>
  </si>
  <si>
    <t>President Jakaya Kikwete</t>
  </si>
  <si>
    <t>President Faure Essozimna Gnassingbé</t>
  </si>
  <si>
    <t>President [Béji Caïd Essebsi]</t>
  </si>
  <si>
    <t>President Yoweri Kaguta Museveni</t>
  </si>
  <si>
    <t>President Michael Sata</t>
  </si>
  <si>
    <t>Q68B</t>
  </si>
  <si>
    <t>Q68b. Performance: MP/National Assembly rep.</t>
  </si>
  <si>
    <t>B. Your Member of the National Assembly
B1-CVE. The Mayor (President of the Municipal Chamber)</t>
  </si>
  <si>
    <t>The representatives of parliament (Deputy or Senator)</t>
  </si>
  <si>
    <t>Your Member of Parliament (MP)
Your Senator in Parliament</t>
  </si>
  <si>
    <t>Your Deputy in the National Assembly</t>
  </si>
  <si>
    <t>Your member of Parliament</t>
  </si>
  <si>
    <t>Your Member of the House of Representatives</t>
  </si>
  <si>
    <t>Members of the National Assembly
B1-NAM Representatives to the National Council
B2-NAM Your elected Regional Councilor</t>
  </si>
  <si>
    <t>Your deputy in the National Assembly</t>
  </si>
  <si>
    <t xml:space="preserve">Your Member of the National Assembly
</t>
  </si>
  <si>
    <t xml:space="preserve">Your Member of National Assembly 
Your elected  Mayor
</t>
  </si>
  <si>
    <t xml:space="preserve">B. Your Member of Parliament
B1-SAF. The Premier of this province 
[insert name]____________________________
</t>
  </si>
  <si>
    <t>Your deputy/member of the National Assembly</t>
  </si>
  <si>
    <t>Your municipal / communal councilor</t>
  </si>
  <si>
    <t>Your Municipal Councilor</t>
  </si>
  <si>
    <t>The Municipal Councilors</t>
  </si>
  <si>
    <t>Municipal/communal councilor</t>
  </si>
  <si>
    <t>Your municipal councilor</t>
  </si>
  <si>
    <t>Your elected local government councilo</t>
  </si>
  <si>
    <t>Your municipal/departmental councilor</t>
  </si>
  <si>
    <t xml:space="preserve">C. Your Assembly man or woman
C1-GHA Your District Chief Executive
</t>
  </si>
  <si>
    <t>Your Communal Councilor</t>
  </si>
  <si>
    <t xml:space="preserve">C. Your elected member of county assembly
C1-KEN Your County Governor
</t>
  </si>
  <si>
    <t>Your elected local government councillor</t>
  </si>
  <si>
    <t>Your elected local councilor</t>
  </si>
  <si>
    <t>Your Municipal/Communal Councilor</t>
  </si>
  <si>
    <t>Your communal/municipal councilor</t>
  </si>
  <si>
    <t>Your elected Municipal/District councilor</t>
  </si>
  <si>
    <t xml:space="preserve">C. Your elected Local Authority Councilor
C1-NAM Your appointed Regional Governor
</t>
  </si>
  <si>
    <t>Municipal/Communal Councillor</t>
  </si>
  <si>
    <t>Your prefectural / municipal councillor</t>
  </si>
  <si>
    <t>B_07_02</t>
  </si>
  <si>
    <t>Q68D</t>
  </si>
  <si>
    <t>Q68d. Performance: traditional leader</t>
  </si>
  <si>
    <t>Traditional leader</t>
  </si>
  <si>
    <t>Your Traditional Chief</t>
  </si>
  <si>
    <t>Your customary chief</t>
  </si>
  <si>
    <t>Your traditional chief</t>
  </si>
  <si>
    <t>Your traditional leader</t>
  </si>
  <si>
    <t>Your traditional leader (Bucopho)</t>
  </si>
  <si>
    <t>Q69A</t>
  </si>
  <si>
    <t>Q69a. Who responsible: MPs do jobs</t>
  </si>
  <si>
    <t xml:space="preserve">Members of Parliament
Parliamentary Senators </t>
  </si>
  <si>
    <t>Members of Assembly</t>
  </si>
  <si>
    <t>National Assembly deputies</t>
  </si>
  <si>
    <t>Q69B</t>
  </si>
  <si>
    <t>Q69b. Who responsible: local councilors do jobs</t>
  </si>
  <si>
    <t>The municipality (or local council)</t>
  </si>
  <si>
    <t>Municipal councilor</t>
  </si>
  <si>
    <t>local government councilors/ local inkhundla councilors</t>
  </si>
  <si>
    <t>Municipal/Departmental councilors</t>
  </si>
  <si>
    <t>Communal Councilors</t>
  </si>
  <si>
    <t>Members of county assembly</t>
  </si>
  <si>
    <t>Local government councillor</t>
  </si>
  <si>
    <t>Local councilors</t>
  </si>
  <si>
    <t>Local Authority Councilors/Regional Councilors</t>
  </si>
  <si>
    <t>Q69C</t>
  </si>
  <si>
    <t>Q69c. Who responsible: president does job</t>
  </si>
  <si>
    <t>Prime Minister/President</t>
  </si>
  <si>
    <t>President/Regional Governnors</t>
  </si>
  <si>
    <t>K_06</t>
  </si>
  <si>
    <t>Q78</t>
  </si>
  <si>
    <t>Q78. Difficulty of crossing borders</t>
  </si>
  <si>
    <t>North Africa</t>
  </si>
  <si>
    <t>West Africa</t>
  </si>
  <si>
    <t>Southern Africa</t>
  </si>
  <si>
    <t>East Africa</t>
  </si>
  <si>
    <t>Central Africa</t>
  </si>
  <si>
    <t>K_43</t>
  </si>
  <si>
    <t>Q79A</t>
  </si>
  <si>
    <t>Q79a. Regional organisation helps country</t>
  </si>
  <si>
    <t xml:space="preserve">1. The Arab Maghreb Union, UMA
</t>
  </si>
  <si>
    <t>1. ECOWAS</t>
  </si>
  <si>
    <t>The Southern African Development Community, SADC</t>
  </si>
  <si>
    <t>ECOWAS</t>
  </si>
  <si>
    <t>Regional organization (ECCAS / ICGLR / EAC/ COMESA)</t>
  </si>
  <si>
    <t>Economic Community of Central African States (CEMAC)</t>
  </si>
  <si>
    <t>The Southern African Development Community or SADC.</t>
  </si>
  <si>
    <t>A1.	Economic Community of Central African States (ECCAS)
A2-	Economic and Monetary Community of Central Africa (CEMAC)</t>
  </si>
  <si>
    <t>Economic Community of West African States (ECOWAS)</t>
  </si>
  <si>
    <t>East African Community (EAC)</t>
  </si>
  <si>
    <t>SADC</t>
  </si>
  <si>
    <t>A.1. The Southern African Development Community or SADC
A. 2. -MAD. The Indian Ocean Commission or IOC</t>
  </si>
  <si>
    <t xml:space="preserve">A.
The Southern African Development Community, SADC 
A1-MAU
Common Market for East and Southern Affrica or COMESA
</t>
  </si>
  <si>
    <t>The Arab Maghreb Union, UMA</t>
  </si>
  <si>
    <t>SADC – Southern Africa Development Community</t>
  </si>
  <si>
    <t>Economic Community of Central African States (ECCAS)</t>
  </si>
  <si>
    <t>Southern Africa Development Community/ SADC</t>
  </si>
  <si>
    <t>The Intergovernmental Authority on Development (IGAD)</t>
  </si>
  <si>
    <t xml:space="preserve">A. The East African Community, EAC
A-TAN The Southern African Development Community, SADC
</t>
  </si>
  <si>
    <t>Southern African Development Community (SADC)</t>
  </si>
  <si>
    <t>6</t>
  </si>
  <si>
    <t>2014</t>
  </si>
  <si>
    <t>2013</t>
  </si>
  <si>
    <t>2015</t>
  </si>
  <si>
    <t>GAMBIA</t>
  </si>
  <si>
    <t>Q22. Voting in the most recent national election</t>
  </si>
  <si>
    <t>Q23</t>
  </si>
  <si>
    <t>Q23. Freeness and fairness of the last national election</t>
  </si>
  <si>
    <t>Q24a. Last national election: attend a campaign rally</t>
  </si>
  <si>
    <t>Q24b. Last national election: work for a candidate or party</t>
  </si>
  <si>
    <t>Q25A</t>
  </si>
  <si>
    <t>Community councilor</t>
  </si>
  <si>
    <t>Local councilor</t>
  </si>
  <si>
    <t>District councilor</t>
  </si>
  <si>
    <t>Q25B</t>
  </si>
  <si>
    <t>B. A Member of Parliament (MP)
B1-GAB A parliamentary senator</t>
  </si>
  <si>
    <t>A member of  the National Assembly</t>
  </si>
  <si>
    <t>Q25C</t>
  </si>
  <si>
    <t>Q25c. Contact official of a government agency</t>
  </si>
  <si>
    <t>Official of a government agency</t>
  </si>
  <si>
    <t>Leader of a government ministry</t>
  </si>
  <si>
    <t>Q32. President monitored by parliament vs. free to act on own</t>
  </si>
  <si>
    <t>Parliament vs Prime Minister/he</t>
  </si>
  <si>
    <t>National Assembly vs Prime minister/he</t>
  </si>
  <si>
    <t>Q33. President free to act vs. obey the laws and courts</t>
  </si>
  <si>
    <t>National assembly vs President/he</t>
  </si>
  <si>
    <t>Q34</t>
  </si>
  <si>
    <t>Q34. Presidential two term limit vs. no term limits</t>
  </si>
  <si>
    <t>Q39B</t>
  </si>
  <si>
    <t>Q39b. How often president ignores laws</t>
  </si>
  <si>
    <t>Q39C</t>
  </si>
  <si>
    <t>Q39c. How often president ignores parliament</t>
  </si>
  <si>
    <t>Q43A</t>
  </si>
  <si>
    <t>Q43a. Trust president</t>
  </si>
  <si>
    <t xml:space="preserve">The King
The Prime Minister
</t>
  </si>
  <si>
    <t xml:space="preserve">A1-LES. The King
A.  The Prime Minister
</t>
  </si>
  <si>
    <t xml:space="preserve">A. The Prime Minister
A1-MAU The President
</t>
  </si>
  <si>
    <t xml:space="preserve">A. The President of the Republic
A1-MOZ.   The Prime Minister
</t>
  </si>
  <si>
    <t xml:space="preserve">A. The President
A1-NAM. The Prime Minister
</t>
  </si>
  <si>
    <t>Q43B</t>
  </si>
  <si>
    <t>Q43b. Trust parliament/national assembly</t>
  </si>
  <si>
    <t xml:space="preserve">Parliament
The Queen Mother
</t>
  </si>
  <si>
    <t xml:space="preserve">B. The House of Representatives
B1-LIB The Senate
</t>
  </si>
  <si>
    <t xml:space="preserve">B. The National Assembly
B1-NAM. The National Council
</t>
  </si>
  <si>
    <t>Q43C</t>
  </si>
  <si>
    <t>Q43c. Trust national electoral commission</t>
  </si>
  <si>
    <t>The Autonomous and Permanent National Electoral Commission</t>
  </si>
  <si>
    <t>The Independent Electoral  Commission (IEC)</t>
  </si>
  <si>
    <t>The Electoral Commission (EC)</t>
  </si>
  <si>
    <t>The National Independent Electoral Commission (CENI)</t>
  </si>
  <si>
    <t>Independent Electoral Commission or IEC</t>
  </si>
  <si>
    <t>Malawi Electoral Commission</t>
  </si>
  <si>
    <t>National Election Commission (CNE)</t>
  </si>
  <si>
    <t>National Electoral Commission (NEC)</t>
  </si>
  <si>
    <t xml:space="preserve">The Independent Electoral Commission (IEC)
The Premier of this province
</t>
  </si>
  <si>
    <t>National Elections Commission (NEC)</t>
  </si>
  <si>
    <t>The Independent High Authority for the Elections (ISIE)</t>
  </si>
  <si>
    <t>The Uganda Independent Electoral Commission</t>
  </si>
  <si>
    <t>Electoral Commission of Zambia (ECZ)</t>
  </si>
  <si>
    <t>Q43D</t>
  </si>
  <si>
    <t>Q43d. Trust your elected local government council</t>
  </si>
  <si>
    <t>Your local government council</t>
  </si>
  <si>
    <t>Municipal or departmental council</t>
  </si>
  <si>
    <t xml:space="preserve">Your Local Government Council
Your Metropolitan, Municipal or District Chief Executive
</t>
  </si>
  <si>
    <t xml:space="preserve">Your County Assembly 
Your County Governor 
</t>
  </si>
  <si>
    <t>Community Council</t>
  </si>
  <si>
    <t>County Authority</t>
  </si>
  <si>
    <t>District Council</t>
  </si>
  <si>
    <t>Municipal or District Council</t>
  </si>
  <si>
    <t xml:space="preserve">YourMunicipal Assembly
Your Provincial government
</t>
  </si>
  <si>
    <t xml:space="preserve">Your Local Authority Council
Your Regional Council
Your appointed Regional Governor
</t>
  </si>
  <si>
    <t>Municipal or communal council</t>
  </si>
  <si>
    <t>The District Executive (President and councilors)</t>
  </si>
  <si>
    <t>Municipal, communal, or departmental council</t>
  </si>
  <si>
    <t>Local government council</t>
  </si>
  <si>
    <t>Local government Council</t>
  </si>
  <si>
    <t>Q43E</t>
  </si>
  <si>
    <t>Q43e. Trust the ruling party</t>
  </si>
  <si>
    <t>Ruling Party</t>
  </si>
  <si>
    <t>The Ruling New Patriotic Party (NPP)</t>
  </si>
  <si>
    <t>Parties of the presidential movement (RPG Arc-en-Ciel)</t>
  </si>
  <si>
    <t>The Ruling Coalition Government</t>
  </si>
  <si>
    <t>The ruling party</t>
  </si>
  <si>
    <t>Ruling Democratic progressive Party or DPP</t>
  </si>
  <si>
    <t>The ruling coalition (Coalition for the Presidential Majority – CMP)</t>
  </si>
  <si>
    <t>The Ruling Coalition (MSM/ML)</t>
  </si>
  <si>
    <t>The Ruling APC Party</t>
  </si>
  <si>
    <t>The Party in Power (ADI)</t>
  </si>
  <si>
    <t>African National Congress (ANC) party</t>
  </si>
  <si>
    <t>The Ruling Chama Cha Mapinduzi</t>
  </si>
  <si>
    <t>The ruling party (Unir)</t>
  </si>
  <si>
    <t>The Ruling Patriotic Front Party</t>
  </si>
  <si>
    <t>Q43H</t>
  </si>
  <si>
    <t>Q43h. Trust army</t>
  </si>
  <si>
    <t>Cape Verde Armed Force (FA)</t>
  </si>
  <si>
    <t>Armed Forces of Côte d’Ivoire (FACI)</t>
  </si>
  <si>
    <t>The Umbutfo Swaziland DefenceForce</t>
  </si>
  <si>
    <t>The defense forces of Gabon</t>
  </si>
  <si>
    <t>The army</t>
  </si>
  <si>
    <t>The Ghana Armed Forces</t>
  </si>
  <si>
    <t>The defense forces of Guinea</t>
  </si>
  <si>
    <t>Malawi Defense Force</t>
  </si>
  <si>
    <t>The defense forces of Mali</t>
  </si>
  <si>
    <t>The Special Mobile Force</t>
  </si>
  <si>
    <t>The Royal Army</t>
  </si>
  <si>
    <t>The defense forces of Niger</t>
  </si>
  <si>
    <t>Nigeria Armed Forces</t>
  </si>
  <si>
    <t>The Armed Forces (army)</t>
  </si>
  <si>
    <t>Zambia  Defense Forces</t>
  </si>
  <si>
    <t>Q43I</t>
  </si>
  <si>
    <t>Q43i. Trust courts of law</t>
  </si>
  <si>
    <t>Q43J</t>
  </si>
  <si>
    <t>Q43j. Trust traditional leaders</t>
  </si>
  <si>
    <t xml:space="preserve">Traditional leaders, Chiefs.
Traditional Leaders (Bucopho)
</t>
  </si>
  <si>
    <t>Q44A</t>
  </si>
  <si>
    <t>Q44a. Corruption: office of the Presidency</t>
  </si>
  <si>
    <t>The president and officials in his office</t>
  </si>
  <si>
    <t>President and Officials in his Office</t>
  </si>
  <si>
    <t>President and officials in his office</t>
  </si>
  <si>
    <t xml:space="preserve">A. The Prime Minister and Officials in his Office 
A1-MAU. The President and Officials in his Office 
</t>
  </si>
  <si>
    <t>The President of the government and Officials in his Office</t>
  </si>
  <si>
    <t>The President of the Republic and officials in his office</t>
  </si>
  <si>
    <t xml:space="preserve">The President and Officials in his Office 
The Prime Minister
</t>
  </si>
  <si>
    <t>A. The President and Officials of his Cabinet
A1-STP. The Prime Minister and Officials of his Cabinet</t>
  </si>
  <si>
    <t>Q44B</t>
  </si>
  <si>
    <t>Q44b. Corruption: Members of Parliament</t>
  </si>
  <si>
    <t xml:space="preserve">B. Members of Parliament
B1-GHA. Officials of the Electoral Commission (EC)
</t>
  </si>
  <si>
    <t xml:space="preserve">Members of Parliament
</t>
  </si>
  <si>
    <t xml:space="preserve">B. Members of the House of Representatives
B1-LIB Senators
</t>
  </si>
  <si>
    <t xml:space="preserve">Members of the National Assembly
Representatives to the National Council
</t>
  </si>
  <si>
    <t>Q44C</t>
  </si>
  <si>
    <t>Q44c. Corruption: government officials</t>
  </si>
  <si>
    <t>Government Offcials</t>
  </si>
  <si>
    <t>Government  workers</t>
  </si>
  <si>
    <t>Public Officials (or Civil Servants)</t>
  </si>
  <si>
    <t>Q44D</t>
  </si>
  <si>
    <t>Q44d. Corruption: local government councillors</t>
  </si>
  <si>
    <t xml:space="preserve">D. Assembly men and women
D1-GHA. Your Metropolitan, Municipal or District Chief Executive
</t>
  </si>
  <si>
    <t xml:space="preserve">Members of your County Assembly
Your Governor and Officials in his Office
</t>
  </si>
  <si>
    <t>Community councillors</t>
  </si>
  <si>
    <t>Members of your local authority council</t>
  </si>
  <si>
    <t>Ward councillors</t>
  </si>
  <si>
    <t>Members of Municipal or District Council</t>
  </si>
  <si>
    <t>Members of the local council</t>
  </si>
  <si>
    <t xml:space="preserve">Members of the Municipal Assembly
Members of the Provincial government 
</t>
  </si>
  <si>
    <t xml:space="preserve">Local Authority Councilors
Regional Councilors
Regional Governors
</t>
  </si>
  <si>
    <t>The municipal or communal councilors</t>
  </si>
  <si>
    <t>Councillors</t>
  </si>
  <si>
    <t>Local Government Councilors</t>
  </si>
  <si>
    <t>The municipal/communal councillors</t>
  </si>
  <si>
    <t>Local Government councilors</t>
  </si>
  <si>
    <t>Q44G</t>
  </si>
  <si>
    <t>Q44g. Corruption: traditional leaders</t>
  </si>
  <si>
    <t xml:space="preserve">Traditional leaders (Chiefs)
Traditional leaders (Bucopho)
</t>
  </si>
  <si>
    <t>Q54A</t>
  </si>
  <si>
    <t xml:space="preserve">A. Members of the House of Representatives 
A1-LIB Senators
</t>
  </si>
  <si>
    <t xml:space="preserve">Members of Parliament 
Members of the Provincial Assembly
</t>
  </si>
  <si>
    <t xml:space="preserve">Members of the National Assembly 
Representatives to the National Council
</t>
  </si>
  <si>
    <t>Q54B</t>
  </si>
  <si>
    <t>Q54b. Local government councillors listen</t>
  </si>
  <si>
    <t>Assembly men or women</t>
  </si>
  <si>
    <t>Members of local authority council</t>
  </si>
  <si>
    <t>Members of the Municipal Assembly</t>
  </si>
  <si>
    <t xml:space="preserve">Local Authority Councilors
Regional Councilors
</t>
  </si>
  <si>
    <t>B_04_01</t>
  </si>
  <si>
    <t>Q57F</t>
  </si>
  <si>
    <t>Q57f. Better or worse: MPs listen</t>
  </si>
  <si>
    <t>Members of Legislature</t>
  </si>
  <si>
    <t>Q58A</t>
  </si>
  <si>
    <t>Q58a. Performance: President</t>
  </si>
  <si>
    <t>President Patrice Talon</t>
  </si>
  <si>
    <t>President Roch Marc Christian KABORE</t>
  </si>
  <si>
    <t>A. President Jorge Carlos Fonseca
A1-CVE. The Prime Minister –  Ulisses Correia e Silva</t>
  </si>
  <si>
    <t>President Alassane Ouattara</t>
  </si>
  <si>
    <t>President Adama Barrow</t>
  </si>
  <si>
    <t>President Nana Akuffo Addo</t>
  </si>
  <si>
    <t>President Alpha Condé</t>
  </si>
  <si>
    <t>Prime Minister Thomas Thabane</t>
  </si>
  <si>
    <t>President George Weah</t>
  </si>
  <si>
    <t>President Peter Mutharika</t>
  </si>
  <si>
    <t>President Ibrahim Boubacar Keita</t>
  </si>
  <si>
    <t xml:space="preserve">A. Prime Minister Pravind Jugnauth
A1-MAU President Amina Gurib-Fakim
</t>
  </si>
  <si>
    <t>President of the government, Saadeddine Othmani</t>
  </si>
  <si>
    <t xml:space="preserve">President Filipe Nyusi
Prime-Minister Carlos Agostinho do Rosário
</t>
  </si>
  <si>
    <t xml:space="preserve">President Hage Geingob
Prime Minister, Saara Kuugongelwa
</t>
  </si>
  <si>
    <t>President Mahamadou Issoufou</t>
  </si>
  <si>
    <t>President Muhammadu Buhari</t>
  </si>
  <si>
    <t>President Evaristo Carvalho
Prime Minister – Patrice Trovoda</t>
  </si>
  <si>
    <t>President Bio</t>
  </si>
  <si>
    <t xml:space="preserve">President Cyril Ramaphosa
Former President Jacob Zuma
</t>
  </si>
  <si>
    <t>President John Magufuli</t>
  </si>
  <si>
    <t>President Béji Caïd Essebsi</t>
  </si>
  <si>
    <t>President Edgar Chagwa Lungu</t>
  </si>
  <si>
    <t>Q58B</t>
  </si>
  <si>
    <t>Q58b. Performance: MP/National Assembly rep</t>
  </si>
  <si>
    <t>National Assembly Representative</t>
  </si>
  <si>
    <t>Your Representative</t>
  </si>
  <si>
    <t xml:space="preserve">Members of the National Assembly
Representatives to the National Council
Your elected Regional Councilor
</t>
  </si>
  <si>
    <t>Member of Parliament (MP)</t>
  </si>
  <si>
    <t>Your member of Parliament
The Premier of this province</t>
  </si>
  <si>
    <t>Q58C</t>
  </si>
  <si>
    <t>Q58c. Performance: local government councillor</t>
  </si>
  <si>
    <t>Assembly man or woman</t>
  </si>
  <si>
    <t>Communal/Municipal Councilor</t>
  </si>
  <si>
    <t>Your local government councillor</t>
  </si>
  <si>
    <t>Municipal/district councilor</t>
  </si>
  <si>
    <t>local councilor</t>
  </si>
  <si>
    <t>Member of the Municipal Assembly</t>
  </si>
  <si>
    <t xml:space="preserve">Your elected Local Authority Councilor
Your appointed Regional Governor
</t>
  </si>
  <si>
    <t>Your Prefectoral / Municipal Councillor</t>
  </si>
  <si>
    <t>Elected District Councillor</t>
  </si>
  <si>
    <t>Q58D</t>
  </si>
  <si>
    <t>Q58d. Performance: traditional leader</t>
  </si>
  <si>
    <t>B_03_30</t>
  </si>
  <si>
    <t>Q58E</t>
  </si>
  <si>
    <t>Q58e. Performance: your Mayor</t>
  </si>
  <si>
    <t>Mayor</t>
  </si>
  <si>
    <t>Mayor or chairperson</t>
  </si>
  <si>
    <t>Metropolitan, Municipal or District Chief Executive</t>
  </si>
  <si>
    <t>Mayor or President of the Special Delegation</t>
  </si>
  <si>
    <t>County Governor</t>
  </si>
  <si>
    <t>Your Mayor  or Community Council Chairperson</t>
  </si>
  <si>
    <t>Your mayor  or Chairperson of the District Council</t>
  </si>
  <si>
    <t>Your Mayor</t>
  </si>
  <si>
    <t>Mayor or Chairperson of the District Council</t>
  </si>
  <si>
    <t>President of the local council</t>
  </si>
  <si>
    <t>Your mayor</t>
  </si>
  <si>
    <t>Local government Chairperson</t>
  </si>
  <si>
    <t>Elected District Mayor (or President of the District Chamber)</t>
  </si>
  <si>
    <t>Mayor or Local Council Chairperson</t>
  </si>
  <si>
    <t>Your Prefect or Mayor</t>
  </si>
  <si>
    <t>Your leader of the delegation</t>
  </si>
  <si>
    <t>Mayor or LCV (Local Council 5) Chairperson</t>
  </si>
  <si>
    <t>Mayor or district Council Chairman</t>
  </si>
  <si>
    <t>Q59a. Who responsible: MPs do jobs</t>
  </si>
  <si>
    <t>Members of the House of Representatives
Senator</t>
  </si>
  <si>
    <t>Q59b. Who responsible: local councillors do jobs</t>
  </si>
  <si>
    <t>Members of the Municipal Assembly
Members of the Provincial Assembly</t>
  </si>
  <si>
    <t>Local Authority Councilors
Regional Councilors
Regional Governors</t>
  </si>
  <si>
    <t>Q59C</t>
  </si>
  <si>
    <t>Q59c. Who responsible: president does job</t>
  </si>
  <si>
    <t>Q12a</t>
  </si>
  <si>
    <t>Contact local government councillor</t>
  </si>
  <si>
    <t>local council member</t>
  </si>
  <si>
    <t>A Member of the County Assembly, MCA</t>
  </si>
  <si>
    <t>A community councillor</t>
  </si>
  <si>
    <t>A Member of Municipal Assembly</t>
  </si>
  <si>
    <t>party’s candidate</t>
  </si>
  <si>
    <t>A councillor</t>
  </si>
  <si>
    <t>Alocal government councillor</t>
  </si>
  <si>
    <t>A local governement councillor</t>
  </si>
  <si>
    <t>Q12b</t>
  </si>
  <si>
    <t>Contact MP</t>
  </si>
  <si>
    <t>A member of Parliament</t>
  </si>
  <si>
    <t>A member of National Assembly</t>
  </si>
  <si>
    <t>House of Peoples’ Representative</t>
  </si>
  <si>
    <t>A member of the House of Representatives</t>
  </si>
  <si>
    <t>A member of [Parliament]</t>
  </si>
  <si>
    <t>A member of Representative Assembly of the People</t>
  </si>
  <si>
    <t>Q12c</t>
  </si>
  <si>
    <t>Contact political party official</t>
  </si>
  <si>
    <t>Q12d</t>
  </si>
  <si>
    <t>Contact traditional leader</t>
  </si>
  <si>
    <t>Traditional leaders, you know, Buchopho</t>
  </si>
  <si>
    <t>Q13</t>
  </si>
  <si>
    <t>Q14</t>
  </si>
  <si>
    <t xml:space="preserve"> Freeness and fairness of the last national election</t>
  </si>
  <si>
    <t>Q15a</t>
  </si>
  <si>
    <t>Last national election: attend a campaign rally</t>
  </si>
  <si>
    <t>Q15b</t>
  </si>
  <si>
    <t>Last national election: work for a candidate or party</t>
  </si>
  <si>
    <t>A_10_25</t>
  </si>
  <si>
    <t>Q15c</t>
  </si>
  <si>
    <t xml:space="preserve"> Last national election: contacted by political party rep</t>
  </si>
  <si>
    <t>Q18b</t>
  </si>
  <si>
    <t>Last national election: voter intimidation</t>
  </si>
  <si>
    <t>Q18c</t>
  </si>
  <si>
    <t xml:space="preserve"> Last national election: announced results reflect counted results</t>
  </si>
  <si>
    <t>Elections and Boundaries Commission</t>
  </si>
  <si>
    <t>2015, National Election Board of Ethiopia</t>
  </si>
  <si>
    <t>2017, Independent Electoral Commission</t>
  </si>
  <si>
    <t>2016, Electoral Commission</t>
  </si>
  <si>
    <t>2017, Independent Electoral and Boundaries Commission or IEBC</t>
  </si>
  <si>
    <t xml:space="preserve">2017, Independent Electoral Commission </t>
  </si>
  <si>
    <t>2017, National Elections Commission</t>
  </si>
  <si>
    <t xml:space="preserve">2019, Malawi Electoral Commission </t>
  </si>
  <si>
    <t xml:space="preserve">2016, Ministry of Interior </t>
  </si>
  <si>
    <t xml:space="preserve">2019, National Election Commission </t>
  </si>
  <si>
    <t>2014, Electoral Commission of Namibia or ECN</t>
  </si>
  <si>
    <t>2019, Independent Electoral Commission</t>
  </si>
  <si>
    <t xml:space="preserve">2018, National Electoral Commission </t>
  </si>
  <si>
    <t>2015, National Elections Commission</t>
  </si>
  <si>
    <t xml:space="preserve">2015, National Electoral Commission </t>
  </si>
  <si>
    <t xml:space="preserve">2019, Independent High Authority for the Elections or ISIE </t>
  </si>
  <si>
    <t>2016, General Election</t>
  </si>
  <si>
    <t>2018, Zimbabwe Electoral Commission</t>
  </si>
  <si>
    <t>Q20c</t>
  </si>
  <si>
    <t>. Reject one-man rule</t>
  </si>
  <si>
    <t>Parliament, president</t>
  </si>
  <si>
    <t>Parliament, Prime Minister</t>
  </si>
  <si>
    <t>National Legislature, president</t>
  </si>
  <si>
    <t>National Assembly, president</t>
  </si>
  <si>
    <t>Representative Assembly of the People, President</t>
  </si>
  <si>
    <t>A_09_04</t>
  </si>
  <si>
    <t>Q25</t>
  </si>
  <si>
    <t>Political parties divisive vs many parties needed</t>
  </si>
  <si>
    <t>Ghana, Ghanains</t>
  </si>
  <si>
    <t>Kenya, Kenyans</t>
  </si>
  <si>
    <t>Lesotho, Basotho</t>
  </si>
  <si>
    <t>Liberia, Liberians</t>
  </si>
  <si>
    <t>Malawi, Malawians</t>
  </si>
  <si>
    <t>Morocco, Moroccans</t>
  </si>
  <si>
    <t>Mozambique, Mozambicans</t>
  </si>
  <si>
    <t>Namibia, Namibians</t>
  </si>
  <si>
    <t>Nigeria, Nigerians</t>
  </si>
  <si>
    <t>Sierra Leone,  Sierra Leoneans</t>
  </si>
  <si>
    <t>South Africa, South Africans</t>
  </si>
  <si>
    <t>Sudan, Sudanese</t>
  </si>
  <si>
    <t>Tanzania, Tanzanians</t>
  </si>
  <si>
    <t>Tunisia, Tunisians</t>
  </si>
  <si>
    <t>Uganda, Ugandans</t>
  </si>
  <si>
    <t>Zambia, Zambians</t>
  </si>
  <si>
    <t>Zimbabwe, Zimbabweans</t>
  </si>
  <si>
    <t xml:space="preserve"> President monitored by parliament vs free to act on own</t>
  </si>
  <si>
    <t>Parliament, prime minister</t>
  </si>
  <si>
    <t xml:space="preserve"> National Assembly, president</t>
  </si>
  <si>
    <t>Representative Assembly of the People , president</t>
  </si>
  <si>
    <t xml:space="preserve"> President free to act vs obey the laws and courts</t>
  </si>
  <si>
    <t>Presidential two term limit vs no term limits</t>
  </si>
  <si>
    <t xml:space="preserve">President </t>
  </si>
  <si>
    <t>Q35a</t>
  </si>
  <si>
    <t xml:space="preserve"> Minimum age for presidential candidate</t>
  </si>
  <si>
    <t>Q35b</t>
  </si>
  <si>
    <t>Suggested minimum age for presidential candidate</t>
  </si>
  <si>
    <t>Q35c</t>
  </si>
  <si>
    <t>Maximum age for presidential candidate</t>
  </si>
  <si>
    <t>Suggested maximum age for presidential candidate</t>
  </si>
  <si>
    <t>A_01_16</t>
  </si>
  <si>
    <t>Extent of democracy</t>
  </si>
  <si>
    <t>Botswana</t>
  </si>
  <si>
    <t>Cabo Verde</t>
  </si>
  <si>
    <t xml:space="preserve">Cameroon </t>
  </si>
  <si>
    <t>Eswatini</t>
  </si>
  <si>
    <t>Ethiopia</t>
  </si>
  <si>
    <t>Gambia</t>
  </si>
  <si>
    <t>Ghana</t>
  </si>
  <si>
    <t>Kenya</t>
  </si>
  <si>
    <t>Lesotho</t>
  </si>
  <si>
    <t>Liberia</t>
  </si>
  <si>
    <t>Malawi</t>
  </si>
  <si>
    <t>Morocco</t>
  </si>
  <si>
    <t>Mozambique</t>
  </si>
  <si>
    <t>Namibia</t>
  </si>
  <si>
    <t>Nigeria</t>
  </si>
  <si>
    <t>Sierra Leone</t>
  </si>
  <si>
    <t>South Africa</t>
  </si>
  <si>
    <t>Sudan</t>
  </si>
  <si>
    <t>Tanzania</t>
  </si>
  <si>
    <t>Tunisia</t>
  </si>
  <si>
    <t>Uganda</t>
  </si>
  <si>
    <t>Zambia</t>
  </si>
  <si>
    <t>Zimbabwe</t>
  </si>
  <si>
    <t>A_01_42</t>
  </si>
  <si>
    <t>Satisfaction with democracy</t>
  </si>
  <si>
    <t>Cameroon</t>
  </si>
  <si>
    <t>Q38a</t>
  </si>
  <si>
    <t xml:space="preserve"> MPs listen</t>
  </si>
  <si>
    <t>Members of House of Peoples’ Representatives</t>
  </si>
  <si>
    <t>Members of Representative Assembly of the People</t>
  </si>
  <si>
    <t>Q38b</t>
  </si>
  <si>
    <t>Members of local government council</t>
  </si>
  <si>
    <t>Members of Local Councils</t>
  </si>
  <si>
    <t>Members of the County Assembly or MCA</t>
  </si>
  <si>
    <t>Members of the community council</t>
  </si>
  <si>
    <t>Local authority councilors</t>
  </si>
  <si>
    <t>Local government councillors</t>
  </si>
  <si>
    <t>Municipal council members</t>
  </si>
  <si>
    <t>Members of local governemnt Council</t>
  </si>
  <si>
    <t>Q38c</t>
  </si>
  <si>
    <t>Traditional leaders listen</t>
  </si>
  <si>
    <t>Traditional leaders, you know, Bucopho</t>
  </si>
  <si>
    <t>Q41a</t>
  </si>
  <si>
    <t>Trust president</t>
  </si>
  <si>
    <t>The president</t>
  </si>
  <si>
    <t>The President, Prime MInister</t>
  </si>
  <si>
    <t>The prime minister, The King</t>
  </si>
  <si>
    <t>The president of government</t>
  </si>
  <si>
    <t>The Prime Minister and officials in his office</t>
  </si>
  <si>
    <t>Q41b</t>
  </si>
  <si>
    <t>The Representative Assembly of the People</t>
  </si>
  <si>
    <t>National Electoral Commission or CNE</t>
  </si>
  <si>
    <t>National Elections Board of Ethiopia or NEBE</t>
  </si>
  <si>
    <t>The Electoral Commission or (EC)</t>
  </si>
  <si>
    <t>Independent Electoral and Boundaries Commission or IEBC</t>
  </si>
  <si>
    <t>National Elections Commission</t>
  </si>
  <si>
    <t>Ministry of Interior</t>
  </si>
  <si>
    <t>The Electoral Commission of Namibia or ECN</t>
  </si>
  <si>
    <t>Independent National Electoral Commission or INEC</t>
  </si>
  <si>
    <t>National Electoral Commission or NEC</t>
  </si>
  <si>
    <t>Civil servants</t>
  </si>
  <si>
    <t>The National Electoral Commission or NEC</t>
  </si>
  <si>
    <t>The Electoral Commission or EC</t>
  </si>
  <si>
    <t>Electoral Commission of Zambia or ECZ</t>
  </si>
  <si>
    <t>Zimbabwe Electoral Commission or ZEC</t>
  </si>
  <si>
    <t>Q41d</t>
  </si>
  <si>
    <t>Your elected local government council</t>
  </si>
  <si>
    <t>Your County Assembly</t>
  </si>
  <si>
    <t>Your community council</t>
  </si>
  <si>
    <t>Your County Authority</t>
  </si>
  <si>
    <t>Your local Collective Council</t>
  </si>
  <si>
    <t>Your municipal assembly</t>
  </si>
  <si>
    <t>Q41e</t>
  </si>
  <si>
    <t>The ruling Movimento para Democracia (MpD)</t>
  </si>
  <si>
    <t>The ruling New Patriotic Party (NPP)</t>
  </si>
  <si>
    <t>The ruling coalition government</t>
  </si>
  <si>
    <t>The ruling APC Party</t>
  </si>
  <si>
    <t>The ruling Chama cha Mapinduzi</t>
  </si>
  <si>
    <t>Q41f</t>
  </si>
  <si>
    <t>Opposition political parties</t>
  </si>
  <si>
    <t>Q41g</t>
  </si>
  <si>
    <t>The police</t>
  </si>
  <si>
    <t>The police or gendarme</t>
  </si>
  <si>
    <t>Q41h</t>
  </si>
  <si>
    <t>The Botswana Defence Force or BDF</t>
  </si>
  <si>
    <t>The Cabo Verde Armed Force or FA</t>
  </si>
  <si>
    <t>The Cameroon Defence Force</t>
  </si>
  <si>
    <t>The Umbutfo Swaziland Defence Force or UEDF</t>
  </si>
  <si>
    <t>The Ethiopian National Defense Force or ENDF</t>
  </si>
  <si>
    <t>The Gambia Armed Forces</t>
  </si>
  <si>
    <t>The Ghana Armed Force</t>
  </si>
  <si>
    <t>The Kenya Defence Force or KDF</t>
  </si>
  <si>
    <t>The Lesotho Defence Force</t>
  </si>
  <si>
    <t>The Armed Forces of Liberia</t>
  </si>
  <si>
    <t>The Malawi Defence Force</t>
  </si>
  <si>
    <t>The Mozambique Defence Force</t>
  </si>
  <si>
    <t>The Namibian Defence Force</t>
  </si>
  <si>
    <t>The Republic of Sierra Leone Armed Forced (RSLAF)</t>
  </si>
  <si>
    <t>The South African National Defence Force</t>
  </si>
  <si>
    <t>Sudan Army</t>
  </si>
  <si>
    <t>The Tanzania People’s Defence Force</t>
  </si>
  <si>
    <t>Uganda Peoples Defence Force or UPDF</t>
  </si>
  <si>
    <t>Zambia Defense Forces</t>
  </si>
  <si>
    <t>Q41i</t>
  </si>
  <si>
    <t xml:space="preserve">Trust courts of law </t>
  </si>
  <si>
    <t>Q41j</t>
  </si>
  <si>
    <t>Trust tax/revenue office</t>
  </si>
  <si>
    <t>The Botswana Unified Revenue Service or BURS</t>
  </si>
  <si>
    <t>National Directorate of State Revenue or DNRE</t>
  </si>
  <si>
    <t>The Eswatini Revenue Authority</t>
  </si>
  <si>
    <t>The Ethiopian Revenues and Customs Authority or ERCA</t>
  </si>
  <si>
    <t>The Gambia Revenue Authority</t>
  </si>
  <si>
    <t>The Ghana Revenue Authority (GRA)</t>
  </si>
  <si>
    <t>The Kenya Revenue Authority or KRA</t>
  </si>
  <si>
    <t>The Lesotho Revenue Authority</t>
  </si>
  <si>
    <t>The Liberia Revenue Authority</t>
  </si>
  <si>
    <t>The tax officials</t>
  </si>
  <si>
    <t>The Mozambique Tax Revenue Authority</t>
  </si>
  <si>
    <t>The Federal Inland Revenue Service or FIRS</t>
  </si>
  <si>
    <t>The South African Revenue Service</t>
  </si>
  <si>
    <t>Sudan Revenue Authority</t>
  </si>
  <si>
    <t>The Tanzania Revenue Authority</t>
  </si>
  <si>
    <t>Uganda Revenue Authority or URA</t>
  </si>
  <si>
    <t>ZambiaRevenue Authority or ZRA</t>
  </si>
  <si>
    <t>The Zimbabwe Revenue Authority or ZIMRA</t>
  </si>
  <si>
    <t>Q41k</t>
  </si>
  <si>
    <t>Trust traditional leaders</t>
  </si>
  <si>
    <t>Traditional leaders or Bucopho</t>
  </si>
  <si>
    <t>H_22</t>
  </si>
  <si>
    <t>Q41l</t>
  </si>
  <si>
    <t>Trust religious leaders</t>
  </si>
  <si>
    <t>Religious leaders</t>
  </si>
  <si>
    <t>Q42a</t>
  </si>
  <si>
    <t>Corruption: office of the Presidency</t>
  </si>
  <si>
    <t>The President and officials in his office</t>
  </si>
  <si>
    <t>The prime minister and officials in his office</t>
  </si>
  <si>
    <t>The president of the government and officials in his office</t>
  </si>
  <si>
    <t>Q42b</t>
  </si>
  <si>
    <t>Members of Parliament (Deputies and senators)</t>
  </si>
  <si>
    <t>G_05</t>
  </si>
  <si>
    <t>Q42c</t>
  </si>
  <si>
    <t>Corruption: Civil servants</t>
  </si>
  <si>
    <t>Q42d</t>
  </si>
  <si>
    <t>Members of your local government council</t>
  </si>
  <si>
    <t>Members of your elected local government council</t>
  </si>
  <si>
    <t>Members of your County Assembly or MCAs</t>
  </si>
  <si>
    <t>Members of your community council</t>
  </si>
  <si>
    <t>Members of your local council</t>
  </si>
  <si>
    <t>Members of your municipal assembly</t>
  </si>
  <si>
    <t>Members of your Local Authority Council</t>
  </si>
  <si>
    <t>Local Government councillors</t>
  </si>
  <si>
    <t>Members of your municipal council</t>
  </si>
  <si>
    <t>Members of your local government</t>
  </si>
  <si>
    <t>Local government Councilors</t>
  </si>
  <si>
    <t>Q42e</t>
  </si>
  <si>
    <t>Corruption: Police</t>
  </si>
  <si>
    <t>Q42f</t>
  </si>
  <si>
    <t>Corruption: Judges and Magistrates</t>
  </si>
  <si>
    <t>Judges and magistrates</t>
  </si>
  <si>
    <t>Q42g</t>
  </si>
  <si>
    <t>Corruption: Tax officials</t>
  </si>
  <si>
    <t>Tax officials, like officials from the Botswana Unified Revenue Service-BURS</t>
  </si>
  <si>
    <t>Tax officials, like officials from the National Directorate of State Revenue or DNRE</t>
  </si>
  <si>
    <t>Tax officials, like officials from the Tax Department</t>
  </si>
  <si>
    <t>Tax officials, like officials from the Eswatini Revenue Authority</t>
  </si>
  <si>
    <t>Tax officials, like officials from the Ethiopian Revenues and Customs Authority</t>
  </si>
  <si>
    <t>Tax officials, like officials from the The Gambia Revenue Authority</t>
  </si>
  <si>
    <t>Tax officials, like officials from the Ghana Revenue Authority</t>
  </si>
  <si>
    <t>Tax officials, like officials from the Kenya Revenue Authority or KRA</t>
  </si>
  <si>
    <t>Tax officials, like officials from the Lesotho Revenue Authority</t>
  </si>
  <si>
    <t>Tax officials, like officials from the Liberia Revenue Authority</t>
  </si>
  <si>
    <t>Tax officials, like officials from the Malawi Revenue Authority</t>
  </si>
  <si>
    <t>Tax officials, like officials from the [ Directorate General of Taxes (DGI)]</t>
  </si>
  <si>
    <t>Tax officials, like officials from the Mozambique Tax Revenue Authority</t>
  </si>
  <si>
    <t>Tax officials, like officials from the Ministry of Finance, Inland Revenue</t>
  </si>
  <si>
    <t>Tax officials, like officials from the Federal Inland Revenue Service or FIRS</t>
  </si>
  <si>
    <t>Tax officials, like officials from the National Revenue Authority or NRA</t>
  </si>
  <si>
    <t>Tax officials, like officials from the South African Revenue Service</t>
  </si>
  <si>
    <t>Tax officials, like officials from the Sudan Revenue Authority</t>
  </si>
  <si>
    <t>Tax officials, like officials from the Tanzania Revenue Authority</t>
  </si>
  <si>
    <t>Tax officials, like officials from Ministry of Finance -Tax Administration</t>
  </si>
  <si>
    <t>Tax officials, like officials from Uganda Revenue Authority</t>
  </si>
  <si>
    <t>Tax officials, like officials from the ZambiaRevenue Authority</t>
  </si>
  <si>
    <t>Tax officials, like officials from the Zimbabwe Revenue Authority or ZIMRA</t>
  </si>
  <si>
    <t>Q42h</t>
  </si>
  <si>
    <t>Corruption:Traditional leaders</t>
  </si>
  <si>
    <t>G_20</t>
  </si>
  <si>
    <t>Q42i</t>
  </si>
  <si>
    <t>Corruption: Religious leaders</t>
  </si>
  <si>
    <t>Taxes for ordinary people: too little, too much, or right amount</t>
  </si>
  <si>
    <t>Taxes for the rich: too little, too much, or right amount</t>
  </si>
  <si>
    <t>Performance: President</t>
  </si>
  <si>
    <t>President Mokgweetsi Masisi</t>
  </si>
  <si>
    <t>President Jorge Carlos Fonseca, Prime-Minister  Ulisses Correia e Silva</t>
  </si>
  <si>
    <t>President Paul Biya</t>
  </si>
  <si>
    <t>Prime Minister Mandvulo Dlamini</t>
  </si>
  <si>
    <t>Prime Minister Abiy Ahmed</t>
  </si>
  <si>
    <t>President of government Saad Eddin El Outhmani</t>
  </si>
  <si>
    <t>President Filipe Jacinto Nyusi</t>
  </si>
  <si>
    <t>President Hage Geingob</t>
  </si>
  <si>
    <t>President Julius Maada Bio</t>
  </si>
  <si>
    <t>President Cyril Ramaphosa</t>
  </si>
  <si>
    <t>Prime Minister Abdalla Hamdok</t>
  </si>
  <si>
    <t>President Kais Saied</t>
  </si>
  <si>
    <t>President Emmerson Mnangagwa</t>
  </si>
  <si>
    <t>Your deputy</t>
  </si>
  <si>
    <t>Your member of House of Peoples’ representatives</t>
  </si>
  <si>
    <t>Your member of the House of Representatives</t>
  </si>
  <si>
    <t>Your member of Representative Assembly of the People</t>
  </si>
  <si>
    <t>Q51c</t>
  </si>
  <si>
    <t xml:space="preserve"> local government councillor</t>
  </si>
  <si>
    <t>Your elected city council</t>
  </si>
  <si>
    <t>Your Municipal Councillor or Communal</t>
  </si>
  <si>
    <t>Your Assembly man or woman</t>
  </si>
  <si>
    <t>Your elected Member of the County Assembly or MCA</t>
  </si>
  <si>
    <t>Your elected community councillor</t>
  </si>
  <si>
    <t>Your elected local councillor</t>
  </si>
  <si>
    <t>Your member of the municipal assembly</t>
  </si>
  <si>
    <t>Your elected Local Authority Councilor</t>
  </si>
  <si>
    <t>Your local government councilor</t>
  </si>
  <si>
    <t>Your elected councillor</t>
  </si>
  <si>
    <t>Your elected municipal councillor</t>
  </si>
  <si>
    <t>Q51d</t>
  </si>
  <si>
    <t xml:space="preserve"> Performance: traditional leader</t>
  </si>
  <si>
    <t>Your traditional leader or Bucopho</t>
  </si>
  <si>
    <t>Q52a</t>
  </si>
  <si>
    <t>Your County Superintendent</t>
  </si>
  <si>
    <t xml:space="preserve"> members of Parliament, President</t>
  </si>
  <si>
    <t>members of Representative Assembly</t>
  </si>
  <si>
    <t>Q52b</t>
  </si>
  <si>
    <t>Who responsible: president does job</t>
  </si>
  <si>
    <t>Senators</t>
  </si>
  <si>
    <t>Elections ensure MPs reflect views of voters</t>
  </si>
  <si>
    <t>Q58c</t>
  </si>
  <si>
    <t>Govt can prohibit sharing: criticism of president</t>
  </si>
  <si>
    <t>Unrestricted access to the Internet vs regulated access</t>
  </si>
  <si>
    <t>Basotho</t>
  </si>
  <si>
    <t>Liberians</t>
  </si>
  <si>
    <t xml:space="preserve">Malawians </t>
  </si>
  <si>
    <t>Moroccans</t>
  </si>
  <si>
    <t>Mozambicans</t>
  </si>
  <si>
    <t>Sierra Leoneans</t>
  </si>
  <si>
    <t>South Africans</t>
  </si>
  <si>
    <t>Sudanese</t>
  </si>
  <si>
    <t>Tanzanian</t>
  </si>
  <si>
    <t>Tunisians</t>
  </si>
  <si>
    <t>Ugandas</t>
  </si>
  <si>
    <t>Zambians</t>
  </si>
  <si>
    <t>Zimbabweans,</t>
  </si>
  <si>
    <t>Allow free movement in region vs limit cross-border movement</t>
  </si>
  <si>
    <t>K_07</t>
  </si>
  <si>
    <t>Q62</t>
  </si>
  <si>
    <t>Difficulty to move across borders</t>
  </si>
  <si>
    <t>Eastern Africa</t>
  </si>
  <si>
    <t>Q64a</t>
  </si>
  <si>
    <t>Strict spending requirements on external loans vs govt decides</t>
  </si>
  <si>
    <t>Q64b</t>
  </si>
  <si>
    <t>Strict democracy conditions on external loans vs govt decides</t>
  </si>
  <si>
    <t>Q65d</t>
  </si>
  <si>
    <t>China puts more or less conditions on assistance</t>
  </si>
  <si>
    <t>Influence of organization: regional alliance</t>
  </si>
  <si>
    <t>Economic Commission of West African States (ECOWAS)</t>
  </si>
  <si>
    <t>East Africa Community or EAC</t>
  </si>
  <si>
    <t>The Arab Maghreb Union or UMA</t>
  </si>
  <si>
    <t>The Southern African Development Community or SADC?</t>
  </si>
  <si>
    <t>Intergovernmental Authority on Development or IGAD</t>
  </si>
  <si>
    <t>East African Community or EAC</t>
  </si>
  <si>
    <t>UMA (Arab Maghreb Union)</t>
  </si>
  <si>
    <t>The Southern African Development Community or SADC</t>
  </si>
  <si>
    <t>Southern African Development Community or SADC</t>
  </si>
  <si>
    <t>Influence of organization: United Nations agencie</t>
  </si>
  <si>
    <t>Q70d</t>
  </si>
  <si>
    <t>Influence of country: Former colonial power</t>
  </si>
  <si>
    <t>Britain</t>
  </si>
  <si>
    <t>Japan</t>
  </si>
  <si>
    <t>France</t>
  </si>
  <si>
    <t>Portugal</t>
  </si>
  <si>
    <t>Germany</t>
  </si>
  <si>
    <t>Q70g</t>
  </si>
  <si>
    <t>Influence of country: regional superpower</t>
  </si>
  <si>
    <t>Egypt</t>
  </si>
  <si>
    <t>Algeria</t>
  </si>
  <si>
    <t>L_03</t>
  </si>
  <si>
    <t>Climate change: affecting country</t>
  </si>
  <si>
    <t>N_05</t>
  </si>
  <si>
    <t>Q82b</t>
  </si>
  <si>
    <t>Ethnic or national identity</t>
  </si>
  <si>
    <t>Ghanaian</t>
  </si>
  <si>
    <t>Kenyan</t>
  </si>
  <si>
    <t>Mosotho</t>
  </si>
  <si>
    <t>Liberian</t>
  </si>
  <si>
    <t>Malawian</t>
  </si>
  <si>
    <t>Moroccan</t>
  </si>
  <si>
    <t>Mozambican</t>
  </si>
  <si>
    <t>Namibian</t>
  </si>
  <si>
    <t>Nigerian</t>
  </si>
  <si>
    <t>Sierra Leonean</t>
  </si>
  <si>
    <t>South African</t>
  </si>
  <si>
    <t>Ugandan</t>
  </si>
  <si>
    <t>Zambian</t>
  </si>
  <si>
    <t>Zimbabwean</t>
  </si>
  <si>
    <t>Q85</t>
  </si>
  <si>
    <t>More that unites or more that divides people</t>
  </si>
  <si>
    <t>Batswana</t>
  </si>
  <si>
    <t>Cabo-verdianos</t>
  </si>
  <si>
    <t>Cameroonians</t>
  </si>
  <si>
    <t>Emaswati</t>
  </si>
  <si>
    <t>Ethiopians</t>
  </si>
  <si>
    <t>Gambians</t>
  </si>
  <si>
    <t>Malawians</t>
  </si>
  <si>
    <t>Namibians</t>
  </si>
  <si>
    <t>Nigerians</t>
  </si>
  <si>
    <t>Tanzanians</t>
  </si>
  <si>
    <t>Zimbabweans</t>
  </si>
  <si>
    <t>D_12</t>
  </si>
  <si>
    <t>Q94a</t>
  </si>
  <si>
    <t>Electric connection from mains</t>
  </si>
  <si>
    <t>Botswana power corporation</t>
  </si>
  <si>
    <t>Electra</t>
  </si>
  <si>
    <t>Eneo Cameroon</t>
  </si>
  <si>
    <t>Eswatini Electricity Company</t>
  </si>
  <si>
    <t>national power grid</t>
  </si>
  <si>
    <t>National Water and Electricity Company (NAWEC)</t>
  </si>
  <si>
    <t>Kenya Power</t>
  </si>
  <si>
    <t>Lesotho Electricity Company</t>
  </si>
  <si>
    <t>Liberia Electricity Corporation or LEC</t>
  </si>
  <si>
    <t>National Office for Electricity and Drinking Water</t>
  </si>
  <si>
    <t>Electricidade de Moçambique or EDM</t>
  </si>
  <si>
    <t>Nampower</t>
  </si>
  <si>
    <t>Electricty Distribution and Supply Agency or EDSA</t>
  </si>
  <si>
    <t>Eskom</t>
  </si>
  <si>
    <t>National Electricity Corporation of Sudan or NEC</t>
  </si>
  <si>
    <t>Tanzania Electric Supply Limited or TANESCO</t>
  </si>
  <si>
    <t>STEG</t>
  </si>
  <si>
    <t>Zambia Electricity Supply Corporation or ZESCO</t>
  </si>
  <si>
    <t>Zimbabwe Electricity Supply Authority or ZESA</t>
  </si>
  <si>
    <t>Q94c</t>
  </si>
  <si>
    <t xml:space="preserve"> Other source of electricity: available</t>
  </si>
  <si>
    <t xml:space="preserve">Q99. </t>
  </si>
  <si>
    <t>Vote for which party</t>
  </si>
  <si>
    <t>National Assembly elections</t>
  </si>
  <si>
    <t>Legislative elections</t>
  </si>
  <si>
    <t>Presidential elections</t>
  </si>
  <si>
    <t>national elections</t>
  </si>
  <si>
    <t>presidential elections</t>
  </si>
  <si>
    <t>presidential elections, party's candidate</t>
  </si>
  <si>
    <t>general elections, party</t>
  </si>
  <si>
    <t>general elections, party's candidate</t>
  </si>
  <si>
    <t>presidential, party's candidate</t>
  </si>
  <si>
    <t>Presidential, candidate’s party</t>
  </si>
  <si>
    <t xml:space="preserve"> legislative elections, candidate’s party</t>
  </si>
  <si>
    <t>Presidential election, party’s candidate</t>
  </si>
  <si>
    <t xml:space="preserve"> National elections, party</t>
  </si>
  <si>
    <t>Presidential ,candidate's party’s</t>
  </si>
  <si>
    <t>national elections, party</t>
  </si>
  <si>
    <t>Presidential elections ,candidate's party’s</t>
  </si>
  <si>
    <t xml:space="preserve">presidential elections, party’s candidate </t>
  </si>
  <si>
    <t>presidential elections, party’s candidate</t>
  </si>
  <si>
    <t xml:space="preserve">ANGOLA </t>
  </si>
  <si>
    <t>CONGO BRAZZAVILLE</t>
  </si>
  <si>
    <t>MAURITANIA</t>
  </si>
  <si>
    <t>SEYCHELLES</t>
  </si>
  <si>
    <t xml:space="preserve">TOGO </t>
  </si>
  <si>
    <t>B_03_26</t>
  </si>
  <si>
    <t>Q11a</t>
  </si>
  <si>
    <t xml:space="preserve"> Make local government councillors listen</t>
  </si>
  <si>
    <t>Municipal Adminidtrator</t>
  </si>
  <si>
    <t>Local government  Wereda or City councillor</t>
  </si>
  <si>
    <t>Communal or departmental councilor</t>
  </si>
  <si>
    <t>Communal councilor</t>
  </si>
  <si>
    <t>Member of County Assembly or MCA</t>
  </si>
  <si>
    <t>Community or urban councillor</t>
  </si>
  <si>
    <t>County Superintendent or District Commissioner</t>
  </si>
  <si>
    <t xml:space="preserve"> Local government councillor</t>
  </si>
  <si>
    <t>Municipal or district councilor</t>
  </si>
  <si>
    <t>Collective councillor</t>
  </si>
  <si>
    <t>Member of Municipal Assembly</t>
  </si>
  <si>
    <t>Local Authority Councilor</t>
  </si>
  <si>
    <t>Municipal or departmental councilor</t>
  </si>
  <si>
    <t xml:space="preserve">District Administrator  </t>
  </si>
  <si>
    <t>Councilor</t>
  </si>
  <si>
    <t>District  councillor</t>
  </si>
  <si>
    <t>Q11b</t>
  </si>
  <si>
    <t xml:space="preserve"> Contact local government councillor</t>
  </si>
  <si>
    <t>A local elected official</t>
  </si>
  <si>
    <t>Local government Wereda or City council member</t>
  </si>
  <si>
    <t>A member of County Assembly or MCA</t>
  </si>
  <si>
    <t>A community or urban councillor</t>
  </si>
  <si>
    <t>A communal elected official</t>
  </si>
  <si>
    <t>A local municipal elected official or a district councilor</t>
  </si>
  <si>
    <t>A collective councillor</t>
  </si>
  <si>
    <t>A Member of Municipal Assembly </t>
  </si>
  <si>
    <t>A Local Authority Councilor</t>
  </si>
  <si>
    <t xml:space="preserve">A District Administrator </t>
  </si>
  <si>
    <t>Q11c</t>
  </si>
  <si>
    <t xml:space="preserve"> Contact MP</t>
  </si>
  <si>
    <t> Member of the National Assembly</t>
  </si>
  <si>
    <t>Member of parliament</t>
  </si>
  <si>
    <t>Member of the Transitional Legislative Assembly</t>
  </si>
  <si>
    <t xml:space="preserve">Member of  House of Peoples’ Representatives </t>
  </si>
  <si>
    <t>A National Transitional Councilor (CNT)</t>
  </si>
  <si>
    <t xml:space="preserve">A member of the House of Representatives  </t>
  </si>
  <si>
    <t>A member of the Representative Assembly of the People</t>
  </si>
  <si>
    <t>Q13.</t>
  </si>
  <si>
    <t>Q14a</t>
  </si>
  <si>
    <t>I_19</t>
  </si>
  <si>
    <t>Q14c</t>
  </si>
  <si>
    <t xml:space="preserve"> Last national election: fear political intimidation or violence</t>
  </si>
  <si>
    <t>Q27a</t>
  </si>
  <si>
    <t xml:space="preserve"> Parliament makes laws vs president does</t>
  </si>
  <si>
    <t>Members of the National Assembly vs President</t>
  </si>
  <si>
    <t>The members of the Transitional Legislative Assembly vs President</t>
  </si>
  <si>
    <t>Members of parliament vs King</t>
  </si>
  <si>
    <t>Members of the House of Peoples’ Representatives vs Prime Minister</t>
  </si>
  <si>
    <t>The National Transitional Councilors (CNT) vs Transitional President</t>
  </si>
  <si>
    <t>Members of parliament vs Prime Minister</t>
  </si>
  <si>
    <t>Members of the National Legislature vs President</t>
  </si>
  <si>
    <t>Members of National Assembly vs President</t>
  </si>
  <si>
    <t>Members of National Assembly vs Prime Minister</t>
  </si>
  <si>
    <t>Members of the Representative Assembly of the People vs President</t>
  </si>
  <si>
    <t>Q27b</t>
  </si>
  <si>
    <t>The National Assembly vs President/He</t>
  </si>
  <si>
    <t>Transitional Legislative Assembly vs President/He</t>
  </si>
  <si>
    <t>Parliament vs Prime Ministert/He</t>
  </si>
  <si>
    <t>House of Peoples’ Representatives vs Prime Minister/He</t>
  </si>
  <si>
    <t>The National Transitional Council (CNT) vs Transitional President</t>
  </si>
  <si>
    <t>The National Legislature vs President/He</t>
  </si>
  <si>
    <t>National Assembly vs Prime Minister/He</t>
  </si>
  <si>
    <t>Representative Assembly of the People vs President/He</t>
  </si>
  <si>
    <t>B_02_28</t>
  </si>
  <si>
    <t>Q27c</t>
  </si>
  <si>
    <t xml:space="preserve"> Opposition parties examine government vs cooperate</t>
  </si>
  <si>
    <t>President free to act vs obey the laws and courts</t>
  </si>
  <si>
    <t>Transitional President/He</t>
  </si>
  <si>
    <t xml:space="preserve"> Presidential two term limit vs no term limits</t>
  </si>
  <si>
    <t>Transitional President</t>
  </si>
  <si>
    <t>B_06_03</t>
  </si>
  <si>
    <t xml:space="preserve"> Armed forces never intervene vs when leaders abuse power</t>
  </si>
  <si>
    <t>Angola's armed forces</t>
  </si>
  <si>
    <t>Benin armed forces</t>
  </si>
  <si>
    <t>Botswana’s armed forces</t>
  </si>
  <si>
    <t>Burkina Faso's armed forces</t>
  </si>
  <si>
    <t>Cabo Verde’s armed forces</t>
  </si>
  <si>
    <t>Cameroon armed forces</t>
  </si>
  <si>
    <t>Congolese armed forces</t>
  </si>
  <si>
    <t>The armed forces of Côte d’Ivoire</t>
  </si>
  <si>
    <t>Eswatini’s’ armed forces</t>
  </si>
  <si>
    <t>Ethiopia’s armed forces</t>
  </si>
  <si>
    <t>The Gabonese armed forces</t>
  </si>
  <si>
    <t>The Gambia’s armed forces</t>
  </si>
  <si>
    <t>Ghana’s armed forces</t>
  </si>
  <si>
    <t>The Guinean armed forces</t>
  </si>
  <si>
    <t>Kenya’s defence forces</t>
  </si>
  <si>
    <t>Lesotho’s armed forces</t>
  </si>
  <si>
    <t>Liberia’s armed forces</t>
  </si>
  <si>
    <t>The Malagasy armed forces</t>
  </si>
  <si>
    <t>The Malawi Defence Forces</t>
  </si>
  <si>
    <t>The Malian armed forces</t>
  </si>
  <si>
    <t>The Mauritanian armed forces</t>
  </si>
  <si>
    <t>The Mauritian armed forces</t>
  </si>
  <si>
    <t>Morocco’s armed forces</t>
  </si>
  <si>
    <t>Mozambique’s armed forces</t>
  </si>
  <si>
    <t>Namibia’s armed forces</t>
  </si>
  <si>
    <t>The Nigerien armed forces</t>
  </si>
  <si>
    <t>Nigeria’s armed forces</t>
  </si>
  <si>
    <t xml:space="preserve"> São Tomé e Príncipe’s armed forces</t>
  </si>
  <si>
    <t>The Senegalese armed forces</t>
  </si>
  <si>
    <t>Seychelles’ Defence Forces</t>
  </si>
  <si>
    <t>Sierra Leone’s armed forces</t>
  </si>
  <si>
    <t>South Africa’s armed forces</t>
  </si>
  <si>
    <t>Sudanese Armed Forces</t>
  </si>
  <si>
    <t>Tanzania’s People Defence Force</t>
  </si>
  <si>
    <t>The Togolese armed forces</t>
  </si>
  <si>
    <t>Tunisia’s armed forces</t>
  </si>
  <si>
    <t>Uganda Peoples Defence force</t>
  </si>
  <si>
    <t xml:space="preserve"> The Zambian Defence Force</t>
  </si>
  <si>
    <t>Zimbabwe’s armed forces</t>
  </si>
  <si>
    <t>Q33b</t>
  </si>
  <si>
    <t xml:space="preserve"> How often president ignores laws</t>
  </si>
  <si>
    <t>Q33c</t>
  </si>
  <si>
    <t xml:space="preserve"> How often president ignores parliament</t>
  </si>
  <si>
    <t>President vs National Assembly</t>
  </si>
  <si>
    <t>President vs Parliament</t>
  </si>
  <si>
    <t>President vs Transitional Legislative Assembly</t>
  </si>
  <si>
    <t>Prime Minister vs Parliament</t>
  </si>
  <si>
    <t>Prime Minister vs House of Peoples Representatives</t>
  </si>
  <si>
    <t>Transitional President vs The National Transitional Council (CNT)</t>
  </si>
  <si>
    <t>President vs The National Legislature</t>
  </si>
  <si>
    <t>Prime Minister vs National Assembly</t>
  </si>
  <si>
    <t xml:space="preserve">President vs Representative Assembly of the People </t>
  </si>
  <si>
    <t>Q34a</t>
  </si>
  <si>
    <t>Members of the Transitional Legislative Assembly</t>
  </si>
  <si>
    <t xml:space="preserve">Members of House of Peoples’ Represenatives </t>
  </si>
  <si>
    <t xml:space="preserve">Members of the House of Representatives </t>
  </si>
  <si>
    <t>Members of the Representative Assembly of the People </t>
  </si>
  <si>
    <t>Members of Parliament </t>
  </si>
  <si>
    <t>Q34b</t>
  </si>
  <si>
    <t xml:space="preserve"> Local government councillors listen</t>
  </si>
  <si>
    <t>Members of the Provincial Government</t>
  </si>
  <si>
    <t>Communal councilors or Municipal councilors</t>
  </si>
  <si>
    <t>Municipal or departmental councilors</t>
  </si>
  <si>
    <t>Municipal or regional councilors</t>
  </si>
  <si>
    <t xml:space="preserve">Members of local government Wereda or City councils </t>
  </si>
  <si>
    <t xml:space="preserve">Assembly men or women </t>
  </si>
  <si>
    <t>Members of County Assembly or MCA</t>
  </si>
  <si>
    <t>Members of the community or urban council</t>
  </si>
  <si>
    <t>Municipal or district councilors</t>
  </si>
  <si>
    <t>Members of collective councils</t>
  </si>
  <si>
    <t>Members of Municipal Assembly</t>
  </si>
  <si>
    <t>Municipal or communal councilors</t>
  </si>
  <si>
    <t>Members of the District Administration</t>
  </si>
  <si>
    <t>Members of Municipal Council</t>
  </si>
  <si>
    <t>Members of the district  council</t>
  </si>
  <si>
    <t>Q37a</t>
  </si>
  <si>
    <t xml:space="preserve"> Trust president</t>
  </si>
  <si>
    <t>King</t>
  </si>
  <si>
    <t>Q37b</t>
  </si>
  <si>
    <t xml:space="preserve"> Trust parliament/national assembly</t>
  </si>
  <si>
    <t>The Transitional Legislative Assembly</t>
  </si>
  <si>
    <t>House of Peoples’ Representatives</t>
  </si>
  <si>
    <t>A National Transitional Council (CNT)</t>
  </si>
  <si>
    <t>The House of Representative</t>
  </si>
  <si>
    <t>Q37c</t>
  </si>
  <si>
    <t xml:space="preserve"> Trust national electoral commission</t>
  </si>
  <si>
    <t>National Electoral Commision</t>
  </si>
  <si>
    <t xml:space="preserve">Independent Electoral Commission
</t>
  </si>
  <si>
    <t>The National Electoral Commission or CNE</t>
  </si>
  <si>
    <t>National Electroal Board of Ethiopia or NEBE</t>
  </si>
  <si>
    <t>The Gabonese Elections Centre (CGE)</t>
  </si>
  <si>
    <t xml:space="preserve"> The Electoral Commission or EC</t>
  </si>
  <si>
    <t xml:space="preserve">National Elections Commission </t>
  </si>
  <si>
    <t>The Independent Electoral Commission (CENI)</t>
  </si>
  <si>
    <t>The Electoral Commission of Mauritius</t>
  </si>
  <si>
    <t>Independent Electoral Commission or INEC</t>
  </si>
  <si>
    <t>National Electoral Commission</t>
  </si>
  <si>
    <t>National Commission for the Tallying (or Recapitulation) of Votes</t>
  </si>
  <si>
    <t xml:space="preserve"> Electoral Commission of Seychelles</t>
  </si>
  <si>
    <t>The South African Electoral Commission</t>
  </si>
  <si>
    <t>National Elections Commission or NEC</t>
  </si>
  <si>
    <t>Zambia Electoral Commission or ECZ</t>
  </si>
  <si>
    <t>Q37d</t>
  </si>
  <si>
    <t xml:space="preserve"> Trust your elected local government council</t>
  </si>
  <si>
    <t>Provincial Government</t>
  </si>
  <si>
    <t>Your municipal or communal council</t>
  </si>
  <si>
    <t xml:space="preserve">Your local government council
</t>
  </si>
  <si>
    <t>Your municipal or regional councilor</t>
  </si>
  <si>
    <t>Your local government Wereda or City council</t>
  </si>
  <si>
    <t>Your municipal or departmental council</t>
  </si>
  <si>
    <t>Your Metropolitan, Municipal and District Chief     
                      Executive</t>
  </si>
  <si>
    <t xml:space="preserve">Your County Assembly </t>
  </si>
  <si>
    <t>Your community or urban Council</t>
  </si>
  <si>
    <t xml:space="preserve">Your County Authority </t>
  </si>
  <si>
    <t>Municipal  council</t>
  </si>
  <si>
    <t>Municipal or district council</t>
  </si>
  <si>
    <t>Your Collective Council</t>
  </si>
  <si>
    <t>Your municipal or communal councilor</t>
  </si>
  <si>
    <t>Your district council</t>
  </si>
  <si>
    <t xml:space="preserve"> Corruption: office of the Presidency</t>
  </si>
  <si>
    <t xml:space="preserve"> Corruption: members of Parliament </t>
  </si>
  <si>
    <t xml:space="preserve"> Corruption: civil servants</t>
  </si>
  <si>
    <t>Q38d</t>
  </si>
  <si>
    <t xml:space="preserve"> Corruption: local government councillors</t>
  </si>
  <si>
    <t>Members of your Provincial Government</t>
  </si>
  <si>
    <t>Local government Wereda or Citycouncillors</t>
  </si>
  <si>
    <t xml:space="preserve">Assembly men and women </t>
  </si>
  <si>
    <t xml:space="preserve">Members of your local authority council </t>
  </si>
  <si>
    <t>Members of your collective council</t>
  </si>
  <si>
    <t>District Administrators</t>
  </si>
  <si>
    <t xml:space="preserve">Members of your municipal council
</t>
  </si>
  <si>
    <t>District councillors</t>
  </si>
  <si>
    <t>Q38g</t>
  </si>
  <si>
    <t xml:space="preserve"> Corruption: tax officials</t>
  </si>
  <si>
    <t>General Tax Administration (AGT)</t>
  </si>
  <si>
    <t>General Directorate of Taxes</t>
  </si>
  <si>
    <t>Botswana Unified Revenue Services or BURS</t>
  </si>
  <si>
    <t>Eswatini Revenue Service or ERS</t>
  </si>
  <si>
    <t>Ethiopian Minstry of Revenue,  Regional Reveune Bureaus, and Ethiopian Customs Commission</t>
  </si>
  <si>
    <t>Gambia Revenue Authority or GRA</t>
  </si>
  <si>
    <t>Ghana Revenue Authority or GRA</t>
  </si>
  <si>
    <t>Kenya Revenue Authority or KRA</t>
  </si>
  <si>
    <t>Liberia Revenue Authority</t>
  </si>
  <si>
    <t>Malawi Revenue Authority or MRA</t>
  </si>
  <si>
    <t>Mauritius Revenue Authority</t>
  </si>
  <si>
    <t>Directorate General of Taxes (DGI)</t>
  </si>
  <si>
    <t>Mozambique Tax Revenue Authority</t>
  </si>
  <si>
    <t>Ministry of Finance, Inland Revenue</t>
  </si>
  <si>
    <t xml:space="preserve"> Federal Inland Revenue Service or FIRS</t>
  </si>
  <si>
    <t>Revenue Authority of Sao Tome e Principe</t>
  </si>
  <si>
    <t>Seychelles Revenue Commission or SRC</t>
  </si>
  <si>
    <t>National Revenue Authority or NRA</t>
  </si>
  <si>
    <t xml:space="preserve">South African Revenue Service or SARS </t>
  </si>
  <si>
    <t xml:space="preserve">Sudan Revenue Authority </t>
  </si>
  <si>
    <t>Tanzania Revenue Authority or TRA</t>
  </si>
  <si>
    <t>The Togolese Revenue Office (OTR)</t>
  </si>
  <si>
    <t>Ministry of Finance -Tax Administration</t>
  </si>
  <si>
    <t>Zambia Revenue Authority</t>
  </si>
  <si>
    <t>Zimbabwe Revenue Authority or ZIMRA</t>
  </si>
  <si>
    <t>Q47a</t>
  </si>
  <si>
    <t xml:space="preserve"> Performance: president</t>
  </si>
  <si>
    <t>President João Lourenço</t>
  </si>
  <si>
    <t>President Patrice Athanase Guillaume Talon</t>
  </si>
  <si>
    <t>President Paul-Henri Sandaogo DAMIBA</t>
  </si>
  <si>
    <t>President José Maria Neves</t>
  </si>
  <si>
    <t>President Denis Sassou Nguesso</t>
  </si>
  <si>
    <t>Prime Minister Cleopas Dlamini</t>
  </si>
  <si>
    <t xml:space="preserve"> President Nana Addo Dankwa Akuffo Addo</t>
  </si>
  <si>
    <t xml:space="preserve">President Mamady DOUMBOUYA </t>
  </si>
  <si>
    <t>Prime Minister Moeketsi Majoro</t>
  </si>
  <si>
    <t>President Andry Rajoelina</t>
  </si>
  <si>
    <t>President Lazarus Chakwera</t>
  </si>
  <si>
    <t>President Assimi Goïta</t>
  </si>
  <si>
    <t>President Cheikh Med Ahmed El Ghazouani</t>
  </si>
  <si>
    <t>Le Premier Ministre Pravind Jugnauth</t>
  </si>
  <si>
    <t>President of the government Aziz Akhannouch</t>
  </si>
  <si>
    <t>President President Filipe Jacinto Nyusi</t>
  </si>
  <si>
    <t>President Mohamed Bazoum</t>
  </si>
  <si>
    <t>President Carlos Vila Nova</t>
  </si>
  <si>
    <t>President Macky Sall</t>
  </si>
  <si>
    <t>President  Wavel Ramkalawan </t>
  </si>
  <si>
    <t>President Abdel Fattah al-Burhan</t>
  </si>
  <si>
    <t>President Samia Suluhu Hassan</t>
  </si>
  <si>
    <t>President Faure Essozimna Gnassingbe</t>
  </si>
  <si>
    <t>President Kais Saied </t>
  </si>
  <si>
    <t>President Yoweri Kaguta Museveni </t>
  </si>
  <si>
    <t>President Hakainde Hichilema</t>
  </si>
  <si>
    <t>Q47b</t>
  </si>
  <si>
    <t xml:space="preserve"> Performance: MP/National Assembly rep</t>
  </si>
  <si>
    <t xml:space="preserve">Your member of House of Peoples’ Representatives </t>
  </si>
  <si>
    <t>Your member of the National Assembly </t>
  </si>
  <si>
    <t>Your member of the Representative Assembly of the People </t>
  </si>
  <si>
    <t>Q47c</t>
  </si>
  <si>
    <t>Members of the special delegation of your commune</t>
  </si>
  <si>
    <t>Your elected local government Wereda or City councillor</t>
  </si>
  <si>
    <t xml:space="preserve"> Your elected Assembly man or woman </t>
  </si>
  <si>
    <t>Your elected Member of County Assembly or MCA</t>
  </si>
  <si>
    <t>Your elected community or urban councillor</t>
  </si>
  <si>
    <t>Your elected communal councilor</t>
  </si>
  <si>
    <t>Your communal councilor</t>
  </si>
  <si>
    <t>Your mayor or municipal councilor</t>
  </si>
  <si>
    <t>Your Municipal or district councilors</t>
  </si>
  <si>
    <t>Your elected Collective councillor</t>
  </si>
  <si>
    <t>Your elected member of the municipal assembly</t>
  </si>
  <si>
    <t>Your elected Local Authority Councillor</t>
  </si>
  <si>
    <t>Your municipal or departmental councilor</t>
  </si>
  <si>
    <t>Your District Administrator</t>
  </si>
  <si>
    <t>Your appointed local government councillor</t>
  </si>
  <si>
    <t>Your elected district councillor</t>
  </si>
  <si>
    <t xml:space="preserve"> Who responsible: MPs do jobs</t>
  </si>
  <si>
    <t xml:space="preserve"> Who responsible: president does job</t>
  </si>
  <si>
    <t>D_12B</t>
  </si>
  <si>
    <t>Q92a</t>
  </si>
  <si>
    <t xml:space="preserve"> Electric connection from mains</t>
  </si>
  <si>
    <t>National Company of Distribution of Electricity or ENDE</t>
  </si>
  <si>
    <t>Benin Electric Energy Company</t>
  </si>
  <si>
    <t>Botswana Power Corporation</t>
  </si>
  <si>
    <t>Burkina National Electricity Company</t>
  </si>
  <si>
    <t>ELECTRA</t>
  </si>
  <si>
    <t>Cameroon Energy Corporation</t>
  </si>
  <si>
    <t>Electric Energy of Congo (EEC)</t>
  </si>
  <si>
    <t>Ivorian Electricity Company</t>
  </si>
  <si>
    <t xml:space="preserve">  Eswatini Electricity Company</t>
  </si>
  <si>
    <t>National power grid</t>
  </si>
  <si>
    <t>Gabon Energy and Water Company</t>
  </si>
  <si>
    <t>National Water and Electricity Company Limited or NAWEC</t>
  </si>
  <si>
    <t>Electricity Company of Ghana, ECG</t>
  </si>
  <si>
    <t>Electricity of Guinea</t>
  </si>
  <si>
    <t>Kenya Power and Lighting Company or KPLC grid</t>
  </si>
  <si>
    <t>Liberia Electricity Corporation</t>
  </si>
  <si>
    <t>Malagasy Electricity and Water Company</t>
  </si>
  <si>
    <t>Electricty Supply Commission of Malawi or ESCOM</t>
  </si>
  <si>
    <t>Energy of Mali</t>
  </si>
  <si>
    <t>Mauritanian Electricity Corporation</t>
  </si>
  <si>
    <t>Central Electricity Board (CEB)</t>
  </si>
  <si>
    <t>National Office of Electricity and Drinking Water</t>
  </si>
  <si>
    <t>NamPower</t>
  </si>
  <si>
    <t>Niger Electricity Company</t>
  </si>
  <si>
    <t>Empresa de Agua e Electricidade or EMAE</t>
  </si>
  <si>
    <t>National Electricity Company of Senegal</t>
  </si>
  <si>
    <t>Public Utilities Cooporation or PUC</t>
  </si>
  <si>
    <t>Electricity Distribution and Supply Agency or EDSA</t>
  </si>
  <si>
    <t>Electric Energy Company of Togo (CEET)</t>
  </si>
  <si>
    <t>Tunisian Company of Electricity and Gas (STEG)</t>
  </si>
  <si>
    <t>National power supply grid</t>
  </si>
  <si>
    <t>9</t>
  </si>
  <si>
    <t>2017</t>
  </si>
  <si>
    <t>2021</t>
  </si>
  <si>
    <t>2019</t>
  </si>
  <si>
    <t>2020</t>
  </si>
  <si>
    <t>2022</t>
  </si>
  <si>
    <t>2018</t>
  </si>
  <si>
    <t>CHAD</t>
  </si>
  <si>
    <t>COMOROS</t>
  </si>
  <si>
    <t xml:space="preserve">Q12a. </t>
  </si>
  <si>
    <t>Representative to National Assemply</t>
  </si>
  <si>
    <t>National Transition Council (NTC)</t>
  </si>
  <si>
    <t>Member of the house of Representatives</t>
  </si>
  <si>
    <t>Member of the Assembly of the People’s Representatives</t>
  </si>
  <si>
    <t xml:space="preserve">Q13a. </t>
  </si>
  <si>
    <t>A_10_34</t>
  </si>
  <si>
    <t xml:space="preserve">Q13b. </t>
  </si>
  <si>
    <t>Intend to vote in the next national election (if too young)</t>
  </si>
  <si>
    <t>A_10_37</t>
  </si>
  <si>
    <t xml:space="preserve">Q14. </t>
  </si>
  <si>
    <t>Lower voting age</t>
  </si>
  <si>
    <t>Q15.</t>
  </si>
  <si>
    <t xml:space="preserve">Q16b. </t>
  </si>
  <si>
    <t>Last national election: fear political intimidation or violence</t>
  </si>
  <si>
    <t>Q26a.</t>
  </si>
  <si>
    <t>Parliament makes laws vs president does</t>
  </si>
  <si>
    <t>Member of the National Assembly vs President</t>
  </si>
  <si>
    <t>Representative to National Assemply vs President</t>
  </si>
  <si>
    <t>Member of Parliament vs President</t>
  </si>
  <si>
    <t>Member of Parliament vs King</t>
  </si>
  <si>
    <t>The National Transition Councilora vs President</t>
  </si>
  <si>
    <t>Member of Parliament vs Prime Minister</t>
  </si>
  <si>
    <t>Member of the National Assembly vs Prime Minister</t>
  </si>
  <si>
    <t>Members of the Assembly of the People’s Representatives vs President</t>
  </si>
  <si>
    <t>Q26b.</t>
  </si>
  <si>
    <t>President monitored by parliament vs free to act on own</t>
  </si>
  <si>
    <t>President/He vs National Assembly</t>
  </si>
  <si>
    <t>President/He vs Parliament</t>
  </si>
  <si>
    <t>Prime-Minister/He vs National Assembly</t>
  </si>
  <si>
    <t>Prime-Minister/He vs Parliament</t>
  </si>
  <si>
    <t>President/He vs National Transition Council</t>
  </si>
  <si>
    <t>Prime Minister/He vs Parliament</t>
  </si>
  <si>
    <t>President/He vs National Legislature</t>
  </si>
  <si>
    <t>Prime Minister/He vs Members of the National Assembly</t>
  </si>
  <si>
    <t>Prime Minister/He vs National Assembly</t>
  </si>
  <si>
    <t>President/Her vs Parliament</t>
  </si>
  <si>
    <t>President/He vs The Assembly of the People’s Representatives</t>
  </si>
  <si>
    <t>Q28.</t>
  </si>
  <si>
    <t>President/Her</t>
  </si>
  <si>
    <t xml:space="preserve">Q29. </t>
  </si>
  <si>
    <t xml:space="preserve">Prime Minister </t>
  </si>
  <si>
    <t xml:space="preserve">Q31a. </t>
  </si>
  <si>
    <t>Armed forces never intervene vs when leaders abuse power</t>
  </si>
  <si>
    <t>Angola's Armed Forces</t>
  </si>
  <si>
    <t>Armed Forces of Benin</t>
  </si>
  <si>
    <t>Botswana’s Armed Forces</t>
  </si>
  <si>
    <t>The armed forces of Cameroon</t>
  </si>
  <si>
    <t>Chad's Armed Forces</t>
  </si>
  <si>
    <t>The armed forces of the Comoros</t>
  </si>
  <si>
    <t>The armed forces of Congo</t>
  </si>
  <si>
    <t>Eswatini’s armed forces</t>
  </si>
  <si>
    <t>The armed forces of Gabon</t>
  </si>
  <si>
    <t>Gambia's armed forces</t>
  </si>
  <si>
    <t>The Ghana armed forces</t>
  </si>
  <si>
    <t>Republic of Guinea Armed Forces</t>
  </si>
  <si>
    <t>The Kenya Defence Forces or KDF</t>
  </si>
  <si>
    <t>Lberia's armed forces</t>
  </si>
  <si>
    <t>The armed forces of Madagascar</t>
  </si>
  <si>
    <t>The armed forces of Mali</t>
  </si>
  <si>
    <t>The armed forces of Mauritania</t>
  </si>
  <si>
    <t>Mauritius' armed forces</t>
  </si>
  <si>
    <t>São Tomé e Príncipe’s armed forces</t>
  </si>
  <si>
    <t>The armed forces of Senegal</t>
  </si>
  <si>
    <t>Seychelles armed forces</t>
  </si>
  <si>
    <t>Tanzania’s armed forces</t>
  </si>
  <si>
    <t>The armed forces of Togo</t>
  </si>
  <si>
    <t>The Uganda Peoples Defense Forces or UPDF</t>
  </si>
  <si>
    <t>Zambia’s armed forces</t>
  </si>
  <si>
    <t xml:space="preserve">Q34a. </t>
  </si>
  <si>
    <t>How often president ignores laws</t>
  </si>
  <si>
    <t xml:space="preserve">Q34b. </t>
  </si>
  <si>
    <t>How often president ignores parliament</t>
  </si>
  <si>
    <t>President/He vs National legislature</t>
  </si>
  <si>
    <t>Q36a.</t>
  </si>
  <si>
    <t>National Transition Councilors</t>
  </si>
  <si>
    <t>Members of the Assembly of the People’s Representatives</t>
  </si>
  <si>
    <t>Q36b.</t>
  </si>
  <si>
    <t>Municipal Councilors</t>
  </si>
  <si>
    <t>Members of Urban or Community council</t>
  </si>
  <si>
    <t>Members of the Local Authority Council</t>
  </si>
  <si>
    <t>Members of municipality or district council</t>
  </si>
  <si>
    <t xml:space="preserve">Local Authority Councilors
</t>
  </si>
  <si>
    <t xml:space="preserve">Members of local government council
</t>
  </si>
  <si>
    <t xml:space="preserve">Members of the District Administration 
</t>
  </si>
  <si>
    <t>municipal or communal councilors</t>
  </si>
  <si>
    <t xml:space="preserve">Members of the district or city council
</t>
  </si>
  <si>
    <t xml:space="preserve">Q37a. </t>
  </si>
  <si>
    <t xml:space="preserve">Q37b. </t>
  </si>
  <si>
    <t>National Transition Council</t>
  </si>
  <si>
    <t xml:space="preserve">Parliament
</t>
  </si>
  <si>
    <t xml:space="preserve">The Assembly of the People’s Representatives
</t>
  </si>
  <si>
    <t>Q37c.</t>
  </si>
  <si>
    <t>The  National Electoral Commission</t>
  </si>
  <si>
    <t xml:space="preserve">The National Electoral Commission or CNE
</t>
  </si>
  <si>
    <t>The Independent Electoral Commission (ELECAM)</t>
  </si>
  <si>
    <t>National Agency for the Management of Elections</t>
  </si>
  <si>
    <t>The Gabonese Elections Council</t>
  </si>
  <si>
    <t>Ministry of Territorial Administration and Decentralization</t>
  </si>
  <si>
    <t>The Independent Authority for the Management of Elections</t>
  </si>
  <si>
    <t xml:space="preserve">National Election Commission (CNE)
</t>
  </si>
  <si>
    <t xml:space="preserve">The Electoral Commission of Namibia or ECN
</t>
  </si>
  <si>
    <t xml:space="preserve">Independent National Electoral Commission or INEC
</t>
  </si>
  <si>
    <t xml:space="preserve">The National Electoral Commission
</t>
  </si>
  <si>
    <t>National Commission for the Census of Votes (CNRV)</t>
  </si>
  <si>
    <t>Electoral Commission of Seychelles</t>
  </si>
  <si>
    <t xml:space="preserve">The South African Electoral Commission
</t>
  </si>
  <si>
    <t xml:space="preserve">The National Electoral Commission or NEC
</t>
  </si>
  <si>
    <t xml:space="preserve">The Independent High Authority for the Elections (ISIE)
</t>
  </si>
  <si>
    <t xml:space="preserve">The Electoral Commission of Uganda
</t>
  </si>
  <si>
    <t xml:space="preserve">Zambia Electoral Commission or ECZ 
</t>
  </si>
  <si>
    <t xml:space="preserve">Zimbabwe Electoral Commission or ZEC
</t>
  </si>
  <si>
    <t xml:space="preserve">Q37d. </t>
  </si>
  <si>
    <t>Your  local government council</t>
  </si>
  <si>
    <t>Your County Assembly or CA</t>
  </si>
  <si>
    <t>Your Urban or Community Council</t>
  </si>
  <si>
    <t>Your municipal or district council</t>
  </si>
  <si>
    <t>Your Municipal Assembly</t>
  </si>
  <si>
    <t xml:space="preserve">Your Local Authority Council
</t>
  </si>
  <si>
    <t xml:space="preserve">Your District Administration
</t>
  </si>
  <si>
    <t xml:space="preserve">Your district or city council
</t>
  </si>
  <si>
    <t>H_31</t>
  </si>
  <si>
    <t xml:space="preserve">Q37j. </t>
  </si>
  <si>
    <t>Trust Ministry of Health or public health agency</t>
  </si>
  <si>
    <t>Ministry of Health</t>
  </si>
  <si>
    <t>Ministry of Public Health</t>
  </si>
  <si>
    <t>Ministry of Health and Population</t>
  </si>
  <si>
    <t>Ministry of Health, Public Hygiene, and Universal Health Coverage</t>
  </si>
  <si>
    <t>Ministry of Health and Public Hygiene</t>
  </si>
  <si>
    <t>Ministry Of Health or Public Health Institution</t>
  </si>
  <si>
    <t>Ministry of Health and Wellness</t>
  </si>
  <si>
    <t xml:space="preserve">Ministry of Health and Social Protection
</t>
  </si>
  <si>
    <t xml:space="preserve">Ministry of Health (MISAU) or  National Institute of Health (INS)
</t>
  </si>
  <si>
    <t xml:space="preserve">The Ministry of Health and Social Services
</t>
  </si>
  <si>
    <t xml:space="preserve">Federal Ministry of Health 
</t>
  </si>
  <si>
    <t>The Ministry of Health and Women Rights</t>
  </si>
  <si>
    <t>Ministry of Health and Social Action (MSAS)</t>
  </si>
  <si>
    <t xml:space="preserve">Ministry of Health or Department of Health
</t>
  </si>
  <si>
    <t xml:space="preserve">Ministry Of Health
</t>
  </si>
  <si>
    <t xml:space="preserve">Ministry of Health
</t>
  </si>
  <si>
    <t xml:space="preserve">Ministry of Health 
</t>
  </si>
  <si>
    <t xml:space="preserve">Ministry of Health and Child Care 
</t>
  </si>
  <si>
    <t xml:space="preserve">Q38a. </t>
  </si>
  <si>
    <t>The Transitional President</t>
  </si>
  <si>
    <t xml:space="preserve">Q38b. </t>
  </si>
  <si>
    <t>Members of House of Representatives</t>
  </si>
  <si>
    <t xml:space="preserve">Members of the Assembly of the People’s Representatives 
</t>
  </si>
  <si>
    <t xml:space="preserve">Q38d. </t>
  </si>
  <si>
    <t>Members of the County Assembly or MCAs</t>
  </si>
  <si>
    <t>Urban or Community Councilors</t>
  </si>
  <si>
    <t xml:space="preserve">Members of your municipal assembly
</t>
  </si>
  <si>
    <t xml:space="preserve">District Administrators
</t>
  </si>
  <si>
    <t xml:space="preserve">Councilors
</t>
  </si>
  <si>
    <t xml:space="preserve">District or city councilors
</t>
  </si>
  <si>
    <t xml:space="preserve">Q38g. </t>
  </si>
  <si>
    <t>Administração Geral Tributária or  AGT  </t>
  </si>
  <si>
    <t>General Directorate of Taxes (DGI)</t>
  </si>
  <si>
    <t xml:space="preserve"> Botswana Unified Revenue Services or BURS</t>
  </si>
  <si>
    <t xml:space="preserve"> National Directorate of State Revenues or DNRE</t>
  </si>
  <si>
    <t>Eswatini Revenue Authority </t>
  </si>
  <si>
    <t>Ghana Revenue Authority</t>
  </si>
  <si>
    <t>Revenue Services Lesotho  RSL or Lesotho Revenue Authority-LRA</t>
  </si>
  <si>
    <t> Malawi Revenue Authority or MRA</t>
  </si>
  <si>
    <t xml:space="preserve">Mauritius Revenue Authority </t>
  </si>
  <si>
    <t>Federal Inland Revenue Service or FIRS</t>
  </si>
  <si>
    <t xml:space="preserve">Revenue Authority of Sao Tome e Principe </t>
  </si>
  <si>
    <t>Togolese Revenue Office (OTR)</t>
  </si>
  <si>
    <t xml:space="preserve">Uganda Revenue Authority or URA </t>
  </si>
  <si>
    <t>Zambia Revenue Authority or ZRA</t>
  </si>
  <si>
    <t xml:space="preserve">Q48a. </t>
  </si>
  <si>
    <t xml:space="preserve">President Mokgweetsi Eric Keabetswe Masisi
</t>
  </si>
  <si>
    <t xml:space="preserve">President José Maria Neves
</t>
  </si>
  <si>
    <t>President Marshal Mahamat Idriss Déby Itno</t>
  </si>
  <si>
    <t>President Azali Assoumani</t>
  </si>
  <si>
    <t>President Denis SASSOU NGUESSO</t>
  </si>
  <si>
    <t>Prime Minister Russel Dlamini</t>
  </si>
  <si>
    <t>President Brice Clotaire Oligui Nguema</t>
  </si>
  <si>
    <t>President Nana Addo Dankwa Akuffo-Addo</t>
  </si>
  <si>
    <t>President Mamadi DOUMBOUYA</t>
  </si>
  <si>
    <t>President William Ruto</t>
  </si>
  <si>
    <t>Prime Minister Ntsokoane Matekane</t>
  </si>
  <si>
    <t>President Joseph Bokai</t>
  </si>
  <si>
    <t>General President of the Army, Assimi Goïta</t>
  </si>
  <si>
    <t>President Mohamed Ould Cheikh El Gazouani</t>
  </si>
  <si>
    <t xml:space="preserve">Prime Minister Pravind Jugnauth
</t>
  </si>
  <si>
    <t xml:space="preserve">President of the government Aziz Akhannouch
</t>
  </si>
  <si>
    <t xml:space="preserve">President Daniel Francisco Chapo
</t>
  </si>
  <si>
    <t xml:space="preserve">President Bola Ahmed Tinubu
</t>
  </si>
  <si>
    <t>President Carlos Vila Nova </t>
  </si>
  <si>
    <t>President Bassirou Diomaye Faye</t>
  </si>
  <si>
    <t xml:space="preserve">President Wavel Ramkalawan
</t>
  </si>
  <si>
    <t xml:space="preserve">President Cyril Ramaphosa
</t>
  </si>
  <si>
    <t xml:space="preserve">President Samia Suluhu Hassan
</t>
  </si>
  <si>
    <t xml:space="preserve">President Kais Saied 
</t>
  </si>
  <si>
    <t xml:space="preserve">President Yoweri Kaguta Museveni
</t>
  </si>
  <si>
    <t xml:space="preserve">President Hakainde Hichilema
</t>
  </si>
  <si>
    <t xml:space="preserve">President Emmerson Mnangagwa
</t>
  </si>
  <si>
    <t>Q48b.</t>
  </si>
  <si>
    <t xml:space="preserve">Member of Parliament
</t>
  </si>
  <si>
    <t>Member of the Assembly of the People’s Representatives </t>
  </si>
  <si>
    <t xml:space="preserve">Your member of parliament
</t>
  </si>
  <si>
    <t>K_45</t>
  </si>
  <si>
    <t>Q67a.</t>
  </si>
  <si>
    <t xml:space="preserve"> Britain </t>
  </si>
  <si>
    <t xml:space="preserve">Portugal </t>
  </si>
  <si>
    <t xml:space="preserve"> Britain</t>
  </si>
  <si>
    <t>K_49</t>
  </si>
  <si>
    <t xml:space="preserve">Q67g. </t>
  </si>
  <si>
    <t>Influence of organization: Regional organisation</t>
  </si>
  <si>
    <t>ECCAS</t>
  </si>
  <si>
    <t>Arab Maghreb Union</t>
  </si>
  <si>
    <t xml:space="preserve">Economic Community of Central African States or ECCAS
</t>
  </si>
  <si>
    <t xml:space="preserve">East African Community or EAC
</t>
  </si>
  <si>
    <t>Arab Maghreb Union </t>
  </si>
  <si>
    <t>K_52B</t>
  </si>
  <si>
    <t xml:space="preserve">Q70a. </t>
  </si>
  <si>
    <t>Regional organisation recognizes our country's needs/interests</t>
  </si>
  <si>
    <t>K_53A</t>
  </si>
  <si>
    <t>Q73d.</t>
  </si>
  <si>
    <t>Southern African</t>
  </si>
  <si>
    <t>West African</t>
  </si>
  <si>
    <t>Central African</t>
  </si>
  <si>
    <t>East African</t>
  </si>
  <si>
    <t>North African</t>
  </si>
  <si>
    <t>K_55B</t>
  </si>
  <si>
    <t>Q75.</t>
  </si>
  <si>
    <t>Preferred trading partners</t>
  </si>
  <si>
    <t>Southern African countries only</t>
  </si>
  <si>
    <t>West African countries only</t>
  </si>
  <si>
    <t>Central African countries only</t>
  </si>
  <si>
    <t>East African countries only</t>
  </si>
  <si>
    <t xml:space="preserve">North African countries only
</t>
  </si>
  <si>
    <t>East African Countries only</t>
  </si>
  <si>
    <t>North African countries only</t>
  </si>
  <si>
    <t>K_57</t>
  </si>
  <si>
    <t xml:space="preserve">Q76b. </t>
  </si>
  <si>
    <t xml:space="preserve">Q93a. </t>
  </si>
  <si>
    <t>Beninese Electric Energy Company (SBEE)</t>
  </si>
  <si>
    <t>Electricity and Water Company of Cape Verde</t>
  </si>
  <si>
    <t>National Electricity Company (ENEO)</t>
  </si>
  <si>
    <t>National Electricity Company</t>
  </si>
  <si>
    <t>National Electricity Company (SONELEC)</t>
  </si>
  <si>
    <t>Electricity of Congo (EEC)</t>
  </si>
  <si>
    <t>Ivorian Electricity Company (CIE)</t>
  </si>
  <si>
    <t>Eswatini Electricity Company or EEC</t>
  </si>
  <si>
    <t>Gabon Energy and Water Company (SEEG)</t>
  </si>
  <si>
    <t>Electricity Company of Ghana, ECG or the Northern Electricity Distribution Company Ltd., NEDCO</t>
  </si>
  <si>
    <t>Electricity of Guinea (EDG)</t>
  </si>
  <si>
    <t>Kenya Power and Lighting Company or KPLC</t>
  </si>
  <si>
    <t>Jiro Sy Rano Malagasy (JIRAMA)</t>
  </si>
  <si>
    <t>Electricity Supply Corporation of Malawi or ESCOM</t>
  </si>
  <si>
    <t>Mali Electricity Company (EDM)</t>
  </si>
  <si>
    <t>Mauritanian Electricity Company (SOMELEC)</t>
  </si>
  <si>
    <t>Central Electricity Board or CEB</t>
  </si>
  <si>
    <t>EDM or Eletricidade de Moçambique</t>
  </si>
  <si>
    <t>Nampower or your Regional Electricity Distributor-RED</t>
  </si>
  <si>
    <t>Power Holding Company of Nigeria or PHCN</t>
  </si>
  <si>
    <t>Water and Electricity Company (EMAE)</t>
  </si>
  <si>
    <t>National Electricity Company of Senegal (SENELEC)</t>
  </si>
  <si>
    <t>Public Utilities Corporation or PUC</t>
  </si>
  <si>
    <t>Tanzania Electric Supply Company or TANESCO</t>
  </si>
  <si>
    <t>Togolese Electricity Company (CEET)</t>
  </si>
  <si>
    <t>Uganda Electricity Distribution Company Limited or UMEME</t>
  </si>
  <si>
    <t>D_12C</t>
  </si>
  <si>
    <t xml:space="preserve">Q93c. </t>
  </si>
  <si>
    <t>Other source of electricity: available</t>
  </si>
  <si>
    <t xml:space="preserve">Country Name </t>
  </si>
  <si>
    <t>Round ID</t>
  </si>
  <si>
    <t>Question ID</t>
  </si>
  <si>
    <t>Question No</t>
  </si>
  <si>
    <t>Text</t>
  </si>
  <si>
    <t>Indigenized Text</t>
  </si>
  <si>
    <t>BOTSWN</t>
  </si>
  <si>
    <t>Q29. Contct Locl government representtive</t>
  </si>
  <si>
    <t>CBO VERDE</t>
  </si>
  <si>
    <t>GHN</t>
  </si>
  <si>
    <t>District Chief Executive</t>
  </si>
  <si>
    <t>KENY</t>
  </si>
  <si>
    <t>Villge Development Council</t>
  </si>
  <si>
    <t>MlawI</t>
  </si>
  <si>
    <t>MLI</t>
  </si>
  <si>
    <t>Municipal Councilor</t>
  </si>
  <si>
    <t>MOZMBIQUE</t>
  </si>
  <si>
    <t>NMIBI</t>
  </si>
  <si>
    <t>NIGERI</t>
  </si>
  <si>
    <t>SENEGL</t>
  </si>
  <si>
    <t>SOUTH FRIC</t>
  </si>
  <si>
    <t>TNZNI</t>
  </si>
  <si>
    <t>ZMBI</t>
  </si>
  <si>
    <t>ZIMBBWE</t>
  </si>
  <si>
    <t>Q291</t>
  </si>
  <si>
    <t>Q291. Contct Regionl government representtive</t>
  </si>
  <si>
    <t>Regionl Councilor</t>
  </si>
  <si>
    <t>Stte ssembly representtive</t>
  </si>
  <si>
    <t>UGand</t>
  </si>
  <si>
    <t>District or LC V Chirmn</t>
  </si>
  <si>
    <t>Provincil Governor</t>
  </si>
  <si>
    <t>Q29b. Contct Parliamentry representtive</t>
  </si>
  <si>
    <t>National Assembly representtive</t>
  </si>
  <si>
    <t>Representative in the National Assembly</t>
  </si>
  <si>
    <t>National Assembly reprensenttive</t>
  </si>
  <si>
    <t>Parliamentry representtive</t>
  </si>
  <si>
    <t>Q33. Parliament mkes laws vs. president does</t>
  </si>
  <si>
    <t>Q35d. Reject one-mn rule</t>
  </si>
  <si>
    <t>Q43</t>
  </si>
  <si>
    <t>Q43. Trust the President</t>
  </si>
  <si>
    <t>Q43c. Trust the National Electorl Commission</t>
  </si>
  <si>
    <t>The Iandepeandent Electorl Commission</t>
  </si>
  <si>
    <t>The National Electorl Commission</t>
  </si>
  <si>
    <t>The Electorl Commission of Keny</t>
  </si>
  <si>
    <t>The National Electorl Commission of Nmibi</t>
  </si>
  <si>
    <t>The Iandepeandent National Electorl Commission</t>
  </si>
  <si>
    <t>The National Elections Observtory</t>
  </si>
  <si>
    <t>The Electorl Supervisory Commission</t>
  </si>
  <si>
    <t>Q43d. Trust the regionl government body</t>
  </si>
  <si>
    <t xml:space="preserve"> Regionl Coordinting Council</t>
  </si>
  <si>
    <t xml:space="preserve"> District dministrtion</t>
  </si>
  <si>
    <t>he Regionl ssembly</t>
  </si>
  <si>
    <t>Provincil courts</t>
  </si>
  <si>
    <t xml:space="preserve"> Regionl Council</t>
  </si>
  <si>
    <t xml:space="preserve"> Stte ssembly</t>
  </si>
  <si>
    <t>The Regionl Council</t>
  </si>
  <si>
    <t>Regionl Council</t>
  </si>
  <si>
    <t>The Provincil Governor</t>
  </si>
  <si>
    <t>Q43e. Trust the locl government body</t>
  </si>
  <si>
    <t xml:space="preserve"> Locl Council</t>
  </si>
  <si>
    <t xml:space="preserve"> Locl uthority Council</t>
  </si>
  <si>
    <t xml:space="preserve"> Villge Development Council</t>
  </si>
  <si>
    <t>The Locl ssembly</t>
  </si>
  <si>
    <t>Locl Council</t>
  </si>
  <si>
    <t xml:space="preserve"> Local government council</t>
  </si>
  <si>
    <t>The Municipal or Rurl Council</t>
  </si>
  <si>
    <t xml:space="preserve"> District or LC V Council</t>
  </si>
  <si>
    <t>The Ruling party</t>
  </si>
  <si>
    <t>Q43l. Trust government brodcsting service</t>
  </si>
  <si>
    <t>Deprtment of Informtion and brodcsting</t>
  </si>
  <si>
    <t>Government brodcsting service</t>
  </si>
  <si>
    <t>Q48</t>
  </si>
  <si>
    <t>Q48. Performnce: President</t>
  </si>
  <si>
    <t>President Moge</t>
  </si>
  <si>
    <t>President Nujom</t>
  </si>
  <si>
    <t>President J. .  Kufuor</t>
  </si>
  <si>
    <t>President Kibki</t>
  </si>
  <si>
    <t>Prime Minister Pklith Mosisili</t>
  </si>
  <si>
    <t>President of Mozmbique</t>
  </si>
  <si>
    <t>President NujomObsnjo</t>
  </si>
  <si>
    <t>President Mkp</t>
  </si>
  <si>
    <t>President Mwnws</t>
  </si>
  <si>
    <t>President Mugbe</t>
  </si>
  <si>
    <t>Q48b. Performnce: Member of Parliament</t>
  </si>
  <si>
    <t xml:space="preserve"> Member of Parliament</t>
  </si>
  <si>
    <t xml:space="preserve"> Representative to the National Assembly</t>
  </si>
  <si>
    <t xml:space="preserve"> Parliamentrin</t>
  </si>
  <si>
    <t xml:space="preserve"> Representative in the National Assembly</t>
  </si>
  <si>
    <t>Chirmn of the National Assembly</t>
  </si>
  <si>
    <t xml:space="preserve"> Provincil Governor</t>
  </si>
  <si>
    <t>Q48c. Performnce: Regionl Govenrment / official / ssembly</t>
  </si>
  <si>
    <t>The Myor</t>
  </si>
  <si>
    <t xml:space="preserve"> Regionl Minister</t>
  </si>
  <si>
    <t xml:space="preserve"> District Commissioner</t>
  </si>
  <si>
    <t xml:space="preserve"> District Development Councilor</t>
  </si>
  <si>
    <t>The High Commissioner of  region</t>
  </si>
  <si>
    <t xml:space="preserve"> Regionl Councilor</t>
  </si>
  <si>
    <t xml:space="preserve"> Representative to the Stte ssembly</t>
  </si>
  <si>
    <t>The Governor of  region</t>
  </si>
  <si>
    <t>TheMembers of the Provincil Legisltive ssembly</t>
  </si>
  <si>
    <t>Q48d. Performnce: Locl Government / official / ssembly</t>
  </si>
  <si>
    <t xml:space="preserve"> Local government councilor</t>
  </si>
  <si>
    <t xml:space="preserve"> DCE</t>
  </si>
  <si>
    <t xml:space="preserve"> Locl Myor</t>
  </si>
  <si>
    <t xml:space="preserve"> Locl Government Chirmn</t>
  </si>
  <si>
    <t xml:space="preserve"> locl governmnent councilor</t>
  </si>
  <si>
    <t xml:space="preserve"> District or LC V Chirmn</t>
  </si>
  <si>
    <t>Q51</t>
  </si>
  <si>
    <t>Q51. Corruption: office of the Presidency</t>
  </si>
  <si>
    <t>Q51b. Corruption:Elected leaders</t>
  </si>
  <si>
    <t>Elected leaders, Parliamentrins or locl councilors</t>
  </si>
  <si>
    <t>Elected leaders, such s Parliamentrins or locl councilors</t>
  </si>
  <si>
    <t>Elected leaders, such s Parliamentrins or district development councilors</t>
  </si>
  <si>
    <t>Elected leaders, such s Parliamentrins or locl councillors</t>
  </si>
  <si>
    <t>Elected leaders, such s National AssemblyMembers, Stte Governors or Local government councilors</t>
  </si>
  <si>
    <t>Elected leaders, such s Parliamentrins or locl council chirmen</t>
  </si>
  <si>
    <t>MDGSCR</t>
  </si>
  <si>
    <t>Q30 Voted lst election</t>
  </si>
  <si>
    <t>Q32. Contct Local government councillor</t>
  </si>
  <si>
    <t xml:space="preserve"> Municipal Councilor</t>
  </si>
  <si>
    <t>Member of the Municipal ssembly</t>
  </si>
  <si>
    <t>Member of  Villge Development Council</t>
  </si>
  <si>
    <t>Municipal ssembly</t>
  </si>
  <si>
    <t>Local Government councillor</t>
  </si>
  <si>
    <t>Local Government Councillor</t>
  </si>
  <si>
    <t xml:space="preserve"> Municipal Councillor</t>
  </si>
  <si>
    <t>Q32b. Contct MP</t>
  </si>
  <si>
    <t xml:space="preserve"> Representative of the National Assembly</t>
  </si>
  <si>
    <t>Representative of the National ssembly</t>
  </si>
  <si>
    <t>Representative of the National Assembly</t>
  </si>
  <si>
    <t xml:space="preserve"> Member of National Assembly</t>
  </si>
  <si>
    <t xml:space="preserve"> Deputy</t>
  </si>
  <si>
    <t>Q36c. One -mn rule</t>
  </si>
  <si>
    <t>Q40. Parliament mkes laws vs. president does</t>
  </si>
  <si>
    <t>Q41. President free to ct vs. obey the laws and courts</t>
  </si>
  <si>
    <t>Q45.  Elections free and fir</t>
  </si>
  <si>
    <t>Q55. Trust the President</t>
  </si>
  <si>
    <t>Q55c. Trust the Electorl Commission</t>
  </si>
  <si>
    <t>The utonomous National Electorl Commission</t>
  </si>
  <si>
    <t>The Electorl Commission</t>
  </si>
  <si>
    <t>The Iandepeandent National Electorl Commission (INEC)</t>
  </si>
  <si>
    <t>The Iandepeandent National Electorl Commission (CENI)</t>
  </si>
  <si>
    <t>The Electorl Commission Of Zmbi</t>
  </si>
  <si>
    <t>Q55d. Trust  locl council</t>
  </si>
  <si>
    <t xml:space="preserve"> Municipal Council</t>
  </si>
  <si>
    <t xml:space="preserve"> Elected Local government council</t>
  </si>
  <si>
    <t>The Municipal ssembly</t>
  </si>
  <si>
    <t xml:space="preserve"> ssembly Men/Women</t>
  </si>
  <si>
    <t>our locl Municipal Council</t>
  </si>
  <si>
    <t xml:space="preserve"> Elected Local government councillor</t>
  </si>
  <si>
    <t>Locl council</t>
  </si>
  <si>
    <t xml:space="preserve"> Elected Councillor</t>
  </si>
  <si>
    <t>Prties ligned with the presidentil mjority</t>
  </si>
  <si>
    <t>Q56</t>
  </si>
  <si>
    <t>Q56. Corruption: office of the Presidency</t>
  </si>
  <si>
    <t>Representtives to the National Assembly</t>
  </si>
  <si>
    <t>Q56c. Corruption: Local government councilors</t>
  </si>
  <si>
    <t>Elected Local government councillors</t>
  </si>
  <si>
    <t>ssembly Mn/Womn</t>
  </si>
  <si>
    <t>Elected Villge Development Councillors</t>
  </si>
  <si>
    <t>Elected Local government council</t>
  </si>
  <si>
    <t>Q56d. Corruption: National government officials</t>
  </si>
  <si>
    <t>National Government officials</t>
  </si>
  <si>
    <t>Centrl Government officials</t>
  </si>
  <si>
    <t>Q56e. Corruption: locl government officials</t>
  </si>
  <si>
    <t>Locl Government officials</t>
  </si>
  <si>
    <t>Locl representtives of the government</t>
  </si>
  <si>
    <t>Q60. Time MP should speand</t>
  </si>
  <si>
    <t>representtives to the National Assembly</t>
  </si>
  <si>
    <t>Q61.  Time MP does speand</t>
  </si>
  <si>
    <t>Q62. MPs listen</t>
  </si>
  <si>
    <t>National Assembly representtives</t>
  </si>
  <si>
    <t>Elected Local government councilors</t>
  </si>
  <si>
    <t>Q68</t>
  </si>
  <si>
    <t>Q68. Performnce: President</t>
  </si>
  <si>
    <t>President Rvlomnn</t>
  </si>
  <si>
    <t>President Muthrik</t>
  </si>
  <si>
    <t>President rmando Guebuz</t>
  </si>
  <si>
    <t>President Hifikepunye Pohmb</t>
  </si>
  <si>
    <t>President Obsnjo</t>
  </si>
  <si>
    <t>Presodent Wde</t>
  </si>
  <si>
    <t>President Yoweri Kgutt Museveni</t>
  </si>
  <si>
    <t>President Levy Mwnws</t>
  </si>
  <si>
    <t>Q68b. Performnce: MP/National Assembly rep</t>
  </si>
  <si>
    <t>The Representtives to the National Assembly</t>
  </si>
  <si>
    <t>The representtives to the National Assembly</t>
  </si>
  <si>
    <t xml:space="preserve"> Member of Parliament (MP)</t>
  </si>
  <si>
    <t>Q68c. Performnce: Local government councilor</t>
  </si>
  <si>
    <t xml:space="preserve"> ssembly Mn/Womn</t>
  </si>
  <si>
    <t xml:space="preserve"> Elected Villge Development Councillor</t>
  </si>
  <si>
    <t xml:space="preserve"> Elected Local government councilor</t>
  </si>
  <si>
    <t>our Municipal Councilo</t>
  </si>
  <si>
    <t>Q76</t>
  </si>
  <si>
    <t>Q76. Who responsible: MPs do jobs</t>
  </si>
  <si>
    <t>repesentives of the National Assembly</t>
  </si>
  <si>
    <t>Q76b. Who responsible: locl councilors do jobs</t>
  </si>
  <si>
    <t>villge development councillors</t>
  </si>
  <si>
    <t>Myor and their councilors</t>
  </si>
  <si>
    <t>locl government concilors</t>
  </si>
  <si>
    <t>Q77</t>
  </si>
  <si>
    <t>Q77. Elections ensure Parliament reflects voters</t>
  </si>
  <si>
    <t>presidentil/2003</t>
  </si>
  <si>
    <t>presidentil elections/2004</t>
  </si>
  <si>
    <t>presidentil elections/2001</t>
  </si>
  <si>
    <t>presidentil elections/2002</t>
  </si>
  <si>
    <t>generl elections/2002</t>
  </si>
  <si>
    <t>presidentil elections/2003</t>
  </si>
  <si>
    <t>presidentil elections/2000</t>
  </si>
  <si>
    <t>presidentil elections/2005</t>
  </si>
  <si>
    <t>Q23d. Voted lst election</t>
  </si>
  <si>
    <t>BURKIN FSO</t>
  </si>
  <si>
    <t>CPE VERDE</t>
  </si>
  <si>
    <t>LIBERI</t>
  </si>
  <si>
    <t>Q24</t>
  </si>
  <si>
    <t>Q24. Mke Local government councilors listen</t>
  </si>
  <si>
    <t>locl councillor</t>
  </si>
  <si>
    <t>ssembly mn/womn</t>
  </si>
  <si>
    <t>Locl Government</t>
  </si>
  <si>
    <t>Municipal Councilor or district dministrtor</t>
  </si>
  <si>
    <t>locl uthority councillor</t>
  </si>
  <si>
    <t>Municipal or locl councillor</t>
  </si>
  <si>
    <t>locl councillor listen</t>
  </si>
  <si>
    <t>Q24b. Mke MPs listen</t>
  </si>
  <si>
    <t xml:space="preserve"> Representative to the National Legislature</t>
  </si>
  <si>
    <t xml:space="preserve"> Representative to the ssembly of the Republic</t>
  </si>
  <si>
    <t xml:space="preserve"> Representative to the House ssembly</t>
  </si>
  <si>
    <t>Q25. Contct Local government councillor</t>
  </si>
  <si>
    <t>n   ssembly mn/womn</t>
  </si>
  <si>
    <t xml:space="preserve"> Community Councillor</t>
  </si>
  <si>
    <t xml:space="preserve"> Locl Government official</t>
  </si>
  <si>
    <t xml:space="preserve"> Municipal Councilor orMember of  district council</t>
  </si>
  <si>
    <t xml:space="preserve"> Locl uthority Councillor</t>
  </si>
  <si>
    <t>Q25b. Contct MP</t>
  </si>
  <si>
    <t>Member of  Parliament</t>
  </si>
  <si>
    <t xml:space="preserve"> Member of the National Assembly</t>
  </si>
  <si>
    <t xml:space="preserve"> Member of  Parliament</t>
  </si>
  <si>
    <t xml:space="preserve"> Representative to Parliament</t>
  </si>
  <si>
    <t>Q29c. Reject one-mn rule</t>
  </si>
  <si>
    <t>ssembly of the Republic vs President</t>
  </si>
  <si>
    <t>Q33. President monitored by Parliament vs. free to ct on own</t>
  </si>
  <si>
    <t>Q36. Parliament mkes laws vs. president does</t>
  </si>
  <si>
    <t>Q37. President free to ct vs. obey the laws and courts</t>
  </si>
  <si>
    <t>Q38. Presidentil two term limit vs. no term limits</t>
  </si>
  <si>
    <t>Q49</t>
  </si>
  <si>
    <t>Q49. Trust president</t>
  </si>
  <si>
    <t>The President of Fso</t>
  </si>
  <si>
    <t>The new President Kglem Motlnthe</t>
  </si>
  <si>
    <t>The lte President</t>
  </si>
  <si>
    <t>Q49b. Trust Parliament/National Assembly</t>
  </si>
  <si>
    <t>The ssembly of the Republic</t>
  </si>
  <si>
    <t>Q49c. Trust National electorl commission</t>
  </si>
  <si>
    <t>The Iandepeandent Electorl Commission (IEC)</t>
  </si>
  <si>
    <t>The National Iandepeandent  Electorl Commission</t>
  </si>
  <si>
    <t>The National Electorl Commission of Cpe Verde</t>
  </si>
  <si>
    <t>The Electorl Commission of Ghn</t>
  </si>
  <si>
    <t>The National Elections Commission of Liberi</t>
  </si>
  <si>
    <t>The Mlawi Electorl Commission</t>
  </si>
  <si>
    <t>The Electorl Commission of Nmibi</t>
  </si>
  <si>
    <t>The utonomous National Electorl Commission (CEN)</t>
  </si>
  <si>
    <t>The Electorl Commission of Ugand</t>
  </si>
  <si>
    <t>The Electorl Commission of Zmbi</t>
  </si>
  <si>
    <t>The Zimbbwe Electorl Commission</t>
  </si>
  <si>
    <t>Q49d. Trust Elected Local government council</t>
  </si>
  <si>
    <t>Elected Municipal Council</t>
  </si>
  <si>
    <t xml:space="preserve"> Metropolitn, Municipal or District ssembly</t>
  </si>
  <si>
    <t xml:space="preserve"> Elected Community Council</t>
  </si>
  <si>
    <t xml:space="preserve"> Locl Government</t>
  </si>
  <si>
    <t xml:space="preserve"> District  ssembly</t>
  </si>
  <si>
    <t xml:space="preserve"> Municipal ssembly or District Council</t>
  </si>
  <si>
    <t xml:space="preserve"> Elected Locl uthority Council</t>
  </si>
  <si>
    <t xml:space="preserve"> Elected Locl Council</t>
  </si>
  <si>
    <t>The Ruling party/Colition</t>
  </si>
  <si>
    <t>Q50</t>
  </si>
  <si>
    <t>Q50. Corruption: office of the Presidency</t>
  </si>
  <si>
    <t>President Kglem Motlnthe /His</t>
  </si>
  <si>
    <t>Representtives to the National Legislature</t>
  </si>
  <si>
    <t>Representtives to the ssembly of the Republic</t>
  </si>
  <si>
    <t>Representtives to the Parliament</t>
  </si>
  <si>
    <t>Q50c. Corruption: Local government councilors</t>
  </si>
  <si>
    <t>Elected ssembly men/women</t>
  </si>
  <si>
    <t>Municipal Councilors orMembers of the District Council</t>
  </si>
  <si>
    <t>Elected Locl uthority Councillors</t>
  </si>
  <si>
    <t>Q52. Most importnt responsibility of MP</t>
  </si>
  <si>
    <t>Representtives to the Ntionl</t>
  </si>
  <si>
    <t>Q53</t>
  </si>
  <si>
    <t>Q53. Time MPs should speand</t>
  </si>
  <si>
    <t>Representative to the ssembly of the Republic</t>
  </si>
  <si>
    <t>Representative to the House of ssembly</t>
  </si>
  <si>
    <t>Q53b. Time MP does speand</t>
  </si>
  <si>
    <t>Q54</t>
  </si>
  <si>
    <t>Q54. MPs listen</t>
  </si>
  <si>
    <t>Elected locl government  councillors</t>
  </si>
  <si>
    <t>ssembly men / women</t>
  </si>
  <si>
    <t>Municipal Councilors ouMembers of the District Council</t>
  </si>
  <si>
    <t>Q54c.Traditional Leaders listen</t>
  </si>
  <si>
    <t>Q55. MPs benefit locl community vs. whole country</t>
  </si>
  <si>
    <t>Representative to the National Assembly,</t>
  </si>
  <si>
    <t xml:space="preserve"> Representative to the ssembly</t>
  </si>
  <si>
    <t>Representative to the Parliament</t>
  </si>
  <si>
    <t>Q70</t>
  </si>
  <si>
    <t>Q70. Performnce: President</t>
  </si>
  <si>
    <t>President Boni YYI</t>
  </si>
  <si>
    <t>President Blise COMPORE</t>
  </si>
  <si>
    <t>President J. . Kufuor</t>
  </si>
  <si>
    <t>President Mwi Kibki</t>
  </si>
  <si>
    <t>President Ellen Johnson Sirlef</t>
  </si>
  <si>
    <t>President Mrc Rvlomnn</t>
  </si>
  <si>
    <t>President Bingu w Muthrik</t>
  </si>
  <si>
    <t>President TT (mdou Toumni Toure)</t>
  </si>
  <si>
    <t>President Mus Yr’ du</t>
  </si>
  <si>
    <t>President bdoulye WDE</t>
  </si>
  <si>
    <t>The former President Thbo Mbeki</t>
  </si>
  <si>
    <t>President Rupih Band</t>
  </si>
  <si>
    <t>President Robert Mugbe</t>
  </si>
  <si>
    <t>Q70b. Performnce: MP/National Assembly rep</t>
  </si>
  <si>
    <t xml:space="preserve"> Representative to the House of ssembly</t>
  </si>
  <si>
    <t>Q70c. Performnce: Local government councilor</t>
  </si>
  <si>
    <t>President In Khm</t>
  </si>
  <si>
    <t xml:space="preserve"> Elected ssembly mn/womn</t>
  </si>
  <si>
    <t xml:space="preserve"> Elected Community Councillor</t>
  </si>
  <si>
    <t xml:space="preserve"> Locl Government officials</t>
  </si>
  <si>
    <t xml:space="preserve"> Municipal Councilor or District dministrtor</t>
  </si>
  <si>
    <t xml:space="preserve"> Elected Locl uthority Councillors</t>
  </si>
  <si>
    <t>Q71.  Elections free and fir</t>
  </si>
  <si>
    <t>Q72</t>
  </si>
  <si>
    <t>Q72. Elections ensure Parliament reflects voters</t>
  </si>
  <si>
    <t>Members of the National ssemly</t>
  </si>
  <si>
    <t>the Representtives to the National Assembly</t>
  </si>
  <si>
    <t>Q73</t>
  </si>
  <si>
    <t>Q73. Who responsible: MPs do jobs</t>
  </si>
  <si>
    <t>Q73b. Who responsible: locl councilors do jobs</t>
  </si>
  <si>
    <t>ssembly men/women</t>
  </si>
  <si>
    <t>locl government officials</t>
  </si>
  <si>
    <t>District ssembly</t>
  </si>
  <si>
    <t>Municipal Councilors or district dministrtors</t>
  </si>
  <si>
    <t>locl uthority councillors</t>
  </si>
  <si>
    <t>LGERI</t>
  </si>
  <si>
    <t>Voting in the most recent National election</t>
  </si>
  <si>
    <t xml:space="preserve">BOTSWN </t>
  </si>
  <si>
    <t xml:space="preserve">CBO VERDE </t>
  </si>
  <si>
    <t>ETHIOPI</t>
  </si>
  <si>
    <t xml:space="preserve">GHN </t>
  </si>
  <si>
    <t xml:space="preserve">KENY  </t>
  </si>
  <si>
    <t xml:space="preserve">LIBERI  </t>
  </si>
  <si>
    <t xml:space="preserve">MlawI </t>
  </si>
  <si>
    <t xml:space="preserve">NMIBI </t>
  </si>
  <si>
    <t xml:space="preserve">NIGERI </t>
  </si>
  <si>
    <t>SIERR LEONE</t>
  </si>
  <si>
    <t>SUDN</t>
  </si>
  <si>
    <t xml:space="preserve">TUNISI </t>
  </si>
  <si>
    <t xml:space="preserve">UGand  </t>
  </si>
  <si>
    <t>Freeness and firness of the lst National election</t>
  </si>
  <si>
    <t>Lst National election: tteand  cmpign meeting or rlly</t>
  </si>
  <si>
    <t xml:space="preserve"> Lst National election: persude others to vote for  certin candidte or party</t>
  </si>
  <si>
    <t xml:space="preserve"> Lst National election: work for  candidte or party</t>
  </si>
  <si>
    <t xml:space="preserve"> Reject one-mn rule</t>
  </si>
  <si>
    <t>Elections and the National Assembly re bolished so tht the President cn decide everything.</t>
  </si>
  <si>
    <t>President monitored by Parliament vs. free to ct on own</t>
  </si>
  <si>
    <t xml:space="preserve"> Parliament mkes laws vs. president does</t>
  </si>
  <si>
    <t xml:space="preserve"> representtives to the National Assembly</t>
  </si>
  <si>
    <t xml:space="preserve"> President free to ct vs. obey the laws and courts</t>
  </si>
  <si>
    <t>Level of democrcy: ten yers go</t>
  </si>
  <si>
    <t>2002 [Uander President Bkili Muluzi]?</t>
  </si>
  <si>
    <t>Our country ten yers go, in 2001?</t>
  </si>
  <si>
    <t>Sudn ten yers go, in 2003?</t>
  </si>
  <si>
    <t>Tunisi ten yers go, in 2003?</t>
  </si>
  <si>
    <t>Our country ten yers go, in 2002?</t>
  </si>
  <si>
    <t>Level of democrcy: uander previous non-democrtic regime</t>
  </si>
  <si>
    <t>Our country uander one party rule before 1990</t>
  </si>
  <si>
    <t>Egypt uander the rule of Mohmmd Hosni Mubrk?</t>
  </si>
  <si>
    <t>Derg Militry Government</t>
  </si>
  <si>
    <t>Provisionl National Defense Council (PandC)</t>
  </si>
  <si>
    <t>militry rule</t>
  </si>
  <si>
    <t>Our country uander the People’s Redemption Council (PRC) of Smuel Doe</t>
  </si>
  <si>
    <t>Our country uander one party rule uander Dr. Kmuzu Band</t>
  </si>
  <si>
    <t>Morocco uander French colonil rule?</t>
  </si>
  <si>
    <t>Our country uander One party regime</t>
  </si>
  <si>
    <t>Our country uander South Africarule?</t>
  </si>
  <si>
    <t>Our country uander millitry</t>
  </si>
  <si>
    <t>Our country uander the National Provincil Ruling Council (NPRC)</t>
  </si>
  <si>
    <t>Our country uander prtheid?</t>
  </si>
  <si>
    <t>Our country uander the rule of previous prties (the third democrcy)?</t>
  </si>
  <si>
    <t>Our country uander Mwlimu Julius Nyerere’s one-party rule?</t>
  </si>
  <si>
    <t>Tunisi uander Zine El bidine Ben li’s rule?</t>
  </si>
  <si>
    <t>Our country uander the Milton Obote II regime</t>
  </si>
  <si>
    <t>Our country uander uander President Kenneth Kuand’s one-party rule?.</t>
  </si>
  <si>
    <t>Our country uander colonilism (In Smith regime)</t>
  </si>
  <si>
    <t>Level of democrcy: in the future</t>
  </si>
  <si>
    <t>and on the sme scle, where would you wnt our country to be in the future?</t>
  </si>
  <si>
    <t>and on the sme scle, where would you wnt Egypt to be in the future?</t>
  </si>
  <si>
    <t>Level of democrcy: former Colonil Power</t>
  </si>
  <si>
    <t>Britin, the United Kingdom or UK</t>
  </si>
  <si>
    <t>Q59</t>
  </si>
  <si>
    <t>. The President</t>
  </si>
  <si>
    <t>President Joyce Band</t>
  </si>
  <si>
    <t>Trust Parliament/National Assembly</t>
  </si>
  <si>
    <t>The House of Peoples’ Representtives</t>
  </si>
  <si>
    <t>The House of Representtives</t>
  </si>
  <si>
    <t>Trust National electorl commission</t>
  </si>
  <si>
    <t>The National Electorl Bord</t>
  </si>
  <si>
    <t>C. The Electorl Commission</t>
  </si>
  <si>
    <t>Iandepeandent Electorl and Bouandries Commission</t>
  </si>
  <si>
    <t>Iandepeandent National Electorl Commission (INEC)</t>
  </si>
  <si>
    <t>The National Electorl Commission (NEC)</t>
  </si>
  <si>
    <t>The Electorl Commission (Not sked in Tunisi)</t>
  </si>
  <si>
    <t>The Electorl Commission of Zmbi or ECZ</t>
  </si>
  <si>
    <t>The Zimbbwe Electorl Commission (ZEC)</t>
  </si>
  <si>
    <t>Trust Tax deprtment</t>
  </si>
  <si>
    <t>The Tax Deprtment</t>
  </si>
  <si>
    <t>The Botswn Unified Revenue Services</t>
  </si>
  <si>
    <t>Ministry of Finnce Tax officials</t>
  </si>
  <si>
    <t>The Ethiopin Revenues and Tax uthority or ERC</t>
  </si>
  <si>
    <t>D. The Tax Deprtment (i.e. Ghn Revenue uthority)</t>
  </si>
  <si>
    <t>Keny Revenue uthority</t>
  </si>
  <si>
    <t>Lesotho Revenue uthority</t>
  </si>
  <si>
    <t>The Revenue Deprtment</t>
  </si>
  <si>
    <t>The Mlawi Revenue uthority</t>
  </si>
  <si>
    <t>Mozmbique Revenue uthority</t>
  </si>
  <si>
    <t>The Ministry of Finnce, Inland Revenue</t>
  </si>
  <si>
    <t>Federl Inland Revenue</t>
  </si>
  <si>
    <t>The National Revenue uthority (NR)</t>
  </si>
  <si>
    <t>The South AfricaRevenue Service (SRS)</t>
  </si>
  <si>
    <t>The Tnzni Revenue uthority (TR)</t>
  </si>
  <si>
    <t>Ugand Revenue uthority</t>
  </si>
  <si>
    <t>The Zmbi Revenue uthority or ZR</t>
  </si>
  <si>
    <t>Zimbbwe Revenue uthority (ZIMR)</t>
  </si>
  <si>
    <t>Trust Elected Local government council</t>
  </si>
  <si>
    <t>E.  Metropolitn, Municipal or District ssembly</t>
  </si>
  <si>
    <t xml:space="preserve"> Community Council</t>
  </si>
  <si>
    <t xml:space="preserve"> Municipal Councilor or Member of the District Council</t>
  </si>
  <si>
    <t xml:space="preserve"> Locl uthority Council, tht is the district, city or Municipal Council.</t>
  </si>
  <si>
    <t>The Ruling party- EPRDF</t>
  </si>
  <si>
    <t>F. The Ruling party</t>
  </si>
  <si>
    <t>The Ruling Colition</t>
  </si>
  <si>
    <t>The Ruling Colition government</t>
  </si>
  <si>
    <t>ZNU-PF fter the Inclusive Government</t>
  </si>
  <si>
    <t>Trust opposition Political Parties</t>
  </si>
  <si>
    <t>Opposition Political Parties, you know, such s UDM, Nrck-Keny, Sfin and KDDU</t>
  </si>
  <si>
    <t>Oposition Political Parties</t>
  </si>
  <si>
    <t>Trust rmy</t>
  </si>
  <si>
    <t>The rmy</t>
  </si>
  <si>
    <t>I. The rmy</t>
  </si>
  <si>
    <t>rmy</t>
  </si>
  <si>
    <t xml:space="preserve">The  President and officials in his Office </t>
  </si>
  <si>
    <t>The President and officials in his Office</t>
  </si>
  <si>
    <t>The Prime Minister and officials in his Office</t>
  </si>
  <si>
    <t>. The President and officials in his Office</t>
  </si>
  <si>
    <t>The President and officials in her Office</t>
  </si>
  <si>
    <t>President Joyce Band and officials in her Office</t>
  </si>
  <si>
    <t>The Prime Minister and officials in his Offic</t>
  </si>
  <si>
    <t>Members of the House of Peoples’ Representtives</t>
  </si>
  <si>
    <t>Members of the House of Representtives</t>
  </si>
  <si>
    <t>Members of the ssembly of the Republic</t>
  </si>
  <si>
    <t>Corruption: Local government councillors</t>
  </si>
  <si>
    <t>Members of locl councils</t>
  </si>
  <si>
    <t>D. ssembly men and women</t>
  </si>
  <si>
    <t>Locl uthority Councillors</t>
  </si>
  <si>
    <t>Locl uthority Councilors</t>
  </si>
  <si>
    <t>Police / National Geandrmrie</t>
  </si>
  <si>
    <t>Ministry of Finnce officials or Locl Government Tax collectors</t>
  </si>
  <si>
    <t>Botswn Unified Revenue Services officials or Locl Government Tax collectors</t>
  </si>
  <si>
    <t>Ethiopin Revenues and Tax uthority or ERC officials or Regionl Stte or locl Tax collectors</t>
  </si>
  <si>
    <t>F. Tax officials (i.e. Ghn Revenue uthority officials)</t>
  </si>
  <si>
    <t>Keny Revenue uthority and locl government Tax collectors</t>
  </si>
  <si>
    <t>Lesotho Revenue uthority or Locl Government Tax collectors</t>
  </si>
  <si>
    <t>Deprtment of Revenue officials in the Ministry of Finnce or City Government Tax collectors</t>
  </si>
  <si>
    <t>Mlawi Revenue uthority officials or Locl Government Tax collectors</t>
  </si>
  <si>
    <t>Mozmbique Revenue uthority officials or Customs officials and locl government Tax collectors</t>
  </si>
  <si>
    <t>Ministry of Finnce and Inland Revenue officials</t>
  </si>
  <si>
    <t>officials of Federl Inland Revenue</t>
  </si>
  <si>
    <t>National Revenue uthority officials or Locl Government Tax collectors</t>
  </si>
  <si>
    <t>TR officials or Locl Government Tax collectors</t>
  </si>
  <si>
    <t>UR officials or Locl Government Tax collectors</t>
  </si>
  <si>
    <t>such s- Zmbi Revenue uthority (ZR) officials or Locl Government Tax collectors</t>
  </si>
  <si>
    <t>the Zimbbwe Revenue uthority.</t>
  </si>
  <si>
    <t>Corruption: judges and mgistrtes</t>
  </si>
  <si>
    <t>Judges and Mgistrtes</t>
  </si>
  <si>
    <t>G. Judges and Mgistrtes</t>
  </si>
  <si>
    <t>ssembly men and women</t>
  </si>
  <si>
    <t xml:space="preserve"> Most importnt problems - 1st response</t>
  </si>
  <si>
    <t>Q66</t>
  </si>
  <si>
    <t xml:space="preserve"> Locl govt. handling mintining rods</t>
  </si>
  <si>
    <t>Municipal or Local government council</t>
  </si>
  <si>
    <t xml:space="preserve"> Performnce: President/Prime Minister</t>
  </si>
  <si>
    <t>President Bouteflik</t>
  </si>
  <si>
    <t>President Jorge Crlos Fonsec, The Prime-Minister – José Mri Neves</t>
  </si>
  <si>
    <t>President Mohmmd Morsi</t>
  </si>
  <si>
    <t>Performnce: MP/National Assembly rep</t>
  </si>
  <si>
    <t xml:space="preserve"> Performnce: Local government councillor</t>
  </si>
  <si>
    <t>Elected Local government councilor</t>
  </si>
  <si>
    <t>Elected Myor</t>
  </si>
  <si>
    <t>Elected Local government councilor Blocked for Egypt</t>
  </si>
  <si>
    <t xml:space="preserve"> Member of the Constitution Drfting Committee</t>
  </si>
  <si>
    <t>Who responsible: locl councillors do jobs</t>
  </si>
  <si>
    <t>Proud of ntionlity</t>
  </si>
  <si>
    <t>lgerin</t>
  </si>
  <si>
    <t>presidentil election</t>
  </si>
  <si>
    <t>presidetil election</t>
  </si>
  <si>
    <t>Q21. Voting in the most recent National election</t>
  </si>
  <si>
    <t>BURUandI</t>
  </si>
  <si>
    <t>CMEROON</t>
  </si>
  <si>
    <t>ESWTINI</t>
  </si>
  <si>
    <t>GBON</t>
  </si>
  <si>
    <t>GUINE</t>
  </si>
  <si>
    <t>MURITIUS</t>
  </si>
  <si>
    <t>SO TOME and PRINCIPE</t>
  </si>
  <si>
    <t>TUNISI</t>
  </si>
  <si>
    <t>Q22. Freeness and firness of the lst National election</t>
  </si>
  <si>
    <t>Q23. Lst National election: tteand  cmpign rlly</t>
  </si>
  <si>
    <t>Q23b. Lst National election: tteand  cmpign meeting</t>
  </si>
  <si>
    <t>Q23c. Lst National election: persude others to vote for  certin candidte or party</t>
  </si>
  <si>
    <t>Q23d. Lst National election: work for  candidte or party</t>
  </si>
  <si>
    <t>Q24. Contct Local government councilor</t>
  </si>
  <si>
    <t xml:space="preserve"> Municipal or deprtmentl councilor</t>
  </si>
  <si>
    <t>n ssembly mn or womn</t>
  </si>
  <si>
    <t xml:space="preserve"> communl councilor</t>
  </si>
  <si>
    <t xml:space="preserve"> loclMember of County ssembly</t>
  </si>
  <si>
    <t xml:space="preserve"> locl uthority councilor</t>
  </si>
  <si>
    <t>N/</t>
  </si>
  <si>
    <t xml:space="preserve"> Municipal or district councilor</t>
  </si>
  <si>
    <t xml:space="preserve"> Municipal Councilor or director of district services</t>
  </si>
  <si>
    <t xml:space="preserve">.  Locl uthority Councilor
1-NM  Regionl Councilor
</t>
  </si>
  <si>
    <t xml:space="preserve"> prefecturl / Municipal Councillor</t>
  </si>
  <si>
    <t>Q24b. Contct MP</t>
  </si>
  <si>
    <t xml:space="preserve"> deputy or  Sentor</t>
  </si>
  <si>
    <t>B.	 Member of Parliament (MP)
B1-GB	 Parliamentry sentor</t>
  </si>
  <si>
    <t xml:space="preserve"> deputy/member of the National Assembly</t>
  </si>
  <si>
    <t xml:space="preserve"> Member of House of Representtives</t>
  </si>
  <si>
    <t xml:space="preserve"> Member of ssembly of the Republic</t>
  </si>
  <si>
    <t xml:space="preserve">B.  Member of the National Assembly
B1-NM  National Council Representtive
</t>
  </si>
  <si>
    <t xml:space="preserve"> Member of Parliament
</t>
  </si>
  <si>
    <t>Q24c. Contct official of  government gency</t>
  </si>
  <si>
    <t>n official of  government gency</t>
  </si>
  <si>
    <t xml:space="preserve"> government official</t>
  </si>
  <si>
    <t>Employee of  certin government institution (Public Servnt)</t>
  </si>
  <si>
    <t>n official of the centrl government</t>
  </si>
  <si>
    <t>Q24d. Contct politicl party official</t>
  </si>
  <si>
    <t xml:space="preserve"> politicl party official</t>
  </si>
  <si>
    <t>Employee of  politicl party</t>
  </si>
  <si>
    <t>Q24e. ContctTraditional Leader</t>
  </si>
  <si>
    <t>Traditional Leader</t>
  </si>
  <si>
    <t xml:space="preserve"> Traditionalchief</t>
  </si>
  <si>
    <t xml:space="preserve"> customry chief</t>
  </si>
  <si>
    <t xml:space="preserve"> trditionl/customry chief</t>
  </si>
  <si>
    <t>leaders in public ffirs/chiefs (Traditional Leaders)</t>
  </si>
  <si>
    <t>Q26</t>
  </si>
  <si>
    <t>Q26. Citizens vote</t>
  </si>
  <si>
    <t>Q36. Medi checks government vs. void negtive reporting</t>
  </si>
  <si>
    <t>Q37. Parliament mkes laws vs. president does</t>
  </si>
  <si>
    <t>Members of National ssemply vs President</t>
  </si>
  <si>
    <t>House of Representtives vs President/he</t>
  </si>
  <si>
    <t>House of Representtives vs President</t>
  </si>
  <si>
    <t>National ssemmbly vs President</t>
  </si>
  <si>
    <t>Q38. President free to ct vs. obey the laws and courts</t>
  </si>
  <si>
    <t>Q39. Presidentil two term limit vs. no term limits</t>
  </si>
  <si>
    <t>Q45e. How often president ignores Parliament</t>
  </si>
  <si>
    <t>Q52. Trust president</t>
  </si>
  <si>
    <t>. The President of the Republic
1-CVE. The Prime Minister</t>
  </si>
  <si>
    <t xml:space="preserve">1_SWZ.
The King
.
The Prime Minister
</t>
  </si>
  <si>
    <t xml:space="preserve">.
The Prime Minister
1-MU
The President
</t>
  </si>
  <si>
    <t xml:space="preserve">. The President of the Republic
1-MOZ The Prime Minister
</t>
  </si>
  <si>
    <t xml:space="preserve">.
The President
1-NM
The Prime Minister
</t>
  </si>
  <si>
    <t>Q52b. Trust Parliament/National Assembly</t>
  </si>
  <si>
    <t>Members of National ssemply</t>
  </si>
  <si>
    <t>The Parliament, i.e., the National Assembly and the Sente</t>
  </si>
  <si>
    <t>House of Representtives</t>
  </si>
  <si>
    <t>ssembly of the Republic</t>
  </si>
  <si>
    <t xml:space="preserve">B. The National Assembly
B1-NM The National Council
</t>
  </si>
  <si>
    <t>Q52c. Trust National electorl commission</t>
  </si>
  <si>
    <t>The National Iandepeandent Electorl Commission</t>
  </si>
  <si>
    <t>Elections Cmeroon or ELECM</t>
  </si>
  <si>
    <t>The Elections and Bouandries Commission</t>
  </si>
  <si>
    <t>The National utonomous and Permnent Electorl Commission (CENP)</t>
  </si>
  <si>
    <t>Iandepeandent Electorl Commission</t>
  </si>
  <si>
    <t>The Iandepeandent National Electorl Commission (CENI-T)</t>
  </si>
  <si>
    <t>The Iandepeandent National Electorl Commission or INEC</t>
  </si>
  <si>
    <t>The National utonomous Electorl Commission</t>
  </si>
  <si>
    <t xml:space="preserve">C. The Iandepeandent Electorl Commission(IEC)
C1-SF The Premier of this province
</t>
  </si>
  <si>
    <t>The Ugand Electorl Commission</t>
  </si>
  <si>
    <t>The Zimbbwe Electorl Commission (ZEC</t>
  </si>
  <si>
    <t>Q52d. Trust Tax deprtment</t>
  </si>
  <si>
    <t>The Tax deprtment</t>
  </si>
  <si>
    <t xml:space="preserve">	The Buruandi Revenue uthority (OBR)</t>
  </si>
  <si>
    <t>Finnce officials</t>
  </si>
  <si>
    <t>The Directorte Generl of Taxes</t>
  </si>
  <si>
    <t>Swziland Revenue uthority</t>
  </si>
  <si>
    <t>The Tax Deprtment (i.e. Ghn Revenue uthority)</t>
  </si>
  <si>
    <t>The National Tax Directorte</t>
  </si>
  <si>
    <t>Tax Revenue uthority (or Revenue Collection Centre)</t>
  </si>
  <si>
    <t>The Muritius Revenue uthority (MR)</t>
  </si>
  <si>
    <t>The  Generl Tax Directorte</t>
  </si>
  <si>
    <t>The Mozmbique Tax uthority</t>
  </si>
  <si>
    <t xml:space="preserve">D. The Ministry of Finnce, Inland Revenue
D1-NM  Regionl Council
</t>
  </si>
  <si>
    <t>The Federl Inland Revenue Services</t>
  </si>
  <si>
    <t>The Ministry of Finnce and Public dministrtion</t>
  </si>
  <si>
    <t>The National Revenue uthority or NR</t>
  </si>
  <si>
    <t>The South AfricaRevenue Services orSRS</t>
  </si>
  <si>
    <t>The Ugand  Revenue uthority</t>
  </si>
  <si>
    <t>Zmbi Revenue uthority (ZR)</t>
  </si>
  <si>
    <t>Q52e. Trust Elected Local government council</t>
  </si>
  <si>
    <t xml:space="preserve"> Municipal / communl council</t>
  </si>
  <si>
    <t>The Municipal Executive (Myor and councilors)</t>
  </si>
  <si>
    <t xml:space="preserve"> Municipal/communl council</t>
  </si>
  <si>
    <t xml:space="preserve"> Municipal / deprtmentl council</t>
  </si>
  <si>
    <t xml:space="preserve"> locl council</t>
  </si>
  <si>
    <t xml:space="preserve">E.  County ssembly 
E1-KEN  County Governor 
</t>
  </si>
  <si>
    <t xml:space="preserve"> communl council</t>
  </si>
  <si>
    <t xml:space="preserve"> Municipal or District Council</t>
  </si>
  <si>
    <t xml:space="preserve">E.  Locl Government (district or Municipal)
E1-MOZ  Provincil Government
</t>
  </si>
  <si>
    <t xml:space="preserve">E.  Locl uthority Council
E1-NM  ppointed Regionl Governor
</t>
  </si>
  <si>
    <t>Municipal Council</t>
  </si>
  <si>
    <t>Municipal / communl council</t>
  </si>
  <si>
    <t>Council of Stte</t>
  </si>
  <si>
    <t xml:space="preserve"> prefecturl / Municipal Council</t>
  </si>
  <si>
    <t xml:space="preserve"> District Council</t>
  </si>
  <si>
    <t>The prties of the presidentil movement</t>
  </si>
  <si>
    <t>Pro-presidentil prties</t>
  </si>
  <si>
    <t>The Ruling Colition (Jubilee)</t>
  </si>
  <si>
    <t>Colition Government
Bsotho National Council
National Dilogue Forum (or Council of National Government by the People)
Bsotho National party</t>
  </si>
  <si>
    <t>The presidentil mjority prties</t>
  </si>
  <si>
    <t>Prties of the presidentil movement</t>
  </si>
  <si>
    <t>Q52g. Trust opposition Political Parties</t>
  </si>
  <si>
    <t>Q52i. Trust rmy</t>
  </si>
  <si>
    <t>Keny Defense Force (KDF)</t>
  </si>
  <si>
    <t>Ugand Peoples Defence Force (UPDF)</t>
  </si>
  <si>
    <t>The courts and tribunls</t>
  </si>
  <si>
    <t>Q52k. TrustTraditional Leaders</t>
  </si>
  <si>
    <t>K.Traditional Leaders (Chiefs)
K1_SWZ.Traditional Leaders (Bucopho)</t>
  </si>
  <si>
    <t>Customry chiefs</t>
  </si>
  <si>
    <t>The customry chiefs</t>
  </si>
  <si>
    <t>Q53. Corruption: office of the Presidency</t>
  </si>
  <si>
    <t>The President and officials of his Cbinet
The Prime Minister and officials of his Cbinet</t>
  </si>
  <si>
    <t>officials in the Presidency</t>
  </si>
  <si>
    <t>. The Prime Minister and officials in his Office 
1-MU The President and officials in his Office</t>
  </si>
  <si>
    <t xml:space="preserve">. The President and officials in his Office 
1-NM The Prime Minister
</t>
  </si>
  <si>
    <t xml:space="preserve">The President and officials in his Office 
</t>
  </si>
  <si>
    <t>The deputies and sentors of Parliament</t>
  </si>
  <si>
    <t xml:space="preserve">B. Members of Parliament
  B1-GH. Electorl Commission officials
</t>
  </si>
  <si>
    <t>Members of ssembly of the Republic</t>
  </si>
  <si>
    <t xml:space="preserve">B.
Members of the National Assembly
B1-NM
Representtives to the National Council
</t>
  </si>
  <si>
    <t>Public officials</t>
  </si>
  <si>
    <t>TheMembers of the Government</t>
  </si>
  <si>
    <t>Q53d. Corruption: Local government councilors</t>
  </si>
  <si>
    <t>Municipal/communl councilors</t>
  </si>
  <si>
    <t>The Municipal/communl councilors</t>
  </si>
  <si>
    <t>Municipal/Deprtmentl Councilors</t>
  </si>
  <si>
    <t xml:space="preserve">D. ssembly men and women
  D1-GH. District Chief Executives
</t>
  </si>
  <si>
    <t>Communl councilors</t>
  </si>
  <si>
    <t xml:space="preserve">Members of  County ssembly
D1-KEN  County Governor and officials in his Office
</t>
  </si>
  <si>
    <t>Community or urbn councillors</t>
  </si>
  <si>
    <t>Communl/Municipal Councilors</t>
  </si>
  <si>
    <t xml:space="preserve">D. Local government councilors (Municipal and district)
D1-MOZ Provincil governors
</t>
  </si>
  <si>
    <t xml:space="preserve">D. Locl uthority Councilors
D1-NM Regionl Councilors
D2-NM Regionl Governors
</t>
  </si>
  <si>
    <t>Municipal/communl councillors</t>
  </si>
  <si>
    <t>Police / Geandrmerie officers</t>
  </si>
  <si>
    <t xml:space="preserve">E.Police
E1-KEN Members of the Keny Defense Forces (KDF)
</t>
  </si>
  <si>
    <t xml:space="preserve">E. Police
E1-UG Members of the Ugand Peoples Defense Forces (UPDF)
</t>
  </si>
  <si>
    <t>Q53f. Corruption: Tax officials</t>
  </si>
  <si>
    <t>Ministry of Finnce officials or Locl Tax collectors</t>
  </si>
  <si>
    <t>Tax gents, such s gents of the Ministry of Finnce or locl Tax collectors</t>
  </si>
  <si>
    <t xml:space="preserve"> Botswn Unified Revenue Services officials</t>
  </si>
  <si>
    <t>Tax officials, such s gents from the Ministry of Economy and Finnce or locl Tax collectors</t>
  </si>
  <si>
    <t>OBR gents, such s gents of the Ministry of Finnce or locl Tax collectors</t>
  </si>
  <si>
    <t>The Tax gents, such s gents of the Ministry of Finnce</t>
  </si>
  <si>
    <t>Tax gents, such s gents of the Ministry to the Prime Minister in chrge of the economy and finnce or locl Tax collectors</t>
  </si>
  <si>
    <t xml:space="preserve">Ministry of Finnce officials or Locl Government Tax collectors
</t>
  </si>
  <si>
    <t>Swziland Revenue uthority officials</t>
  </si>
  <si>
    <t>Tax officials, such s gents from the Ministry of Finnce or locl Tax collectors</t>
  </si>
  <si>
    <t>Tax officials (i.e. Ghn Revenue uthority officials)</t>
  </si>
  <si>
    <t>officials of Keny Revenue uthority (KR)</t>
  </si>
  <si>
    <t>Lesotho Revenue uthority or LR</t>
  </si>
  <si>
    <t>Deprtment of Revenue officials in the  Ministry of Finnce or City Government Tax collectors</t>
  </si>
  <si>
    <t>Tax officials, such s gents of the Ministry of Finnce and Budget or locl Tax collectors</t>
  </si>
  <si>
    <t>Mlawi Revenue uthority officials</t>
  </si>
  <si>
    <t>Tax officials, such s gents of the Ministry of Finnce or locl Tax collectors</t>
  </si>
  <si>
    <t>Muritius Revenue uthority officials or Locl Government Tax collectors</t>
  </si>
  <si>
    <t>Generl Tax Directorte officials or Locl Government Tax collectors</t>
  </si>
  <si>
    <t>Mozmbique Tax uthority officials or Locl Government Tax collectors</t>
  </si>
  <si>
    <t>Ministry of Finnce officials or Inland Revenue officials</t>
  </si>
  <si>
    <t>Tax gents, such s gents of the General Directorate of Taxes (DGI) locl Tax collectors</t>
  </si>
  <si>
    <t>the Federl Inland Revenue Service officials or Locl Government Tax collectors</t>
  </si>
  <si>
    <t>Ministry of  Finnce and Public dministrtion  officials or Locl Government Tax collectors</t>
  </si>
  <si>
    <t>South AfricaRevenue Servicesofficials or Locl Government Tax collectors</t>
  </si>
  <si>
    <t>the Tnzni Revenue uthority (TR) officials or Locl Government Tax collectors</t>
  </si>
  <si>
    <t>Tax gents, such s gents of the Togolese Revenue Office or locl Tax collectors</t>
  </si>
  <si>
    <t>Ugand Revenue uthority (UR) or District Tax collectors</t>
  </si>
  <si>
    <t>Zmbi Revenue uthority  or Locl Government Tax collectors</t>
  </si>
  <si>
    <t>Zimbbwe Revenue uthority (ZIMR) officials or Locl Government Tax collectors</t>
  </si>
  <si>
    <t>Q53g. Corruption: judges and mgistrtes</t>
  </si>
  <si>
    <t>Court officials</t>
  </si>
  <si>
    <t>Q53h. Corruption:Traditional Leaders</t>
  </si>
  <si>
    <t xml:space="preserve">H.Traditional Leaders (Chiefs)
H1_SWZ.Traditional Leaders (Bucopho)
</t>
  </si>
  <si>
    <t>Q59. MPs listen</t>
  </si>
  <si>
    <t>Members of Parliament / Parliamentrins</t>
  </si>
  <si>
    <t xml:space="preserve">.
Members of the National Assembly
1-NM
Representtives to the National Council
</t>
  </si>
  <si>
    <t>Municipal/deprtmentl councilors / Locl representtives</t>
  </si>
  <si>
    <t>Members of County ssembly</t>
  </si>
  <si>
    <t>Members of the Local government council</t>
  </si>
  <si>
    <t xml:space="preserve">B. Locl uthority Councilors
B1-NM Regionl Councilors
</t>
  </si>
  <si>
    <t>President bdelziz Bouteflik</t>
  </si>
  <si>
    <t>President Yyi Boni</t>
  </si>
  <si>
    <t>The President Pierre Nkurunziz</t>
  </si>
  <si>
    <t>. President Jorge Crlos Fonsec
1-CVE. The Prime Minister – José Mri Neves</t>
  </si>
  <si>
    <t>President Pul BIY</t>
  </si>
  <si>
    <t>President lssne OUTTR</t>
  </si>
  <si>
    <t>President bdel Ftthl-Sissi</t>
  </si>
  <si>
    <t>Prime Minister Sibusiso Dlmini</t>
  </si>
  <si>
    <t>President li BONGO OandIMB</t>
  </si>
  <si>
    <t>President John Drmni Mhm</t>
  </si>
  <si>
    <t>President lph COandE</t>
  </si>
  <si>
    <t>President Uhuru Kenytt</t>
  </si>
  <si>
    <t>Prime Minister Thbne</t>
  </si>
  <si>
    <t>President Hery RJONRIMMPININ</t>
  </si>
  <si>
    <t>The President Ibrhim Boubcr Keït /IBK</t>
  </si>
  <si>
    <t>. Prime Minister Nvin Rmgoolm 
1-MU President Kilsh Purryg</t>
  </si>
  <si>
    <t>President of Government bdllh ben Kirne</t>
  </si>
  <si>
    <t xml:space="preserve">. President Filipe Nyusi
1-MOZ Prime-Minister – gostinho do Rosário
</t>
  </si>
  <si>
    <t xml:space="preserve">. President Hifikipunye Pohm
1-NM The Prime Minister, Hge Geingob
</t>
  </si>
  <si>
    <t xml:space="preserve">	The President Mhmdou Issoufou</t>
  </si>
  <si>
    <t>President Goodluck Jonthn</t>
  </si>
  <si>
    <t xml:space="preserve">President Mnuel Pinto d Cost
Prime-Minister Ptrice Trovod
</t>
  </si>
  <si>
    <t>President Mcky SLL</t>
  </si>
  <si>
    <t>President Ernest Bi Korom</t>
  </si>
  <si>
    <t>President Jcob Zum</t>
  </si>
  <si>
    <t>President Omr El Bechir</t>
  </si>
  <si>
    <t>President Jky Kikwete</t>
  </si>
  <si>
    <t>President Fure Essozimn Gnssingbé</t>
  </si>
  <si>
    <t>President [Béji Cïd Essebsi]</t>
  </si>
  <si>
    <t>President Yoweri Kgut Museveni</t>
  </si>
  <si>
    <t>President Michel St</t>
  </si>
  <si>
    <t>Q68b. Performnce: MP/National Assembly rep.</t>
  </si>
  <si>
    <t>B.  Member of the National Assembly
B1-CVE. The Myor (President of the Municipal Chmber)</t>
  </si>
  <si>
    <t>The representtives of Parliament (Deputy or Sentor)</t>
  </si>
  <si>
    <t xml:space="preserve"> Member of Parliament (MP)
 Sentor in Parliament</t>
  </si>
  <si>
    <t xml:space="preserve"> Deputy in the National Assembly</t>
  </si>
  <si>
    <t xml:space="preserve"> Member of the House of Representtives</t>
  </si>
  <si>
    <t>Members of the National Assembly
B1-NM Representtives to the National Council
B2-NM Elected Regionl Councilor</t>
  </si>
  <si>
    <t xml:space="preserve"> deputy in the National Assembly</t>
  </si>
  <si>
    <t xml:space="preserve"> Member of the National Assembly
</t>
  </si>
  <si>
    <t xml:space="preserve"> Member of National Assembly 
Elected  Myor
</t>
  </si>
  <si>
    <t xml:space="preserve">B.  Member of Parliament
B1-SF. The Premier of this province 
[insert nme]____________________________
</t>
  </si>
  <si>
    <t xml:space="preserve"> Municipal / communl councilor</t>
  </si>
  <si>
    <t>Municipal/communl councilor</t>
  </si>
  <si>
    <t>Elected Local government councilo</t>
  </si>
  <si>
    <t xml:space="preserve"> Municipal/deprtmentl councilor</t>
  </si>
  <si>
    <t xml:space="preserve">C.  ssembly mn or womn
C1-GH  District Chief Executive
</t>
  </si>
  <si>
    <t xml:space="preserve"> Communl Councilor</t>
  </si>
  <si>
    <t xml:space="preserve">C. ElectedMember of county ssembly
C1-KEN  County Governor
</t>
  </si>
  <si>
    <t>Elected Local government councillor</t>
  </si>
  <si>
    <t>Elected locl councilor</t>
  </si>
  <si>
    <t xml:space="preserve"> Municipal/Communl Councilor</t>
  </si>
  <si>
    <t xml:space="preserve"> communl/Municipal Councilor</t>
  </si>
  <si>
    <t>Elected Municipal/District councilor</t>
  </si>
  <si>
    <t xml:space="preserve">C. Elected Locl uthority Councilor
C1-NM  ppointed Regionl Governor
</t>
  </si>
  <si>
    <t>Municipal/Communl Councillor</t>
  </si>
  <si>
    <t>Q68d. Performnce:Traditional Leader</t>
  </si>
  <si>
    <t>Traditionalleder</t>
  </si>
  <si>
    <t xml:space="preserve"> TraditionalChief</t>
  </si>
  <si>
    <t>Traditional Leader (Bucopho)</t>
  </si>
  <si>
    <t>Q69</t>
  </si>
  <si>
    <t>Q69. Who responsible: MPs do jobs</t>
  </si>
  <si>
    <t xml:space="preserve">Members of Parliament
Parliamentry Sentors </t>
  </si>
  <si>
    <t>Members of ssembly</t>
  </si>
  <si>
    <t>Q69b. Who responsible: locl councilors do jobs</t>
  </si>
  <si>
    <t>The Municipality (or locl council)</t>
  </si>
  <si>
    <t>Local government councilors/ locl inkhuandl councilors</t>
  </si>
  <si>
    <t>Municipal/Deprtmentl councilors</t>
  </si>
  <si>
    <t>Communl Councilors</t>
  </si>
  <si>
    <t>Members of county ssembly</t>
  </si>
  <si>
    <t>Locl councilors</t>
  </si>
  <si>
    <t>Locl uthority Councilors/Regionl Councilors</t>
  </si>
  <si>
    <t>President/Regionl Governnors</t>
  </si>
  <si>
    <t>North fric</t>
  </si>
  <si>
    <t>West fric</t>
  </si>
  <si>
    <t>Southern fric</t>
  </si>
  <si>
    <t>Est fric</t>
  </si>
  <si>
    <t>Centrl fric</t>
  </si>
  <si>
    <t>Q79</t>
  </si>
  <si>
    <t>Q79. Regionl orgnistion helps country</t>
  </si>
  <si>
    <t xml:space="preserve">1. The rb Mghreb Union, UM
</t>
  </si>
  <si>
    <t>1. ECOWS</t>
  </si>
  <si>
    <t>The Southern fricn Development Community, SDC</t>
  </si>
  <si>
    <t>ECOWS</t>
  </si>
  <si>
    <t>Regionl orgniztion (ECCS / ICGLR / EC/ COMES)</t>
  </si>
  <si>
    <t>Economic Community of Centrl fricn Sttes (CEMC)</t>
  </si>
  <si>
    <t>The Southern fricn Development Community or SDC.</t>
  </si>
  <si>
    <t>1.	Economic Community of Centrl fricn Sttes (ECCS)
2-	Economic and Monetry Community of Centrl fric (CEMC)</t>
  </si>
  <si>
    <t>Economic Community of West fricn Sttes (ECOWS)</t>
  </si>
  <si>
    <t>Est fricn Community (EC)</t>
  </si>
  <si>
    <t>SDC</t>
  </si>
  <si>
    <t>.1. The Southern fricn Development Community or SDC
. 2. -MD. The Iandin Ocen Commission or IOC</t>
  </si>
  <si>
    <t xml:space="preserve">.
The Southern fricn Development Community, SDC 
1-MU
Common Mrket for Est and Southern ffric or COMES
</t>
  </si>
  <si>
    <t>The rb Mghreb Union, UM</t>
  </si>
  <si>
    <t>SDC – Southern fric Development Community</t>
  </si>
  <si>
    <t>Economic Community of Centrl fricn Sttes (ECCS)</t>
  </si>
  <si>
    <t>Southern fric Development Community/ SDC</t>
  </si>
  <si>
    <t>The Intergovernmentl uthority on Development (IGD)</t>
  </si>
  <si>
    <t xml:space="preserve">. The Est fricn Community, EC
-TN The Southern fricn Development Community, SDC
</t>
  </si>
  <si>
    <t>Southern fricn Development Community (SDC)</t>
  </si>
  <si>
    <t>7</t>
  </si>
  <si>
    <t>Q22. Voting in the most recent National election</t>
  </si>
  <si>
    <t>2016</t>
  </si>
  <si>
    <t>GMBI</t>
  </si>
  <si>
    <t>Q23. Freeness and firness of the lst National election</t>
  </si>
  <si>
    <t>Q24. Lst National election: tteand  cmpign rlly</t>
  </si>
  <si>
    <t>Q24b. Lst National election: work for  candidte or party</t>
  </si>
  <si>
    <t>Locl councilor</t>
  </si>
  <si>
    <t>B.  Member of Parliament (MP)
B1-GB  Parliamentry sentor</t>
  </si>
  <si>
    <t>Member of  the National Assembly</t>
  </si>
  <si>
    <t>Q25c. Contct official of  government gency</t>
  </si>
  <si>
    <t>Official of government agency</t>
  </si>
  <si>
    <t>official of  government gency</t>
  </si>
  <si>
    <t>Leder of  government ministry</t>
  </si>
  <si>
    <t>Q32. President monitored by Parliament vs. free to ct on own</t>
  </si>
  <si>
    <t>Q33. President free to ct vs. obey the laws and courts</t>
  </si>
  <si>
    <t>Q34. Presidentil two term limit vs. no term limits</t>
  </si>
  <si>
    <t>Q39c. How often president ignores Parliament</t>
  </si>
  <si>
    <t>Q43. Trust president</t>
  </si>
  <si>
    <t xml:space="preserve">1-LES. The King
.  The Prime Minister
</t>
  </si>
  <si>
    <t xml:space="preserve">. The Prime Minister
1-MU The President
</t>
  </si>
  <si>
    <t xml:space="preserve">. The President of the Republic
1-MOZ.   The Prime Minister
</t>
  </si>
  <si>
    <t xml:space="preserve">. The President
1-NM. The Prime Minister
</t>
  </si>
  <si>
    <t xml:space="preserve">B. The House of Representtives
B1-LIB The Sente
</t>
  </si>
  <si>
    <t xml:space="preserve">B. The National Assembly
B1-NM. The National Council
</t>
  </si>
  <si>
    <t>Q43c. Trust National electorl commission</t>
  </si>
  <si>
    <t>The utonomous and Permnent National Electorl Commission</t>
  </si>
  <si>
    <t>The Iandepeandent Electorl  Commission (IEC)</t>
  </si>
  <si>
    <t>The Electorl Commission (EC)</t>
  </si>
  <si>
    <t>The National Iandepeandent Electorl Commission (CENI)</t>
  </si>
  <si>
    <t>Iandepeandent Electorl Commission or IEC</t>
  </si>
  <si>
    <t>Mlawi Electorl Commission</t>
  </si>
  <si>
    <t>National Electorl Commission (NEC)</t>
  </si>
  <si>
    <t xml:space="preserve">The Iandepeandent Electorl Commission (IEC)
The Premier of this province
</t>
  </si>
  <si>
    <t>The Iandepeandent High uthority for the Elections (ISIE)</t>
  </si>
  <si>
    <t>The Ugand Iandepeandent Electorl Commission</t>
  </si>
  <si>
    <t>Electorl Commission of Zmbi (ECZ)</t>
  </si>
  <si>
    <t>Q43d. Trust Elected Local government council</t>
  </si>
  <si>
    <t>Municipal or deprtmentl council</t>
  </si>
  <si>
    <t xml:space="preserve"> Local government council
 Metropolitn, Municipal or District Chief Executive
</t>
  </si>
  <si>
    <t xml:space="preserve"> County ssembly 
 County Governor 
</t>
  </si>
  <si>
    <t>County uthority</t>
  </si>
  <si>
    <t xml:space="preserve">Municipal ssembly
 Provincil government
</t>
  </si>
  <si>
    <t xml:space="preserve"> Locl uthority Council
 Regionl Council
 ppointed Regionl Governor
</t>
  </si>
  <si>
    <t>Municipal or communl council</t>
  </si>
  <si>
    <t>Municipal, communl, or deprtmentl council</t>
  </si>
  <si>
    <t>The Ruling New Ptriotic party (NPP)</t>
  </si>
  <si>
    <t>Prties of the presidentil movement (RPG rc-en-Ciel)</t>
  </si>
  <si>
    <t>The Ruling Colition Government</t>
  </si>
  <si>
    <t>Ruling Democrtic progressive party or DPP</t>
  </si>
  <si>
    <t>The ruling colition (Colition for the Presidentil Mjority – CMP)</t>
  </si>
  <si>
    <t>The Ruling Colition (MSM/ML)</t>
  </si>
  <si>
    <t>The Ruling PC party</t>
  </si>
  <si>
    <t>The party in Power (DI)</t>
  </si>
  <si>
    <t>fricn National Congress (NC) party</t>
  </si>
  <si>
    <t>The Ruling Chm Ch Mpianduzi</t>
  </si>
  <si>
    <t>The Ruling Ptriotic Front party</t>
  </si>
  <si>
    <t>Q43h. Trust rmy</t>
  </si>
  <si>
    <t>Cpe Verde rmed Force (F)</t>
  </si>
  <si>
    <t>rmed Forces of Côte d’Ivoire (FCI)</t>
  </si>
  <si>
    <t>The Umbutfo Swziland DefenceForce</t>
  </si>
  <si>
    <t>The defense forces of Gbon</t>
  </si>
  <si>
    <t>The Ghn rmed Forces</t>
  </si>
  <si>
    <t>The defense forces of Guine</t>
  </si>
  <si>
    <t>Mlawi Defense Force</t>
  </si>
  <si>
    <t>The defense forces of Mli</t>
  </si>
  <si>
    <t>The Specil Mobile Force</t>
  </si>
  <si>
    <t>The Royl rmy</t>
  </si>
  <si>
    <t>Nigeri rmed Forces</t>
  </si>
  <si>
    <t>The rmed Forces (rmy)</t>
  </si>
  <si>
    <t>Zmbi  Defense Forces</t>
  </si>
  <si>
    <t>Q43j. TrustTraditional Leaders</t>
  </si>
  <si>
    <t xml:space="preserve">Traditional Leaders, Chiefs.
Traditional Leaders (Bucopho)
</t>
  </si>
  <si>
    <t>Q44</t>
  </si>
  <si>
    <t>Q44. Corruption: office of the Presidency</t>
  </si>
  <si>
    <t>President and officials in his Office</t>
  </si>
  <si>
    <t xml:space="preserve">. The Prime Minister and officials in his Office 
1-MU. The President and officials in his Office 
</t>
  </si>
  <si>
    <t>The President of the government and officials in his Office</t>
  </si>
  <si>
    <t xml:space="preserve">The President and officials in his Office 
The Prime Minister
</t>
  </si>
  <si>
    <t>. The President and officials of his Cbinet
1-STP. The Prime Minister and officials of his Cbinet</t>
  </si>
  <si>
    <t xml:space="preserve">B. Members of Parliament
B1-GH. officials of the Electorl Commission (EC)
</t>
  </si>
  <si>
    <t xml:space="preserve">B. Members of the House of Representtives
B1-LIB Sentors
</t>
  </si>
  <si>
    <t xml:space="preserve">Members of the National Assembly
Representtives to the National Council
</t>
  </si>
  <si>
    <t>Government Offcils</t>
  </si>
  <si>
    <t>Public officials (or Civil servants)</t>
  </si>
  <si>
    <t>Q44d. Corruption: Local government councillors</t>
  </si>
  <si>
    <t xml:space="preserve">D. ssembly men and women
D1-GH.  Metropolitn, Municipal or District Chief Executive
</t>
  </si>
  <si>
    <t xml:space="preserve">Members of  County ssembly
 Governor and officials in his Office
</t>
  </si>
  <si>
    <t>Members of  locl uthority council</t>
  </si>
  <si>
    <t>Wrd councillors</t>
  </si>
  <si>
    <t>Members of the locl council</t>
  </si>
  <si>
    <t xml:space="preserve">Members of the Municipal ssembly
Members of the Provincil government 
</t>
  </si>
  <si>
    <t xml:space="preserve">Locl uthority Councilors
Regionl Councilors
Regionl Governors
</t>
  </si>
  <si>
    <t>The Municipal or communl councilors</t>
  </si>
  <si>
    <t>The Municipal/communl councillors</t>
  </si>
  <si>
    <t>Q44g. Corruption:Traditional Leaders</t>
  </si>
  <si>
    <t xml:space="preserve">Traditional Leaders (Chiefs)
Traditional Leaders (Bucopho)
</t>
  </si>
  <si>
    <t xml:space="preserve">. Members of the House of Representtives 
1-LIB Sentors
</t>
  </si>
  <si>
    <t xml:space="preserve">Members of Parliament 
Members of the Provincil ssembly
</t>
  </si>
  <si>
    <t xml:space="preserve">Members of the National Assembly 
Representtives to the National Council
</t>
  </si>
  <si>
    <t>ssembly men or women</t>
  </si>
  <si>
    <t>Members of locl uthority council</t>
  </si>
  <si>
    <t>Members of the Municipal ssembly</t>
  </si>
  <si>
    <t xml:space="preserve">Locl uthority Councilors
Regionl Councilors
</t>
  </si>
  <si>
    <t>Members of Legislture</t>
  </si>
  <si>
    <t>Q58</t>
  </si>
  <si>
    <t>Q58. Performnce: President</t>
  </si>
  <si>
    <t>President Ptrice Tlon</t>
  </si>
  <si>
    <t>President Roch Mrc Christin KBORE</t>
  </si>
  <si>
    <t>. President Jorge Crlos Fonsec
1-CVE. The Prime Minister –  Ulisses Correi e Silv</t>
  </si>
  <si>
    <t>President lssne Outtr</t>
  </si>
  <si>
    <t>President dm Brrow</t>
  </si>
  <si>
    <t>President Nn kuffo ddo</t>
  </si>
  <si>
    <t>President lph Coandé</t>
  </si>
  <si>
    <t>Prime Minister Thoms Thbne</t>
  </si>
  <si>
    <t>President George Weh</t>
  </si>
  <si>
    <t>President Peter Muthrik</t>
  </si>
  <si>
    <t>President Ibrhim Boubcr Keit</t>
  </si>
  <si>
    <t xml:space="preserve">. Prime Minister Prviand Jugnuth
1-MU President min Gurib-Fkim
</t>
  </si>
  <si>
    <t>President of the government, Sdeddine Othmni</t>
  </si>
  <si>
    <t xml:space="preserve">President Filipe Nyusi
Prime-Minister Crlos gostinho do Rosário
</t>
  </si>
  <si>
    <t xml:space="preserve">President Hge Geingob
Prime Minister, Sr Kuugongelaw
</t>
  </si>
  <si>
    <t>President Mhmdou Issoufou</t>
  </si>
  <si>
    <t>President Muhmmdu Buhri</t>
  </si>
  <si>
    <t>President Evristo Crvlho
Prime Minister – Ptrice Trovod</t>
  </si>
  <si>
    <t xml:space="preserve">President Cyril Rmphos
Former President Jcob Zum
</t>
  </si>
  <si>
    <t>President John Mgufuli</t>
  </si>
  <si>
    <t>President Béji Cïd Essebsi</t>
  </si>
  <si>
    <t>President Edgr Chgw Lungu</t>
  </si>
  <si>
    <t>Q58b. Performnce: MP/National Assembly rep</t>
  </si>
  <si>
    <t>National Assembly Representtive</t>
  </si>
  <si>
    <t xml:space="preserve"> Representtive</t>
  </si>
  <si>
    <t xml:space="preserve">Members of the National Assembly
Representtives to the National Council
Elected Regionl Councilor
</t>
  </si>
  <si>
    <t>Member of Parliament
The Premier of this province</t>
  </si>
  <si>
    <t>Q58c. Performnce: Local government councillor</t>
  </si>
  <si>
    <t>ssembly mn or womn</t>
  </si>
  <si>
    <t>Communl/Municipal Councilor</t>
  </si>
  <si>
    <t>locl councilor</t>
  </si>
  <si>
    <t xml:space="preserve">Elected Locl uthority Councilor
 ppointed Regionl Governor
</t>
  </si>
  <si>
    <t xml:space="preserve"> Prefectorl / Municipal Councillor</t>
  </si>
  <si>
    <t>Q58d. Performnce:Traditional Leader</t>
  </si>
  <si>
    <t>Q58e. Performnce:  Myor</t>
  </si>
  <si>
    <t>Myor</t>
  </si>
  <si>
    <t>Myor or chirperson</t>
  </si>
  <si>
    <t>Metropolitn, Municipal or District Chief Executive</t>
  </si>
  <si>
    <t>Myor or President of the Specil Delegtion</t>
  </si>
  <si>
    <t xml:space="preserve"> Myor  or Community Council Chirperson</t>
  </si>
  <si>
    <t xml:space="preserve"> myor  or Chirperson of the District Council</t>
  </si>
  <si>
    <t xml:space="preserve"> Myor</t>
  </si>
  <si>
    <t>Myor or Chirperson of the District Council</t>
  </si>
  <si>
    <t>President of the locl council</t>
  </si>
  <si>
    <t xml:space="preserve"> myor</t>
  </si>
  <si>
    <t>Locl government Chirperson</t>
  </si>
  <si>
    <t>Elected District Myor (or President of the District Chmber)</t>
  </si>
  <si>
    <t>Myor or Locl Council Chirperson</t>
  </si>
  <si>
    <t xml:space="preserve"> Prefect or Myor</t>
  </si>
  <si>
    <t xml:space="preserve"> leder of the delegtion</t>
  </si>
  <si>
    <t>Myor or LCV (Locl Council 5) Chirperson</t>
  </si>
  <si>
    <t>Myor or district Council Chirmn</t>
  </si>
  <si>
    <t>Q59. Who responsible: MPs do jobs</t>
  </si>
  <si>
    <t>Members of the House of Representtives
Sentor</t>
  </si>
  <si>
    <t>Q59b. Who responsible: locl councillors do jobs</t>
  </si>
  <si>
    <t>Members of the Municipal ssembly
Members of the Provincil ssembly</t>
  </si>
  <si>
    <t>Locl uthority Councilors
Regionl Councilors
Regionl Governors</t>
  </si>
  <si>
    <t>8</t>
  </si>
  <si>
    <t>Q12</t>
  </si>
  <si>
    <t>Contct Local government councillor</t>
  </si>
  <si>
    <t>locl councilMember</t>
  </si>
  <si>
    <t xml:space="preserve"> Member of the County ssembly, MC</t>
  </si>
  <si>
    <t xml:space="preserve"> community councillor</t>
  </si>
  <si>
    <t xml:space="preserve"> Member of Municipal ssembly</t>
  </si>
  <si>
    <t>party’s candidte</t>
  </si>
  <si>
    <t xml:space="preserve"> councillor</t>
  </si>
  <si>
    <t xml:space="preserve"> locl governement councillor</t>
  </si>
  <si>
    <t>Contct MP</t>
  </si>
  <si>
    <t>House of Peoples’ Representtive</t>
  </si>
  <si>
    <t>Member of the House of Representtives</t>
  </si>
  <si>
    <t>Member of [Parliament]</t>
  </si>
  <si>
    <t>Member of Representative ssembly of the People</t>
  </si>
  <si>
    <t>Contct politicl party official</t>
  </si>
  <si>
    <t>ContctTraditional Leader</t>
  </si>
  <si>
    <t>Traditional Leaders, you know, Buchopho</t>
  </si>
  <si>
    <t xml:space="preserve"> Freeness and firness of the lst National election</t>
  </si>
  <si>
    <t>Q15</t>
  </si>
  <si>
    <t>Lst National election: tteand  cmpign rlly</t>
  </si>
  <si>
    <t>Lst National election: work for  candidte or party</t>
  </si>
  <si>
    <t xml:space="preserve"> Lst National election: contcted by politicl party rep</t>
  </si>
  <si>
    <t>. Reject one-mn rule</t>
  </si>
  <si>
    <t>Representative ssembly of the People, President</t>
  </si>
  <si>
    <t>Political Parties divisive vs mny prties needed</t>
  </si>
  <si>
    <t>Ghn, Ghnins</t>
  </si>
  <si>
    <t>Keny, Kenyns</t>
  </si>
  <si>
    <t>Lesotho, Bsotho</t>
  </si>
  <si>
    <t>Liberi, Liberins</t>
  </si>
  <si>
    <t>Mlawi, Mlawins</t>
  </si>
  <si>
    <t>Morocco, Moroccns</t>
  </si>
  <si>
    <t>Mozmbique, Mozmbicns</t>
  </si>
  <si>
    <t>Nmibi, Nmibins</t>
  </si>
  <si>
    <t>Nigeri, Nigerins</t>
  </si>
  <si>
    <t>Sierr Leone,  Sierr Leonens</t>
  </si>
  <si>
    <t>South fric, South fricns</t>
  </si>
  <si>
    <t>Sudn, Sudnese</t>
  </si>
  <si>
    <t>Tnzni, Tnznins</t>
  </si>
  <si>
    <t>Tunisi, Tunisins</t>
  </si>
  <si>
    <t>Ugand, Ugandns</t>
  </si>
  <si>
    <t>Zmbi, Zmbins</t>
  </si>
  <si>
    <t>Zimbbwe, Zimbbwens</t>
  </si>
  <si>
    <t xml:space="preserve"> President monitored by Parliament vs free to ct on own</t>
  </si>
  <si>
    <t>Representative ssembly of the People , president</t>
  </si>
  <si>
    <t xml:space="preserve"> President free to ct vs obey the laws and courts</t>
  </si>
  <si>
    <t>Presidentil two term limit vs no term limits</t>
  </si>
  <si>
    <t>Extent of democrcy</t>
  </si>
  <si>
    <t>Botswn</t>
  </si>
  <si>
    <t>Cbo Verde</t>
  </si>
  <si>
    <t xml:space="preserve">Cmeroon </t>
  </si>
  <si>
    <t>Eswtini</t>
  </si>
  <si>
    <t>Ethiopi</t>
  </si>
  <si>
    <t>Gmbi</t>
  </si>
  <si>
    <t>Ghn</t>
  </si>
  <si>
    <t>Keny</t>
  </si>
  <si>
    <t>Liberi</t>
  </si>
  <si>
    <t>Mlawi</t>
  </si>
  <si>
    <t>Mozmbique</t>
  </si>
  <si>
    <t>Nmibi</t>
  </si>
  <si>
    <t>Nigeri</t>
  </si>
  <si>
    <t>Sierr Leone</t>
  </si>
  <si>
    <t>South fric</t>
  </si>
  <si>
    <t>Sudn</t>
  </si>
  <si>
    <t>Tnzni</t>
  </si>
  <si>
    <t>Tunisi</t>
  </si>
  <si>
    <t>Ugand</t>
  </si>
  <si>
    <t>Zmbi</t>
  </si>
  <si>
    <t>Zimbbwe</t>
  </si>
  <si>
    <t>Stisfction with democrcy</t>
  </si>
  <si>
    <t>Cmeroon</t>
  </si>
  <si>
    <t>Members of House of Peoples’ Representtives</t>
  </si>
  <si>
    <t>Members of Representative ssembly of the People</t>
  </si>
  <si>
    <t>Members of Local government council</t>
  </si>
  <si>
    <t>Members of Locl Councils</t>
  </si>
  <si>
    <t>Members of the County ssembly or MC</t>
  </si>
  <si>
    <t>Locl uthority councilors</t>
  </si>
  <si>
    <t>Municipal CouncilMembers</t>
  </si>
  <si>
    <t>Members of locl governemnt Council</t>
  </si>
  <si>
    <t>The Representative ssembly of the People</t>
  </si>
  <si>
    <t>National Electorl Commission or CNE</t>
  </si>
  <si>
    <t>National Elections Bord of Ethiopi or NEBE</t>
  </si>
  <si>
    <t>The Electorl Commission or (EC)</t>
  </si>
  <si>
    <t>Iandepeandent Electorl and Bouandries Commission or IEBC</t>
  </si>
  <si>
    <t>The Electorl Commission of Nmibi or ECN</t>
  </si>
  <si>
    <t>Iandepeandent National Electorl Commission or INEC</t>
  </si>
  <si>
    <t>National Electorl Commission or NEC</t>
  </si>
  <si>
    <t>The National Electorl Commission or NEC</t>
  </si>
  <si>
    <t>The Electorl Commission or EC</t>
  </si>
  <si>
    <t>Electorl Commission of Zmbi or ECZ</t>
  </si>
  <si>
    <t>Zimbbwe Electorl Commission or ZEC</t>
  </si>
  <si>
    <t xml:space="preserve"> County ssembly</t>
  </si>
  <si>
    <t xml:space="preserve"> community council</t>
  </si>
  <si>
    <t xml:space="preserve"> County uthority</t>
  </si>
  <si>
    <t xml:space="preserve"> locl Collective Council</t>
  </si>
  <si>
    <t xml:space="preserve"> Municipal ssembly</t>
  </si>
  <si>
    <t>The ruling Movimento pr Democrci (MpD)</t>
  </si>
  <si>
    <t>The ruling New Ptriotic party (NPP)</t>
  </si>
  <si>
    <t>The ruling colition government</t>
  </si>
  <si>
    <t>The ruling PC party</t>
  </si>
  <si>
    <t>The ruling Chm ch Mpianduzi</t>
  </si>
  <si>
    <t>The police or geandrme</t>
  </si>
  <si>
    <t>The Botswn Defence Force or BDF</t>
  </si>
  <si>
    <t>The Cbo Verde rmed Force or F</t>
  </si>
  <si>
    <t>The Cmeroon Defence Force</t>
  </si>
  <si>
    <t>The Umbutfo Swziland Defence Force or UEDF</t>
  </si>
  <si>
    <t>The Ethiopin National Defense Force or EandF</t>
  </si>
  <si>
    <t>The Gmbi rmed Forces</t>
  </si>
  <si>
    <t>The Ghn rmed Force</t>
  </si>
  <si>
    <t>The Keny Defence Force or KDF</t>
  </si>
  <si>
    <t>The rmed Forces of Liberi</t>
  </si>
  <si>
    <t>The Mlawi Defence Force</t>
  </si>
  <si>
    <t>The Mozmbique Defence Force</t>
  </si>
  <si>
    <t>The Nmibin Defence Force</t>
  </si>
  <si>
    <t>The Republic of Sierr Leone rmed Forced (RSLF)</t>
  </si>
  <si>
    <t>The South AfricaNational Defence Force</t>
  </si>
  <si>
    <t>Sudn rmy</t>
  </si>
  <si>
    <t>The Tnzni People’s Defence Force</t>
  </si>
  <si>
    <t>Ugand Peoples Defence Force or UPDF</t>
  </si>
  <si>
    <t>Zmbi Defense Forces</t>
  </si>
  <si>
    <t>TrustTraditional Leaders</t>
  </si>
  <si>
    <t>Traditional Leaders or Bucopho</t>
  </si>
  <si>
    <t>Q42</t>
  </si>
  <si>
    <t>Members of Parliament (Deputies and sentors)</t>
  </si>
  <si>
    <t>Members of  Local government council</t>
  </si>
  <si>
    <t>Members of Elected Local government council</t>
  </si>
  <si>
    <t>Members of  County ssembly or MCs</t>
  </si>
  <si>
    <t>Members of  community council</t>
  </si>
  <si>
    <t>Members of  locl council</t>
  </si>
  <si>
    <t>Members of  Municipal ssembly</t>
  </si>
  <si>
    <t>Members of  Locl uthority Council</t>
  </si>
  <si>
    <t>Members of  Municipal Council</t>
  </si>
  <si>
    <t>Members of  locl government</t>
  </si>
  <si>
    <t>Corruption: Judges and Mgistrtes</t>
  </si>
  <si>
    <t>Judges and mgistrtes</t>
  </si>
  <si>
    <t>Botswn Unified Revenue Service-BURS</t>
  </si>
  <si>
    <t>National Directorte of Stte Revenue or DNRE</t>
  </si>
  <si>
    <t>Tax Deprtment</t>
  </si>
  <si>
    <t>Eswtini Revenue uthority</t>
  </si>
  <si>
    <t>Ethiopin Revenues and Customs uthority</t>
  </si>
  <si>
    <t>The Gmbi Revenue uthority</t>
  </si>
  <si>
    <t>Ghn Revenue uthority</t>
  </si>
  <si>
    <t>Keny Revenue uthority or KR</t>
  </si>
  <si>
    <t xml:space="preserve"> Liberi Revenue uthority</t>
  </si>
  <si>
    <t xml:space="preserve"> Mlawi Revenue uthority</t>
  </si>
  <si>
    <t xml:space="preserve"> Directorte Generl of Taxes (DGI)</t>
  </si>
  <si>
    <t>Mozmbique Tax Revenue uthority</t>
  </si>
  <si>
    <t>Ministry of Finnce, Inland Revenue</t>
  </si>
  <si>
    <t>Federl Inland Revenue Service or FIRS</t>
  </si>
  <si>
    <t>National Revenue uthority or NR</t>
  </si>
  <si>
    <t>South Africa Revenue Service</t>
  </si>
  <si>
    <t>Sudn Revenue uthority</t>
  </si>
  <si>
    <t>Tnzni Revenue uthority</t>
  </si>
  <si>
    <t>Ministry of Finnce -Tax dministrtion</t>
  </si>
  <si>
    <t>Ugaanda Revenue uthority</t>
  </si>
  <si>
    <t>Zambia Revenue uthority</t>
  </si>
  <si>
    <t>Zimbbwe Revenue uthority or ZIMR</t>
  </si>
  <si>
    <t>Corruption:Traditional Leaders</t>
  </si>
  <si>
    <t>Performnce: President</t>
  </si>
  <si>
    <t>President Mokgweetsi Msisi</t>
  </si>
  <si>
    <t>President Jorge Crlos Fonsec, Prime-Minister  Ulisses Correi e Silv</t>
  </si>
  <si>
    <t>President Pul Biy</t>
  </si>
  <si>
    <t>Prime Minister Mandvulo Dlmini</t>
  </si>
  <si>
    <t>Prime Minister biy hmed</t>
  </si>
  <si>
    <t>President of government Sd Eddin El Outhmni</t>
  </si>
  <si>
    <t>President Filipe Jcinto Nyusi</t>
  </si>
  <si>
    <t>President Hge Geingob</t>
  </si>
  <si>
    <t>President Julius Md Bio</t>
  </si>
  <si>
    <t>President Cyril Rmphos</t>
  </si>
  <si>
    <t>Prime Minister bdll Hmdok</t>
  </si>
  <si>
    <t>President Kis Sied</t>
  </si>
  <si>
    <t>President Emmerson Mnnggw</t>
  </si>
  <si>
    <t xml:space="preserve"> deputy</t>
  </si>
  <si>
    <t>Member of House of Peoples’ representtives</t>
  </si>
  <si>
    <t>Elected city council</t>
  </si>
  <si>
    <t xml:space="preserve"> Municipal Councillor or Communl</t>
  </si>
  <si>
    <t xml:space="preserve"> ssembly mn or womn</t>
  </si>
  <si>
    <t>Elected Member of the County ssembly or MC</t>
  </si>
  <si>
    <t>Elected community councillor</t>
  </si>
  <si>
    <t>Elected locl councillor</t>
  </si>
  <si>
    <t>Elected Locl uthority Councilor</t>
  </si>
  <si>
    <t>Elected councillor</t>
  </si>
  <si>
    <t>Elected Municipal Councillor</t>
  </si>
  <si>
    <t xml:space="preserve"> Performnce:Traditional Leader</t>
  </si>
  <si>
    <t>Traditional Leader or Bucopho</t>
  </si>
  <si>
    <t xml:space="preserve"> County Superinteandent</t>
  </si>
  <si>
    <t>Members of Parliament, President</t>
  </si>
  <si>
    <t>members of Representative ssembly</t>
  </si>
  <si>
    <t>Sentors</t>
  </si>
  <si>
    <t>Difficulty to move cross borders</t>
  </si>
  <si>
    <t>Estern fric</t>
  </si>
  <si>
    <t>Climte chnge: ffecting country</t>
  </si>
  <si>
    <t>Ethnic or National identity</t>
  </si>
  <si>
    <t>Ghnin</t>
  </si>
  <si>
    <t>Kenyn</t>
  </si>
  <si>
    <t>Liberin</t>
  </si>
  <si>
    <t>Mlawin</t>
  </si>
  <si>
    <t>Moroccn</t>
  </si>
  <si>
    <t>Mozmbicn</t>
  </si>
  <si>
    <t>Nmibin</t>
  </si>
  <si>
    <t>Nigerin</t>
  </si>
  <si>
    <t>Sierr Leonen</t>
  </si>
  <si>
    <t>South fricn</t>
  </si>
  <si>
    <t>Tnznin</t>
  </si>
  <si>
    <t>Tunisins</t>
  </si>
  <si>
    <t>Ugandn</t>
  </si>
  <si>
    <t>Zmbin</t>
  </si>
  <si>
    <t>Zimbbwen</t>
  </si>
  <si>
    <t>Q94</t>
  </si>
  <si>
    <t>Electric connection from mins</t>
  </si>
  <si>
    <t>Botswn power corportion</t>
  </si>
  <si>
    <t>Electr</t>
  </si>
  <si>
    <t>Eneo Cmeroon</t>
  </si>
  <si>
    <t>Eswtini Electricity Compny</t>
  </si>
  <si>
    <t>National Wter and Electricity Compny (NWEC)</t>
  </si>
  <si>
    <t>Keny Power</t>
  </si>
  <si>
    <t>Lesotho Electricity Compny</t>
  </si>
  <si>
    <t>Liberi Electricity Corportion or LEC</t>
  </si>
  <si>
    <t>National Office for Electricity and Drinking Wter</t>
  </si>
  <si>
    <t>Electricidde de Moçmbique or EDM</t>
  </si>
  <si>
    <t>Nmpower</t>
  </si>
  <si>
    <t>Electricty Distribution and Supply gency or EDS</t>
  </si>
  <si>
    <t>National Electricity Corportion of Sudn or NEC</t>
  </si>
  <si>
    <t>Tnzni Electric Supply Limited or TNESCO</t>
  </si>
  <si>
    <t>Zmbi Electricity Supply Corportion or ZESCO</t>
  </si>
  <si>
    <t>Zimbbwe Electricity Supply uthority or ZES</t>
  </si>
  <si>
    <t>Legisltive elections</t>
  </si>
  <si>
    <t>Presidentil elections</t>
  </si>
  <si>
    <t>National elections</t>
  </si>
  <si>
    <t>presidentil elections</t>
  </si>
  <si>
    <t>presidentil elections, party's candidte</t>
  </si>
  <si>
    <t>generl elections, party</t>
  </si>
  <si>
    <t>generl elections, party's candidte</t>
  </si>
  <si>
    <t>presidentil, party's candidte</t>
  </si>
  <si>
    <t>Presidentil, candidte’s party</t>
  </si>
  <si>
    <t xml:space="preserve"> legisltive elections, candidte’s party</t>
  </si>
  <si>
    <t>Presidentil election, party’s candidte</t>
  </si>
  <si>
    <t>Presidentil ,candidte's party’s</t>
  </si>
  <si>
    <t>National elections, party</t>
  </si>
  <si>
    <t>Presidentil elections ,candidte's party’s</t>
  </si>
  <si>
    <t xml:space="preserve">presidentil elections, party’s candidte </t>
  </si>
  <si>
    <t>presidentil elections, party’s candidte</t>
  </si>
  <si>
    <t xml:space="preserve">NGOL </t>
  </si>
  <si>
    <t>Q11</t>
  </si>
  <si>
    <t xml:space="preserve"> Mke Local government councillors listen</t>
  </si>
  <si>
    <t>Municipal dminidtrtor</t>
  </si>
  <si>
    <t>CONGO BRZZVILLE</t>
  </si>
  <si>
    <t>Locl government  Wered or City councillor</t>
  </si>
  <si>
    <t>Communl or deprtmentl councilor</t>
  </si>
  <si>
    <t>Communl councilor</t>
  </si>
  <si>
    <t>Member of County ssembly or MC</t>
  </si>
  <si>
    <t>Community or urbn councillor</t>
  </si>
  <si>
    <t>County Superinteandent or District Commissioner</t>
  </si>
  <si>
    <t>MURITNI</t>
  </si>
  <si>
    <t>Member of Municipal ssembly</t>
  </si>
  <si>
    <t>Locl uthority Councilor</t>
  </si>
  <si>
    <t>Municipal or deprtmentl councilor</t>
  </si>
  <si>
    <t xml:space="preserve">District dministrtor  </t>
  </si>
  <si>
    <t xml:space="preserve"> Contct Local government councillor</t>
  </si>
  <si>
    <t xml:space="preserve"> loclElected official</t>
  </si>
  <si>
    <t>Locl government Wered or City councilMember</t>
  </si>
  <si>
    <t xml:space="preserve"> community or urbn councillor</t>
  </si>
  <si>
    <t xml:space="preserve"> communlElected official</t>
  </si>
  <si>
    <t xml:space="preserve"> locl MunicipalElected official or  district councilor</t>
  </si>
  <si>
    <t xml:space="preserve"> collective councillor</t>
  </si>
  <si>
    <t xml:space="preserve"> Member of Municipal ssembly </t>
  </si>
  <si>
    <t xml:space="preserve"> Locl uthority Councilor</t>
  </si>
  <si>
    <t xml:space="preserve"> District dministrtor </t>
  </si>
  <si>
    <t xml:space="preserve"> Contct MP</t>
  </si>
  <si>
    <t>Member of the Trnsitionl Legisltive ssembly</t>
  </si>
  <si>
    <t xml:space="preserve">Member of  House of Peoples’ Representtives </t>
  </si>
  <si>
    <t xml:space="preserve"> National Trnsitionl Councilor (CNT)</t>
  </si>
  <si>
    <t xml:space="preserve">Member of the House of Representtives  </t>
  </si>
  <si>
    <t>Member of the Representative ssembly of the People</t>
  </si>
  <si>
    <t xml:space="preserve"> Lst National election: fer politicl intimidtion or violence</t>
  </si>
  <si>
    <t xml:space="preserve"> Parliament mkes laws vs president does</t>
  </si>
  <si>
    <t>TheMembers of the Trnsitionl Legisltive ssembly vs President</t>
  </si>
  <si>
    <t>Members of Parliament vs King</t>
  </si>
  <si>
    <t>Members of the House of Peoples’ Representtives vs Prime Minister</t>
  </si>
  <si>
    <t>The National Trnsitionl Councilors (CNT) vs Trnsitionl President</t>
  </si>
  <si>
    <t>Members of Parliament vs Prime Minister</t>
  </si>
  <si>
    <t>Members of the Representative ssembly of the People vs President</t>
  </si>
  <si>
    <t>Trnsitionl Legisltive ssembly vs President/He</t>
  </si>
  <si>
    <t>House of Peoples’ Representtives vs Prime Minister/He</t>
  </si>
  <si>
    <t>The National Trnsitionl Council (CNT) vs Trnsitionl President</t>
  </si>
  <si>
    <t>Representative ssembly of the People vs President/He</t>
  </si>
  <si>
    <t>President free to ct vs obey the laws and courts</t>
  </si>
  <si>
    <t>Trnsitionl President/He</t>
  </si>
  <si>
    <t xml:space="preserve"> Presidentil two term limit vs no term limits</t>
  </si>
  <si>
    <t>Trnsitionl President</t>
  </si>
  <si>
    <t xml:space="preserve"> rmed forces never intervene vs when leaders buse power</t>
  </si>
  <si>
    <t>ngol's rmed forces</t>
  </si>
  <si>
    <t>Benin rmed forces</t>
  </si>
  <si>
    <t>Botswn’s rmed forces</t>
  </si>
  <si>
    <t>Burkin Fso's rmed forces</t>
  </si>
  <si>
    <t>Cbo Verde’s rmed forces</t>
  </si>
  <si>
    <t>Cmeroon rmed forces</t>
  </si>
  <si>
    <t>Congolese rmed forces</t>
  </si>
  <si>
    <t>The rmed forces of Côte d’Ivoire</t>
  </si>
  <si>
    <t>Eswtini’s’ rmed forces</t>
  </si>
  <si>
    <t>Ethiopi’s rmed forces</t>
  </si>
  <si>
    <t>The Gbonese rmed forces</t>
  </si>
  <si>
    <t>The Gmbi’s rmed forces</t>
  </si>
  <si>
    <t>Ghn’s rmed forces</t>
  </si>
  <si>
    <t>The Guinen rmed forces</t>
  </si>
  <si>
    <t>Keny’s defence forces</t>
  </si>
  <si>
    <t>Lesotho’s rmed forces</t>
  </si>
  <si>
    <t>Liberi’s rmed forces</t>
  </si>
  <si>
    <t>The Mlgsy rmed forces</t>
  </si>
  <si>
    <t>The Mlawi Defence Forces</t>
  </si>
  <si>
    <t>The Mlin rmed forces</t>
  </si>
  <si>
    <t>The Muritnin rmed forces</t>
  </si>
  <si>
    <t>The Muritin rmed forces</t>
  </si>
  <si>
    <t>Morocco’s rmed forces</t>
  </si>
  <si>
    <t>Mozmbique’s rmed forces</t>
  </si>
  <si>
    <t>Nmibi’s rmed forces</t>
  </si>
  <si>
    <t>The Nigerien rmed forces</t>
  </si>
  <si>
    <t>Nigeri’s rmed forces</t>
  </si>
  <si>
    <t xml:space="preserve"> São Tomé e Príncipe’s rmed forces</t>
  </si>
  <si>
    <t>The Seneglese rmed forces</t>
  </si>
  <si>
    <t>Sierr Leone’s rmed forces</t>
  </si>
  <si>
    <t>South fric’s rmed forces</t>
  </si>
  <si>
    <t>Sudnese rmed Forces</t>
  </si>
  <si>
    <t>Tnzni’s People Defence Force</t>
  </si>
  <si>
    <t>The Togolese rmed forces</t>
  </si>
  <si>
    <t>Tunisi’s rmed forces</t>
  </si>
  <si>
    <t>Ugand Peoples Defence force</t>
  </si>
  <si>
    <t xml:space="preserve"> The Zmbin Defence Force</t>
  </si>
  <si>
    <t>Zimbbwe’s rmed forces</t>
  </si>
  <si>
    <t xml:space="preserve"> How often president ignores Parliament</t>
  </si>
  <si>
    <t>President vs Trnsitionl Legisltive ssembly</t>
  </si>
  <si>
    <t>Prime Minister vs House of Peoples Representtives</t>
  </si>
  <si>
    <t>Trnsitionl President vs The National Trnsitionl Council (CNT)</t>
  </si>
  <si>
    <t xml:space="preserve">President vs Representative ssembly of the People </t>
  </si>
  <si>
    <t>Members of the Trnsitionl Legisltive ssembly</t>
  </si>
  <si>
    <t xml:space="preserve">Members of House of Peoples’ Representives </t>
  </si>
  <si>
    <t xml:space="preserve">Members of the House of Representtives </t>
  </si>
  <si>
    <t>Members of the Representative ssembly of the People </t>
  </si>
  <si>
    <t>Members of the Provincil Government</t>
  </si>
  <si>
    <t>Communl councilors or Municipal Councilors</t>
  </si>
  <si>
    <t>Municipal or deprtmentl councilors</t>
  </si>
  <si>
    <t>Municipal or regionl councilors</t>
  </si>
  <si>
    <t xml:space="preserve">Members of locl government Wered or City councils </t>
  </si>
  <si>
    <t xml:space="preserve">ssembly men or women </t>
  </si>
  <si>
    <t>Members of County ssembly or MC</t>
  </si>
  <si>
    <t>Members of the community or urbn council</t>
  </si>
  <si>
    <t>Members of Municipal ssembly</t>
  </si>
  <si>
    <t>Municipal or communl councilors</t>
  </si>
  <si>
    <t>Members of the District dministrtion</t>
  </si>
  <si>
    <t xml:space="preserve"> Trust Parliament/National Assembly</t>
  </si>
  <si>
    <t>The Trnsitionl Legisltive ssembly</t>
  </si>
  <si>
    <t>House of Peoples’ Representtives</t>
  </si>
  <si>
    <t xml:space="preserve"> National Trnsitionl Council (CNT)</t>
  </si>
  <si>
    <t>The House of Representtive</t>
  </si>
  <si>
    <t xml:space="preserve"> Trust National electorl commission</t>
  </si>
  <si>
    <t>National Electorl Commision</t>
  </si>
  <si>
    <t xml:space="preserve">Iandepeandent Electorl Commission
</t>
  </si>
  <si>
    <t>The National Electorl Commission or CNE</t>
  </si>
  <si>
    <t>National Electrol Bord of Ethiopi or NEBE</t>
  </si>
  <si>
    <t>The Gbonese Elections Centre (CGE)</t>
  </si>
  <si>
    <t xml:space="preserve"> The Electorl Commission or EC</t>
  </si>
  <si>
    <t>The Iandepeandent Electorl Commission (CENI)</t>
  </si>
  <si>
    <t>The Electorl Commission of Muritius</t>
  </si>
  <si>
    <t>Iandepeandent Electorl Commission or INEC</t>
  </si>
  <si>
    <t>National Electorl Commission</t>
  </si>
  <si>
    <t>National Commission for the Tllying (or Recpitultion) of Votes</t>
  </si>
  <si>
    <t xml:space="preserve"> Electorl Commission of Seychelles</t>
  </si>
  <si>
    <t>The South AfricaElectorl Commission</t>
  </si>
  <si>
    <t>Zmbi Electorl Commission or ECZ</t>
  </si>
  <si>
    <t xml:space="preserve"> Trust Elected Local government council</t>
  </si>
  <si>
    <t>Provincil Government</t>
  </si>
  <si>
    <t xml:space="preserve"> Municipal or communl council</t>
  </si>
  <si>
    <t xml:space="preserve"> Local government council
</t>
  </si>
  <si>
    <t xml:space="preserve"> Municipal or regionl councilor</t>
  </si>
  <si>
    <t xml:space="preserve"> locl government Wered or City council</t>
  </si>
  <si>
    <t xml:space="preserve"> Municipal or deprtmentl council</t>
  </si>
  <si>
    <t xml:space="preserve"> Metropolitn, Municipal and District Chief     
                      Executive</t>
  </si>
  <si>
    <t xml:space="preserve"> County ssembly </t>
  </si>
  <si>
    <t xml:space="preserve"> community or urbn Council</t>
  </si>
  <si>
    <t xml:space="preserve"> County uthority </t>
  </si>
  <si>
    <t xml:space="preserve"> Collective Council</t>
  </si>
  <si>
    <t xml:space="preserve"> Municipal or communl councilor</t>
  </si>
  <si>
    <t xml:space="preserve"> district council</t>
  </si>
  <si>
    <t xml:space="preserve"> Corruption:Members of Parliament </t>
  </si>
  <si>
    <t xml:space="preserve"> Corruption: Local government councillors</t>
  </si>
  <si>
    <t>Members of  Provincil Government</t>
  </si>
  <si>
    <t>Locl government Wered or Citycouncillors</t>
  </si>
  <si>
    <t xml:space="preserve">ssembly men and women </t>
  </si>
  <si>
    <t xml:space="preserve">Members of  locl uthority council </t>
  </si>
  <si>
    <t>Members of  collective council</t>
  </si>
  <si>
    <t>District dministrtors</t>
  </si>
  <si>
    <t xml:space="preserve">Members of  Municipal Council
</t>
  </si>
  <si>
    <t xml:space="preserve"> Corruption: Tax officials</t>
  </si>
  <si>
    <t>Generl Tax dministrtion (GT)</t>
  </si>
  <si>
    <t>Botswn Unified Revenue Services or BURS</t>
  </si>
  <si>
    <t>Eswtini Revenue Service or ERS</t>
  </si>
  <si>
    <t>Ethiopian Ministry of Revenue,  Regional Reveune Bureaus, aand Ethiopian Customs Commission</t>
  </si>
  <si>
    <t>Gmbi Revenue uthority or GR</t>
  </si>
  <si>
    <t>Ghn Revenue uthority or GR</t>
  </si>
  <si>
    <t>Liberi Revenue uthority</t>
  </si>
  <si>
    <t>Mlawi Revenue uthority or MR</t>
  </si>
  <si>
    <t>Muritius Revenue uthority</t>
  </si>
  <si>
    <t>Directorte Generl of Taxes (DGI)</t>
  </si>
  <si>
    <t xml:space="preserve"> Federl Inland Revenue Service or FIRS</t>
  </si>
  <si>
    <t>Revenue uthority of So Tome e Principe</t>
  </si>
  <si>
    <t xml:space="preserve">South AfricaRevenue Service or SRS </t>
  </si>
  <si>
    <t xml:space="preserve">Sudn Revenue uthority </t>
  </si>
  <si>
    <t>Tnzni Revenue uthority or TR</t>
  </si>
  <si>
    <t>Ugand Revenue uthority or UR</t>
  </si>
  <si>
    <t>Zmbi Revenue uthority</t>
  </si>
  <si>
    <t>Q47</t>
  </si>
  <si>
    <t xml:space="preserve"> Performnce: president</t>
  </si>
  <si>
    <t>President Ptrice thnse Guillume Tlon</t>
  </si>
  <si>
    <t>President Pul-Henri Sandogo DMIB</t>
  </si>
  <si>
    <t>President José Mri Neves</t>
  </si>
  <si>
    <t>President Denis Sssou Nguesso</t>
  </si>
  <si>
    <t>Prime Minister Cleops Dlmini</t>
  </si>
  <si>
    <t xml:space="preserve"> President Nn ddo Dnkw kuffo ddo</t>
  </si>
  <si>
    <t xml:space="preserve">President Mmdy DOUMBOUY </t>
  </si>
  <si>
    <t>Prime Minister Moeketsi Mjoro</t>
  </si>
  <si>
    <t>President andry Rjoelin</t>
  </si>
  <si>
    <t>President Lzrus Chkwer</t>
  </si>
  <si>
    <t>President ssimi Goït</t>
  </si>
  <si>
    <t>President Cheikh Med hmed El Ghzouni</t>
  </si>
  <si>
    <t>Le Premier Ministre Prviand Jugnuth</t>
  </si>
  <si>
    <t>President of the government ziz khnnouch</t>
  </si>
  <si>
    <t>President President Filipe Jcinto Nyusi</t>
  </si>
  <si>
    <t>President Mohmed Bzoum</t>
  </si>
  <si>
    <t>President Crlos Vil Nov</t>
  </si>
  <si>
    <t>President Mcky Sll</t>
  </si>
  <si>
    <t>President  Wvel Rmklawn </t>
  </si>
  <si>
    <t>President bdel Ftth l-Burhn</t>
  </si>
  <si>
    <t>President Smi Suluhu Hssn</t>
  </si>
  <si>
    <t>President Fure Essozimn Gnssingbe</t>
  </si>
  <si>
    <t>President Kis Sied </t>
  </si>
  <si>
    <t>President Yoweri Kgut Museveni </t>
  </si>
  <si>
    <t>President Hkiande Hichilem</t>
  </si>
  <si>
    <t xml:space="preserve"> Performnce: MP/National Assembly rep</t>
  </si>
  <si>
    <t xml:space="preserve">Member of House of Peoples’ Representtives </t>
  </si>
  <si>
    <t>Member of the National Assembly </t>
  </si>
  <si>
    <t>Member of the Representative ssembly of the People </t>
  </si>
  <si>
    <t>Members of the specil delegtion of  commune</t>
  </si>
  <si>
    <t>Elected locl government Wered or City councillor</t>
  </si>
  <si>
    <t xml:space="preserve"> Elected ssembly mn or womn </t>
  </si>
  <si>
    <t>Elected Member of County ssembly or MC</t>
  </si>
  <si>
    <t>Elected community or urbn councillor</t>
  </si>
  <si>
    <t>Elected communl councilor</t>
  </si>
  <si>
    <t xml:space="preserve"> myor or Municipal Councilor</t>
  </si>
  <si>
    <t xml:space="preserve"> Municipal or district councilors</t>
  </si>
  <si>
    <t>Elected Collective councillor</t>
  </si>
  <si>
    <t>ElectedMember of the Municipal ssembly</t>
  </si>
  <si>
    <t>Elected Locl uthority Councillor</t>
  </si>
  <si>
    <t xml:space="preserve"> District dministrtor</t>
  </si>
  <si>
    <t xml:space="preserve"> ppointed Local government councillor</t>
  </si>
  <si>
    <t>Elected district councillor</t>
  </si>
  <si>
    <t>Q92</t>
  </si>
  <si>
    <t xml:space="preserve"> Electric connection from mins</t>
  </si>
  <si>
    <t>National Compny of Distribution of Electricity or EandE</t>
  </si>
  <si>
    <t>Benin Electric Energy Compny</t>
  </si>
  <si>
    <t>Botswn Power Corportion</t>
  </si>
  <si>
    <t>Burkin National Electricity Compny</t>
  </si>
  <si>
    <t>ELECTR</t>
  </si>
  <si>
    <t>Cmeroon Energy Corportion</t>
  </si>
  <si>
    <t>Ivorin Electricity Compny</t>
  </si>
  <si>
    <t xml:space="preserve">  Eswtini Electricity Compny</t>
  </si>
  <si>
    <t>Gbon Energy and Wter Compny</t>
  </si>
  <si>
    <t>National Wter and Electricity Compny Limited or NWEC</t>
  </si>
  <si>
    <t>Electricity Compny of Ghn, ECG</t>
  </si>
  <si>
    <t>Electricity of Guine</t>
  </si>
  <si>
    <t>Keny Power and Lighting Compny or KPLC grid</t>
  </si>
  <si>
    <t>Liberi Electricity Corportion</t>
  </si>
  <si>
    <t>Mlgsy Electricity and Wter Compny</t>
  </si>
  <si>
    <t>Electricty Supply Commission of Mlawi or ESCOM</t>
  </si>
  <si>
    <t>Energy of Mli</t>
  </si>
  <si>
    <t>Muritnin Electricity Corportion</t>
  </si>
  <si>
    <t>Centrl Electricity Bord (CEB)</t>
  </si>
  <si>
    <t>National Office of Electricity and Drinking Wter</t>
  </si>
  <si>
    <t>NmPower</t>
  </si>
  <si>
    <t>Niger Electricity Compny</t>
  </si>
  <si>
    <t>Empres de gu e Electricidde or EME</t>
  </si>
  <si>
    <t>National Electricity Compny of Senegl</t>
  </si>
  <si>
    <t>Public Utilities Cooportion or PUC</t>
  </si>
  <si>
    <t>Electricity Distribution and Supply gency or EDS</t>
  </si>
  <si>
    <t>Electric Energy Compny of Togo (CEET)</t>
  </si>
  <si>
    <t>Tunisin Compny of Electricity and Gs (STEG)</t>
  </si>
  <si>
    <t>10</t>
  </si>
  <si>
    <t xml:space="preserve">Q12. </t>
  </si>
  <si>
    <t>Representative to National ssemply</t>
  </si>
  <si>
    <t>CHD</t>
  </si>
  <si>
    <t>National Trnsition Council (NTC)</t>
  </si>
  <si>
    <t>Member of the house of Representtives</t>
  </si>
  <si>
    <t>Member of the ssembly of the People’s Representtives</t>
  </si>
  <si>
    <t xml:space="preserve">Q13. </t>
  </si>
  <si>
    <t>2023</t>
  </si>
  <si>
    <t>2024</t>
  </si>
  <si>
    <t>2025</t>
  </si>
  <si>
    <t>Inteand to vote in the next National election (if too young)</t>
  </si>
  <si>
    <t>2027</t>
  </si>
  <si>
    <t>2026</t>
  </si>
  <si>
    <t>2029</t>
  </si>
  <si>
    <t>2028</t>
  </si>
  <si>
    <t>Lower voting ge</t>
  </si>
  <si>
    <t>18</t>
  </si>
  <si>
    <t>Lst National election: fer politicl intimidtion or violence</t>
  </si>
  <si>
    <t>Q26.</t>
  </si>
  <si>
    <t>Parliament mkes laws vs president does</t>
  </si>
  <si>
    <t>Representative to National ssemply vs President</t>
  </si>
  <si>
    <t>The National Trnsition Councilor vs President</t>
  </si>
  <si>
    <t>Members of the ssembly of the People’s Representtives vs President</t>
  </si>
  <si>
    <t>President monitored by Parliament vs free to ct on own</t>
  </si>
  <si>
    <t>President/He vs National Trnsition Council</t>
  </si>
  <si>
    <t>President/He vs The ssembly of the People’s Representtives</t>
  </si>
  <si>
    <t xml:space="preserve">Q31. </t>
  </si>
  <si>
    <t>rmed forces never intervene vs when leaders buse power</t>
  </si>
  <si>
    <t>ngol's rmed Forces</t>
  </si>
  <si>
    <t>rmed Forces of Benin</t>
  </si>
  <si>
    <t>Botswn’s rmed Forces</t>
  </si>
  <si>
    <t>The rmed forces of Cmeroon</t>
  </si>
  <si>
    <t>Chd's rmed Forces</t>
  </si>
  <si>
    <t>The rmed forces of the Comoros</t>
  </si>
  <si>
    <t>The rmed forces of Congo</t>
  </si>
  <si>
    <t>Eswtini’s rmed forces</t>
  </si>
  <si>
    <t>The rmed forces of Gbon</t>
  </si>
  <si>
    <t>Gmbi's rmed forces</t>
  </si>
  <si>
    <t>The Ghn rmed forces</t>
  </si>
  <si>
    <t>Republic of Guine rmed Forces</t>
  </si>
  <si>
    <t>The Keny Defence Forces or KDF</t>
  </si>
  <si>
    <t>Lberi's rmed forces</t>
  </si>
  <si>
    <t>The rmed forces of Mdgscr</t>
  </si>
  <si>
    <t>The rmed forces of Mli</t>
  </si>
  <si>
    <t>The rmed forces of Muritni</t>
  </si>
  <si>
    <t>Muritius' rmed forces</t>
  </si>
  <si>
    <t>São Tomé e Príncipe’s rmed forces</t>
  </si>
  <si>
    <t>The rmed forces of Senegl</t>
  </si>
  <si>
    <t>Seychelles rmed forces</t>
  </si>
  <si>
    <t>Tnzni’s rmed forces</t>
  </si>
  <si>
    <t>The rmed forces of Togo</t>
  </si>
  <si>
    <t>The Ugand Peoples Defense Forces or UPDF</t>
  </si>
  <si>
    <t>Zmbi’s rmed forces</t>
  </si>
  <si>
    <t xml:space="preserve">Q34. </t>
  </si>
  <si>
    <t>How often president ignores Parliament</t>
  </si>
  <si>
    <t>National Trnsition Councilors</t>
  </si>
  <si>
    <t>Members of the ssembly of the People’s Representtives</t>
  </si>
  <si>
    <t>Members of Urbn or Community council</t>
  </si>
  <si>
    <t>Members of the Locl uthority Council</t>
  </si>
  <si>
    <t>Members of Municipality or district council</t>
  </si>
  <si>
    <t xml:space="preserve">Locl uthority Councilors
</t>
  </si>
  <si>
    <t xml:space="preserve">Members of Local government council
</t>
  </si>
  <si>
    <t xml:space="preserve">Members of the District dministrtion 
</t>
  </si>
  <si>
    <t xml:space="preserve">Q37. </t>
  </si>
  <si>
    <t>National Trnsition Council</t>
  </si>
  <si>
    <t xml:space="preserve">The ssembly of the People’s Representtives
</t>
  </si>
  <si>
    <t>The  National Electorl Commission</t>
  </si>
  <si>
    <t xml:space="preserve">The National Electorl Commission or CNE
</t>
  </si>
  <si>
    <t>The Iandepeandent Electorl Commission (ELECM)</t>
  </si>
  <si>
    <t>National gency for the Mngement of Elections</t>
  </si>
  <si>
    <t>The Gbonese Elections Council</t>
  </si>
  <si>
    <t>Ministry of Territoril dministrtion and Decentrliztion</t>
  </si>
  <si>
    <t>The Iandepeandent uthority for the Mngement of Elections</t>
  </si>
  <si>
    <t xml:space="preserve">The Electorl Commission of Nmibi or ECN
</t>
  </si>
  <si>
    <t xml:space="preserve">Iandepeandent National Electorl Commission or INEC
</t>
  </si>
  <si>
    <t xml:space="preserve">The National Electorl Commission
</t>
  </si>
  <si>
    <t>Electorl Commission of Seychelles</t>
  </si>
  <si>
    <t xml:space="preserve">The South AfricaElectorl Commission
</t>
  </si>
  <si>
    <t xml:space="preserve">The National Electorl Commission or NEC
</t>
  </si>
  <si>
    <t xml:space="preserve">The Iandepeandent High uthority for the Elections (ISIE)
</t>
  </si>
  <si>
    <t xml:space="preserve">The Electorl Commission of Ugand
</t>
  </si>
  <si>
    <t xml:space="preserve">Zmbi Electorl Commission or ECZ 
</t>
  </si>
  <si>
    <t xml:space="preserve">Zimbbwe Electorl Commission or ZEC
</t>
  </si>
  <si>
    <t xml:space="preserve">  Local government council</t>
  </si>
  <si>
    <t xml:space="preserve"> County ssembly or C</t>
  </si>
  <si>
    <t xml:space="preserve"> Urbn or Community Council</t>
  </si>
  <si>
    <t xml:space="preserve"> Municipal or district council</t>
  </si>
  <si>
    <t xml:space="preserve"> Locl uthority Council
</t>
  </si>
  <si>
    <t xml:space="preserve"> District dministrtion
</t>
  </si>
  <si>
    <t xml:space="preserve"> district or city council
</t>
  </si>
  <si>
    <t>Trust Ministry of Helth or public helth gency</t>
  </si>
  <si>
    <t>Ministry of Helth</t>
  </si>
  <si>
    <t>Ministry of Public Helth</t>
  </si>
  <si>
    <t>Ministry of Helth and Popultion</t>
  </si>
  <si>
    <t>Ministry of Helth, Public Hygiene, and Universl Helth Coverge</t>
  </si>
  <si>
    <t>Ministry of Helth and Public Hygiene</t>
  </si>
  <si>
    <t>Ministry Of Helth or Public Helth Institution</t>
  </si>
  <si>
    <t>Ministry of Helth and Wellness</t>
  </si>
  <si>
    <t xml:space="preserve">Ministry of Helth and Socil Protection
</t>
  </si>
  <si>
    <t xml:space="preserve">Ministry of Helth (MISU) or  National Institute of Helth (INS)
</t>
  </si>
  <si>
    <t xml:space="preserve">The Ministry of Helth and Socil Services
</t>
  </si>
  <si>
    <t xml:space="preserve">Federl Ministry of Helth 
</t>
  </si>
  <si>
    <t>The Ministry of Helth and Women Rights</t>
  </si>
  <si>
    <t>Ministry of Helth and Socil ction (MSS)</t>
  </si>
  <si>
    <t xml:space="preserve">Ministry of Helth or Deprtment of Helth
</t>
  </si>
  <si>
    <t xml:space="preserve">Ministry Of Helth
</t>
  </si>
  <si>
    <t xml:space="preserve">Ministry of Helth
</t>
  </si>
  <si>
    <t xml:space="preserve">Ministry of Helth 
</t>
  </si>
  <si>
    <t xml:space="preserve">Ministry of Helth and Child Cre 
</t>
  </si>
  <si>
    <t xml:space="preserve">Q38. </t>
  </si>
  <si>
    <t>The Trnsitionl President</t>
  </si>
  <si>
    <t>Members of House of Representtives</t>
  </si>
  <si>
    <t xml:space="preserve">Members of the ssembly of the People’s Representtives 
</t>
  </si>
  <si>
    <t>Members of the County ssembly or MCs</t>
  </si>
  <si>
    <t>Urbn or Community Councilors</t>
  </si>
  <si>
    <t xml:space="preserve">Members of  Municipal ssembly
</t>
  </si>
  <si>
    <t xml:space="preserve">District dministrtors
</t>
  </si>
  <si>
    <t>dministrção Gerl Tributári or  GT  </t>
  </si>
  <si>
    <t xml:space="preserve"> Botswn Unified Revenue Services or BURS</t>
  </si>
  <si>
    <t xml:space="preserve"> National Directorte of Stte Revenues or DNRE</t>
  </si>
  <si>
    <t>Eswtini Revenue uthority </t>
  </si>
  <si>
    <t>Revenue Services Lesotho  RSL or Lesotho Revenue uthority-LR</t>
  </si>
  <si>
    <t> Mlawi Revenue uthority or MR</t>
  </si>
  <si>
    <t xml:space="preserve">Muritius Revenue uthority </t>
  </si>
  <si>
    <t xml:space="preserve">Revenue uthority of So Tome e Principe </t>
  </si>
  <si>
    <t xml:space="preserve">Ugand Revenue uthority or UR </t>
  </si>
  <si>
    <t>Zmbi Revenue uthority or ZR</t>
  </si>
  <si>
    <t xml:space="preserve">Q48. </t>
  </si>
  <si>
    <t xml:space="preserve">President Mokgweetsi Eric Kebetswe Msisi
</t>
  </si>
  <si>
    <t xml:space="preserve">President José Mri Neves
</t>
  </si>
  <si>
    <t>President Mrshl Mhmt Idriss Déby Itno</t>
  </si>
  <si>
    <t>President zli ssoumni</t>
  </si>
  <si>
    <t>President Denis SSSOU NGUESSO</t>
  </si>
  <si>
    <t>Prime Minister Russel Dlmini</t>
  </si>
  <si>
    <t>President Brice Clotire Oligui Nguem</t>
  </si>
  <si>
    <t>President Nn ddo Dnkw kuffo-ddo</t>
  </si>
  <si>
    <t>President Mmdi DOUMBOUY</t>
  </si>
  <si>
    <t>President Willim Ruto</t>
  </si>
  <si>
    <t>Prime Minister Ntsokone Mtekne</t>
  </si>
  <si>
    <t>President Joseph Boki</t>
  </si>
  <si>
    <t>Generl President of the rmy, ssimi Goït</t>
  </si>
  <si>
    <t>President Mohmed Ould Cheikh El Gzouni</t>
  </si>
  <si>
    <t xml:space="preserve">Prime Minister Prviand Jugnuth
</t>
  </si>
  <si>
    <t xml:space="preserve">President of the government ziz khnnouch
</t>
  </si>
  <si>
    <t xml:space="preserve">President Dniel Frncisco Chpo
</t>
  </si>
  <si>
    <t xml:space="preserve">President Bol hmed Tinubu
</t>
  </si>
  <si>
    <t>President Crlos Vil Nov </t>
  </si>
  <si>
    <t>President Bssirou Diomye Fye</t>
  </si>
  <si>
    <t xml:space="preserve">President Wvel Rmklawn
</t>
  </si>
  <si>
    <t xml:space="preserve">President Cyril Rmphos
</t>
  </si>
  <si>
    <t xml:space="preserve">President Smi Suluhu Hssn
</t>
  </si>
  <si>
    <t xml:space="preserve">President Kis Sied 
</t>
  </si>
  <si>
    <t xml:space="preserve">President Yoweri Kgut Museveni
</t>
  </si>
  <si>
    <t xml:space="preserve">President Hkiande Hichilem
</t>
  </si>
  <si>
    <t xml:space="preserve">President Emmerson Mnnggw
</t>
  </si>
  <si>
    <t>Member of the ssembly of the People’s Representtives </t>
  </si>
  <si>
    <t>Q67.</t>
  </si>
  <si>
    <t>Influence of country: Former colonil power</t>
  </si>
  <si>
    <t>Portugl</t>
  </si>
  <si>
    <t>Frnce</t>
  </si>
  <si>
    <t xml:space="preserve"> Britin </t>
  </si>
  <si>
    <t>Britin</t>
  </si>
  <si>
    <t>Germny</t>
  </si>
  <si>
    <t xml:space="preserve">Portugl </t>
  </si>
  <si>
    <t xml:space="preserve"> Britin</t>
  </si>
  <si>
    <t>Influence of orgniztion: Regionl orgnistion</t>
  </si>
  <si>
    <t>ECCS</t>
  </si>
  <si>
    <t>Est fricn Community or EC</t>
  </si>
  <si>
    <t>rb Mghreb Union</t>
  </si>
  <si>
    <t xml:space="preserve">Economic Community of Centrl fricn Sttes or ECCS
</t>
  </si>
  <si>
    <t xml:space="preserve">Est fricn Community or EC
</t>
  </si>
  <si>
    <t>rb Mghreb Union </t>
  </si>
  <si>
    <t xml:space="preserve">Q70. </t>
  </si>
  <si>
    <t>Regionl orgnistion recognizes our country's needs/interests</t>
  </si>
  <si>
    <t>K_53</t>
  </si>
  <si>
    <t>Southern fricn</t>
  </si>
  <si>
    <t>West fricn</t>
  </si>
  <si>
    <t>Centrl fricn</t>
  </si>
  <si>
    <t>Est fricn</t>
  </si>
  <si>
    <t>North fricn</t>
  </si>
  <si>
    <t>Preferred trding prtners</t>
  </si>
  <si>
    <t>Southern fricn countries only</t>
  </si>
  <si>
    <t>West fricn countries only</t>
  </si>
  <si>
    <t>Centrl fricn countries only</t>
  </si>
  <si>
    <t>Est fricn countries only</t>
  </si>
  <si>
    <t xml:space="preserve">North fricn countries only
</t>
  </si>
  <si>
    <t>Est fricn Countries only</t>
  </si>
  <si>
    <t>North fricn countries only</t>
  </si>
  <si>
    <t>llow free movement in region vs limit cross-border movement</t>
  </si>
  <si>
    <t xml:space="preserve">Q93. </t>
  </si>
  <si>
    <t>Beninese Electric Energy Compny (SBEE)</t>
  </si>
  <si>
    <t>Electricity and Wter Compny of Cpe Verde</t>
  </si>
  <si>
    <t>National Electricity Compny (ENEO)</t>
  </si>
  <si>
    <t>National Electricity Compny</t>
  </si>
  <si>
    <t>National Electricity Compny (SONELEC)</t>
  </si>
  <si>
    <t>Ivorin Electricity Compny (CIE)</t>
  </si>
  <si>
    <t>Eswtini Electricity Compny or EEC</t>
  </si>
  <si>
    <t>Gbon Energy and Wter Compny (SEEG)</t>
  </si>
  <si>
    <t>Electricity Compny of Ghn, ECG or the Northern Electricity Distribution Compny Ltd., NEDCO</t>
  </si>
  <si>
    <t>Electricity of Guine (EDG)</t>
  </si>
  <si>
    <t>Keny Power and Lighting Compny or KPLC</t>
  </si>
  <si>
    <t>Jiro Sy Rno Mlgsy (JIRM)</t>
  </si>
  <si>
    <t>Electricity Supply Corportion of Mlawi or ESCOM</t>
  </si>
  <si>
    <t>Mli Electricity Compny (EDM)</t>
  </si>
  <si>
    <t>Muritnin Electricity Compny (SOMELEC)</t>
  </si>
  <si>
    <t>Centrl Electricity Bord or CEB</t>
  </si>
  <si>
    <t>EDM or Eletricidde de Moçmbique</t>
  </si>
  <si>
    <t>Nmpower or  Regionl Electricity Distributor-RED</t>
  </si>
  <si>
    <t>Power Holding Compny of Nigeri or PHCN</t>
  </si>
  <si>
    <t>Wter and Electricity Compny (EME)</t>
  </si>
  <si>
    <t>National Electricity Compny of Senegl (SENELEC)</t>
  </si>
  <si>
    <t>Public Utilities Corportion or PUC</t>
  </si>
  <si>
    <t>Tnzni Electric Supply Compny or TNESCO</t>
  </si>
  <si>
    <t>Togolese Electricity Compny (CEET)</t>
  </si>
  <si>
    <t>Ugand Electricity Distribution Compny Limited or UMEME</t>
  </si>
  <si>
    <t>Other source of electricity: vilble</t>
  </si>
  <si>
    <t>Mali</t>
  </si>
  <si>
    <t>Senegal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</si>
</sst>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b/>
      <color rgb="FF000000"/>
      <name val="'Arial Narrow'"/>
    </font>
    <font>
      <b/>
      <sz val="11.0"/>
      <color rgb="FF000000"/>
      <name val="'Arial Narrow'"/>
    </font>
    <font>
      <b/>
      <sz val="9.0"/>
      <color rgb="FF000000"/>
      <name val="'Arial Narrow'"/>
    </font>
    <font>
      <b/>
      <color rgb="FF000000"/>
      <name val="Arial"/>
    </font>
    <font>
      <b/>
      <color rgb="FFFF0000"/>
      <name val="'Arial Narrow'"/>
    </font>
    <font>
      <b/>
      <strike/>
      <sz val="11.0"/>
      <color rgb="FF000000"/>
      <name val="'Arial Narrow'"/>
    </font>
    <font>
      <b/>
      <color rgb="FF0000CC"/>
      <name val="'Arial Narrow'"/>
    </font>
    <font>
      <b/>
      <color theme="1"/>
      <name val="Arial"/>
    </font>
    <font>
      <b/>
      <color rgb="FF0000FF"/>
      <name val="'Arial Narrow'"/>
    </font>
    <font>
      <b/>
      <color rgb="FF3333FF"/>
      <name val="'Arial Narrow'"/>
    </font>
    <font>
      <sz val="11.0"/>
      <color theme="1"/>
      <name val="Times New Roman"/>
    </font>
    <font>
      <sz val="10.0"/>
      <color rgb="FF000000"/>
      <name val="Arial Narrow"/>
    </font>
    <font>
      <sz val="11.0"/>
      <color rgb="FF00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2" fillId="2" fontId="2" numFmtId="0" xfId="0" applyAlignment="1" applyBorder="1" applyFont="1">
      <alignment horizontal="center" readingOrder="0"/>
    </xf>
    <xf borderId="2" fillId="2" fontId="5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2" numFmtId="0" xfId="0" applyAlignment="1" applyBorder="1" applyFont="1">
      <alignment horizontal="center" shrinkToFit="0" wrapText="1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vertical="bottom"/>
    </xf>
    <xf borderId="0" fillId="4" fontId="6" numFmtId="0" xfId="0" applyAlignment="1" applyFont="1">
      <alignment horizontal="left" readingOrder="0" shrinkToFit="0" wrapText="1"/>
    </xf>
    <xf borderId="0" fillId="4" fontId="6" numFmtId="0" xfId="0" applyAlignment="1" applyFont="1">
      <alignment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4" numFmtId="0" xfId="0" applyFont="1"/>
    <xf borderId="0" fillId="4" fontId="4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13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4" numFmtId="0" xfId="0" applyAlignment="1" applyFont="1">
      <alignment readingOrder="0" shrinkToFit="0" wrapText="1"/>
    </xf>
    <xf borderId="0" fillId="4" fontId="1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4" fontId="14" numFmtId="0" xfId="0" applyAlignment="1" applyFont="1">
      <alignment readingOrder="0" shrinkToFit="0" wrapText="1"/>
    </xf>
    <xf borderId="0" fillId="4" fontId="15" numFmtId="0" xfId="0" applyAlignment="1" applyFont="1">
      <alignment horizontal="left" readingOrder="0" shrinkToFit="0" wrapText="1"/>
    </xf>
    <xf borderId="0" fillId="4" fontId="12" numFmtId="0" xfId="0" applyAlignment="1" applyFont="1">
      <alignment readingOrder="0"/>
    </xf>
    <xf borderId="0" fillId="4" fontId="12" numFmtId="0" xfId="0" applyAlignment="1" applyFont="1">
      <alignment readingOrder="0" shrinkToFit="0" wrapText="1"/>
    </xf>
    <xf borderId="0" fillId="2" fontId="1" numFmtId="0" xfId="0" applyAlignment="1" applyFont="1">
      <alignment horizontal="center"/>
    </xf>
    <xf borderId="0" fillId="2" fontId="1" numFmtId="0" xfId="0" applyFont="1"/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16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3" fillId="0" fontId="2" numFmtId="0" xfId="0" applyAlignment="1" applyBorder="1" applyFont="1">
      <alignment horizontal="center"/>
    </xf>
    <xf borderId="2" fillId="5" fontId="1" numFmtId="0" xfId="0" applyBorder="1" applyFill="1" applyFont="1"/>
    <xf borderId="1" fillId="5" fontId="2" numFmtId="0" xfId="0" applyBorder="1" applyFont="1"/>
    <xf borderId="1" fillId="5" fontId="1" numFmtId="0" xfId="0" applyBorder="1" applyFont="1"/>
    <xf borderId="3" fillId="0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8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4" fillId="6" fontId="13" numFmtId="0" xfId="0" applyAlignment="1" applyBorder="1" applyFill="1" applyFont="1">
      <alignment horizontal="left" readingOrder="0"/>
    </xf>
    <xf borderId="4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60.0"/>
    <col customWidth="1" min="5" max="31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15.75" customHeight="1">
      <c r="A2" s="4">
        <v>2.0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23</v>
      </c>
      <c r="G2" s="5" t="s">
        <v>24</v>
      </c>
      <c r="H2" s="5" t="s">
        <v>23</v>
      </c>
      <c r="I2" s="5" t="s">
        <v>25</v>
      </c>
      <c r="J2" s="5" t="s">
        <v>23</v>
      </c>
      <c r="K2" s="5" t="s">
        <v>26</v>
      </c>
      <c r="L2" s="5" t="s">
        <v>23</v>
      </c>
      <c r="M2" s="5" t="s">
        <v>23</v>
      </c>
      <c r="N2" s="5" t="s">
        <v>23</v>
      </c>
      <c r="O2" s="5" t="s">
        <v>26</v>
      </c>
      <c r="P2" s="5" t="s">
        <v>23</v>
      </c>
      <c r="Q2" s="5" t="s">
        <v>23</v>
      </c>
      <c r="S2" s="5" t="s">
        <v>23</v>
      </c>
      <c r="T2" s="5" t="s">
        <v>23</v>
      </c>
    </row>
    <row r="3" ht="15.75" customHeight="1">
      <c r="A3" s="4">
        <v>2.0</v>
      </c>
      <c r="B3" s="5" t="s">
        <v>27</v>
      </c>
      <c r="C3" s="5" t="s">
        <v>28</v>
      </c>
      <c r="D3" s="5" t="s">
        <v>29</v>
      </c>
      <c r="H3" s="5" t="s">
        <v>30</v>
      </c>
      <c r="M3" s="5" t="s">
        <v>31</v>
      </c>
      <c r="N3" s="5" t="s">
        <v>32</v>
      </c>
      <c r="R3" s="5" t="s">
        <v>33</v>
      </c>
      <c r="T3" s="5" t="s">
        <v>34</v>
      </c>
    </row>
    <row r="4" ht="15.75" customHeight="1">
      <c r="A4" s="4">
        <v>2.0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38</v>
      </c>
      <c r="H4" s="5" t="s">
        <v>38</v>
      </c>
      <c r="I4" s="5" t="s">
        <v>39</v>
      </c>
      <c r="J4" s="5" t="s">
        <v>39</v>
      </c>
      <c r="K4" s="5" t="s">
        <v>40</v>
      </c>
      <c r="L4" s="5" t="s">
        <v>39</v>
      </c>
      <c r="M4" s="5" t="s">
        <v>41</v>
      </c>
      <c r="N4" s="5" t="s">
        <v>39</v>
      </c>
      <c r="O4" s="5" t="s">
        <v>40</v>
      </c>
      <c r="P4" s="5" t="s">
        <v>38</v>
      </c>
      <c r="Q4" s="5" t="s">
        <v>39</v>
      </c>
      <c r="R4" s="5" t="s">
        <v>42</v>
      </c>
      <c r="S4" s="5" t="s">
        <v>38</v>
      </c>
      <c r="T4" s="5" t="s">
        <v>38</v>
      </c>
    </row>
    <row r="5" ht="15.75" customHeight="1">
      <c r="A5" s="4">
        <v>2.0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46</v>
      </c>
      <c r="G5" s="5" t="s">
        <v>47</v>
      </c>
      <c r="H5" s="5" t="s">
        <v>47</v>
      </c>
      <c r="I5" s="5" t="s">
        <v>48</v>
      </c>
      <c r="J5" s="5" t="s">
        <v>47</v>
      </c>
      <c r="K5" s="5" t="s">
        <v>47</v>
      </c>
      <c r="L5" s="5" t="s">
        <v>47</v>
      </c>
      <c r="M5" s="5" t="s">
        <v>47</v>
      </c>
      <c r="N5" s="5" t="s">
        <v>47</v>
      </c>
      <c r="O5" s="5" t="s">
        <v>47</v>
      </c>
      <c r="P5" s="5" t="s">
        <v>47</v>
      </c>
      <c r="Q5" s="5" t="s">
        <v>47</v>
      </c>
      <c r="R5" s="5" t="s">
        <v>47</v>
      </c>
      <c r="S5" s="5" t="s">
        <v>47</v>
      </c>
    </row>
    <row r="6" ht="15.75" customHeight="1">
      <c r="A6" s="4">
        <v>2.0</v>
      </c>
      <c r="B6" s="5" t="s">
        <v>49</v>
      </c>
      <c r="C6" s="5" t="s">
        <v>50</v>
      </c>
      <c r="D6" s="6" t="s">
        <v>51</v>
      </c>
      <c r="E6" s="5" t="s">
        <v>52</v>
      </c>
      <c r="F6" s="5" t="s">
        <v>53</v>
      </c>
      <c r="G6" s="5" t="s">
        <v>54</v>
      </c>
      <c r="H6" s="5" t="s">
        <v>54</v>
      </c>
      <c r="I6" s="5" t="s">
        <v>55</v>
      </c>
      <c r="J6" s="5" t="s">
        <v>56</v>
      </c>
      <c r="K6" s="5" t="s">
        <v>56</v>
      </c>
      <c r="L6" s="5" t="s">
        <v>56</v>
      </c>
      <c r="M6" s="5" t="s">
        <v>56</v>
      </c>
      <c r="N6" s="5" t="s">
        <v>56</v>
      </c>
      <c r="O6" s="5" t="s">
        <v>56</v>
      </c>
      <c r="P6" s="5" t="s">
        <v>57</v>
      </c>
      <c r="Q6" s="5" t="s">
        <v>56</v>
      </c>
      <c r="R6" s="5" t="s">
        <v>58</v>
      </c>
      <c r="S6" s="5" t="s">
        <v>58</v>
      </c>
      <c r="T6" s="5" t="s">
        <v>58</v>
      </c>
    </row>
    <row r="7" ht="15.75" customHeight="1">
      <c r="A7" s="4">
        <v>2.0</v>
      </c>
      <c r="B7" s="5" t="s">
        <v>59</v>
      </c>
      <c r="C7" s="5" t="s">
        <v>60</v>
      </c>
      <c r="D7" s="5" t="s">
        <v>61</v>
      </c>
      <c r="E7" s="5" t="s">
        <v>52</v>
      </c>
      <c r="F7" s="5" t="s">
        <v>53</v>
      </c>
      <c r="G7" s="5" t="s">
        <v>54</v>
      </c>
      <c r="H7" s="5" t="s">
        <v>54</v>
      </c>
      <c r="I7" s="5" t="s">
        <v>55</v>
      </c>
      <c r="J7" s="5" t="s">
        <v>56</v>
      </c>
      <c r="K7" s="5" t="s">
        <v>56</v>
      </c>
      <c r="L7" s="5" t="s">
        <v>56</v>
      </c>
      <c r="M7" s="5" t="s">
        <v>56</v>
      </c>
      <c r="N7" s="5" t="s">
        <v>56</v>
      </c>
      <c r="O7" s="5" t="s">
        <v>56</v>
      </c>
      <c r="P7" s="5" t="s">
        <v>57</v>
      </c>
      <c r="Q7" s="5" t="s">
        <v>56</v>
      </c>
      <c r="R7" s="5" t="s">
        <v>58</v>
      </c>
      <c r="S7" s="5" t="s">
        <v>58</v>
      </c>
      <c r="T7" s="5" t="s">
        <v>58</v>
      </c>
    </row>
    <row r="8" ht="15.75" customHeight="1">
      <c r="A8" s="4">
        <v>2.0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65</v>
      </c>
      <c r="G8" s="5" t="s">
        <v>65</v>
      </c>
      <c r="H8" s="5" t="s">
        <v>65</v>
      </c>
      <c r="I8" s="5" t="s">
        <v>66</v>
      </c>
      <c r="J8" s="5" t="s">
        <v>65</v>
      </c>
      <c r="K8" s="5" t="s">
        <v>65</v>
      </c>
      <c r="L8" s="5" t="s">
        <v>65</v>
      </c>
      <c r="M8" s="5" t="s">
        <v>65</v>
      </c>
      <c r="N8" s="5" t="s">
        <v>65</v>
      </c>
      <c r="O8" s="5" t="s">
        <v>65</v>
      </c>
      <c r="P8" s="5" t="s">
        <v>65</v>
      </c>
      <c r="Q8" s="5" t="s">
        <v>65</v>
      </c>
      <c r="R8" s="5" t="s">
        <v>65</v>
      </c>
      <c r="S8" s="5" t="s">
        <v>65</v>
      </c>
      <c r="T8" s="5" t="s">
        <v>65</v>
      </c>
    </row>
    <row r="9" ht="15.75" customHeight="1">
      <c r="A9" s="4">
        <v>2.0</v>
      </c>
      <c r="B9" s="5" t="s">
        <v>67</v>
      </c>
      <c r="C9" s="5" t="s">
        <v>68</v>
      </c>
      <c r="D9" s="5" t="s">
        <v>69</v>
      </c>
      <c r="E9" s="5" t="s">
        <v>70</v>
      </c>
      <c r="F9" s="5" t="s">
        <v>70</v>
      </c>
      <c r="G9" s="5" t="s">
        <v>70</v>
      </c>
      <c r="H9" s="5" t="s">
        <v>70</v>
      </c>
      <c r="I9" s="5" t="s">
        <v>71</v>
      </c>
      <c r="J9" s="5" t="s">
        <v>70</v>
      </c>
      <c r="K9" s="5" t="s">
        <v>70</v>
      </c>
      <c r="L9" s="5" t="s">
        <v>70</v>
      </c>
      <c r="M9" s="5" t="s">
        <v>70</v>
      </c>
      <c r="N9" s="5" t="s">
        <v>70</v>
      </c>
      <c r="O9" s="5" t="s">
        <v>70</v>
      </c>
      <c r="P9" s="5" t="s">
        <v>70</v>
      </c>
      <c r="Q9" s="5" t="s">
        <v>70</v>
      </c>
      <c r="R9" s="5" t="s">
        <v>70</v>
      </c>
      <c r="S9" s="5" t="s">
        <v>70</v>
      </c>
      <c r="T9" s="5" t="s">
        <v>70</v>
      </c>
    </row>
    <row r="10" ht="15.75" customHeight="1">
      <c r="A10" s="4">
        <v>2.0</v>
      </c>
      <c r="B10" s="5" t="s">
        <v>72</v>
      </c>
      <c r="C10" s="5" t="s">
        <v>73</v>
      </c>
      <c r="D10" s="5" t="s">
        <v>74</v>
      </c>
      <c r="E10" s="5" t="s">
        <v>75</v>
      </c>
      <c r="F10" s="5" t="s">
        <v>76</v>
      </c>
      <c r="G10" s="5" t="s">
        <v>75</v>
      </c>
      <c r="H10" s="5" t="s">
        <v>75</v>
      </c>
      <c r="I10" s="5" t="s">
        <v>76</v>
      </c>
      <c r="J10" s="5" t="s">
        <v>76</v>
      </c>
      <c r="K10" s="5" t="s">
        <v>76</v>
      </c>
      <c r="L10" s="5" t="s">
        <v>76</v>
      </c>
      <c r="M10" s="5" t="s">
        <v>76</v>
      </c>
      <c r="N10" s="5" t="s">
        <v>76</v>
      </c>
      <c r="O10" s="5" t="s">
        <v>76</v>
      </c>
      <c r="P10" s="5" t="s">
        <v>77</v>
      </c>
      <c r="Q10" s="5" t="s">
        <v>76</v>
      </c>
      <c r="R10" s="5" t="s">
        <v>75</v>
      </c>
      <c r="S10" s="5" t="s">
        <v>77</v>
      </c>
      <c r="T10" s="5" t="s">
        <v>77</v>
      </c>
    </row>
    <row r="11" ht="15.75" customHeight="1">
      <c r="A11" s="4">
        <v>2.0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81</v>
      </c>
      <c r="G11" s="5" t="s">
        <v>82</v>
      </c>
      <c r="H11" s="5" t="s">
        <v>83</v>
      </c>
      <c r="I11" s="5" t="s">
        <v>81</v>
      </c>
      <c r="J11" s="5" t="s">
        <v>82</v>
      </c>
      <c r="K11" s="5" t="s">
        <v>81</v>
      </c>
      <c r="L11" s="5" t="s">
        <v>82</v>
      </c>
      <c r="M11" s="5" t="s">
        <v>84</v>
      </c>
      <c r="N11" s="5" t="s">
        <v>85</v>
      </c>
      <c r="O11" s="5" t="s">
        <v>86</v>
      </c>
      <c r="P11" s="5" t="s">
        <v>81</v>
      </c>
      <c r="Q11" s="5" t="s">
        <v>82</v>
      </c>
      <c r="R11" s="5" t="s">
        <v>82</v>
      </c>
      <c r="S11" s="5" t="s">
        <v>82</v>
      </c>
      <c r="T11" s="5" t="s">
        <v>87</v>
      </c>
    </row>
    <row r="12" ht="15.75" customHeight="1">
      <c r="A12" s="4">
        <v>2.0</v>
      </c>
      <c r="B12" s="5" t="s">
        <v>88</v>
      </c>
      <c r="C12" s="5" t="s">
        <v>89</v>
      </c>
      <c r="D12" s="5" t="s">
        <v>90</v>
      </c>
      <c r="G12" s="5" t="s">
        <v>91</v>
      </c>
      <c r="H12" s="5" t="s">
        <v>92</v>
      </c>
      <c r="I12" s="5" t="s">
        <v>93</v>
      </c>
      <c r="K12" s="5" t="s">
        <v>94</v>
      </c>
      <c r="L12" s="5" t="s">
        <v>95</v>
      </c>
      <c r="M12" s="5" t="s">
        <v>96</v>
      </c>
      <c r="N12" s="5" t="s">
        <v>97</v>
      </c>
      <c r="O12" s="5" t="s">
        <v>98</v>
      </c>
      <c r="P12" s="5" t="s">
        <v>99</v>
      </c>
      <c r="Q12" s="5" t="s">
        <v>96</v>
      </c>
      <c r="S12" s="5" t="s">
        <v>96</v>
      </c>
      <c r="T12" s="5" t="s">
        <v>100</v>
      </c>
    </row>
    <row r="13" ht="15.75" customHeight="1">
      <c r="A13" s="4">
        <v>2.0</v>
      </c>
      <c r="B13" s="5" t="s">
        <v>101</v>
      </c>
      <c r="C13" s="5" t="s">
        <v>102</v>
      </c>
      <c r="D13" s="5" t="s">
        <v>103</v>
      </c>
      <c r="E13" s="5" t="s">
        <v>104</v>
      </c>
      <c r="F13" s="5" t="s">
        <v>105</v>
      </c>
      <c r="G13" s="5" t="s">
        <v>104</v>
      </c>
      <c r="H13" s="5" t="s">
        <v>104</v>
      </c>
      <c r="I13" s="5" t="s">
        <v>106</v>
      </c>
      <c r="J13" s="5" t="s">
        <v>104</v>
      </c>
      <c r="K13" s="5" t="s">
        <v>107</v>
      </c>
      <c r="L13" s="5" t="s">
        <v>108</v>
      </c>
      <c r="M13" s="5" t="s">
        <v>105</v>
      </c>
      <c r="N13" s="5" t="s">
        <v>109</v>
      </c>
      <c r="O13" s="5" t="s">
        <v>110</v>
      </c>
      <c r="P13" s="5" t="s">
        <v>104</v>
      </c>
      <c r="Q13" s="5" t="s">
        <v>104</v>
      </c>
      <c r="R13" s="5" t="s">
        <v>111</v>
      </c>
      <c r="S13" s="5" t="s">
        <v>104</v>
      </c>
      <c r="T13" s="5" t="s">
        <v>104</v>
      </c>
    </row>
    <row r="14" ht="15.75" customHeight="1">
      <c r="A14" s="4">
        <v>2.0</v>
      </c>
      <c r="B14" s="5" t="s">
        <v>112</v>
      </c>
      <c r="C14" s="5" t="s">
        <v>113</v>
      </c>
      <c r="D14" s="5" t="s">
        <v>114</v>
      </c>
      <c r="E14" s="5" t="s">
        <v>115</v>
      </c>
      <c r="F14" s="5" t="s">
        <v>115</v>
      </c>
      <c r="G14" s="5" t="s">
        <v>115</v>
      </c>
      <c r="H14" s="5" t="s">
        <v>115</v>
      </c>
      <c r="I14" s="5" t="s">
        <v>115</v>
      </c>
      <c r="J14" s="5" t="s">
        <v>115</v>
      </c>
      <c r="K14" s="5" t="s">
        <v>115</v>
      </c>
      <c r="L14" s="5" t="s">
        <v>115</v>
      </c>
      <c r="M14" s="5" t="s">
        <v>115</v>
      </c>
      <c r="N14" s="5" t="s">
        <v>115</v>
      </c>
      <c r="O14" s="5" t="s">
        <v>115</v>
      </c>
      <c r="P14" s="5" t="s">
        <v>115</v>
      </c>
      <c r="Q14" s="5" t="s">
        <v>115</v>
      </c>
      <c r="R14" s="5" t="s">
        <v>116</v>
      </c>
      <c r="S14" s="5" t="s">
        <v>115</v>
      </c>
      <c r="T14" s="5" t="s">
        <v>115</v>
      </c>
    </row>
    <row r="15" ht="15.75" customHeight="1">
      <c r="A15" s="4">
        <v>2.0</v>
      </c>
      <c r="B15" s="5" t="s">
        <v>117</v>
      </c>
      <c r="C15" s="5" t="s">
        <v>118</v>
      </c>
      <c r="D15" s="5" t="s">
        <v>119</v>
      </c>
      <c r="E15" s="5" t="s">
        <v>120</v>
      </c>
      <c r="F15" s="5" t="s">
        <v>121</v>
      </c>
      <c r="G15" s="5" t="s">
        <v>121</v>
      </c>
      <c r="H15" s="5" t="s">
        <v>121</v>
      </c>
      <c r="I15" s="5" t="s">
        <v>121</v>
      </c>
      <c r="J15" s="5" t="s">
        <v>121</v>
      </c>
      <c r="K15" s="5" t="s">
        <v>121</v>
      </c>
      <c r="L15" s="5" t="s">
        <v>121</v>
      </c>
      <c r="M15" s="5" t="s">
        <v>121</v>
      </c>
      <c r="N15" s="5" t="s">
        <v>121</v>
      </c>
      <c r="O15" s="5" t="s">
        <v>121</v>
      </c>
      <c r="P15" s="5" t="s">
        <v>121</v>
      </c>
      <c r="Q15" s="5" t="s">
        <v>121</v>
      </c>
      <c r="R15" s="5" t="s">
        <v>121</v>
      </c>
      <c r="S15" s="5" t="s">
        <v>121</v>
      </c>
      <c r="T15" s="5" t="s">
        <v>121</v>
      </c>
    </row>
    <row r="16" ht="15.75" customHeight="1">
      <c r="A16" s="4">
        <v>2.0</v>
      </c>
      <c r="B16" s="5" t="s">
        <v>122</v>
      </c>
      <c r="C16" s="5" t="s">
        <v>123</v>
      </c>
      <c r="D16" s="5" t="s">
        <v>124</v>
      </c>
      <c r="E16" s="5" t="s">
        <v>125</v>
      </c>
      <c r="F16" s="5" t="s">
        <v>126</v>
      </c>
      <c r="G16" s="5" t="s">
        <v>127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132</v>
      </c>
      <c r="M16" s="5" t="s">
        <v>126</v>
      </c>
      <c r="N16" s="5" t="s">
        <v>133</v>
      </c>
      <c r="O16" s="5" t="s">
        <v>131</v>
      </c>
      <c r="P16" s="5" t="s">
        <v>134</v>
      </c>
      <c r="Q16" s="5" t="s">
        <v>135</v>
      </c>
      <c r="R16" s="5" t="s">
        <v>136</v>
      </c>
      <c r="S16" s="5" t="s">
        <v>137</v>
      </c>
      <c r="T16" s="5" t="s">
        <v>138</v>
      </c>
    </row>
    <row r="17" ht="15.75" customHeight="1">
      <c r="A17" s="4">
        <v>2.0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143</v>
      </c>
      <c r="G17" s="5" t="s">
        <v>144</v>
      </c>
      <c r="H17" s="5" t="s">
        <v>142</v>
      </c>
      <c r="I17" s="5" t="s">
        <v>143</v>
      </c>
      <c r="J17" s="5" t="s">
        <v>143</v>
      </c>
      <c r="K17" s="5" t="s">
        <v>145</v>
      </c>
      <c r="L17" s="5" t="s">
        <v>146</v>
      </c>
      <c r="M17" s="5" t="s">
        <v>143</v>
      </c>
      <c r="N17" s="5" t="s">
        <v>143</v>
      </c>
      <c r="O17" s="5" t="s">
        <v>143</v>
      </c>
      <c r="P17" s="5" t="s">
        <v>147</v>
      </c>
      <c r="Q17" s="5" t="s">
        <v>143</v>
      </c>
      <c r="R17" s="5" t="s">
        <v>142</v>
      </c>
      <c r="S17" s="5" t="s">
        <v>142</v>
      </c>
      <c r="T17" s="5" t="s">
        <v>148</v>
      </c>
    </row>
    <row r="18" ht="15.75" customHeight="1">
      <c r="A18" s="4">
        <v>2.0</v>
      </c>
      <c r="B18" s="5" t="s">
        <v>149</v>
      </c>
      <c r="C18" s="5" t="s">
        <v>150</v>
      </c>
      <c r="D18" s="5" t="s">
        <v>151</v>
      </c>
      <c r="F18" s="5" t="s">
        <v>152</v>
      </c>
      <c r="G18" s="5" t="s">
        <v>153</v>
      </c>
      <c r="H18" s="5" t="s">
        <v>154</v>
      </c>
      <c r="I18" s="5" t="s">
        <v>155</v>
      </c>
      <c r="K18" s="5" t="s">
        <v>156</v>
      </c>
      <c r="L18" s="5" t="s">
        <v>157</v>
      </c>
      <c r="M18" s="5" t="s">
        <v>158</v>
      </c>
      <c r="N18" s="5" t="s">
        <v>159</v>
      </c>
      <c r="O18" s="5" t="s">
        <v>160</v>
      </c>
      <c r="P18" s="5" t="s">
        <v>161</v>
      </c>
      <c r="Q18" s="5" t="s">
        <v>158</v>
      </c>
      <c r="S18" s="5" t="s">
        <v>158</v>
      </c>
    </row>
    <row r="19" ht="15.75" customHeight="1">
      <c r="A19" s="4">
        <v>2.0</v>
      </c>
      <c r="B19" s="5" t="s">
        <v>162</v>
      </c>
      <c r="C19" s="5" t="s">
        <v>163</v>
      </c>
      <c r="D19" s="5" t="s">
        <v>164</v>
      </c>
      <c r="E19" s="5" t="s">
        <v>165</v>
      </c>
      <c r="F19" s="5" t="s">
        <v>165</v>
      </c>
      <c r="G19" s="5" t="s">
        <v>166</v>
      </c>
      <c r="H19" s="5" t="s">
        <v>165</v>
      </c>
      <c r="I19" s="5" t="s">
        <v>106</v>
      </c>
      <c r="J19" s="5" t="s">
        <v>167</v>
      </c>
      <c r="K19" s="5" t="s">
        <v>145</v>
      </c>
      <c r="L19" s="5" t="s">
        <v>168</v>
      </c>
      <c r="M19" s="5" t="s">
        <v>165</v>
      </c>
      <c r="N19" s="5" t="s">
        <v>169</v>
      </c>
      <c r="P19" s="5" t="s">
        <v>170</v>
      </c>
      <c r="Q19" s="5" t="s">
        <v>165</v>
      </c>
      <c r="R19" s="5" t="s">
        <v>171</v>
      </c>
      <c r="S19" s="5" t="s">
        <v>165</v>
      </c>
      <c r="T19" s="5" t="s">
        <v>165</v>
      </c>
    </row>
    <row r="20" ht="15.75" customHeight="1">
      <c r="A20" s="4">
        <v>2.0</v>
      </c>
      <c r="B20" s="5" t="s">
        <v>172</v>
      </c>
      <c r="C20" s="5" t="s">
        <v>173</v>
      </c>
      <c r="D20" s="5" t="s">
        <v>174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176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</row>
    <row r="21" ht="15.75" customHeight="1">
      <c r="A21" s="4">
        <v>2.0</v>
      </c>
      <c r="B21" s="5" t="s">
        <v>177</v>
      </c>
      <c r="C21" s="5" t="s">
        <v>178</v>
      </c>
      <c r="D21" s="5" t="s">
        <v>179</v>
      </c>
      <c r="E21" s="5" t="s">
        <v>180</v>
      </c>
      <c r="F21" s="5" t="s">
        <v>180</v>
      </c>
      <c r="G21" s="5" t="s">
        <v>180</v>
      </c>
      <c r="H21" s="5" t="s">
        <v>181</v>
      </c>
      <c r="I21" s="5" t="s">
        <v>182</v>
      </c>
      <c r="J21" s="5" t="s">
        <v>183</v>
      </c>
      <c r="K21" s="5" t="s">
        <v>183</v>
      </c>
      <c r="L21" s="5" t="s">
        <v>184</v>
      </c>
      <c r="M21" s="5" t="s">
        <v>181</v>
      </c>
      <c r="N21" s="5" t="s">
        <v>185</v>
      </c>
      <c r="O21" s="5" t="s">
        <v>181</v>
      </c>
      <c r="P21" s="5" t="s">
        <v>181</v>
      </c>
      <c r="Q21" s="5" t="s">
        <v>181</v>
      </c>
      <c r="R21" s="5" t="s">
        <v>186</v>
      </c>
      <c r="S21" s="5" t="s">
        <v>181</v>
      </c>
      <c r="T21" s="5" t="s">
        <v>181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5" max="5" width="48.0"/>
    <col customWidth="1" min="6" max="6" width="43.5"/>
  </cols>
  <sheetData>
    <row r="1">
      <c r="A1" s="7" t="s">
        <v>4</v>
      </c>
      <c r="B1" s="8" t="s">
        <v>187</v>
      </c>
      <c r="C1" s="7" t="s">
        <v>20</v>
      </c>
      <c r="D1" s="7" t="s">
        <v>21</v>
      </c>
      <c r="E1" s="7" t="s">
        <v>22</v>
      </c>
      <c r="F1" s="7" t="s">
        <v>23</v>
      </c>
    </row>
    <row r="2">
      <c r="A2" s="7" t="s">
        <v>5</v>
      </c>
      <c r="B2" s="8">
        <v>2.0</v>
      </c>
      <c r="C2" s="7" t="s">
        <v>20</v>
      </c>
      <c r="D2" s="7" t="s">
        <v>21</v>
      </c>
      <c r="E2" s="7" t="s">
        <v>22</v>
      </c>
      <c r="F2" s="7" t="s">
        <v>23</v>
      </c>
    </row>
    <row r="3">
      <c r="A3" s="7" t="s">
        <v>6</v>
      </c>
      <c r="B3" s="8">
        <v>2.0</v>
      </c>
      <c r="C3" s="7" t="s">
        <v>20</v>
      </c>
      <c r="D3" s="7" t="s">
        <v>21</v>
      </c>
      <c r="E3" s="7" t="s">
        <v>22</v>
      </c>
      <c r="F3" s="7" t="s">
        <v>24</v>
      </c>
    </row>
    <row r="4">
      <c r="A4" s="7" t="s">
        <v>7</v>
      </c>
      <c r="B4" s="8">
        <v>2.0</v>
      </c>
      <c r="C4" s="7" t="s">
        <v>20</v>
      </c>
      <c r="D4" s="7" t="s">
        <v>21</v>
      </c>
      <c r="E4" s="7" t="s">
        <v>22</v>
      </c>
      <c r="F4" s="7" t="s">
        <v>23</v>
      </c>
    </row>
    <row r="5">
      <c r="A5" s="7" t="s">
        <v>8</v>
      </c>
      <c r="B5" s="8">
        <v>2.0</v>
      </c>
      <c r="C5" s="7" t="s">
        <v>20</v>
      </c>
      <c r="D5" s="7" t="s">
        <v>21</v>
      </c>
      <c r="E5" s="7" t="s">
        <v>22</v>
      </c>
      <c r="F5" s="7" t="s">
        <v>25</v>
      </c>
    </row>
    <row r="6">
      <c r="A6" s="7" t="s">
        <v>9</v>
      </c>
      <c r="B6" s="8">
        <v>2.0</v>
      </c>
      <c r="C6" s="7" t="s">
        <v>20</v>
      </c>
      <c r="D6" s="7" t="s">
        <v>21</v>
      </c>
      <c r="E6" s="7" t="s">
        <v>22</v>
      </c>
      <c r="F6" s="7" t="s">
        <v>23</v>
      </c>
    </row>
    <row r="7">
      <c r="A7" s="7" t="s">
        <v>10</v>
      </c>
      <c r="B7" s="8">
        <v>2.0</v>
      </c>
      <c r="C7" s="7" t="s">
        <v>20</v>
      </c>
      <c r="D7" s="7" t="s">
        <v>21</v>
      </c>
      <c r="E7" s="7" t="s">
        <v>22</v>
      </c>
      <c r="F7" s="7" t="s">
        <v>26</v>
      </c>
    </row>
    <row r="8">
      <c r="A8" s="7" t="s">
        <v>11</v>
      </c>
      <c r="B8" s="8">
        <v>2.0</v>
      </c>
      <c r="C8" s="7" t="s">
        <v>20</v>
      </c>
      <c r="D8" s="7" t="s">
        <v>21</v>
      </c>
      <c r="E8" s="7" t="s">
        <v>22</v>
      </c>
      <c r="F8" s="7" t="s">
        <v>23</v>
      </c>
    </row>
    <row r="9">
      <c r="A9" s="7" t="s">
        <v>12</v>
      </c>
      <c r="B9" s="8">
        <v>2.0</v>
      </c>
      <c r="C9" s="7" t="s">
        <v>20</v>
      </c>
      <c r="D9" s="7" t="s">
        <v>21</v>
      </c>
      <c r="E9" s="7" t="s">
        <v>22</v>
      </c>
      <c r="F9" s="7" t="s">
        <v>23</v>
      </c>
    </row>
    <row r="10">
      <c r="A10" s="7" t="s">
        <v>13</v>
      </c>
      <c r="B10" s="8">
        <v>2.0</v>
      </c>
      <c r="C10" s="7" t="s">
        <v>20</v>
      </c>
      <c r="D10" s="7" t="s">
        <v>21</v>
      </c>
      <c r="E10" s="7" t="s">
        <v>22</v>
      </c>
      <c r="F10" s="7" t="s">
        <v>23</v>
      </c>
    </row>
    <row r="11">
      <c r="A11" s="7" t="s">
        <v>14</v>
      </c>
      <c r="B11" s="8">
        <v>2.0</v>
      </c>
      <c r="C11" s="7" t="s">
        <v>20</v>
      </c>
      <c r="D11" s="7" t="s">
        <v>21</v>
      </c>
      <c r="E11" s="7" t="s">
        <v>22</v>
      </c>
      <c r="F11" s="7" t="s">
        <v>26</v>
      </c>
    </row>
    <row r="12">
      <c r="A12" s="7" t="s">
        <v>15</v>
      </c>
      <c r="B12" s="8">
        <v>2.0</v>
      </c>
      <c r="C12" s="7" t="s">
        <v>20</v>
      </c>
      <c r="D12" s="7" t="s">
        <v>21</v>
      </c>
      <c r="E12" s="7" t="s">
        <v>22</v>
      </c>
      <c r="F12" s="7" t="s">
        <v>23</v>
      </c>
    </row>
    <row r="13">
      <c r="A13" s="7" t="s">
        <v>16</v>
      </c>
      <c r="B13" s="8">
        <v>2.0</v>
      </c>
      <c r="C13" s="7" t="s">
        <v>20</v>
      </c>
      <c r="D13" s="7" t="s">
        <v>21</v>
      </c>
      <c r="E13" s="7" t="s">
        <v>22</v>
      </c>
      <c r="F13" s="7" t="s">
        <v>23</v>
      </c>
    </row>
    <row r="14">
      <c r="A14" s="7" t="s">
        <v>18</v>
      </c>
      <c r="B14" s="8">
        <v>2.0</v>
      </c>
      <c r="C14" s="7" t="s">
        <v>20</v>
      </c>
      <c r="D14" s="7" t="s">
        <v>21</v>
      </c>
      <c r="E14" s="7" t="s">
        <v>22</v>
      </c>
      <c r="F14" s="7" t="s">
        <v>23</v>
      </c>
    </row>
    <row r="15">
      <c r="A15" s="7" t="s">
        <v>19</v>
      </c>
      <c r="B15" s="8">
        <v>2.0</v>
      </c>
      <c r="C15" s="7" t="s">
        <v>20</v>
      </c>
      <c r="D15" s="7" t="s">
        <v>21</v>
      </c>
      <c r="E15" s="7" t="s">
        <v>22</v>
      </c>
      <c r="F15" s="7" t="s">
        <v>23</v>
      </c>
    </row>
    <row r="16">
      <c r="A16" s="7" t="s">
        <v>7</v>
      </c>
      <c r="B16" s="8">
        <v>2.0</v>
      </c>
      <c r="C16" s="7" t="s">
        <v>27</v>
      </c>
      <c r="D16" s="7" t="s">
        <v>28</v>
      </c>
      <c r="E16" s="7" t="s">
        <v>29</v>
      </c>
      <c r="F16" s="7" t="s">
        <v>30</v>
      </c>
    </row>
    <row r="17">
      <c r="A17" s="7" t="s">
        <v>12</v>
      </c>
      <c r="B17" s="8">
        <v>2.0</v>
      </c>
      <c r="C17" s="7" t="s">
        <v>27</v>
      </c>
      <c r="D17" s="7" t="s">
        <v>28</v>
      </c>
      <c r="E17" s="7" t="s">
        <v>29</v>
      </c>
      <c r="F17" s="7" t="s">
        <v>31</v>
      </c>
    </row>
    <row r="18">
      <c r="A18" s="7" t="s">
        <v>13</v>
      </c>
      <c r="B18" s="8">
        <v>2.0</v>
      </c>
      <c r="C18" s="7" t="s">
        <v>27</v>
      </c>
      <c r="D18" s="7" t="s">
        <v>28</v>
      </c>
      <c r="E18" s="7" t="s">
        <v>29</v>
      </c>
      <c r="F18" s="7" t="s">
        <v>32</v>
      </c>
    </row>
    <row r="19">
      <c r="A19" s="7" t="s">
        <v>17</v>
      </c>
      <c r="B19" s="8">
        <v>2.0</v>
      </c>
      <c r="C19" s="7" t="s">
        <v>27</v>
      </c>
      <c r="D19" s="7" t="s">
        <v>28</v>
      </c>
      <c r="E19" s="7" t="s">
        <v>29</v>
      </c>
      <c r="F19" s="7" t="s">
        <v>33</v>
      </c>
    </row>
    <row r="20">
      <c r="A20" s="7" t="s">
        <v>19</v>
      </c>
      <c r="B20" s="8">
        <v>2.0</v>
      </c>
      <c r="C20" s="7" t="s">
        <v>27</v>
      </c>
      <c r="D20" s="7" t="s">
        <v>28</v>
      </c>
      <c r="E20" s="7" t="s">
        <v>29</v>
      </c>
      <c r="F20" s="7" t="s">
        <v>34</v>
      </c>
    </row>
    <row r="21">
      <c r="A21" s="7" t="s">
        <v>4</v>
      </c>
      <c r="B21" s="8">
        <v>2.0</v>
      </c>
      <c r="C21" s="7" t="s">
        <v>35</v>
      </c>
      <c r="D21" s="7" t="s">
        <v>36</v>
      </c>
      <c r="E21" s="7" t="s">
        <v>37</v>
      </c>
      <c r="F21" s="7" t="s">
        <v>38</v>
      </c>
    </row>
    <row r="22">
      <c r="A22" s="7" t="s">
        <v>5</v>
      </c>
      <c r="B22" s="8">
        <v>2.0</v>
      </c>
      <c r="C22" s="7" t="s">
        <v>35</v>
      </c>
      <c r="D22" s="7" t="s">
        <v>36</v>
      </c>
      <c r="E22" s="7" t="s">
        <v>37</v>
      </c>
      <c r="F22" s="7" t="s">
        <v>39</v>
      </c>
    </row>
    <row r="23">
      <c r="A23" s="7" t="s">
        <v>6</v>
      </c>
      <c r="B23" s="8">
        <v>2.0</v>
      </c>
      <c r="C23" s="7" t="s">
        <v>35</v>
      </c>
      <c r="D23" s="7" t="s">
        <v>36</v>
      </c>
      <c r="E23" s="7" t="s">
        <v>37</v>
      </c>
      <c r="F23" s="7" t="s">
        <v>38</v>
      </c>
    </row>
    <row r="24">
      <c r="A24" s="7" t="s">
        <v>7</v>
      </c>
      <c r="B24" s="8">
        <v>2.0</v>
      </c>
      <c r="C24" s="7" t="s">
        <v>35</v>
      </c>
      <c r="D24" s="7" t="s">
        <v>36</v>
      </c>
      <c r="E24" s="7" t="s">
        <v>37</v>
      </c>
      <c r="F24" s="7" t="s">
        <v>38</v>
      </c>
    </row>
    <row r="25">
      <c r="A25" s="7" t="s">
        <v>8</v>
      </c>
      <c r="B25" s="8">
        <v>2.0</v>
      </c>
      <c r="C25" s="7" t="s">
        <v>35</v>
      </c>
      <c r="D25" s="7" t="s">
        <v>36</v>
      </c>
      <c r="E25" s="7" t="s">
        <v>37</v>
      </c>
      <c r="F25" s="7" t="s">
        <v>39</v>
      </c>
    </row>
    <row r="26">
      <c r="A26" s="7" t="s">
        <v>9</v>
      </c>
      <c r="B26" s="8">
        <v>2.0</v>
      </c>
      <c r="C26" s="7" t="s">
        <v>35</v>
      </c>
      <c r="D26" s="7" t="s">
        <v>36</v>
      </c>
      <c r="E26" s="7" t="s">
        <v>37</v>
      </c>
      <c r="F26" s="7" t="s">
        <v>39</v>
      </c>
    </row>
    <row r="27">
      <c r="A27" s="7" t="s">
        <v>10</v>
      </c>
      <c r="B27" s="8">
        <v>2.0</v>
      </c>
      <c r="C27" s="7" t="s">
        <v>35</v>
      </c>
      <c r="D27" s="7" t="s">
        <v>36</v>
      </c>
      <c r="E27" s="7" t="s">
        <v>37</v>
      </c>
      <c r="F27" s="7" t="s">
        <v>40</v>
      </c>
    </row>
    <row r="28">
      <c r="A28" s="7" t="s">
        <v>11</v>
      </c>
      <c r="B28" s="8">
        <v>2.0</v>
      </c>
      <c r="C28" s="7" t="s">
        <v>35</v>
      </c>
      <c r="D28" s="7" t="s">
        <v>36</v>
      </c>
      <c r="E28" s="7" t="s">
        <v>37</v>
      </c>
      <c r="F28" s="7" t="s">
        <v>39</v>
      </c>
    </row>
    <row r="29">
      <c r="A29" s="7" t="s">
        <v>12</v>
      </c>
      <c r="B29" s="8">
        <v>2.0</v>
      </c>
      <c r="C29" s="7" t="s">
        <v>35</v>
      </c>
      <c r="D29" s="7" t="s">
        <v>36</v>
      </c>
      <c r="E29" s="7" t="s">
        <v>37</v>
      </c>
      <c r="F29" s="7" t="s">
        <v>41</v>
      </c>
    </row>
    <row r="30">
      <c r="A30" s="7" t="s">
        <v>13</v>
      </c>
      <c r="B30" s="8">
        <v>2.0</v>
      </c>
      <c r="C30" s="7" t="s">
        <v>35</v>
      </c>
      <c r="D30" s="7" t="s">
        <v>36</v>
      </c>
      <c r="E30" s="7" t="s">
        <v>37</v>
      </c>
      <c r="F30" s="7" t="s">
        <v>39</v>
      </c>
    </row>
    <row r="31">
      <c r="A31" s="7" t="s">
        <v>14</v>
      </c>
      <c r="B31" s="8">
        <v>2.0</v>
      </c>
      <c r="C31" s="7" t="s">
        <v>35</v>
      </c>
      <c r="D31" s="7" t="s">
        <v>36</v>
      </c>
      <c r="E31" s="7" t="s">
        <v>37</v>
      </c>
      <c r="F31" s="7" t="s">
        <v>40</v>
      </c>
    </row>
    <row r="32">
      <c r="A32" s="7" t="s">
        <v>15</v>
      </c>
      <c r="B32" s="8">
        <v>2.0</v>
      </c>
      <c r="C32" s="7" t="s">
        <v>35</v>
      </c>
      <c r="D32" s="7" t="s">
        <v>36</v>
      </c>
      <c r="E32" s="7" t="s">
        <v>37</v>
      </c>
      <c r="F32" s="7" t="s">
        <v>38</v>
      </c>
    </row>
    <row r="33">
      <c r="A33" s="7" t="s">
        <v>16</v>
      </c>
      <c r="B33" s="8">
        <v>2.0</v>
      </c>
      <c r="C33" s="7" t="s">
        <v>35</v>
      </c>
      <c r="D33" s="7" t="s">
        <v>36</v>
      </c>
      <c r="E33" s="7" t="s">
        <v>37</v>
      </c>
      <c r="F33" s="7" t="s">
        <v>39</v>
      </c>
    </row>
    <row r="34">
      <c r="A34" s="7" t="s">
        <v>17</v>
      </c>
      <c r="B34" s="8">
        <v>2.0</v>
      </c>
      <c r="C34" s="7" t="s">
        <v>35</v>
      </c>
      <c r="D34" s="7" t="s">
        <v>36</v>
      </c>
      <c r="E34" s="7" t="s">
        <v>37</v>
      </c>
      <c r="F34" s="7" t="s">
        <v>42</v>
      </c>
    </row>
    <row r="35">
      <c r="A35" s="7" t="s">
        <v>18</v>
      </c>
      <c r="B35" s="8">
        <v>2.0</v>
      </c>
      <c r="C35" s="7" t="s">
        <v>35</v>
      </c>
      <c r="D35" s="7" t="s">
        <v>36</v>
      </c>
      <c r="E35" s="7" t="s">
        <v>37</v>
      </c>
      <c r="F35" s="7" t="s">
        <v>38</v>
      </c>
    </row>
    <row r="36">
      <c r="A36" s="7" t="s">
        <v>19</v>
      </c>
      <c r="B36" s="8">
        <v>2.0</v>
      </c>
      <c r="C36" s="7" t="s">
        <v>35</v>
      </c>
      <c r="D36" s="7" t="s">
        <v>36</v>
      </c>
      <c r="E36" s="7" t="s">
        <v>37</v>
      </c>
      <c r="F36" s="7" t="s">
        <v>38</v>
      </c>
    </row>
    <row r="37">
      <c r="A37" s="7" t="s">
        <v>4</v>
      </c>
      <c r="B37" s="8">
        <v>2.0</v>
      </c>
      <c r="C37" s="7" t="s">
        <v>43</v>
      </c>
      <c r="D37" s="7" t="s">
        <v>44</v>
      </c>
      <c r="E37" s="7" t="s">
        <v>45</v>
      </c>
      <c r="F37" s="7" t="s">
        <v>46</v>
      </c>
    </row>
    <row r="38">
      <c r="A38" s="7" t="s">
        <v>5</v>
      </c>
      <c r="B38" s="8">
        <v>2.0</v>
      </c>
      <c r="C38" s="7" t="s">
        <v>43</v>
      </c>
      <c r="D38" s="7" t="s">
        <v>44</v>
      </c>
      <c r="E38" s="7" t="s">
        <v>45</v>
      </c>
      <c r="F38" s="7" t="s">
        <v>46</v>
      </c>
    </row>
    <row r="39">
      <c r="A39" s="7" t="s">
        <v>6</v>
      </c>
      <c r="B39" s="8">
        <v>2.0</v>
      </c>
      <c r="C39" s="7" t="s">
        <v>43</v>
      </c>
      <c r="D39" s="7" t="s">
        <v>44</v>
      </c>
      <c r="E39" s="7" t="s">
        <v>45</v>
      </c>
      <c r="F39" s="7" t="s">
        <v>47</v>
      </c>
    </row>
    <row r="40">
      <c r="A40" s="7" t="s">
        <v>7</v>
      </c>
      <c r="B40" s="8">
        <v>2.0</v>
      </c>
      <c r="C40" s="7" t="s">
        <v>43</v>
      </c>
      <c r="D40" s="7" t="s">
        <v>44</v>
      </c>
      <c r="E40" s="7" t="s">
        <v>45</v>
      </c>
      <c r="F40" s="7" t="s">
        <v>47</v>
      </c>
    </row>
    <row r="41">
      <c r="A41" s="7" t="s">
        <v>8</v>
      </c>
      <c r="B41" s="8">
        <v>2.0</v>
      </c>
      <c r="C41" s="7" t="s">
        <v>43</v>
      </c>
      <c r="D41" s="7" t="s">
        <v>44</v>
      </c>
      <c r="E41" s="7" t="s">
        <v>45</v>
      </c>
      <c r="F41" s="7" t="s">
        <v>48</v>
      </c>
    </row>
    <row r="42">
      <c r="A42" s="7" t="s">
        <v>9</v>
      </c>
      <c r="B42" s="8">
        <v>2.0</v>
      </c>
      <c r="C42" s="7" t="s">
        <v>43</v>
      </c>
      <c r="D42" s="7" t="s">
        <v>44</v>
      </c>
      <c r="E42" s="7" t="s">
        <v>45</v>
      </c>
      <c r="F42" s="7" t="s">
        <v>47</v>
      </c>
    </row>
    <row r="43">
      <c r="A43" s="7" t="s">
        <v>10</v>
      </c>
      <c r="B43" s="8">
        <v>2.0</v>
      </c>
      <c r="C43" s="7" t="s">
        <v>43</v>
      </c>
      <c r="D43" s="7" t="s">
        <v>44</v>
      </c>
      <c r="E43" s="7" t="s">
        <v>45</v>
      </c>
      <c r="F43" s="7" t="s">
        <v>47</v>
      </c>
    </row>
    <row r="44">
      <c r="A44" s="7" t="s">
        <v>11</v>
      </c>
      <c r="B44" s="8">
        <v>2.0</v>
      </c>
      <c r="C44" s="7" t="s">
        <v>43</v>
      </c>
      <c r="D44" s="7" t="s">
        <v>44</v>
      </c>
      <c r="E44" s="7" t="s">
        <v>45</v>
      </c>
      <c r="F44" s="7" t="s">
        <v>47</v>
      </c>
    </row>
    <row r="45">
      <c r="A45" s="7" t="s">
        <v>12</v>
      </c>
      <c r="B45" s="8">
        <v>2.0</v>
      </c>
      <c r="C45" s="7" t="s">
        <v>43</v>
      </c>
      <c r="D45" s="7" t="s">
        <v>44</v>
      </c>
      <c r="E45" s="7" t="s">
        <v>45</v>
      </c>
      <c r="F45" s="7" t="s">
        <v>47</v>
      </c>
    </row>
    <row r="46">
      <c r="A46" s="7" t="s">
        <v>13</v>
      </c>
      <c r="B46" s="8">
        <v>2.0</v>
      </c>
      <c r="C46" s="7" t="s">
        <v>43</v>
      </c>
      <c r="D46" s="7" t="s">
        <v>44</v>
      </c>
      <c r="E46" s="7" t="s">
        <v>45</v>
      </c>
      <c r="F46" s="7" t="s">
        <v>47</v>
      </c>
    </row>
    <row r="47">
      <c r="A47" s="7" t="s">
        <v>14</v>
      </c>
      <c r="B47" s="8">
        <v>2.0</v>
      </c>
      <c r="C47" s="7" t="s">
        <v>43</v>
      </c>
      <c r="D47" s="7" t="s">
        <v>44</v>
      </c>
      <c r="E47" s="7" t="s">
        <v>45</v>
      </c>
      <c r="F47" s="7" t="s">
        <v>47</v>
      </c>
    </row>
    <row r="48">
      <c r="A48" s="7" t="s">
        <v>15</v>
      </c>
      <c r="B48" s="8">
        <v>2.0</v>
      </c>
      <c r="C48" s="7" t="s">
        <v>43</v>
      </c>
      <c r="D48" s="7" t="s">
        <v>44</v>
      </c>
      <c r="E48" s="7" t="s">
        <v>45</v>
      </c>
      <c r="F48" s="7" t="s">
        <v>47</v>
      </c>
    </row>
    <row r="49">
      <c r="A49" s="7" t="s">
        <v>16</v>
      </c>
      <c r="B49" s="8">
        <v>2.0</v>
      </c>
      <c r="C49" s="7" t="s">
        <v>43</v>
      </c>
      <c r="D49" s="7" t="s">
        <v>44</v>
      </c>
      <c r="E49" s="7" t="s">
        <v>45</v>
      </c>
      <c r="F49" s="7" t="s">
        <v>47</v>
      </c>
    </row>
    <row r="50">
      <c r="A50" s="7" t="s">
        <v>17</v>
      </c>
      <c r="B50" s="8">
        <v>2.0</v>
      </c>
      <c r="C50" s="7" t="s">
        <v>43</v>
      </c>
      <c r="D50" s="7" t="s">
        <v>44</v>
      </c>
      <c r="E50" s="7" t="s">
        <v>45</v>
      </c>
      <c r="F50" s="7" t="s">
        <v>47</v>
      </c>
    </row>
    <row r="51">
      <c r="A51" s="7" t="s">
        <v>18</v>
      </c>
      <c r="B51" s="8">
        <v>2.0</v>
      </c>
      <c r="C51" s="7" t="s">
        <v>43</v>
      </c>
      <c r="D51" s="7" t="s">
        <v>44</v>
      </c>
      <c r="E51" s="7" t="s">
        <v>45</v>
      </c>
      <c r="F51" s="7" t="s">
        <v>47</v>
      </c>
    </row>
    <row r="52">
      <c r="A52" s="7" t="s">
        <v>4</v>
      </c>
      <c r="B52" s="8">
        <v>2.0</v>
      </c>
      <c r="C52" s="7" t="s">
        <v>49</v>
      </c>
      <c r="D52" s="7" t="s">
        <v>50</v>
      </c>
      <c r="E52" s="7" t="s">
        <v>51</v>
      </c>
      <c r="F52" s="7" t="s">
        <v>52</v>
      </c>
    </row>
    <row r="53">
      <c r="A53" s="7" t="s">
        <v>5</v>
      </c>
      <c r="B53" s="8">
        <v>2.0</v>
      </c>
      <c r="C53" s="7" t="s">
        <v>49</v>
      </c>
      <c r="D53" s="7" t="s">
        <v>50</v>
      </c>
      <c r="E53" s="7" t="s">
        <v>51</v>
      </c>
      <c r="F53" s="7" t="s">
        <v>53</v>
      </c>
    </row>
    <row r="54">
      <c r="A54" s="7" t="s">
        <v>6</v>
      </c>
      <c r="B54" s="8">
        <v>2.0</v>
      </c>
      <c r="C54" s="7" t="s">
        <v>49</v>
      </c>
      <c r="D54" s="7" t="s">
        <v>50</v>
      </c>
      <c r="E54" s="7" t="s">
        <v>51</v>
      </c>
      <c r="F54" s="7" t="s">
        <v>54</v>
      </c>
    </row>
    <row r="55">
      <c r="A55" s="7" t="s">
        <v>7</v>
      </c>
      <c r="B55" s="8">
        <v>2.0</v>
      </c>
      <c r="C55" s="7" t="s">
        <v>49</v>
      </c>
      <c r="D55" s="7" t="s">
        <v>50</v>
      </c>
      <c r="E55" s="7" t="s">
        <v>51</v>
      </c>
      <c r="F55" s="7" t="s">
        <v>54</v>
      </c>
    </row>
    <row r="56">
      <c r="A56" s="7" t="s">
        <v>8</v>
      </c>
      <c r="B56" s="8">
        <v>2.0</v>
      </c>
      <c r="C56" s="7" t="s">
        <v>49</v>
      </c>
      <c r="D56" s="7" t="s">
        <v>50</v>
      </c>
      <c r="E56" s="7" t="s">
        <v>51</v>
      </c>
      <c r="F56" s="7" t="s">
        <v>55</v>
      </c>
    </row>
    <row r="57">
      <c r="A57" s="7" t="s">
        <v>9</v>
      </c>
      <c r="B57" s="8">
        <v>2.0</v>
      </c>
      <c r="C57" s="7" t="s">
        <v>49</v>
      </c>
      <c r="D57" s="7" t="s">
        <v>50</v>
      </c>
      <c r="E57" s="7" t="s">
        <v>51</v>
      </c>
      <c r="F57" s="7" t="s">
        <v>56</v>
      </c>
    </row>
    <row r="58">
      <c r="A58" s="7" t="s">
        <v>10</v>
      </c>
      <c r="B58" s="8">
        <v>2.0</v>
      </c>
      <c r="C58" s="7" t="s">
        <v>49</v>
      </c>
      <c r="D58" s="7" t="s">
        <v>50</v>
      </c>
      <c r="E58" s="7" t="s">
        <v>51</v>
      </c>
      <c r="F58" s="7" t="s">
        <v>56</v>
      </c>
    </row>
    <row r="59">
      <c r="A59" s="7" t="s">
        <v>11</v>
      </c>
      <c r="B59" s="8">
        <v>2.0</v>
      </c>
      <c r="C59" s="7" t="s">
        <v>49</v>
      </c>
      <c r="D59" s="7" t="s">
        <v>50</v>
      </c>
      <c r="E59" s="7" t="s">
        <v>51</v>
      </c>
      <c r="F59" s="7" t="s">
        <v>56</v>
      </c>
    </row>
    <row r="60">
      <c r="A60" s="7" t="s">
        <v>12</v>
      </c>
      <c r="B60" s="8">
        <v>2.0</v>
      </c>
      <c r="C60" s="7" t="s">
        <v>49</v>
      </c>
      <c r="D60" s="7" t="s">
        <v>50</v>
      </c>
      <c r="E60" s="7" t="s">
        <v>51</v>
      </c>
      <c r="F60" s="7" t="s">
        <v>56</v>
      </c>
    </row>
    <row r="61">
      <c r="A61" s="7" t="s">
        <v>13</v>
      </c>
      <c r="B61" s="8">
        <v>2.0</v>
      </c>
      <c r="C61" s="7" t="s">
        <v>49</v>
      </c>
      <c r="D61" s="7" t="s">
        <v>50</v>
      </c>
      <c r="E61" s="7" t="s">
        <v>51</v>
      </c>
      <c r="F61" s="7" t="s">
        <v>56</v>
      </c>
    </row>
    <row r="62">
      <c r="A62" s="7" t="s">
        <v>14</v>
      </c>
      <c r="B62" s="8">
        <v>2.0</v>
      </c>
      <c r="C62" s="7" t="s">
        <v>49</v>
      </c>
      <c r="D62" s="7" t="s">
        <v>50</v>
      </c>
      <c r="E62" s="7" t="s">
        <v>51</v>
      </c>
      <c r="F62" s="7" t="s">
        <v>56</v>
      </c>
    </row>
    <row r="63">
      <c r="A63" s="7" t="s">
        <v>15</v>
      </c>
      <c r="B63" s="8">
        <v>2.0</v>
      </c>
      <c r="C63" s="7" t="s">
        <v>49</v>
      </c>
      <c r="D63" s="7" t="s">
        <v>50</v>
      </c>
      <c r="E63" s="7" t="s">
        <v>51</v>
      </c>
      <c r="F63" s="7" t="s">
        <v>57</v>
      </c>
    </row>
    <row r="64">
      <c r="A64" s="7" t="s">
        <v>16</v>
      </c>
      <c r="B64" s="8">
        <v>2.0</v>
      </c>
      <c r="C64" s="7" t="s">
        <v>49</v>
      </c>
      <c r="D64" s="7" t="s">
        <v>50</v>
      </c>
      <c r="E64" s="7" t="s">
        <v>51</v>
      </c>
      <c r="F64" s="7" t="s">
        <v>56</v>
      </c>
    </row>
    <row r="65">
      <c r="A65" s="7" t="s">
        <v>17</v>
      </c>
      <c r="B65" s="8">
        <v>2.0</v>
      </c>
      <c r="C65" s="7" t="s">
        <v>49</v>
      </c>
      <c r="D65" s="7" t="s">
        <v>50</v>
      </c>
      <c r="E65" s="7" t="s">
        <v>51</v>
      </c>
      <c r="F65" s="7" t="s">
        <v>58</v>
      </c>
    </row>
    <row r="66">
      <c r="A66" s="7" t="s">
        <v>18</v>
      </c>
      <c r="B66" s="8">
        <v>2.0</v>
      </c>
      <c r="C66" s="7" t="s">
        <v>49</v>
      </c>
      <c r="D66" s="7" t="s">
        <v>50</v>
      </c>
      <c r="E66" s="7" t="s">
        <v>51</v>
      </c>
      <c r="F66" s="7" t="s">
        <v>58</v>
      </c>
    </row>
    <row r="67">
      <c r="A67" s="7" t="s">
        <v>19</v>
      </c>
      <c r="B67" s="8">
        <v>2.0</v>
      </c>
      <c r="C67" s="7" t="s">
        <v>49</v>
      </c>
      <c r="D67" s="7" t="s">
        <v>50</v>
      </c>
      <c r="E67" s="7" t="s">
        <v>51</v>
      </c>
      <c r="F67" s="7" t="s">
        <v>58</v>
      </c>
    </row>
    <row r="68">
      <c r="A68" s="7" t="s">
        <v>4</v>
      </c>
      <c r="B68" s="8">
        <v>2.0</v>
      </c>
      <c r="C68" s="7" t="s">
        <v>59</v>
      </c>
      <c r="D68" s="7" t="s">
        <v>60</v>
      </c>
      <c r="E68" s="7" t="s">
        <v>61</v>
      </c>
      <c r="F68" s="7" t="s">
        <v>52</v>
      </c>
    </row>
    <row r="69">
      <c r="A69" s="7" t="s">
        <v>5</v>
      </c>
      <c r="B69" s="8">
        <v>2.0</v>
      </c>
      <c r="C69" s="7" t="s">
        <v>59</v>
      </c>
      <c r="D69" s="7" t="s">
        <v>60</v>
      </c>
      <c r="E69" s="7" t="s">
        <v>61</v>
      </c>
      <c r="F69" s="7" t="s">
        <v>53</v>
      </c>
    </row>
    <row r="70">
      <c r="A70" s="7" t="s">
        <v>6</v>
      </c>
      <c r="B70" s="8">
        <v>2.0</v>
      </c>
      <c r="C70" s="7" t="s">
        <v>59</v>
      </c>
      <c r="D70" s="7" t="s">
        <v>60</v>
      </c>
      <c r="E70" s="7" t="s">
        <v>61</v>
      </c>
      <c r="F70" s="7" t="s">
        <v>54</v>
      </c>
    </row>
    <row r="71">
      <c r="A71" s="7" t="s">
        <v>7</v>
      </c>
      <c r="B71" s="8">
        <v>2.0</v>
      </c>
      <c r="C71" s="7" t="s">
        <v>59</v>
      </c>
      <c r="D71" s="7" t="s">
        <v>60</v>
      </c>
      <c r="E71" s="7" t="s">
        <v>61</v>
      </c>
      <c r="F71" s="7" t="s">
        <v>54</v>
      </c>
    </row>
    <row r="72">
      <c r="A72" s="7" t="s">
        <v>8</v>
      </c>
      <c r="B72" s="8">
        <v>2.0</v>
      </c>
      <c r="C72" s="7" t="s">
        <v>59</v>
      </c>
      <c r="D72" s="7" t="s">
        <v>60</v>
      </c>
      <c r="E72" s="7" t="s">
        <v>61</v>
      </c>
      <c r="F72" s="7" t="s">
        <v>55</v>
      </c>
    </row>
    <row r="73">
      <c r="A73" s="7" t="s">
        <v>9</v>
      </c>
      <c r="B73" s="8">
        <v>2.0</v>
      </c>
      <c r="C73" s="7" t="s">
        <v>59</v>
      </c>
      <c r="D73" s="7" t="s">
        <v>60</v>
      </c>
      <c r="E73" s="7" t="s">
        <v>61</v>
      </c>
      <c r="F73" s="7" t="s">
        <v>56</v>
      </c>
    </row>
    <row r="74">
      <c r="A74" s="7" t="s">
        <v>10</v>
      </c>
      <c r="B74" s="8">
        <v>2.0</v>
      </c>
      <c r="C74" s="7" t="s">
        <v>59</v>
      </c>
      <c r="D74" s="7" t="s">
        <v>60</v>
      </c>
      <c r="E74" s="7" t="s">
        <v>61</v>
      </c>
      <c r="F74" s="7" t="s">
        <v>56</v>
      </c>
    </row>
    <row r="75">
      <c r="A75" s="7" t="s">
        <v>11</v>
      </c>
      <c r="B75" s="8">
        <v>2.0</v>
      </c>
      <c r="C75" s="7" t="s">
        <v>59</v>
      </c>
      <c r="D75" s="7" t="s">
        <v>60</v>
      </c>
      <c r="E75" s="7" t="s">
        <v>61</v>
      </c>
      <c r="F75" s="7" t="s">
        <v>56</v>
      </c>
    </row>
    <row r="76">
      <c r="A76" s="7" t="s">
        <v>12</v>
      </c>
      <c r="B76" s="8">
        <v>2.0</v>
      </c>
      <c r="C76" s="7" t="s">
        <v>59</v>
      </c>
      <c r="D76" s="7" t="s">
        <v>60</v>
      </c>
      <c r="E76" s="7" t="s">
        <v>61</v>
      </c>
      <c r="F76" s="7" t="s">
        <v>56</v>
      </c>
    </row>
    <row r="77">
      <c r="A77" s="7" t="s">
        <v>13</v>
      </c>
      <c r="B77" s="8">
        <v>2.0</v>
      </c>
      <c r="C77" s="7" t="s">
        <v>59</v>
      </c>
      <c r="D77" s="7" t="s">
        <v>60</v>
      </c>
      <c r="E77" s="7" t="s">
        <v>61</v>
      </c>
      <c r="F77" s="7" t="s">
        <v>56</v>
      </c>
    </row>
    <row r="78">
      <c r="A78" s="7" t="s">
        <v>14</v>
      </c>
      <c r="B78" s="8">
        <v>2.0</v>
      </c>
      <c r="C78" s="7" t="s">
        <v>59</v>
      </c>
      <c r="D78" s="7" t="s">
        <v>60</v>
      </c>
      <c r="E78" s="7" t="s">
        <v>61</v>
      </c>
      <c r="F78" s="7" t="s">
        <v>56</v>
      </c>
    </row>
    <row r="79">
      <c r="A79" s="7" t="s">
        <v>15</v>
      </c>
      <c r="B79" s="8">
        <v>2.0</v>
      </c>
      <c r="C79" s="7" t="s">
        <v>59</v>
      </c>
      <c r="D79" s="7" t="s">
        <v>60</v>
      </c>
      <c r="E79" s="7" t="s">
        <v>61</v>
      </c>
      <c r="F79" s="7" t="s">
        <v>57</v>
      </c>
    </row>
    <row r="80">
      <c r="A80" s="7" t="s">
        <v>16</v>
      </c>
      <c r="B80" s="8">
        <v>2.0</v>
      </c>
      <c r="C80" s="7" t="s">
        <v>59</v>
      </c>
      <c r="D80" s="7" t="s">
        <v>60</v>
      </c>
      <c r="E80" s="7" t="s">
        <v>61</v>
      </c>
      <c r="F80" s="7" t="s">
        <v>56</v>
      </c>
    </row>
    <row r="81">
      <c r="A81" s="7" t="s">
        <v>17</v>
      </c>
      <c r="B81" s="8">
        <v>2.0</v>
      </c>
      <c r="C81" s="7" t="s">
        <v>59</v>
      </c>
      <c r="D81" s="7" t="s">
        <v>60</v>
      </c>
      <c r="E81" s="7" t="s">
        <v>61</v>
      </c>
      <c r="F81" s="7" t="s">
        <v>58</v>
      </c>
    </row>
    <row r="82">
      <c r="A82" s="7" t="s">
        <v>18</v>
      </c>
      <c r="B82" s="8">
        <v>2.0</v>
      </c>
      <c r="C82" s="7" t="s">
        <v>59</v>
      </c>
      <c r="D82" s="7" t="s">
        <v>60</v>
      </c>
      <c r="E82" s="7" t="s">
        <v>61</v>
      </c>
      <c r="F82" s="7" t="s">
        <v>58</v>
      </c>
    </row>
    <row r="83">
      <c r="A83" s="7" t="s">
        <v>19</v>
      </c>
      <c r="B83" s="8">
        <v>2.0</v>
      </c>
      <c r="C83" s="7" t="s">
        <v>59</v>
      </c>
      <c r="D83" s="7" t="s">
        <v>60</v>
      </c>
      <c r="E83" s="7" t="s">
        <v>61</v>
      </c>
      <c r="F83" s="7" t="s">
        <v>58</v>
      </c>
    </row>
    <row r="84">
      <c r="A84" s="7" t="s">
        <v>4</v>
      </c>
      <c r="B84" s="8">
        <v>2.0</v>
      </c>
      <c r="C84" s="7" t="s">
        <v>62</v>
      </c>
      <c r="D84" s="7" t="s">
        <v>63</v>
      </c>
      <c r="E84" s="7" t="s">
        <v>64</v>
      </c>
      <c r="F84" s="7" t="s">
        <v>65</v>
      </c>
    </row>
    <row r="85">
      <c r="A85" s="7" t="s">
        <v>5</v>
      </c>
      <c r="B85" s="8">
        <v>2.0</v>
      </c>
      <c r="C85" s="7" t="s">
        <v>62</v>
      </c>
      <c r="D85" s="7" t="s">
        <v>63</v>
      </c>
      <c r="E85" s="7" t="s">
        <v>64</v>
      </c>
      <c r="F85" s="7" t="s">
        <v>65</v>
      </c>
    </row>
    <row r="86">
      <c r="A86" s="7" t="s">
        <v>6</v>
      </c>
      <c r="B86" s="8">
        <v>2.0</v>
      </c>
      <c r="C86" s="7" t="s">
        <v>62</v>
      </c>
      <c r="D86" s="7" t="s">
        <v>63</v>
      </c>
      <c r="E86" s="7" t="s">
        <v>64</v>
      </c>
      <c r="F86" s="7" t="s">
        <v>65</v>
      </c>
    </row>
    <row r="87">
      <c r="A87" s="7" t="s">
        <v>7</v>
      </c>
      <c r="B87" s="8">
        <v>2.0</v>
      </c>
      <c r="C87" s="7" t="s">
        <v>62</v>
      </c>
      <c r="D87" s="7" t="s">
        <v>63</v>
      </c>
      <c r="E87" s="7" t="s">
        <v>64</v>
      </c>
      <c r="F87" s="7" t="s">
        <v>65</v>
      </c>
    </row>
    <row r="88">
      <c r="A88" s="7" t="s">
        <v>8</v>
      </c>
      <c r="B88" s="8">
        <v>2.0</v>
      </c>
      <c r="C88" s="7" t="s">
        <v>62</v>
      </c>
      <c r="D88" s="7" t="s">
        <v>63</v>
      </c>
      <c r="E88" s="7" t="s">
        <v>64</v>
      </c>
      <c r="F88" s="7" t="s">
        <v>66</v>
      </c>
    </row>
    <row r="89">
      <c r="A89" s="7" t="s">
        <v>9</v>
      </c>
      <c r="B89" s="8">
        <v>2.0</v>
      </c>
      <c r="C89" s="7" t="s">
        <v>62</v>
      </c>
      <c r="D89" s="7" t="s">
        <v>63</v>
      </c>
      <c r="E89" s="7" t="s">
        <v>64</v>
      </c>
      <c r="F89" s="7" t="s">
        <v>65</v>
      </c>
    </row>
    <row r="90">
      <c r="A90" s="7" t="s">
        <v>10</v>
      </c>
      <c r="B90" s="8">
        <v>2.0</v>
      </c>
      <c r="C90" s="7" t="s">
        <v>62</v>
      </c>
      <c r="D90" s="7" t="s">
        <v>63</v>
      </c>
      <c r="E90" s="7" t="s">
        <v>64</v>
      </c>
      <c r="F90" s="7" t="s">
        <v>65</v>
      </c>
    </row>
    <row r="91">
      <c r="A91" s="7" t="s">
        <v>11</v>
      </c>
      <c r="B91" s="8">
        <v>2.0</v>
      </c>
      <c r="C91" s="7" t="s">
        <v>62</v>
      </c>
      <c r="D91" s="7" t="s">
        <v>63</v>
      </c>
      <c r="E91" s="7" t="s">
        <v>64</v>
      </c>
      <c r="F91" s="7" t="s">
        <v>65</v>
      </c>
    </row>
    <row r="92">
      <c r="A92" s="7" t="s">
        <v>12</v>
      </c>
      <c r="B92" s="8">
        <v>2.0</v>
      </c>
      <c r="C92" s="7" t="s">
        <v>62</v>
      </c>
      <c r="D92" s="7" t="s">
        <v>63</v>
      </c>
      <c r="E92" s="7" t="s">
        <v>64</v>
      </c>
      <c r="F92" s="7" t="s">
        <v>65</v>
      </c>
    </row>
    <row r="93">
      <c r="A93" s="7" t="s">
        <v>13</v>
      </c>
      <c r="B93" s="8">
        <v>2.0</v>
      </c>
      <c r="C93" s="7" t="s">
        <v>62</v>
      </c>
      <c r="D93" s="7" t="s">
        <v>63</v>
      </c>
      <c r="E93" s="7" t="s">
        <v>64</v>
      </c>
      <c r="F93" s="7" t="s">
        <v>65</v>
      </c>
    </row>
    <row r="94">
      <c r="A94" s="7" t="s">
        <v>14</v>
      </c>
      <c r="B94" s="8">
        <v>2.0</v>
      </c>
      <c r="C94" s="7" t="s">
        <v>62</v>
      </c>
      <c r="D94" s="7" t="s">
        <v>63</v>
      </c>
      <c r="E94" s="7" t="s">
        <v>64</v>
      </c>
      <c r="F94" s="7" t="s">
        <v>65</v>
      </c>
    </row>
    <row r="95">
      <c r="A95" s="7" t="s">
        <v>15</v>
      </c>
      <c r="B95" s="8">
        <v>2.0</v>
      </c>
      <c r="C95" s="7" t="s">
        <v>62</v>
      </c>
      <c r="D95" s="7" t="s">
        <v>63</v>
      </c>
      <c r="E95" s="7" t="s">
        <v>64</v>
      </c>
      <c r="F95" s="7" t="s">
        <v>65</v>
      </c>
    </row>
    <row r="96">
      <c r="A96" s="7" t="s">
        <v>16</v>
      </c>
      <c r="B96" s="8">
        <v>2.0</v>
      </c>
      <c r="C96" s="7" t="s">
        <v>62</v>
      </c>
      <c r="D96" s="7" t="s">
        <v>63</v>
      </c>
      <c r="E96" s="7" t="s">
        <v>64</v>
      </c>
      <c r="F96" s="7" t="s">
        <v>65</v>
      </c>
    </row>
    <row r="97">
      <c r="A97" s="7" t="s">
        <v>17</v>
      </c>
      <c r="B97" s="8">
        <v>2.0</v>
      </c>
      <c r="C97" s="7" t="s">
        <v>62</v>
      </c>
      <c r="D97" s="7" t="s">
        <v>63</v>
      </c>
      <c r="E97" s="7" t="s">
        <v>64</v>
      </c>
      <c r="F97" s="7" t="s">
        <v>65</v>
      </c>
    </row>
    <row r="98">
      <c r="A98" s="7" t="s">
        <v>18</v>
      </c>
      <c r="B98" s="8">
        <v>2.0</v>
      </c>
      <c r="C98" s="7" t="s">
        <v>62</v>
      </c>
      <c r="D98" s="7" t="s">
        <v>63</v>
      </c>
      <c r="E98" s="7" t="s">
        <v>64</v>
      </c>
      <c r="F98" s="7" t="s">
        <v>65</v>
      </c>
    </row>
    <row r="99">
      <c r="A99" s="7" t="s">
        <v>19</v>
      </c>
      <c r="B99" s="8">
        <v>2.0</v>
      </c>
      <c r="C99" s="7" t="s">
        <v>62</v>
      </c>
      <c r="D99" s="7" t="s">
        <v>63</v>
      </c>
      <c r="E99" s="7" t="s">
        <v>64</v>
      </c>
      <c r="F99" s="7" t="s">
        <v>65</v>
      </c>
    </row>
    <row r="100">
      <c r="A100" s="7" t="s">
        <v>4</v>
      </c>
      <c r="B100" s="8">
        <v>2.0</v>
      </c>
      <c r="C100" s="7" t="s">
        <v>67</v>
      </c>
      <c r="D100" s="7" t="s">
        <v>68</v>
      </c>
      <c r="E100" s="7" t="s">
        <v>69</v>
      </c>
      <c r="F100" s="7" t="s">
        <v>70</v>
      </c>
    </row>
    <row r="101">
      <c r="A101" s="7" t="s">
        <v>5</v>
      </c>
      <c r="B101" s="8">
        <v>2.0</v>
      </c>
      <c r="C101" s="7" t="s">
        <v>67</v>
      </c>
      <c r="D101" s="7" t="s">
        <v>68</v>
      </c>
      <c r="E101" s="7" t="s">
        <v>69</v>
      </c>
      <c r="F101" s="7" t="s">
        <v>70</v>
      </c>
    </row>
    <row r="102">
      <c r="A102" s="7" t="s">
        <v>6</v>
      </c>
      <c r="B102" s="8">
        <v>2.0</v>
      </c>
      <c r="C102" s="7" t="s">
        <v>67</v>
      </c>
      <c r="D102" s="7" t="s">
        <v>68</v>
      </c>
      <c r="E102" s="7" t="s">
        <v>69</v>
      </c>
      <c r="F102" s="7" t="s">
        <v>70</v>
      </c>
    </row>
    <row r="103">
      <c r="A103" s="7" t="s">
        <v>7</v>
      </c>
      <c r="B103" s="8">
        <v>2.0</v>
      </c>
      <c r="C103" s="7" t="s">
        <v>67</v>
      </c>
      <c r="D103" s="7" t="s">
        <v>68</v>
      </c>
      <c r="E103" s="7" t="s">
        <v>69</v>
      </c>
      <c r="F103" s="7" t="s">
        <v>70</v>
      </c>
    </row>
    <row r="104">
      <c r="A104" s="7" t="s">
        <v>8</v>
      </c>
      <c r="B104" s="8">
        <v>2.0</v>
      </c>
      <c r="C104" s="7" t="s">
        <v>67</v>
      </c>
      <c r="D104" s="7" t="s">
        <v>68</v>
      </c>
      <c r="E104" s="7" t="s">
        <v>69</v>
      </c>
      <c r="F104" s="7" t="s">
        <v>71</v>
      </c>
    </row>
    <row r="105">
      <c r="A105" s="7" t="s">
        <v>9</v>
      </c>
      <c r="B105" s="8">
        <v>2.0</v>
      </c>
      <c r="C105" s="7" t="s">
        <v>67</v>
      </c>
      <c r="D105" s="7" t="s">
        <v>68</v>
      </c>
      <c r="E105" s="7" t="s">
        <v>69</v>
      </c>
      <c r="F105" s="7" t="s">
        <v>70</v>
      </c>
    </row>
    <row r="106">
      <c r="A106" s="7" t="s">
        <v>10</v>
      </c>
      <c r="B106" s="8">
        <v>2.0</v>
      </c>
      <c r="C106" s="7" t="s">
        <v>67</v>
      </c>
      <c r="D106" s="7" t="s">
        <v>68</v>
      </c>
      <c r="E106" s="7" t="s">
        <v>69</v>
      </c>
      <c r="F106" s="7" t="s">
        <v>70</v>
      </c>
    </row>
    <row r="107">
      <c r="A107" s="7" t="s">
        <v>11</v>
      </c>
      <c r="B107" s="8">
        <v>2.0</v>
      </c>
      <c r="C107" s="7" t="s">
        <v>67</v>
      </c>
      <c r="D107" s="7" t="s">
        <v>68</v>
      </c>
      <c r="E107" s="7" t="s">
        <v>69</v>
      </c>
      <c r="F107" s="7" t="s">
        <v>70</v>
      </c>
    </row>
    <row r="108">
      <c r="A108" s="7" t="s">
        <v>12</v>
      </c>
      <c r="B108" s="8">
        <v>2.0</v>
      </c>
      <c r="C108" s="7" t="s">
        <v>67</v>
      </c>
      <c r="D108" s="7" t="s">
        <v>68</v>
      </c>
      <c r="E108" s="7" t="s">
        <v>69</v>
      </c>
      <c r="F108" s="7" t="s">
        <v>70</v>
      </c>
    </row>
    <row r="109">
      <c r="A109" s="7" t="s">
        <v>13</v>
      </c>
      <c r="B109" s="8">
        <v>2.0</v>
      </c>
      <c r="C109" s="7" t="s">
        <v>67</v>
      </c>
      <c r="D109" s="7" t="s">
        <v>68</v>
      </c>
      <c r="E109" s="7" t="s">
        <v>69</v>
      </c>
      <c r="F109" s="7" t="s">
        <v>70</v>
      </c>
    </row>
    <row r="110">
      <c r="A110" s="7" t="s">
        <v>14</v>
      </c>
      <c r="B110" s="8">
        <v>2.0</v>
      </c>
      <c r="C110" s="7" t="s">
        <v>67</v>
      </c>
      <c r="D110" s="7" t="s">
        <v>68</v>
      </c>
      <c r="E110" s="7" t="s">
        <v>69</v>
      </c>
      <c r="F110" s="7" t="s">
        <v>70</v>
      </c>
    </row>
    <row r="111">
      <c r="A111" s="7" t="s">
        <v>15</v>
      </c>
      <c r="B111" s="8">
        <v>2.0</v>
      </c>
      <c r="C111" s="7" t="s">
        <v>67</v>
      </c>
      <c r="D111" s="7" t="s">
        <v>68</v>
      </c>
      <c r="E111" s="7" t="s">
        <v>69</v>
      </c>
      <c r="F111" s="7" t="s">
        <v>70</v>
      </c>
    </row>
    <row r="112">
      <c r="A112" s="7" t="s">
        <v>16</v>
      </c>
      <c r="B112" s="8">
        <v>2.0</v>
      </c>
      <c r="C112" s="7" t="s">
        <v>67</v>
      </c>
      <c r="D112" s="7" t="s">
        <v>68</v>
      </c>
      <c r="E112" s="7" t="s">
        <v>69</v>
      </c>
      <c r="F112" s="7" t="s">
        <v>70</v>
      </c>
    </row>
    <row r="113">
      <c r="A113" s="7" t="s">
        <v>17</v>
      </c>
      <c r="B113" s="8">
        <v>2.0</v>
      </c>
      <c r="C113" s="7" t="s">
        <v>67</v>
      </c>
      <c r="D113" s="7" t="s">
        <v>68</v>
      </c>
      <c r="E113" s="7" t="s">
        <v>69</v>
      </c>
      <c r="F113" s="7" t="s">
        <v>70</v>
      </c>
    </row>
    <row r="114">
      <c r="A114" s="7" t="s">
        <v>18</v>
      </c>
      <c r="B114" s="8">
        <v>2.0</v>
      </c>
      <c r="C114" s="7" t="s">
        <v>67</v>
      </c>
      <c r="D114" s="7" t="s">
        <v>68</v>
      </c>
      <c r="E114" s="7" t="s">
        <v>69</v>
      </c>
      <c r="F114" s="7" t="s">
        <v>70</v>
      </c>
    </row>
    <row r="115">
      <c r="A115" s="7" t="s">
        <v>19</v>
      </c>
      <c r="B115" s="8">
        <v>2.0</v>
      </c>
      <c r="C115" s="7" t="s">
        <v>67</v>
      </c>
      <c r="D115" s="7" t="s">
        <v>68</v>
      </c>
      <c r="E115" s="7" t="s">
        <v>69</v>
      </c>
      <c r="F115" s="7" t="s">
        <v>70</v>
      </c>
    </row>
    <row r="116">
      <c r="A116" s="7" t="s">
        <v>4</v>
      </c>
      <c r="B116" s="8">
        <v>2.0</v>
      </c>
      <c r="C116" s="7" t="s">
        <v>72</v>
      </c>
      <c r="D116" s="7" t="s">
        <v>73</v>
      </c>
      <c r="E116" s="7" t="s">
        <v>74</v>
      </c>
      <c r="F116" s="7" t="s">
        <v>75</v>
      </c>
    </row>
    <row r="117">
      <c r="A117" s="7" t="s">
        <v>5</v>
      </c>
      <c r="B117" s="8">
        <v>2.0</v>
      </c>
      <c r="C117" s="7" t="s">
        <v>72</v>
      </c>
      <c r="D117" s="7" t="s">
        <v>73</v>
      </c>
      <c r="E117" s="7" t="s">
        <v>74</v>
      </c>
      <c r="F117" s="7" t="s">
        <v>76</v>
      </c>
    </row>
    <row r="118">
      <c r="A118" s="7" t="s">
        <v>6</v>
      </c>
      <c r="B118" s="8">
        <v>2.0</v>
      </c>
      <c r="C118" s="7" t="s">
        <v>72</v>
      </c>
      <c r="D118" s="7" t="s">
        <v>73</v>
      </c>
      <c r="E118" s="7" t="s">
        <v>74</v>
      </c>
      <c r="F118" s="7" t="s">
        <v>75</v>
      </c>
    </row>
    <row r="119">
      <c r="A119" s="7" t="s">
        <v>7</v>
      </c>
      <c r="B119" s="8">
        <v>2.0</v>
      </c>
      <c r="C119" s="7" t="s">
        <v>72</v>
      </c>
      <c r="D119" s="7" t="s">
        <v>73</v>
      </c>
      <c r="E119" s="7" t="s">
        <v>74</v>
      </c>
      <c r="F119" s="7" t="s">
        <v>75</v>
      </c>
    </row>
    <row r="120">
      <c r="A120" s="7" t="s">
        <v>8</v>
      </c>
      <c r="B120" s="8">
        <v>2.0</v>
      </c>
      <c r="C120" s="7" t="s">
        <v>72</v>
      </c>
      <c r="D120" s="7" t="s">
        <v>73</v>
      </c>
      <c r="E120" s="7" t="s">
        <v>74</v>
      </c>
      <c r="F120" s="7" t="s">
        <v>76</v>
      </c>
    </row>
    <row r="121">
      <c r="A121" s="7" t="s">
        <v>9</v>
      </c>
      <c r="B121" s="8">
        <v>2.0</v>
      </c>
      <c r="C121" s="7" t="s">
        <v>72</v>
      </c>
      <c r="D121" s="7" t="s">
        <v>73</v>
      </c>
      <c r="E121" s="7" t="s">
        <v>74</v>
      </c>
      <c r="F121" s="7" t="s">
        <v>76</v>
      </c>
    </row>
    <row r="122">
      <c r="A122" s="7" t="s">
        <v>10</v>
      </c>
      <c r="B122" s="8">
        <v>2.0</v>
      </c>
      <c r="C122" s="7" t="s">
        <v>72</v>
      </c>
      <c r="D122" s="7" t="s">
        <v>73</v>
      </c>
      <c r="E122" s="7" t="s">
        <v>74</v>
      </c>
      <c r="F122" s="7" t="s">
        <v>76</v>
      </c>
    </row>
    <row r="123">
      <c r="A123" s="7" t="s">
        <v>11</v>
      </c>
      <c r="B123" s="8">
        <v>2.0</v>
      </c>
      <c r="C123" s="7" t="s">
        <v>72</v>
      </c>
      <c r="D123" s="7" t="s">
        <v>73</v>
      </c>
      <c r="E123" s="7" t="s">
        <v>74</v>
      </c>
      <c r="F123" s="7" t="s">
        <v>76</v>
      </c>
    </row>
    <row r="124">
      <c r="A124" s="7" t="s">
        <v>12</v>
      </c>
      <c r="B124" s="8">
        <v>2.0</v>
      </c>
      <c r="C124" s="7" t="s">
        <v>72</v>
      </c>
      <c r="D124" s="7" t="s">
        <v>73</v>
      </c>
      <c r="E124" s="7" t="s">
        <v>74</v>
      </c>
      <c r="F124" s="7" t="s">
        <v>76</v>
      </c>
    </row>
    <row r="125">
      <c r="A125" s="7" t="s">
        <v>13</v>
      </c>
      <c r="B125" s="8">
        <v>2.0</v>
      </c>
      <c r="C125" s="7" t="s">
        <v>72</v>
      </c>
      <c r="D125" s="7" t="s">
        <v>73</v>
      </c>
      <c r="E125" s="7" t="s">
        <v>74</v>
      </c>
      <c r="F125" s="7" t="s">
        <v>76</v>
      </c>
    </row>
    <row r="126">
      <c r="A126" s="7" t="s">
        <v>14</v>
      </c>
      <c r="B126" s="8">
        <v>2.0</v>
      </c>
      <c r="C126" s="7" t="s">
        <v>72</v>
      </c>
      <c r="D126" s="7" t="s">
        <v>73</v>
      </c>
      <c r="E126" s="7" t="s">
        <v>74</v>
      </c>
      <c r="F126" s="7" t="s">
        <v>76</v>
      </c>
    </row>
    <row r="127">
      <c r="A127" s="7" t="s">
        <v>15</v>
      </c>
      <c r="B127" s="8">
        <v>2.0</v>
      </c>
      <c r="C127" s="7" t="s">
        <v>72</v>
      </c>
      <c r="D127" s="7" t="s">
        <v>73</v>
      </c>
      <c r="E127" s="7" t="s">
        <v>74</v>
      </c>
      <c r="F127" s="7" t="s">
        <v>77</v>
      </c>
    </row>
    <row r="128">
      <c r="A128" s="7" t="s">
        <v>16</v>
      </c>
      <c r="B128" s="8">
        <v>2.0</v>
      </c>
      <c r="C128" s="7" t="s">
        <v>72</v>
      </c>
      <c r="D128" s="7" t="s">
        <v>73</v>
      </c>
      <c r="E128" s="7" t="s">
        <v>74</v>
      </c>
      <c r="F128" s="7" t="s">
        <v>76</v>
      </c>
    </row>
    <row r="129">
      <c r="A129" s="7" t="s">
        <v>17</v>
      </c>
      <c r="B129" s="8">
        <v>2.0</v>
      </c>
      <c r="C129" s="7" t="s">
        <v>72</v>
      </c>
      <c r="D129" s="7" t="s">
        <v>73</v>
      </c>
      <c r="E129" s="7" t="s">
        <v>74</v>
      </c>
      <c r="F129" s="7" t="s">
        <v>75</v>
      </c>
    </row>
    <row r="130">
      <c r="A130" s="7" t="s">
        <v>18</v>
      </c>
      <c r="B130" s="8">
        <v>2.0</v>
      </c>
      <c r="C130" s="7" t="s">
        <v>72</v>
      </c>
      <c r="D130" s="7" t="s">
        <v>73</v>
      </c>
      <c r="E130" s="7" t="s">
        <v>74</v>
      </c>
      <c r="F130" s="7" t="s">
        <v>77</v>
      </c>
    </row>
    <row r="131">
      <c r="A131" s="7" t="s">
        <v>19</v>
      </c>
      <c r="B131" s="8">
        <v>2.0</v>
      </c>
      <c r="C131" s="7" t="s">
        <v>72</v>
      </c>
      <c r="D131" s="7" t="s">
        <v>73</v>
      </c>
      <c r="E131" s="7" t="s">
        <v>74</v>
      </c>
      <c r="F131" s="7" t="s">
        <v>77</v>
      </c>
    </row>
    <row r="132">
      <c r="A132" s="7" t="s">
        <v>4</v>
      </c>
      <c r="B132" s="8">
        <v>2.0</v>
      </c>
      <c r="C132" s="7" t="s">
        <v>78</v>
      </c>
      <c r="D132" s="7" t="s">
        <v>79</v>
      </c>
      <c r="E132" s="7" t="s">
        <v>80</v>
      </c>
      <c r="F132" s="7" t="s">
        <v>81</v>
      </c>
    </row>
    <row r="133">
      <c r="A133" s="7" t="s">
        <v>5</v>
      </c>
      <c r="B133" s="8">
        <v>2.0</v>
      </c>
      <c r="C133" s="7" t="s">
        <v>78</v>
      </c>
      <c r="D133" s="7" t="s">
        <v>79</v>
      </c>
      <c r="E133" s="7" t="s">
        <v>80</v>
      </c>
      <c r="F133" s="7" t="s">
        <v>81</v>
      </c>
    </row>
    <row r="134">
      <c r="A134" s="7" t="s">
        <v>6</v>
      </c>
      <c r="B134" s="8">
        <v>2.0</v>
      </c>
      <c r="C134" s="7" t="s">
        <v>78</v>
      </c>
      <c r="D134" s="7" t="s">
        <v>79</v>
      </c>
      <c r="E134" s="7" t="s">
        <v>80</v>
      </c>
      <c r="F134" s="7" t="s">
        <v>82</v>
      </c>
    </row>
    <row r="135">
      <c r="A135" s="7" t="s">
        <v>7</v>
      </c>
      <c r="B135" s="8">
        <v>2.0</v>
      </c>
      <c r="C135" s="7" t="s">
        <v>78</v>
      </c>
      <c r="D135" s="7" t="s">
        <v>79</v>
      </c>
      <c r="E135" s="7" t="s">
        <v>80</v>
      </c>
      <c r="F135" s="7" t="s">
        <v>83</v>
      </c>
    </row>
    <row r="136">
      <c r="A136" s="7" t="s">
        <v>8</v>
      </c>
      <c r="B136" s="8">
        <v>2.0</v>
      </c>
      <c r="C136" s="7" t="s">
        <v>78</v>
      </c>
      <c r="D136" s="7" t="s">
        <v>79</v>
      </c>
      <c r="E136" s="7" t="s">
        <v>80</v>
      </c>
      <c r="F136" s="7" t="s">
        <v>81</v>
      </c>
    </row>
    <row r="137">
      <c r="A137" s="7" t="s">
        <v>9</v>
      </c>
      <c r="B137" s="8">
        <v>2.0</v>
      </c>
      <c r="C137" s="7" t="s">
        <v>78</v>
      </c>
      <c r="D137" s="7" t="s">
        <v>79</v>
      </c>
      <c r="E137" s="7" t="s">
        <v>80</v>
      </c>
      <c r="F137" s="7" t="s">
        <v>82</v>
      </c>
    </row>
    <row r="138">
      <c r="A138" s="7" t="s">
        <v>10</v>
      </c>
      <c r="B138" s="8">
        <v>2.0</v>
      </c>
      <c r="C138" s="7" t="s">
        <v>78</v>
      </c>
      <c r="D138" s="7" t="s">
        <v>79</v>
      </c>
      <c r="E138" s="7" t="s">
        <v>80</v>
      </c>
      <c r="F138" s="7" t="s">
        <v>81</v>
      </c>
    </row>
    <row r="139">
      <c r="A139" s="7" t="s">
        <v>11</v>
      </c>
      <c r="B139" s="8">
        <v>2.0</v>
      </c>
      <c r="C139" s="7" t="s">
        <v>78</v>
      </c>
      <c r="D139" s="7" t="s">
        <v>79</v>
      </c>
      <c r="E139" s="7" t="s">
        <v>80</v>
      </c>
      <c r="F139" s="7" t="s">
        <v>82</v>
      </c>
    </row>
    <row r="140">
      <c r="A140" s="7" t="s">
        <v>12</v>
      </c>
      <c r="B140" s="8">
        <v>2.0</v>
      </c>
      <c r="C140" s="7" t="s">
        <v>78</v>
      </c>
      <c r="D140" s="7" t="s">
        <v>79</v>
      </c>
      <c r="E140" s="7" t="s">
        <v>80</v>
      </c>
      <c r="F140" s="7" t="s">
        <v>84</v>
      </c>
    </row>
    <row r="141">
      <c r="A141" s="7" t="s">
        <v>13</v>
      </c>
      <c r="B141" s="8">
        <v>2.0</v>
      </c>
      <c r="C141" s="7" t="s">
        <v>78</v>
      </c>
      <c r="D141" s="7" t="s">
        <v>79</v>
      </c>
      <c r="E141" s="7" t="s">
        <v>80</v>
      </c>
      <c r="F141" s="7" t="s">
        <v>85</v>
      </c>
    </row>
    <row r="142">
      <c r="A142" s="7" t="s">
        <v>14</v>
      </c>
      <c r="B142" s="8">
        <v>2.0</v>
      </c>
      <c r="C142" s="7" t="s">
        <v>78</v>
      </c>
      <c r="D142" s="7" t="s">
        <v>79</v>
      </c>
      <c r="E142" s="7" t="s">
        <v>80</v>
      </c>
      <c r="F142" s="7" t="s">
        <v>86</v>
      </c>
    </row>
    <row r="143">
      <c r="A143" s="7" t="s">
        <v>15</v>
      </c>
      <c r="B143" s="8">
        <v>2.0</v>
      </c>
      <c r="C143" s="7" t="s">
        <v>78</v>
      </c>
      <c r="D143" s="7" t="s">
        <v>79</v>
      </c>
      <c r="E143" s="7" t="s">
        <v>80</v>
      </c>
      <c r="F143" s="7" t="s">
        <v>81</v>
      </c>
    </row>
    <row r="144">
      <c r="A144" s="7" t="s">
        <v>16</v>
      </c>
      <c r="B144" s="8">
        <v>2.0</v>
      </c>
      <c r="C144" s="7" t="s">
        <v>78</v>
      </c>
      <c r="D144" s="7" t="s">
        <v>79</v>
      </c>
      <c r="E144" s="7" t="s">
        <v>80</v>
      </c>
      <c r="F144" s="7" t="s">
        <v>82</v>
      </c>
    </row>
    <row r="145">
      <c r="A145" s="7" t="s">
        <v>17</v>
      </c>
      <c r="B145" s="8">
        <v>2.0</v>
      </c>
      <c r="C145" s="7" t="s">
        <v>78</v>
      </c>
      <c r="D145" s="7" t="s">
        <v>79</v>
      </c>
      <c r="E145" s="7" t="s">
        <v>80</v>
      </c>
      <c r="F145" s="7" t="s">
        <v>82</v>
      </c>
    </row>
    <row r="146">
      <c r="A146" s="7" t="s">
        <v>18</v>
      </c>
      <c r="B146" s="8">
        <v>2.0</v>
      </c>
      <c r="C146" s="7" t="s">
        <v>78</v>
      </c>
      <c r="D146" s="7" t="s">
        <v>79</v>
      </c>
      <c r="E146" s="7" t="s">
        <v>80</v>
      </c>
      <c r="F146" s="7" t="s">
        <v>82</v>
      </c>
    </row>
    <row r="147">
      <c r="A147" s="7" t="s">
        <v>19</v>
      </c>
      <c r="B147" s="8">
        <v>2.0</v>
      </c>
      <c r="C147" s="7" t="s">
        <v>78</v>
      </c>
      <c r="D147" s="7" t="s">
        <v>79</v>
      </c>
      <c r="E147" s="7" t="s">
        <v>80</v>
      </c>
      <c r="F147" s="7" t="s">
        <v>87</v>
      </c>
    </row>
    <row r="148">
      <c r="A148" s="7" t="s">
        <v>6</v>
      </c>
      <c r="B148" s="8">
        <v>2.0</v>
      </c>
      <c r="C148" s="7" t="s">
        <v>88</v>
      </c>
      <c r="D148" s="7" t="s">
        <v>89</v>
      </c>
      <c r="E148" s="7" t="s">
        <v>90</v>
      </c>
      <c r="F148" s="7" t="s">
        <v>91</v>
      </c>
    </row>
    <row r="149">
      <c r="A149" s="7" t="s">
        <v>7</v>
      </c>
      <c r="B149" s="8">
        <v>2.0</v>
      </c>
      <c r="C149" s="7" t="s">
        <v>88</v>
      </c>
      <c r="D149" s="7" t="s">
        <v>89</v>
      </c>
      <c r="E149" s="7" t="s">
        <v>90</v>
      </c>
      <c r="F149" s="7" t="s">
        <v>92</v>
      </c>
    </row>
    <row r="150">
      <c r="A150" s="7" t="s">
        <v>8</v>
      </c>
      <c r="B150" s="8">
        <v>2.0</v>
      </c>
      <c r="C150" s="7" t="s">
        <v>88</v>
      </c>
      <c r="D150" s="7" t="s">
        <v>89</v>
      </c>
      <c r="E150" s="7" t="s">
        <v>90</v>
      </c>
      <c r="F150" s="7" t="s">
        <v>93</v>
      </c>
    </row>
    <row r="151">
      <c r="A151" s="7" t="s">
        <v>10</v>
      </c>
      <c r="B151" s="8">
        <v>2.0</v>
      </c>
      <c r="C151" s="7" t="s">
        <v>88</v>
      </c>
      <c r="D151" s="7" t="s">
        <v>89</v>
      </c>
      <c r="E151" s="7" t="s">
        <v>90</v>
      </c>
      <c r="F151" s="7" t="s">
        <v>94</v>
      </c>
    </row>
    <row r="152">
      <c r="A152" s="7" t="s">
        <v>11</v>
      </c>
      <c r="B152" s="8">
        <v>2.0</v>
      </c>
      <c r="C152" s="7" t="s">
        <v>88</v>
      </c>
      <c r="D152" s="7" t="s">
        <v>89</v>
      </c>
      <c r="E152" s="7" t="s">
        <v>90</v>
      </c>
      <c r="F152" s="7" t="s">
        <v>95</v>
      </c>
    </row>
    <row r="153">
      <c r="A153" s="7" t="s">
        <v>12</v>
      </c>
      <c r="B153" s="8">
        <v>2.0</v>
      </c>
      <c r="C153" s="7" t="s">
        <v>88</v>
      </c>
      <c r="D153" s="7" t="s">
        <v>89</v>
      </c>
      <c r="E153" s="7" t="s">
        <v>90</v>
      </c>
      <c r="F153" s="7" t="s">
        <v>96</v>
      </c>
    </row>
    <row r="154">
      <c r="A154" s="7" t="s">
        <v>13</v>
      </c>
      <c r="B154" s="8">
        <v>2.0</v>
      </c>
      <c r="C154" s="7" t="s">
        <v>88</v>
      </c>
      <c r="D154" s="7" t="s">
        <v>89</v>
      </c>
      <c r="E154" s="7" t="s">
        <v>90</v>
      </c>
      <c r="F154" s="7" t="s">
        <v>97</v>
      </c>
    </row>
    <row r="155">
      <c r="A155" s="7" t="s">
        <v>14</v>
      </c>
      <c r="B155" s="8">
        <v>2.0</v>
      </c>
      <c r="C155" s="7" t="s">
        <v>88</v>
      </c>
      <c r="D155" s="7" t="s">
        <v>89</v>
      </c>
      <c r="E155" s="7" t="s">
        <v>90</v>
      </c>
      <c r="F155" s="7" t="s">
        <v>98</v>
      </c>
    </row>
    <row r="156">
      <c r="A156" s="7" t="s">
        <v>15</v>
      </c>
      <c r="B156" s="8">
        <v>2.0</v>
      </c>
      <c r="C156" s="7" t="s">
        <v>88</v>
      </c>
      <c r="D156" s="7" t="s">
        <v>89</v>
      </c>
      <c r="E156" s="7" t="s">
        <v>90</v>
      </c>
      <c r="F156" s="7" t="s">
        <v>99</v>
      </c>
    </row>
    <row r="157">
      <c r="A157" s="7" t="s">
        <v>16</v>
      </c>
      <c r="B157" s="8">
        <v>2.0</v>
      </c>
      <c r="C157" s="7" t="s">
        <v>88</v>
      </c>
      <c r="D157" s="7" t="s">
        <v>89</v>
      </c>
      <c r="E157" s="7" t="s">
        <v>90</v>
      </c>
      <c r="F157" s="7" t="s">
        <v>96</v>
      </c>
    </row>
    <row r="158">
      <c r="A158" s="7" t="s">
        <v>18</v>
      </c>
      <c r="B158" s="8">
        <v>2.0</v>
      </c>
      <c r="C158" s="7" t="s">
        <v>88</v>
      </c>
      <c r="D158" s="7" t="s">
        <v>89</v>
      </c>
      <c r="E158" s="7" t="s">
        <v>90</v>
      </c>
      <c r="F158" s="7" t="s">
        <v>96</v>
      </c>
    </row>
    <row r="159">
      <c r="A159" s="7" t="s">
        <v>19</v>
      </c>
      <c r="B159" s="8">
        <v>2.0</v>
      </c>
      <c r="C159" s="7" t="s">
        <v>88</v>
      </c>
      <c r="D159" s="7" t="s">
        <v>89</v>
      </c>
      <c r="E159" s="7" t="s">
        <v>90</v>
      </c>
      <c r="F159" s="7" t="s">
        <v>100</v>
      </c>
    </row>
    <row r="160">
      <c r="A160" s="7" t="s">
        <v>4</v>
      </c>
      <c r="B160" s="8">
        <v>2.0</v>
      </c>
      <c r="C160" s="7" t="s">
        <v>101</v>
      </c>
      <c r="D160" s="7" t="s">
        <v>102</v>
      </c>
      <c r="E160" s="7" t="s">
        <v>103</v>
      </c>
      <c r="F160" s="7" t="s">
        <v>104</v>
      </c>
    </row>
    <row r="161">
      <c r="A161" s="7" t="s">
        <v>5</v>
      </c>
      <c r="B161" s="8">
        <v>2.0</v>
      </c>
      <c r="C161" s="7" t="s">
        <v>101</v>
      </c>
      <c r="D161" s="7" t="s">
        <v>102</v>
      </c>
      <c r="E161" s="7" t="s">
        <v>103</v>
      </c>
      <c r="F161" s="7" t="s">
        <v>105</v>
      </c>
    </row>
    <row r="162">
      <c r="A162" s="7" t="s">
        <v>6</v>
      </c>
      <c r="B162" s="8">
        <v>2.0</v>
      </c>
      <c r="C162" s="7" t="s">
        <v>101</v>
      </c>
      <c r="D162" s="7" t="s">
        <v>102</v>
      </c>
      <c r="E162" s="7" t="s">
        <v>103</v>
      </c>
      <c r="F162" s="7" t="s">
        <v>104</v>
      </c>
    </row>
    <row r="163">
      <c r="A163" s="7" t="s">
        <v>7</v>
      </c>
      <c r="B163" s="8">
        <v>2.0</v>
      </c>
      <c r="C163" s="7" t="s">
        <v>101</v>
      </c>
      <c r="D163" s="7" t="s">
        <v>102</v>
      </c>
      <c r="E163" s="7" t="s">
        <v>103</v>
      </c>
      <c r="F163" s="7" t="s">
        <v>104</v>
      </c>
    </row>
    <row r="164">
      <c r="A164" s="7" t="s">
        <v>8</v>
      </c>
      <c r="B164" s="8">
        <v>2.0</v>
      </c>
      <c r="C164" s="7" t="s">
        <v>101</v>
      </c>
      <c r="D164" s="7" t="s">
        <v>102</v>
      </c>
      <c r="E164" s="7" t="s">
        <v>103</v>
      </c>
      <c r="F164" s="7" t="s">
        <v>106</v>
      </c>
    </row>
    <row r="165">
      <c r="A165" s="7" t="s">
        <v>9</v>
      </c>
      <c r="B165" s="8">
        <v>2.0</v>
      </c>
      <c r="C165" s="7" t="s">
        <v>101</v>
      </c>
      <c r="D165" s="7" t="s">
        <v>102</v>
      </c>
      <c r="E165" s="7" t="s">
        <v>103</v>
      </c>
      <c r="F165" s="7" t="s">
        <v>104</v>
      </c>
    </row>
    <row r="166">
      <c r="A166" s="7" t="s">
        <v>10</v>
      </c>
      <c r="B166" s="8">
        <v>2.0</v>
      </c>
      <c r="C166" s="7" t="s">
        <v>101</v>
      </c>
      <c r="D166" s="7" t="s">
        <v>102</v>
      </c>
      <c r="E166" s="7" t="s">
        <v>103</v>
      </c>
      <c r="F166" s="7" t="s">
        <v>107</v>
      </c>
    </row>
    <row r="167">
      <c r="A167" s="7" t="s">
        <v>11</v>
      </c>
      <c r="B167" s="8">
        <v>2.0</v>
      </c>
      <c r="C167" s="7" t="s">
        <v>101</v>
      </c>
      <c r="D167" s="7" t="s">
        <v>102</v>
      </c>
      <c r="E167" s="7" t="s">
        <v>103</v>
      </c>
      <c r="F167" s="7" t="s">
        <v>108</v>
      </c>
    </row>
    <row r="168">
      <c r="A168" s="7" t="s">
        <v>12</v>
      </c>
      <c r="B168" s="8">
        <v>2.0</v>
      </c>
      <c r="C168" s="7" t="s">
        <v>101</v>
      </c>
      <c r="D168" s="7" t="s">
        <v>102</v>
      </c>
      <c r="E168" s="7" t="s">
        <v>103</v>
      </c>
      <c r="F168" s="7" t="s">
        <v>105</v>
      </c>
    </row>
    <row r="169">
      <c r="A169" s="7" t="s">
        <v>13</v>
      </c>
      <c r="B169" s="8">
        <v>2.0</v>
      </c>
      <c r="C169" s="7" t="s">
        <v>101</v>
      </c>
      <c r="D169" s="7" t="s">
        <v>102</v>
      </c>
      <c r="E169" s="7" t="s">
        <v>103</v>
      </c>
      <c r="F169" s="7" t="s">
        <v>109</v>
      </c>
    </row>
    <row r="170">
      <c r="A170" s="7" t="s">
        <v>14</v>
      </c>
      <c r="B170" s="8">
        <v>2.0</v>
      </c>
      <c r="C170" s="7" t="s">
        <v>101</v>
      </c>
      <c r="D170" s="7" t="s">
        <v>102</v>
      </c>
      <c r="E170" s="7" t="s">
        <v>103</v>
      </c>
      <c r="F170" s="7" t="s">
        <v>110</v>
      </c>
    </row>
    <row r="171">
      <c r="A171" s="7" t="s">
        <v>15</v>
      </c>
      <c r="B171" s="8">
        <v>2.0</v>
      </c>
      <c r="C171" s="7" t="s">
        <v>101</v>
      </c>
      <c r="D171" s="7" t="s">
        <v>102</v>
      </c>
      <c r="E171" s="7" t="s">
        <v>103</v>
      </c>
      <c r="F171" s="7" t="s">
        <v>104</v>
      </c>
    </row>
    <row r="172">
      <c r="A172" s="7" t="s">
        <v>16</v>
      </c>
      <c r="B172" s="8">
        <v>2.0</v>
      </c>
      <c r="C172" s="7" t="s">
        <v>101</v>
      </c>
      <c r="D172" s="7" t="s">
        <v>102</v>
      </c>
      <c r="E172" s="7" t="s">
        <v>103</v>
      </c>
      <c r="F172" s="7" t="s">
        <v>104</v>
      </c>
    </row>
    <row r="173">
      <c r="A173" s="7" t="s">
        <v>17</v>
      </c>
      <c r="B173" s="8">
        <v>2.0</v>
      </c>
      <c r="C173" s="7" t="s">
        <v>101</v>
      </c>
      <c r="D173" s="7" t="s">
        <v>102</v>
      </c>
      <c r="E173" s="7" t="s">
        <v>103</v>
      </c>
      <c r="F173" s="7" t="s">
        <v>111</v>
      </c>
    </row>
    <row r="174">
      <c r="A174" s="7" t="s">
        <v>18</v>
      </c>
      <c r="B174" s="8">
        <v>2.0</v>
      </c>
      <c r="C174" s="7" t="s">
        <v>101</v>
      </c>
      <c r="D174" s="7" t="s">
        <v>102</v>
      </c>
      <c r="E174" s="7" t="s">
        <v>103</v>
      </c>
      <c r="F174" s="7" t="s">
        <v>104</v>
      </c>
    </row>
    <row r="175">
      <c r="A175" s="7" t="s">
        <v>19</v>
      </c>
      <c r="B175" s="8">
        <v>2.0</v>
      </c>
      <c r="C175" s="7" t="s">
        <v>101</v>
      </c>
      <c r="D175" s="7" t="s">
        <v>102</v>
      </c>
      <c r="E175" s="7" t="s">
        <v>103</v>
      </c>
      <c r="F175" s="7" t="s">
        <v>104</v>
      </c>
    </row>
    <row r="176">
      <c r="A176" s="7" t="s">
        <v>4</v>
      </c>
      <c r="B176" s="8">
        <v>2.0</v>
      </c>
      <c r="C176" s="7" t="s">
        <v>112</v>
      </c>
      <c r="D176" s="7" t="s">
        <v>113</v>
      </c>
      <c r="E176" s="7" t="s">
        <v>114</v>
      </c>
      <c r="F176" s="7" t="s">
        <v>115</v>
      </c>
    </row>
    <row r="177">
      <c r="A177" s="7" t="s">
        <v>5</v>
      </c>
      <c r="B177" s="8">
        <v>2.0</v>
      </c>
      <c r="C177" s="7" t="s">
        <v>112</v>
      </c>
      <c r="D177" s="7" t="s">
        <v>113</v>
      </c>
      <c r="E177" s="7" t="s">
        <v>114</v>
      </c>
      <c r="F177" s="7" t="s">
        <v>115</v>
      </c>
    </row>
    <row r="178">
      <c r="A178" s="7" t="s">
        <v>6</v>
      </c>
      <c r="B178" s="8">
        <v>2.0</v>
      </c>
      <c r="C178" s="7" t="s">
        <v>112</v>
      </c>
      <c r="D178" s="7" t="s">
        <v>113</v>
      </c>
      <c r="E178" s="7" t="s">
        <v>114</v>
      </c>
      <c r="F178" s="7" t="s">
        <v>115</v>
      </c>
    </row>
    <row r="179">
      <c r="A179" s="7" t="s">
        <v>7</v>
      </c>
      <c r="B179" s="8">
        <v>2.0</v>
      </c>
      <c r="C179" s="7" t="s">
        <v>112</v>
      </c>
      <c r="D179" s="7" t="s">
        <v>113</v>
      </c>
      <c r="E179" s="7" t="s">
        <v>114</v>
      </c>
      <c r="F179" s="7" t="s">
        <v>115</v>
      </c>
    </row>
    <row r="180">
      <c r="A180" s="7" t="s">
        <v>8</v>
      </c>
      <c r="B180" s="8">
        <v>2.0</v>
      </c>
      <c r="C180" s="7" t="s">
        <v>112</v>
      </c>
      <c r="D180" s="7" t="s">
        <v>113</v>
      </c>
      <c r="E180" s="7" t="s">
        <v>114</v>
      </c>
      <c r="F180" s="7" t="s">
        <v>115</v>
      </c>
    </row>
    <row r="181">
      <c r="A181" s="7" t="s">
        <v>9</v>
      </c>
      <c r="B181" s="8">
        <v>2.0</v>
      </c>
      <c r="C181" s="7" t="s">
        <v>112</v>
      </c>
      <c r="D181" s="7" t="s">
        <v>113</v>
      </c>
      <c r="E181" s="7" t="s">
        <v>114</v>
      </c>
      <c r="F181" s="7" t="s">
        <v>115</v>
      </c>
    </row>
    <row r="182">
      <c r="A182" s="7" t="s">
        <v>10</v>
      </c>
      <c r="B182" s="8">
        <v>2.0</v>
      </c>
      <c r="C182" s="7" t="s">
        <v>112</v>
      </c>
      <c r="D182" s="7" t="s">
        <v>113</v>
      </c>
      <c r="E182" s="7" t="s">
        <v>114</v>
      </c>
      <c r="F182" s="7" t="s">
        <v>115</v>
      </c>
    </row>
    <row r="183">
      <c r="A183" s="7" t="s">
        <v>11</v>
      </c>
      <c r="B183" s="8">
        <v>2.0</v>
      </c>
      <c r="C183" s="7" t="s">
        <v>112</v>
      </c>
      <c r="D183" s="7" t="s">
        <v>113</v>
      </c>
      <c r="E183" s="7" t="s">
        <v>114</v>
      </c>
      <c r="F183" s="7" t="s">
        <v>115</v>
      </c>
    </row>
    <row r="184">
      <c r="A184" s="7" t="s">
        <v>12</v>
      </c>
      <c r="B184" s="8">
        <v>2.0</v>
      </c>
      <c r="C184" s="7" t="s">
        <v>112</v>
      </c>
      <c r="D184" s="7" t="s">
        <v>113</v>
      </c>
      <c r="E184" s="7" t="s">
        <v>114</v>
      </c>
      <c r="F184" s="7" t="s">
        <v>115</v>
      </c>
    </row>
    <row r="185">
      <c r="A185" s="7" t="s">
        <v>13</v>
      </c>
      <c r="B185" s="8">
        <v>2.0</v>
      </c>
      <c r="C185" s="7" t="s">
        <v>112</v>
      </c>
      <c r="D185" s="7" t="s">
        <v>113</v>
      </c>
      <c r="E185" s="7" t="s">
        <v>114</v>
      </c>
      <c r="F185" s="7" t="s">
        <v>115</v>
      </c>
    </row>
    <row r="186">
      <c r="A186" s="7" t="s">
        <v>14</v>
      </c>
      <c r="B186" s="8">
        <v>2.0</v>
      </c>
      <c r="C186" s="7" t="s">
        <v>112</v>
      </c>
      <c r="D186" s="7" t="s">
        <v>113</v>
      </c>
      <c r="E186" s="7" t="s">
        <v>114</v>
      </c>
      <c r="F186" s="7" t="s">
        <v>115</v>
      </c>
    </row>
    <row r="187">
      <c r="A187" s="7" t="s">
        <v>15</v>
      </c>
      <c r="B187" s="8">
        <v>2.0</v>
      </c>
      <c r="C187" s="7" t="s">
        <v>112</v>
      </c>
      <c r="D187" s="7" t="s">
        <v>113</v>
      </c>
      <c r="E187" s="7" t="s">
        <v>114</v>
      </c>
      <c r="F187" s="7" t="s">
        <v>115</v>
      </c>
    </row>
    <row r="188">
      <c r="A188" s="7" t="s">
        <v>16</v>
      </c>
      <c r="B188" s="8">
        <v>2.0</v>
      </c>
      <c r="C188" s="7" t="s">
        <v>112</v>
      </c>
      <c r="D188" s="7" t="s">
        <v>113</v>
      </c>
      <c r="E188" s="7" t="s">
        <v>114</v>
      </c>
      <c r="F188" s="7" t="s">
        <v>115</v>
      </c>
    </row>
    <row r="189">
      <c r="A189" s="7" t="s">
        <v>17</v>
      </c>
      <c r="B189" s="8">
        <v>2.0</v>
      </c>
      <c r="C189" s="7" t="s">
        <v>112</v>
      </c>
      <c r="D189" s="7" t="s">
        <v>113</v>
      </c>
      <c r="E189" s="7" t="s">
        <v>114</v>
      </c>
      <c r="F189" s="7" t="s">
        <v>116</v>
      </c>
    </row>
    <row r="190">
      <c r="A190" s="7" t="s">
        <v>18</v>
      </c>
      <c r="B190" s="8">
        <v>2.0</v>
      </c>
      <c r="C190" s="7" t="s">
        <v>112</v>
      </c>
      <c r="D190" s="7" t="s">
        <v>113</v>
      </c>
      <c r="E190" s="7" t="s">
        <v>114</v>
      </c>
      <c r="F190" s="7" t="s">
        <v>115</v>
      </c>
    </row>
    <row r="191">
      <c r="A191" s="7" t="s">
        <v>19</v>
      </c>
      <c r="B191" s="8">
        <v>2.0</v>
      </c>
      <c r="C191" s="7" t="s">
        <v>112</v>
      </c>
      <c r="D191" s="7" t="s">
        <v>113</v>
      </c>
      <c r="E191" s="7" t="s">
        <v>114</v>
      </c>
      <c r="F191" s="7" t="s">
        <v>115</v>
      </c>
    </row>
    <row r="192">
      <c r="A192" s="7" t="s">
        <v>4</v>
      </c>
      <c r="B192" s="8">
        <v>2.0</v>
      </c>
      <c r="C192" s="7" t="s">
        <v>117</v>
      </c>
      <c r="D192" s="7" t="s">
        <v>118</v>
      </c>
      <c r="E192" s="7" t="s">
        <v>119</v>
      </c>
      <c r="F192" s="7" t="s">
        <v>120</v>
      </c>
    </row>
    <row r="193">
      <c r="A193" s="7" t="s">
        <v>5</v>
      </c>
      <c r="B193" s="8">
        <v>2.0</v>
      </c>
      <c r="C193" s="7" t="s">
        <v>117</v>
      </c>
      <c r="D193" s="7" t="s">
        <v>118</v>
      </c>
      <c r="E193" s="7" t="s">
        <v>119</v>
      </c>
      <c r="F193" s="7" t="s">
        <v>121</v>
      </c>
    </row>
    <row r="194">
      <c r="A194" s="7" t="s">
        <v>6</v>
      </c>
      <c r="B194" s="8">
        <v>2.0</v>
      </c>
      <c r="C194" s="7" t="s">
        <v>117</v>
      </c>
      <c r="D194" s="7" t="s">
        <v>118</v>
      </c>
      <c r="E194" s="7" t="s">
        <v>119</v>
      </c>
      <c r="F194" s="7" t="s">
        <v>121</v>
      </c>
    </row>
    <row r="195">
      <c r="A195" s="7" t="s">
        <v>7</v>
      </c>
      <c r="B195" s="8">
        <v>2.0</v>
      </c>
      <c r="C195" s="7" t="s">
        <v>117</v>
      </c>
      <c r="D195" s="7" t="s">
        <v>118</v>
      </c>
      <c r="E195" s="7" t="s">
        <v>119</v>
      </c>
      <c r="F195" s="7" t="s">
        <v>121</v>
      </c>
    </row>
    <row r="196">
      <c r="A196" s="7" t="s">
        <v>8</v>
      </c>
      <c r="B196" s="8">
        <v>2.0</v>
      </c>
      <c r="C196" s="7" t="s">
        <v>117</v>
      </c>
      <c r="D196" s="7" t="s">
        <v>118</v>
      </c>
      <c r="E196" s="7" t="s">
        <v>119</v>
      </c>
      <c r="F196" s="7" t="s">
        <v>121</v>
      </c>
    </row>
    <row r="197">
      <c r="A197" s="7" t="s">
        <v>9</v>
      </c>
      <c r="B197" s="8">
        <v>2.0</v>
      </c>
      <c r="C197" s="7" t="s">
        <v>117</v>
      </c>
      <c r="D197" s="7" t="s">
        <v>118</v>
      </c>
      <c r="E197" s="7" t="s">
        <v>119</v>
      </c>
      <c r="F197" s="7" t="s">
        <v>121</v>
      </c>
    </row>
    <row r="198">
      <c r="A198" s="7" t="s">
        <v>10</v>
      </c>
      <c r="B198" s="8">
        <v>2.0</v>
      </c>
      <c r="C198" s="7" t="s">
        <v>117</v>
      </c>
      <c r="D198" s="7" t="s">
        <v>118</v>
      </c>
      <c r="E198" s="7" t="s">
        <v>119</v>
      </c>
      <c r="F198" s="7" t="s">
        <v>121</v>
      </c>
    </row>
    <row r="199">
      <c r="A199" s="7" t="s">
        <v>11</v>
      </c>
      <c r="B199" s="8">
        <v>2.0</v>
      </c>
      <c r="C199" s="7" t="s">
        <v>117</v>
      </c>
      <c r="D199" s="7" t="s">
        <v>118</v>
      </c>
      <c r="E199" s="7" t="s">
        <v>119</v>
      </c>
      <c r="F199" s="7" t="s">
        <v>121</v>
      </c>
    </row>
    <row r="200">
      <c r="A200" s="7" t="s">
        <v>12</v>
      </c>
      <c r="B200" s="8">
        <v>2.0</v>
      </c>
      <c r="C200" s="7" t="s">
        <v>117</v>
      </c>
      <c r="D200" s="7" t="s">
        <v>118</v>
      </c>
      <c r="E200" s="7" t="s">
        <v>119</v>
      </c>
      <c r="F200" s="7" t="s">
        <v>121</v>
      </c>
    </row>
    <row r="201">
      <c r="A201" s="7" t="s">
        <v>13</v>
      </c>
      <c r="B201" s="8">
        <v>2.0</v>
      </c>
      <c r="C201" s="7" t="s">
        <v>117</v>
      </c>
      <c r="D201" s="7" t="s">
        <v>118</v>
      </c>
      <c r="E201" s="7" t="s">
        <v>119</v>
      </c>
      <c r="F201" s="7" t="s">
        <v>121</v>
      </c>
    </row>
    <row r="202">
      <c r="A202" s="7" t="s">
        <v>14</v>
      </c>
      <c r="B202" s="8">
        <v>2.0</v>
      </c>
      <c r="C202" s="7" t="s">
        <v>117</v>
      </c>
      <c r="D202" s="7" t="s">
        <v>118</v>
      </c>
      <c r="E202" s="7" t="s">
        <v>119</v>
      </c>
      <c r="F202" s="7" t="s">
        <v>121</v>
      </c>
    </row>
    <row r="203">
      <c r="A203" s="7" t="s">
        <v>15</v>
      </c>
      <c r="B203" s="8">
        <v>2.0</v>
      </c>
      <c r="C203" s="7" t="s">
        <v>117</v>
      </c>
      <c r="D203" s="7" t="s">
        <v>118</v>
      </c>
      <c r="E203" s="7" t="s">
        <v>119</v>
      </c>
      <c r="F203" s="7" t="s">
        <v>121</v>
      </c>
    </row>
    <row r="204">
      <c r="A204" s="7" t="s">
        <v>16</v>
      </c>
      <c r="B204" s="8">
        <v>2.0</v>
      </c>
      <c r="C204" s="7" t="s">
        <v>117</v>
      </c>
      <c r="D204" s="7" t="s">
        <v>118</v>
      </c>
      <c r="E204" s="7" t="s">
        <v>119</v>
      </c>
      <c r="F204" s="7" t="s">
        <v>121</v>
      </c>
    </row>
    <row r="205">
      <c r="A205" s="7" t="s">
        <v>17</v>
      </c>
      <c r="B205" s="8">
        <v>2.0</v>
      </c>
      <c r="C205" s="7" t="s">
        <v>117</v>
      </c>
      <c r="D205" s="7" t="s">
        <v>118</v>
      </c>
      <c r="E205" s="7" t="s">
        <v>119</v>
      </c>
      <c r="F205" s="7" t="s">
        <v>121</v>
      </c>
    </row>
    <row r="206">
      <c r="A206" s="7" t="s">
        <v>18</v>
      </c>
      <c r="B206" s="8">
        <v>2.0</v>
      </c>
      <c r="C206" s="7" t="s">
        <v>117</v>
      </c>
      <c r="D206" s="7" t="s">
        <v>118</v>
      </c>
      <c r="E206" s="7" t="s">
        <v>119</v>
      </c>
      <c r="F206" s="7" t="s">
        <v>121</v>
      </c>
    </row>
    <row r="207">
      <c r="A207" s="7" t="s">
        <v>19</v>
      </c>
      <c r="B207" s="8">
        <v>2.0</v>
      </c>
      <c r="C207" s="7" t="s">
        <v>117</v>
      </c>
      <c r="D207" s="7" t="s">
        <v>118</v>
      </c>
      <c r="E207" s="7" t="s">
        <v>119</v>
      </c>
      <c r="F207" s="7" t="s">
        <v>121</v>
      </c>
    </row>
    <row r="208">
      <c r="A208" s="7" t="s">
        <v>4</v>
      </c>
      <c r="B208" s="8">
        <v>2.0</v>
      </c>
      <c r="C208" s="7" t="s">
        <v>122</v>
      </c>
      <c r="D208" s="7" t="s">
        <v>123</v>
      </c>
      <c r="E208" s="7" t="s">
        <v>124</v>
      </c>
      <c r="F208" s="7" t="s">
        <v>125</v>
      </c>
    </row>
    <row r="209">
      <c r="A209" s="7" t="s">
        <v>5</v>
      </c>
      <c r="B209" s="8">
        <v>2.0</v>
      </c>
      <c r="C209" s="7" t="s">
        <v>122</v>
      </c>
      <c r="D209" s="7" t="s">
        <v>123</v>
      </c>
      <c r="E209" s="7" t="s">
        <v>124</v>
      </c>
      <c r="F209" s="7" t="s">
        <v>126</v>
      </c>
    </row>
    <row r="210">
      <c r="A210" s="7" t="s">
        <v>6</v>
      </c>
      <c r="B210" s="8">
        <v>2.0</v>
      </c>
      <c r="C210" s="7" t="s">
        <v>122</v>
      </c>
      <c r="D210" s="7" t="s">
        <v>123</v>
      </c>
      <c r="E210" s="7" t="s">
        <v>124</v>
      </c>
      <c r="F210" s="7" t="s">
        <v>127</v>
      </c>
    </row>
    <row r="211">
      <c r="A211" s="7" t="s">
        <v>7</v>
      </c>
      <c r="B211" s="8">
        <v>2.0</v>
      </c>
      <c r="C211" s="7" t="s">
        <v>122</v>
      </c>
      <c r="D211" s="7" t="s">
        <v>123</v>
      </c>
      <c r="E211" s="7" t="s">
        <v>124</v>
      </c>
      <c r="F211" s="7" t="s">
        <v>128</v>
      </c>
    </row>
    <row r="212">
      <c r="A212" s="7" t="s">
        <v>8</v>
      </c>
      <c r="B212" s="8">
        <v>2.0</v>
      </c>
      <c r="C212" s="7" t="s">
        <v>122</v>
      </c>
      <c r="D212" s="7" t="s">
        <v>123</v>
      </c>
      <c r="E212" s="7" t="s">
        <v>124</v>
      </c>
      <c r="F212" s="7" t="s">
        <v>129</v>
      </c>
    </row>
    <row r="213">
      <c r="A213" s="7" t="s">
        <v>9</v>
      </c>
      <c r="B213" s="8">
        <v>2.0</v>
      </c>
      <c r="C213" s="7" t="s">
        <v>122</v>
      </c>
      <c r="D213" s="7" t="s">
        <v>123</v>
      </c>
      <c r="E213" s="7" t="s">
        <v>124</v>
      </c>
      <c r="F213" s="7" t="s">
        <v>130</v>
      </c>
    </row>
    <row r="214">
      <c r="A214" s="7" t="s">
        <v>10</v>
      </c>
      <c r="B214" s="8">
        <v>2.0</v>
      </c>
      <c r="C214" s="7" t="s">
        <v>122</v>
      </c>
      <c r="D214" s="7" t="s">
        <v>123</v>
      </c>
      <c r="E214" s="7" t="s">
        <v>124</v>
      </c>
      <c r="F214" s="7" t="s">
        <v>131</v>
      </c>
    </row>
    <row r="215">
      <c r="A215" s="7" t="s">
        <v>11</v>
      </c>
      <c r="B215" s="8">
        <v>2.0</v>
      </c>
      <c r="C215" s="7" t="s">
        <v>122</v>
      </c>
      <c r="D215" s="7" t="s">
        <v>123</v>
      </c>
      <c r="E215" s="7" t="s">
        <v>124</v>
      </c>
      <c r="F215" s="7" t="s">
        <v>132</v>
      </c>
    </row>
    <row r="216">
      <c r="A216" s="7" t="s">
        <v>12</v>
      </c>
      <c r="B216" s="8">
        <v>2.0</v>
      </c>
      <c r="C216" s="7" t="s">
        <v>122</v>
      </c>
      <c r="D216" s="7" t="s">
        <v>123</v>
      </c>
      <c r="E216" s="7" t="s">
        <v>124</v>
      </c>
      <c r="F216" s="7" t="s">
        <v>126</v>
      </c>
    </row>
    <row r="217">
      <c r="A217" s="7" t="s">
        <v>13</v>
      </c>
      <c r="B217" s="8">
        <v>2.0</v>
      </c>
      <c r="C217" s="7" t="s">
        <v>122</v>
      </c>
      <c r="D217" s="7" t="s">
        <v>123</v>
      </c>
      <c r="E217" s="7" t="s">
        <v>124</v>
      </c>
      <c r="F217" s="7" t="s">
        <v>133</v>
      </c>
    </row>
    <row r="218">
      <c r="A218" s="7" t="s">
        <v>14</v>
      </c>
      <c r="B218" s="8">
        <v>2.0</v>
      </c>
      <c r="C218" s="7" t="s">
        <v>122</v>
      </c>
      <c r="D218" s="7" t="s">
        <v>123</v>
      </c>
      <c r="E218" s="7" t="s">
        <v>124</v>
      </c>
      <c r="F218" s="7" t="s">
        <v>131</v>
      </c>
    </row>
    <row r="219">
      <c r="A219" s="7" t="s">
        <v>15</v>
      </c>
      <c r="B219" s="8">
        <v>2.0</v>
      </c>
      <c r="C219" s="7" t="s">
        <v>122</v>
      </c>
      <c r="D219" s="7" t="s">
        <v>123</v>
      </c>
      <c r="E219" s="7" t="s">
        <v>124</v>
      </c>
      <c r="F219" s="7" t="s">
        <v>134</v>
      </c>
    </row>
    <row r="220">
      <c r="A220" s="7" t="s">
        <v>16</v>
      </c>
      <c r="B220" s="8">
        <v>2.0</v>
      </c>
      <c r="C220" s="7" t="s">
        <v>122</v>
      </c>
      <c r="D220" s="7" t="s">
        <v>123</v>
      </c>
      <c r="E220" s="7" t="s">
        <v>124</v>
      </c>
      <c r="F220" s="7" t="s">
        <v>135</v>
      </c>
    </row>
    <row r="221">
      <c r="A221" s="7" t="s">
        <v>17</v>
      </c>
      <c r="B221" s="8">
        <v>2.0</v>
      </c>
      <c r="C221" s="7" t="s">
        <v>122</v>
      </c>
      <c r="D221" s="7" t="s">
        <v>123</v>
      </c>
      <c r="E221" s="7" t="s">
        <v>124</v>
      </c>
      <c r="F221" s="7" t="s">
        <v>136</v>
      </c>
    </row>
    <row r="222">
      <c r="A222" s="7" t="s">
        <v>18</v>
      </c>
      <c r="B222" s="8">
        <v>2.0</v>
      </c>
      <c r="C222" s="7" t="s">
        <v>122</v>
      </c>
      <c r="D222" s="7" t="s">
        <v>123</v>
      </c>
      <c r="E222" s="7" t="s">
        <v>124</v>
      </c>
      <c r="F222" s="7" t="s">
        <v>137</v>
      </c>
    </row>
    <row r="223">
      <c r="A223" s="7" t="s">
        <v>19</v>
      </c>
      <c r="B223" s="8">
        <v>2.0</v>
      </c>
      <c r="C223" s="7" t="s">
        <v>122</v>
      </c>
      <c r="D223" s="7" t="s">
        <v>123</v>
      </c>
      <c r="E223" s="7" t="s">
        <v>124</v>
      </c>
      <c r="F223" s="7" t="s">
        <v>138</v>
      </c>
    </row>
    <row r="224">
      <c r="A224" s="7" t="s">
        <v>4</v>
      </c>
      <c r="B224" s="8">
        <v>2.0</v>
      </c>
      <c r="C224" s="7" t="s">
        <v>139</v>
      </c>
      <c r="D224" s="7" t="s">
        <v>140</v>
      </c>
      <c r="E224" s="7" t="s">
        <v>141</v>
      </c>
      <c r="F224" s="7" t="s">
        <v>142</v>
      </c>
    </row>
    <row r="225">
      <c r="A225" s="7" t="s">
        <v>5</v>
      </c>
      <c r="B225" s="8">
        <v>2.0</v>
      </c>
      <c r="C225" s="7" t="s">
        <v>139</v>
      </c>
      <c r="D225" s="7" t="s">
        <v>140</v>
      </c>
      <c r="E225" s="7" t="s">
        <v>141</v>
      </c>
      <c r="F225" s="7" t="s">
        <v>143</v>
      </c>
    </row>
    <row r="226">
      <c r="A226" s="7" t="s">
        <v>6</v>
      </c>
      <c r="B226" s="8">
        <v>2.0</v>
      </c>
      <c r="C226" s="7" t="s">
        <v>139</v>
      </c>
      <c r="D226" s="7" t="s">
        <v>140</v>
      </c>
      <c r="E226" s="7" t="s">
        <v>141</v>
      </c>
      <c r="F226" s="7" t="s">
        <v>144</v>
      </c>
    </row>
    <row r="227">
      <c r="A227" s="7" t="s">
        <v>7</v>
      </c>
      <c r="B227" s="8">
        <v>2.0</v>
      </c>
      <c r="C227" s="7" t="s">
        <v>139</v>
      </c>
      <c r="D227" s="7" t="s">
        <v>140</v>
      </c>
      <c r="E227" s="7" t="s">
        <v>141</v>
      </c>
      <c r="F227" s="7" t="s">
        <v>142</v>
      </c>
    </row>
    <row r="228">
      <c r="A228" s="7" t="s">
        <v>8</v>
      </c>
      <c r="B228" s="8">
        <v>2.0</v>
      </c>
      <c r="C228" s="7" t="s">
        <v>139</v>
      </c>
      <c r="D228" s="7" t="s">
        <v>140</v>
      </c>
      <c r="E228" s="7" t="s">
        <v>141</v>
      </c>
      <c r="F228" s="7" t="s">
        <v>143</v>
      </c>
    </row>
    <row r="229">
      <c r="A229" s="7" t="s">
        <v>9</v>
      </c>
      <c r="B229" s="8">
        <v>2.0</v>
      </c>
      <c r="C229" s="7" t="s">
        <v>139</v>
      </c>
      <c r="D229" s="7" t="s">
        <v>140</v>
      </c>
      <c r="E229" s="7" t="s">
        <v>141</v>
      </c>
      <c r="F229" s="7" t="s">
        <v>143</v>
      </c>
    </row>
    <row r="230">
      <c r="A230" s="7" t="s">
        <v>10</v>
      </c>
      <c r="B230" s="8">
        <v>2.0</v>
      </c>
      <c r="C230" s="7" t="s">
        <v>139</v>
      </c>
      <c r="D230" s="7" t="s">
        <v>140</v>
      </c>
      <c r="E230" s="7" t="s">
        <v>141</v>
      </c>
      <c r="F230" s="7" t="s">
        <v>145</v>
      </c>
    </row>
    <row r="231">
      <c r="A231" s="7" t="s">
        <v>11</v>
      </c>
      <c r="B231" s="8">
        <v>2.0</v>
      </c>
      <c r="C231" s="7" t="s">
        <v>139</v>
      </c>
      <c r="D231" s="7" t="s">
        <v>140</v>
      </c>
      <c r="E231" s="7" t="s">
        <v>141</v>
      </c>
      <c r="F231" s="7" t="s">
        <v>146</v>
      </c>
    </row>
    <row r="232">
      <c r="A232" s="7" t="s">
        <v>12</v>
      </c>
      <c r="B232" s="8">
        <v>2.0</v>
      </c>
      <c r="C232" s="7" t="s">
        <v>139</v>
      </c>
      <c r="D232" s="7" t="s">
        <v>140</v>
      </c>
      <c r="E232" s="7" t="s">
        <v>141</v>
      </c>
      <c r="F232" s="7" t="s">
        <v>143</v>
      </c>
    </row>
    <row r="233">
      <c r="A233" s="7" t="s">
        <v>13</v>
      </c>
      <c r="B233" s="8">
        <v>2.0</v>
      </c>
      <c r="C233" s="7" t="s">
        <v>139</v>
      </c>
      <c r="D233" s="7" t="s">
        <v>140</v>
      </c>
      <c r="E233" s="7" t="s">
        <v>141</v>
      </c>
      <c r="F233" s="7" t="s">
        <v>143</v>
      </c>
    </row>
    <row r="234">
      <c r="A234" s="7" t="s">
        <v>14</v>
      </c>
      <c r="B234" s="8">
        <v>2.0</v>
      </c>
      <c r="C234" s="7" t="s">
        <v>139</v>
      </c>
      <c r="D234" s="7" t="s">
        <v>140</v>
      </c>
      <c r="E234" s="7" t="s">
        <v>141</v>
      </c>
      <c r="F234" s="7" t="s">
        <v>143</v>
      </c>
    </row>
    <row r="235">
      <c r="A235" s="7" t="s">
        <v>15</v>
      </c>
      <c r="B235" s="8">
        <v>2.0</v>
      </c>
      <c r="C235" s="7" t="s">
        <v>139</v>
      </c>
      <c r="D235" s="7" t="s">
        <v>140</v>
      </c>
      <c r="E235" s="7" t="s">
        <v>141</v>
      </c>
      <c r="F235" s="7" t="s">
        <v>147</v>
      </c>
    </row>
    <row r="236">
      <c r="A236" s="7" t="s">
        <v>16</v>
      </c>
      <c r="B236" s="8">
        <v>2.0</v>
      </c>
      <c r="C236" s="7" t="s">
        <v>139</v>
      </c>
      <c r="D236" s="7" t="s">
        <v>140</v>
      </c>
      <c r="E236" s="7" t="s">
        <v>141</v>
      </c>
      <c r="F236" s="7" t="s">
        <v>143</v>
      </c>
    </row>
    <row r="237">
      <c r="A237" s="7" t="s">
        <v>17</v>
      </c>
      <c r="B237" s="8">
        <v>2.0</v>
      </c>
      <c r="C237" s="7" t="s">
        <v>139</v>
      </c>
      <c r="D237" s="7" t="s">
        <v>140</v>
      </c>
      <c r="E237" s="7" t="s">
        <v>141</v>
      </c>
      <c r="F237" s="7" t="s">
        <v>142</v>
      </c>
    </row>
    <row r="238">
      <c r="A238" s="7" t="s">
        <v>18</v>
      </c>
      <c r="B238" s="8">
        <v>2.0</v>
      </c>
      <c r="C238" s="7" t="s">
        <v>139</v>
      </c>
      <c r="D238" s="7" t="s">
        <v>140</v>
      </c>
      <c r="E238" s="7" t="s">
        <v>141</v>
      </c>
      <c r="F238" s="7" t="s">
        <v>142</v>
      </c>
    </row>
    <row r="239">
      <c r="A239" s="7" t="s">
        <v>19</v>
      </c>
      <c r="B239" s="8">
        <v>2.0</v>
      </c>
      <c r="C239" s="7" t="s">
        <v>139</v>
      </c>
      <c r="D239" s="7" t="s">
        <v>140</v>
      </c>
      <c r="E239" s="7" t="s">
        <v>141</v>
      </c>
      <c r="F239" s="7" t="s">
        <v>148</v>
      </c>
    </row>
    <row r="240">
      <c r="A240" s="7" t="s">
        <v>5</v>
      </c>
      <c r="B240" s="8">
        <v>2.0</v>
      </c>
      <c r="C240" s="7" t="s">
        <v>149</v>
      </c>
      <c r="D240" s="7" t="s">
        <v>150</v>
      </c>
      <c r="E240" s="7" t="s">
        <v>151</v>
      </c>
      <c r="F240" s="7" t="s">
        <v>152</v>
      </c>
    </row>
    <row r="241">
      <c r="A241" s="7" t="s">
        <v>6</v>
      </c>
      <c r="B241" s="8">
        <v>2.0</v>
      </c>
      <c r="C241" s="7" t="s">
        <v>149</v>
      </c>
      <c r="D241" s="7" t="s">
        <v>150</v>
      </c>
      <c r="E241" s="7" t="s">
        <v>151</v>
      </c>
      <c r="F241" s="7" t="s">
        <v>153</v>
      </c>
    </row>
    <row r="242">
      <c r="A242" s="7" t="s">
        <v>7</v>
      </c>
      <c r="B242" s="8">
        <v>2.0</v>
      </c>
      <c r="C242" s="7" t="s">
        <v>149</v>
      </c>
      <c r="D242" s="7" t="s">
        <v>150</v>
      </c>
      <c r="E242" s="7" t="s">
        <v>151</v>
      </c>
      <c r="F242" s="7" t="s">
        <v>154</v>
      </c>
    </row>
    <row r="243">
      <c r="A243" s="7" t="s">
        <v>8</v>
      </c>
      <c r="B243" s="8">
        <v>2.0</v>
      </c>
      <c r="C243" s="7" t="s">
        <v>149</v>
      </c>
      <c r="D243" s="7" t="s">
        <v>150</v>
      </c>
      <c r="E243" s="7" t="s">
        <v>151</v>
      </c>
      <c r="F243" s="7" t="s">
        <v>155</v>
      </c>
    </row>
    <row r="244">
      <c r="A244" s="7" t="s">
        <v>10</v>
      </c>
      <c r="B244" s="8">
        <v>2.0</v>
      </c>
      <c r="C244" s="7" t="s">
        <v>149</v>
      </c>
      <c r="D244" s="7" t="s">
        <v>150</v>
      </c>
      <c r="E244" s="7" t="s">
        <v>151</v>
      </c>
      <c r="F244" s="7" t="s">
        <v>156</v>
      </c>
    </row>
    <row r="245">
      <c r="A245" s="7" t="s">
        <v>11</v>
      </c>
      <c r="B245" s="8">
        <v>2.0</v>
      </c>
      <c r="C245" s="7" t="s">
        <v>149</v>
      </c>
      <c r="D245" s="7" t="s">
        <v>150</v>
      </c>
      <c r="E245" s="7" t="s">
        <v>151</v>
      </c>
      <c r="F245" s="7" t="s">
        <v>157</v>
      </c>
    </row>
    <row r="246">
      <c r="A246" s="7" t="s">
        <v>12</v>
      </c>
      <c r="B246" s="8">
        <v>2.0</v>
      </c>
      <c r="C246" s="7" t="s">
        <v>149</v>
      </c>
      <c r="D246" s="7" t="s">
        <v>150</v>
      </c>
      <c r="E246" s="7" t="s">
        <v>151</v>
      </c>
      <c r="F246" s="7" t="s">
        <v>158</v>
      </c>
    </row>
    <row r="247">
      <c r="A247" s="7" t="s">
        <v>13</v>
      </c>
      <c r="B247" s="8">
        <v>2.0</v>
      </c>
      <c r="C247" s="7" t="s">
        <v>149</v>
      </c>
      <c r="D247" s="7" t="s">
        <v>150</v>
      </c>
      <c r="E247" s="7" t="s">
        <v>151</v>
      </c>
      <c r="F247" s="7" t="s">
        <v>159</v>
      </c>
    </row>
    <row r="248">
      <c r="A248" s="7" t="s">
        <v>14</v>
      </c>
      <c r="B248" s="8">
        <v>2.0</v>
      </c>
      <c r="C248" s="7" t="s">
        <v>149</v>
      </c>
      <c r="D248" s="7" t="s">
        <v>150</v>
      </c>
      <c r="E248" s="7" t="s">
        <v>151</v>
      </c>
      <c r="F248" s="7" t="s">
        <v>160</v>
      </c>
    </row>
    <row r="249">
      <c r="A249" s="7" t="s">
        <v>15</v>
      </c>
      <c r="B249" s="8">
        <v>2.0</v>
      </c>
      <c r="C249" s="7" t="s">
        <v>149</v>
      </c>
      <c r="D249" s="7" t="s">
        <v>150</v>
      </c>
      <c r="E249" s="7" t="s">
        <v>151</v>
      </c>
      <c r="F249" s="7" t="s">
        <v>161</v>
      </c>
    </row>
    <row r="250">
      <c r="A250" s="7" t="s">
        <v>16</v>
      </c>
      <c r="B250" s="8">
        <v>2.0</v>
      </c>
      <c r="C250" s="7" t="s">
        <v>149</v>
      </c>
      <c r="D250" s="7" t="s">
        <v>150</v>
      </c>
      <c r="E250" s="7" t="s">
        <v>151</v>
      </c>
      <c r="F250" s="7" t="s">
        <v>158</v>
      </c>
    </row>
    <row r="251">
      <c r="A251" s="7" t="s">
        <v>18</v>
      </c>
      <c r="B251" s="8">
        <v>2.0</v>
      </c>
      <c r="C251" s="7" t="s">
        <v>149</v>
      </c>
      <c r="D251" s="7" t="s">
        <v>150</v>
      </c>
      <c r="E251" s="7" t="s">
        <v>151</v>
      </c>
      <c r="F251" s="7" t="s">
        <v>158</v>
      </c>
    </row>
    <row r="252">
      <c r="A252" s="7" t="s">
        <v>4</v>
      </c>
      <c r="B252" s="8">
        <v>2.0</v>
      </c>
      <c r="C252" s="7" t="s">
        <v>162</v>
      </c>
      <c r="D252" s="7" t="s">
        <v>163</v>
      </c>
      <c r="E252" s="7" t="s">
        <v>164</v>
      </c>
      <c r="F252" s="7" t="s">
        <v>165</v>
      </c>
    </row>
    <row r="253">
      <c r="A253" s="7" t="s">
        <v>5</v>
      </c>
      <c r="B253" s="8">
        <v>2.0</v>
      </c>
      <c r="C253" s="7" t="s">
        <v>162</v>
      </c>
      <c r="D253" s="7" t="s">
        <v>163</v>
      </c>
      <c r="E253" s="7" t="s">
        <v>164</v>
      </c>
      <c r="F253" s="7" t="s">
        <v>165</v>
      </c>
    </row>
    <row r="254">
      <c r="A254" s="7" t="s">
        <v>6</v>
      </c>
      <c r="B254" s="8">
        <v>2.0</v>
      </c>
      <c r="C254" s="7" t="s">
        <v>162</v>
      </c>
      <c r="D254" s="7" t="s">
        <v>163</v>
      </c>
      <c r="E254" s="7" t="s">
        <v>164</v>
      </c>
      <c r="F254" s="7" t="s">
        <v>166</v>
      </c>
    </row>
    <row r="255">
      <c r="A255" s="7" t="s">
        <v>7</v>
      </c>
      <c r="B255" s="8">
        <v>2.0</v>
      </c>
      <c r="C255" s="7" t="s">
        <v>162</v>
      </c>
      <c r="D255" s="7" t="s">
        <v>163</v>
      </c>
      <c r="E255" s="7" t="s">
        <v>164</v>
      </c>
      <c r="F255" s="7" t="s">
        <v>165</v>
      </c>
    </row>
    <row r="256">
      <c r="A256" s="7" t="s">
        <v>8</v>
      </c>
      <c r="B256" s="8">
        <v>2.0</v>
      </c>
      <c r="C256" s="7" t="s">
        <v>162</v>
      </c>
      <c r="D256" s="7" t="s">
        <v>163</v>
      </c>
      <c r="E256" s="7" t="s">
        <v>164</v>
      </c>
      <c r="F256" s="7" t="s">
        <v>106</v>
      </c>
    </row>
    <row r="257">
      <c r="A257" s="7" t="s">
        <v>9</v>
      </c>
      <c r="B257" s="8">
        <v>2.0</v>
      </c>
      <c r="C257" s="7" t="s">
        <v>162</v>
      </c>
      <c r="D257" s="7" t="s">
        <v>163</v>
      </c>
      <c r="E257" s="7" t="s">
        <v>164</v>
      </c>
      <c r="F257" s="7" t="s">
        <v>167</v>
      </c>
    </row>
    <row r="258">
      <c r="A258" s="7" t="s">
        <v>10</v>
      </c>
      <c r="B258" s="8">
        <v>2.0</v>
      </c>
      <c r="C258" s="7" t="s">
        <v>162</v>
      </c>
      <c r="D258" s="7" t="s">
        <v>163</v>
      </c>
      <c r="E258" s="7" t="s">
        <v>164</v>
      </c>
      <c r="F258" s="7" t="s">
        <v>145</v>
      </c>
    </row>
    <row r="259">
      <c r="A259" s="7" t="s">
        <v>11</v>
      </c>
      <c r="B259" s="8">
        <v>2.0</v>
      </c>
      <c r="C259" s="7" t="s">
        <v>162</v>
      </c>
      <c r="D259" s="7" t="s">
        <v>163</v>
      </c>
      <c r="E259" s="7" t="s">
        <v>164</v>
      </c>
      <c r="F259" s="7" t="s">
        <v>168</v>
      </c>
    </row>
    <row r="260">
      <c r="A260" s="7" t="s">
        <v>12</v>
      </c>
      <c r="B260" s="8">
        <v>2.0</v>
      </c>
      <c r="C260" s="7" t="s">
        <v>162</v>
      </c>
      <c r="D260" s="7" t="s">
        <v>163</v>
      </c>
      <c r="E260" s="7" t="s">
        <v>164</v>
      </c>
      <c r="F260" s="7" t="s">
        <v>165</v>
      </c>
    </row>
    <row r="261">
      <c r="A261" s="7" t="s">
        <v>13</v>
      </c>
      <c r="B261" s="8">
        <v>2.0</v>
      </c>
      <c r="C261" s="7" t="s">
        <v>162</v>
      </c>
      <c r="D261" s="7" t="s">
        <v>163</v>
      </c>
      <c r="E261" s="7" t="s">
        <v>164</v>
      </c>
      <c r="F261" s="7" t="s">
        <v>169</v>
      </c>
    </row>
    <row r="262">
      <c r="A262" s="7" t="s">
        <v>15</v>
      </c>
      <c r="B262" s="8">
        <v>2.0</v>
      </c>
      <c r="C262" s="7" t="s">
        <v>162</v>
      </c>
      <c r="D262" s="7" t="s">
        <v>163</v>
      </c>
      <c r="E262" s="7" t="s">
        <v>164</v>
      </c>
      <c r="F262" s="7" t="s">
        <v>170</v>
      </c>
    </row>
    <row r="263">
      <c r="A263" s="7" t="s">
        <v>16</v>
      </c>
      <c r="B263" s="8">
        <v>2.0</v>
      </c>
      <c r="C263" s="7" t="s">
        <v>162</v>
      </c>
      <c r="D263" s="7" t="s">
        <v>163</v>
      </c>
      <c r="E263" s="7" t="s">
        <v>164</v>
      </c>
      <c r="F263" s="7" t="s">
        <v>165</v>
      </c>
    </row>
    <row r="264">
      <c r="A264" s="7" t="s">
        <v>17</v>
      </c>
      <c r="B264" s="8">
        <v>2.0</v>
      </c>
      <c r="C264" s="7" t="s">
        <v>162</v>
      </c>
      <c r="D264" s="7" t="s">
        <v>163</v>
      </c>
      <c r="E264" s="7" t="s">
        <v>164</v>
      </c>
      <c r="F264" s="7" t="s">
        <v>171</v>
      </c>
    </row>
    <row r="265">
      <c r="A265" s="7" t="s">
        <v>18</v>
      </c>
      <c r="B265" s="8">
        <v>2.0</v>
      </c>
      <c r="C265" s="7" t="s">
        <v>162</v>
      </c>
      <c r="D265" s="7" t="s">
        <v>163</v>
      </c>
      <c r="E265" s="7" t="s">
        <v>164</v>
      </c>
      <c r="F265" s="7" t="s">
        <v>165</v>
      </c>
    </row>
    <row r="266">
      <c r="A266" s="7" t="s">
        <v>19</v>
      </c>
      <c r="B266" s="8">
        <v>2.0</v>
      </c>
      <c r="C266" s="7" t="s">
        <v>162</v>
      </c>
      <c r="D266" s="7" t="s">
        <v>163</v>
      </c>
      <c r="E266" s="7" t="s">
        <v>164</v>
      </c>
      <c r="F266" s="7" t="s">
        <v>165</v>
      </c>
    </row>
    <row r="267">
      <c r="A267" s="7" t="s">
        <v>4</v>
      </c>
      <c r="B267" s="8">
        <v>2.0</v>
      </c>
      <c r="C267" s="7" t="s">
        <v>172</v>
      </c>
      <c r="D267" s="7" t="s">
        <v>173</v>
      </c>
      <c r="E267" s="7" t="s">
        <v>174</v>
      </c>
      <c r="F267" s="7" t="s">
        <v>175</v>
      </c>
    </row>
    <row r="268">
      <c r="A268" s="7" t="s">
        <v>5</v>
      </c>
      <c r="B268" s="8">
        <v>2.0</v>
      </c>
      <c r="C268" s="7" t="s">
        <v>172</v>
      </c>
      <c r="D268" s="7" t="s">
        <v>173</v>
      </c>
      <c r="E268" s="7" t="s">
        <v>174</v>
      </c>
      <c r="F268" s="7" t="s">
        <v>175</v>
      </c>
    </row>
    <row r="269">
      <c r="A269" s="7" t="s">
        <v>6</v>
      </c>
      <c r="B269" s="8">
        <v>2.0</v>
      </c>
      <c r="C269" s="7" t="s">
        <v>172</v>
      </c>
      <c r="D269" s="7" t="s">
        <v>173</v>
      </c>
      <c r="E269" s="7" t="s">
        <v>174</v>
      </c>
      <c r="F269" s="7" t="s">
        <v>175</v>
      </c>
    </row>
    <row r="270">
      <c r="A270" s="7" t="s">
        <v>7</v>
      </c>
      <c r="B270" s="8">
        <v>2.0</v>
      </c>
      <c r="C270" s="7" t="s">
        <v>172</v>
      </c>
      <c r="D270" s="7" t="s">
        <v>173</v>
      </c>
      <c r="E270" s="7" t="s">
        <v>174</v>
      </c>
      <c r="F270" s="7" t="s">
        <v>175</v>
      </c>
    </row>
    <row r="271">
      <c r="A271" s="7" t="s">
        <v>8</v>
      </c>
      <c r="B271" s="8">
        <v>2.0</v>
      </c>
      <c r="C271" s="7" t="s">
        <v>172</v>
      </c>
      <c r="D271" s="7" t="s">
        <v>173</v>
      </c>
      <c r="E271" s="7" t="s">
        <v>174</v>
      </c>
      <c r="F271" s="7" t="s">
        <v>176</v>
      </c>
    </row>
    <row r="272">
      <c r="A272" s="7" t="s">
        <v>9</v>
      </c>
      <c r="B272" s="8">
        <v>2.0</v>
      </c>
      <c r="C272" s="7" t="s">
        <v>172</v>
      </c>
      <c r="D272" s="7" t="s">
        <v>173</v>
      </c>
      <c r="E272" s="7" t="s">
        <v>174</v>
      </c>
      <c r="F272" s="7" t="s">
        <v>175</v>
      </c>
    </row>
    <row r="273">
      <c r="A273" s="7" t="s">
        <v>10</v>
      </c>
      <c r="B273" s="8">
        <v>2.0</v>
      </c>
      <c r="C273" s="7" t="s">
        <v>172</v>
      </c>
      <c r="D273" s="7" t="s">
        <v>173</v>
      </c>
      <c r="E273" s="7" t="s">
        <v>174</v>
      </c>
      <c r="F273" s="7" t="s">
        <v>175</v>
      </c>
    </row>
    <row r="274">
      <c r="A274" s="7" t="s">
        <v>11</v>
      </c>
      <c r="B274" s="8">
        <v>2.0</v>
      </c>
      <c r="C274" s="7" t="s">
        <v>172</v>
      </c>
      <c r="D274" s="7" t="s">
        <v>173</v>
      </c>
      <c r="E274" s="7" t="s">
        <v>174</v>
      </c>
      <c r="F274" s="7" t="s">
        <v>175</v>
      </c>
    </row>
    <row r="275">
      <c r="A275" s="7" t="s">
        <v>12</v>
      </c>
      <c r="B275" s="8">
        <v>2.0</v>
      </c>
      <c r="C275" s="7" t="s">
        <v>172</v>
      </c>
      <c r="D275" s="7" t="s">
        <v>173</v>
      </c>
      <c r="E275" s="7" t="s">
        <v>174</v>
      </c>
      <c r="F275" s="7" t="s">
        <v>175</v>
      </c>
    </row>
    <row r="276">
      <c r="A276" s="7" t="s">
        <v>13</v>
      </c>
      <c r="B276" s="8">
        <v>2.0</v>
      </c>
      <c r="C276" s="7" t="s">
        <v>172</v>
      </c>
      <c r="D276" s="7" t="s">
        <v>173</v>
      </c>
      <c r="E276" s="7" t="s">
        <v>174</v>
      </c>
      <c r="F276" s="7" t="s">
        <v>175</v>
      </c>
    </row>
    <row r="277">
      <c r="A277" s="7" t="s">
        <v>14</v>
      </c>
      <c r="B277" s="8">
        <v>2.0</v>
      </c>
      <c r="C277" s="7" t="s">
        <v>172</v>
      </c>
      <c r="D277" s="7" t="s">
        <v>173</v>
      </c>
      <c r="E277" s="7" t="s">
        <v>174</v>
      </c>
      <c r="F277" s="7" t="s">
        <v>175</v>
      </c>
    </row>
    <row r="278">
      <c r="A278" s="7" t="s">
        <v>15</v>
      </c>
      <c r="B278" s="8">
        <v>2.0</v>
      </c>
      <c r="C278" s="7" t="s">
        <v>172</v>
      </c>
      <c r="D278" s="7" t="s">
        <v>173</v>
      </c>
      <c r="E278" s="7" t="s">
        <v>174</v>
      </c>
      <c r="F278" s="7" t="s">
        <v>175</v>
      </c>
    </row>
    <row r="279">
      <c r="A279" s="7" t="s">
        <v>16</v>
      </c>
      <c r="B279" s="8">
        <v>2.0</v>
      </c>
      <c r="C279" s="7" t="s">
        <v>172</v>
      </c>
      <c r="D279" s="7" t="s">
        <v>173</v>
      </c>
      <c r="E279" s="7" t="s">
        <v>174</v>
      </c>
      <c r="F279" s="7" t="s">
        <v>175</v>
      </c>
    </row>
    <row r="280">
      <c r="A280" s="7" t="s">
        <v>17</v>
      </c>
      <c r="B280" s="8">
        <v>2.0</v>
      </c>
      <c r="C280" s="7" t="s">
        <v>172</v>
      </c>
      <c r="D280" s="7" t="s">
        <v>173</v>
      </c>
      <c r="E280" s="7" t="s">
        <v>174</v>
      </c>
      <c r="F280" s="7" t="s">
        <v>175</v>
      </c>
    </row>
    <row r="281">
      <c r="A281" s="7" t="s">
        <v>18</v>
      </c>
      <c r="B281" s="8">
        <v>2.0</v>
      </c>
      <c r="C281" s="7" t="s">
        <v>172</v>
      </c>
      <c r="D281" s="7" t="s">
        <v>173</v>
      </c>
      <c r="E281" s="7" t="s">
        <v>174</v>
      </c>
      <c r="F281" s="7" t="s">
        <v>175</v>
      </c>
    </row>
    <row r="282">
      <c r="A282" s="7" t="s">
        <v>19</v>
      </c>
      <c r="B282" s="8">
        <v>2.0</v>
      </c>
      <c r="C282" s="7" t="s">
        <v>172</v>
      </c>
      <c r="D282" s="7" t="s">
        <v>173</v>
      </c>
      <c r="E282" s="7" t="s">
        <v>174</v>
      </c>
      <c r="F282" s="7" t="s">
        <v>175</v>
      </c>
    </row>
    <row r="283">
      <c r="A283" s="7" t="s">
        <v>4</v>
      </c>
      <c r="B283" s="8">
        <v>2.0</v>
      </c>
      <c r="C283" s="7" t="s">
        <v>177</v>
      </c>
      <c r="D283" s="7" t="s">
        <v>178</v>
      </c>
      <c r="E283" s="7" t="s">
        <v>179</v>
      </c>
      <c r="F283" s="7" t="s">
        <v>180</v>
      </c>
    </row>
    <row r="284">
      <c r="A284" s="7" t="s">
        <v>5</v>
      </c>
      <c r="B284" s="8">
        <v>2.0</v>
      </c>
      <c r="C284" s="7" t="s">
        <v>177</v>
      </c>
      <c r="D284" s="7" t="s">
        <v>178</v>
      </c>
      <c r="E284" s="7" t="s">
        <v>179</v>
      </c>
      <c r="F284" s="7" t="s">
        <v>180</v>
      </c>
    </row>
    <row r="285">
      <c r="A285" s="7" t="s">
        <v>6</v>
      </c>
      <c r="B285" s="8">
        <v>2.0</v>
      </c>
      <c r="C285" s="7" t="s">
        <v>177</v>
      </c>
      <c r="D285" s="7" t="s">
        <v>178</v>
      </c>
      <c r="E285" s="7" t="s">
        <v>179</v>
      </c>
      <c r="F285" s="7" t="s">
        <v>180</v>
      </c>
    </row>
    <row r="286">
      <c r="A286" s="7" t="s">
        <v>7</v>
      </c>
      <c r="B286" s="8">
        <v>2.0</v>
      </c>
      <c r="C286" s="7" t="s">
        <v>177</v>
      </c>
      <c r="D286" s="7" t="s">
        <v>178</v>
      </c>
      <c r="E286" s="7" t="s">
        <v>179</v>
      </c>
      <c r="F286" s="7" t="s">
        <v>181</v>
      </c>
    </row>
    <row r="287">
      <c r="A287" s="7" t="s">
        <v>8</v>
      </c>
      <c r="B287" s="8">
        <v>2.0</v>
      </c>
      <c r="C287" s="7" t="s">
        <v>177</v>
      </c>
      <c r="D287" s="7" t="s">
        <v>178</v>
      </c>
      <c r="E287" s="7" t="s">
        <v>179</v>
      </c>
      <c r="F287" s="7" t="s">
        <v>182</v>
      </c>
    </row>
    <row r="288">
      <c r="A288" s="7" t="s">
        <v>9</v>
      </c>
      <c r="B288" s="8">
        <v>2.0</v>
      </c>
      <c r="C288" s="7" t="s">
        <v>177</v>
      </c>
      <c r="D288" s="7" t="s">
        <v>178</v>
      </c>
      <c r="E288" s="7" t="s">
        <v>179</v>
      </c>
      <c r="F288" s="7" t="s">
        <v>183</v>
      </c>
    </row>
    <row r="289">
      <c r="A289" s="7" t="s">
        <v>10</v>
      </c>
      <c r="B289" s="8">
        <v>2.0</v>
      </c>
      <c r="C289" s="7" t="s">
        <v>177</v>
      </c>
      <c r="D289" s="7" t="s">
        <v>178</v>
      </c>
      <c r="E289" s="7" t="s">
        <v>179</v>
      </c>
      <c r="F289" s="7" t="s">
        <v>183</v>
      </c>
    </row>
    <row r="290">
      <c r="A290" s="7" t="s">
        <v>11</v>
      </c>
      <c r="B290" s="8">
        <v>2.0</v>
      </c>
      <c r="C290" s="7" t="s">
        <v>177</v>
      </c>
      <c r="D290" s="7" t="s">
        <v>178</v>
      </c>
      <c r="E290" s="7" t="s">
        <v>179</v>
      </c>
      <c r="F290" s="7" t="s">
        <v>184</v>
      </c>
    </row>
    <row r="291">
      <c r="A291" s="7" t="s">
        <v>12</v>
      </c>
      <c r="B291" s="8">
        <v>2.0</v>
      </c>
      <c r="C291" s="7" t="s">
        <v>177</v>
      </c>
      <c r="D291" s="7" t="s">
        <v>178</v>
      </c>
      <c r="E291" s="7" t="s">
        <v>179</v>
      </c>
      <c r="F291" s="7" t="s">
        <v>181</v>
      </c>
    </row>
    <row r="292">
      <c r="A292" s="7" t="s">
        <v>13</v>
      </c>
      <c r="B292" s="8">
        <v>2.0</v>
      </c>
      <c r="C292" s="7" t="s">
        <v>177</v>
      </c>
      <c r="D292" s="7" t="s">
        <v>178</v>
      </c>
      <c r="E292" s="7" t="s">
        <v>179</v>
      </c>
      <c r="F292" s="7" t="s">
        <v>185</v>
      </c>
    </row>
    <row r="293">
      <c r="A293" s="7" t="s">
        <v>14</v>
      </c>
      <c r="B293" s="8">
        <v>2.0</v>
      </c>
      <c r="C293" s="7" t="s">
        <v>177</v>
      </c>
      <c r="D293" s="7" t="s">
        <v>178</v>
      </c>
      <c r="E293" s="7" t="s">
        <v>179</v>
      </c>
      <c r="F293" s="7" t="s">
        <v>181</v>
      </c>
    </row>
    <row r="294">
      <c r="A294" s="7" t="s">
        <v>15</v>
      </c>
      <c r="B294" s="8">
        <v>2.0</v>
      </c>
      <c r="C294" s="7" t="s">
        <v>177</v>
      </c>
      <c r="D294" s="7" t="s">
        <v>178</v>
      </c>
      <c r="E294" s="7" t="s">
        <v>179</v>
      </c>
      <c r="F294" s="7" t="s">
        <v>181</v>
      </c>
    </row>
    <row r="295">
      <c r="A295" s="7" t="s">
        <v>16</v>
      </c>
      <c r="B295" s="8">
        <v>2.0</v>
      </c>
      <c r="C295" s="7" t="s">
        <v>177</v>
      </c>
      <c r="D295" s="7" t="s">
        <v>178</v>
      </c>
      <c r="E295" s="7" t="s">
        <v>179</v>
      </c>
      <c r="F295" s="7" t="s">
        <v>181</v>
      </c>
    </row>
    <row r="296">
      <c r="A296" s="7" t="s">
        <v>17</v>
      </c>
      <c r="B296" s="8">
        <v>2.0</v>
      </c>
      <c r="C296" s="7" t="s">
        <v>177</v>
      </c>
      <c r="D296" s="7" t="s">
        <v>178</v>
      </c>
      <c r="E296" s="7" t="s">
        <v>179</v>
      </c>
      <c r="F296" s="7" t="s">
        <v>186</v>
      </c>
    </row>
    <row r="297">
      <c r="A297" s="7" t="s">
        <v>18</v>
      </c>
      <c r="B297" s="8">
        <v>2.0</v>
      </c>
      <c r="C297" s="7" t="s">
        <v>177</v>
      </c>
      <c r="D297" s="7" t="s">
        <v>178</v>
      </c>
      <c r="E297" s="7" t="s">
        <v>179</v>
      </c>
      <c r="F297" s="7" t="s">
        <v>181</v>
      </c>
    </row>
    <row r="298">
      <c r="A298" s="7" t="s">
        <v>19</v>
      </c>
      <c r="B298" s="8">
        <v>2.0</v>
      </c>
      <c r="C298" s="7" t="s">
        <v>177</v>
      </c>
      <c r="D298" s="7" t="s">
        <v>178</v>
      </c>
      <c r="E298" s="7" t="s">
        <v>179</v>
      </c>
      <c r="F298" s="7" t="s">
        <v>181</v>
      </c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46.38"/>
    <col customWidth="1" min="5" max="24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188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189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ht="15.75" customHeight="1">
      <c r="A2" s="4">
        <v>3.0</v>
      </c>
      <c r="B2" s="5" t="s">
        <v>190</v>
      </c>
      <c r="C2" s="5" t="s">
        <v>191</v>
      </c>
      <c r="D2" s="5" t="s">
        <v>192</v>
      </c>
      <c r="E2" s="5">
        <v>2003.0</v>
      </c>
      <c r="F2" s="5">
        <v>2004.0</v>
      </c>
      <c r="G2" s="5">
        <v>2001.0</v>
      </c>
      <c r="H2" s="5">
        <v>2004.0</v>
      </c>
      <c r="I2" s="5">
        <v>2002.0</v>
      </c>
      <c r="J2" s="5">
        <v>2002.0</v>
      </c>
      <c r="K2" s="5">
        <v>2002.0</v>
      </c>
      <c r="L2" s="5">
        <v>2002.0</v>
      </c>
      <c r="M2" s="5">
        <v>2002.0</v>
      </c>
      <c r="N2" s="5">
        <v>2002.0</v>
      </c>
      <c r="O2" s="5">
        <v>2004.0</v>
      </c>
      <c r="P2" s="5">
        <v>2004.0</v>
      </c>
      <c r="Q2" s="5">
        <v>2000.0</v>
      </c>
      <c r="R2" s="5">
        <v>2004.0</v>
      </c>
      <c r="S2" s="5">
        <v>2000.0</v>
      </c>
      <c r="T2" s="5">
        <v>2002.0</v>
      </c>
      <c r="U2" s="5">
        <v>2001.0</v>
      </c>
      <c r="V2" s="5">
        <v>2007.0</v>
      </c>
    </row>
    <row r="3" ht="15.75" customHeight="1">
      <c r="A3" s="4">
        <v>3.0</v>
      </c>
      <c r="B3" s="5" t="s">
        <v>193</v>
      </c>
      <c r="C3" s="5" t="s">
        <v>194</v>
      </c>
      <c r="D3" s="5" t="s">
        <v>195</v>
      </c>
      <c r="E3" s="5">
        <v>2003.0</v>
      </c>
      <c r="F3" s="5">
        <v>2004.0</v>
      </c>
      <c r="G3" s="5">
        <v>2001.0</v>
      </c>
      <c r="H3" s="5">
        <v>2004.0</v>
      </c>
      <c r="I3" s="5">
        <v>2002.0</v>
      </c>
      <c r="J3" s="5">
        <v>2002.0</v>
      </c>
      <c r="K3" s="5">
        <v>2002.0</v>
      </c>
      <c r="L3" s="5">
        <v>2004.0</v>
      </c>
      <c r="M3" s="5">
        <v>2002.0</v>
      </c>
      <c r="N3" s="5">
        <v>2004.0</v>
      </c>
      <c r="O3" s="5">
        <v>2004.0</v>
      </c>
      <c r="P3" s="5">
        <v>2003.0</v>
      </c>
      <c r="Q3" s="5">
        <v>2000.0</v>
      </c>
      <c r="R3" s="5">
        <v>2004.0</v>
      </c>
      <c r="S3" s="5">
        <v>2000.0</v>
      </c>
      <c r="T3" s="5">
        <v>2002.0</v>
      </c>
      <c r="U3" s="5">
        <v>2001.0</v>
      </c>
      <c r="V3" s="5">
        <v>2007.0</v>
      </c>
    </row>
    <row r="4" ht="15.75" customHeight="1">
      <c r="A4" s="4">
        <v>3.0</v>
      </c>
      <c r="B4" s="5" t="s">
        <v>20</v>
      </c>
      <c r="C4" s="5" t="s">
        <v>196</v>
      </c>
      <c r="D4" s="5" t="s">
        <v>197</v>
      </c>
      <c r="E4" s="5" t="s">
        <v>26</v>
      </c>
      <c r="F4" s="5" t="s">
        <v>198</v>
      </c>
      <c r="G4" s="5" t="s">
        <v>199</v>
      </c>
      <c r="H4" s="5" t="s">
        <v>200</v>
      </c>
      <c r="I4" s="5" t="s">
        <v>198</v>
      </c>
      <c r="J4" s="5" t="s">
        <v>25</v>
      </c>
      <c r="K4" s="5" t="s">
        <v>201</v>
      </c>
      <c r="L4" s="5" t="s">
        <v>198</v>
      </c>
      <c r="M4" s="5" t="s">
        <v>26</v>
      </c>
      <c r="N4" s="5" t="s">
        <v>198</v>
      </c>
      <c r="O4" s="5" t="s">
        <v>202</v>
      </c>
      <c r="P4" s="5" t="s">
        <v>198</v>
      </c>
      <c r="Q4" s="5" t="s">
        <v>203</v>
      </c>
      <c r="R4" s="5" t="s">
        <v>198</v>
      </c>
      <c r="S4" s="5" t="s">
        <v>198</v>
      </c>
      <c r="T4" s="5" t="s">
        <v>204</v>
      </c>
      <c r="U4" s="5" t="s">
        <v>198</v>
      </c>
    </row>
    <row r="5" ht="15.75" customHeight="1">
      <c r="A5" s="4">
        <v>3.0</v>
      </c>
      <c r="B5" s="5" t="s">
        <v>35</v>
      </c>
      <c r="C5" s="5" t="s">
        <v>205</v>
      </c>
      <c r="D5" s="5" t="s">
        <v>206</v>
      </c>
      <c r="E5" s="5" t="s">
        <v>207</v>
      </c>
      <c r="F5" s="5" t="s">
        <v>38</v>
      </c>
      <c r="G5" s="5" t="s">
        <v>208</v>
      </c>
      <c r="H5" s="5" t="s">
        <v>209</v>
      </c>
      <c r="I5" s="5" t="s">
        <v>38</v>
      </c>
      <c r="J5" s="5" t="s">
        <v>210</v>
      </c>
      <c r="K5" s="5" t="s">
        <v>207</v>
      </c>
      <c r="L5" s="5" t="s">
        <v>38</v>
      </c>
      <c r="M5" s="5" t="s">
        <v>207</v>
      </c>
      <c r="N5" s="5" t="s">
        <v>39</v>
      </c>
      <c r="O5" s="5" t="s">
        <v>211</v>
      </c>
      <c r="P5" s="5" t="s">
        <v>212</v>
      </c>
      <c r="Q5" s="5" t="s">
        <v>213</v>
      </c>
      <c r="R5" s="5" t="s">
        <v>214</v>
      </c>
      <c r="S5" s="5" t="s">
        <v>38</v>
      </c>
      <c r="T5" s="5" t="s">
        <v>215</v>
      </c>
      <c r="U5" s="5" t="s">
        <v>216</v>
      </c>
    </row>
    <row r="6" ht="15.75" customHeight="1">
      <c r="A6" s="4">
        <v>3.0</v>
      </c>
      <c r="B6" s="5" t="s">
        <v>59</v>
      </c>
      <c r="C6" s="5" t="s">
        <v>217</v>
      </c>
      <c r="D6" s="5" t="s">
        <v>218</v>
      </c>
      <c r="E6" s="5" t="s">
        <v>56</v>
      </c>
      <c r="F6" s="5" t="s">
        <v>54</v>
      </c>
      <c r="G6" s="5" t="s">
        <v>56</v>
      </c>
      <c r="H6" s="5" t="s">
        <v>54</v>
      </c>
      <c r="I6" s="5" t="s">
        <v>54</v>
      </c>
      <c r="J6" s="5" t="s">
        <v>219</v>
      </c>
      <c r="K6" s="5" t="s">
        <v>220</v>
      </c>
      <c r="L6" s="5" t="s">
        <v>53</v>
      </c>
      <c r="M6" s="5" t="s">
        <v>53</v>
      </c>
      <c r="N6" s="5" t="s">
        <v>56</v>
      </c>
      <c r="O6" s="5" t="s">
        <v>56</v>
      </c>
      <c r="P6" s="5" t="s">
        <v>56</v>
      </c>
      <c r="Q6" s="5" t="s">
        <v>56</v>
      </c>
      <c r="R6" s="5" t="s">
        <v>56</v>
      </c>
      <c r="S6" s="5" t="s">
        <v>54</v>
      </c>
      <c r="T6" s="5" t="s">
        <v>54</v>
      </c>
      <c r="U6" s="5" t="s">
        <v>54</v>
      </c>
      <c r="V6" s="5" t="s">
        <v>54</v>
      </c>
    </row>
    <row r="7" ht="15.75" customHeight="1">
      <c r="A7" s="4">
        <v>3.0</v>
      </c>
      <c r="B7" s="5" t="s">
        <v>49</v>
      </c>
      <c r="C7" s="5" t="s">
        <v>221</v>
      </c>
      <c r="D7" s="5" t="s">
        <v>222</v>
      </c>
      <c r="E7" s="5" t="s">
        <v>56</v>
      </c>
      <c r="F7" s="5" t="s">
        <v>54</v>
      </c>
      <c r="G7" s="5" t="s">
        <v>56</v>
      </c>
      <c r="H7" s="5" t="s">
        <v>54</v>
      </c>
      <c r="I7" s="5" t="s">
        <v>54</v>
      </c>
      <c r="J7" s="5" t="s">
        <v>219</v>
      </c>
      <c r="K7" s="5" t="s">
        <v>220</v>
      </c>
      <c r="L7" s="5" t="s">
        <v>53</v>
      </c>
      <c r="M7" s="5" t="s">
        <v>53</v>
      </c>
      <c r="N7" s="5" t="s">
        <v>56</v>
      </c>
      <c r="O7" s="5" t="s">
        <v>56</v>
      </c>
      <c r="P7" s="5" t="s">
        <v>56</v>
      </c>
      <c r="Q7" s="5" t="s">
        <v>56</v>
      </c>
      <c r="R7" s="5" t="s">
        <v>56</v>
      </c>
      <c r="S7" s="5" t="s">
        <v>54</v>
      </c>
      <c r="T7" s="5" t="s">
        <v>54</v>
      </c>
      <c r="U7" s="5" t="s">
        <v>54</v>
      </c>
      <c r="V7" s="5" t="s">
        <v>54</v>
      </c>
    </row>
    <row r="8" ht="15.75" customHeight="1">
      <c r="A8" s="4">
        <v>3.0</v>
      </c>
      <c r="B8" s="5" t="s">
        <v>223</v>
      </c>
      <c r="C8" s="5" t="s">
        <v>224</v>
      </c>
      <c r="D8" s="5" t="s">
        <v>225</v>
      </c>
      <c r="E8" s="5" t="s">
        <v>47</v>
      </c>
      <c r="F8" s="5" t="s">
        <v>47</v>
      </c>
      <c r="G8" s="5" t="s">
        <v>47</v>
      </c>
      <c r="H8" s="5" t="s">
        <v>47</v>
      </c>
      <c r="I8" s="5" t="s">
        <v>47</v>
      </c>
      <c r="J8" s="5" t="s">
        <v>226</v>
      </c>
      <c r="K8" s="5" t="s">
        <v>47</v>
      </c>
      <c r="L8" s="5" t="s">
        <v>47</v>
      </c>
      <c r="M8" s="5" t="s">
        <v>47</v>
      </c>
      <c r="N8" s="5" t="s">
        <v>47</v>
      </c>
      <c r="O8" s="5" t="s">
        <v>47</v>
      </c>
      <c r="P8" s="5" t="s">
        <v>47</v>
      </c>
      <c r="Q8" s="5" t="s">
        <v>47</v>
      </c>
      <c r="R8" s="5" t="s">
        <v>47</v>
      </c>
      <c r="S8" s="5" t="s">
        <v>47</v>
      </c>
      <c r="T8" s="5" t="s">
        <v>47</v>
      </c>
      <c r="U8" s="5" t="s">
        <v>47</v>
      </c>
      <c r="V8" s="5" t="s">
        <v>47</v>
      </c>
    </row>
    <row r="9" ht="15.75" customHeight="1">
      <c r="A9" s="4">
        <v>3.0</v>
      </c>
      <c r="B9" s="5" t="s">
        <v>227</v>
      </c>
      <c r="C9" s="5" t="s">
        <v>228</v>
      </c>
      <c r="D9" s="5" t="s">
        <v>229</v>
      </c>
      <c r="E9" s="5">
        <v>2003.0</v>
      </c>
      <c r="F9" s="5">
        <v>2004.0</v>
      </c>
      <c r="G9" s="5">
        <v>2001.0</v>
      </c>
      <c r="H9" s="5">
        <v>2004.0</v>
      </c>
      <c r="I9" s="5">
        <v>2002.0</v>
      </c>
      <c r="J9" s="5">
        <v>2002.0</v>
      </c>
      <c r="K9" s="5">
        <v>2002.0</v>
      </c>
      <c r="L9" s="5">
        <v>2004.0</v>
      </c>
      <c r="M9" s="5">
        <v>2002.0</v>
      </c>
      <c r="N9" s="5">
        <v>2004.0</v>
      </c>
      <c r="O9" s="5">
        <v>2004.0</v>
      </c>
      <c r="P9" s="5">
        <v>2003.0</v>
      </c>
      <c r="Q9" s="5">
        <v>2000.0</v>
      </c>
      <c r="R9" s="5">
        <v>2004.0</v>
      </c>
      <c r="S9" s="5">
        <v>2000.0</v>
      </c>
      <c r="T9" s="5">
        <v>2002.0</v>
      </c>
      <c r="U9" s="5">
        <v>2001.0</v>
      </c>
      <c r="V9" s="5">
        <v>2005.0</v>
      </c>
    </row>
    <row r="10" ht="15.75" customHeight="1">
      <c r="A10" s="4">
        <v>3.0</v>
      </c>
      <c r="B10" s="5" t="s">
        <v>62</v>
      </c>
      <c r="C10" s="5" t="s">
        <v>230</v>
      </c>
      <c r="D10" s="5" t="s">
        <v>231</v>
      </c>
      <c r="E10" s="5" t="s">
        <v>65</v>
      </c>
      <c r="F10" s="5" t="s">
        <v>65</v>
      </c>
      <c r="G10" s="5" t="s">
        <v>65</v>
      </c>
      <c r="H10" s="5" t="s">
        <v>65</v>
      </c>
      <c r="I10" s="5" t="s">
        <v>65</v>
      </c>
      <c r="J10" s="5" t="s">
        <v>66</v>
      </c>
      <c r="K10" s="5" t="s">
        <v>65</v>
      </c>
      <c r="L10" s="5" t="s">
        <v>65</v>
      </c>
      <c r="M10" s="5" t="s">
        <v>65</v>
      </c>
      <c r="N10" s="5" t="s">
        <v>65</v>
      </c>
      <c r="O10" s="5" t="s">
        <v>65</v>
      </c>
      <c r="P10" s="5" t="s">
        <v>65</v>
      </c>
      <c r="Q10" s="5" t="s">
        <v>232</v>
      </c>
      <c r="R10" s="5" t="s">
        <v>65</v>
      </c>
      <c r="S10" s="5" t="s">
        <v>65</v>
      </c>
      <c r="T10" s="5" t="s">
        <v>65</v>
      </c>
      <c r="U10" s="5" t="s">
        <v>65</v>
      </c>
      <c r="V10" s="5" t="s">
        <v>65</v>
      </c>
    </row>
    <row r="11" ht="15.75" customHeight="1">
      <c r="A11" s="4">
        <v>3.0</v>
      </c>
      <c r="B11" s="5" t="s">
        <v>67</v>
      </c>
      <c r="C11" s="5" t="s">
        <v>233</v>
      </c>
      <c r="D11" s="5" t="s">
        <v>234</v>
      </c>
      <c r="E11" s="5" t="s">
        <v>131</v>
      </c>
      <c r="F11" s="5" t="s">
        <v>70</v>
      </c>
      <c r="G11" s="5" t="s">
        <v>131</v>
      </c>
      <c r="H11" s="5" t="s">
        <v>70</v>
      </c>
      <c r="I11" s="5" t="s">
        <v>70</v>
      </c>
      <c r="J11" s="5" t="s">
        <v>71</v>
      </c>
      <c r="K11" s="5" t="s">
        <v>65</v>
      </c>
      <c r="L11" s="5" t="s">
        <v>70</v>
      </c>
      <c r="M11" s="5" t="s">
        <v>70</v>
      </c>
      <c r="N11" s="5" t="s">
        <v>70</v>
      </c>
      <c r="O11" s="5" t="s">
        <v>70</v>
      </c>
      <c r="P11" s="5" t="s">
        <v>70</v>
      </c>
      <c r="Q11" s="5" t="s">
        <v>131</v>
      </c>
      <c r="R11" s="5" t="s">
        <v>70</v>
      </c>
      <c r="S11" s="5" t="s">
        <v>70</v>
      </c>
      <c r="T11" s="5" t="s">
        <v>70</v>
      </c>
      <c r="U11" s="5" t="s">
        <v>70</v>
      </c>
      <c r="V11" s="5" t="s">
        <v>70</v>
      </c>
    </row>
    <row r="12" ht="15.75" customHeight="1">
      <c r="A12" s="4">
        <v>3.0</v>
      </c>
      <c r="B12" s="5" t="s">
        <v>72</v>
      </c>
      <c r="C12" s="5" t="s">
        <v>235</v>
      </c>
      <c r="D12" s="5" t="s">
        <v>236</v>
      </c>
      <c r="E12" s="5" t="s">
        <v>76</v>
      </c>
      <c r="F12" s="5" t="s">
        <v>237</v>
      </c>
      <c r="G12" s="5" t="s">
        <v>76</v>
      </c>
      <c r="H12" s="5" t="s">
        <v>237</v>
      </c>
      <c r="I12" s="5" t="s">
        <v>77</v>
      </c>
      <c r="J12" s="5" t="s">
        <v>238</v>
      </c>
      <c r="K12" s="5" t="s">
        <v>239</v>
      </c>
      <c r="L12" s="5" t="s">
        <v>240</v>
      </c>
      <c r="M12" s="5" t="s">
        <v>76</v>
      </c>
      <c r="N12" s="5" t="s">
        <v>76</v>
      </c>
      <c r="O12" s="5" t="s">
        <v>76</v>
      </c>
      <c r="P12" s="5" t="s">
        <v>76</v>
      </c>
      <c r="Q12" s="5" t="s">
        <v>76</v>
      </c>
      <c r="R12" s="5" t="s">
        <v>76</v>
      </c>
      <c r="S12" s="5" t="s">
        <v>75</v>
      </c>
      <c r="T12" s="5" t="s">
        <v>75</v>
      </c>
      <c r="U12" s="5" t="s">
        <v>75</v>
      </c>
      <c r="V12" s="5" t="s">
        <v>77</v>
      </c>
    </row>
    <row r="13" ht="15.75" customHeight="1">
      <c r="A13" s="4">
        <v>3.0</v>
      </c>
      <c r="B13" s="5" t="s">
        <v>78</v>
      </c>
      <c r="C13" s="5" t="s">
        <v>241</v>
      </c>
      <c r="D13" s="5" t="s">
        <v>242</v>
      </c>
      <c r="E13" s="5" t="s">
        <v>243</v>
      </c>
      <c r="F13" s="5" t="s">
        <v>81</v>
      </c>
      <c r="G13" s="5" t="s">
        <v>244</v>
      </c>
      <c r="H13" s="5" t="s">
        <v>245</v>
      </c>
      <c r="I13" s="5" t="s">
        <v>83</v>
      </c>
      <c r="J13" s="5" t="s">
        <v>81</v>
      </c>
      <c r="K13" s="5" t="s">
        <v>81</v>
      </c>
      <c r="L13" s="5" t="s">
        <v>81</v>
      </c>
      <c r="M13" s="5" t="s">
        <v>81</v>
      </c>
      <c r="N13" s="5" t="s">
        <v>81</v>
      </c>
      <c r="O13" s="5" t="s">
        <v>84</v>
      </c>
      <c r="P13" s="5" t="s">
        <v>246</v>
      </c>
      <c r="Q13" s="5" t="s">
        <v>247</v>
      </c>
      <c r="R13" s="5" t="s">
        <v>81</v>
      </c>
      <c r="S13" s="5" t="s">
        <v>82</v>
      </c>
      <c r="T13" s="5" t="s">
        <v>81</v>
      </c>
      <c r="U13" s="5" t="s">
        <v>248</v>
      </c>
      <c r="V13" s="5" t="s">
        <v>87</v>
      </c>
    </row>
    <row r="14" ht="15.75" customHeight="1">
      <c r="A14" s="4">
        <v>3.0</v>
      </c>
      <c r="B14" s="5" t="s">
        <v>101</v>
      </c>
      <c r="C14" s="5" t="s">
        <v>249</v>
      </c>
      <c r="D14" s="5" t="s">
        <v>250</v>
      </c>
      <c r="E14" s="5" t="s">
        <v>251</v>
      </c>
      <c r="F14" s="5" t="s">
        <v>252</v>
      </c>
      <c r="G14" s="5" t="s">
        <v>253</v>
      </c>
      <c r="H14" s="5" t="s">
        <v>254</v>
      </c>
      <c r="I14" s="5" t="s">
        <v>252</v>
      </c>
      <c r="J14" s="5" t="s">
        <v>106</v>
      </c>
      <c r="K14" s="5" t="s">
        <v>255</v>
      </c>
      <c r="L14" s="5" t="s">
        <v>252</v>
      </c>
      <c r="M14" s="5" t="s">
        <v>251</v>
      </c>
      <c r="N14" s="5" t="s">
        <v>252</v>
      </c>
      <c r="O14" s="5" t="s">
        <v>252</v>
      </c>
      <c r="P14" s="5" t="s">
        <v>256</v>
      </c>
      <c r="Q14" s="5" t="s">
        <v>251</v>
      </c>
      <c r="R14" s="5" t="s">
        <v>252</v>
      </c>
      <c r="S14" s="5" t="s">
        <v>252</v>
      </c>
      <c r="T14" s="5" t="s">
        <v>257</v>
      </c>
      <c r="U14" s="5" t="s">
        <v>258</v>
      </c>
      <c r="V14" s="5" t="s">
        <v>252</v>
      </c>
    </row>
    <row r="15" ht="15.75" customHeight="1">
      <c r="A15" s="4">
        <v>3.0</v>
      </c>
      <c r="B15" s="5" t="s">
        <v>112</v>
      </c>
      <c r="C15" s="5" t="s">
        <v>259</v>
      </c>
      <c r="D15" s="5" t="s">
        <v>260</v>
      </c>
      <c r="E15" s="5" t="s">
        <v>261</v>
      </c>
      <c r="F15" s="5" t="s">
        <v>115</v>
      </c>
      <c r="G15" s="5" t="s">
        <v>115</v>
      </c>
      <c r="H15" s="5" t="s">
        <v>115</v>
      </c>
      <c r="I15" s="5" t="s">
        <v>115</v>
      </c>
      <c r="J15" s="5" t="s">
        <v>115</v>
      </c>
      <c r="K15" s="5" t="s">
        <v>115</v>
      </c>
      <c r="L15" s="5" t="s">
        <v>115</v>
      </c>
      <c r="M15" s="5" t="s">
        <v>115</v>
      </c>
      <c r="N15" s="5" t="s">
        <v>115</v>
      </c>
      <c r="O15" s="5" t="s">
        <v>115</v>
      </c>
      <c r="P15" s="5" t="s">
        <v>115</v>
      </c>
      <c r="Q15" s="5" t="s">
        <v>115</v>
      </c>
      <c r="R15" s="5" t="s">
        <v>115</v>
      </c>
      <c r="S15" s="5" t="s">
        <v>115</v>
      </c>
      <c r="T15" s="5" t="s">
        <v>116</v>
      </c>
      <c r="U15" s="5" t="s">
        <v>115</v>
      </c>
      <c r="V15" s="5" t="s">
        <v>115</v>
      </c>
    </row>
    <row r="16" ht="15.75" customHeight="1">
      <c r="A16" s="4">
        <v>3.0</v>
      </c>
      <c r="B16" s="5" t="s">
        <v>172</v>
      </c>
      <c r="C16" s="5" t="s">
        <v>262</v>
      </c>
      <c r="D16" s="5" t="s">
        <v>263</v>
      </c>
      <c r="E16" s="5" t="s">
        <v>264</v>
      </c>
      <c r="F16" s="5" t="s">
        <v>264</v>
      </c>
      <c r="G16" s="5" t="s">
        <v>264</v>
      </c>
      <c r="H16" s="5" t="s">
        <v>264</v>
      </c>
      <c r="I16" s="5" t="s">
        <v>264</v>
      </c>
      <c r="J16" s="5" t="s">
        <v>265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47</v>
      </c>
      <c r="Q16" s="5" t="s">
        <v>264</v>
      </c>
      <c r="R16" s="5" t="s">
        <v>47</v>
      </c>
      <c r="S16" s="5" t="s">
        <v>266</v>
      </c>
      <c r="T16" s="5" t="s">
        <v>175</v>
      </c>
      <c r="U16" s="5" t="s">
        <v>175</v>
      </c>
      <c r="V16" s="5" t="s">
        <v>175</v>
      </c>
    </row>
    <row r="17" ht="15.75" customHeight="1">
      <c r="A17" s="4">
        <v>3.0</v>
      </c>
      <c r="B17" s="5" t="s">
        <v>267</v>
      </c>
      <c r="C17" s="5" t="s">
        <v>268</v>
      </c>
      <c r="D17" s="5" t="s">
        <v>269</v>
      </c>
      <c r="E17" s="5" t="s">
        <v>270</v>
      </c>
      <c r="F17" s="5" t="s">
        <v>238</v>
      </c>
      <c r="G17" s="5" t="s">
        <v>238</v>
      </c>
      <c r="H17" s="5" t="s">
        <v>238</v>
      </c>
      <c r="I17" s="5" t="s">
        <v>238</v>
      </c>
      <c r="J17" s="5" t="s">
        <v>238</v>
      </c>
      <c r="K17" s="5" t="s">
        <v>271</v>
      </c>
      <c r="L17" s="5" t="s">
        <v>238</v>
      </c>
      <c r="M17" s="5" t="s">
        <v>270</v>
      </c>
      <c r="N17" s="5" t="s">
        <v>238</v>
      </c>
      <c r="O17" s="5" t="s">
        <v>272</v>
      </c>
      <c r="P17" s="5" t="s">
        <v>273</v>
      </c>
      <c r="Q17" s="5" t="s">
        <v>270</v>
      </c>
      <c r="R17" s="5" t="s">
        <v>271</v>
      </c>
      <c r="S17" s="5" t="s">
        <v>238</v>
      </c>
      <c r="T17" s="5" t="s">
        <v>238</v>
      </c>
      <c r="U17" s="5" t="s">
        <v>238</v>
      </c>
      <c r="V17" s="5" t="s">
        <v>238</v>
      </c>
    </row>
    <row r="18" ht="15.75" customHeight="1">
      <c r="A18" s="4">
        <v>3.0</v>
      </c>
      <c r="B18" s="5" t="s">
        <v>274</v>
      </c>
      <c r="C18" s="5" t="s">
        <v>275</v>
      </c>
      <c r="D18" s="5" t="s">
        <v>276</v>
      </c>
      <c r="E18" s="5" t="s">
        <v>277</v>
      </c>
      <c r="F18" s="5" t="s">
        <v>278</v>
      </c>
      <c r="G18" s="5" t="s">
        <v>279</v>
      </c>
      <c r="H18" s="5" t="s">
        <v>280</v>
      </c>
      <c r="I18" s="5" t="s">
        <v>278</v>
      </c>
      <c r="J18" s="5" t="s">
        <v>281</v>
      </c>
      <c r="K18" s="5" t="s">
        <v>277</v>
      </c>
      <c r="L18" s="5" t="s">
        <v>278</v>
      </c>
      <c r="M18" s="5" t="s">
        <v>277</v>
      </c>
      <c r="N18" s="5" t="s">
        <v>282</v>
      </c>
      <c r="O18" s="5" t="s">
        <v>278</v>
      </c>
      <c r="P18" s="5" t="s">
        <v>278</v>
      </c>
      <c r="Q18" s="5" t="s">
        <v>277</v>
      </c>
      <c r="R18" s="5" t="s">
        <v>278</v>
      </c>
      <c r="S18" s="5" t="s">
        <v>278</v>
      </c>
      <c r="T18" s="5" t="s">
        <v>278</v>
      </c>
      <c r="U18" s="5" t="s">
        <v>283</v>
      </c>
      <c r="V18" s="5" t="s">
        <v>278</v>
      </c>
    </row>
    <row r="19" ht="15.75" customHeight="1">
      <c r="A19" s="4">
        <v>3.0</v>
      </c>
      <c r="B19" s="5" t="s">
        <v>284</v>
      </c>
      <c r="C19" s="5" t="s">
        <v>285</v>
      </c>
      <c r="D19" s="5" t="s">
        <v>286</v>
      </c>
      <c r="E19" s="5" t="s">
        <v>287</v>
      </c>
      <c r="F19" s="5" t="s">
        <v>288</v>
      </c>
      <c r="G19" s="5" t="s">
        <v>288</v>
      </c>
      <c r="H19" s="5" t="s">
        <v>288</v>
      </c>
      <c r="I19" s="5" t="s">
        <v>288</v>
      </c>
      <c r="J19" s="5" t="s">
        <v>288</v>
      </c>
      <c r="K19" s="5" t="s">
        <v>288</v>
      </c>
      <c r="L19" s="5" t="s">
        <v>288</v>
      </c>
      <c r="M19" s="5" t="s">
        <v>287</v>
      </c>
      <c r="N19" s="5" t="s">
        <v>288</v>
      </c>
      <c r="O19" s="5" t="s">
        <v>288</v>
      </c>
      <c r="P19" s="5" t="s">
        <v>288</v>
      </c>
      <c r="Q19" s="5" t="s">
        <v>287</v>
      </c>
      <c r="R19" s="5" t="s">
        <v>288</v>
      </c>
      <c r="S19" s="5" t="s">
        <v>288</v>
      </c>
      <c r="T19" s="5" t="s">
        <v>289</v>
      </c>
      <c r="U19" s="5" t="s">
        <v>288</v>
      </c>
      <c r="V19" s="5" t="s">
        <v>288</v>
      </c>
    </row>
    <row r="20" ht="15.75" customHeight="1">
      <c r="A20" s="4">
        <v>3.0</v>
      </c>
      <c r="B20" s="5" t="s">
        <v>290</v>
      </c>
      <c r="C20" s="5" t="s">
        <v>291</v>
      </c>
      <c r="D20" s="5" t="s">
        <v>292</v>
      </c>
      <c r="E20" s="5" t="s">
        <v>293</v>
      </c>
      <c r="F20" s="5" t="s">
        <v>293</v>
      </c>
      <c r="G20" s="5" t="s">
        <v>293</v>
      </c>
      <c r="H20" s="5" t="s">
        <v>293</v>
      </c>
      <c r="I20" s="5" t="s">
        <v>293</v>
      </c>
      <c r="J20" s="5" t="s">
        <v>293</v>
      </c>
      <c r="K20" s="5" t="s">
        <v>294</v>
      </c>
      <c r="L20" s="5" t="s">
        <v>293</v>
      </c>
      <c r="M20" s="5" t="s">
        <v>293</v>
      </c>
      <c r="N20" s="5" t="s">
        <v>293</v>
      </c>
      <c r="O20" s="5" t="s">
        <v>293</v>
      </c>
      <c r="P20" s="5" t="s">
        <v>293</v>
      </c>
      <c r="Q20" s="5" t="s">
        <v>293</v>
      </c>
      <c r="R20" s="5" t="s">
        <v>293</v>
      </c>
      <c r="S20" s="5" t="s">
        <v>293</v>
      </c>
      <c r="T20" s="5" t="s">
        <v>293</v>
      </c>
      <c r="U20" s="5" t="s">
        <v>293</v>
      </c>
      <c r="V20" s="5" t="s">
        <v>293</v>
      </c>
    </row>
    <row r="21" ht="15.75" customHeight="1">
      <c r="A21" s="4">
        <v>3.0</v>
      </c>
      <c r="B21" s="5" t="s">
        <v>295</v>
      </c>
      <c r="C21" s="5" t="s">
        <v>296</v>
      </c>
      <c r="D21" s="5" t="s">
        <v>297</v>
      </c>
      <c r="E21" s="5">
        <v>2003.0</v>
      </c>
      <c r="F21" s="5">
        <v>2004.0</v>
      </c>
      <c r="G21" s="5">
        <v>2001.0</v>
      </c>
      <c r="H21" s="5">
        <v>2004.0</v>
      </c>
      <c r="I21" s="5">
        <v>2002.0</v>
      </c>
      <c r="J21" s="5">
        <v>2002.0</v>
      </c>
      <c r="K21" s="5">
        <v>2002.0</v>
      </c>
      <c r="L21" s="5">
        <v>2004.0</v>
      </c>
      <c r="M21" s="5">
        <v>2002.0</v>
      </c>
      <c r="N21" s="5">
        <v>2004.0</v>
      </c>
      <c r="O21" s="5">
        <v>2004.0</v>
      </c>
      <c r="P21" s="5">
        <v>2003.0</v>
      </c>
      <c r="Q21" s="5">
        <v>2002.0</v>
      </c>
      <c r="R21" s="5">
        <v>2004.0</v>
      </c>
      <c r="S21" s="5">
        <v>2000.0</v>
      </c>
      <c r="T21" s="5">
        <v>2002.0</v>
      </c>
      <c r="U21" s="5">
        <v>2001.0</v>
      </c>
      <c r="V21" s="5">
        <v>2005.0</v>
      </c>
    </row>
    <row r="22" ht="15.75" customHeight="1">
      <c r="A22" s="4">
        <v>3.0</v>
      </c>
      <c r="B22" s="5" t="s">
        <v>298</v>
      </c>
      <c r="C22" s="5" t="s">
        <v>299</v>
      </c>
      <c r="D22" s="5" t="s">
        <v>300</v>
      </c>
      <c r="E22" s="5" t="s">
        <v>301</v>
      </c>
      <c r="F22" s="5" t="s">
        <v>240</v>
      </c>
      <c r="G22" s="5" t="s">
        <v>240</v>
      </c>
      <c r="H22" s="5" t="s">
        <v>240</v>
      </c>
      <c r="I22" s="5" t="s">
        <v>240</v>
      </c>
      <c r="J22" s="5" t="s">
        <v>240</v>
      </c>
      <c r="K22" s="5" t="s">
        <v>302</v>
      </c>
      <c r="L22" s="5" t="s">
        <v>240</v>
      </c>
      <c r="M22" s="5" t="s">
        <v>301</v>
      </c>
      <c r="N22" s="5" t="s">
        <v>240</v>
      </c>
      <c r="O22" s="5" t="s">
        <v>303</v>
      </c>
      <c r="P22" s="5" t="s">
        <v>304</v>
      </c>
      <c r="Q22" s="5" t="s">
        <v>305</v>
      </c>
      <c r="R22" s="5" t="s">
        <v>301</v>
      </c>
      <c r="S22" s="5" t="s">
        <v>240</v>
      </c>
      <c r="T22" s="5" t="s">
        <v>240</v>
      </c>
      <c r="U22" s="5" t="s">
        <v>240</v>
      </c>
      <c r="V22" s="5" t="s">
        <v>240</v>
      </c>
    </row>
    <row r="23" ht="15.75" customHeight="1">
      <c r="A23" s="4">
        <v>3.0</v>
      </c>
      <c r="B23" s="5" t="s">
        <v>306</v>
      </c>
      <c r="C23" s="5" t="s">
        <v>307</v>
      </c>
      <c r="D23" s="5" t="s">
        <v>308</v>
      </c>
      <c r="E23" s="5" t="s">
        <v>270</v>
      </c>
      <c r="F23" s="5" t="s">
        <v>240</v>
      </c>
      <c r="G23" s="5" t="s">
        <v>240</v>
      </c>
      <c r="H23" s="5" t="s">
        <v>240</v>
      </c>
      <c r="I23" s="5" t="s">
        <v>240</v>
      </c>
      <c r="J23" s="5" t="s">
        <v>240</v>
      </c>
      <c r="K23" s="5" t="s">
        <v>302</v>
      </c>
      <c r="L23" s="5" t="s">
        <v>240</v>
      </c>
      <c r="M23" s="5" t="s">
        <v>301</v>
      </c>
      <c r="N23" s="5" t="s">
        <v>240</v>
      </c>
      <c r="O23" s="5" t="s">
        <v>303</v>
      </c>
      <c r="P23" s="5" t="s">
        <v>304</v>
      </c>
      <c r="Q23" s="5" t="s">
        <v>305</v>
      </c>
      <c r="R23" s="5" t="s">
        <v>301</v>
      </c>
      <c r="S23" s="5" t="s">
        <v>240</v>
      </c>
      <c r="T23" s="5" t="s">
        <v>240</v>
      </c>
      <c r="U23" s="5" t="s">
        <v>240</v>
      </c>
      <c r="V23" s="5" t="s">
        <v>240</v>
      </c>
    </row>
    <row r="24" ht="15.75" customHeight="1">
      <c r="A24" s="4">
        <v>3.0</v>
      </c>
      <c r="B24" s="5" t="s">
        <v>309</v>
      </c>
      <c r="C24" s="5" t="s">
        <v>310</v>
      </c>
      <c r="D24" s="5" t="s">
        <v>311</v>
      </c>
      <c r="E24" s="5" t="s">
        <v>270</v>
      </c>
      <c r="F24" s="5" t="s">
        <v>238</v>
      </c>
      <c r="G24" s="5" t="s">
        <v>238</v>
      </c>
      <c r="H24" s="5" t="s">
        <v>238</v>
      </c>
      <c r="I24" s="5" t="s">
        <v>238</v>
      </c>
      <c r="J24" s="5" t="s">
        <v>238</v>
      </c>
      <c r="K24" s="5" t="s">
        <v>312</v>
      </c>
      <c r="L24" s="5" t="s">
        <v>238</v>
      </c>
      <c r="M24" s="5" t="s">
        <v>313</v>
      </c>
      <c r="N24" s="5" t="s">
        <v>238</v>
      </c>
      <c r="O24" s="5" t="s">
        <v>272</v>
      </c>
      <c r="P24" s="5" t="s">
        <v>273</v>
      </c>
      <c r="Q24" s="5" t="s">
        <v>313</v>
      </c>
      <c r="R24" s="5" t="s">
        <v>301</v>
      </c>
      <c r="S24" s="5" t="s">
        <v>238</v>
      </c>
      <c r="T24" s="5" t="s">
        <v>238</v>
      </c>
      <c r="U24" s="5" t="s">
        <v>238</v>
      </c>
      <c r="V24" s="5" t="s">
        <v>238</v>
      </c>
    </row>
    <row r="25" ht="15.75" customHeight="1">
      <c r="A25" s="4">
        <v>3.0</v>
      </c>
      <c r="B25" s="5" t="s">
        <v>314</v>
      </c>
      <c r="C25" s="5" t="s">
        <v>315</v>
      </c>
      <c r="D25" s="5" t="s">
        <v>316</v>
      </c>
      <c r="E25" s="5" t="s">
        <v>277</v>
      </c>
      <c r="F25" s="5" t="s">
        <v>278</v>
      </c>
      <c r="G25" s="5" t="s">
        <v>279</v>
      </c>
      <c r="H25" s="5" t="s">
        <v>280</v>
      </c>
      <c r="I25" s="5" t="s">
        <v>278</v>
      </c>
      <c r="J25" s="5" t="s">
        <v>281</v>
      </c>
      <c r="K25" s="5" t="s">
        <v>277</v>
      </c>
      <c r="L25" s="5" t="s">
        <v>317</v>
      </c>
      <c r="M25" s="5" t="s">
        <v>277</v>
      </c>
      <c r="N25" s="5" t="s">
        <v>318</v>
      </c>
      <c r="O25" s="5" t="s">
        <v>278</v>
      </c>
      <c r="P25" s="5" t="s">
        <v>278</v>
      </c>
      <c r="Q25" s="5" t="s">
        <v>277</v>
      </c>
      <c r="R25" s="5" t="s">
        <v>278</v>
      </c>
      <c r="S25" s="5" t="s">
        <v>278</v>
      </c>
      <c r="T25" s="5" t="s">
        <v>319</v>
      </c>
      <c r="U25" s="5" t="s">
        <v>283</v>
      </c>
      <c r="V25" s="5" t="s">
        <v>278</v>
      </c>
    </row>
    <row r="26" ht="15.75" customHeight="1">
      <c r="A26" s="4">
        <v>3.0</v>
      </c>
      <c r="B26" s="5" t="s">
        <v>122</v>
      </c>
      <c r="C26" s="5" t="s">
        <v>320</v>
      </c>
      <c r="D26" s="5" t="s">
        <v>321</v>
      </c>
      <c r="E26" s="5" t="s">
        <v>322</v>
      </c>
      <c r="F26" s="5" t="s">
        <v>125</v>
      </c>
      <c r="G26" s="5" t="s">
        <v>323</v>
      </c>
      <c r="H26" s="5" t="s">
        <v>324</v>
      </c>
      <c r="I26" s="5" t="s">
        <v>128</v>
      </c>
      <c r="J26" s="5" t="s">
        <v>129</v>
      </c>
      <c r="K26" s="5" t="s">
        <v>325</v>
      </c>
      <c r="L26" s="5" t="s">
        <v>326</v>
      </c>
      <c r="M26" s="5" t="s">
        <v>327</v>
      </c>
      <c r="N26" s="5" t="s">
        <v>328</v>
      </c>
      <c r="O26" s="5" t="s">
        <v>329</v>
      </c>
      <c r="P26" s="5" t="s">
        <v>330</v>
      </c>
      <c r="Q26" s="5" t="s">
        <v>331</v>
      </c>
      <c r="R26" s="5" t="s">
        <v>134</v>
      </c>
      <c r="S26" s="5" t="s">
        <v>135</v>
      </c>
      <c r="T26" s="5" t="s">
        <v>332</v>
      </c>
      <c r="U26" s="5" t="s">
        <v>333</v>
      </c>
      <c r="V26" s="5" t="s">
        <v>256</v>
      </c>
    </row>
    <row r="27" ht="15.75" customHeight="1">
      <c r="A27" s="4">
        <v>3.0</v>
      </c>
      <c r="B27" s="5" t="s">
        <v>139</v>
      </c>
      <c r="C27" s="5" t="s">
        <v>334</v>
      </c>
      <c r="D27" s="5" t="s">
        <v>335</v>
      </c>
      <c r="E27" s="5" t="s">
        <v>336</v>
      </c>
      <c r="F27" s="5" t="s">
        <v>147</v>
      </c>
      <c r="G27" s="5" t="s">
        <v>208</v>
      </c>
      <c r="H27" s="5" t="s">
        <v>147</v>
      </c>
      <c r="I27" s="5" t="s">
        <v>142</v>
      </c>
      <c r="J27" s="5" t="s">
        <v>238</v>
      </c>
      <c r="K27" s="5" t="s">
        <v>312</v>
      </c>
      <c r="L27" s="5" t="s">
        <v>238</v>
      </c>
      <c r="M27" s="5" t="s">
        <v>337</v>
      </c>
      <c r="N27" s="5" t="s">
        <v>336</v>
      </c>
      <c r="O27" s="5" t="s">
        <v>336</v>
      </c>
      <c r="P27" s="5" t="s">
        <v>338</v>
      </c>
      <c r="Q27" s="5" t="s">
        <v>339</v>
      </c>
      <c r="R27" s="5" t="s">
        <v>339</v>
      </c>
      <c r="S27" s="5" t="s">
        <v>142</v>
      </c>
      <c r="T27" s="5" t="s">
        <v>238</v>
      </c>
      <c r="U27" s="5" t="s">
        <v>340</v>
      </c>
      <c r="V27" s="5" t="s">
        <v>38</v>
      </c>
    </row>
    <row r="28" ht="15.75" customHeight="1">
      <c r="A28" s="4">
        <v>3.0</v>
      </c>
      <c r="B28" s="5" t="s">
        <v>162</v>
      </c>
      <c r="C28" s="5" t="s">
        <v>341</v>
      </c>
      <c r="D28" s="5" t="s">
        <v>342</v>
      </c>
      <c r="E28" s="5" t="s">
        <v>277</v>
      </c>
      <c r="F28" s="5" t="s">
        <v>256</v>
      </c>
      <c r="G28" s="5" t="s">
        <v>279</v>
      </c>
      <c r="H28" s="5" t="s">
        <v>343</v>
      </c>
      <c r="I28" s="5" t="s">
        <v>256</v>
      </c>
      <c r="J28" s="5" t="s">
        <v>344</v>
      </c>
      <c r="K28" s="5" t="s">
        <v>256</v>
      </c>
      <c r="L28" s="5" t="s">
        <v>345</v>
      </c>
      <c r="M28" s="5" t="s">
        <v>346</v>
      </c>
      <c r="N28" s="5" t="s">
        <v>278</v>
      </c>
      <c r="O28" s="5" t="s">
        <v>256</v>
      </c>
      <c r="P28" s="5" t="s">
        <v>256</v>
      </c>
      <c r="Q28" s="5" t="s">
        <v>277</v>
      </c>
      <c r="R28" s="5" t="s">
        <v>256</v>
      </c>
      <c r="S28" s="5" t="s">
        <v>256</v>
      </c>
      <c r="T28" s="5" t="s">
        <v>256</v>
      </c>
      <c r="U28" s="5" t="s">
        <v>258</v>
      </c>
      <c r="V28" s="5" t="s">
        <v>70</v>
      </c>
    </row>
    <row r="29" ht="15.75" customHeight="1">
      <c r="A29" s="4">
        <v>3.0</v>
      </c>
      <c r="B29" s="5" t="s">
        <v>347</v>
      </c>
      <c r="C29" s="5" t="s">
        <v>348</v>
      </c>
      <c r="D29" s="5" t="s">
        <v>349</v>
      </c>
      <c r="E29" s="5" t="s">
        <v>270</v>
      </c>
      <c r="F29" s="5" t="s">
        <v>350</v>
      </c>
      <c r="G29" s="5" t="s">
        <v>238</v>
      </c>
      <c r="H29" s="5" t="s">
        <v>350</v>
      </c>
      <c r="I29" s="5" t="s">
        <v>350</v>
      </c>
      <c r="J29" s="5" t="s">
        <v>351</v>
      </c>
      <c r="K29" s="5" t="s">
        <v>337</v>
      </c>
      <c r="L29" s="5" t="s">
        <v>350</v>
      </c>
      <c r="M29" s="5" t="s">
        <v>313</v>
      </c>
      <c r="N29" s="5" t="s">
        <v>352</v>
      </c>
      <c r="O29" s="5" t="s">
        <v>272</v>
      </c>
      <c r="P29" s="5" t="s">
        <v>353</v>
      </c>
      <c r="Q29" s="5" t="s">
        <v>313</v>
      </c>
      <c r="R29" s="5" t="s">
        <v>337</v>
      </c>
      <c r="S29" s="5" t="s">
        <v>350</v>
      </c>
      <c r="T29" s="5" t="s">
        <v>350</v>
      </c>
      <c r="U29" s="5" t="s">
        <v>350</v>
      </c>
      <c r="V29" s="5" t="s">
        <v>350</v>
      </c>
    </row>
    <row r="30" ht="15.75" customHeight="1">
      <c r="A30" s="4">
        <v>3.0</v>
      </c>
      <c r="B30" s="5" t="s">
        <v>354</v>
      </c>
      <c r="C30" s="5" t="s">
        <v>355</v>
      </c>
      <c r="D30" s="5" t="s">
        <v>356</v>
      </c>
      <c r="E30" s="5" t="s">
        <v>277</v>
      </c>
      <c r="F30" s="5" t="s">
        <v>357</v>
      </c>
      <c r="G30" s="5" t="s">
        <v>358</v>
      </c>
      <c r="H30" s="5" t="s">
        <v>280</v>
      </c>
      <c r="I30" s="5" t="s">
        <v>350</v>
      </c>
      <c r="J30" s="5" t="s">
        <v>359</v>
      </c>
      <c r="K30" s="5" t="s">
        <v>360</v>
      </c>
      <c r="L30" s="5" t="s">
        <v>357</v>
      </c>
      <c r="M30" s="5" t="s">
        <v>279</v>
      </c>
      <c r="N30" s="5" t="s">
        <v>361</v>
      </c>
      <c r="O30" s="5" t="s">
        <v>361</v>
      </c>
      <c r="P30" s="5" t="s">
        <v>357</v>
      </c>
      <c r="Q30" s="5" t="s">
        <v>277</v>
      </c>
      <c r="R30" s="5" t="s">
        <v>357</v>
      </c>
      <c r="S30" s="5" t="s">
        <v>357</v>
      </c>
      <c r="T30" s="5" t="s">
        <v>357</v>
      </c>
      <c r="U30" s="5" t="s">
        <v>357</v>
      </c>
      <c r="V30" s="5" t="s">
        <v>357</v>
      </c>
    </row>
    <row r="31" ht="15.75" customHeight="1">
      <c r="A31" s="4">
        <v>3.0</v>
      </c>
      <c r="B31" s="5" t="s">
        <v>362</v>
      </c>
      <c r="C31" s="5" t="s">
        <v>363</v>
      </c>
      <c r="D31" s="5" t="s">
        <v>364</v>
      </c>
      <c r="E31" s="5" t="s">
        <v>270</v>
      </c>
      <c r="F31" s="5" t="s">
        <v>350</v>
      </c>
      <c r="G31" s="5" t="s">
        <v>238</v>
      </c>
      <c r="H31" s="5" t="s">
        <v>350</v>
      </c>
      <c r="I31" s="5" t="s">
        <v>350</v>
      </c>
      <c r="J31" s="5" t="s">
        <v>350</v>
      </c>
      <c r="K31" s="5" t="s">
        <v>365</v>
      </c>
      <c r="L31" s="5" t="s">
        <v>350</v>
      </c>
      <c r="M31" s="5" t="s">
        <v>313</v>
      </c>
      <c r="N31" s="5" t="s">
        <v>272</v>
      </c>
      <c r="O31" s="5" t="s">
        <v>272</v>
      </c>
      <c r="P31" s="5" t="s">
        <v>353</v>
      </c>
      <c r="Q31" s="5" t="s">
        <v>313</v>
      </c>
      <c r="R31" s="5" t="s">
        <v>337</v>
      </c>
      <c r="S31" s="5" t="s">
        <v>366</v>
      </c>
      <c r="T31" s="5" t="s">
        <v>350</v>
      </c>
      <c r="U31" s="5" t="s">
        <v>238</v>
      </c>
      <c r="V31" s="5" t="s">
        <v>238</v>
      </c>
    </row>
    <row r="32" ht="15.75" customHeight="1">
      <c r="A32" s="4">
        <v>3.0</v>
      </c>
      <c r="B32" s="5" t="s">
        <v>367</v>
      </c>
      <c r="C32" s="5" t="s">
        <v>368</v>
      </c>
      <c r="D32" s="5" t="s">
        <v>369</v>
      </c>
      <c r="E32" s="5" t="s">
        <v>370</v>
      </c>
      <c r="F32" s="5" t="s">
        <v>371</v>
      </c>
      <c r="G32" s="5" t="s">
        <v>372</v>
      </c>
      <c r="H32" s="5" t="s">
        <v>371</v>
      </c>
      <c r="I32" s="5" t="s">
        <v>373</v>
      </c>
      <c r="J32" s="5" t="s">
        <v>374</v>
      </c>
      <c r="K32" s="5" t="s">
        <v>373</v>
      </c>
      <c r="L32" s="5" t="s">
        <v>371</v>
      </c>
      <c r="M32" s="5" t="s">
        <v>373</v>
      </c>
      <c r="N32" s="5" t="s">
        <v>371</v>
      </c>
      <c r="O32" s="5" t="s">
        <v>371</v>
      </c>
      <c r="P32" s="5" t="s">
        <v>375</v>
      </c>
      <c r="Q32" s="5" t="s">
        <v>373</v>
      </c>
      <c r="R32" s="5" t="s">
        <v>371</v>
      </c>
      <c r="S32" s="5" t="s">
        <v>376</v>
      </c>
      <c r="T32" s="5" t="s">
        <v>373</v>
      </c>
      <c r="U32" s="5" t="s">
        <v>372</v>
      </c>
      <c r="V32" s="5" t="s">
        <v>377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6.25"/>
    <col customWidth="1" min="3" max="3" width="19.63"/>
    <col customWidth="1" min="4" max="4" width="13.88"/>
    <col customWidth="1" min="5" max="5" width="29.5"/>
    <col customWidth="1" min="6" max="6" width="11.0"/>
  </cols>
  <sheetData>
    <row r="1">
      <c r="A1" s="7" t="s">
        <v>188</v>
      </c>
      <c r="B1" s="8" t="s">
        <v>378</v>
      </c>
      <c r="C1" s="7" t="s">
        <v>190</v>
      </c>
      <c r="D1" s="7" t="s">
        <v>191</v>
      </c>
      <c r="E1" s="7" t="s">
        <v>192</v>
      </c>
      <c r="F1" s="7" t="s">
        <v>379</v>
      </c>
    </row>
    <row r="2">
      <c r="A2" s="7" t="s">
        <v>4</v>
      </c>
      <c r="B2" s="8">
        <v>3.0</v>
      </c>
      <c r="C2" s="7" t="s">
        <v>190</v>
      </c>
      <c r="D2" s="7" t="s">
        <v>191</v>
      </c>
      <c r="E2" s="7" t="s">
        <v>192</v>
      </c>
      <c r="F2" s="7" t="s">
        <v>380</v>
      </c>
    </row>
    <row r="3">
      <c r="A3" s="7" t="s">
        <v>5</v>
      </c>
      <c r="B3" s="8">
        <v>3.0</v>
      </c>
      <c r="C3" s="7" t="s">
        <v>190</v>
      </c>
      <c r="D3" s="7" t="s">
        <v>191</v>
      </c>
      <c r="E3" s="7" t="s">
        <v>192</v>
      </c>
      <c r="F3" s="7" t="s">
        <v>381</v>
      </c>
    </row>
    <row r="4">
      <c r="A4" s="7" t="s">
        <v>6</v>
      </c>
      <c r="B4" s="8">
        <v>3.0</v>
      </c>
      <c r="C4" s="7" t="s">
        <v>190</v>
      </c>
      <c r="D4" s="7" t="s">
        <v>191</v>
      </c>
      <c r="E4" s="7" t="s">
        <v>192</v>
      </c>
      <c r="F4" s="7" t="s">
        <v>380</v>
      </c>
    </row>
    <row r="5">
      <c r="A5" s="7" t="s">
        <v>7</v>
      </c>
      <c r="B5" s="8">
        <v>3.0</v>
      </c>
      <c r="C5" s="7" t="s">
        <v>190</v>
      </c>
      <c r="D5" s="7" t="s">
        <v>191</v>
      </c>
      <c r="E5" s="7" t="s">
        <v>192</v>
      </c>
      <c r="F5" s="7" t="s">
        <v>382</v>
      </c>
    </row>
    <row r="6">
      <c r="A6" s="7" t="s">
        <v>8</v>
      </c>
      <c r="B6" s="8">
        <v>3.0</v>
      </c>
      <c r="C6" s="7" t="s">
        <v>190</v>
      </c>
      <c r="D6" s="7" t="s">
        <v>191</v>
      </c>
      <c r="E6" s="7" t="s">
        <v>192</v>
      </c>
      <c r="F6" s="7" t="s">
        <v>382</v>
      </c>
    </row>
    <row r="7">
      <c r="A7" s="7" t="s">
        <v>189</v>
      </c>
      <c r="B7" s="8">
        <v>3.0</v>
      </c>
      <c r="C7" s="7" t="s">
        <v>190</v>
      </c>
      <c r="D7" s="7" t="s">
        <v>191</v>
      </c>
      <c r="E7" s="7" t="s">
        <v>192</v>
      </c>
      <c r="F7" s="7" t="s">
        <v>382</v>
      </c>
    </row>
    <row r="8">
      <c r="A8" s="7" t="s">
        <v>9</v>
      </c>
      <c r="B8" s="8">
        <v>3.0</v>
      </c>
      <c r="C8" s="7" t="s">
        <v>190</v>
      </c>
      <c r="D8" s="7" t="s">
        <v>191</v>
      </c>
      <c r="E8" s="7" t="s">
        <v>192</v>
      </c>
      <c r="F8" s="7" t="s">
        <v>382</v>
      </c>
    </row>
    <row r="9">
      <c r="A9" s="7" t="s">
        <v>10</v>
      </c>
      <c r="B9" s="8">
        <v>3.0</v>
      </c>
      <c r="C9" s="7" t="s">
        <v>190</v>
      </c>
      <c r="D9" s="7" t="s">
        <v>191</v>
      </c>
      <c r="E9" s="7" t="s">
        <v>192</v>
      </c>
      <c r="F9" s="7" t="s">
        <v>382</v>
      </c>
    </row>
    <row r="10">
      <c r="A10" s="7" t="s">
        <v>11</v>
      </c>
      <c r="B10" s="8">
        <v>3.0</v>
      </c>
      <c r="C10" s="7" t="s">
        <v>190</v>
      </c>
      <c r="D10" s="7" t="s">
        <v>191</v>
      </c>
      <c r="E10" s="7" t="s">
        <v>192</v>
      </c>
      <c r="F10" s="7" t="s">
        <v>382</v>
      </c>
    </row>
    <row r="11">
      <c r="A11" s="7" t="s">
        <v>12</v>
      </c>
      <c r="B11" s="8">
        <v>3.0</v>
      </c>
      <c r="C11" s="7" t="s">
        <v>190</v>
      </c>
      <c r="D11" s="7" t="s">
        <v>191</v>
      </c>
      <c r="E11" s="7" t="s">
        <v>192</v>
      </c>
      <c r="F11" s="7" t="s">
        <v>380</v>
      </c>
    </row>
    <row r="12">
      <c r="A12" s="7" t="s">
        <v>13</v>
      </c>
      <c r="B12" s="8">
        <v>3.0</v>
      </c>
      <c r="C12" s="7" t="s">
        <v>190</v>
      </c>
      <c r="D12" s="7" t="s">
        <v>191</v>
      </c>
      <c r="E12" s="7" t="s">
        <v>192</v>
      </c>
      <c r="F12" s="7" t="s">
        <v>380</v>
      </c>
    </row>
    <row r="13">
      <c r="A13" s="7" t="s">
        <v>14</v>
      </c>
      <c r="B13" s="8">
        <v>3.0</v>
      </c>
      <c r="C13" s="7" t="s">
        <v>190</v>
      </c>
      <c r="D13" s="7" t="s">
        <v>191</v>
      </c>
      <c r="E13" s="7" t="s">
        <v>192</v>
      </c>
      <c r="F13" s="7" t="s">
        <v>383</v>
      </c>
    </row>
    <row r="14">
      <c r="A14" s="7" t="s">
        <v>15</v>
      </c>
      <c r="B14" s="8">
        <v>3.0</v>
      </c>
      <c r="C14" s="7" t="s">
        <v>190</v>
      </c>
      <c r="D14" s="7" t="s">
        <v>191</v>
      </c>
      <c r="E14" s="7" t="s">
        <v>192</v>
      </c>
      <c r="F14" s="7" t="s">
        <v>380</v>
      </c>
    </row>
    <row r="15">
      <c r="A15" s="7" t="s">
        <v>16</v>
      </c>
      <c r="B15" s="8">
        <v>3.0</v>
      </c>
      <c r="C15" s="7" t="s">
        <v>190</v>
      </c>
      <c r="D15" s="7" t="s">
        <v>191</v>
      </c>
      <c r="E15" s="7" t="s">
        <v>192</v>
      </c>
      <c r="F15" s="7" t="s">
        <v>383</v>
      </c>
    </row>
    <row r="16">
      <c r="A16" s="7" t="s">
        <v>17</v>
      </c>
      <c r="B16" s="8">
        <v>3.0</v>
      </c>
      <c r="C16" s="7" t="s">
        <v>190</v>
      </c>
      <c r="D16" s="7" t="s">
        <v>191</v>
      </c>
      <c r="E16" s="7" t="s">
        <v>192</v>
      </c>
      <c r="F16" s="7" t="s">
        <v>382</v>
      </c>
    </row>
    <row r="17">
      <c r="A17" s="7" t="s">
        <v>18</v>
      </c>
      <c r="B17" s="8">
        <v>3.0</v>
      </c>
      <c r="C17" s="7" t="s">
        <v>190</v>
      </c>
      <c r="D17" s="7" t="s">
        <v>191</v>
      </c>
      <c r="E17" s="7" t="s">
        <v>192</v>
      </c>
      <c r="F17" s="7" t="s">
        <v>381</v>
      </c>
    </row>
    <row r="18">
      <c r="A18" s="7" t="s">
        <v>19</v>
      </c>
      <c r="B18" s="8">
        <v>3.0</v>
      </c>
      <c r="C18" s="7" t="s">
        <v>190</v>
      </c>
      <c r="D18" s="7" t="s">
        <v>191</v>
      </c>
      <c r="E18" s="7" t="s">
        <v>192</v>
      </c>
      <c r="F18" s="7" t="s">
        <v>384</v>
      </c>
    </row>
    <row r="19">
      <c r="A19" s="7" t="s">
        <v>188</v>
      </c>
      <c r="B19" s="8">
        <v>3.0</v>
      </c>
      <c r="C19" s="7" t="s">
        <v>193</v>
      </c>
      <c r="D19" s="7" t="s">
        <v>194</v>
      </c>
      <c r="E19" s="7" t="s">
        <v>195</v>
      </c>
      <c r="F19" s="7" t="s">
        <v>379</v>
      </c>
    </row>
    <row r="20">
      <c r="A20" s="7" t="s">
        <v>4</v>
      </c>
      <c r="B20" s="8">
        <v>3.0</v>
      </c>
      <c r="C20" s="7" t="s">
        <v>193</v>
      </c>
      <c r="D20" s="7" t="s">
        <v>194</v>
      </c>
      <c r="E20" s="7" t="s">
        <v>195</v>
      </c>
      <c r="F20" s="7" t="s">
        <v>380</v>
      </c>
    </row>
    <row r="21">
      <c r="A21" s="7" t="s">
        <v>5</v>
      </c>
      <c r="B21" s="8">
        <v>3.0</v>
      </c>
      <c r="C21" s="7" t="s">
        <v>193</v>
      </c>
      <c r="D21" s="7" t="s">
        <v>194</v>
      </c>
      <c r="E21" s="7" t="s">
        <v>195</v>
      </c>
      <c r="F21" s="7" t="s">
        <v>381</v>
      </c>
    </row>
    <row r="22">
      <c r="A22" s="7" t="s">
        <v>6</v>
      </c>
      <c r="B22" s="8">
        <v>3.0</v>
      </c>
      <c r="C22" s="7" t="s">
        <v>193</v>
      </c>
      <c r="D22" s="7" t="s">
        <v>194</v>
      </c>
      <c r="E22" s="7" t="s">
        <v>195</v>
      </c>
      <c r="F22" s="7" t="s">
        <v>380</v>
      </c>
    </row>
    <row r="23">
      <c r="A23" s="7" t="s">
        <v>7</v>
      </c>
      <c r="B23" s="8">
        <v>3.0</v>
      </c>
      <c r="C23" s="7" t="s">
        <v>193</v>
      </c>
      <c r="D23" s="7" t="s">
        <v>194</v>
      </c>
      <c r="E23" s="7" t="s">
        <v>195</v>
      </c>
      <c r="F23" s="7" t="s">
        <v>382</v>
      </c>
    </row>
    <row r="24">
      <c r="A24" s="7" t="s">
        <v>8</v>
      </c>
      <c r="B24" s="8">
        <v>3.0</v>
      </c>
      <c r="C24" s="7" t="s">
        <v>193</v>
      </c>
      <c r="D24" s="7" t="s">
        <v>194</v>
      </c>
      <c r="E24" s="7" t="s">
        <v>195</v>
      </c>
      <c r="F24" s="7" t="s">
        <v>382</v>
      </c>
    </row>
    <row r="25">
      <c r="A25" s="7" t="s">
        <v>189</v>
      </c>
      <c r="B25" s="8">
        <v>3.0</v>
      </c>
      <c r="C25" s="7" t="s">
        <v>193</v>
      </c>
      <c r="D25" s="7" t="s">
        <v>194</v>
      </c>
      <c r="E25" s="7" t="s">
        <v>195</v>
      </c>
      <c r="F25" s="7" t="s">
        <v>382</v>
      </c>
    </row>
    <row r="26">
      <c r="A26" s="7" t="s">
        <v>9</v>
      </c>
      <c r="B26" s="8">
        <v>3.0</v>
      </c>
      <c r="C26" s="7" t="s">
        <v>193</v>
      </c>
      <c r="D26" s="7" t="s">
        <v>194</v>
      </c>
      <c r="E26" s="7" t="s">
        <v>195</v>
      </c>
      <c r="F26" s="7" t="s">
        <v>380</v>
      </c>
    </row>
    <row r="27">
      <c r="A27" s="7" t="s">
        <v>10</v>
      </c>
      <c r="B27" s="8">
        <v>3.0</v>
      </c>
      <c r="C27" s="7" t="s">
        <v>193</v>
      </c>
      <c r="D27" s="7" t="s">
        <v>194</v>
      </c>
      <c r="E27" s="7" t="s">
        <v>195</v>
      </c>
      <c r="F27" s="7" t="s">
        <v>382</v>
      </c>
    </row>
    <row r="28">
      <c r="A28" s="7" t="s">
        <v>11</v>
      </c>
      <c r="B28" s="8">
        <v>3.0</v>
      </c>
      <c r="C28" s="7" t="s">
        <v>193</v>
      </c>
      <c r="D28" s="7" t="s">
        <v>194</v>
      </c>
      <c r="E28" s="7" t="s">
        <v>195</v>
      </c>
      <c r="F28" s="7" t="s">
        <v>380</v>
      </c>
    </row>
    <row r="29">
      <c r="A29" s="7" t="s">
        <v>12</v>
      </c>
      <c r="B29" s="8">
        <v>3.0</v>
      </c>
      <c r="C29" s="7" t="s">
        <v>193</v>
      </c>
      <c r="D29" s="7" t="s">
        <v>194</v>
      </c>
      <c r="E29" s="7" t="s">
        <v>195</v>
      </c>
      <c r="F29" s="7" t="s">
        <v>380</v>
      </c>
    </row>
    <row r="30">
      <c r="A30" s="7" t="s">
        <v>13</v>
      </c>
      <c r="B30" s="8">
        <v>3.0</v>
      </c>
      <c r="C30" s="7" t="s">
        <v>193</v>
      </c>
      <c r="D30" s="7" t="s">
        <v>194</v>
      </c>
      <c r="E30" s="7" t="s">
        <v>195</v>
      </c>
      <c r="F30" s="7" t="s">
        <v>379</v>
      </c>
    </row>
    <row r="31">
      <c r="A31" s="7" t="s">
        <v>14</v>
      </c>
      <c r="B31" s="8">
        <v>3.0</v>
      </c>
      <c r="C31" s="7" t="s">
        <v>193</v>
      </c>
      <c r="D31" s="7" t="s">
        <v>194</v>
      </c>
      <c r="E31" s="7" t="s">
        <v>195</v>
      </c>
      <c r="F31" s="7" t="s">
        <v>383</v>
      </c>
    </row>
    <row r="32">
      <c r="A32" s="7" t="s">
        <v>15</v>
      </c>
      <c r="B32" s="8">
        <v>3.0</v>
      </c>
      <c r="C32" s="7" t="s">
        <v>193</v>
      </c>
      <c r="D32" s="7" t="s">
        <v>194</v>
      </c>
      <c r="E32" s="7" t="s">
        <v>195</v>
      </c>
      <c r="F32" s="7" t="s">
        <v>380</v>
      </c>
    </row>
    <row r="33">
      <c r="A33" s="7" t="s">
        <v>16</v>
      </c>
      <c r="B33" s="8">
        <v>3.0</v>
      </c>
      <c r="C33" s="7" t="s">
        <v>193</v>
      </c>
      <c r="D33" s="7" t="s">
        <v>194</v>
      </c>
      <c r="E33" s="7" t="s">
        <v>195</v>
      </c>
      <c r="F33" s="7" t="s">
        <v>383</v>
      </c>
    </row>
    <row r="34">
      <c r="A34" s="7" t="s">
        <v>17</v>
      </c>
      <c r="B34" s="8">
        <v>3.0</v>
      </c>
      <c r="C34" s="7" t="s">
        <v>193</v>
      </c>
      <c r="D34" s="7" t="s">
        <v>194</v>
      </c>
      <c r="E34" s="7" t="s">
        <v>195</v>
      </c>
      <c r="F34" s="7" t="s">
        <v>382</v>
      </c>
    </row>
    <row r="35">
      <c r="A35" s="7" t="s">
        <v>18</v>
      </c>
      <c r="B35" s="8">
        <v>3.0</v>
      </c>
      <c r="C35" s="7" t="s">
        <v>193</v>
      </c>
      <c r="D35" s="7" t="s">
        <v>194</v>
      </c>
      <c r="E35" s="7" t="s">
        <v>195</v>
      </c>
      <c r="F35" s="7" t="s">
        <v>381</v>
      </c>
    </row>
    <row r="36">
      <c r="A36" s="7" t="s">
        <v>19</v>
      </c>
      <c r="B36" s="8">
        <v>3.0</v>
      </c>
      <c r="C36" s="7" t="s">
        <v>193</v>
      </c>
      <c r="D36" s="7" t="s">
        <v>194</v>
      </c>
      <c r="E36" s="7" t="s">
        <v>195</v>
      </c>
      <c r="F36" s="7" t="s">
        <v>384</v>
      </c>
    </row>
    <row r="37">
      <c r="A37" s="7" t="s">
        <v>188</v>
      </c>
      <c r="B37" s="8">
        <v>3.0</v>
      </c>
      <c r="C37" s="7" t="s">
        <v>20</v>
      </c>
      <c r="D37" s="7" t="s">
        <v>196</v>
      </c>
      <c r="E37" s="7" t="s">
        <v>197</v>
      </c>
      <c r="F37" s="7" t="s">
        <v>26</v>
      </c>
    </row>
    <row r="38">
      <c r="A38" s="7" t="s">
        <v>4</v>
      </c>
      <c r="B38" s="8">
        <v>3.0</v>
      </c>
      <c r="C38" s="7" t="s">
        <v>20</v>
      </c>
      <c r="D38" s="7" t="s">
        <v>196</v>
      </c>
      <c r="E38" s="7" t="s">
        <v>197</v>
      </c>
      <c r="F38" s="7" t="s">
        <v>198</v>
      </c>
    </row>
    <row r="39">
      <c r="A39" s="7" t="s">
        <v>5</v>
      </c>
      <c r="B39" s="8">
        <v>3.0</v>
      </c>
      <c r="C39" s="7" t="s">
        <v>20</v>
      </c>
      <c r="D39" s="7" t="s">
        <v>196</v>
      </c>
      <c r="E39" s="7" t="s">
        <v>197</v>
      </c>
      <c r="F39" s="7" t="s">
        <v>199</v>
      </c>
    </row>
    <row r="40">
      <c r="A40" s="7" t="s">
        <v>6</v>
      </c>
      <c r="B40" s="8">
        <v>3.0</v>
      </c>
      <c r="C40" s="7" t="s">
        <v>20</v>
      </c>
      <c r="D40" s="7" t="s">
        <v>196</v>
      </c>
      <c r="E40" s="7" t="s">
        <v>197</v>
      </c>
      <c r="F40" s="7" t="s">
        <v>200</v>
      </c>
    </row>
    <row r="41">
      <c r="A41" s="7" t="s">
        <v>7</v>
      </c>
      <c r="B41" s="8">
        <v>3.0</v>
      </c>
      <c r="C41" s="7" t="s">
        <v>20</v>
      </c>
      <c r="D41" s="7" t="s">
        <v>196</v>
      </c>
      <c r="E41" s="7" t="s">
        <v>197</v>
      </c>
      <c r="F41" s="7" t="s">
        <v>198</v>
      </c>
    </row>
    <row r="42">
      <c r="A42" s="7" t="s">
        <v>8</v>
      </c>
      <c r="B42" s="8">
        <v>3.0</v>
      </c>
      <c r="C42" s="7" t="s">
        <v>20</v>
      </c>
      <c r="D42" s="7" t="s">
        <v>196</v>
      </c>
      <c r="E42" s="7" t="s">
        <v>197</v>
      </c>
      <c r="F42" s="7" t="s">
        <v>25</v>
      </c>
    </row>
    <row r="43">
      <c r="A43" s="7" t="s">
        <v>189</v>
      </c>
      <c r="B43" s="8">
        <v>3.0</v>
      </c>
      <c r="C43" s="7" t="s">
        <v>20</v>
      </c>
      <c r="D43" s="7" t="s">
        <v>196</v>
      </c>
      <c r="E43" s="7" t="s">
        <v>197</v>
      </c>
      <c r="F43" s="7" t="s">
        <v>201</v>
      </c>
    </row>
    <row r="44">
      <c r="A44" s="7" t="s">
        <v>9</v>
      </c>
      <c r="B44" s="8">
        <v>3.0</v>
      </c>
      <c r="C44" s="7" t="s">
        <v>20</v>
      </c>
      <c r="D44" s="7" t="s">
        <v>196</v>
      </c>
      <c r="E44" s="7" t="s">
        <v>197</v>
      </c>
      <c r="F44" s="7" t="s">
        <v>198</v>
      </c>
    </row>
    <row r="45">
      <c r="A45" s="7" t="s">
        <v>10</v>
      </c>
      <c r="B45" s="8">
        <v>3.0</v>
      </c>
      <c r="C45" s="7" t="s">
        <v>20</v>
      </c>
      <c r="D45" s="7" t="s">
        <v>196</v>
      </c>
      <c r="E45" s="7" t="s">
        <v>197</v>
      </c>
      <c r="F45" s="7" t="s">
        <v>26</v>
      </c>
    </row>
    <row r="46">
      <c r="A46" s="7" t="s">
        <v>11</v>
      </c>
      <c r="B46" s="8">
        <v>3.0</v>
      </c>
      <c r="C46" s="7" t="s">
        <v>20</v>
      </c>
      <c r="D46" s="7" t="s">
        <v>196</v>
      </c>
      <c r="E46" s="7" t="s">
        <v>197</v>
      </c>
      <c r="F46" s="7" t="s">
        <v>198</v>
      </c>
    </row>
    <row r="47">
      <c r="A47" s="7" t="s">
        <v>12</v>
      </c>
      <c r="B47" s="8">
        <v>3.0</v>
      </c>
      <c r="C47" s="7" t="s">
        <v>20</v>
      </c>
      <c r="D47" s="7" t="s">
        <v>196</v>
      </c>
      <c r="E47" s="7" t="s">
        <v>197</v>
      </c>
      <c r="F47" s="7" t="s">
        <v>202</v>
      </c>
    </row>
    <row r="48">
      <c r="A48" s="7" t="s">
        <v>13</v>
      </c>
      <c r="B48" s="8">
        <v>3.0</v>
      </c>
      <c r="C48" s="7" t="s">
        <v>20</v>
      </c>
      <c r="D48" s="7" t="s">
        <v>196</v>
      </c>
      <c r="E48" s="7" t="s">
        <v>197</v>
      </c>
      <c r="F48" s="7" t="s">
        <v>198</v>
      </c>
    </row>
    <row r="49">
      <c r="A49" s="7" t="s">
        <v>14</v>
      </c>
      <c r="B49" s="8">
        <v>3.0</v>
      </c>
      <c r="C49" s="7" t="s">
        <v>20</v>
      </c>
      <c r="D49" s="7" t="s">
        <v>196</v>
      </c>
      <c r="E49" s="7" t="s">
        <v>197</v>
      </c>
      <c r="F49" s="7" t="s">
        <v>203</v>
      </c>
    </row>
    <row r="50">
      <c r="A50" s="7" t="s">
        <v>15</v>
      </c>
      <c r="B50" s="8">
        <v>3.0</v>
      </c>
      <c r="C50" s="7" t="s">
        <v>20</v>
      </c>
      <c r="D50" s="7" t="s">
        <v>196</v>
      </c>
      <c r="E50" s="7" t="s">
        <v>197</v>
      </c>
      <c r="F50" s="7" t="s">
        <v>198</v>
      </c>
    </row>
    <row r="51">
      <c r="A51" s="7" t="s">
        <v>16</v>
      </c>
      <c r="B51" s="8">
        <v>3.0</v>
      </c>
      <c r="C51" s="7" t="s">
        <v>20</v>
      </c>
      <c r="D51" s="7" t="s">
        <v>196</v>
      </c>
      <c r="E51" s="7" t="s">
        <v>197</v>
      </c>
      <c r="F51" s="7" t="s">
        <v>198</v>
      </c>
    </row>
    <row r="52">
      <c r="A52" s="7" t="s">
        <v>17</v>
      </c>
      <c r="B52" s="8">
        <v>3.0</v>
      </c>
      <c r="C52" s="7" t="s">
        <v>20</v>
      </c>
      <c r="D52" s="7" t="s">
        <v>196</v>
      </c>
      <c r="E52" s="7" t="s">
        <v>197</v>
      </c>
      <c r="F52" s="7" t="s">
        <v>204</v>
      </c>
    </row>
    <row r="53">
      <c r="A53" s="7" t="s">
        <v>18</v>
      </c>
      <c r="B53" s="8">
        <v>3.0</v>
      </c>
      <c r="C53" s="7" t="s">
        <v>20</v>
      </c>
      <c r="D53" s="7" t="s">
        <v>196</v>
      </c>
      <c r="E53" s="7" t="s">
        <v>197</v>
      </c>
      <c r="F53" s="7" t="s">
        <v>198</v>
      </c>
    </row>
    <row r="54">
      <c r="A54" s="7" t="s">
        <v>188</v>
      </c>
      <c r="B54" s="8">
        <v>3.0</v>
      </c>
      <c r="C54" s="7" t="s">
        <v>35</v>
      </c>
      <c r="D54" s="7" t="s">
        <v>205</v>
      </c>
      <c r="E54" s="7" t="s">
        <v>206</v>
      </c>
      <c r="F54" s="7" t="s">
        <v>207</v>
      </c>
    </row>
    <row r="55">
      <c r="A55" s="7" t="s">
        <v>4</v>
      </c>
      <c r="B55" s="8">
        <v>3.0</v>
      </c>
      <c r="C55" s="7" t="s">
        <v>35</v>
      </c>
      <c r="D55" s="7" t="s">
        <v>205</v>
      </c>
      <c r="E55" s="7" t="s">
        <v>206</v>
      </c>
      <c r="F55" s="7" t="s">
        <v>38</v>
      </c>
    </row>
    <row r="56">
      <c r="A56" s="7" t="s">
        <v>5</v>
      </c>
      <c r="B56" s="8">
        <v>3.0</v>
      </c>
      <c r="C56" s="7" t="s">
        <v>35</v>
      </c>
      <c r="D56" s="7" t="s">
        <v>205</v>
      </c>
      <c r="E56" s="7" t="s">
        <v>206</v>
      </c>
      <c r="F56" s="7" t="s">
        <v>208</v>
      </c>
    </row>
    <row r="57">
      <c r="A57" s="7" t="s">
        <v>6</v>
      </c>
      <c r="B57" s="8">
        <v>3.0</v>
      </c>
      <c r="C57" s="7" t="s">
        <v>35</v>
      </c>
      <c r="D57" s="7" t="s">
        <v>205</v>
      </c>
      <c r="E57" s="7" t="s">
        <v>206</v>
      </c>
      <c r="F57" s="7" t="s">
        <v>209</v>
      </c>
    </row>
    <row r="58">
      <c r="A58" s="7" t="s">
        <v>7</v>
      </c>
      <c r="B58" s="8">
        <v>3.0</v>
      </c>
      <c r="C58" s="7" t="s">
        <v>35</v>
      </c>
      <c r="D58" s="7" t="s">
        <v>205</v>
      </c>
      <c r="E58" s="7" t="s">
        <v>206</v>
      </c>
      <c r="F58" s="7" t="s">
        <v>38</v>
      </c>
    </row>
    <row r="59">
      <c r="A59" s="7" t="s">
        <v>8</v>
      </c>
      <c r="B59" s="8">
        <v>3.0</v>
      </c>
      <c r="C59" s="7" t="s">
        <v>35</v>
      </c>
      <c r="D59" s="7" t="s">
        <v>205</v>
      </c>
      <c r="E59" s="7" t="s">
        <v>206</v>
      </c>
      <c r="F59" s="7" t="s">
        <v>210</v>
      </c>
    </row>
    <row r="60">
      <c r="A60" s="7" t="s">
        <v>189</v>
      </c>
      <c r="B60" s="8">
        <v>3.0</v>
      </c>
      <c r="C60" s="7" t="s">
        <v>35</v>
      </c>
      <c r="D60" s="7" t="s">
        <v>205</v>
      </c>
      <c r="E60" s="7" t="s">
        <v>206</v>
      </c>
      <c r="F60" s="7" t="s">
        <v>207</v>
      </c>
    </row>
    <row r="61">
      <c r="A61" s="7" t="s">
        <v>9</v>
      </c>
      <c r="B61" s="8">
        <v>3.0</v>
      </c>
      <c r="C61" s="7" t="s">
        <v>35</v>
      </c>
      <c r="D61" s="7" t="s">
        <v>205</v>
      </c>
      <c r="E61" s="7" t="s">
        <v>206</v>
      </c>
      <c r="F61" s="7" t="s">
        <v>38</v>
      </c>
    </row>
    <row r="62">
      <c r="A62" s="7" t="s">
        <v>10</v>
      </c>
      <c r="B62" s="8">
        <v>3.0</v>
      </c>
      <c r="C62" s="7" t="s">
        <v>35</v>
      </c>
      <c r="D62" s="7" t="s">
        <v>205</v>
      </c>
      <c r="E62" s="7" t="s">
        <v>206</v>
      </c>
      <c r="F62" s="7" t="s">
        <v>207</v>
      </c>
    </row>
    <row r="63">
      <c r="A63" s="7" t="s">
        <v>11</v>
      </c>
      <c r="B63" s="8">
        <v>3.0</v>
      </c>
      <c r="C63" s="7" t="s">
        <v>35</v>
      </c>
      <c r="D63" s="7" t="s">
        <v>205</v>
      </c>
      <c r="E63" s="7" t="s">
        <v>206</v>
      </c>
      <c r="F63" s="7" t="s">
        <v>39</v>
      </c>
    </row>
    <row r="64">
      <c r="A64" s="7" t="s">
        <v>12</v>
      </c>
      <c r="B64" s="8">
        <v>3.0</v>
      </c>
      <c r="C64" s="7" t="s">
        <v>35</v>
      </c>
      <c r="D64" s="7" t="s">
        <v>205</v>
      </c>
      <c r="E64" s="7" t="s">
        <v>206</v>
      </c>
      <c r="F64" s="7" t="s">
        <v>211</v>
      </c>
    </row>
    <row r="65">
      <c r="A65" s="7" t="s">
        <v>13</v>
      </c>
      <c r="B65" s="8">
        <v>3.0</v>
      </c>
      <c r="C65" s="7" t="s">
        <v>35</v>
      </c>
      <c r="D65" s="7" t="s">
        <v>205</v>
      </c>
      <c r="E65" s="7" t="s">
        <v>206</v>
      </c>
      <c r="F65" s="7" t="s">
        <v>212</v>
      </c>
    </row>
    <row r="66">
      <c r="A66" s="7" t="s">
        <v>14</v>
      </c>
      <c r="B66" s="8">
        <v>3.0</v>
      </c>
      <c r="C66" s="7" t="s">
        <v>35</v>
      </c>
      <c r="D66" s="7" t="s">
        <v>205</v>
      </c>
      <c r="E66" s="7" t="s">
        <v>206</v>
      </c>
      <c r="F66" s="7" t="s">
        <v>213</v>
      </c>
    </row>
    <row r="67">
      <c r="A67" s="7" t="s">
        <v>15</v>
      </c>
      <c r="B67" s="8">
        <v>3.0</v>
      </c>
      <c r="C67" s="7" t="s">
        <v>35</v>
      </c>
      <c r="D67" s="7" t="s">
        <v>205</v>
      </c>
      <c r="E67" s="7" t="s">
        <v>206</v>
      </c>
      <c r="F67" s="7" t="s">
        <v>214</v>
      </c>
    </row>
    <row r="68">
      <c r="A68" s="7" t="s">
        <v>16</v>
      </c>
      <c r="B68" s="8">
        <v>3.0</v>
      </c>
      <c r="C68" s="7" t="s">
        <v>35</v>
      </c>
      <c r="D68" s="7" t="s">
        <v>205</v>
      </c>
      <c r="E68" s="7" t="s">
        <v>206</v>
      </c>
      <c r="F68" s="7" t="s">
        <v>38</v>
      </c>
    </row>
    <row r="69">
      <c r="A69" s="7" t="s">
        <v>17</v>
      </c>
      <c r="B69" s="8">
        <v>3.0</v>
      </c>
      <c r="C69" s="7" t="s">
        <v>35</v>
      </c>
      <c r="D69" s="7" t="s">
        <v>205</v>
      </c>
      <c r="E69" s="7" t="s">
        <v>206</v>
      </c>
      <c r="F69" s="7" t="s">
        <v>215</v>
      </c>
    </row>
    <row r="70">
      <c r="A70" s="7" t="s">
        <v>18</v>
      </c>
      <c r="B70" s="8">
        <v>3.0</v>
      </c>
      <c r="C70" s="7" t="s">
        <v>35</v>
      </c>
      <c r="D70" s="7" t="s">
        <v>205</v>
      </c>
      <c r="E70" s="7" t="s">
        <v>206</v>
      </c>
      <c r="F70" s="7" t="s">
        <v>216</v>
      </c>
    </row>
    <row r="71">
      <c r="A71" s="7" t="s">
        <v>188</v>
      </c>
      <c r="B71" s="8">
        <v>3.0</v>
      </c>
      <c r="C71" s="7" t="s">
        <v>59</v>
      </c>
      <c r="D71" s="7" t="s">
        <v>217</v>
      </c>
      <c r="E71" s="7" t="s">
        <v>218</v>
      </c>
      <c r="F71" s="7" t="s">
        <v>56</v>
      </c>
    </row>
    <row r="72">
      <c r="A72" s="7" t="s">
        <v>4</v>
      </c>
      <c r="B72" s="8">
        <v>3.0</v>
      </c>
      <c r="C72" s="7" t="s">
        <v>59</v>
      </c>
      <c r="D72" s="7" t="s">
        <v>217</v>
      </c>
      <c r="E72" s="7" t="s">
        <v>218</v>
      </c>
      <c r="F72" s="7" t="s">
        <v>54</v>
      </c>
    </row>
    <row r="73">
      <c r="A73" s="7" t="s">
        <v>5</v>
      </c>
      <c r="B73" s="8">
        <v>3.0</v>
      </c>
      <c r="C73" s="7" t="s">
        <v>59</v>
      </c>
      <c r="D73" s="7" t="s">
        <v>217</v>
      </c>
      <c r="E73" s="7" t="s">
        <v>218</v>
      </c>
      <c r="F73" s="7" t="s">
        <v>56</v>
      </c>
    </row>
    <row r="74">
      <c r="A74" s="7" t="s">
        <v>6</v>
      </c>
      <c r="B74" s="8">
        <v>3.0</v>
      </c>
      <c r="C74" s="7" t="s">
        <v>59</v>
      </c>
      <c r="D74" s="7" t="s">
        <v>217</v>
      </c>
      <c r="E74" s="7" t="s">
        <v>218</v>
      </c>
      <c r="F74" s="7" t="s">
        <v>54</v>
      </c>
    </row>
    <row r="75">
      <c r="A75" s="7" t="s">
        <v>7</v>
      </c>
      <c r="B75" s="8">
        <v>3.0</v>
      </c>
      <c r="C75" s="7" t="s">
        <v>59</v>
      </c>
      <c r="D75" s="7" t="s">
        <v>217</v>
      </c>
      <c r="E75" s="7" t="s">
        <v>218</v>
      </c>
      <c r="F75" s="7" t="s">
        <v>54</v>
      </c>
    </row>
    <row r="76">
      <c r="A76" s="7" t="s">
        <v>8</v>
      </c>
      <c r="B76" s="8">
        <v>3.0</v>
      </c>
      <c r="C76" s="7" t="s">
        <v>59</v>
      </c>
      <c r="D76" s="7" t="s">
        <v>217</v>
      </c>
      <c r="E76" s="7" t="s">
        <v>218</v>
      </c>
      <c r="F76" s="7" t="s">
        <v>219</v>
      </c>
    </row>
    <row r="77">
      <c r="A77" s="7" t="s">
        <v>189</v>
      </c>
      <c r="B77" s="8">
        <v>3.0</v>
      </c>
      <c r="C77" s="7" t="s">
        <v>59</v>
      </c>
      <c r="D77" s="7" t="s">
        <v>217</v>
      </c>
      <c r="E77" s="7" t="s">
        <v>218</v>
      </c>
      <c r="F77" s="7" t="s">
        <v>220</v>
      </c>
    </row>
    <row r="78">
      <c r="A78" s="7" t="s">
        <v>9</v>
      </c>
      <c r="B78" s="8">
        <v>3.0</v>
      </c>
      <c r="C78" s="7" t="s">
        <v>59</v>
      </c>
      <c r="D78" s="7" t="s">
        <v>217</v>
      </c>
      <c r="E78" s="7" t="s">
        <v>218</v>
      </c>
      <c r="F78" s="7" t="s">
        <v>53</v>
      </c>
    </row>
    <row r="79">
      <c r="A79" s="7" t="s">
        <v>10</v>
      </c>
      <c r="B79" s="8">
        <v>3.0</v>
      </c>
      <c r="C79" s="7" t="s">
        <v>59</v>
      </c>
      <c r="D79" s="7" t="s">
        <v>217</v>
      </c>
      <c r="E79" s="7" t="s">
        <v>218</v>
      </c>
      <c r="F79" s="7" t="s">
        <v>53</v>
      </c>
    </row>
    <row r="80">
      <c r="A80" s="7" t="s">
        <v>11</v>
      </c>
      <c r="B80" s="8">
        <v>3.0</v>
      </c>
      <c r="C80" s="7" t="s">
        <v>59</v>
      </c>
      <c r="D80" s="7" t="s">
        <v>217</v>
      </c>
      <c r="E80" s="7" t="s">
        <v>218</v>
      </c>
      <c r="F80" s="7" t="s">
        <v>56</v>
      </c>
    </row>
    <row r="81">
      <c r="A81" s="7" t="s">
        <v>12</v>
      </c>
      <c r="B81" s="8">
        <v>3.0</v>
      </c>
      <c r="C81" s="7" t="s">
        <v>59</v>
      </c>
      <c r="D81" s="7" t="s">
        <v>217</v>
      </c>
      <c r="E81" s="7" t="s">
        <v>218</v>
      </c>
      <c r="F81" s="7" t="s">
        <v>56</v>
      </c>
    </row>
    <row r="82">
      <c r="A82" s="7" t="s">
        <v>13</v>
      </c>
      <c r="B82" s="8">
        <v>3.0</v>
      </c>
      <c r="C82" s="7" t="s">
        <v>59</v>
      </c>
      <c r="D82" s="7" t="s">
        <v>217</v>
      </c>
      <c r="E82" s="7" t="s">
        <v>218</v>
      </c>
      <c r="F82" s="7" t="s">
        <v>56</v>
      </c>
    </row>
    <row r="83">
      <c r="A83" s="7" t="s">
        <v>14</v>
      </c>
      <c r="B83" s="8">
        <v>3.0</v>
      </c>
      <c r="C83" s="7" t="s">
        <v>59</v>
      </c>
      <c r="D83" s="7" t="s">
        <v>217</v>
      </c>
      <c r="E83" s="7" t="s">
        <v>218</v>
      </c>
      <c r="F83" s="7" t="s">
        <v>56</v>
      </c>
    </row>
    <row r="84">
      <c r="A84" s="7" t="s">
        <v>15</v>
      </c>
      <c r="B84" s="8">
        <v>3.0</v>
      </c>
      <c r="C84" s="7" t="s">
        <v>59</v>
      </c>
      <c r="D84" s="7" t="s">
        <v>217</v>
      </c>
      <c r="E84" s="7" t="s">
        <v>218</v>
      </c>
      <c r="F84" s="7" t="s">
        <v>56</v>
      </c>
    </row>
    <row r="85">
      <c r="A85" s="7" t="s">
        <v>16</v>
      </c>
      <c r="B85" s="8">
        <v>3.0</v>
      </c>
      <c r="C85" s="7" t="s">
        <v>59</v>
      </c>
      <c r="D85" s="7" t="s">
        <v>217</v>
      </c>
      <c r="E85" s="7" t="s">
        <v>218</v>
      </c>
      <c r="F85" s="7" t="s">
        <v>54</v>
      </c>
    </row>
    <row r="86">
      <c r="A86" s="7" t="s">
        <v>17</v>
      </c>
      <c r="B86" s="8">
        <v>3.0</v>
      </c>
      <c r="C86" s="7" t="s">
        <v>59</v>
      </c>
      <c r="D86" s="7" t="s">
        <v>217</v>
      </c>
      <c r="E86" s="7" t="s">
        <v>218</v>
      </c>
      <c r="F86" s="7" t="s">
        <v>54</v>
      </c>
    </row>
    <row r="87">
      <c r="A87" s="7" t="s">
        <v>18</v>
      </c>
      <c r="B87" s="8">
        <v>3.0</v>
      </c>
      <c r="C87" s="7" t="s">
        <v>59</v>
      </c>
      <c r="D87" s="7" t="s">
        <v>217</v>
      </c>
      <c r="E87" s="7" t="s">
        <v>218</v>
      </c>
      <c r="F87" s="7" t="s">
        <v>54</v>
      </c>
    </row>
    <row r="88">
      <c r="A88" s="7" t="s">
        <v>19</v>
      </c>
      <c r="B88" s="8">
        <v>3.0</v>
      </c>
      <c r="C88" s="7" t="s">
        <v>59</v>
      </c>
      <c r="D88" s="7" t="s">
        <v>217</v>
      </c>
      <c r="E88" s="7" t="s">
        <v>218</v>
      </c>
      <c r="F88" s="7" t="s">
        <v>54</v>
      </c>
    </row>
    <row r="89">
      <c r="A89" s="7" t="s">
        <v>188</v>
      </c>
      <c r="B89" s="8">
        <v>3.0</v>
      </c>
      <c r="C89" s="7" t="s">
        <v>49</v>
      </c>
      <c r="D89" s="7" t="s">
        <v>221</v>
      </c>
      <c r="E89" s="7" t="s">
        <v>222</v>
      </c>
      <c r="F89" s="7" t="s">
        <v>56</v>
      </c>
    </row>
    <row r="90">
      <c r="A90" s="7" t="s">
        <v>4</v>
      </c>
      <c r="B90" s="8">
        <v>3.0</v>
      </c>
      <c r="C90" s="7" t="s">
        <v>49</v>
      </c>
      <c r="D90" s="7" t="s">
        <v>221</v>
      </c>
      <c r="E90" s="7" t="s">
        <v>222</v>
      </c>
      <c r="F90" s="7" t="s">
        <v>54</v>
      </c>
    </row>
    <row r="91">
      <c r="A91" s="7" t="s">
        <v>5</v>
      </c>
      <c r="B91" s="8">
        <v>3.0</v>
      </c>
      <c r="C91" s="7" t="s">
        <v>49</v>
      </c>
      <c r="D91" s="7" t="s">
        <v>221</v>
      </c>
      <c r="E91" s="7" t="s">
        <v>222</v>
      </c>
      <c r="F91" s="7" t="s">
        <v>56</v>
      </c>
    </row>
    <row r="92">
      <c r="A92" s="7" t="s">
        <v>6</v>
      </c>
      <c r="B92" s="8">
        <v>3.0</v>
      </c>
      <c r="C92" s="7" t="s">
        <v>49</v>
      </c>
      <c r="D92" s="7" t="s">
        <v>221</v>
      </c>
      <c r="E92" s="7" t="s">
        <v>222</v>
      </c>
      <c r="F92" s="7" t="s">
        <v>54</v>
      </c>
    </row>
    <row r="93">
      <c r="A93" s="7" t="s">
        <v>7</v>
      </c>
      <c r="B93" s="8">
        <v>3.0</v>
      </c>
      <c r="C93" s="7" t="s">
        <v>49</v>
      </c>
      <c r="D93" s="7" t="s">
        <v>221</v>
      </c>
      <c r="E93" s="7" t="s">
        <v>222</v>
      </c>
      <c r="F93" s="7" t="s">
        <v>54</v>
      </c>
    </row>
    <row r="94">
      <c r="A94" s="7" t="s">
        <v>8</v>
      </c>
      <c r="B94" s="8">
        <v>3.0</v>
      </c>
      <c r="C94" s="7" t="s">
        <v>49</v>
      </c>
      <c r="D94" s="7" t="s">
        <v>221</v>
      </c>
      <c r="E94" s="7" t="s">
        <v>222</v>
      </c>
      <c r="F94" s="7" t="s">
        <v>219</v>
      </c>
    </row>
    <row r="95">
      <c r="A95" s="7" t="s">
        <v>189</v>
      </c>
      <c r="B95" s="8">
        <v>3.0</v>
      </c>
      <c r="C95" s="7" t="s">
        <v>49</v>
      </c>
      <c r="D95" s="7" t="s">
        <v>221</v>
      </c>
      <c r="E95" s="7" t="s">
        <v>222</v>
      </c>
      <c r="F95" s="7" t="s">
        <v>220</v>
      </c>
    </row>
    <row r="96">
      <c r="A96" s="7" t="s">
        <v>9</v>
      </c>
      <c r="B96" s="8">
        <v>3.0</v>
      </c>
      <c r="C96" s="7" t="s">
        <v>49</v>
      </c>
      <c r="D96" s="7" t="s">
        <v>221</v>
      </c>
      <c r="E96" s="7" t="s">
        <v>222</v>
      </c>
      <c r="F96" s="7" t="s">
        <v>53</v>
      </c>
    </row>
    <row r="97">
      <c r="A97" s="7" t="s">
        <v>10</v>
      </c>
      <c r="B97" s="8">
        <v>3.0</v>
      </c>
      <c r="C97" s="7" t="s">
        <v>49</v>
      </c>
      <c r="D97" s="7" t="s">
        <v>221</v>
      </c>
      <c r="E97" s="7" t="s">
        <v>222</v>
      </c>
      <c r="F97" s="7" t="s">
        <v>53</v>
      </c>
    </row>
    <row r="98">
      <c r="A98" s="7" t="s">
        <v>11</v>
      </c>
      <c r="B98" s="8">
        <v>3.0</v>
      </c>
      <c r="C98" s="7" t="s">
        <v>49</v>
      </c>
      <c r="D98" s="7" t="s">
        <v>221</v>
      </c>
      <c r="E98" s="7" t="s">
        <v>222</v>
      </c>
      <c r="F98" s="7" t="s">
        <v>56</v>
      </c>
    </row>
    <row r="99">
      <c r="A99" s="7" t="s">
        <v>12</v>
      </c>
      <c r="B99" s="8">
        <v>3.0</v>
      </c>
      <c r="C99" s="7" t="s">
        <v>49</v>
      </c>
      <c r="D99" s="7" t="s">
        <v>221</v>
      </c>
      <c r="E99" s="7" t="s">
        <v>222</v>
      </c>
      <c r="F99" s="7" t="s">
        <v>56</v>
      </c>
    </row>
    <row r="100">
      <c r="A100" s="7" t="s">
        <v>13</v>
      </c>
      <c r="B100" s="8">
        <v>3.0</v>
      </c>
      <c r="C100" s="7" t="s">
        <v>49</v>
      </c>
      <c r="D100" s="7" t="s">
        <v>221</v>
      </c>
      <c r="E100" s="7" t="s">
        <v>222</v>
      </c>
      <c r="F100" s="7" t="s">
        <v>56</v>
      </c>
    </row>
    <row r="101">
      <c r="A101" s="7" t="s">
        <v>14</v>
      </c>
      <c r="B101" s="8">
        <v>3.0</v>
      </c>
      <c r="C101" s="7" t="s">
        <v>49</v>
      </c>
      <c r="D101" s="7" t="s">
        <v>221</v>
      </c>
      <c r="E101" s="7" t="s">
        <v>222</v>
      </c>
      <c r="F101" s="7" t="s">
        <v>56</v>
      </c>
    </row>
    <row r="102">
      <c r="A102" s="7" t="s">
        <v>15</v>
      </c>
      <c r="B102" s="8">
        <v>3.0</v>
      </c>
      <c r="C102" s="7" t="s">
        <v>49</v>
      </c>
      <c r="D102" s="7" t="s">
        <v>221</v>
      </c>
      <c r="E102" s="7" t="s">
        <v>222</v>
      </c>
      <c r="F102" s="7" t="s">
        <v>56</v>
      </c>
    </row>
    <row r="103">
      <c r="A103" s="7" t="s">
        <v>16</v>
      </c>
      <c r="B103" s="8">
        <v>3.0</v>
      </c>
      <c r="C103" s="7" t="s">
        <v>49</v>
      </c>
      <c r="D103" s="7" t="s">
        <v>221</v>
      </c>
      <c r="E103" s="7" t="s">
        <v>222</v>
      </c>
      <c r="F103" s="7" t="s">
        <v>54</v>
      </c>
    </row>
    <row r="104">
      <c r="A104" s="7" t="s">
        <v>17</v>
      </c>
      <c r="B104" s="8">
        <v>3.0</v>
      </c>
      <c r="C104" s="7" t="s">
        <v>49</v>
      </c>
      <c r="D104" s="7" t="s">
        <v>221</v>
      </c>
      <c r="E104" s="7" t="s">
        <v>222</v>
      </c>
      <c r="F104" s="7" t="s">
        <v>54</v>
      </c>
    </row>
    <row r="105">
      <c r="A105" s="7" t="s">
        <v>18</v>
      </c>
      <c r="B105" s="8">
        <v>3.0</v>
      </c>
      <c r="C105" s="7" t="s">
        <v>49</v>
      </c>
      <c r="D105" s="7" t="s">
        <v>221</v>
      </c>
      <c r="E105" s="7" t="s">
        <v>222</v>
      </c>
      <c r="F105" s="7" t="s">
        <v>54</v>
      </c>
    </row>
    <row r="106">
      <c r="A106" s="7" t="s">
        <v>19</v>
      </c>
      <c r="B106" s="8">
        <v>3.0</v>
      </c>
      <c r="C106" s="7" t="s">
        <v>49</v>
      </c>
      <c r="D106" s="7" t="s">
        <v>221</v>
      </c>
      <c r="E106" s="7" t="s">
        <v>222</v>
      </c>
      <c r="F106" s="7" t="s">
        <v>54</v>
      </c>
    </row>
    <row r="107">
      <c r="A107" s="7" t="s">
        <v>188</v>
      </c>
      <c r="B107" s="8">
        <v>3.0</v>
      </c>
      <c r="C107" s="7" t="s">
        <v>223</v>
      </c>
      <c r="D107" s="7" t="s">
        <v>224</v>
      </c>
      <c r="E107" s="7" t="s">
        <v>225</v>
      </c>
      <c r="F107" s="7" t="s">
        <v>47</v>
      </c>
    </row>
    <row r="108">
      <c r="A108" s="7" t="s">
        <v>4</v>
      </c>
      <c r="B108" s="8">
        <v>3.0</v>
      </c>
      <c r="C108" s="7" t="s">
        <v>223</v>
      </c>
      <c r="D108" s="7" t="s">
        <v>224</v>
      </c>
      <c r="E108" s="7" t="s">
        <v>225</v>
      </c>
      <c r="F108" s="7" t="s">
        <v>47</v>
      </c>
    </row>
    <row r="109">
      <c r="A109" s="7" t="s">
        <v>5</v>
      </c>
      <c r="B109" s="8">
        <v>3.0</v>
      </c>
      <c r="C109" s="7" t="s">
        <v>223</v>
      </c>
      <c r="D109" s="7" t="s">
        <v>224</v>
      </c>
      <c r="E109" s="7" t="s">
        <v>225</v>
      </c>
      <c r="F109" s="7" t="s">
        <v>47</v>
      </c>
    </row>
    <row r="110">
      <c r="A110" s="7" t="s">
        <v>6</v>
      </c>
      <c r="B110" s="8">
        <v>3.0</v>
      </c>
      <c r="C110" s="7" t="s">
        <v>223</v>
      </c>
      <c r="D110" s="7" t="s">
        <v>224</v>
      </c>
      <c r="E110" s="7" t="s">
        <v>225</v>
      </c>
      <c r="F110" s="7" t="s">
        <v>47</v>
      </c>
    </row>
    <row r="111">
      <c r="A111" s="7" t="s">
        <v>7</v>
      </c>
      <c r="B111" s="8">
        <v>3.0</v>
      </c>
      <c r="C111" s="7" t="s">
        <v>223</v>
      </c>
      <c r="D111" s="7" t="s">
        <v>224</v>
      </c>
      <c r="E111" s="7" t="s">
        <v>225</v>
      </c>
      <c r="F111" s="7" t="s">
        <v>47</v>
      </c>
    </row>
    <row r="112">
      <c r="A112" s="7" t="s">
        <v>8</v>
      </c>
      <c r="B112" s="8">
        <v>3.0</v>
      </c>
      <c r="C112" s="7" t="s">
        <v>223</v>
      </c>
      <c r="D112" s="7" t="s">
        <v>224</v>
      </c>
      <c r="E112" s="7" t="s">
        <v>225</v>
      </c>
      <c r="F112" s="7" t="s">
        <v>226</v>
      </c>
    </row>
    <row r="113">
      <c r="A113" s="7" t="s">
        <v>189</v>
      </c>
      <c r="B113" s="8">
        <v>3.0</v>
      </c>
      <c r="C113" s="7" t="s">
        <v>223</v>
      </c>
      <c r="D113" s="7" t="s">
        <v>224</v>
      </c>
      <c r="E113" s="7" t="s">
        <v>225</v>
      </c>
      <c r="F113" s="7" t="s">
        <v>47</v>
      </c>
    </row>
    <row r="114">
      <c r="A114" s="7" t="s">
        <v>9</v>
      </c>
      <c r="B114" s="8">
        <v>3.0</v>
      </c>
      <c r="C114" s="7" t="s">
        <v>223</v>
      </c>
      <c r="D114" s="7" t="s">
        <v>224</v>
      </c>
      <c r="E114" s="7" t="s">
        <v>225</v>
      </c>
      <c r="F114" s="7" t="s">
        <v>47</v>
      </c>
    </row>
    <row r="115">
      <c r="A115" s="7" t="s">
        <v>10</v>
      </c>
      <c r="B115" s="8">
        <v>3.0</v>
      </c>
      <c r="C115" s="7" t="s">
        <v>223</v>
      </c>
      <c r="D115" s="7" t="s">
        <v>224</v>
      </c>
      <c r="E115" s="7" t="s">
        <v>225</v>
      </c>
      <c r="F115" s="7" t="s">
        <v>47</v>
      </c>
    </row>
    <row r="116">
      <c r="A116" s="7" t="s">
        <v>11</v>
      </c>
      <c r="B116" s="8">
        <v>3.0</v>
      </c>
      <c r="C116" s="7" t="s">
        <v>223</v>
      </c>
      <c r="D116" s="7" t="s">
        <v>224</v>
      </c>
      <c r="E116" s="7" t="s">
        <v>225</v>
      </c>
      <c r="F116" s="7" t="s">
        <v>47</v>
      </c>
    </row>
    <row r="117">
      <c r="A117" s="7" t="s">
        <v>12</v>
      </c>
      <c r="B117" s="8">
        <v>3.0</v>
      </c>
      <c r="C117" s="7" t="s">
        <v>223</v>
      </c>
      <c r="D117" s="7" t="s">
        <v>224</v>
      </c>
      <c r="E117" s="7" t="s">
        <v>225</v>
      </c>
      <c r="F117" s="7" t="s">
        <v>47</v>
      </c>
    </row>
    <row r="118">
      <c r="A118" s="7" t="s">
        <v>13</v>
      </c>
      <c r="B118" s="8">
        <v>3.0</v>
      </c>
      <c r="C118" s="7" t="s">
        <v>223</v>
      </c>
      <c r="D118" s="7" t="s">
        <v>224</v>
      </c>
      <c r="E118" s="7" t="s">
        <v>225</v>
      </c>
      <c r="F118" s="7" t="s">
        <v>47</v>
      </c>
    </row>
    <row r="119">
      <c r="A119" s="7" t="s">
        <v>14</v>
      </c>
      <c r="B119" s="8">
        <v>3.0</v>
      </c>
      <c r="C119" s="7" t="s">
        <v>223</v>
      </c>
      <c r="D119" s="7" t="s">
        <v>224</v>
      </c>
      <c r="E119" s="7" t="s">
        <v>225</v>
      </c>
      <c r="F119" s="7" t="s">
        <v>47</v>
      </c>
    </row>
    <row r="120">
      <c r="A120" s="7" t="s">
        <v>15</v>
      </c>
      <c r="B120" s="8">
        <v>3.0</v>
      </c>
      <c r="C120" s="7" t="s">
        <v>223</v>
      </c>
      <c r="D120" s="7" t="s">
        <v>224</v>
      </c>
      <c r="E120" s="7" t="s">
        <v>225</v>
      </c>
      <c r="F120" s="7" t="s">
        <v>47</v>
      </c>
    </row>
    <row r="121">
      <c r="A121" s="7" t="s">
        <v>16</v>
      </c>
      <c r="B121" s="8">
        <v>3.0</v>
      </c>
      <c r="C121" s="7" t="s">
        <v>223</v>
      </c>
      <c r="D121" s="7" t="s">
        <v>224</v>
      </c>
      <c r="E121" s="7" t="s">
        <v>225</v>
      </c>
      <c r="F121" s="7" t="s">
        <v>47</v>
      </c>
    </row>
    <row r="122">
      <c r="A122" s="7" t="s">
        <v>17</v>
      </c>
      <c r="B122" s="8">
        <v>3.0</v>
      </c>
      <c r="C122" s="7" t="s">
        <v>223</v>
      </c>
      <c r="D122" s="7" t="s">
        <v>224</v>
      </c>
      <c r="E122" s="7" t="s">
        <v>225</v>
      </c>
      <c r="F122" s="7" t="s">
        <v>47</v>
      </c>
    </row>
    <row r="123">
      <c r="A123" s="7" t="s">
        <v>18</v>
      </c>
      <c r="B123" s="8">
        <v>3.0</v>
      </c>
      <c r="C123" s="7" t="s">
        <v>223</v>
      </c>
      <c r="D123" s="7" t="s">
        <v>224</v>
      </c>
      <c r="E123" s="7" t="s">
        <v>225</v>
      </c>
      <c r="F123" s="7" t="s">
        <v>47</v>
      </c>
    </row>
    <row r="124">
      <c r="A124" s="7" t="s">
        <v>19</v>
      </c>
      <c r="B124" s="8">
        <v>3.0</v>
      </c>
      <c r="C124" s="7" t="s">
        <v>223</v>
      </c>
      <c r="D124" s="7" t="s">
        <v>224</v>
      </c>
      <c r="E124" s="7" t="s">
        <v>225</v>
      </c>
      <c r="F124" s="7" t="s">
        <v>47</v>
      </c>
    </row>
    <row r="125">
      <c r="A125" s="7" t="s">
        <v>188</v>
      </c>
      <c r="B125" s="8">
        <v>3.0</v>
      </c>
      <c r="C125" s="7" t="s">
        <v>227</v>
      </c>
      <c r="D125" s="7" t="s">
        <v>228</v>
      </c>
      <c r="E125" s="7" t="s">
        <v>229</v>
      </c>
      <c r="F125" s="7" t="s">
        <v>379</v>
      </c>
    </row>
    <row r="126">
      <c r="A126" s="7" t="s">
        <v>4</v>
      </c>
      <c r="B126" s="8">
        <v>3.0</v>
      </c>
      <c r="C126" s="7" t="s">
        <v>227</v>
      </c>
      <c r="D126" s="7" t="s">
        <v>228</v>
      </c>
      <c r="E126" s="7" t="s">
        <v>229</v>
      </c>
      <c r="F126" s="7" t="s">
        <v>380</v>
      </c>
    </row>
    <row r="127">
      <c r="A127" s="7" t="s">
        <v>5</v>
      </c>
      <c r="B127" s="8">
        <v>3.0</v>
      </c>
      <c r="C127" s="7" t="s">
        <v>227</v>
      </c>
      <c r="D127" s="7" t="s">
        <v>228</v>
      </c>
      <c r="E127" s="7" t="s">
        <v>229</v>
      </c>
      <c r="F127" s="7" t="s">
        <v>381</v>
      </c>
    </row>
    <row r="128">
      <c r="A128" s="7" t="s">
        <v>6</v>
      </c>
      <c r="B128" s="8">
        <v>3.0</v>
      </c>
      <c r="C128" s="7" t="s">
        <v>227</v>
      </c>
      <c r="D128" s="7" t="s">
        <v>228</v>
      </c>
      <c r="E128" s="7" t="s">
        <v>229</v>
      </c>
      <c r="F128" s="7" t="s">
        <v>380</v>
      </c>
    </row>
    <row r="129">
      <c r="A129" s="7" t="s">
        <v>7</v>
      </c>
      <c r="B129" s="8">
        <v>3.0</v>
      </c>
      <c r="C129" s="7" t="s">
        <v>227</v>
      </c>
      <c r="D129" s="7" t="s">
        <v>228</v>
      </c>
      <c r="E129" s="7" t="s">
        <v>229</v>
      </c>
      <c r="F129" s="7" t="s">
        <v>382</v>
      </c>
    </row>
    <row r="130">
      <c r="A130" s="7" t="s">
        <v>8</v>
      </c>
      <c r="B130" s="8">
        <v>3.0</v>
      </c>
      <c r="C130" s="7" t="s">
        <v>227</v>
      </c>
      <c r="D130" s="7" t="s">
        <v>228</v>
      </c>
      <c r="E130" s="7" t="s">
        <v>229</v>
      </c>
      <c r="F130" s="7" t="s">
        <v>382</v>
      </c>
    </row>
    <row r="131">
      <c r="A131" s="7" t="s">
        <v>189</v>
      </c>
      <c r="B131" s="8">
        <v>3.0</v>
      </c>
      <c r="C131" s="7" t="s">
        <v>227</v>
      </c>
      <c r="D131" s="7" t="s">
        <v>228</v>
      </c>
      <c r="E131" s="7" t="s">
        <v>229</v>
      </c>
      <c r="F131" s="7" t="s">
        <v>382</v>
      </c>
    </row>
    <row r="132">
      <c r="A132" s="7" t="s">
        <v>9</v>
      </c>
      <c r="B132" s="8">
        <v>3.0</v>
      </c>
      <c r="C132" s="7" t="s">
        <v>227</v>
      </c>
      <c r="D132" s="7" t="s">
        <v>228</v>
      </c>
      <c r="E132" s="7" t="s">
        <v>229</v>
      </c>
      <c r="F132" s="7" t="s">
        <v>380</v>
      </c>
    </row>
    <row r="133">
      <c r="A133" s="7" t="s">
        <v>10</v>
      </c>
      <c r="B133" s="8">
        <v>3.0</v>
      </c>
      <c r="C133" s="7" t="s">
        <v>227</v>
      </c>
      <c r="D133" s="7" t="s">
        <v>228</v>
      </c>
      <c r="E133" s="7" t="s">
        <v>229</v>
      </c>
      <c r="F133" s="7" t="s">
        <v>382</v>
      </c>
    </row>
    <row r="134">
      <c r="A134" s="7" t="s">
        <v>11</v>
      </c>
      <c r="B134" s="8">
        <v>3.0</v>
      </c>
      <c r="C134" s="7" t="s">
        <v>227</v>
      </c>
      <c r="D134" s="7" t="s">
        <v>228</v>
      </c>
      <c r="E134" s="7" t="s">
        <v>229</v>
      </c>
      <c r="F134" s="7" t="s">
        <v>380</v>
      </c>
    </row>
    <row r="135">
      <c r="A135" s="7" t="s">
        <v>12</v>
      </c>
      <c r="B135" s="8">
        <v>3.0</v>
      </c>
      <c r="C135" s="7" t="s">
        <v>227</v>
      </c>
      <c r="D135" s="7" t="s">
        <v>228</v>
      </c>
      <c r="E135" s="7" t="s">
        <v>229</v>
      </c>
      <c r="F135" s="7" t="s">
        <v>380</v>
      </c>
    </row>
    <row r="136">
      <c r="A136" s="7" t="s">
        <v>13</v>
      </c>
      <c r="B136" s="8">
        <v>3.0</v>
      </c>
      <c r="C136" s="7" t="s">
        <v>227</v>
      </c>
      <c r="D136" s="7" t="s">
        <v>228</v>
      </c>
      <c r="E136" s="7" t="s">
        <v>229</v>
      </c>
      <c r="F136" s="7" t="s">
        <v>379</v>
      </c>
    </row>
    <row r="137">
      <c r="A137" s="7" t="s">
        <v>14</v>
      </c>
      <c r="B137" s="8">
        <v>3.0</v>
      </c>
      <c r="C137" s="7" t="s">
        <v>227</v>
      </c>
      <c r="D137" s="7" t="s">
        <v>228</v>
      </c>
      <c r="E137" s="7" t="s">
        <v>229</v>
      </c>
      <c r="F137" s="7" t="s">
        <v>383</v>
      </c>
    </row>
    <row r="138">
      <c r="A138" s="7" t="s">
        <v>15</v>
      </c>
      <c r="B138" s="8">
        <v>3.0</v>
      </c>
      <c r="C138" s="7" t="s">
        <v>227</v>
      </c>
      <c r="D138" s="7" t="s">
        <v>228</v>
      </c>
      <c r="E138" s="7" t="s">
        <v>229</v>
      </c>
      <c r="F138" s="7" t="s">
        <v>380</v>
      </c>
    </row>
    <row r="139">
      <c r="A139" s="7" t="s">
        <v>16</v>
      </c>
      <c r="B139" s="8">
        <v>3.0</v>
      </c>
      <c r="C139" s="7" t="s">
        <v>227</v>
      </c>
      <c r="D139" s="7" t="s">
        <v>228</v>
      </c>
      <c r="E139" s="7" t="s">
        <v>229</v>
      </c>
      <c r="F139" s="7" t="s">
        <v>383</v>
      </c>
    </row>
    <row r="140">
      <c r="A140" s="7" t="s">
        <v>17</v>
      </c>
      <c r="B140" s="8">
        <v>3.0</v>
      </c>
      <c r="C140" s="7" t="s">
        <v>227</v>
      </c>
      <c r="D140" s="7" t="s">
        <v>228</v>
      </c>
      <c r="E140" s="7" t="s">
        <v>229</v>
      </c>
      <c r="F140" s="7" t="s">
        <v>382</v>
      </c>
    </row>
    <row r="141">
      <c r="A141" s="7" t="s">
        <v>18</v>
      </c>
      <c r="B141" s="8">
        <v>3.0</v>
      </c>
      <c r="C141" s="7" t="s">
        <v>227</v>
      </c>
      <c r="D141" s="7" t="s">
        <v>228</v>
      </c>
      <c r="E141" s="7" t="s">
        <v>229</v>
      </c>
      <c r="F141" s="7" t="s">
        <v>381</v>
      </c>
    </row>
    <row r="142">
      <c r="A142" s="7" t="s">
        <v>19</v>
      </c>
      <c r="B142" s="8">
        <v>3.0</v>
      </c>
      <c r="C142" s="7" t="s">
        <v>227</v>
      </c>
      <c r="D142" s="7" t="s">
        <v>228</v>
      </c>
      <c r="E142" s="7" t="s">
        <v>229</v>
      </c>
      <c r="F142" s="7" t="s">
        <v>385</v>
      </c>
    </row>
    <row r="143">
      <c r="A143" s="7" t="s">
        <v>188</v>
      </c>
      <c r="B143" s="8">
        <v>3.0</v>
      </c>
      <c r="C143" s="7" t="s">
        <v>62</v>
      </c>
      <c r="D143" s="7" t="s">
        <v>230</v>
      </c>
      <c r="E143" s="7" t="s">
        <v>231</v>
      </c>
      <c r="F143" s="7" t="s">
        <v>65</v>
      </c>
    </row>
    <row r="144">
      <c r="A144" s="7" t="s">
        <v>4</v>
      </c>
      <c r="B144" s="8">
        <v>3.0</v>
      </c>
      <c r="C144" s="7" t="s">
        <v>62</v>
      </c>
      <c r="D144" s="7" t="s">
        <v>230</v>
      </c>
      <c r="E144" s="7" t="s">
        <v>231</v>
      </c>
      <c r="F144" s="7" t="s">
        <v>65</v>
      </c>
    </row>
    <row r="145">
      <c r="A145" s="7" t="s">
        <v>5</v>
      </c>
      <c r="B145" s="8">
        <v>3.0</v>
      </c>
      <c r="C145" s="7" t="s">
        <v>62</v>
      </c>
      <c r="D145" s="7" t="s">
        <v>230</v>
      </c>
      <c r="E145" s="7" t="s">
        <v>231</v>
      </c>
      <c r="F145" s="7" t="s">
        <v>65</v>
      </c>
    </row>
    <row r="146">
      <c r="A146" s="7" t="s">
        <v>6</v>
      </c>
      <c r="B146" s="8">
        <v>3.0</v>
      </c>
      <c r="C146" s="7" t="s">
        <v>62</v>
      </c>
      <c r="D146" s="7" t="s">
        <v>230</v>
      </c>
      <c r="E146" s="7" t="s">
        <v>231</v>
      </c>
      <c r="F146" s="7" t="s">
        <v>65</v>
      </c>
    </row>
    <row r="147">
      <c r="A147" s="7" t="s">
        <v>7</v>
      </c>
      <c r="B147" s="8">
        <v>3.0</v>
      </c>
      <c r="C147" s="7" t="s">
        <v>62</v>
      </c>
      <c r="D147" s="7" t="s">
        <v>230</v>
      </c>
      <c r="E147" s="7" t="s">
        <v>231</v>
      </c>
      <c r="F147" s="7" t="s">
        <v>65</v>
      </c>
    </row>
    <row r="148">
      <c r="A148" s="7" t="s">
        <v>8</v>
      </c>
      <c r="B148" s="8">
        <v>3.0</v>
      </c>
      <c r="C148" s="7" t="s">
        <v>62</v>
      </c>
      <c r="D148" s="7" t="s">
        <v>230</v>
      </c>
      <c r="E148" s="7" t="s">
        <v>231</v>
      </c>
      <c r="F148" s="7" t="s">
        <v>66</v>
      </c>
    </row>
    <row r="149">
      <c r="A149" s="7" t="s">
        <v>189</v>
      </c>
      <c r="B149" s="8">
        <v>3.0</v>
      </c>
      <c r="C149" s="7" t="s">
        <v>62</v>
      </c>
      <c r="D149" s="7" t="s">
        <v>230</v>
      </c>
      <c r="E149" s="7" t="s">
        <v>231</v>
      </c>
      <c r="F149" s="7" t="s">
        <v>65</v>
      </c>
    </row>
    <row r="150">
      <c r="A150" s="7" t="s">
        <v>9</v>
      </c>
      <c r="B150" s="8">
        <v>3.0</v>
      </c>
      <c r="C150" s="7" t="s">
        <v>62</v>
      </c>
      <c r="D150" s="7" t="s">
        <v>230</v>
      </c>
      <c r="E150" s="7" t="s">
        <v>231</v>
      </c>
      <c r="F150" s="7" t="s">
        <v>65</v>
      </c>
    </row>
    <row r="151">
      <c r="A151" s="7" t="s">
        <v>10</v>
      </c>
      <c r="B151" s="8">
        <v>3.0</v>
      </c>
      <c r="C151" s="7" t="s">
        <v>62</v>
      </c>
      <c r="D151" s="7" t="s">
        <v>230</v>
      </c>
      <c r="E151" s="7" t="s">
        <v>231</v>
      </c>
      <c r="F151" s="7" t="s">
        <v>65</v>
      </c>
    </row>
    <row r="152">
      <c r="A152" s="7" t="s">
        <v>11</v>
      </c>
      <c r="B152" s="8">
        <v>3.0</v>
      </c>
      <c r="C152" s="7" t="s">
        <v>62</v>
      </c>
      <c r="D152" s="7" t="s">
        <v>230</v>
      </c>
      <c r="E152" s="7" t="s">
        <v>231</v>
      </c>
      <c r="F152" s="7" t="s">
        <v>65</v>
      </c>
    </row>
    <row r="153">
      <c r="A153" s="7" t="s">
        <v>12</v>
      </c>
      <c r="B153" s="8">
        <v>3.0</v>
      </c>
      <c r="C153" s="7" t="s">
        <v>62</v>
      </c>
      <c r="D153" s="7" t="s">
        <v>230</v>
      </c>
      <c r="E153" s="7" t="s">
        <v>231</v>
      </c>
      <c r="F153" s="7" t="s">
        <v>65</v>
      </c>
    </row>
    <row r="154">
      <c r="A154" s="7" t="s">
        <v>13</v>
      </c>
      <c r="B154" s="8">
        <v>3.0</v>
      </c>
      <c r="C154" s="7" t="s">
        <v>62</v>
      </c>
      <c r="D154" s="7" t="s">
        <v>230</v>
      </c>
      <c r="E154" s="7" t="s">
        <v>231</v>
      </c>
      <c r="F154" s="7" t="s">
        <v>65</v>
      </c>
    </row>
    <row r="155">
      <c r="A155" s="7" t="s">
        <v>14</v>
      </c>
      <c r="B155" s="8">
        <v>3.0</v>
      </c>
      <c r="C155" s="7" t="s">
        <v>62</v>
      </c>
      <c r="D155" s="7" t="s">
        <v>230</v>
      </c>
      <c r="E155" s="7" t="s">
        <v>231</v>
      </c>
      <c r="F155" s="7" t="s">
        <v>232</v>
      </c>
    </row>
    <row r="156">
      <c r="A156" s="7" t="s">
        <v>15</v>
      </c>
      <c r="B156" s="8">
        <v>3.0</v>
      </c>
      <c r="C156" s="7" t="s">
        <v>62</v>
      </c>
      <c r="D156" s="7" t="s">
        <v>230</v>
      </c>
      <c r="E156" s="7" t="s">
        <v>231</v>
      </c>
      <c r="F156" s="7" t="s">
        <v>65</v>
      </c>
    </row>
    <row r="157">
      <c r="A157" s="7" t="s">
        <v>16</v>
      </c>
      <c r="B157" s="8">
        <v>3.0</v>
      </c>
      <c r="C157" s="7" t="s">
        <v>62</v>
      </c>
      <c r="D157" s="7" t="s">
        <v>230</v>
      </c>
      <c r="E157" s="7" t="s">
        <v>231</v>
      </c>
      <c r="F157" s="7" t="s">
        <v>65</v>
      </c>
    </row>
    <row r="158">
      <c r="A158" s="7" t="s">
        <v>17</v>
      </c>
      <c r="B158" s="8">
        <v>3.0</v>
      </c>
      <c r="C158" s="7" t="s">
        <v>62</v>
      </c>
      <c r="D158" s="7" t="s">
        <v>230</v>
      </c>
      <c r="E158" s="7" t="s">
        <v>231</v>
      </c>
      <c r="F158" s="7" t="s">
        <v>65</v>
      </c>
    </row>
    <row r="159">
      <c r="A159" s="7" t="s">
        <v>18</v>
      </c>
      <c r="B159" s="8">
        <v>3.0</v>
      </c>
      <c r="C159" s="7" t="s">
        <v>62</v>
      </c>
      <c r="D159" s="7" t="s">
        <v>230</v>
      </c>
      <c r="E159" s="7" t="s">
        <v>231</v>
      </c>
      <c r="F159" s="7" t="s">
        <v>65</v>
      </c>
    </row>
    <row r="160">
      <c r="A160" s="7" t="s">
        <v>19</v>
      </c>
      <c r="B160" s="8">
        <v>3.0</v>
      </c>
      <c r="C160" s="7" t="s">
        <v>62</v>
      </c>
      <c r="D160" s="7" t="s">
        <v>230</v>
      </c>
      <c r="E160" s="7" t="s">
        <v>231</v>
      </c>
      <c r="F160" s="7" t="s">
        <v>65</v>
      </c>
    </row>
    <row r="161">
      <c r="A161" s="7" t="s">
        <v>188</v>
      </c>
      <c r="B161" s="8">
        <v>3.0</v>
      </c>
      <c r="C161" s="7" t="s">
        <v>67</v>
      </c>
      <c r="D161" s="7" t="s">
        <v>233</v>
      </c>
      <c r="E161" s="7" t="s">
        <v>234</v>
      </c>
      <c r="F161" s="7" t="s">
        <v>131</v>
      </c>
    </row>
    <row r="162">
      <c r="A162" s="7" t="s">
        <v>4</v>
      </c>
      <c r="B162" s="8">
        <v>3.0</v>
      </c>
      <c r="C162" s="7" t="s">
        <v>67</v>
      </c>
      <c r="D162" s="7" t="s">
        <v>233</v>
      </c>
      <c r="E162" s="7" t="s">
        <v>234</v>
      </c>
      <c r="F162" s="7" t="s">
        <v>70</v>
      </c>
    </row>
    <row r="163">
      <c r="A163" s="7" t="s">
        <v>5</v>
      </c>
      <c r="B163" s="8">
        <v>3.0</v>
      </c>
      <c r="C163" s="7" t="s">
        <v>67</v>
      </c>
      <c r="D163" s="7" t="s">
        <v>233</v>
      </c>
      <c r="E163" s="7" t="s">
        <v>234</v>
      </c>
      <c r="F163" s="7" t="s">
        <v>131</v>
      </c>
    </row>
    <row r="164">
      <c r="A164" s="7" t="s">
        <v>6</v>
      </c>
      <c r="B164" s="8">
        <v>3.0</v>
      </c>
      <c r="C164" s="7" t="s">
        <v>67</v>
      </c>
      <c r="D164" s="7" t="s">
        <v>233</v>
      </c>
      <c r="E164" s="7" t="s">
        <v>234</v>
      </c>
      <c r="F164" s="7" t="s">
        <v>70</v>
      </c>
    </row>
    <row r="165">
      <c r="A165" s="7" t="s">
        <v>7</v>
      </c>
      <c r="B165" s="8">
        <v>3.0</v>
      </c>
      <c r="C165" s="7" t="s">
        <v>67</v>
      </c>
      <c r="D165" s="7" t="s">
        <v>233</v>
      </c>
      <c r="E165" s="7" t="s">
        <v>234</v>
      </c>
      <c r="F165" s="7" t="s">
        <v>70</v>
      </c>
    </row>
    <row r="166">
      <c r="A166" s="7" t="s">
        <v>8</v>
      </c>
      <c r="B166" s="8">
        <v>3.0</v>
      </c>
      <c r="C166" s="7" t="s">
        <v>67</v>
      </c>
      <c r="D166" s="7" t="s">
        <v>233</v>
      </c>
      <c r="E166" s="7" t="s">
        <v>234</v>
      </c>
      <c r="F166" s="7" t="s">
        <v>71</v>
      </c>
    </row>
    <row r="167">
      <c r="A167" s="7" t="s">
        <v>189</v>
      </c>
      <c r="B167" s="8">
        <v>3.0</v>
      </c>
      <c r="C167" s="7" t="s">
        <v>67</v>
      </c>
      <c r="D167" s="7" t="s">
        <v>233</v>
      </c>
      <c r="E167" s="7" t="s">
        <v>234</v>
      </c>
      <c r="F167" s="7" t="s">
        <v>65</v>
      </c>
    </row>
    <row r="168">
      <c r="A168" s="7" t="s">
        <v>9</v>
      </c>
      <c r="B168" s="8">
        <v>3.0</v>
      </c>
      <c r="C168" s="7" t="s">
        <v>67</v>
      </c>
      <c r="D168" s="7" t="s">
        <v>233</v>
      </c>
      <c r="E168" s="7" t="s">
        <v>234</v>
      </c>
      <c r="F168" s="7" t="s">
        <v>70</v>
      </c>
    </row>
    <row r="169">
      <c r="A169" s="7" t="s">
        <v>10</v>
      </c>
      <c r="B169" s="8">
        <v>3.0</v>
      </c>
      <c r="C169" s="7" t="s">
        <v>67</v>
      </c>
      <c r="D169" s="7" t="s">
        <v>233</v>
      </c>
      <c r="E169" s="7" t="s">
        <v>234</v>
      </c>
      <c r="F169" s="7" t="s">
        <v>70</v>
      </c>
    </row>
    <row r="170">
      <c r="A170" s="7" t="s">
        <v>11</v>
      </c>
      <c r="B170" s="8">
        <v>3.0</v>
      </c>
      <c r="C170" s="7" t="s">
        <v>67</v>
      </c>
      <c r="D170" s="7" t="s">
        <v>233</v>
      </c>
      <c r="E170" s="7" t="s">
        <v>234</v>
      </c>
      <c r="F170" s="7" t="s">
        <v>70</v>
      </c>
    </row>
    <row r="171">
      <c r="A171" s="7" t="s">
        <v>12</v>
      </c>
      <c r="B171" s="8">
        <v>3.0</v>
      </c>
      <c r="C171" s="7" t="s">
        <v>67</v>
      </c>
      <c r="D171" s="7" t="s">
        <v>233</v>
      </c>
      <c r="E171" s="7" t="s">
        <v>234</v>
      </c>
      <c r="F171" s="7" t="s">
        <v>70</v>
      </c>
    </row>
    <row r="172">
      <c r="A172" s="7" t="s">
        <v>13</v>
      </c>
      <c r="B172" s="8">
        <v>3.0</v>
      </c>
      <c r="C172" s="7" t="s">
        <v>67</v>
      </c>
      <c r="D172" s="7" t="s">
        <v>233</v>
      </c>
      <c r="E172" s="7" t="s">
        <v>234</v>
      </c>
      <c r="F172" s="7" t="s">
        <v>70</v>
      </c>
    </row>
    <row r="173">
      <c r="A173" s="7" t="s">
        <v>14</v>
      </c>
      <c r="B173" s="8">
        <v>3.0</v>
      </c>
      <c r="C173" s="7" t="s">
        <v>67</v>
      </c>
      <c r="D173" s="7" t="s">
        <v>233</v>
      </c>
      <c r="E173" s="7" t="s">
        <v>234</v>
      </c>
      <c r="F173" s="7" t="s">
        <v>131</v>
      </c>
    </row>
    <row r="174">
      <c r="A174" s="7" t="s">
        <v>15</v>
      </c>
      <c r="B174" s="8">
        <v>3.0</v>
      </c>
      <c r="C174" s="7" t="s">
        <v>67</v>
      </c>
      <c r="D174" s="7" t="s">
        <v>233</v>
      </c>
      <c r="E174" s="7" t="s">
        <v>234</v>
      </c>
      <c r="F174" s="7" t="s">
        <v>70</v>
      </c>
    </row>
    <row r="175">
      <c r="A175" s="7" t="s">
        <v>16</v>
      </c>
      <c r="B175" s="8">
        <v>3.0</v>
      </c>
      <c r="C175" s="7" t="s">
        <v>67</v>
      </c>
      <c r="D175" s="7" t="s">
        <v>233</v>
      </c>
      <c r="E175" s="7" t="s">
        <v>234</v>
      </c>
      <c r="F175" s="7" t="s">
        <v>70</v>
      </c>
    </row>
    <row r="176">
      <c r="A176" s="7" t="s">
        <v>17</v>
      </c>
      <c r="B176" s="8">
        <v>3.0</v>
      </c>
      <c r="C176" s="7" t="s">
        <v>67</v>
      </c>
      <c r="D176" s="7" t="s">
        <v>233</v>
      </c>
      <c r="E176" s="7" t="s">
        <v>234</v>
      </c>
      <c r="F176" s="7" t="s">
        <v>70</v>
      </c>
    </row>
    <row r="177">
      <c r="A177" s="7" t="s">
        <v>18</v>
      </c>
      <c r="B177" s="8">
        <v>3.0</v>
      </c>
      <c r="C177" s="7" t="s">
        <v>67</v>
      </c>
      <c r="D177" s="7" t="s">
        <v>233</v>
      </c>
      <c r="E177" s="7" t="s">
        <v>234</v>
      </c>
      <c r="F177" s="7" t="s">
        <v>70</v>
      </c>
    </row>
    <row r="178">
      <c r="A178" s="7" t="s">
        <v>19</v>
      </c>
      <c r="B178" s="8">
        <v>3.0</v>
      </c>
      <c r="C178" s="7" t="s">
        <v>67</v>
      </c>
      <c r="D178" s="7" t="s">
        <v>233</v>
      </c>
      <c r="E178" s="7" t="s">
        <v>234</v>
      </c>
      <c r="F178" s="7" t="s">
        <v>70</v>
      </c>
    </row>
    <row r="179">
      <c r="A179" s="7" t="s">
        <v>188</v>
      </c>
      <c r="B179" s="8">
        <v>3.0</v>
      </c>
      <c r="C179" s="7" t="s">
        <v>72</v>
      </c>
      <c r="D179" s="7" t="s">
        <v>235</v>
      </c>
      <c r="E179" s="7" t="s">
        <v>236</v>
      </c>
      <c r="F179" s="7" t="s">
        <v>76</v>
      </c>
    </row>
    <row r="180">
      <c r="A180" s="7" t="s">
        <v>4</v>
      </c>
      <c r="B180" s="8">
        <v>3.0</v>
      </c>
      <c r="C180" s="7" t="s">
        <v>72</v>
      </c>
      <c r="D180" s="7" t="s">
        <v>235</v>
      </c>
      <c r="E180" s="7" t="s">
        <v>236</v>
      </c>
      <c r="F180" s="7" t="s">
        <v>237</v>
      </c>
    </row>
    <row r="181">
      <c r="A181" s="7" t="s">
        <v>5</v>
      </c>
      <c r="B181" s="8">
        <v>3.0</v>
      </c>
      <c r="C181" s="7" t="s">
        <v>72</v>
      </c>
      <c r="D181" s="7" t="s">
        <v>235</v>
      </c>
      <c r="E181" s="7" t="s">
        <v>236</v>
      </c>
      <c r="F181" s="7" t="s">
        <v>76</v>
      </c>
    </row>
    <row r="182">
      <c r="A182" s="7" t="s">
        <v>6</v>
      </c>
      <c r="B182" s="8">
        <v>3.0</v>
      </c>
      <c r="C182" s="7" t="s">
        <v>72</v>
      </c>
      <c r="D182" s="7" t="s">
        <v>235</v>
      </c>
      <c r="E182" s="7" t="s">
        <v>236</v>
      </c>
      <c r="F182" s="7" t="s">
        <v>237</v>
      </c>
    </row>
    <row r="183">
      <c r="A183" s="7" t="s">
        <v>7</v>
      </c>
      <c r="B183" s="8">
        <v>3.0</v>
      </c>
      <c r="C183" s="7" t="s">
        <v>72</v>
      </c>
      <c r="D183" s="7" t="s">
        <v>235</v>
      </c>
      <c r="E183" s="7" t="s">
        <v>236</v>
      </c>
      <c r="F183" s="7" t="s">
        <v>77</v>
      </c>
    </row>
    <row r="184">
      <c r="A184" s="7" t="s">
        <v>8</v>
      </c>
      <c r="B184" s="8">
        <v>3.0</v>
      </c>
      <c r="C184" s="7" t="s">
        <v>72</v>
      </c>
      <c r="D184" s="7" t="s">
        <v>235</v>
      </c>
      <c r="E184" s="7" t="s">
        <v>236</v>
      </c>
      <c r="F184" s="7" t="s">
        <v>238</v>
      </c>
    </row>
    <row r="185">
      <c r="A185" s="7" t="s">
        <v>189</v>
      </c>
      <c r="B185" s="8">
        <v>3.0</v>
      </c>
      <c r="C185" s="7" t="s">
        <v>72</v>
      </c>
      <c r="D185" s="7" t="s">
        <v>235</v>
      </c>
      <c r="E185" s="7" t="s">
        <v>236</v>
      </c>
      <c r="F185" s="7" t="s">
        <v>239</v>
      </c>
    </row>
    <row r="186">
      <c r="A186" s="7" t="s">
        <v>9</v>
      </c>
      <c r="B186" s="8">
        <v>3.0</v>
      </c>
      <c r="C186" s="7" t="s">
        <v>72</v>
      </c>
      <c r="D186" s="7" t="s">
        <v>235</v>
      </c>
      <c r="E186" s="7" t="s">
        <v>236</v>
      </c>
      <c r="F186" s="7" t="s">
        <v>240</v>
      </c>
    </row>
    <row r="187">
      <c r="A187" s="7" t="s">
        <v>10</v>
      </c>
      <c r="B187" s="8">
        <v>3.0</v>
      </c>
      <c r="C187" s="7" t="s">
        <v>72</v>
      </c>
      <c r="D187" s="7" t="s">
        <v>235</v>
      </c>
      <c r="E187" s="7" t="s">
        <v>236</v>
      </c>
      <c r="F187" s="7" t="s">
        <v>76</v>
      </c>
    </row>
    <row r="188">
      <c r="A188" s="7" t="s">
        <v>11</v>
      </c>
      <c r="B188" s="8">
        <v>3.0</v>
      </c>
      <c r="C188" s="7" t="s">
        <v>72</v>
      </c>
      <c r="D188" s="7" t="s">
        <v>235</v>
      </c>
      <c r="E188" s="7" t="s">
        <v>236</v>
      </c>
      <c r="F188" s="7" t="s">
        <v>76</v>
      </c>
    </row>
    <row r="189">
      <c r="A189" s="7" t="s">
        <v>12</v>
      </c>
      <c r="B189" s="8">
        <v>3.0</v>
      </c>
      <c r="C189" s="7" t="s">
        <v>72</v>
      </c>
      <c r="D189" s="7" t="s">
        <v>235</v>
      </c>
      <c r="E189" s="7" t="s">
        <v>236</v>
      </c>
      <c r="F189" s="7" t="s">
        <v>76</v>
      </c>
    </row>
    <row r="190">
      <c r="A190" s="7" t="s">
        <v>13</v>
      </c>
      <c r="B190" s="8">
        <v>3.0</v>
      </c>
      <c r="C190" s="7" t="s">
        <v>72</v>
      </c>
      <c r="D190" s="7" t="s">
        <v>235</v>
      </c>
      <c r="E190" s="7" t="s">
        <v>236</v>
      </c>
      <c r="F190" s="7" t="s">
        <v>76</v>
      </c>
    </row>
    <row r="191">
      <c r="A191" s="7" t="s">
        <v>14</v>
      </c>
      <c r="B191" s="8">
        <v>3.0</v>
      </c>
      <c r="C191" s="7" t="s">
        <v>72</v>
      </c>
      <c r="D191" s="7" t="s">
        <v>235</v>
      </c>
      <c r="E191" s="7" t="s">
        <v>236</v>
      </c>
      <c r="F191" s="7" t="s">
        <v>76</v>
      </c>
    </row>
    <row r="192">
      <c r="A192" s="7" t="s">
        <v>15</v>
      </c>
      <c r="B192" s="8">
        <v>3.0</v>
      </c>
      <c r="C192" s="7" t="s">
        <v>72</v>
      </c>
      <c r="D192" s="7" t="s">
        <v>235</v>
      </c>
      <c r="E192" s="7" t="s">
        <v>236</v>
      </c>
      <c r="F192" s="7" t="s">
        <v>76</v>
      </c>
    </row>
    <row r="193">
      <c r="A193" s="7" t="s">
        <v>16</v>
      </c>
      <c r="B193" s="8">
        <v>3.0</v>
      </c>
      <c r="C193" s="7" t="s">
        <v>72</v>
      </c>
      <c r="D193" s="7" t="s">
        <v>235</v>
      </c>
      <c r="E193" s="7" t="s">
        <v>236</v>
      </c>
      <c r="F193" s="7" t="s">
        <v>75</v>
      </c>
    </row>
    <row r="194">
      <c r="A194" s="7" t="s">
        <v>17</v>
      </c>
      <c r="B194" s="8">
        <v>3.0</v>
      </c>
      <c r="C194" s="7" t="s">
        <v>72</v>
      </c>
      <c r="D194" s="7" t="s">
        <v>235</v>
      </c>
      <c r="E194" s="7" t="s">
        <v>236</v>
      </c>
      <c r="F194" s="7" t="s">
        <v>75</v>
      </c>
    </row>
    <row r="195">
      <c r="A195" s="7" t="s">
        <v>18</v>
      </c>
      <c r="B195" s="8">
        <v>3.0</v>
      </c>
      <c r="C195" s="7" t="s">
        <v>72</v>
      </c>
      <c r="D195" s="7" t="s">
        <v>235</v>
      </c>
      <c r="E195" s="7" t="s">
        <v>236</v>
      </c>
      <c r="F195" s="7" t="s">
        <v>75</v>
      </c>
    </row>
    <row r="196">
      <c r="A196" s="7" t="s">
        <v>19</v>
      </c>
      <c r="B196" s="8">
        <v>3.0</v>
      </c>
      <c r="C196" s="7" t="s">
        <v>72</v>
      </c>
      <c r="D196" s="7" t="s">
        <v>235</v>
      </c>
      <c r="E196" s="7" t="s">
        <v>236</v>
      </c>
      <c r="F196" s="7" t="s">
        <v>77</v>
      </c>
    </row>
    <row r="197">
      <c r="A197" s="7" t="s">
        <v>188</v>
      </c>
      <c r="B197" s="8">
        <v>3.0</v>
      </c>
      <c r="C197" s="7" t="s">
        <v>78</v>
      </c>
      <c r="D197" s="7" t="s">
        <v>241</v>
      </c>
      <c r="E197" s="7" t="s">
        <v>242</v>
      </c>
      <c r="F197" s="7" t="s">
        <v>243</v>
      </c>
    </row>
    <row r="198">
      <c r="A198" s="7" t="s">
        <v>4</v>
      </c>
      <c r="B198" s="8">
        <v>3.0</v>
      </c>
      <c r="C198" s="7" t="s">
        <v>78</v>
      </c>
      <c r="D198" s="7" t="s">
        <v>241</v>
      </c>
      <c r="E198" s="7" t="s">
        <v>242</v>
      </c>
      <c r="F198" s="7" t="s">
        <v>81</v>
      </c>
    </row>
    <row r="199">
      <c r="A199" s="7" t="s">
        <v>5</v>
      </c>
      <c r="B199" s="8">
        <v>3.0</v>
      </c>
      <c r="C199" s="7" t="s">
        <v>78</v>
      </c>
      <c r="D199" s="7" t="s">
        <v>241</v>
      </c>
      <c r="E199" s="7" t="s">
        <v>242</v>
      </c>
      <c r="F199" s="7" t="s">
        <v>244</v>
      </c>
    </row>
    <row r="200">
      <c r="A200" s="7" t="s">
        <v>6</v>
      </c>
      <c r="B200" s="8">
        <v>3.0</v>
      </c>
      <c r="C200" s="7" t="s">
        <v>78</v>
      </c>
      <c r="D200" s="7" t="s">
        <v>241</v>
      </c>
      <c r="E200" s="7" t="s">
        <v>242</v>
      </c>
      <c r="F200" s="7" t="s">
        <v>245</v>
      </c>
    </row>
    <row r="201">
      <c r="A201" s="7" t="s">
        <v>7</v>
      </c>
      <c r="B201" s="8">
        <v>3.0</v>
      </c>
      <c r="C201" s="7" t="s">
        <v>78</v>
      </c>
      <c r="D201" s="7" t="s">
        <v>241</v>
      </c>
      <c r="E201" s="7" t="s">
        <v>242</v>
      </c>
      <c r="F201" s="7" t="s">
        <v>83</v>
      </c>
    </row>
    <row r="202">
      <c r="A202" s="7" t="s">
        <v>8</v>
      </c>
      <c r="B202" s="8">
        <v>3.0</v>
      </c>
      <c r="C202" s="7" t="s">
        <v>78</v>
      </c>
      <c r="D202" s="7" t="s">
        <v>241</v>
      </c>
      <c r="E202" s="7" t="s">
        <v>242</v>
      </c>
      <c r="F202" s="7" t="s">
        <v>81</v>
      </c>
    </row>
    <row r="203">
      <c r="A203" s="7" t="s">
        <v>189</v>
      </c>
      <c r="B203" s="8">
        <v>3.0</v>
      </c>
      <c r="C203" s="7" t="s">
        <v>78</v>
      </c>
      <c r="D203" s="7" t="s">
        <v>241</v>
      </c>
      <c r="E203" s="7" t="s">
        <v>242</v>
      </c>
      <c r="F203" s="7" t="s">
        <v>81</v>
      </c>
    </row>
    <row r="204">
      <c r="A204" s="7" t="s">
        <v>9</v>
      </c>
      <c r="B204" s="8">
        <v>3.0</v>
      </c>
      <c r="C204" s="7" t="s">
        <v>78</v>
      </c>
      <c r="D204" s="7" t="s">
        <v>241</v>
      </c>
      <c r="E204" s="7" t="s">
        <v>242</v>
      </c>
      <c r="F204" s="7" t="s">
        <v>81</v>
      </c>
    </row>
    <row r="205">
      <c r="A205" s="7" t="s">
        <v>10</v>
      </c>
      <c r="B205" s="8">
        <v>3.0</v>
      </c>
      <c r="C205" s="7" t="s">
        <v>78</v>
      </c>
      <c r="D205" s="7" t="s">
        <v>241</v>
      </c>
      <c r="E205" s="7" t="s">
        <v>242</v>
      </c>
      <c r="F205" s="7" t="s">
        <v>81</v>
      </c>
    </row>
    <row r="206">
      <c r="A206" s="7" t="s">
        <v>11</v>
      </c>
      <c r="B206" s="8">
        <v>3.0</v>
      </c>
      <c r="C206" s="7" t="s">
        <v>78</v>
      </c>
      <c r="D206" s="7" t="s">
        <v>241</v>
      </c>
      <c r="E206" s="7" t="s">
        <v>242</v>
      </c>
      <c r="F206" s="7" t="s">
        <v>81</v>
      </c>
    </row>
    <row r="207">
      <c r="A207" s="7" t="s">
        <v>12</v>
      </c>
      <c r="B207" s="8">
        <v>3.0</v>
      </c>
      <c r="C207" s="7" t="s">
        <v>78</v>
      </c>
      <c r="D207" s="7" t="s">
        <v>241</v>
      </c>
      <c r="E207" s="7" t="s">
        <v>242</v>
      </c>
      <c r="F207" s="7" t="s">
        <v>84</v>
      </c>
    </row>
    <row r="208">
      <c r="A208" s="7" t="s">
        <v>13</v>
      </c>
      <c r="B208" s="8">
        <v>3.0</v>
      </c>
      <c r="C208" s="7" t="s">
        <v>78</v>
      </c>
      <c r="D208" s="7" t="s">
        <v>241</v>
      </c>
      <c r="E208" s="7" t="s">
        <v>242</v>
      </c>
      <c r="F208" s="7" t="s">
        <v>246</v>
      </c>
    </row>
    <row r="209">
      <c r="A209" s="7" t="s">
        <v>14</v>
      </c>
      <c r="B209" s="8">
        <v>3.0</v>
      </c>
      <c r="C209" s="7" t="s">
        <v>78</v>
      </c>
      <c r="D209" s="7" t="s">
        <v>241</v>
      </c>
      <c r="E209" s="7" t="s">
        <v>242</v>
      </c>
      <c r="F209" s="7" t="s">
        <v>247</v>
      </c>
    </row>
    <row r="210">
      <c r="A210" s="7" t="s">
        <v>15</v>
      </c>
      <c r="B210" s="8">
        <v>3.0</v>
      </c>
      <c r="C210" s="7" t="s">
        <v>78</v>
      </c>
      <c r="D210" s="7" t="s">
        <v>241</v>
      </c>
      <c r="E210" s="7" t="s">
        <v>242</v>
      </c>
      <c r="F210" s="7" t="s">
        <v>81</v>
      </c>
    </row>
    <row r="211">
      <c r="A211" s="7" t="s">
        <v>16</v>
      </c>
      <c r="B211" s="8">
        <v>3.0</v>
      </c>
      <c r="C211" s="7" t="s">
        <v>78</v>
      </c>
      <c r="D211" s="7" t="s">
        <v>241</v>
      </c>
      <c r="E211" s="7" t="s">
        <v>242</v>
      </c>
      <c r="F211" s="7" t="s">
        <v>82</v>
      </c>
    </row>
    <row r="212">
      <c r="A212" s="7" t="s">
        <v>17</v>
      </c>
      <c r="B212" s="8">
        <v>3.0</v>
      </c>
      <c r="C212" s="7" t="s">
        <v>78</v>
      </c>
      <c r="D212" s="7" t="s">
        <v>241</v>
      </c>
      <c r="E212" s="7" t="s">
        <v>242</v>
      </c>
      <c r="F212" s="7" t="s">
        <v>81</v>
      </c>
    </row>
    <row r="213">
      <c r="A213" s="7" t="s">
        <v>18</v>
      </c>
      <c r="B213" s="8">
        <v>3.0</v>
      </c>
      <c r="C213" s="7" t="s">
        <v>78</v>
      </c>
      <c r="D213" s="7" t="s">
        <v>241</v>
      </c>
      <c r="E213" s="7" t="s">
        <v>242</v>
      </c>
      <c r="F213" s="7" t="s">
        <v>248</v>
      </c>
    </row>
    <row r="214">
      <c r="A214" s="7" t="s">
        <v>19</v>
      </c>
      <c r="B214" s="8">
        <v>3.0</v>
      </c>
      <c r="C214" s="7" t="s">
        <v>78</v>
      </c>
      <c r="D214" s="7" t="s">
        <v>241</v>
      </c>
      <c r="E214" s="7" t="s">
        <v>242</v>
      </c>
      <c r="F214" s="7" t="s">
        <v>87</v>
      </c>
    </row>
    <row r="215">
      <c r="A215" s="7" t="s">
        <v>188</v>
      </c>
      <c r="B215" s="8">
        <v>3.0</v>
      </c>
      <c r="C215" s="7" t="s">
        <v>101</v>
      </c>
      <c r="D215" s="7" t="s">
        <v>249</v>
      </c>
      <c r="E215" s="7" t="s">
        <v>250</v>
      </c>
      <c r="F215" s="7" t="s">
        <v>251</v>
      </c>
    </row>
    <row r="216">
      <c r="A216" s="7" t="s">
        <v>4</v>
      </c>
      <c r="B216" s="8">
        <v>3.0</v>
      </c>
      <c r="C216" s="7" t="s">
        <v>101</v>
      </c>
      <c r="D216" s="7" t="s">
        <v>249</v>
      </c>
      <c r="E216" s="7" t="s">
        <v>250</v>
      </c>
      <c r="F216" s="7" t="s">
        <v>252</v>
      </c>
    </row>
    <row r="217">
      <c r="A217" s="7" t="s">
        <v>5</v>
      </c>
      <c r="B217" s="8">
        <v>3.0</v>
      </c>
      <c r="C217" s="7" t="s">
        <v>101</v>
      </c>
      <c r="D217" s="7" t="s">
        <v>249</v>
      </c>
      <c r="E217" s="7" t="s">
        <v>250</v>
      </c>
      <c r="F217" s="7" t="s">
        <v>253</v>
      </c>
    </row>
    <row r="218">
      <c r="A218" s="7" t="s">
        <v>6</v>
      </c>
      <c r="B218" s="8">
        <v>3.0</v>
      </c>
      <c r="C218" s="7" t="s">
        <v>101</v>
      </c>
      <c r="D218" s="7" t="s">
        <v>249</v>
      </c>
      <c r="E218" s="7" t="s">
        <v>250</v>
      </c>
      <c r="F218" s="7" t="s">
        <v>254</v>
      </c>
    </row>
    <row r="219">
      <c r="A219" s="7" t="s">
        <v>7</v>
      </c>
      <c r="B219" s="8">
        <v>3.0</v>
      </c>
      <c r="C219" s="7" t="s">
        <v>101</v>
      </c>
      <c r="D219" s="7" t="s">
        <v>249</v>
      </c>
      <c r="E219" s="7" t="s">
        <v>250</v>
      </c>
      <c r="F219" s="7" t="s">
        <v>252</v>
      </c>
    </row>
    <row r="220">
      <c r="A220" s="7" t="s">
        <v>8</v>
      </c>
      <c r="B220" s="8">
        <v>3.0</v>
      </c>
      <c r="C220" s="7" t="s">
        <v>101</v>
      </c>
      <c r="D220" s="7" t="s">
        <v>249</v>
      </c>
      <c r="E220" s="7" t="s">
        <v>250</v>
      </c>
      <c r="F220" s="7" t="s">
        <v>106</v>
      </c>
    </row>
    <row r="221">
      <c r="A221" s="7" t="s">
        <v>189</v>
      </c>
      <c r="B221" s="8">
        <v>3.0</v>
      </c>
      <c r="C221" s="7" t="s">
        <v>101</v>
      </c>
      <c r="D221" s="7" t="s">
        <v>249</v>
      </c>
      <c r="E221" s="7" t="s">
        <v>250</v>
      </c>
      <c r="F221" s="7" t="s">
        <v>255</v>
      </c>
    </row>
    <row r="222">
      <c r="A222" s="7" t="s">
        <v>9</v>
      </c>
      <c r="B222" s="8">
        <v>3.0</v>
      </c>
      <c r="C222" s="7" t="s">
        <v>101</v>
      </c>
      <c r="D222" s="7" t="s">
        <v>249</v>
      </c>
      <c r="E222" s="7" t="s">
        <v>250</v>
      </c>
      <c r="F222" s="7" t="s">
        <v>252</v>
      </c>
    </row>
    <row r="223">
      <c r="A223" s="7" t="s">
        <v>10</v>
      </c>
      <c r="B223" s="8">
        <v>3.0</v>
      </c>
      <c r="C223" s="7" t="s">
        <v>101</v>
      </c>
      <c r="D223" s="7" t="s">
        <v>249</v>
      </c>
      <c r="E223" s="7" t="s">
        <v>250</v>
      </c>
      <c r="F223" s="7" t="s">
        <v>251</v>
      </c>
    </row>
    <row r="224">
      <c r="A224" s="7" t="s">
        <v>11</v>
      </c>
      <c r="B224" s="8">
        <v>3.0</v>
      </c>
      <c r="C224" s="7" t="s">
        <v>101</v>
      </c>
      <c r="D224" s="7" t="s">
        <v>249</v>
      </c>
      <c r="E224" s="7" t="s">
        <v>250</v>
      </c>
      <c r="F224" s="7" t="s">
        <v>252</v>
      </c>
    </row>
    <row r="225">
      <c r="A225" s="7" t="s">
        <v>12</v>
      </c>
      <c r="B225" s="8">
        <v>3.0</v>
      </c>
      <c r="C225" s="7" t="s">
        <v>101</v>
      </c>
      <c r="D225" s="7" t="s">
        <v>249</v>
      </c>
      <c r="E225" s="7" t="s">
        <v>250</v>
      </c>
      <c r="F225" s="7" t="s">
        <v>252</v>
      </c>
    </row>
    <row r="226">
      <c r="A226" s="7" t="s">
        <v>13</v>
      </c>
      <c r="B226" s="8">
        <v>3.0</v>
      </c>
      <c r="C226" s="7" t="s">
        <v>101</v>
      </c>
      <c r="D226" s="7" t="s">
        <v>249</v>
      </c>
      <c r="E226" s="7" t="s">
        <v>250</v>
      </c>
      <c r="F226" s="7" t="s">
        <v>256</v>
      </c>
    </row>
    <row r="227">
      <c r="A227" s="7" t="s">
        <v>14</v>
      </c>
      <c r="B227" s="8">
        <v>3.0</v>
      </c>
      <c r="C227" s="7" t="s">
        <v>101</v>
      </c>
      <c r="D227" s="7" t="s">
        <v>249</v>
      </c>
      <c r="E227" s="7" t="s">
        <v>250</v>
      </c>
      <c r="F227" s="7" t="s">
        <v>251</v>
      </c>
    </row>
    <row r="228">
      <c r="A228" s="7" t="s">
        <v>15</v>
      </c>
      <c r="B228" s="8">
        <v>3.0</v>
      </c>
      <c r="C228" s="7" t="s">
        <v>101</v>
      </c>
      <c r="D228" s="7" t="s">
        <v>249</v>
      </c>
      <c r="E228" s="7" t="s">
        <v>250</v>
      </c>
      <c r="F228" s="7" t="s">
        <v>252</v>
      </c>
    </row>
    <row r="229">
      <c r="A229" s="7" t="s">
        <v>16</v>
      </c>
      <c r="B229" s="8">
        <v>3.0</v>
      </c>
      <c r="C229" s="7" t="s">
        <v>101</v>
      </c>
      <c r="D229" s="7" t="s">
        <v>249</v>
      </c>
      <c r="E229" s="7" t="s">
        <v>250</v>
      </c>
      <c r="F229" s="7" t="s">
        <v>252</v>
      </c>
    </row>
    <row r="230">
      <c r="A230" s="7" t="s">
        <v>17</v>
      </c>
      <c r="B230" s="8">
        <v>3.0</v>
      </c>
      <c r="C230" s="7" t="s">
        <v>101</v>
      </c>
      <c r="D230" s="7" t="s">
        <v>249</v>
      </c>
      <c r="E230" s="7" t="s">
        <v>250</v>
      </c>
      <c r="F230" s="7" t="s">
        <v>257</v>
      </c>
    </row>
    <row r="231">
      <c r="A231" s="7" t="s">
        <v>18</v>
      </c>
      <c r="B231" s="8">
        <v>3.0</v>
      </c>
      <c r="C231" s="7" t="s">
        <v>101</v>
      </c>
      <c r="D231" s="7" t="s">
        <v>249</v>
      </c>
      <c r="E231" s="7" t="s">
        <v>250</v>
      </c>
      <c r="F231" s="7" t="s">
        <v>258</v>
      </c>
    </row>
    <row r="232">
      <c r="A232" s="7" t="s">
        <v>19</v>
      </c>
      <c r="B232" s="8">
        <v>3.0</v>
      </c>
      <c r="C232" s="7" t="s">
        <v>101</v>
      </c>
      <c r="D232" s="7" t="s">
        <v>249</v>
      </c>
      <c r="E232" s="7" t="s">
        <v>250</v>
      </c>
      <c r="F232" s="7" t="s">
        <v>252</v>
      </c>
    </row>
    <row r="233">
      <c r="A233" s="7" t="s">
        <v>188</v>
      </c>
      <c r="B233" s="8">
        <v>3.0</v>
      </c>
      <c r="C233" s="7" t="s">
        <v>112</v>
      </c>
      <c r="D233" s="7" t="s">
        <v>259</v>
      </c>
      <c r="E233" s="7" t="s">
        <v>260</v>
      </c>
      <c r="F233" s="7" t="s">
        <v>261</v>
      </c>
    </row>
    <row r="234">
      <c r="A234" s="7" t="s">
        <v>4</v>
      </c>
      <c r="B234" s="8">
        <v>3.0</v>
      </c>
      <c r="C234" s="7" t="s">
        <v>112</v>
      </c>
      <c r="D234" s="7" t="s">
        <v>259</v>
      </c>
      <c r="E234" s="7" t="s">
        <v>260</v>
      </c>
      <c r="F234" s="7" t="s">
        <v>115</v>
      </c>
    </row>
    <row r="235">
      <c r="A235" s="7" t="s">
        <v>5</v>
      </c>
      <c r="B235" s="8">
        <v>3.0</v>
      </c>
      <c r="C235" s="7" t="s">
        <v>112</v>
      </c>
      <c r="D235" s="7" t="s">
        <v>259</v>
      </c>
      <c r="E235" s="7" t="s">
        <v>260</v>
      </c>
      <c r="F235" s="7" t="s">
        <v>115</v>
      </c>
    </row>
    <row r="236">
      <c r="A236" s="7" t="s">
        <v>6</v>
      </c>
      <c r="B236" s="8">
        <v>3.0</v>
      </c>
      <c r="C236" s="7" t="s">
        <v>112</v>
      </c>
      <c r="D236" s="7" t="s">
        <v>259</v>
      </c>
      <c r="E236" s="7" t="s">
        <v>260</v>
      </c>
      <c r="F236" s="7" t="s">
        <v>115</v>
      </c>
    </row>
    <row r="237">
      <c r="A237" s="7" t="s">
        <v>7</v>
      </c>
      <c r="B237" s="8">
        <v>3.0</v>
      </c>
      <c r="C237" s="7" t="s">
        <v>112</v>
      </c>
      <c r="D237" s="7" t="s">
        <v>259</v>
      </c>
      <c r="E237" s="7" t="s">
        <v>260</v>
      </c>
      <c r="F237" s="7" t="s">
        <v>115</v>
      </c>
    </row>
    <row r="238">
      <c r="A238" s="7" t="s">
        <v>8</v>
      </c>
      <c r="B238" s="8">
        <v>3.0</v>
      </c>
      <c r="C238" s="7" t="s">
        <v>112</v>
      </c>
      <c r="D238" s="7" t="s">
        <v>259</v>
      </c>
      <c r="E238" s="7" t="s">
        <v>260</v>
      </c>
      <c r="F238" s="7" t="s">
        <v>115</v>
      </c>
    </row>
    <row r="239">
      <c r="A239" s="7" t="s">
        <v>189</v>
      </c>
      <c r="B239" s="8">
        <v>3.0</v>
      </c>
      <c r="C239" s="7" t="s">
        <v>112</v>
      </c>
      <c r="D239" s="7" t="s">
        <v>259</v>
      </c>
      <c r="E239" s="7" t="s">
        <v>260</v>
      </c>
      <c r="F239" s="7" t="s">
        <v>115</v>
      </c>
    </row>
    <row r="240">
      <c r="A240" s="7" t="s">
        <v>9</v>
      </c>
      <c r="B240" s="8">
        <v>3.0</v>
      </c>
      <c r="C240" s="7" t="s">
        <v>112</v>
      </c>
      <c r="D240" s="7" t="s">
        <v>259</v>
      </c>
      <c r="E240" s="7" t="s">
        <v>260</v>
      </c>
      <c r="F240" s="7" t="s">
        <v>115</v>
      </c>
    </row>
    <row r="241">
      <c r="A241" s="7" t="s">
        <v>10</v>
      </c>
      <c r="B241" s="8">
        <v>3.0</v>
      </c>
      <c r="C241" s="7" t="s">
        <v>112</v>
      </c>
      <c r="D241" s="7" t="s">
        <v>259</v>
      </c>
      <c r="E241" s="7" t="s">
        <v>260</v>
      </c>
      <c r="F241" s="7" t="s">
        <v>115</v>
      </c>
    </row>
    <row r="242">
      <c r="A242" s="7" t="s">
        <v>11</v>
      </c>
      <c r="B242" s="8">
        <v>3.0</v>
      </c>
      <c r="C242" s="7" t="s">
        <v>112</v>
      </c>
      <c r="D242" s="7" t="s">
        <v>259</v>
      </c>
      <c r="E242" s="7" t="s">
        <v>260</v>
      </c>
      <c r="F242" s="7" t="s">
        <v>115</v>
      </c>
    </row>
    <row r="243">
      <c r="A243" s="7" t="s">
        <v>12</v>
      </c>
      <c r="B243" s="8">
        <v>3.0</v>
      </c>
      <c r="C243" s="7" t="s">
        <v>112</v>
      </c>
      <c r="D243" s="7" t="s">
        <v>259</v>
      </c>
      <c r="E243" s="7" t="s">
        <v>260</v>
      </c>
      <c r="F243" s="7" t="s">
        <v>115</v>
      </c>
    </row>
    <row r="244">
      <c r="A244" s="7" t="s">
        <v>13</v>
      </c>
      <c r="B244" s="8">
        <v>3.0</v>
      </c>
      <c r="C244" s="7" t="s">
        <v>112</v>
      </c>
      <c r="D244" s="7" t="s">
        <v>259</v>
      </c>
      <c r="E244" s="7" t="s">
        <v>260</v>
      </c>
      <c r="F244" s="7" t="s">
        <v>115</v>
      </c>
    </row>
    <row r="245">
      <c r="A245" s="7" t="s">
        <v>14</v>
      </c>
      <c r="B245" s="8">
        <v>3.0</v>
      </c>
      <c r="C245" s="7" t="s">
        <v>112</v>
      </c>
      <c r="D245" s="7" t="s">
        <v>259</v>
      </c>
      <c r="E245" s="7" t="s">
        <v>260</v>
      </c>
      <c r="F245" s="7" t="s">
        <v>115</v>
      </c>
    </row>
    <row r="246">
      <c r="A246" s="7" t="s">
        <v>15</v>
      </c>
      <c r="B246" s="8">
        <v>3.0</v>
      </c>
      <c r="C246" s="7" t="s">
        <v>112</v>
      </c>
      <c r="D246" s="7" t="s">
        <v>259</v>
      </c>
      <c r="E246" s="7" t="s">
        <v>260</v>
      </c>
      <c r="F246" s="7" t="s">
        <v>115</v>
      </c>
    </row>
    <row r="247">
      <c r="A247" s="7" t="s">
        <v>16</v>
      </c>
      <c r="B247" s="8">
        <v>3.0</v>
      </c>
      <c r="C247" s="7" t="s">
        <v>112</v>
      </c>
      <c r="D247" s="7" t="s">
        <v>259</v>
      </c>
      <c r="E247" s="7" t="s">
        <v>260</v>
      </c>
      <c r="F247" s="7" t="s">
        <v>115</v>
      </c>
    </row>
    <row r="248">
      <c r="A248" s="7" t="s">
        <v>17</v>
      </c>
      <c r="B248" s="8">
        <v>3.0</v>
      </c>
      <c r="C248" s="7" t="s">
        <v>112</v>
      </c>
      <c r="D248" s="7" t="s">
        <v>259</v>
      </c>
      <c r="E248" s="7" t="s">
        <v>260</v>
      </c>
      <c r="F248" s="7" t="s">
        <v>116</v>
      </c>
    </row>
    <row r="249">
      <c r="A249" s="7" t="s">
        <v>18</v>
      </c>
      <c r="B249" s="8">
        <v>3.0</v>
      </c>
      <c r="C249" s="7" t="s">
        <v>112</v>
      </c>
      <c r="D249" s="7" t="s">
        <v>259</v>
      </c>
      <c r="E249" s="7" t="s">
        <v>260</v>
      </c>
      <c r="F249" s="7" t="s">
        <v>115</v>
      </c>
    </row>
    <row r="250">
      <c r="A250" s="7" t="s">
        <v>19</v>
      </c>
      <c r="B250" s="8">
        <v>3.0</v>
      </c>
      <c r="C250" s="7" t="s">
        <v>112</v>
      </c>
      <c r="D250" s="7" t="s">
        <v>259</v>
      </c>
      <c r="E250" s="7" t="s">
        <v>260</v>
      </c>
      <c r="F250" s="7" t="s">
        <v>115</v>
      </c>
    </row>
    <row r="251">
      <c r="A251" s="7" t="s">
        <v>188</v>
      </c>
      <c r="B251" s="8">
        <v>3.0</v>
      </c>
      <c r="C251" s="7" t="s">
        <v>172</v>
      </c>
      <c r="D251" s="7" t="s">
        <v>262</v>
      </c>
      <c r="E251" s="7" t="s">
        <v>263</v>
      </c>
      <c r="F251" s="7" t="s">
        <v>264</v>
      </c>
    </row>
    <row r="252">
      <c r="A252" s="7" t="s">
        <v>4</v>
      </c>
      <c r="B252" s="8">
        <v>3.0</v>
      </c>
      <c r="C252" s="7" t="s">
        <v>172</v>
      </c>
      <c r="D252" s="7" t="s">
        <v>262</v>
      </c>
      <c r="E252" s="7" t="s">
        <v>263</v>
      </c>
      <c r="F252" s="7" t="s">
        <v>264</v>
      </c>
    </row>
    <row r="253">
      <c r="A253" s="7" t="s">
        <v>5</v>
      </c>
      <c r="B253" s="8">
        <v>3.0</v>
      </c>
      <c r="C253" s="7" t="s">
        <v>172</v>
      </c>
      <c r="D253" s="7" t="s">
        <v>262</v>
      </c>
      <c r="E253" s="7" t="s">
        <v>263</v>
      </c>
      <c r="F253" s="7" t="s">
        <v>264</v>
      </c>
    </row>
    <row r="254">
      <c r="A254" s="7" t="s">
        <v>6</v>
      </c>
      <c r="B254" s="8">
        <v>3.0</v>
      </c>
      <c r="C254" s="7" t="s">
        <v>172</v>
      </c>
      <c r="D254" s="7" t="s">
        <v>262</v>
      </c>
      <c r="E254" s="7" t="s">
        <v>263</v>
      </c>
      <c r="F254" s="7" t="s">
        <v>264</v>
      </c>
    </row>
    <row r="255">
      <c r="A255" s="7" t="s">
        <v>7</v>
      </c>
      <c r="B255" s="8">
        <v>3.0</v>
      </c>
      <c r="C255" s="7" t="s">
        <v>172</v>
      </c>
      <c r="D255" s="7" t="s">
        <v>262</v>
      </c>
      <c r="E255" s="7" t="s">
        <v>263</v>
      </c>
      <c r="F255" s="7" t="s">
        <v>264</v>
      </c>
    </row>
    <row r="256">
      <c r="A256" s="7" t="s">
        <v>8</v>
      </c>
      <c r="B256" s="8">
        <v>3.0</v>
      </c>
      <c r="C256" s="7" t="s">
        <v>172</v>
      </c>
      <c r="D256" s="7" t="s">
        <v>262</v>
      </c>
      <c r="E256" s="7" t="s">
        <v>263</v>
      </c>
      <c r="F256" s="7" t="s">
        <v>265</v>
      </c>
    </row>
    <row r="257">
      <c r="A257" s="7" t="s">
        <v>189</v>
      </c>
      <c r="B257" s="8">
        <v>3.0</v>
      </c>
      <c r="C257" s="7" t="s">
        <v>172</v>
      </c>
      <c r="D257" s="7" t="s">
        <v>262</v>
      </c>
      <c r="E257" s="7" t="s">
        <v>263</v>
      </c>
      <c r="F257" s="7" t="s">
        <v>175</v>
      </c>
    </row>
    <row r="258">
      <c r="A258" s="7" t="s">
        <v>9</v>
      </c>
      <c r="B258" s="8">
        <v>3.0</v>
      </c>
      <c r="C258" s="7" t="s">
        <v>172</v>
      </c>
      <c r="D258" s="7" t="s">
        <v>262</v>
      </c>
      <c r="E258" s="7" t="s">
        <v>263</v>
      </c>
      <c r="F258" s="7" t="s">
        <v>175</v>
      </c>
    </row>
    <row r="259">
      <c r="A259" s="7" t="s">
        <v>10</v>
      </c>
      <c r="B259" s="8">
        <v>3.0</v>
      </c>
      <c r="C259" s="7" t="s">
        <v>172</v>
      </c>
      <c r="D259" s="7" t="s">
        <v>262</v>
      </c>
      <c r="E259" s="7" t="s">
        <v>263</v>
      </c>
      <c r="F259" s="7" t="s">
        <v>175</v>
      </c>
    </row>
    <row r="260">
      <c r="A260" s="7" t="s">
        <v>11</v>
      </c>
      <c r="B260" s="8">
        <v>3.0</v>
      </c>
      <c r="C260" s="7" t="s">
        <v>172</v>
      </c>
      <c r="D260" s="7" t="s">
        <v>262</v>
      </c>
      <c r="E260" s="7" t="s">
        <v>263</v>
      </c>
      <c r="F260" s="7" t="s">
        <v>175</v>
      </c>
    </row>
    <row r="261">
      <c r="A261" s="7" t="s">
        <v>12</v>
      </c>
      <c r="B261" s="8">
        <v>3.0</v>
      </c>
      <c r="C261" s="7" t="s">
        <v>172</v>
      </c>
      <c r="D261" s="7" t="s">
        <v>262</v>
      </c>
      <c r="E261" s="7" t="s">
        <v>263</v>
      </c>
      <c r="F261" s="7" t="s">
        <v>175</v>
      </c>
    </row>
    <row r="262">
      <c r="A262" s="7" t="s">
        <v>13</v>
      </c>
      <c r="B262" s="8">
        <v>3.0</v>
      </c>
      <c r="C262" s="7" t="s">
        <v>172</v>
      </c>
      <c r="D262" s="7" t="s">
        <v>262</v>
      </c>
      <c r="E262" s="7" t="s">
        <v>263</v>
      </c>
      <c r="F262" s="7" t="s">
        <v>47</v>
      </c>
    </row>
    <row r="263">
      <c r="A263" s="7" t="s">
        <v>14</v>
      </c>
      <c r="B263" s="8">
        <v>3.0</v>
      </c>
      <c r="C263" s="7" t="s">
        <v>172</v>
      </c>
      <c r="D263" s="7" t="s">
        <v>262</v>
      </c>
      <c r="E263" s="7" t="s">
        <v>263</v>
      </c>
      <c r="F263" s="7" t="s">
        <v>264</v>
      </c>
    </row>
    <row r="264">
      <c r="A264" s="7" t="s">
        <v>15</v>
      </c>
      <c r="B264" s="8">
        <v>3.0</v>
      </c>
      <c r="C264" s="7" t="s">
        <v>172</v>
      </c>
      <c r="D264" s="7" t="s">
        <v>262</v>
      </c>
      <c r="E264" s="7" t="s">
        <v>263</v>
      </c>
      <c r="F264" s="7" t="s">
        <v>47</v>
      </c>
    </row>
    <row r="265">
      <c r="A265" s="7" t="s">
        <v>16</v>
      </c>
      <c r="B265" s="8">
        <v>3.0</v>
      </c>
      <c r="C265" s="7" t="s">
        <v>172</v>
      </c>
      <c r="D265" s="7" t="s">
        <v>262</v>
      </c>
      <c r="E265" s="7" t="s">
        <v>263</v>
      </c>
      <c r="F265" s="7" t="s">
        <v>266</v>
      </c>
    </row>
    <row r="266">
      <c r="A266" s="7" t="s">
        <v>17</v>
      </c>
      <c r="B266" s="8">
        <v>3.0</v>
      </c>
      <c r="C266" s="7" t="s">
        <v>172</v>
      </c>
      <c r="D266" s="7" t="s">
        <v>262</v>
      </c>
      <c r="E266" s="7" t="s">
        <v>263</v>
      </c>
      <c r="F266" s="7" t="s">
        <v>175</v>
      </c>
    </row>
    <row r="267">
      <c r="A267" s="7" t="s">
        <v>18</v>
      </c>
      <c r="B267" s="8">
        <v>3.0</v>
      </c>
      <c r="C267" s="7" t="s">
        <v>172</v>
      </c>
      <c r="D267" s="7" t="s">
        <v>262</v>
      </c>
      <c r="E267" s="7" t="s">
        <v>263</v>
      </c>
      <c r="F267" s="7" t="s">
        <v>175</v>
      </c>
    </row>
    <row r="268">
      <c r="A268" s="7" t="s">
        <v>19</v>
      </c>
      <c r="B268" s="8">
        <v>3.0</v>
      </c>
      <c r="C268" s="7" t="s">
        <v>172</v>
      </c>
      <c r="D268" s="7" t="s">
        <v>262</v>
      </c>
      <c r="E268" s="7" t="s">
        <v>263</v>
      </c>
      <c r="F268" s="7" t="s">
        <v>175</v>
      </c>
    </row>
    <row r="269">
      <c r="A269" s="7" t="s">
        <v>188</v>
      </c>
      <c r="B269" s="8">
        <v>3.0</v>
      </c>
      <c r="C269" s="7" t="s">
        <v>267</v>
      </c>
      <c r="D269" s="7" t="s">
        <v>268</v>
      </c>
      <c r="E269" s="7" t="s">
        <v>269</v>
      </c>
      <c r="F269" s="7" t="s">
        <v>270</v>
      </c>
    </row>
    <row r="270">
      <c r="A270" s="7" t="s">
        <v>4</v>
      </c>
      <c r="B270" s="8">
        <v>3.0</v>
      </c>
      <c r="C270" s="7" t="s">
        <v>267</v>
      </c>
      <c r="D270" s="7" t="s">
        <v>268</v>
      </c>
      <c r="E270" s="7" t="s">
        <v>269</v>
      </c>
      <c r="F270" s="7" t="s">
        <v>238</v>
      </c>
    </row>
    <row r="271">
      <c r="A271" s="7" t="s">
        <v>5</v>
      </c>
      <c r="B271" s="8">
        <v>3.0</v>
      </c>
      <c r="C271" s="7" t="s">
        <v>267</v>
      </c>
      <c r="D271" s="7" t="s">
        <v>268</v>
      </c>
      <c r="E271" s="7" t="s">
        <v>269</v>
      </c>
      <c r="F271" s="7" t="s">
        <v>238</v>
      </c>
    </row>
    <row r="272">
      <c r="A272" s="7" t="s">
        <v>6</v>
      </c>
      <c r="B272" s="8">
        <v>3.0</v>
      </c>
      <c r="C272" s="7" t="s">
        <v>267</v>
      </c>
      <c r="D272" s="7" t="s">
        <v>268</v>
      </c>
      <c r="E272" s="7" t="s">
        <v>269</v>
      </c>
      <c r="F272" s="7" t="s">
        <v>238</v>
      </c>
    </row>
    <row r="273">
      <c r="A273" s="7" t="s">
        <v>7</v>
      </c>
      <c r="B273" s="8">
        <v>3.0</v>
      </c>
      <c r="C273" s="7" t="s">
        <v>267</v>
      </c>
      <c r="D273" s="7" t="s">
        <v>268</v>
      </c>
      <c r="E273" s="7" t="s">
        <v>269</v>
      </c>
      <c r="F273" s="7" t="s">
        <v>238</v>
      </c>
    </row>
    <row r="274">
      <c r="A274" s="7" t="s">
        <v>8</v>
      </c>
      <c r="B274" s="8">
        <v>3.0</v>
      </c>
      <c r="C274" s="7" t="s">
        <v>267</v>
      </c>
      <c r="D274" s="7" t="s">
        <v>268</v>
      </c>
      <c r="E274" s="7" t="s">
        <v>269</v>
      </c>
      <c r="F274" s="7" t="s">
        <v>238</v>
      </c>
    </row>
    <row r="275">
      <c r="A275" s="7" t="s">
        <v>189</v>
      </c>
      <c r="B275" s="8">
        <v>3.0</v>
      </c>
      <c r="C275" s="7" t="s">
        <v>267</v>
      </c>
      <c r="D275" s="7" t="s">
        <v>268</v>
      </c>
      <c r="E275" s="7" t="s">
        <v>269</v>
      </c>
      <c r="F275" s="7" t="s">
        <v>271</v>
      </c>
    </row>
    <row r="276">
      <c r="A276" s="7" t="s">
        <v>9</v>
      </c>
      <c r="B276" s="8">
        <v>3.0</v>
      </c>
      <c r="C276" s="7" t="s">
        <v>267</v>
      </c>
      <c r="D276" s="7" t="s">
        <v>268</v>
      </c>
      <c r="E276" s="7" t="s">
        <v>269</v>
      </c>
      <c r="F276" s="7" t="s">
        <v>238</v>
      </c>
    </row>
    <row r="277">
      <c r="A277" s="7" t="s">
        <v>10</v>
      </c>
      <c r="B277" s="8">
        <v>3.0</v>
      </c>
      <c r="C277" s="7" t="s">
        <v>267</v>
      </c>
      <c r="D277" s="7" t="s">
        <v>268</v>
      </c>
      <c r="E277" s="7" t="s">
        <v>269</v>
      </c>
      <c r="F277" s="7" t="s">
        <v>270</v>
      </c>
    </row>
    <row r="278">
      <c r="A278" s="7" t="s">
        <v>11</v>
      </c>
      <c r="B278" s="8">
        <v>3.0</v>
      </c>
      <c r="C278" s="7" t="s">
        <v>267</v>
      </c>
      <c r="D278" s="7" t="s">
        <v>268</v>
      </c>
      <c r="E278" s="7" t="s">
        <v>269</v>
      </c>
      <c r="F278" s="7" t="s">
        <v>238</v>
      </c>
    </row>
    <row r="279">
      <c r="A279" s="7" t="s">
        <v>12</v>
      </c>
      <c r="B279" s="8">
        <v>3.0</v>
      </c>
      <c r="C279" s="7" t="s">
        <v>267</v>
      </c>
      <c r="D279" s="7" t="s">
        <v>268</v>
      </c>
      <c r="E279" s="7" t="s">
        <v>269</v>
      </c>
      <c r="F279" s="7" t="s">
        <v>272</v>
      </c>
    </row>
    <row r="280">
      <c r="A280" s="7" t="s">
        <v>13</v>
      </c>
      <c r="B280" s="8">
        <v>3.0</v>
      </c>
      <c r="C280" s="7" t="s">
        <v>267</v>
      </c>
      <c r="D280" s="7" t="s">
        <v>268</v>
      </c>
      <c r="E280" s="7" t="s">
        <v>269</v>
      </c>
      <c r="F280" s="7" t="s">
        <v>273</v>
      </c>
    </row>
    <row r="281">
      <c r="A281" s="7" t="s">
        <v>14</v>
      </c>
      <c r="B281" s="8">
        <v>3.0</v>
      </c>
      <c r="C281" s="7" t="s">
        <v>267</v>
      </c>
      <c r="D281" s="7" t="s">
        <v>268</v>
      </c>
      <c r="E281" s="7" t="s">
        <v>269</v>
      </c>
      <c r="F281" s="7" t="s">
        <v>270</v>
      </c>
    </row>
    <row r="282">
      <c r="A282" s="7" t="s">
        <v>15</v>
      </c>
      <c r="B282" s="8">
        <v>3.0</v>
      </c>
      <c r="C282" s="7" t="s">
        <v>267</v>
      </c>
      <c r="D282" s="7" t="s">
        <v>268</v>
      </c>
      <c r="E282" s="7" t="s">
        <v>269</v>
      </c>
      <c r="F282" s="7" t="s">
        <v>271</v>
      </c>
    </row>
    <row r="283">
      <c r="A283" s="7" t="s">
        <v>16</v>
      </c>
      <c r="B283" s="8">
        <v>3.0</v>
      </c>
      <c r="C283" s="7" t="s">
        <v>267</v>
      </c>
      <c r="D283" s="7" t="s">
        <v>268</v>
      </c>
      <c r="E283" s="7" t="s">
        <v>269</v>
      </c>
      <c r="F283" s="7" t="s">
        <v>238</v>
      </c>
    </row>
    <row r="284">
      <c r="A284" s="7" t="s">
        <v>17</v>
      </c>
      <c r="B284" s="8">
        <v>3.0</v>
      </c>
      <c r="C284" s="7" t="s">
        <v>267</v>
      </c>
      <c r="D284" s="7" t="s">
        <v>268</v>
      </c>
      <c r="E284" s="7" t="s">
        <v>269</v>
      </c>
      <c r="F284" s="7" t="s">
        <v>238</v>
      </c>
    </row>
    <row r="285">
      <c r="A285" s="7" t="s">
        <v>18</v>
      </c>
      <c r="B285" s="8">
        <v>3.0</v>
      </c>
      <c r="C285" s="7" t="s">
        <v>267</v>
      </c>
      <c r="D285" s="7" t="s">
        <v>268</v>
      </c>
      <c r="E285" s="7" t="s">
        <v>269</v>
      </c>
      <c r="F285" s="7" t="s">
        <v>238</v>
      </c>
    </row>
    <row r="286">
      <c r="A286" s="7" t="s">
        <v>19</v>
      </c>
      <c r="B286" s="8">
        <v>3.0</v>
      </c>
      <c r="C286" s="7" t="s">
        <v>267</v>
      </c>
      <c r="D286" s="7" t="s">
        <v>268</v>
      </c>
      <c r="E286" s="7" t="s">
        <v>269</v>
      </c>
      <c r="F286" s="7" t="s">
        <v>238</v>
      </c>
    </row>
    <row r="287">
      <c r="A287" s="7" t="s">
        <v>188</v>
      </c>
      <c r="B287" s="8">
        <v>3.0</v>
      </c>
      <c r="C287" s="7" t="s">
        <v>274</v>
      </c>
      <c r="D287" s="7" t="s">
        <v>275</v>
      </c>
      <c r="E287" s="7" t="s">
        <v>276</v>
      </c>
      <c r="F287" s="7" t="s">
        <v>277</v>
      </c>
    </row>
    <row r="288">
      <c r="A288" s="7" t="s">
        <v>4</v>
      </c>
      <c r="B288" s="8">
        <v>3.0</v>
      </c>
      <c r="C288" s="7" t="s">
        <v>274</v>
      </c>
      <c r="D288" s="7" t="s">
        <v>275</v>
      </c>
      <c r="E288" s="7" t="s">
        <v>276</v>
      </c>
      <c r="F288" s="7" t="s">
        <v>278</v>
      </c>
    </row>
    <row r="289">
      <c r="A289" s="7" t="s">
        <v>5</v>
      </c>
      <c r="B289" s="8">
        <v>3.0</v>
      </c>
      <c r="C289" s="7" t="s">
        <v>274</v>
      </c>
      <c r="D289" s="7" t="s">
        <v>275</v>
      </c>
      <c r="E289" s="7" t="s">
        <v>276</v>
      </c>
      <c r="F289" s="7" t="s">
        <v>279</v>
      </c>
    </row>
    <row r="290">
      <c r="A290" s="7" t="s">
        <v>6</v>
      </c>
      <c r="B290" s="8">
        <v>3.0</v>
      </c>
      <c r="C290" s="7" t="s">
        <v>274</v>
      </c>
      <c r="D290" s="7" t="s">
        <v>275</v>
      </c>
      <c r="E290" s="7" t="s">
        <v>276</v>
      </c>
      <c r="F290" s="7" t="s">
        <v>280</v>
      </c>
    </row>
    <row r="291">
      <c r="A291" s="7" t="s">
        <v>7</v>
      </c>
      <c r="B291" s="8">
        <v>3.0</v>
      </c>
      <c r="C291" s="7" t="s">
        <v>274</v>
      </c>
      <c r="D291" s="7" t="s">
        <v>275</v>
      </c>
      <c r="E291" s="7" t="s">
        <v>276</v>
      </c>
      <c r="F291" s="7" t="s">
        <v>278</v>
      </c>
    </row>
    <row r="292">
      <c r="A292" s="7" t="s">
        <v>8</v>
      </c>
      <c r="B292" s="8">
        <v>3.0</v>
      </c>
      <c r="C292" s="7" t="s">
        <v>274</v>
      </c>
      <c r="D292" s="7" t="s">
        <v>275</v>
      </c>
      <c r="E292" s="7" t="s">
        <v>276</v>
      </c>
      <c r="F292" s="7" t="s">
        <v>281</v>
      </c>
    </row>
    <row r="293">
      <c r="A293" s="7" t="s">
        <v>189</v>
      </c>
      <c r="B293" s="8">
        <v>3.0</v>
      </c>
      <c r="C293" s="7" t="s">
        <v>274</v>
      </c>
      <c r="D293" s="7" t="s">
        <v>275</v>
      </c>
      <c r="E293" s="7" t="s">
        <v>276</v>
      </c>
      <c r="F293" s="7" t="s">
        <v>277</v>
      </c>
    </row>
    <row r="294">
      <c r="A294" s="7" t="s">
        <v>9</v>
      </c>
      <c r="B294" s="8">
        <v>3.0</v>
      </c>
      <c r="C294" s="7" t="s">
        <v>274</v>
      </c>
      <c r="D294" s="7" t="s">
        <v>275</v>
      </c>
      <c r="E294" s="7" t="s">
        <v>276</v>
      </c>
      <c r="F294" s="7" t="s">
        <v>278</v>
      </c>
    </row>
    <row r="295">
      <c r="A295" s="7" t="s">
        <v>10</v>
      </c>
      <c r="B295" s="8">
        <v>3.0</v>
      </c>
      <c r="C295" s="7" t="s">
        <v>274</v>
      </c>
      <c r="D295" s="7" t="s">
        <v>275</v>
      </c>
      <c r="E295" s="7" t="s">
        <v>276</v>
      </c>
      <c r="F295" s="7" t="s">
        <v>277</v>
      </c>
    </row>
    <row r="296">
      <c r="A296" s="7" t="s">
        <v>11</v>
      </c>
      <c r="B296" s="8">
        <v>3.0</v>
      </c>
      <c r="C296" s="7" t="s">
        <v>274</v>
      </c>
      <c r="D296" s="7" t="s">
        <v>275</v>
      </c>
      <c r="E296" s="7" t="s">
        <v>276</v>
      </c>
      <c r="F296" s="7" t="s">
        <v>282</v>
      </c>
    </row>
    <row r="297">
      <c r="A297" s="7" t="s">
        <v>12</v>
      </c>
      <c r="B297" s="8">
        <v>3.0</v>
      </c>
      <c r="C297" s="7" t="s">
        <v>274</v>
      </c>
      <c r="D297" s="7" t="s">
        <v>275</v>
      </c>
      <c r="E297" s="7" t="s">
        <v>276</v>
      </c>
      <c r="F297" s="7" t="s">
        <v>278</v>
      </c>
    </row>
    <row r="298">
      <c r="A298" s="7" t="s">
        <v>13</v>
      </c>
      <c r="B298" s="8">
        <v>3.0</v>
      </c>
      <c r="C298" s="7" t="s">
        <v>274</v>
      </c>
      <c r="D298" s="7" t="s">
        <v>275</v>
      </c>
      <c r="E298" s="7" t="s">
        <v>276</v>
      </c>
      <c r="F298" s="7" t="s">
        <v>278</v>
      </c>
    </row>
    <row r="299">
      <c r="A299" s="7" t="s">
        <v>14</v>
      </c>
      <c r="B299" s="8">
        <v>3.0</v>
      </c>
      <c r="C299" s="7" t="s">
        <v>274</v>
      </c>
      <c r="D299" s="7" t="s">
        <v>275</v>
      </c>
      <c r="E299" s="7" t="s">
        <v>276</v>
      </c>
      <c r="F299" s="7" t="s">
        <v>277</v>
      </c>
    </row>
    <row r="300">
      <c r="A300" s="7" t="s">
        <v>15</v>
      </c>
      <c r="B300" s="8">
        <v>3.0</v>
      </c>
      <c r="C300" s="7" t="s">
        <v>274</v>
      </c>
      <c r="D300" s="7" t="s">
        <v>275</v>
      </c>
      <c r="E300" s="7" t="s">
        <v>276</v>
      </c>
      <c r="F300" s="7" t="s">
        <v>278</v>
      </c>
    </row>
    <row r="301">
      <c r="A301" s="7" t="s">
        <v>16</v>
      </c>
      <c r="B301" s="8">
        <v>3.0</v>
      </c>
      <c r="C301" s="7" t="s">
        <v>274</v>
      </c>
      <c r="D301" s="7" t="s">
        <v>275</v>
      </c>
      <c r="E301" s="7" t="s">
        <v>276</v>
      </c>
      <c r="F301" s="7" t="s">
        <v>278</v>
      </c>
    </row>
    <row r="302">
      <c r="A302" s="7" t="s">
        <v>17</v>
      </c>
      <c r="B302" s="8">
        <v>3.0</v>
      </c>
      <c r="C302" s="7" t="s">
        <v>274</v>
      </c>
      <c r="D302" s="7" t="s">
        <v>275</v>
      </c>
      <c r="E302" s="7" t="s">
        <v>276</v>
      </c>
      <c r="F302" s="7" t="s">
        <v>278</v>
      </c>
    </row>
    <row r="303">
      <c r="A303" s="7" t="s">
        <v>18</v>
      </c>
      <c r="B303" s="8">
        <v>3.0</v>
      </c>
      <c r="C303" s="7" t="s">
        <v>274</v>
      </c>
      <c r="D303" s="7" t="s">
        <v>275</v>
      </c>
      <c r="E303" s="7" t="s">
        <v>276</v>
      </c>
      <c r="F303" s="7" t="s">
        <v>283</v>
      </c>
    </row>
    <row r="304">
      <c r="A304" s="7" t="s">
        <v>19</v>
      </c>
      <c r="B304" s="8">
        <v>3.0</v>
      </c>
      <c r="C304" s="7" t="s">
        <v>274</v>
      </c>
      <c r="D304" s="7" t="s">
        <v>275</v>
      </c>
      <c r="E304" s="7" t="s">
        <v>276</v>
      </c>
      <c r="F304" s="7" t="s">
        <v>278</v>
      </c>
    </row>
    <row r="305">
      <c r="A305" s="7" t="s">
        <v>188</v>
      </c>
      <c r="B305" s="8">
        <v>3.0</v>
      </c>
      <c r="C305" s="7" t="s">
        <v>284</v>
      </c>
      <c r="D305" s="7" t="s">
        <v>285</v>
      </c>
      <c r="E305" s="7" t="s">
        <v>286</v>
      </c>
      <c r="F305" s="7" t="s">
        <v>287</v>
      </c>
    </row>
    <row r="306">
      <c r="A306" s="7" t="s">
        <v>4</v>
      </c>
      <c r="B306" s="8">
        <v>3.0</v>
      </c>
      <c r="C306" s="7" t="s">
        <v>284</v>
      </c>
      <c r="D306" s="7" t="s">
        <v>285</v>
      </c>
      <c r="E306" s="7" t="s">
        <v>286</v>
      </c>
      <c r="F306" s="7" t="s">
        <v>288</v>
      </c>
    </row>
    <row r="307">
      <c r="A307" s="7" t="s">
        <v>5</v>
      </c>
      <c r="B307" s="8">
        <v>3.0</v>
      </c>
      <c r="C307" s="7" t="s">
        <v>284</v>
      </c>
      <c r="D307" s="7" t="s">
        <v>285</v>
      </c>
      <c r="E307" s="7" t="s">
        <v>286</v>
      </c>
      <c r="F307" s="7" t="s">
        <v>288</v>
      </c>
    </row>
    <row r="308">
      <c r="A308" s="7" t="s">
        <v>6</v>
      </c>
      <c r="B308" s="8">
        <v>3.0</v>
      </c>
      <c r="C308" s="7" t="s">
        <v>284</v>
      </c>
      <c r="D308" s="7" t="s">
        <v>285</v>
      </c>
      <c r="E308" s="7" t="s">
        <v>286</v>
      </c>
      <c r="F308" s="7" t="s">
        <v>288</v>
      </c>
    </row>
    <row r="309">
      <c r="A309" s="7" t="s">
        <v>7</v>
      </c>
      <c r="B309" s="8">
        <v>3.0</v>
      </c>
      <c r="C309" s="7" t="s">
        <v>284</v>
      </c>
      <c r="D309" s="7" t="s">
        <v>285</v>
      </c>
      <c r="E309" s="7" t="s">
        <v>286</v>
      </c>
      <c r="F309" s="7" t="s">
        <v>288</v>
      </c>
    </row>
    <row r="310">
      <c r="A310" s="7" t="s">
        <v>8</v>
      </c>
      <c r="B310" s="8">
        <v>3.0</v>
      </c>
      <c r="C310" s="7" t="s">
        <v>284</v>
      </c>
      <c r="D310" s="7" t="s">
        <v>285</v>
      </c>
      <c r="E310" s="7" t="s">
        <v>286</v>
      </c>
      <c r="F310" s="7" t="s">
        <v>288</v>
      </c>
    </row>
    <row r="311">
      <c r="A311" s="7" t="s">
        <v>189</v>
      </c>
      <c r="B311" s="8">
        <v>3.0</v>
      </c>
      <c r="C311" s="7" t="s">
        <v>284</v>
      </c>
      <c r="D311" s="7" t="s">
        <v>285</v>
      </c>
      <c r="E311" s="7" t="s">
        <v>286</v>
      </c>
      <c r="F311" s="7" t="s">
        <v>288</v>
      </c>
    </row>
    <row r="312">
      <c r="A312" s="7" t="s">
        <v>9</v>
      </c>
      <c r="B312" s="8">
        <v>3.0</v>
      </c>
      <c r="C312" s="7" t="s">
        <v>284</v>
      </c>
      <c r="D312" s="7" t="s">
        <v>285</v>
      </c>
      <c r="E312" s="7" t="s">
        <v>286</v>
      </c>
      <c r="F312" s="7" t="s">
        <v>288</v>
      </c>
    </row>
    <row r="313">
      <c r="A313" s="7" t="s">
        <v>10</v>
      </c>
      <c r="B313" s="8">
        <v>3.0</v>
      </c>
      <c r="C313" s="7" t="s">
        <v>284</v>
      </c>
      <c r="D313" s="7" t="s">
        <v>285</v>
      </c>
      <c r="E313" s="7" t="s">
        <v>286</v>
      </c>
      <c r="F313" s="7" t="s">
        <v>287</v>
      </c>
    </row>
    <row r="314">
      <c r="A314" s="7" t="s">
        <v>11</v>
      </c>
      <c r="B314" s="8">
        <v>3.0</v>
      </c>
      <c r="C314" s="7" t="s">
        <v>284</v>
      </c>
      <c r="D314" s="7" t="s">
        <v>285</v>
      </c>
      <c r="E314" s="7" t="s">
        <v>286</v>
      </c>
      <c r="F314" s="7" t="s">
        <v>288</v>
      </c>
    </row>
    <row r="315">
      <c r="A315" s="7" t="s">
        <v>12</v>
      </c>
      <c r="B315" s="8">
        <v>3.0</v>
      </c>
      <c r="C315" s="7" t="s">
        <v>284</v>
      </c>
      <c r="D315" s="7" t="s">
        <v>285</v>
      </c>
      <c r="E315" s="7" t="s">
        <v>286</v>
      </c>
      <c r="F315" s="7" t="s">
        <v>288</v>
      </c>
    </row>
    <row r="316">
      <c r="A316" s="7" t="s">
        <v>13</v>
      </c>
      <c r="B316" s="8">
        <v>3.0</v>
      </c>
      <c r="C316" s="7" t="s">
        <v>284</v>
      </c>
      <c r="D316" s="7" t="s">
        <v>285</v>
      </c>
      <c r="E316" s="7" t="s">
        <v>286</v>
      </c>
      <c r="F316" s="7" t="s">
        <v>288</v>
      </c>
    </row>
    <row r="317">
      <c r="A317" s="7" t="s">
        <v>14</v>
      </c>
      <c r="B317" s="8">
        <v>3.0</v>
      </c>
      <c r="C317" s="7" t="s">
        <v>284</v>
      </c>
      <c r="D317" s="7" t="s">
        <v>285</v>
      </c>
      <c r="E317" s="7" t="s">
        <v>286</v>
      </c>
      <c r="F317" s="7" t="s">
        <v>287</v>
      </c>
    </row>
    <row r="318">
      <c r="A318" s="7" t="s">
        <v>15</v>
      </c>
      <c r="B318" s="8">
        <v>3.0</v>
      </c>
      <c r="C318" s="7" t="s">
        <v>284</v>
      </c>
      <c r="D318" s="7" t="s">
        <v>285</v>
      </c>
      <c r="E318" s="7" t="s">
        <v>286</v>
      </c>
      <c r="F318" s="7" t="s">
        <v>288</v>
      </c>
    </row>
    <row r="319">
      <c r="A319" s="7" t="s">
        <v>16</v>
      </c>
      <c r="B319" s="8">
        <v>3.0</v>
      </c>
      <c r="C319" s="7" t="s">
        <v>284</v>
      </c>
      <c r="D319" s="7" t="s">
        <v>285</v>
      </c>
      <c r="E319" s="7" t="s">
        <v>286</v>
      </c>
      <c r="F319" s="7" t="s">
        <v>288</v>
      </c>
    </row>
    <row r="320">
      <c r="A320" s="7" t="s">
        <v>17</v>
      </c>
      <c r="B320" s="8">
        <v>3.0</v>
      </c>
      <c r="C320" s="7" t="s">
        <v>284</v>
      </c>
      <c r="D320" s="7" t="s">
        <v>285</v>
      </c>
      <c r="E320" s="7" t="s">
        <v>286</v>
      </c>
      <c r="F320" s="7" t="s">
        <v>289</v>
      </c>
    </row>
    <row r="321">
      <c r="A321" s="7" t="s">
        <v>18</v>
      </c>
      <c r="B321" s="8">
        <v>3.0</v>
      </c>
      <c r="C321" s="7" t="s">
        <v>284</v>
      </c>
      <c r="D321" s="7" t="s">
        <v>285</v>
      </c>
      <c r="E321" s="7" t="s">
        <v>286</v>
      </c>
      <c r="F321" s="7" t="s">
        <v>288</v>
      </c>
    </row>
    <row r="322">
      <c r="A322" s="7" t="s">
        <v>19</v>
      </c>
      <c r="B322" s="8">
        <v>3.0</v>
      </c>
      <c r="C322" s="7" t="s">
        <v>284</v>
      </c>
      <c r="D322" s="7" t="s">
        <v>285</v>
      </c>
      <c r="E322" s="7" t="s">
        <v>286</v>
      </c>
      <c r="F322" s="7" t="s">
        <v>288</v>
      </c>
    </row>
    <row r="323">
      <c r="A323" s="7" t="s">
        <v>188</v>
      </c>
      <c r="B323" s="8">
        <v>3.0</v>
      </c>
      <c r="C323" s="7" t="s">
        <v>290</v>
      </c>
      <c r="D323" s="7" t="s">
        <v>291</v>
      </c>
      <c r="E323" s="7" t="s">
        <v>292</v>
      </c>
      <c r="F323" s="7" t="s">
        <v>293</v>
      </c>
    </row>
    <row r="324">
      <c r="A324" s="7" t="s">
        <v>4</v>
      </c>
      <c r="B324" s="8">
        <v>3.0</v>
      </c>
      <c r="C324" s="7" t="s">
        <v>290</v>
      </c>
      <c r="D324" s="7" t="s">
        <v>291</v>
      </c>
      <c r="E324" s="7" t="s">
        <v>292</v>
      </c>
      <c r="F324" s="7" t="s">
        <v>293</v>
      </c>
    </row>
    <row r="325">
      <c r="A325" s="7" t="s">
        <v>5</v>
      </c>
      <c r="B325" s="8">
        <v>3.0</v>
      </c>
      <c r="C325" s="7" t="s">
        <v>290</v>
      </c>
      <c r="D325" s="7" t="s">
        <v>291</v>
      </c>
      <c r="E325" s="7" t="s">
        <v>292</v>
      </c>
      <c r="F325" s="7" t="s">
        <v>293</v>
      </c>
    </row>
    <row r="326">
      <c r="A326" s="7" t="s">
        <v>6</v>
      </c>
      <c r="B326" s="8">
        <v>3.0</v>
      </c>
      <c r="C326" s="7" t="s">
        <v>290</v>
      </c>
      <c r="D326" s="7" t="s">
        <v>291</v>
      </c>
      <c r="E326" s="7" t="s">
        <v>292</v>
      </c>
      <c r="F326" s="7" t="s">
        <v>293</v>
      </c>
    </row>
    <row r="327">
      <c r="A327" s="7" t="s">
        <v>7</v>
      </c>
      <c r="B327" s="8">
        <v>3.0</v>
      </c>
      <c r="C327" s="7" t="s">
        <v>290</v>
      </c>
      <c r="D327" s="7" t="s">
        <v>291</v>
      </c>
      <c r="E327" s="7" t="s">
        <v>292</v>
      </c>
      <c r="F327" s="7" t="s">
        <v>293</v>
      </c>
    </row>
    <row r="328">
      <c r="A328" s="7" t="s">
        <v>8</v>
      </c>
      <c r="B328" s="8">
        <v>3.0</v>
      </c>
      <c r="C328" s="7" t="s">
        <v>290</v>
      </c>
      <c r="D328" s="7" t="s">
        <v>291</v>
      </c>
      <c r="E328" s="7" t="s">
        <v>292</v>
      </c>
      <c r="F328" s="7" t="s">
        <v>293</v>
      </c>
    </row>
    <row r="329">
      <c r="A329" s="7" t="s">
        <v>189</v>
      </c>
      <c r="B329" s="8">
        <v>3.0</v>
      </c>
      <c r="C329" s="7" t="s">
        <v>290</v>
      </c>
      <c r="D329" s="7" t="s">
        <v>291</v>
      </c>
      <c r="E329" s="7" t="s">
        <v>292</v>
      </c>
      <c r="F329" s="7" t="s">
        <v>294</v>
      </c>
    </row>
    <row r="330">
      <c r="A330" s="7" t="s">
        <v>9</v>
      </c>
      <c r="B330" s="8">
        <v>3.0</v>
      </c>
      <c r="C330" s="7" t="s">
        <v>290</v>
      </c>
      <c r="D330" s="7" t="s">
        <v>291</v>
      </c>
      <c r="E330" s="7" t="s">
        <v>292</v>
      </c>
      <c r="F330" s="7" t="s">
        <v>293</v>
      </c>
    </row>
    <row r="331">
      <c r="A331" s="7" t="s">
        <v>10</v>
      </c>
      <c r="B331" s="8">
        <v>3.0</v>
      </c>
      <c r="C331" s="7" t="s">
        <v>290</v>
      </c>
      <c r="D331" s="7" t="s">
        <v>291</v>
      </c>
      <c r="E331" s="7" t="s">
        <v>292</v>
      </c>
      <c r="F331" s="7" t="s">
        <v>293</v>
      </c>
    </row>
    <row r="332">
      <c r="A332" s="7" t="s">
        <v>11</v>
      </c>
      <c r="B332" s="8">
        <v>3.0</v>
      </c>
      <c r="C332" s="7" t="s">
        <v>290</v>
      </c>
      <c r="D332" s="7" t="s">
        <v>291</v>
      </c>
      <c r="E332" s="7" t="s">
        <v>292</v>
      </c>
      <c r="F332" s="7" t="s">
        <v>293</v>
      </c>
    </row>
    <row r="333">
      <c r="A333" s="7" t="s">
        <v>12</v>
      </c>
      <c r="B333" s="8">
        <v>3.0</v>
      </c>
      <c r="C333" s="7" t="s">
        <v>290</v>
      </c>
      <c r="D333" s="7" t="s">
        <v>291</v>
      </c>
      <c r="E333" s="7" t="s">
        <v>292</v>
      </c>
      <c r="F333" s="7" t="s">
        <v>293</v>
      </c>
    </row>
    <row r="334">
      <c r="A334" s="7" t="s">
        <v>13</v>
      </c>
      <c r="B334" s="8">
        <v>3.0</v>
      </c>
      <c r="C334" s="7" t="s">
        <v>290</v>
      </c>
      <c r="D334" s="7" t="s">
        <v>291</v>
      </c>
      <c r="E334" s="7" t="s">
        <v>292</v>
      </c>
      <c r="F334" s="7" t="s">
        <v>293</v>
      </c>
    </row>
    <row r="335">
      <c r="A335" s="7" t="s">
        <v>14</v>
      </c>
      <c r="B335" s="8">
        <v>3.0</v>
      </c>
      <c r="C335" s="7" t="s">
        <v>290</v>
      </c>
      <c r="D335" s="7" t="s">
        <v>291</v>
      </c>
      <c r="E335" s="7" t="s">
        <v>292</v>
      </c>
      <c r="F335" s="7" t="s">
        <v>293</v>
      </c>
    </row>
    <row r="336">
      <c r="A336" s="7" t="s">
        <v>15</v>
      </c>
      <c r="B336" s="8">
        <v>3.0</v>
      </c>
      <c r="C336" s="7" t="s">
        <v>290</v>
      </c>
      <c r="D336" s="7" t="s">
        <v>291</v>
      </c>
      <c r="E336" s="7" t="s">
        <v>292</v>
      </c>
      <c r="F336" s="7" t="s">
        <v>293</v>
      </c>
    </row>
    <row r="337">
      <c r="A337" s="7" t="s">
        <v>16</v>
      </c>
      <c r="B337" s="8">
        <v>3.0</v>
      </c>
      <c r="C337" s="7" t="s">
        <v>290</v>
      </c>
      <c r="D337" s="7" t="s">
        <v>291</v>
      </c>
      <c r="E337" s="7" t="s">
        <v>292</v>
      </c>
      <c r="F337" s="7" t="s">
        <v>293</v>
      </c>
    </row>
    <row r="338">
      <c r="A338" s="7" t="s">
        <v>17</v>
      </c>
      <c r="B338" s="8">
        <v>3.0</v>
      </c>
      <c r="C338" s="7" t="s">
        <v>290</v>
      </c>
      <c r="D338" s="7" t="s">
        <v>291</v>
      </c>
      <c r="E338" s="7" t="s">
        <v>292</v>
      </c>
      <c r="F338" s="7" t="s">
        <v>293</v>
      </c>
    </row>
    <row r="339">
      <c r="A339" s="7" t="s">
        <v>18</v>
      </c>
      <c r="B339" s="8">
        <v>3.0</v>
      </c>
      <c r="C339" s="7" t="s">
        <v>290</v>
      </c>
      <c r="D339" s="7" t="s">
        <v>291</v>
      </c>
      <c r="E339" s="7" t="s">
        <v>292</v>
      </c>
      <c r="F339" s="7" t="s">
        <v>293</v>
      </c>
    </row>
    <row r="340">
      <c r="A340" s="7" t="s">
        <v>19</v>
      </c>
      <c r="B340" s="8">
        <v>3.0</v>
      </c>
      <c r="C340" s="7" t="s">
        <v>290</v>
      </c>
      <c r="D340" s="7" t="s">
        <v>291</v>
      </c>
      <c r="E340" s="7" t="s">
        <v>292</v>
      </c>
      <c r="F340" s="7" t="s">
        <v>293</v>
      </c>
    </row>
    <row r="341">
      <c r="A341" s="7" t="s">
        <v>188</v>
      </c>
      <c r="B341" s="8">
        <v>3.0</v>
      </c>
      <c r="C341" s="7" t="s">
        <v>295</v>
      </c>
      <c r="D341" s="7" t="s">
        <v>296</v>
      </c>
      <c r="E341" s="7" t="s">
        <v>297</v>
      </c>
      <c r="F341" s="7" t="s">
        <v>379</v>
      </c>
    </row>
    <row r="342">
      <c r="A342" s="7" t="s">
        <v>4</v>
      </c>
      <c r="B342" s="8">
        <v>3.0</v>
      </c>
      <c r="C342" s="7" t="s">
        <v>295</v>
      </c>
      <c r="D342" s="7" t="s">
        <v>296</v>
      </c>
      <c r="E342" s="7" t="s">
        <v>297</v>
      </c>
      <c r="F342" s="7" t="s">
        <v>380</v>
      </c>
    </row>
    <row r="343">
      <c r="A343" s="7" t="s">
        <v>5</v>
      </c>
      <c r="B343" s="8">
        <v>3.0</v>
      </c>
      <c r="C343" s="7" t="s">
        <v>295</v>
      </c>
      <c r="D343" s="7" t="s">
        <v>296</v>
      </c>
      <c r="E343" s="7" t="s">
        <v>297</v>
      </c>
      <c r="F343" s="7" t="s">
        <v>381</v>
      </c>
    </row>
    <row r="344">
      <c r="A344" s="7" t="s">
        <v>6</v>
      </c>
      <c r="B344" s="8">
        <v>3.0</v>
      </c>
      <c r="C344" s="7" t="s">
        <v>295</v>
      </c>
      <c r="D344" s="7" t="s">
        <v>296</v>
      </c>
      <c r="E344" s="7" t="s">
        <v>297</v>
      </c>
      <c r="F344" s="7" t="s">
        <v>380</v>
      </c>
    </row>
    <row r="345">
      <c r="A345" s="7" t="s">
        <v>7</v>
      </c>
      <c r="B345" s="8">
        <v>3.0</v>
      </c>
      <c r="C345" s="7" t="s">
        <v>295</v>
      </c>
      <c r="D345" s="7" t="s">
        <v>296</v>
      </c>
      <c r="E345" s="7" t="s">
        <v>297</v>
      </c>
      <c r="F345" s="7" t="s">
        <v>382</v>
      </c>
    </row>
    <row r="346">
      <c r="A346" s="7" t="s">
        <v>8</v>
      </c>
      <c r="B346" s="8">
        <v>3.0</v>
      </c>
      <c r="C346" s="7" t="s">
        <v>295</v>
      </c>
      <c r="D346" s="7" t="s">
        <v>296</v>
      </c>
      <c r="E346" s="7" t="s">
        <v>297</v>
      </c>
      <c r="F346" s="7" t="s">
        <v>382</v>
      </c>
    </row>
    <row r="347">
      <c r="A347" s="7" t="s">
        <v>189</v>
      </c>
      <c r="B347" s="8">
        <v>3.0</v>
      </c>
      <c r="C347" s="7" t="s">
        <v>295</v>
      </c>
      <c r="D347" s="7" t="s">
        <v>296</v>
      </c>
      <c r="E347" s="7" t="s">
        <v>297</v>
      </c>
      <c r="F347" s="7" t="s">
        <v>382</v>
      </c>
    </row>
    <row r="348">
      <c r="A348" s="7" t="s">
        <v>9</v>
      </c>
      <c r="B348" s="8">
        <v>3.0</v>
      </c>
      <c r="C348" s="7" t="s">
        <v>295</v>
      </c>
      <c r="D348" s="7" t="s">
        <v>296</v>
      </c>
      <c r="E348" s="7" t="s">
        <v>297</v>
      </c>
      <c r="F348" s="7" t="s">
        <v>380</v>
      </c>
    </row>
    <row r="349">
      <c r="A349" s="7" t="s">
        <v>10</v>
      </c>
      <c r="B349" s="8">
        <v>3.0</v>
      </c>
      <c r="C349" s="7" t="s">
        <v>295</v>
      </c>
      <c r="D349" s="7" t="s">
        <v>296</v>
      </c>
      <c r="E349" s="7" t="s">
        <v>297</v>
      </c>
      <c r="F349" s="7" t="s">
        <v>382</v>
      </c>
    </row>
    <row r="350">
      <c r="A350" s="7" t="s">
        <v>11</v>
      </c>
      <c r="B350" s="8">
        <v>3.0</v>
      </c>
      <c r="C350" s="7" t="s">
        <v>295</v>
      </c>
      <c r="D350" s="7" t="s">
        <v>296</v>
      </c>
      <c r="E350" s="7" t="s">
        <v>297</v>
      </c>
      <c r="F350" s="7" t="s">
        <v>380</v>
      </c>
    </row>
    <row r="351">
      <c r="A351" s="7" t="s">
        <v>12</v>
      </c>
      <c r="B351" s="8">
        <v>3.0</v>
      </c>
      <c r="C351" s="7" t="s">
        <v>295</v>
      </c>
      <c r="D351" s="7" t="s">
        <v>296</v>
      </c>
      <c r="E351" s="7" t="s">
        <v>297</v>
      </c>
      <c r="F351" s="7" t="s">
        <v>380</v>
      </c>
    </row>
    <row r="352">
      <c r="A352" s="7" t="s">
        <v>13</v>
      </c>
      <c r="B352" s="8">
        <v>3.0</v>
      </c>
      <c r="C352" s="7" t="s">
        <v>295</v>
      </c>
      <c r="D352" s="7" t="s">
        <v>296</v>
      </c>
      <c r="E352" s="7" t="s">
        <v>297</v>
      </c>
      <c r="F352" s="7" t="s">
        <v>379</v>
      </c>
    </row>
    <row r="353">
      <c r="A353" s="7" t="s">
        <v>14</v>
      </c>
      <c r="B353" s="8">
        <v>3.0</v>
      </c>
      <c r="C353" s="7" t="s">
        <v>295</v>
      </c>
      <c r="D353" s="7" t="s">
        <v>296</v>
      </c>
      <c r="E353" s="7" t="s">
        <v>297</v>
      </c>
      <c r="F353" s="7" t="s">
        <v>382</v>
      </c>
    </row>
    <row r="354">
      <c r="A354" s="7" t="s">
        <v>15</v>
      </c>
      <c r="B354" s="8">
        <v>3.0</v>
      </c>
      <c r="C354" s="7" t="s">
        <v>295</v>
      </c>
      <c r="D354" s="7" t="s">
        <v>296</v>
      </c>
      <c r="E354" s="7" t="s">
        <v>297</v>
      </c>
      <c r="F354" s="7" t="s">
        <v>380</v>
      </c>
    </row>
    <row r="355">
      <c r="A355" s="7" t="s">
        <v>16</v>
      </c>
      <c r="B355" s="8">
        <v>3.0</v>
      </c>
      <c r="C355" s="7" t="s">
        <v>295</v>
      </c>
      <c r="D355" s="7" t="s">
        <v>296</v>
      </c>
      <c r="E355" s="7" t="s">
        <v>297</v>
      </c>
      <c r="F355" s="7" t="s">
        <v>383</v>
      </c>
    </row>
    <row r="356">
      <c r="A356" s="7" t="s">
        <v>17</v>
      </c>
      <c r="B356" s="8">
        <v>3.0</v>
      </c>
      <c r="C356" s="7" t="s">
        <v>295</v>
      </c>
      <c r="D356" s="7" t="s">
        <v>296</v>
      </c>
      <c r="E356" s="7" t="s">
        <v>297</v>
      </c>
      <c r="F356" s="7" t="s">
        <v>382</v>
      </c>
    </row>
    <row r="357">
      <c r="A357" s="7" t="s">
        <v>18</v>
      </c>
      <c r="B357" s="8">
        <v>3.0</v>
      </c>
      <c r="C357" s="7" t="s">
        <v>295</v>
      </c>
      <c r="D357" s="7" t="s">
        <v>296</v>
      </c>
      <c r="E357" s="7" t="s">
        <v>297</v>
      </c>
      <c r="F357" s="7" t="s">
        <v>381</v>
      </c>
    </row>
    <row r="358">
      <c r="A358" s="7" t="s">
        <v>19</v>
      </c>
      <c r="B358" s="8">
        <v>3.0</v>
      </c>
      <c r="C358" s="7" t="s">
        <v>295</v>
      </c>
      <c r="D358" s="7" t="s">
        <v>296</v>
      </c>
      <c r="E358" s="7" t="s">
        <v>297</v>
      </c>
      <c r="F358" s="7" t="s">
        <v>385</v>
      </c>
    </row>
    <row r="359">
      <c r="A359" s="7" t="s">
        <v>188</v>
      </c>
      <c r="B359" s="8">
        <v>3.0</v>
      </c>
      <c r="C359" s="7" t="s">
        <v>298</v>
      </c>
      <c r="D359" s="7" t="s">
        <v>299</v>
      </c>
      <c r="E359" s="7" t="s">
        <v>300</v>
      </c>
      <c r="F359" s="7" t="s">
        <v>301</v>
      </c>
    </row>
    <row r="360">
      <c r="A360" s="7" t="s">
        <v>4</v>
      </c>
      <c r="B360" s="8">
        <v>3.0</v>
      </c>
      <c r="C360" s="7" t="s">
        <v>298</v>
      </c>
      <c r="D360" s="7" t="s">
        <v>299</v>
      </c>
      <c r="E360" s="7" t="s">
        <v>300</v>
      </c>
      <c r="F360" s="7" t="s">
        <v>240</v>
      </c>
    </row>
    <row r="361">
      <c r="A361" s="7" t="s">
        <v>5</v>
      </c>
      <c r="B361" s="8">
        <v>3.0</v>
      </c>
      <c r="C361" s="7" t="s">
        <v>298</v>
      </c>
      <c r="D361" s="7" t="s">
        <v>299</v>
      </c>
      <c r="E361" s="7" t="s">
        <v>300</v>
      </c>
      <c r="F361" s="7" t="s">
        <v>240</v>
      </c>
    </row>
    <row r="362">
      <c r="A362" s="7" t="s">
        <v>6</v>
      </c>
      <c r="B362" s="8">
        <v>3.0</v>
      </c>
      <c r="C362" s="7" t="s">
        <v>298</v>
      </c>
      <c r="D362" s="7" t="s">
        <v>299</v>
      </c>
      <c r="E362" s="7" t="s">
        <v>300</v>
      </c>
      <c r="F362" s="7" t="s">
        <v>240</v>
      </c>
    </row>
    <row r="363">
      <c r="A363" s="7" t="s">
        <v>7</v>
      </c>
      <c r="B363" s="8">
        <v>3.0</v>
      </c>
      <c r="C363" s="7" t="s">
        <v>298</v>
      </c>
      <c r="D363" s="7" t="s">
        <v>299</v>
      </c>
      <c r="E363" s="7" t="s">
        <v>300</v>
      </c>
      <c r="F363" s="7" t="s">
        <v>240</v>
      </c>
    </row>
    <row r="364">
      <c r="A364" s="7" t="s">
        <v>8</v>
      </c>
      <c r="B364" s="8">
        <v>3.0</v>
      </c>
      <c r="C364" s="7" t="s">
        <v>298</v>
      </c>
      <c r="D364" s="7" t="s">
        <v>299</v>
      </c>
      <c r="E364" s="7" t="s">
        <v>300</v>
      </c>
      <c r="F364" s="7" t="s">
        <v>240</v>
      </c>
    </row>
    <row r="365">
      <c r="A365" s="7" t="s">
        <v>189</v>
      </c>
      <c r="B365" s="8">
        <v>3.0</v>
      </c>
      <c r="C365" s="7" t="s">
        <v>298</v>
      </c>
      <c r="D365" s="7" t="s">
        <v>299</v>
      </c>
      <c r="E365" s="7" t="s">
        <v>300</v>
      </c>
      <c r="F365" s="7" t="s">
        <v>302</v>
      </c>
    </row>
    <row r="366">
      <c r="A366" s="7" t="s">
        <v>9</v>
      </c>
      <c r="B366" s="8">
        <v>3.0</v>
      </c>
      <c r="C366" s="7" t="s">
        <v>298</v>
      </c>
      <c r="D366" s="7" t="s">
        <v>299</v>
      </c>
      <c r="E366" s="7" t="s">
        <v>300</v>
      </c>
      <c r="F366" s="7" t="s">
        <v>240</v>
      </c>
    </row>
    <row r="367">
      <c r="A367" s="7" t="s">
        <v>10</v>
      </c>
      <c r="B367" s="8">
        <v>3.0</v>
      </c>
      <c r="C367" s="7" t="s">
        <v>298</v>
      </c>
      <c r="D367" s="7" t="s">
        <v>299</v>
      </c>
      <c r="E367" s="7" t="s">
        <v>300</v>
      </c>
      <c r="F367" s="7" t="s">
        <v>301</v>
      </c>
    </row>
    <row r="368">
      <c r="A368" s="7" t="s">
        <v>11</v>
      </c>
      <c r="B368" s="8">
        <v>3.0</v>
      </c>
      <c r="C368" s="7" t="s">
        <v>298</v>
      </c>
      <c r="D368" s="7" t="s">
        <v>299</v>
      </c>
      <c r="E368" s="7" t="s">
        <v>300</v>
      </c>
      <c r="F368" s="7" t="s">
        <v>240</v>
      </c>
    </row>
    <row r="369">
      <c r="A369" s="7" t="s">
        <v>12</v>
      </c>
      <c r="B369" s="8">
        <v>3.0</v>
      </c>
      <c r="C369" s="7" t="s">
        <v>298</v>
      </c>
      <c r="D369" s="7" t="s">
        <v>299</v>
      </c>
      <c r="E369" s="7" t="s">
        <v>300</v>
      </c>
      <c r="F369" s="7" t="s">
        <v>303</v>
      </c>
    </row>
    <row r="370">
      <c r="A370" s="7" t="s">
        <v>13</v>
      </c>
      <c r="B370" s="8">
        <v>3.0</v>
      </c>
      <c r="C370" s="7" t="s">
        <v>298</v>
      </c>
      <c r="D370" s="7" t="s">
        <v>299</v>
      </c>
      <c r="E370" s="7" t="s">
        <v>300</v>
      </c>
      <c r="F370" s="7" t="s">
        <v>304</v>
      </c>
    </row>
    <row r="371">
      <c r="A371" s="7" t="s">
        <v>14</v>
      </c>
      <c r="B371" s="8">
        <v>3.0</v>
      </c>
      <c r="C371" s="7" t="s">
        <v>298</v>
      </c>
      <c r="D371" s="7" t="s">
        <v>299</v>
      </c>
      <c r="E371" s="7" t="s">
        <v>300</v>
      </c>
      <c r="F371" s="7" t="s">
        <v>305</v>
      </c>
    </row>
    <row r="372">
      <c r="A372" s="7" t="s">
        <v>15</v>
      </c>
      <c r="B372" s="8">
        <v>3.0</v>
      </c>
      <c r="C372" s="7" t="s">
        <v>298</v>
      </c>
      <c r="D372" s="7" t="s">
        <v>299</v>
      </c>
      <c r="E372" s="7" t="s">
        <v>300</v>
      </c>
      <c r="F372" s="7" t="s">
        <v>301</v>
      </c>
    </row>
    <row r="373">
      <c r="A373" s="7" t="s">
        <v>16</v>
      </c>
      <c r="B373" s="8">
        <v>3.0</v>
      </c>
      <c r="C373" s="7" t="s">
        <v>298</v>
      </c>
      <c r="D373" s="7" t="s">
        <v>299</v>
      </c>
      <c r="E373" s="7" t="s">
        <v>300</v>
      </c>
      <c r="F373" s="7" t="s">
        <v>240</v>
      </c>
    </row>
    <row r="374">
      <c r="A374" s="7" t="s">
        <v>17</v>
      </c>
      <c r="B374" s="8">
        <v>3.0</v>
      </c>
      <c r="C374" s="7" t="s">
        <v>298</v>
      </c>
      <c r="D374" s="7" t="s">
        <v>299</v>
      </c>
      <c r="E374" s="7" t="s">
        <v>300</v>
      </c>
      <c r="F374" s="7" t="s">
        <v>240</v>
      </c>
    </row>
    <row r="375">
      <c r="A375" s="7" t="s">
        <v>18</v>
      </c>
      <c r="B375" s="8">
        <v>3.0</v>
      </c>
      <c r="C375" s="7" t="s">
        <v>298</v>
      </c>
      <c r="D375" s="7" t="s">
        <v>299</v>
      </c>
      <c r="E375" s="7" t="s">
        <v>300</v>
      </c>
      <c r="F375" s="7" t="s">
        <v>240</v>
      </c>
    </row>
    <row r="376">
      <c r="A376" s="7" t="s">
        <v>19</v>
      </c>
      <c r="B376" s="8">
        <v>3.0</v>
      </c>
      <c r="C376" s="7" t="s">
        <v>298</v>
      </c>
      <c r="D376" s="7" t="s">
        <v>299</v>
      </c>
      <c r="E376" s="7" t="s">
        <v>300</v>
      </c>
      <c r="F376" s="7" t="s">
        <v>240</v>
      </c>
    </row>
    <row r="377">
      <c r="A377" s="7" t="s">
        <v>188</v>
      </c>
      <c r="B377" s="8">
        <v>3.0</v>
      </c>
      <c r="C377" s="7" t="s">
        <v>306</v>
      </c>
      <c r="D377" s="7" t="s">
        <v>307</v>
      </c>
      <c r="E377" s="7" t="s">
        <v>308</v>
      </c>
      <c r="F377" s="7" t="s">
        <v>270</v>
      </c>
    </row>
    <row r="378">
      <c r="A378" s="7" t="s">
        <v>4</v>
      </c>
      <c r="B378" s="8">
        <v>3.0</v>
      </c>
      <c r="C378" s="7" t="s">
        <v>306</v>
      </c>
      <c r="D378" s="7" t="s">
        <v>307</v>
      </c>
      <c r="E378" s="7" t="s">
        <v>308</v>
      </c>
      <c r="F378" s="7" t="s">
        <v>240</v>
      </c>
    </row>
    <row r="379">
      <c r="A379" s="7" t="s">
        <v>5</v>
      </c>
      <c r="B379" s="8">
        <v>3.0</v>
      </c>
      <c r="C379" s="7" t="s">
        <v>306</v>
      </c>
      <c r="D379" s="7" t="s">
        <v>307</v>
      </c>
      <c r="E379" s="7" t="s">
        <v>308</v>
      </c>
      <c r="F379" s="7" t="s">
        <v>240</v>
      </c>
    </row>
    <row r="380">
      <c r="A380" s="7" t="s">
        <v>6</v>
      </c>
      <c r="B380" s="8">
        <v>3.0</v>
      </c>
      <c r="C380" s="7" t="s">
        <v>306</v>
      </c>
      <c r="D380" s="7" t="s">
        <v>307</v>
      </c>
      <c r="E380" s="7" t="s">
        <v>308</v>
      </c>
      <c r="F380" s="7" t="s">
        <v>240</v>
      </c>
    </row>
    <row r="381">
      <c r="A381" s="7" t="s">
        <v>7</v>
      </c>
      <c r="B381" s="8">
        <v>3.0</v>
      </c>
      <c r="C381" s="7" t="s">
        <v>306</v>
      </c>
      <c r="D381" s="7" t="s">
        <v>307</v>
      </c>
      <c r="E381" s="7" t="s">
        <v>308</v>
      </c>
      <c r="F381" s="7" t="s">
        <v>240</v>
      </c>
    </row>
    <row r="382">
      <c r="A382" s="7" t="s">
        <v>8</v>
      </c>
      <c r="B382" s="8">
        <v>3.0</v>
      </c>
      <c r="C382" s="7" t="s">
        <v>306</v>
      </c>
      <c r="D382" s="7" t="s">
        <v>307</v>
      </c>
      <c r="E382" s="7" t="s">
        <v>308</v>
      </c>
      <c r="F382" s="7" t="s">
        <v>240</v>
      </c>
    </row>
    <row r="383">
      <c r="A383" s="7" t="s">
        <v>189</v>
      </c>
      <c r="B383" s="8">
        <v>3.0</v>
      </c>
      <c r="C383" s="7" t="s">
        <v>306</v>
      </c>
      <c r="D383" s="7" t="s">
        <v>307</v>
      </c>
      <c r="E383" s="7" t="s">
        <v>308</v>
      </c>
      <c r="F383" s="7" t="s">
        <v>302</v>
      </c>
    </row>
    <row r="384">
      <c r="A384" s="7" t="s">
        <v>9</v>
      </c>
      <c r="B384" s="8">
        <v>3.0</v>
      </c>
      <c r="C384" s="7" t="s">
        <v>306</v>
      </c>
      <c r="D384" s="7" t="s">
        <v>307</v>
      </c>
      <c r="E384" s="7" t="s">
        <v>308</v>
      </c>
      <c r="F384" s="7" t="s">
        <v>240</v>
      </c>
    </row>
    <row r="385">
      <c r="A385" s="7" t="s">
        <v>10</v>
      </c>
      <c r="B385" s="8">
        <v>3.0</v>
      </c>
      <c r="C385" s="7" t="s">
        <v>306</v>
      </c>
      <c r="D385" s="7" t="s">
        <v>307</v>
      </c>
      <c r="E385" s="7" t="s">
        <v>308</v>
      </c>
      <c r="F385" s="7" t="s">
        <v>301</v>
      </c>
    </row>
    <row r="386">
      <c r="A386" s="7" t="s">
        <v>11</v>
      </c>
      <c r="B386" s="8">
        <v>3.0</v>
      </c>
      <c r="C386" s="7" t="s">
        <v>306</v>
      </c>
      <c r="D386" s="7" t="s">
        <v>307</v>
      </c>
      <c r="E386" s="7" t="s">
        <v>308</v>
      </c>
      <c r="F386" s="7" t="s">
        <v>240</v>
      </c>
    </row>
    <row r="387">
      <c r="A387" s="7" t="s">
        <v>12</v>
      </c>
      <c r="B387" s="8">
        <v>3.0</v>
      </c>
      <c r="C387" s="7" t="s">
        <v>306</v>
      </c>
      <c r="D387" s="7" t="s">
        <v>307</v>
      </c>
      <c r="E387" s="7" t="s">
        <v>308</v>
      </c>
      <c r="F387" s="7" t="s">
        <v>303</v>
      </c>
    </row>
    <row r="388">
      <c r="A388" s="7" t="s">
        <v>13</v>
      </c>
      <c r="B388" s="8">
        <v>3.0</v>
      </c>
      <c r="C388" s="7" t="s">
        <v>306</v>
      </c>
      <c r="D388" s="7" t="s">
        <v>307</v>
      </c>
      <c r="E388" s="7" t="s">
        <v>308</v>
      </c>
      <c r="F388" s="7" t="s">
        <v>304</v>
      </c>
    </row>
    <row r="389">
      <c r="A389" s="7" t="s">
        <v>14</v>
      </c>
      <c r="B389" s="8">
        <v>3.0</v>
      </c>
      <c r="C389" s="7" t="s">
        <v>306</v>
      </c>
      <c r="D389" s="7" t="s">
        <v>307</v>
      </c>
      <c r="E389" s="7" t="s">
        <v>308</v>
      </c>
      <c r="F389" s="7" t="s">
        <v>305</v>
      </c>
    </row>
    <row r="390">
      <c r="A390" s="7" t="s">
        <v>15</v>
      </c>
      <c r="B390" s="8">
        <v>3.0</v>
      </c>
      <c r="C390" s="7" t="s">
        <v>306</v>
      </c>
      <c r="D390" s="7" t="s">
        <v>307</v>
      </c>
      <c r="E390" s="7" t="s">
        <v>308</v>
      </c>
      <c r="F390" s="7" t="s">
        <v>301</v>
      </c>
    </row>
    <row r="391">
      <c r="A391" s="7" t="s">
        <v>16</v>
      </c>
      <c r="B391" s="8">
        <v>3.0</v>
      </c>
      <c r="C391" s="7" t="s">
        <v>306</v>
      </c>
      <c r="D391" s="7" t="s">
        <v>307</v>
      </c>
      <c r="E391" s="7" t="s">
        <v>308</v>
      </c>
      <c r="F391" s="7" t="s">
        <v>240</v>
      </c>
    </row>
    <row r="392">
      <c r="A392" s="7" t="s">
        <v>17</v>
      </c>
      <c r="B392" s="8">
        <v>3.0</v>
      </c>
      <c r="C392" s="7" t="s">
        <v>306</v>
      </c>
      <c r="D392" s="7" t="s">
        <v>307</v>
      </c>
      <c r="E392" s="7" t="s">
        <v>308</v>
      </c>
      <c r="F392" s="7" t="s">
        <v>240</v>
      </c>
    </row>
    <row r="393">
      <c r="A393" s="7" t="s">
        <v>18</v>
      </c>
      <c r="B393" s="8">
        <v>3.0</v>
      </c>
      <c r="C393" s="7" t="s">
        <v>306</v>
      </c>
      <c r="D393" s="7" t="s">
        <v>307</v>
      </c>
      <c r="E393" s="7" t="s">
        <v>308</v>
      </c>
      <c r="F393" s="7" t="s">
        <v>240</v>
      </c>
    </row>
    <row r="394">
      <c r="A394" s="7" t="s">
        <v>19</v>
      </c>
      <c r="B394" s="8">
        <v>3.0</v>
      </c>
      <c r="C394" s="7" t="s">
        <v>306</v>
      </c>
      <c r="D394" s="7" t="s">
        <v>307</v>
      </c>
      <c r="E394" s="7" t="s">
        <v>308</v>
      </c>
      <c r="F394" s="7" t="s">
        <v>240</v>
      </c>
    </row>
    <row r="395">
      <c r="A395" s="7" t="s">
        <v>188</v>
      </c>
      <c r="B395" s="8">
        <v>3.0</v>
      </c>
      <c r="C395" s="7" t="s">
        <v>309</v>
      </c>
      <c r="D395" s="7" t="s">
        <v>310</v>
      </c>
      <c r="E395" s="7" t="s">
        <v>311</v>
      </c>
      <c r="F395" s="7" t="s">
        <v>270</v>
      </c>
    </row>
    <row r="396">
      <c r="A396" s="7" t="s">
        <v>4</v>
      </c>
      <c r="B396" s="8">
        <v>3.0</v>
      </c>
      <c r="C396" s="7" t="s">
        <v>309</v>
      </c>
      <c r="D396" s="7" t="s">
        <v>310</v>
      </c>
      <c r="E396" s="7" t="s">
        <v>311</v>
      </c>
      <c r="F396" s="7" t="s">
        <v>238</v>
      </c>
    </row>
    <row r="397">
      <c r="A397" s="7" t="s">
        <v>5</v>
      </c>
      <c r="B397" s="8">
        <v>3.0</v>
      </c>
      <c r="C397" s="7" t="s">
        <v>309</v>
      </c>
      <c r="D397" s="7" t="s">
        <v>310</v>
      </c>
      <c r="E397" s="7" t="s">
        <v>311</v>
      </c>
      <c r="F397" s="7" t="s">
        <v>238</v>
      </c>
    </row>
    <row r="398">
      <c r="A398" s="7" t="s">
        <v>6</v>
      </c>
      <c r="B398" s="8">
        <v>3.0</v>
      </c>
      <c r="C398" s="7" t="s">
        <v>309</v>
      </c>
      <c r="D398" s="7" t="s">
        <v>310</v>
      </c>
      <c r="E398" s="7" t="s">
        <v>311</v>
      </c>
      <c r="F398" s="7" t="s">
        <v>238</v>
      </c>
    </row>
    <row r="399">
      <c r="A399" s="7" t="s">
        <v>7</v>
      </c>
      <c r="B399" s="8">
        <v>3.0</v>
      </c>
      <c r="C399" s="7" t="s">
        <v>309</v>
      </c>
      <c r="D399" s="7" t="s">
        <v>310</v>
      </c>
      <c r="E399" s="7" t="s">
        <v>311</v>
      </c>
      <c r="F399" s="7" t="s">
        <v>238</v>
      </c>
    </row>
    <row r="400">
      <c r="A400" s="7" t="s">
        <v>8</v>
      </c>
      <c r="B400" s="8">
        <v>3.0</v>
      </c>
      <c r="C400" s="7" t="s">
        <v>309</v>
      </c>
      <c r="D400" s="7" t="s">
        <v>310</v>
      </c>
      <c r="E400" s="7" t="s">
        <v>311</v>
      </c>
      <c r="F400" s="7" t="s">
        <v>238</v>
      </c>
    </row>
    <row r="401">
      <c r="A401" s="7" t="s">
        <v>189</v>
      </c>
      <c r="B401" s="8">
        <v>3.0</v>
      </c>
      <c r="C401" s="7" t="s">
        <v>309</v>
      </c>
      <c r="D401" s="7" t="s">
        <v>310</v>
      </c>
      <c r="E401" s="7" t="s">
        <v>311</v>
      </c>
      <c r="F401" s="7" t="s">
        <v>312</v>
      </c>
    </row>
    <row r="402">
      <c r="A402" s="7" t="s">
        <v>9</v>
      </c>
      <c r="B402" s="8">
        <v>3.0</v>
      </c>
      <c r="C402" s="7" t="s">
        <v>309</v>
      </c>
      <c r="D402" s="7" t="s">
        <v>310</v>
      </c>
      <c r="E402" s="7" t="s">
        <v>311</v>
      </c>
      <c r="F402" s="7" t="s">
        <v>238</v>
      </c>
    </row>
    <row r="403">
      <c r="A403" s="7" t="s">
        <v>10</v>
      </c>
      <c r="B403" s="8">
        <v>3.0</v>
      </c>
      <c r="C403" s="7" t="s">
        <v>309</v>
      </c>
      <c r="D403" s="7" t="s">
        <v>310</v>
      </c>
      <c r="E403" s="7" t="s">
        <v>311</v>
      </c>
      <c r="F403" s="7" t="s">
        <v>313</v>
      </c>
    </row>
    <row r="404">
      <c r="A404" s="7" t="s">
        <v>11</v>
      </c>
      <c r="B404" s="8">
        <v>3.0</v>
      </c>
      <c r="C404" s="7" t="s">
        <v>309</v>
      </c>
      <c r="D404" s="7" t="s">
        <v>310</v>
      </c>
      <c r="E404" s="7" t="s">
        <v>311</v>
      </c>
      <c r="F404" s="7" t="s">
        <v>238</v>
      </c>
    </row>
    <row r="405">
      <c r="A405" s="7" t="s">
        <v>12</v>
      </c>
      <c r="B405" s="8">
        <v>3.0</v>
      </c>
      <c r="C405" s="7" t="s">
        <v>309</v>
      </c>
      <c r="D405" s="7" t="s">
        <v>310</v>
      </c>
      <c r="E405" s="7" t="s">
        <v>311</v>
      </c>
      <c r="F405" s="7" t="s">
        <v>272</v>
      </c>
    </row>
    <row r="406">
      <c r="A406" s="7" t="s">
        <v>13</v>
      </c>
      <c r="B406" s="8">
        <v>3.0</v>
      </c>
      <c r="C406" s="7" t="s">
        <v>309</v>
      </c>
      <c r="D406" s="7" t="s">
        <v>310</v>
      </c>
      <c r="E406" s="7" t="s">
        <v>311</v>
      </c>
      <c r="F406" s="7" t="s">
        <v>273</v>
      </c>
    </row>
    <row r="407">
      <c r="A407" s="7" t="s">
        <v>14</v>
      </c>
      <c r="B407" s="8">
        <v>3.0</v>
      </c>
      <c r="C407" s="7" t="s">
        <v>309</v>
      </c>
      <c r="D407" s="7" t="s">
        <v>310</v>
      </c>
      <c r="E407" s="7" t="s">
        <v>311</v>
      </c>
      <c r="F407" s="7" t="s">
        <v>313</v>
      </c>
    </row>
    <row r="408">
      <c r="A408" s="7" t="s">
        <v>15</v>
      </c>
      <c r="B408" s="8">
        <v>3.0</v>
      </c>
      <c r="C408" s="7" t="s">
        <v>309</v>
      </c>
      <c r="D408" s="7" t="s">
        <v>310</v>
      </c>
      <c r="E408" s="7" t="s">
        <v>311</v>
      </c>
      <c r="F408" s="7" t="s">
        <v>301</v>
      </c>
    </row>
    <row r="409">
      <c r="A409" s="7" t="s">
        <v>16</v>
      </c>
      <c r="B409" s="8">
        <v>3.0</v>
      </c>
      <c r="C409" s="7" t="s">
        <v>309</v>
      </c>
      <c r="D409" s="7" t="s">
        <v>310</v>
      </c>
      <c r="E409" s="7" t="s">
        <v>311</v>
      </c>
      <c r="F409" s="7" t="s">
        <v>238</v>
      </c>
    </row>
    <row r="410">
      <c r="A410" s="7" t="s">
        <v>17</v>
      </c>
      <c r="B410" s="8">
        <v>3.0</v>
      </c>
      <c r="C410" s="7" t="s">
        <v>309</v>
      </c>
      <c r="D410" s="7" t="s">
        <v>310</v>
      </c>
      <c r="E410" s="7" t="s">
        <v>311</v>
      </c>
      <c r="F410" s="7" t="s">
        <v>238</v>
      </c>
    </row>
    <row r="411">
      <c r="A411" s="7" t="s">
        <v>18</v>
      </c>
      <c r="B411" s="8">
        <v>3.0</v>
      </c>
      <c r="C411" s="7" t="s">
        <v>309</v>
      </c>
      <c r="D411" s="7" t="s">
        <v>310</v>
      </c>
      <c r="E411" s="7" t="s">
        <v>311</v>
      </c>
      <c r="F411" s="7" t="s">
        <v>238</v>
      </c>
    </row>
    <row r="412">
      <c r="A412" s="7" t="s">
        <v>19</v>
      </c>
      <c r="B412" s="8">
        <v>3.0</v>
      </c>
      <c r="C412" s="7" t="s">
        <v>309</v>
      </c>
      <c r="D412" s="7" t="s">
        <v>310</v>
      </c>
      <c r="E412" s="7" t="s">
        <v>311</v>
      </c>
      <c r="F412" s="7" t="s">
        <v>238</v>
      </c>
    </row>
    <row r="413">
      <c r="A413" s="7" t="s">
        <v>188</v>
      </c>
      <c r="B413" s="8">
        <v>3.0</v>
      </c>
      <c r="C413" s="7" t="s">
        <v>314</v>
      </c>
      <c r="D413" s="7" t="s">
        <v>315</v>
      </c>
      <c r="E413" s="7" t="s">
        <v>316</v>
      </c>
      <c r="F413" s="7" t="s">
        <v>277</v>
      </c>
    </row>
    <row r="414">
      <c r="A414" s="7" t="s">
        <v>4</v>
      </c>
      <c r="B414" s="8">
        <v>3.0</v>
      </c>
      <c r="C414" s="7" t="s">
        <v>314</v>
      </c>
      <c r="D414" s="7" t="s">
        <v>315</v>
      </c>
      <c r="E414" s="7" t="s">
        <v>316</v>
      </c>
      <c r="F414" s="7" t="s">
        <v>278</v>
      </c>
    </row>
    <row r="415">
      <c r="A415" s="7" t="s">
        <v>5</v>
      </c>
      <c r="B415" s="8">
        <v>3.0</v>
      </c>
      <c r="C415" s="7" t="s">
        <v>314</v>
      </c>
      <c r="D415" s="7" t="s">
        <v>315</v>
      </c>
      <c r="E415" s="7" t="s">
        <v>316</v>
      </c>
      <c r="F415" s="7" t="s">
        <v>279</v>
      </c>
    </row>
    <row r="416">
      <c r="A416" s="7" t="s">
        <v>6</v>
      </c>
      <c r="B416" s="8">
        <v>3.0</v>
      </c>
      <c r="C416" s="7" t="s">
        <v>314</v>
      </c>
      <c r="D416" s="7" t="s">
        <v>315</v>
      </c>
      <c r="E416" s="7" t="s">
        <v>316</v>
      </c>
      <c r="F416" s="7" t="s">
        <v>280</v>
      </c>
    </row>
    <row r="417">
      <c r="A417" s="7" t="s">
        <v>7</v>
      </c>
      <c r="B417" s="8">
        <v>3.0</v>
      </c>
      <c r="C417" s="7" t="s">
        <v>314</v>
      </c>
      <c r="D417" s="7" t="s">
        <v>315</v>
      </c>
      <c r="E417" s="7" t="s">
        <v>316</v>
      </c>
      <c r="F417" s="7" t="s">
        <v>278</v>
      </c>
    </row>
    <row r="418">
      <c r="A418" s="7" t="s">
        <v>8</v>
      </c>
      <c r="B418" s="8">
        <v>3.0</v>
      </c>
      <c r="C418" s="7" t="s">
        <v>314</v>
      </c>
      <c r="D418" s="7" t="s">
        <v>315</v>
      </c>
      <c r="E418" s="7" t="s">
        <v>316</v>
      </c>
      <c r="F418" s="7" t="s">
        <v>281</v>
      </c>
    </row>
    <row r="419">
      <c r="A419" s="7" t="s">
        <v>189</v>
      </c>
      <c r="B419" s="8">
        <v>3.0</v>
      </c>
      <c r="C419" s="7" t="s">
        <v>314</v>
      </c>
      <c r="D419" s="7" t="s">
        <v>315</v>
      </c>
      <c r="E419" s="7" t="s">
        <v>316</v>
      </c>
      <c r="F419" s="7" t="s">
        <v>277</v>
      </c>
    </row>
    <row r="420">
      <c r="A420" s="7" t="s">
        <v>9</v>
      </c>
      <c r="B420" s="8">
        <v>3.0</v>
      </c>
      <c r="C420" s="7" t="s">
        <v>314</v>
      </c>
      <c r="D420" s="7" t="s">
        <v>315</v>
      </c>
      <c r="E420" s="7" t="s">
        <v>316</v>
      </c>
      <c r="F420" s="7" t="s">
        <v>317</v>
      </c>
    </row>
    <row r="421">
      <c r="A421" s="7" t="s">
        <v>10</v>
      </c>
      <c r="B421" s="8">
        <v>3.0</v>
      </c>
      <c r="C421" s="7" t="s">
        <v>314</v>
      </c>
      <c r="D421" s="7" t="s">
        <v>315</v>
      </c>
      <c r="E421" s="7" t="s">
        <v>316</v>
      </c>
      <c r="F421" s="7" t="s">
        <v>277</v>
      </c>
    </row>
    <row r="422">
      <c r="A422" s="7" t="s">
        <v>11</v>
      </c>
      <c r="B422" s="8">
        <v>3.0</v>
      </c>
      <c r="C422" s="7" t="s">
        <v>314</v>
      </c>
      <c r="D422" s="7" t="s">
        <v>315</v>
      </c>
      <c r="E422" s="7" t="s">
        <v>316</v>
      </c>
      <c r="F422" s="7" t="s">
        <v>318</v>
      </c>
    </row>
    <row r="423">
      <c r="A423" s="7" t="s">
        <v>12</v>
      </c>
      <c r="B423" s="8">
        <v>3.0</v>
      </c>
      <c r="C423" s="7" t="s">
        <v>314</v>
      </c>
      <c r="D423" s="7" t="s">
        <v>315</v>
      </c>
      <c r="E423" s="7" t="s">
        <v>316</v>
      </c>
      <c r="F423" s="7" t="s">
        <v>278</v>
      </c>
    </row>
    <row r="424">
      <c r="A424" s="7" t="s">
        <v>13</v>
      </c>
      <c r="B424" s="8">
        <v>3.0</v>
      </c>
      <c r="C424" s="7" t="s">
        <v>314</v>
      </c>
      <c r="D424" s="7" t="s">
        <v>315</v>
      </c>
      <c r="E424" s="7" t="s">
        <v>316</v>
      </c>
      <c r="F424" s="7" t="s">
        <v>278</v>
      </c>
    </row>
    <row r="425">
      <c r="A425" s="7" t="s">
        <v>14</v>
      </c>
      <c r="B425" s="8">
        <v>3.0</v>
      </c>
      <c r="C425" s="7" t="s">
        <v>314</v>
      </c>
      <c r="D425" s="7" t="s">
        <v>315</v>
      </c>
      <c r="E425" s="7" t="s">
        <v>316</v>
      </c>
      <c r="F425" s="7" t="s">
        <v>277</v>
      </c>
    </row>
    <row r="426">
      <c r="A426" s="7" t="s">
        <v>15</v>
      </c>
      <c r="B426" s="8">
        <v>3.0</v>
      </c>
      <c r="C426" s="7" t="s">
        <v>314</v>
      </c>
      <c r="D426" s="7" t="s">
        <v>315</v>
      </c>
      <c r="E426" s="7" t="s">
        <v>316</v>
      </c>
      <c r="F426" s="7" t="s">
        <v>278</v>
      </c>
    </row>
    <row r="427">
      <c r="A427" s="7" t="s">
        <v>16</v>
      </c>
      <c r="B427" s="8">
        <v>3.0</v>
      </c>
      <c r="C427" s="7" t="s">
        <v>314</v>
      </c>
      <c r="D427" s="7" t="s">
        <v>315</v>
      </c>
      <c r="E427" s="7" t="s">
        <v>316</v>
      </c>
      <c r="F427" s="7" t="s">
        <v>278</v>
      </c>
    </row>
    <row r="428">
      <c r="A428" s="7" t="s">
        <v>17</v>
      </c>
      <c r="B428" s="8">
        <v>3.0</v>
      </c>
      <c r="C428" s="7" t="s">
        <v>314</v>
      </c>
      <c r="D428" s="7" t="s">
        <v>315</v>
      </c>
      <c r="E428" s="7" t="s">
        <v>316</v>
      </c>
      <c r="F428" s="7" t="s">
        <v>319</v>
      </c>
    </row>
    <row r="429">
      <c r="A429" s="7" t="s">
        <v>18</v>
      </c>
      <c r="B429" s="8">
        <v>3.0</v>
      </c>
      <c r="C429" s="7" t="s">
        <v>314</v>
      </c>
      <c r="D429" s="7" t="s">
        <v>315</v>
      </c>
      <c r="E429" s="7" t="s">
        <v>316</v>
      </c>
      <c r="F429" s="7" t="s">
        <v>283</v>
      </c>
    </row>
    <row r="430">
      <c r="A430" s="7" t="s">
        <v>19</v>
      </c>
      <c r="B430" s="8">
        <v>3.0</v>
      </c>
      <c r="C430" s="7" t="s">
        <v>314</v>
      </c>
      <c r="D430" s="7" t="s">
        <v>315</v>
      </c>
      <c r="E430" s="7" t="s">
        <v>316</v>
      </c>
      <c r="F430" s="7" t="s">
        <v>278</v>
      </c>
    </row>
    <row r="431">
      <c r="A431" s="7" t="s">
        <v>188</v>
      </c>
      <c r="B431" s="8">
        <v>3.0</v>
      </c>
      <c r="C431" s="7" t="s">
        <v>122</v>
      </c>
      <c r="D431" s="7" t="s">
        <v>320</v>
      </c>
      <c r="E431" s="7" t="s">
        <v>321</v>
      </c>
      <c r="F431" s="7" t="s">
        <v>322</v>
      </c>
    </row>
    <row r="432">
      <c r="A432" s="7" t="s">
        <v>4</v>
      </c>
      <c r="B432" s="8">
        <v>3.0</v>
      </c>
      <c r="C432" s="7" t="s">
        <v>122</v>
      </c>
      <c r="D432" s="7" t="s">
        <v>320</v>
      </c>
      <c r="E432" s="7" t="s">
        <v>321</v>
      </c>
      <c r="F432" s="7" t="s">
        <v>125</v>
      </c>
    </row>
    <row r="433">
      <c r="A433" s="7" t="s">
        <v>5</v>
      </c>
      <c r="B433" s="8">
        <v>3.0</v>
      </c>
      <c r="C433" s="7" t="s">
        <v>122</v>
      </c>
      <c r="D433" s="7" t="s">
        <v>320</v>
      </c>
      <c r="E433" s="7" t="s">
        <v>321</v>
      </c>
      <c r="F433" s="7" t="s">
        <v>323</v>
      </c>
    </row>
    <row r="434">
      <c r="A434" s="7" t="s">
        <v>6</v>
      </c>
      <c r="B434" s="8">
        <v>3.0</v>
      </c>
      <c r="C434" s="7" t="s">
        <v>122</v>
      </c>
      <c r="D434" s="7" t="s">
        <v>320</v>
      </c>
      <c r="E434" s="7" t="s">
        <v>321</v>
      </c>
      <c r="F434" s="7" t="s">
        <v>324</v>
      </c>
    </row>
    <row r="435">
      <c r="A435" s="7" t="s">
        <v>7</v>
      </c>
      <c r="B435" s="8">
        <v>3.0</v>
      </c>
      <c r="C435" s="7" t="s">
        <v>122</v>
      </c>
      <c r="D435" s="7" t="s">
        <v>320</v>
      </c>
      <c r="E435" s="7" t="s">
        <v>321</v>
      </c>
      <c r="F435" s="7" t="s">
        <v>128</v>
      </c>
    </row>
    <row r="436">
      <c r="A436" s="7" t="s">
        <v>8</v>
      </c>
      <c r="B436" s="8">
        <v>3.0</v>
      </c>
      <c r="C436" s="7" t="s">
        <v>122</v>
      </c>
      <c r="D436" s="7" t="s">
        <v>320</v>
      </c>
      <c r="E436" s="7" t="s">
        <v>321</v>
      </c>
      <c r="F436" s="7" t="s">
        <v>129</v>
      </c>
    </row>
    <row r="437">
      <c r="A437" s="7" t="s">
        <v>189</v>
      </c>
      <c r="B437" s="8">
        <v>3.0</v>
      </c>
      <c r="C437" s="7" t="s">
        <v>122</v>
      </c>
      <c r="D437" s="7" t="s">
        <v>320</v>
      </c>
      <c r="E437" s="7" t="s">
        <v>321</v>
      </c>
      <c r="F437" s="7" t="s">
        <v>325</v>
      </c>
    </row>
    <row r="438">
      <c r="A438" s="7" t="s">
        <v>9</v>
      </c>
      <c r="B438" s="8">
        <v>3.0</v>
      </c>
      <c r="C438" s="7" t="s">
        <v>122</v>
      </c>
      <c r="D438" s="7" t="s">
        <v>320</v>
      </c>
      <c r="E438" s="7" t="s">
        <v>321</v>
      </c>
      <c r="F438" s="7" t="s">
        <v>326</v>
      </c>
    </row>
    <row r="439">
      <c r="A439" s="7" t="s">
        <v>10</v>
      </c>
      <c r="B439" s="8">
        <v>3.0</v>
      </c>
      <c r="C439" s="7" t="s">
        <v>122</v>
      </c>
      <c r="D439" s="7" t="s">
        <v>320</v>
      </c>
      <c r="E439" s="7" t="s">
        <v>321</v>
      </c>
      <c r="F439" s="7" t="s">
        <v>327</v>
      </c>
    </row>
    <row r="440">
      <c r="A440" s="7" t="s">
        <v>11</v>
      </c>
      <c r="B440" s="8">
        <v>3.0</v>
      </c>
      <c r="C440" s="7" t="s">
        <v>122</v>
      </c>
      <c r="D440" s="7" t="s">
        <v>320</v>
      </c>
      <c r="E440" s="7" t="s">
        <v>321</v>
      </c>
      <c r="F440" s="7" t="s">
        <v>328</v>
      </c>
    </row>
    <row r="441">
      <c r="A441" s="7" t="s">
        <v>12</v>
      </c>
      <c r="B441" s="8">
        <v>3.0</v>
      </c>
      <c r="C441" s="7" t="s">
        <v>122</v>
      </c>
      <c r="D441" s="7" t="s">
        <v>320</v>
      </c>
      <c r="E441" s="7" t="s">
        <v>321</v>
      </c>
      <c r="F441" s="7" t="s">
        <v>329</v>
      </c>
    </row>
    <row r="442">
      <c r="A442" s="7" t="s">
        <v>13</v>
      </c>
      <c r="B442" s="8">
        <v>3.0</v>
      </c>
      <c r="C442" s="7" t="s">
        <v>122</v>
      </c>
      <c r="D442" s="7" t="s">
        <v>320</v>
      </c>
      <c r="E442" s="7" t="s">
        <v>321</v>
      </c>
      <c r="F442" s="7" t="s">
        <v>330</v>
      </c>
    </row>
    <row r="443">
      <c r="A443" s="7" t="s">
        <v>14</v>
      </c>
      <c r="B443" s="8">
        <v>3.0</v>
      </c>
      <c r="C443" s="7" t="s">
        <v>122</v>
      </c>
      <c r="D443" s="7" t="s">
        <v>320</v>
      </c>
      <c r="E443" s="7" t="s">
        <v>321</v>
      </c>
      <c r="F443" s="7" t="s">
        <v>331</v>
      </c>
    </row>
    <row r="444">
      <c r="A444" s="7" t="s">
        <v>15</v>
      </c>
      <c r="B444" s="8">
        <v>3.0</v>
      </c>
      <c r="C444" s="7" t="s">
        <v>122</v>
      </c>
      <c r="D444" s="7" t="s">
        <v>320</v>
      </c>
      <c r="E444" s="7" t="s">
        <v>321</v>
      </c>
      <c r="F444" s="7" t="s">
        <v>134</v>
      </c>
    </row>
    <row r="445">
      <c r="A445" s="7" t="s">
        <v>16</v>
      </c>
      <c r="B445" s="8">
        <v>3.0</v>
      </c>
      <c r="C445" s="7" t="s">
        <v>122</v>
      </c>
      <c r="D445" s="7" t="s">
        <v>320</v>
      </c>
      <c r="E445" s="7" t="s">
        <v>321</v>
      </c>
      <c r="F445" s="7" t="s">
        <v>135</v>
      </c>
    </row>
    <row r="446">
      <c r="A446" s="7" t="s">
        <v>17</v>
      </c>
      <c r="B446" s="8">
        <v>3.0</v>
      </c>
      <c r="C446" s="7" t="s">
        <v>122</v>
      </c>
      <c r="D446" s="7" t="s">
        <v>320</v>
      </c>
      <c r="E446" s="7" t="s">
        <v>321</v>
      </c>
      <c r="F446" s="7" t="s">
        <v>332</v>
      </c>
    </row>
    <row r="447">
      <c r="A447" s="7" t="s">
        <v>18</v>
      </c>
      <c r="B447" s="8">
        <v>3.0</v>
      </c>
      <c r="C447" s="7" t="s">
        <v>122</v>
      </c>
      <c r="D447" s="7" t="s">
        <v>320</v>
      </c>
      <c r="E447" s="7" t="s">
        <v>321</v>
      </c>
      <c r="F447" s="7" t="s">
        <v>333</v>
      </c>
    </row>
    <row r="448">
      <c r="A448" s="7" t="s">
        <v>19</v>
      </c>
      <c r="B448" s="8">
        <v>3.0</v>
      </c>
      <c r="C448" s="7" t="s">
        <v>122</v>
      </c>
      <c r="D448" s="7" t="s">
        <v>320</v>
      </c>
      <c r="E448" s="7" t="s">
        <v>321</v>
      </c>
      <c r="F448" s="7" t="s">
        <v>256</v>
      </c>
    </row>
    <row r="449">
      <c r="A449" s="7" t="s">
        <v>188</v>
      </c>
      <c r="B449" s="8">
        <v>3.0</v>
      </c>
      <c r="C449" s="7" t="s">
        <v>139</v>
      </c>
      <c r="D449" s="7" t="s">
        <v>334</v>
      </c>
      <c r="E449" s="7" t="s">
        <v>335</v>
      </c>
      <c r="F449" s="7" t="s">
        <v>336</v>
      </c>
    </row>
    <row r="450">
      <c r="A450" s="7" t="s">
        <v>4</v>
      </c>
      <c r="B450" s="8">
        <v>3.0</v>
      </c>
      <c r="C450" s="7" t="s">
        <v>139</v>
      </c>
      <c r="D450" s="7" t="s">
        <v>334</v>
      </c>
      <c r="E450" s="7" t="s">
        <v>335</v>
      </c>
      <c r="F450" s="7" t="s">
        <v>147</v>
      </c>
    </row>
    <row r="451">
      <c r="A451" s="7" t="s">
        <v>5</v>
      </c>
      <c r="B451" s="8">
        <v>3.0</v>
      </c>
      <c r="C451" s="7" t="s">
        <v>139</v>
      </c>
      <c r="D451" s="7" t="s">
        <v>334</v>
      </c>
      <c r="E451" s="7" t="s">
        <v>335</v>
      </c>
      <c r="F451" s="7" t="s">
        <v>208</v>
      </c>
    </row>
    <row r="452">
      <c r="A452" s="7" t="s">
        <v>6</v>
      </c>
      <c r="B452" s="8">
        <v>3.0</v>
      </c>
      <c r="C452" s="7" t="s">
        <v>139</v>
      </c>
      <c r="D452" s="7" t="s">
        <v>334</v>
      </c>
      <c r="E452" s="7" t="s">
        <v>335</v>
      </c>
      <c r="F452" s="7" t="s">
        <v>147</v>
      </c>
    </row>
    <row r="453">
      <c r="A453" s="7" t="s">
        <v>7</v>
      </c>
      <c r="B453" s="8">
        <v>3.0</v>
      </c>
      <c r="C453" s="7" t="s">
        <v>139</v>
      </c>
      <c r="D453" s="7" t="s">
        <v>334</v>
      </c>
      <c r="E453" s="7" t="s">
        <v>335</v>
      </c>
      <c r="F453" s="7" t="s">
        <v>142</v>
      </c>
    </row>
    <row r="454">
      <c r="A454" s="7" t="s">
        <v>8</v>
      </c>
      <c r="B454" s="8">
        <v>3.0</v>
      </c>
      <c r="C454" s="7" t="s">
        <v>139</v>
      </c>
      <c r="D454" s="7" t="s">
        <v>334</v>
      </c>
      <c r="E454" s="7" t="s">
        <v>335</v>
      </c>
      <c r="F454" s="7" t="s">
        <v>238</v>
      </c>
    </row>
    <row r="455">
      <c r="A455" s="7" t="s">
        <v>189</v>
      </c>
      <c r="B455" s="8">
        <v>3.0</v>
      </c>
      <c r="C455" s="7" t="s">
        <v>139</v>
      </c>
      <c r="D455" s="7" t="s">
        <v>334</v>
      </c>
      <c r="E455" s="7" t="s">
        <v>335</v>
      </c>
      <c r="F455" s="7" t="s">
        <v>312</v>
      </c>
    </row>
    <row r="456">
      <c r="A456" s="7" t="s">
        <v>9</v>
      </c>
      <c r="B456" s="8">
        <v>3.0</v>
      </c>
      <c r="C456" s="7" t="s">
        <v>139</v>
      </c>
      <c r="D456" s="7" t="s">
        <v>334</v>
      </c>
      <c r="E456" s="7" t="s">
        <v>335</v>
      </c>
      <c r="F456" s="7" t="s">
        <v>238</v>
      </c>
    </row>
    <row r="457">
      <c r="A457" s="7" t="s">
        <v>10</v>
      </c>
      <c r="B457" s="8">
        <v>3.0</v>
      </c>
      <c r="C457" s="7" t="s">
        <v>139</v>
      </c>
      <c r="D457" s="7" t="s">
        <v>334</v>
      </c>
      <c r="E457" s="7" t="s">
        <v>335</v>
      </c>
      <c r="F457" s="7" t="s">
        <v>337</v>
      </c>
    </row>
    <row r="458">
      <c r="A458" s="7" t="s">
        <v>11</v>
      </c>
      <c r="B458" s="8">
        <v>3.0</v>
      </c>
      <c r="C458" s="7" t="s">
        <v>139</v>
      </c>
      <c r="D458" s="7" t="s">
        <v>334</v>
      </c>
      <c r="E458" s="7" t="s">
        <v>335</v>
      </c>
      <c r="F458" s="7" t="s">
        <v>336</v>
      </c>
    </row>
    <row r="459">
      <c r="A459" s="7" t="s">
        <v>12</v>
      </c>
      <c r="B459" s="8">
        <v>3.0</v>
      </c>
      <c r="C459" s="7" t="s">
        <v>139</v>
      </c>
      <c r="D459" s="7" t="s">
        <v>334</v>
      </c>
      <c r="E459" s="7" t="s">
        <v>335</v>
      </c>
      <c r="F459" s="7" t="s">
        <v>336</v>
      </c>
    </row>
    <row r="460">
      <c r="A460" s="7" t="s">
        <v>13</v>
      </c>
      <c r="B460" s="8">
        <v>3.0</v>
      </c>
      <c r="C460" s="7" t="s">
        <v>139</v>
      </c>
      <c r="D460" s="7" t="s">
        <v>334</v>
      </c>
      <c r="E460" s="7" t="s">
        <v>335</v>
      </c>
      <c r="F460" s="7" t="s">
        <v>338</v>
      </c>
    </row>
    <row r="461">
      <c r="A461" s="7" t="s">
        <v>14</v>
      </c>
      <c r="B461" s="8">
        <v>3.0</v>
      </c>
      <c r="C461" s="7" t="s">
        <v>139</v>
      </c>
      <c r="D461" s="7" t="s">
        <v>334</v>
      </c>
      <c r="E461" s="7" t="s">
        <v>335</v>
      </c>
      <c r="F461" s="7" t="s">
        <v>339</v>
      </c>
    </row>
    <row r="462">
      <c r="A462" s="7" t="s">
        <v>15</v>
      </c>
      <c r="B462" s="8">
        <v>3.0</v>
      </c>
      <c r="C462" s="7" t="s">
        <v>139</v>
      </c>
      <c r="D462" s="7" t="s">
        <v>334</v>
      </c>
      <c r="E462" s="7" t="s">
        <v>335</v>
      </c>
      <c r="F462" s="7" t="s">
        <v>339</v>
      </c>
    </row>
    <row r="463">
      <c r="A463" s="7" t="s">
        <v>16</v>
      </c>
      <c r="B463" s="8">
        <v>3.0</v>
      </c>
      <c r="C463" s="7" t="s">
        <v>139</v>
      </c>
      <c r="D463" s="7" t="s">
        <v>334</v>
      </c>
      <c r="E463" s="7" t="s">
        <v>335</v>
      </c>
      <c r="F463" s="7" t="s">
        <v>142</v>
      </c>
    </row>
    <row r="464">
      <c r="A464" s="7" t="s">
        <v>17</v>
      </c>
      <c r="B464" s="8">
        <v>3.0</v>
      </c>
      <c r="C464" s="7" t="s">
        <v>139</v>
      </c>
      <c r="D464" s="7" t="s">
        <v>334</v>
      </c>
      <c r="E464" s="7" t="s">
        <v>335</v>
      </c>
      <c r="F464" s="7" t="s">
        <v>238</v>
      </c>
    </row>
    <row r="465">
      <c r="A465" s="7" t="s">
        <v>18</v>
      </c>
      <c r="B465" s="8">
        <v>3.0</v>
      </c>
      <c r="C465" s="7" t="s">
        <v>139</v>
      </c>
      <c r="D465" s="7" t="s">
        <v>334</v>
      </c>
      <c r="E465" s="7" t="s">
        <v>335</v>
      </c>
      <c r="F465" s="7" t="s">
        <v>340</v>
      </c>
    </row>
    <row r="466">
      <c r="A466" s="7" t="s">
        <v>19</v>
      </c>
      <c r="B466" s="8">
        <v>3.0</v>
      </c>
      <c r="C466" s="7" t="s">
        <v>139</v>
      </c>
      <c r="D466" s="7" t="s">
        <v>334</v>
      </c>
      <c r="E466" s="7" t="s">
        <v>335</v>
      </c>
      <c r="F466" s="7" t="s">
        <v>38</v>
      </c>
    </row>
    <row r="467">
      <c r="A467" s="7" t="s">
        <v>188</v>
      </c>
      <c r="B467" s="8">
        <v>3.0</v>
      </c>
      <c r="C467" s="7" t="s">
        <v>162</v>
      </c>
      <c r="D467" s="7" t="s">
        <v>341</v>
      </c>
      <c r="E467" s="7" t="s">
        <v>342</v>
      </c>
      <c r="F467" s="7" t="s">
        <v>277</v>
      </c>
    </row>
    <row r="468">
      <c r="A468" s="7" t="s">
        <v>4</v>
      </c>
      <c r="B468" s="8">
        <v>3.0</v>
      </c>
      <c r="C468" s="7" t="s">
        <v>162</v>
      </c>
      <c r="D468" s="7" t="s">
        <v>341</v>
      </c>
      <c r="E468" s="7" t="s">
        <v>342</v>
      </c>
      <c r="F468" s="7" t="s">
        <v>256</v>
      </c>
    </row>
    <row r="469">
      <c r="A469" s="7" t="s">
        <v>5</v>
      </c>
      <c r="B469" s="8">
        <v>3.0</v>
      </c>
      <c r="C469" s="7" t="s">
        <v>162</v>
      </c>
      <c r="D469" s="7" t="s">
        <v>341</v>
      </c>
      <c r="E469" s="7" t="s">
        <v>342</v>
      </c>
      <c r="F469" s="7" t="s">
        <v>279</v>
      </c>
    </row>
    <row r="470">
      <c r="A470" s="7" t="s">
        <v>6</v>
      </c>
      <c r="B470" s="8">
        <v>3.0</v>
      </c>
      <c r="C470" s="7" t="s">
        <v>162</v>
      </c>
      <c r="D470" s="7" t="s">
        <v>341</v>
      </c>
      <c r="E470" s="7" t="s">
        <v>342</v>
      </c>
      <c r="F470" s="7" t="s">
        <v>343</v>
      </c>
    </row>
    <row r="471">
      <c r="A471" s="7" t="s">
        <v>7</v>
      </c>
      <c r="B471" s="8">
        <v>3.0</v>
      </c>
      <c r="C471" s="7" t="s">
        <v>162</v>
      </c>
      <c r="D471" s="7" t="s">
        <v>341</v>
      </c>
      <c r="E471" s="7" t="s">
        <v>342</v>
      </c>
      <c r="F471" s="7" t="s">
        <v>256</v>
      </c>
    </row>
    <row r="472">
      <c r="A472" s="7" t="s">
        <v>8</v>
      </c>
      <c r="B472" s="8">
        <v>3.0</v>
      </c>
      <c r="C472" s="7" t="s">
        <v>162</v>
      </c>
      <c r="D472" s="7" t="s">
        <v>341</v>
      </c>
      <c r="E472" s="7" t="s">
        <v>342</v>
      </c>
      <c r="F472" s="7" t="s">
        <v>344</v>
      </c>
    </row>
    <row r="473">
      <c r="A473" s="7" t="s">
        <v>189</v>
      </c>
      <c r="B473" s="8">
        <v>3.0</v>
      </c>
      <c r="C473" s="7" t="s">
        <v>162</v>
      </c>
      <c r="D473" s="7" t="s">
        <v>341</v>
      </c>
      <c r="E473" s="7" t="s">
        <v>342</v>
      </c>
      <c r="F473" s="7" t="s">
        <v>256</v>
      </c>
    </row>
    <row r="474">
      <c r="A474" s="7" t="s">
        <v>9</v>
      </c>
      <c r="B474" s="8">
        <v>3.0</v>
      </c>
      <c r="C474" s="7" t="s">
        <v>162</v>
      </c>
      <c r="D474" s="7" t="s">
        <v>341</v>
      </c>
      <c r="E474" s="7" t="s">
        <v>342</v>
      </c>
      <c r="F474" s="7" t="s">
        <v>345</v>
      </c>
    </row>
    <row r="475">
      <c r="A475" s="7" t="s">
        <v>10</v>
      </c>
      <c r="B475" s="8">
        <v>3.0</v>
      </c>
      <c r="C475" s="7" t="s">
        <v>162</v>
      </c>
      <c r="D475" s="7" t="s">
        <v>341</v>
      </c>
      <c r="E475" s="7" t="s">
        <v>342</v>
      </c>
      <c r="F475" s="7" t="s">
        <v>346</v>
      </c>
    </row>
    <row r="476">
      <c r="A476" s="7" t="s">
        <v>11</v>
      </c>
      <c r="B476" s="8">
        <v>3.0</v>
      </c>
      <c r="C476" s="7" t="s">
        <v>162</v>
      </c>
      <c r="D476" s="7" t="s">
        <v>341</v>
      </c>
      <c r="E476" s="7" t="s">
        <v>342</v>
      </c>
      <c r="F476" s="7" t="s">
        <v>278</v>
      </c>
    </row>
    <row r="477">
      <c r="A477" s="7" t="s">
        <v>12</v>
      </c>
      <c r="B477" s="8">
        <v>3.0</v>
      </c>
      <c r="C477" s="7" t="s">
        <v>162</v>
      </c>
      <c r="D477" s="7" t="s">
        <v>341</v>
      </c>
      <c r="E477" s="7" t="s">
        <v>342</v>
      </c>
      <c r="F477" s="7" t="s">
        <v>256</v>
      </c>
    </row>
    <row r="478">
      <c r="A478" s="7" t="s">
        <v>13</v>
      </c>
      <c r="B478" s="8">
        <v>3.0</v>
      </c>
      <c r="C478" s="7" t="s">
        <v>162</v>
      </c>
      <c r="D478" s="7" t="s">
        <v>341</v>
      </c>
      <c r="E478" s="7" t="s">
        <v>342</v>
      </c>
      <c r="F478" s="7" t="s">
        <v>256</v>
      </c>
    </row>
    <row r="479">
      <c r="A479" s="7" t="s">
        <v>14</v>
      </c>
      <c r="B479" s="8">
        <v>3.0</v>
      </c>
      <c r="C479" s="7" t="s">
        <v>162</v>
      </c>
      <c r="D479" s="7" t="s">
        <v>341</v>
      </c>
      <c r="E479" s="7" t="s">
        <v>342</v>
      </c>
      <c r="F479" s="7" t="s">
        <v>277</v>
      </c>
    </row>
    <row r="480">
      <c r="A480" s="7" t="s">
        <v>15</v>
      </c>
      <c r="B480" s="8">
        <v>3.0</v>
      </c>
      <c r="C480" s="7" t="s">
        <v>162</v>
      </c>
      <c r="D480" s="7" t="s">
        <v>341</v>
      </c>
      <c r="E480" s="7" t="s">
        <v>342</v>
      </c>
      <c r="F480" s="7" t="s">
        <v>256</v>
      </c>
    </row>
    <row r="481">
      <c r="A481" s="7" t="s">
        <v>16</v>
      </c>
      <c r="B481" s="8">
        <v>3.0</v>
      </c>
      <c r="C481" s="7" t="s">
        <v>162</v>
      </c>
      <c r="D481" s="7" t="s">
        <v>341</v>
      </c>
      <c r="E481" s="7" t="s">
        <v>342</v>
      </c>
      <c r="F481" s="7" t="s">
        <v>256</v>
      </c>
    </row>
    <row r="482">
      <c r="A482" s="7" t="s">
        <v>17</v>
      </c>
      <c r="B482" s="8">
        <v>3.0</v>
      </c>
      <c r="C482" s="7" t="s">
        <v>162</v>
      </c>
      <c r="D482" s="7" t="s">
        <v>341</v>
      </c>
      <c r="E482" s="7" t="s">
        <v>342</v>
      </c>
      <c r="F482" s="7" t="s">
        <v>256</v>
      </c>
    </row>
    <row r="483">
      <c r="A483" s="7" t="s">
        <v>18</v>
      </c>
      <c r="B483" s="8">
        <v>3.0</v>
      </c>
      <c r="C483" s="7" t="s">
        <v>162</v>
      </c>
      <c r="D483" s="7" t="s">
        <v>341</v>
      </c>
      <c r="E483" s="7" t="s">
        <v>342</v>
      </c>
      <c r="F483" s="7" t="s">
        <v>258</v>
      </c>
    </row>
    <row r="484">
      <c r="A484" s="7" t="s">
        <v>19</v>
      </c>
      <c r="B484" s="8">
        <v>3.0</v>
      </c>
      <c r="C484" s="7" t="s">
        <v>162</v>
      </c>
      <c r="D484" s="7" t="s">
        <v>341</v>
      </c>
      <c r="E484" s="7" t="s">
        <v>342</v>
      </c>
      <c r="F484" s="7" t="s">
        <v>70</v>
      </c>
    </row>
    <row r="485">
      <c r="A485" s="7" t="s">
        <v>188</v>
      </c>
      <c r="B485" s="8">
        <v>3.0</v>
      </c>
      <c r="C485" s="7" t="s">
        <v>347</v>
      </c>
      <c r="D485" s="7" t="s">
        <v>348</v>
      </c>
      <c r="E485" s="7" t="s">
        <v>349</v>
      </c>
      <c r="F485" s="7" t="s">
        <v>270</v>
      </c>
    </row>
    <row r="486">
      <c r="A486" s="7" t="s">
        <v>4</v>
      </c>
      <c r="B486" s="8">
        <v>3.0</v>
      </c>
      <c r="C486" s="7" t="s">
        <v>347</v>
      </c>
      <c r="D486" s="7" t="s">
        <v>348</v>
      </c>
      <c r="E486" s="7" t="s">
        <v>349</v>
      </c>
      <c r="F486" s="7" t="s">
        <v>350</v>
      </c>
    </row>
    <row r="487">
      <c r="A487" s="7" t="s">
        <v>5</v>
      </c>
      <c r="B487" s="8">
        <v>3.0</v>
      </c>
      <c r="C487" s="7" t="s">
        <v>347</v>
      </c>
      <c r="D487" s="7" t="s">
        <v>348</v>
      </c>
      <c r="E487" s="7" t="s">
        <v>349</v>
      </c>
      <c r="F487" s="7" t="s">
        <v>238</v>
      </c>
    </row>
    <row r="488">
      <c r="A488" s="7" t="s">
        <v>6</v>
      </c>
      <c r="B488" s="8">
        <v>3.0</v>
      </c>
      <c r="C488" s="7" t="s">
        <v>347</v>
      </c>
      <c r="D488" s="7" t="s">
        <v>348</v>
      </c>
      <c r="E488" s="7" t="s">
        <v>349</v>
      </c>
      <c r="F488" s="7" t="s">
        <v>350</v>
      </c>
    </row>
    <row r="489">
      <c r="A489" s="7" t="s">
        <v>7</v>
      </c>
      <c r="B489" s="8">
        <v>3.0</v>
      </c>
      <c r="C489" s="7" t="s">
        <v>347</v>
      </c>
      <c r="D489" s="7" t="s">
        <v>348</v>
      </c>
      <c r="E489" s="7" t="s">
        <v>349</v>
      </c>
      <c r="F489" s="7" t="s">
        <v>350</v>
      </c>
    </row>
    <row r="490">
      <c r="A490" s="7" t="s">
        <v>8</v>
      </c>
      <c r="B490" s="8">
        <v>3.0</v>
      </c>
      <c r="C490" s="7" t="s">
        <v>347</v>
      </c>
      <c r="D490" s="7" t="s">
        <v>348</v>
      </c>
      <c r="E490" s="7" t="s">
        <v>349</v>
      </c>
      <c r="F490" s="7" t="s">
        <v>351</v>
      </c>
    </row>
    <row r="491">
      <c r="A491" s="7" t="s">
        <v>189</v>
      </c>
      <c r="B491" s="8">
        <v>3.0</v>
      </c>
      <c r="C491" s="7" t="s">
        <v>347</v>
      </c>
      <c r="D491" s="7" t="s">
        <v>348</v>
      </c>
      <c r="E491" s="7" t="s">
        <v>349</v>
      </c>
      <c r="F491" s="7" t="s">
        <v>337</v>
      </c>
    </row>
    <row r="492">
      <c r="A492" s="7" t="s">
        <v>9</v>
      </c>
      <c r="B492" s="8">
        <v>3.0</v>
      </c>
      <c r="C492" s="7" t="s">
        <v>347</v>
      </c>
      <c r="D492" s="7" t="s">
        <v>348</v>
      </c>
      <c r="E492" s="7" t="s">
        <v>349</v>
      </c>
      <c r="F492" s="7" t="s">
        <v>350</v>
      </c>
    </row>
    <row r="493">
      <c r="A493" s="7" t="s">
        <v>10</v>
      </c>
      <c r="B493" s="8">
        <v>3.0</v>
      </c>
      <c r="C493" s="7" t="s">
        <v>347</v>
      </c>
      <c r="D493" s="7" t="s">
        <v>348</v>
      </c>
      <c r="E493" s="7" t="s">
        <v>349</v>
      </c>
      <c r="F493" s="7" t="s">
        <v>313</v>
      </c>
    </row>
    <row r="494">
      <c r="A494" s="7" t="s">
        <v>11</v>
      </c>
      <c r="B494" s="8">
        <v>3.0</v>
      </c>
      <c r="C494" s="7" t="s">
        <v>347</v>
      </c>
      <c r="D494" s="7" t="s">
        <v>348</v>
      </c>
      <c r="E494" s="7" t="s">
        <v>349</v>
      </c>
      <c r="F494" s="7" t="s">
        <v>352</v>
      </c>
    </row>
    <row r="495">
      <c r="A495" s="7" t="s">
        <v>12</v>
      </c>
      <c r="B495" s="8">
        <v>3.0</v>
      </c>
      <c r="C495" s="7" t="s">
        <v>347</v>
      </c>
      <c r="D495" s="7" t="s">
        <v>348</v>
      </c>
      <c r="E495" s="7" t="s">
        <v>349</v>
      </c>
      <c r="F495" s="7" t="s">
        <v>272</v>
      </c>
    </row>
    <row r="496">
      <c r="A496" s="7" t="s">
        <v>13</v>
      </c>
      <c r="B496" s="8">
        <v>3.0</v>
      </c>
      <c r="C496" s="7" t="s">
        <v>347</v>
      </c>
      <c r="D496" s="7" t="s">
        <v>348</v>
      </c>
      <c r="E496" s="7" t="s">
        <v>349</v>
      </c>
      <c r="F496" s="7" t="s">
        <v>353</v>
      </c>
    </row>
    <row r="497">
      <c r="A497" s="7" t="s">
        <v>14</v>
      </c>
      <c r="B497" s="8">
        <v>3.0</v>
      </c>
      <c r="C497" s="7" t="s">
        <v>347</v>
      </c>
      <c r="D497" s="7" t="s">
        <v>348</v>
      </c>
      <c r="E497" s="7" t="s">
        <v>349</v>
      </c>
      <c r="F497" s="7" t="s">
        <v>313</v>
      </c>
    </row>
    <row r="498">
      <c r="A498" s="7" t="s">
        <v>15</v>
      </c>
      <c r="B498" s="8">
        <v>3.0</v>
      </c>
      <c r="C498" s="7" t="s">
        <v>347</v>
      </c>
      <c r="D498" s="7" t="s">
        <v>348</v>
      </c>
      <c r="E498" s="7" t="s">
        <v>349</v>
      </c>
      <c r="F498" s="7" t="s">
        <v>337</v>
      </c>
    </row>
    <row r="499">
      <c r="A499" s="7" t="s">
        <v>16</v>
      </c>
      <c r="B499" s="8">
        <v>3.0</v>
      </c>
      <c r="C499" s="7" t="s">
        <v>347</v>
      </c>
      <c r="D499" s="7" t="s">
        <v>348</v>
      </c>
      <c r="E499" s="7" t="s">
        <v>349</v>
      </c>
      <c r="F499" s="7" t="s">
        <v>350</v>
      </c>
    </row>
    <row r="500">
      <c r="A500" s="7" t="s">
        <v>17</v>
      </c>
      <c r="B500" s="8">
        <v>3.0</v>
      </c>
      <c r="C500" s="7" t="s">
        <v>347</v>
      </c>
      <c r="D500" s="7" t="s">
        <v>348</v>
      </c>
      <c r="E500" s="7" t="s">
        <v>349</v>
      </c>
      <c r="F500" s="7" t="s">
        <v>350</v>
      </c>
    </row>
    <row r="501">
      <c r="A501" s="7" t="s">
        <v>18</v>
      </c>
      <c r="B501" s="8">
        <v>3.0</v>
      </c>
      <c r="C501" s="7" t="s">
        <v>347</v>
      </c>
      <c r="D501" s="7" t="s">
        <v>348</v>
      </c>
      <c r="E501" s="7" t="s">
        <v>349</v>
      </c>
      <c r="F501" s="7" t="s">
        <v>350</v>
      </c>
    </row>
    <row r="502">
      <c r="A502" s="7" t="s">
        <v>19</v>
      </c>
      <c r="B502" s="8">
        <v>3.0</v>
      </c>
      <c r="C502" s="7" t="s">
        <v>347</v>
      </c>
      <c r="D502" s="7" t="s">
        <v>348</v>
      </c>
      <c r="E502" s="7" t="s">
        <v>349</v>
      </c>
      <c r="F502" s="7" t="s">
        <v>350</v>
      </c>
    </row>
    <row r="503">
      <c r="A503" s="7" t="s">
        <v>188</v>
      </c>
      <c r="B503" s="8">
        <v>3.0</v>
      </c>
      <c r="C503" s="7" t="s">
        <v>354</v>
      </c>
      <c r="D503" s="7" t="s">
        <v>355</v>
      </c>
      <c r="E503" s="7" t="s">
        <v>356</v>
      </c>
      <c r="F503" s="7" t="s">
        <v>277</v>
      </c>
    </row>
    <row r="504">
      <c r="A504" s="7" t="s">
        <v>4</v>
      </c>
      <c r="B504" s="8">
        <v>3.0</v>
      </c>
      <c r="C504" s="7" t="s">
        <v>354</v>
      </c>
      <c r="D504" s="7" t="s">
        <v>355</v>
      </c>
      <c r="E504" s="7" t="s">
        <v>356</v>
      </c>
      <c r="F504" s="7" t="s">
        <v>357</v>
      </c>
    </row>
    <row r="505">
      <c r="A505" s="7" t="s">
        <v>5</v>
      </c>
      <c r="B505" s="8">
        <v>3.0</v>
      </c>
      <c r="C505" s="7" t="s">
        <v>354</v>
      </c>
      <c r="D505" s="7" t="s">
        <v>355</v>
      </c>
      <c r="E505" s="7" t="s">
        <v>356</v>
      </c>
      <c r="F505" s="7" t="s">
        <v>358</v>
      </c>
    </row>
    <row r="506">
      <c r="A506" s="7" t="s">
        <v>6</v>
      </c>
      <c r="B506" s="8">
        <v>3.0</v>
      </c>
      <c r="C506" s="7" t="s">
        <v>354</v>
      </c>
      <c r="D506" s="7" t="s">
        <v>355</v>
      </c>
      <c r="E506" s="7" t="s">
        <v>356</v>
      </c>
      <c r="F506" s="7" t="s">
        <v>280</v>
      </c>
    </row>
    <row r="507">
      <c r="A507" s="7" t="s">
        <v>7</v>
      </c>
      <c r="B507" s="8">
        <v>3.0</v>
      </c>
      <c r="C507" s="7" t="s">
        <v>354</v>
      </c>
      <c r="D507" s="7" t="s">
        <v>355</v>
      </c>
      <c r="E507" s="7" t="s">
        <v>356</v>
      </c>
      <c r="F507" s="7" t="s">
        <v>350</v>
      </c>
    </row>
    <row r="508">
      <c r="A508" s="7" t="s">
        <v>8</v>
      </c>
      <c r="B508" s="8">
        <v>3.0</v>
      </c>
      <c r="C508" s="7" t="s">
        <v>354</v>
      </c>
      <c r="D508" s="7" t="s">
        <v>355</v>
      </c>
      <c r="E508" s="7" t="s">
        <v>356</v>
      </c>
      <c r="F508" s="7" t="s">
        <v>359</v>
      </c>
    </row>
    <row r="509">
      <c r="A509" s="7" t="s">
        <v>189</v>
      </c>
      <c r="B509" s="8">
        <v>3.0</v>
      </c>
      <c r="C509" s="7" t="s">
        <v>354</v>
      </c>
      <c r="D509" s="7" t="s">
        <v>355</v>
      </c>
      <c r="E509" s="7" t="s">
        <v>356</v>
      </c>
      <c r="F509" s="7" t="s">
        <v>360</v>
      </c>
    </row>
    <row r="510">
      <c r="A510" s="7" t="s">
        <v>9</v>
      </c>
      <c r="B510" s="8">
        <v>3.0</v>
      </c>
      <c r="C510" s="7" t="s">
        <v>354</v>
      </c>
      <c r="D510" s="7" t="s">
        <v>355</v>
      </c>
      <c r="E510" s="7" t="s">
        <v>356</v>
      </c>
      <c r="F510" s="7" t="s">
        <v>357</v>
      </c>
    </row>
    <row r="511">
      <c r="A511" s="7" t="s">
        <v>10</v>
      </c>
      <c r="B511" s="8">
        <v>3.0</v>
      </c>
      <c r="C511" s="7" t="s">
        <v>354</v>
      </c>
      <c r="D511" s="7" t="s">
        <v>355</v>
      </c>
      <c r="E511" s="7" t="s">
        <v>356</v>
      </c>
      <c r="F511" s="7" t="s">
        <v>279</v>
      </c>
    </row>
    <row r="512">
      <c r="A512" s="7" t="s">
        <v>11</v>
      </c>
      <c r="B512" s="8">
        <v>3.0</v>
      </c>
      <c r="C512" s="7" t="s">
        <v>354</v>
      </c>
      <c r="D512" s="7" t="s">
        <v>355</v>
      </c>
      <c r="E512" s="7" t="s">
        <v>356</v>
      </c>
      <c r="F512" s="7" t="s">
        <v>361</v>
      </c>
    </row>
    <row r="513">
      <c r="A513" s="7" t="s">
        <v>12</v>
      </c>
      <c r="B513" s="8">
        <v>3.0</v>
      </c>
      <c r="C513" s="7" t="s">
        <v>354</v>
      </c>
      <c r="D513" s="7" t="s">
        <v>355</v>
      </c>
      <c r="E513" s="7" t="s">
        <v>356</v>
      </c>
      <c r="F513" s="7" t="s">
        <v>361</v>
      </c>
    </row>
    <row r="514">
      <c r="A514" s="7" t="s">
        <v>13</v>
      </c>
      <c r="B514" s="8">
        <v>3.0</v>
      </c>
      <c r="C514" s="7" t="s">
        <v>354</v>
      </c>
      <c r="D514" s="7" t="s">
        <v>355</v>
      </c>
      <c r="E514" s="7" t="s">
        <v>356</v>
      </c>
      <c r="F514" s="7" t="s">
        <v>357</v>
      </c>
    </row>
    <row r="515">
      <c r="A515" s="7" t="s">
        <v>14</v>
      </c>
      <c r="B515" s="8">
        <v>3.0</v>
      </c>
      <c r="C515" s="7" t="s">
        <v>354</v>
      </c>
      <c r="D515" s="7" t="s">
        <v>355</v>
      </c>
      <c r="E515" s="7" t="s">
        <v>356</v>
      </c>
      <c r="F515" s="7" t="s">
        <v>277</v>
      </c>
    </row>
    <row r="516">
      <c r="A516" s="7" t="s">
        <v>15</v>
      </c>
      <c r="B516" s="8">
        <v>3.0</v>
      </c>
      <c r="C516" s="7" t="s">
        <v>354</v>
      </c>
      <c r="D516" s="7" t="s">
        <v>355</v>
      </c>
      <c r="E516" s="7" t="s">
        <v>356</v>
      </c>
      <c r="F516" s="7" t="s">
        <v>357</v>
      </c>
    </row>
    <row r="517">
      <c r="A517" s="7" t="s">
        <v>16</v>
      </c>
      <c r="B517" s="8">
        <v>3.0</v>
      </c>
      <c r="C517" s="7" t="s">
        <v>354</v>
      </c>
      <c r="D517" s="7" t="s">
        <v>355</v>
      </c>
      <c r="E517" s="7" t="s">
        <v>356</v>
      </c>
      <c r="F517" s="7" t="s">
        <v>357</v>
      </c>
    </row>
    <row r="518">
      <c r="A518" s="7" t="s">
        <v>17</v>
      </c>
      <c r="B518" s="8">
        <v>3.0</v>
      </c>
      <c r="C518" s="7" t="s">
        <v>354</v>
      </c>
      <c r="D518" s="7" t="s">
        <v>355</v>
      </c>
      <c r="E518" s="7" t="s">
        <v>356</v>
      </c>
      <c r="F518" s="7" t="s">
        <v>357</v>
      </c>
    </row>
    <row r="519">
      <c r="A519" s="7" t="s">
        <v>18</v>
      </c>
      <c r="B519" s="8">
        <v>3.0</v>
      </c>
      <c r="C519" s="7" t="s">
        <v>354</v>
      </c>
      <c r="D519" s="7" t="s">
        <v>355</v>
      </c>
      <c r="E519" s="7" t="s">
        <v>356</v>
      </c>
      <c r="F519" s="7" t="s">
        <v>357</v>
      </c>
    </row>
    <row r="520">
      <c r="A520" s="7" t="s">
        <v>19</v>
      </c>
      <c r="B520" s="8">
        <v>3.0</v>
      </c>
      <c r="C520" s="7" t="s">
        <v>354</v>
      </c>
      <c r="D520" s="7" t="s">
        <v>355</v>
      </c>
      <c r="E520" s="7" t="s">
        <v>356</v>
      </c>
      <c r="F520" s="7" t="s">
        <v>357</v>
      </c>
    </row>
    <row r="521">
      <c r="A521" s="7" t="s">
        <v>188</v>
      </c>
      <c r="B521" s="8">
        <v>3.0</v>
      </c>
      <c r="C521" s="7" t="s">
        <v>362</v>
      </c>
      <c r="D521" s="7" t="s">
        <v>363</v>
      </c>
      <c r="E521" s="7" t="s">
        <v>364</v>
      </c>
      <c r="F521" s="7" t="s">
        <v>270</v>
      </c>
    </row>
    <row r="522">
      <c r="A522" s="7" t="s">
        <v>4</v>
      </c>
      <c r="B522" s="8">
        <v>3.0</v>
      </c>
      <c r="C522" s="7" t="s">
        <v>362</v>
      </c>
      <c r="D522" s="7" t="s">
        <v>363</v>
      </c>
      <c r="E522" s="7" t="s">
        <v>364</v>
      </c>
      <c r="F522" s="7" t="s">
        <v>350</v>
      </c>
    </row>
    <row r="523">
      <c r="A523" s="7" t="s">
        <v>5</v>
      </c>
      <c r="B523" s="8">
        <v>3.0</v>
      </c>
      <c r="C523" s="7" t="s">
        <v>362</v>
      </c>
      <c r="D523" s="7" t="s">
        <v>363</v>
      </c>
      <c r="E523" s="7" t="s">
        <v>364</v>
      </c>
      <c r="F523" s="7" t="s">
        <v>238</v>
      </c>
    </row>
    <row r="524">
      <c r="A524" s="7" t="s">
        <v>6</v>
      </c>
      <c r="B524" s="8">
        <v>3.0</v>
      </c>
      <c r="C524" s="7" t="s">
        <v>362</v>
      </c>
      <c r="D524" s="7" t="s">
        <v>363</v>
      </c>
      <c r="E524" s="7" t="s">
        <v>364</v>
      </c>
      <c r="F524" s="7" t="s">
        <v>350</v>
      </c>
    </row>
    <row r="525">
      <c r="A525" s="7" t="s">
        <v>7</v>
      </c>
      <c r="B525" s="8">
        <v>3.0</v>
      </c>
      <c r="C525" s="7" t="s">
        <v>362</v>
      </c>
      <c r="D525" s="7" t="s">
        <v>363</v>
      </c>
      <c r="E525" s="7" t="s">
        <v>364</v>
      </c>
      <c r="F525" s="7" t="s">
        <v>350</v>
      </c>
    </row>
    <row r="526">
      <c r="A526" s="7" t="s">
        <v>8</v>
      </c>
      <c r="B526" s="8">
        <v>3.0</v>
      </c>
      <c r="C526" s="7" t="s">
        <v>362</v>
      </c>
      <c r="D526" s="7" t="s">
        <v>363</v>
      </c>
      <c r="E526" s="7" t="s">
        <v>364</v>
      </c>
      <c r="F526" s="7" t="s">
        <v>350</v>
      </c>
    </row>
    <row r="527">
      <c r="A527" s="7" t="s">
        <v>189</v>
      </c>
      <c r="B527" s="8">
        <v>3.0</v>
      </c>
      <c r="C527" s="7" t="s">
        <v>362</v>
      </c>
      <c r="D527" s="7" t="s">
        <v>363</v>
      </c>
      <c r="E527" s="7" t="s">
        <v>364</v>
      </c>
      <c r="F527" s="7" t="s">
        <v>365</v>
      </c>
    </row>
    <row r="528">
      <c r="A528" s="7" t="s">
        <v>9</v>
      </c>
      <c r="B528" s="8">
        <v>3.0</v>
      </c>
      <c r="C528" s="7" t="s">
        <v>362</v>
      </c>
      <c r="D528" s="7" t="s">
        <v>363</v>
      </c>
      <c r="E528" s="7" t="s">
        <v>364</v>
      </c>
      <c r="F528" s="7" t="s">
        <v>350</v>
      </c>
    </row>
    <row r="529">
      <c r="A529" s="7" t="s">
        <v>10</v>
      </c>
      <c r="B529" s="8">
        <v>3.0</v>
      </c>
      <c r="C529" s="7" t="s">
        <v>362</v>
      </c>
      <c r="D529" s="7" t="s">
        <v>363</v>
      </c>
      <c r="E529" s="7" t="s">
        <v>364</v>
      </c>
      <c r="F529" s="7" t="s">
        <v>313</v>
      </c>
    </row>
    <row r="530">
      <c r="A530" s="7" t="s">
        <v>11</v>
      </c>
      <c r="B530" s="8">
        <v>3.0</v>
      </c>
      <c r="C530" s="7" t="s">
        <v>362</v>
      </c>
      <c r="D530" s="7" t="s">
        <v>363</v>
      </c>
      <c r="E530" s="7" t="s">
        <v>364</v>
      </c>
      <c r="F530" s="7" t="s">
        <v>272</v>
      </c>
    </row>
    <row r="531">
      <c r="A531" s="7" t="s">
        <v>12</v>
      </c>
      <c r="B531" s="8">
        <v>3.0</v>
      </c>
      <c r="C531" s="7" t="s">
        <v>362</v>
      </c>
      <c r="D531" s="7" t="s">
        <v>363</v>
      </c>
      <c r="E531" s="7" t="s">
        <v>364</v>
      </c>
      <c r="F531" s="7" t="s">
        <v>272</v>
      </c>
    </row>
    <row r="532">
      <c r="A532" s="7" t="s">
        <v>13</v>
      </c>
      <c r="B532" s="8">
        <v>3.0</v>
      </c>
      <c r="C532" s="7" t="s">
        <v>362</v>
      </c>
      <c r="D532" s="7" t="s">
        <v>363</v>
      </c>
      <c r="E532" s="7" t="s">
        <v>364</v>
      </c>
      <c r="F532" s="7" t="s">
        <v>353</v>
      </c>
    </row>
    <row r="533">
      <c r="A533" s="7" t="s">
        <v>14</v>
      </c>
      <c r="B533" s="8">
        <v>3.0</v>
      </c>
      <c r="C533" s="7" t="s">
        <v>362</v>
      </c>
      <c r="D533" s="7" t="s">
        <v>363</v>
      </c>
      <c r="E533" s="7" t="s">
        <v>364</v>
      </c>
      <c r="F533" s="7" t="s">
        <v>313</v>
      </c>
    </row>
    <row r="534">
      <c r="A534" s="7" t="s">
        <v>15</v>
      </c>
      <c r="B534" s="8">
        <v>3.0</v>
      </c>
      <c r="C534" s="7" t="s">
        <v>362</v>
      </c>
      <c r="D534" s="7" t="s">
        <v>363</v>
      </c>
      <c r="E534" s="7" t="s">
        <v>364</v>
      </c>
      <c r="F534" s="7" t="s">
        <v>337</v>
      </c>
    </row>
    <row r="535">
      <c r="A535" s="7" t="s">
        <v>16</v>
      </c>
      <c r="B535" s="8">
        <v>3.0</v>
      </c>
      <c r="C535" s="7" t="s">
        <v>362</v>
      </c>
      <c r="D535" s="7" t="s">
        <v>363</v>
      </c>
      <c r="E535" s="7" t="s">
        <v>364</v>
      </c>
      <c r="F535" s="7" t="s">
        <v>366</v>
      </c>
    </row>
    <row r="536">
      <c r="A536" s="7" t="s">
        <v>17</v>
      </c>
      <c r="B536" s="8">
        <v>3.0</v>
      </c>
      <c r="C536" s="7" t="s">
        <v>362</v>
      </c>
      <c r="D536" s="7" t="s">
        <v>363</v>
      </c>
      <c r="E536" s="7" t="s">
        <v>364</v>
      </c>
      <c r="F536" s="7" t="s">
        <v>350</v>
      </c>
    </row>
    <row r="537">
      <c r="A537" s="7" t="s">
        <v>18</v>
      </c>
      <c r="B537" s="8">
        <v>3.0</v>
      </c>
      <c r="C537" s="7" t="s">
        <v>362</v>
      </c>
      <c r="D537" s="7" t="s">
        <v>363</v>
      </c>
      <c r="E537" s="7" t="s">
        <v>364</v>
      </c>
      <c r="F537" s="7" t="s">
        <v>238</v>
      </c>
    </row>
    <row r="538">
      <c r="A538" s="7" t="s">
        <v>19</v>
      </c>
      <c r="B538" s="8">
        <v>3.0</v>
      </c>
      <c r="C538" s="7" t="s">
        <v>362</v>
      </c>
      <c r="D538" s="7" t="s">
        <v>363</v>
      </c>
      <c r="E538" s="7" t="s">
        <v>364</v>
      </c>
      <c r="F538" s="7" t="s">
        <v>238</v>
      </c>
    </row>
    <row r="539">
      <c r="A539" s="7" t="s">
        <v>188</v>
      </c>
      <c r="B539" s="8">
        <v>3.0</v>
      </c>
      <c r="C539" s="7" t="s">
        <v>367</v>
      </c>
      <c r="D539" s="7" t="s">
        <v>368</v>
      </c>
      <c r="E539" s="7" t="s">
        <v>369</v>
      </c>
      <c r="F539" s="7" t="s">
        <v>370</v>
      </c>
    </row>
    <row r="540">
      <c r="A540" s="7" t="s">
        <v>4</v>
      </c>
      <c r="B540" s="8">
        <v>3.0</v>
      </c>
      <c r="C540" s="7" t="s">
        <v>367</v>
      </c>
      <c r="D540" s="7" t="s">
        <v>368</v>
      </c>
      <c r="E540" s="7" t="s">
        <v>369</v>
      </c>
      <c r="F540" s="7" t="s">
        <v>371</v>
      </c>
    </row>
    <row r="541">
      <c r="A541" s="7" t="s">
        <v>5</v>
      </c>
      <c r="B541" s="8">
        <v>3.0</v>
      </c>
      <c r="C541" s="7" t="s">
        <v>367</v>
      </c>
      <c r="D541" s="7" t="s">
        <v>368</v>
      </c>
      <c r="E541" s="7" t="s">
        <v>369</v>
      </c>
      <c r="F541" s="7" t="s">
        <v>372</v>
      </c>
    </row>
    <row r="542">
      <c r="A542" s="7" t="s">
        <v>6</v>
      </c>
      <c r="B542" s="8">
        <v>3.0</v>
      </c>
      <c r="C542" s="7" t="s">
        <v>367</v>
      </c>
      <c r="D542" s="7" t="s">
        <v>368</v>
      </c>
      <c r="E542" s="7" t="s">
        <v>369</v>
      </c>
      <c r="F542" s="7" t="s">
        <v>371</v>
      </c>
    </row>
    <row r="543">
      <c r="A543" s="7" t="s">
        <v>7</v>
      </c>
      <c r="B543" s="8">
        <v>3.0</v>
      </c>
      <c r="C543" s="7" t="s">
        <v>367</v>
      </c>
      <c r="D543" s="7" t="s">
        <v>368</v>
      </c>
      <c r="E543" s="7" t="s">
        <v>369</v>
      </c>
      <c r="F543" s="7" t="s">
        <v>373</v>
      </c>
    </row>
    <row r="544">
      <c r="A544" s="7" t="s">
        <v>8</v>
      </c>
      <c r="B544" s="8">
        <v>3.0</v>
      </c>
      <c r="C544" s="7" t="s">
        <v>367</v>
      </c>
      <c r="D544" s="7" t="s">
        <v>368</v>
      </c>
      <c r="E544" s="7" t="s">
        <v>369</v>
      </c>
      <c r="F544" s="7" t="s">
        <v>374</v>
      </c>
    </row>
    <row r="545">
      <c r="A545" s="7" t="s">
        <v>189</v>
      </c>
      <c r="B545" s="8">
        <v>3.0</v>
      </c>
      <c r="C545" s="7" t="s">
        <v>367</v>
      </c>
      <c r="D545" s="7" t="s">
        <v>368</v>
      </c>
      <c r="E545" s="7" t="s">
        <v>369</v>
      </c>
      <c r="F545" s="7" t="s">
        <v>373</v>
      </c>
    </row>
    <row r="546">
      <c r="A546" s="7" t="s">
        <v>9</v>
      </c>
      <c r="B546" s="8">
        <v>3.0</v>
      </c>
      <c r="C546" s="7" t="s">
        <v>367</v>
      </c>
      <c r="D546" s="7" t="s">
        <v>368</v>
      </c>
      <c r="E546" s="7" t="s">
        <v>369</v>
      </c>
      <c r="F546" s="7" t="s">
        <v>371</v>
      </c>
    </row>
    <row r="547">
      <c r="A547" s="7" t="s">
        <v>10</v>
      </c>
      <c r="B547" s="8">
        <v>3.0</v>
      </c>
      <c r="C547" s="7" t="s">
        <v>367</v>
      </c>
      <c r="D547" s="7" t="s">
        <v>368</v>
      </c>
      <c r="E547" s="7" t="s">
        <v>369</v>
      </c>
      <c r="F547" s="7" t="s">
        <v>373</v>
      </c>
    </row>
    <row r="548">
      <c r="A548" s="7" t="s">
        <v>11</v>
      </c>
      <c r="B548" s="8">
        <v>3.0</v>
      </c>
      <c r="C548" s="7" t="s">
        <v>367</v>
      </c>
      <c r="D548" s="7" t="s">
        <v>368</v>
      </c>
      <c r="E548" s="7" t="s">
        <v>369</v>
      </c>
      <c r="F548" s="7" t="s">
        <v>371</v>
      </c>
    </row>
    <row r="549">
      <c r="A549" s="7" t="s">
        <v>12</v>
      </c>
      <c r="B549" s="8">
        <v>3.0</v>
      </c>
      <c r="C549" s="7" t="s">
        <v>367</v>
      </c>
      <c r="D549" s="7" t="s">
        <v>368</v>
      </c>
      <c r="E549" s="7" t="s">
        <v>369</v>
      </c>
      <c r="F549" s="7" t="s">
        <v>371</v>
      </c>
    </row>
    <row r="550">
      <c r="A550" s="7" t="s">
        <v>13</v>
      </c>
      <c r="B550" s="8">
        <v>3.0</v>
      </c>
      <c r="C550" s="7" t="s">
        <v>367</v>
      </c>
      <c r="D550" s="7" t="s">
        <v>368</v>
      </c>
      <c r="E550" s="7" t="s">
        <v>369</v>
      </c>
      <c r="F550" s="7" t="s">
        <v>375</v>
      </c>
    </row>
    <row r="551">
      <c r="A551" s="7" t="s">
        <v>14</v>
      </c>
      <c r="B551" s="8">
        <v>3.0</v>
      </c>
      <c r="C551" s="7" t="s">
        <v>367</v>
      </c>
      <c r="D551" s="7" t="s">
        <v>368</v>
      </c>
      <c r="E551" s="7" t="s">
        <v>369</v>
      </c>
      <c r="F551" s="7" t="s">
        <v>373</v>
      </c>
    </row>
    <row r="552">
      <c r="A552" s="7" t="s">
        <v>15</v>
      </c>
      <c r="B552" s="8">
        <v>3.0</v>
      </c>
      <c r="C552" s="7" t="s">
        <v>367</v>
      </c>
      <c r="D552" s="7" t="s">
        <v>368</v>
      </c>
      <c r="E552" s="7" t="s">
        <v>369</v>
      </c>
      <c r="F552" s="7" t="s">
        <v>371</v>
      </c>
    </row>
    <row r="553">
      <c r="A553" s="7" t="s">
        <v>16</v>
      </c>
      <c r="B553" s="8">
        <v>3.0</v>
      </c>
      <c r="C553" s="7" t="s">
        <v>367</v>
      </c>
      <c r="D553" s="7" t="s">
        <v>368</v>
      </c>
      <c r="E553" s="7" t="s">
        <v>369</v>
      </c>
      <c r="F553" s="7" t="s">
        <v>376</v>
      </c>
    </row>
    <row r="554">
      <c r="A554" s="7" t="s">
        <v>17</v>
      </c>
      <c r="B554" s="8">
        <v>3.0</v>
      </c>
      <c r="C554" s="7" t="s">
        <v>367</v>
      </c>
      <c r="D554" s="7" t="s">
        <v>368</v>
      </c>
      <c r="E554" s="7" t="s">
        <v>369</v>
      </c>
      <c r="F554" s="7" t="s">
        <v>373</v>
      </c>
    </row>
    <row r="555">
      <c r="A555" s="7" t="s">
        <v>18</v>
      </c>
      <c r="B555" s="8">
        <v>3.0</v>
      </c>
      <c r="C555" s="7" t="s">
        <v>367</v>
      </c>
      <c r="D555" s="7" t="s">
        <v>368</v>
      </c>
      <c r="E555" s="7" t="s">
        <v>369</v>
      </c>
      <c r="F555" s="7" t="s">
        <v>372</v>
      </c>
    </row>
    <row r="556">
      <c r="A556" s="7" t="s">
        <v>19</v>
      </c>
      <c r="B556" s="8">
        <v>3.0</v>
      </c>
      <c r="C556" s="7" t="s">
        <v>367</v>
      </c>
      <c r="D556" s="7" t="s">
        <v>368</v>
      </c>
      <c r="E556" s="7" t="s">
        <v>369</v>
      </c>
      <c r="F556" s="7" t="s">
        <v>377</v>
      </c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61.63"/>
    <col customWidth="1" min="5" max="5" width="10.63"/>
    <col customWidth="1" min="6" max="6" width="14.63"/>
    <col customWidth="1" min="7" max="7" width="14.0"/>
    <col customWidth="1" min="8" max="8" width="16.38"/>
    <col customWidth="1" min="9" max="12" width="10.63"/>
    <col customWidth="1" min="13" max="13" width="13.5"/>
    <col customWidth="1" min="14" max="26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188</v>
      </c>
      <c r="F1" s="3" t="s">
        <v>4</v>
      </c>
      <c r="G1" s="9" t="s">
        <v>386</v>
      </c>
      <c r="H1" s="10" t="s">
        <v>387</v>
      </c>
      <c r="I1" s="3" t="s">
        <v>6</v>
      </c>
      <c r="J1" s="3" t="s">
        <v>7</v>
      </c>
      <c r="K1" s="3" t="s">
        <v>8</v>
      </c>
      <c r="L1" s="3" t="s">
        <v>388</v>
      </c>
      <c r="M1" s="3" t="s">
        <v>189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ht="15.75" customHeight="1">
      <c r="A2" s="4">
        <v>4.0</v>
      </c>
      <c r="B2" s="5" t="s">
        <v>193</v>
      </c>
      <c r="C2" s="5" t="s">
        <v>389</v>
      </c>
      <c r="D2" s="5" t="s">
        <v>390</v>
      </c>
      <c r="E2" s="5">
        <v>2007.0</v>
      </c>
      <c r="F2" s="5">
        <v>2004.0</v>
      </c>
      <c r="G2" s="5">
        <v>2007.0</v>
      </c>
      <c r="H2" s="5">
        <v>2005.0</v>
      </c>
      <c r="I2" s="5">
        <v>2004.0</v>
      </c>
      <c r="J2" s="5">
        <v>2007.0</v>
      </c>
      <c r="K2" s="5">
        <v>2007.0</v>
      </c>
      <c r="L2" s="5">
        <v>2005.0</v>
      </c>
      <c r="M2" s="5">
        <v>2008.0</v>
      </c>
      <c r="N2" s="5">
        <v>2004.0</v>
      </c>
      <c r="O2" s="5">
        <v>2007.0</v>
      </c>
      <c r="P2" s="5">
        <v>2004.0</v>
      </c>
      <c r="Q2" s="5">
        <v>2004.0</v>
      </c>
      <c r="R2" s="5">
        <v>2007.0</v>
      </c>
      <c r="S2" s="5">
        <v>2007.0</v>
      </c>
      <c r="T2" s="5">
        <v>2004.0</v>
      </c>
      <c r="U2" s="5">
        <v>2005.0</v>
      </c>
      <c r="V2" s="5">
        <v>2006.0</v>
      </c>
      <c r="W2" s="5">
        <v>2008.0</v>
      </c>
      <c r="X2" s="5">
        <v>2008.0</v>
      </c>
    </row>
    <row r="3" ht="15.75" customHeight="1">
      <c r="A3" s="4">
        <v>4.0</v>
      </c>
      <c r="B3" s="5" t="s">
        <v>391</v>
      </c>
      <c r="C3" s="5" t="s">
        <v>392</v>
      </c>
      <c r="D3" s="5" t="s">
        <v>393</v>
      </c>
      <c r="E3" s="5" t="s">
        <v>394</v>
      </c>
      <c r="F3" s="5" t="s">
        <v>395</v>
      </c>
      <c r="G3" s="5" t="s">
        <v>394</v>
      </c>
      <c r="H3" s="5" t="s">
        <v>396</v>
      </c>
      <c r="I3" s="5" t="s">
        <v>397</v>
      </c>
      <c r="J3" s="5" t="s">
        <v>396</v>
      </c>
      <c r="K3" s="5" t="s">
        <v>398</v>
      </c>
      <c r="L3" s="5" t="s">
        <v>399</v>
      </c>
      <c r="M3" s="5" t="s">
        <v>394</v>
      </c>
      <c r="N3" s="5" t="s">
        <v>400</v>
      </c>
      <c r="O3" s="5" t="s">
        <v>394</v>
      </c>
      <c r="P3" s="5" t="s">
        <v>401</v>
      </c>
      <c r="Q3" s="5" t="s">
        <v>402</v>
      </c>
      <c r="R3" s="5" t="s">
        <v>396</v>
      </c>
      <c r="S3" s="5" t="s">
        <v>403</v>
      </c>
      <c r="T3" s="5" t="s">
        <v>404</v>
      </c>
      <c r="U3" s="5" t="s">
        <v>396</v>
      </c>
      <c r="V3" s="5" t="s">
        <v>396</v>
      </c>
      <c r="W3" s="5" t="s">
        <v>396</v>
      </c>
      <c r="X3" s="5" t="s">
        <v>396</v>
      </c>
    </row>
    <row r="4" ht="15.75" customHeight="1">
      <c r="A4" s="4">
        <v>4.0</v>
      </c>
      <c r="B4" s="5" t="s">
        <v>405</v>
      </c>
      <c r="C4" s="5" t="s">
        <v>406</v>
      </c>
      <c r="D4" s="5" t="s">
        <v>407</v>
      </c>
      <c r="E4" s="5" t="s">
        <v>408</v>
      </c>
      <c r="F4" s="5" t="s">
        <v>409</v>
      </c>
      <c r="G4" s="5" t="s">
        <v>408</v>
      </c>
      <c r="H4" s="5" t="s">
        <v>301</v>
      </c>
      <c r="I4" s="5" t="s">
        <v>240</v>
      </c>
      <c r="J4" s="5" t="s">
        <v>240</v>
      </c>
      <c r="K4" s="5" t="s">
        <v>408</v>
      </c>
      <c r="L4" s="5" t="s">
        <v>410</v>
      </c>
      <c r="M4" s="5" t="s">
        <v>411</v>
      </c>
      <c r="N4" s="5" t="s">
        <v>240</v>
      </c>
      <c r="O4" s="5" t="s">
        <v>305</v>
      </c>
      <c r="P4" s="5" t="s">
        <v>412</v>
      </c>
      <c r="Q4" s="5" t="s">
        <v>214</v>
      </c>
      <c r="R4" s="5" t="s">
        <v>408</v>
      </c>
      <c r="S4" s="5" t="s">
        <v>411</v>
      </c>
      <c r="T4" s="5" t="s">
        <v>272</v>
      </c>
      <c r="U4" s="5" t="s">
        <v>240</v>
      </c>
      <c r="V4" s="5" t="s">
        <v>240</v>
      </c>
      <c r="W4" s="5" t="s">
        <v>240</v>
      </c>
      <c r="X4" s="5" t="s">
        <v>413</v>
      </c>
    </row>
    <row r="5" ht="15.75" customHeight="1">
      <c r="A5" s="4">
        <v>4.0</v>
      </c>
      <c r="B5" s="5" t="s">
        <v>20</v>
      </c>
      <c r="C5" s="5" t="s">
        <v>414</v>
      </c>
      <c r="D5" s="5" t="s">
        <v>415</v>
      </c>
      <c r="E5" s="5" t="s">
        <v>416</v>
      </c>
      <c r="F5" s="5" t="s">
        <v>417</v>
      </c>
      <c r="G5" s="5" t="s">
        <v>416</v>
      </c>
      <c r="H5" s="5" t="s">
        <v>202</v>
      </c>
      <c r="I5" s="5" t="s">
        <v>418</v>
      </c>
      <c r="J5" s="5" t="s">
        <v>202</v>
      </c>
      <c r="K5" s="5" t="s">
        <v>419</v>
      </c>
      <c r="L5" s="5" t="s">
        <v>420</v>
      </c>
      <c r="M5" s="5" t="s">
        <v>416</v>
      </c>
      <c r="N5" s="5" t="s">
        <v>30</v>
      </c>
      <c r="O5" s="5" t="s">
        <v>416</v>
      </c>
      <c r="P5" s="5" t="s">
        <v>421</v>
      </c>
      <c r="Q5" s="5" t="s">
        <v>422</v>
      </c>
      <c r="R5" s="5" t="s">
        <v>202</v>
      </c>
      <c r="S5" s="5" t="s">
        <v>403</v>
      </c>
      <c r="T5" s="5" t="s">
        <v>202</v>
      </c>
      <c r="U5" s="5" t="s">
        <v>202</v>
      </c>
      <c r="V5" s="5" t="s">
        <v>202</v>
      </c>
      <c r="W5" s="5" t="s">
        <v>202</v>
      </c>
      <c r="X5" s="5" t="s">
        <v>202</v>
      </c>
    </row>
    <row r="6" ht="15.75" customHeight="1">
      <c r="A6" s="4">
        <v>4.0</v>
      </c>
      <c r="B6" s="5" t="s">
        <v>35</v>
      </c>
      <c r="C6" s="5" t="s">
        <v>423</v>
      </c>
      <c r="D6" s="5" t="s">
        <v>424</v>
      </c>
      <c r="E6" s="5" t="s">
        <v>211</v>
      </c>
      <c r="F6" s="5" t="s">
        <v>425</v>
      </c>
      <c r="G6" s="5" t="s">
        <v>211</v>
      </c>
      <c r="H6" s="5" t="s">
        <v>211</v>
      </c>
      <c r="I6" s="5" t="s">
        <v>38</v>
      </c>
      <c r="J6" s="5" t="s">
        <v>38</v>
      </c>
      <c r="K6" s="5" t="s">
        <v>211</v>
      </c>
      <c r="L6" s="5" t="s">
        <v>426</v>
      </c>
      <c r="M6" s="5" t="s">
        <v>208</v>
      </c>
      <c r="N6" s="5" t="s">
        <v>38</v>
      </c>
      <c r="O6" s="5" t="s">
        <v>427</v>
      </c>
      <c r="P6" s="5" t="s">
        <v>428</v>
      </c>
      <c r="Q6" s="5" t="s">
        <v>211</v>
      </c>
      <c r="R6" s="5" t="s">
        <v>211</v>
      </c>
      <c r="S6" s="5" t="s">
        <v>411</v>
      </c>
      <c r="T6" s="5" t="s">
        <v>211</v>
      </c>
      <c r="U6" s="5" t="s">
        <v>38</v>
      </c>
      <c r="V6" s="5" t="s">
        <v>38</v>
      </c>
      <c r="W6" s="5" t="s">
        <v>429</v>
      </c>
      <c r="X6" s="5" t="s">
        <v>430</v>
      </c>
    </row>
    <row r="7" ht="15.75" customHeight="1">
      <c r="A7" s="4">
        <v>4.0</v>
      </c>
      <c r="B7" s="5" t="s">
        <v>59</v>
      </c>
      <c r="C7" s="5" t="s">
        <v>431</v>
      </c>
      <c r="D7" s="5" t="s">
        <v>432</v>
      </c>
      <c r="E7" s="5" t="s">
        <v>56</v>
      </c>
      <c r="F7" s="5" t="s">
        <v>433</v>
      </c>
      <c r="G7" s="5" t="s">
        <v>56</v>
      </c>
      <c r="H7" s="5" t="s">
        <v>56</v>
      </c>
      <c r="I7" s="5" t="s">
        <v>54</v>
      </c>
      <c r="J7" s="5" t="s">
        <v>54</v>
      </c>
      <c r="K7" s="5" t="s">
        <v>55</v>
      </c>
      <c r="L7" s="5" t="s">
        <v>434</v>
      </c>
      <c r="M7" s="5" t="s">
        <v>435</v>
      </c>
      <c r="N7" s="5" t="s">
        <v>54</v>
      </c>
      <c r="O7" s="5" t="s">
        <v>435</v>
      </c>
      <c r="P7" s="5" t="s">
        <v>436</v>
      </c>
      <c r="Q7" s="5" t="s">
        <v>56</v>
      </c>
      <c r="R7" s="5" t="s">
        <v>53</v>
      </c>
      <c r="S7" s="5" t="s">
        <v>56</v>
      </c>
      <c r="T7" s="5" t="s">
        <v>56</v>
      </c>
      <c r="U7" s="5" t="s">
        <v>54</v>
      </c>
      <c r="V7" s="5" t="s">
        <v>54</v>
      </c>
      <c r="W7" s="5" t="s">
        <v>54</v>
      </c>
      <c r="X7" s="5" t="s">
        <v>54</v>
      </c>
    </row>
    <row r="8" ht="15.75" customHeight="1">
      <c r="A8" s="4">
        <v>4.0</v>
      </c>
      <c r="B8" s="5" t="s">
        <v>437</v>
      </c>
      <c r="C8" s="5" t="s">
        <v>50</v>
      </c>
      <c r="D8" s="5" t="s">
        <v>438</v>
      </c>
      <c r="E8" s="5" t="s">
        <v>56</v>
      </c>
      <c r="F8" s="5" t="s">
        <v>433</v>
      </c>
      <c r="G8" s="5" t="s">
        <v>56</v>
      </c>
      <c r="H8" s="5" t="s">
        <v>56</v>
      </c>
      <c r="I8" s="5" t="s">
        <v>54</v>
      </c>
      <c r="J8" s="5" t="s">
        <v>54</v>
      </c>
      <c r="K8" s="5" t="s">
        <v>55</v>
      </c>
      <c r="L8" s="5" t="s">
        <v>434</v>
      </c>
      <c r="M8" s="5" t="s">
        <v>435</v>
      </c>
      <c r="N8" s="5" t="s">
        <v>54</v>
      </c>
      <c r="O8" s="5" t="s">
        <v>435</v>
      </c>
      <c r="P8" s="5" t="s">
        <v>436</v>
      </c>
      <c r="Q8" s="5" t="s">
        <v>56</v>
      </c>
      <c r="R8" s="5" t="s">
        <v>53</v>
      </c>
      <c r="S8" s="5" t="s">
        <v>56</v>
      </c>
      <c r="T8" s="5" t="s">
        <v>56</v>
      </c>
      <c r="U8" s="5" t="s">
        <v>54</v>
      </c>
      <c r="V8" s="5" t="s">
        <v>54</v>
      </c>
      <c r="W8" s="5" t="s">
        <v>54</v>
      </c>
      <c r="X8" s="5" t="s">
        <v>54</v>
      </c>
    </row>
    <row r="9" ht="15.75" customHeight="1">
      <c r="A9" s="4">
        <v>4.0</v>
      </c>
      <c r="B9" s="5" t="s">
        <v>49</v>
      </c>
      <c r="C9" s="5" t="s">
        <v>439</v>
      </c>
      <c r="D9" s="5" t="s">
        <v>440</v>
      </c>
      <c r="E9" s="5" t="s">
        <v>56</v>
      </c>
      <c r="F9" s="5" t="s">
        <v>54</v>
      </c>
      <c r="G9" s="5" t="s">
        <v>56</v>
      </c>
      <c r="H9" s="5" t="s">
        <v>56</v>
      </c>
      <c r="I9" s="5" t="s">
        <v>54</v>
      </c>
      <c r="J9" s="5" t="s">
        <v>54</v>
      </c>
      <c r="K9" s="5" t="s">
        <v>55</v>
      </c>
      <c r="L9" s="5" t="s">
        <v>434</v>
      </c>
      <c r="M9" s="5" t="s">
        <v>56</v>
      </c>
      <c r="N9" s="5" t="s">
        <v>54</v>
      </c>
      <c r="O9" s="5" t="s">
        <v>56</v>
      </c>
      <c r="P9" s="5" t="s">
        <v>436</v>
      </c>
      <c r="Q9" s="5" t="s">
        <v>56</v>
      </c>
      <c r="R9" s="5" t="s">
        <v>56</v>
      </c>
      <c r="S9" s="5" t="s">
        <v>56</v>
      </c>
      <c r="T9" s="5" t="s">
        <v>56</v>
      </c>
      <c r="U9" s="5" t="s">
        <v>54</v>
      </c>
      <c r="V9" s="5" t="s">
        <v>54</v>
      </c>
      <c r="W9" s="5" t="s">
        <v>54</v>
      </c>
      <c r="X9" s="5" t="s">
        <v>54</v>
      </c>
    </row>
    <row r="10" ht="15.75" customHeight="1">
      <c r="A10" s="4">
        <v>4.0</v>
      </c>
      <c r="B10" s="5" t="s">
        <v>223</v>
      </c>
      <c r="C10" s="5" t="s">
        <v>441</v>
      </c>
      <c r="D10" s="5" t="s">
        <v>442</v>
      </c>
      <c r="E10" s="5" t="s">
        <v>47</v>
      </c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48</v>
      </c>
      <c r="L10" s="5" t="s">
        <v>443</v>
      </c>
      <c r="M10" s="5" t="s">
        <v>444</v>
      </c>
      <c r="N10" s="5" t="s">
        <v>444</v>
      </c>
      <c r="O10" s="5" t="s">
        <v>444</v>
      </c>
      <c r="P10" s="5" t="s">
        <v>444</v>
      </c>
      <c r="Q10" s="5" t="s">
        <v>444</v>
      </c>
      <c r="R10" s="5" t="s">
        <v>444</v>
      </c>
      <c r="S10" s="5" t="s">
        <v>444</v>
      </c>
      <c r="T10" s="5" t="s">
        <v>444</v>
      </c>
      <c r="U10" s="5" t="s">
        <v>47</v>
      </c>
      <c r="V10" s="5" t="s">
        <v>47</v>
      </c>
      <c r="W10" s="5" t="s">
        <v>445</v>
      </c>
      <c r="X10" s="5" t="s">
        <v>445</v>
      </c>
    </row>
    <row r="11" ht="15.75" customHeight="1">
      <c r="A11" s="4">
        <v>4.0</v>
      </c>
      <c r="B11" s="5" t="s">
        <v>43</v>
      </c>
      <c r="C11" s="5" t="s">
        <v>446</v>
      </c>
      <c r="D11" s="5" t="s">
        <v>447</v>
      </c>
      <c r="E11" s="5" t="s">
        <v>65</v>
      </c>
      <c r="F11" s="5" t="s">
        <v>65</v>
      </c>
      <c r="G11" s="5" t="s">
        <v>65</v>
      </c>
      <c r="H11" s="5" t="s">
        <v>65</v>
      </c>
      <c r="I11" s="5" t="s">
        <v>232</v>
      </c>
      <c r="J11" s="5" t="s">
        <v>65</v>
      </c>
      <c r="K11" s="5" t="s">
        <v>448</v>
      </c>
      <c r="L11" s="5" t="s">
        <v>232</v>
      </c>
      <c r="M11" s="5" t="s">
        <v>65</v>
      </c>
      <c r="N11" s="5" t="s">
        <v>65</v>
      </c>
      <c r="O11" s="5" t="s">
        <v>65</v>
      </c>
      <c r="P11" s="5" t="s">
        <v>232</v>
      </c>
      <c r="Q11" s="5" t="s">
        <v>65</v>
      </c>
      <c r="R11" s="5" t="s">
        <v>65</v>
      </c>
      <c r="S11" s="5" t="s">
        <v>65</v>
      </c>
      <c r="T11" s="5" t="s">
        <v>65</v>
      </c>
      <c r="U11" s="5" t="s">
        <v>65</v>
      </c>
      <c r="V11" s="5" t="s">
        <v>65</v>
      </c>
      <c r="W11" s="5" t="s">
        <v>232</v>
      </c>
      <c r="X11" s="5" t="s">
        <v>232</v>
      </c>
    </row>
    <row r="12" ht="15.75" customHeight="1">
      <c r="A12" s="4">
        <v>4.0</v>
      </c>
      <c r="B12" s="5" t="s">
        <v>62</v>
      </c>
      <c r="C12" s="5" t="s">
        <v>449</v>
      </c>
      <c r="D12" s="5" t="s">
        <v>450</v>
      </c>
      <c r="E12" s="5" t="s">
        <v>65</v>
      </c>
      <c r="F12" s="5" t="s">
        <v>65</v>
      </c>
      <c r="G12" s="5" t="s">
        <v>65</v>
      </c>
      <c r="H12" s="5" t="s">
        <v>65</v>
      </c>
      <c r="I12" s="5" t="s">
        <v>65</v>
      </c>
      <c r="J12" s="5" t="s">
        <v>65</v>
      </c>
      <c r="K12" s="5" t="s">
        <v>66</v>
      </c>
      <c r="L12" s="5" t="s">
        <v>65</v>
      </c>
      <c r="M12" s="5" t="s">
        <v>65</v>
      </c>
      <c r="N12" s="5" t="s">
        <v>65</v>
      </c>
      <c r="O12" s="5" t="s">
        <v>65</v>
      </c>
      <c r="P12" s="5" t="s">
        <v>65</v>
      </c>
      <c r="Q12" s="5" t="s">
        <v>65</v>
      </c>
      <c r="R12" s="5" t="s">
        <v>65</v>
      </c>
      <c r="S12" s="5" t="s">
        <v>65</v>
      </c>
      <c r="T12" s="5" t="s">
        <v>65</v>
      </c>
      <c r="U12" s="5" t="s">
        <v>65</v>
      </c>
      <c r="V12" s="5" t="s">
        <v>65</v>
      </c>
      <c r="W12" s="5" t="s">
        <v>451</v>
      </c>
      <c r="X12" s="5" t="s">
        <v>451</v>
      </c>
    </row>
    <row r="13" ht="15.75" customHeight="1">
      <c r="A13" s="4">
        <v>4.0</v>
      </c>
      <c r="B13" s="5" t="s">
        <v>67</v>
      </c>
      <c r="C13" s="5" t="s">
        <v>452</v>
      </c>
      <c r="D13" s="5" t="s">
        <v>453</v>
      </c>
      <c r="E13" s="5" t="s">
        <v>131</v>
      </c>
      <c r="F13" s="5" t="s">
        <v>70</v>
      </c>
      <c r="G13" s="5" t="s">
        <v>454</v>
      </c>
      <c r="H13" s="5" t="s">
        <v>70</v>
      </c>
      <c r="I13" s="5" t="s">
        <v>70</v>
      </c>
      <c r="J13" s="5" t="s">
        <v>70</v>
      </c>
      <c r="K13" s="5" t="s">
        <v>71</v>
      </c>
      <c r="L13" s="5" t="s">
        <v>70</v>
      </c>
      <c r="M13" s="5" t="s">
        <v>131</v>
      </c>
      <c r="N13" s="5" t="s">
        <v>70</v>
      </c>
      <c r="O13" s="5" t="s">
        <v>70</v>
      </c>
      <c r="P13" s="5" t="s">
        <v>131</v>
      </c>
      <c r="Q13" s="5" t="s">
        <v>70</v>
      </c>
      <c r="R13" s="5" t="s">
        <v>70</v>
      </c>
      <c r="S13" s="5" t="s">
        <v>131</v>
      </c>
      <c r="T13" s="5" t="s">
        <v>455</v>
      </c>
      <c r="U13" s="5" t="s">
        <v>70</v>
      </c>
      <c r="V13" s="5" t="s">
        <v>70</v>
      </c>
      <c r="W13" s="5" t="s">
        <v>456</v>
      </c>
      <c r="X13" s="5" t="s">
        <v>70</v>
      </c>
    </row>
    <row r="14" ht="15.75" customHeight="1">
      <c r="A14" s="4">
        <v>4.0</v>
      </c>
      <c r="B14" s="5" t="s">
        <v>72</v>
      </c>
      <c r="C14" s="5" t="s">
        <v>457</v>
      </c>
      <c r="D14" s="5" t="s">
        <v>458</v>
      </c>
      <c r="E14" s="5" t="s">
        <v>76</v>
      </c>
      <c r="F14" s="5" t="s">
        <v>77</v>
      </c>
      <c r="G14" s="5" t="s">
        <v>76</v>
      </c>
      <c r="H14" s="5" t="s">
        <v>76</v>
      </c>
      <c r="I14" s="5" t="s">
        <v>77</v>
      </c>
      <c r="J14" s="5" t="s">
        <v>77</v>
      </c>
      <c r="K14" s="5" t="s">
        <v>76</v>
      </c>
      <c r="L14" s="5" t="s">
        <v>459</v>
      </c>
      <c r="M14" s="5" t="s">
        <v>76</v>
      </c>
      <c r="N14" s="5" t="s">
        <v>75</v>
      </c>
      <c r="O14" s="5" t="s">
        <v>76</v>
      </c>
      <c r="P14" s="5" t="s">
        <v>460</v>
      </c>
      <c r="Q14" s="5" t="s">
        <v>76</v>
      </c>
      <c r="R14" s="5" t="s">
        <v>76</v>
      </c>
      <c r="S14" s="5" t="s">
        <v>76</v>
      </c>
      <c r="T14" s="5" t="s">
        <v>76</v>
      </c>
      <c r="U14" s="5" t="s">
        <v>75</v>
      </c>
      <c r="V14" s="5" t="s">
        <v>75</v>
      </c>
      <c r="W14" s="5" t="s">
        <v>75</v>
      </c>
      <c r="X14" s="5" t="s">
        <v>75</v>
      </c>
    </row>
    <row r="15" ht="15.75" customHeight="1">
      <c r="A15" s="4">
        <v>4.0</v>
      </c>
      <c r="B15" s="5" t="s">
        <v>78</v>
      </c>
      <c r="C15" s="5" t="s">
        <v>461</v>
      </c>
      <c r="D15" s="5" t="s">
        <v>462</v>
      </c>
      <c r="E15" s="5" t="s">
        <v>243</v>
      </c>
      <c r="F15" s="5" t="s">
        <v>463</v>
      </c>
      <c r="G15" s="5" t="s">
        <v>464</v>
      </c>
      <c r="H15" s="5" t="s">
        <v>465</v>
      </c>
      <c r="I15" s="5" t="s">
        <v>466</v>
      </c>
      <c r="J15" s="5" t="s">
        <v>83</v>
      </c>
      <c r="K15" s="5" t="s">
        <v>81</v>
      </c>
      <c r="L15" s="5" t="s">
        <v>467</v>
      </c>
      <c r="M15" s="5" t="s">
        <v>464</v>
      </c>
      <c r="N15" s="5" t="s">
        <v>468</v>
      </c>
      <c r="O15" s="5" t="s">
        <v>464</v>
      </c>
      <c r="P15" s="5" t="s">
        <v>82</v>
      </c>
      <c r="Q15" s="5" t="s">
        <v>469</v>
      </c>
      <c r="R15" s="5" t="s">
        <v>246</v>
      </c>
      <c r="S15" s="5" t="s">
        <v>470</v>
      </c>
      <c r="T15" s="5" t="s">
        <v>81</v>
      </c>
      <c r="U15" s="5" t="s">
        <v>82</v>
      </c>
      <c r="V15" s="5" t="s">
        <v>471</v>
      </c>
      <c r="W15" s="5" t="s">
        <v>472</v>
      </c>
      <c r="X15" s="5" t="s">
        <v>473</v>
      </c>
    </row>
    <row r="16" ht="15.75" customHeight="1">
      <c r="A16" s="4">
        <v>4.0</v>
      </c>
      <c r="B16" s="5" t="s">
        <v>101</v>
      </c>
      <c r="C16" s="5" t="s">
        <v>474</v>
      </c>
      <c r="D16" s="5" t="s">
        <v>475</v>
      </c>
      <c r="E16" s="5" t="s">
        <v>251</v>
      </c>
      <c r="F16" s="5" t="s">
        <v>256</v>
      </c>
      <c r="G16" s="5" t="s">
        <v>476</v>
      </c>
      <c r="H16" s="5" t="s">
        <v>252</v>
      </c>
      <c r="I16" s="5" t="s">
        <v>477</v>
      </c>
      <c r="J16" s="5" t="s">
        <v>109</v>
      </c>
      <c r="K16" s="5" t="s">
        <v>478</v>
      </c>
      <c r="L16" s="5" t="s">
        <v>479</v>
      </c>
      <c r="M16" s="5" t="s">
        <v>394</v>
      </c>
      <c r="N16" s="5" t="s">
        <v>480</v>
      </c>
      <c r="O16" s="5" t="s">
        <v>394</v>
      </c>
      <c r="P16" s="5" t="s">
        <v>481</v>
      </c>
      <c r="Q16" s="5" t="s">
        <v>482</v>
      </c>
      <c r="R16" s="5" t="s">
        <v>252</v>
      </c>
      <c r="S16" s="5" t="s">
        <v>403</v>
      </c>
      <c r="T16" s="5" t="s">
        <v>252</v>
      </c>
      <c r="U16" s="5" t="s">
        <v>252</v>
      </c>
      <c r="V16" s="5" t="s">
        <v>252</v>
      </c>
      <c r="W16" s="5" t="s">
        <v>483</v>
      </c>
      <c r="X16" s="5" t="s">
        <v>252</v>
      </c>
    </row>
    <row r="17" ht="15.75" customHeight="1">
      <c r="A17" s="4">
        <v>4.0</v>
      </c>
      <c r="B17" s="5" t="s">
        <v>112</v>
      </c>
      <c r="C17" s="5" t="s">
        <v>484</v>
      </c>
      <c r="D17" s="6" t="s">
        <v>485</v>
      </c>
      <c r="E17" s="5" t="s">
        <v>261</v>
      </c>
      <c r="F17" s="5" t="s">
        <v>115</v>
      </c>
      <c r="G17" s="5" t="s">
        <v>261</v>
      </c>
      <c r="H17" s="5" t="s">
        <v>115</v>
      </c>
      <c r="I17" s="5" t="s">
        <v>115</v>
      </c>
      <c r="J17" s="5" t="s">
        <v>486</v>
      </c>
      <c r="K17" s="5" t="s">
        <v>115</v>
      </c>
      <c r="L17" s="5" t="s">
        <v>115</v>
      </c>
      <c r="M17" s="5" t="s">
        <v>115</v>
      </c>
      <c r="N17" s="5" t="s">
        <v>115</v>
      </c>
      <c r="O17" s="5" t="s">
        <v>115</v>
      </c>
      <c r="P17" s="5" t="s">
        <v>115</v>
      </c>
      <c r="Q17" s="5" t="s">
        <v>115</v>
      </c>
      <c r="R17" s="5" t="s">
        <v>115</v>
      </c>
      <c r="S17" s="5" t="s">
        <v>115</v>
      </c>
      <c r="T17" s="5" t="s">
        <v>115</v>
      </c>
      <c r="U17" s="5" t="s">
        <v>115</v>
      </c>
      <c r="V17" s="5" t="s">
        <v>115</v>
      </c>
      <c r="W17" s="5" t="s">
        <v>115</v>
      </c>
      <c r="X17" s="5" t="s">
        <v>115</v>
      </c>
    </row>
    <row r="18" ht="15.75" customHeight="1">
      <c r="A18" s="4">
        <v>4.0</v>
      </c>
      <c r="B18" s="5" t="s">
        <v>172</v>
      </c>
      <c r="C18" s="5" t="s">
        <v>487</v>
      </c>
      <c r="D18" s="5" t="s">
        <v>488</v>
      </c>
      <c r="E18" s="5" t="s">
        <v>264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176</v>
      </c>
      <c r="L18" s="5" t="s">
        <v>489</v>
      </c>
      <c r="M18" s="5" t="s">
        <v>490</v>
      </c>
      <c r="N18" s="5" t="s">
        <v>490</v>
      </c>
      <c r="O18" s="5" t="s">
        <v>490</v>
      </c>
      <c r="P18" s="5" t="s">
        <v>491</v>
      </c>
      <c r="Q18" s="5" t="s">
        <v>175</v>
      </c>
      <c r="R18" s="5" t="s">
        <v>175</v>
      </c>
      <c r="S18" s="5" t="s">
        <v>492</v>
      </c>
      <c r="T18" s="5" t="s">
        <v>492</v>
      </c>
      <c r="U18" s="5" t="s">
        <v>47</v>
      </c>
      <c r="V18" s="5" t="s">
        <v>47</v>
      </c>
      <c r="W18" s="5" t="s">
        <v>47</v>
      </c>
      <c r="X18" s="5" t="s">
        <v>47</v>
      </c>
    </row>
    <row r="19" ht="15.75" customHeight="1">
      <c r="A19" s="4">
        <v>4.0</v>
      </c>
      <c r="B19" s="5" t="s">
        <v>267</v>
      </c>
      <c r="C19" s="5" t="s">
        <v>493</v>
      </c>
      <c r="D19" s="5" t="s">
        <v>494</v>
      </c>
      <c r="E19" s="5" t="s">
        <v>272</v>
      </c>
      <c r="F19" s="5" t="s">
        <v>495</v>
      </c>
      <c r="G19" s="5" t="s">
        <v>272</v>
      </c>
      <c r="H19" s="5" t="s">
        <v>272</v>
      </c>
      <c r="I19" s="5" t="s">
        <v>238</v>
      </c>
      <c r="J19" s="5" t="s">
        <v>238</v>
      </c>
      <c r="K19" s="5" t="s">
        <v>272</v>
      </c>
      <c r="L19" s="5" t="s">
        <v>496</v>
      </c>
      <c r="M19" s="5" t="s">
        <v>271</v>
      </c>
      <c r="N19" s="5" t="s">
        <v>238</v>
      </c>
      <c r="O19" s="5" t="s">
        <v>271</v>
      </c>
      <c r="P19" s="5" t="s">
        <v>497</v>
      </c>
      <c r="Q19" s="5" t="s">
        <v>272</v>
      </c>
      <c r="R19" s="5" t="s">
        <v>272</v>
      </c>
      <c r="S19" s="5" t="s">
        <v>272</v>
      </c>
      <c r="T19" s="5" t="s">
        <v>272</v>
      </c>
      <c r="U19" s="5" t="s">
        <v>495</v>
      </c>
      <c r="V19" s="5" t="s">
        <v>238</v>
      </c>
      <c r="W19" s="5" t="s">
        <v>238</v>
      </c>
      <c r="X19" s="5" t="s">
        <v>498</v>
      </c>
    </row>
    <row r="20" ht="15.75" customHeight="1">
      <c r="A20" s="4">
        <v>4.0</v>
      </c>
      <c r="B20" s="5" t="s">
        <v>274</v>
      </c>
      <c r="C20" s="5" t="s">
        <v>499</v>
      </c>
      <c r="D20" s="5" t="s">
        <v>500</v>
      </c>
      <c r="E20" s="5" t="s">
        <v>277</v>
      </c>
      <c r="F20" s="5" t="s">
        <v>278</v>
      </c>
      <c r="G20" s="5" t="s">
        <v>501</v>
      </c>
      <c r="H20" s="5" t="s">
        <v>278</v>
      </c>
      <c r="I20" s="5" t="s">
        <v>502</v>
      </c>
      <c r="J20" s="5" t="s">
        <v>319</v>
      </c>
      <c r="K20" s="5" t="s">
        <v>503</v>
      </c>
      <c r="L20" s="5" t="s">
        <v>293</v>
      </c>
      <c r="M20" s="5" t="s">
        <v>358</v>
      </c>
      <c r="N20" s="5" t="s">
        <v>504</v>
      </c>
      <c r="O20" s="5" t="s">
        <v>358</v>
      </c>
      <c r="P20" s="5" t="s">
        <v>505</v>
      </c>
      <c r="Q20" s="5" t="s">
        <v>506</v>
      </c>
      <c r="R20" s="5" t="s">
        <v>278</v>
      </c>
      <c r="S20" s="5" t="s">
        <v>403</v>
      </c>
      <c r="T20" s="5" t="s">
        <v>278</v>
      </c>
      <c r="U20" s="5" t="s">
        <v>278</v>
      </c>
      <c r="V20" s="5" t="s">
        <v>278</v>
      </c>
      <c r="W20" s="5" t="s">
        <v>278</v>
      </c>
      <c r="X20" s="5" t="s">
        <v>278</v>
      </c>
    </row>
    <row r="21" ht="15.75" customHeight="1">
      <c r="A21" s="4">
        <v>4.0</v>
      </c>
      <c r="B21" s="5" t="s">
        <v>507</v>
      </c>
      <c r="C21" s="5" t="s">
        <v>508</v>
      </c>
      <c r="D21" s="5" t="s">
        <v>509</v>
      </c>
      <c r="E21" s="5" t="s">
        <v>510</v>
      </c>
      <c r="F21" s="5" t="s">
        <v>238</v>
      </c>
      <c r="G21" s="5" t="s">
        <v>510</v>
      </c>
      <c r="H21" s="5" t="s">
        <v>510</v>
      </c>
      <c r="I21" s="5" t="s">
        <v>238</v>
      </c>
      <c r="J21" s="5" t="s">
        <v>238</v>
      </c>
      <c r="K21" s="5" t="s">
        <v>272</v>
      </c>
      <c r="L21" s="5" t="s">
        <v>496</v>
      </c>
      <c r="M21" s="5" t="s">
        <v>271</v>
      </c>
      <c r="N21" s="5" t="s">
        <v>238</v>
      </c>
      <c r="O21" s="5" t="s">
        <v>271</v>
      </c>
      <c r="P21" s="5" t="s">
        <v>497</v>
      </c>
      <c r="Q21" s="5" t="s">
        <v>272</v>
      </c>
      <c r="R21" s="5" t="s">
        <v>272</v>
      </c>
      <c r="S21" s="5" t="s">
        <v>305</v>
      </c>
      <c r="T21" s="5" t="s">
        <v>272</v>
      </c>
      <c r="U21" s="5" t="s">
        <v>238</v>
      </c>
      <c r="V21" s="5" t="s">
        <v>238</v>
      </c>
      <c r="W21" s="5" t="s">
        <v>511</v>
      </c>
      <c r="X21" s="5" t="s">
        <v>498</v>
      </c>
    </row>
    <row r="22" ht="15.75" customHeight="1">
      <c r="A22" s="4">
        <v>4.0</v>
      </c>
      <c r="B22" s="5" t="s">
        <v>298</v>
      </c>
      <c r="C22" s="5" t="s">
        <v>512</v>
      </c>
      <c r="D22" s="5" t="s">
        <v>513</v>
      </c>
      <c r="E22" s="5" t="s">
        <v>301</v>
      </c>
      <c r="F22" s="5" t="s">
        <v>514</v>
      </c>
      <c r="G22" s="5" t="s">
        <v>301</v>
      </c>
      <c r="H22" s="5" t="s">
        <v>301</v>
      </c>
      <c r="I22" s="5" t="s">
        <v>240</v>
      </c>
      <c r="J22" s="5" t="s">
        <v>240</v>
      </c>
      <c r="K22" s="5" t="s">
        <v>272</v>
      </c>
      <c r="L22" s="5" t="s">
        <v>515</v>
      </c>
      <c r="M22" s="5" t="s">
        <v>305</v>
      </c>
      <c r="N22" s="5" t="s">
        <v>240</v>
      </c>
      <c r="O22" s="5" t="s">
        <v>305</v>
      </c>
      <c r="P22" s="5" t="s">
        <v>516</v>
      </c>
      <c r="Q22" s="5" t="s">
        <v>303</v>
      </c>
      <c r="R22" s="5" t="s">
        <v>301</v>
      </c>
      <c r="S22" s="5" t="s">
        <v>305</v>
      </c>
      <c r="T22" s="5" t="s">
        <v>301</v>
      </c>
      <c r="U22" s="5" t="s">
        <v>240</v>
      </c>
      <c r="V22" s="5" t="s">
        <v>238</v>
      </c>
      <c r="W22" s="5" t="s">
        <v>240</v>
      </c>
      <c r="X22" s="5" t="s">
        <v>517</v>
      </c>
    </row>
    <row r="23" ht="15.75" customHeight="1">
      <c r="A23" s="4">
        <v>4.0</v>
      </c>
      <c r="B23" s="5" t="s">
        <v>306</v>
      </c>
      <c r="C23" s="5" t="s">
        <v>230</v>
      </c>
      <c r="D23" s="5" t="s">
        <v>518</v>
      </c>
      <c r="E23" s="5" t="s">
        <v>303</v>
      </c>
      <c r="F23" s="5" t="s">
        <v>514</v>
      </c>
      <c r="G23" s="5" t="s">
        <v>303</v>
      </c>
      <c r="H23" s="5" t="s">
        <v>303</v>
      </c>
      <c r="I23" s="5" t="s">
        <v>240</v>
      </c>
      <c r="J23" s="5" t="s">
        <v>240</v>
      </c>
      <c r="K23" s="5" t="s">
        <v>519</v>
      </c>
      <c r="L23" s="5" t="s">
        <v>520</v>
      </c>
      <c r="M23" s="5" t="s">
        <v>305</v>
      </c>
      <c r="N23" s="5" t="s">
        <v>240</v>
      </c>
      <c r="O23" s="5" t="s">
        <v>305</v>
      </c>
      <c r="P23" s="5" t="s">
        <v>516</v>
      </c>
      <c r="Q23" s="5" t="s">
        <v>303</v>
      </c>
      <c r="R23" s="5" t="s">
        <v>301</v>
      </c>
      <c r="S23" s="5" t="s">
        <v>305</v>
      </c>
      <c r="T23" s="5" t="s">
        <v>301</v>
      </c>
      <c r="U23" s="5" t="s">
        <v>240</v>
      </c>
      <c r="V23" s="5" t="s">
        <v>238</v>
      </c>
      <c r="W23" s="5" t="s">
        <v>240</v>
      </c>
      <c r="X23" s="5" t="s">
        <v>517</v>
      </c>
    </row>
    <row r="24" ht="15.75" customHeight="1">
      <c r="A24" s="4">
        <v>4.0</v>
      </c>
      <c r="B24" s="5" t="s">
        <v>309</v>
      </c>
      <c r="C24" s="5" t="s">
        <v>521</v>
      </c>
      <c r="D24" s="5" t="s">
        <v>522</v>
      </c>
      <c r="E24" s="5" t="s">
        <v>337</v>
      </c>
      <c r="F24" s="5" t="s">
        <v>495</v>
      </c>
      <c r="G24" s="5" t="s">
        <v>337</v>
      </c>
      <c r="H24" s="5" t="s">
        <v>272</v>
      </c>
      <c r="I24" s="5" t="s">
        <v>238</v>
      </c>
      <c r="J24" s="5" t="s">
        <v>238</v>
      </c>
      <c r="K24" s="5" t="s">
        <v>272</v>
      </c>
      <c r="L24" s="5" t="s">
        <v>515</v>
      </c>
      <c r="M24" s="5" t="s">
        <v>271</v>
      </c>
      <c r="N24" s="5" t="s">
        <v>238</v>
      </c>
      <c r="O24" s="5" t="s">
        <v>271</v>
      </c>
      <c r="P24" s="5" t="s">
        <v>497</v>
      </c>
      <c r="Q24" s="5" t="s">
        <v>272</v>
      </c>
      <c r="R24" s="5" t="s">
        <v>272</v>
      </c>
      <c r="S24" s="5" t="s">
        <v>271</v>
      </c>
      <c r="T24" s="5" t="s">
        <v>272</v>
      </c>
      <c r="U24" s="5" t="s">
        <v>238</v>
      </c>
      <c r="V24" s="5" t="s">
        <v>523</v>
      </c>
      <c r="W24" s="5" t="s">
        <v>238</v>
      </c>
      <c r="X24" s="5" t="s">
        <v>498</v>
      </c>
    </row>
    <row r="25" ht="15.75" customHeight="1">
      <c r="A25" s="4">
        <v>4.0</v>
      </c>
      <c r="B25" s="5" t="s">
        <v>314</v>
      </c>
      <c r="C25" s="5" t="s">
        <v>524</v>
      </c>
      <c r="D25" s="5" t="s">
        <v>525</v>
      </c>
      <c r="E25" s="5" t="s">
        <v>501</v>
      </c>
      <c r="F25" s="5" t="s">
        <v>526</v>
      </c>
      <c r="G25" s="5" t="s">
        <v>501</v>
      </c>
      <c r="H25" s="5" t="s">
        <v>278</v>
      </c>
      <c r="I25" s="5" t="s">
        <v>527</v>
      </c>
      <c r="J25" s="5" t="s">
        <v>319</v>
      </c>
      <c r="K25" s="5" t="s">
        <v>503</v>
      </c>
      <c r="L25" s="5" t="s">
        <v>293</v>
      </c>
      <c r="M25" s="5" t="s">
        <v>271</v>
      </c>
      <c r="N25" s="5" t="s">
        <v>504</v>
      </c>
      <c r="O25" s="5" t="s">
        <v>271</v>
      </c>
      <c r="P25" s="5" t="s">
        <v>528</v>
      </c>
      <c r="Q25" s="5" t="s">
        <v>506</v>
      </c>
      <c r="R25" s="5" t="s">
        <v>278</v>
      </c>
      <c r="S25" s="5" t="s">
        <v>403</v>
      </c>
      <c r="T25" s="5" t="s">
        <v>278</v>
      </c>
      <c r="U25" s="5" t="s">
        <v>278</v>
      </c>
      <c r="V25" s="5" t="s">
        <v>278</v>
      </c>
      <c r="W25" s="5" t="s">
        <v>278</v>
      </c>
      <c r="X25" s="5" t="s">
        <v>278</v>
      </c>
    </row>
    <row r="26" ht="15.75" customHeight="1">
      <c r="A26" s="4">
        <v>4.0</v>
      </c>
      <c r="B26" s="5" t="s">
        <v>529</v>
      </c>
      <c r="C26" s="5" t="s">
        <v>530</v>
      </c>
      <c r="D26" s="5" t="s">
        <v>531</v>
      </c>
      <c r="E26" s="5" t="s">
        <v>532</v>
      </c>
      <c r="F26" s="5" t="s">
        <v>532</v>
      </c>
      <c r="G26" s="5" t="s">
        <v>532</v>
      </c>
      <c r="I26" s="5" t="s">
        <v>532</v>
      </c>
      <c r="J26" s="5" t="s">
        <v>532</v>
      </c>
      <c r="K26" s="5" t="s">
        <v>532</v>
      </c>
      <c r="L26" s="5" t="s">
        <v>532</v>
      </c>
      <c r="M26" s="5" t="s">
        <v>532</v>
      </c>
      <c r="N26" s="5" t="s">
        <v>532</v>
      </c>
      <c r="O26" s="5" t="s">
        <v>532</v>
      </c>
      <c r="P26" s="5" t="s">
        <v>532</v>
      </c>
      <c r="Q26" s="5" t="s">
        <v>532</v>
      </c>
      <c r="R26" s="5" t="s">
        <v>532</v>
      </c>
      <c r="S26" s="5" t="s">
        <v>532</v>
      </c>
      <c r="T26" s="5" t="s">
        <v>532</v>
      </c>
      <c r="U26" s="5" t="s">
        <v>532</v>
      </c>
      <c r="V26" s="5" t="s">
        <v>532</v>
      </c>
      <c r="W26" s="5" t="s">
        <v>532</v>
      </c>
      <c r="X26" s="5" t="s">
        <v>532</v>
      </c>
    </row>
    <row r="27" ht="15.75" customHeight="1">
      <c r="A27" s="4">
        <v>4.0</v>
      </c>
      <c r="B27" s="5" t="s">
        <v>533</v>
      </c>
      <c r="C27" s="5" t="s">
        <v>534</v>
      </c>
      <c r="D27" s="5" t="s">
        <v>535</v>
      </c>
      <c r="E27" s="5" t="s">
        <v>536</v>
      </c>
      <c r="F27" s="5" t="s">
        <v>514</v>
      </c>
      <c r="G27" s="5" t="s">
        <v>536</v>
      </c>
      <c r="H27" s="5" t="s">
        <v>536</v>
      </c>
      <c r="I27" s="5" t="s">
        <v>240</v>
      </c>
      <c r="J27" s="5" t="s">
        <v>240</v>
      </c>
      <c r="K27" s="5" t="s">
        <v>301</v>
      </c>
      <c r="L27" s="5" t="s">
        <v>515</v>
      </c>
      <c r="M27" s="5" t="s">
        <v>537</v>
      </c>
      <c r="N27" s="5" t="s">
        <v>240</v>
      </c>
      <c r="O27" s="5" t="s">
        <v>537</v>
      </c>
      <c r="P27" s="5" t="s">
        <v>538</v>
      </c>
      <c r="Q27" s="5" t="s">
        <v>303</v>
      </c>
      <c r="R27" s="5" t="s">
        <v>301</v>
      </c>
      <c r="S27" s="5" t="s">
        <v>303</v>
      </c>
      <c r="T27" s="5" t="s">
        <v>303</v>
      </c>
      <c r="U27" s="5" t="s">
        <v>240</v>
      </c>
      <c r="V27" s="5" t="s">
        <v>539</v>
      </c>
      <c r="W27" s="5" t="s">
        <v>240</v>
      </c>
      <c r="X27" s="5" t="s">
        <v>540</v>
      </c>
    </row>
    <row r="28" ht="15.75" customHeight="1">
      <c r="A28" s="4">
        <v>4.0</v>
      </c>
      <c r="B28" s="5" t="s">
        <v>122</v>
      </c>
      <c r="C28" s="5" t="s">
        <v>541</v>
      </c>
      <c r="D28" s="5" t="s">
        <v>542</v>
      </c>
      <c r="E28" s="5" t="s">
        <v>543</v>
      </c>
      <c r="F28" s="5" t="s">
        <v>544</v>
      </c>
      <c r="G28" s="5" t="s">
        <v>545</v>
      </c>
      <c r="H28" s="5" t="s">
        <v>323</v>
      </c>
      <c r="I28" s="5" t="s">
        <v>546</v>
      </c>
      <c r="J28" s="5" t="s">
        <v>547</v>
      </c>
      <c r="K28" s="5" t="s">
        <v>129</v>
      </c>
      <c r="L28" s="5" t="s">
        <v>548</v>
      </c>
      <c r="M28" s="5" t="s">
        <v>549</v>
      </c>
      <c r="N28" s="5" t="s">
        <v>550</v>
      </c>
      <c r="O28" s="5" t="s">
        <v>551</v>
      </c>
      <c r="P28" s="5" t="s">
        <v>328</v>
      </c>
      <c r="Q28" s="5" t="s">
        <v>329</v>
      </c>
      <c r="R28" s="5" t="s">
        <v>552</v>
      </c>
      <c r="S28" s="5" t="s">
        <v>553</v>
      </c>
      <c r="T28" s="5" t="s">
        <v>554</v>
      </c>
      <c r="U28" s="5" t="s">
        <v>555</v>
      </c>
      <c r="V28" s="5" t="s">
        <v>556</v>
      </c>
      <c r="W28" s="5" t="s">
        <v>557</v>
      </c>
      <c r="X28" s="5" t="s">
        <v>558</v>
      </c>
    </row>
    <row r="29" ht="15.75" customHeight="1">
      <c r="A29" s="4">
        <v>4.0</v>
      </c>
      <c r="B29" s="5" t="s">
        <v>139</v>
      </c>
      <c r="C29" s="5" t="s">
        <v>559</v>
      </c>
      <c r="D29" s="5" t="s">
        <v>560</v>
      </c>
      <c r="E29" s="5" t="s">
        <v>143</v>
      </c>
      <c r="F29" s="5" t="s">
        <v>256</v>
      </c>
      <c r="G29" s="5" t="s">
        <v>143</v>
      </c>
      <c r="H29" s="5" t="s">
        <v>143</v>
      </c>
      <c r="I29" s="5" t="s">
        <v>142</v>
      </c>
      <c r="J29" s="5" t="s">
        <v>547</v>
      </c>
      <c r="K29" s="5" t="s">
        <v>143</v>
      </c>
      <c r="L29" s="5" t="s">
        <v>410</v>
      </c>
      <c r="M29" s="5" t="s">
        <v>561</v>
      </c>
      <c r="N29" s="5" t="s">
        <v>142</v>
      </c>
      <c r="O29" s="5" t="s">
        <v>561</v>
      </c>
      <c r="P29" s="5" t="s">
        <v>562</v>
      </c>
      <c r="Q29" s="5" t="s">
        <v>336</v>
      </c>
      <c r="R29" s="5" t="s">
        <v>143</v>
      </c>
      <c r="S29" s="5" t="s">
        <v>305</v>
      </c>
      <c r="T29" s="5" t="s">
        <v>336</v>
      </c>
      <c r="U29" s="5" t="s">
        <v>142</v>
      </c>
      <c r="V29" s="5" t="s">
        <v>142</v>
      </c>
      <c r="W29" s="5" t="s">
        <v>142</v>
      </c>
      <c r="X29" s="5" t="s">
        <v>563</v>
      </c>
    </row>
    <row r="30" ht="15.75" customHeight="1">
      <c r="A30" s="4">
        <v>4.0</v>
      </c>
      <c r="B30" s="5" t="s">
        <v>162</v>
      </c>
      <c r="C30" s="5" t="s">
        <v>564</v>
      </c>
      <c r="D30" s="5" t="s">
        <v>565</v>
      </c>
      <c r="E30" s="5" t="s">
        <v>501</v>
      </c>
      <c r="F30" s="5" t="s">
        <v>566</v>
      </c>
      <c r="G30" s="5" t="s">
        <v>501</v>
      </c>
      <c r="H30" s="5" t="s">
        <v>256</v>
      </c>
      <c r="I30" s="5" t="s">
        <v>567</v>
      </c>
      <c r="J30" s="5" t="s">
        <v>256</v>
      </c>
      <c r="K30" s="5" t="s">
        <v>568</v>
      </c>
      <c r="L30" s="5" t="s">
        <v>569</v>
      </c>
      <c r="M30" s="5" t="s">
        <v>570</v>
      </c>
      <c r="N30" s="5" t="s">
        <v>142</v>
      </c>
      <c r="O30" s="5" t="s">
        <v>570</v>
      </c>
      <c r="P30" s="5" t="s">
        <v>571</v>
      </c>
      <c r="Q30" s="5" t="s">
        <v>572</v>
      </c>
      <c r="R30" s="5" t="s">
        <v>256</v>
      </c>
      <c r="S30" s="5" t="s">
        <v>403</v>
      </c>
      <c r="T30" s="5" t="s">
        <v>256</v>
      </c>
      <c r="U30" s="5" t="s">
        <v>256</v>
      </c>
      <c r="V30" s="5" t="s">
        <v>256</v>
      </c>
      <c r="W30" s="5" t="s">
        <v>256</v>
      </c>
      <c r="X30" s="5" t="s">
        <v>256</v>
      </c>
    </row>
    <row r="31" ht="15.75" customHeight="1">
      <c r="A31" s="4">
        <v>4.0</v>
      </c>
      <c r="B31" s="5" t="s">
        <v>227</v>
      </c>
      <c r="C31" s="5" t="s">
        <v>573</v>
      </c>
      <c r="D31" s="5" t="s">
        <v>574</v>
      </c>
      <c r="E31" s="5">
        <v>2007.0</v>
      </c>
      <c r="F31" s="5">
        <v>2004.0</v>
      </c>
      <c r="G31" s="5">
        <v>2007.0</v>
      </c>
      <c r="H31" s="5" t="s">
        <v>575</v>
      </c>
      <c r="I31" s="5">
        <v>2004.0</v>
      </c>
      <c r="J31" s="5">
        <v>2007.0</v>
      </c>
      <c r="K31" s="5">
        <v>2007.0</v>
      </c>
      <c r="L31" s="5">
        <v>2005.0</v>
      </c>
      <c r="M31" s="5">
        <v>2008.0</v>
      </c>
      <c r="N31" s="5">
        <v>2004.0</v>
      </c>
      <c r="O31" s="5">
        <v>2007.0</v>
      </c>
      <c r="P31" s="5">
        <v>2004.0</v>
      </c>
      <c r="Q31" s="5">
        <v>2004.0</v>
      </c>
      <c r="R31" s="5">
        <v>2007.0</v>
      </c>
      <c r="S31" s="5">
        <v>2007.0</v>
      </c>
      <c r="T31" s="5">
        <v>2007.0</v>
      </c>
      <c r="U31" s="5">
        <v>2005.0</v>
      </c>
      <c r="V31" s="5">
        <v>2006.0</v>
      </c>
      <c r="W31" s="5">
        <v>2008.0</v>
      </c>
      <c r="X31" s="5">
        <v>2008.0</v>
      </c>
    </row>
    <row r="32" ht="15.75" customHeight="1">
      <c r="A32" s="4">
        <v>4.0</v>
      </c>
      <c r="B32" s="5" t="s">
        <v>362</v>
      </c>
      <c r="C32" s="5" t="s">
        <v>576</v>
      </c>
      <c r="D32" s="5" t="s">
        <v>577</v>
      </c>
      <c r="E32" s="5" t="s">
        <v>272</v>
      </c>
      <c r="F32" s="5" t="s">
        <v>350</v>
      </c>
      <c r="G32" s="5" t="s">
        <v>272</v>
      </c>
      <c r="H32" s="5" t="s">
        <v>272</v>
      </c>
      <c r="I32" s="5" t="s">
        <v>238</v>
      </c>
      <c r="J32" s="5" t="s">
        <v>238</v>
      </c>
      <c r="K32" s="5" t="s">
        <v>272</v>
      </c>
      <c r="L32" s="5" t="s">
        <v>496</v>
      </c>
      <c r="N32" s="5" t="s">
        <v>238</v>
      </c>
      <c r="O32" s="5" t="s">
        <v>578</v>
      </c>
      <c r="P32" s="5" t="s">
        <v>497</v>
      </c>
      <c r="Q32" s="5" t="s">
        <v>272</v>
      </c>
      <c r="R32" s="5" t="s">
        <v>272</v>
      </c>
      <c r="S32" s="5" t="s">
        <v>305</v>
      </c>
      <c r="T32" s="5" t="s">
        <v>579</v>
      </c>
      <c r="U32" s="5" t="s">
        <v>238</v>
      </c>
      <c r="V32" s="5" t="s">
        <v>238</v>
      </c>
      <c r="W32" s="5" t="s">
        <v>238</v>
      </c>
      <c r="X32" s="5" t="s">
        <v>498</v>
      </c>
    </row>
    <row r="33" ht="15.75" customHeight="1">
      <c r="A33" s="4">
        <v>4.0</v>
      </c>
      <c r="B33" s="5" t="s">
        <v>347</v>
      </c>
      <c r="C33" s="5" t="s">
        <v>580</v>
      </c>
      <c r="D33" s="5" t="s">
        <v>581</v>
      </c>
      <c r="E33" s="5" t="s">
        <v>337</v>
      </c>
      <c r="F33" s="5" t="s">
        <v>350</v>
      </c>
      <c r="G33" s="5" t="s">
        <v>337</v>
      </c>
      <c r="H33" s="5" t="s">
        <v>272</v>
      </c>
      <c r="I33" s="5" t="s">
        <v>238</v>
      </c>
      <c r="J33" s="5" t="s">
        <v>238</v>
      </c>
      <c r="K33" s="5" t="s">
        <v>272</v>
      </c>
      <c r="L33" s="5" t="s">
        <v>496</v>
      </c>
      <c r="M33" s="5" t="s">
        <v>578</v>
      </c>
      <c r="N33" s="5" t="s">
        <v>238</v>
      </c>
      <c r="O33" s="5" t="s">
        <v>578</v>
      </c>
      <c r="P33" s="5" t="s">
        <v>497</v>
      </c>
      <c r="Q33" s="5" t="s">
        <v>272</v>
      </c>
      <c r="R33" s="5" t="s">
        <v>272</v>
      </c>
      <c r="S33" s="5" t="s">
        <v>305</v>
      </c>
      <c r="T33" s="5" t="s">
        <v>303</v>
      </c>
      <c r="U33" s="5" t="s">
        <v>238</v>
      </c>
      <c r="V33" s="5" t="s">
        <v>238</v>
      </c>
      <c r="W33" s="5" t="s">
        <v>238</v>
      </c>
      <c r="X33" s="5" t="s">
        <v>498</v>
      </c>
    </row>
    <row r="34" ht="15.75" customHeight="1">
      <c r="A34" s="4">
        <v>4.0</v>
      </c>
      <c r="B34" s="5" t="s">
        <v>354</v>
      </c>
      <c r="C34" s="5" t="s">
        <v>582</v>
      </c>
      <c r="D34" s="5" t="s">
        <v>583</v>
      </c>
      <c r="E34" s="5" t="s">
        <v>501</v>
      </c>
      <c r="F34" s="5" t="s">
        <v>357</v>
      </c>
      <c r="G34" s="5" t="s">
        <v>501</v>
      </c>
      <c r="H34" s="5" t="s">
        <v>357</v>
      </c>
      <c r="I34" s="5" t="s">
        <v>584</v>
      </c>
      <c r="J34" s="5" t="s">
        <v>357</v>
      </c>
      <c r="K34" s="5" t="s">
        <v>585</v>
      </c>
      <c r="L34" s="5" t="s">
        <v>586</v>
      </c>
      <c r="M34" s="5" t="s">
        <v>537</v>
      </c>
      <c r="N34" s="5" t="s">
        <v>587</v>
      </c>
      <c r="O34" s="5" t="s">
        <v>537</v>
      </c>
      <c r="P34" s="5" t="s">
        <v>588</v>
      </c>
      <c r="Q34" s="5" t="s">
        <v>589</v>
      </c>
      <c r="R34" s="5" t="s">
        <v>357</v>
      </c>
      <c r="S34" s="5" t="s">
        <v>403</v>
      </c>
      <c r="T34" s="5" t="s">
        <v>357</v>
      </c>
      <c r="U34" s="5" t="s">
        <v>357</v>
      </c>
      <c r="V34" s="5" t="s">
        <v>357</v>
      </c>
      <c r="W34" s="5" t="s">
        <v>357</v>
      </c>
      <c r="X34" s="5" t="s">
        <v>357</v>
      </c>
    </row>
    <row r="35" ht="15.75" customHeight="1">
      <c r="A35" s="4">
        <v>4.0</v>
      </c>
      <c r="B35" s="5" t="s">
        <v>590</v>
      </c>
      <c r="C35" s="5" t="s">
        <v>591</v>
      </c>
      <c r="D35" s="5" t="s">
        <v>592</v>
      </c>
      <c r="E35" s="5" t="s">
        <v>65</v>
      </c>
      <c r="F35" s="5" t="s">
        <v>65</v>
      </c>
      <c r="G35" s="5" t="s">
        <v>65</v>
      </c>
      <c r="H35" s="5" t="s">
        <v>232</v>
      </c>
      <c r="I35" s="5" t="s">
        <v>232</v>
      </c>
      <c r="J35" s="5" t="s">
        <v>232</v>
      </c>
      <c r="K35" s="5" t="s">
        <v>66</v>
      </c>
      <c r="L35" s="5" t="s">
        <v>232</v>
      </c>
      <c r="M35" s="5" t="s">
        <v>232</v>
      </c>
      <c r="N35" s="5" t="s">
        <v>232</v>
      </c>
      <c r="O35" s="5" t="s">
        <v>232</v>
      </c>
      <c r="P35" s="5" t="s">
        <v>232</v>
      </c>
      <c r="Q35" s="5" t="s">
        <v>65</v>
      </c>
      <c r="R35" s="5" t="s">
        <v>232</v>
      </c>
      <c r="S35" s="5" t="s">
        <v>232</v>
      </c>
      <c r="T35" s="5" t="s">
        <v>232</v>
      </c>
      <c r="U35" s="5" t="s">
        <v>232</v>
      </c>
      <c r="V35" s="5" t="s">
        <v>232</v>
      </c>
      <c r="W35" s="5" t="s">
        <v>232</v>
      </c>
      <c r="X35" s="5" t="s">
        <v>232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5" max="5" width="42.25"/>
    <col customWidth="1" min="6" max="6" width="33.38"/>
  </cols>
  <sheetData>
    <row r="1">
      <c r="B1" s="8"/>
    </row>
    <row r="2">
      <c r="A2" s="7" t="s">
        <v>188</v>
      </c>
      <c r="B2" s="8" t="s">
        <v>593</v>
      </c>
      <c r="C2" s="7" t="s">
        <v>193</v>
      </c>
      <c r="D2" s="7" t="s">
        <v>389</v>
      </c>
      <c r="E2" s="7" t="s">
        <v>390</v>
      </c>
      <c r="F2" s="7" t="s">
        <v>384</v>
      </c>
    </row>
    <row r="3">
      <c r="A3" s="7" t="s">
        <v>4</v>
      </c>
      <c r="B3" s="8">
        <v>4.0</v>
      </c>
      <c r="C3" s="7" t="s">
        <v>193</v>
      </c>
      <c r="D3" s="7" t="s">
        <v>389</v>
      </c>
      <c r="E3" s="7" t="s">
        <v>390</v>
      </c>
      <c r="F3" s="7" t="s">
        <v>380</v>
      </c>
    </row>
    <row r="4">
      <c r="A4" s="7" t="s">
        <v>386</v>
      </c>
      <c r="B4" s="8">
        <v>4.0</v>
      </c>
      <c r="C4" s="7" t="s">
        <v>193</v>
      </c>
      <c r="D4" s="7" t="s">
        <v>389</v>
      </c>
      <c r="E4" s="7" t="s">
        <v>390</v>
      </c>
      <c r="F4" s="7" t="s">
        <v>384</v>
      </c>
    </row>
    <row r="5">
      <c r="A5" s="7" t="s">
        <v>387</v>
      </c>
      <c r="B5" s="8">
        <v>4.0</v>
      </c>
      <c r="C5" s="7" t="s">
        <v>193</v>
      </c>
      <c r="D5" s="7" t="s">
        <v>389</v>
      </c>
      <c r="E5" s="7" t="s">
        <v>390</v>
      </c>
      <c r="F5" s="7" t="s">
        <v>385</v>
      </c>
    </row>
    <row r="6">
      <c r="A6" s="7" t="s">
        <v>6</v>
      </c>
      <c r="B6" s="8">
        <v>4.0</v>
      </c>
      <c r="C6" s="7" t="s">
        <v>193</v>
      </c>
      <c r="D6" s="7" t="s">
        <v>389</v>
      </c>
      <c r="E6" s="7" t="s">
        <v>390</v>
      </c>
      <c r="F6" s="7" t="s">
        <v>380</v>
      </c>
    </row>
    <row r="7">
      <c r="A7" s="7" t="s">
        <v>7</v>
      </c>
      <c r="B7" s="8">
        <v>4.0</v>
      </c>
      <c r="C7" s="7" t="s">
        <v>193</v>
      </c>
      <c r="D7" s="7" t="s">
        <v>389</v>
      </c>
      <c r="E7" s="7" t="s">
        <v>390</v>
      </c>
      <c r="F7" s="7" t="s">
        <v>384</v>
      </c>
    </row>
    <row r="8">
      <c r="A8" s="7" t="s">
        <v>8</v>
      </c>
      <c r="B8" s="8">
        <v>4.0</v>
      </c>
      <c r="C8" s="7" t="s">
        <v>193</v>
      </c>
      <c r="D8" s="7" t="s">
        <v>389</v>
      </c>
      <c r="E8" s="7" t="s">
        <v>390</v>
      </c>
      <c r="F8" s="7" t="s">
        <v>384</v>
      </c>
    </row>
    <row r="9">
      <c r="A9" s="7" t="s">
        <v>388</v>
      </c>
      <c r="B9" s="8">
        <v>4.0</v>
      </c>
      <c r="C9" s="7" t="s">
        <v>193</v>
      </c>
      <c r="D9" s="7" t="s">
        <v>389</v>
      </c>
      <c r="E9" s="7" t="s">
        <v>390</v>
      </c>
      <c r="F9" s="7" t="s">
        <v>385</v>
      </c>
    </row>
    <row r="10">
      <c r="A10" s="7" t="s">
        <v>189</v>
      </c>
      <c r="B10" s="8">
        <v>4.0</v>
      </c>
      <c r="C10" s="7" t="s">
        <v>193</v>
      </c>
      <c r="D10" s="7" t="s">
        <v>389</v>
      </c>
      <c r="E10" s="7" t="s">
        <v>390</v>
      </c>
      <c r="F10" s="7" t="s">
        <v>594</v>
      </c>
    </row>
    <row r="11">
      <c r="A11" s="7" t="s">
        <v>9</v>
      </c>
      <c r="B11" s="8">
        <v>4.0</v>
      </c>
      <c r="C11" s="7" t="s">
        <v>193</v>
      </c>
      <c r="D11" s="7" t="s">
        <v>389</v>
      </c>
      <c r="E11" s="7" t="s">
        <v>390</v>
      </c>
      <c r="F11" s="7" t="s">
        <v>380</v>
      </c>
    </row>
    <row r="12">
      <c r="A12" s="7" t="s">
        <v>10</v>
      </c>
      <c r="B12" s="8">
        <v>4.0</v>
      </c>
      <c r="C12" s="7" t="s">
        <v>193</v>
      </c>
      <c r="D12" s="7" t="s">
        <v>389</v>
      </c>
      <c r="E12" s="7" t="s">
        <v>390</v>
      </c>
      <c r="F12" s="7" t="s">
        <v>384</v>
      </c>
    </row>
    <row r="13">
      <c r="A13" s="7" t="s">
        <v>11</v>
      </c>
      <c r="B13" s="8">
        <v>4.0</v>
      </c>
      <c r="C13" s="7" t="s">
        <v>193</v>
      </c>
      <c r="D13" s="7" t="s">
        <v>389</v>
      </c>
      <c r="E13" s="7" t="s">
        <v>390</v>
      </c>
      <c r="F13" s="7" t="s">
        <v>380</v>
      </c>
    </row>
    <row r="14">
      <c r="A14" s="7" t="s">
        <v>12</v>
      </c>
      <c r="B14" s="8">
        <v>4.0</v>
      </c>
      <c r="C14" s="7" t="s">
        <v>193</v>
      </c>
      <c r="D14" s="7" t="s">
        <v>389</v>
      </c>
      <c r="E14" s="7" t="s">
        <v>390</v>
      </c>
      <c r="F14" s="7" t="s">
        <v>380</v>
      </c>
    </row>
    <row r="15">
      <c r="A15" s="7" t="s">
        <v>13</v>
      </c>
      <c r="B15" s="8">
        <v>4.0</v>
      </c>
      <c r="C15" s="7" t="s">
        <v>193</v>
      </c>
      <c r="D15" s="7" t="s">
        <v>389</v>
      </c>
      <c r="E15" s="7" t="s">
        <v>390</v>
      </c>
      <c r="F15" s="7" t="s">
        <v>384</v>
      </c>
    </row>
    <row r="16">
      <c r="A16" s="7" t="s">
        <v>14</v>
      </c>
      <c r="B16" s="8">
        <v>4.0</v>
      </c>
      <c r="C16" s="7" t="s">
        <v>193</v>
      </c>
      <c r="D16" s="7" t="s">
        <v>389</v>
      </c>
      <c r="E16" s="7" t="s">
        <v>390</v>
      </c>
      <c r="F16" s="7" t="s">
        <v>384</v>
      </c>
    </row>
    <row r="17">
      <c r="A17" s="7" t="s">
        <v>15</v>
      </c>
      <c r="B17" s="8">
        <v>4.0</v>
      </c>
      <c r="C17" s="7" t="s">
        <v>193</v>
      </c>
      <c r="D17" s="7" t="s">
        <v>389</v>
      </c>
      <c r="E17" s="7" t="s">
        <v>390</v>
      </c>
      <c r="F17" s="7" t="s">
        <v>380</v>
      </c>
    </row>
    <row r="18">
      <c r="A18" s="7" t="s">
        <v>16</v>
      </c>
      <c r="B18" s="8">
        <v>4.0</v>
      </c>
      <c r="C18" s="7" t="s">
        <v>193</v>
      </c>
      <c r="D18" s="7" t="s">
        <v>389</v>
      </c>
      <c r="E18" s="7" t="s">
        <v>390</v>
      </c>
      <c r="F18" s="7" t="s">
        <v>385</v>
      </c>
    </row>
    <row r="19">
      <c r="A19" s="7" t="s">
        <v>17</v>
      </c>
      <c r="B19" s="8">
        <v>4.0</v>
      </c>
      <c r="C19" s="7" t="s">
        <v>193</v>
      </c>
      <c r="D19" s="7" t="s">
        <v>389</v>
      </c>
      <c r="E19" s="7" t="s">
        <v>390</v>
      </c>
      <c r="F19" s="7" t="s">
        <v>595</v>
      </c>
    </row>
    <row r="20">
      <c r="A20" s="7" t="s">
        <v>18</v>
      </c>
      <c r="B20" s="8">
        <v>4.0</v>
      </c>
      <c r="C20" s="7" t="s">
        <v>193</v>
      </c>
      <c r="D20" s="7" t="s">
        <v>389</v>
      </c>
      <c r="E20" s="7" t="s">
        <v>390</v>
      </c>
      <c r="F20" s="7" t="s">
        <v>594</v>
      </c>
    </row>
    <row r="21">
      <c r="A21" s="7" t="s">
        <v>19</v>
      </c>
      <c r="B21" s="8">
        <v>4.0</v>
      </c>
      <c r="C21" s="7" t="s">
        <v>193</v>
      </c>
      <c r="D21" s="7" t="s">
        <v>389</v>
      </c>
      <c r="E21" s="7" t="s">
        <v>390</v>
      </c>
      <c r="F21" s="7" t="s">
        <v>594</v>
      </c>
    </row>
    <row r="22">
      <c r="A22" s="7" t="s">
        <v>188</v>
      </c>
      <c r="B22" s="8">
        <v>4.0</v>
      </c>
      <c r="C22" s="7" t="s">
        <v>391</v>
      </c>
      <c r="D22" s="7" t="s">
        <v>392</v>
      </c>
      <c r="E22" s="7" t="s">
        <v>393</v>
      </c>
      <c r="F22" s="7" t="s">
        <v>394</v>
      </c>
    </row>
    <row r="23">
      <c r="A23" s="7" t="s">
        <v>4</v>
      </c>
      <c r="B23" s="8">
        <v>4.0</v>
      </c>
      <c r="C23" s="7" t="s">
        <v>391</v>
      </c>
      <c r="D23" s="7" t="s">
        <v>392</v>
      </c>
      <c r="E23" s="7" t="s">
        <v>393</v>
      </c>
      <c r="F23" s="7" t="s">
        <v>395</v>
      </c>
    </row>
    <row r="24">
      <c r="A24" s="7" t="s">
        <v>386</v>
      </c>
      <c r="B24" s="8">
        <v>4.0</v>
      </c>
      <c r="C24" s="7" t="s">
        <v>391</v>
      </c>
      <c r="D24" s="7" t="s">
        <v>392</v>
      </c>
      <c r="E24" s="7" t="s">
        <v>393</v>
      </c>
      <c r="F24" s="7" t="s">
        <v>394</v>
      </c>
    </row>
    <row r="25">
      <c r="A25" s="7" t="s">
        <v>387</v>
      </c>
      <c r="B25" s="8">
        <v>4.0</v>
      </c>
      <c r="C25" s="7" t="s">
        <v>391</v>
      </c>
      <c r="D25" s="7" t="s">
        <v>392</v>
      </c>
      <c r="E25" s="7" t="s">
        <v>393</v>
      </c>
      <c r="F25" s="7" t="s">
        <v>396</v>
      </c>
    </row>
    <row r="26">
      <c r="A26" s="7" t="s">
        <v>6</v>
      </c>
      <c r="B26" s="8">
        <v>4.0</v>
      </c>
      <c r="C26" s="7" t="s">
        <v>391</v>
      </c>
      <c r="D26" s="7" t="s">
        <v>392</v>
      </c>
      <c r="E26" s="7" t="s">
        <v>393</v>
      </c>
      <c r="F26" s="7" t="s">
        <v>397</v>
      </c>
    </row>
    <row r="27">
      <c r="A27" s="7" t="s">
        <v>7</v>
      </c>
      <c r="B27" s="8">
        <v>4.0</v>
      </c>
      <c r="C27" s="7" t="s">
        <v>391</v>
      </c>
      <c r="D27" s="7" t="s">
        <v>392</v>
      </c>
      <c r="E27" s="7" t="s">
        <v>393</v>
      </c>
      <c r="F27" s="7" t="s">
        <v>396</v>
      </c>
    </row>
    <row r="28">
      <c r="A28" s="7" t="s">
        <v>8</v>
      </c>
      <c r="B28" s="8">
        <v>4.0</v>
      </c>
      <c r="C28" s="7" t="s">
        <v>391</v>
      </c>
      <c r="D28" s="7" t="s">
        <v>392</v>
      </c>
      <c r="E28" s="7" t="s">
        <v>393</v>
      </c>
      <c r="F28" s="7" t="s">
        <v>398</v>
      </c>
    </row>
    <row r="29">
      <c r="A29" s="7" t="s">
        <v>388</v>
      </c>
      <c r="B29" s="8">
        <v>4.0</v>
      </c>
      <c r="C29" s="7" t="s">
        <v>391</v>
      </c>
      <c r="D29" s="7" t="s">
        <v>392</v>
      </c>
      <c r="E29" s="7" t="s">
        <v>393</v>
      </c>
      <c r="F29" s="7" t="s">
        <v>399</v>
      </c>
    </row>
    <row r="30">
      <c r="A30" s="7" t="s">
        <v>189</v>
      </c>
      <c r="B30" s="8">
        <v>4.0</v>
      </c>
      <c r="C30" s="7" t="s">
        <v>391</v>
      </c>
      <c r="D30" s="7" t="s">
        <v>392</v>
      </c>
      <c r="E30" s="7" t="s">
        <v>393</v>
      </c>
      <c r="F30" s="7" t="s">
        <v>394</v>
      </c>
    </row>
    <row r="31">
      <c r="A31" s="7" t="s">
        <v>9</v>
      </c>
      <c r="B31" s="8">
        <v>4.0</v>
      </c>
      <c r="C31" s="7" t="s">
        <v>391</v>
      </c>
      <c r="D31" s="7" t="s">
        <v>392</v>
      </c>
      <c r="E31" s="7" t="s">
        <v>393</v>
      </c>
      <c r="F31" s="7" t="s">
        <v>400</v>
      </c>
    </row>
    <row r="32">
      <c r="A32" s="7" t="s">
        <v>10</v>
      </c>
      <c r="B32" s="8">
        <v>4.0</v>
      </c>
      <c r="C32" s="7" t="s">
        <v>391</v>
      </c>
      <c r="D32" s="7" t="s">
        <v>392</v>
      </c>
      <c r="E32" s="7" t="s">
        <v>393</v>
      </c>
      <c r="F32" s="7" t="s">
        <v>394</v>
      </c>
    </row>
    <row r="33">
      <c r="A33" s="7" t="s">
        <v>11</v>
      </c>
      <c r="B33" s="8">
        <v>4.0</v>
      </c>
      <c r="C33" s="7" t="s">
        <v>391</v>
      </c>
      <c r="D33" s="7" t="s">
        <v>392</v>
      </c>
      <c r="E33" s="7" t="s">
        <v>393</v>
      </c>
      <c r="F33" s="7" t="s">
        <v>401</v>
      </c>
    </row>
    <row r="34">
      <c r="A34" s="7" t="s">
        <v>12</v>
      </c>
      <c r="B34" s="8">
        <v>4.0</v>
      </c>
      <c r="C34" s="7" t="s">
        <v>391</v>
      </c>
      <c r="D34" s="7" t="s">
        <v>392</v>
      </c>
      <c r="E34" s="7" t="s">
        <v>393</v>
      </c>
      <c r="F34" s="7" t="s">
        <v>402</v>
      </c>
    </row>
    <row r="35">
      <c r="A35" s="7" t="s">
        <v>13</v>
      </c>
      <c r="B35" s="8">
        <v>4.0</v>
      </c>
      <c r="C35" s="7" t="s">
        <v>391</v>
      </c>
      <c r="D35" s="7" t="s">
        <v>392</v>
      </c>
      <c r="E35" s="7" t="s">
        <v>393</v>
      </c>
      <c r="F35" s="7" t="s">
        <v>396</v>
      </c>
    </row>
    <row r="36">
      <c r="A36" s="7" t="s">
        <v>14</v>
      </c>
      <c r="B36" s="8">
        <v>4.0</v>
      </c>
      <c r="C36" s="7" t="s">
        <v>391</v>
      </c>
      <c r="D36" s="7" t="s">
        <v>392</v>
      </c>
      <c r="E36" s="7" t="s">
        <v>393</v>
      </c>
      <c r="F36" s="7" t="s">
        <v>403</v>
      </c>
    </row>
    <row r="37">
      <c r="A37" s="7" t="s">
        <v>15</v>
      </c>
      <c r="B37" s="8">
        <v>4.0</v>
      </c>
      <c r="C37" s="7" t="s">
        <v>391</v>
      </c>
      <c r="D37" s="7" t="s">
        <v>392</v>
      </c>
      <c r="E37" s="7" t="s">
        <v>393</v>
      </c>
      <c r="F37" s="7" t="s">
        <v>404</v>
      </c>
    </row>
    <row r="38">
      <c r="A38" s="7" t="s">
        <v>16</v>
      </c>
      <c r="B38" s="8">
        <v>4.0</v>
      </c>
      <c r="C38" s="7" t="s">
        <v>391</v>
      </c>
      <c r="D38" s="7" t="s">
        <v>392</v>
      </c>
      <c r="E38" s="7" t="s">
        <v>393</v>
      </c>
      <c r="F38" s="7" t="s">
        <v>396</v>
      </c>
    </row>
    <row r="39">
      <c r="A39" s="7" t="s">
        <v>17</v>
      </c>
      <c r="B39" s="8">
        <v>4.0</v>
      </c>
      <c r="C39" s="7" t="s">
        <v>391</v>
      </c>
      <c r="D39" s="7" t="s">
        <v>392</v>
      </c>
      <c r="E39" s="7" t="s">
        <v>393</v>
      </c>
      <c r="F39" s="7" t="s">
        <v>396</v>
      </c>
    </row>
    <row r="40">
      <c r="A40" s="7" t="s">
        <v>18</v>
      </c>
      <c r="B40" s="8">
        <v>4.0</v>
      </c>
      <c r="C40" s="7" t="s">
        <v>391</v>
      </c>
      <c r="D40" s="7" t="s">
        <v>392</v>
      </c>
      <c r="E40" s="7" t="s">
        <v>393</v>
      </c>
      <c r="F40" s="7" t="s">
        <v>396</v>
      </c>
    </row>
    <row r="41">
      <c r="A41" s="7" t="s">
        <v>19</v>
      </c>
      <c r="B41" s="8">
        <v>4.0</v>
      </c>
      <c r="C41" s="7" t="s">
        <v>391</v>
      </c>
      <c r="D41" s="7" t="s">
        <v>392</v>
      </c>
      <c r="E41" s="7" t="s">
        <v>393</v>
      </c>
      <c r="F41" s="7" t="s">
        <v>396</v>
      </c>
    </row>
    <row r="42">
      <c r="A42" s="7" t="s">
        <v>188</v>
      </c>
      <c r="B42" s="8">
        <v>4.0</v>
      </c>
      <c r="C42" s="7" t="s">
        <v>405</v>
      </c>
      <c r="D42" s="7" t="s">
        <v>406</v>
      </c>
      <c r="E42" s="7" t="s">
        <v>407</v>
      </c>
      <c r="F42" s="7" t="s">
        <v>408</v>
      </c>
    </row>
    <row r="43">
      <c r="A43" s="7" t="s">
        <v>4</v>
      </c>
      <c r="B43" s="8">
        <v>4.0</v>
      </c>
      <c r="C43" s="7" t="s">
        <v>405</v>
      </c>
      <c r="D43" s="7" t="s">
        <v>406</v>
      </c>
      <c r="E43" s="7" t="s">
        <v>407</v>
      </c>
      <c r="F43" s="7" t="s">
        <v>409</v>
      </c>
    </row>
    <row r="44">
      <c r="A44" s="7" t="s">
        <v>386</v>
      </c>
      <c r="B44" s="8">
        <v>4.0</v>
      </c>
      <c r="C44" s="7" t="s">
        <v>405</v>
      </c>
      <c r="D44" s="7" t="s">
        <v>406</v>
      </c>
      <c r="E44" s="7" t="s">
        <v>407</v>
      </c>
      <c r="F44" s="7" t="s">
        <v>408</v>
      </c>
    </row>
    <row r="45">
      <c r="A45" s="7" t="s">
        <v>387</v>
      </c>
      <c r="B45" s="8">
        <v>4.0</v>
      </c>
      <c r="C45" s="7" t="s">
        <v>405</v>
      </c>
      <c r="D45" s="7" t="s">
        <v>406</v>
      </c>
      <c r="E45" s="7" t="s">
        <v>407</v>
      </c>
      <c r="F45" s="7" t="s">
        <v>301</v>
      </c>
    </row>
    <row r="46">
      <c r="A46" s="7" t="s">
        <v>6</v>
      </c>
      <c r="B46" s="8">
        <v>4.0</v>
      </c>
      <c r="C46" s="7" t="s">
        <v>405</v>
      </c>
      <c r="D46" s="7" t="s">
        <v>406</v>
      </c>
      <c r="E46" s="7" t="s">
        <v>407</v>
      </c>
      <c r="F46" s="7" t="s">
        <v>240</v>
      </c>
    </row>
    <row r="47">
      <c r="A47" s="7" t="s">
        <v>7</v>
      </c>
      <c r="B47" s="8">
        <v>4.0</v>
      </c>
      <c r="C47" s="7" t="s">
        <v>405</v>
      </c>
      <c r="D47" s="7" t="s">
        <v>406</v>
      </c>
      <c r="E47" s="7" t="s">
        <v>407</v>
      </c>
      <c r="F47" s="7" t="s">
        <v>240</v>
      </c>
    </row>
    <row r="48">
      <c r="A48" s="7" t="s">
        <v>8</v>
      </c>
      <c r="B48" s="8">
        <v>4.0</v>
      </c>
      <c r="C48" s="7" t="s">
        <v>405</v>
      </c>
      <c r="D48" s="7" t="s">
        <v>406</v>
      </c>
      <c r="E48" s="7" t="s">
        <v>407</v>
      </c>
      <c r="F48" s="7" t="s">
        <v>408</v>
      </c>
    </row>
    <row r="49">
      <c r="A49" s="7" t="s">
        <v>388</v>
      </c>
      <c r="B49" s="8">
        <v>4.0</v>
      </c>
      <c r="C49" s="7" t="s">
        <v>405</v>
      </c>
      <c r="D49" s="7" t="s">
        <v>406</v>
      </c>
      <c r="E49" s="7" t="s">
        <v>407</v>
      </c>
      <c r="F49" s="7" t="s">
        <v>410</v>
      </c>
    </row>
    <row r="50">
      <c r="A50" s="7" t="s">
        <v>189</v>
      </c>
      <c r="B50" s="8">
        <v>4.0</v>
      </c>
      <c r="C50" s="7" t="s">
        <v>405</v>
      </c>
      <c r="D50" s="7" t="s">
        <v>406</v>
      </c>
      <c r="E50" s="7" t="s">
        <v>407</v>
      </c>
      <c r="F50" s="7" t="s">
        <v>411</v>
      </c>
    </row>
    <row r="51">
      <c r="A51" s="7" t="s">
        <v>9</v>
      </c>
      <c r="B51" s="8">
        <v>4.0</v>
      </c>
      <c r="C51" s="7" t="s">
        <v>405</v>
      </c>
      <c r="D51" s="7" t="s">
        <v>406</v>
      </c>
      <c r="E51" s="7" t="s">
        <v>407</v>
      </c>
      <c r="F51" s="7" t="s">
        <v>240</v>
      </c>
    </row>
    <row r="52">
      <c r="A52" s="7" t="s">
        <v>10</v>
      </c>
      <c r="B52" s="8">
        <v>4.0</v>
      </c>
      <c r="C52" s="7" t="s">
        <v>405</v>
      </c>
      <c r="D52" s="7" t="s">
        <v>406</v>
      </c>
      <c r="E52" s="7" t="s">
        <v>407</v>
      </c>
      <c r="F52" s="7" t="s">
        <v>305</v>
      </c>
    </row>
    <row r="53">
      <c r="A53" s="7" t="s">
        <v>11</v>
      </c>
      <c r="B53" s="8">
        <v>4.0</v>
      </c>
      <c r="C53" s="7" t="s">
        <v>405</v>
      </c>
      <c r="D53" s="7" t="s">
        <v>406</v>
      </c>
      <c r="E53" s="7" t="s">
        <v>407</v>
      </c>
      <c r="F53" s="7" t="s">
        <v>412</v>
      </c>
    </row>
    <row r="54">
      <c r="A54" s="7" t="s">
        <v>12</v>
      </c>
      <c r="B54" s="8">
        <v>4.0</v>
      </c>
      <c r="C54" s="7" t="s">
        <v>405</v>
      </c>
      <c r="D54" s="7" t="s">
        <v>406</v>
      </c>
      <c r="E54" s="7" t="s">
        <v>407</v>
      </c>
      <c r="F54" s="7" t="s">
        <v>214</v>
      </c>
    </row>
    <row r="55">
      <c r="A55" s="7" t="s">
        <v>13</v>
      </c>
      <c r="B55" s="8">
        <v>4.0</v>
      </c>
      <c r="C55" s="7" t="s">
        <v>405</v>
      </c>
      <c r="D55" s="7" t="s">
        <v>406</v>
      </c>
      <c r="E55" s="7" t="s">
        <v>407</v>
      </c>
      <c r="F55" s="7" t="s">
        <v>408</v>
      </c>
    </row>
    <row r="56">
      <c r="A56" s="7" t="s">
        <v>14</v>
      </c>
      <c r="B56" s="8">
        <v>4.0</v>
      </c>
      <c r="C56" s="7" t="s">
        <v>405</v>
      </c>
      <c r="D56" s="7" t="s">
        <v>406</v>
      </c>
      <c r="E56" s="7" t="s">
        <v>407</v>
      </c>
      <c r="F56" s="7" t="s">
        <v>411</v>
      </c>
    </row>
    <row r="57">
      <c r="A57" s="7" t="s">
        <v>15</v>
      </c>
      <c r="B57" s="8">
        <v>4.0</v>
      </c>
      <c r="C57" s="7" t="s">
        <v>405</v>
      </c>
      <c r="D57" s="7" t="s">
        <v>406</v>
      </c>
      <c r="E57" s="7" t="s">
        <v>407</v>
      </c>
      <c r="F57" s="7" t="s">
        <v>272</v>
      </c>
    </row>
    <row r="58">
      <c r="A58" s="7" t="s">
        <v>16</v>
      </c>
      <c r="B58" s="8">
        <v>4.0</v>
      </c>
      <c r="C58" s="7" t="s">
        <v>405</v>
      </c>
      <c r="D58" s="7" t="s">
        <v>406</v>
      </c>
      <c r="E58" s="7" t="s">
        <v>407</v>
      </c>
      <c r="F58" s="7" t="s">
        <v>240</v>
      </c>
    </row>
    <row r="59">
      <c r="A59" s="7" t="s">
        <v>17</v>
      </c>
      <c r="B59" s="8">
        <v>4.0</v>
      </c>
      <c r="C59" s="7" t="s">
        <v>405</v>
      </c>
      <c r="D59" s="7" t="s">
        <v>406</v>
      </c>
      <c r="E59" s="7" t="s">
        <v>407</v>
      </c>
      <c r="F59" s="7" t="s">
        <v>240</v>
      </c>
    </row>
    <row r="60">
      <c r="A60" s="7" t="s">
        <v>18</v>
      </c>
      <c r="B60" s="8">
        <v>4.0</v>
      </c>
      <c r="C60" s="7" t="s">
        <v>405</v>
      </c>
      <c r="D60" s="7" t="s">
        <v>406</v>
      </c>
      <c r="E60" s="7" t="s">
        <v>407</v>
      </c>
      <c r="F60" s="7" t="s">
        <v>240</v>
      </c>
    </row>
    <row r="61">
      <c r="A61" s="7" t="s">
        <v>19</v>
      </c>
      <c r="B61" s="8">
        <v>4.0</v>
      </c>
      <c r="C61" s="7" t="s">
        <v>405</v>
      </c>
      <c r="D61" s="7" t="s">
        <v>406</v>
      </c>
      <c r="E61" s="7" t="s">
        <v>407</v>
      </c>
      <c r="F61" s="7" t="s">
        <v>413</v>
      </c>
    </row>
    <row r="62">
      <c r="A62" s="7" t="s">
        <v>188</v>
      </c>
      <c r="B62" s="8">
        <v>4.0</v>
      </c>
      <c r="C62" s="7" t="s">
        <v>20</v>
      </c>
      <c r="D62" s="7" t="s">
        <v>414</v>
      </c>
      <c r="E62" s="7" t="s">
        <v>415</v>
      </c>
      <c r="F62" s="7" t="s">
        <v>416</v>
      </c>
    </row>
    <row r="63">
      <c r="A63" s="7" t="s">
        <v>4</v>
      </c>
      <c r="B63" s="8">
        <v>4.0</v>
      </c>
      <c r="C63" s="7" t="s">
        <v>20</v>
      </c>
      <c r="D63" s="7" t="s">
        <v>414</v>
      </c>
      <c r="E63" s="7" t="s">
        <v>415</v>
      </c>
      <c r="F63" s="7" t="s">
        <v>417</v>
      </c>
    </row>
    <row r="64">
      <c r="A64" s="7" t="s">
        <v>386</v>
      </c>
      <c r="B64" s="8">
        <v>4.0</v>
      </c>
      <c r="C64" s="7" t="s">
        <v>20</v>
      </c>
      <c r="D64" s="7" t="s">
        <v>414</v>
      </c>
      <c r="E64" s="7" t="s">
        <v>415</v>
      </c>
      <c r="F64" s="7" t="s">
        <v>416</v>
      </c>
    </row>
    <row r="65">
      <c r="A65" s="7" t="s">
        <v>387</v>
      </c>
      <c r="B65" s="8">
        <v>4.0</v>
      </c>
      <c r="C65" s="7" t="s">
        <v>20</v>
      </c>
      <c r="D65" s="7" t="s">
        <v>414</v>
      </c>
      <c r="E65" s="7" t="s">
        <v>415</v>
      </c>
      <c r="F65" s="7" t="s">
        <v>202</v>
      </c>
    </row>
    <row r="66">
      <c r="A66" s="7" t="s">
        <v>6</v>
      </c>
      <c r="B66" s="8">
        <v>4.0</v>
      </c>
      <c r="C66" s="7" t="s">
        <v>20</v>
      </c>
      <c r="D66" s="7" t="s">
        <v>414</v>
      </c>
      <c r="E66" s="7" t="s">
        <v>415</v>
      </c>
      <c r="F66" s="7" t="s">
        <v>418</v>
      </c>
    </row>
    <row r="67">
      <c r="A67" s="7" t="s">
        <v>7</v>
      </c>
      <c r="B67" s="8">
        <v>4.0</v>
      </c>
      <c r="C67" s="7" t="s">
        <v>20</v>
      </c>
      <c r="D67" s="7" t="s">
        <v>414</v>
      </c>
      <c r="E67" s="7" t="s">
        <v>415</v>
      </c>
      <c r="F67" s="7" t="s">
        <v>202</v>
      </c>
    </row>
    <row r="68">
      <c r="A68" s="7" t="s">
        <v>8</v>
      </c>
      <c r="B68" s="8">
        <v>4.0</v>
      </c>
      <c r="C68" s="7" t="s">
        <v>20</v>
      </c>
      <c r="D68" s="7" t="s">
        <v>414</v>
      </c>
      <c r="E68" s="7" t="s">
        <v>415</v>
      </c>
      <c r="F68" s="7" t="s">
        <v>419</v>
      </c>
    </row>
    <row r="69">
      <c r="A69" s="7" t="s">
        <v>388</v>
      </c>
      <c r="B69" s="8">
        <v>4.0</v>
      </c>
      <c r="C69" s="7" t="s">
        <v>20</v>
      </c>
      <c r="D69" s="7" t="s">
        <v>414</v>
      </c>
      <c r="E69" s="7" t="s">
        <v>415</v>
      </c>
      <c r="F69" s="7" t="s">
        <v>420</v>
      </c>
    </row>
    <row r="70">
      <c r="A70" s="7" t="s">
        <v>189</v>
      </c>
      <c r="B70" s="8">
        <v>4.0</v>
      </c>
      <c r="C70" s="7" t="s">
        <v>20</v>
      </c>
      <c r="D70" s="7" t="s">
        <v>414</v>
      </c>
      <c r="E70" s="7" t="s">
        <v>415</v>
      </c>
      <c r="F70" s="7" t="s">
        <v>416</v>
      </c>
    </row>
    <row r="71">
      <c r="A71" s="7" t="s">
        <v>9</v>
      </c>
      <c r="B71" s="8">
        <v>4.0</v>
      </c>
      <c r="C71" s="7" t="s">
        <v>20</v>
      </c>
      <c r="D71" s="7" t="s">
        <v>414</v>
      </c>
      <c r="E71" s="7" t="s">
        <v>415</v>
      </c>
      <c r="F71" s="7" t="s">
        <v>30</v>
      </c>
    </row>
    <row r="72">
      <c r="A72" s="7" t="s">
        <v>10</v>
      </c>
      <c r="B72" s="8">
        <v>4.0</v>
      </c>
      <c r="C72" s="7" t="s">
        <v>20</v>
      </c>
      <c r="D72" s="7" t="s">
        <v>414</v>
      </c>
      <c r="E72" s="7" t="s">
        <v>415</v>
      </c>
      <c r="F72" s="7" t="s">
        <v>416</v>
      </c>
    </row>
    <row r="73">
      <c r="A73" s="7" t="s">
        <v>11</v>
      </c>
      <c r="B73" s="8">
        <v>4.0</v>
      </c>
      <c r="C73" s="7" t="s">
        <v>20</v>
      </c>
      <c r="D73" s="7" t="s">
        <v>414</v>
      </c>
      <c r="E73" s="7" t="s">
        <v>415</v>
      </c>
      <c r="F73" s="7" t="s">
        <v>421</v>
      </c>
    </row>
    <row r="74">
      <c r="A74" s="7" t="s">
        <v>12</v>
      </c>
      <c r="B74" s="8">
        <v>4.0</v>
      </c>
      <c r="C74" s="7" t="s">
        <v>20</v>
      </c>
      <c r="D74" s="7" t="s">
        <v>414</v>
      </c>
      <c r="E74" s="7" t="s">
        <v>415</v>
      </c>
      <c r="F74" s="7" t="s">
        <v>422</v>
      </c>
    </row>
    <row r="75">
      <c r="A75" s="7" t="s">
        <v>13</v>
      </c>
      <c r="B75" s="8">
        <v>4.0</v>
      </c>
      <c r="C75" s="7" t="s">
        <v>20</v>
      </c>
      <c r="D75" s="7" t="s">
        <v>414</v>
      </c>
      <c r="E75" s="7" t="s">
        <v>415</v>
      </c>
      <c r="F75" s="7" t="s">
        <v>202</v>
      </c>
    </row>
    <row r="76">
      <c r="A76" s="7" t="s">
        <v>14</v>
      </c>
      <c r="B76" s="8">
        <v>4.0</v>
      </c>
      <c r="C76" s="7" t="s">
        <v>20</v>
      </c>
      <c r="D76" s="7" t="s">
        <v>414</v>
      </c>
      <c r="E76" s="7" t="s">
        <v>415</v>
      </c>
      <c r="F76" s="7" t="s">
        <v>403</v>
      </c>
    </row>
    <row r="77">
      <c r="A77" s="7" t="s">
        <v>15</v>
      </c>
      <c r="B77" s="8">
        <v>4.0</v>
      </c>
      <c r="C77" s="7" t="s">
        <v>20</v>
      </c>
      <c r="D77" s="7" t="s">
        <v>414</v>
      </c>
      <c r="E77" s="7" t="s">
        <v>415</v>
      </c>
      <c r="F77" s="7" t="s">
        <v>202</v>
      </c>
    </row>
    <row r="78">
      <c r="A78" s="7" t="s">
        <v>16</v>
      </c>
      <c r="B78" s="8">
        <v>4.0</v>
      </c>
      <c r="C78" s="7" t="s">
        <v>20</v>
      </c>
      <c r="D78" s="7" t="s">
        <v>414</v>
      </c>
      <c r="E78" s="7" t="s">
        <v>415</v>
      </c>
      <c r="F78" s="7" t="s">
        <v>202</v>
      </c>
    </row>
    <row r="79">
      <c r="A79" s="7" t="s">
        <v>17</v>
      </c>
      <c r="B79" s="8">
        <v>4.0</v>
      </c>
      <c r="C79" s="7" t="s">
        <v>20</v>
      </c>
      <c r="D79" s="7" t="s">
        <v>414</v>
      </c>
      <c r="E79" s="7" t="s">
        <v>415</v>
      </c>
      <c r="F79" s="7" t="s">
        <v>202</v>
      </c>
    </row>
    <row r="80">
      <c r="A80" s="7" t="s">
        <v>18</v>
      </c>
      <c r="B80" s="8">
        <v>4.0</v>
      </c>
      <c r="C80" s="7" t="s">
        <v>20</v>
      </c>
      <c r="D80" s="7" t="s">
        <v>414</v>
      </c>
      <c r="E80" s="7" t="s">
        <v>415</v>
      </c>
      <c r="F80" s="7" t="s">
        <v>202</v>
      </c>
    </row>
    <row r="81">
      <c r="A81" s="7" t="s">
        <v>19</v>
      </c>
      <c r="B81" s="8">
        <v>4.0</v>
      </c>
      <c r="C81" s="7" t="s">
        <v>20</v>
      </c>
      <c r="D81" s="7" t="s">
        <v>414</v>
      </c>
      <c r="E81" s="7" t="s">
        <v>415</v>
      </c>
      <c r="F81" s="7" t="s">
        <v>202</v>
      </c>
    </row>
    <row r="82">
      <c r="A82" s="7" t="s">
        <v>188</v>
      </c>
      <c r="B82" s="8">
        <v>4.0</v>
      </c>
      <c r="C82" s="7" t="s">
        <v>35</v>
      </c>
      <c r="D82" s="7" t="s">
        <v>423</v>
      </c>
      <c r="E82" s="7" t="s">
        <v>424</v>
      </c>
      <c r="F82" s="7" t="s">
        <v>211</v>
      </c>
    </row>
    <row r="83">
      <c r="A83" s="7" t="s">
        <v>4</v>
      </c>
      <c r="B83" s="8">
        <v>4.0</v>
      </c>
      <c r="C83" s="7" t="s">
        <v>35</v>
      </c>
      <c r="D83" s="7" t="s">
        <v>423</v>
      </c>
      <c r="E83" s="7" t="s">
        <v>424</v>
      </c>
      <c r="F83" s="7" t="s">
        <v>425</v>
      </c>
    </row>
    <row r="84">
      <c r="A84" s="7" t="s">
        <v>386</v>
      </c>
      <c r="B84" s="8">
        <v>4.0</v>
      </c>
      <c r="C84" s="7" t="s">
        <v>35</v>
      </c>
      <c r="D84" s="7" t="s">
        <v>423</v>
      </c>
      <c r="E84" s="7" t="s">
        <v>424</v>
      </c>
      <c r="F84" s="7" t="s">
        <v>211</v>
      </c>
    </row>
    <row r="85">
      <c r="A85" s="7" t="s">
        <v>387</v>
      </c>
      <c r="B85" s="8">
        <v>4.0</v>
      </c>
      <c r="C85" s="7" t="s">
        <v>35</v>
      </c>
      <c r="D85" s="7" t="s">
        <v>423</v>
      </c>
      <c r="E85" s="7" t="s">
        <v>424</v>
      </c>
      <c r="F85" s="7" t="s">
        <v>211</v>
      </c>
    </row>
    <row r="86">
      <c r="A86" s="7" t="s">
        <v>6</v>
      </c>
      <c r="B86" s="8">
        <v>4.0</v>
      </c>
      <c r="C86" s="7" t="s">
        <v>35</v>
      </c>
      <c r="D86" s="7" t="s">
        <v>423</v>
      </c>
      <c r="E86" s="7" t="s">
        <v>424</v>
      </c>
      <c r="F86" s="7" t="s">
        <v>38</v>
      </c>
    </row>
    <row r="87">
      <c r="A87" s="7" t="s">
        <v>7</v>
      </c>
      <c r="B87" s="8">
        <v>4.0</v>
      </c>
      <c r="C87" s="7" t="s">
        <v>35</v>
      </c>
      <c r="D87" s="7" t="s">
        <v>423</v>
      </c>
      <c r="E87" s="7" t="s">
        <v>424</v>
      </c>
      <c r="F87" s="7" t="s">
        <v>38</v>
      </c>
    </row>
    <row r="88">
      <c r="A88" s="7" t="s">
        <v>8</v>
      </c>
      <c r="B88" s="8">
        <v>4.0</v>
      </c>
      <c r="C88" s="7" t="s">
        <v>35</v>
      </c>
      <c r="D88" s="7" t="s">
        <v>423</v>
      </c>
      <c r="E88" s="7" t="s">
        <v>424</v>
      </c>
      <c r="F88" s="7" t="s">
        <v>211</v>
      </c>
    </row>
    <row r="89">
      <c r="A89" s="7" t="s">
        <v>388</v>
      </c>
      <c r="B89" s="8">
        <v>4.0</v>
      </c>
      <c r="C89" s="7" t="s">
        <v>35</v>
      </c>
      <c r="D89" s="7" t="s">
        <v>423</v>
      </c>
      <c r="E89" s="7" t="s">
        <v>424</v>
      </c>
      <c r="F89" s="7" t="s">
        <v>426</v>
      </c>
    </row>
    <row r="90">
      <c r="A90" s="7" t="s">
        <v>189</v>
      </c>
      <c r="B90" s="8">
        <v>4.0</v>
      </c>
      <c r="C90" s="7" t="s">
        <v>35</v>
      </c>
      <c r="D90" s="7" t="s">
        <v>423</v>
      </c>
      <c r="E90" s="7" t="s">
        <v>424</v>
      </c>
      <c r="F90" s="7" t="s">
        <v>208</v>
      </c>
    </row>
    <row r="91">
      <c r="A91" s="7" t="s">
        <v>9</v>
      </c>
      <c r="B91" s="8">
        <v>4.0</v>
      </c>
      <c r="C91" s="7" t="s">
        <v>35</v>
      </c>
      <c r="D91" s="7" t="s">
        <v>423</v>
      </c>
      <c r="E91" s="7" t="s">
        <v>424</v>
      </c>
      <c r="F91" s="7" t="s">
        <v>38</v>
      </c>
    </row>
    <row r="92">
      <c r="A92" s="7" t="s">
        <v>10</v>
      </c>
      <c r="B92" s="8">
        <v>4.0</v>
      </c>
      <c r="C92" s="7" t="s">
        <v>35</v>
      </c>
      <c r="D92" s="7" t="s">
        <v>423</v>
      </c>
      <c r="E92" s="7" t="s">
        <v>424</v>
      </c>
      <c r="F92" s="7" t="s">
        <v>427</v>
      </c>
    </row>
    <row r="93">
      <c r="A93" s="7" t="s">
        <v>11</v>
      </c>
      <c r="B93" s="8">
        <v>4.0</v>
      </c>
      <c r="C93" s="7" t="s">
        <v>35</v>
      </c>
      <c r="D93" s="7" t="s">
        <v>423</v>
      </c>
      <c r="E93" s="7" t="s">
        <v>424</v>
      </c>
      <c r="F93" s="7" t="s">
        <v>428</v>
      </c>
    </row>
    <row r="94">
      <c r="A94" s="7" t="s">
        <v>12</v>
      </c>
      <c r="B94" s="8">
        <v>4.0</v>
      </c>
      <c r="C94" s="7" t="s">
        <v>35</v>
      </c>
      <c r="D94" s="7" t="s">
        <v>423</v>
      </c>
      <c r="E94" s="7" t="s">
        <v>424</v>
      </c>
      <c r="F94" s="7" t="s">
        <v>211</v>
      </c>
    </row>
    <row r="95">
      <c r="A95" s="7" t="s">
        <v>13</v>
      </c>
      <c r="B95" s="8">
        <v>4.0</v>
      </c>
      <c r="C95" s="7" t="s">
        <v>35</v>
      </c>
      <c r="D95" s="7" t="s">
        <v>423</v>
      </c>
      <c r="E95" s="7" t="s">
        <v>424</v>
      </c>
      <c r="F95" s="7" t="s">
        <v>211</v>
      </c>
    </row>
    <row r="96">
      <c r="A96" s="7" t="s">
        <v>14</v>
      </c>
      <c r="B96" s="8">
        <v>4.0</v>
      </c>
      <c r="C96" s="7" t="s">
        <v>35</v>
      </c>
      <c r="D96" s="7" t="s">
        <v>423</v>
      </c>
      <c r="E96" s="7" t="s">
        <v>424</v>
      </c>
      <c r="F96" s="7" t="s">
        <v>411</v>
      </c>
    </row>
    <row r="97">
      <c r="A97" s="7" t="s">
        <v>15</v>
      </c>
      <c r="B97" s="8">
        <v>4.0</v>
      </c>
      <c r="C97" s="7" t="s">
        <v>35</v>
      </c>
      <c r="D97" s="7" t="s">
        <v>423</v>
      </c>
      <c r="E97" s="7" t="s">
        <v>424</v>
      </c>
      <c r="F97" s="7" t="s">
        <v>211</v>
      </c>
    </row>
    <row r="98">
      <c r="A98" s="7" t="s">
        <v>16</v>
      </c>
      <c r="B98" s="8">
        <v>4.0</v>
      </c>
      <c r="C98" s="7" t="s">
        <v>35</v>
      </c>
      <c r="D98" s="7" t="s">
        <v>423</v>
      </c>
      <c r="E98" s="7" t="s">
        <v>424</v>
      </c>
      <c r="F98" s="7" t="s">
        <v>38</v>
      </c>
    </row>
    <row r="99">
      <c r="A99" s="7" t="s">
        <v>17</v>
      </c>
      <c r="B99" s="8">
        <v>4.0</v>
      </c>
      <c r="C99" s="7" t="s">
        <v>35</v>
      </c>
      <c r="D99" s="7" t="s">
        <v>423</v>
      </c>
      <c r="E99" s="7" t="s">
        <v>424</v>
      </c>
      <c r="F99" s="7" t="s">
        <v>38</v>
      </c>
    </row>
    <row r="100">
      <c r="A100" s="7" t="s">
        <v>18</v>
      </c>
      <c r="B100" s="8">
        <v>4.0</v>
      </c>
      <c r="C100" s="7" t="s">
        <v>35</v>
      </c>
      <c r="D100" s="7" t="s">
        <v>423</v>
      </c>
      <c r="E100" s="7" t="s">
        <v>424</v>
      </c>
      <c r="F100" s="7" t="s">
        <v>429</v>
      </c>
    </row>
    <row r="101">
      <c r="A101" s="7" t="s">
        <v>19</v>
      </c>
      <c r="B101" s="8">
        <v>4.0</v>
      </c>
      <c r="C101" s="7" t="s">
        <v>35</v>
      </c>
      <c r="D101" s="7" t="s">
        <v>423</v>
      </c>
      <c r="E101" s="7" t="s">
        <v>424</v>
      </c>
      <c r="F101" s="7" t="s">
        <v>430</v>
      </c>
    </row>
    <row r="102">
      <c r="A102" s="7" t="s">
        <v>188</v>
      </c>
      <c r="B102" s="8">
        <v>4.0</v>
      </c>
      <c r="C102" s="7" t="s">
        <v>59</v>
      </c>
      <c r="D102" s="7" t="s">
        <v>431</v>
      </c>
      <c r="E102" s="7" t="s">
        <v>432</v>
      </c>
      <c r="F102" s="7" t="s">
        <v>56</v>
      </c>
    </row>
    <row r="103">
      <c r="A103" s="7" t="s">
        <v>4</v>
      </c>
      <c r="B103" s="8">
        <v>4.0</v>
      </c>
      <c r="C103" s="7" t="s">
        <v>59</v>
      </c>
      <c r="D103" s="7" t="s">
        <v>431</v>
      </c>
      <c r="E103" s="7" t="s">
        <v>432</v>
      </c>
      <c r="F103" s="7" t="s">
        <v>433</v>
      </c>
    </row>
    <row r="104">
      <c r="A104" s="7" t="s">
        <v>386</v>
      </c>
      <c r="B104" s="8">
        <v>4.0</v>
      </c>
      <c r="C104" s="7" t="s">
        <v>59</v>
      </c>
      <c r="D104" s="7" t="s">
        <v>431</v>
      </c>
      <c r="E104" s="7" t="s">
        <v>432</v>
      </c>
      <c r="F104" s="7" t="s">
        <v>56</v>
      </c>
    </row>
    <row r="105">
      <c r="A105" s="7" t="s">
        <v>387</v>
      </c>
      <c r="B105" s="8">
        <v>4.0</v>
      </c>
      <c r="C105" s="7" t="s">
        <v>59</v>
      </c>
      <c r="D105" s="7" t="s">
        <v>431</v>
      </c>
      <c r="E105" s="7" t="s">
        <v>432</v>
      </c>
      <c r="F105" s="7" t="s">
        <v>56</v>
      </c>
    </row>
    <row r="106">
      <c r="A106" s="7" t="s">
        <v>6</v>
      </c>
      <c r="B106" s="8">
        <v>4.0</v>
      </c>
      <c r="C106" s="7" t="s">
        <v>59</v>
      </c>
      <c r="D106" s="7" t="s">
        <v>431</v>
      </c>
      <c r="E106" s="7" t="s">
        <v>432</v>
      </c>
      <c r="F106" s="7" t="s">
        <v>54</v>
      </c>
    </row>
    <row r="107">
      <c r="A107" s="7" t="s">
        <v>7</v>
      </c>
      <c r="B107" s="8">
        <v>4.0</v>
      </c>
      <c r="C107" s="7" t="s">
        <v>59</v>
      </c>
      <c r="D107" s="7" t="s">
        <v>431</v>
      </c>
      <c r="E107" s="7" t="s">
        <v>432</v>
      </c>
      <c r="F107" s="7" t="s">
        <v>54</v>
      </c>
    </row>
    <row r="108">
      <c r="A108" s="7" t="s">
        <v>8</v>
      </c>
      <c r="B108" s="8">
        <v>4.0</v>
      </c>
      <c r="C108" s="7" t="s">
        <v>59</v>
      </c>
      <c r="D108" s="7" t="s">
        <v>431</v>
      </c>
      <c r="E108" s="7" t="s">
        <v>432</v>
      </c>
      <c r="F108" s="7" t="s">
        <v>55</v>
      </c>
    </row>
    <row r="109">
      <c r="A109" s="7" t="s">
        <v>388</v>
      </c>
      <c r="B109" s="8">
        <v>4.0</v>
      </c>
      <c r="C109" s="7" t="s">
        <v>59</v>
      </c>
      <c r="D109" s="7" t="s">
        <v>431</v>
      </c>
      <c r="E109" s="7" t="s">
        <v>432</v>
      </c>
      <c r="F109" s="7" t="s">
        <v>434</v>
      </c>
    </row>
    <row r="110">
      <c r="A110" s="7" t="s">
        <v>189</v>
      </c>
      <c r="B110" s="8">
        <v>4.0</v>
      </c>
      <c r="C110" s="7" t="s">
        <v>59</v>
      </c>
      <c r="D110" s="7" t="s">
        <v>431</v>
      </c>
      <c r="E110" s="7" t="s">
        <v>432</v>
      </c>
      <c r="F110" s="7" t="s">
        <v>435</v>
      </c>
    </row>
    <row r="111">
      <c r="A111" s="7" t="s">
        <v>9</v>
      </c>
      <c r="B111" s="8">
        <v>4.0</v>
      </c>
      <c r="C111" s="7" t="s">
        <v>59</v>
      </c>
      <c r="D111" s="7" t="s">
        <v>431</v>
      </c>
      <c r="E111" s="7" t="s">
        <v>432</v>
      </c>
      <c r="F111" s="7" t="s">
        <v>54</v>
      </c>
    </row>
    <row r="112">
      <c r="A112" s="7" t="s">
        <v>10</v>
      </c>
      <c r="B112" s="8">
        <v>4.0</v>
      </c>
      <c r="C112" s="7" t="s">
        <v>59</v>
      </c>
      <c r="D112" s="7" t="s">
        <v>431</v>
      </c>
      <c r="E112" s="7" t="s">
        <v>432</v>
      </c>
      <c r="F112" s="7" t="s">
        <v>435</v>
      </c>
    </row>
    <row r="113">
      <c r="A113" s="7" t="s">
        <v>11</v>
      </c>
      <c r="B113" s="8">
        <v>4.0</v>
      </c>
      <c r="C113" s="7" t="s">
        <v>59</v>
      </c>
      <c r="D113" s="7" t="s">
        <v>431</v>
      </c>
      <c r="E113" s="7" t="s">
        <v>432</v>
      </c>
      <c r="F113" s="7" t="s">
        <v>436</v>
      </c>
    </row>
    <row r="114">
      <c r="A114" s="7" t="s">
        <v>12</v>
      </c>
      <c r="B114" s="8">
        <v>4.0</v>
      </c>
      <c r="C114" s="7" t="s">
        <v>59</v>
      </c>
      <c r="D114" s="7" t="s">
        <v>431</v>
      </c>
      <c r="E114" s="7" t="s">
        <v>432</v>
      </c>
      <c r="F114" s="7" t="s">
        <v>56</v>
      </c>
    </row>
    <row r="115">
      <c r="A115" s="7" t="s">
        <v>13</v>
      </c>
      <c r="B115" s="8">
        <v>4.0</v>
      </c>
      <c r="C115" s="7" t="s">
        <v>59</v>
      </c>
      <c r="D115" s="7" t="s">
        <v>431</v>
      </c>
      <c r="E115" s="7" t="s">
        <v>432</v>
      </c>
      <c r="F115" s="7" t="s">
        <v>53</v>
      </c>
    </row>
    <row r="116">
      <c r="A116" s="7" t="s">
        <v>14</v>
      </c>
      <c r="B116" s="8">
        <v>4.0</v>
      </c>
      <c r="C116" s="7" t="s">
        <v>59</v>
      </c>
      <c r="D116" s="7" t="s">
        <v>431</v>
      </c>
      <c r="E116" s="7" t="s">
        <v>432</v>
      </c>
      <c r="F116" s="7" t="s">
        <v>56</v>
      </c>
    </row>
    <row r="117">
      <c r="A117" s="7" t="s">
        <v>15</v>
      </c>
      <c r="B117" s="8">
        <v>4.0</v>
      </c>
      <c r="C117" s="7" t="s">
        <v>59</v>
      </c>
      <c r="D117" s="7" t="s">
        <v>431</v>
      </c>
      <c r="E117" s="7" t="s">
        <v>432</v>
      </c>
      <c r="F117" s="7" t="s">
        <v>56</v>
      </c>
    </row>
    <row r="118">
      <c r="A118" s="7" t="s">
        <v>16</v>
      </c>
      <c r="B118" s="8">
        <v>4.0</v>
      </c>
      <c r="C118" s="7" t="s">
        <v>59</v>
      </c>
      <c r="D118" s="7" t="s">
        <v>431</v>
      </c>
      <c r="E118" s="7" t="s">
        <v>432</v>
      </c>
      <c r="F118" s="7" t="s">
        <v>54</v>
      </c>
    </row>
    <row r="119">
      <c r="A119" s="7" t="s">
        <v>17</v>
      </c>
      <c r="B119" s="8">
        <v>4.0</v>
      </c>
      <c r="C119" s="7" t="s">
        <v>59</v>
      </c>
      <c r="D119" s="7" t="s">
        <v>431</v>
      </c>
      <c r="E119" s="7" t="s">
        <v>432</v>
      </c>
      <c r="F119" s="7" t="s">
        <v>54</v>
      </c>
    </row>
    <row r="120">
      <c r="A120" s="7" t="s">
        <v>18</v>
      </c>
      <c r="B120" s="8">
        <v>4.0</v>
      </c>
      <c r="C120" s="7" t="s">
        <v>59</v>
      </c>
      <c r="D120" s="7" t="s">
        <v>431</v>
      </c>
      <c r="E120" s="7" t="s">
        <v>432</v>
      </c>
      <c r="F120" s="7" t="s">
        <v>54</v>
      </c>
    </row>
    <row r="121">
      <c r="A121" s="7" t="s">
        <v>19</v>
      </c>
      <c r="B121" s="8">
        <v>4.0</v>
      </c>
      <c r="C121" s="7" t="s">
        <v>59</v>
      </c>
      <c r="D121" s="7" t="s">
        <v>431</v>
      </c>
      <c r="E121" s="7" t="s">
        <v>432</v>
      </c>
      <c r="F121" s="7" t="s">
        <v>54</v>
      </c>
    </row>
    <row r="122">
      <c r="A122" s="7" t="s">
        <v>188</v>
      </c>
      <c r="B122" s="8">
        <v>4.0</v>
      </c>
      <c r="C122" s="7" t="s">
        <v>437</v>
      </c>
      <c r="D122" s="7" t="s">
        <v>50</v>
      </c>
      <c r="E122" s="7" t="s">
        <v>438</v>
      </c>
      <c r="F122" s="7" t="s">
        <v>56</v>
      </c>
    </row>
    <row r="123">
      <c r="A123" s="7" t="s">
        <v>4</v>
      </c>
      <c r="B123" s="8">
        <v>4.0</v>
      </c>
      <c r="C123" s="7" t="s">
        <v>437</v>
      </c>
      <c r="D123" s="7" t="s">
        <v>50</v>
      </c>
      <c r="E123" s="7" t="s">
        <v>438</v>
      </c>
      <c r="F123" s="7" t="s">
        <v>433</v>
      </c>
    </row>
    <row r="124">
      <c r="A124" s="7" t="s">
        <v>386</v>
      </c>
      <c r="B124" s="8">
        <v>4.0</v>
      </c>
      <c r="C124" s="7" t="s">
        <v>437</v>
      </c>
      <c r="D124" s="7" t="s">
        <v>50</v>
      </c>
      <c r="E124" s="7" t="s">
        <v>438</v>
      </c>
      <c r="F124" s="7" t="s">
        <v>56</v>
      </c>
    </row>
    <row r="125">
      <c r="A125" s="7" t="s">
        <v>387</v>
      </c>
      <c r="B125" s="8">
        <v>4.0</v>
      </c>
      <c r="C125" s="7" t="s">
        <v>437</v>
      </c>
      <c r="D125" s="7" t="s">
        <v>50</v>
      </c>
      <c r="E125" s="7" t="s">
        <v>438</v>
      </c>
      <c r="F125" s="7" t="s">
        <v>56</v>
      </c>
    </row>
    <row r="126">
      <c r="A126" s="7" t="s">
        <v>6</v>
      </c>
      <c r="B126" s="8">
        <v>4.0</v>
      </c>
      <c r="C126" s="7" t="s">
        <v>437</v>
      </c>
      <c r="D126" s="7" t="s">
        <v>50</v>
      </c>
      <c r="E126" s="7" t="s">
        <v>438</v>
      </c>
      <c r="F126" s="7" t="s">
        <v>54</v>
      </c>
    </row>
    <row r="127">
      <c r="A127" s="7" t="s">
        <v>7</v>
      </c>
      <c r="B127" s="8">
        <v>4.0</v>
      </c>
      <c r="C127" s="7" t="s">
        <v>437</v>
      </c>
      <c r="D127" s="7" t="s">
        <v>50</v>
      </c>
      <c r="E127" s="7" t="s">
        <v>438</v>
      </c>
      <c r="F127" s="7" t="s">
        <v>54</v>
      </c>
    </row>
    <row r="128">
      <c r="A128" s="7" t="s">
        <v>8</v>
      </c>
      <c r="B128" s="8">
        <v>4.0</v>
      </c>
      <c r="C128" s="7" t="s">
        <v>437</v>
      </c>
      <c r="D128" s="7" t="s">
        <v>50</v>
      </c>
      <c r="E128" s="7" t="s">
        <v>438</v>
      </c>
      <c r="F128" s="7" t="s">
        <v>55</v>
      </c>
    </row>
    <row r="129">
      <c r="A129" s="7" t="s">
        <v>388</v>
      </c>
      <c r="B129" s="8">
        <v>4.0</v>
      </c>
      <c r="C129" s="7" t="s">
        <v>437</v>
      </c>
      <c r="D129" s="7" t="s">
        <v>50</v>
      </c>
      <c r="E129" s="7" t="s">
        <v>438</v>
      </c>
      <c r="F129" s="7" t="s">
        <v>434</v>
      </c>
    </row>
    <row r="130">
      <c r="A130" s="7" t="s">
        <v>189</v>
      </c>
      <c r="B130" s="8">
        <v>4.0</v>
      </c>
      <c r="C130" s="7" t="s">
        <v>437</v>
      </c>
      <c r="D130" s="7" t="s">
        <v>50</v>
      </c>
      <c r="E130" s="7" t="s">
        <v>438</v>
      </c>
      <c r="F130" s="7" t="s">
        <v>435</v>
      </c>
    </row>
    <row r="131">
      <c r="A131" s="7" t="s">
        <v>9</v>
      </c>
      <c r="B131" s="8">
        <v>4.0</v>
      </c>
      <c r="C131" s="7" t="s">
        <v>437</v>
      </c>
      <c r="D131" s="7" t="s">
        <v>50</v>
      </c>
      <c r="E131" s="7" t="s">
        <v>438</v>
      </c>
      <c r="F131" s="7" t="s">
        <v>54</v>
      </c>
    </row>
    <row r="132">
      <c r="A132" s="7" t="s">
        <v>10</v>
      </c>
      <c r="B132" s="8">
        <v>4.0</v>
      </c>
      <c r="C132" s="7" t="s">
        <v>437</v>
      </c>
      <c r="D132" s="7" t="s">
        <v>50</v>
      </c>
      <c r="E132" s="7" t="s">
        <v>438</v>
      </c>
      <c r="F132" s="7" t="s">
        <v>435</v>
      </c>
    </row>
    <row r="133">
      <c r="A133" s="7" t="s">
        <v>11</v>
      </c>
      <c r="B133" s="8">
        <v>4.0</v>
      </c>
      <c r="C133" s="7" t="s">
        <v>437</v>
      </c>
      <c r="D133" s="7" t="s">
        <v>50</v>
      </c>
      <c r="E133" s="7" t="s">
        <v>438</v>
      </c>
      <c r="F133" s="7" t="s">
        <v>436</v>
      </c>
    </row>
    <row r="134">
      <c r="A134" s="7" t="s">
        <v>12</v>
      </c>
      <c r="B134" s="8">
        <v>4.0</v>
      </c>
      <c r="C134" s="7" t="s">
        <v>437</v>
      </c>
      <c r="D134" s="7" t="s">
        <v>50</v>
      </c>
      <c r="E134" s="7" t="s">
        <v>438</v>
      </c>
      <c r="F134" s="7" t="s">
        <v>56</v>
      </c>
    </row>
    <row r="135">
      <c r="A135" s="7" t="s">
        <v>13</v>
      </c>
      <c r="B135" s="8">
        <v>4.0</v>
      </c>
      <c r="C135" s="7" t="s">
        <v>437</v>
      </c>
      <c r="D135" s="7" t="s">
        <v>50</v>
      </c>
      <c r="E135" s="7" t="s">
        <v>438</v>
      </c>
      <c r="F135" s="7" t="s">
        <v>53</v>
      </c>
    </row>
    <row r="136">
      <c r="A136" s="7" t="s">
        <v>14</v>
      </c>
      <c r="B136" s="8">
        <v>4.0</v>
      </c>
      <c r="C136" s="7" t="s">
        <v>437</v>
      </c>
      <c r="D136" s="7" t="s">
        <v>50</v>
      </c>
      <c r="E136" s="7" t="s">
        <v>438</v>
      </c>
      <c r="F136" s="7" t="s">
        <v>56</v>
      </c>
    </row>
    <row r="137">
      <c r="A137" s="7" t="s">
        <v>15</v>
      </c>
      <c r="B137" s="8">
        <v>4.0</v>
      </c>
      <c r="C137" s="7" t="s">
        <v>437</v>
      </c>
      <c r="D137" s="7" t="s">
        <v>50</v>
      </c>
      <c r="E137" s="7" t="s">
        <v>438</v>
      </c>
      <c r="F137" s="7" t="s">
        <v>56</v>
      </c>
    </row>
    <row r="138">
      <c r="A138" s="7" t="s">
        <v>16</v>
      </c>
      <c r="B138" s="8">
        <v>4.0</v>
      </c>
      <c r="C138" s="7" t="s">
        <v>437</v>
      </c>
      <c r="D138" s="7" t="s">
        <v>50</v>
      </c>
      <c r="E138" s="7" t="s">
        <v>438</v>
      </c>
      <c r="F138" s="7" t="s">
        <v>54</v>
      </c>
    </row>
    <row r="139">
      <c r="A139" s="7" t="s">
        <v>17</v>
      </c>
      <c r="B139" s="8">
        <v>4.0</v>
      </c>
      <c r="C139" s="7" t="s">
        <v>437</v>
      </c>
      <c r="D139" s="7" t="s">
        <v>50</v>
      </c>
      <c r="E139" s="7" t="s">
        <v>438</v>
      </c>
      <c r="F139" s="7" t="s">
        <v>54</v>
      </c>
    </row>
    <row r="140">
      <c r="A140" s="7" t="s">
        <v>18</v>
      </c>
      <c r="B140" s="8">
        <v>4.0</v>
      </c>
      <c r="C140" s="7" t="s">
        <v>437</v>
      </c>
      <c r="D140" s="7" t="s">
        <v>50</v>
      </c>
      <c r="E140" s="7" t="s">
        <v>438</v>
      </c>
      <c r="F140" s="7" t="s">
        <v>54</v>
      </c>
    </row>
    <row r="141">
      <c r="A141" s="7" t="s">
        <v>19</v>
      </c>
      <c r="B141" s="8">
        <v>4.0</v>
      </c>
      <c r="C141" s="7" t="s">
        <v>437</v>
      </c>
      <c r="D141" s="7" t="s">
        <v>50</v>
      </c>
      <c r="E141" s="7" t="s">
        <v>438</v>
      </c>
      <c r="F141" s="7" t="s">
        <v>54</v>
      </c>
    </row>
    <row r="142">
      <c r="A142" s="7" t="s">
        <v>188</v>
      </c>
      <c r="B142" s="8">
        <v>4.0</v>
      </c>
      <c r="C142" s="7" t="s">
        <v>49</v>
      </c>
      <c r="D142" s="7" t="s">
        <v>439</v>
      </c>
      <c r="E142" s="7" t="s">
        <v>440</v>
      </c>
      <c r="F142" s="7" t="s">
        <v>56</v>
      </c>
    </row>
    <row r="143">
      <c r="A143" s="7" t="s">
        <v>4</v>
      </c>
      <c r="B143" s="8">
        <v>4.0</v>
      </c>
      <c r="C143" s="7" t="s">
        <v>49</v>
      </c>
      <c r="D143" s="7" t="s">
        <v>439</v>
      </c>
      <c r="E143" s="7" t="s">
        <v>440</v>
      </c>
      <c r="F143" s="7" t="s">
        <v>54</v>
      </c>
    </row>
    <row r="144">
      <c r="A144" s="7" t="s">
        <v>386</v>
      </c>
      <c r="B144" s="8">
        <v>4.0</v>
      </c>
      <c r="C144" s="7" t="s">
        <v>49</v>
      </c>
      <c r="D144" s="7" t="s">
        <v>439</v>
      </c>
      <c r="E144" s="7" t="s">
        <v>440</v>
      </c>
      <c r="F144" s="7" t="s">
        <v>56</v>
      </c>
    </row>
    <row r="145">
      <c r="A145" s="7" t="s">
        <v>387</v>
      </c>
      <c r="B145" s="8">
        <v>4.0</v>
      </c>
      <c r="C145" s="7" t="s">
        <v>49</v>
      </c>
      <c r="D145" s="7" t="s">
        <v>439</v>
      </c>
      <c r="E145" s="7" t="s">
        <v>440</v>
      </c>
      <c r="F145" s="7" t="s">
        <v>56</v>
      </c>
    </row>
    <row r="146">
      <c r="A146" s="7" t="s">
        <v>6</v>
      </c>
      <c r="B146" s="8">
        <v>4.0</v>
      </c>
      <c r="C146" s="7" t="s">
        <v>49</v>
      </c>
      <c r="D146" s="7" t="s">
        <v>439</v>
      </c>
      <c r="E146" s="7" t="s">
        <v>440</v>
      </c>
      <c r="F146" s="7" t="s">
        <v>54</v>
      </c>
    </row>
    <row r="147">
      <c r="A147" s="7" t="s">
        <v>7</v>
      </c>
      <c r="B147" s="8">
        <v>4.0</v>
      </c>
      <c r="C147" s="7" t="s">
        <v>49</v>
      </c>
      <c r="D147" s="7" t="s">
        <v>439</v>
      </c>
      <c r="E147" s="7" t="s">
        <v>440</v>
      </c>
      <c r="F147" s="7" t="s">
        <v>54</v>
      </c>
    </row>
    <row r="148">
      <c r="A148" s="7" t="s">
        <v>8</v>
      </c>
      <c r="B148" s="8">
        <v>4.0</v>
      </c>
      <c r="C148" s="7" t="s">
        <v>49</v>
      </c>
      <c r="D148" s="7" t="s">
        <v>439</v>
      </c>
      <c r="E148" s="7" t="s">
        <v>440</v>
      </c>
      <c r="F148" s="7" t="s">
        <v>55</v>
      </c>
    </row>
    <row r="149">
      <c r="A149" s="7" t="s">
        <v>388</v>
      </c>
      <c r="B149" s="8">
        <v>4.0</v>
      </c>
      <c r="C149" s="7" t="s">
        <v>49</v>
      </c>
      <c r="D149" s="7" t="s">
        <v>439</v>
      </c>
      <c r="E149" s="7" t="s">
        <v>440</v>
      </c>
      <c r="F149" s="7" t="s">
        <v>434</v>
      </c>
    </row>
    <row r="150">
      <c r="A150" s="7" t="s">
        <v>189</v>
      </c>
      <c r="B150" s="8">
        <v>4.0</v>
      </c>
      <c r="C150" s="7" t="s">
        <v>49</v>
      </c>
      <c r="D150" s="7" t="s">
        <v>439</v>
      </c>
      <c r="E150" s="7" t="s">
        <v>440</v>
      </c>
      <c r="F150" s="7" t="s">
        <v>56</v>
      </c>
    </row>
    <row r="151">
      <c r="A151" s="7" t="s">
        <v>9</v>
      </c>
      <c r="B151" s="8">
        <v>4.0</v>
      </c>
      <c r="C151" s="7" t="s">
        <v>49</v>
      </c>
      <c r="D151" s="7" t="s">
        <v>439</v>
      </c>
      <c r="E151" s="7" t="s">
        <v>440</v>
      </c>
      <c r="F151" s="7" t="s">
        <v>54</v>
      </c>
    </row>
    <row r="152">
      <c r="A152" s="7" t="s">
        <v>10</v>
      </c>
      <c r="B152" s="8">
        <v>4.0</v>
      </c>
      <c r="C152" s="7" t="s">
        <v>49</v>
      </c>
      <c r="D152" s="7" t="s">
        <v>439</v>
      </c>
      <c r="E152" s="7" t="s">
        <v>440</v>
      </c>
      <c r="F152" s="7" t="s">
        <v>56</v>
      </c>
    </row>
    <row r="153">
      <c r="A153" s="7" t="s">
        <v>11</v>
      </c>
      <c r="B153" s="8">
        <v>4.0</v>
      </c>
      <c r="C153" s="7" t="s">
        <v>49</v>
      </c>
      <c r="D153" s="7" t="s">
        <v>439</v>
      </c>
      <c r="E153" s="7" t="s">
        <v>440</v>
      </c>
      <c r="F153" s="7" t="s">
        <v>436</v>
      </c>
    </row>
    <row r="154">
      <c r="A154" s="7" t="s">
        <v>12</v>
      </c>
      <c r="B154" s="8">
        <v>4.0</v>
      </c>
      <c r="C154" s="7" t="s">
        <v>49</v>
      </c>
      <c r="D154" s="7" t="s">
        <v>439</v>
      </c>
      <c r="E154" s="7" t="s">
        <v>440</v>
      </c>
      <c r="F154" s="7" t="s">
        <v>56</v>
      </c>
    </row>
    <row r="155">
      <c r="A155" s="7" t="s">
        <v>13</v>
      </c>
      <c r="B155" s="8">
        <v>4.0</v>
      </c>
      <c r="C155" s="7" t="s">
        <v>49</v>
      </c>
      <c r="D155" s="7" t="s">
        <v>439</v>
      </c>
      <c r="E155" s="7" t="s">
        <v>440</v>
      </c>
      <c r="F155" s="7" t="s">
        <v>56</v>
      </c>
    </row>
    <row r="156">
      <c r="A156" s="7" t="s">
        <v>14</v>
      </c>
      <c r="B156" s="8">
        <v>4.0</v>
      </c>
      <c r="C156" s="7" t="s">
        <v>49</v>
      </c>
      <c r="D156" s="7" t="s">
        <v>439</v>
      </c>
      <c r="E156" s="7" t="s">
        <v>440</v>
      </c>
      <c r="F156" s="7" t="s">
        <v>56</v>
      </c>
    </row>
    <row r="157">
      <c r="A157" s="7" t="s">
        <v>15</v>
      </c>
      <c r="B157" s="8">
        <v>4.0</v>
      </c>
      <c r="C157" s="7" t="s">
        <v>49</v>
      </c>
      <c r="D157" s="7" t="s">
        <v>439</v>
      </c>
      <c r="E157" s="7" t="s">
        <v>440</v>
      </c>
      <c r="F157" s="7" t="s">
        <v>56</v>
      </c>
    </row>
    <row r="158">
      <c r="A158" s="7" t="s">
        <v>16</v>
      </c>
      <c r="B158" s="8">
        <v>4.0</v>
      </c>
      <c r="C158" s="7" t="s">
        <v>49</v>
      </c>
      <c r="D158" s="7" t="s">
        <v>439</v>
      </c>
      <c r="E158" s="7" t="s">
        <v>440</v>
      </c>
      <c r="F158" s="7" t="s">
        <v>54</v>
      </c>
    </row>
    <row r="159">
      <c r="A159" s="7" t="s">
        <v>17</v>
      </c>
      <c r="B159" s="8">
        <v>4.0</v>
      </c>
      <c r="C159" s="7" t="s">
        <v>49</v>
      </c>
      <c r="D159" s="7" t="s">
        <v>439</v>
      </c>
      <c r="E159" s="7" t="s">
        <v>440</v>
      </c>
      <c r="F159" s="7" t="s">
        <v>54</v>
      </c>
    </row>
    <row r="160">
      <c r="A160" s="7" t="s">
        <v>18</v>
      </c>
      <c r="B160" s="8">
        <v>4.0</v>
      </c>
      <c r="C160" s="7" t="s">
        <v>49</v>
      </c>
      <c r="D160" s="7" t="s">
        <v>439</v>
      </c>
      <c r="E160" s="7" t="s">
        <v>440</v>
      </c>
      <c r="F160" s="7" t="s">
        <v>54</v>
      </c>
    </row>
    <row r="161">
      <c r="A161" s="7" t="s">
        <v>19</v>
      </c>
      <c r="B161" s="8">
        <v>4.0</v>
      </c>
      <c r="C161" s="7" t="s">
        <v>49</v>
      </c>
      <c r="D161" s="7" t="s">
        <v>439</v>
      </c>
      <c r="E161" s="7" t="s">
        <v>440</v>
      </c>
      <c r="F161" s="7" t="s">
        <v>54</v>
      </c>
    </row>
    <row r="162">
      <c r="A162" s="7" t="s">
        <v>188</v>
      </c>
      <c r="B162" s="8">
        <v>4.0</v>
      </c>
      <c r="C162" s="7" t="s">
        <v>223</v>
      </c>
      <c r="D162" s="7" t="s">
        <v>441</v>
      </c>
      <c r="E162" s="7" t="s">
        <v>442</v>
      </c>
      <c r="F162" s="7" t="s">
        <v>47</v>
      </c>
    </row>
    <row r="163">
      <c r="A163" s="7" t="s">
        <v>4</v>
      </c>
      <c r="B163" s="8">
        <v>4.0</v>
      </c>
      <c r="C163" s="7" t="s">
        <v>223</v>
      </c>
      <c r="D163" s="7" t="s">
        <v>441</v>
      </c>
      <c r="E163" s="7" t="s">
        <v>442</v>
      </c>
      <c r="F163" s="7" t="s">
        <v>47</v>
      </c>
    </row>
    <row r="164">
      <c r="A164" s="7" t="s">
        <v>386</v>
      </c>
      <c r="B164" s="8">
        <v>4.0</v>
      </c>
      <c r="C164" s="7" t="s">
        <v>223</v>
      </c>
      <c r="D164" s="7" t="s">
        <v>441</v>
      </c>
      <c r="E164" s="7" t="s">
        <v>442</v>
      </c>
      <c r="F164" s="7" t="s">
        <v>47</v>
      </c>
    </row>
    <row r="165">
      <c r="A165" s="7" t="s">
        <v>387</v>
      </c>
      <c r="B165" s="8">
        <v>4.0</v>
      </c>
      <c r="C165" s="7" t="s">
        <v>223</v>
      </c>
      <c r="D165" s="7" t="s">
        <v>441</v>
      </c>
      <c r="E165" s="7" t="s">
        <v>442</v>
      </c>
      <c r="F165" s="7" t="s">
        <v>47</v>
      </c>
    </row>
    <row r="166">
      <c r="A166" s="7" t="s">
        <v>6</v>
      </c>
      <c r="B166" s="8">
        <v>4.0</v>
      </c>
      <c r="C166" s="7" t="s">
        <v>223</v>
      </c>
      <c r="D166" s="7" t="s">
        <v>441</v>
      </c>
      <c r="E166" s="7" t="s">
        <v>442</v>
      </c>
      <c r="F166" s="7" t="s">
        <v>47</v>
      </c>
    </row>
    <row r="167">
      <c r="A167" s="7" t="s">
        <v>7</v>
      </c>
      <c r="B167" s="8">
        <v>4.0</v>
      </c>
      <c r="C167" s="7" t="s">
        <v>223</v>
      </c>
      <c r="D167" s="7" t="s">
        <v>441</v>
      </c>
      <c r="E167" s="7" t="s">
        <v>442</v>
      </c>
      <c r="F167" s="7" t="s">
        <v>47</v>
      </c>
    </row>
    <row r="168">
      <c r="A168" s="7" t="s">
        <v>8</v>
      </c>
      <c r="B168" s="8">
        <v>4.0</v>
      </c>
      <c r="C168" s="7" t="s">
        <v>223</v>
      </c>
      <c r="D168" s="7" t="s">
        <v>441</v>
      </c>
      <c r="E168" s="7" t="s">
        <v>442</v>
      </c>
      <c r="F168" s="7" t="s">
        <v>48</v>
      </c>
    </row>
    <row r="169">
      <c r="A169" s="7" t="s">
        <v>388</v>
      </c>
      <c r="B169" s="8">
        <v>4.0</v>
      </c>
      <c r="C169" s="7" t="s">
        <v>223</v>
      </c>
      <c r="D169" s="7" t="s">
        <v>441</v>
      </c>
      <c r="E169" s="7" t="s">
        <v>442</v>
      </c>
      <c r="F169" s="7" t="s">
        <v>443</v>
      </c>
    </row>
    <row r="170">
      <c r="A170" s="7" t="s">
        <v>189</v>
      </c>
      <c r="B170" s="8">
        <v>4.0</v>
      </c>
      <c r="C170" s="7" t="s">
        <v>223</v>
      </c>
      <c r="D170" s="7" t="s">
        <v>441</v>
      </c>
      <c r="E170" s="7" t="s">
        <v>442</v>
      </c>
      <c r="F170" s="7" t="s">
        <v>444</v>
      </c>
    </row>
    <row r="171">
      <c r="A171" s="7" t="s">
        <v>9</v>
      </c>
      <c r="B171" s="8">
        <v>4.0</v>
      </c>
      <c r="C171" s="7" t="s">
        <v>223</v>
      </c>
      <c r="D171" s="7" t="s">
        <v>441</v>
      </c>
      <c r="E171" s="7" t="s">
        <v>442</v>
      </c>
      <c r="F171" s="7" t="s">
        <v>444</v>
      </c>
    </row>
    <row r="172">
      <c r="A172" s="7" t="s">
        <v>10</v>
      </c>
      <c r="B172" s="8">
        <v>4.0</v>
      </c>
      <c r="C172" s="7" t="s">
        <v>223</v>
      </c>
      <c r="D172" s="7" t="s">
        <v>441</v>
      </c>
      <c r="E172" s="7" t="s">
        <v>442</v>
      </c>
      <c r="F172" s="7" t="s">
        <v>444</v>
      </c>
    </row>
    <row r="173">
      <c r="A173" s="7" t="s">
        <v>11</v>
      </c>
      <c r="B173" s="8">
        <v>4.0</v>
      </c>
      <c r="C173" s="7" t="s">
        <v>223</v>
      </c>
      <c r="D173" s="7" t="s">
        <v>441</v>
      </c>
      <c r="E173" s="7" t="s">
        <v>442</v>
      </c>
      <c r="F173" s="7" t="s">
        <v>444</v>
      </c>
    </row>
    <row r="174">
      <c r="A174" s="7" t="s">
        <v>12</v>
      </c>
      <c r="B174" s="8">
        <v>4.0</v>
      </c>
      <c r="C174" s="7" t="s">
        <v>223</v>
      </c>
      <c r="D174" s="7" t="s">
        <v>441</v>
      </c>
      <c r="E174" s="7" t="s">
        <v>442</v>
      </c>
      <c r="F174" s="7" t="s">
        <v>444</v>
      </c>
    </row>
    <row r="175">
      <c r="A175" s="7" t="s">
        <v>13</v>
      </c>
      <c r="B175" s="8">
        <v>4.0</v>
      </c>
      <c r="C175" s="7" t="s">
        <v>223</v>
      </c>
      <c r="D175" s="7" t="s">
        <v>441</v>
      </c>
      <c r="E175" s="7" t="s">
        <v>442</v>
      </c>
      <c r="F175" s="7" t="s">
        <v>444</v>
      </c>
    </row>
    <row r="176">
      <c r="A176" s="7" t="s">
        <v>14</v>
      </c>
      <c r="B176" s="8">
        <v>4.0</v>
      </c>
      <c r="C176" s="7" t="s">
        <v>223</v>
      </c>
      <c r="D176" s="7" t="s">
        <v>441</v>
      </c>
      <c r="E176" s="7" t="s">
        <v>442</v>
      </c>
      <c r="F176" s="7" t="s">
        <v>444</v>
      </c>
    </row>
    <row r="177">
      <c r="A177" s="7" t="s">
        <v>15</v>
      </c>
      <c r="B177" s="8">
        <v>4.0</v>
      </c>
      <c r="C177" s="7" t="s">
        <v>223</v>
      </c>
      <c r="D177" s="7" t="s">
        <v>441</v>
      </c>
      <c r="E177" s="7" t="s">
        <v>442</v>
      </c>
      <c r="F177" s="7" t="s">
        <v>444</v>
      </c>
    </row>
    <row r="178">
      <c r="A178" s="7" t="s">
        <v>16</v>
      </c>
      <c r="B178" s="8">
        <v>4.0</v>
      </c>
      <c r="C178" s="7" t="s">
        <v>223</v>
      </c>
      <c r="D178" s="7" t="s">
        <v>441</v>
      </c>
      <c r="E178" s="7" t="s">
        <v>442</v>
      </c>
      <c r="F178" s="7" t="s">
        <v>47</v>
      </c>
    </row>
    <row r="179">
      <c r="A179" s="7" t="s">
        <v>17</v>
      </c>
      <c r="B179" s="8">
        <v>4.0</v>
      </c>
      <c r="C179" s="7" t="s">
        <v>223</v>
      </c>
      <c r="D179" s="7" t="s">
        <v>441</v>
      </c>
      <c r="E179" s="7" t="s">
        <v>442</v>
      </c>
      <c r="F179" s="7" t="s">
        <v>47</v>
      </c>
    </row>
    <row r="180">
      <c r="A180" s="7" t="s">
        <v>18</v>
      </c>
      <c r="B180" s="8">
        <v>4.0</v>
      </c>
      <c r="C180" s="7" t="s">
        <v>223</v>
      </c>
      <c r="D180" s="7" t="s">
        <v>441</v>
      </c>
      <c r="E180" s="7" t="s">
        <v>442</v>
      </c>
      <c r="F180" s="7" t="s">
        <v>445</v>
      </c>
    </row>
    <row r="181">
      <c r="A181" s="7" t="s">
        <v>19</v>
      </c>
      <c r="B181" s="8">
        <v>4.0</v>
      </c>
      <c r="C181" s="7" t="s">
        <v>223</v>
      </c>
      <c r="D181" s="7" t="s">
        <v>441</v>
      </c>
      <c r="E181" s="7" t="s">
        <v>442</v>
      </c>
      <c r="F181" s="7" t="s">
        <v>445</v>
      </c>
    </row>
    <row r="182">
      <c r="A182" s="7" t="s">
        <v>188</v>
      </c>
      <c r="B182" s="8">
        <v>4.0</v>
      </c>
      <c r="C182" s="7" t="s">
        <v>43</v>
      </c>
      <c r="D182" s="7" t="s">
        <v>446</v>
      </c>
      <c r="E182" s="7" t="s">
        <v>447</v>
      </c>
      <c r="F182" s="7" t="s">
        <v>65</v>
      </c>
    </row>
    <row r="183">
      <c r="A183" s="7" t="s">
        <v>4</v>
      </c>
      <c r="B183" s="8">
        <v>4.0</v>
      </c>
      <c r="C183" s="7" t="s">
        <v>43</v>
      </c>
      <c r="D183" s="7" t="s">
        <v>446</v>
      </c>
      <c r="E183" s="7" t="s">
        <v>447</v>
      </c>
      <c r="F183" s="7" t="s">
        <v>65</v>
      </c>
    </row>
    <row r="184">
      <c r="A184" s="7" t="s">
        <v>386</v>
      </c>
      <c r="B184" s="8">
        <v>4.0</v>
      </c>
      <c r="C184" s="7" t="s">
        <v>43</v>
      </c>
      <c r="D184" s="7" t="s">
        <v>446</v>
      </c>
      <c r="E184" s="7" t="s">
        <v>447</v>
      </c>
      <c r="F184" s="7" t="s">
        <v>65</v>
      </c>
    </row>
    <row r="185">
      <c r="A185" s="7" t="s">
        <v>387</v>
      </c>
      <c r="B185" s="8">
        <v>4.0</v>
      </c>
      <c r="C185" s="7" t="s">
        <v>43</v>
      </c>
      <c r="D185" s="7" t="s">
        <v>446</v>
      </c>
      <c r="E185" s="7" t="s">
        <v>447</v>
      </c>
      <c r="F185" s="7" t="s">
        <v>65</v>
      </c>
    </row>
    <row r="186">
      <c r="A186" s="7" t="s">
        <v>6</v>
      </c>
      <c r="B186" s="8">
        <v>4.0</v>
      </c>
      <c r="C186" s="7" t="s">
        <v>43</v>
      </c>
      <c r="D186" s="7" t="s">
        <v>446</v>
      </c>
      <c r="E186" s="7" t="s">
        <v>447</v>
      </c>
      <c r="F186" s="7" t="s">
        <v>232</v>
      </c>
    </row>
    <row r="187">
      <c r="A187" s="7" t="s">
        <v>7</v>
      </c>
      <c r="B187" s="8">
        <v>4.0</v>
      </c>
      <c r="C187" s="7" t="s">
        <v>43</v>
      </c>
      <c r="D187" s="7" t="s">
        <v>446</v>
      </c>
      <c r="E187" s="7" t="s">
        <v>447</v>
      </c>
      <c r="F187" s="7" t="s">
        <v>65</v>
      </c>
    </row>
    <row r="188">
      <c r="A188" s="7" t="s">
        <v>8</v>
      </c>
      <c r="B188" s="8">
        <v>4.0</v>
      </c>
      <c r="C188" s="7" t="s">
        <v>43</v>
      </c>
      <c r="D188" s="7" t="s">
        <v>446</v>
      </c>
      <c r="E188" s="7" t="s">
        <v>447</v>
      </c>
      <c r="F188" s="7" t="s">
        <v>448</v>
      </c>
    </row>
    <row r="189">
      <c r="A189" s="7" t="s">
        <v>388</v>
      </c>
      <c r="B189" s="8">
        <v>4.0</v>
      </c>
      <c r="C189" s="7" t="s">
        <v>43</v>
      </c>
      <c r="D189" s="7" t="s">
        <v>446</v>
      </c>
      <c r="E189" s="7" t="s">
        <v>447</v>
      </c>
      <c r="F189" s="7" t="s">
        <v>232</v>
      </c>
    </row>
    <row r="190">
      <c r="A190" s="7" t="s">
        <v>189</v>
      </c>
      <c r="B190" s="8">
        <v>4.0</v>
      </c>
      <c r="C190" s="7" t="s">
        <v>43</v>
      </c>
      <c r="D190" s="7" t="s">
        <v>446</v>
      </c>
      <c r="E190" s="7" t="s">
        <v>447</v>
      </c>
      <c r="F190" s="7" t="s">
        <v>65</v>
      </c>
    </row>
    <row r="191">
      <c r="A191" s="7" t="s">
        <v>9</v>
      </c>
      <c r="B191" s="8">
        <v>4.0</v>
      </c>
      <c r="C191" s="7" t="s">
        <v>43</v>
      </c>
      <c r="D191" s="7" t="s">
        <v>446</v>
      </c>
      <c r="E191" s="7" t="s">
        <v>447</v>
      </c>
      <c r="F191" s="7" t="s">
        <v>65</v>
      </c>
    </row>
    <row r="192">
      <c r="A192" s="7" t="s">
        <v>10</v>
      </c>
      <c r="B192" s="8">
        <v>4.0</v>
      </c>
      <c r="C192" s="7" t="s">
        <v>43</v>
      </c>
      <c r="D192" s="7" t="s">
        <v>446</v>
      </c>
      <c r="E192" s="7" t="s">
        <v>447</v>
      </c>
      <c r="F192" s="7" t="s">
        <v>65</v>
      </c>
    </row>
    <row r="193">
      <c r="A193" s="7" t="s">
        <v>11</v>
      </c>
      <c r="B193" s="8">
        <v>4.0</v>
      </c>
      <c r="C193" s="7" t="s">
        <v>43</v>
      </c>
      <c r="D193" s="7" t="s">
        <v>446</v>
      </c>
      <c r="E193" s="7" t="s">
        <v>447</v>
      </c>
      <c r="F193" s="7" t="s">
        <v>232</v>
      </c>
    </row>
    <row r="194">
      <c r="A194" s="7" t="s">
        <v>12</v>
      </c>
      <c r="B194" s="8">
        <v>4.0</v>
      </c>
      <c r="C194" s="7" t="s">
        <v>43</v>
      </c>
      <c r="D194" s="7" t="s">
        <v>446</v>
      </c>
      <c r="E194" s="7" t="s">
        <v>447</v>
      </c>
      <c r="F194" s="7" t="s">
        <v>65</v>
      </c>
    </row>
    <row r="195">
      <c r="A195" s="7" t="s">
        <v>13</v>
      </c>
      <c r="B195" s="8">
        <v>4.0</v>
      </c>
      <c r="C195" s="7" t="s">
        <v>43</v>
      </c>
      <c r="D195" s="7" t="s">
        <v>446</v>
      </c>
      <c r="E195" s="7" t="s">
        <v>447</v>
      </c>
      <c r="F195" s="7" t="s">
        <v>65</v>
      </c>
    </row>
    <row r="196">
      <c r="A196" s="7" t="s">
        <v>14</v>
      </c>
      <c r="B196" s="8">
        <v>4.0</v>
      </c>
      <c r="C196" s="7" t="s">
        <v>43</v>
      </c>
      <c r="D196" s="7" t="s">
        <v>446</v>
      </c>
      <c r="E196" s="7" t="s">
        <v>447</v>
      </c>
      <c r="F196" s="7" t="s">
        <v>65</v>
      </c>
    </row>
    <row r="197">
      <c r="A197" s="7" t="s">
        <v>15</v>
      </c>
      <c r="B197" s="8">
        <v>4.0</v>
      </c>
      <c r="C197" s="7" t="s">
        <v>43</v>
      </c>
      <c r="D197" s="7" t="s">
        <v>446</v>
      </c>
      <c r="E197" s="7" t="s">
        <v>447</v>
      </c>
      <c r="F197" s="7" t="s">
        <v>65</v>
      </c>
    </row>
    <row r="198">
      <c r="A198" s="7" t="s">
        <v>16</v>
      </c>
      <c r="B198" s="8">
        <v>4.0</v>
      </c>
      <c r="C198" s="7" t="s">
        <v>43</v>
      </c>
      <c r="D198" s="7" t="s">
        <v>446</v>
      </c>
      <c r="E198" s="7" t="s">
        <v>447</v>
      </c>
      <c r="F198" s="7" t="s">
        <v>65</v>
      </c>
    </row>
    <row r="199">
      <c r="A199" s="7" t="s">
        <v>17</v>
      </c>
      <c r="B199" s="8">
        <v>4.0</v>
      </c>
      <c r="C199" s="7" t="s">
        <v>43</v>
      </c>
      <c r="D199" s="7" t="s">
        <v>446</v>
      </c>
      <c r="E199" s="7" t="s">
        <v>447</v>
      </c>
      <c r="F199" s="7" t="s">
        <v>65</v>
      </c>
    </row>
    <row r="200">
      <c r="A200" s="7" t="s">
        <v>18</v>
      </c>
      <c r="B200" s="8">
        <v>4.0</v>
      </c>
      <c r="C200" s="7" t="s">
        <v>43</v>
      </c>
      <c r="D200" s="7" t="s">
        <v>446</v>
      </c>
      <c r="E200" s="7" t="s">
        <v>447</v>
      </c>
      <c r="F200" s="7" t="s">
        <v>232</v>
      </c>
    </row>
    <row r="201">
      <c r="A201" s="7" t="s">
        <v>19</v>
      </c>
      <c r="B201" s="8">
        <v>4.0</v>
      </c>
      <c r="C201" s="7" t="s">
        <v>43</v>
      </c>
      <c r="D201" s="7" t="s">
        <v>446</v>
      </c>
      <c r="E201" s="7" t="s">
        <v>447</v>
      </c>
      <c r="F201" s="7" t="s">
        <v>232</v>
      </c>
    </row>
    <row r="202">
      <c r="A202" s="7" t="s">
        <v>188</v>
      </c>
      <c r="B202" s="8">
        <v>4.0</v>
      </c>
      <c r="C202" s="7" t="s">
        <v>62</v>
      </c>
      <c r="D202" s="7" t="s">
        <v>449</v>
      </c>
      <c r="E202" s="7" t="s">
        <v>450</v>
      </c>
      <c r="F202" s="7" t="s">
        <v>65</v>
      </c>
    </row>
    <row r="203">
      <c r="A203" s="7" t="s">
        <v>4</v>
      </c>
      <c r="B203" s="8">
        <v>4.0</v>
      </c>
      <c r="C203" s="7" t="s">
        <v>62</v>
      </c>
      <c r="D203" s="7" t="s">
        <v>449</v>
      </c>
      <c r="E203" s="7" t="s">
        <v>450</v>
      </c>
      <c r="F203" s="7" t="s">
        <v>65</v>
      </c>
    </row>
    <row r="204">
      <c r="A204" s="7" t="s">
        <v>386</v>
      </c>
      <c r="B204" s="8">
        <v>4.0</v>
      </c>
      <c r="C204" s="7" t="s">
        <v>62</v>
      </c>
      <c r="D204" s="7" t="s">
        <v>449</v>
      </c>
      <c r="E204" s="7" t="s">
        <v>450</v>
      </c>
      <c r="F204" s="7" t="s">
        <v>65</v>
      </c>
    </row>
    <row r="205">
      <c r="A205" s="7" t="s">
        <v>387</v>
      </c>
      <c r="B205" s="8">
        <v>4.0</v>
      </c>
      <c r="C205" s="7" t="s">
        <v>62</v>
      </c>
      <c r="D205" s="7" t="s">
        <v>449</v>
      </c>
      <c r="E205" s="7" t="s">
        <v>450</v>
      </c>
      <c r="F205" s="7" t="s">
        <v>65</v>
      </c>
    </row>
    <row r="206">
      <c r="A206" s="7" t="s">
        <v>6</v>
      </c>
      <c r="B206" s="8">
        <v>4.0</v>
      </c>
      <c r="C206" s="7" t="s">
        <v>62</v>
      </c>
      <c r="D206" s="7" t="s">
        <v>449</v>
      </c>
      <c r="E206" s="7" t="s">
        <v>450</v>
      </c>
      <c r="F206" s="7" t="s">
        <v>65</v>
      </c>
    </row>
    <row r="207">
      <c r="A207" s="7" t="s">
        <v>7</v>
      </c>
      <c r="B207" s="8">
        <v>4.0</v>
      </c>
      <c r="C207" s="7" t="s">
        <v>62</v>
      </c>
      <c r="D207" s="7" t="s">
        <v>449</v>
      </c>
      <c r="E207" s="7" t="s">
        <v>450</v>
      </c>
      <c r="F207" s="7" t="s">
        <v>65</v>
      </c>
    </row>
    <row r="208">
      <c r="A208" s="7" t="s">
        <v>8</v>
      </c>
      <c r="B208" s="8">
        <v>4.0</v>
      </c>
      <c r="C208" s="7" t="s">
        <v>62</v>
      </c>
      <c r="D208" s="7" t="s">
        <v>449</v>
      </c>
      <c r="E208" s="7" t="s">
        <v>450</v>
      </c>
      <c r="F208" s="7" t="s">
        <v>66</v>
      </c>
    </row>
    <row r="209">
      <c r="A209" s="7" t="s">
        <v>388</v>
      </c>
      <c r="B209" s="8">
        <v>4.0</v>
      </c>
      <c r="C209" s="7" t="s">
        <v>62</v>
      </c>
      <c r="D209" s="7" t="s">
        <v>449</v>
      </c>
      <c r="E209" s="7" t="s">
        <v>450</v>
      </c>
      <c r="F209" s="7" t="s">
        <v>65</v>
      </c>
    </row>
    <row r="210">
      <c r="A210" s="7" t="s">
        <v>189</v>
      </c>
      <c r="B210" s="8">
        <v>4.0</v>
      </c>
      <c r="C210" s="7" t="s">
        <v>62</v>
      </c>
      <c r="D210" s="7" t="s">
        <v>449</v>
      </c>
      <c r="E210" s="7" t="s">
        <v>450</v>
      </c>
      <c r="F210" s="7" t="s">
        <v>65</v>
      </c>
    </row>
    <row r="211">
      <c r="A211" s="7" t="s">
        <v>9</v>
      </c>
      <c r="B211" s="8">
        <v>4.0</v>
      </c>
      <c r="C211" s="7" t="s">
        <v>62</v>
      </c>
      <c r="D211" s="7" t="s">
        <v>449</v>
      </c>
      <c r="E211" s="7" t="s">
        <v>450</v>
      </c>
      <c r="F211" s="7" t="s">
        <v>65</v>
      </c>
    </row>
    <row r="212">
      <c r="A212" s="7" t="s">
        <v>10</v>
      </c>
      <c r="B212" s="8">
        <v>4.0</v>
      </c>
      <c r="C212" s="7" t="s">
        <v>62</v>
      </c>
      <c r="D212" s="7" t="s">
        <v>449</v>
      </c>
      <c r="E212" s="7" t="s">
        <v>450</v>
      </c>
      <c r="F212" s="7" t="s">
        <v>65</v>
      </c>
    </row>
    <row r="213">
      <c r="A213" s="7" t="s">
        <v>11</v>
      </c>
      <c r="B213" s="8">
        <v>4.0</v>
      </c>
      <c r="C213" s="7" t="s">
        <v>62</v>
      </c>
      <c r="D213" s="7" t="s">
        <v>449</v>
      </c>
      <c r="E213" s="7" t="s">
        <v>450</v>
      </c>
      <c r="F213" s="7" t="s">
        <v>65</v>
      </c>
    </row>
    <row r="214">
      <c r="A214" s="7" t="s">
        <v>12</v>
      </c>
      <c r="B214" s="8">
        <v>4.0</v>
      </c>
      <c r="C214" s="7" t="s">
        <v>62</v>
      </c>
      <c r="D214" s="7" t="s">
        <v>449</v>
      </c>
      <c r="E214" s="7" t="s">
        <v>450</v>
      </c>
      <c r="F214" s="7" t="s">
        <v>65</v>
      </c>
    </row>
    <row r="215">
      <c r="A215" s="7" t="s">
        <v>13</v>
      </c>
      <c r="B215" s="8">
        <v>4.0</v>
      </c>
      <c r="C215" s="7" t="s">
        <v>62</v>
      </c>
      <c r="D215" s="7" t="s">
        <v>449</v>
      </c>
      <c r="E215" s="7" t="s">
        <v>450</v>
      </c>
      <c r="F215" s="7" t="s">
        <v>65</v>
      </c>
    </row>
    <row r="216">
      <c r="A216" s="7" t="s">
        <v>14</v>
      </c>
      <c r="B216" s="8">
        <v>4.0</v>
      </c>
      <c r="C216" s="7" t="s">
        <v>62</v>
      </c>
      <c r="D216" s="7" t="s">
        <v>449</v>
      </c>
      <c r="E216" s="7" t="s">
        <v>450</v>
      </c>
      <c r="F216" s="7" t="s">
        <v>65</v>
      </c>
    </row>
    <row r="217">
      <c r="A217" s="7" t="s">
        <v>15</v>
      </c>
      <c r="B217" s="8">
        <v>4.0</v>
      </c>
      <c r="C217" s="7" t="s">
        <v>62</v>
      </c>
      <c r="D217" s="7" t="s">
        <v>449</v>
      </c>
      <c r="E217" s="7" t="s">
        <v>450</v>
      </c>
      <c r="F217" s="7" t="s">
        <v>65</v>
      </c>
    </row>
    <row r="218">
      <c r="A218" s="7" t="s">
        <v>16</v>
      </c>
      <c r="B218" s="8">
        <v>4.0</v>
      </c>
      <c r="C218" s="7" t="s">
        <v>62</v>
      </c>
      <c r="D218" s="7" t="s">
        <v>449</v>
      </c>
      <c r="E218" s="7" t="s">
        <v>450</v>
      </c>
      <c r="F218" s="7" t="s">
        <v>65</v>
      </c>
    </row>
    <row r="219">
      <c r="A219" s="7" t="s">
        <v>17</v>
      </c>
      <c r="B219" s="8">
        <v>4.0</v>
      </c>
      <c r="C219" s="7" t="s">
        <v>62</v>
      </c>
      <c r="D219" s="7" t="s">
        <v>449</v>
      </c>
      <c r="E219" s="7" t="s">
        <v>450</v>
      </c>
      <c r="F219" s="7" t="s">
        <v>65</v>
      </c>
    </row>
    <row r="220">
      <c r="A220" s="7" t="s">
        <v>18</v>
      </c>
      <c r="B220" s="8">
        <v>4.0</v>
      </c>
      <c r="C220" s="7" t="s">
        <v>62</v>
      </c>
      <c r="D220" s="7" t="s">
        <v>449</v>
      </c>
      <c r="E220" s="7" t="s">
        <v>450</v>
      </c>
      <c r="F220" s="7" t="s">
        <v>451</v>
      </c>
    </row>
    <row r="221">
      <c r="A221" s="7" t="s">
        <v>19</v>
      </c>
      <c r="B221" s="8">
        <v>4.0</v>
      </c>
      <c r="C221" s="7" t="s">
        <v>62</v>
      </c>
      <c r="D221" s="7" t="s">
        <v>449</v>
      </c>
      <c r="E221" s="7" t="s">
        <v>450</v>
      </c>
      <c r="F221" s="7" t="s">
        <v>451</v>
      </c>
    </row>
    <row r="222">
      <c r="A222" s="7" t="s">
        <v>188</v>
      </c>
      <c r="B222" s="8">
        <v>4.0</v>
      </c>
      <c r="C222" s="7" t="s">
        <v>67</v>
      </c>
      <c r="D222" s="7" t="s">
        <v>452</v>
      </c>
      <c r="E222" s="7" t="s">
        <v>453</v>
      </c>
      <c r="F222" s="7" t="s">
        <v>131</v>
      </c>
    </row>
    <row r="223">
      <c r="A223" s="7" t="s">
        <v>4</v>
      </c>
      <c r="B223" s="8">
        <v>4.0</v>
      </c>
      <c r="C223" s="7" t="s">
        <v>67</v>
      </c>
      <c r="D223" s="7" t="s">
        <v>452</v>
      </c>
      <c r="E223" s="7" t="s">
        <v>453</v>
      </c>
      <c r="F223" s="7" t="s">
        <v>70</v>
      </c>
    </row>
    <row r="224">
      <c r="A224" s="7" t="s">
        <v>386</v>
      </c>
      <c r="B224" s="8">
        <v>4.0</v>
      </c>
      <c r="C224" s="7" t="s">
        <v>67</v>
      </c>
      <c r="D224" s="7" t="s">
        <v>452</v>
      </c>
      <c r="E224" s="7" t="s">
        <v>453</v>
      </c>
      <c r="F224" s="7" t="s">
        <v>454</v>
      </c>
    </row>
    <row r="225">
      <c r="A225" s="7" t="s">
        <v>387</v>
      </c>
      <c r="B225" s="8">
        <v>4.0</v>
      </c>
      <c r="C225" s="7" t="s">
        <v>67</v>
      </c>
      <c r="D225" s="7" t="s">
        <v>452</v>
      </c>
      <c r="E225" s="7" t="s">
        <v>453</v>
      </c>
      <c r="F225" s="7" t="s">
        <v>70</v>
      </c>
    </row>
    <row r="226">
      <c r="A226" s="7" t="s">
        <v>6</v>
      </c>
      <c r="B226" s="8">
        <v>4.0</v>
      </c>
      <c r="C226" s="7" t="s">
        <v>67</v>
      </c>
      <c r="D226" s="7" t="s">
        <v>452</v>
      </c>
      <c r="E226" s="7" t="s">
        <v>453</v>
      </c>
      <c r="F226" s="7" t="s">
        <v>70</v>
      </c>
    </row>
    <row r="227">
      <c r="A227" s="7" t="s">
        <v>7</v>
      </c>
      <c r="B227" s="8">
        <v>4.0</v>
      </c>
      <c r="C227" s="7" t="s">
        <v>67</v>
      </c>
      <c r="D227" s="7" t="s">
        <v>452</v>
      </c>
      <c r="E227" s="7" t="s">
        <v>453</v>
      </c>
      <c r="F227" s="7" t="s">
        <v>70</v>
      </c>
    </row>
    <row r="228">
      <c r="A228" s="7" t="s">
        <v>8</v>
      </c>
      <c r="B228" s="8">
        <v>4.0</v>
      </c>
      <c r="C228" s="7" t="s">
        <v>67</v>
      </c>
      <c r="D228" s="7" t="s">
        <v>452</v>
      </c>
      <c r="E228" s="7" t="s">
        <v>453</v>
      </c>
      <c r="F228" s="7" t="s">
        <v>71</v>
      </c>
    </row>
    <row r="229">
      <c r="A229" s="7" t="s">
        <v>388</v>
      </c>
      <c r="B229" s="8">
        <v>4.0</v>
      </c>
      <c r="C229" s="7" t="s">
        <v>67</v>
      </c>
      <c r="D229" s="7" t="s">
        <v>452</v>
      </c>
      <c r="E229" s="7" t="s">
        <v>453</v>
      </c>
      <c r="F229" s="7" t="s">
        <v>70</v>
      </c>
    </row>
    <row r="230">
      <c r="A230" s="7" t="s">
        <v>189</v>
      </c>
      <c r="B230" s="8">
        <v>4.0</v>
      </c>
      <c r="C230" s="7" t="s">
        <v>67</v>
      </c>
      <c r="D230" s="7" t="s">
        <v>452</v>
      </c>
      <c r="E230" s="7" t="s">
        <v>453</v>
      </c>
      <c r="F230" s="7" t="s">
        <v>131</v>
      </c>
    </row>
    <row r="231">
      <c r="A231" s="7" t="s">
        <v>9</v>
      </c>
      <c r="B231" s="8">
        <v>4.0</v>
      </c>
      <c r="C231" s="7" t="s">
        <v>67</v>
      </c>
      <c r="D231" s="7" t="s">
        <v>452</v>
      </c>
      <c r="E231" s="7" t="s">
        <v>453</v>
      </c>
      <c r="F231" s="7" t="s">
        <v>70</v>
      </c>
    </row>
    <row r="232">
      <c r="A232" s="7" t="s">
        <v>10</v>
      </c>
      <c r="B232" s="8">
        <v>4.0</v>
      </c>
      <c r="C232" s="7" t="s">
        <v>67</v>
      </c>
      <c r="D232" s="7" t="s">
        <v>452</v>
      </c>
      <c r="E232" s="7" t="s">
        <v>453</v>
      </c>
      <c r="F232" s="7" t="s">
        <v>70</v>
      </c>
    </row>
    <row r="233">
      <c r="A233" s="7" t="s">
        <v>11</v>
      </c>
      <c r="B233" s="8">
        <v>4.0</v>
      </c>
      <c r="C233" s="7" t="s">
        <v>67</v>
      </c>
      <c r="D233" s="7" t="s">
        <v>452</v>
      </c>
      <c r="E233" s="7" t="s">
        <v>453</v>
      </c>
      <c r="F233" s="7" t="s">
        <v>131</v>
      </c>
    </row>
    <row r="234">
      <c r="A234" s="7" t="s">
        <v>12</v>
      </c>
      <c r="B234" s="8">
        <v>4.0</v>
      </c>
      <c r="C234" s="7" t="s">
        <v>67</v>
      </c>
      <c r="D234" s="7" t="s">
        <v>452</v>
      </c>
      <c r="E234" s="7" t="s">
        <v>453</v>
      </c>
      <c r="F234" s="7" t="s">
        <v>70</v>
      </c>
    </row>
    <row r="235">
      <c r="A235" s="7" t="s">
        <v>13</v>
      </c>
      <c r="B235" s="8">
        <v>4.0</v>
      </c>
      <c r="C235" s="7" t="s">
        <v>67</v>
      </c>
      <c r="D235" s="7" t="s">
        <v>452</v>
      </c>
      <c r="E235" s="7" t="s">
        <v>453</v>
      </c>
      <c r="F235" s="7" t="s">
        <v>70</v>
      </c>
    </row>
    <row r="236">
      <c r="A236" s="7" t="s">
        <v>14</v>
      </c>
      <c r="B236" s="8">
        <v>4.0</v>
      </c>
      <c r="C236" s="7" t="s">
        <v>67</v>
      </c>
      <c r="D236" s="7" t="s">
        <v>452</v>
      </c>
      <c r="E236" s="7" t="s">
        <v>453</v>
      </c>
      <c r="F236" s="7" t="s">
        <v>131</v>
      </c>
    </row>
    <row r="237">
      <c r="A237" s="7" t="s">
        <v>15</v>
      </c>
      <c r="B237" s="8">
        <v>4.0</v>
      </c>
      <c r="C237" s="7" t="s">
        <v>67</v>
      </c>
      <c r="D237" s="7" t="s">
        <v>452</v>
      </c>
      <c r="E237" s="7" t="s">
        <v>453</v>
      </c>
      <c r="F237" s="7" t="s">
        <v>455</v>
      </c>
    </row>
    <row r="238">
      <c r="A238" s="7" t="s">
        <v>16</v>
      </c>
      <c r="B238" s="8">
        <v>4.0</v>
      </c>
      <c r="C238" s="7" t="s">
        <v>67</v>
      </c>
      <c r="D238" s="7" t="s">
        <v>452</v>
      </c>
      <c r="E238" s="7" t="s">
        <v>453</v>
      </c>
      <c r="F238" s="7" t="s">
        <v>70</v>
      </c>
    </row>
    <row r="239">
      <c r="A239" s="7" t="s">
        <v>17</v>
      </c>
      <c r="B239" s="8">
        <v>4.0</v>
      </c>
      <c r="C239" s="7" t="s">
        <v>67</v>
      </c>
      <c r="D239" s="7" t="s">
        <v>452</v>
      </c>
      <c r="E239" s="7" t="s">
        <v>453</v>
      </c>
      <c r="F239" s="7" t="s">
        <v>70</v>
      </c>
    </row>
    <row r="240">
      <c r="A240" s="7" t="s">
        <v>18</v>
      </c>
      <c r="B240" s="8">
        <v>4.0</v>
      </c>
      <c r="C240" s="7" t="s">
        <v>67</v>
      </c>
      <c r="D240" s="7" t="s">
        <v>452</v>
      </c>
      <c r="E240" s="7" t="s">
        <v>453</v>
      </c>
      <c r="F240" s="7" t="s">
        <v>456</v>
      </c>
    </row>
    <row r="241">
      <c r="A241" s="7" t="s">
        <v>19</v>
      </c>
      <c r="B241" s="8">
        <v>4.0</v>
      </c>
      <c r="C241" s="7" t="s">
        <v>67</v>
      </c>
      <c r="D241" s="7" t="s">
        <v>452</v>
      </c>
      <c r="E241" s="7" t="s">
        <v>453</v>
      </c>
      <c r="F241" s="7" t="s">
        <v>70</v>
      </c>
    </row>
    <row r="242">
      <c r="A242" s="7" t="s">
        <v>188</v>
      </c>
      <c r="B242" s="8">
        <v>4.0</v>
      </c>
      <c r="C242" s="7" t="s">
        <v>72</v>
      </c>
      <c r="D242" s="7" t="s">
        <v>457</v>
      </c>
      <c r="E242" s="7" t="s">
        <v>458</v>
      </c>
      <c r="F242" s="7" t="s">
        <v>76</v>
      </c>
    </row>
    <row r="243">
      <c r="A243" s="7" t="s">
        <v>4</v>
      </c>
      <c r="B243" s="8">
        <v>4.0</v>
      </c>
      <c r="C243" s="7" t="s">
        <v>72</v>
      </c>
      <c r="D243" s="7" t="s">
        <v>457</v>
      </c>
      <c r="E243" s="7" t="s">
        <v>458</v>
      </c>
      <c r="F243" s="7" t="s">
        <v>77</v>
      </c>
    </row>
    <row r="244">
      <c r="A244" s="7" t="s">
        <v>386</v>
      </c>
      <c r="B244" s="8">
        <v>4.0</v>
      </c>
      <c r="C244" s="7" t="s">
        <v>72</v>
      </c>
      <c r="D244" s="7" t="s">
        <v>457</v>
      </c>
      <c r="E244" s="7" t="s">
        <v>458</v>
      </c>
      <c r="F244" s="7" t="s">
        <v>76</v>
      </c>
    </row>
    <row r="245">
      <c r="A245" s="7" t="s">
        <v>387</v>
      </c>
      <c r="B245" s="8">
        <v>4.0</v>
      </c>
      <c r="C245" s="7" t="s">
        <v>72</v>
      </c>
      <c r="D245" s="7" t="s">
        <v>457</v>
      </c>
      <c r="E245" s="7" t="s">
        <v>458</v>
      </c>
      <c r="F245" s="7" t="s">
        <v>76</v>
      </c>
    </row>
    <row r="246">
      <c r="A246" s="7" t="s">
        <v>6</v>
      </c>
      <c r="B246" s="8">
        <v>4.0</v>
      </c>
      <c r="C246" s="7" t="s">
        <v>72</v>
      </c>
      <c r="D246" s="7" t="s">
        <v>457</v>
      </c>
      <c r="E246" s="7" t="s">
        <v>458</v>
      </c>
      <c r="F246" s="7" t="s">
        <v>77</v>
      </c>
    </row>
    <row r="247">
      <c r="A247" s="7" t="s">
        <v>7</v>
      </c>
      <c r="B247" s="8">
        <v>4.0</v>
      </c>
      <c r="C247" s="7" t="s">
        <v>72</v>
      </c>
      <c r="D247" s="7" t="s">
        <v>457</v>
      </c>
      <c r="E247" s="7" t="s">
        <v>458</v>
      </c>
      <c r="F247" s="7" t="s">
        <v>77</v>
      </c>
    </row>
    <row r="248">
      <c r="A248" s="7" t="s">
        <v>8</v>
      </c>
      <c r="B248" s="8">
        <v>4.0</v>
      </c>
      <c r="C248" s="7" t="s">
        <v>72</v>
      </c>
      <c r="D248" s="7" t="s">
        <v>457</v>
      </c>
      <c r="E248" s="7" t="s">
        <v>458</v>
      </c>
      <c r="F248" s="7" t="s">
        <v>76</v>
      </c>
    </row>
    <row r="249">
      <c r="A249" s="7" t="s">
        <v>388</v>
      </c>
      <c r="B249" s="8">
        <v>4.0</v>
      </c>
      <c r="C249" s="7" t="s">
        <v>72</v>
      </c>
      <c r="D249" s="7" t="s">
        <v>457</v>
      </c>
      <c r="E249" s="7" t="s">
        <v>458</v>
      </c>
      <c r="F249" s="7" t="s">
        <v>459</v>
      </c>
    </row>
    <row r="250">
      <c r="A250" s="7" t="s">
        <v>189</v>
      </c>
      <c r="B250" s="8">
        <v>4.0</v>
      </c>
      <c r="C250" s="7" t="s">
        <v>72</v>
      </c>
      <c r="D250" s="7" t="s">
        <v>457</v>
      </c>
      <c r="E250" s="7" t="s">
        <v>458</v>
      </c>
      <c r="F250" s="7" t="s">
        <v>76</v>
      </c>
    </row>
    <row r="251">
      <c r="A251" s="7" t="s">
        <v>9</v>
      </c>
      <c r="B251" s="8">
        <v>4.0</v>
      </c>
      <c r="C251" s="7" t="s">
        <v>72</v>
      </c>
      <c r="D251" s="7" t="s">
        <v>457</v>
      </c>
      <c r="E251" s="7" t="s">
        <v>458</v>
      </c>
      <c r="F251" s="7" t="s">
        <v>75</v>
      </c>
    </row>
    <row r="252">
      <c r="A252" s="7" t="s">
        <v>10</v>
      </c>
      <c r="B252" s="8">
        <v>4.0</v>
      </c>
      <c r="C252" s="7" t="s">
        <v>72</v>
      </c>
      <c r="D252" s="7" t="s">
        <v>457</v>
      </c>
      <c r="E252" s="7" t="s">
        <v>458</v>
      </c>
      <c r="F252" s="7" t="s">
        <v>76</v>
      </c>
    </row>
    <row r="253">
      <c r="A253" s="7" t="s">
        <v>11</v>
      </c>
      <c r="B253" s="8">
        <v>4.0</v>
      </c>
      <c r="C253" s="7" t="s">
        <v>72</v>
      </c>
      <c r="D253" s="7" t="s">
        <v>457</v>
      </c>
      <c r="E253" s="7" t="s">
        <v>458</v>
      </c>
      <c r="F253" s="7" t="s">
        <v>460</v>
      </c>
    </row>
    <row r="254">
      <c r="A254" s="7" t="s">
        <v>12</v>
      </c>
      <c r="B254" s="8">
        <v>4.0</v>
      </c>
      <c r="C254" s="7" t="s">
        <v>72</v>
      </c>
      <c r="D254" s="7" t="s">
        <v>457</v>
      </c>
      <c r="E254" s="7" t="s">
        <v>458</v>
      </c>
      <c r="F254" s="7" t="s">
        <v>76</v>
      </c>
    </row>
    <row r="255">
      <c r="A255" s="7" t="s">
        <v>13</v>
      </c>
      <c r="B255" s="8">
        <v>4.0</v>
      </c>
      <c r="C255" s="7" t="s">
        <v>72</v>
      </c>
      <c r="D255" s="7" t="s">
        <v>457</v>
      </c>
      <c r="E255" s="7" t="s">
        <v>458</v>
      </c>
      <c r="F255" s="7" t="s">
        <v>76</v>
      </c>
    </row>
    <row r="256">
      <c r="A256" s="7" t="s">
        <v>14</v>
      </c>
      <c r="B256" s="8">
        <v>4.0</v>
      </c>
      <c r="C256" s="7" t="s">
        <v>72</v>
      </c>
      <c r="D256" s="7" t="s">
        <v>457</v>
      </c>
      <c r="E256" s="7" t="s">
        <v>458</v>
      </c>
      <c r="F256" s="7" t="s">
        <v>76</v>
      </c>
    </row>
    <row r="257">
      <c r="A257" s="7" t="s">
        <v>15</v>
      </c>
      <c r="B257" s="8">
        <v>4.0</v>
      </c>
      <c r="C257" s="7" t="s">
        <v>72</v>
      </c>
      <c r="D257" s="7" t="s">
        <v>457</v>
      </c>
      <c r="E257" s="7" t="s">
        <v>458</v>
      </c>
      <c r="F257" s="7" t="s">
        <v>76</v>
      </c>
    </row>
    <row r="258">
      <c r="A258" s="7" t="s">
        <v>16</v>
      </c>
      <c r="B258" s="8">
        <v>4.0</v>
      </c>
      <c r="C258" s="7" t="s">
        <v>72</v>
      </c>
      <c r="D258" s="7" t="s">
        <v>457</v>
      </c>
      <c r="E258" s="7" t="s">
        <v>458</v>
      </c>
      <c r="F258" s="7" t="s">
        <v>75</v>
      </c>
    </row>
    <row r="259">
      <c r="A259" s="7" t="s">
        <v>17</v>
      </c>
      <c r="B259" s="8">
        <v>4.0</v>
      </c>
      <c r="C259" s="7" t="s">
        <v>72</v>
      </c>
      <c r="D259" s="7" t="s">
        <v>457</v>
      </c>
      <c r="E259" s="7" t="s">
        <v>458</v>
      </c>
      <c r="F259" s="7" t="s">
        <v>75</v>
      </c>
    </row>
    <row r="260">
      <c r="A260" s="7" t="s">
        <v>18</v>
      </c>
      <c r="B260" s="8">
        <v>4.0</v>
      </c>
      <c r="C260" s="7" t="s">
        <v>72</v>
      </c>
      <c r="D260" s="7" t="s">
        <v>457</v>
      </c>
      <c r="E260" s="7" t="s">
        <v>458</v>
      </c>
      <c r="F260" s="7" t="s">
        <v>75</v>
      </c>
    </row>
    <row r="261">
      <c r="A261" s="7" t="s">
        <v>19</v>
      </c>
      <c r="B261" s="8">
        <v>4.0</v>
      </c>
      <c r="C261" s="7" t="s">
        <v>72</v>
      </c>
      <c r="D261" s="7" t="s">
        <v>457</v>
      </c>
      <c r="E261" s="7" t="s">
        <v>458</v>
      </c>
      <c r="F261" s="7" t="s">
        <v>75</v>
      </c>
    </row>
    <row r="262">
      <c r="A262" s="7" t="s">
        <v>188</v>
      </c>
      <c r="B262" s="8">
        <v>4.0</v>
      </c>
      <c r="C262" s="7" t="s">
        <v>78</v>
      </c>
      <c r="D262" s="7" t="s">
        <v>461</v>
      </c>
      <c r="E262" s="7" t="s">
        <v>462</v>
      </c>
      <c r="F262" s="7" t="s">
        <v>243</v>
      </c>
    </row>
    <row r="263">
      <c r="A263" s="7" t="s">
        <v>4</v>
      </c>
      <c r="B263" s="8">
        <v>4.0</v>
      </c>
      <c r="C263" s="7" t="s">
        <v>78</v>
      </c>
      <c r="D263" s="7" t="s">
        <v>461</v>
      </c>
      <c r="E263" s="7" t="s">
        <v>462</v>
      </c>
      <c r="F263" s="7" t="s">
        <v>463</v>
      </c>
    </row>
    <row r="264">
      <c r="A264" s="7" t="s">
        <v>386</v>
      </c>
      <c r="B264" s="8">
        <v>4.0</v>
      </c>
      <c r="C264" s="7" t="s">
        <v>78</v>
      </c>
      <c r="D264" s="7" t="s">
        <v>461</v>
      </c>
      <c r="E264" s="7" t="s">
        <v>462</v>
      </c>
      <c r="F264" s="7" t="s">
        <v>464</v>
      </c>
    </row>
    <row r="265">
      <c r="A265" s="7" t="s">
        <v>387</v>
      </c>
      <c r="B265" s="8">
        <v>4.0</v>
      </c>
      <c r="C265" s="7" t="s">
        <v>78</v>
      </c>
      <c r="D265" s="7" t="s">
        <v>461</v>
      </c>
      <c r="E265" s="7" t="s">
        <v>462</v>
      </c>
      <c r="F265" s="7" t="s">
        <v>465</v>
      </c>
    </row>
    <row r="266">
      <c r="A266" s="7" t="s">
        <v>6</v>
      </c>
      <c r="B266" s="8">
        <v>4.0</v>
      </c>
      <c r="C266" s="7" t="s">
        <v>78</v>
      </c>
      <c r="D266" s="7" t="s">
        <v>461</v>
      </c>
      <c r="E266" s="7" t="s">
        <v>462</v>
      </c>
      <c r="F266" s="7" t="s">
        <v>466</v>
      </c>
    </row>
    <row r="267">
      <c r="A267" s="7" t="s">
        <v>7</v>
      </c>
      <c r="B267" s="8">
        <v>4.0</v>
      </c>
      <c r="C267" s="7" t="s">
        <v>78</v>
      </c>
      <c r="D267" s="7" t="s">
        <v>461</v>
      </c>
      <c r="E267" s="7" t="s">
        <v>462</v>
      </c>
      <c r="F267" s="7" t="s">
        <v>83</v>
      </c>
    </row>
    <row r="268">
      <c r="A268" s="7" t="s">
        <v>8</v>
      </c>
      <c r="B268" s="8">
        <v>4.0</v>
      </c>
      <c r="C268" s="7" t="s">
        <v>78</v>
      </c>
      <c r="D268" s="7" t="s">
        <v>461</v>
      </c>
      <c r="E268" s="7" t="s">
        <v>462</v>
      </c>
      <c r="F268" s="7" t="s">
        <v>81</v>
      </c>
    </row>
    <row r="269">
      <c r="A269" s="7" t="s">
        <v>388</v>
      </c>
      <c r="B269" s="8">
        <v>4.0</v>
      </c>
      <c r="C269" s="7" t="s">
        <v>78</v>
      </c>
      <c r="D269" s="7" t="s">
        <v>461</v>
      </c>
      <c r="E269" s="7" t="s">
        <v>462</v>
      </c>
      <c r="F269" s="7" t="s">
        <v>467</v>
      </c>
    </row>
    <row r="270">
      <c r="A270" s="7" t="s">
        <v>189</v>
      </c>
      <c r="B270" s="8">
        <v>4.0</v>
      </c>
      <c r="C270" s="7" t="s">
        <v>78</v>
      </c>
      <c r="D270" s="7" t="s">
        <v>461</v>
      </c>
      <c r="E270" s="7" t="s">
        <v>462</v>
      </c>
      <c r="F270" s="7" t="s">
        <v>464</v>
      </c>
    </row>
    <row r="271">
      <c r="A271" s="7" t="s">
        <v>9</v>
      </c>
      <c r="B271" s="8">
        <v>4.0</v>
      </c>
      <c r="C271" s="7" t="s">
        <v>78</v>
      </c>
      <c r="D271" s="7" t="s">
        <v>461</v>
      </c>
      <c r="E271" s="7" t="s">
        <v>462</v>
      </c>
      <c r="F271" s="7" t="s">
        <v>468</v>
      </c>
    </row>
    <row r="272">
      <c r="A272" s="7" t="s">
        <v>10</v>
      </c>
      <c r="B272" s="8">
        <v>4.0</v>
      </c>
      <c r="C272" s="7" t="s">
        <v>78</v>
      </c>
      <c r="D272" s="7" t="s">
        <v>461</v>
      </c>
      <c r="E272" s="7" t="s">
        <v>462</v>
      </c>
      <c r="F272" s="7" t="s">
        <v>464</v>
      </c>
    </row>
    <row r="273">
      <c r="A273" s="7" t="s">
        <v>11</v>
      </c>
      <c r="B273" s="8">
        <v>4.0</v>
      </c>
      <c r="C273" s="7" t="s">
        <v>78</v>
      </c>
      <c r="D273" s="7" t="s">
        <v>461</v>
      </c>
      <c r="E273" s="7" t="s">
        <v>462</v>
      </c>
      <c r="F273" s="7" t="s">
        <v>82</v>
      </c>
    </row>
    <row r="274">
      <c r="A274" s="7" t="s">
        <v>12</v>
      </c>
      <c r="B274" s="8">
        <v>4.0</v>
      </c>
      <c r="C274" s="7" t="s">
        <v>78</v>
      </c>
      <c r="D274" s="7" t="s">
        <v>461</v>
      </c>
      <c r="E274" s="7" t="s">
        <v>462</v>
      </c>
      <c r="F274" s="7" t="s">
        <v>469</v>
      </c>
    </row>
    <row r="275">
      <c r="A275" s="7" t="s">
        <v>13</v>
      </c>
      <c r="B275" s="8">
        <v>4.0</v>
      </c>
      <c r="C275" s="7" t="s">
        <v>78</v>
      </c>
      <c r="D275" s="7" t="s">
        <v>461</v>
      </c>
      <c r="E275" s="7" t="s">
        <v>462</v>
      </c>
      <c r="F275" s="7" t="s">
        <v>246</v>
      </c>
    </row>
    <row r="276">
      <c r="A276" s="7" t="s">
        <v>14</v>
      </c>
      <c r="B276" s="8">
        <v>4.0</v>
      </c>
      <c r="C276" s="7" t="s">
        <v>78</v>
      </c>
      <c r="D276" s="7" t="s">
        <v>461</v>
      </c>
      <c r="E276" s="7" t="s">
        <v>462</v>
      </c>
      <c r="F276" s="7" t="s">
        <v>470</v>
      </c>
    </row>
    <row r="277">
      <c r="A277" s="7" t="s">
        <v>15</v>
      </c>
      <c r="B277" s="8">
        <v>4.0</v>
      </c>
      <c r="C277" s="7" t="s">
        <v>78</v>
      </c>
      <c r="D277" s="7" t="s">
        <v>461</v>
      </c>
      <c r="E277" s="7" t="s">
        <v>462</v>
      </c>
      <c r="F277" s="7" t="s">
        <v>81</v>
      </c>
    </row>
    <row r="278">
      <c r="A278" s="7" t="s">
        <v>16</v>
      </c>
      <c r="B278" s="8">
        <v>4.0</v>
      </c>
      <c r="C278" s="7" t="s">
        <v>78</v>
      </c>
      <c r="D278" s="7" t="s">
        <v>461</v>
      </c>
      <c r="E278" s="7" t="s">
        <v>462</v>
      </c>
      <c r="F278" s="7" t="s">
        <v>82</v>
      </c>
    </row>
    <row r="279">
      <c r="A279" s="7" t="s">
        <v>17</v>
      </c>
      <c r="B279" s="8">
        <v>4.0</v>
      </c>
      <c r="C279" s="7" t="s">
        <v>78</v>
      </c>
      <c r="D279" s="7" t="s">
        <v>461</v>
      </c>
      <c r="E279" s="7" t="s">
        <v>462</v>
      </c>
      <c r="F279" s="7" t="s">
        <v>471</v>
      </c>
    </row>
    <row r="280">
      <c r="A280" s="7" t="s">
        <v>18</v>
      </c>
      <c r="B280" s="8">
        <v>4.0</v>
      </c>
      <c r="C280" s="7" t="s">
        <v>78</v>
      </c>
      <c r="D280" s="7" t="s">
        <v>461</v>
      </c>
      <c r="E280" s="7" t="s">
        <v>462</v>
      </c>
      <c r="F280" s="7" t="s">
        <v>472</v>
      </c>
    </row>
    <row r="281">
      <c r="A281" s="7" t="s">
        <v>19</v>
      </c>
      <c r="B281" s="8">
        <v>4.0</v>
      </c>
      <c r="C281" s="7" t="s">
        <v>78</v>
      </c>
      <c r="D281" s="7" t="s">
        <v>461</v>
      </c>
      <c r="E281" s="7" t="s">
        <v>462</v>
      </c>
      <c r="F281" s="7" t="s">
        <v>473</v>
      </c>
    </row>
    <row r="282">
      <c r="A282" s="7" t="s">
        <v>188</v>
      </c>
      <c r="B282" s="8">
        <v>4.0</v>
      </c>
      <c r="C282" s="7" t="s">
        <v>101</v>
      </c>
      <c r="D282" s="7" t="s">
        <v>474</v>
      </c>
      <c r="E282" s="7" t="s">
        <v>475</v>
      </c>
      <c r="F282" s="7" t="s">
        <v>251</v>
      </c>
    </row>
    <row r="283">
      <c r="A283" s="7" t="s">
        <v>4</v>
      </c>
      <c r="B283" s="8">
        <v>4.0</v>
      </c>
      <c r="C283" s="7" t="s">
        <v>101</v>
      </c>
      <c r="D283" s="7" t="s">
        <v>474</v>
      </c>
      <c r="E283" s="7" t="s">
        <v>475</v>
      </c>
      <c r="F283" s="7" t="s">
        <v>256</v>
      </c>
    </row>
    <row r="284">
      <c r="A284" s="7" t="s">
        <v>386</v>
      </c>
      <c r="B284" s="8">
        <v>4.0</v>
      </c>
      <c r="C284" s="7" t="s">
        <v>101</v>
      </c>
      <c r="D284" s="7" t="s">
        <v>474</v>
      </c>
      <c r="E284" s="7" t="s">
        <v>475</v>
      </c>
      <c r="F284" s="7" t="s">
        <v>476</v>
      </c>
    </row>
    <row r="285">
      <c r="A285" s="7" t="s">
        <v>387</v>
      </c>
      <c r="B285" s="8">
        <v>4.0</v>
      </c>
      <c r="C285" s="7" t="s">
        <v>101</v>
      </c>
      <c r="D285" s="7" t="s">
        <v>474</v>
      </c>
      <c r="E285" s="7" t="s">
        <v>475</v>
      </c>
      <c r="F285" s="7" t="s">
        <v>252</v>
      </c>
    </row>
    <row r="286">
      <c r="A286" s="7" t="s">
        <v>6</v>
      </c>
      <c r="B286" s="8">
        <v>4.0</v>
      </c>
      <c r="C286" s="7" t="s">
        <v>101</v>
      </c>
      <c r="D286" s="7" t="s">
        <v>474</v>
      </c>
      <c r="E286" s="7" t="s">
        <v>475</v>
      </c>
      <c r="F286" s="7" t="s">
        <v>477</v>
      </c>
    </row>
    <row r="287">
      <c r="A287" s="7" t="s">
        <v>7</v>
      </c>
      <c r="B287" s="8">
        <v>4.0</v>
      </c>
      <c r="C287" s="7" t="s">
        <v>101</v>
      </c>
      <c r="D287" s="7" t="s">
        <v>474</v>
      </c>
      <c r="E287" s="7" t="s">
        <v>475</v>
      </c>
      <c r="F287" s="7" t="s">
        <v>109</v>
      </c>
    </row>
    <row r="288">
      <c r="A288" s="7" t="s">
        <v>8</v>
      </c>
      <c r="B288" s="8">
        <v>4.0</v>
      </c>
      <c r="C288" s="7" t="s">
        <v>101</v>
      </c>
      <c r="D288" s="7" t="s">
        <v>474</v>
      </c>
      <c r="E288" s="7" t="s">
        <v>475</v>
      </c>
      <c r="F288" s="7" t="s">
        <v>478</v>
      </c>
    </row>
    <row r="289">
      <c r="A289" s="7" t="s">
        <v>388</v>
      </c>
      <c r="B289" s="8">
        <v>4.0</v>
      </c>
      <c r="C289" s="7" t="s">
        <v>101</v>
      </c>
      <c r="D289" s="7" t="s">
        <v>474</v>
      </c>
      <c r="E289" s="7" t="s">
        <v>475</v>
      </c>
      <c r="F289" s="7" t="s">
        <v>479</v>
      </c>
    </row>
    <row r="290">
      <c r="A290" s="7" t="s">
        <v>189</v>
      </c>
      <c r="B290" s="8">
        <v>4.0</v>
      </c>
      <c r="C290" s="7" t="s">
        <v>101</v>
      </c>
      <c r="D290" s="7" t="s">
        <v>474</v>
      </c>
      <c r="E290" s="7" t="s">
        <v>475</v>
      </c>
      <c r="F290" s="7" t="s">
        <v>394</v>
      </c>
    </row>
    <row r="291">
      <c r="A291" s="7" t="s">
        <v>9</v>
      </c>
      <c r="B291" s="8">
        <v>4.0</v>
      </c>
      <c r="C291" s="7" t="s">
        <v>101</v>
      </c>
      <c r="D291" s="7" t="s">
        <v>474</v>
      </c>
      <c r="E291" s="7" t="s">
        <v>475</v>
      </c>
      <c r="F291" s="7" t="s">
        <v>480</v>
      </c>
    </row>
    <row r="292">
      <c r="A292" s="7" t="s">
        <v>10</v>
      </c>
      <c r="B292" s="8">
        <v>4.0</v>
      </c>
      <c r="C292" s="7" t="s">
        <v>101</v>
      </c>
      <c r="D292" s="7" t="s">
        <v>474</v>
      </c>
      <c r="E292" s="7" t="s">
        <v>475</v>
      </c>
      <c r="F292" s="7" t="s">
        <v>394</v>
      </c>
    </row>
    <row r="293">
      <c r="A293" s="7" t="s">
        <v>11</v>
      </c>
      <c r="B293" s="8">
        <v>4.0</v>
      </c>
      <c r="C293" s="7" t="s">
        <v>101</v>
      </c>
      <c r="D293" s="7" t="s">
        <v>474</v>
      </c>
      <c r="E293" s="7" t="s">
        <v>475</v>
      </c>
      <c r="F293" s="7" t="s">
        <v>481</v>
      </c>
    </row>
    <row r="294">
      <c r="A294" s="7" t="s">
        <v>12</v>
      </c>
      <c r="B294" s="8">
        <v>4.0</v>
      </c>
      <c r="C294" s="7" t="s">
        <v>101</v>
      </c>
      <c r="D294" s="7" t="s">
        <v>474</v>
      </c>
      <c r="E294" s="7" t="s">
        <v>475</v>
      </c>
      <c r="F294" s="7" t="s">
        <v>482</v>
      </c>
    </row>
    <row r="295">
      <c r="A295" s="7" t="s">
        <v>13</v>
      </c>
      <c r="B295" s="8">
        <v>4.0</v>
      </c>
      <c r="C295" s="7" t="s">
        <v>101</v>
      </c>
      <c r="D295" s="7" t="s">
        <v>474</v>
      </c>
      <c r="E295" s="7" t="s">
        <v>475</v>
      </c>
      <c r="F295" s="7" t="s">
        <v>252</v>
      </c>
    </row>
    <row r="296">
      <c r="A296" s="7" t="s">
        <v>14</v>
      </c>
      <c r="B296" s="8">
        <v>4.0</v>
      </c>
      <c r="C296" s="7" t="s">
        <v>101</v>
      </c>
      <c r="D296" s="7" t="s">
        <v>474</v>
      </c>
      <c r="E296" s="7" t="s">
        <v>475</v>
      </c>
      <c r="F296" s="7" t="s">
        <v>403</v>
      </c>
    </row>
    <row r="297">
      <c r="A297" s="7" t="s">
        <v>15</v>
      </c>
      <c r="B297" s="8">
        <v>4.0</v>
      </c>
      <c r="C297" s="7" t="s">
        <v>101</v>
      </c>
      <c r="D297" s="7" t="s">
        <v>474</v>
      </c>
      <c r="E297" s="7" t="s">
        <v>475</v>
      </c>
      <c r="F297" s="7" t="s">
        <v>252</v>
      </c>
    </row>
    <row r="298">
      <c r="A298" s="7" t="s">
        <v>16</v>
      </c>
      <c r="B298" s="8">
        <v>4.0</v>
      </c>
      <c r="C298" s="7" t="s">
        <v>101</v>
      </c>
      <c r="D298" s="7" t="s">
        <v>474</v>
      </c>
      <c r="E298" s="7" t="s">
        <v>475</v>
      </c>
      <c r="F298" s="7" t="s">
        <v>252</v>
      </c>
    </row>
    <row r="299">
      <c r="A299" s="7" t="s">
        <v>17</v>
      </c>
      <c r="B299" s="8">
        <v>4.0</v>
      </c>
      <c r="C299" s="7" t="s">
        <v>101</v>
      </c>
      <c r="D299" s="7" t="s">
        <v>474</v>
      </c>
      <c r="E299" s="7" t="s">
        <v>475</v>
      </c>
      <c r="F299" s="7" t="s">
        <v>252</v>
      </c>
    </row>
    <row r="300">
      <c r="A300" s="7" t="s">
        <v>18</v>
      </c>
      <c r="B300" s="8">
        <v>4.0</v>
      </c>
      <c r="C300" s="7" t="s">
        <v>101</v>
      </c>
      <c r="D300" s="7" t="s">
        <v>474</v>
      </c>
      <c r="E300" s="7" t="s">
        <v>475</v>
      </c>
      <c r="F300" s="7" t="s">
        <v>483</v>
      </c>
    </row>
    <row r="301">
      <c r="A301" s="7" t="s">
        <v>19</v>
      </c>
      <c r="B301" s="8">
        <v>4.0</v>
      </c>
      <c r="C301" s="7" t="s">
        <v>101</v>
      </c>
      <c r="D301" s="7" t="s">
        <v>474</v>
      </c>
      <c r="E301" s="7" t="s">
        <v>475</v>
      </c>
      <c r="F301" s="7" t="s">
        <v>252</v>
      </c>
    </row>
    <row r="302">
      <c r="A302" s="7" t="s">
        <v>188</v>
      </c>
      <c r="B302" s="8">
        <v>4.0</v>
      </c>
      <c r="C302" s="7" t="s">
        <v>112</v>
      </c>
      <c r="D302" s="7" t="s">
        <v>484</v>
      </c>
      <c r="E302" s="7" t="s">
        <v>485</v>
      </c>
      <c r="F302" s="7" t="s">
        <v>261</v>
      </c>
    </row>
    <row r="303">
      <c r="A303" s="7" t="s">
        <v>4</v>
      </c>
      <c r="B303" s="8">
        <v>4.0</v>
      </c>
      <c r="C303" s="7" t="s">
        <v>112</v>
      </c>
      <c r="D303" s="7" t="s">
        <v>484</v>
      </c>
      <c r="E303" s="7" t="s">
        <v>485</v>
      </c>
      <c r="F303" s="7" t="s">
        <v>115</v>
      </c>
    </row>
    <row r="304">
      <c r="A304" s="7" t="s">
        <v>386</v>
      </c>
      <c r="B304" s="8">
        <v>4.0</v>
      </c>
      <c r="C304" s="7" t="s">
        <v>112</v>
      </c>
      <c r="D304" s="7" t="s">
        <v>484</v>
      </c>
      <c r="E304" s="7" t="s">
        <v>485</v>
      </c>
      <c r="F304" s="7" t="s">
        <v>261</v>
      </c>
    </row>
    <row r="305">
      <c r="A305" s="7" t="s">
        <v>387</v>
      </c>
      <c r="B305" s="8">
        <v>4.0</v>
      </c>
      <c r="C305" s="7" t="s">
        <v>112</v>
      </c>
      <c r="D305" s="7" t="s">
        <v>484</v>
      </c>
      <c r="E305" s="7" t="s">
        <v>485</v>
      </c>
      <c r="F305" s="7" t="s">
        <v>115</v>
      </c>
    </row>
    <row r="306">
      <c r="A306" s="7" t="s">
        <v>6</v>
      </c>
      <c r="B306" s="8">
        <v>4.0</v>
      </c>
      <c r="C306" s="7" t="s">
        <v>112</v>
      </c>
      <c r="D306" s="7" t="s">
        <v>484</v>
      </c>
      <c r="E306" s="7" t="s">
        <v>485</v>
      </c>
      <c r="F306" s="7" t="s">
        <v>115</v>
      </c>
    </row>
    <row r="307">
      <c r="A307" s="7" t="s">
        <v>7</v>
      </c>
      <c r="B307" s="8">
        <v>4.0</v>
      </c>
      <c r="C307" s="7" t="s">
        <v>112</v>
      </c>
      <c r="D307" s="7" t="s">
        <v>484</v>
      </c>
      <c r="E307" s="7" t="s">
        <v>485</v>
      </c>
      <c r="F307" s="7" t="s">
        <v>486</v>
      </c>
    </row>
    <row r="308">
      <c r="A308" s="7" t="s">
        <v>8</v>
      </c>
      <c r="B308" s="8">
        <v>4.0</v>
      </c>
      <c r="C308" s="7" t="s">
        <v>112</v>
      </c>
      <c r="D308" s="7" t="s">
        <v>484</v>
      </c>
      <c r="E308" s="7" t="s">
        <v>485</v>
      </c>
      <c r="F308" s="7" t="s">
        <v>115</v>
      </c>
    </row>
    <row r="309">
      <c r="A309" s="7" t="s">
        <v>388</v>
      </c>
      <c r="B309" s="8">
        <v>4.0</v>
      </c>
      <c r="C309" s="7" t="s">
        <v>112</v>
      </c>
      <c r="D309" s="7" t="s">
        <v>484</v>
      </c>
      <c r="E309" s="7" t="s">
        <v>485</v>
      </c>
      <c r="F309" s="7" t="s">
        <v>115</v>
      </c>
    </row>
    <row r="310">
      <c r="A310" s="7" t="s">
        <v>189</v>
      </c>
      <c r="B310" s="8">
        <v>4.0</v>
      </c>
      <c r="C310" s="7" t="s">
        <v>112</v>
      </c>
      <c r="D310" s="7" t="s">
        <v>484</v>
      </c>
      <c r="E310" s="7" t="s">
        <v>485</v>
      </c>
      <c r="F310" s="7" t="s">
        <v>115</v>
      </c>
    </row>
    <row r="311">
      <c r="A311" s="7" t="s">
        <v>9</v>
      </c>
      <c r="B311" s="8">
        <v>4.0</v>
      </c>
      <c r="C311" s="7" t="s">
        <v>112</v>
      </c>
      <c r="D311" s="7" t="s">
        <v>484</v>
      </c>
      <c r="E311" s="7" t="s">
        <v>485</v>
      </c>
      <c r="F311" s="7" t="s">
        <v>115</v>
      </c>
    </row>
    <row r="312">
      <c r="A312" s="7" t="s">
        <v>10</v>
      </c>
      <c r="B312" s="8">
        <v>4.0</v>
      </c>
      <c r="C312" s="7" t="s">
        <v>112</v>
      </c>
      <c r="D312" s="7" t="s">
        <v>484</v>
      </c>
      <c r="E312" s="7" t="s">
        <v>485</v>
      </c>
      <c r="F312" s="7" t="s">
        <v>115</v>
      </c>
    </row>
    <row r="313">
      <c r="A313" s="7" t="s">
        <v>11</v>
      </c>
      <c r="B313" s="8">
        <v>4.0</v>
      </c>
      <c r="C313" s="7" t="s">
        <v>112</v>
      </c>
      <c r="D313" s="7" t="s">
        <v>484</v>
      </c>
      <c r="E313" s="7" t="s">
        <v>485</v>
      </c>
      <c r="F313" s="7" t="s">
        <v>115</v>
      </c>
    </row>
    <row r="314">
      <c r="A314" s="7" t="s">
        <v>12</v>
      </c>
      <c r="B314" s="8">
        <v>4.0</v>
      </c>
      <c r="C314" s="7" t="s">
        <v>112</v>
      </c>
      <c r="D314" s="7" t="s">
        <v>484</v>
      </c>
      <c r="E314" s="7" t="s">
        <v>485</v>
      </c>
      <c r="F314" s="7" t="s">
        <v>115</v>
      </c>
    </row>
    <row r="315">
      <c r="A315" s="7" t="s">
        <v>13</v>
      </c>
      <c r="B315" s="8">
        <v>4.0</v>
      </c>
      <c r="C315" s="7" t="s">
        <v>112</v>
      </c>
      <c r="D315" s="7" t="s">
        <v>484</v>
      </c>
      <c r="E315" s="7" t="s">
        <v>485</v>
      </c>
      <c r="F315" s="7" t="s">
        <v>115</v>
      </c>
    </row>
    <row r="316">
      <c r="A316" s="7" t="s">
        <v>14</v>
      </c>
      <c r="B316" s="8">
        <v>4.0</v>
      </c>
      <c r="C316" s="7" t="s">
        <v>112</v>
      </c>
      <c r="D316" s="7" t="s">
        <v>484</v>
      </c>
      <c r="E316" s="7" t="s">
        <v>485</v>
      </c>
      <c r="F316" s="7" t="s">
        <v>115</v>
      </c>
    </row>
    <row r="317">
      <c r="A317" s="7" t="s">
        <v>15</v>
      </c>
      <c r="B317" s="8">
        <v>4.0</v>
      </c>
      <c r="C317" s="7" t="s">
        <v>112</v>
      </c>
      <c r="D317" s="7" t="s">
        <v>484</v>
      </c>
      <c r="E317" s="7" t="s">
        <v>485</v>
      </c>
      <c r="F317" s="7" t="s">
        <v>115</v>
      </c>
    </row>
    <row r="318">
      <c r="A318" s="7" t="s">
        <v>16</v>
      </c>
      <c r="B318" s="8">
        <v>4.0</v>
      </c>
      <c r="C318" s="7" t="s">
        <v>112</v>
      </c>
      <c r="D318" s="7" t="s">
        <v>484</v>
      </c>
      <c r="E318" s="7" t="s">
        <v>485</v>
      </c>
      <c r="F318" s="7" t="s">
        <v>115</v>
      </c>
    </row>
    <row r="319">
      <c r="A319" s="7" t="s">
        <v>17</v>
      </c>
      <c r="B319" s="8">
        <v>4.0</v>
      </c>
      <c r="C319" s="7" t="s">
        <v>112</v>
      </c>
      <c r="D319" s="7" t="s">
        <v>484</v>
      </c>
      <c r="E319" s="7" t="s">
        <v>485</v>
      </c>
      <c r="F319" s="7" t="s">
        <v>115</v>
      </c>
    </row>
    <row r="320">
      <c r="A320" s="7" t="s">
        <v>18</v>
      </c>
      <c r="B320" s="8">
        <v>4.0</v>
      </c>
      <c r="C320" s="7" t="s">
        <v>112</v>
      </c>
      <c r="D320" s="7" t="s">
        <v>484</v>
      </c>
      <c r="E320" s="7" t="s">
        <v>485</v>
      </c>
      <c r="F320" s="7" t="s">
        <v>115</v>
      </c>
    </row>
    <row r="321">
      <c r="A321" s="7" t="s">
        <v>19</v>
      </c>
      <c r="B321" s="8">
        <v>4.0</v>
      </c>
      <c r="C321" s="7" t="s">
        <v>112</v>
      </c>
      <c r="D321" s="7" t="s">
        <v>484</v>
      </c>
      <c r="E321" s="7" t="s">
        <v>485</v>
      </c>
      <c r="F321" s="7" t="s">
        <v>115</v>
      </c>
    </row>
    <row r="322">
      <c r="A322" s="7" t="s">
        <v>188</v>
      </c>
      <c r="B322" s="8">
        <v>4.0</v>
      </c>
      <c r="C322" s="7" t="s">
        <v>172</v>
      </c>
      <c r="D322" s="7" t="s">
        <v>487</v>
      </c>
      <c r="E322" s="7" t="s">
        <v>488</v>
      </c>
      <c r="F322" s="7" t="s">
        <v>264</v>
      </c>
    </row>
    <row r="323">
      <c r="A323" s="7" t="s">
        <v>4</v>
      </c>
      <c r="B323" s="8">
        <v>4.0</v>
      </c>
      <c r="C323" s="7" t="s">
        <v>172</v>
      </c>
      <c r="D323" s="7" t="s">
        <v>487</v>
      </c>
      <c r="E323" s="7" t="s">
        <v>488</v>
      </c>
      <c r="F323" s="7" t="s">
        <v>175</v>
      </c>
    </row>
    <row r="324">
      <c r="A324" s="7" t="s">
        <v>386</v>
      </c>
      <c r="B324" s="8">
        <v>4.0</v>
      </c>
      <c r="C324" s="7" t="s">
        <v>172</v>
      </c>
      <c r="D324" s="7" t="s">
        <v>487</v>
      </c>
      <c r="E324" s="7" t="s">
        <v>488</v>
      </c>
      <c r="F324" s="7" t="s">
        <v>175</v>
      </c>
    </row>
    <row r="325">
      <c r="A325" s="7" t="s">
        <v>387</v>
      </c>
      <c r="B325" s="8">
        <v>4.0</v>
      </c>
      <c r="C325" s="7" t="s">
        <v>172</v>
      </c>
      <c r="D325" s="7" t="s">
        <v>487</v>
      </c>
      <c r="E325" s="7" t="s">
        <v>488</v>
      </c>
      <c r="F325" s="7" t="s">
        <v>175</v>
      </c>
    </row>
    <row r="326">
      <c r="A326" s="7" t="s">
        <v>6</v>
      </c>
      <c r="B326" s="8">
        <v>4.0</v>
      </c>
      <c r="C326" s="7" t="s">
        <v>172</v>
      </c>
      <c r="D326" s="7" t="s">
        <v>487</v>
      </c>
      <c r="E326" s="7" t="s">
        <v>488</v>
      </c>
      <c r="F326" s="7" t="s">
        <v>175</v>
      </c>
    </row>
    <row r="327">
      <c r="A327" s="7" t="s">
        <v>7</v>
      </c>
      <c r="B327" s="8">
        <v>4.0</v>
      </c>
      <c r="C327" s="7" t="s">
        <v>172</v>
      </c>
      <c r="D327" s="7" t="s">
        <v>487</v>
      </c>
      <c r="E327" s="7" t="s">
        <v>488</v>
      </c>
      <c r="F327" s="7" t="s">
        <v>175</v>
      </c>
    </row>
    <row r="328">
      <c r="A328" s="7" t="s">
        <v>8</v>
      </c>
      <c r="B328" s="8">
        <v>4.0</v>
      </c>
      <c r="C328" s="7" t="s">
        <v>172</v>
      </c>
      <c r="D328" s="7" t="s">
        <v>487</v>
      </c>
      <c r="E328" s="7" t="s">
        <v>488</v>
      </c>
      <c r="F328" s="7" t="s">
        <v>176</v>
      </c>
    </row>
    <row r="329">
      <c r="A329" s="7" t="s">
        <v>388</v>
      </c>
      <c r="B329" s="8">
        <v>4.0</v>
      </c>
      <c r="C329" s="7" t="s">
        <v>172</v>
      </c>
      <c r="D329" s="7" t="s">
        <v>487</v>
      </c>
      <c r="E329" s="7" t="s">
        <v>488</v>
      </c>
      <c r="F329" s="7" t="s">
        <v>489</v>
      </c>
    </row>
    <row r="330">
      <c r="A330" s="7" t="s">
        <v>189</v>
      </c>
      <c r="B330" s="8">
        <v>4.0</v>
      </c>
      <c r="C330" s="7" t="s">
        <v>172</v>
      </c>
      <c r="D330" s="7" t="s">
        <v>487</v>
      </c>
      <c r="E330" s="7" t="s">
        <v>488</v>
      </c>
      <c r="F330" s="7" t="s">
        <v>490</v>
      </c>
    </row>
    <row r="331">
      <c r="A331" s="7" t="s">
        <v>9</v>
      </c>
      <c r="B331" s="8">
        <v>4.0</v>
      </c>
      <c r="C331" s="7" t="s">
        <v>172</v>
      </c>
      <c r="D331" s="7" t="s">
        <v>487</v>
      </c>
      <c r="E331" s="7" t="s">
        <v>488</v>
      </c>
      <c r="F331" s="7" t="s">
        <v>490</v>
      </c>
    </row>
    <row r="332">
      <c r="A332" s="7" t="s">
        <v>10</v>
      </c>
      <c r="B332" s="8">
        <v>4.0</v>
      </c>
      <c r="C332" s="7" t="s">
        <v>172</v>
      </c>
      <c r="D332" s="7" t="s">
        <v>487</v>
      </c>
      <c r="E332" s="7" t="s">
        <v>488</v>
      </c>
      <c r="F332" s="7" t="s">
        <v>490</v>
      </c>
    </row>
    <row r="333">
      <c r="A333" s="7" t="s">
        <v>11</v>
      </c>
      <c r="B333" s="8">
        <v>4.0</v>
      </c>
      <c r="C333" s="7" t="s">
        <v>172</v>
      </c>
      <c r="D333" s="7" t="s">
        <v>487</v>
      </c>
      <c r="E333" s="7" t="s">
        <v>488</v>
      </c>
      <c r="F333" s="7" t="s">
        <v>491</v>
      </c>
    </row>
    <row r="334">
      <c r="A334" s="7" t="s">
        <v>12</v>
      </c>
      <c r="B334" s="8">
        <v>4.0</v>
      </c>
      <c r="C334" s="7" t="s">
        <v>172</v>
      </c>
      <c r="D334" s="7" t="s">
        <v>487</v>
      </c>
      <c r="E334" s="7" t="s">
        <v>488</v>
      </c>
      <c r="F334" s="7" t="s">
        <v>175</v>
      </c>
    </row>
    <row r="335">
      <c r="A335" s="7" t="s">
        <v>13</v>
      </c>
      <c r="B335" s="8">
        <v>4.0</v>
      </c>
      <c r="C335" s="7" t="s">
        <v>172</v>
      </c>
      <c r="D335" s="7" t="s">
        <v>487</v>
      </c>
      <c r="E335" s="7" t="s">
        <v>488</v>
      </c>
      <c r="F335" s="7" t="s">
        <v>175</v>
      </c>
    </row>
    <row r="336">
      <c r="A336" s="7" t="s">
        <v>14</v>
      </c>
      <c r="B336" s="8">
        <v>4.0</v>
      </c>
      <c r="C336" s="7" t="s">
        <v>172</v>
      </c>
      <c r="D336" s="7" t="s">
        <v>487</v>
      </c>
      <c r="E336" s="7" t="s">
        <v>488</v>
      </c>
      <c r="F336" s="7" t="s">
        <v>492</v>
      </c>
    </row>
    <row r="337">
      <c r="A337" s="7" t="s">
        <v>15</v>
      </c>
      <c r="B337" s="8">
        <v>4.0</v>
      </c>
      <c r="C337" s="7" t="s">
        <v>172</v>
      </c>
      <c r="D337" s="7" t="s">
        <v>487</v>
      </c>
      <c r="E337" s="7" t="s">
        <v>488</v>
      </c>
      <c r="F337" s="7" t="s">
        <v>492</v>
      </c>
    </row>
    <row r="338">
      <c r="A338" s="7" t="s">
        <v>16</v>
      </c>
      <c r="B338" s="8">
        <v>4.0</v>
      </c>
      <c r="C338" s="7" t="s">
        <v>172</v>
      </c>
      <c r="D338" s="7" t="s">
        <v>487</v>
      </c>
      <c r="E338" s="7" t="s">
        <v>488</v>
      </c>
      <c r="F338" s="7" t="s">
        <v>47</v>
      </c>
    </row>
    <row r="339">
      <c r="A339" s="7" t="s">
        <v>17</v>
      </c>
      <c r="B339" s="8">
        <v>4.0</v>
      </c>
      <c r="C339" s="7" t="s">
        <v>172</v>
      </c>
      <c r="D339" s="7" t="s">
        <v>487</v>
      </c>
      <c r="E339" s="7" t="s">
        <v>488</v>
      </c>
      <c r="F339" s="7" t="s">
        <v>47</v>
      </c>
    </row>
    <row r="340">
      <c r="A340" s="7" t="s">
        <v>18</v>
      </c>
      <c r="B340" s="8">
        <v>4.0</v>
      </c>
      <c r="C340" s="7" t="s">
        <v>172</v>
      </c>
      <c r="D340" s="7" t="s">
        <v>487</v>
      </c>
      <c r="E340" s="7" t="s">
        <v>488</v>
      </c>
      <c r="F340" s="7" t="s">
        <v>47</v>
      </c>
    </row>
    <row r="341">
      <c r="A341" s="7" t="s">
        <v>19</v>
      </c>
      <c r="B341" s="8">
        <v>4.0</v>
      </c>
      <c r="C341" s="7" t="s">
        <v>172</v>
      </c>
      <c r="D341" s="7" t="s">
        <v>487</v>
      </c>
      <c r="E341" s="7" t="s">
        <v>488</v>
      </c>
      <c r="F341" s="7" t="s">
        <v>47</v>
      </c>
    </row>
    <row r="342">
      <c r="A342" s="7" t="s">
        <v>188</v>
      </c>
      <c r="B342" s="8">
        <v>4.0</v>
      </c>
      <c r="C342" s="7" t="s">
        <v>267</v>
      </c>
      <c r="D342" s="7" t="s">
        <v>493</v>
      </c>
      <c r="E342" s="7" t="s">
        <v>494</v>
      </c>
      <c r="F342" s="7" t="s">
        <v>272</v>
      </c>
    </row>
    <row r="343">
      <c r="A343" s="7" t="s">
        <v>4</v>
      </c>
      <c r="B343" s="8">
        <v>4.0</v>
      </c>
      <c r="C343" s="7" t="s">
        <v>267</v>
      </c>
      <c r="D343" s="7" t="s">
        <v>493</v>
      </c>
      <c r="E343" s="7" t="s">
        <v>494</v>
      </c>
      <c r="F343" s="7" t="s">
        <v>495</v>
      </c>
    </row>
    <row r="344">
      <c r="A344" s="7" t="s">
        <v>386</v>
      </c>
      <c r="B344" s="8">
        <v>4.0</v>
      </c>
      <c r="C344" s="7" t="s">
        <v>267</v>
      </c>
      <c r="D344" s="7" t="s">
        <v>493</v>
      </c>
      <c r="E344" s="7" t="s">
        <v>494</v>
      </c>
      <c r="F344" s="7" t="s">
        <v>272</v>
      </c>
    </row>
    <row r="345">
      <c r="A345" s="7" t="s">
        <v>387</v>
      </c>
      <c r="B345" s="8">
        <v>4.0</v>
      </c>
      <c r="C345" s="7" t="s">
        <v>267</v>
      </c>
      <c r="D345" s="7" t="s">
        <v>493</v>
      </c>
      <c r="E345" s="7" t="s">
        <v>494</v>
      </c>
      <c r="F345" s="7" t="s">
        <v>272</v>
      </c>
    </row>
    <row r="346">
      <c r="A346" s="7" t="s">
        <v>6</v>
      </c>
      <c r="B346" s="8">
        <v>4.0</v>
      </c>
      <c r="C346" s="7" t="s">
        <v>267</v>
      </c>
      <c r="D346" s="7" t="s">
        <v>493</v>
      </c>
      <c r="E346" s="7" t="s">
        <v>494</v>
      </c>
      <c r="F346" s="7" t="s">
        <v>238</v>
      </c>
    </row>
    <row r="347">
      <c r="A347" s="7" t="s">
        <v>7</v>
      </c>
      <c r="B347" s="8">
        <v>4.0</v>
      </c>
      <c r="C347" s="7" t="s">
        <v>267</v>
      </c>
      <c r="D347" s="7" t="s">
        <v>493</v>
      </c>
      <c r="E347" s="7" t="s">
        <v>494</v>
      </c>
      <c r="F347" s="7" t="s">
        <v>238</v>
      </c>
    </row>
    <row r="348">
      <c r="A348" s="7" t="s">
        <v>8</v>
      </c>
      <c r="B348" s="8">
        <v>4.0</v>
      </c>
      <c r="C348" s="7" t="s">
        <v>267</v>
      </c>
      <c r="D348" s="7" t="s">
        <v>493</v>
      </c>
      <c r="E348" s="7" t="s">
        <v>494</v>
      </c>
      <c r="F348" s="7" t="s">
        <v>272</v>
      </c>
    </row>
    <row r="349">
      <c r="A349" s="7" t="s">
        <v>388</v>
      </c>
      <c r="B349" s="8">
        <v>4.0</v>
      </c>
      <c r="C349" s="7" t="s">
        <v>267</v>
      </c>
      <c r="D349" s="7" t="s">
        <v>493</v>
      </c>
      <c r="E349" s="7" t="s">
        <v>494</v>
      </c>
      <c r="F349" s="7" t="s">
        <v>496</v>
      </c>
    </row>
    <row r="350">
      <c r="A350" s="7" t="s">
        <v>189</v>
      </c>
      <c r="B350" s="8">
        <v>4.0</v>
      </c>
      <c r="C350" s="7" t="s">
        <v>267</v>
      </c>
      <c r="D350" s="7" t="s">
        <v>493</v>
      </c>
      <c r="E350" s="7" t="s">
        <v>494</v>
      </c>
      <c r="F350" s="7" t="s">
        <v>271</v>
      </c>
    </row>
    <row r="351">
      <c r="A351" s="7" t="s">
        <v>9</v>
      </c>
      <c r="B351" s="8">
        <v>4.0</v>
      </c>
      <c r="C351" s="7" t="s">
        <v>267</v>
      </c>
      <c r="D351" s="7" t="s">
        <v>493</v>
      </c>
      <c r="E351" s="7" t="s">
        <v>494</v>
      </c>
      <c r="F351" s="7" t="s">
        <v>238</v>
      </c>
    </row>
    <row r="352">
      <c r="A352" s="7" t="s">
        <v>10</v>
      </c>
      <c r="B352" s="8">
        <v>4.0</v>
      </c>
      <c r="C352" s="7" t="s">
        <v>267</v>
      </c>
      <c r="D352" s="7" t="s">
        <v>493</v>
      </c>
      <c r="E352" s="7" t="s">
        <v>494</v>
      </c>
      <c r="F352" s="7" t="s">
        <v>271</v>
      </c>
    </row>
    <row r="353">
      <c r="A353" s="7" t="s">
        <v>11</v>
      </c>
      <c r="B353" s="8">
        <v>4.0</v>
      </c>
      <c r="C353" s="7" t="s">
        <v>267</v>
      </c>
      <c r="D353" s="7" t="s">
        <v>493</v>
      </c>
      <c r="E353" s="7" t="s">
        <v>494</v>
      </c>
      <c r="F353" s="7" t="s">
        <v>497</v>
      </c>
    </row>
    <row r="354">
      <c r="A354" s="7" t="s">
        <v>12</v>
      </c>
      <c r="B354" s="8">
        <v>4.0</v>
      </c>
      <c r="C354" s="7" t="s">
        <v>267</v>
      </c>
      <c r="D354" s="7" t="s">
        <v>493</v>
      </c>
      <c r="E354" s="7" t="s">
        <v>494</v>
      </c>
      <c r="F354" s="7" t="s">
        <v>272</v>
      </c>
    </row>
    <row r="355">
      <c r="A355" s="7" t="s">
        <v>13</v>
      </c>
      <c r="B355" s="8">
        <v>4.0</v>
      </c>
      <c r="C355" s="7" t="s">
        <v>267</v>
      </c>
      <c r="D355" s="7" t="s">
        <v>493</v>
      </c>
      <c r="E355" s="7" t="s">
        <v>494</v>
      </c>
      <c r="F355" s="7" t="s">
        <v>272</v>
      </c>
    </row>
    <row r="356">
      <c r="A356" s="7" t="s">
        <v>14</v>
      </c>
      <c r="B356" s="8">
        <v>4.0</v>
      </c>
      <c r="C356" s="7" t="s">
        <v>267</v>
      </c>
      <c r="D356" s="7" t="s">
        <v>493</v>
      </c>
      <c r="E356" s="7" t="s">
        <v>494</v>
      </c>
      <c r="F356" s="7" t="s">
        <v>272</v>
      </c>
    </row>
    <row r="357">
      <c r="A357" s="7" t="s">
        <v>15</v>
      </c>
      <c r="B357" s="8">
        <v>4.0</v>
      </c>
      <c r="C357" s="7" t="s">
        <v>267</v>
      </c>
      <c r="D357" s="7" t="s">
        <v>493</v>
      </c>
      <c r="E357" s="7" t="s">
        <v>494</v>
      </c>
      <c r="F357" s="7" t="s">
        <v>272</v>
      </c>
    </row>
    <row r="358">
      <c r="A358" s="7" t="s">
        <v>16</v>
      </c>
      <c r="B358" s="8">
        <v>4.0</v>
      </c>
      <c r="C358" s="7" t="s">
        <v>267</v>
      </c>
      <c r="D358" s="7" t="s">
        <v>493</v>
      </c>
      <c r="E358" s="7" t="s">
        <v>494</v>
      </c>
      <c r="F358" s="7" t="s">
        <v>495</v>
      </c>
    </row>
    <row r="359">
      <c r="A359" s="7" t="s">
        <v>17</v>
      </c>
      <c r="B359" s="8">
        <v>4.0</v>
      </c>
      <c r="C359" s="7" t="s">
        <v>267</v>
      </c>
      <c r="D359" s="7" t="s">
        <v>493</v>
      </c>
      <c r="E359" s="7" t="s">
        <v>494</v>
      </c>
      <c r="F359" s="7" t="s">
        <v>238</v>
      </c>
    </row>
    <row r="360">
      <c r="A360" s="7" t="s">
        <v>18</v>
      </c>
      <c r="B360" s="8">
        <v>4.0</v>
      </c>
      <c r="C360" s="7" t="s">
        <v>267</v>
      </c>
      <c r="D360" s="7" t="s">
        <v>493</v>
      </c>
      <c r="E360" s="7" t="s">
        <v>494</v>
      </c>
      <c r="F360" s="7" t="s">
        <v>238</v>
      </c>
    </row>
    <row r="361">
      <c r="A361" s="7" t="s">
        <v>19</v>
      </c>
      <c r="B361" s="8">
        <v>4.0</v>
      </c>
      <c r="C361" s="7" t="s">
        <v>267</v>
      </c>
      <c r="D361" s="7" t="s">
        <v>493</v>
      </c>
      <c r="E361" s="7" t="s">
        <v>494</v>
      </c>
      <c r="F361" s="7" t="s">
        <v>498</v>
      </c>
    </row>
    <row r="362">
      <c r="A362" s="7" t="s">
        <v>188</v>
      </c>
      <c r="B362" s="8">
        <v>4.0</v>
      </c>
      <c r="C362" s="7" t="s">
        <v>274</v>
      </c>
      <c r="D362" s="7" t="s">
        <v>499</v>
      </c>
      <c r="E362" s="7" t="s">
        <v>500</v>
      </c>
      <c r="F362" s="7" t="s">
        <v>277</v>
      </c>
    </row>
    <row r="363">
      <c r="A363" s="7" t="s">
        <v>4</v>
      </c>
      <c r="B363" s="8">
        <v>4.0</v>
      </c>
      <c r="C363" s="7" t="s">
        <v>274</v>
      </c>
      <c r="D363" s="7" t="s">
        <v>499</v>
      </c>
      <c r="E363" s="7" t="s">
        <v>500</v>
      </c>
      <c r="F363" s="7" t="s">
        <v>278</v>
      </c>
    </row>
    <row r="364">
      <c r="A364" s="7" t="s">
        <v>386</v>
      </c>
      <c r="B364" s="8">
        <v>4.0</v>
      </c>
      <c r="C364" s="7" t="s">
        <v>274</v>
      </c>
      <c r="D364" s="7" t="s">
        <v>499</v>
      </c>
      <c r="E364" s="7" t="s">
        <v>500</v>
      </c>
      <c r="F364" s="7" t="s">
        <v>501</v>
      </c>
    </row>
    <row r="365">
      <c r="A365" s="7" t="s">
        <v>387</v>
      </c>
      <c r="B365" s="8">
        <v>4.0</v>
      </c>
      <c r="C365" s="7" t="s">
        <v>274</v>
      </c>
      <c r="D365" s="7" t="s">
        <v>499</v>
      </c>
      <c r="E365" s="7" t="s">
        <v>500</v>
      </c>
      <c r="F365" s="7" t="s">
        <v>278</v>
      </c>
    </row>
    <row r="366">
      <c r="A366" s="7" t="s">
        <v>6</v>
      </c>
      <c r="B366" s="8">
        <v>4.0</v>
      </c>
      <c r="C366" s="7" t="s">
        <v>274</v>
      </c>
      <c r="D366" s="7" t="s">
        <v>499</v>
      </c>
      <c r="E366" s="7" t="s">
        <v>500</v>
      </c>
      <c r="F366" s="7" t="s">
        <v>502</v>
      </c>
    </row>
    <row r="367">
      <c r="A367" s="7" t="s">
        <v>7</v>
      </c>
      <c r="B367" s="8">
        <v>4.0</v>
      </c>
      <c r="C367" s="7" t="s">
        <v>274</v>
      </c>
      <c r="D367" s="7" t="s">
        <v>499</v>
      </c>
      <c r="E367" s="7" t="s">
        <v>500</v>
      </c>
      <c r="F367" s="7" t="s">
        <v>319</v>
      </c>
    </row>
    <row r="368">
      <c r="A368" s="7" t="s">
        <v>8</v>
      </c>
      <c r="B368" s="8">
        <v>4.0</v>
      </c>
      <c r="C368" s="7" t="s">
        <v>274</v>
      </c>
      <c r="D368" s="7" t="s">
        <v>499</v>
      </c>
      <c r="E368" s="7" t="s">
        <v>500</v>
      </c>
      <c r="F368" s="7" t="s">
        <v>503</v>
      </c>
    </row>
    <row r="369">
      <c r="A369" s="7" t="s">
        <v>388</v>
      </c>
      <c r="B369" s="8">
        <v>4.0</v>
      </c>
      <c r="C369" s="7" t="s">
        <v>274</v>
      </c>
      <c r="D369" s="7" t="s">
        <v>499</v>
      </c>
      <c r="E369" s="7" t="s">
        <v>500</v>
      </c>
      <c r="F369" s="7" t="s">
        <v>293</v>
      </c>
    </row>
    <row r="370">
      <c r="A370" s="7" t="s">
        <v>189</v>
      </c>
      <c r="B370" s="8">
        <v>4.0</v>
      </c>
      <c r="C370" s="7" t="s">
        <v>274</v>
      </c>
      <c r="D370" s="7" t="s">
        <v>499</v>
      </c>
      <c r="E370" s="7" t="s">
        <v>500</v>
      </c>
      <c r="F370" s="7" t="s">
        <v>358</v>
      </c>
    </row>
    <row r="371">
      <c r="A371" s="7" t="s">
        <v>9</v>
      </c>
      <c r="B371" s="8">
        <v>4.0</v>
      </c>
      <c r="C371" s="7" t="s">
        <v>274</v>
      </c>
      <c r="D371" s="7" t="s">
        <v>499</v>
      </c>
      <c r="E371" s="7" t="s">
        <v>500</v>
      </c>
      <c r="F371" s="7" t="s">
        <v>504</v>
      </c>
    </row>
    <row r="372">
      <c r="A372" s="7" t="s">
        <v>10</v>
      </c>
      <c r="B372" s="8">
        <v>4.0</v>
      </c>
      <c r="C372" s="7" t="s">
        <v>274</v>
      </c>
      <c r="D372" s="7" t="s">
        <v>499</v>
      </c>
      <c r="E372" s="7" t="s">
        <v>500</v>
      </c>
      <c r="F372" s="7" t="s">
        <v>358</v>
      </c>
    </row>
    <row r="373">
      <c r="A373" s="7" t="s">
        <v>11</v>
      </c>
      <c r="B373" s="8">
        <v>4.0</v>
      </c>
      <c r="C373" s="7" t="s">
        <v>274</v>
      </c>
      <c r="D373" s="7" t="s">
        <v>499</v>
      </c>
      <c r="E373" s="7" t="s">
        <v>500</v>
      </c>
      <c r="F373" s="7" t="s">
        <v>505</v>
      </c>
    </row>
    <row r="374">
      <c r="A374" s="7" t="s">
        <v>12</v>
      </c>
      <c r="B374" s="8">
        <v>4.0</v>
      </c>
      <c r="C374" s="7" t="s">
        <v>274</v>
      </c>
      <c r="D374" s="7" t="s">
        <v>499</v>
      </c>
      <c r="E374" s="7" t="s">
        <v>500</v>
      </c>
      <c r="F374" s="7" t="s">
        <v>506</v>
      </c>
    </row>
    <row r="375">
      <c r="A375" s="7" t="s">
        <v>13</v>
      </c>
      <c r="B375" s="8">
        <v>4.0</v>
      </c>
      <c r="C375" s="7" t="s">
        <v>274</v>
      </c>
      <c r="D375" s="7" t="s">
        <v>499</v>
      </c>
      <c r="E375" s="7" t="s">
        <v>500</v>
      </c>
      <c r="F375" s="7" t="s">
        <v>278</v>
      </c>
    </row>
    <row r="376">
      <c r="A376" s="7" t="s">
        <v>14</v>
      </c>
      <c r="B376" s="8">
        <v>4.0</v>
      </c>
      <c r="C376" s="7" t="s">
        <v>274</v>
      </c>
      <c r="D376" s="7" t="s">
        <v>499</v>
      </c>
      <c r="E376" s="7" t="s">
        <v>500</v>
      </c>
      <c r="F376" s="7" t="s">
        <v>403</v>
      </c>
    </row>
    <row r="377">
      <c r="A377" s="7" t="s">
        <v>15</v>
      </c>
      <c r="B377" s="8">
        <v>4.0</v>
      </c>
      <c r="C377" s="7" t="s">
        <v>274</v>
      </c>
      <c r="D377" s="7" t="s">
        <v>499</v>
      </c>
      <c r="E377" s="7" t="s">
        <v>500</v>
      </c>
      <c r="F377" s="7" t="s">
        <v>278</v>
      </c>
    </row>
    <row r="378">
      <c r="A378" s="7" t="s">
        <v>16</v>
      </c>
      <c r="B378" s="8">
        <v>4.0</v>
      </c>
      <c r="C378" s="7" t="s">
        <v>274</v>
      </c>
      <c r="D378" s="7" t="s">
        <v>499</v>
      </c>
      <c r="E378" s="7" t="s">
        <v>500</v>
      </c>
      <c r="F378" s="7" t="s">
        <v>278</v>
      </c>
    </row>
    <row r="379">
      <c r="A379" s="7" t="s">
        <v>17</v>
      </c>
      <c r="B379" s="8">
        <v>4.0</v>
      </c>
      <c r="C379" s="7" t="s">
        <v>274</v>
      </c>
      <c r="D379" s="7" t="s">
        <v>499</v>
      </c>
      <c r="E379" s="7" t="s">
        <v>500</v>
      </c>
      <c r="F379" s="7" t="s">
        <v>278</v>
      </c>
    </row>
    <row r="380">
      <c r="A380" s="7" t="s">
        <v>18</v>
      </c>
      <c r="B380" s="8">
        <v>4.0</v>
      </c>
      <c r="C380" s="7" t="s">
        <v>274</v>
      </c>
      <c r="D380" s="7" t="s">
        <v>499</v>
      </c>
      <c r="E380" s="7" t="s">
        <v>500</v>
      </c>
      <c r="F380" s="7" t="s">
        <v>278</v>
      </c>
    </row>
    <row r="381">
      <c r="A381" s="7" t="s">
        <v>19</v>
      </c>
      <c r="B381" s="8">
        <v>4.0</v>
      </c>
      <c r="C381" s="7" t="s">
        <v>274</v>
      </c>
      <c r="D381" s="7" t="s">
        <v>499</v>
      </c>
      <c r="E381" s="7" t="s">
        <v>500</v>
      </c>
      <c r="F381" s="7" t="s">
        <v>278</v>
      </c>
    </row>
    <row r="382">
      <c r="A382" s="7" t="s">
        <v>188</v>
      </c>
      <c r="B382" s="8">
        <v>4.0</v>
      </c>
      <c r="C382" s="7" t="s">
        <v>507</v>
      </c>
      <c r="D382" s="7" t="s">
        <v>508</v>
      </c>
      <c r="E382" s="7" t="s">
        <v>509</v>
      </c>
      <c r="F382" s="7" t="s">
        <v>510</v>
      </c>
    </row>
    <row r="383">
      <c r="A383" s="7" t="s">
        <v>4</v>
      </c>
      <c r="B383" s="8">
        <v>4.0</v>
      </c>
      <c r="C383" s="7" t="s">
        <v>507</v>
      </c>
      <c r="D383" s="7" t="s">
        <v>508</v>
      </c>
      <c r="E383" s="7" t="s">
        <v>509</v>
      </c>
      <c r="F383" s="7" t="s">
        <v>238</v>
      </c>
    </row>
    <row r="384">
      <c r="A384" s="7" t="s">
        <v>386</v>
      </c>
      <c r="B384" s="8">
        <v>4.0</v>
      </c>
      <c r="C384" s="7" t="s">
        <v>507</v>
      </c>
      <c r="D384" s="7" t="s">
        <v>508</v>
      </c>
      <c r="E384" s="7" t="s">
        <v>509</v>
      </c>
      <c r="F384" s="7" t="s">
        <v>510</v>
      </c>
    </row>
    <row r="385">
      <c r="A385" s="7" t="s">
        <v>387</v>
      </c>
      <c r="B385" s="8">
        <v>4.0</v>
      </c>
      <c r="C385" s="7" t="s">
        <v>507</v>
      </c>
      <c r="D385" s="7" t="s">
        <v>508</v>
      </c>
      <c r="E385" s="7" t="s">
        <v>509</v>
      </c>
      <c r="F385" s="7" t="s">
        <v>510</v>
      </c>
    </row>
    <row r="386">
      <c r="A386" s="7" t="s">
        <v>6</v>
      </c>
      <c r="B386" s="8">
        <v>4.0</v>
      </c>
      <c r="C386" s="7" t="s">
        <v>507</v>
      </c>
      <c r="D386" s="7" t="s">
        <v>508</v>
      </c>
      <c r="E386" s="7" t="s">
        <v>509</v>
      </c>
      <c r="F386" s="7" t="s">
        <v>238</v>
      </c>
    </row>
    <row r="387">
      <c r="A387" s="7" t="s">
        <v>7</v>
      </c>
      <c r="B387" s="8">
        <v>4.0</v>
      </c>
      <c r="C387" s="7" t="s">
        <v>507</v>
      </c>
      <c r="D387" s="7" t="s">
        <v>508</v>
      </c>
      <c r="E387" s="7" t="s">
        <v>509</v>
      </c>
      <c r="F387" s="7" t="s">
        <v>238</v>
      </c>
    </row>
    <row r="388">
      <c r="A388" s="7" t="s">
        <v>8</v>
      </c>
      <c r="B388" s="8">
        <v>4.0</v>
      </c>
      <c r="C388" s="7" t="s">
        <v>507</v>
      </c>
      <c r="D388" s="7" t="s">
        <v>508</v>
      </c>
      <c r="E388" s="7" t="s">
        <v>509</v>
      </c>
      <c r="F388" s="7" t="s">
        <v>272</v>
      </c>
    </row>
    <row r="389">
      <c r="A389" s="7" t="s">
        <v>388</v>
      </c>
      <c r="B389" s="8">
        <v>4.0</v>
      </c>
      <c r="C389" s="7" t="s">
        <v>507</v>
      </c>
      <c r="D389" s="7" t="s">
        <v>508</v>
      </c>
      <c r="E389" s="7" t="s">
        <v>509</v>
      </c>
      <c r="F389" s="7" t="s">
        <v>496</v>
      </c>
    </row>
    <row r="390">
      <c r="A390" s="7" t="s">
        <v>189</v>
      </c>
      <c r="B390" s="8">
        <v>4.0</v>
      </c>
      <c r="C390" s="7" t="s">
        <v>507</v>
      </c>
      <c r="D390" s="7" t="s">
        <v>508</v>
      </c>
      <c r="E390" s="7" t="s">
        <v>509</v>
      </c>
      <c r="F390" s="7" t="s">
        <v>271</v>
      </c>
    </row>
    <row r="391">
      <c r="A391" s="7" t="s">
        <v>9</v>
      </c>
      <c r="B391" s="8">
        <v>4.0</v>
      </c>
      <c r="C391" s="7" t="s">
        <v>507</v>
      </c>
      <c r="D391" s="7" t="s">
        <v>508</v>
      </c>
      <c r="E391" s="7" t="s">
        <v>509</v>
      </c>
      <c r="F391" s="7" t="s">
        <v>238</v>
      </c>
    </row>
    <row r="392">
      <c r="A392" s="7" t="s">
        <v>10</v>
      </c>
      <c r="B392" s="8">
        <v>4.0</v>
      </c>
      <c r="C392" s="7" t="s">
        <v>507</v>
      </c>
      <c r="D392" s="7" t="s">
        <v>508</v>
      </c>
      <c r="E392" s="7" t="s">
        <v>509</v>
      </c>
      <c r="F392" s="7" t="s">
        <v>271</v>
      </c>
    </row>
    <row r="393">
      <c r="A393" s="7" t="s">
        <v>11</v>
      </c>
      <c r="B393" s="8">
        <v>4.0</v>
      </c>
      <c r="C393" s="7" t="s">
        <v>507</v>
      </c>
      <c r="D393" s="7" t="s">
        <v>508</v>
      </c>
      <c r="E393" s="7" t="s">
        <v>509</v>
      </c>
      <c r="F393" s="7" t="s">
        <v>497</v>
      </c>
    </row>
    <row r="394">
      <c r="A394" s="7" t="s">
        <v>12</v>
      </c>
      <c r="B394" s="8">
        <v>4.0</v>
      </c>
      <c r="C394" s="7" t="s">
        <v>507</v>
      </c>
      <c r="D394" s="7" t="s">
        <v>508</v>
      </c>
      <c r="E394" s="7" t="s">
        <v>509</v>
      </c>
      <c r="F394" s="7" t="s">
        <v>272</v>
      </c>
    </row>
    <row r="395">
      <c r="A395" s="7" t="s">
        <v>13</v>
      </c>
      <c r="B395" s="8">
        <v>4.0</v>
      </c>
      <c r="C395" s="7" t="s">
        <v>507</v>
      </c>
      <c r="D395" s="7" t="s">
        <v>508</v>
      </c>
      <c r="E395" s="7" t="s">
        <v>509</v>
      </c>
      <c r="F395" s="7" t="s">
        <v>272</v>
      </c>
    </row>
    <row r="396">
      <c r="A396" s="7" t="s">
        <v>14</v>
      </c>
      <c r="B396" s="8">
        <v>4.0</v>
      </c>
      <c r="C396" s="7" t="s">
        <v>507</v>
      </c>
      <c r="D396" s="7" t="s">
        <v>508</v>
      </c>
      <c r="E396" s="7" t="s">
        <v>509</v>
      </c>
      <c r="F396" s="7" t="s">
        <v>305</v>
      </c>
    </row>
    <row r="397">
      <c r="A397" s="7" t="s">
        <v>15</v>
      </c>
      <c r="B397" s="8">
        <v>4.0</v>
      </c>
      <c r="C397" s="7" t="s">
        <v>507</v>
      </c>
      <c r="D397" s="7" t="s">
        <v>508</v>
      </c>
      <c r="E397" s="7" t="s">
        <v>509</v>
      </c>
      <c r="F397" s="7" t="s">
        <v>272</v>
      </c>
    </row>
    <row r="398">
      <c r="A398" s="7" t="s">
        <v>16</v>
      </c>
      <c r="B398" s="8">
        <v>4.0</v>
      </c>
      <c r="C398" s="7" t="s">
        <v>507</v>
      </c>
      <c r="D398" s="7" t="s">
        <v>508</v>
      </c>
      <c r="E398" s="7" t="s">
        <v>509</v>
      </c>
      <c r="F398" s="7" t="s">
        <v>238</v>
      </c>
    </row>
    <row r="399">
      <c r="A399" s="7" t="s">
        <v>17</v>
      </c>
      <c r="B399" s="8">
        <v>4.0</v>
      </c>
      <c r="C399" s="7" t="s">
        <v>507</v>
      </c>
      <c r="D399" s="7" t="s">
        <v>508</v>
      </c>
      <c r="E399" s="7" t="s">
        <v>509</v>
      </c>
      <c r="F399" s="7" t="s">
        <v>238</v>
      </c>
    </row>
    <row r="400">
      <c r="A400" s="7" t="s">
        <v>18</v>
      </c>
      <c r="B400" s="8">
        <v>4.0</v>
      </c>
      <c r="C400" s="7" t="s">
        <v>507</v>
      </c>
      <c r="D400" s="7" t="s">
        <v>508</v>
      </c>
      <c r="E400" s="7" t="s">
        <v>509</v>
      </c>
      <c r="F400" s="7" t="s">
        <v>511</v>
      </c>
    </row>
    <row r="401">
      <c r="A401" s="7" t="s">
        <v>19</v>
      </c>
      <c r="B401" s="8">
        <v>4.0</v>
      </c>
      <c r="C401" s="7" t="s">
        <v>507</v>
      </c>
      <c r="D401" s="7" t="s">
        <v>508</v>
      </c>
      <c r="E401" s="7" t="s">
        <v>509</v>
      </c>
      <c r="F401" s="7" t="s">
        <v>498</v>
      </c>
    </row>
    <row r="402">
      <c r="A402" s="7" t="s">
        <v>188</v>
      </c>
      <c r="B402" s="8">
        <v>4.0</v>
      </c>
      <c r="C402" s="7" t="s">
        <v>298</v>
      </c>
      <c r="D402" s="7" t="s">
        <v>512</v>
      </c>
      <c r="E402" s="7" t="s">
        <v>513</v>
      </c>
      <c r="F402" s="7" t="s">
        <v>301</v>
      </c>
    </row>
    <row r="403">
      <c r="A403" s="7" t="s">
        <v>4</v>
      </c>
      <c r="B403" s="8">
        <v>4.0</v>
      </c>
      <c r="C403" s="7" t="s">
        <v>298</v>
      </c>
      <c r="D403" s="7" t="s">
        <v>512</v>
      </c>
      <c r="E403" s="7" t="s">
        <v>513</v>
      </c>
      <c r="F403" s="7" t="s">
        <v>514</v>
      </c>
    </row>
    <row r="404">
      <c r="A404" s="7" t="s">
        <v>386</v>
      </c>
      <c r="B404" s="8">
        <v>4.0</v>
      </c>
      <c r="C404" s="7" t="s">
        <v>298</v>
      </c>
      <c r="D404" s="7" t="s">
        <v>512</v>
      </c>
      <c r="E404" s="7" t="s">
        <v>513</v>
      </c>
      <c r="F404" s="7" t="s">
        <v>301</v>
      </c>
    </row>
    <row r="405">
      <c r="A405" s="7" t="s">
        <v>387</v>
      </c>
      <c r="B405" s="8">
        <v>4.0</v>
      </c>
      <c r="C405" s="7" t="s">
        <v>298</v>
      </c>
      <c r="D405" s="7" t="s">
        <v>512</v>
      </c>
      <c r="E405" s="7" t="s">
        <v>513</v>
      </c>
      <c r="F405" s="7" t="s">
        <v>301</v>
      </c>
    </row>
    <row r="406">
      <c r="A406" s="7" t="s">
        <v>6</v>
      </c>
      <c r="B406" s="8">
        <v>4.0</v>
      </c>
      <c r="C406" s="7" t="s">
        <v>298</v>
      </c>
      <c r="D406" s="7" t="s">
        <v>512</v>
      </c>
      <c r="E406" s="7" t="s">
        <v>513</v>
      </c>
      <c r="F406" s="7" t="s">
        <v>240</v>
      </c>
    </row>
    <row r="407">
      <c r="A407" s="7" t="s">
        <v>7</v>
      </c>
      <c r="B407" s="8">
        <v>4.0</v>
      </c>
      <c r="C407" s="7" t="s">
        <v>298</v>
      </c>
      <c r="D407" s="7" t="s">
        <v>512</v>
      </c>
      <c r="E407" s="7" t="s">
        <v>513</v>
      </c>
      <c r="F407" s="7" t="s">
        <v>240</v>
      </c>
    </row>
    <row r="408">
      <c r="A408" s="7" t="s">
        <v>8</v>
      </c>
      <c r="B408" s="8">
        <v>4.0</v>
      </c>
      <c r="C408" s="7" t="s">
        <v>298</v>
      </c>
      <c r="D408" s="7" t="s">
        <v>512</v>
      </c>
      <c r="E408" s="7" t="s">
        <v>513</v>
      </c>
      <c r="F408" s="7" t="s">
        <v>272</v>
      </c>
    </row>
    <row r="409">
      <c r="A409" s="7" t="s">
        <v>388</v>
      </c>
      <c r="B409" s="8">
        <v>4.0</v>
      </c>
      <c r="C409" s="7" t="s">
        <v>298</v>
      </c>
      <c r="D409" s="7" t="s">
        <v>512</v>
      </c>
      <c r="E409" s="7" t="s">
        <v>513</v>
      </c>
      <c r="F409" s="7" t="s">
        <v>515</v>
      </c>
    </row>
    <row r="410">
      <c r="A410" s="7" t="s">
        <v>189</v>
      </c>
      <c r="B410" s="8">
        <v>4.0</v>
      </c>
      <c r="C410" s="7" t="s">
        <v>298</v>
      </c>
      <c r="D410" s="7" t="s">
        <v>512</v>
      </c>
      <c r="E410" s="7" t="s">
        <v>513</v>
      </c>
      <c r="F410" s="7" t="s">
        <v>305</v>
      </c>
    </row>
    <row r="411">
      <c r="A411" s="7" t="s">
        <v>9</v>
      </c>
      <c r="B411" s="8">
        <v>4.0</v>
      </c>
      <c r="C411" s="7" t="s">
        <v>298</v>
      </c>
      <c r="D411" s="7" t="s">
        <v>512</v>
      </c>
      <c r="E411" s="7" t="s">
        <v>513</v>
      </c>
      <c r="F411" s="7" t="s">
        <v>240</v>
      </c>
    </row>
    <row r="412">
      <c r="A412" s="7" t="s">
        <v>10</v>
      </c>
      <c r="B412" s="8">
        <v>4.0</v>
      </c>
      <c r="C412" s="7" t="s">
        <v>298</v>
      </c>
      <c r="D412" s="7" t="s">
        <v>512</v>
      </c>
      <c r="E412" s="7" t="s">
        <v>513</v>
      </c>
      <c r="F412" s="7" t="s">
        <v>305</v>
      </c>
    </row>
    <row r="413">
      <c r="A413" s="7" t="s">
        <v>11</v>
      </c>
      <c r="B413" s="8">
        <v>4.0</v>
      </c>
      <c r="C413" s="7" t="s">
        <v>298</v>
      </c>
      <c r="D413" s="7" t="s">
        <v>512</v>
      </c>
      <c r="E413" s="7" t="s">
        <v>513</v>
      </c>
      <c r="F413" s="7" t="s">
        <v>516</v>
      </c>
    </row>
    <row r="414">
      <c r="A414" s="7" t="s">
        <v>12</v>
      </c>
      <c r="B414" s="8">
        <v>4.0</v>
      </c>
      <c r="C414" s="7" t="s">
        <v>298</v>
      </c>
      <c r="D414" s="7" t="s">
        <v>512</v>
      </c>
      <c r="E414" s="7" t="s">
        <v>513</v>
      </c>
      <c r="F414" s="7" t="s">
        <v>303</v>
      </c>
    </row>
    <row r="415">
      <c r="A415" s="7" t="s">
        <v>13</v>
      </c>
      <c r="B415" s="8">
        <v>4.0</v>
      </c>
      <c r="C415" s="7" t="s">
        <v>298</v>
      </c>
      <c r="D415" s="7" t="s">
        <v>512</v>
      </c>
      <c r="E415" s="7" t="s">
        <v>513</v>
      </c>
      <c r="F415" s="7" t="s">
        <v>301</v>
      </c>
    </row>
    <row r="416">
      <c r="A416" s="7" t="s">
        <v>14</v>
      </c>
      <c r="B416" s="8">
        <v>4.0</v>
      </c>
      <c r="C416" s="7" t="s">
        <v>298</v>
      </c>
      <c r="D416" s="7" t="s">
        <v>512</v>
      </c>
      <c r="E416" s="7" t="s">
        <v>513</v>
      </c>
      <c r="F416" s="7" t="s">
        <v>305</v>
      </c>
    </row>
    <row r="417">
      <c r="A417" s="7" t="s">
        <v>15</v>
      </c>
      <c r="B417" s="8">
        <v>4.0</v>
      </c>
      <c r="C417" s="7" t="s">
        <v>298</v>
      </c>
      <c r="D417" s="7" t="s">
        <v>512</v>
      </c>
      <c r="E417" s="7" t="s">
        <v>513</v>
      </c>
      <c r="F417" s="7" t="s">
        <v>301</v>
      </c>
    </row>
    <row r="418">
      <c r="A418" s="7" t="s">
        <v>16</v>
      </c>
      <c r="B418" s="8">
        <v>4.0</v>
      </c>
      <c r="C418" s="7" t="s">
        <v>298</v>
      </c>
      <c r="D418" s="7" t="s">
        <v>512</v>
      </c>
      <c r="E418" s="7" t="s">
        <v>513</v>
      </c>
      <c r="F418" s="7" t="s">
        <v>240</v>
      </c>
    </row>
    <row r="419">
      <c r="A419" s="7" t="s">
        <v>17</v>
      </c>
      <c r="B419" s="8">
        <v>4.0</v>
      </c>
      <c r="C419" s="7" t="s">
        <v>298</v>
      </c>
      <c r="D419" s="7" t="s">
        <v>512</v>
      </c>
      <c r="E419" s="7" t="s">
        <v>513</v>
      </c>
      <c r="F419" s="7" t="s">
        <v>238</v>
      </c>
    </row>
    <row r="420">
      <c r="A420" s="7" t="s">
        <v>18</v>
      </c>
      <c r="B420" s="8">
        <v>4.0</v>
      </c>
      <c r="C420" s="7" t="s">
        <v>298</v>
      </c>
      <c r="D420" s="7" t="s">
        <v>512</v>
      </c>
      <c r="E420" s="7" t="s">
        <v>513</v>
      </c>
      <c r="F420" s="7" t="s">
        <v>240</v>
      </c>
    </row>
    <row r="421">
      <c r="A421" s="7" t="s">
        <v>19</v>
      </c>
      <c r="B421" s="8">
        <v>4.0</v>
      </c>
      <c r="C421" s="7" t="s">
        <v>298</v>
      </c>
      <c r="D421" s="7" t="s">
        <v>512</v>
      </c>
      <c r="E421" s="7" t="s">
        <v>513</v>
      </c>
      <c r="F421" s="7" t="s">
        <v>517</v>
      </c>
    </row>
    <row r="422">
      <c r="A422" s="7" t="s">
        <v>188</v>
      </c>
      <c r="B422" s="8">
        <v>4.0</v>
      </c>
      <c r="C422" s="7" t="s">
        <v>306</v>
      </c>
      <c r="D422" s="7" t="s">
        <v>230</v>
      </c>
      <c r="E422" s="7" t="s">
        <v>518</v>
      </c>
      <c r="F422" s="7" t="s">
        <v>303</v>
      </c>
    </row>
    <row r="423">
      <c r="A423" s="7" t="s">
        <v>4</v>
      </c>
      <c r="B423" s="8">
        <v>4.0</v>
      </c>
      <c r="C423" s="7" t="s">
        <v>306</v>
      </c>
      <c r="D423" s="7" t="s">
        <v>230</v>
      </c>
      <c r="E423" s="7" t="s">
        <v>518</v>
      </c>
      <c r="F423" s="7" t="s">
        <v>514</v>
      </c>
    </row>
    <row r="424">
      <c r="A424" s="7" t="s">
        <v>386</v>
      </c>
      <c r="B424" s="8">
        <v>4.0</v>
      </c>
      <c r="C424" s="7" t="s">
        <v>306</v>
      </c>
      <c r="D424" s="7" t="s">
        <v>230</v>
      </c>
      <c r="E424" s="7" t="s">
        <v>518</v>
      </c>
      <c r="F424" s="7" t="s">
        <v>303</v>
      </c>
    </row>
    <row r="425">
      <c r="A425" s="7" t="s">
        <v>387</v>
      </c>
      <c r="B425" s="8">
        <v>4.0</v>
      </c>
      <c r="C425" s="7" t="s">
        <v>306</v>
      </c>
      <c r="D425" s="7" t="s">
        <v>230</v>
      </c>
      <c r="E425" s="7" t="s">
        <v>518</v>
      </c>
      <c r="F425" s="7" t="s">
        <v>303</v>
      </c>
    </row>
    <row r="426">
      <c r="A426" s="7" t="s">
        <v>6</v>
      </c>
      <c r="B426" s="8">
        <v>4.0</v>
      </c>
      <c r="C426" s="7" t="s">
        <v>306</v>
      </c>
      <c r="D426" s="7" t="s">
        <v>230</v>
      </c>
      <c r="E426" s="7" t="s">
        <v>518</v>
      </c>
      <c r="F426" s="7" t="s">
        <v>240</v>
      </c>
    </row>
    <row r="427">
      <c r="A427" s="7" t="s">
        <v>7</v>
      </c>
      <c r="B427" s="8">
        <v>4.0</v>
      </c>
      <c r="C427" s="7" t="s">
        <v>306</v>
      </c>
      <c r="D427" s="7" t="s">
        <v>230</v>
      </c>
      <c r="E427" s="7" t="s">
        <v>518</v>
      </c>
      <c r="F427" s="7" t="s">
        <v>240</v>
      </c>
    </row>
    <row r="428">
      <c r="A428" s="7" t="s">
        <v>8</v>
      </c>
      <c r="B428" s="8">
        <v>4.0</v>
      </c>
      <c r="C428" s="7" t="s">
        <v>306</v>
      </c>
      <c r="D428" s="7" t="s">
        <v>230</v>
      </c>
      <c r="E428" s="7" t="s">
        <v>518</v>
      </c>
      <c r="F428" s="7" t="s">
        <v>519</v>
      </c>
    </row>
    <row r="429">
      <c r="A429" s="7" t="s">
        <v>388</v>
      </c>
      <c r="B429" s="8">
        <v>4.0</v>
      </c>
      <c r="C429" s="7" t="s">
        <v>306</v>
      </c>
      <c r="D429" s="7" t="s">
        <v>230</v>
      </c>
      <c r="E429" s="7" t="s">
        <v>518</v>
      </c>
      <c r="F429" s="7" t="s">
        <v>520</v>
      </c>
    </row>
    <row r="430">
      <c r="A430" s="7" t="s">
        <v>189</v>
      </c>
      <c r="B430" s="8">
        <v>4.0</v>
      </c>
      <c r="C430" s="7" t="s">
        <v>306</v>
      </c>
      <c r="D430" s="7" t="s">
        <v>230</v>
      </c>
      <c r="E430" s="7" t="s">
        <v>518</v>
      </c>
      <c r="F430" s="7" t="s">
        <v>305</v>
      </c>
    </row>
    <row r="431">
      <c r="A431" s="7" t="s">
        <v>9</v>
      </c>
      <c r="B431" s="8">
        <v>4.0</v>
      </c>
      <c r="C431" s="7" t="s">
        <v>306</v>
      </c>
      <c r="D431" s="7" t="s">
        <v>230</v>
      </c>
      <c r="E431" s="7" t="s">
        <v>518</v>
      </c>
      <c r="F431" s="7" t="s">
        <v>240</v>
      </c>
    </row>
    <row r="432">
      <c r="A432" s="7" t="s">
        <v>10</v>
      </c>
      <c r="B432" s="8">
        <v>4.0</v>
      </c>
      <c r="C432" s="7" t="s">
        <v>306</v>
      </c>
      <c r="D432" s="7" t="s">
        <v>230</v>
      </c>
      <c r="E432" s="7" t="s">
        <v>518</v>
      </c>
      <c r="F432" s="7" t="s">
        <v>305</v>
      </c>
    </row>
    <row r="433">
      <c r="A433" s="7" t="s">
        <v>11</v>
      </c>
      <c r="B433" s="8">
        <v>4.0</v>
      </c>
      <c r="C433" s="7" t="s">
        <v>306</v>
      </c>
      <c r="D433" s="7" t="s">
        <v>230</v>
      </c>
      <c r="E433" s="7" t="s">
        <v>518</v>
      </c>
      <c r="F433" s="7" t="s">
        <v>516</v>
      </c>
    </row>
    <row r="434">
      <c r="A434" s="7" t="s">
        <v>12</v>
      </c>
      <c r="B434" s="8">
        <v>4.0</v>
      </c>
      <c r="C434" s="7" t="s">
        <v>306</v>
      </c>
      <c r="D434" s="7" t="s">
        <v>230</v>
      </c>
      <c r="E434" s="7" t="s">
        <v>518</v>
      </c>
      <c r="F434" s="7" t="s">
        <v>303</v>
      </c>
    </row>
    <row r="435">
      <c r="A435" s="7" t="s">
        <v>13</v>
      </c>
      <c r="B435" s="8">
        <v>4.0</v>
      </c>
      <c r="C435" s="7" t="s">
        <v>306</v>
      </c>
      <c r="D435" s="7" t="s">
        <v>230</v>
      </c>
      <c r="E435" s="7" t="s">
        <v>518</v>
      </c>
      <c r="F435" s="7" t="s">
        <v>301</v>
      </c>
    </row>
    <row r="436">
      <c r="A436" s="7" t="s">
        <v>14</v>
      </c>
      <c r="B436" s="8">
        <v>4.0</v>
      </c>
      <c r="C436" s="7" t="s">
        <v>306</v>
      </c>
      <c r="D436" s="7" t="s">
        <v>230</v>
      </c>
      <c r="E436" s="7" t="s">
        <v>518</v>
      </c>
      <c r="F436" s="7" t="s">
        <v>305</v>
      </c>
    </row>
    <row r="437">
      <c r="A437" s="7" t="s">
        <v>15</v>
      </c>
      <c r="B437" s="8">
        <v>4.0</v>
      </c>
      <c r="C437" s="7" t="s">
        <v>306</v>
      </c>
      <c r="D437" s="7" t="s">
        <v>230</v>
      </c>
      <c r="E437" s="7" t="s">
        <v>518</v>
      </c>
      <c r="F437" s="7" t="s">
        <v>301</v>
      </c>
    </row>
    <row r="438">
      <c r="A438" s="7" t="s">
        <v>16</v>
      </c>
      <c r="B438" s="8">
        <v>4.0</v>
      </c>
      <c r="C438" s="7" t="s">
        <v>306</v>
      </c>
      <c r="D438" s="7" t="s">
        <v>230</v>
      </c>
      <c r="E438" s="7" t="s">
        <v>518</v>
      </c>
      <c r="F438" s="7" t="s">
        <v>240</v>
      </c>
    </row>
    <row r="439">
      <c r="A439" s="7" t="s">
        <v>17</v>
      </c>
      <c r="B439" s="8">
        <v>4.0</v>
      </c>
      <c r="C439" s="7" t="s">
        <v>306</v>
      </c>
      <c r="D439" s="7" t="s">
        <v>230</v>
      </c>
      <c r="E439" s="7" t="s">
        <v>518</v>
      </c>
      <c r="F439" s="7" t="s">
        <v>238</v>
      </c>
    </row>
    <row r="440">
      <c r="A440" s="7" t="s">
        <v>18</v>
      </c>
      <c r="B440" s="8">
        <v>4.0</v>
      </c>
      <c r="C440" s="7" t="s">
        <v>306</v>
      </c>
      <c r="D440" s="7" t="s">
        <v>230</v>
      </c>
      <c r="E440" s="7" t="s">
        <v>518</v>
      </c>
      <c r="F440" s="7" t="s">
        <v>240</v>
      </c>
    </row>
    <row r="441">
      <c r="A441" s="7" t="s">
        <v>19</v>
      </c>
      <c r="B441" s="8">
        <v>4.0</v>
      </c>
      <c r="C441" s="7" t="s">
        <v>306</v>
      </c>
      <c r="D441" s="7" t="s">
        <v>230</v>
      </c>
      <c r="E441" s="7" t="s">
        <v>518</v>
      </c>
      <c r="F441" s="7" t="s">
        <v>517</v>
      </c>
    </row>
    <row r="442">
      <c r="A442" s="7" t="s">
        <v>188</v>
      </c>
      <c r="B442" s="8">
        <v>4.0</v>
      </c>
      <c r="C442" s="7" t="s">
        <v>309</v>
      </c>
      <c r="D442" s="7" t="s">
        <v>521</v>
      </c>
      <c r="E442" s="7" t="s">
        <v>522</v>
      </c>
      <c r="F442" s="7" t="s">
        <v>337</v>
      </c>
    </row>
    <row r="443">
      <c r="A443" s="7" t="s">
        <v>4</v>
      </c>
      <c r="B443" s="8">
        <v>4.0</v>
      </c>
      <c r="C443" s="7" t="s">
        <v>309</v>
      </c>
      <c r="D443" s="7" t="s">
        <v>521</v>
      </c>
      <c r="E443" s="7" t="s">
        <v>522</v>
      </c>
      <c r="F443" s="7" t="s">
        <v>495</v>
      </c>
    </row>
    <row r="444">
      <c r="A444" s="7" t="s">
        <v>386</v>
      </c>
      <c r="B444" s="8">
        <v>4.0</v>
      </c>
      <c r="C444" s="7" t="s">
        <v>309</v>
      </c>
      <c r="D444" s="7" t="s">
        <v>521</v>
      </c>
      <c r="E444" s="7" t="s">
        <v>522</v>
      </c>
      <c r="F444" s="7" t="s">
        <v>337</v>
      </c>
    </row>
    <row r="445">
      <c r="A445" s="7" t="s">
        <v>387</v>
      </c>
      <c r="B445" s="8">
        <v>4.0</v>
      </c>
      <c r="C445" s="7" t="s">
        <v>309</v>
      </c>
      <c r="D445" s="7" t="s">
        <v>521</v>
      </c>
      <c r="E445" s="7" t="s">
        <v>522</v>
      </c>
      <c r="F445" s="7" t="s">
        <v>272</v>
      </c>
    </row>
    <row r="446">
      <c r="A446" s="7" t="s">
        <v>6</v>
      </c>
      <c r="B446" s="8">
        <v>4.0</v>
      </c>
      <c r="C446" s="7" t="s">
        <v>309</v>
      </c>
      <c r="D446" s="7" t="s">
        <v>521</v>
      </c>
      <c r="E446" s="7" t="s">
        <v>522</v>
      </c>
      <c r="F446" s="7" t="s">
        <v>238</v>
      </c>
    </row>
    <row r="447">
      <c r="A447" s="7" t="s">
        <v>7</v>
      </c>
      <c r="B447" s="8">
        <v>4.0</v>
      </c>
      <c r="C447" s="7" t="s">
        <v>309</v>
      </c>
      <c r="D447" s="7" t="s">
        <v>521</v>
      </c>
      <c r="E447" s="7" t="s">
        <v>522</v>
      </c>
      <c r="F447" s="7" t="s">
        <v>238</v>
      </c>
    </row>
    <row r="448">
      <c r="A448" s="7" t="s">
        <v>8</v>
      </c>
      <c r="B448" s="8">
        <v>4.0</v>
      </c>
      <c r="C448" s="7" t="s">
        <v>309</v>
      </c>
      <c r="D448" s="7" t="s">
        <v>521</v>
      </c>
      <c r="E448" s="7" t="s">
        <v>522</v>
      </c>
      <c r="F448" s="7" t="s">
        <v>272</v>
      </c>
    </row>
    <row r="449">
      <c r="A449" s="7" t="s">
        <v>388</v>
      </c>
      <c r="B449" s="8">
        <v>4.0</v>
      </c>
      <c r="C449" s="7" t="s">
        <v>309</v>
      </c>
      <c r="D449" s="7" t="s">
        <v>521</v>
      </c>
      <c r="E449" s="7" t="s">
        <v>522</v>
      </c>
      <c r="F449" s="7" t="s">
        <v>515</v>
      </c>
    </row>
    <row r="450">
      <c r="A450" s="7" t="s">
        <v>189</v>
      </c>
      <c r="B450" s="8">
        <v>4.0</v>
      </c>
      <c r="C450" s="7" t="s">
        <v>309</v>
      </c>
      <c r="D450" s="7" t="s">
        <v>521</v>
      </c>
      <c r="E450" s="7" t="s">
        <v>522</v>
      </c>
      <c r="F450" s="7" t="s">
        <v>271</v>
      </c>
    </row>
    <row r="451">
      <c r="A451" s="7" t="s">
        <v>9</v>
      </c>
      <c r="B451" s="8">
        <v>4.0</v>
      </c>
      <c r="C451" s="7" t="s">
        <v>309</v>
      </c>
      <c r="D451" s="7" t="s">
        <v>521</v>
      </c>
      <c r="E451" s="7" t="s">
        <v>522</v>
      </c>
      <c r="F451" s="7" t="s">
        <v>238</v>
      </c>
    </row>
    <row r="452">
      <c r="A452" s="7" t="s">
        <v>10</v>
      </c>
      <c r="B452" s="8">
        <v>4.0</v>
      </c>
      <c r="C452" s="7" t="s">
        <v>309</v>
      </c>
      <c r="D452" s="7" t="s">
        <v>521</v>
      </c>
      <c r="E452" s="7" t="s">
        <v>522</v>
      </c>
      <c r="F452" s="7" t="s">
        <v>271</v>
      </c>
    </row>
    <row r="453">
      <c r="A453" s="7" t="s">
        <v>11</v>
      </c>
      <c r="B453" s="8">
        <v>4.0</v>
      </c>
      <c r="C453" s="7" t="s">
        <v>309</v>
      </c>
      <c r="D453" s="7" t="s">
        <v>521</v>
      </c>
      <c r="E453" s="7" t="s">
        <v>522</v>
      </c>
      <c r="F453" s="7" t="s">
        <v>497</v>
      </c>
    </row>
    <row r="454">
      <c r="A454" s="7" t="s">
        <v>12</v>
      </c>
      <c r="B454" s="8">
        <v>4.0</v>
      </c>
      <c r="C454" s="7" t="s">
        <v>309</v>
      </c>
      <c r="D454" s="7" t="s">
        <v>521</v>
      </c>
      <c r="E454" s="7" t="s">
        <v>522</v>
      </c>
      <c r="F454" s="7" t="s">
        <v>272</v>
      </c>
    </row>
    <row r="455">
      <c r="A455" s="7" t="s">
        <v>13</v>
      </c>
      <c r="B455" s="8">
        <v>4.0</v>
      </c>
      <c r="C455" s="7" t="s">
        <v>309</v>
      </c>
      <c r="D455" s="7" t="s">
        <v>521</v>
      </c>
      <c r="E455" s="7" t="s">
        <v>522</v>
      </c>
      <c r="F455" s="7" t="s">
        <v>272</v>
      </c>
    </row>
    <row r="456">
      <c r="A456" s="7" t="s">
        <v>14</v>
      </c>
      <c r="B456" s="8">
        <v>4.0</v>
      </c>
      <c r="C456" s="7" t="s">
        <v>309</v>
      </c>
      <c r="D456" s="7" t="s">
        <v>521</v>
      </c>
      <c r="E456" s="7" t="s">
        <v>522</v>
      </c>
      <c r="F456" s="7" t="s">
        <v>271</v>
      </c>
    </row>
    <row r="457">
      <c r="A457" s="7" t="s">
        <v>15</v>
      </c>
      <c r="B457" s="8">
        <v>4.0</v>
      </c>
      <c r="C457" s="7" t="s">
        <v>309</v>
      </c>
      <c r="D457" s="7" t="s">
        <v>521</v>
      </c>
      <c r="E457" s="7" t="s">
        <v>522</v>
      </c>
      <c r="F457" s="7" t="s">
        <v>272</v>
      </c>
    </row>
    <row r="458">
      <c r="A458" s="7" t="s">
        <v>16</v>
      </c>
      <c r="B458" s="8">
        <v>4.0</v>
      </c>
      <c r="C458" s="7" t="s">
        <v>309</v>
      </c>
      <c r="D458" s="7" t="s">
        <v>521</v>
      </c>
      <c r="E458" s="7" t="s">
        <v>522</v>
      </c>
      <c r="F458" s="7" t="s">
        <v>238</v>
      </c>
    </row>
    <row r="459">
      <c r="A459" s="7" t="s">
        <v>17</v>
      </c>
      <c r="B459" s="8">
        <v>4.0</v>
      </c>
      <c r="C459" s="7" t="s">
        <v>309</v>
      </c>
      <c r="D459" s="7" t="s">
        <v>521</v>
      </c>
      <c r="E459" s="7" t="s">
        <v>522</v>
      </c>
      <c r="F459" s="7" t="s">
        <v>523</v>
      </c>
    </row>
    <row r="460">
      <c r="A460" s="7" t="s">
        <v>18</v>
      </c>
      <c r="B460" s="8">
        <v>4.0</v>
      </c>
      <c r="C460" s="7" t="s">
        <v>309</v>
      </c>
      <c r="D460" s="7" t="s">
        <v>521</v>
      </c>
      <c r="E460" s="7" t="s">
        <v>522</v>
      </c>
      <c r="F460" s="7" t="s">
        <v>238</v>
      </c>
    </row>
    <row r="461">
      <c r="A461" s="7" t="s">
        <v>19</v>
      </c>
      <c r="B461" s="8">
        <v>4.0</v>
      </c>
      <c r="C461" s="7" t="s">
        <v>309</v>
      </c>
      <c r="D461" s="7" t="s">
        <v>521</v>
      </c>
      <c r="E461" s="7" t="s">
        <v>522</v>
      </c>
      <c r="F461" s="7" t="s">
        <v>498</v>
      </c>
    </row>
    <row r="462">
      <c r="A462" s="7" t="s">
        <v>188</v>
      </c>
      <c r="B462" s="8">
        <v>4.0</v>
      </c>
      <c r="C462" s="7" t="s">
        <v>314</v>
      </c>
      <c r="D462" s="7" t="s">
        <v>524</v>
      </c>
      <c r="E462" s="7" t="s">
        <v>525</v>
      </c>
      <c r="F462" s="7" t="s">
        <v>501</v>
      </c>
    </row>
    <row r="463">
      <c r="A463" s="7" t="s">
        <v>4</v>
      </c>
      <c r="B463" s="8">
        <v>4.0</v>
      </c>
      <c r="C463" s="7" t="s">
        <v>314</v>
      </c>
      <c r="D463" s="7" t="s">
        <v>524</v>
      </c>
      <c r="E463" s="7" t="s">
        <v>525</v>
      </c>
      <c r="F463" s="7" t="s">
        <v>526</v>
      </c>
    </row>
    <row r="464">
      <c r="A464" s="7" t="s">
        <v>386</v>
      </c>
      <c r="B464" s="8">
        <v>4.0</v>
      </c>
      <c r="C464" s="7" t="s">
        <v>314</v>
      </c>
      <c r="D464" s="7" t="s">
        <v>524</v>
      </c>
      <c r="E464" s="7" t="s">
        <v>525</v>
      </c>
      <c r="F464" s="7" t="s">
        <v>501</v>
      </c>
    </row>
    <row r="465">
      <c r="A465" s="7" t="s">
        <v>387</v>
      </c>
      <c r="B465" s="8">
        <v>4.0</v>
      </c>
      <c r="C465" s="7" t="s">
        <v>314</v>
      </c>
      <c r="D465" s="7" t="s">
        <v>524</v>
      </c>
      <c r="E465" s="7" t="s">
        <v>525</v>
      </c>
      <c r="F465" s="7" t="s">
        <v>278</v>
      </c>
    </row>
    <row r="466">
      <c r="A466" s="7" t="s">
        <v>6</v>
      </c>
      <c r="B466" s="8">
        <v>4.0</v>
      </c>
      <c r="C466" s="7" t="s">
        <v>314</v>
      </c>
      <c r="D466" s="7" t="s">
        <v>524</v>
      </c>
      <c r="E466" s="7" t="s">
        <v>525</v>
      </c>
      <c r="F466" s="7" t="s">
        <v>527</v>
      </c>
    </row>
    <row r="467">
      <c r="A467" s="7" t="s">
        <v>7</v>
      </c>
      <c r="B467" s="8">
        <v>4.0</v>
      </c>
      <c r="C467" s="7" t="s">
        <v>314</v>
      </c>
      <c r="D467" s="7" t="s">
        <v>524</v>
      </c>
      <c r="E467" s="7" t="s">
        <v>525</v>
      </c>
      <c r="F467" s="7" t="s">
        <v>319</v>
      </c>
    </row>
    <row r="468">
      <c r="A468" s="7" t="s">
        <v>8</v>
      </c>
      <c r="B468" s="8">
        <v>4.0</v>
      </c>
      <c r="C468" s="7" t="s">
        <v>314</v>
      </c>
      <c r="D468" s="7" t="s">
        <v>524</v>
      </c>
      <c r="E468" s="7" t="s">
        <v>525</v>
      </c>
      <c r="F468" s="7" t="s">
        <v>503</v>
      </c>
    </row>
    <row r="469">
      <c r="A469" s="7" t="s">
        <v>388</v>
      </c>
      <c r="B469" s="8">
        <v>4.0</v>
      </c>
      <c r="C469" s="7" t="s">
        <v>314</v>
      </c>
      <c r="D469" s="7" t="s">
        <v>524</v>
      </c>
      <c r="E469" s="7" t="s">
        <v>525</v>
      </c>
      <c r="F469" s="7" t="s">
        <v>293</v>
      </c>
    </row>
    <row r="470">
      <c r="A470" s="7" t="s">
        <v>189</v>
      </c>
      <c r="B470" s="8">
        <v>4.0</v>
      </c>
      <c r="C470" s="7" t="s">
        <v>314</v>
      </c>
      <c r="D470" s="7" t="s">
        <v>524</v>
      </c>
      <c r="E470" s="7" t="s">
        <v>525</v>
      </c>
      <c r="F470" s="7" t="s">
        <v>271</v>
      </c>
    </row>
    <row r="471">
      <c r="A471" s="7" t="s">
        <v>9</v>
      </c>
      <c r="B471" s="8">
        <v>4.0</v>
      </c>
      <c r="C471" s="7" t="s">
        <v>314</v>
      </c>
      <c r="D471" s="7" t="s">
        <v>524</v>
      </c>
      <c r="E471" s="7" t="s">
        <v>525</v>
      </c>
      <c r="F471" s="7" t="s">
        <v>504</v>
      </c>
    </row>
    <row r="472">
      <c r="A472" s="7" t="s">
        <v>10</v>
      </c>
      <c r="B472" s="8">
        <v>4.0</v>
      </c>
      <c r="C472" s="7" t="s">
        <v>314</v>
      </c>
      <c r="D472" s="7" t="s">
        <v>524</v>
      </c>
      <c r="E472" s="7" t="s">
        <v>525</v>
      </c>
      <c r="F472" s="7" t="s">
        <v>271</v>
      </c>
    </row>
    <row r="473">
      <c r="A473" s="7" t="s">
        <v>11</v>
      </c>
      <c r="B473" s="8">
        <v>4.0</v>
      </c>
      <c r="C473" s="7" t="s">
        <v>314</v>
      </c>
      <c r="D473" s="7" t="s">
        <v>524</v>
      </c>
      <c r="E473" s="7" t="s">
        <v>525</v>
      </c>
      <c r="F473" s="7" t="s">
        <v>528</v>
      </c>
    </row>
    <row r="474">
      <c r="A474" s="7" t="s">
        <v>12</v>
      </c>
      <c r="B474" s="8">
        <v>4.0</v>
      </c>
      <c r="C474" s="7" t="s">
        <v>314</v>
      </c>
      <c r="D474" s="7" t="s">
        <v>524</v>
      </c>
      <c r="E474" s="7" t="s">
        <v>525</v>
      </c>
      <c r="F474" s="7" t="s">
        <v>506</v>
      </c>
    </row>
    <row r="475">
      <c r="A475" s="7" t="s">
        <v>13</v>
      </c>
      <c r="B475" s="8">
        <v>4.0</v>
      </c>
      <c r="C475" s="7" t="s">
        <v>314</v>
      </c>
      <c r="D475" s="7" t="s">
        <v>524</v>
      </c>
      <c r="E475" s="7" t="s">
        <v>525</v>
      </c>
      <c r="F475" s="7" t="s">
        <v>278</v>
      </c>
    </row>
    <row r="476">
      <c r="A476" s="7" t="s">
        <v>14</v>
      </c>
      <c r="B476" s="8">
        <v>4.0</v>
      </c>
      <c r="C476" s="7" t="s">
        <v>314</v>
      </c>
      <c r="D476" s="7" t="s">
        <v>524</v>
      </c>
      <c r="E476" s="7" t="s">
        <v>525</v>
      </c>
      <c r="F476" s="7" t="s">
        <v>403</v>
      </c>
    </row>
    <row r="477">
      <c r="A477" s="7" t="s">
        <v>15</v>
      </c>
      <c r="B477" s="8">
        <v>4.0</v>
      </c>
      <c r="C477" s="7" t="s">
        <v>314</v>
      </c>
      <c r="D477" s="7" t="s">
        <v>524</v>
      </c>
      <c r="E477" s="7" t="s">
        <v>525</v>
      </c>
      <c r="F477" s="7" t="s">
        <v>278</v>
      </c>
    </row>
    <row r="478">
      <c r="A478" s="7" t="s">
        <v>16</v>
      </c>
      <c r="B478" s="8">
        <v>4.0</v>
      </c>
      <c r="C478" s="7" t="s">
        <v>314</v>
      </c>
      <c r="D478" s="7" t="s">
        <v>524</v>
      </c>
      <c r="E478" s="7" t="s">
        <v>525</v>
      </c>
      <c r="F478" s="7" t="s">
        <v>278</v>
      </c>
    </row>
    <row r="479">
      <c r="A479" s="7" t="s">
        <v>17</v>
      </c>
      <c r="B479" s="8">
        <v>4.0</v>
      </c>
      <c r="C479" s="7" t="s">
        <v>314</v>
      </c>
      <c r="D479" s="7" t="s">
        <v>524</v>
      </c>
      <c r="E479" s="7" t="s">
        <v>525</v>
      </c>
      <c r="F479" s="7" t="s">
        <v>278</v>
      </c>
    </row>
    <row r="480">
      <c r="A480" s="7" t="s">
        <v>18</v>
      </c>
      <c r="B480" s="8">
        <v>4.0</v>
      </c>
      <c r="C480" s="7" t="s">
        <v>314</v>
      </c>
      <c r="D480" s="7" t="s">
        <v>524</v>
      </c>
      <c r="E480" s="7" t="s">
        <v>525</v>
      </c>
      <c r="F480" s="7" t="s">
        <v>278</v>
      </c>
    </row>
    <row r="481">
      <c r="A481" s="7" t="s">
        <v>19</v>
      </c>
      <c r="B481" s="8">
        <v>4.0</v>
      </c>
      <c r="C481" s="7" t="s">
        <v>314</v>
      </c>
      <c r="D481" s="7" t="s">
        <v>524</v>
      </c>
      <c r="E481" s="7" t="s">
        <v>525</v>
      </c>
      <c r="F481" s="7" t="s">
        <v>278</v>
      </c>
    </row>
    <row r="482">
      <c r="A482" s="7" t="s">
        <v>188</v>
      </c>
      <c r="B482" s="8">
        <v>4.0</v>
      </c>
      <c r="C482" s="7" t="s">
        <v>529</v>
      </c>
      <c r="D482" s="7" t="s">
        <v>530</v>
      </c>
      <c r="E482" s="7" t="s">
        <v>531</v>
      </c>
      <c r="F482" s="7" t="s">
        <v>532</v>
      </c>
    </row>
    <row r="483">
      <c r="A483" s="7" t="s">
        <v>4</v>
      </c>
      <c r="B483" s="8">
        <v>4.0</v>
      </c>
      <c r="C483" s="7" t="s">
        <v>529</v>
      </c>
      <c r="D483" s="7" t="s">
        <v>530</v>
      </c>
      <c r="E483" s="7" t="s">
        <v>531</v>
      </c>
      <c r="F483" s="7" t="s">
        <v>532</v>
      </c>
    </row>
    <row r="484">
      <c r="A484" s="7" t="s">
        <v>386</v>
      </c>
      <c r="B484" s="8">
        <v>4.0</v>
      </c>
      <c r="C484" s="7" t="s">
        <v>529</v>
      </c>
      <c r="D484" s="7" t="s">
        <v>530</v>
      </c>
      <c r="E484" s="7" t="s">
        <v>531</v>
      </c>
      <c r="F484" s="7" t="s">
        <v>532</v>
      </c>
    </row>
    <row r="485">
      <c r="A485" s="7" t="s">
        <v>6</v>
      </c>
      <c r="B485" s="8">
        <v>4.0</v>
      </c>
      <c r="C485" s="7" t="s">
        <v>529</v>
      </c>
      <c r="D485" s="7" t="s">
        <v>530</v>
      </c>
      <c r="E485" s="7" t="s">
        <v>531</v>
      </c>
      <c r="F485" s="7" t="s">
        <v>532</v>
      </c>
    </row>
    <row r="486">
      <c r="A486" s="7" t="s">
        <v>7</v>
      </c>
      <c r="B486" s="8">
        <v>4.0</v>
      </c>
      <c r="C486" s="7" t="s">
        <v>529</v>
      </c>
      <c r="D486" s="7" t="s">
        <v>530</v>
      </c>
      <c r="E486" s="7" t="s">
        <v>531</v>
      </c>
      <c r="F486" s="7" t="s">
        <v>532</v>
      </c>
    </row>
    <row r="487">
      <c r="A487" s="7" t="s">
        <v>8</v>
      </c>
      <c r="B487" s="8">
        <v>4.0</v>
      </c>
      <c r="C487" s="7" t="s">
        <v>529</v>
      </c>
      <c r="D487" s="7" t="s">
        <v>530</v>
      </c>
      <c r="E487" s="7" t="s">
        <v>531</v>
      </c>
      <c r="F487" s="7" t="s">
        <v>532</v>
      </c>
    </row>
    <row r="488">
      <c r="A488" s="7" t="s">
        <v>388</v>
      </c>
      <c r="B488" s="8">
        <v>4.0</v>
      </c>
      <c r="C488" s="7" t="s">
        <v>529</v>
      </c>
      <c r="D488" s="7" t="s">
        <v>530</v>
      </c>
      <c r="E488" s="7" t="s">
        <v>531</v>
      </c>
      <c r="F488" s="7" t="s">
        <v>532</v>
      </c>
    </row>
    <row r="489">
      <c r="A489" s="7" t="s">
        <v>189</v>
      </c>
      <c r="B489" s="8">
        <v>4.0</v>
      </c>
      <c r="C489" s="7" t="s">
        <v>529</v>
      </c>
      <c r="D489" s="7" t="s">
        <v>530</v>
      </c>
      <c r="E489" s="7" t="s">
        <v>531</v>
      </c>
      <c r="F489" s="7" t="s">
        <v>532</v>
      </c>
    </row>
    <row r="490">
      <c r="A490" s="7" t="s">
        <v>9</v>
      </c>
      <c r="B490" s="8">
        <v>4.0</v>
      </c>
      <c r="C490" s="7" t="s">
        <v>529</v>
      </c>
      <c r="D490" s="7" t="s">
        <v>530</v>
      </c>
      <c r="E490" s="7" t="s">
        <v>531</v>
      </c>
      <c r="F490" s="7" t="s">
        <v>532</v>
      </c>
    </row>
    <row r="491">
      <c r="A491" s="7" t="s">
        <v>10</v>
      </c>
      <c r="B491" s="8">
        <v>4.0</v>
      </c>
      <c r="C491" s="7" t="s">
        <v>529</v>
      </c>
      <c r="D491" s="7" t="s">
        <v>530</v>
      </c>
      <c r="E491" s="7" t="s">
        <v>531</v>
      </c>
      <c r="F491" s="7" t="s">
        <v>532</v>
      </c>
    </row>
    <row r="492">
      <c r="A492" s="7" t="s">
        <v>11</v>
      </c>
      <c r="B492" s="8">
        <v>4.0</v>
      </c>
      <c r="C492" s="7" t="s">
        <v>529</v>
      </c>
      <c r="D492" s="7" t="s">
        <v>530</v>
      </c>
      <c r="E492" s="7" t="s">
        <v>531</v>
      </c>
      <c r="F492" s="7" t="s">
        <v>532</v>
      </c>
    </row>
    <row r="493">
      <c r="A493" s="7" t="s">
        <v>12</v>
      </c>
      <c r="B493" s="8">
        <v>4.0</v>
      </c>
      <c r="C493" s="7" t="s">
        <v>529</v>
      </c>
      <c r="D493" s="7" t="s">
        <v>530</v>
      </c>
      <c r="E493" s="7" t="s">
        <v>531</v>
      </c>
      <c r="F493" s="7" t="s">
        <v>532</v>
      </c>
    </row>
    <row r="494">
      <c r="A494" s="7" t="s">
        <v>13</v>
      </c>
      <c r="B494" s="8">
        <v>4.0</v>
      </c>
      <c r="C494" s="7" t="s">
        <v>529</v>
      </c>
      <c r="D494" s="7" t="s">
        <v>530</v>
      </c>
      <c r="E494" s="7" t="s">
        <v>531</v>
      </c>
      <c r="F494" s="7" t="s">
        <v>532</v>
      </c>
    </row>
    <row r="495">
      <c r="A495" s="7" t="s">
        <v>14</v>
      </c>
      <c r="B495" s="8">
        <v>4.0</v>
      </c>
      <c r="C495" s="7" t="s">
        <v>529</v>
      </c>
      <c r="D495" s="7" t="s">
        <v>530</v>
      </c>
      <c r="E495" s="7" t="s">
        <v>531</v>
      </c>
      <c r="F495" s="7" t="s">
        <v>532</v>
      </c>
    </row>
    <row r="496">
      <c r="A496" s="7" t="s">
        <v>15</v>
      </c>
      <c r="B496" s="8">
        <v>4.0</v>
      </c>
      <c r="C496" s="7" t="s">
        <v>529</v>
      </c>
      <c r="D496" s="7" t="s">
        <v>530</v>
      </c>
      <c r="E496" s="7" t="s">
        <v>531</v>
      </c>
      <c r="F496" s="7" t="s">
        <v>532</v>
      </c>
    </row>
    <row r="497">
      <c r="A497" s="7" t="s">
        <v>16</v>
      </c>
      <c r="B497" s="8">
        <v>4.0</v>
      </c>
      <c r="C497" s="7" t="s">
        <v>529</v>
      </c>
      <c r="D497" s="7" t="s">
        <v>530</v>
      </c>
      <c r="E497" s="7" t="s">
        <v>531</v>
      </c>
      <c r="F497" s="7" t="s">
        <v>532</v>
      </c>
    </row>
    <row r="498">
      <c r="A498" s="7" t="s">
        <v>17</v>
      </c>
      <c r="B498" s="8">
        <v>4.0</v>
      </c>
      <c r="C498" s="7" t="s">
        <v>529</v>
      </c>
      <c r="D498" s="7" t="s">
        <v>530</v>
      </c>
      <c r="E498" s="7" t="s">
        <v>531</v>
      </c>
      <c r="F498" s="7" t="s">
        <v>532</v>
      </c>
    </row>
    <row r="499">
      <c r="A499" s="7" t="s">
        <v>18</v>
      </c>
      <c r="B499" s="8">
        <v>4.0</v>
      </c>
      <c r="C499" s="7" t="s">
        <v>529</v>
      </c>
      <c r="D499" s="7" t="s">
        <v>530</v>
      </c>
      <c r="E499" s="7" t="s">
        <v>531</v>
      </c>
      <c r="F499" s="7" t="s">
        <v>532</v>
      </c>
    </row>
    <row r="500">
      <c r="A500" s="7" t="s">
        <v>19</v>
      </c>
      <c r="B500" s="8">
        <v>4.0</v>
      </c>
      <c r="C500" s="7" t="s">
        <v>529</v>
      </c>
      <c r="D500" s="7" t="s">
        <v>530</v>
      </c>
      <c r="E500" s="7" t="s">
        <v>531</v>
      </c>
      <c r="F500" s="7" t="s">
        <v>532</v>
      </c>
    </row>
    <row r="501">
      <c r="A501" s="7" t="s">
        <v>188</v>
      </c>
      <c r="B501" s="8">
        <v>4.0</v>
      </c>
      <c r="C501" s="7" t="s">
        <v>533</v>
      </c>
      <c r="D501" s="7" t="s">
        <v>534</v>
      </c>
      <c r="E501" s="7" t="s">
        <v>535</v>
      </c>
      <c r="F501" s="7" t="s">
        <v>536</v>
      </c>
    </row>
    <row r="502">
      <c r="A502" s="7" t="s">
        <v>4</v>
      </c>
      <c r="B502" s="8">
        <v>4.0</v>
      </c>
      <c r="C502" s="7" t="s">
        <v>533</v>
      </c>
      <c r="D502" s="7" t="s">
        <v>534</v>
      </c>
      <c r="E502" s="7" t="s">
        <v>535</v>
      </c>
      <c r="F502" s="7" t="s">
        <v>514</v>
      </c>
    </row>
    <row r="503">
      <c r="A503" s="7" t="s">
        <v>386</v>
      </c>
      <c r="B503" s="8">
        <v>4.0</v>
      </c>
      <c r="C503" s="7" t="s">
        <v>533</v>
      </c>
      <c r="D503" s="7" t="s">
        <v>534</v>
      </c>
      <c r="E503" s="7" t="s">
        <v>535</v>
      </c>
      <c r="F503" s="7" t="s">
        <v>536</v>
      </c>
    </row>
    <row r="504">
      <c r="A504" s="7" t="s">
        <v>387</v>
      </c>
      <c r="B504" s="8">
        <v>4.0</v>
      </c>
      <c r="C504" s="7" t="s">
        <v>533</v>
      </c>
      <c r="D504" s="7" t="s">
        <v>534</v>
      </c>
      <c r="E504" s="7" t="s">
        <v>535</v>
      </c>
      <c r="F504" s="7" t="s">
        <v>536</v>
      </c>
    </row>
    <row r="505">
      <c r="A505" s="7" t="s">
        <v>6</v>
      </c>
      <c r="B505" s="8">
        <v>4.0</v>
      </c>
      <c r="C505" s="7" t="s">
        <v>533</v>
      </c>
      <c r="D505" s="7" t="s">
        <v>534</v>
      </c>
      <c r="E505" s="7" t="s">
        <v>535</v>
      </c>
      <c r="F505" s="7" t="s">
        <v>240</v>
      </c>
    </row>
    <row r="506">
      <c r="A506" s="7" t="s">
        <v>7</v>
      </c>
      <c r="B506" s="8">
        <v>4.0</v>
      </c>
      <c r="C506" s="7" t="s">
        <v>533</v>
      </c>
      <c r="D506" s="7" t="s">
        <v>534</v>
      </c>
      <c r="E506" s="7" t="s">
        <v>535</v>
      </c>
      <c r="F506" s="7" t="s">
        <v>240</v>
      </c>
    </row>
    <row r="507">
      <c r="A507" s="7" t="s">
        <v>8</v>
      </c>
      <c r="B507" s="8">
        <v>4.0</v>
      </c>
      <c r="C507" s="7" t="s">
        <v>533</v>
      </c>
      <c r="D507" s="7" t="s">
        <v>534</v>
      </c>
      <c r="E507" s="7" t="s">
        <v>535</v>
      </c>
      <c r="F507" s="7" t="s">
        <v>301</v>
      </c>
    </row>
    <row r="508">
      <c r="A508" s="7" t="s">
        <v>388</v>
      </c>
      <c r="B508" s="8">
        <v>4.0</v>
      </c>
      <c r="C508" s="7" t="s">
        <v>533</v>
      </c>
      <c r="D508" s="7" t="s">
        <v>534</v>
      </c>
      <c r="E508" s="7" t="s">
        <v>535</v>
      </c>
      <c r="F508" s="7" t="s">
        <v>515</v>
      </c>
    </row>
    <row r="509">
      <c r="A509" s="7" t="s">
        <v>189</v>
      </c>
      <c r="B509" s="8">
        <v>4.0</v>
      </c>
      <c r="C509" s="7" t="s">
        <v>533</v>
      </c>
      <c r="D509" s="7" t="s">
        <v>534</v>
      </c>
      <c r="E509" s="7" t="s">
        <v>535</v>
      </c>
      <c r="F509" s="7" t="s">
        <v>537</v>
      </c>
    </row>
    <row r="510">
      <c r="A510" s="7" t="s">
        <v>9</v>
      </c>
      <c r="B510" s="8">
        <v>4.0</v>
      </c>
      <c r="C510" s="7" t="s">
        <v>533</v>
      </c>
      <c r="D510" s="7" t="s">
        <v>534</v>
      </c>
      <c r="E510" s="7" t="s">
        <v>535</v>
      </c>
      <c r="F510" s="7" t="s">
        <v>240</v>
      </c>
    </row>
    <row r="511">
      <c r="A511" s="7" t="s">
        <v>10</v>
      </c>
      <c r="B511" s="8">
        <v>4.0</v>
      </c>
      <c r="C511" s="7" t="s">
        <v>533</v>
      </c>
      <c r="D511" s="7" t="s">
        <v>534</v>
      </c>
      <c r="E511" s="7" t="s">
        <v>535</v>
      </c>
      <c r="F511" s="7" t="s">
        <v>537</v>
      </c>
    </row>
    <row r="512">
      <c r="A512" s="7" t="s">
        <v>11</v>
      </c>
      <c r="B512" s="8">
        <v>4.0</v>
      </c>
      <c r="C512" s="7" t="s">
        <v>533</v>
      </c>
      <c r="D512" s="7" t="s">
        <v>534</v>
      </c>
      <c r="E512" s="7" t="s">
        <v>535</v>
      </c>
      <c r="F512" s="7" t="s">
        <v>538</v>
      </c>
    </row>
    <row r="513">
      <c r="A513" s="7" t="s">
        <v>12</v>
      </c>
      <c r="B513" s="8">
        <v>4.0</v>
      </c>
      <c r="C513" s="7" t="s">
        <v>533</v>
      </c>
      <c r="D513" s="7" t="s">
        <v>534</v>
      </c>
      <c r="E513" s="7" t="s">
        <v>535</v>
      </c>
      <c r="F513" s="7" t="s">
        <v>303</v>
      </c>
    </row>
    <row r="514">
      <c r="A514" s="7" t="s">
        <v>13</v>
      </c>
      <c r="B514" s="8">
        <v>4.0</v>
      </c>
      <c r="C514" s="7" t="s">
        <v>533</v>
      </c>
      <c r="D514" s="7" t="s">
        <v>534</v>
      </c>
      <c r="E514" s="7" t="s">
        <v>535</v>
      </c>
      <c r="F514" s="7" t="s">
        <v>301</v>
      </c>
    </row>
    <row r="515">
      <c r="A515" s="7" t="s">
        <v>14</v>
      </c>
      <c r="B515" s="8">
        <v>4.0</v>
      </c>
      <c r="C515" s="7" t="s">
        <v>533</v>
      </c>
      <c r="D515" s="7" t="s">
        <v>534</v>
      </c>
      <c r="E515" s="7" t="s">
        <v>535</v>
      </c>
      <c r="F515" s="7" t="s">
        <v>303</v>
      </c>
    </row>
    <row r="516">
      <c r="A516" s="7" t="s">
        <v>15</v>
      </c>
      <c r="B516" s="8">
        <v>4.0</v>
      </c>
      <c r="C516" s="7" t="s">
        <v>533</v>
      </c>
      <c r="D516" s="7" t="s">
        <v>534</v>
      </c>
      <c r="E516" s="7" t="s">
        <v>535</v>
      </c>
      <c r="F516" s="7" t="s">
        <v>303</v>
      </c>
    </row>
    <row r="517">
      <c r="A517" s="7" t="s">
        <v>16</v>
      </c>
      <c r="B517" s="8">
        <v>4.0</v>
      </c>
      <c r="C517" s="7" t="s">
        <v>533</v>
      </c>
      <c r="D517" s="7" t="s">
        <v>534</v>
      </c>
      <c r="E517" s="7" t="s">
        <v>535</v>
      </c>
      <c r="F517" s="7" t="s">
        <v>240</v>
      </c>
    </row>
    <row r="518">
      <c r="A518" s="7" t="s">
        <v>17</v>
      </c>
      <c r="B518" s="8">
        <v>4.0</v>
      </c>
      <c r="C518" s="7" t="s">
        <v>533</v>
      </c>
      <c r="D518" s="7" t="s">
        <v>534</v>
      </c>
      <c r="E518" s="7" t="s">
        <v>535</v>
      </c>
      <c r="F518" s="7" t="s">
        <v>539</v>
      </c>
    </row>
    <row r="519">
      <c r="A519" s="7" t="s">
        <v>18</v>
      </c>
      <c r="B519" s="8">
        <v>4.0</v>
      </c>
      <c r="C519" s="7" t="s">
        <v>533</v>
      </c>
      <c r="D519" s="7" t="s">
        <v>534</v>
      </c>
      <c r="E519" s="7" t="s">
        <v>535</v>
      </c>
      <c r="F519" s="7" t="s">
        <v>240</v>
      </c>
    </row>
    <row r="520">
      <c r="A520" s="7" t="s">
        <v>19</v>
      </c>
      <c r="B520" s="8">
        <v>4.0</v>
      </c>
      <c r="C520" s="7" t="s">
        <v>533</v>
      </c>
      <c r="D520" s="7" t="s">
        <v>534</v>
      </c>
      <c r="E520" s="7" t="s">
        <v>535</v>
      </c>
      <c r="F520" s="7" t="s">
        <v>540</v>
      </c>
    </row>
    <row r="521">
      <c r="A521" s="7" t="s">
        <v>188</v>
      </c>
      <c r="B521" s="8">
        <v>4.0</v>
      </c>
      <c r="C521" s="7" t="s">
        <v>122</v>
      </c>
      <c r="D521" s="7" t="s">
        <v>541</v>
      </c>
      <c r="E521" s="7" t="s">
        <v>542</v>
      </c>
      <c r="F521" s="7" t="s">
        <v>543</v>
      </c>
    </row>
    <row r="522">
      <c r="A522" s="7" t="s">
        <v>4</v>
      </c>
      <c r="B522" s="8">
        <v>4.0</v>
      </c>
      <c r="C522" s="7" t="s">
        <v>122</v>
      </c>
      <c r="D522" s="7" t="s">
        <v>541</v>
      </c>
      <c r="E522" s="7" t="s">
        <v>542</v>
      </c>
      <c r="F522" s="7" t="s">
        <v>544</v>
      </c>
    </row>
    <row r="523">
      <c r="A523" s="7" t="s">
        <v>386</v>
      </c>
      <c r="B523" s="8">
        <v>4.0</v>
      </c>
      <c r="C523" s="7" t="s">
        <v>122</v>
      </c>
      <c r="D523" s="7" t="s">
        <v>541</v>
      </c>
      <c r="E523" s="7" t="s">
        <v>542</v>
      </c>
      <c r="F523" s="7" t="s">
        <v>545</v>
      </c>
    </row>
    <row r="524">
      <c r="A524" s="7" t="s">
        <v>387</v>
      </c>
      <c r="B524" s="8">
        <v>4.0</v>
      </c>
      <c r="C524" s="7" t="s">
        <v>122</v>
      </c>
      <c r="D524" s="7" t="s">
        <v>541</v>
      </c>
      <c r="E524" s="7" t="s">
        <v>542</v>
      </c>
      <c r="F524" s="7" t="s">
        <v>323</v>
      </c>
    </row>
    <row r="525">
      <c r="A525" s="7" t="s">
        <v>6</v>
      </c>
      <c r="B525" s="8">
        <v>4.0</v>
      </c>
      <c r="C525" s="7" t="s">
        <v>122</v>
      </c>
      <c r="D525" s="7" t="s">
        <v>541</v>
      </c>
      <c r="E525" s="7" t="s">
        <v>542</v>
      </c>
      <c r="F525" s="7" t="s">
        <v>546</v>
      </c>
    </row>
    <row r="526">
      <c r="A526" s="7" t="s">
        <v>7</v>
      </c>
      <c r="B526" s="8">
        <v>4.0</v>
      </c>
      <c r="C526" s="7" t="s">
        <v>122</v>
      </c>
      <c r="D526" s="7" t="s">
        <v>541</v>
      </c>
      <c r="E526" s="7" t="s">
        <v>542</v>
      </c>
      <c r="F526" s="7" t="s">
        <v>547</v>
      </c>
    </row>
    <row r="527">
      <c r="A527" s="7" t="s">
        <v>8</v>
      </c>
      <c r="B527" s="8">
        <v>4.0</v>
      </c>
      <c r="C527" s="7" t="s">
        <v>122</v>
      </c>
      <c r="D527" s="7" t="s">
        <v>541</v>
      </c>
      <c r="E527" s="7" t="s">
        <v>542</v>
      </c>
      <c r="F527" s="7" t="s">
        <v>129</v>
      </c>
    </row>
    <row r="528">
      <c r="A528" s="7" t="s">
        <v>388</v>
      </c>
      <c r="B528" s="8">
        <v>4.0</v>
      </c>
      <c r="C528" s="7" t="s">
        <v>122</v>
      </c>
      <c r="D528" s="7" t="s">
        <v>541</v>
      </c>
      <c r="E528" s="7" t="s">
        <v>542</v>
      </c>
      <c r="F528" s="7" t="s">
        <v>548</v>
      </c>
    </row>
    <row r="529">
      <c r="A529" s="7" t="s">
        <v>189</v>
      </c>
      <c r="B529" s="8">
        <v>4.0</v>
      </c>
      <c r="C529" s="7" t="s">
        <v>122</v>
      </c>
      <c r="D529" s="7" t="s">
        <v>541</v>
      </c>
      <c r="E529" s="7" t="s">
        <v>542</v>
      </c>
      <c r="F529" s="7" t="s">
        <v>549</v>
      </c>
    </row>
    <row r="530">
      <c r="A530" s="7" t="s">
        <v>9</v>
      </c>
      <c r="B530" s="8">
        <v>4.0</v>
      </c>
      <c r="C530" s="7" t="s">
        <v>122</v>
      </c>
      <c r="D530" s="7" t="s">
        <v>541</v>
      </c>
      <c r="E530" s="7" t="s">
        <v>542</v>
      </c>
      <c r="F530" s="7" t="s">
        <v>550</v>
      </c>
    </row>
    <row r="531">
      <c r="A531" s="7" t="s">
        <v>10</v>
      </c>
      <c r="B531" s="8">
        <v>4.0</v>
      </c>
      <c r="C531" s="7" t="s">
        <v>122</v>
      </c>
      <c r="D531" s="7" t="s">
        <v>541</v>
      </c>
      <c r="E531" s="7" t="s">
        <v>542</v>
      </c>
      <c r="F531" s="7" t="s">
        <v>551</v>
      </c>
    </row>
    <row r="532">
      <c r="A532" s="7" t="s">
        <v>11</v>
      </c>
      <c r="B532" s="8">
        <v>4.0</v>
      </c>
      <c r="C532" s="7" t="s">
        <v>122</v>
      </c>
      <c r="D532" s="7" t="s">
        <v>541</v>
      </c>
      <c r="E532" s="7" t="s">
        <v>542</v>
      </c>
      <c r="F532" s="7" t="s">
        <v>328</v>
      </c>
    </row>
    <row r="533">
      <c r="A533" s="7" t="s">
        <v>12</v>
      </c>
      <c r="B533" s="8">
        <v>4.0</v>
      </c>
      <c r="C533" s="7" t="s">
        <v>122</v>
      </c>
      <c r="D533" s="7" t="s">
        <v>541</v>
      </c>
      <c r="E533" s="7" t="s">
        <v>542</v>
      </c>
      <c r="F533" s="7" t="s">
        <v>329</v>
      </c>
    </row>
    <row r="534">
      <c r="A534" s="7" t="s">
        <v>13</v>
      </c>
      <c r="B534" s="8">
        <v>4.0</v>
      </c>
      <c r="C534" s="7" t="s">
        <v>122</v>
      </c>
      <c r="D534" s="7" t="s">
        <v>541</v>
      </c>
      <c r="E534" s="7" t="s">
        <v>542</v>
      </c>
      <c r="F534" s="7" t="s">
        <v>552</v>
      </c>
    </row>
    <row r="535">
      <c r="A535" s="7" t="s">
        <v>14</v>
      </c>
      <c r="B535" s="8">
        <v>4.0</v>
      </c>
      <c r="C535" s="7" t="s">
        <v>122</v>
      </c>
      <c r="D535" s="7" t="s">
        <v>541</v>
      </c>
      <c r="E535" s="7" t="s">
        <v>542</v>
      </c>
      <c r="F535" s="7" t="s">
        <v>553</v>
      </c>
    </row>
    <row r="536">
      <c r="A536" s="7" t="s">
        <v>15</v>
      </c>
      <c r="B536" s="8">
        <v>4.0</v>
      </c>
      <c r="C536" s="7" t="s">
        <v>122</v>
      </c>
      <c r="D536" s="7" t="s">
        <v>541</v>
      </c>
      <c r="E536" s="7" t="s">
        <v>542</v>
      </c>
      <c r="F536" s="7" t="s">
        <v>554</v>
      </c>
    </row>
    <row r="537">
      <c r="A537" s="7" t="s">
        <v>16</v>
      </c>
      <c r="B537" s="8">
        <v>4.0</v>
      </c>
      <c r="C537" s="7" t="s">
        <v>122</v>
      </c>
      <c r="D537" s="7" t="s">
        <v>541</v>
      </c>
      <c r="E537" s="7" t="s">
        <v>542</v>
      </c>
      <c r="F537" s="7" t="s">
        <v>555</v>
      </c>
    </row>
    <row r="538">
      <c r="A538" s="7" t="s">
        <v>17</v>
      </c>
      <c r="B538" s="8">
        <v>4.0</v>
      </c>
      <c r="C538" s="7" t="s">
        <v>122</v>
      </c>
      <c r="D538" s="7" t="s">
        <v>541</v>
      </c>
      <c r="E538" s="7" t="s">
        <v>542</v>
      </c>
      <c r="F538" s="7" t="s">
        <v>556</v>
      </c>
    </row>
    <row r="539">
      <c r="A539" s="7" t="s">
        <v>18</v>
      </c>
      <c r="B539" s="8">
        <v>4.0</v>
      </c>
      <c r="C539" s="7" t="s">
        <v>122</v>
      </c>
      <c r="D539" s="7" t="s">
        <v>541</v>
      </c>
      <c r="E539" s="7" t="s">
        <v>542</v>
      </c>
      <c r="F539" s="7" t="s">
        <v>557</v>
      </c>
    </row>
    <row r="540">
      <c r="A540" s="7" t="s">
        <v>19</v>
      </c>
      <c r="B540" s="8">
        <v>4.0</v>
      </c>
      <c r="C540" s="7" t="s">
        <v>122</v>
      </c>
      <c r="D540" s="7" t="s">
        <v>541</v>
      </c>
      <c r="E540" s="7" t="s">
        <v>542</v>
      </c>
      <c r="F540" s="7" t="s">
        <v>558</v>
      </c>
    </row>
    <row r="541">
      <c r="A541" s="7" t="s">
        <v>188</v>
      </c>
      <c r="B541" s="8">
        <v>4.0</v>
      </c>
      <c r="C541" s="7" t="s">
        <v>139</v>
      </c>
      <c r="D541" s="7" t="s">
        <v>559</v>
      </c>
      <c r="E541" s="7" t="s">
        <v>560</v>
      </c>
      <c r="F541" s="7" t="s">
        <v>143</v>
      </c>
    </row>
    <row r="542">
      <c r="A542" s="7" t="s">
        <v>4</v>
      </c>
      <c r="B542" s="8">
        <v>4.0</v>
      </c>
      <c r="C542" s="7" t="s">
        <v>139</v>
      </c>
      <c r="D542" s="7" t="s">
        <v>559</v>
      </c>
      <c r="E542" s="7" t="s">
        <v>560</v>
      </c>
      <c r="F542" s="7" t="s">
        <v>256</v>
      </c>
    </row>
    <row r="543">
      <c r="A543" s="7" t="s">
        <v>386</v>
      </c>
      <c r="B543" s="8">
        <v>4.0</v>
      </c>
      <c r="C543" s="7" t="s">
        <v>139</v>
      </c>
      <c r="D543" s="7" t="s">
        <v>559</v>
      </c>
      <c r="E543" s="7" t="s">
        <v>560</v>
      </c>
      <c r="F543" s="7" t="s">
        <v>143</v>
      </c>
    </row>
    <row r="544">
      <c r="A544" s="7" t="s">
        <v>387</v>
      </c>
      <c r="B544" s="8">
        <v>4.0</v>
      </c>
      <c r="C544" s="7" t="s">
        <v>139</v>
      </c>
      <c r="D544" s="7" t="s">
        <v>559</v>
      </c>
      <c r="E544" s="7" t="s">
        <v>560</v>
      </c>
      <c r="F544" s="7" t="s">
        <v>143</v>
      </c>
    </row>
    <row r="545">
      <c r="A545" s="7" t="s">
        <v>6</v>
      </c>
      <c r="B545" s="8">
        <v>4.0</v>
      </c>
      <c r="C545" s="7" t="s">
        <v>139</v>
      </c>
      <c r="D545" s="7" t="s">
        <v>559</v>
      </c>
      <c r="E545" s="7" t="s">
        <v>560</v>
      </c>
      <c r="F545" s="7" t="s">
        <v>142</v>
      </c>
    </row>
    <row r="546">
      <c r="A546" s="7" t="s">
        <v>7</v>
      </c>
      <c r="B546" s="8">
        <v>4.0</v>
      </c>
      <c r="C546" s="7" t="s">
        <v>139</v>
      </c>
      <c r="D546" s="7" t="s">
        <v>559</v>
      </c>
      <c r="E546" s="7" t="s">
        <v>560</v>
      </c>
      <c r="F546" s="7" t="s">
        <v>547</v>
      </c>
    </row>
    <row r="547">
      <c r="A547" s="7" t="s">
        <v>8</v>
      </c>
      <c r="B547" s="8">
        <v>4.0</v>
      </c>
      <c r="C547" s="7" t="s">
        <v>139</v>
      </c>
      <c r="D547" s="7" t="s">
        <v>559</v>
      </c>
      <c r="E547" s="7" t="s">
        <v>560</v>
      </c>
      <c r="F547" s="7" t="s">
        <v>143</v>
      </c>
    </row>
    <row r="548">
      <c r="A548" s="7" t="s">
        <v>388</v>
      </c>
      <c r="B548" s="8">
        <v>4.0</v>
      </c>
      <c r="C548" s="7" t="s">
        <v>139</v>
      </c>
      <c r="D548" s="7" t="s">
        <v>559</v>
      </c>
      <c r="E548" s="7" t="s">
        <v>560</v>
      </c>
      <c r="F548" s="7" t="s">
        <v>410</v>
      </c>
    </row>
    <row r="549">
      <c r="A549" s="7" t="s">
        <v>189</v>
      </c>
      <c r="B549" s="8">
        <v>4.0</v>
      </c>
      <c r="C549" s="7" t="s">
        <v>139</v>
      </c>
      <c r="D549" s="7" t="s">
        <v>559</v>
      </c>
      <c r="E549" s="7" t="s">
        <v>560</v>
      </c>
      <c r="F549" s="7" t="s">
        <v>561</v>
      </c>
    </row>
    <row r="550">
      <c r="A550" s="7" t="s">
        <v>9</v>
      </c>
      <c r="B550" s="8">
        <v>4.0</v>
      </c>
      <c r="C550" s="7" t="s">
        <v>139</v>
      </c>
      <c r="D550" s="7" t="s">
        <v>559</v>
      </c>
      <c r="E550" s="7" t="s">
        <v>560</v>
      </c>
      <c r="F550" s="7" t="s">
        <v>142</v>
      </c>
    </row>
    <row r="551">
      <c r="A551" s="7" t="s">
        <v>10</v>
      </c>
      <c r="B551" s="8">
        <v>4.0</v>
      </c>
      <c r="C551" s="7" t="s">
        <v>139</v>
      </c>
      <c r="D551" s="7" t="s">
        <v>559</v>
      </c>
      <c r="E551" s="7" t="s">
        <v>560</v>
      </c>
      <c r="F551" s="7" t="s">
        <v>561</v>
      </c>
    </row>
    <row r="552">
      <c r="A552" s="7" t="s">
        <v>11</v>
      </c>
      <c r="B552" s="8">
        <v>4.0</v>
      </c>
      <c r="C552" s="7" t="s">
        <v>139</v>
      </c>
      <c r="D552" s="7" t="s">
        <v>559</v>
      </c>
      <c r="E552" s="7" t="s">
        <v>560</v>
      </c>
      <c r="F552" s="7" t="s">
        <v>562</v>
      </c>
    </row>
    <row r="553">
      <c r="A553" s="7" t="s">
        <v>12</v>
      </c>
      <c r="B553" s="8">
        <v>4.0</v>
      </c>
      <c r="C553" s="7" t="s">
        <v>139</v>
      </c>
      <c r="D553" s="7" t="s">
        <v>559</v>
      </c>
      <c r="E553" s="7" t="s">
        <v>560</v>
      </c>
      <c r="F553" s="7" t="s">
        <v>336</v>
      </c>
    </row>
    <row r="554">
      <c r="A554" s="7" t="s">
        <v>13</v>
      </c>
      <c r="B554" s="8">
        <v>4.0</v>
      </c>
      <c r="C554" s="7" t="s">
        <v>139</v>
      </c>
      <c r="D554" s="7" t="s">
        <v>559</v>
      </c>
      <c r="E554" s="7" t="s">
        <v>560</v>
      </c>
      <c r="F554" s="7" t="s">
        <v>143</v>
      </c>
    </row>
    <row r="555">
      <c r="A555" s="7" t="s">
        <v>14</v>
      </c>
      <c r="B555" s="8">
        <v>4.0</v>
      </c>
      <c r="C555" s="7" t="s">
        <v>139</v>
      </c>
      <c r="D555" s="7" t="s">
        <v>559</v>
      </c>
      <c r="E555" s="7" t="s">
        <v>560</v>
      </c>
      <c r="F555" s="7" t="s">
        <v>305</v>
      </c>
    </row>
    <row r="556">
      <c r="A556" s="7" t="s">
        <v>15</v>
      </c>
      <c r="B556" s="8">
        <v>4.0</v>
      </c>
      <c r="C556" s="7" t="s">
        <v>139</v>
      </c>
      <c r="D556" s="7" t="s">
        <v>559</v>
      </c>
      <c r="E556" s="7" t="s">
        <v>560</v>
      </c>
      <c r="F556" s="7" t="s">
        <v>336</v>
      </c>
    </row>
    <row r="557">
      <c r="A557" s="7" t="s">
        <v>16</v>
      </c>
      <c r="B557" s="8">
        <v>4.0</v>
      </c>
      <c r="C557" s="7" t="s">
        <v>139</v>
      </c>
      <c r="D557" s="7" t="s">
        <v>559</v>
      </c>
      <c r="E557" s="7" t="s">
        <v>560</v>
      </c>
      <c r="F557" s="7" t="s">
        <v>142</v>
      </c>
    </row>
    <row r="558">
      <c r="A558" s="7" t="s">
        <v>17</v>
      </c>
      <c r="B558" s="8">
        <v>4.0</v>
      </c>
      <c r="C558" s="7" t="s">
        <v>139</v>
      </c>
      <c r="D558" s="7" t="s">
        <v>559</v>
      </c>
      <c r="E558" s="7" t="s">
        <v>560</v>
      </c>
      <c r="F558" s="7" t="s">
        <v>142</v>
      </c>
    </row>
    <row r="559">
      <c r="A559" s="7" t="s">
        <v>18</v>
      </c>
      <c r="B559" s="8">
        <v>4.0</v>
      </c>
      <c r="C559" s="7" t="s">
        <v>139</v>
      </c>
      <c r="D559" s="7" t="s">
        <v>559</v>
      </c>
      <c r="E559" s="7" t="s">
        <v>560</v>
      </c>
      <c r="F559" s="7" t="s">
        <v>142</v>
      </c>
    </row>
    <row r="560">
      <c r="A560" s="7" t="s">
        <v>19</v>
      </c>
      <c r="B560" s="8">
        <v>4.0</v>
      </c>
      <c r="C560" s="7" t="s">
        <v>139</v>
      </c>
      <c r="D560" s="7" t="s">
        <v>559</v>
      </c>
      <c r="E560" s="7" t="s">
        <v>560</v>
      </c>
      <c r="F560" s="7" t="s">
        <v>563</v>
      </c>
    </row>
    <row r="561">
      <c r="A561" s="7" t="s">
        <v>188</v>
      </c>
      <c r="B561" s="8">
        <v>4.0</v>
      </c>
      <c r="C561" s="7" t="s">
        <v>162</v>
      </c>
      <c r="D561" s="7" t="s">
        <v>564</v>
      </c>
      <c r="E561" s="7" t="s">
        <v>565</v>
      </c>
      <c r="F561" s="7" t="s">
        <v>501</v>
      </c>
    </row>
    <row r="562">
      <c r="A562" s="7" t="s">
        <v>4</v>
      </c>
      <c r="B562" s="8">
        <v>4.0</v>
      </c>
      <c r="C562" s="7" t="s">
        <v>162</v>
      </c>
      <c r="D562" s="7" t="s">
        <v>564</v>
      </c>
      <c r="E562" s="7" t="s">
        <v>565</v>
      </c>
      <c r="F562" s="7" t="s">
        <v>566</v>
      </c>
    </row>
    <row r="563">
      <c r="A563" s="7" t="s">
        <v>386</v>
      </c>
      <c r="B563" s="8">
        <v>4.0</v>
      </c>
      <c r="C563" s="7" t="s">
        <v>162</v>
      </c>
      <c r="D563" s="7" t="s">
        <v>564</v>
      </c>
      <c r="E563" s="7" t="s">
        <v>565</v>
      </c>
      <c r="F563" s="7" t="s">
        <v>501</v>
      </c>
    </row>
    <row r="564">
      <c r="A564" s="7" t="s">
        <v>387</v>
      </c>
      <c r="B564" s="8">
        <v>4.0</v>
      </c>
      <c r="C564" s="7" t="s">
        <v>162</v>
      </c>
      <c r="D564" s="7" t="s">
        <v>564</v>
      </c>
      <c r="E564" s="7" t="s">
        <v>565</v>
      </c>
      <c r="F564" s="7" t="s">
        <v>256</v>
      </c>
    </row>
    <row r="565">
      <c r="A565" s="7" t="s">
        <v>6</v>
      </c>
      <c r="B565" s="8">
        <v>4.0</v>
      </c>
      <c r="C565" s="7" t="s">
        <v>162</v>
      </c>
      <c r="D565" s="7" t="s">
        <v>564</v>
      </c>
      <c r="E565" s="7" t="s">
        <v>565</v>
      </c>
      <c r="F565" s="7" t="s">
        <v>567</v>
      </c>
    </row>
    <row r="566">
      <c r="A566" s="7" t="s">
        <v>7</v>
      </c>
      <c r="B566" s="8">
        <v>4.0</v>
      </c>
      <c r="C566" s="7" t="s">
        <v>162</v>
      </c>
      <c r="D566" s="7" t="s">
        <v>564</v>
      </c>
      <c r="E566" s="7" t="s">
        <v>565</v>
      </c>
      <c r="F566" s="7" t="s">
        <v>256</v>
      </c>
    </row>
    <row r="567">
      <c r="A567" s="7" t="s">
        <v>8</v>
      </c>
      <c r="B567" s="8">
        <v>4.0</v>
      </c>
      <c r="C567" s="7" t="s">
        <v>162</v>
      </c>
      <c r="D567" s="7" t="s">
        <v>564</v>
      </c>
      <c r="E567" s="7" t="s">
        <v>565</v>
      </c>
      <c r="F567" s="7" t="s">
        <v>568</v>
      </c>
    </row>
    <row r="568">
      <c r="A568" s="7" t="s">
        <v>388</v>
      </c>
      <c r="B568" s="8">
        <v>4.0</v>
      </c>
      <c r="C568" s="7" t="s">
        <v>162</v>
      </c>
      <c r="D568" s="7" t="s">
        <v>564</v>
      </c>
      <c r="E568" s="7" t="s">
        <v>565</v>
      </c>
      <c r="F568" s="7" t="s">
        <v>569</v>
      </c>
    </row>
    <row r="569">
      <c r="A569" s="7" t="s">
        <v>189</v>
      </c>
      <c r="B569" s="8">
        <v>4.0</v>
      </c>
      <c r="C569" s="7" t="s">
        <v>162</v>
      </c>
      <c r="D569" s="7" t="s">
        <v>564</v>
      </c>
      <c r="E569" s="7" t="s">
        <v>565</v>
      </c>
      <c r="F569" s="7" t="s">
        <v>570</v>
      </c>
    </row>
    <row r="570">
      <c r="A570" s="7" t="s">
        <v>9</v>
      </c>
      <c r="B570" s="8">
        <v>4.0</v>
      </c>
      <c r="C570" s="7" t="s">
        <v>162</v>
      </c>
      <c r="D570" s="7" t="s">
        <v>564</v>
      </c>
      <c r="E570" s="7" t="s">
        <v>565</v>
      </c>
      <c r="F570" s="7" t="s">
        <v>142</v>
      </c>
    </row>
    <row r="571">
      <c r="A571" s="7" t="s">
        <v>10</v>
      </c>
      <c r="B571" s="8">
        <v>4.0</v>
      </c>
      <c r="C571" s="7" t="s">
        <v>162</v>
      </c>
      <c r="D571" s="7" t="s">
        <v>564</v>
      </c>
      <c r="E571" s="7" t="s">
        <v>565</v>
      </c>
      <c r="F571" s="7" t="s">
        <v>570</v>
      </c>
    </row>
    <row r="572">
      <c r="A572" s="7" t="s">
        <v>11</v>
      </c>
      <c r="B572" s="8">
        <v>4.0</v>
      </c>
      <c r="C572" s="7" t="s">
        <v>162</v>
      </c>
      <c r="D572" s="7" t="s">
        <v>564</v>
      </c>
      <c r="E572" s="7" t="s">
        <v>565</v>
      </c>
      <c r="F572" s="7" t="s">
        <v>571</v>
      </c>
    </row>
    <row r="573">
      <c r="A573" s="7" t="s">
        <v>12</v>
      </c>
      <c r="B573" s="8">
        <v>4.0</v>
      </c>
      <c r="C573" s="7" t="s">
        <v>162</v>
      </c>
      <c r="D573" s="7" t="s">
        <v>564</v>
      </c>
      <c r="E573" s="7" t="s">
        <v>565</v>
      </c>
      <c r="F573" s="7" t="s">
        <v>572</v>
      </c>
    </row>
    <row r="574">
      <c r="A574" s="7" t="s">
        <v>13</v>
      </c>
      <c r="B574" s="8">
        <v>4.0</v>
      </c>
      <c r="C574" s="7" t="s">
        <v>162</v>
      </c>
      <c r="D574" s="7" t="s">
        <v>564</v>
      </c>
      <c r="E574" s="7" t="s">
        <v>565</v>
      </c>
      <c r="F574" s="7" t="s">
        <v>256</v>
      </c>
    </row>
    <row r="575">
      <c r="A575" s="7" t="s">
        <v>14</v>
      </c>
      <c r="B575" s="8">
        <v>4.0</v>
      </c>
      <c r="C575" s="7" t="s">
        <v>162</v>
      </c>
      <c r="D575" s="7" t="s">
        <v>564</v>
      </c>
      <c r="E575" s="7" t="s">
        <v>565</v>
      </c>
      <c r="F575" s="7" t="s">
        <v>403</v>
      </c>
    </row>
    <row r="576">
      <c r="A576" s="7" t="s">
        <v>15</v>
      </c>
      <c r="B576" s="8">
        <v>4.0</v>
      </c>
      <c r="C576" s="7" t="s">
        <v>162</v>
      </c>
      <c r="D576" s="7" t="s">
        <v>564</v>
      </c>
      <c r="E576" s="7" t="s">
        <v>565</v>
      </c>
      <c r="F576" s="7" t="s">
        <v>256</v>
      </c>
    </row>
    <row r="577">
      <c r="A577" s="7" t="s">
        <v>16</v>
      </c>
      <c r="B577" s="8">
        <v>4.0</v>
      </c>
      <c r="C577" s="7" t="s">
        <v>162</v>
      </c>
      <c r="D577" s="7" t="s">
        <v>564</v>
      </c>
      <c r="E577" s="7" t="s">
        <v>565</v>
      </c>
      <c r="F577" s="7" t="s">
        <v>256</v>
      </c>
    </row>
    <row r="578">
      <c r="A578" s="7" t="s">
        <v>17</v>
      </c>
      <c r="B578" s="8">
        <v>4.0</v>
      </c>
      <c r="C578" s="7" t="s">
        <v>162</v>
      </c>
      <c r="D578" s="7" t="s">
        <v>564</v>
      </c>
      <c r="E578" s="7" t="s">
        <v>565</v>
      </c>
      <c r="F578" s="7" t="s">
        <v>256</v>
      </c>
    </row>
    <row r="579">
      <c r="A579" s="7" t="s">
        <v>18</v>
      </c>
      <c r="B579" s="8">
        <v>4.0</v>
      </c>
      <c r="C579" s="7" t="s">
        <v>162</v>
      </c>
      <c r="D579" s="7" t="s">
        <v>564</v>
      </c>
      <c r="E579" s="7" t="s">
        <v>565</v>
      </c>
      <c r="F579" s="7" t="s">
        <v>256</v>
      </c>
    </row>
    <row r="580">
      <c r="A580" s="7" t="s">
        <v>19</v>
      </c>
      <c r="B580" s="8">
        <v>4.0</v>
      </c>
      <c r="C580" s="7" t="s">
        <v>162</v>
      </c>
      <c r="D580" s="7" t="s">
        <v>564</v>
      </c>
      <c r="E580" s="7" t="s">
        <v>565</v>
      </c>
      <c r="F580" s="7" t="s">
        <v>256</v>
      </c>
    </row>
    <row r="581">
      <c r="A581" s="7" t="s">
        <v>188</v>
      </c>
      <c r="B581" s="8">
        <v>4.0</v>
      </c>
      <c r="C581" s="7" t="s">
        <v>227</v>
      </c>
      <c r="D581" s="7" t="s">
        <v>573</v>
      </c>
      <c r="E581" s="7" t="s">
        <v>574</v>
      </c>
      <c r="F581" s="7" t="s">
        <v>384</v>
      </c>
    </row>
    <row r="582">
      <c r="A582" s="7" t="s">
        <v>4</v>
      </c>
      <c r="B582" s="8">
        <v>4.0</v>
      </c>
      <c r="C582" s="7" t="s">
        <v>227</v>
      </c>
      <c r="D582" s="7" t="s">
        <v>573</v>
      </c>
      <c r="E582" s="7" t="s">
        <v>574</v>
      </c>
      <c r="F582" s="7" t="s">
        <v>380</v>
      </c>
    </row>
    <row r="583">
      <c r="A583" s="7" t="s">
        <v>386</v>
      </c>
      <c r="B583" s="8">
        <v>4.0</v>
      </c>
      <c r="C583" s="7" t="s">
        <v>227</v>
      </c>
      <c r="D583" s="7" t="s">
        <v>573</v>
      </c>
      <c r="E583" s="7" t="s">
        <v>574</v>
      </c>
      <c r="F583" s="7" t="s">
        <v>384</v>
      </c>
    </row>
    <row r="584">
      <c r="A584" s="7" t="s">
        <v>387</v>
      </c>
      <c r="B584" s="8">
        <v>4.0</v>
      </c>
      <c r="C584" s="7" t="s">
        <v>227</v>
      </c>
      <c r="D584" s="7" t="s">
        <v>573</v>
      </c>
      <c r="E584" s="7" t="s">
        <v>574</v>
      </c>
      <c r="F584" s="7" t="s">
        <v>575</v>
      </c>
    </row>
    <row r="585">
      <c r="A585" s="7" t="s">
        <v>6</v>
      </c>
      <c r="B585" s="8">
        <v>4.0</v>
      </c>
      <c r="C585" s="7" t="s">
        <v>227</v>
      </c>
      <c r="D585" s="7" t="s">
        <v>573</v>
      </c>
      <c r="E585" s="7" t="s">
        <v>574</v>
      </c>
      <c r="F585" s="7" t="s">
        <v>380</v>
      </c>
    </row>
    <row r="586">
      <c r="A586" s="7" t="s">
        <v>7</v>
      </c>
      <c r="B586" s="8">
        <v>4.0</v>
      </c>
      <c r="C586" s="7" t="s">
        <v>227</v>
      </c>
      <c r="D586" s="7" t="s">
        <v>573</v>
      </c>
      <c r="E586" s="7" t="s">
        <v>574</v>
      </c>
      <c r="F586" s="7" t="s">
        <v>384</v>
      </c>
    </row>
    <row r="587">
      <c r="A587" s="7" t="s">
        <v>8</v>
      </c>
      <c r="B587" s="8">
        <v>4.0</v>
      </c>
      <c r="C587" s="7" t="s">
        <v>227</v>
      </c>
      <c r="D587" s="7" t="s">
        <v>573</v>
      </c>
      <c r="E587" s="7" t="s">
        <v>574</v>
      </c>
      <c r="F587" s="7" t="s">
        <v>384</v>
      </c>
    </row>
    <row r="588">
      <c r="A588" s="7" t="s">
        <v>388</v>
      </c>
      <c r="B588" s="8">
        <v>4.0</v>
      </c>
      <c r="C588" s="7" t="s">
        <v>227</v>
      </c>
      <c r="D588" s="7" t="s">
        <v>573</v>
      </c>
      <c r="E588" s="7" t="s">
        <v>574</v>
      </c>
      <c r="F588" s="7" t="s">
        <v>385</v>
      </c>
    </row>
    <row r="589">
      <c r="A589" s="7" t="s">
        <v>189</v>
      </c>
      <c r="B589" s="8">
        <v>4.0</v>
      </c>
      <c r="C589" s="7" t="s">
        <v>227</v>
      </c>
      <c r="D589" s="7" t="s">
        <v>573</v>
      </c>
      <c r="E589" s="7" t="s">
        <v>574</v>
      </c>
      <c r="F589" s="7" t="s">
        <v>594</v>
      </c>
    </row>
    <row r="590">
      <c r="A590" s="7" t="s">
        <v>9</v>
      </c>
      <c r="B590" s="8">
        <v>4.0</v>
      </c>
      <c r="C590" s="7" t="s">
        <v>227</v>
      </c>
      <c r="D590" s="7" t="s">
        <v>573</v>
      </c>
      <c r="E590" s="7" t="s">
        <v>574</v>
      </c>
      <c r="F590" s="7" t="s">
        <v>380</v>
      </c>
    </row>
    <row r="591">
      <c r="A591" s="7" t="s">
        <v>10</v>
      </c>
      <c r="B591" s="8">
        <v>4.0</v>
      </c>
      <c r="C591" s="7" t="s">
        <v>227</v>
      </c>
      <c r="D591" s="7" t="s">
        <v>573</v>
      </c>
      <c r="E591" s="7" t="s">
        <v>574</v>
      </c>
      <c r="F591" s="7" t="s">
        <v>384</v>
      </c>
    </row>
    <row r="592">
      <c r="A592" s="7" t="s">
        <v>11</v>
      </c>
      <c r="B592" s="8">
        <v>4.0</v>
      </c>
      <c r="C592" s="7" t="s">
        <v>227</v>
      </c>
      <c r="D592" s="7" t="s">
        <v>573</v>
      </c>
      <c r="E592" s="7" t="s">
        <v>574</v>
      </c>
      <c r="F592" s="7" t="s">
        <v>380</v>
      </c>
    </row>
    <row r="593">
      <c r="A593" s="7" t="s">
        <v>12</v>
      </c>
      <c r="B593" s="8">
        <v>4.0</v>
      </c>
      <c r="C593" s="7" t="s">
        <v>227</v>
      </c>
      <c r="D593" s="7" t="s">
        <v>573</v>
      </c>
      <c r="E593" s="7" t="s">
        <v>574</v>
      </c>
      <c r="F593" s="7" t="s">
        <v>380</v>
      </c>
    </row>
    <row r="594">
      <c r="A594" s="7" t="s">
        <v>13</v>
      </c>
      <c r="B594" s="8">
        <v>4.0</v>
      </c>
      <c r="C594" s="7" t="s">
        <v>227</v>
      </c>
      <c r="D594" s="7" t="s">
        <v>573</v>
      </c>
      <c r="E594" s="7" t="s">
        <v>574</v>
      </c>
      <c r="F594" s="7" t="s">
        <v>384</v>
      </c>
    </row>
    <row r="595">
      <c r="A595" s="7" t="s">
        <v>14</v>
      </c>
      <c r="B595" s="8">
        <v>4.0</v>
      </c>
      <c r="C595" s="7" t="s">
        <v>227</v>
      </c>
      <c r="D595" s="7" t="s">
        <v>573</v>
      </c>
      <c r="E595" s="7" t="s">
        <v>574</v>
      </c>
      <c r="F595" s="7" t="s">
        <v>384</v>
      </c>
    </row>
    <row r="596">
      <c r="A596" s="7" t="s">
        <v>15</v>
      </c>
      <c r="B596" s="8">
        <v>4.0</v>
      </c>
      <c r="C596" s="7" t="s">
        <v>227</v>
      </c>
      <c r="D596" s="7" t="s">
        <v>573</v>
      </c>
      <c r="E596" s="7" t="s">
        <v>574</v>
      </c>
      <c r="F596" s="7" t="s">
        <v>384</v>
      </c>
    </row>
    <row r="597">
      <c r="A597" s="7" t="s">
        <v>16</v>
      </c>
      <c r="B597" s="8">
        <v>4.0</v>
      </c>
      <c r="C597" s="7" t="s">
        <v>227</v>
      </c>
      <c r="D597" s="7" t="s">
        <v>573</v>
      </c>
      <c r="E597" s="7" t="s">
        <v>574</v>
      </c>
      <c r="F597" s="7" t="s">
        <v>385</v>
      </c>
    </row>
    <row r="598">
      <c r="A598" s="7" t="s">
        <v>17</v>
      </c>
      <c r="B598" s="8">
        <v>4.0</v>
      </c>
      <c r="C598" s="7" t="s">
        <v>227</v>
      </c>
      <c r="D598" s="7" t="s">
        <v>573</v>
      </c>
      <c r="E598" s="7" t="s">
        <v>574</v>
      </c>
      <c r="F598" s="7" t="s">
        <v>595</v>
      </c>
    </row>
    <row r="599">
      <c r="A599" s="7" t="s">
        <v>18</v>
      </c>
      <c r="B599" s="8">
        <v>4.0</v>
      </c>
      <c r="C599" s="7" t="s">
        <v>227</v>
      </c>
      <c r="D599" s="7" t="s">
        <v>573</v>
      </c>
      <c r="E599" s="7" t="s">
        <v>574</v>
      </c>
      <c r="F599" s="7" t="s">
        <v>594</v>
      </c>
    </row>
    <row r="600">
      <c r="A600" s="7" t="s">
        <v>19</v>
      </c>
      <c r="B600" s="8">
        <v>4.0</v>
      </c>
      <c r="C600" s="7" t="s">
        <v>227</v>
      </c>
      <c r="D600" s="7" t="s">
        <v>573</v>
      </c>
      <c r="E600" s="7" t="s">
        <v>574</v>
      </c>
      <c r="F600" s="7" t="s">
        <v>594</v>
      </c>
    </row>
    <row r="601">
      <c r="A601" s="7" t="s">
        <v>188</v>
      </c>
      <c r="B601" s="8">
        <v>4.0</v>
      </c>
      <c r="C601" s="7" t="s">
        <v>362</v>
      </c>
      <c r="D601" s="7" t="s">
        <v>576</v>
      </c>
      <c r="E601" s="7" t="s">
        <v>577</v>
      </c>
      <c r="F601" s="7" t="s">
        <v>272</v>
      </c>
    </row>
    <row r="602">
      <c r="A602" s="7" t="s">
        <v>4</v>
      </c>
      <c r="B602" s="8">
        <v>4.0</v>
      </c>
      <c r="C602" s="7" t="s">
        <v>362</v>
      </c>
      <c r="D602" s="7" t="s">
        <v>576</v>
      </c>
      <c r="E602" s="7" t="s">
        <v>577</v>
      </c>
      <c r="F602" s="7" t="s">
        <v>350</v>
      </c>
    </row>
    <row r="603">
      <c r="A603" s="7" t="s">
        <v>386</v>
      </c>
      <c r="B603" s="8">
        <v>4.0</v>
      </c>
      <c r="C603" s="7" t="s">
        <v>362</v>
      </c>
      <c r="D603" s="7" t="s">
        <v>576</v>
      </c>
      <c r="E603" s="7" t="s">
        <v>577</v>
      </c>
      <c r="F603" s="7" t="s">
        <v>272</v>
      </c>
    </row>
    <row r="604">
      <c r="A604" s="7" t="s">
        <v>387</v>
      </c>
      <c r="B604" s="8">
        <v>4.0</v>
      </c>
      <c r="C604" s="7" t="s">
        <v>362</v>
      </c>
      <c r="D604" s="7" t="s">
        <v>576</v>
      </c>
      <c r="E604" s="7" t="s">
        <v>577</v>
      </c>
      <c r="F604" s="7" t="s">
        <v>272</v>
      </c>
    </row>
    <row r="605">
      <c r="A605" s="7" t="s">
        <v>6</v>
      </c>
      <c r="B605" s="8">
        <v>4.0</v>
      </c>
      <c r="C605" s="7" t="s">
        <v>362</v>
      </c>
      <c r="D605" s="7" t="s">
        <v>576</v>
      </c>
      <c r="E605" s="7" t="s">
        <v>577</v>
      </c>
      <c r="F605" s="7" t="s">
        <v>238</v>
      </c>
    </row>
    <row r="606">
      <c r="A606" s="7" t="s">
        <v>7</v>
      </c>
      <c r="B606" s="8">
        <v>4.0</v>
      </c>
      <c r="C606" s="7" t="s">
        <v>362</v>
      </c>
      <c r="D606" s="7" t="s">
        <v>576</v>
      </c>
      <c r="E606" s="7" t="s">
        <v>577</v>
      </c>
      <c r="F606" s="7" t="s">
        <v>238</v>
      </c>
    </row>
    <row r="607">
      <c r="A607" s="7" t="s">
        <v>8</v>
      </c>
      <c r="B607" s="8">
        <v>4.0</v>
      </c>
      <c r="C607" s="7" t="s">
        <v>362</v>
      </c>
      <c r="D607" s="7" t="s">
        <v>576</v>
      </c>
      <c r="E607" s="7" t="s">
        <v>577</v>
      </c>
      <c r="F607" s="7" t="s">
        <v>272</v>
      </c>
    </row>
    <row r="608">
      <c r="A608" s="7" t="s">
        <v>388</v>
      </c>
      <c r="B608" s="8">
        <v>4.0</v>
      </c>
      <c r="C608" s="7" t="s">
        <v>362</v>
      </c>
      <c r="D608" s="7" t="s">
        <v>576</v>
      </c>
      <c r="E608" s="7" t="s">
        <v>577</v>
      </c>
      <c r="F608" s="7" t="s">
        <v>496</v>
      </c>
    </row>
    <row r="609">
      <c r="A609" s="7" t="s">
        <v>9</v>
      </c>
      <c r="B609" s="8">
        <v>4.0</v>
      </c>
      <c r="C609" s="7" t="s">
        <v>362</v>
      </c>
      <c r="D609" s="7" t="s">
        <v>576</v>
      </c>
      <c r="E609" s="7" t="s">
        <v>577</v>
      </c>
      <c r="F609" s="7" t="s">
        <v>238</v>
      </c>
    </row>
    <row r="610">
      <c r="A610" s="7" t="s">
        <v>10</v>
      </c>
      <c r="B610" s="8">
        <v>4.0</v>
      </c>
      <c r="C610" s="7" t="s">
        <v>362</v>
      </c>
      <c r="D610" s="7" t="s">
        <v>576</v>
      </c>
      <c r="E610" s="7" t="s">
        <v>577</v>
      </c>
      <c r="F610" s="7" t="s">
        <v>578</v>
      </c>
    </row>
    <row r="611">
      <c r="A611" s="7" t="s">
        <v>11</v>
      </c>
      <c r="B611" s="8">
        <v>4.0</v>
      </c>
      <c r="C611" s="7" t="s">
        <v>362</v>
      </c>
      <c r="D611" s="7" t="s">
        <v>576</v>
      </c>
      <c r="E611" s="7" t="s">
        <v>577</v>
      </c>
      <c r="F611" s="7" t="s">
        <v>497</v>
      </c>
    </row>
    <row r="612">
      <c r="A612" s="7" t="s">
        <v>12</v>
      </c>
      <c r="B612" s="8">
        <v>4.0</v>
      </c>
      <c r="C612" s="7" t="s">
        <v>362</v>
      </c>
      <c r="D612" s="7" t="s">
        <v>576</v>
      </c>
      <c r="E612" s="7" t="s">
        <v>577</v>
      </c>
      <c r="F612" s="7" t="s">
        <v>272</v>
      </c>
    </row>
    <row r="613">
      <c r="A613" s="7" t="s">
        <v>13</v>
      </c>
      <c r="B613" s="8">
        <v>4.0</v>
      </c>
      <c r="C613" s="7" t="s">
        <v>362</v>
      </c>
      <c r="D613" s="7" t="s">
        <v>576</v>
      </c>
      <c r="E613" s="7" t="s">
        <v>577</v>
      </c>
      <c r="F613" s="7" t="s">
        <v>272</v>
      </c>
    </row>
    <row r="614">
      <c r="A614" s="7" t="s">
        <v>14</v>
      </c>
      <c r="B614" s="8">
        <v>4.0</v>
      </c>
      <c r="C614" s="7" t="s">
        <v>362</v>
      </c>
      <c r="D614" s="7" t="s">
        <v>576</v>
      </c>
      <c r="E614" s="7" t="s">
        <v>577</v>
      </c>
      <c r="F614" s="7" t="s">
        <v>305</v>
      </c>
    </row>
    <row r="615">
      <c r="A615" s="7" t="s">
        <v>15</v>
      </c>
      <c r="B615" s="8">
        <v>4.0</v>
      </c>
      <c r="C615" s="7" t="s">
        <v>362</v>
      </c>
      <c r="D615" s="7" t="s">
        <v>576</v>
      </c>
      <c r="E615" s="7" t="s">
        <v>577</v>
      </c>
      <c r="F615" s="7" t="s">
        <v>579</v>
      </c>
    </row>
    <row r="616">
      <c r="A616" s="7" t="s">
        <v>16</v>
      </c>
      <c r="B616" s="8">
        <v>4.0</v>
      </c>
      <c r="C616" s="7" t="s">
        <v>362</v>
      </c>
      <c r="D616" s="7" t="s">
        <v>576</v>
      </c>
      <c r="E616" s="7" t="s">
        <v>577</v>
      </c>
      <c r="F616" s="7" t="s">
        <v>238</v>
      </c>
    </row>
    <row r="617">
      <c r="A617" s="7" t="s">
        <v>17</v>
      </c>
      <c r="B617" s="8">
        <v>4.0</v>
      </c>
      <c r="C617" s="7" t="s">
        <v>362</v>
      </c>
      <c r="D617" s="7" t="s">
        <v>576</v>
      </c>
      <c r="E617" s="7" t="s">
        <v>577</v>
      </c>
      <c r="F617" s="7" t="s">
        <v>238</v>
      </c>
    </row>
    <row r="618">
      <c r="A618" s="7" t="s">
        <v>18</v>
      </c>
      <c r="B618" s="8">
        <v>4.0</v>
      </c>
      <c r="C618" s="7" t="s">
        <v>362</v>
      </c>
      <c r="D618" s="7" t="s">
        <v>576</v>
      </c>
      <c r="E618" s="7" t="s">
        <v>577</v>
      </c>
      <c r="F618" s="7" t="s">
        <v>238</v>
      </c>
    </row>
    <row r="619">
      <c r="A619" s="7" t="s">
        <v>19</v>
      </c>
      <c r="B619" s="8">
        <v>4.0</v>
      </c>
      <c r="C619" s="7" t="s">
        <v>362</v>
      </c>
      <c r="D619" s="7" t="s">
        <v>576</v>
      </c>
      <c r="E619" s="7" t="s">
        <v>577</v>
      </c>
      <c r="F619" s="7" t="s">
        <v>498</v>
      </c>
    </row>
    <row r="620">
      <c r="A620" s="7" t="s">
        <v>188</v>
      </c>
      <c r="B620" s="8">
        <v>4.0</v>
      </c>
      <c r="C620" s="7" t="s">
        <v>347</v>
      </c>
      <c r="D620" s="7" t="s">
        <v>580</v>
      </c>
      <c r="E620" s="7" t="s">
        <v>581</v>
      </c>
      <c r="F620" s="7" t="s">
        <v>337</v>
      </c>
    </row>
    <row r="621">
      <c r="A621" s="7" t="s">
        <v>4</v>
      </c>
      <c r="B621" s="8">
        <v>4.0</v>
      </c>
      <c r="C621" s="7" t="s">
        <v>347</v>
      </c>
      <c r="D621" s="7" t="s">
        <v>580</v>
      </c>
      <c r="E621" s="7" t="s">
        <v>581</v>
      </c>
      <c r="F621" s="7" t="s">
        <v>350</v>
      </c>
    </row>
    <row r="622">
      <c r="A622" s="7" t="s">
        <v>386</v>
      </c>
      <c r="B622" s="8">
        <v>4.0</v>
      </c>
      <c r="C622" s="7" t="s">
        <v>347</v>
      </c>
      <c r="D622" s="7" t="s">
        <v>580</v>
      </c>
      <c r="E622" s="7" t="s">
        <v>581</v>
      </c>
      <c r="F622" s="7" t="s">
        <v>337</v>
      </c>
    </row>
    <row r="623">
      <c r="A623" s="7" t="s">
        <v>387</v>
      </c>
      <c r="B623" s="8">
        <v>4.0</v>
      </c>
      <c r="C623" s="7" t="s">
        <v>347</v>
      </c>
      <c r="D623" s="7" t="s">
        <v>580</v>
      </c>
      <c r="E623" s="7" t="s">
        <v>581</v>
      </c>
      <c r="F623" s="7" t="s">
        <v>272</v>
      </c>
    </row>
    <row r="624">
      <c r="A624" s="7" t="s">
        <v>6</v>
      </c>
      <c r="B624" s="8">
        <v>4.0</v>
      </c>
      <c r="C624" s="7" t="s">
        <v>347</v>
      </c>
      <c r="D624" s="7" t="s">
        <v>580</v>
      </c>
      <c r="E624" s="7" t="s">
        <v>581</v>
      </c>
      <c r="F624" s="7" t="s">
        <v>238</v>
      </c>
    </row>
    <row r="625">
      <c r="A625" s="7" t="s">
        <v>7</v>
      </c>
      <c r="B625" s="8">
        <v>4.0</v>
      </c>
      <c r="C625" s="7" t="s">
        <v>347</v>
      </c>
      <c r="D625" s="7" t="s">
        <v>580</v>
      </c>
      <c r="E625" s="7" t="s">
        <v>581</v>
      </c>
      <c r="F625" s="7" t="s">
        <v>238</v>
      </c>
    </row>
    <row r="626">
      <c r="A626" s="7" t="s">
        <v>8</v>
      </c>
      <c r="B626" s="8">
        <v>4.0</v>
      </c>
      <c r="C626" s="7" t="s">
        <v>347</v>
      </c>
      <c r="D626" s="7" t="s">
        <v>580</v>
      </c>
      <c r="E626" s="7" t="s">
        <v>581</v>
      </c>
      <c r="F626" s="7" t="s">
        <v>272</v>
      </c>
    </row>
    <row r="627">
      <c r="A627" s="7" t="s">
        <v>388</v>
      </c>
      <c r="B627" s="8">
        <v>4.0</v>
      </c>
      <c r="C627" s="7" t="s">
        <v>347</v>
      </c>
      <c r="D627" s="7" t="s">
        <v>580</v>
      </c>
      <c r="E627" s="7" t="s">
        <v>581</v>
      </c>
      <c r="F627" s="7" t="s">
        <v>496</v>
      </c>
    </row>
    <row r="628">
      <c r="A628" s="7" t="s">
        <v>189</v>
      </c>
      <c r="B628" s="8">
        <v>4.0</v>
      </c>
      <c r="C628" s="7" t="s">
        <v>347</v>
      </c>
      <c r="D628" s="7" t="s">
        <v>580</v>
      </c>
      <c r="E628" s="7" t="s">
        <v>581</v>
      </c>
      <c r="F628" s="7" t="s">
        <v>578</v>
      </c>
    </row>
    <row r="629">
      <c r="A629" s="7" t="s">
        <v>9</v>
      </c>
      <c r="B629" s="8">
        <v>4.0</v>
      </c>
      <c r="C629" s="7" t="s">
        <v>347</v>
      </c>
      <c r="D629" s="7" t="s">
        <v>580</v>
      </c>
      <c r="E629" s="7" t="s">
        <v>581</v>
      </c>
      <c r="F629" s="7" t="s">
        <v>238</v>
      </c>
    </row>
    <row r="630">
      <c r="A630" s="7" t="s">
        <v>10</v>
      </c>
      <c r="B630" s="8">
        <v>4.0</v>
      </c>
      <c r="C630" s="7" t="s">
        <v>347</v>
      </c>
      <c r="D630" s="7" t="s">
        <v>580</v>
      </c>
      <c r="E630" s="7" t="s">
        <v>581</v>
      </c>
      <c r="F630" s="7" t="s">
        <v>578</v>
      </c>
    </row>
    <row r="631">
      <c r="A631" s="7" t="s">
        <v>11</v>
      </c>
      <c r="B631" s="8">
        <v>4.0</v>
      </c>
      <c r="C631" s="7" t="s">
        <v>347</v>
      </c>
      <c r="D631" s="7" t="s">
        <v>580</v>
      </c>
      <c r="E631" s="7" t="s">
        <v>581</v>
      </c>
      <c r="F631" s="7" t="s">
        <v>497</v>
      </c>
    </row>
    <row r="632">
      <c r="A632" s="7" t="s">
        <v>12</v>
      </c>
      <c r="B632" s="8">
        <v>4.0</v>
      </c>
      <c r="C632" s="7" t="s">
        <v>347</v>
      </c>
      <c r="D632" s="7" t="s">
        <v>580</v>
      </c>
      <c r="E632" s="7" t="s">
        <v>581</v>
      </c>
      <c r="F632" s="7" t="s">
        <v>272</v>
      </c>
    </row>
    <row r="633">
      <c r="A633" s="7" t="s">
        <v>13</v>
      </c>
      <c r="B633" s="8">
        <v>4.0</v>
      </c>
      <c r="C633" s="7" t="s">
        <v>347</v>
      </c>
      <c r="D633" s="7" t="s">
        <v>580</v>
      </c>
      <c r="E633" s="7" t="s">
        <v>581</v>
      </c>
      <c r="F633" s="7" t="s">
        <v>272</v>
      </c>
    </row>
    <row r="634">
      <c r="A634" s="7" t="s">
        <v>14</v>
      </c>
      <c r="B634" s="8">
        <v>4.0</v>
      </c>
      <c r="C634" s="7" t="s">
        <v>347</v>
      </c>
      <c r="D634" s="7" t="s">
        <v>580</v>
      </c>
      <c r="E634" s="7" t="s">
        <v>581</v>
      </c>
      <c r="F634" s="7" t="s">
        <v>305</v>
      </c>
    </row>
    <row r="635">
      <c r="A635" s="7" t="s">
        <v>15</v>
      </c>
      <c r="B635" s="8">
        <v>4.0</v>
      </c>
      <c r="C635" s="7" t="s">
        <v>347</v>
      </c>
      <c r="D635" s="7" t="s">
        <v>580</v>
      </c>
      <c r="E635" s="7" t="s">
        <v>581</v>
      </c>
      <c r="F635" s="7" t="s">
        <v>303</v>
      </c>
    </row>
    <row r="636">
      <c r="A636" s="7" t="s">
        <v>16</v>
      </c>
      <c r="B636" s="8">
        <v>4.0</v>
      </c>
      <c r="C636" s="7" t="s">
        <v>347</v>
      </c>
      <c r="D636" s="7" t="s">
        <v>580</v>
      </c>
      <c r="E636" s="7" t="s">
        <v>581</v>
      </c>
      <c r="F636" s="7" t="s">
        <v>238</v>
      </c>
    </row>
    <row r="637">
      <c r="A637" s="7" t="s">
        <v>17</v>
      </c>
      <c r="B637" s="8">
        <v>4.0</v>
      </c>
      <c r="C637" s="7" t="s">
        <v>347</v>
      </c>
      <c r="D637" s="7" t="s">
        <v>580</v>
      </c>
      <c r="E637" s="7" t="s">
        <v>581</v>
      </c>
      <c r="F637" s="7" t="s">
        <v>238</v>
      </c>
    </row>
    <row r="638">
      <c r="A638" s="7" t="s">
        <v>18</v>
      </c>
      <c r="B638" s="8">
        <v>4.0</v>
      </c>
      <c r="C638" s="7" t="s">
        <v>347</v>
      </c>
      <c r="D638" s="7" t="s">
        <v>580</v>
      </c>
      <c r="E638" s="7" t="s">
        <v>581</v>
      </c>
      <c r="F638" s="7" t="s">
        <v>238</v>
      </c>
    </row>
    <row r="639">
      <c r="A639" s="7" t="s">
        <v>19</v>
      </c>
      <c r="B639" s="8">
        <v>4.0</v>
      </c>
      <c r="C639" s="7" t="s">
        <v>347</v>
      </c>
      <c r="D639" s="7" t="s">
        <v>580</v>
      </c>
      <c r="E639" s="7" t="s">
        <v>581</v>
      </c>
      <c r="F639" s="7" t="s">
        <v>498</v>
      </c>
    </row>
    <row r="640">
      <c r="A640" s="7" t="s">
        <v>188</v>
      </c>
      <c r="B640" s="8">
        <v>4.0</v>
      </c>
      <c r="C640" s="7" t="s">
        <v>354</v>
      </c>
      <c r="D640" s="7" t="s">
        <v>582</v>
      </c>
      <c r="E640" s="7" t="s">
        <v>583</v>
      </c>
      <c r="F640" s="7" t="s">
        <v>501</v>
      </c>
    </row>
    <row r="641">
      <c r="A641" s="7" t="s">
        <v>4</v>
      </c>
      <c r="B641" s="8">
        <v>4.0</v>
      </c>
      <c r="C641" s="7" t="s">
        <v>354</v>
      </c>
      <c r="D641" s="7" t="s">
        <v>582</v>
      </c>
      <c r="E641" s="7" t="s">
        <v>583</v>
      </c>
      <c r="F641" s="7" t="s">
        <v>357</v>
      </c>
    </row>
    <row r="642">
      <c r="A642" s="7" t="s">
        <v>386</v>
      </c>
      <c r="B642" s="8">
        <v>4.0</v>
      </c>
      <c r="C642" s="7" t="s">
        <v>354</v>
      </c>
      <c r="D642" s="7" t="s">
        <v>582</v>
      </c>
      <c r="E642" s="7" t="s">
        <v>583</v>
      </c>
      <c r="F642" s="7" t="s">
        <v>501</v>
      </c>
    </row>
    <row r="643">
      <c r="A643" s="7" t="s">
        <v>387</v>
      </c>
      <c r="B643" s="8">
        <v>4.0</v>
      </c>
      <c r="C643" s="7" t="s">
        <v>354</v>
      </c>
      <c r="D643" s="7" t="s">
        <v>582</v>
      </c>
      <c r="E643" s="7" t="s">
        <v>583</v>
      </c>
      <c r="F643" s="7" t="s">
        <v>357</v>
      </c>
    </row>
    <row r="644">
      <c r="A644" s="7" t="s">
        <v>6</v>
      </c>
      <c r="B644" s="8">
        <v>4.0</v>
      </c>
      <c r="C644" s="7" t="s">
        <v>354</v>
      </c>
      <c r="D644" s="7" t="s">
        <v>582</v>
      </c>
      <c r="E644" s="7" t="s">
        <v>583</v>
      </c>
      <c r="F644" s="7" t="s">
        <v>584</v>
      </c>
    </row>
    <row r="645">
      <c r="A645" s="7" t="s">
        <v>7</v>
      </c>
      <c r="B645" s="8">
        <v>4.0</v>
      </c>
      <c r="C645" s="7" t="s">
        <v>354</v>
      </c>
      <c r="D645" s="7" t="s">
        <v>582</v>
      </c>
      <c r="E645" s="7" t="s">
        <v>583</v>
      </c>
      <c r="F645" s="7" t="s">
        <v>357</v>
      </c>
    </row>
    <row r="646">
      <c r="A646" s="7" t="s">
        <v>8</v>
      </c>
      <c r="B646" s="8">
        <v>4.0</v>
      </c>
      <c r="C646" s="7" t="s">
        <v>354</v>
      </c>
      <c r="D646" s="7" t="s">
        <v>582</v>
      </c>
      <c r="E646" s="7" t="s">
        <v>583</v>
      </c>
      <c r="F646" s="7" t="s">
        <v>585</v>
      </c>
    </row>
    <row r="647">
      <c r="A647" s="7" t="s">
        <v>388</v>
      </c>
      <c r="B647" s="8">
        <v>4.0</v>
      </c>
      <c r="C647" s="7" t="s">
        <v>354</v>
      </c>
      <c r="D647" s="7" t="s">
        <v>582</v>
      </c>
      <c r="E647" s="7" t="s">
        <v>583</v>
      </c>
      <c r="F647" s="7" t="s">
        <v>586</v>
      </c>
    </row>
    <row r="648">
      <c r="A648" s="7" t="s">
        <v>189</v>
      </c>
      <c r="B648" s="8">
        <v>4.0</v>
      </c>
      <c r="C648" s="7" t="s">
        <v>354</v>
      </c>
      <c r="D648" s="7" t="s">
        <v>582</v>
      </c>
      <c r="E648" s="7" t="s">
        <v>583</v>
      </c>
      <c r="F648" s="7" t="s">
        <v>537</v>
      </c>
    </row>
    <row r="649">
      <c r="A649" s="7" t="s">
        <v>9</v>
      </c>
      <c r="B649" s="8">
        <v>4.0</v>
      </c>
      <c r="C649" s="7" t="s">
        <v>354</v>
      </c>
      <c r="D649" s="7" t="s">
        <v>582</v>
      </c>
      <c r="E649" s="7" t="s">
        <v>583</v>
      </c>
      <c r="F649" s="7" t="s">
        <v>587</v>
      </c>
    </row>
    <row r="650">
      <c r="A650" s="7" t="s">
        <v>10</v>
      </c>
      <c r="B650" s="8">
        <v>4.0</v>
      </c>
      <c r="C650" s="7" t="s">
        <v>354</v>
      </c>
      <c r="D650" s="7" t="s">
        <v>582</v>
      </c>
      <c r="E650" s="7" t="s">
        <v>583</v>
      </c>
      <c r="F650" s="7" t="s">
        <v>537</v>
      </c>
    </row>
    <row r="651">
      <c r="A651" s="7" t="s">
        <v>11</v>
      </c>
      <c r="B651" s="8">
        <v>4.0</v>
      </c>
      <c r="C651" s="7" t="s">
        <v>354</v>
      </c>
      <c r="D651" s="7" t="s">
        <v>582</v>
      </c>
      <c r="E651" s="7" t="s">
        <v>583</v>
      </c>
      <c r="F651" s="7" t="s">
        <v>588</v>
      </c>
    </row>
    <row r="652">
      <c r="A652" s="7" t="s">
        <v>12</v>
      </c>
      <c r="B652" s="8">
        <v>4.0</v>
      </c>
      <c r="C652" s="7" t="s">
        <v>354</v>
      </c>
      <c r="D652" s="7" t="s">
        <v>582</v>
      </c>
      <c r="E652" s="7" t="s">
        <v>583</v>
      </c>
      <c r="F652" s="7" t="s">
        <v>589</v>
      </c>
    </row>
    <row r="653">
      <c r="A653" s="7" t="s">
        <v>13</v>
      </c>
      <c r="B653" s="8">
        <v>4.0</v>
      </c>
      <c r="C653" s="7" t="s">
        <v>354</v>
      </c>
      <c r="D653" s="7" t="s">
        <v>582</v>
      </c>
      <c r="E653" s="7" t="s">
        <v>583</v>
      </c>
      <c r="F653" s="7" t="s">
        <v>357</v>
      </c>
    </row>
    <row r="654">
      <c r="A654" s="7" t="s">
        <v>14</v>
      </c>
      <c r="B654" s="8">
        <v>4.0</v>
      </c>
      <c r="C654" s="7" t="s">
        <v>354</v>
      </c>
      <c r="D654" s="7" t="s">
        <v>582</v>
      </c>
      <c r="E654" s="7" t="s">
        <v>583</v>
      </c>
      <c r="F654" s="7" t="s">
        <v>403</v>
      </c>
    </row>
    <row r="655">
      <c r="A655" s="7" t="s">
        <v>15</v>
      </c>
      <c r="B655" s="8">
        <v>4.0</v>
      </c>
      <c r="C655" s="7" t="s">
        <v>354</v>
      </c>
      <c r="D655" s="7" t="s">
        <v>582</v>
      </c>
      <c r="E655" s="7" t="s">
        <v>583</v>
      </c>
      <c r="F655" s="7" t="s">
        <v>357</v>
      </c>
    </row>
    <row r="656">
      <c r="A656" s="7" t="s">
        <v>16</v>
      </c>
      <c r="B656" s="8">
        <v>4.0</v>
      </c>
      <c r="C656" s="7" t="s">
        <v>354</v>
      </c>
      <c r="D656" s="7" t="s">
        <v>582</v>
      </c>
      <c r="E656" s="7" t="s">
        <v>583</v>
      </c>
      <c r="F656" s="7" t="s">
        <v>357</v>
      </c>
    </row>
    <row r="657">
      <c r="A657" s="7" t="s">
        <v>17</v>
      </c>
      <c r="B657" s="8">
        <v>4.0</v>
      </c>
      <c r="C657" s="7" t="s">
        <v>354</v>
      </c>
      <c r="D657" s="7" t="s">
        <v>582</v>
      </c>
      <c r="E657" s="7" t="s">
        <v>583</v>
      </c>
      <c r="F657" s="7" t="s">
        <v>357</v>
      </c>
    </row>
    <row r="658">
      <c r="A658" s="7" t="s">
        <v>18</v>
      </c>
      <c r="B658" s="8">
        <v>4.0</v>
      </c>
      <c r="C658" s="7" t="s">
        <v>354</v>
      </c>
      <c r="D658" s="7" t="s">
        <v>582</v>
      </c>
      <c r="E658" s="7" t="s">
        <v>583</v>
      </c>
      <c r="F658" s="7" t="s">
        <v>357</v>
      </c>
    </row>
    <row r="659">
      <c r="A659" s="7" t="s">
        <v>19</v>
      </c>
      <c r="B659" s="8">
        <v>4.0</v>
      </c>
      <c r="C659" s="7" t="s">
        <v>354</v>
      </c>
      <c r="D659" s="7" t="s">
        <v>582</v>
      </c>
      <c r="E659" s="7" t="s">
        <v>583</v>
      </c>
      <c r="F659" s="7" t="s">
        <v>357</v>
      </c>
    </row>
    <row r="660">
      <c r="A660" s="7" t="s">
        <v>188</v>
      </c>
      <c r="B660" s="8">
        <v>4.0</v>
      </c>
      <c r="C660" s="7" t="s">
        <v>590</v>
      </c>
      <c r="D660" s="7" t="s">
        <v>591</v>
      </c>
      <c r="E660" s="7" t="s">
        <v>592</v>
      </c>
      <c r="F660" s="7" t="s">
        <v>65</v>
      </c>
    </row>
    <row r="661">
      <c r="A661" s="7" t="s">
        <v>4</v>
      </c>
      <c r="B661" s="8">
        <v>4.0</v>
      </c>
      <c r="C661" s="7" t="s">
        <v>590</v>
      </c>
      <c r="D661" s="7" t="s">
        <v>591</v>
      </c>
      <c r="E661" s="7" t="s">
        <v>592</v>
      </c>
      <c r="F661" s="7" t="s">
        <v>65</v>
      </c>
    </row>
    <row r="662">
      <c r="A662" s="7" t="s">
        <v>386</v>
      </c>
      <c r="B662" s="8">
        <v>4.0</v>
      </c>
      <c r="C662" s="7" t="s">
        <v>590</v>
      </c>
      <c r="D662" s="7" t="s">
        <v>591</v>
      </c>
      <c r="E662" s="7" t="s">
        <v>592</v>
      </c>
      <c r="F662" s="7" t="s">
        <v>65</v>
      </c>
    </row>
    <row r="663">
      <c r="A663" s="7" t="s">
        <v>387</v>
      </c>
      <c r="B663" s="8">
        <v>4.0</v>
      </c>
      <c r="C663" s="7" t="s">
        <v>590</v>
      </c>
      <c r="D663" s="7" t="s">
        <v>591</v>
      </c>
      <c r="E663" s="7" t="s">
        <v>592</v>
      </c>
      <c r="F663" s="7" t="s">
        <v>232</v>
      </c>
    </row>
    <row r="664">
      <c r="A664" s="7" t="s">
        <v>6</v>
      </c>
      <c r="B664" s="8">
        <v>4.0</v>
      </c>
      <c r="C664" s="7" t="s">
        <v>590</v>
      </c>
      <c r="D664" s="7" t="s">
        <v>591</v>
      </c>
      <c r="E664" s="7" t="s">
        <v>592</v>
      </c>
      <c r="F664" s="7" t="s">
        <v>232</v>
      </c>
    </row>
    <row r="665">
      <c r="A665" s="7" t="s">
        <v>7</v>
      </c>
      <c r="B665" s="8">
        <v>4.0</v>
      </c>
      <c r="C665" s="7" t="s">
        <v>590</v>
      </c>
      <c r="D665" s="7" t="s">
        <v>591</v>
      </c>
      <c r="E665" s="7" t="s">
        <v>592</v>
      </c>
      <c r="F665" s="7" t="s">
        <v>232</v>
      </c>
    </row>
    <row r="666">
      <c r="A666" s="7" t="s">
        <v>8</v>
      </c>
      <c r="B666" s="8">
        <v>4.0</v>
      </c>
      <c r="C666" s="7" t="s">
        <v>590</v>
      </c>
      <c r="D666" s="7" t="s">
        <v>591</v>
      </c>
      <c r="E666" s="7" t="s">
        <v>592</v>
      </c>
      <c r="F666" s="7" t="s">
        <v>66</v>
      </c>
    </row>
    <row r="667">
      <c r="A667" s="7" t="s">
        <v>388</v>
      </c>
      <c r="B667" s="8">
        <v>4.0</v>
      </c>
      <c r="C667" s="7" t="s">
        <v>590</v>
      </c>
      <c r="D667" s="7" t="s">
        <v>591</v>
      </c>
      <c r="E667" s="7" t="s">
        <v>592</v>
      </c>
      <c r="F667" s="7" t="s">
        <v>232</v>
      </c>
    </row>
    <row r="668">
      <c r="A668" s="7" t="s">
        <v>189</v>
      </c>
      <c r="B668" s="8">
        <v>4.0</v>
      </c>
      <c r="C668" s="7" t="s">
        <v>590</v>
      </c>
      <c r="D668" s="7" t="s">
        <v>591</v>
      </c>
      <c r="E668" s="7" t="s">
        <v>592</v>
      </c>
      <c r="F668" s="7" t="s">
        <v>232</v>
      </c>
    </row>
    <row r="669">
      <c r="A669" s="7" t="s">
        <v>9</v>
      </c>
      <c r="B669" s="8">
        <v>4.0</v>
      </c>
      <c r="C669" s="7" t="s">
        <v>590</v>
      </c>
      <c r="D669" s="7" t="s">
        <v>591</v>
      </c>
      <c r="E669" s="7" t="s">
        <v>592</v>
      </c>
      <c r="F669" s="7" t="s">
        <v>232</v>
      </c>
    </row>
    <row r="670">
      <c r="A670" s="7" t="s">
        <v>10</v>
      </c>
      <c r="B670" s="8">
        <v>4.0</v>
      </c>
      <c r="C670" s="7" t="s">
        <v>590</v>
      </c>
      <c r="D670" s="7" t="s">
        <v>591</v>
      </c>
      <c r="E670" s="7" t="s">
        <v>592</v>
      </c>
      <c r="F670" s="7" t="s">
        <v>232</v>
      </c>
    </row>
    <row r="671">
      <c r="A671" s="7" t="s">
        <v>11</v>
      </c>
      <c r="B671" s="8">
        <v>4.0</v>
      </c>
      <c r="C671" s="7" t="s">
        <v>590</v>
      </c>
      <c r="D671" s="7" t="s">
        <v>591</v>
      </c>
      <c r="E671" s="7" t="s">
        <v>592</v>
      </c>
      <c r="F671" s="7" t="s">
        <v>232</v>
      </c>
    </row>
    <row r="672">
      <c r="A672" s="7" t="s">
        <v>12</v>
      </c>
      <c r="B672" s="8">
        <v>4.0</v>
      </c>
      <c r="C672" s="7" t="s">
        <v>590</v>
      </c>
      <c r="D672" s="7" t="s">
        <v>591</v>
      </c>
      <c r="E672" s="7" t="s">
        <v>592</v>
      </c>
      <c r="F672" s="7" t="s">
        <v>65</v>
      </c>
    </row>
    <row r="673">
      <c r="A673" s="7" t="s">
        <v>13</v>
      </c>
      <c r="B673" s="8">
        <v>4.0</v>
      </c>
      <c r="C673" s="7" t="s">
        <v>590</v>
      </c>
      <c r="D673" s="7" t="s">
        <v>591</v>
      </c>
      <c r="E673" s="7" t="s">
        <v>592</v>
      </c>
      <c r="F673" s="7" t="s">
        <v>232</v>
      </c>
    </row>
    <row r="674">
      <c r="A674" s="7" t="s">
        <v>14</v>
      </c>
      <c r="B674" s="8">
        <v>4.0</v>
      </c>
      <c r="C674" s="7" t="s">
        <v>590</v>
      </c>
      <c r="D674" s="7" t="s">
        <v>591</v>
      </c>
      <c r="E674" s="7" t="s">
        <v>592</v>
      </c>
      <c r="F674" s="7" t="s">
        <v>232</v>
      </c>
    </row>
    <row r="675">
      <c r="A675" s="7" t="s">
        <v>15</v>
      </c>
      <c r="B675" s="8">
        <v>4.0</v>
      </c>
      <c r="C675" s="7" t="s">
        <v>590</v>
      </c>
      <c r="D675" s="7" t="s">
        <v>591</v>
      </c>
      <c r="E675" s="7" t="s">
        <v>592</v>
      </c>
      <c r="F675" s="7" t="s">
        <v>232</v>
      </c>
    </row>
    <row r="676">
      <c r="A676" s="7" t="s">
        <v>16</v>
      </c>
      <c r="B676" s="8">
        <v>4.0</v>
      </c>
      <c r="C676" s="7" t="s">
        <v>590</v>
      </c>
      <c r="D676" s="7" t="s">
        <v>591</v>
      </c>
      <c r="E676" s="7" t="s">
        <v>592</v>
      </c>
      <c r="F676" s="7" t="s">
        <v>232</v>
      </c>
    </row>
    <row r="677">
      <c r="A677" s="7" t="s">
        <v>17</v>
      </c>
      <c r="B677" s="8">
        <v>4.0</v>
      </c>
      <c r="C677" s="7" t="s">
        <v>590</v>
      </c>
      <c r="D677" s="7" t="s">
        <v>591</v>
      </c>
      <c r="E677" s="7" t="s">
        <v>592</v>
      </c>
      <c r="F677" s="7" t="s">
        <v>232</v>
      </c>
    </row>
    <row r="678">
      <c r="A678" s="7" t="s">
        <v>18</v>
      </c>
      <c r="B678" s="8">
        <v>4.0</v>
      </c>
      <c r="C678" s="7" t="s">
        <v>590</v>
      </c>
      <c r="D678" s="7" t="s">
        <v>591</v>
      </c>
      <c r="E678" s="7" t="s">
        <v>592</v>
      </c>
      <c r="F678" s="7" t="s">
        <v>232</v>
      </c>
    </row>
    <row r="679">
      <c r="A679" s="7" t="s">
        <v>19</v>
      </c>
      <c r="B679" s="8">
        <v>4.0</v>
      </c>
      <c r="C679" s="7" t="s">
        <v>590</v>
      </c>
      <c r="D679" s="7" t="s">
        <v>591</v>
      </c>
      <c r="E679" s="7" t="s">
        <v>592</v>
      </c>
      <c r="F679" s="7" t="s">
        <v>232</v>
      </c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63"/>
    <col customWidth="1" min="3" max="3" width="9.38"/>
    <col customWidth="1" min="4" max="4" width="76.75"/>
    <col customWidth="1" min="5" max="5" width="34.63"/>
    <col customWidth="1" min="6" max="6" width="29.5"/>
    <col customWidth="1" min="7" max="7" width="38.13"/>
    <col customWidth="1" min="8" max="8" width="28.13"/>
    <col customWidth="1" min="9" max="9" width="24.75"/>
    <col customWidth="1" min="10" max="10" width="40.38"/>
    <col customWidth="1" min="11" max="11" width="19.0"/>
    <col customWidth="1" min="12" max="12" width="18.0"/>
    <col customWidth="1" min="13" max="13" width="20.13"/>
    <col customWidth="1" min="14" max="14" width="21.0"/>
    <col customWidth="1" min="15" max="15" width="18.13"/>
    <col customWidth="1" min="16" max="16" width="18.38"/>
    <col customWidth="1" min="17" max="17" width="14.88"/>
    <col customWidth="1" min="18" max="18" width="13.88"/>
    <col customWidth="1" min="19" max="19" width="20.75"/>
    <col customWidth="1" min="20" max="20" width="12.5"/>
    <col customWidth="1" min="21" max="21" width="15.25"/>
    <col customWidth="1" min="22" max="22" width="17.38"/>
    <col customWidth="1" min="23" max="23" width="18.13"/>
    <col customWidth="1" min="24" max="24" width="12.38"/>
    <col customWidth="1" min="25" max="25" width="14.63"/>
    <col customWidth="1" min="26" max="26" width="12.25"/>
  </cols>
  <sheetData>
    <row r="1">
      <c r="A1" s="11" t="s">
        <v>0</v>
      </c>
      <c r="B1" s="11" t="s">
        <v>1</v>
      </c>
      <c r="C1" s="12" t="s">
        <v>2</v>
      </c>
      <c r="D1" s="11" t="s">
        <v>3</v>
      </c>
      <c r="E1" s="13" t="s">
        <v>596</v>
      </c>
      <c r="F1" s="14" t="s">
        <v>597</v>
      </c>
      <c r="G1" s="14" t="s">
        <v>598</v>
      </c>
      <c r="H1" s="15" t="s">
        <v>599</v>
      </c>
      <c r="I1" s="15" t="s">
        <v>600</v>
      </c>
      <c r="J1" s="14" t="s">
        <v>601</v>
      </c>
      <c r="K1" s="14" t="s">
        <v>602</v>
      </c>
      <c r="L1" s="14" t="s">
        <v>603</v>
      </c>
      <c r="M1" s="14" t="s">
        <v>604</v>
      </c>
      <c r="N1" s="14" t="s">
        <v>605</v>
      </c>
      <c r="O1" s="14" t="s">
        <v>606</v>
      </c>
      <c r="P1" s="14" t="s">
        <v>11</v>
      </c>
      <c r="Q1" s="14" t="s">
        <v>607</v>
      </c>
      <c r="R1" s="14" t="s">
        <v>608</v>
      </c>
      <c r="S1" s="16" t="s">
        <v>609</v>
      </c>
      <c r="T1" s="14" t="s">
        <v>15</v>
      </c>
      <c r="U1" s="15" t="s">
        <v>610</v>
      </c>
      <c r="V1" s="14" t="s">
        <v>16</v>
      </c>
      <c r="W1" s="14" t="s">
        <v>611</v>
      </c>
      <c r="X1" s="14" t="s">
        <v>612</v>
      </c>
      <c r="Y1" s="14" t="s">
        <v>18</v>
      </c>
      <c r="Z1" s="14" t="s">
        <v>19</v>
      </c>
    </row>
    <row r="2" ht="15.75" customHeight="1">
      <c r="A2" s="4">
        <v>5.0</v>
      </c>
      <c r="B2" s="5" t="s">
        <v>193</v>
      </c>
      <c r="C2" s="4" t="s">
        <v>613</v>
      </c>
      <c r="D2" s="4" t="s">
        <v>614</v>
      </c>
      <c r="E2" s="17">
        <v>2012.0</v>
      </c>
      <c r="F2" s="4">
        <v>2009.0</v>
      </c>
      <c r="G2" s="4">
        <v>2011.0</v>
      </c>
      <c r="H2" s="4">
        <v>2012.0</v>
      </c>
      <c r="I2" s="4">
        <v>2010.0</v>
      </c>
      <c r="J2" s="4">
        <v>2008.0</v>
      </c>
      <c r="K2" s="4">
        <v>2007.0</v>
      </c>
      <c r="L2" s="4">
        <v>2012.0</v>
      </c>
      <c r="M2" s="4">
        <v>2011.0</v>
      </c>
      <c r="N2" s="4">
        <v>2009.0</v>
      </c>
      <c r="O2" s="4">
        <v>2011.0</v>
      </c>
      <c r="P2" s="4">
        <v>2009.0</v>
      </c>
      <c r="Q2" s="4">
        <v>2009.0</v>
      </c>
      <c r="R2" s="4">
        <v>2011.0</v>
      </c>
      <c r="S2" s="17">
        <v>2007.0</v>
      </c>
      <c r="T2" s="4">
        <v>2009.0</v>
      </c>
      <c r="U2" s="4">
        <v>2010.0</v>
      </c>
      <c r="V2" s="4">
        <v>2010.0</v>
      </c>
      <c r="W2" s="4">
        <v>2010.0</v>
      </c>
      <c r="X2" s="4">
        <v>2011.0</v>
      </c>
      <c r="Y2" s="4">
        <v>2011.0</v>
      </c>
      <c r="Z2" s="4">
        <v>2008.0</v>
      </c>
    </row>
    <row r="3" ht="15.75" customHeight="1">
      <c r="A3" s="4">
        <v>5.0</v>
      </c>
      <c r="B3" s="5" t="s">
        <v>227</v>
      </c>
      <c r="C3" s="5" t="s">
        <v>615</v>
      </c>
      <c r="D3" s="4" t="s">
        <v>616</v>
      </c>
      <c r="E3" s="17">
        <v>2012.0</v>
      </c>
      <c r="F3" s="4">
        <v>2009.0</v>
      </c>
      <c r="G3" s="4">
        <v>2011.0</v>
      </c>
      <c r="H3" s="4">
        <v>2012.0</v>
      </c>
      <c r="I3" s="4">
        <v>2010.0</v>
      </c>
      <c r="J3" s="4">
        <v>2008.0</v>
      </c>
      <c r="K3" s="4">
        <v>2007.0</v>
      </c>
      <c r="L3" s="4">
        <v>2012.0</v>
      </c>
      <c r="M3" s="4">
        <v>2011.0</v>
      </c>
      <c r="N3" s="4">
        <v>2009.0</v>
      </c>
      <c r="O3" s="4">
        <v>2011.0</v>
      </c>
      <c r="P3" s="4">
        <v>2009.0</v>
      </c>
      <c r="Q3" s="4">
        <v>2009.0</v>
      </c>
      <c r="R3" s="4">
        <v>2011.0</v>
      </c>
      <c r="S3" s="17">
        <v>2007.0</v>
      </c>
      <c r="T3" s="4">
        <v>2009.0</v>
      </c>
      <c r="U3" s="4">
        <v>2010.0</v>
      </c>
      <c r="V3" s="4">
        <v>2010.0</v>
      </c>
      <c r="W3" s="4">
        <v>2010.0</v>
      </c>
      <c r="X3" s="4">
        <v>2011.0</v>
      </c>
      <c r="Y3" s="4">
        <v>2011.0</v>
      </c>
      <c r="Z3" s="4">
        <v>2008.0</v>
      </c>
    </row>
    <row r="4" ht="15.75" customHeight="1">
      <c r="A4" s="4">
        <v>5.0</v>
      </c>
      <c r="B4" s="5" t="s">
        <v>617</v>
      </c>
      <c r="C4" s="5" t="s">
        <v>21</v>
      </c>
      <c r="D4" s="4" t="s">
        <v>618</v>
      </c>
      <c r="E4" s="17">
        <v>2012.0</v>
      </c>
      <c r="F4" s="4">
        <v>2009.0</v>
      </c>
      <c r="G4" s="4">
        <v>2011.0</v>
      </c>
      <c r="H4" s="4">
        <v>2012.0</v>
      </c>
      <c r="I4" s="4">
        <v>2010.0</v>
      </c>
      <c r="J4" s="4">
        <v>2008.0</v>
      </c>
      <c r="K4" s="4">
        <v>2007.0</v>
      </c>
      <c r="L4" s="4">
        <v>2012.0</v>
      </c>
      <c r="M4" s="4">
        <v>2011.0</v>
      </c>
      <c r="N4" s="4">
        <v>2009.0</v>
      </c>
      <c r="O4" s="4">
        <v>2011.0</v>
      </c>
      <c r="P4" s="4">
        <v>2009.0</v>
      </c>
      <c r="Q4" s="4">
        <v>2009.0</v>
      </c>
      <c r="R4" s="4">
        <v>2011.0</v>
      </c>
      <c r="S4" s="17">
        <v>2007.0</v>
      </c>
      <c r="T4" s="4">
        <v>2009.0</v>
      </c>
      <c r="U4" s="4">
        <v>2010.0</v>
      </c>
      <c r="V4" s="4">
        <v>2010.0</v>
      </c>
      <c r="W4" s="4">
        <v>2010.0</v>
      </c>
      <c r="X4" s="4">
        <v>2011.0</v>
      </c>
      <c r="Y4" s="4">
        <v>2011.0</v>
      </c>
      <c r="Z4" s="4">
        <v>2008.0</v>
      </c>
    </row>
    <row r="5" ht="15.75" customHeight="1">
      <c r="A5" s="4">
        <v>5.0</v>
      </c>
      <c r="B5" s="5" t="s">
        <v>619</v>
      </c>
      <c r="C5" s="4" t="s">
        <v>36</v>
      </c>
      <c r="D5" s="4" t="s">
        <v>620</v>
      </c>
      <c r="E5" s="17">
        <v>2012.0</v>
      </c>
      <c r="F5" s="4">
        <v>2009.0</v>
      </c>
      <c r="G5" s="4">
        <v>2011.0</v>
      </c>
      <c r="H5" s="4">
        <v>2012.0</v>
      </c>
      <c r="I5" s="4">
        <v>2010.0</v>
      </c>
      <c r="J5" s="4">
        <v>2008.0</v>
      </c>
      <c r="K5" s="4">
        <v>2007.0</v>
      </c>
      <c r="L5" s="4">
        <v>2012.0</v>
      </c>
      <c r="M5" s="4">
        <v>2011.0</v>
      </c>
      <c r="N5" s="4">
        <v>2009.0</v>
      </c>
      <c r="O5" s="4">
        <v>2011.0</v>
      </c>
      <c r="P5" s="4">
        <v>2009.0</v>
      </c>
      <c r="Q5" s="4">
        <v>2009.0</v>
      </c>
      <c r="R5" s="4">
        <v>2011.0</v>
      </c>
      <c r="S5" s="17">
        <v>2007.0</v>
      </c>
      <c r="T5" s="4">
        <v>2009.0</v>
      </c>
      <c r="U5" s="4">
        <v>2010.0</v>
      </c>
      <c r="V5" s="4">
        <v>2010.0</v>
      </c>
      <c r="W5" s="4">
        <v>2010.0</v>
      </c>
      <c r="X5" s="4">
        <v>2011.0</v>
      </c>
      <c r="Y5" s="4">
        <v>2011.0</v>
      </c>
      <c r="Z5" s="4">
        <v>2008.0</v>
      </c>
    </row>
    <row r="6" ht="15.75" customHeight="1">
      <c r="A6" s="4">
        <v>5.0</v>
      </c>
      <c r="B6" s="5" t="s">
        <v>621</v>
      </c>
      <c r="C6" s="4" t="s">
        <v>431</v>
      </c>
      <c r="D6" s="4" t="s">
        <v>622</v>
      </c>
      <c r="E6" s="17">
        <v>2012.0</v>
      </c>
      <c r="F6" s="4">
        <v>2009.0</v>
      </c>
      <c r="G6" s="4">
        <v>2011.0</v>
      </c>
      <c r="H6" s="4">
        <v>2012.0</v>
      </c>
      <c r="I6" s="4">
        <v>2010.0</v>
      </c>
      <c r="J6" s="4">
        <v>2008.0</v>
      </c>
      <c r="K6" s="4">
        <v>2007.0</v>
      </c>
      <c r="L6" s="4">
        <v>2012.0</v>
      </c>
      <c r="M6" s="4">
        <v>2011.0</v>
      </c>
      <c r="N6" s="4">
        <v>2009.0</v>
      </c>
      <c r="O6" s="4">
        <v>2011.0</v>
      </c>
      <c r="P6" s="4">
        <v>2009.0</v>
      </c>
      <c r="Q6" s="4">
        <v>2009.0</v>
      </c>
      <c r="S6" s="18"/>
    </row>
    <row r="7" ht="15.75" customHeight="1">
      <c r="A7" s="4">
        <v>5.0</v>
      </c>
      <c r="B7" s="5" t="s">
        <v>59</v>
      </c>
      <c r="C7" s="4" t="s">
        <v>623</v>
      </c>
      <c r="D7" s="4" t="s">
        <v>624</v>
      </c>
      <c r="E7" s="17" t="s">
        <v>625</v>
      </c>
      <c r="G7" s="19" t="s">
        <v>626</v>
      </c>
      <c r="S7" s="18"/>
    </row>
    <row r="8" ht="15.75" customHeight="1">
      <c r="A8" s="4">
        <v>5.0</v>
      </c>
      <c r="B8" s="5" t="s">
        <v>437</v>
      </c>
      <c r="C8" s="4" t="s">
        <v>627</v>
      </c>
      <c r="D8" s="4" t="s">
        <v>628</v>
      </c>
      <c r="E8" s="17" t="s">
        <v>629</v>
      </c>
      <c r="F8" s="4" t="s">
        <v>630</v>
      </c>
      <c r="S8" s="18"/>
    </row>
    <row r="9" ht="15.75" customHeight="1">
      <c r="A9" s="4">
        <v>5.0</v>
      </c>
      <c r="B9" s="5" t="s">
        <v>49</v>
      </c>
      <c r="C9" s="4" t="s">
        <v>631</v>
      </c>
      <c r="D9" s="4" t="s">
        <v>632</v>
      </c>
      <c r="E9" s="17" t="s">
        <v>633</v>
      </c>
      <c r="F9" s="17" t="s">
        <v>633</v>
      </c>
      <c r="G9" s="5" t="s">
        <v>634</v>
      </c>
      <c r="S9" s="18"/>
    </row>
    <row r="10" ht="15.75" customHeight="1">
      <c r="A10" s="4">
        <v>5.0</v>
      </c>
      <c r="B10" s="5" t="s">
        <v>223</v>
      </c>
      <c r="C10" s="4" t="s">
        <v>221</v>
      </c>
      <c r="D10" s="4" t="s">
        <v>635</v>
      </c>
      <c r="E10" s="17" t="s">
        <v>65</v>
      </c>
      <c r="F10" s="17" t="s">
        <v>65</v>
      </c>
      <c r="G10" s="4" t="s">
        <v>65</v>
      </c>
      <c r="S10" s="18"/>
    </row>
    <row r="11" ht="15.75" customHeight="1">
      <c r="A11" s="4">
        <v>5.0</v>
      </c>
      <c r="B11" s="5" t="s">
        <v>636</v>
      </c>
      <c r="C11" s="4" t="s">
        <v>637</v>
      </c>
      <c r="D11" s="4" t="s">
        <v>638</v>
      </c>
      <c r="E11" s="18"/>
      <c r="F11" s="4">
        <v>2001.0</v>
      </c>
      <c r="G11" s="19">
        <v>2001.0</v>
      </c>
      <c r="H11" s="19">
        <v>2003.0</v>
      </c>
      <c r="I11" s="19">
        <v>2003.0</v>
      </c>
      <c r="J11" s="4">
        <v>2002.0</v>
      </c>
      <c r="K11" s="19">
        <v>2001.0</v>
      </c>
      <c r="L11" s="19">
        <v>2002.0</v>
      </c>
      <c r="M11" s="19">
        <v>2001.0</v>
      </c>
      <c r="N11" s="20" t="s">
        <v>639</v>
      </c>
      <c r="O11" s="19">
        <v>2003.0</v>
      </c>
      <c r="P11" s="19">
        <v>2002.0</v>
      </c>
      <c r="Q11" s="19">
        <v>2002.0</v>
      </c>
      <c r="R11" s="19" t="s">
        <v>640</v>
      </c>
      <c r="S11" s="21" t="s">
        <v>640</v>
      </c>
      <c r="T11" s="19" t="s">
        <v>640</v>
      </c>
      <c r="U11" s="19" t="s">
        <v>641</v>
      </c>
      <c r="V11" s="19" t="s">
        <v>640</v>
      </c>
      <c r="W11" s="19" t="s">
        <v>642</v>
      </c>
      <c r="X11" s="19" t="s">
        <v>640</v>
      </c>
      <c r="Y11" s="19" t="s">
        <v>643</v>
      </c>
      <c r="Z11" s="19" t="s">
        <v>643</v>
      </c>
    </row>
    <row r="12" ht="15.75" customHeight="1">
      <c r="A12" s="4">
        <v>5.0</v>
      </c>
      <c r="B12" s="5" t="s">
        <v>644</v>
      </c>
      <c r="C12" s="4" t="s">
        <v>645</v>
      </c>
      <c r="D12" s="4" t="s">
        <v>646</v>
      </c>
      <c r="E12" s="18"/>
      <c r="F12" s="22" t="s">
        <v>647</v>
      </c>
      <c r="G12" s="19" t="s">
        <v>648</v>
      </c>
      <c r="H12" s="19" t="s">
        <v>649</v>
      </c>
      <c r="I12" s="19" t="s">
        <v>650</v>
      </c>
      <c r="J12" s="4" t="s">
        <v>651</v>
      </c>
      <c r="K12" s="19" t="s">
        <v>652</v>
      </c>
      <c r="L12" s="19" t="s">
        <v>653</v>
      </c>
      <c r="M12" s="19" t="s">
        <v>654</v>
      </c>
      <c r="N12" s="20" t="s">
        <v>655</v>
      </c>
      <c r="O12" s="19" t="s">
        <v>656</v>
      </c>
      <c r="P12" s="19" t="s">
        <v>657</v>
      </c>
      <c r="Q12" s="19" t="s">
        <v>658</v>
      </c>
      <c r="R12" s="19" t="s">
        <v>659</v>
      </c>
      <c r="S12" s="21" t="s">
        <v>660</v>
      </c>
      <c r="T12" s="19" t="s">
        <v>661</v>
      </c>
      <c r="U12" s="19" t="s">
        <v>662</v>
      </c>
      <c r="V12" s="19" t="s">
        <v>663</v>
      </c>
      <c r="W12" s="19" t="s">
        <v>664</v>
      </c>
      <c r="X12" s="19" t="s">
        <v>665</v>
      </c>
      <c r="Y12" s="19" t="s">
        <v>666</v>
      </c>
      <c r="Z12" s="19" t="s">
        <v>667</v>
      </c>
    </row>
    <row r="13" ht="15.75" customHeight="1">
      <c r="A13" s="4">
        <v>5.0</v>
      </c>
      <c r="B13" s="5" t="s">
        <v>668</v>
      </c>
      <c r="C13" s="4" t="s">
        <v>669</v>
      </c>
      <c r="D13" s="4" t="s">
        <v>670</v>
      </c>
      <c r="E13" s="18"/>
      <c r="G13" s="19" t="s">
        <v>671</v>
      </c>
      <c r="H13" s="19" t="s">
        <v>672</v>
      </c>
      <c r="I13" s="19" t="s">
        <v>671</v>
      </c>
      <c r="J13" s="4"/>
      <c r="S13" s="18"/>
    </row>
    <row r="14" ht="15.75" customHeight="1">
      <c r="A14" s="4">
        <v>5.0</v>
      </c>
      <c r="B14" s="5" t="s">
        <v>673</v>
      </c>
      <c r="C14" s="4" t="s">
        <v>674</v>
      </c>
      <c r="D14" s="4" t="s">
        <v>675</v>
      </c>
      <c r="E14" s="18"/>
      <c r="F14" s="22" t="s">
        <v>676</v>
      </c>
      <c r="S14" s="18"/>
    </row>
    <row r="15" ht="15.75" customHeight="1">
      <c r="A15" s="4">
        <v>5.0</v>
      </c>
      <c r="B15" s="5" t="s">
        <v>67</v>
      </c>
      <c r="C15" s="4" t="s">
        <v>677</v>
      </c>
      <c r="D15" s="4" t="s">
        <v>678</v>
      </c>
      <c r="E15" s="17" t="s">
        <v>65</v>
      </c>
      <c r="F15" s="19" t="s">
        <v>70</v>
      </c>
      <c r="G15" s="19" t="s">
        <v>70</v>
      </c>
      <c r="H15" s="19" t="s">
        <v>70</v>
      </c>
      <c r="I15" s="19" t="s">
        <v>71</v>
      </c>
      <c r="J15" s="23" t="s">
        <v>679</v>
      </c>
      <c r="K15" s="22" t="s">
        <v>70</v>
      </c>
      <c r="L15" s="19" t="s">
        <v>71</v>
      </c>
      <c r="M15" s="19" t="s">
        <v>70</v>
      </c>
      <c r="N15" s="20" t="s">
        <v>680</v>
      </c>
      <c r="O15" s="19" t="s">
        <v>71</v>
      </c>
      <c r="P15" s="19" t="s">
        <v>70</v>
      </c>
      <c r="Q15" s="19" t="s">
        <v>70</v>
      </c>
      <c r="R15" s="19" t="s">
        <v>70</v>
      </c>
      <c r="S15" s="24" t="s">
        <v>70</v>
      </c>
      <c r="T15" s="19" t="s">
        <v>70</v>
      </c>
      <c r="U15" s="19" t="s">
        <v>70</v>
      </c>
      <c r="V15" s="19" t="s">
        <v>70</v>
      </c>
      <c r="W15" s="22" t="s">
        <v>681</v>
      </c>
      <c r="X15" s="19" t="s">
        <v>70</v>
      </c>
      <c r="Y15" s="19" t="s">
        <v>70</v>
      </c>
      <c r="Z15" s="22" t="s">
        <v>70</v>
      </c>
    </row>
    <row r="16" ht="15.75" customHeight="1">
      <c r="A16" s="4">
        <v>5.0</v>
      </c>
      <c r="B16" s="5" t="s">
        <v>72</v>
      </c>
      <c r="C16" s="4" t="s">
        <v>682</v>
      </c>
      <c r="D16" s="4" t="s">
        <v>683</v>
      </c>
      <c r="E16" s="17" t="s">
        <v>77</v>
      </c>
      <c r="F16" s="19" t="s">
        <v>77</v>
      </c>
      <c r="G16" s="19" t="s">
        <v>684</v>
      </c>
      <c r="H16" s="19" t="s">
        <v>77</v>
      </c>
      <c r="I16" s="19" t="s">
        <v>685</v>
      </c>
      <c r="J16" s="23" t="s">
        <v>686</v>
      </c>
      <c r="K16" s="22" t="s">
        <v>77</v>
      </c>
      <c r="L16" s="19" t="s">
        <v>77</v>
      </c>
      <c r="M16" s="19" t="s">
        <v>687</v>
      </c>
      <c r="N16" s="20" t="s">
        <v>77</v>
      </c>
      <c r="O16" s="19" t="s">
        <v>77</v>
      </c>
      <c r="P16" s="19" t="s">
        <v>460</v>
      </c>
      <c r="Q16" s="19" t="s">
        <v>76</v>
      </c>
      <c r="R16" s="25" t="s">
        <v>365</v>
      </c>
      <c r="S16" s="24" t="s">
        <v>77</v>
      </c>
      <c r="T16" s="19" t="s">
        <v>77</v>
      </c>
      <c r="U16" s="19" t="s">
        <v>77</v>
      </c>
      <c r="V16" s="19" t="s">
        <v>77</v>
      </c>
      <c r="W16" s="19" t="s">
        <v>688</v>
      </c>
      <c r="X16" s="19" t="s">
        <v>77</v>
      </c>
      <c r="Y16" s="19" t="s">
        <v>77</v>
      </c>
      <c r="Z16" s="19" t="s">
        <v>77</v>
      </c>
    </row>
    <row r="17" ht="15.75" customHeight="1">
      <c r="A17" s="4">
        <v>5.0</v>
      </c>
      <c r="B17" s="5" t="s">
        <v>78</v>
      </c>
      <c r="C17" s="4" t="s">
        <v>689</v>
      </c>
      <c r="D17" s="4" t="s">
        <v>690</v>
      </c>
      <c r="E17" s="21" t="s">
        <v>245</v>
      </c>
      <c r="F17" s="19" t="s">
        <v>81</v>
      </c>
      <c r="G17" s="19" t="s">
        <v>82</v>
      </c>
      <c r="H17" s="19" t="s">
        <v>245</v>
      </c>
      <c r="I17" s="19" t="s">
        <v>691</v>
      </c>
      <c r="J17" s="23" t="s">
        <v>692</v>
      </c>
      <c r="K17" s="22" t="s">
        <v>693</v>
      </c>
      <c r="L17" s="19" t="s">
        <v>81</v>
      </c>
      <c r="M17" s="19" t="s">
        <v>244</v>
      </c>
      <c r="N17" s="20" t="s">
        <v>468</v>
      </c>
      <c r="O17" s="19" t="s">
        <v>245</v>
      </c>
      <c r="P17" s="19" t="s">
        <v>82</v>
      </c>
      <c r="Q17" s="19" t="s">
        <v>469</v>
      </c>
      <c r="R17" s="19" t="s">
        <v>694</v>
      </c>
      <c r="S17" s="24" t="s">
        <v>695</v>
      </c>
      <c r="T17" s="19" t="s">
        <v>463</v>
      </c>
      <c r="U17" s="19" t="s">
        <v>245</v>
      </c>
      <c r="V17" s="19" t="s">
        <v>695</v>
      </c>
      <c r="W17" s="19" t="s">
        <v>696</v>
      </c>
      <c r="X17" s="19" t="s">
        <v>245</v>
      </c>
      <c r="Y17" s="19" t="s">
        <v>697</v>
      </c>
      <c r="Z17" s="19" t="s">
        <v>698</v>
      </c>
    </row>
    <row r="18" ht="15.75" customHeight="1">
      <c r="A18" s="4">
        <v>5.0</v>
      </c>
      <c r="B18" s="5" t="s">
        <v>699</v>
      </c>
      <c r="C18" s="4" t="s">
        <v>700</v>
      </c>
      <c r="D18" s="4" t="s">
        <v>701</v>
      </c>
      <c r="E18" s="21" t="s">
        <v>702</v>
      </c>
      <c r="F18" s="19" t="s">
        <v>703</v>
      </c>
      <c r="G18" s="19" t="s">
        <v>704</v>
      </c>
      <c r="H18" s="19" t="s">
        <v>702</v>
      </c>
      <c r="I18" s="19" t="s">
        <v>705</v>
      </c>
      <c r="J18" s="23" t="s">
        <v>706</v>
      </c>
      <c r="K18" s="19" t="s">
        <v>707</v>
      </c>
      <c r="L18" s="19" t="s">
        <v>708</v>
      </c>
      <c r="M18" s="19" t="s">
        <v>709</v>
      </c>
      <c r="N18" s="20" t="s">
        <v>710</v>
      </c>
      <c r="O18" s="19" t="s">
        <v>702</v>
      </c>
      <c r="P18" s="19" t="s">
        <v>711</v>
      </c>
      <c r="Q18" s="19" t="s">
        <v>712</v>
      </c>
      <c r="R18" s="19" t="s">
        <v>713</v>
      </c>
      <c r="S18" s="24" t="s">
        <v>714</v>
      </c>
      <c r="T18" s="19" t="s">
        <v>715</v>
      </c>
      <c r="U18" s="19" t="s">
        <v>702</v>
      </c>
      <c r="V18" s="19" t="s">
        <v>716</v>
      </c>
      <c r="W18" s="19" t="s">
        <v>702</v>
      </c>
      <c r="X18" s="19" t="s">
        <v>717</v>
      </c>
      <c r="Y18" s="19" t="s">
        <v>718</v>
      </c>
      <c r="Z18" s="19" t="s">
        <v>719</v>
      </c>
    </row>
    <row r="19" ht="15.75" customHeight="1">
      <c r="A19" s="4">
        <v>5.0</v>
      </c>
      <c r="B19" s="5" t="s">
        <v>101</v>
      </c>
      <c r="C19" s="4" t="s">
        <v>720</v>
      </c>
      <c r="D19" s="4" t="s">
        <v>721</v>
      </c>
      <c r="E19" s="21" t="s">
        <v>109</v>
      </c>
      <c r="F19" s="19" t="s">
        <v>109</v>
      </c>
      <c r="G19" s="19" t="s">
        <v>109</v>
      </c>
      <c r="H19" s="19" t="s">
        <v>109</v>
      </c>
      <c r="I19" s="19" t="s">
        <v>104</v>
      </c>
      <c r="J19" s="23" t="s">
        <v>722</v>
      </c>
      <c r="K19" s="19" t="s">
        <v>109</v>
      </c>
      <c r="L19" s="19" t="s">
        <v>723</v>
      </c>
      <c r="M19" s="19" t="s">
        <v>105</v>
      </c>
      <c r="N19" s="26" t="s">
        <v>109</v>
      </c>
      <c r="O19" s="19" t="s">
        <v>109</v>
      </c>
      <c r="P19" s="19" t="s">
        <v>724</v>
      </c>
      <c r="Q19" s="22" t="s">
        <v>105</v>
      </c>
      <c r="R19" s="19" t="s">
        <v>109</v>
      </c>
      <c r="S19" s="24" t="s">
        <v>109</v>
      </c>
      <c r="T19" s="19" t="s">
        <v>109</v>
      </c>
      <c r="U19" s="19" t="s">
        <v>109</v>
      </c>
      <c r="V19" s="19" t="s">
        <v>109</v>
      </c>
      <c r="W19" s="19" t="s">
        <v>109</v>
      </c>
      <c r="X19" s="19" t="s">
        <v>109</v>
      </c>
      <c r="Y19" s="19" t="s">
        <v>725</v>
      </c>
      <c r="Z19" s="19" t="s">
        <v>109</v>
      </c>
    </row>
    <row r="20" ht="15.75" customHeight="1">
      <c r="A20" s="4">
        <v>5.0</v>
      </c>
      <c r="B20" s="5" t="s">
        <v>112</v>
      </c>
      <c r="C20" s="4" t="s">
        <v>726</v>
      </c>
      <c r="D20" s="4" t="s">
        <v>727</v>
      </c>
      <c r="E20" s="17" t="s">
        <v>728</v>
      </c>
      <c r="F20" s="19" t="s">
        <v>115</v>
      </c>
      <c r="G20" s="19" t="s">
        <v>115</v>
      </c>
      <c r="H20" s="19" t="s">
        <v>115</v>
      </c>
      <c r="I20" s="19" t="s">
        <v>729</v>
      </c>
      <c r="J20" s="23" t="s">
        <v>730</v>
      </c>
      <c r="K20" s="19" t="s">
        <v>731</v>
      </c>
      <c r="L20" s="19" t="s">
        <v>732</v>
      </c>
      <c r="M20" s="19" t="s">
        <v>115</v>
      </c>
      <c r="N20" s="20" t="s">
        <v>115</v>
      </c>
      <c r="O20" s="19" t="s">
        <v>115</v>
      </c>
      <c r="P20" s="19" t="s">
        <v>115</v>
      </c>
      <c r="Q20" s="19" t="s">
        <v>115</v>
      </c>
      <c r="R20" s="19" t="s">
        <v>115</v>
      </c>
      <c r="S20" s="24" t="s">
        <v>115</v>
      </c>
      <c r="T20" s="19" t="s">
        <v>115</v>
      </c>
      <c r="U20" s="19" t="s">
        <v>115</v>
      </c>
      <c r="V20" s="19" t="s">
        <v>115</v>
      </c>
      <c r="W20" s="19" t="s">
        <v>115</v>
      </c>
      <c r="X20" s="19" t="s">
        <v>115</v>
      </c>
      <c r="Y20" s="19" t="s">
        <v>115</v>
      </c>
      <c r="Z20" s="19" t="s">
        <v>733</v>
      </c>
    </row>
    <row r="21" ht="15.75" customHeight="1">
      <c r="A21" s="4">
        <v>5.0</v>
      </c>
      <c r="B21" s="5" t="s">
        <v>734</v>
      </c>
      <c r="C21" s="4" t="s">
        <v>735</v>
      </c>
      <c r="D21" s="4" t="s">
        <v>736</v>
      </c>
      <c r="E21" s="18"/>
      <c r="F21" s="19" t="s">
        <v>737</v>
      </c>
      <c r="G21" s="19" t="s">
        <v>737</v>
      </c>
      <c r="H21" s="19" t="s">
        <v>737</v>
      </c>
      <c r="I21" s="19" t="s">
        <v>737</v>
      </c>
      <c r="J21" s="23" t="s">
        <v>738</v>
      </c>
      <c r="K21" s="19" t="s">
        <v>739</v>
      </c>
      <c r="L21" s="19" t="s">
        <v>737</v>
      </c>
      <c r="M21" s="19" t="s">
        <v>737</v>
      </c>
      <c r="N21" s="20" t="s">
        <v>737</v>
      </c>
      <c r="O21" s="19" t="s">
        <v>737</v>
      </c>
      <c r="P21" s="19" t="s">
        <v>737</v>
      </c>
      <c r="Q21" s="19" t="s">
        <v>737</v>
      </c>
      <c r="R21" s="19" t="s">
        <v>737</v>
      </c>
      <c r="S21" s="24" t="s">
        <v>737</v>
      </c>
      <c r="T21" s="19" t="s">
        <v>737</v>
      </c>
      <c r="U21" s="19" t="s">
        <v>737</v>
      </c>
      <c r="V21" s="19" t="s">
        <v>737</v>
      </c>
      <c r="W21" s="19" t="s">
        <v>737</v>
      </c>
      <c r="X21" s="19" t="s">
        <v>737</v>
      </c>
      <c r="Y21" s="19" t="s">
        <v>737</v>
      </c>
      <c r="Z21" s="19" t="s">
        <v>740</v>
      </c>
    </row>
    <row r="22" ht="15.75" customHeight="1">
      <c r="A22" s="4">
        <v>5.0</v>
      </c>
      <c r="B22" s="5" t="s">
        <v>741</v>
      </c>
      <c r="C22" s="4" t="s">
        <v>742</v>
      </c>
      <c r="D22" s="4" t="s">
        <v>743</v>
      </c>
      <c r="E22" s="18"/>
      <c r="F22" s="19" t="s">
        <v>744</v>
      </c>
      <c r="G22" s="19" t="s">
        <v>744</v>
      </c>
      <c r="H22" s="19" t="s">
        <v>744</v>
      </c>
      <c r="I22" s="19" t="s">
        <v>744</v>
      </c>
      <c r="J22" s="23" t="s">
        <v>745</v>
      </c>
      <c r="K22" s="19" t="s">
        <v>744</v>
      </c>
      <c r="L22" s="19" t="s">
        <v>744</v>
      </c>
      <c r="M22" s="19" t="s">
        <v>744</v>
      </c>
      <c r="N22" s="20" t="s">
        <v>744</v>
      </c>
      <c r="O22" s="19" t="s">
        <v>744</v>
      </c>
      <c r="P22" s="19" t="s">
        <v>744</v>
      </c>
      <c r="Q22" s="19" t="s">
        <v>744</v>
      </c>
      <c r="R22" s="19" t="s">
        <v>744</v>
      </c>
      <c r="S22" s="24" t="s">
        <v>744</v>
      </c>
      <c r="T22" s="19" t="s">
        <v>744</v>
      </c>
      <c r="U22" s="19" t="s">
        <v>744</v>
      </c>
      <c r="V22" s="19" t="s">
        <v>744</v>
      </c>
      <c r="W22" s="19" t="s">
        <v>744</v>
      </c>
      <c r="X22" s="19" t="s">
        <v>744</v>
      </c>
      <c r="Y22" s="19" t="s">
        <v>744</v>
      </c>
      <c r="Z22" s="19" t="s">
        <v>744</v>
      </c>
    </row>
    <row r="23" ht="15.75" customHeight="1">
      <c r="A23" s="4">
        <v>5.0</v>
      </c>
      <c r="B23" s="5" t="s">
        <v>746</v>
      </c>
      <c r="C23" s="4" t="s">
        <v>747</v>
      </c>
      <c r="D23" s="4" t="s">
        <v>748</v>
      </c>
      <c r="E23" s="18"/>
      <c r="F23" s="19" t="s">
        <v>749</v>
      </c>
      <c r="G23" s="19" t="s">
        <v>749</v>
      </c>
      <c r="H23" s="19" t="s">
        <v>749</v>
      </c>
      <c r="I23" s="19" t="s">
        <v>749</v>
      </c>
      <c r="J23" s="23" t="s">
        <v>750</v>
      </c>
      <c r="K23" s="19" t="s">
        <v>749</v>
      </c>
      <c r="L23" s="19" t="s">
        <v>749</v>
      </c>
      <c r="M23" s="19" t="s">
        <v>749</v>
      </c>
      <c r="N23" s="20" t="s">
        <v>749</v>
      </c>
      <c r="O23" s="19" t="s">
        <v>749</v>
      </c>
      <c r="P23" s="19" t="s">
        <v>749</v>
      </c>
      <c r="Q23" s="19" t="s">
        <v>751</v>
      </c>
      <c r="R23" s="19" t="s">
        <v>749</v>
      </c>
      <c r="S23" s="24" t="s">
        <v>749</v>
      </c>
      <c r="T23" s="19" t="s">
        <v>749</v>
      </c>
      <c r="U23" s="19" t="s">
        <v>749</v>
      </c>
      <c r="V23" s="19" t="s">
        <v>749</v>
      </c>
      <c r="W23" s="19" t="s">
        <v>749</v>
      </c>
      <c r="X23" s="19" t="s">
        <v>749</v>
      </c>
      <c r="Y23" s="19" t="s">
        <v>749</v>
      </c>
      <c r="Z23" s="19" t="s">
        <v>749</v>
      </c>
    </row>
    <row r="24" ht="15.75" customHeight="1">
      <c r="A24" s="4">
        <v>5.0</v>
      </c>
      <c r="B24" s="5" t="s">
        <v>752</v>
      </c>
      <c r="C24" s="4" t="s">
        <v>753</v>
      </c>
      <c r="D24" s="4" t="s">
        <v>754</v>
      </c>
      <c r="E24" s="18"/>
      <c r="F24" s="19" t="s">
        <v>755</v>
      </c>
      <c r="G24" s="19" t="s">
        <v>755</v>
      </c>
      <c r="H24" s="19" t="s">
        <v>755</v>
      </c>
      <c r="I24" s="19" t="s">
        <v>755</v>
      </c>
      <c r="J24" s="23" t="s">
        <v>756</v>
      </c>
      <c r="K24" s="19" t="s">
        <v>755</v>
      </c>
      <c r="L24" s="19" t="s">
        <v>755</v>
      </c>
      <c r="M24" s="19" t="s">
        <v>755</v>
      </c>
      <c r="N24" s="20" t="s">
        <v>755</v>
      </c>
      <c r="O24" s="19" t="s">
        <v>755</v>
      </c>
      <c r="P24" s="19" t="s">
        <v>755</v>
      </c>
      <c r="Q24" s="19" t="s">
        <v>755</v>
      </c>
      <c r="R24" s="19" t="s">
        <v>755</v>
      </c>
      <c r="S24" s="24" t="s">
        <v>755</v>
      </c>
      <c r="T24" s="19" t="s">
        <v>755</v>
      </c>
      <c r="U24" s="19" t="s">
        <v>755</v>
      </c>
      <c r="V24" s="19" t="s">
        <v>755</v>
      </c>
      <c r="W24" s="19" t="s">
        <v>755</v>
      </c>
      <c r="X24" s="19" t="s">
        <v>755</v>
      </c>
      <c r="Y24" s="19" t="s">
        <v>755</v>
      </c>
      <c r="Z24" s="19" t="s">
        <v>755</v>
      </c>
    </row>
    <row r="25" ht="15.75" customHeight="1">
      <c r="A25" s="4">
        <v>5.0</v>
      </c>
      <c r="B25" s="5" t="s">
        <v>172</v>
      </c>
      <c r="C25" s="4" t="s">
        <v>757</v>
      </c>
      <c r="D25" s="4" t="s">
        <v>758</v>
      </c>
      <c r="E25" s="21" t="s">
        <v>759</v>
      </c>
      <c r="F25" s="19" t="s">
        <v>760</v>
      </c>
      <c r="G25" s="19" t="s">
        <v>760</v>
      </c>
      <c r="H25" s="19" t="s">
        <v>760</v>
      </c>
      <c r="I25" s="5" t="s">
        <v>761</v>
      </c>
      <c r="J25" s="23" t="s">
        <v>762</v>
      </c>
      <c r="K25" s="22" t="s">
        <v>760</v>
      </c>
      <c r="L25" s="19" t="s">
        <v>761</v>
      </c>
      <c r="M25" s="19" t="s">
        <v>763</v>
      </c>
      <c r="N25" s="20" t="s">
        <v>764</v>
      </c>
      <c r="O25" s="19" t="s">
        <v>761</v>
      </c>
      <c r="P25" s="19" t="s">
        <v>760</v>
      </c>
      <c r="Q25" s="19" t="s">
        <v>760</v>
      </c>
      <c r="R25" s="19" t="s">
        <v>760</v>
      </c>
      <c r="S25" s="24" t="s">
        <v>760</v>
      </c>
      <c r="T25" s="19" t="s">
        <v>760</v>
      </c>
      <c r="U25" s="19" t="s">
        <v>760</v>
      </c>
      <c r="V25" s="19" t="s">
        <v>760</v>
      </c>
      <c r="W25" s="22" t="s">
        <v>765</v>
      </c>
      <c r="X25" s="19" t="s">
        <v>760</v>
      </c>
      <c r="Y25" s="19" t="s">
        <v>760</v>
      </c>
      <c r="Z25" s="22" t="s">
        <v>760</v>
      </c>
    </row>
    <row r="26" ht="15.75" customHeight="1">
      <c r="A26" s="4">
        <v>5.0</v>
      </c>
      <c r="B26" s="5" t="s">
        <v>267</v>
      </c>
      <c r="C26" s="4" t="s">
        <v>766</v>
      </c>
      <c r="D26" s="4" t="s">
        <v>767</v>
      </c>
      <c r="E26" s="21" t="s">
        <v>238</v>
      </c>
      <c r="F26" s="19" t="s">
        <v>238</v>
      </c>
      <c r="G26" s="19" t="s">
        <v>271</v>
      </c>
      <c r="H26" s="19" t="s">
        <v>238</v>
      </c>
      <c r="I26" s="5" t="s">
        <v>768</v>
      </c>
      <c r="J26" s="23" t="s">
        <v>769</v>
      </c>
      <c r="K26" s="19" t="s">
        <v>238</v>
      </c>
      <c r="L26" s="19" t="s">
        <v>238</v>
      </c>
      <c r="M26" s="19" t="s">
        <v>770</v>
      </c>
      <c r="N26" s="20" t="s">
        <v>238</v>
      </c>
      <c r="O26" s="19" t="s">
        <v>238</v>
      </c>
      <c r="P26" s="19" t="s">
        <v>771</v>
      </c>
      <c r="Q26" s="19" t="s">
        <v>271</v>
      </c>
      <c r="R26" s="19" t="s">
        <v>273</v>
      </c>
      <c r="S26" s="24" t="s">
        <v>238</v>
      </c>
      <c r="T26" s="19" t="s">
        <v>238</v>
      </c>
      <c r="U26" s="19" t="s">
        <v>238</v>
      </c>
      <c r="V26" s="19" t="s">
        <v>238</v>
      </c>
      <c r="W26" s="19" t="s">
        <v>772</v>
      </c>
      <c r="X26" s="19" t="s">
        <v>238</v>
      </c>
      <c r="Y26" s="19" t="s">
        <v>238</v>
      </c>
      <c r="Z26" s="19" t="s">
        <v>238</v>
      </c>
    </row>
    <row r="27" ht="15.75" customHeight="1">
      <c r="A27" s="4">
        <v>5.0</v>
      </c>
      <c r="B27" s="5" t="s">
        <v>773</v>
      </c>
      <c r="C27" s="4" t="s">
        <v>774</v>
      </c>
      <c r="D27" s="4" t="s">
        <v>775</v>
      </c>
      <c r="E27" s="21" t="s">
        <v>776</v>
      </c>
      <c r="F27" s="19" t="s">
        <v>776</v>
      </c>
      <c r="G27" s="19" t="s">
        <v>776</v>
      </c>
      <c r="H27" s="19" t="s">
        <v>776</v>
      </c>
      <c r="I27" s="5" t="s">
        <v>776</v>
      </c>
      <c r="J27" s="23" t="s">
        <v>777</v>
      </c>
      <c r="K27" s="19" t="s">
        <v>776</v>
      </c>
      <c r="L27" s="19" t="s">
        <v>776</v>
      </c>
      <c r="M27" s="19" t="s">
        <v>776</v>
      </c>
      <c r="N27" s="20" t="s">
        <v>776</v>
      </c>
      <c r="O27" s="19" t="s">
        <v>776</v>
      </c>
      <c r="P27" s="19" t="s">
        <v>776</v>
      </c>
      <c r="Q27" s="19" t="s">
        <v>776</v>
      </c>
      <c r="R27" s="19" t="s">
        <v>776</v>
      </c>
      <c r="S27" s="24" t="s">
        <v>776</v>
      </c>
      <c r="T27" s="19" t="s">
        <v>776</v>
      </c>
      <c r="U27" s="19" t="s">
        <v>776</v>
      </c>
      <c r="V27" s="19" t="s">
        <v>776</v>
      </c>
      <c r="W27" s="19" t="s">
        <v>776</v>
      </c>
      <c r="X27" s="19" t="s">
        <v>776</v>
      </c>
      <c r="Y27" s="19" t="s">
        <v>776</v>
      </c>
      <c r="Z27" s="19" t="s">
        <v>776</v>
      </c>
    </row>
    <row r="28" ht="15.75" customHeight="1">
      <c r="A28" s="4">
        <v>5.0</v>
      </c>
      <c r="B28" s="5" t="s">
        <v>274</v>
      </c>
      <c r="C28" s="4" t="s">
        <v>778</v>
      </c>
      <c r="D28" s="4" t="s">
        <v>779</v>
      </c>
      <c r="E28" s="21" t="s">
        <v>780</v>
      </c>
      <c r="F28" s="19" t="s">
        <v>780</v>
      </c>
      <c r="G28" s="19" t="s">
        <v>780</v>
      </c>
      <c r="H28" s="19" t="s">
        <v>781</v>
      </c>
      <c r="I28" s="5" t="s">
        <v>782</v>
      </c>
      <c r="J28" s="23" t="s">
        <v>783</v>
      </c>
      <c r="K28" s="19" t="s">
        <v>780</v>
      </c>
      <c r="L28" s="19" t="s">
        <v>784</v>
      </c>
      <c r="M28" s="19" t="s">
        <v>785</v>
      </c>
      <c r="N28" s="26" t="s">
        <v>780</v>
      </c>
      <c r="O28" s="19" t="s">
        <v>780</v>
      </c>
      <c r="P28" s="19" t="s">
        <v>786</v>
      </c>
      <c r="Q28" s="19" t="s">
        <v>787</v>
      </c>
      <c r="R28" s="19" t="s">
        <v>780</v>
      </c>
      <c r="S28" s="24" t="s">
        <v>780</v>
      </c>
      <c r="T28" s="19" t="s">
        <v>780</v>
      </c>
      <c r="U28" s="19" t="s">
        <v>780</v>
      </c>
      <c r="V28" s="19" t="s">
        <v>780</v>
      </c>
      <c r="W28" s="19" t="s">
        <v>780</v>
      </c>
      <c r="X28" s="19" t="s">
        <v>780</v>
      </c>
      <c r="Y28" s="19" t="s">
        <v>780</v>
      </c>
      <c r="Z28" s="19" t="s">
        <v>780</v>
      </c>
    </row>
    <row r="29" ht="15.75" customHeight="1">
      <c r="A29" s="4">
        <v>5.0</v>
      </c>
      <c r="B29" s="5" t="s">
        <v>788</v>
      </c>
      <c r="C29" s="4" t="s">
        <v>789</v>
      </c>
      <c r="D29" s="4" t="s">
        <v>790</v>
      </c>
      <c r="E29" s="21" t="s">
        <v>791</v>
      </c>
      <c r="F29" s="19" t="s">
        <v>792</v>
      </c>
      <c r="G29" s="19" t="s">
        <v>792</v>
      </c>
      <c r="H29" s="19" t="s">
        <v>792</v>
      </c>
      <c r="I29" s="5" t="s">
        <v>792</v>
      </c>
      <c r="J29" s="23" t="s">
        <v>793</v>
      </c>
      <c r="K29" s="19" t="s">
        <v>792</v>
      </c>
      <c r="L29" s="19" t="s">
        <v>792</v>
      </c>
      <c r="M29" s="19" t="s">
        <v>792</v>
      </c>
      <c r="N29" s="20" t="s">
        <v>792</v>
      </c>
      <c r="O29" s="19" t="s">
        <v>792</v>
      </c>
      <c r="P29" s="19" t="s">
        <v>792</v>
      </c>
      <c r="Q29" s="19" t="s">
        <v>792</v>
      </c>
      <c r="R29" s="19" t="s">
        <v>792</v>
      </c>
      <c r="S29" s="24" t="s">
        <v>792</v>
      </c>
      <c r="T29" s="19" t="s">
        <v>792</v>
      </c>
      <c r="U29" s="19" t="s">
        <v>792</v>
      </c>
      <c r="V29" s="19" t="s">
        <v>792</v>
      </c>
      <c r="W29" s="19" t="s">
        <v>792</v>
      </c>
      <c r="X29" s="19" t="s">
        <v>792</v>
      </c>
      <c r="Y29" s="19" t="s">
        <v>792</v>
      </c>
      <c r="Z29" s="19" t="s">
        <v>792</v>
      </c>
    </row>
    <row r="30" ht="15.75" customHeight="1">
      <c r="A30" s="4">
        <v>5.0</v>
      </c>
      <c r="B30" s="5" t="s">
        <v>794</v>
      </c>
      <c r="C30" s="4" t="s">
        <v>795</v>
      </c>
      <c r="D30" s="4" t="s">
        <v>796</v>
      </c>
      <c r="E30" s="21" t="s">
        <v>797</v>
      </c>
      <c r="F30" s="19" t="s">
        <v>798</v>
      </c>
      <c r="G30" s="19" t="s">
        <v>797</v>
      </c>
      <c r="H30" s="19" t="s">
        <v>797</v>
      </c>
      <c r="I30" s="5" t="s">
        <v>799</v>
      </c>
      <c r="J30" s="23" t="s">
        <v>800</v>
      </c>
      <c r="K30" s="19" t="s">
        <v>801</v>
      </c>
      <c r="L30" s="19" t="s">
        <v>802</v>
      </c>
      <c r="M30" s="19" t="s">
        <v>803</v>
      </c>
      <c r="N30" s="20" t="s">
        <v>804</v>
      </c>
      <c r="O30" s="19" t="s">
        <v>797</v>
      </c>
      <c r="P30" s="19" t="s">
        <v>805</v>
      </c>
      <c r="Q30" s="19" t="s">
        <v>806</v>
      </c>
      <c r="R30" s="19" t="s">
        <v>807</v>
      </c>
      <c r="S30" s="24" t="s">
        <v>808</v>
      </c>
      <c r="T30" s="19" t="s">
        <v>797</v>
      </c>
      <c r="U30" s="19" t="s">
        <v>797</v>
      </c>
      <c r="V30" s="19" t="s">
        <v>809</v>
      </c>
      <c r="W30" s="19" t="s">
        <v>797</v>
      </c>
      <c r="X30" s="19" t="s">
        <v>810</v>
      </c>
      <c r="Y30" s="19" t="s">
        <v>811</v>
      </c>
      <c r="Z30" s="19" t="s">
        <v>812</v>
      </c>
    </row>
    <row r="31" ht="15.75" customHeight="1">
      <c r="A31" s="4">
        <v>5.0</v>
      </c>
      <c r="B31" s="5" t="s">
        <v>813</v>
      </c>
      <c r="C31" s="4" t="s">
        <v>814</v>
      </c>
      <c r="D31" s="4" t="s">
        <v>815</v>
      </c>
      <c r="E31" s="21" t="s">
        <v>816</v>
      </c>
      <c r="F31" s="19" t="s">
        <v>816</v>
      </c>
      <c r="G31" s="19" t="s">
        <v>816</v>
      </c>
      <c r="H31" s="19" t="s">
        <v>816</v>
      </c>
      <c r="I31" s="5" t="s">
        <v>816</v>
      </c>
      <c r="J31" s="23" t="s">
        <v>817</v>
      </c>
      <c r="K31" s="19" t="s">
        <v>816</v>
      </c>
      <c r="L31" s="19" t="s">
        <v>816</v>
      </c>
      <c r="M31" s="19" t="s">
        <v>816</v>
      </c>
      <c r="N31" s="20" t="s">
        <v>816</v>
      </c>
      <c r="O31" s="19" t="s">
        <v>816</v>
      </c>
      <c r="P31" s="19" t="s">
        <v>816</v>
      </c>
      <c r="Q31" s="19" t="s">
        <v>816</v>
      </c>
      <c r="R31" s="19" t="s">
        <v>816</v>
      </c>
      <c r="S31" s="24" t="s">
        <v>816</v>
      </c>
      <c r="T31" s="19" t="s">
        <v>816</v>
      </c>
      <c r="U31" s="19" t="s">
        <v>816</v>
      </c>
      <c r="V31" s="19" t="s">
        <v>816</v>
      </c>
      <c r="W31" s="19" t="s">
        <v>816</v>
      </c>
      <c r="X31" s="19" t="s">
        <v>816</v>
      </c>
      <c r="Y31" s="19" t="s">
        <v>816</v>
      </c>
      <c r="Z31" s="19" t="s">
        <v>816</v>
      </c>
    </row>
    <row r="32" ht="15.75" customHeight="1">
      <c r="A32" s="4">
        <v>5.0</v>
      </c>
      <c r="B32" s="5" t="s">
        <v>295</v>
      </c>
      <c r="C32" s="4" t="s">
        <v>818</v>
      </c>
      <c r="D32" s="4" t="s">
        <v>819</v>
      </c>
      <c r="E32" s="17">
        <v>2012.0</v>
      </c>
      <c r="F32" s="4">
        <v>2009.0</v>
      </c>
      <c r="G32" s="4">
        <v>2011.0</v>
      </c>
      <c r="H32" s="4">
        <v>2012.0</v>
      </c>
      <c r="I32" s="4">
        <v>2010.0</v>
      </c>
      <c r="J32" s="4">
        <v>2008.0</v>
      </c>
      <c r="K32" s="4">
        <v>2007.0</v>
      </c>
      <c r="L32" s="4">
        <v>2012.0</v>
      </c>
      <c r="M32" s="4">
        <v>2011.0</v>
      </c>
      <c r="N32" s="4">
        <v>2009.0</v>
      </c>
      <c r="O32" s="4">
        <v>2011.0</v>
      </c>
      <c r="P32" s="4">
        <v>2009.0</v>
      </c>
      <c r="Q32" s="4">
        <v>2009.0</v>
      </c>
      <c r="R32" s="4">
        <v>2011.0</v>
      </c>
      <c r="S32" s="17">
        <v>2007.0</v>
      </c>
      <c r="T32" s="4">
        <v>2009.0</v>
      </c>
      <c r="U32" s="4">
        <v>2010.0</v>
      </c>
      <c r="V32" s="4">
        <v>2010.0</v>
      </c>
      <c r="W32" s="4">
        <v>2010.0</v>
      </c>
      <c r="X32" s="4">
        <v>2011.0</v>
      </c>
      <c r="Y32" s="4">
        <v>2011.0</v>
      </c>
      <c r="Z32" s="4">
        <v>2008.0</v>
      </c>
    </row>
    <row r="33" ht="15.75" customHeight="1">
      <c r="A33" s="4">
        <v>5.0</v>
      </c>
      <c r="B33" s="5" t="s">
        <v>309</v>
      </c>
      <c r="C33" s="4" t="s">
        <v>310</v>
      </c>
      <c r="D33" s="4" t="s">
        <v>820</v>
      </c>
      <c r="E33" s="17" t="s">
        <v>821</v>
      </c>
      <c r="F33" s="19" t="s">
        <v>238</v>
      </c>
      <c r="G33" s="19" t="s">
        <v>271</v>
      </c>
      <c r="H33" s="22" t="s">
        <v>238</v>
      </c>
      <c r="I33" s="22" t="s">
        <v>768</v>
      </c>
      <c r="J33" s="23" t="s">
        <v>238</v>
      </c>
      <c r="K33" s="19" t="s">
        <v>238</v>
      </c>
      <c r="L33" s="19" t="s">
        <v>238</v>
      </c>
      <c r="M33" s="19" t="s">
        <v>770</v>
      </c>
      <c r="N33" s="20" t="s">
        <v>238</v>
      </c>
      <c r="O33" s="19" t="s">
        <v>238</v>
      </c>
      <c r="P33" s="19" t="s">
        <v>771</v>
      </c>
      <c r="Q33" s="22" t="s">
        <v>271</v>
      </c>
      <c r="R33" s="19" t="s">
        <v>273</v>
      </c>
      <c r="S33" s="24" t="s">
        <v>238</v>
      </c>
      <c r="T33" s="19" t="s">
        <v>238</v>
      </c>
      <c r="U33" s="19" t="s">
        <v>238</v>
      </c>
      <c r="V33" s="19" t="s">
        <v>238</v>
      </c>
      <c r="W33" s="19" t="s">
        <v>772</v>
      </c>
      <c r="X33" s="19" t="s">
        <v>238</v>
      </c>
      <c r="Y33" s="19" t="s">
        <v>238</v>
      </c>
      <c r="Z33" s="19" t="s">
        <v>238</v>
      </c>
    </row>
    <row r="34" ht="15.75" customHeight="1">
      <c r="A34" s="4">
        <v>5.0</v>
      </c>
      <c r="B34" s="5" t="s">
        <v>314</v>
      </c>
      <c r="C34" s="4" t="s">
        <v>315</v>
      </c>
      <c r="D34" s="4" t="s">
        <v>822</v>
      </c>
      <c r="E34" s="17" t="s">
        <v>823</v>
      </c>
      <c r="F34" s="19" t="s">
        <v>780</v>
      </c>
      <c r="G34" s="19" t="s">
        <v>780</v>
      </c>
      <c r="H34" s="22" t="s">
        <v>780</v>
      </c>
      <c r="I34" s="22" t="s">
        <v>782</v>
      </c>
      <c r="J34" s="23" t="s">
        <v>824</v>
      </c>
      <c r="K34" s="19" t="s">
        <v>780</v>
      </c>
      <c r="L34" s="19" t="s">
        <v>784</v>
      </c>
      <c r="M34" s="19" t="s">
        <v>785</v>
      </c>
      <c r="N34" s="26" t="s">
        <v>780</v>
      </c>
      <c r="O34" s="19" t="s">
        <v>780</v>
      </c>
      <c r="P34" s="19" t="s">
        <v>825</v>
      </c>
      <c r="Q34" s="22" t="s">
        <v>787</v>
      </c>
      <c r="R34" s="19" t="s">
        <v>780</v>
      </c>
      <c r="S34" s="24" t="s">
        <v>780</v>
      </c>
      <c r="T34" s="19" t="s">
        <v>780</v>
      </c>
      <c r="U34" s="19" t="s">
        <v>780</v>
      </c>
      <c r="V34" s="19" t="s">
        <v>780</v>
      </c>
      <c r="W34" s="19" t="s">
        <v>780</v>
      </c>
      <c r="X34" s="19" t="s">
        <v>780</v>
      </c>
      <c r="Y34" s="19" t="s">
        <v>780</v>
      </c>
      <c r="Z34" s="19" t="s">
        <v>780</v>
      </c>
    </row>
    <row r="35" ht="15.75" customHeight="1">
      <c r="A35" s="4">
        <v>5.0</v>
      </c>
      <c r="B35" s="5" t="s">
        <v>826</v>
      </c>
      <c r="C35" s="4" t="s">
        <v>827</v>
      </c>
      <c r="D35" s="4" t="s">
        <v>828</v>
      </c>
      <c r="E35" s="18" t="str">
        <f>E1</f>
        <v>ALGERIA</v>
      </c>
      <c r="S35" s="18"/>
    </row>
    <row r="36" ht="15.75" customHeight="1">
      <c r="A36" s="4">
        <v>5.0</v>
      </c>
      <c r="B36" s="5" t="s">
        <v>829</v>
      </c>
      <c r="C36" s="4" t="s">
        <v>830</v>
      </c>
      <c r="D36" s="4" t="s">
        <v>831</v>
      </c>
      <c r="E36" s="21" t="s">
        <v>832</v>
      </c>
      <c r="G36" s="22" t="s">
        <v>833</v>
      </c>
      <c r="S36" s="18"/>
    </row>
    <row r="37" ht="15.75" customHeight="1">
      <c r="A37" s="4">
        <v>5.0</v>
      </c>
      <c r="B37" s="5" t="s">
        <v>122</v>
      </c>
      <c r="C37" s="4" t="s">
        <v>834</v>
      </c>
      <c r="D37" s="4" t="s">
        <v>835</v>
      </c>
      <c r="E37" s="21" t="s">
        <v>836</v>
      </c>
      <c r="F37" s="19" t="s">
        <v>566</v>
      </c>
      <c r="G37" s="19" t="s">
        <v>837</v>
      </c>
      <c r="H37" s="19" t="s">
        <v>838</v>
      </c>
      <c r="S37" s="18"/>
    </row>
    <row r="38" ht="15.75" customHeight="1">
      <c r="A38" s="4">
        <v>5.0</v>
      </c>
      <c r="B38" s="5" t="s">
        <v>139</v>
      </c>
      <c r="C38" s="4" t="s">
        <v>839</v>
      </c>
      <c r="D38" s="4" t="s">
        <v>840</v>
      </c>
      <c r="E38" s="17" t="s">
        <v>240</v>
      </c>
      <c r="F38" s="19" t="s">
        <v>142</v>
      </c>
      <c r="G38" s="19" t="s">
        <v>841</v>
      </c>
      <c r="H38" s="19" t="s">
        <v>142</v>
      </c>
      <c r="S38" s="18"/>
    </row>
    <row r="39" ht="15.75" customHeight="1">
      <c r="A39" s="4">
        <v>5.0</v>
      </c>
      <c r="B39" s="5" t="s">
        <v>162</v>
      </c>
      <c r="C39" s="4" t="s">
        <v>842</v>
      </c>
      <c r="D39" s="4" t="s">
        <v>843</v>
      </c>
      <c r="E39" s="21" t="s">
        <v>844</v>
      </c>
      <c r="F39" s="19" t="s">
        <v>845</v>
      </c>
      <c r="G39" s="19" t="s">
        <v>846</v>
      </c>
      <c r="H39" s="19" t="s">
        <v>847</v>
      </c>
      <c r="S39" s="18"/>
    </row>
    <row r="40" ht="15.75" customHeight="1">
      <c r="A40" s="4">
        <v>5.0</v>
      </c>
      <c r="B40" s="5" t="s">
        <v>347</v>
      </c>
      <c r="C40" s="4" t="s">
        <v>576</v>
      </c>
      <c r="D40" s="4" t="s">
        <v>848</v>
      </c>
      <c r="E40" s="18"/>
      <c r="G40" s="19" t="s">
        <v>845</v>
      </c>
      <c r="H40" s="19" t="s">
        <v>849</v>
      </c>
      <c r="S40" s="18"/>
    </row>
    <row r="41" ht="15.75" customHeight="1">
      <c r="A41" s="4">
        <v>5.0</v>
      </c>
      <c r="B41" s="5" t="s">
        <v>354</v>
      </c>
      <c r="C41" s="4" t="s">
        <v>850</v>
      </c>
      <c r="D41" s="4" t="s">
        <v>851</v>
      </c>
      <c r="E41" s="17" t="s">
        <v>240</v>
      </c>
      <c r="G41" s="19" t="s">
        <v>841</v>
      </c>
      <c r="S41" s="18"/>
    </row>
    <row r="42" ht="15.75" customHeight="1">
      <c r="A42" s="4">
        <v>5.0</v>
      </c>
      <c r="B42" s="5" t="s">
        <v>590</v>
      </c>
      <c r="C42" s="4" t="s">
        <v>852</v>
      </c>
      <c r="D42" s="4" t="s">
        <v>853</v>
      </c>
      <c r="E42" s="17" t="s">
        <v>65</v>
      </c>
      <c r="G42" s="4" t="s">
        <v>232</v>
      </c>
      <c r="H42" s="4" t="s">
        <v>65</v>
      </c>
      <c r="S42" s="18"/>
    </row>
    <row r="43" ht="15.75" customHeight="1">
      <c r="A43" s="4">
        <v>5.0</v>
      </c>
      <c r="B43" s="5" t="s">
        <v>854</v>
      </c>
      <c r="C43" s="4" t="s">
        <v>855</v>
      </c>
      <c r="D43" s="4" t="s">
        <v>856</v>
      </c>
      <c r="E43" s="17" t="s">
        <v>857</v>
      </c>
      <c r="G43" s="22"/>
      <c r="S43" s="18"/>
    </row>
    <row r="44" ht="15.75" customHeight="1">
      <c r="A44" s="4">
        <v>5.0</v>
      </c>
      <c r="B44" s="5" t="s">
        <v>367</v>
      </c>
      <c r="C44" s="4" t="s">
        <v>368</v>
      </c>
      <c r="D44" s="4" t="s">
        <v>858</v>
      </c>
      <c r="E44" s="17" t="s">
        <v>859</v>
      </c>
      <c r="F44" s="4" t="s">
        <v>860</v>
      </c>
      <c r="G44" s="4"/>
      <c r="S44" s="18"/>
    </row>
    <row r="45" ht="15.75" customHeight="1">
      <c r="E45" s="18"/>
      <c r="S45" s="18"/>
    </row>
    <row r="46" ht="15.75" customHeight="1">
      <c r="E46" s="18"/>
      <c r="S46" s="18"/>
    </row>
    <row r="47" ht="15.75" customHeight="1">
      <c r="E47" s="18"/>
      <c r="S47" s="18"/>
    </row>
    <row r="48" ht="15.75" customHeight="1">
      <c r="E48" s="18"/>
      <c r="S48" s="18"/>
    </row>
    <row r="49" ht="15.75" customHeight="1">
      <c r="E49" s="18"/>
      <c r="S49" s="18"/>
    </row>
    <row r="50" ht="15.75" customHeight="1">
      <c r="E50" s="18"/>
      <c r="S50" s="18"/>
    </row>
    <row r="51" ht="15.75" customHeight="1">
      <c r="E51" s="18"/>
      <c r="S51" s="18"/>
    </row>
    <row r="52" ht="15.75" customHeight="1">
      <c r="E52" s="18"/>
      <c r="S52" s="18"/>
    </row>
    <row r="53" ht="15.75" customHeight="1">
      <c r="E53" s="18"/>
      <c r="S53" s="18"/>
    </row>
    <row r="54" ht="15.75" customHeight="1">
      <c r="E54" s="18"/>
      <c r="S54" s="18"/>
    </row>
    <row r="55" ht="15.75" customHeight="1">
      <c r="E55" s="18"/>
      <c r="S55" s="18"/>
    </row>
    <row r="56" ht="15.75" customHeight="1">
      <c r="E56" s="18"/>
      <c r="S56" s="18"/>
    </row>
    <row r="57" ht="15.75" customHeight="1">
      <c r="E57" s="18"/>
      <c r="S57" s="18"/>
    </row>
    <row r="58" ht="15.75" customHeight="1">
      <c r="E58" s="18"/>
      <c r="S58" s="18"/>
    </row>
    <row r="59" ht="15.75" customHeight="1">
      <c r="E59" s="18"/>
      <c r="S59" s="18"/>
    </row>
    <row r="60" ht="15.75" customHeight="1">
      <c r="E60" s="18"/>
      <c r="S60" s="18"/>
    </row>
    <row r="61" ht="15.75" customHeight="1">
      <c r="E61" s="18"/>
      <c r="S61" s="18"/>
    </row>
    <row r="62" ht="15.75" customHeight="1">
      <c r="E62" s="18"/>
      <c r="S62" s="18"/>
    </row>
    <row r="63" ht="15.75" customHeight="1">
      <c r="E63" s="18"/>
      <c r="S63" s="18"/>
    </row>
    <row r="64" ht="15.75" customHeight="1">
      <c r="E64" s="18"/>
      <c r="S64" s="18"/>
    </row>
    <row r="65" ht="15.75" customHeight="1">
      <c r="E65" s="18"/>
      <c r="S65" s="18"/>
    </row>
    <row r="66" ht="15.75" customHeight="1">
      <c r="E66" s="18"/>
      <c r="S66" s="18"/>
    </row>
    <row r="67" ht="15.75" customHeight="1">
      <c r="E67" s="18"/>
      <c r="S67" s="18"/>
    </row>
    <row r="68" ht="15.75" customHeight="1">
      <c r="E68" s="18"/>
      <c r="S68" s="18"/>
    </row>
    <row r="69" ht="15.75" customHeight="1">
      <c r="E69" s="18"/>
      <c r="S69" s="18"/>
    </row>
    <row r="70" ht="15.75" customHeight="1">
      <c r="E70" s="18"/>
      <c r="S70" s="18"/>
    </row>
    <row r="71" ht="15.75" customHeight="1">
      <c r="E71" s="18"/>
      <c r="S71" s="18"/>
    </row>
    <row r="72" ht="15.75" customHeight="1">
      <c r="E72" s="18"/>
      <c r="S72" s="18"/>
    </row>
    <row r="73" ht="15.75" customHeight="1">
      <c r="E73" s="18"/>
      <c r="S73" s="18"/>
    </row>
    <row r="74" ht="15.75" customHeight="1">
      <c r="E74" s="18"/>
      <c r="S74" s="18"/>
    </row>
    <row r="75" ht="15.75" customHeight="1">
      <c r="E75" s="18"/>
      <c r="S75" s="18"/>
    </row>
    <row r="76" ht="15.75" customHeight="1">
      <c r="E76" s="18"/>
      <c r="S76" s="18"/>
    </row>
    <row r="77" ht="15.75" customHeight="1">
      <c r="E77" s="18"/>
      <c r="S77" s="18"/>
    </row>
    <row r="78" ht="15.75" customHeight="1">
      <c r="E78" s="18"/>
      <c r="S78" s="18"/>
    </row>
    <row r="79" ht="15.75" customHeight="1">
      <c r="E79" s="18"/>
      <c r="S79" s="18"/>
    </row>
    <row r="80" ht="15.75" customHeight="1">
      <c r="E80" s="18"/>
      <c r="S80" s="18"/>
    </row>
    <row r="81" ht="15.75" customHeight="1">
      <c r="E81" s="18"/>
      <c r="S81" s="18"/>
    </row>
    <row r="82" ht="15.75" customHeight="1">
      <c r="E82" s="18"/>
      <c r="S82" s="18"/>
    </row>
    <row r="83" ht="15.75" customHeight="1">
      <c r="E83" s="18"/>
      <c r="S83" s="18"/>
    </row>
    <row r="84" ht="15.75" customHeight="1">
      <c r="E84" s="18"/>
      <c r="S84" s="18"/>
    </row>
    <row r="85" ht="15.75" customHeight="1">
      <c r="E85" s="18"/>
      <c r="S85" s="18"/>
    </row>
    <row r="86" ht="15.75" customHeight="1">
      <c r="E86" s="18"/>
      <c r="S86" s="18"/>
    </row>
    <row r="87" ht="15.75" customHeight="1">
      <c r="E87" s="18"/>
      <c r="S87" s="18"/>
    </row>
    <row r="88" ht="15.75" customHeight="1">
      <c r="E88" s="18"/>
      <c r="S88" s="18"/>
    </row>
    <row r="89" ht="15.75" customHeight="1">
      <c r="E89" s="18"/>
      <c r="S89" s="18"/>
    </row>
    <row r="90" ht="15.75" customHeight="1">
      <c r="E90" s="18"/>
      <c r="S90" s="18"/>
    </row>
    <row r="91" ht="15.75" customHeight="1">
      <c r="E91" s="18"/>
      <c r="S91" s="18"/>
    </row>
    <row r="92" ht="15.75" customHeight="1">
      <c r="E92" s="18"/>
      <c r="S92" s="18"/>
    </row>
    <row r="93" ht="15.75" customHeight="1">
      <c r="E93" s="18"/>
      <c r="S93" s="18"/>
    </row>
    <row r="94" ht="15.75" customHeight="1">
      <c r="E94" s="18"/>
      <c r="S94" s="18"/>
    </row>
    <row r="95" ht="15.75" customHeight="1">
      <c r="E95" s="18"/>
      <c r="S95" s="18"/>
    </row>
    <row r="96" ht="15.75" customHeight="1">
      <c r="E96" s="18"/>
      <c r="S96" s="18"/>
    </row>
    <row r="97" ht="15.75" customHeight="1">
      <c r="E97" s="18"/>
      <c r="S97" s="18"/>
    </row>
    <row r="98" ht="15.75" customHeight="1">
      <c r="E98" s="18"/>
      <c r="S98" s="18"/>
    </row>
    <row r="99" ht="15.75" customHeight="1">
      <c r="E99" s="18"/>
      <c r="S99" s="18"/>
    </row>
    <row r="100" ht="15.75" customHeight="1">
      <c r="E100" s="18"/>
      <c r="S100" s="18"/>
    </row>
    <row r="101" ht="15.75" customHeight="1">
      <c r="E101" s="18"/>
      <c r="S101" s="18"/>
    </row>
    <row r="102" ht="15.75" customHeight="1">
      <c r="E102" s="18"/>
      <c r="S102" s="18"/>
    </row>
    <row r="103" ht="15.75" customHeight="1">
      <c r="E103" s="18"/>
      <c r="S103" s="18"/>
    </row>
    <row r="104" ht="15.75" customHeight="1">
      <c r="E104" s="18"/>
      <c r="S104" s="18"/>
    </row>
    <row r="105" ht="15.75" customHeight="1">
      <c r="E105" s="18"/>
      <c r="S105" s="18"/>
    </row>
    <row r="106" ht="15.75" customHeight="1">
      <c r="E106" s="18"/>
      <c r="S106" s="18"/>
    </row>
    <row r="107" ht="15.75" customHeight="1">
      <c r="E107" s="18"/>
      <c r="S107" s="18"/>
    </row>
    <row r="108" ht="15.75" customHeight="1">
      <c r="E108" s="18"/>
      <c r="S108" s="18"/>
    </row>
    <row r="109" ht="15.75" customHeight="1">
      <c r="E109" s="18"/>
      <c r="S109" s="18"/>
    </row>
    <row r="110" ht="15.75" customHeight="1">
      <c r="E110" s="18"/>
      <c r="S110" s="18"/>
    </row>
    <row r="111" ht="15.75" customHeight="1">
      <c r="E111" s="18"/>
      <c r="S111" s="18"/>
    </row>
    <row r="112" ht="15.75" customHeight="1">
      <c r="E112" s="18"/>
      <c r="S112" s="18"/>
    </row>
    <row r="113" ht="15.75" customHeight="1">
      <c r="E113" s="18"/>
      <c r="S113" s="18"/>
    </row>
    <row r="114" ht="15.75" customHeight="1">
      <c r="E114" s="18"/>
      <c r="S114" s="18"/>
    </row>
    <row r="115" ht="15.75" customHeight="1">
      <c r="E115" s="18"/>
      <c r="S115" s="18"/>
    </row>
    <row r="116" ht="15.75" customHeight="1">
      <c r="E116" s="18"/>
      <c r="S116" s="18"/>
    </row>
    <row r="117" ht="15.75" customHeight="1">
      <c r="E117" s="18"/>
      <c r="S117" s="18"/>
    </row>
    <row r="118" ht="15.75" customHeight="1">
      <c r="E118" s="18"/>
      <c r="S118" s="18"/>
    </row>
    <row r="119" ht="15.75" customHeight="1">
      <c r="E119" s="18"/>
      <c r="S119" s="18"/>
    </row>
    <row r="120" ht="15.75" customHeight="1">
      <c r="E120" s="18"/>
      <c r="S120" s="18"/>
    </row>
    <row r="121" ht="15.75" customHeight="1">
      <c r="E121" s="18"/>
      <c r="S121" s="18"/>
    </row>
    <row r="122" ht="15.75" customHeight="1">
      <c r="E122" s="18"/>
      <c r="S122" s="18"/>
    </row>
    <row r="123" ht="15.75" customHeight="1">
      <c r="E123" s="18"/>
      <c r="S123" s="18"/>
    </row>
    <row r="124" ht="15.75" customHeight="1">
      <c r="E124" s="18"/>
      <c r="S124" s="18"/>
    </row>
    <row r="125" ht="15.75" customHeight="1">
      <c r="E125" s="18"/>
      <c r="S125" s="18"/>
    </row>
    <row r="126" ht="15.75" customHeight="1">
      <c r="E126" s="18"/>
      <c r="S126" s="18"/>
    </row>
    <row r="127" ht="15.75" customHeight="1">
      <c r="E127" s="18"/>
      <c r="S127" s="18"/>
    </row>
    <row r="128" ht="15.75" customHeight="1">
      <c r="E128" s="18"/>
      <c r="S128" s="18"/>
    </row>
    <row r="129" ht="15.75" customHeight="1">
      <c r="E129" s="18"/>
      <c r="S129" s="18"/>
    </row>
    <row r="130" ht="15.75" customHeight="1">
      <c r="E130" s="18"/>
      <c r="S130" s="18"/>
    </row>
    <row r="131" ht="15.75" customHeight="1">
      <c r="E131" s="18"/>
      <c r="S131" s="18"/>
    </row>
    <row r="132" ht="15.75" customHeight="1">
      <c r="E132" s="18"/>
      <c r="S132" s="18"/>
    </row>
    <row r="133" ht="15.75" customHeight="1">
      <c r="E133" s="18"/>
      <c r="S133" s="18"/>
    </row>
    <row r="134" ht="15.75" customHeight="1">
      <c r="E134" s="18"/>
      <c r="S134" s="18"/>
    </row>
    <row r="135" ht="15.75" customHeight="1">
      <c r="E135" s="18"/>
      <c r="S135" s="18"/>
    </row>
    <row r="136" ht="15.75" customHeight="1">
      <c r="E136" s="18"/>
      <c r="S136" s="18"/>
    </row>
    <row r="137" ht="15.75" customHeight="1">
      <c r="E137" s="18"/>
      <c r="S137" s="18"/>
    </row>
    <row r="138" ht="15.75" customHeight="1">
      <c r="E138" s="18"/>
      <c r="S138" s="18"/>
    </row>
    <row r="139" ht="15.75" customHeight="1">
      <c r="E139" s="18"/>
      <c r="S139" s="18"/>
    </row>
    <row r="140" ht="15.75" customHeight="1">
      <c r="E140" s="18"/>
      <c r="S140" s="18"/>
    </row>
    <row r="141" ht="15.75" customHeight="1">
      <c r="E141" s="18"/>
      <c r="S141" s="18"/>
    </row>
    <row r="142" ht="15.75" customHeight="1">
      <c r="E142" s="18"/>
      <c r="S142" s="18"/>
    </row>
    <row r="143" ht="15.75" customHeight="1">
      <c r="E143" s="18"/>
      <c r="S143" s="18"/>
    </row>
    <row r="144" ht="15.75" customHeight="1">
      <c r="E144" s="18"/>
      <c r="S144" s="18"/>
    </row>
    <row r="145" ht="15.75" customHeight="1">
      <c r="E145" s="18"/>
      <c r="S145" s="18"/>
    </row>
    <row r="146" ht="15.75" customHeight="1">
      <c r="E146" s="18"/>
      <c r="S146" s="18"/>
    </row>
    <row r="147" ht="15.75" customHeight="1">
      <c r="E147" s="18"/>
      <c r="S147" s="18"/>
    </row>
    <row r="148" ht="15.75" customHeight="1">
      <c r="E148" s="18"/>
      <c r="S148" s="18"/>
    </row>
    <row r="149" ht="15.75" customHeight="1">
      <c r="E149" s="18"/>
      <c r="S149" s="18"/>
    </row>
    <row r="150" ht="15.75" customHeight="1">
      <c r="E150" s="18"/>
      <c r="S150" s="18"/>
    </row>
    <row r="151" ht="15.75" customHeight="1">
      <c r="E151" s="18"/>
      <c r="S151" s="18"/>
    </row>
    <row r="152" ht="15.75" customHeight="1">
      <c r="E152" s="18"/>
      <c r="S152" s="18"/>
    </row>
    <row r="153" ht="15.75" customHeight="1">
      <c r="E153" s="18"/>
      <c r="S153" s="18"/>
    </row>
    <row r="154" ht="15.75" customHeight="1">
      <c r="E154" s="18"/>
      <c r="S154" s="18"/>
    </row>
    <row r="155" ht="15.75" customHeight="1">
      <c r="E155" s="18"/>
      <c r="S155" s="18"/>
    </row>
    <row r="156" ht="15.75" customHeight="1">
      <c r="E156" s="18"/>
      <c r="S156" s="18"/>
    </row>
    <row r="157" ht="15.75" customHeight="1">
      <c r="E157" s="18"/>
      <c r="S157" s="18"/>
    </row>
    <row r="158" ht="15.75" customHeight="1">
      <c r="E158" s="18"/>
      <c r="S158" s="18"/>
    </row>
    <row r="159" ht="15.75" customHeight="1">
      <c r="E159" s="18"/>
      <c r="S159" s="18"/>
    </row>
    <row r="160" ht="15.75" customHeight="1">
      <c r="E160" s="18"/>
      <c r="S160" s="18"/>
    </row>
    <row r="161" ht="15.75" customHeight="1">
      <c r="E161" s="18"/>
      <c r="S161" s="18"/>
    </row>
    <row r="162" ht="15.75" customHeight="1">
      <c r="E162" s="18"/>
      <c r="S162" s="18"/>
    </row>
    <row r="163" ht="15.75" customHeight="1">
      <c r="E163" s="18"/>
      <c r="S163" s="18"/>
    </row>
    <row r="164" ht="15.75" customHeight="1">
      <c r="E164" s="18"/>
      <c r="S164" s="18"/>
    </row>
    <row r="165" ht="15.75" customHeight="1">
      <c r="E165" s="18"/>
      <c r="S165" s="18"/>
    </row>
    <row r="166" ht="15.75" customHeight="1">
      <c r="E166" s="18"/>
      <c r="S166" s="18"/>
    </row>
    <row r="167" ht="15.75" customHeight="1">
      <c r="E167" s="18"/>
      <c r="S167" s="18"/>
    </row>
    <row r="168" ht="15.75" customHeight="1">
      <c r="E168" s="18"/>
      <c r="S168" s="18"/>
    </row>
    <row r="169" ht="15.75" customHeight="1">
      <c r="E169" s="18"/>
      <c r="S169" s="18"/>
    </row>
    <row r="170" ht="15.75" customHeight="1">
      <c r="E170" s="18"/>
      <c r="S170" s="18"/>
    </row>
    <row r="171" ht="15.75" customHeight="1">
      <c r="E171" s="18"/>
      <c r="S171" s="18"/>
    </row>
    <row r="172" ht="15.75" customHeight="1">
      <c r="E172" s="18"/>
      <c r="S172" s="18"/>
    </row>
    <row r="173" ht="15.75" customHeight="1">
      <c r="E173" s="18"/>
      <c r="S173" s="18"/>
    </row>
    <row r="174" ht="15.75" customHeight="1">
      <c r="E174" s="18"/>
      <c r="S174" s="18"/>
    </row>
    <row r="175" ht="15.75" customHeight="1">
      <c r="E175" s="18"/>
      <c r="S175" s="18"/>
    </row>
    <row r="176" ht="15.75" customHeight="1">
      <c r="E176" s="18"/>
      <c r="S176" s="18"/>
    </row>
    <row r="177" ht="15.75" customHeight="1">
      <c r="E177" s="18"/>
      <c r="S177" s="18"/>
    </row>
    <row r="178" ht="15.75" customHeight="1">
      <c r="E178" s="18"/>
      <c r="S178" s="18"/>
    </row>
    <row r="179" ht="15.75" customHeight="1">
      <c r="E179" s="18"/>
      <c r="S179" s="18"/>
    </row>
    <row r="180" ht="15.75" customHeight="1">
      <c r="E180" s="18"/>
      <c r="S180" s="18"/>
    </row>
    <row r="181" ht="15.75" customHeight="1">
      <c r="E181" s="18"/>
      <c r="S181" s="18"/>
    </row>
    <row r="182" ht="15.75" customHeight="1">
      <c r="E182" s="18"/>
      <c r="S182" s="18"/>
    </row>
    <row r="183" ht="15.75" customHeight="1">
      <c r="E183" s="18"/>
      <c r="S183" s="18"/>
    </row>
    <row r="184" ht="15.75" customHeight="1">
      <c r="E184" s="18"/>
      <c r="S184" s="18"/>
    </row>
    <row r="185" ht="15.75" customHeight="1">
      <c r="E185" s="18"/>
      <c r="S185" s="18"/>
    </row>
    <row r="186" ht="15.75" customHeight="1">
      <c r="E186" s="18"/>
      <c r="S186" s="18"/>
    </row>
    <row r="187" ht="15.75" customHeight="1">
      <c r="E187" s="18"/>
      <c r="S187" s="18"/>
    </row>
    <row r="188" ht="15.75" customHeight="1">
      <c r="E188" s="18"/>
      <c r="S188" s="18"/>
    </row>
    <row r="189" ht="15.75" customHeight="1">
      <c r="E189" s="18"/>
      <c r="S189" s="18"/>
    </row>
    <row r="190" ht="15.75" customHeight="1">
      <c r="E190" s="18"/>
      <c r="S190" s="18"/>
    </row>
    <row r="191" ht="15.75" customHeight="1">
      <c r="E191" s="18"/>
      <c r="S191" s="18"/>
    </row>
    <row r="192" ht="15.75" customHeight="1">
      <c r="E192" s="18"/>
      <c r="S192" s="18"/>
    </row>
    <row r="193" ht="15.75" customHeight="1">
      <c r="E193" s="18"/>
      <c r="S193" s="18"/>
    </row>
    <row r="194" ht="15.75" customHeight="1">
      <c r="E194" s="18"/>
      <c r="S194" s="18"/>
    </row>
    <row r="195" ht="15.75" customHeight="1">
      <c r="E195" s="18"/>
      <c r="S195" s="18"/>
    </row>
    <row r="196" ht="15.75" customHeight="1">
      <c r="E196" s="18"/>
      <c r="S196" s="18"/>
    </row>
    <row r="197" ht="15.75" customHeight="1">
      <c r="E197" s="18"/>
      <c r="S197" s="18"/>
    </row>
    <row r="198" ht="15.75" customHeight="1">
      <c r="E198" s="18"/>
      <c r="S198" s="18"/>
    </row>
    <row r="199" ht="15.75" customHeight="1">
      <c r="E199" s="18"/>
      <c r="S199" s="18"/>
    </row>
    <row r="200" ht="15.75" customHeight="1">
      <c r="E200" s="18"/>
      <c r="S200" s="18"/>
    </row>
    <row r="201" ht="15.75" customHeight="1">
      <c r="E201" s="18"/>
      <c r="S201" s="18"/>
    </row>
    <row r="202" ht="15.75" customHeight="1">
      <c r="E202" s="18"/>
      <c r="S202" s="18"/>
    </row>
    <row r="203" ht="15.75" customHeight="1">
      <c r="E203" s="18"/>
      <c r="S203" s="18"/>
    </row>
    <row r="204" ht="15.75" customHeight="1">
      <c r="E204" s="18"/>
      <c r="S204" s="18"/>
    </row>
    <row r="205" ht="15.75" customHeight="1">
      <c r="E205" s="18"/>
      <c r="S205" s="18"/>
    </row>
    <row r="206" ht="15.75" customHeight="1">
      <c r="E206" s="18"/>
      <c r="S206" s="18"/>
    </row>
    <row r="207" ht="15.75" customHeight="1">
      <c r="E207" s="18"/>
      <c r="S207" s="18"/>
    </row>
    <row r="208" ht="15.75" customHeight="1">
      <c r="E208" s="18"/>
      <c r="S208" s="18"/>
    </row>
    <row r="209" ht="15.75" customHeight="1">
      <c r="E209" s="18"/>
      <c r="S209" s="18"/>
    </row>
    <row r="210" ht="15.75" customHeight="1">
      <c r="E210" s="18"/>
      <c r="S210" s="18"/>
    </row>
    <row r="211" ht="15.75" customHeight="1">
      <c r="E211" s="18"/>
      <c r="S211" s="18"/>
    </row>
    <row r="212" ht="15.75" customHeight="1">
      <c r="E212" s="18"/>
      <c r="S212" s="18"/>
    </row>
    <row r="213" ht="15.75" customHeight="1">
      <c r="E213" s="18"/>
      <c r="S213" s="18"/>
    </row>
    <row r="214" ht="15.75" customHeight="1">
      <c r="E214" s="18"/>
      <c r="S214" s="18"/>
    </row>
    <row r="215" ht="15.75" customHeight="1">
      <c r="E215" s="18"/>
      <c r="S215" s="18"/>
    </row>
    <row r="216" ht="15.75" customHeight="1">
      <c r="E216" s="18"/>
      <c r="S216" s="18"/>
    </row>
    <row r="217" ht="15.75" customHeight="1">
      <c r="E217" s="18"/>
      <c r="S217" s="18"/>
    </row>
    <row r="218" ht="15.75" customHeight="1">
      <c r="E218" s="18"/>
      <c r="S218" s="18"/>
    </row>
    <row r="219" ht="15.75" customHeight="1">
      <c r="E219" s="18"/>
      <c r="S219" s="18"/>
    </row>
    <row r="220" ht="15.75" customHeight="1">
      <c r="E220" s="18"/>
      <c r="S220" s="18"/>
    </row>
    <row r="221" ht="15.75" customHeight="1">
      <c r="E221" s="18"/>
      <c r="S221" s="18"/>
    </row>
    <row r="222" ht="15.75" customHeight="1">
      <c r="E222" s="18"/>
      <c r="S222" s="18"/>
    </row>
    <row r="223" ht="15.75" customHeight="1">
      <c r="E223" s="18"/>
      <c r="S223" s="18"/>
    </row>
    <row r="224" ht="15.75" customHeight="1">
      <c r="E224" s="18"/>
      <c r="S224" s="18"/>
    </row>
    <row r="225" ht="15.75" customHeight="1">
      <c r="E225" s="18"/>
      <c r="S225" s="18"/>
    </row>
    <row r="226" ht="15.75" customHeight="1">
      <c r="E226" s="18"/>
      <c r="S226" s="18"/>
    </row>
    <row r="227" ht="15.75" customHeight="1">
      <c r="E227" s="18"/>
      <c r="S227" s="18"/>
    </row>
    <row r="228" ht="15.75" customHeight="1">
      <c r="E228" s="18"/>
      <c r="S228" s="18"/>
    </row>
    <row r="229" ht="15.75" customHeight="1">
      <c r="E229" s="18"/>
      <c r="S229" s="18"/>
    </row>
    <row r="230" ht="15.75" customHeight="1">
      <c r="E230" s="18"/>
      <c r="S230" s="18"/>
    </row>
    <row r="231" ht="15.75" customHeight="1">
      <c r="E231" s="18"/>
      <c r="S231" s="18"/>
    </row>
    <row r="232" ht="15.75" customHeight="1">
      <c r="E232" s="18"/>
      <c r="S232" s="18"/>
    </row>
    <row r="233" ht="15.75" customHeight="1">
      <c r="E233" s="18"/>
      <c r="S233" s="18"/>
    </row>
    <row r="234" ht="15.75" customHeight="1">
      <c r="E234" s="18"/>
      <c r="S234" s="18"/>
    </row>
    <row r="235" ht="15.75" customHeight="1">
      <c r="E235" s="18"/>
      <c r="S235" s="18"/>
    </row>
    <row r="236" ht="15.75" customHeight="1">
      <c r="E236" s="18"/>
      <c r="S236" s="18"/>
    </row>
    <row r="237" ht="15.75" customHeight="1">
      <c r="E237" s="18"/>
      <c r="S237" s="18"/>
    </row>
    <row r="238" ht="15.75" customHeight="1">
      <c r="E238" s="18"/>
      <c r="S238" s="18"/>
    </row>
    <row r="239" ht="15.75" customHeight="1">
      <c r="E239" s="18"/>
      <c r="S239" s="18"/>
    </row>
    <row r="240" ht="15.75" customHeight="1">
      <c r="E240" s="18"/>
      <c r="S240" s="18"/>
    </row>
    <row r="241" ht="15.75" customHeight="1">
      <c r="E241" s="18"/>
      <c r="S241" s="18"/>
    </row>
    <row r="242" ht="15.75" customHeight="1">
      <c r="E242" s="18"/>
      <c r="S242" s="18"/>
    </row>
    <row r="243" ht="15.75" customHeight="1">
      <c r="E243" s="18"/>
      <c r="S243" s="18"/>
    </row>
    <row r="244" ht="15.75" customHeight="1">
      <c r="E244" s="18"/>
      <c r="S244" s="18"/>
    </row>
    <row r="245" ht="15.75" customHeight="1">
      <c r="E245" s="18"/>
      <c r="S245" s="18"/>
    </row>
    <row r="246" ht="15.75" customHeight="1">
      <c r="E246" s="18"/>
      <c r="S246" s="18"/>
    </row>
    <row r="247" ht="15.75" customHeight="1">
      <c r="E247" s="18"/>
      <c r="S247" s="18"/>
    </row>
    <row r="248" ht="15.75" customHeight="1">
      <c r="E248" s="18"/>
      <c r="S248" s="18"/>
    </row>
    <row r="249" ht="15.75" customHeight="1">
      <c r="E249" s="18"/>
      <c r="S249" s="18"/>
    </row>
    <row r="250" ht="15.75" customHeight="1">
      <c r="E250" s="18"/>
      <c r="S250" s="18"/>
    </row>
    <row r="251" ht="15.75" customHeight="1">
      <c r="E251" s="18"/>
      <c r="S251" s="18"/>
    </row>
    <row r="252" ht="15.75" customHeight="1">
      <c r="E252" s="18"/>
      <c r="S252" s="18"/>
    </row>
    <row r="253" ht="15.75" customHeight="1">
      <c r="E253" s="18"/>
      <c r="S253" s="18"/>
    </row>
    <row r="254" ht="15.75" customHeight="1">
      <c r="E254" s="18"/>
      <c r="S254" s="18"/>
    </row>
    <row r="255" ht="15.75" customHeight="1">
      <c r="E255" s="18"/>
      <c r="S255" s="18"/>
    </row>
    <row r="256" ht="15.75" customHeight="1">
      <c r="E256" s="18"/>
      <c r="S256" s="18"/>
    </row>
    <row r="257" ht="15.75" customHeight="1">
      <c r="E257" s="18"/>
      <c r="S257" s="18"/>
    </row>
    <row r="258" ht="15.75" customHeight="1">
      <c r="E258" s="18"/>
      <c r="S258" s="18"/>
    </row>
    <row r="259" ht="15.75" customHeight="1">
      <c r="E259" s="18"/>
      <c r="S259" s="18"/>
    </row>
    <row r="260" ht="15.75" customHeight="1">
      <c r="E260" s="18"/>
      <c r="S260" s="18"/>
    </row>
    <row r="261" ht="15.75" customHeight="1">
      <c r="E261" s="18"/>
      <c r="S261" s="18"/>
    </row>
    <row r="262" ht="15.75" customHeight="1">
      <c r="E262" s="18"/>
      <c r="S262" s="18"/>
    </row>
    <row r="263" ht="15.75" customHeight="1">
      <c r="E263" s="18"/>
      <c r="S263" s="18"/>
    </row>
    <row r="264" ht="15.75" customHeight="1">
      <c r="E264" s="18"/>
      <c r="S264" s="18"/>
    </row>
    <row r="265" ht="15.75" customHeight="1">
      <c r="E265" s="18"/>
      <c r="S265" s="18"/>
    </row>
    <row r="266" ht="15.75" customHeight="1">
      <c r="E266" s="18"/>
      <c r="S266" s="18"/>
    </row>
    <row r="267" ht="15.75" customHeight="1">
      <c r="E267" s="18"/>
      <c r="S267" s="18"/>
    </row>
    <row r="268" ht="15.75" customHeight="1">
      <c r="E268" s="18"/>
      <c r="S268" s="18"/>
    </row>
    <row r="269" ht="15.75" customHeight="1">
      <c r="E269" s="18"/>
      <c r="S269" s="18"/>
    </row>
    <row r="270" ht="15.75" customHeight="1">
      <c r="E270" s="18"/>
      <c r="S270" s="18"/>
    </row>
    <row r="271" ht="15.75" customHeight="1">
      <c r="E271" s="18"/>
      <c r="S271" s="18"/>
    </row>
    <row r="272" ht="15.75" customHeight="1">
      <c r="E272" s="18"/>
      <c r="S272" s="18"/>
    </row>
    <row r="273" ht="15.75" customHeight="1">
      <c r="E273" s="18"/>
      <c r="S273" s="18"/>
    </row>
    <row r="274" ht="15.75" customHeight="1">
      <c r="E274" s="18"/>
      <c r="S274" s="18"/>
    </row>
    <row r="275" ht="15.75" customHeight="1">
      <c r="E275" s="18"/>
      <c r="S275" s="18"/>
    </row>
    <row r="276" ht="15.75" customHeight="1">
      <c r="E276" s="18"/>
      <c r="S276" s="18"/>
    </row>
    <row r="277" ht="15.75" customHeight="1">
      <c r="E277" s="18"/>
      <c r="S277" s="18"/>
    </row>
    <row r="278" ht="15.75" customHeight="1">
      <c r="E278" s="18"/>
      <c r="S278" s="18"/>
    </row>
    <row r="279" ht="15.75" customHeight="1">
      <c r="E279" s="18"/>
      <c r="S279" s="18"/>
    </row>
    <row r="280" ht="15.75" customHeight="1">
      <c r="E280" s="18"/>
      <c r="S280" s="18"/>
    </row>
    <row r="281" ht="15.75" customHeight="1">
      <c r="E281" s="18"/>
      <c r="S281" s="18"/>
    </row>
    <row r="282" ht="15.75" customHeight="1">
      <c r="E282" s="18"/>
      <c r="S282" s="18"/>
    </row>
    <row r="283" ht="15.75" customHeight="1">
      <c r="E283" s="18"/>
      <c r="S283" s="18"/>
    </row>
    <row r="284" ht="15.75" customHeight="1">
      <c r="E284" s="18"/>
      <c r="S284" s="18"/>
    </row>
    <row r="285" ht="15.75" customHeight="1">
      <c r="E285" s="18"/>
      <c r="S285" s="18"/>
    </row>
    <row r="286" ht="15.75" customHeight="1">
      <c r="E286" s="18"/>
      <c r="S286" s="18"/>
    </row>
    <row r="287" ht="15.75" customHeight="1">
      <c r="E287" s="18"/>
      <c r="S287" s="18"/>
    </row>
    <row r="288" ht="15.75" customHeight="1">
      <c r="E288" s="18"/>
      <c r="S288" s="18"/>
    </row>
    <row r="289" ht="15.75" customHeight="1">
      <c r="E289" s="18"/>
      <c r="S289" s="18"/>
    </row>
    <row r="290" ht="15.75" customHeight="1">
      <c r="E290" s="18"/>
      <c r="S290" s="18"/>
    </row>
    <row r="291" ht="15.75" customHeight="1">
      <c r="E291" s="18"/>
      <c r="S291" s="18"/>
    </row>
    <row r="292" ht="15.75" customHeight="1">
      <c r="E292" s="18"/>
      <c r="S292" s="18"/>
    </row>
    <row r="293" ht="15.75" customHeight="1">
      <c r="E293" s="18"/>
      <c r="S293" s="18"/>
    </row>
    <row r="294" ht="15.75" customHeight="1">
      <c r="E294" s="18"/>
      <c r="S294" s="18"/>
    </row>
    <row r="295" ht="15.75" customHeight="1">
      <c r="E295" s="18"/>
      <c r="S295" s="18"/>
    </row>
    <row r="296" ht="15.75" customHeight="1">
      <c r="E296" s="18"/>
      <c r="S296" s="18"/>
    </row>
    <row r="297" ht="15.75" customHeight="1">
      <c r="E297" s="18"/>
      <c r="S297" s="18"/>
    </row>
    <row r="298" ht="15.75" customHeight="1">
      <c r="E298" s="18"/>
      <c r="S298" s="18"/>
    </row>
    <row r="299" ht="15.75" customHeight="1">
      <c r="E299" s="18"/>
      <c r="S299" s="18"/>
    </row>
    <row r="300" ht="15.75" customHeight="1">
      <c r="E300" s="18"/>
      <c r="S300" s="18"/>
    </row>
    <row r="301" ht="15.75" customHeight="1">
      <c r="E301" s="18"/>
      <c r="S301" s="18"/>
    </row>
    <row r="302" ht="15.75" customHeight="1">
      <c r="E302" s="18"/>
      <c r="S302" s="18"/>
    </row>
    <row r="303" ht="15.75" customHeight="1">
      <c r="E303" s="18"/>
      <c r="S303" s="18"/>
    </row>
    <row r="304" ht="15.75" customHeight="1">
      <c r="E304" s="18"/>
      <c r="S304" s="18"/>
    </row>
    <row r="305" ht="15.75" customHeight="1">
      <c r="E305" s="18"/>
      <c r="S305" s="18"/>
    </row>
    <row r="306" ht="15.75" customHeight="1">
      <c r="E306" s="18"/>
      <c r="S306" s="18"/>
    </row>
    <row r="307" ht="15.75" customHeight="1">
      <c r="E307" s="18"/>
      <c r="S307" s="18"/>
    </row>
    <row r="308" ht="15.75" customHeight="1">
      <c r="E308" s="18"/>
      <c r="S308" s="18"/>
    </row>
    <row r="309" ht="15.75" customHeight="1">
      <c r="E309" s="18"/>
      <c r="S309" s="18"/>
    </row>
    <row r="310" ht="15.75" customHeight="1">
      <c r="E310" s="18"/>
      <c r="S310" s="18"/>
    </row>
    <row r="311" ht="15.75" customHeight="1">
      <c r="E311" s="18"/>
      <c r="S311" s="18"/>
    </row>
    <row r="312" ht="15.75" customHeight="1">
      <c r="E312" s="18"/>
      <c r="S312" s="18"/>
    </row>
    <row r="313" ht="15.75" customHeight="1">
      <c r="E313" s="18"/>
      <c r="S313" s="18"/>
    </row>
    <row r="314" ht="15.75" customHeight="1">
      <c r="E314" s="18"/>
      <c r="S314" s="18"/>
    </row>
    <row r="315" ht="15.75" customHeight="1">
      <c r="E315" s="18"/>
      <c r="S315" s="18"/>
    </row>
    <row r="316" ht="15.75" customHeight="1">
      <c r="E316" s="18"/>
      <c r="S316" s="18"/>
    </row>
    <row r="317" ht="15.75" customHeight="1">
      <c r="E317" s="18"/>
      <c r="S317" s="18"/>
    </row>
    <row r="318" ht="15.75" customHeight="1">
      <c r="E318" s="18"/>
      <c r="S318" s="18"/>
    </row>
    <row r="319" ht="15.75" customHeight="1">
      <c r="E319" s="18"/>
      <c r="S319" s="18"/>
    </row>
    <row r="320" ht="15.75" customHeight="1">
      <c r="E320" s="18"/>
      <c r="S320" s="18"/>
    </row>
    <row r="321" ht="15.75" customHeight="1">
      <c r="E321" s="18"/>
      <c r="S321" s="18"/>
    </row>
    <row r="322" ht="15.75" customHeight="1">
      <c r="E322" s="18"/>
      <c r="S322" s="18"/>
    </row>
    <row r="323" ht="15.75" customHeight="1">
      <c r="E323" s="18"/>
      <c r="S323" s="18"/>
    </row>
    <row r="324" ht="15.75" customHeight="1">
      <c r="E324" s="18"/>
      <c r="S324" s="18"/>
    </row>
    <row r="325" ht="15.75" customHeight="1">
      <c r="E325" s="18"/>
      <c r="S325" s="18"/>
    </row>
    <row r="326" ht="15.75" customHeight="1">
      <c r="E326" s="18"/>
      <c r="S326" s="18"/>
    </row>
    <row r="327" ht="15.75" customHeight="1">
      <c r="E327" s="18"/>
      <c r="S327" s="18"/>
    </row>
    <row r="328" ht="15.75" customHeight="1">
      <c r="E328" s="18"/>
      <c r="S328" s="18"/>
    </row>
    <row r="329" ht="15.75" customHeight="1">
      <c r="E329" s="18"/>
      <c r="S329" s="18"/>
    </row>
    <row r="330" ht="15.75" customHeight="1">
      <c r="E330" s="18"/>
      <c r="S330" s="18"/>
    </row>
    <row r="331" ht="15.75" customHeight="1">
      <c r="E331" s="18"/>
      <c r="S331" s="18"/>
    </row>
    <row r="332" ht="15.75" customHeight="1">
      <c r="E332" s="18"/>
      <c r="S332" s="18"/>
    </row>
    <row r="333" ht="15.75" customHeight="1">
      <c r="E333" s="18"/>
      <c r="S333" s="18"/>
    </row>
    <row r="334" ht="15.75" customHeight="1">
      <c r="E334" s="18"/>
      <c r="S334" s="18"/>
    </row>
    <row r="335" ht="15.75" customHeight="1">
      <c r="E335" s="18"/>
      <c r="S335" s="18"/>
    </row>
    <row r="336" ht="15.75" customHeight="1">
      <c r="E336" s="18"/>
      <c r="S336" s="18"/>
    </row>
    <row r="337" ht="15.75" customHeight="1">
      <c r="E337" s="18"/>
      <c r="S337" s="18"/>
    </row>
    <row r="338" ht="15.75" customHeight="1">
      <c r="E338" s="18"/>
      <c r="S338" s="18"/>
    </row>
    <row r="339" ht="15.75" customHeight="1">
      <c r="E339" s="18"/>
      <c r="S339" s="18"/>
    </row>
    <row r="340" ht="15.75" customHeight="1">
      <c r="E340" s="18"/>
      <c r="S340" s="18"/>
    </row>
    <row r="341" ht="15.75" customHeight="1">
      <c r="E341" s="18"/>
      <c r="S341" s="18"/>
    </row>
    <row r="342" ht="15.75" customHeight="1">
      <c r="E342" s="18"/>
      <c r="S342" s="18"/>
    </row>
    <row r="343" ht="15.75" customHeight="1">
      <c r="E343" s="18"/>
      <c r="S343" s="18"/>
    </row>
    <row r="344" ht="15.75" customHeight="1">
      <c r="E344" s="18"/>
      <c r="S344" s="18"/>
    </row>
    <row r="345" ht="15.75" customHeight="1">
      <c r="E345" s="18"/>
      <c r="S345" s="18"/>
    </row>
    <row r="346" ht="15.75" customHeight="1">
      <c r="E346" s="18"/>
      <c r="S346" s="18"/>
    </row>
    <row r="347" ht="15.75" customHeight="1">
      <c r="E347" s="18"/>
      <c r="S347" s="18"/>
    </row>
    <row r="348" ht="15.75" customHeight="1">
      <c r="E348" s="18"/>
      <c r="S348" s="18"/>
    </row>
    <row r="349" ht="15.75" customHeight="1">
      <c r="E349" s="18"/>
      <c r="S349" s="18"/>
    </row>
    <row r="350" ht="15.75" customHeight="1">
      <c r="E350" s="18"/>
      <c r="S350" s="18"/>
    </row>
    <row r="351" ht="15.75" customHeight="1">
      <c r="E351" s="18"/>
      <c r="S351" s="18"/>
    </row>
    <row r="352" ht="15.75" customHeight="1">
      <c r="E352" s="18"/>
      <c r="S352" s="18"/>
    </row>
    <row r="353" ht="15.75" customHeight="1">
      <c r="E353" s="18"/>
      <c r="S353" s="18"/>
    </row>
    <row r="354" ht="15.75" customHeight="1">
      <c r="E354" s="18"/>
      <c r="S354" s="18"/>
    </row>
    <row r="355" ht="15.75" customHeight="1">
      <c r="E355" s="18"/>
      <c r="S355" s="18"/>
    </row>
    <row r="356" ht="15.75" customHeight="1">
      <c r="E356" s="18"/>
      <c r="S356" s="18"/>
    </row>
    <row r="357" ht="15.75" customHeight="1">
      <c r="E357" s="18"/>
      <c r="S357" s="18"/>
    </row>
    <row r="358" ht="15.75" customHeight="1">
      <c r="E358" s="18"/>
      <c r="S358" s="18"/>
    </row>
    <row r="359" ht="15.75" customHeight="1">
      <c r="E359" s="18"/>
      <c r="S359" s="18"/>
    </row>
    <row r="360" ht="15.75" customHeight="1">
      <c r="E360" s="18"/>
      <c r="S360" s="18"/>
    </row>
    <row r="361" ht="15.75" customHeight="1">
      <c r="E361" s="18"/>
      <c r="S361" s="18"/>
    </row>
    <row r="362" ht="15.75" customHeight="1">
      <c r="E362" s="18"/>
      <c r="S362" s="18"/>
    </row>
    <row r="363" ht="15.75" customHeight="1">
      <c r="E363" s="18"/>
      <c r="S363" s="18"/>
    </row>
    <row r="364" ht="15.75" customHeight="1">
      <c r="E364" s="18"/>
      <c r="S364" s="18"/>
    </row>
    <row r="365" ht="15.75" customHeight="1">
      <c r="E365" s="18"/>
      <c r="S365" s="18"/>
    </row>
    <row r="366" ht="15.75" customHeight="1">
      <c r="E366" s="18"/>
      <c r="S366" s="18"/>
    </row>
    <row r="367" ht="15.75" customHeight="1">
      <c r="E367" s="18"/>
      <c r="S367" s="18"/>
    </row>
    <row r="368" ht="15.75" customHeight="1">
      <c r="E368" s="18"/>
      <c r="S368" s="18"/>
    </row>
    <row r="369" ht="15.75" customHeight="1">
      <c r="E369" s="18"/>
      <c r="S369" s="18"/>
    </row>
    <row r="370" ht="15.75" customHeight="1">
      <c r="E370" s="18"/>
      <c r="S370" s="18"/>
    </row>
    <row r="371" ht="15.75" customHeight="1">
      <c r="E371" s="18"/>
      <c r="S371" s="18"/>
    </row>
    <row r="372" ht="15.75" customHeight="1">
      <c r="E372" s="18"/>
      <c r="S372" s="18"/>
    </row>
    <row r="373" ht="15.75" customHeight="1">
      <c r="E373" s="18"/>
      <c r="S373" s="18"/>
    </row>
    <row r="374" ht="15.75" customHeight="1">
      <c r="E374" s="18"/>
      <c r="S374" s="18"/>
    </row>
    <row r="375" ht="15.75" customHeight="1">
      <c r="E375" s="18"/>
      <c r="S375" s="18"/>
    </row>
    <row r="376" ht="15.75" customHeight="1">
      <c r="E376" s="18"/>
      <c r="S376" s="18"/>
    </row>
    <row r="377" ht="15.75" customHeight="1">
      <c r="E377" s="18"/>
      <c r="S377" s="18"/>
    </row>
    <row r="378" ht="15.75" customHeight="1">
      <c r="E378" s="18"/>
      <c r="S378" s="18"/>
    </row>
    <row r="379" ht="15.75" customHeight="1">
      <c r="E379" s="18"/>
      <c r="S379" s="18"/>
    </row>
    <row r="380" ht="15.75" customHeight="1">
      <c r="E380" s="18"/>
      <c r="S380" s="18"/>
    </row>
    <row r="381" ht="15.75" customHeight="1">
      <c r="E381" s="18"/>
      <c r="S381" s="18"/>
    </row>
    <row r="382" ht="15.75" customHeight="1">
      <c r="E382" s="18"/>
      <c r="S382" s="18"/>
    </row>
    <row r="383" ht="15.75" customHeight="1">
      <c r="E383" s="18"/>
      <c r="S383" s="18"/>
    </row>
    <row r="384" ht="15.75" customHeight="1">
      <c r="E384" s="18"/>
      <c r="S384" s="18"/>
    </row>
    <row r="385" ht="15.75" customHeight="1">
      <c r="E385" s="18"/>
      <c r="S385" s="18"/>
    </row>
    <row r="386" ht="15.75" customHeight="1">
      <c r="E386" s="18"/>
      <c r="S386" s="18"/>
    </row>
    <row r="387" ht="15.75" customHeight="1">
      <c r="E387" s="18"/>
      <c r="S387" s="18"/>
    </row>
    <row r="388" ht="15.75" customHeight="1">
      <c r="E388" s="18"/>
      <c r="S388" s="18"/>
    </row>
    <row r="389" ht="15.75" customHeight="1">
      <c r="E389" s="18"/>
      <c r="S389" s="18"/>
    </row>
    <row r="390" ht="15.75" customHeight="1">
      <c r="E390" s="18"/>
      <c r="S390" s="18"/>
    </row>
    <row r="391" ht="15.75" customHeight="1">
      <c r="E391" s="18"/>
      <c r="S391" s="18"/>
    </row>
    <row r="392" ht="15.75" customHeight="1">
      <c r="E392" s="18"/>
      <c r="S392" s="18"/>
    </row>
    <row r="393" ht="15.75" customHeight="1">
      <c r="E393" s="18"/>
      <c r="S393" s="18"/>
    </row>
    <row r="394" ht="15.75" customHeight="1">
      <c r="E394" s="18"/>
      <c r="S394" s="18"/>
    </row>
    <row r="395" ht="15.75" customHeight="1">
      <c r="E395" s="18"/>
      <c r="S395" s="18"/>
    </row>
    <row r="396" ht="15.75" customHeight="1">
      <c r="E396" s="18"/>
      <c r="S396" s="18"/>
    </row>
    <row r="397" ht="15.75" customHeight="1">
      <c r="E397" s="18"/>
      <c r="S397" s="18"/>
    </row>
    <row r="398" ht="15.75" customHeight="1">
      <c r="E398" s="18"/>
      <c r="S398" s="18"/>
    </row>
    <row r="399" ht="15.75" customHeight="1">
      <c r="E399" s="18"/>
      <c r="S399" s="18"/>
    </row>
    <row r="400" ht="15.75" customHeight="1">
      <c r="E400" s="18"/>
      <c r="S400" s="18"/>
    </row>
    <row r="401" ht="15.75" customHeight="1">
      <c r="E401" s="18"/>
      <c r="S401" s="18"/>
    </row>
    <row r="402" ht="15.75" customHeight="1">
      <c r="E402" s="18"/>
      <c r="S402" s="18"/>
    </row>
    <row r="403" ht="15.75" customHeight="1">
      <c r="E403" s="18"/>
      <c r="S403" s="18"/>
    </row>
    <row r="404" ht="15.75" customHeight="1">
      <c r="E404" s="18"/>
      <c r="S404" s="18"/>
    </row>
    <row r="405" ht="15.75" customHeight="1">
      <c r="E405" s="18"/>
      <c r="S405" s="18"/>
    </row>
    <row r="406" ht="15.75" customHeight="1">
      <c r="E406" s="18"/>
      <c r="S406" s="18"/>
    </row>
    <row r="407" ht="15.75" customHeight="1">
      <c r="E407" s="18"/>
      <c r="S407" s="18"/>
    </row>
    <row r="408" ht="15.75" customHeight="1">
      <c r="E408" s="18"/>
      <c r="S408" s="18"/>
    </row>
    <row r="409" ht="15.75" customHeight="1">
      <c r="E409" s="18"/>
      <c r="S409" s="18"/>
    </row>
    <row r="410" ht="15.75" customHeight="1">
      <c r="E410" s="18"/>
      <c r="S410" s="18"/>
    </row>
    <row r="411" ht="15.75" customHeight="1">
      <c r="E411" s="18"/>
      <c r="S411" s="18"/>
    </row>
    <row r="412" ht="15.75" customHeight="1">
      <c r="E412" s="18"/>
      <c r="S412" s="18"/>
    </row>
    <row r="413" ht="15.75" customHeight="1">
      <c r="E413" s="18"/>
      <c r="S413" s="18"/>
    </row>
    <row r="414" ht="15.75" customHeight="1">
      <c r="E414" s="18"/>
      <c r="S414" s="18"/>
    </row>
    <row r="415" ht="15.75" customHeight="1">
      <c r="E415" s="18"/>
      <c r="S415" s="18"/>
    </row>
    <row r="416" ht="15.75" customHeight="1">
      <c r="E416" s="18"/>
      <c r="S416" s="18"/>
    </row>
    <row r="417" ht="15.75" customHeight="1">
      <c r="E417" s="18"/>
      <c r="S417" s="18"/>
    </row>
    <row r="418" ht="15.75" customHeight="1">
      <c r="E418" s="18"/>
      <c r="S418" s="18"/>
    </row>
    <row r="419" ht="15.75" customHeight="1">
      <c r="E419" s="18"/>
      <c r="S419" s="18"/>
    </row>
    <row r="420" ht="15.75" customHeight="1">
      <c r="E420" s="18"/>
      <c r="S420" s="18"/>
    </row>
    <row r="421" ht="15.75" customHeight="1">
      <c r="E421" s="18"/>
      <c r="S421" s="18"/>
    </row>
    <row r="422" ht="15.75" customHeight="1">
      <c r="E422" s="18"/>
      <c r="S422" s="18"/>
    </row>
    <row r="423" ht="15.75" customHeight="1">
      <c r="E423" s="18"/>
      <c r="S423" s="18"/>
    </row>
    <row r="424" ht="15.75" customHeight="1">
      <c r="E424" s="18"/>
      <c r="S424" s="18"/>
    </row>
    <row r="425" ht="15.75" customHeight="1">
      <c r="E425" s="18"/>
      <c r="S425" s="18"/>
    </row>
    <row r="426" ht="15.75" customHeight="1">
      <c r="E426" s="18"/>
      <c r="S426" s="18"/>
    </row>
    <row r="427" ht="15.75" customHeight="1">
      <c r="E427" s="18"/>
      <c r="S427" s="18"/>
    </row>
    <row r="428" ht="15.75" customHeight="1">
      <c r="E428" s="18"/>
      <c r="S428" s="18"/>
    </row>
    <row r="429" ht="15.75" customHeight="1">
      <c r="E429" s="18"/>
      <c r="S429" s="18"/>
    </row>
    <row r="430" ht="15.75" customHeight="1">
      <c r="E430" s="18"/>
      <c r="S430" s="18"/>
    </row>
    <row r="431" ht="15.75" customHeight="1">
      <c r="E431" s="18"/>
      <c r="S431" s="18"/>
    </row>
    <row r="432" ht="15.75" customHeight="1">
      <c r="E432" s="18"/>
      <c r="S432" s="18"/>
    </row>
    <row r="433" ht="15.75" customHeight="1">
      <c r="E433" s="18"/>
      <c r="S433" s="18"/>
    </row>
    <row r="434" ht="15.75" customHeight="1">
      <c r="E434" s="18"/>
      <c r="S434" s="18"/>
    </row>
    <row r="435" ht="15.75" customHeight="1">
      <c r="E435" s="18"/>
      <c r="S435" s="18"/>
    </row>
    <row r="436" ht="15.75" customHeight="1">
      <c r="E436" s="18"/>
      <c r="S436" s="18"/>
    </row>
    <row r="437" ht="15.75" customHeight="1">
      <c r="E437" s="18"/>
      <c r="S437" s="18"/>
    </row>
    <row r="438" ht="15.75" customHeight="1">
      <c r="E438" s="18"/>
      <c r="S438" s="18"/>
    </row>
    <row r="439" ht="15.75" customHeight="1">
      <c r="E439" s="18"/>
      <c r="S439" s="18"/>
    </row>
    <row r="440" ht="15.75" customHeight="1">
      <c r="E440" s="18"/>
      <c r="S440" s="18"/>
    </row>
    <row r="441" ht="15.75" customHeight="1">
      <c r="E441" s="18"/>
      <c r="S441" s="18"/>
    </row>
    <row r="442" ht="15.75" customHeight="1">
      <c r="E442" s="18"/>
      <c r="S442" s="18"/>
    </row>
    <row r="443" ht="15.75" customHeight="1">
      <c r="E443" s="18"/>
      <c r="S443" s="18"/>
    </row>
    <row r="444" ht="15.75" customHeight="1">
      <c r="E444" s="18"/>
      <c r="S444" s="18"/>
    </row>
    <row r="445" ht="15.75" customHeight="1">
      <c r="E445" s="18"/>
      <c r="S445" s="18"/>
    </row>
    <row r="446" ht="15.75" customHeight="1">
      <c r="E446" s="18"/>
      <c r="S446" s="18"/>
    </row>
    <row r="447" ht="15.75" customHeight="1">
      <c r="E447" s="18"/>
      <c r="S447" s="18"/>
    </row>
    <row r="448" ht="15.75" customHeight="1">
      <c r="E448" s="18"/>
      <c r="S448" s="18"/>
    </row>
    <row r="449" ht="15.75" customHeight="1">
      <c r="E449" s="18"/>
      <c r="S449" s="18"/>
    </row>
    <row r="450" ht="15.75" customHeight="1">
      <c r="E450" s="18"/>
      <c r="S450" s="18"/>
    </row>
    <row r="451" ht="15.75" customHeight="1">
      <c r="E451" s="18"/>
      <c r="S451" s="18"/>
    </row>
    <row r="452" ht="15.75" customHeight="1">
      <c r="E452" s="18"/>
      <c r="S452" s="18"/>
    </row>
    <row r="453" ht="15.75" customHeight="1">
      <c r="E453" s="18"/>
      <c r="S453" s="18"/>
    </row>
    <row r="454" ht="15.75" customHeight="1">
      <c r="E454" s="18"/>
      <c r="S454" s="18"/>
    </row>
    <row r="455" ht="15.75" customHeight="1">
      <c r="E455" s="18"/>
      <c r="S455" s="18"/>
    </row>
    <row r="456" ht="15.75" customHeight="1">
      <c r="E456" s="18"/>
      <c r="S456" s="18"/>
    </row>
    <row r="457" ht="15.75" customHeight="1">
      <c r="E457" s="18"/>
      <c r="S457" s="18"/>
    </row>
    <row r="458" ht="15.75" customHeight="1">
      <c r="E458" s="18"/>
      <c r="S458" s="18"/>
    </row>
    <row r="459" ht="15.75" customHeight="1">
      <c r="E459" s="18"/>
      <c r="S459" s="18"/>
    </row>
    <row r="460" ht="15.75" customHeight="1">
      <c r="E460" s="18"/>
      <c r="S460" s="18"/>
    </row>
    <row r="461" ht="15.75" customHeight="1">
      <c r="E461" s="18"/>
      <c r="S461" s="18"/>
    </row>
    <row r="462" ht="15.75" customHeight="1">
      <c r="E462" s="18"/>
      <c r="S462" s="18"/>
    </row>
    <row r="463" ht="15.75" customHeight="1">
      <c r="E463" s="18"/>
      <c r="S463" s="18"/>
    </row>
    <row r="464" ht="15.75" customHeight="1">
      <c r="E464" s="18"/>
      <c r="S464" s="18"/>
    </row>
    <row r="465" ht="15.75" customHeight="1">
      <c r="E465" s="18"/>
      <c r="S465" s="18"/>
    </row>
    <row r="466" ht="15.75" customHeight="1">
      <c r="E466" s="18"/>
      <c r="S466" s="18"/>
    </row>
    <row r="467" ht="15.75" customHeight="1">
      <c r="E467" s="18"/>
      <c r="S467" s="18"/>
    </row>
    <row r="468" ht="15.75" customHeight="1">
      <c r="E468" s="18"/>
      <c r="S468" s="18"/>
    </row>
    <row r="469" ht="15.75" customHeight="1">
      <c r="E469" s="18"/>
      <c r="S469" s="18"/>
    </row>
    <row r="470" ht="15.75" customHeight="1">
      <c r="E470" s="18"/>
      <c r="S470" s="18"/>
    </row>
    <row r="471" ht="15.75" customHeight="1">
      <c r="E471" s="18"/>
      <c r="S471" s="18"/>
    </row>
    <row r="472" ht="15.75" customHeight="1">
      <c r="E472" s="18"/>
      <c r="S472" s="18"/>
    </row>
    <row r="473" ht="15.75" customHeight="1">
      <c r="E473" s="18"/>
      <c r="S473" s="18"/>
    </row>
    <row r="474" ht="15.75" customHeight="1">
      <c r="E474" s="18"/>
      <c r="S474" s="18"/>
    </row>
    <row r="475" ht="15.75" customHeight="1">
      <c r="E475" s="18"/>
      <c r="S475" s="18"/>
    </row>
    <row r="476" ht="15.75" customHeight="1">
      <c r="E476" s="18"/>
      <c r="S476" s="18"/>
    </row>
    <row r="477" ht="15.75" customHeight="1">
      <c r="E477" s="18"/>
      <c r="S477" s="18"/>
    </row>
    <row r="478" ht="15.75" customHeight="1">
      <c r="E478" s="18"/>
      <c r="S478" s="18"/>
    </row>
    <row r="479" ht="15.75" customHeight="1">
      <c r="E479" s="18"/>
      <c r="S479" s="18"/>
    </row>
    <row r="480" ht="15.75" customHeight="1">
      <c r="E480" s="18"/>
      <c r="S480" s="18"/>
    </row>
    <row r="481" ht="15.75" customHeight="1">
      <c r="E481" s="18"/>
      <c r="S481" s="18"/>
    </row>
    <row r="482" ht="15.75" customHeight="1">
      <c r="E482" s="18"/>
      <c r="S482" s="18"/>
    </row>
    <row r="483" ht="15.75" customHeight="1">
      <c r="E483" s="18"/>
      <c r="S483" s="18"/>
    </row>
    <row r="484" ht="15.75" customHeight="1">
      <c r="E484" s="18"/>
      <c r="S484" s="18"/>
    </row>
    <row r="485" ht="15.75" customHeight="1">
      <c r="E485" s="18"/>
      <c r="S485" s="18"/>
    </row>
    <row r="486" ht="15.75" customHeight="1">
      <c r="E486" s="18"/>
      <c r="S486" s="18"/>
    </row>
    <row r="487" ht="15.75" customHeight="1">
      <c r="E487" s="18"/>
      <c r="S487" s="18"/>
    </row>
    <row r="488" ht="15.75" customHeight="1">
      <c r="E488" s="18"/>
      <c r="S488" s="18"/>
    </row>
    <row r="489" ht="15.75" customHeight="1">
      <c r="E489" s="18"/>
      <c r="S489" s="18"/>
    </row>
    <row r="490" ht="15.75" customHeight="1">
      <c r="E490" s="18"/>
      <c r="S490" s="18"/>
    </row>
    <row r="491" ht="15.75" customHeight="1">
      <c r="E491" s="18"/>
      <c r="S491" s="18"/>
    </row>
    <row r="492" ht="15.75" customHeight="1">
      <c r="E492" s="18"/>
      <c r="S492" s="18"/>
    </row>
    <row r="493" ht="15.75" customHeight="1">
      <c r="E493" s="18"/>
      <c r="S493" s="18"/>
    </row>
    <row r="494" ht="15.75" customHeight="1">
      <c r="E494" s="18"/>
      <c r="S494" s="18"/>
    </row>
    <row r="495" ht="15.75" customHeight="1">
      <c r="E495" s="18"/>
      <c r="S495" s="18"/>
    </row>
    <row r="496" ht="15.75" customHeight="1">
      <c r="E496" s="18"/>
      <c r="S496" s="18"/>
    </row>
    <row r="497" ht="15.75" customHeight="1">
      <c r="E497" s="18"/>
      <c r="S497" s="18"/>
    </row>
    <row r="498" ht="15.75" customHeight="1">
      <c r="E498" s="18"/>
      <c r="S498" s="18"/>
    </row>
    <row r="499" ht="15.75" customHeight="1">
      <c r="E499" s="18"/>
      <c r="S499" s="18"/>
    </row>
    <row r="500" ht="15.75" customHeight="1">
      <c r="E500" s="18"/>
      <c r="S500" s="18"/>
    </row>
    <row r="501" ht="15.75" customHeight="1">
      <c r="E501" s="18"/>
      <c r="S501" s="18"/>
    </row>
    <row r="502" ht="15.75" customHeight="1">
      <c r="E502" s="18"/>
      <c r="S502" s="18"/>
    </row>
    <row r="503" ht="15.75" customHeight="1">
      <c r="E503" s="18"/>
      <c r="S503" s="18"/>
    </row>
    <row r="504" ht="15.75" customHeight="1">
      <c r="E504" s="18"/>
      <c r="S504" s="18"/>
    </row>
    <row r="505" ht="15.75" customHeight="1">
      <c r="E505" s="18"/>
      <c r="S505" s="18"/>
    </row>
    <row r="506" ht="15.75" customHeight="1">
      <c r="E506" s="18"/>
      <c r="S506" s="18"/>
    </row>
    <row r="507" ht="15.75" customHeight="1">
      <c r="E507" s="18"/>
      <c r="S507" s="18"/>
    </row>
    <row r="508" ht="15.75" customHeight="1">
      <c r="E508" s="18"/>
      <c r="S508" s="18"/>
    </row>
    <row r="509" ht="15.75" customHeight="1">
      <c r="E509" s="18"/>
      <c r="S509" s="18"/>
    </row>
    <row r="510" ht="15.75" customHeight="1">
      <c r="E510" s="18"/>
      <c r="S510" s="18"/>
    </row>
    <row r="511" ht="15.75" customHeight="1">
      <c r="E511" s="18"/>
      <c r="S511" s="18"/>
    </row>
    <row r="512" ht="15.75" customHeight="1">
      <c r="E512" s="18"/>
      <c r="S512" s="18"/>
    </row>
    <row r="513" ht="15.75" customHeight="1">
      <c r="E513" s="18"/>
      <c r="S513" s="18"/>
    </row>
    <row r="514" ht="15.75" customHeight="1">
      <c r="E514" s="18"/>
      <c r="S514" s="18"/>
    </row>
    <row r="515" ht="15.75" customHeight="1">
      <c r="E515" s="18"/>
      <c r="S515" s="18"/>
    </row>
    <row r="516" ht="15.75" customHeight="1">
      <c r="E516" s="18"/>
      <c r="S516" s="18"/>
    </row>
    <row r="517" ht="15.75" customHeight="1">
      <c r="E517" s="18"/>
      <c r="S517" s="18"/>
    </row>
    <row r="518" ht="15.75" customHeight="1">
      <c r="E518" s="18"/>
      <c r="S518" s="18"/>
    </row>
    <row r="519" ht="15.75" customHeight="1">
      <c r="E519" s="18"/>
      <c r="S519" s="18"/>
    </row>
    <row r="520" ht="15.75" customHeight="1">
      <c r="E520" s="18"/>
      <c r="S520" s="18"/>
    </row>
    <row r="521" ht="15.75" customHeight="1">
      <c r="E521" s="18"/>
      <c r="S521" s="18"/>
    </row>
    <row r="522" ht="15.75" customHeight="1">
      <c r="E522" s="18"/>
      <c r="S522" s="18"/>
    </row>
    <row r="523" ht="15.75" customHeight="1">
      <c r="E523" s="18"/>
      <c r="S523" s="18"/>
    </row>
    <row r="524" ht="15.75" customHeight="1">
      <c r="E524" s="18"/>
      <c r="S524" s="18"/>
    </row>
    <row r="525" ht="15.75" customHeight="1">
      <c r="E525" s="18"/>
      <c r="S525" s="18"/>
    </row>
    <row r="526" ht="15.75" customHeight="1">
      <c r="E526" s="18"/>
      <c r="S526" s="18"/>
    </row>
    <row r="527" ht="15.75" customHeight="1">
      <c r="E527" s="18"/>
      <c r="S527" s="18"/>
    </row>
    <row r="528" ht="15.75" customHeight="1">
      <c r="E528" s="18"/>
      <c r="S528" s="18"/>
    </row>
    <row r="529" ht="15.75" customHeight="1">
      <c r="E529" s="18"/>
      <c r="S529" s="18"/>
    </row>
    <row r="530" ht="15.75" customHeight="1">
      <c r="E530" s="18"/>
      <c r="S530" s="18"/>
    </row>
    <row r="531" ht="15.75" customHeight="1">
      <c r="E531" s="18"/>
      <c r="S531" s="18"/>
    </row>
    <row r="532" ht="15.75" customHeight="1">
      <c r="E532" s="18"/>
      <c r="S532" s="18"/>
    </row>
    <row r="533" ht="15.75" customHeight="1">
      <c r="E533" s="18"/>
      <c r="S533" s="18"/>
    </row>
    <row r="534" ht="15.75" customHeight="1">
      <c r="E534" s="18"/>
      <c r="S534" s="18"/>
    </row>
    <row r="535" ht="15.75" customHeight="1">
      <c r="E535" s="18"/>
      <c r="S535" s="18"/>
    </row>
    <row r="536" ht="15.75" customHeight="1">
      <c r="E536" s="18"/>
      <c r="S536" s="18"/>
    </row>
    <row r="537" ht="15.75" customHeight="1">
      <c r="E537" s="18"/>
      <c r="S537" s="18"/>
    </row>
    <row r="538" ht="15.75" customHeight="1">
      <c r="E538" s="18"/>
      <c r="S538" s="18"/>
    </row>
    <row r="539" ht="15.75" customHeight="1">
      <c r="E539" s="18"/>
      <c r="S539" s="18"/>
    </row>
    <row r="540" ht="15.75" customHeight="1">
      <c r="E540" s="18"/>
      <c r="S540" s="18"/>
    </row>
    <row r="541" ht="15.75" customHeight="1">
      <c r="E541" s="18"/>
      <c r="S541" s="18"/>
    </row>
    <row r="542" ht="15.75" customHeight="1">
      <c r="E542" s="18"/>
      <c r="S542" s="18"/>
    </row>
    <row r="543" ht="15.75" customHeight="1">
      <c r="E543" s="18"/>
      <c r="S543" s="18"/>
    </row>
    <row r="544" ht="15.75" customHeight="1">
      <c r="E544" s="18"/>
      <c r="S544" s="18"/>
    </row>
    <row r="545" ht="15.75" customHeight="1">
      <c r="E545" s="18"/>
      <c r="S545" s="18"/>
    </row>
    <row r="546" ht="15.75" customHeight="1">
      <c r="E546" s="18"/>
      <c r="S546" s="18"/>
    </row>
    <row r="547" ht="15.75" customHeight="1">
      <c r="E547" s="18"/>
      <c r="S547" s="18"/>
    </row>
    <row r="548" ht="15.75" customHeight="1">
      <c r="E548" s="18"/>
      <c r="S548" s="18"/>
    </row>
    <row r="549" ht="15.75" customHeight="1">
      <c r="E549" s="18"/>
      <c r="S549" s="18"/>
    </row>
    <row r="550" ht="15.75" customHeight="1">
      <c r="E550" s="18"/>
      <c r="S550" s="18"/>
    </row>
    <row r="551" ht="15.75" customHeight="1">
      <c r="E551" s="18"/>
      <c r="S551" s="18"/>
    </row>
    <row r="552" ht="15.75" customHeight="1">
      <c r="E552" s="18"/>
      <c r="S552" s="18"/>
    </row>
    <row r="553" ht="15.75" customHeight="1">
      <c r="E553" s="18"/>
      <c r="S553" s="18"/>
    </row>
    <row r="554" ht="15.75" customHeight="1">
      <c r="E554" s="18"/>
      <c r="S554" s="18"/>
    </row>
    <row r="555" ht="15.75" customHeight="1">
      <c r="E555" s="18"/>
      <c r="S555" s="18"/>
    </row>
    <row r="556" ht="15.75" customHeight="1">
      <c r="E556" s="18"/>
      <c r="S556" s="18"/>
    </row>
    <row r="557" ht="15.75" customHeight="1">
      <c r="E557" s="18"/>
      <c r="S557" s="18"/>
    </row>
    <row r="558" ht="15.75" customHeight="1">
      <c r="E558" s="18"/>
      <c r="S558" s="18"/>
    </row>
    <row r="559" ht="15.75" customHeight="1">
      <c r="E559" s="18"/>
      <c r="S559" s="18"/>
    </row>
    <row r="560" ht="15.75" customHeight="1">
      <c r="E560" s="18"/>
      <c r="S560" s="18"/>
    </row>
    <row r="561" ht="15.75" customHeight="1">
      <c r="E561" s="18"/>
      <c r="S561" s="18"/>
    </row>
    <row r="562" ht="15.75" customHeight="1">
      <c r="E562" s="18"/>
      <c r="S562" s="18"/>
    </row>
    <row r="563" ht="15.75" customHeight="1">
      <c r="E563" s="18"/>
      <c r="S563" s="18"/>
    </row>
    <row r="564" ht="15.75" customHeight="1">
      <c r="E564" s="18"/>
      <c r="S564" s="18"/>
    </row>
    <row r="565" ht="15.75" customHeight="1">
      <c r="E565" s="18"/>
      <c r="S565" s="18"/>
    </row>
    <row r="566" ht="15.75" customHeight="1">
      <c r="E566" s="18"/>
      <c r="S566" s="18"/>
    </row>
    <row r="567" ht="15.75" customHeight="1">
      <c r="E567" s="18"/>
      <c r="S567" s="18"/>
    </row>
    <row r="568" ht="15.75" customHeight="1">
      <c r="E568" s="18"/>
      <c r="S568" s="18"/>
    </row>
    <row r="569" ht="15.75" customHeight="1">
      <c r="E569" s="18"/>
      <c r="S569" s="18"/>
    </row>
    <row r="570" ht="15.75" customHeight="1">
      <c r="E570" s="18"/>
      <c r="S570" s="18"/>
    </row>
    <row r="571" ht="15.75" customHeight="1">
      <c r="E571" s="18"/>
      <c r="S571" s="18"/>
    </row>
    <row r="572" ht="15.75" customHeight="1">
      <c r="E572" s="18"/>
      <c r="S572" s="18"/>
    </row>
    <row r="573" ht="15.75" customHeight="1">
      <c r="E573" s="18"/>
      <c r="S573" s="18"/>
    </row>
    <row r="574" ht="15.75" customHeight="1">
      <c r="E574" s="18"/>
      <c r="S574" s="18"/>
    </row>
    <row r="575" ht="15.75" customHeight="1">
      <c r="E575" s="18"/>
      <c r="S575" s="18"/>
    </row>
    <row r="576" ht="15.75" customHeight="1">
      <c r="E576" s="18"/>
      <c r="S576" s="18"/>
    </row>
    <row r="577" ht="15.75" customHeight="1">
      <c r="E577" s="18"/>
      <c r="S577" s="18"/>
    </row>
    <row r="578" ht="15.75" customHeight="1">
      <c r="E578" s="18"/>
      <c r="S578" s="18"/>
    </row>
    <row r="579" ht="15.75" customHeight="1">
      <c r="E579" s="18"/>
      <c r="S579" s="18"/>
    </row>
    <row r="580" ht="15.75" customHeight="1">
      <c r="E580" s="18"/>
      <c r="S580" s="18"/>
    </row>
    <row r="581" ht="15.75" customHeight="1">
      <c r="E581" s="18"/>
      <c r="S581" s="18"/>
    </row>
    <row r="582" ht="15.75" customHeight="1">
      <c r="E582" s="18"/>
      <c r="S582" s="18"/>
    </row>
    <row r="583" ht="15.75" customHeight="1">
      <c r="E583" s="18"/>
      <c r="S583" s="18"/>
    </row>
    <row r="584" ht="15.75" customHeight="1">
      <c r="E584" s="18"/>
      <c r="S584" s="18"/>
    </row>
    <row r="585" ht="15.75" customHeight="1">
      <c r="E585" s="18"/>
      <c r="S585" s="18"/>
    </row>
    <row r="586" ht="15.75" customHeight="1">
      <c r="E586" s="18"/>
      <c r="S586" s="18"/>
    </row>
    <row r="587" ht="15.75" customHeight="1">
      <c r="E587" s="18"/>
      <c r="S587" s="18"/>
    </row>
    <row r="588" ht="15.75" customHeight="1">
      <c r="E588" s="18"/>
      <c r="S588" s="18"/>
    </row>
    <row r="589" ht="15.75" customHeight="1">
      <c r="E589" s="18"/>
      <c r="S589" s="18"/>
    </row>
    <row r="590" ht="15.75" customHeight="1">
      <c r="E590" s="18"/>
      <c r="S590" s="18"/>
    </row>
    <row r="591" ht="15.75" customHeight="1">
      <c r="E591" s="18"/>
      <c r="S591" s="18"/>
    </row>
    <row r="592" ht="15.75" customHeight="1">
      <c r="E592" s="18"/>
      <c r="S592" s="18"/>
    </row>
    <row r="593" ht="15.75" customHeight="1">
      <c r="E593" s="18"/>
      <c r="S593" s="18"/>
    </row>
    <row r="594" ht="15.75" customHeight="1">
      <c r="E594" s="18"/>
      <c r="S594" s="18"/>
    </row>
    <row r="595" ht="15.75" customHeight="1">
      <c r="E595" s="18"/>
      <c r="S595" s="18"/>
    </row>
    <row r="596" ht="15.75" customHeight="1">
      <c r="E596" s="18"/>
      <c r="S596" s="18"/>
    </row>
    <row r="597" ht="15.75" customHeight="1">
      <c r="E597" s="18"/>
      <c r="S597" s="18"/>
    </row>
    <row r="598" ht="15.75" customHeight="1">
      <c r="E598" s="18"/>
      <c r="S598" s="18"/>
    </row>
    <row r="599" ht="15.75" customHeight="1">
      <c r="E599" s="18"/>
      <c r="S599" s="18"/>
    </row>
    <row r="600" ht="15.75" customHeight="1">
      <c r="E600" s="18"/>
      <c r="S600" s="18"/>
    </row>
    <row r="601" ht="15.75" customHeight="1">
      <c r="E601" s="18"/>
      <c r="S601" s="18"/>
    </row>
    <row r="602" ht="15.75" customHeight="1">
      <c r="E602" s="18"/>
      <c r="S602" s="18"/>
    </row>
    <row r="603" ht="15.75" customHeight="1">
      <c r="E603" s="18"/>
      <c r="S603" s="18"/>
    </row>
    <row r="604" ht="15.75" customHeight="1">
      <c r="E604" s="18"/>
      <c r="S604" s="18"/>
    </row>
    <row r="605" ht="15.75" customHeight="1">
      <c r="E605" s="18"/>
      <c r="S605" s="18"/>
    </row>
    <row r="606" ht="15.75" customHeight="1">
      <c r="E606" s="18"/>
      <c r="S606" s="18"/>
    </row>
    <row r="607" ht="15.75" customHeight="1">
      <c r="E607" s="18"/>
      <c r="S607" s="18"/>
    </row>
    <row r="608" ht="15.75" customHeight="1">
      <c r="E608" s="18"/>
      <c r="S608" s="18"/>
    </row>
    <row r="609" ht="15.75" customHeight="1">
      <c r="E609" s="18"/>
      <c r="S609" s="18"/>
    </row>
    <row r="610" ht="15.75" customHeight="1">
      <c r="E610" s="18"/>
      <c r="S610" s="18"/>
    </row>
    <row r="611" ht="15.75" customHeight="1">
      <c r="E611" s="18"/>
      <c r="S611" s="18"/>
    </row>
    <row r="612" ht="15.75" customHeight="1">
      <c r="E612" s="18"/>
      <c r="S612" s="18"/>
    </row>
    <row r="613" ht="15.75" customHeight="1">
      <c r="E613" s="18"/>
      <c r="S613" s="18"/>
    </row>
    <row r="614" ht="15.75" customHeight="1">
      <c r="E614" s="18"/>
      <c r="S614" s="18"/>
    </row>
    <row r="615" ht="15.75" customHeight="1">
      <c r="E615" s="18"/>
      <c r="S615" s="18"/>
    </row>
    <row r="616" ht="15.75" customHeight="1">
      <c r="E616" s="18"/>
      <c r="S616" s="18"/>
    </row>
    <row r="617" ht="15.75" customHeight="1">
      <c r="E617" s="18"/>
      <c r="S617" s="18"/>
    </row>
    <row r="618" ht="15.75" customHeight="1">
      <c r="E618" s="18"/>
      <c r="S618" s="18"/>
    </row>
    <row r="619" ht="15.75" customHeight="1">
      <c r="E619" s="18"/>
      <c r="S619" s="18"/>
    </row>
    <row r="620" ht="15.75" customHeight="1">
      <c r="E620" s="18"/>
      <c r="S620" s="18"/>
    </row>
    <row r="621" ht="15.75" customHeight="1">
      <c r="E621" s="18"/>
      <c r="S621" s="18"/>
    </row>
    <row r="622" ht="15.75" customHeight="1">
      <c r="E622" s="18"/>
      <c r="S622" s="18"/>
    </row>
    <row r="623" ht="15.75" customHeight="1">
      <c r="E623" s="18"/>
      <c r="S623" s="18"/>
    </row>
    <row r="624" ht="15.75" customHeight="1">
      <c r="E624" s="18"/>
      <c r="S624" s="18"/>
    </row>
    <row r="625" ht="15.75" customHeight="1">
      <c r="E625" s="18"/>
      <c r="S625" s="18"/>
    </row>
    <row r="626" ht="15.75" customHeight="1">
      <c r="E626" s="18"/>
      <c r="S626" s="18"/>
    </row>
    <row r="627" ht="15.75" customHeight="1">
      <c r="E627" s="18"/>
      <c r="S627" s="18"/>
    </row>
    <row r="628" ht="15.75" customHeight="1">
      <c r="E628" s="18"/>
      <c r="S628" s="18"/>
    </row>
    <row r="629" ht="15.75" customHeight="1">
      <c r="E629" s="18"/>
      <c r="S629" s="18"/>
    </row>
    <row r="630" ht="15.75" customHeight="1">
      <c r="E630" s="18"/>
      <c r="S630" s="18"/>
    </row>
    <row r="631" ht="15.75" customHeight="1">
      <c r="E631" s="18"/>
      <c r="S631" s="18"/>
    </row>
    <row r="632" ht="15.75" customHeight="1">
      <c r="E632" s="18"/>
      <c r="S632" s="18"/>
    </row>
    <row r="633" ht="15.75" customHeight="1">
      <c r="E633" s="18"/>
      <c r="S633" s="18"/>
    </row>
    <row r="634" ht="15.75" customHeight="1">
      <c r="E634" s="18"/>
      <c r="S634" s="18"/>
    </row>
    <row r="635" ht="15.75" customHeight="1">
      <c r="E635" s="18"/>
      <c r="S635" s="18"/>
    </row>
    <row r="636" ht="15.75" customHeight="1">
      <c r="E636" s="18"/>
      <c r="S636" s="18"/>
    </row>
    <row r="637" ht="15.75" customHeight="1">
      <c r="E637" s="18"/>
      <c r="S637" s="18"/>
    </row>
    <row r="638" ht="15.75" customHeight="1">
      <c r="E638" s="18"/>
      <c r="S638" s="18"/>
    </row>
    <row r="639" ht="15.75" customHeight="1">
      <c r="E639" s="18"/>
      <c r="S639" s="18"/>
    </row>
    <row r="640" ht="15.75" customHeight="1">
      <c r="E640" s="18"/>
      <c r="S640" s="18"/>
    </row>
    <row r="641" ht="15.75" customHeight="1">
      <c r="E641" s="18"/>
      <c r="S641" s="18"/>
    </row>
    <row r="642" ht="15.75" customHeight="1">
      <c r="E642" s="18"/>
      <c r="S642" s="18"/>
    </row>
    <row r="643" ht="15.75" customHeight="1">
      <c r="E643" s="18"/>
      <c r="S643" s="18"/>
    </row>
    <row r="644" ht="15.75" customHeight="1">
      <c r="E644" s="18"/>
      <c r="S644" s="18"/>
    </row>
    <row r="645" ht="15.75" customHeight="1">
      <c r="E645" s="18"/>
      <c r="S645" s="18"/>
    </row>
    <row r="646" ht="15.75" customHeight="1">
      <c r="E646" s="18"/>
      <c r="S646" s="18"/>
    </row>
    <row r="647" ht="15.75" customHeight="1">
      <c r="E647" s="18"/>
      <c r="S647" s="18"/>
    </row>
    <row r="648" ht="15.75" customHeight="1">
      <c r="E648" s="18"/>
      <c r="S648" s="18"/>
    </row>
    <row r="649" ht="15.75" customHeight="1">
      <c r="E649" s="18"/>
      <c r="S649" s="18"/>
    </row>
    <row r="650" ht="15.75" customHeight="1">
      <c r="E650" s="18"/>
      <c r="S650" s="18"/>
    </row>
    <row r="651" ht="15.75" customHeight="1">
      <c r="E651" s="18"/>
      <c r="S651" s="18"/>
    </row>
    <row r="652" ht="15.75" customHeight="1">
      <c r="E652" s="18"/>
      <c r="S652" s="18"/>
    </row>
    <row r="653" ht="15.75" customHeight="1">
      <c r="E653" s="18"/>
      <c r="S653" s="18"/>
    </row>
    <row r="654" ht="15.75" customHeight="1">
      <c r="E654" s="18"/>
      <c r="S654" s="18"/>
    </row>
    <row r="655" ht="15.75" customHeight="1">
      <c r="E655" s="18"/>
      <c r="S655" s="18"/>
    </row>
    <row r="656" ht="15.75" customHeight="1">
      <c r="E656" s="18"/>
      <c r="S656" s="18"/>
    </row>
    <row r="657" ht="15.75" customHeight="1">
      <c r="E657" s="18"/>
      <c r="S657" s="18"/>
    </row>
    <row r="658" ht="15.75" customHeight="1">
      <c r="E658" s="18"/>
      <c r="S658" s="18"/>
    </row>
    <row r="659" ht="15.75" customHeight="1">
      <c r="E659" s="18"/>
      <c r="S659" s="18"/>
    </row>
    <row r="660" ht="15.75" customHeight="1">
      <c r="E660" s="18"/>
      <c r="S660" s="18"/>
    </row>
    <row r="661" ht="15.75" customHeight="1">
      <c r="E661" s="18"/>
      <c r="S661" s="18"/>
    </row>
    <row r="662" ht="15.75" customHeight="1">
      <c r="E662" s="18"/>
      <c r="S662" s="18"/>
    </row>
    <row r="663" ht="15.75" customHeight="1">
      <c r="E663" s="18"/>
      <c r="S663" s="18"/>
    </row>
    <row r="664" ht="15.75" customHeight="1">
      <c r="E664" s="18"/>
      <c r="S664" s="18"/>
    </row>
    <row r="665" ht="15.75" customHeight="1">
      <c r="E665" s="18"/>
      <c r="S665" s="18"/>
    </row>
    <row r="666" ht="15.75" customHeight="1">
      <c r="E666" s="18"/>
      <c r="S666" s="18"/>
    </row>
    <row r="667" ht="15.75" customHeight="1">
      <c r="E667" s="18"/>
      <c r="S667" s="18"/>
    </row>
    <row r="668" ht="15.75" customHeight="1">
      <c r="E668" s="18"/>
      <c r="S668" s="18"/>
    </row>
    <row r="669" ht="15.75" customHeight="1">
      <c r="E669" s="18"/>
      <c r="S669" s="18"/>
    </row>
    <row r="670" ht="15.75" customHeight="1">
      <c r="E670" s="18"/>
      <c r="S670" s="18"/>
    </row>
    <row r="671" ht="15.75" customHeight="1">
      <c r="E671" s="18"/>
      <c r="S671" s="18"/>
    </row>
    <row r="672" ht="15.75" customHeight="1">
      <c r="E672" s="18"/>
      <c r="S672" s="18"/>
    </row>
    <row r="673" ht="15.75" customHeight="1">
      <c r="E673" s="18"/>
      <c r="S673" s="18"/>
    </row>
    <row r="674" ht="15.75" customHeight="1">
      <c r="E674" s="18"/>
      <c r="S674" s="18"/>
    </row>
    <row r="675" ht="15.75" customHeight="1">
      <c r="E675" s="18"/>
      <c r="S675" s="18"/>
    </row>
    <row r="676" ht="15.75" customHeight="1">
      <c r="E676" s="18"/>
      <c r="S676" s="18"/>
    </row>
    <row r="677" ht="15.75" customHeight="1">
      <c r="E677" s="18"/>
      <c r="S677" s="18"/>
    </row>
    <row r="678" ht="15.75" customHeight="1">
      <c r="E678" s="18"/>
      <c r="S678" s="18"/>
    </row>
    <row r="679" ht="15.75" customHeight="1">
      <c r="E679" s="18"/>
      <c r="S679" s="18"/>
    </row>
    <row r="680" ht="15.75" customHeight="1">
      <c r="E680" s="18"/>
      <c r="S680" s="18"/>
    </row>
    <row r="681" ht="15.75" customHeight="1">
      <c r="E681" s="18"/>
      <c r="S681" s="18"/>
    </row>
    <row r="682" ht="15.75" customHeight="1">
      <c r="E682" s="18"/>
      <c r="S682" s="18"/>
    </row>
    <row r="683" ht="15.75" customHeight="1">
      <c r="E683" s="18"/>
      <c r="S683" s="18"/>
    </row>
    <row r="684" ht="15.75" customHeight="1">
      <c r="E684" s="18"/>
      <c r="S684" s="18"/>
    </row>
    <row r="685" ht="15.75" customHeight="1">
      <c r="E685" s="18"/>
      <c r="S685" s="18"/>
    </row>
    <row r="686" ht="15.75" customHeight="1">
      <c r="E686" s="18"/>
      <c r="S686" s="18"/>
    </row>
    <row r="687" ht="15.75" customHeight="1">
      <c r="E687" s="18"/>
      <c r="S687" s="18"/>
    </row>
    <row r="688" ht="15.75" customHeight="1">
      <c r="E688" s="18"/>
      <c r="S688" s="18"/>
    </row>
    <row r="689" ht="15.75" customHeight="1">
      <c r="E689" s="18"/>
      <c r="S689" s="18"/>
    </row>
    <row r="690" ht="15.75" customHeight="1">
      <c r="E690" s="18"/>
      <c r="S690" s="18"/>
    </row>
    <row r="691" ht="15.75" customHeight="1">
      <c r="E691" s="18"/>
      <c r="S691" s="18"/>
    </row>
    <row r="692" ht="15.75" customHeight="1">
      <c r="E692" s="18"/>
      <c r="S692" s="18"/>
    </row>
    <row r="693" ht="15.75" customHeight="1">
      <c r="E693" s="18"/>
      <c r="S693" s="18"/>
    </row>
    <row r="694" ht="15.75" customHeight="1">
      <c r="E694" s="18"/>
      <c r="S694" s="18"/>
    </row>
    <row r="695" ht="15.75" customHeight="1">
      <c r="E695" s="18"/>
      <c r="S695" s="18"/>
    </row>
    <row r="696" ht="15.75" customHeight="1">
      <c r="E696" s="18"/>
      <c r="S696" s="18"/>
    </row>
    <row r="697" ht="15.75" customHeight="1">
      <c r="E697" s="18"/>
      <c r="S697" s="18"/>
    </row>
    <row r="698" ht="15.75" customHeight="1">
      <c r="E698" s="18"/>
      <c r="S698" s="18"/>
    </row>
    <row r="699" ht="15.75" customHeight="1">
      <c r="E699" s="18"/>
      <c r="S699" s="18"/>
    </row>
    <row r="700" ht="15.75" customHeight="1">
      <c r="E700" s="18"/>
      <c r="S700" s="18"/>
    </row>
    <row r="701" ht="15.75" customHeight="1">
      <c r="E701" s="18"/>
      <c r="S701" s="18"/>
    </row>
    <row r="702" ht="15.75" customHeight="1">
      <c r="E702" s="18"/>
      <c r="S702" s="18"/>
    </row>
    <row r="703" ht="15.75" customHeight="1">
      <c r="E703" s="18"/>
      <c r="S703" s="18"/>
    </row>
    <row r="704" ht="15.75" customHeight="1">
      <c r="E704" s="18"/>
      <c r="S704" s="18"/>
    </row>
    <row r="705" ht="15.75" customHeight="1">
      <c r="E705" s="18"/>
      <c r="S705" s="18"/>
    </row>
    <row r="706" ht="15.75" customHeight="1">
      <c r="E706" s="18"/>
      <c r="S706" s="18"/>
    </row>
    <row r="707" ht="15.75" customHeight="1">
      <c r="E707" s="18"/>
      <c r="S707" s="18"/>
    </row>
    <row r="708" ht="15.75" customHeight="1">
      <c r="E708" s="18"/>
      <c r="S708" s="18"/>
    </row>
    <row r="709" ht="15.75" customHeight="1">
      <c r="E709" s="18"/>
      <c r="S709" s="18"/>
    </row>
    <row r="710" ht="15.75" customHeight="1">
      <c r="E710" s="18"/>
      <c r="S710" s="18"/>
    </row>
    <row r="711" ht="15.75" customHeight="1">
      <c r="E711" s="18"/>
      <c r="S711" s="18"/>
    </row>
    <row r="712" ht="15.75" customHeight="1">
      <c r="E712" s="18"/>
      <c r="S712" s="18"/>
    </row>
    <row r="713" ht="15.75" customHeight="1">
      <c r="E713" s="18"/>
      <c r="S713" s="18"/>
    </row>
    <row r="714" ht="15.75" customHeight="1">
      <c r="E714" s="18"/>
      <c r="S714" s="18"/>
    </row>
    <row r="715" ht="15.75" customHeight="1">
      <c r="E715" s="18"/>
      <c r="S715" s="18"/>
    </row>
    <row r="716" ht="15.75" customHeight="1">
      <c r="E716" s="18"/>
      <c r="S716" s="18"/>
    </row>
    <row r="717" ht="15.75" customHeight="1">
      <c r="E717" s="18"/>
      <c r="S717" s="18"/>
    </row>
    <row r="718" ht="15.75" customHeight="1">
      <c r="E718" s="18"/>
      <c r="S718" s="18"/>
    </row>
    <row r="719" ht="15.75" customHeight="1">
      <c r="E719" s="18"/>
      <c r="S719" s="18"/>
    </row>
    <row r="720" ht="15.75" customHeight="1">
      <c r="E720" s="18"/>
      <c r="S720" s="18"/>
    </row>
    <row r="721" ht="15.75" customHeight="1">
      <c r="E721" s="18"/>
      <c r="S721" s="18"/>
    </row>
    <row r="722" ht="15.75" customHeight="1">
      <c r="E722" s="18"/>
      <c r="S722" s="18"/>
    </row>
    <row r="723" ht="15.75" customHeight="1">
      <c r="E723" s="18"/>
      <c r="S723" s="18"/>
    </row>
    <row r="724" ht="15.75" customHeight="1">
      <c r="E724" s="18"/>
      <c r="S724" s="18"/>
    </row>
    <row r="725" ht="15.75" customHeight="1">
      <c r="E725" s="18"/>
      <c r="S725" s="18"/>
    </row>
    <row r="726" ht="15.75" customHeight="1">
      <c r="E726" s="18"/>
      <c r="S726" s="18"/>
    </row>
    <row r="727" ht="15.75" customHeight="1">
      <c r="E727" s="18"/>
      <c r="S727" s="18"/>
    </row>
    <row r="728" ht="15.75" customHeight="1">
      <c r="E728" s="18"/>
      <c r="S728" s="18"/>
    </row>
    <row r="729" ht="15.75" customHeight="1">
      <c r="E729" s="18"/>
      <c r="S729" s="18"/>
    </row>
    <row r="730" ht="15.75" customHeight="1">
      <c r="E730" s="18"/>
      <c r="S730" s="18"/>
    </row>
    <row r="731" ht="15.75" customHeight="1">
      <c r="E731" s="18"/>
      <c r="S731" s="18"/>
    </row>
    <row r="732" ht="15.75" customHeight="1">
      <c r="E732" s="18"/>
      <c r="S732" s="18"/>
    </row>
    <row r="733" ht="15.75" customHeight="1">
      <c r="E733" s="18"/>
      <c r="S733" s="18"/>
    </row>
    <row r="734" ht="15.75" customHeight="1">
      <c r="E734" s="18"/>
      <c r="S734" s="18"/>
    </row>
    <row r="735" ht="15.75" customHeight="1">
      <c r="E735" s="18"/>
      <c r="S735" s="18"/>
    </row>
    <row r="736" ht="15.75" customHeight="1">
      <c r="E736" s="18"/>
      <c r="S736" s="18"/>
    </row>
    <row r="737" ht="15.75" customHeight="1">
      <c r="E737" s="18"/>
      <c r="S737" s="18"/>
    </row>
    <row r="738" ht="15.75" customHeight="1">
      <c r="E738" s="18"/>
      <c r="S738" s="18"/>
    </row>
    <row r="739" ht="15.75" customHeight="1">
      <c r="E739" s="18"/>
      <c r="S739" s="18"/>
    </row>
    <row r="740" ht="15.75" customHeight="1">
      <c r="E740" s="18"/>
      <c r="S740" s="18"/>
    </row>
    <row r="741" ht="15.75" customHeight="1">
      <c r="E741" s="18"/>
      <c r="S741" s="18"/>
    </row>
    <row r="742" ht="15.75" customHeight="1">
      <c r="E742" s="18"/>
      <c r="S742" s="18"/>
    </row>
    <row r="743" ht="15.75" customHeight="1">
      <c r="E743" s="18"/>
      <c r="S743" s="18"/>
    </row>
    <row r="744" ht="15.75" customHeight="1">
      <c r="E744" s="18"/>
      <c r="S744" s="18"/>
    </row>
    <row r="745" ht="15.75" customHeight="1">
      <c r="E745" s="18"/>
      <c r="S745" s="18"/>
    </row>
    <row r="746" ht="15.75" customHeight="1">
      <c r="E746" s="18"/>
      <c r="S746" s="18"/>
    </row>
    <row r="747" ht="15.75" customHeight="1">
      <c r="E747" s="18"/>
      <c r="S747" s="18"/>
    </row>
    <row r="748" ht="15.75" customHeight="1">
      <c r="E748" s="18"/>
      <c r="S748" s="18"/>
    </row>
    <row r="749" ht="15.75" customHeight="1">
      <c r="E749" s="18"/>
      <c r="S749" s="18"/>
    </row>
    <row r="750" ht="15.75" customHeight="1">
      <c r="E750" s="18"/>
      <c r="S750" s="18"/>
    </row>
    <row r="751" ht="15.75" customHeight="1">
      <c r="E751" s="18"/>
      <c r="S751" s="18"/>
    </row>
    <row r="752" ht="15.75" customHeight="1">
      <c r="E752" s="18"/>
      <c r="S752" s="18"/>
    </row>
    <row r="753" ht="15.75" customHeight="1">
      <c r="E753" s="18"/>
      <c r="S753" s="18"/>
    </row>
    <row r="754" ht="15.75" customHeight="1">
      <c r="E754" s="18"/>
      <c r="S754" s="18"/>
    </row>
    <row r="755" ht="15.75" customHeight="1">
      <c r="E755" s="18"/>
      <c r="S755" s="18"/>
    </row>
    <row r="756" ht="15.75" customHeight="1">
      <c r="E756" s="18"/>
      <c r="S756" s="18"/>
    </row>
    <row r="757" ht="15.75" customHeight="1">
      <c r="E757" s="18"/>
      <c r="S757" s="18"/>
    </row>
    <row r="758" ht="15.75" customHeight="1">
      <c r="E758" s="18"/>
      <c r="S758" s="18"/>
    </row>
    <row r="759" ht="15.75" customHeight="1">
      <c r="E759" s="18"/>
      <c r="S759" s="18"/>
    </row>
    <row r="760" ht="15.75" customHeight="1">
      <c r="E760" s="18"/>
      <c r="S760" s="18"/>
    </row>
    <row r="761" ht="15.75" customHeight="1">
      <c r="E761" s="18"/>
      <c r="S761" s="18"/>
    </row>
    <row r="762" ht="15.75" customHeight="1">
      <c r="E762" s="18"/>
      <c r="S762" s="18"/>
    </row>
    <row r="763" ht="15.75" customHeight="1">
      <c r="E763" s="18"/>
      <c r="S763" s="18"/>
    </row>
    <row r="764" ht="15.75" customHeight="1">
      <c r="E764" s="18"/>
      <c r="S764" s="18"/>
    </row>
    <row r="765" ht="15.75" customHeight="1">
      <c r="E765" s="18"/>
      <c r="S765" s="18"/>
    </row>
    <row r="766" ht="15.75" customHeight="1">
      <c r="E766" s="18"/>
      <c r="S766" s="18"/>
    </row>
    <row r="767" ht="15.75" customHeight="1">
      <c r="E767" s="18"/>
      <c r="S767" s="18"/>
    </row>
    <row r="768" ht="15.75" customHeight="1">
      <c r="E768" s="18"/>
      <c r="S768" s="18"/>
    </row>
    <row r="769" ht="15.75" customHeight="1">
      <c r="E769" s="18"/>
      <c r="S769" s="18"/>
    </row>
    <row r="770" ht="15.75" customHeight="1">
      <c r="E770" s="18"/>
      <c r="S770" s="18"/>
    </row>
    <row r="771" ht="15.75" customHeight="1">
      <c r="E771" s="18"/>
      <c r="S771" s="18"/>
    </row>
    <row r="772" ht="15.75" customHeight="1">
      <c r="E772" s="18"/>
      <c r="S772" s="18"/>
    </row>
    <row r="773" ht="15.75" customHeight="1">
      <c r="E773" s="18"/>
      <c r="S773" s="18"/>
    </row>
    <row r="774" ht="15.75" customHeight="1">
      <c r="E774" s="18"/>
      <c r="S774" s="18"/>
    </row>
    <row r="775" ht="15.75" customHeight="1">
      <c r="E775" s="18"/>
      <c r="S775" s="18"/>
    </row>
    <row r="776" ht="15.75" customHeight="1">
      <c r="E776" s="18"/>
      <c r="S776" s="18"/>
    </row>
    <row r="777" ht="15.75" customHeight="1">
      <c r="E777" s="18"/>
      <c r="S777" s="1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0.5"/>
    <col customWidth="1" min="6" max="6" width="24.5"/>
  </cols>
  <sheetData>
    <row r="1">
      <c r="B1" s="8"/>
    </row>
    <row r="2">
      <c r="A2" s="7" t="s">
        <v>596</v>
      </c>
      <c r="B2" s="8" t="s">
        <v>861</v>
      </c>
      <c r="C2" s="7" t="s">
        <v>193</v>
      </c>
      <c r="D2" s="7" t="s">
        <v>613</v>
      </c>
      <c r="E2" s="7" t="s">
        <v>614</v>
      </c>
      <c r="F2" s="7" t="s">
        <v>862</v>
      </c>
    </row>
    <row r="3">
      <c r="A3" s="7" t="s">
        <v>597</v>
      </c>
      <c r="B3" s="8">
        <v>5.0</v>
      </c>
      <c r="C3" s="7" t="s">
        <v>193</v>
      </c>
      <c r="D3" s="7" t="s">
        <v>613</v>
      </c>
      <c r="E3" s="7" t="s">
        <v>614</v>
      </c>
      <c r="F3" s="7" t="s">
        <v>863</v>
      </c>
    </row>
    <row r="4">
      <c r="A4" s="7" t="s">
        <v>598</v>
      </c>
      <c r="B4" s="8">
        <v>5.0</v>
      </c>
      <c r="C4" s="7" t="s">
        <v>193</v>
      </c>
      <c r="D4" s="7" t="s">
        <v>613</v>
      </c>
      <c r="E4" s="7" t="s">
        <v>614</v>
      </c>
      <c r="F4" s="7" t="s">
        <v>864</v>
      </c>
    </row>
    <row r="5">
      <c r="A5" s="7" t="s">
        <v>599</v>
      </c>
      <c r="B5" s="8">
        <v>5.0</v>
      </c>
      <c r="C5" s="7" t="s">
        <v>193</v>
      </c>
      <c r="D5" s="7" t="s">
        <v>613</v>
      </c>
      <c r="E5" s="7" t="s">
        <v>614</v>
      </c>
      <c r="F5" s="7" t="s">
        <v>862</v>
      </c>
    </row>
    <row r="6">
      <c r="A6" s="7" t="s">
        <v>600</v>
      </c>
      <c r="B6" s="8">
        <v>5.0</v>
      </c>
      <c r="C6" s="7" t="s">
        <v>193</v>
      </c>
      <c r="D6" s="7" t="s">
        <v>613</v>
      </c>
      <c r="E6" s="7" t="s">
        <v>614</v>
      </c>
      <c r="F6" s="7" t="s">
        <v>865</v>
      </c>
    </row>
    <row r="7">
      <c r="A7" s="7" t="s">
        <v>601</v>
      </c>
      <c r="B7" s="8">
        <v>5.0</v>
      </c>
      <c r="C7" s="7" t="s">
        <v>193</v>
      </c>
      <c r="D7" s="7" t="s">
        <v>613</v>
      </c>
      <c r="E7" s="7" t="s">
        <v>614</v>
      </c>
      <c r="F7" s="7" t="s">
        <v>594</v>
      </c>
    </row>
    <row r="8">
      <c r="A8" s="7" t="s">
        <v>602</v>
      </c>
      <c r="B8" s="8">
        <v>5.0</v>
      </c>
      <c r="C8" s="7" t="s">
        <v>193</v>
      </c>
      <c r="D8" s="7" t="s">
        <v>613</v>
      </c>
      <c r="E8" s="7" t="s">
        <v>614</v>
      </c>
      <c r="F8" s="7" t="s">
        <v>384</v>
      </c>
    </row>
    <row r="9">
      <c r="A9" s="7" t="s">
        <v>603</v>
      </c>
      <c r="B9" s="8">
        <v>5.0</v>
      </c>
      <c r="C9" s="7" t="s">
        <v>193</v>
      </c>
      <c r="D9" s="7" t="s">
        <v>613</v>
      </c>
      <c r="E9" s="7" t="s">
        <v>614</v>
      </c>
      <c r="F9" s="7" t="s">
        <v>862</v>
      </c>
    </row>
    <row r="10">
      <c r="A10" s="7" t="s">
        <v>604</v>
      </c>
      <c r="B10" s="8">
        <v>5.0</v>
      </c>
      <c r="C10" s="7" t="s">
        <v>193</v>
      </c>
      <c r="D10" s="7" t="s">
        <v>613</v>
      </c>
      <c r="E10" s="7" t="s">
        <v>614</v>
      </c>
      <c r="F10" s="7" t="s">
        <v>864</v>
      </c>
    </row>
    <row r="11">
      <c r="A11" s="7" t="s">
        <v>605</v>
      </c>
      <c r="B11" s="8">
        <v>5.0</v>
      </c>
      <c r="C11" s="7" t="s">
        <v>193</v>
      </c>
      <c r="D11" s="7" t="s">
        <v>613</v>
      </c>
      <c r="E11" s="7" t="s">
        <v>614</v>
      </c>
      <c r="F11" s="7" t="s">
        <v>863</v>
      </c>
    </row>
    <row r="12">
      <c r="A12" s="7" t="s">
        <v>606</v>
      </c>
      <c r="B12" s="8">
        <v>5.0</v>
      </c>
      <c r="C12" s="7" t="s">
        <v>193</v>
      </c>
      <c r="D12" s="7" t="s">
        <v>613</v>
      </c>
      <c r="E12" s="7" t="s">
        <v>614</v>
      </c>
      <c r="F12" s="7" t="s">
        <v>864</v>
      </c>
    </row>
    <row r="13">
      <c r="A13" s="7" t="s">
        <v>11</v>
      </c>
      <c r="B13" s="8">
        <v>5.0</v>
      </c>
      <c r="C13" s="7" t="s">
        <v>193</v>
      </c>
      <c r="D13" s="7" t="s">
        <v>613</v>
      </c>
      <c r="E13" s="7" t="s">
        <v>614</v>
      </c>
      <c r="F13" s="7" t="s">
        <v>863</v>
      </c>
    </row>
    <row r="14">
      <c r="A14" s="7" t="s">
        <v>607</v>
      </c>
      <c r="B14" s="8">
        <v>5.0</v>
      </c>
      <c r="C14" s="7" t="s">
        <v>193</v>
      </c>
      <c r="D14" s="7" t="s">
        <v>613</v>
      </c>
      <c r="E14" s="7" t="s">
        <v>614</v>
      </c>
      <c r="F14" s="7" t="s">
        <v>863</v>
      </c>
    </row>
    <row r="15">
      <c r="A15" s="7" t="s">
        <v>608</v>
      </c>
      <c r="B15" s="8">
        <v>5.0</v>
      </c>
      <c r="C15" s="7" t="s">
        <v>193</v>
      </c>
      <c r="D15" s="7" t="s">
        <v>613</v>
      </c>
      <c r="E15" s="7" t="s">
        <v>614</v>
      </c>
      <c r="F15" s="7" t="s">
        <v>864</v>
      </c>
    </row>
    <row r="16">
      <c r="A16" s="7" t="s">
        <v>609</v>
      </c>
      <c r="B16" s="8">
        <v>5.0</v>
      </c>
      <c r="C16" s="7" t="s">
        <v>193</v>
      </c>
      <c r="D16" s="7" t="s">
        <v>613</v>
      </c>
      <c r="E16" s="7" t="s">
        <v>614</v>
      </c>
      <c r="F16" s="7" t="s">
        <v>384</v>
      </c>
    </row>
    <row r="17">
      <c r="A17" s="7" t="s">
        <v>15</v>
      </c>
      <c r="B17" s="8">
        <v>5.0</v>
      </c>
      <c r="C17" s="7" t="s">
        <v>193</v>
      </c>
      <c r="D17" s="7" t="s">
        <v>613</v>
      </c>
      <c r="E17" s="7" t="s">
        <v>614</v>
      </c>
      <c r="F17" s="7" t="s">
        <v>863</v>
      </c>
    </row>
    <row r="18">
      <c r="A18" s="7" t="s">
        <v>610</v>
      </c>
      <c r="B18" s="8">
        <v>5.0</v>
      </c>
      <c r="C18" s="7" t="s">
        <v>193</v>
      </c>
      <c r="D18" s="7" t="s">
        <v>613</v>
      </c>
      <c r="E18" s="7" t="s">
        <v>614</v>
      </c>
      <c r="F18" s="7" t="s">
        <v>865</v>
      </c>
    </row>
    <row r="19">
      <c r="A19" s="7" t="s">
        <v>16</v>
      </c>
      <c r="B19" s="8">
        <v>5.0</v>
      </c>
      <c r="C19" s="7" t="s">
        <v>193</v>
      </c>
      <c r="D19" s="7" t="s">
        <v>613</v>
      </c>
      <c r="E19" s="7" t="s">
        <v>614</v>
      </c>
      <c r="F19" s="7" t="s">
        <v>865</v>
      </c>
    </row>
    <row r="20">
      <c r="A20" s="7" t="s">
        <v>611</v>
      </c>
      <c r="B20" s="8">
        <v>5.0</v>
      </c>
      <c r="C20" s="7" t="s">
        <v>193</v>
      </c>
      <c r="D20" s="7" t="s">
        <v>613</v>
      </c>
      <c r="E20" s="7" t="s">
        <v>614</v>
      </c>
      <c r="F20" s="7" t="s">
        <v>865</v>
      </c>
    </row>
    <row r="21">
      <c r="A21" s="7" t="s">
        <v>612</v>
      </c>
      <c r="B21" s="8">
        <v>5.0</v>
      </c>
      <c r="C21" s="7" t="s">
        <v>193</v>
      </c>
      <c r="D21" s="7" t="s">
        <v>613</v>
      </c>
      <c r="E21" s="7" t="s">
        <v>614</v>
      </c>
      <c r="F21" s="7" t="s">
        <v>864</v>
      </c>
    </row>
    <row r="22">
      <c r="A22" s="7" t="s">
        <v>18</v>
      </c>
      <c r="B22" s="8">
        <v>5.0</v>
      </c>
      <c r="C22" s="7" t="s">
        <v>193</v>
      </c>
      <c r="D22" s="7" t="s">
        <v>613</v>
      </c>
      <c r="E22" s="7" t="s">
        <v>614</v>
      </c>
      <c r="F22" s="7" t="s">
        <v>864</v>
      </c>
    </row>
    <row r="23">
      <c r="A23" s="7" t="s">
        <v>19</v>
      </c>
      <c r="B23" s="8">
        <v>5.0</v>
      </c>
      <c r="C23" s="7" t="s">
        <v>193</v>
      </c>
      <c r="D23" s="7" t="s">
        <v>613</v>
      </c>
      <c r="E23" s="7" t="s">
        <v>614</v>
      </c>
      <c r="F23" s="7" t="s">
        <v>594</v>
      </c>
    </row>
    <row r="24">
      <c r="A24" s="7" t="s">
        <v>596</v>
      </c>
      <c r="B24" s="8">
        <v>5.0</v>
      </c>
      <c r="C24" s="7" t="s">
        <v>227</v>
      </c>
      <c r="D24" s="7" t="s">
        <v>615</v>
      </c>
      <c r="E24" s="7" t="s">
        <v>616</v>
      </c>
      <c r="F24" s="7" t="s">
        <v>862</v>
      </c>
    </row>
    <row r="25">
      <c r="A25" s="7" t="s">
        <v>597</v>
      </c>
      <c r="B25" s="8">
        <v>5.0</v>
      </c>
      <c r="C25" s="7" t="s">
        <v>227</v>
      </c>
      <c r="D25" s="7" t="s">
        <v>615</v>
      </c>
      <c r="E25" s="7" t="s">
        <v>616</v>
      </c>
      <c r="F25" s="7" t="s">
        <v>863</v>
      </c>
    </row>
    <row r="26">
      <c r="A26" s="7" t="s">
        <v>598</v>
      </c>
      <c r="B26" s="8">
        <v>5.0</v>
      </c>
      <c r="C26" s="7" t="s">
        <v>227</v>
      </c>
      <c r="D26" s="7" t="s">
        <v>615</v>
      </c>
      <c r="E26" s="7" t="s">
        <v>616</v>
      </c>
      <c r="F26" s="7" t="s">
        <v>864</v>
      </c>
    </row>
    <row r="27">
      <c r="A27" s="7" t="s">
        <v>599</v>
      </c>
      <c r="B27" s="8">
        <v>5.0</v>
      </c>
      <c r="C27" s="7" t="s">
        <v>227</v>
      </c>
      <c r="D27" s="7" t="s">
        <v>615</v>
      </c>
      <c r="E27" s="7" t="s">
        <v>616</v>
      </c>
      <c r="F27" s="7" t="s">
        <v>862</v>
      </c>
    </row>
    <row r="28">
      <c r="A28" s="7" t="s">
        <v>600</v>
      </c>
      <c r="B28" s="8">
        <v>5.0</v>
      </c>
      <c r="C28" s="7" t="s">
        <v>227</v>
      </c>
      <c r="D28" s="7" t="s">
        <v>615</v>
      </c>
      <c r="E28" s="7" t="s">
        <v>616</v>
      </c>
      <c r="F28" s="7" t="s">
        <v>865</v>
      </c>
    </row>
    <row r="29">
      <c r="A29" s="7" t="s">
        <v>601</v>
      </c>
      <c r="B29" s="8">
        <v>5.0</v>
      </c>
      <c r="C29" s="7" t="s">
        <v>227</v>
      </c>
      <c r="D29" s="7" t="s">
        <v>615</v>
      </c>
      <c r="E29" s="7" t="s">
        <v>616</v>
      </c>
      <c r="F29" s="7" t="s">
        <v>594</v>
      </c>
    </row>
    <row r="30">
      <c r="A30" s="7" t="s">
        <v>602</v>
      </c>
      <c r="B30" s="8">
        <v>5.0</v>
      </c>
      <c r="C30" s="7" t="s">
        <v>227</v>
      </c>
      <c r="D30" s="7" t="s">
        <v>615</v>
      </c>
      <c r="E30" s="7" t="s">
        <v>616</v>
      </c>
      <c r="F30" s="7" t="s">
        <v>384</v>
      </c>
    </row>
    <row r="31">
      <c r="A31" s="7" t="s">
        <v>603</v>
      </c>
      <c r="B31" s="8">
        <v>5.0</v>
      </c>
      <c r="C31" s="7" t="s">
        <v>227</v>
      </c>
      <c r="D31" s="7" t="s">
        <v>615</v>
      </c>
      <c r="E31" s="7" t="s">
        <v>616</v>
      </c>
      <c r="F31" s="7" t="s">
        <v>862</v>
      </c>
    </row>
    <row r="32">
      <c r="A32" s="7" t="s">
        <v>604</v>
      </c>
      <c r="B32" s="8">
        <v>5.0</v>
      </c>
      <c r="C32" s="7" t="s">
        <v>227</v>
      </c>
      <c r="D32" s="7" t="s">
        <v>615</v>
      </c>
      <c r="E32" s="7" t="s">
        <v>616</v>
      </c>
      <c r="F32" s="7" t="s">
        <v>864</v>
      </c>
    </row>
    <row r="33">
      <c r="A33" s="7" t="s">
        <v>605</v>
      </c>
      <c r="B33" s="8">
        <v>5.0</v>
      </c>
      <c r="C33" s="7" t="s">
        <v>227</v>
      </c>
      <c r="D33" s="7" t="s">
        <v>615</v>
      </c>
      <c r="E33" s="7" t="s">
        <v>616</v>
      </c>
      <c r="F33" s="7" t="s">
        <v>863</v>
      </c>
    </row>
    <row r="34">
      <c r="A34" s="7" t="s">
        <v>606</v>
      </c>
      <c r="B34" s="8">
        <v>5.0</v>
      </c>
      <c r="C34" s="7" t="s">
        <v>227</v>
      </c>
      <c r="D34" s="7" t="s">
        <v>615</v>
      </c>
      <c r="E34" s="7" t="s">
        <v>616</v>
      </c>
      <c r="F34" s="7" t="s">
        <v>864</v>
      </c>
    </row>
    <row r="35">
      <c r="A35" s="7" t="s">
        <v>11</v>
      </c>
      <c r="B35" s="8">
        <v>5.0</v>
      </c>
      <c r="C35" s="7" t="s">
        <v>227</v>
      </c>
      <c r="D35" s="7" t="s">
        <v>615</v>
      </c>
      <c r="E35" s="7" t="s">
        <v>616</v>
      </c>
      <c r="F35" s="7" t="s">
        <v>863</v>
      </c>
    </row>
    <row r="36">
      <c r="A36" s="7" t="s">
        <v>607</v>
      </c>
      <c r="B36" s="8">
        <v>5.0</v>
      </c>
      <c r="C36" s="7" t="s">
        <v>227</v>
      </c>
      <c r="D36" s="7" t="s">
        <v>615</v>
      </c>
      <c r="E36" s="7" t="s">
        <v>616</v>
      </c>
      <c r="F36" s="7" t="s">
        <v>863</v>
      </c>
    </row>
    <row r="37">
      <c r="A37" s="7" t="s">
        <v>608</v>
      </c>
      <c r="B37" s="8">
        <v>5.0</v>
      </c>
      <c r="C37" s="7" t="s">
        <v>227</v>
      </c>
      <c r="D37" s="7" t="s">
        <v>615</v>
      </c>
      <c r="E37" s="7" t="s">
        <v>616</v>
      </c>
      <c r="F37" s="7" t="s">
        <v>864</v>
      </c>
    </row>
    <row r="38">
      <c r="A38" s="7" t="s">
        <v>609</v>
      </c>
      <c r="B38" s="8">
        <v>5.0</v>
      </c>
      <c r="C38" s="7" t="s">
        <v>227</v>
      </c>
      <c r="D38" s="7" t="s">
        <v>615</v>
      </c>
      <c r="E38" s="7" t="s">
        <v>616</v>
      </c>
      <c r="F38" s="7" t="s">
        <v>384</v>
      </c>
    </row>
    <row r="39">
      <c r="A39" s="7" t="s">
        <v>15</v>
      </c>
      <c r="B39" s="8">
        <v>5.0</v>
      </c>
      <c r="C39" s="7" t="s">
        <v>227</v>
      </c>
      <c r="D39" s="7" t="s">
        <v>615</v>
      </c>
      <c r="E39" s="7" t="s">
        <v>616</v>
      </c>
      <c r="F39" s="7" t="s">
        <v>863</v>
      </c>
    </row>
    <row r="40">
      <c r="A40" s="7" t="s">
        <v>610</v>
      </c>
      <c r="B40" s="8">
        <v>5.0</v>
      </c>
      <c r="C40" s="7" t="s">
        <v>227</v>
      </c>
      <c r="D40" s="7" t="s">
        <v>615</v>
      </c>
      <c r="E40" s="7" t="s">
        <v>616</v>
      </c>
      <c r="F40" s="7" t="s">
        <v>865</v>
      </c>
    </row>
    <row r="41">
      <c r="A41" s="7" t="s">
        <v>16</v>
      </c>
      <c r="B41" s="8">
        <v>5.0</v>
      </c>
      <c r="C41" s="7" t="s">
        <v>227</v>
      </c>
      <c r="D41" s="7" t="s">
        <v>615</v>
      </c>
      <c r="E41" s="7" t="s">
        <v>616</v>
      </c>
      <c r="F41" s="7" t="s">
        <v>865</v>
      </c>
    </row>
    <row r="42">
      <c r="A42" s="7" t="s">
        <v>611</v>
      </c>
      <c r="B42" s="8">
        <v>5.0</v>
      </c>
      <c r="C42" s="7" t="s">
        <v>227</v>
      </c>
      <c r="D42" s="7" t="s">
        <v>615</v>
      </c>
      <c r="E42" s="7" t="s">
        <v>616</v>
      </c>
      <c r="F42" s="7" t="s">
        <v>865</v>
      </c>
    </row>
    <row r="43">
      <c r="A43" s="7" t="s">
        <v>612</v>
      </c>
      <c r="B43" s="8">
        <v>5.0</v>
      </c>
      <c r="C43" s="7" t="s">
        <v>227</v>
      </c>
      <c r="D43" s="7" t="s">
        <v>615</v>
      </c>
      <c r="E43" s="7" t="s">
        <v>616</v>
      </c>
      <c r="F43" s="7" t="s">
        <v>864</v>
      </c>
    </row>
    <row r="44">
      <c r="A44" s="7" t="s">
        <v>18</v>
      </c>
      <c r="B44" s="8">
        <v>5.0</v>
      </c>
      <c r="C44" s="7" t="s">
        <v>227</v>
      </c>
      <c r="D44" s="7" t="s">
        <v>615</v>
      </c>
      <c r="E44" s="7" t="s">
        <v>616</v>
      </c>
      <c r="F44" s="7" t="s">
        <v>864</v>
      </c>
    </row>
    <row r="45">
      <c r="A45" s="7" t="s">
        <v>19</v>
      </c>
      <c r="B45" s="8">
        <v>5.0</v>
      </c>
      <c r="C45" s="7" t="s">
        <v>227</v>
      </c>
      <c r="D45" s="7" t="s">
        <v>615</v>
      </c>
      <c r="E45" s="7" t="s">
        <v>616</v>
      </c>
      <c r="F45" s="7" t="s">
        <v>594</v>
      </c>
    </row>
    <row r="46">
      <c r="A46" s="7" t="s">
        <v>596</v>
      </c>
      <c r="B46" s="8">
        <v>5.0</v>
      </c>
      <c r="C46" s="7" t="s">
        <v>617</v>
      </c>
      <c r="D46" s="7" t="s">
        <v>21</v>
      </c>
      <c r="E46" s="7" t="s">
        <v>618</v>
      </c>
      <c r="F46" s="7" t="s">
        <v>862</v>
      </c>
    </row>
    <row r="47">
      <c r="A47" s="7" t="s">
        <v>597</v>
      </c>
      <c r="B47" s="8">
        <v>5.0</v>
      </c>
      <c r="C47" s="7" t="s">
        <v>617</v>
      </c>
      <c r="D47" s="7" t="s">
        <v>21</v>
      </c>
      <c r="E47" s="7" t="s">
        <v>618</v>
      </c>
      <c r="F47" s="7" t="s">
        <v>863</v>
      </c>
    </row>
    <row r="48">
      <c r="A48" s="7" t="s">
        <v>598</v>
      </c>
      <c r="B48" s="8">
        <v>5.0</v>
      </c>
      <c r="C48" s="7" t="s">
        <v>617</v>
      </c>
      <c r="D48" s="7" t="s">
        <v>21</v>
      </c>
      <c r="E48" s="7" t="s">
        <v>618</v>
      </c>
      <c r="F48" s="7" t="s">
        <v>864</v>
      </c>
    </row>
    <row r="49">
      <c r="A49" s="7" t="s">
        <v>599</v>
      </c>
      <c r="B49" s="8">
        <v>5.0</v>
      </c>
      <c r="C49" s="7" t="s">
        <v>617</v>
      </c>
      <c r="D49" s="7" t="s">
        <v>21</v>
      </c>
      <c r="E49" s="7" t="s">
        <v>618</v>
      </c>
      <c r="F49" s="7" t="s">
        <v>862</v>
      </c>
    </row>
    <row r="50">
      <c r="A50" s="7" t="s">
        <v>600</v>
      </c>
      <c r="B50" s="8">
        <v>5.0</v>
      </c>
      <c r="C50" s="7" t="s">
        <v>617</v>
      </c>
      <c r="D50" s="7" t="s">
        <v>21</v>
      </c>
      <c r="E50" s="7" t="s">
        <v>618</v>
      </c>
      <c r="F50" s="7" t="s">
        <v>865</v>
      </c>
    </row>
    <row r="51">
      <c r="A51" s="7" t="s">
        <v>601</v>
      </c>
      <c r="B51" s="8">
        <v>5.0</v>
      </c>
      <c r="C51" s="7" t="s">
        <v>617</v>
      </c>
      <c r="D51" s="7" t="s">
        <v>21</v>
      </c>
      <c r="E51" s="7" t="s">
        <v>618</v>
      </c>
      <c r="F51" s="7" t="s">
        <v>594</v>
      </c>
    </row>
    <row r="52">
      <c r="A52" s="7" t="s">
        <v>602</v>
      </c>
      <c r="B52" s="8">
        <v>5.0</v>
      </c>
      <c r="C52" s="7" t="s">
        <v>617</v>
      </c>
      <c r="D52" s="7" t="s">
        <v>21</v>
      </c>
      <c r="E52" s="7" t="s">
        <v>618</v>
      </c>
      <c r="F52" s="7" t="s">
        <v>384</v>
      </c>
    </row>
    <row r="53">
      <c r="A53" s="7" t="s">
        <v>603</v>
      </c>
      <c r="B53" s="8">
        <v>5.0</v>
      </c>
      <c r="C53" s="7" t="s">
        <v>617</v>
      </c>
      <c r="D53" s="7" t="s">
        <v>21</v>
      </c>
      <c r="E53" s="7" t="s">
        <v>618</v>
      </c>
      <c r="F53" s="7" t="s">
        <v>862</v>
      </c>
    </row>
    <row r="54">
      <c r="A54" s="7" t="s">
        <v>604</v>
      </c>
      <c r="B54" s="8">
        <v>5.0</v>
      </c>
      <c r="C54" s="7" t="s">
        <v>617</v>
      </c>
      <c r="D54" s="7" t="s">
        <v>21</v>
      </c>
      <c r="E54" s="7" t="s">
        <v>618</v>
      </c>
      <c r="F54" s="7" t="s">
        <v>864</v>
      </c>
    </row>
    <row r="55">
      <c r="A55" s="7" t="s">
        <v>605</v>
      </c>
      <c r="B55" s="8">
        <v>5.0</v>
      </c>
      <c r="C55" s="7" t="s">
        <v>617</v>
      </c>
      <c r="D55" s="7" t="s">
        <v>21</v>
      </c>
      <c r="E55" s="7" t="s">
        <v>618</v>
      </c>
      <c r="F55" s="7" t="s">
        <v>863</v>
      </c>
    </row>
    <row r="56">
      <c r="A56" s="7" t="s">
        <v>606</v>
      </c>
      <c r="B56" s="8">
        <v>5.0</v>
      </c>
      <c r="C56" s="7" t="s">
        <v>617</v>
      </c>
      <c r="D56" s="7" t="s">
        <v>21</v>
      </c>
      <c r="E56" s="7" t="s">
        <v>618</v>
      </c>
      <c r="F56" s="7" t="s">
        <v>864</v>
      </c>
    </row>
    <row r="57">
      <c r="A57" s="7" t="s">
        <v>11</v>
      </c>
      <c r="B57" s="8">
        <v>5.0</v>
      </c>
      <c r="C57" s="7" t="s">
        <v>617</v>
      </c>
      <c r="D57" s="7" t="s">
        <v>21</v>
      </c>
      <c r="E57" s="7" t="s">
        <v>618</v>
      </c>
      <c r="F57" s="7" t="s">
        <v>863</v>
      </c>
    </row>
    <row r="58">
      <c r="A58" s="7" t="s">
        <v>607</v>
      </c>
      <c r="B58" s="8">
        <v>5.0</v>
      </c>
      <c r="C58" s="7" t="s">
        <v>617</v>
      </c>
      <c r="D58" s="7" t="s">
        <v>21</v>
      </c>
      <c r="E58" s="7" t="s">
        <v>618</v>
      </c>
      <c r="F58" s="7" t="s">
        <v>863</v>
      </c>
    </row>
    <row r="59">
      <c r="A59" s="7" t="s">
        <v>608</v>
      </c>
      <c r="B59" s="8">
        <v>5.0</v>
      </c>
      <c r="C59" s="7" t="s">
        <v>617</v>
      </c>
      <c r="D59" s="7" t="s">
        <v>21</v>
      </c>
      <c r="E59" s="7" t="s">
        <v>618</v>
      </c>
      <c r="F59" s="7" t="s">
        <v>864</v>
      </c>
    </row>
    <row r="60">
      <c r="A60" s="7" t="s">
        <v>609</v>
      </c>
      <c r="B60" s="8">
        <v>5.0</v>
      </c>
      <c r="C60" s="7" t="s">
        <v>617</v>
      </c>
      <c r="D60" s="7" t="s">
        <v>21</v>
      </c>
      <c r="E60" s="7" t="s">
        <v>618</v>
      </c>
      <c r="F60" s="7" t="s">
        <v>384</v>
      </c>
    </row>
    <row r="61">
      <c r="A61" s="7" t="s">
        <v>15</v>
      </c>
      <c r="B61" s="8">
        <v>5.0</v>
      </c>
      <c r="C61" s="7" t="s">
        <v>617</v>
      </c>
      <c r="D61" s="7" t="s">
        <v>21</v>
      </c>
      <c r="E61" s="7" t="s">
        <v>618</v>
      </c>
      <c r="F61" s="7" t="s">
        <v>863</v>
      </c>
    </row>
    <row r="62">
      <c r="A62" s="7" t="s">
        <v>610</v>
      </c>
      <c r="B62" s="8">
        <v>5.0</v>
      </c>
      <c r="C62" s="7" t="s">
        <v>617</v>
      </c>
      <c r="D62" s="7" t="s">
        <v>21</v>
      </c>
      <c r="E62" s="7" t="s">
        <v>618</v>
      </c>
      <c r="F62" s="7" t="s">
        <v>865</v>
      </c>
    </row>
    <row r="63">
      <c r="A63" s="7" t="s">
        <v>16</v>
      </c>
      <c r="B63" s="8">
        <v>5.0</v>
      </c>
      <c r="C63" s="7" t="s">
        <v>617</v>
      </c>
      <c r="D63" s="7" t="s">
        <v>21</v>
      </c>
      <c r="E63" s="7" t="s">
        <v>618</v>
      </c>
      <c r="F63" s="7" t="s">
        <v>865</v>
      </c>
    </row>
    <row r="64">
      <c r="A64" s="7" t="s">
        <v>611</v>
      </c>
      <c r="B64" s="8">
        <v>5.0</v>
      </c>
      <c r="C64" s="7" t="s">
        <v>617</v>
      </c>
      <c r="D64" s="7" t="s">
        <v>21</v>
      </c>
      <c r="E64" s="7" t="s">
        <v>618</v>
      </c>
      <c r="F64" s="7" t="s">
        <v>865</v>
      </c>
    </row>
    <row r="65">
      <c r="A65" s="7" t="s">
        <v>612</v>
      </c>
      <c r="B65" s="8">
        <v>5.0</v>
      </c>
      <c r="C65" s="7" t="s">
        <v>617</v>
      </c>
      <c r="D65" s="7" t="s">
        <v>21</v>
      </c>
      <c r="E65" s="7" t="s">
        <v>618</v>
      </c>
      <c r="F65" s="7" t="s">
        <v>864</v>
      </c>
    </row>
    <row r="66">
      <c r="A66" s="7" t="s">
        <v>18</v>
      </c>
      <c r="B66" s="8">
        <v>5.0</v>
      </c>
      <c r="C66" s="7" t="s">
        <v>617</v>
      </c>
      <c r="D66" s="7" t="s">
        <v>21</v>
      </c>
      <c r="E66" s="7" t="s">
        <v>618</v>
      </c>
      <c r="F66" s="7" t="s">
        <v>864</v>
      </c>
    </row>
    <row r="67">
      <c r="A67" s="7" t="s">
        <v>19</v>
      </c>
      <c r="B67" s="8">
        <v>5.0</v>
      </c>
      <c r="C67" s="7" t="s">
        <v>617</v>
      </c>
      <c r="D67" s="7" t="s">
        <v>21</v>
      </c>
      <c r="E67" s="7" t="s">
        <v>618</v>
      </c>
      <c r="F67" s="7" t="s">
        <v>594</v>
      </c>
    </row>
    <row r="68">
      <c r="A68" s="7" t="s">
        <v>596</v>
      </c>
      <c r="B68" s="8">
        <v>5.0</v>
      </c>
      <c r="C68" s="7" t="s">
        <v>619</v>
      </c>
      <c r="D68" s="7" t="s">
        <v>36</v>
      </c>
      <c r="E68" s="7" t="s">
        <v>620</v>
      </c>
      <c r="F68" s="7" t="s">
        <v>862</v>
      </c>
    </row>
    <row r="69">
      <c r="A69" s="7" t="s">
        <v>597</v>
      </c>
      <c r="B69" s="8">
        <v>5.0</v>
      </c>
      <c r="C69" s="7" t="s">
        <v>619</v>
      </c>
      <c r="D69" s="7" t="s">
        <v>36</v>
      </c>
      <c r="E69" s="7" t="s">
        <v>620</v>
      </c>
      <c r="F69" s="7" t="s">
        <v>863</v>
      </c>
    </row>
    <row r="70">
      <c r="A70" s="7" t="s">
        <v>598</v>
      </c>
      <c r="B70" s="8">
        <v>5.0</v>
      </c>
      <c r="C70" s="7" t="s">
        <v>619</v>
      </c>
      <c r="D70" s="7" t="s">
        <v>36</v>
      </c>
      <c r="E70" s="7" t="s">
        <v>620</v>
      </c>
      <c r="F70" s="7" t="s">
        <v>864</v>
      </c>
    </row>
    <row r="71">
      <c r="A71" s="7" t="s">
        <v>599</v>
      </c>
      <c r="B71" s="8">
        <v>5.0</v>
      </c>
      <c r="C71" s="7" t="s">
        <v>619</v>
      </c>
      <c r="D71" s="7" t="s">
        <v>36</v>
      </c>
      <c r="E71" s="7" t="s">
        <v>620</v>
      </c>
      <c r="F71" s="7" t="s">
        <v>862</v>
      </c>
    </row>
    <row r="72">
      <c r="A72" s="7" t="s">
        <v>600</v>
      </c>
      <c r="B72" s="8">
        <v>5.0</v>
      </c>
      <c r="C72" s="7" t="s">
        <v>619</v>
      </c>
      <c r="D72" s="7" t="s">
        <v>36</v>
      </c>
      <c r="E72" s="7" t="s">
        <v>620</v>
      </c>
      <c r="F72" s="7" t="s">
        <v>865</v>
      </c>
    </row>
    <row r="73">
      <c r="A73" s="7" t="s">
        <v>601</v>
      </c>
      <c r="B73" s="8">
        <v>5.0</v>
      </c>
      <c r="C73" s="7" t="s">
        <v>619</v>
      </c>
      <c r="D73" s="7" t="s">
        <v>36</v>
      </c>
      <c r="E73" s="7" t="s">
        <v>620</v>
      </c>
      <c r="F73" s="7" t="s">
        <v>594</v>
      </c>
    </row>
    <row r="74">
      <c r="A74" s="7" t="s">
        <v>602</v>
      </c>
      <c r="B74" s="8">
        <v>5.0</v>
      </c>
      <c r="C74" s="7" t="s">
        <v>619</v>
      </c>
      <c r="D74" s="7" t="s">
        <v>36</v>
      </c>
      <c r="E74" s="7" t="s">
        <v>620</v>
      </c>
      <c r="F74" s="7" t="s">
        <v>384</v>
      </c>
    </row>
    <row r="75">
      <c r="A75" s="7" t="s">
        <v>603</v>
      </c>
      <c r="B75" s="8">
        <v>5.0</v>
      </c>
      <c r="C75" s="7" t="s">
        <v>619</v>
      </c>
      <c r="D75" s="7" t="s">
        <v>36</v>
      </c>
      <c r="E75" s="7" t="s">
        <v>620</v>
      </c>
      <c r="F75" s="7" t="s">
        <v>862</v>
      </c>
    </row>
    <row r="76">
      <c r="A76" s="7" t="s">
        <v>604</v>
      </c>
      <c r="B76" s="8">
        <v>5.0</v>
      </c>
      <c r="C76" s="7" t="s">
        <v>619</v>
      </c>
      <c r="D76" s="7" t="s">
        <v>36</v>
      </c>
      <c r="E76" s="7" t="s">
        <v>620</v>
      </c>
      <c r="F76" s="7" t="s">
        <v>864</v>
      </c>
    </row>
    <row r="77">
      <c r="A77" s="7" t="s">
        <v>605</v>
      </c>
      <c r="B77" s="8">
        <v>5.0</v>
      </c>
      <c r="C77" s="7" t="s">
        <v>619</v>
      </c>
      <c r="D77" s="7" t="s">
        <v>36</v>
      </c>
      <c r="E77" s="7" t="s">
        <v>620</v>
      </c>
      <c r="F77" s="7" t="s">
        <v>863</v>
      </c>
    </row>
    <row r="78">
      <c r="A78" s="7" t="s">
        <v>606</v>
      </c>
      <c r="B78" s="8">
        <v>5.0</v>
      </c>
      <c r="C78" s="7" t="s">
        <v>619</v>
      </c>
      <c r="D78" s="7" t="s">
        <v>36</v>
      </c>
      <c r="E78" s="7" t="s">
        <v>620</v>
      </c>
      <c r="F78" s="7" t="s">
        <v>864</v>
      </c>
    </row>
    <row r="79">
      <c r="A79" s="7" t="s">
        <v>11</v>
      </c>
      <c r="B79" s="8">
        <v>5.0</v>
      </c>
      <c r="C79" s="7" t="s">
        <v>619</v>
      </c>
      <c r="D79" s="7" t="s">
        <v>36</v>
      </c>
      <c r="E79" s="7" t="s">
        <v>620</v>
      </c>
      <c r="F79" s="7" t="s">
        <v>863</v>
      </c>
    </row>
    <row r="80">
      <c r="A80" s="7" t="s">
        <v>607</v>
      </c>
      <c r="B80" s="8">
        <v>5.0</v>
      </c>
      <c r="C80" s="7" t="s">
        <v>619</v>
      </c>
      <c r="D80" s="7" t="s">
        <v>36</v>
      </c>
      <c r="E80" s="7" t="s">
        <v>620</v>
      </c>
      <c r="F80" s="7" t="s">
        <v>863</v>
      </c>
    </row>
    <row r="81">
      <c r="A81" s="7" t="s">
        <v>608</v>
      </c>
      <c r="B81" s="8">
        <v>5.0</v>
      </c>
      <c r="C81" s="7" t="s">
        <v>619</v>
      </c>
      <c r="D81" s="7" t="s">
        <v>36</v>
      </c>
      <c r="E81" s="7" t="s">
        <v>620</v>
      </c>
      <c r="F81" s="7" t="s">
        <v>864</v>
      </c>
    </row>
    <row r="82">
      <c r="A82" s="7" t="s">
        <v>609</v>
      </c>
      <c r="B82" s="8">
        <v>5.0</v>
      </c>
      <c r="C82" s="7" t="s">
        <v>619</v>
      </c>
      <c r="D82" s="7" t="s">
        <v>36</v>
      </c>
      <c r="E82" s="7" t="s">
        <v>620</v>
      </c>
      <c r="F82" s="7" t="s">
        <v>384</v>
      </c>
    </row>
    <row r="83">
      <c r="A83" s="7" t="s">
        <v>15</v>
      </c>
      <c r="B83" s="8">
        <v>5.0</v>
      </c>
      <c r="C83" s="7" t="s">
        <v>619</v>
      </c>
      <c r="D83" s="7" t="s">
        <v>36</v>
      </c>
      <c r="E83" s="7" t="s">
        <v>620</v>
      </c>
      <c r="F83" s="7" t="s">
        <v>863</v>
      </c>
    </row>
    <row r="84">
      <c r="A84" s="7" t="s">
        <v>610</v>
      </c>
      <c r="B84" s="8">
        <v>5.0</v>
      </c>
      <c r="C84" s="7" t="s">
        <v>619</v>
      </c>
      <c r="D84" s="7" t="s">
        <v>36</v>
      </c>
      <c r="E84" s="7" t="s">
        <v>620</v>
      </c>
      <c r="F84" s="7" t="s">
        <v>865</v>
      </c>
    </row>
    <row r="85">
      <c r="A85" s="7" t="s">
        <v>16</v>
      </c>
      <c r="B85" s="8">
        <v>5.0</v>
      </c>
      <c r="C85" s="7" t="s">
        <v>619</v>
      </c>
      <c r="D85" s="7" t="s">
        <v>36</v>
      </c>
      <c r="E85" s="7" t="s">
        <v>620</v>
      </c>
      <c r="F85" s="7" t="s">
        <v>865</v>
      </c>
    </row>
    <row r="86">
      <c r="A86" s="7" t="s">
        <v>611</v>
      </c>
      <c r="B86" s="8">
        <v>5.0</v>
      </c>
      <c r="C86" s="7" t="s">
        <v>619</v>
      </c>
      <c r="D86" s="7" t="s">
        <v>36</v>
      </c>
      <c r="E86" s="7" t="s">
        <v>620</v>
      </c>
      <c r="F86" s="7" t="s">
        <v>865</v>
      </c>
    </row>
    <row r="87">
      <c r="A87" s="7" t="s">
        <v>612</v>
      </c>
      <c r="B87" s="8">
        <v>5.0</v>
      </c>
      <c r="C87" s="7" t="s">
        <v>619</v>
      </c>
      <c r="D87" s="7" t="s">
        <v>36</v>
      </c>
      <c r="E87" s="7" t="s">
        <v>620</v>
      </c>
      <c r="F87" s="7" t="s">
        <v>864</v>
      </c>
    </row>
    <row r="88">
      <c r="A88" s="7" t="s">
        <v>18</v>
      </c>
      <c r="B88" s="8">
        <v>5.0</v>
      </c>
      <c r="C88" s="7" t="s">
        <v>619</v>
      </c>
      <c r="D88" s="7" t="s">
        <v>36</v>
      </c>
      <c r="E88" s="7" t="s">
        <v>620</v>
      </c>
      <c r="F88" s="7" t="s">
        <v>864</v>
      </c>
    </row>
    <row r="89">
      <c r="A89" s="7" t="s">
        <v>19</v>
      </c>
      <c r="B89" s="8">
        <v>5.0</v>
      </c>
      <c r="C89" s="7" t="s">
        <v>619</v>
      </c>
      <c r="D89" s="7" t="s">
        <v>36</v>
      </c>
      <c r="E89" s="7" t="s">
        <v>620</v>
      </c>
      <c r="F89" s="7" t="s">
        <v>594</v>
      </c>
    </row>
    <row r="90">
      <c r="A90" s="7" t="s">
        <v>596</v>
      </c>
      <c r="B90" s="8">
        <v>5.0</v>
      </c>
      <c r="C90" s="7" t="s">
        <v>621</v>
      </c>
      <c r="D90" s="7" t="s">
        <v>431</v>
      </c>
      <c r="E90" s="7" t="s">
        <v>622</v>
      </c>
      <c r="F90" s="7" t="s">
        <v>862</v>
      </c>
    </row>
    <row r="91">
      <c r="A91" s="7" t="s">
        <v>597</v>
      </c>
      <c r="B91" s="8">
        <v>5.0</v>
      </c>
      <c r="C91" s="7" t="s">
        <v>621</v>
      </c>
      <c r="D91" s="7" t="s">
        <v>431</v>
      </c>
      <c r="E91" s="7" t="s">
        <v>622</v>
      </c>
      <c r="F91" s="7" t="s">
        <v>863</v>
      </c>
    </row>
    <row r="92">
      <c r="A92" s="7" t="s">
        <v>598</v>
      </c>
      <c r="B92" s="8">
        <v>5.0</v>
      </c>
      <c r="C92" s="7" t="s">
        <v>621</v>
      </c>
      <c r="D92" s="7" t="s">
        <v>431</v>
      </c>
      <c r="E92" s="7" t="s">
        <v>622</v>
      </c>
      <c r="F92" s="7" t="s">
        <v>864</v>
      </c>
    </row>
    <row r="93">
      <c r="A93" s="7" t="s">
        <v>599</v>
      </c>
      <c r="B93" s="8">
        <v>5.0</v>
      </c>
      <c r="C93" s="7" t="s">
        <v>621</v>
      </c>
      <c r="D93" s="7" t="s">
        <v>431</v>
      </c>
      <c r="E93" s="7" t="s">
        <v>622</v>
      </c>
      <c r="F93" s="7" t="s">
        <v>862</v>
      </c>
    </row>
    <row r="94">
      <c r="A94" s="7" t="s">
        <v>600</v>
      </c>
      <c r="B94" s="8">
        <v>5.0</v>
      </c>
      <c r="C94" s="7" t="s">
        <v>621</v>
      </c>
      <c r="D94" s="7" t="s">
        <v>431</v>
      </c>
      <c r="E94" s="7" t="s">
        <v>622</v>
      </c>
      <c r="F94" s="7" t="s">
        <v>865</v>
      </c>
    </row>
    <row r="95">
      <c r="A95" s="7" t="s">
        <v>601</v>
      </c>
      <c r="B95" s="8">
        <v>5.0</v>
      </c>
      <c r="C95" s="7" t="s">
        <v>621</v>
      </c>
      <c r="D95" s="7" t="s">
        <v>431</v>
      </c>
      <c r="E95" s="7" t="s">
        <v>622</v>
      </c>
      <c r="F95" s="7" t="s">
        <v>594</v>
      </c>
    </row>
    <row r="96">
      <c r="A96" s="7" t="s">
        <v>602</v>
      </c>
      <c r="B96" s="8">
        <v>5.0</v>
      </c>
      <c r="C96" s="7" t="s">
        <v>621</v>
      </c>
      <c r="D96" s="7" t="s">
        <v>431</v>
      </c>
      <c r="E96" s="7" t="s">
        <v>622</v>
      </c>
      <c r="F96" s="7" t="s">
        <v>384</v>
      </c>
    </row>
    <row r="97">
      <c r="A97" s="7" t="s">
        <v>603</v>
      </c>
      <c r="B97" s="8">
        <v>5.0</v>
      </c>
      <c r="C97" s="7" t="s">
        <v>621</v>
      </c>
      <c r="D97" s="7" t="s">
        <v>431</v>
      </c>
      <c r="E97" s="7" t="s">
        <v>622</v>
      </c>
      <c r="F97" s="7" t="s">
        <v>862</v>
      </c>
    </row>
    <row r="98">
      <c r="A98" s="7" t="s">
        <v>604</v>
      </c>
      <c r="B98" s="8">
        <v>5.0</v>
      </c>
      <c r="C98" s="7" t="s">
        <v>621</v>
      </c>
      <c r="D98" s="7" t="s">
        <v>431</v>
      </c>
      <c r="E98" s="7" t="s">
        <v>622</v>
      </c>
      <c r="F98" s="7" t="s">
        <v>864</v>
      </c>
    </row>
    <row r="99">
      <c r="A99" s="7" t="s">
        <v>605</v>
      </c>
      <c r="B99" s="8">
        <v>5.0</v>
      </c>
      <c r="C99" s="7" t="s">
        <v>621</v>
      </c>
      <c r="D99" s="7" t="s">
        <v>431</v>
      </c>
      <c r="E99" s="7" t="s">
        <v>622</v>
      </c>
      <c r="F99" s="7" t="s">
        <v>863</v>
      </c>
    </row>
    <row r="100">
      <c r="A100" s="7" t="s">
        <v>606</v>
      </c>
      <c r="B100" s="8">
        <v>5.0</v>
      </c>
      <c r="C100" s="7" t="s">
        <v>621</v>
      </c>
      <c r="D100" s="7" t="s">
        <v>431</v>
      </c>
      <c r="E100" s="7" t="s">
        <v>622</v>
      </c>
      <c r="F100" s="7" t="s">
        <v>864</v>
      </c>
    </row>
    <row r="101">
      <c r="A101" s="7" t="s">
        <v>11</v>
      </c>
      <c r="B101" s="8">
        <v>5.0</v>
      </c>
      <c r="C101" s="7" t="s">
        <v>621</v>
      </c>
      <c r="D101" s="7" t="s">
        <v>431</v>
      </c>
      <c r="E101" s="7" t="s">
        <v>622</v>
      </c>
      <c r="F101" s="7" t="s">
        <v>863</v>
      </c>
    </row>
    <row r="102">
      <c r="A102" s="7" t="s">
        <v>607</v>
      </c>
      <c r="B102" s="8">
        <v>5.0</v>
      </c>
      <c r="C102" s="7" t="s">
        <v>621</v>
      </c>
      <c r="D102" s="7" t="s">
        <v>431</v>
      </c>
      <c r="E102" s="7" t="s">
        <v>622</v>
      </c>
      <c r="F102" s="7" t="s">
        <v>863</v>
      </c>
    </row>
    <row r="103">
      <c r="A103" s="7" t="s">
        <v>596</v>
      </c>
      <c r="B103" s="8">
        <v>5.0</v>
      </c>
      <c r="C103" s="7" t="s">
        <v>59</v>
      </c>
      <c r="D103" s="7" t="s">
        <v>623</v>
      </c>
      <c r="E103" s="7" t="s">
        <v>624</v>
      </c>
      <c r="F103" s="7" t="s">
        <v>625</v>
      </c>
    </row>
    <row r="104">
      <c r="A104" s="7" t="s">
        <v>598</v>
      </c>
      <c r="B104" s="8">
        <v>5.0</v>
      </c>
      <c r="C104" s="7" t="s">
        <v>59</v>
      </c>
      <c r="D104" s="7" t="s">
        <v>623</v>
      </c>
      <c r="E104" s="7" t="s">
        <v>624</v>
      </c>
      <c r="F104" s="7" t="s">
        <v>626</v>
      </c>
    </row>
    <row r="105">
      <c r="A105" s="7" t="s">
        <v>596</v>
      </c>
      <c r="B105" s="8">
        <v>5.0</v>
      </c>
      <c r="C105" s="7" t="s">
        <v>437</v>
      </c>
      <c r="D105" s="7" t="s">
        <v>627</v>
      </c>
      <c r="E105" s="7" t="s">
        <v>628</v>
      </c>
      <c r="F105" s="7" t="s">
        <v>629</v>
      </c>
    </row>
    <row r="106">
      <c r="A106" s="7" t="s">
        <v>597</v>
      </c>
      <c r="B106" s="8">
        <v>5.0</v>
      </c>
      <c r="C106" s="7" t="s">
        <v>437</v>
      </c>
      <c r="D106" s="7" t="s">
        <v>627</v>
      </c>
      <c r="E106" s="7" t="s">
        <v>628</v>
      </c>
      <c r="F106" s="7" t="s">
        <v>630</v>
      </c>
    </row>
    <row r="107">
      <c r="A107" s="7" t="s">
        <v>596</v>
      </c>
      <c r="B107" s="8">
        <v>5.0</v>
      </c>
      <c r="C107" s="7" t="s">
        <v>49</v>
      </c>
      <c r="D107" s="7" t="s">
        <v>631</v>
      </c>
      <c r="E107" s="7" t="s">
        <v>632</v>
      </c>
      <c r="F107" s="7" t="s">
        <v>633</v>
      </c>
    </row>
    <row r="108">
      <c r="A108" s="7" t="s">
        <v>597</v>
      </c>
      <c r="B108" s="8">
        <v>5.0</v>
      </c>
      <c r="C108" s="7" t="s">
        <v>49</v>
      </c>
      <c r="D108" s="7" t="s">
        <v>631</v>
      </c>
      <c r="E108" s="7" t="s">
        <v>632</v>
      </c>
      <c r="F108" s="7" t="s">
        <v>633</v>
      </c>
    </row>
    <row r="109">
      <c r="A109" s="7" t="s">
        <v>598</v>
      </c>
      <c r="B109" s="8">
        <v>5.0</v>
      </c>
      <c r="C109" s="7" t="s">
        <v>49</v>
      </c>
      <c r="D109" s="7" t="s">
        <v>631</v>
      </c>
      <c r="E109" s="7" t="s">
        <v>632</v>
      </c>
      <c r="F109" s="7" t="s">
        <v>634</v>
      </c>
    </row>
    <row r="110">
      <c r="A110" s="7" t="s">
        <v>596</v>
      </c>
      <c r="B110" s="8">
        <v>5.0</v>
      </c>
      <c r="C110" s="7" t="s">
        <v>223</v>
      </c>
      <c r="D110" s="7" t="s">
        <v>221</v>
      </c>
      <c r="E110" s="7" t="s">
        <v>635</v>
      </c>
      <c r="F110" s="7" t="s">
        <v>65</v>
      </c>
    </row>
    <row r="111">
      <c r="A111" s="7" t="s">
        <v>597</v>
      </c>
      <c r="B111" s="8">
        <v>5.0</v>
      </c>
      <c r="C111" s="7" t="s">
        <v>223</v>
      </c>
      <c r="D111" s="7" t="s">
        <v>221</v>
      </c>
      <c r="E111" s="7" t="s">
        <v>635</v>
      </c>
      <c r="F111" s="7" t="s">
        <v>65</v>
      </c>
    </row>
    <row r="112">
      <c r="A112" s="7" t="s">
        <v>598</v>
      </c>
      <c r="B112" s="8">
        <v>5.0</v>
      </c>
      <c r="C112" s="7" t="s">
        <v>223</v>
      </c>
      <c r="D112" s="7" t="s">
        <v>221</v>
      </c>
      <c r="E112" s="7" t="s">
        <v>635</v>
      </c>
      <c r="F112" s="7" t="s">
        <v>65</v>
      </c>
    </row>
    <row r="113">
      <c r="A113" s="7" t="s">
        <v>597</v>
      </c>
      <c r="B113" s="8">
        <v>5.0</v>
      </c>
      <c r="C113" s="7" t="s">
        <v>636</v>
      </c>
      <c r="D113" s="7" t="s">
        <v>637</v>
      </c>
      <c r="E113" s="7" t="s">
        <v>638</v>
      </c>
      <c r="F113" s="7" t="s">
        <v>381</v>
      </c>
    </row>
    <row r="114">
      <c r="A114" s="7" t="s">
        <v>598</v>
      </c>
      <c r="B114" s="8">
        <v>5.0</v>
      </c>
      <c r="C114" s="7" t="s">
        <v>636</v>
      </c>
      <c r="D114" s="7" t="s">
        <v>637</v>
      </c>
      <c r="E114" s="7" t="s">
        <v>638</v>
      </c>
      <c r="F114" s="7" t="s">
        <v>381</v>
      </c>
    </row>
    <row r="115">
      <c r="A115" s="7" t="s">
        <v>599</v>
      </c>
      <c r="B115" s="8">
        <v>5.0</v>
      </c>
      <c r="C115" s="7" t="s">
        <v>636</v>
      </c>
      <c r="D115" s="7" t="s">
        <v>637</v>
      </c>
      <c r="E115" s="7" t="s">
        <v>638</v>
      </c>
      <c r="F115" s="7" t="s">
        <v>379</v>
      </c>
    </row>
    <row r="116">
      <c r="A116" s="7" t="s">
        <v>600</v>
      </c>
      <c r="B116" s="8">
        <v>5.0</v>
      </c>
      <c r="C116" s="7" t="s">
        <v>636</v>
      </c>
      <c r="D116" s="7" t="s">
        <v>637</v>
      </c>
      <c r="E116" s="7" t="s">
        <v>638</v>
      </c>
      <c r="F116" s="7" t="s">
        <v>379</v>
      </c>
    </row>
    <row r="117">
      <c r="A117" s="7" t="s">
        <v>601</v>
      </c>
      <c r="B117" s="8">
        <v>5.0</v>
      </c>
      <c r="C117" s="7" t="s">
        <v>636</v>
      </c>
      <c r="D117" s="7" t="s">
        <v>637</v>
      </c>
      <c r="E117" s="7" t="s">
        <v>638</v>
      </c>
      <c r="F117" s="7" t="s">
        <v>382</v>
      </c>
    </row>
    <row r="118">
      <c r="A118" s="7" t="s">
        <v>602</v>
      </c>
      <c r="B118" s="8">
        <v>5.0</v>
      </c>
      <c r="C118" s="7" t="s">
        <v>636</v>
      </c>
      <c r="D118" s="7" t="s">
        <v>637</v>
      </c>
      <c r="E118" s="7" t="s">
        <v>638</v>
      </c>
      <c r="F118" s="7" t="s">
        <v>381</v>
      </c>
    </row>
    <row r="119">
      <c r="A119" s="7" t="s">
        <v>603</v>
      </c>
      <c r="B119" s="8">
        <v>5.0</v>
      </c>
      <c r="C119" s="7" t="s">
        <v>636</v>
      </c>
      <c r="D119" s="7" t="s">
        <v>637</v>
      </c>
      <c r="E119" s="7" t="s">
        <v>638</v>
      </c>
      <c r="F119" s="7" t="s">
        <v>382</v>
      </c>
    </row>
    <row r="120">
      <c r="A120" s="7" t="s">
        <v>604</v>
      </c>
      <c r="B120" s="8">
        <v>5.0</v>
      </c>
      <c r="C120" s="7" t="s">
        <v>636</v>
      </c>
      <c r="D120" s="7" t="s">
        <v>637</v>
      </c>
      <c r="E120" s="7" t="s">
        <v>638</v>
      </c>
      <c r="F120" s="7" t="s">
        <v>381</v>
      </c>
    </row>
    <row r="121">
      <c r="A121" s="7" t="s">
        <v>605</v>
      </c>
      <c r="B121" s="8">
        <v>5.0</v>
      </c>
      <c r="C121" s="7" t="s">
        <v>636</v>
      </c>
      <c r="D121" s="7" t="s">
        <v>637</v>
      </c>
      <c r="E121" s="7" t="s">
        <v>638</v>
      </c>
      <c r="F121" s="7" t="s">
        <v>639</v>
      </c>
    </row>
    <row r="122">
      <c r="A122" s="7" t="s">
        <v>606</v>
      </c>
      <c r="B122" s="8">
        <v>5.0</v>
      </c>
      <c r="C122" s="7" t="s">
        <v>636</v>
      </c>
      <c r="D122" s="7" t="s">
        <v>637</v>
      </c>
      <c r="E122" s="7" t="s">
        <v>638</v>
      </c>
      <c r="F122" s="7" t="s">
        <v>379</v>
      </c>
    </row>
    <row r="123">
      <c r="A123" s="7" t="s">
        <v>11</v>
      </c>
      <c r="B123" s="8">
        <v>5.0</v>
      </c>
      <c r="C123" s="7" t="s">
        <v>636</v>
      </c>
      <c r="D123" s="7" t="s">
        <v>637</v>
      </c>
      <c r="E123" s="7" t="s">
        <v>638</v>
      </c>
      <c r="F123" s="7" t="s">
        <v>382</v>
      </c>
    </row>
    <row r="124">
      <c r="A124" s="7" t="s">
        <v>607</v>
      </c>
      <c r="B124" s="8">
        <v>5.0</v>
      </c>
      <c r="C124" s="7" t="s">
        <v>636</v>
      </c>
      <c r="D124" s="7" t="s">
        <v>637</v>
      </c>
      <c r="E124" s="7" t="s">
        <v>638</v>
      </c>
      <c r="F124" s="7" t="s">
        <v>382</v>
      </c>
    </row>
    <row r="125">
      <c r="A125" s="7" t="s">
        <v>608</v>
      </c>
      <c r="B125" s="8">
        <v>5.0</v>
      </c>
      <c r="C125" s="7" t="s">
        <v>636</v>
      </c>
      <c r="D125" s="7" t="s">
        <v>637</v>
      </c>
      <c r="E125" s="7" t="s">
        <v>638</v>
      </c>
      <c r="F125" s="7" t="s">
        <v>640</v>
      </c>
    </row>
    <row r="126">
      <c r="A126" s="7" t="s">
        <v>609</v>
      </c>
      <c r="B126" s="8">
        <v>5.0</v>
      </c>
      <c r="C126" s="7" t="s">
        <v>636</v>
      </c>
      <c r="D126" s="7" t="s">
        <v>637</v>
      </c>
      <c r="E126" s="7" t="s">
        <v>638</v>
      </c>
      <c r="F126" s="7" t="s">
        <v>640</v>
      </c>
    </row>
    <row r="127">
      <c r="A127" s="7" t="s">
        <v>15</v>
      </c>
      <c r="B127" s="8">
        <v>5.0</v>
      </c>
      <c r="C127" s="7" t="s">
        <v>636</v>
      </c>
      <c r="D127" s="7" t="s">
        <v>637</v>
      </c>
      <c r="E127" s="7" t="s">
        <v>638</v>
      </c>
      <c r="F127" s="7" t="s">
        <v>640</v>
      </c>
    </row>
    <row r="128">
      <c r="A128" s="7" t="s">
        <v>610</v>
      </c>
      <c r="B128" s="8">
        <v>5.0</v>
      </c>
      <c r="C128" s="7" t="s">
        <v>636</v>
      </c>
      <c r="D128" s="7" t="s">
        <v>637</v>
      </c>
      <c r="E128" s="7" t="s">
        <v>638</v>
      </c>
      <c r="F128" s="7" t="s">
        <v>641</v>
      </c>
    </row>
    <row r="129">
      <c r="A129" s="7" t="s">
        <v>16</v>
      </c>
      <c r="B129" s="8">
        <v>5.0</v>
      </c>
      <c r="C129" s="7" t="s">
        <v>636</v>
      </c>
      <c r="D129" s="7" t="s">
        <v>637</v>
      </c>
      <c r="E129" s="7" t="s">
        <v>638</v>
      </c>
      <c r="F129" s="7" t="s">
        <v>640</v>
      </c>
    </row>
    <row r="130">
      <c r="A130" s="7" t="s">
        <v>611</v>
      </c>
      <c r="B130" s="8">
        <v>5.0</v>
      </c>
      <c r="C130" s="7" t="s">
        <v>636</v>
      </c>
      <c r="D130" s="7" t="s">
        <v>637</v>
      </c>
      <c r="E130" s="7" t="s">
        <v>638</v>
      </c>
      <c r="F130" s="7" t="s">
        <v>642</v>
      </c>
    </row>
    <row r="131">
      <c r="A131" s="7" t="s">
        <v>612</v>
      </c>
      <c r="B131" s="8">
        <v>5.0</v>
      </c>
      <c r="C131" s="7" t="s">
        <v>636</v>
      </c>
      <c r="D131" s="7" t="s">
        <v>637</v>
      </c>
      <c r="E131" s="7" t="s">
        <v>638</v>
      </c>
      <c r="F131" s="7" t="s">
        <v>640</v>
      </c>
    </row>
    <row r="132">
      <c r="A132" s="7" t="s">
        <v>18</v>
      </c>
      <c r="B132" s="8">
        <v>5.0</v>
      </c>
      <c r="C132" s="7" t="s">
        <v>636</v>
      </c>
      <c r="D132" s="7" t="s">
        <v>637</v>
      </c>
      <c r="E132" s="7" t="s">
        <v>638</v>
      </c>
      <c r="F132" s="7" t="s">
        <v>643</v>
      </c>
    </row>
    <row r="133">
      <c r="A133" s="7" t="s">
        <v>19</v>
      </c>
      <c r="B133" s="8">
        <v>5.0</v>
      </c>
      <c r="C133" s="7" t="s">
        <v>636</v>
      </c>
      <c r="D133" s="7" t="s">
        <v>637</v>
      </c>
      <c r="E133" s="7" t="s">
        <v>638</v>
      </c>
      <c r="F133" s="7" t="s">
        <v>643</v>
      </c>
    </row>
    <row r="134">
      <c r="A134" s="7" t="s">
        <v>597</v>
      </c>
      <c r="B134" s="8">
        <v>5.0</v>
      </c>
      <c r="C134" s="7" t="s">
        <v>644</v>
      </c>
      <c r="D134" s="7" t="s">
        <v>645</v>
      </c>
      <c r="E134" s="7" t="s">
        <v>646</v>
      </c>
      <c r="F134" s="7" t="s">
        <v>647</v>
      </c>
    </row>
    <row r="135">
      <c r="A135" s="7" t="s">
        <v>598</v>
      </c>
      <c r="B135" s="8">
        <v>5.0</v>
      </c>
      <c r="C135" s="7" t="s">
        <v>644</v>
      </c>
      <c r="D135" s="7" t="s">
        <v>645</v>
      </c>
      <c r="E135" s="7" t="s">
        <v>646</v>
      </c>
      <c r="F135" s="7" t="s">
        <v>648</v>
      </c>
    </row>
    <row r="136">
      <c r="A136" s="7" t="s">
        <v>599</v>
      </c>
      <c r="B136" s="8">
        <v>5.0</v>
      </c>
      <c r="C136" s="7" t="s">
        <v>644</v>
      </c>
      <c r="D136" s="7" t="s">
        <v>645</v>
      </c>
      <c r="E136" s="7" t="s">
        <v>646</v>
      </c>
      <c r="F136" s="7" t="s">
        <v>649</v>
      </c>
    </row>
    <row r="137">
      <c r="A137" s="7" t="s">
        <v>600</v>
      </c>
      <c r="B137" s="8">
        <v>5.0</v>
      </c>
      <c r="C137" s="7" t="s">
        <v>644</v>
      </c>
      <c r="D137" s="7" t="s">
        <v>645</v>
      </c>
      <c r="E137" s="7" t="s">
        <v>646</v>
      </c>
      <c r="F137" s="7" t="s">
        <v>650</v>
      </c>
    </row>
    <row r="138">
      <c r="A138" s="7" t="s">
        <v>601</v>
      </c>
      <c r="B138" s="8">
        <v>5.0</v>
      </c>
      <c r="C138" s="7" t="s">
        <v>644</v>
      </c>
      <c r="D138" s="7" t="s">
        <v>645</v>
      </c>
      <c r="E138" s="7" t="s">
        <v>646</v>
      </c>
      <c r="F138" s="7" t="s">
        <v>651</v>
      </c>
    </row>
    <row r="139">
      <c r="A139" s="7" t="s">
        <v>602</v>
      </c>
      <c r="B139" s="8">
        <v>5.0</v>
      </c>
      <c r="C139" s="7" t="s">
        <v>644</v>
      </c>
      <c r="D139" s="7" t="s">
        <v>645</v>
      </c>
      <c r="E139" s="7" t="s">
        <v>646</v>
      </c>
      <c r="F139" s="7" t="s">
        <v>652</v>
      </c>
    </row>
    <row r="140">
      <c r="A140" s="7" t="s">
        <v>603</v>
      </c>
      <c r="B140" s="8">
        <v>5.0</v>
      </c>
      <c r="C140" s="7" t="s">
        <v>644</v>
      </c>
      <c r="D140" s="7" t="s">
        <v>645</v>
      </c>
      <c r="E140" s="7" t="s">
        <v>646</v>
      </c>
      <c r="F140" s="7" t="s">
        <v>653</v>
      </c>
    </row>
    <row r="141">
      <c r="A141" s="7" t="s">
        <v>604</v>
      </c>
      <c r="B141" s="8">
        <v>5.0</v>
      </c>
      <c r="C141" s="7" t="s">
        <v>644</v>
      </c>
      <c r="D141" s="7" t="s">
        <v>645</v>
      </c>
      <c r="E141" s="7" t="s">
        <v>646</v>
      </c>
      <c r="F141" s="7" t="s">
        <v>654</v>
      </c>
    </row>
    <row r="142">
      <c r="A142" s="7" t="s">
        <v>605</v>
      </c>
      <c r="B142" s="8">
        <v>5.0</v>
      </c>
      <c r="C142" s="7" t="s">
        <v>644</v>
      </c>
      <c r="D142" s="7" t="s">
        <v>645</v>
      </c>
      <c r="E142" s="7" t="s">
        <v>646</v>
      </c>
      <c r="F142" s="7" t="s">
        <v>655</v>
      </c>
    </row>
    <row r="143">
      <c r="A143" s="7" t="s">
        <v>606</v>
      </c>
      <c r="B143" s="8">
        <v>5.0</v>
      </c>
      <c r="C143" s="7" t="s">
        <v>644</v>
      </c>
      <c r="D143" s="7" t="s">
        <v>645</v>
      </c>
      <c r="E143" s="7" t="s">
        <v>646</v>
      </c>
      <c r="F143" s="7" t="s">
        <v>656</v>
      </c>
    </row>
    <row r="144">
      <c r="A144" s="7" t="s">
        <v>11</v>
      </c>
      <c r="B144" s="8">
        <v>5.0</v>
      </c>
      <c r="C144" s="7" t="s">
        <v>644</v>
      </c>
      <c r="D144" s="7" t="s">
        <v>645</v>
      </c>
      <c r="E144" s="7" t="s">
        <v>646</v>
      </c>
      <c r="F144" s="7" t="s">
        <v>657</v>
      </c>
    </row>
    <row r="145">
      <c r="A145" s="7" t="s">
        <v>607</v>
      </c>
      <c r="B145" s="8">
        <v>5.0</v>
      </c>
      <c r="C145" s="7" t="s">
        <v>644</v>
      </c>
      <c r="D145" s="7" t="s">
        <v>645</v>
      </c>
      <c r="E145" s="7" t="s">
        <v>646</v>
      </c>
      <c r="F145" s="7" t="s">
        <v>658</v>
      </c>
    </row>
    <row r="146">
      <c r="A146" s="7" t="s">
        <v>608</v>
      </c>
      <c r="B146" s="8">
        <v>5.0</v>
      </c>
      <c r="C146" s="7" t="s">
        <v>644</v>
      </c>
      <c r="D146" s="7" t="s">
        <v>645</v>
      </c>
      <c r="E146" s="7" t="s">
        <v>646</v>
      </c>
      <c r="F146" s="7" t="s">
        <v>659</v>
      </c>
    </row>
    <row r="147">
      <c r="A147" s="7" t="s">
        <v>609</v>
      </c>
      <c r="B147" s="8">
        <v>5.0</v>
      </c>
      <c r="C147" s="7" t="s">
        <v>644</v>
      </c>
      <c r="D147" s="7" t="s">
        <v>645</v>
      </c>
      <c r="E147" s="7" t="s">
        <v>646</v>
      </c>
      <c r="F147" s="7" t="s">
        <v>660</v>
      </c>
    </row>
    <row r="148">
      <c r="A148" s="7" t="s">
        <v>15</v>
      </c>
      <c r="B148" s="8">
        <v>5.0</v>
      </c>
      <c r="C148" s="7" t="s">
        <v>644</v>
      </c>
      <c r="D148" s="7" t="s">
        <v>645</v>
      </c>
      <c r="E148" s="7" t="s">
        <v>646</v>
      </c>
      <c r="F148" s="7" t="s">
        <v>661</v>
      </c>
    </row>
    <row r="149">
      <c r="A149" s="7" t="s">
        <v>610</v>
      </c>
      <c r="B149" s="8">
        <v>5.0</v>
      </c>
      <c r="C149" s="7" t="s">
        <v>644</v>
      </c>
      <c r="D149" s="7" t="s">
        <v>645</v>
      </c>
      <c r="E149" s="7" t="s">
        <v>646</v>
      </c>
      <c r="F149" s="7" t="s">
        <v>662</v>
      </c>
    </row>
    <row r="150">
      <c r="A150" s="7" t="s">
        <v>16</v>
      </c>
      <c r="B150" s="8">
        <v>5.0</v>
      </c>
      <c r="C150" s="7" t="s">
        <v>644</v>
      </c>
      <c r="D150" s="7" t="s">
        <v>645</v>
      </c>
      <c r="E150" s="7" t="s">
        <v>646</v>
      </c>
      <c r="F150" s="7" t="s">
        <v>663</v>
      </c>
    </row>
    <row r="151">
      <c r="A151" s="7" t="s">
        <v>611</v>
      </c>
      <c r="B151" s="8">
        <v>5.0</v>
      </c>
      <c r="C151" s="7" t="s">
        <v>644</v>
      </c>
      <c r="D151" s="7" t="s">
        <v>645</v>
      </c>
      <c r="E151" s="7" t="s">
        <v>646</v>
      </c>
      <c r="F151" s="7" t="s">
        <v>664</v>
      </c>
    </row>
    <row r="152">
      <c r="A152" s="7" t="s">
        <v>612</v>
      </c>
      <c r="B152" s="8">
        <v>5.0</v>
      </c>
      <c r="C152" s="7" t="s">
        <v>644</v>
      </c>
      <c r="D152" s="7" t="s">
        <v>645</v>
      </c>
      <c r="E152" s="7" t="s">
        <v>646</v>
      </c>
      <c r="F152" s="7" t="s">
        <v>665</v>
      </c>
    </row>
    <row r="153">
      <c r="A153" s="7" t="s">
        <v>18</v>
      </c>
      <c r="B153" s="8">
        <v>5.0</v>
      </c>
      <c r="C153" s="7" t="s">
        <v>644</v>
      </c>
      <c r="D153" s="7" t="s">
        <v>645</v>
      </c>
      <c r="E153" s="7" t="s">
        <v>646</v>
      </c>
      <c r="F153" s="7" t="s">
        <v>666</v>
      </c>
    </row>
    <row r="154">
      <c r="A154" s="7" t="s">
        <v>19</v>
      </c>
      <c r="B154" s="8">
        <v>5.0</v>
      </c>
      <c r="C154" s="7" t="s">
        <v>644</v>
      </c>
      <c r="D154" s="7" t="s">
        <v>645</v>
      </c>
      <c r="E154" s="7" t="s">
        <v>646</v>
      </c>
      <c r="F154" s="7" t="s">
        <v>667</v>
      </c>
    </row>
    <row r="155">
      <c r="A155" s="7" t="s">
        <v>598</v>
      </c>
      <c r="B155" s="8">
        <v>5.0</v>
      </c>
      <c r="C155" s="7" t="s">
        <v>668</v>
      </c>
      <c r="D155" s="7" t="s">
        <v>669</v>
      </c>
      <c r="E155" s="7" t="s">
        <v>670</v>
      </c>
      <c r="F155" s="7" t="s">
        <v>671</v>
      </c>
    </row>
    <row r="156">
      <c r="A156" s="7" t="s">
        <v>599</v>
      </c>
      <c r="B156" s="8">
        <v>5.0</v>
      </c>
      <c r="C156" s="7" t="s">
        <v>668</v>
      </c>
      <c r="D156" s="7" t="s">
        <v>669</v>
      </c>
      <c r="E156" s="7" t="s">
        <v>670</v>
      </c>
      <c r="F156" s="7" t="s">
        <v>672</v>
      </c>
    </row>
    <row r="157">
      <c r="A157" s="7" t="s">
        <v>600</v>
      </c>
      <c r="B157" s="8">
        <v>5.0</v>
      </c>
      <c r="C157" s="7" t="s">
        <v>668</v>
      </c>
      <c r="D157" s="7" t="s">
        <v>669</v>
      </c>
      <c r="E157" s="7" t="s">
        <v>670</v>
      </c>
      <c r="F157" s="7" t="s">
        <v>671</v>
      </c>
    </row>
    <row r="158">
      <c r="A158" s="7" t="s">
        <v>597</v>
      </c>
      <c r="B158" s="8">
        <v>5.0</v>
      </c>
      <c r="C158" s="7" t="s">
        <v>673</v>
      </c>
      <c r="D158" s="7" t="s">
        <v>674</v>
      </c>
      <c r="E158" s="7" t="s">
        <v>675</v>
      </c>
      <c r="F158" s="7" t="s">
        <v>676</v>
      </c>
    </row>
    <row r="159">
      <c r="A159" s="7" t="s">
        <v>596</v>
      </c>
      <c r="B159" s="8">
        <v>5.0</v>
      </c>
      <c r="C159" s="7" t="s">
        <v>67</v>
      </c>
      <c r="D159" s="7" t="s">
        <v>677</v>
      </c>
      <c r="E159" s="7" t="s">
        <v>678</v>
      </c>
      <c r="F159" s="7" t="s">
        <v>65</v>
      </c>
    </row>
    <row r="160">
      <c r="A160" s="7" t="s">
        <v>597</v>
      </c>
      <c r="B160" s="8">
        <v>5.0</v>
      </c>
      <c r="C160" s="7" t="s">
        <v>67</v>
      </c>
      <c r="D160" s="7" t="s">
        <v>677</v>
      </c>
      <c r="E160" s="7" t="s">
        <v>678</v>
      </c>
      <c r="F160" s="7" t="s">
        <v>70</v>
      </c>
    </row>
    <row r="161">
      <c r="A161" s="7" t="s">
        <v>598</v>
      </c>
      <c r="B161" s="8">
        <v>5.0</v>
      </c>
      <c r="C161" s="7" t="s">
        <v>67</v>
      </c>
      <c r="D161" s="7" t="s">
        <v>677</v>
      </c>
      <c r="E161" s="7" t="s">
        <v>678</v>
      </c>
      <c r="F161" s="7" t="s">
        <v>70</v>
      </c>
    </row>
    <row r="162">
      <c r="A162" s="7" t="s">
        <v>599</v>
      </c>
      <c r="B162" s="8">
        <v>5.0</v>
      </c>
      <c r="C162" s="7" t="s">
        <v>67</v>
      </c>
      <c r="D162" s="7" t="s">
        <v>677</v>
      </c>
      <c r="E162" s="7" t="s">
        <v>678</v>
      </c>
      <c r="F162" s="7" t="s">
        <v>70</v>
      </c>
    </row>
    <row r="163">
      <c r="A163" s="7" t="s">
        <v>600</v>
      </c>
      <c r="B163" s="8">
        <v>5.0</v>
      </c>
      <c r="C163" s="7" t="s">
        <v>67</v>
      </c>
      <c r="D163" s="7" t="s">
        <v>677</v>
      </c>
      <c r="E163" s="7" t="s">
        <v>678</v>
      </c>
      <c r="F163" s="7" t="s">
        <v>71</v>
      </c>
    </row>
    <row r="164">
      <c r="A164" s="7" t="s">
        <v>601</v>
      </c>
      <c r="B164" s="8">
        <v>5.0</v>
      </c>
      <c r="C164" s="7" t="s">
        <v>67</v>
      </c>
      <c r="D164" s="7" t="s">
        <v>677</v>
      </c>
      <c r="E164" s="7" t="s">
        <v>678</v>
      </c>
      <c r="F164" s="7" t="s">
        <v>679</v>
      </c>
    </row>
    <row r="165">
      <c r="A165" s="7" t="s">
        <v>602</v>
      </c>
      <c r="B165" s="8">
        <v>5.0</v>
      </c>
      <c r="C165" s="7" t="s">
        <v>67</v>
      </c>
      <c r="D165" s="7" t="s">
        <v>677</v>
      </c>
      <c r="E165" s="7" t="s">
        <v>678</v>
      </c>
      <c r="F165" s="7" t="s">
        <v>70</v>
      </c>
    </row>
    <row r="166">
      <c r="A166" s="7" t="s">
        <v>603</v>
      </c>
      <c r="B166" s="8">
        <v>5.0</v>
      </c>
      <c r="C166" s="7" t="s">
        <v>67</v>
      </c>
      <c r="D166" s="7" t="s">
        <v>677</v>
      </c>
      <c r="E166" s="7" t="s">
        <v>678</v>
      </c>
      <c r="F166" s="7" t="s">
        <v>71</v>
      </c>
    </row>
    <row r="167">
      <c r="A167" s="7" t="s">
        <v>604</v>
      </c>
      <c r="B167" s="8">
        <v>5.0</v>
      </c>
      <c r="C167" s="7" t="s">
        <v>67</v>
      </c>
      <c r="D167" s="7" t="s">
        <v>677</v>
      </c>
      <c r="E167" s="7" t="s">
        <v>678</v>
      </c>
      <c r="F167" s="7" t="s">
        <v>70</v>
      </c>
    </row>
    <row r="168">
      <c r="A168" s="7" t="s">
        <v>605</v>
      </c>
      <c r="B168" s="8">
        <v>5.0</v>
      </c>
      <c r="C168" s="7" t="s">
        <v>67</v>
      </c>
      <c r="D168" s="7" t="s">
        <v>677</v>
      </c>
      <c r="E168" s="7" t="s">
        <v>678</v>
      </c>
      <c r="F168" s="7" t="s">
        <v>680</v>
      </c>
    </row>
    <row r="169">
      <c r="A169" s="7" t="s">
        <v>606</v>
      </c>
      <c r="B169" s="8">
        <v>5.0</v>
      </c>
      <c r="C169" s="7" t="s">
        <v>67</v>
      </c>
      <c r="D169" s="7" t="s">
        <v>677</v>
      </c>
      <c r="E169" s="7" t="s">
        <v>678</v>
      </c>
      <c r="F169" s="7" t="s">
        <v>71</v>
      </c>
    </row>
    <row r="170">
      <c r="A170" s="7" t="s">
        <v>11</v>
      </c>
      <c r="B170" s="8">
        <v>5.0</v>
      </c>
      <c r="C170" s="7" t="s">
        <v>67</v>
      </c>
      <c r="D170" s="7" t="s">
        <v>677</v>
      </c>
      <c r="E170" s="7" t="s">
        <v>678</v>
      </c>
      <c r="F170" s="7" t="s">
        <v>70</v>
      </c>
    </row>
    <row r="171">
      <c r="A171" s="7" t="s">
        <v>607</v>
      </c>
      <c r="B171" s="8">
        <v>5.0</v>
      </c>
      <c r="C171" s="7" t="s">
        <v>67</v>
      </c>
      <c r="D171" s="7" t="s">
        <v>677</v>
      </c>
      <c r="E171" s="7" t="s">
        <v>678</v>
      </c>
      <c r="F171" s="7" t="s">
        <v>70</v>
      </c>
    </row>
    <row r="172">
      <c r="A172" s="7" t="s">
        <v>608</v>
      </c>
      <c r="B172" s="8">
        <v>5.0</v>
      </c>
      <c r="C172" s="7" t="s">
        <v>67</v>
      </c>
      <c r="D172" s="7" t="s">
        <v>677</v>
      </c>
      <c r="E172" s="7" t="s">
        <v>678</v>
      </c>
      <c r="F172" s="7" t="s">
        <v>70</v>
      </c>
    </row>
    <row r="173">
      <c r="A173" s="7" t="s">
        <v>609</v>
      </c>
      <c r="B173" s="8">
        <v>5.0</v>
      </c>
      <c r="C173" s="7" t="s">
        <v>67</v>
      </c>
      <c r="D173" s="7" t="s">
        <v>677</v>
      </c>
      <c r="E173" s="7" t="s">
        <v>678</v>
      </c>
      <c r="F173" s="7" t="s">
        <v>70</v>
      </c>
    </row>
    <row r="174">
      <c r="A174" s="7" t="s">
        <v>15</v>
      </c>
      <c r="B174" s="8">
        <v>5.0</v>
      </c>
      <c r="C174" s="7" t="s">
        <v>67</v>
      </c>
      <c r="D174" s="7" t="s">
        <v>677</v>
      </c>
      <c r="E174" s="7" t="s">
        <v>678</v>
      </c>
      <c r="F174" s="7" t="s">
        <v>70</v>
      </c>
    </row>
    <row r="175">
      <c r="A175" s="7" t="s">
        <v>610</v>
      </c>
      <c r="B175" s="8">
        <v>5.0</v>
      </c>
      <c r="C175" s="7" t="s">
        <v>67</v>
      </c>
      <c r="D175" s="7" t="s">
        <v>677</v>
      </c>
      <c r="E175" s="7" t="s">
        <v>678</v>
      </c>
      <c r="F175" s="7" t="s">
        <v>70</v>
      </c>
    </row>
    <row r="176">
      <c r="A176" s="7" t="s">
        <v>16</v>
      </c>
      <c r="B176" s="8">
        <v>5.0</v>
      </c>
      <c r="C176" s="7" t="s">
        <v>67</v>
      </c>
      <c r="D176" s="7" t="s">
        <v>677</v>
      </c>
      <c r="E176" s="7" t="s">
        <v>678</v>
      </c>
      <c r="F176" s="7" t="s">
        <v>70</v>
      </c>
    </row>
    <row r="177">
      <c r="A177" s="7" t="s">
        <v>611</v>
      </c>
      <c r="B177" s="8">
        <v>5.0</v>
      </c>
      <c r="C177" s="7" t="s">
        <v>67</v>
      </c>
      <c r="D177" s="7" t="s">
        <v>677</v>
      </c>
      <c r="E177" s="7" t="s">
        <v>678</v>
      </c>
      <c r="F177" s="7" t="s">
        <v>681</v>
      </c>
    </row>
    <row r="178">
      <c r="A178" s="7" t="s">
        <v>612</v>
      </c>
      <c r="B178" s="8">
        <v>5.0</v>
      </c>
      <c r="C178" s="7" t="s">
        <v>67</v>
      </c>
      <c r="D178" s="7" t="s">
        <v>677</v>
      </c>
      <c r="E178" s="7" t="s">
        <v>678</v>
      </c>
      <c r="F178" s="7" t="s">
        <v>70</v>
      </c>
    </row>
    <row r="179">
      <c r="A179" s="7" t="s">
        <v>18</v>
      </c>
      <c r="B179" s="8">
        <v>5.0</v>
      </c>
      <c r="C179" s="7" t="s">
        <v>67</v>
      </c>
      <c r="D179" s="7" t="s">
        <v>677</v>
      </c>
      <c r="E179" s="7" t="s">
        <v>678</v>
      </c>
      <c r="F179" s="7" t="s">
        <v>70</v>
      </c>
    </row>
    <row r="180">
      <c r="A180" s="7" t="s">
        <v>19</v>
      </c>
      <c r="B180" s="8">
        <v>5.0</v>
      </c>
      <c r="C180" s="7" t="s">
        <v>67</v>
      </c>
      <c r="D180" s="7" t="s">
        <v>677</v>
      </c>
      <c r="E180" s="7" t="s">
        <v>678</v>
      </c>
      <c r="F180" s="7" t="s">
        <v>70</v>
      </c>
    </row>
    <row r="181">
      <c r="A181" s="7" t="s">
        <v>596</v>
      </c>
      <c r="B181" s="8">
        <v>5.0</v>
      </c>
      <c r="C181" s="7" t="s">
        <v>72</v>
      </c>
      <c r="D181" s="7" t="s">
        <v>682</v>
      </c>
      <c r="E181" s="7" t="s">
        <v>683</v>
      </c>
      <c r="F181" s="7" t="s">
        <v>77</v>
      </c>
    </row>
    <row r="182">
      <c r="A182" s="7" t="s">
        <v>597</v>
      </c>
      <c r="B182" s="8">
        <v>5.0</v>
      </c>
      <c r="C182" s="7" t="s">
        <v>72</v>
      </c>
      <c r="D182" s="7" t="s">
        <v>682</v>
      </c>
      <c r="E182" s="7" t="s">
        <v>683</v>
      </c>
      <c r="F182" s="7" t="s">
        <v>77</v>
      </c>
    </row>
    <row r="183">
      <c r="A183" s="7" t="s">
        <v>598</v>
      </c>
      <c r="B183" s="8">
        <v>5.0</v>
      </c>
      <c r="C183" s="7" t="s">
        <v>72</v>
      </c>
      <c r="D183" s="7" t="s">
        <v>682</v>
      </c>
      <c r="E183" s="7" t="s">
        <v>683</v>
      </c>
      <c r="F183" s="7" t="s">
        <v>684</v>
      </c>
    </row>
    <row r="184">
      <c r="A184" s="7" t="s">
        <v>599</v>
      </c>
      <c r="B184" s="8">
        <v>5.0</v>
      </c>
      <c r="C184" s="7" t="s">
        <v>72</v>
      </c>
      <c r="D184" s="7" t="s">
        <v>682</v>
      </c>
      <c r="E184" s="7" t="s">
        <v>683</v>
      </c>
      <c r="F184" s="7" t="s">
        <v>77</v>
      </c>
    </row>
    <row r="185">
      <c r="A185" s="7" t="s">
        <v>600</v>
      </c>
      <c r="B185" s="8">
        <v>5.0</v>
      </c>
      <c r="C185" s="7" t="s">
        <v>72</v>
      </c>
      <c r="D185" s="7" t="s">
        <v>682</v>
      </c>
      <c r="E185" s="7" t="s">
        <v>683</v>
      </c>
      <c r="F185" s="7" t="s">
        <v>685</v>
      </c>
    </row>
    <row r="186">
      <c r="A186" s="7" t="s">
        <v>601</v>
      </c>
      <c r="B186" s="8">
        <v>5.0</v>
      </c>
      <c r="C186" s="7" t="s">
        <v>72</v>
      </c>
      <c r="D186" s="7" t="s">
        <v>682</v>
      </c>
      <c r="E186" s="7" t="s">
        <v>683</v>
      </c>
      <c r="F186" s="7" t="s">
        <v>686</v>
      </c>
    </row>
    <row r="187">
      <c r="A187" s="7" t="s">
        <v>602</v>
      </c>
      <c r="B187" s="8">
        <v>5.0</v>
      </c>
      <c r="C187" s="7" t="s">
        <v>72</v>
      </c>
      <c r="D187" s="7" t="s">
        <v>682</v>
      </c>
      <c r="E187" s="7" t="s">
        <v>683</v>
      </c>
      <c r="F187" s="7" t="s">
        <v>77</v>
      </c>
    </row>
    <row r="188">
      <c r="A188" s="7" t="s">
        <v>603</v>
      </c>
      <c r="B188" s="8">
        <v>5.0</v>
      </c>
      <c r="C188" s="7" t="s">
        <v>72</v>
      </c>
      <c r="D188" s="7" t="s">
        <v>682</v>
      </c>
      <c r="E188" s="7" t="s">
        <v>683</v>
      </c>
      <c r="F188" s="7" t="s">
        <v>77</v>
      </c>
    </row>
    <row r="189">
      <c r="A189" s="7" t="s">
        <v>604</v>
      </c>
      <c r="B189" s="8">
        <v>5.0</v>
      </c>
      <c r="C189" s="7" t="s">
        <v>72</v>
      </c>
      <c r="D189" s="7" t="s">
        <v>682</v>
      </c>
      <c r="E189" s="7" t="s">
        <v>683</v>
      </c>
      <c r="F189" s="7" t="s">
        <v>687</v>
      </c>
    </row>
    <row r="190">
      <c r="A190" s="7" t="s">
        <v>605</v>
      </c>
      <c r="B190" s="8">
        <v>5.0</v>
      </c>
      <c r="C190" s="7" t="s">
        <v>72</v>
      </c>
      <c r="D190" s="7" t="s">
        <v>682</v>
      </c>
      <c r="E190" s="7" t="s">
        <v>683</v>
      </c>
      <c r="F190" s="7" t="s">
        <v>77</v>
      </c>
    </row>
    <row r="191">
      <c r="A191" s="7" t="s">
        <v>606</v>
      </c>
      <c r="B191" s="8">
        <v>5.0</v>
      </c>
      <c r="C191" s="7" t="s">
        <v>72</v>
      </c>
      <c r="D191" s="7" t="s">
        <v>682</v>
      </c>
      <c r="E191" s="7" t="s">
        <v>683</v>
      </c>
      <c r="F191" s="7" t="s">
        <v>77</v>
      </c>
    </row>
    <row r="192">
      <c r="A192" s="7" t="s">
        <v>11</v>
      </c>
      <c r="B192" s="8">
        <v>5.0</v>
      </c>
      <c r="C192" s="7" t="s">
        <v>72</v>
      </c>
      <c r="D192" s="7" t="s">
        <v>682</v>
      </c>
      <c r="E192" s="7" t="s">
        <v>683</v>
      </c>
      <c r="F192" s="7" t="s">
        <v>460</v>
      </c>
    </row>
    <row r="193">
      <c r="A193" s="7" t="s">
        <v>607</v>
      </c>
      <c r="B193" s="8">
        <v>5.0</v>
      </c>
      <c r="C193" s="7" t="s">
        <v>72</v>
      </c>
      <c r="D193" s="7" t="s">
        <v>682</v>
      </c>
      <c r="E193" s="7" t="s">
        <v>683</v>
      </c>
      <c r="F193" s="7" t="s">
        <v>76</v>
      </c>
    </row>
    <row r="194">
      <c r="A194" s="7" t="s">
        <v>608</v>
      </c>
      <c r="B194" s="8">
        <v>5.0</v>
      </c>
      <c r="C194" s="7" t="s">
        <v>72</v>
      </c>
      <c r="D194" s="7" t="s">
        <v>682</v>
      </c>
      <c r="E194" s="7" t="s">
        <v>683</v>
      </c>
      <c r="F194" s="7" t="s">
        <v>365</v>
      </c>
    </row>
    <row r="195">
      <c r="A195" s="7" t="s">
        <v>609</v>
      </c>
      <c r="B195" s="8">
        <v>5.0</v>
      </c>
      <c r="C195" s="7" t="s">
        <v>72</v>
      </c>
      <c r="D195" s="7" t="s">
        <v>682</v>
      </c>
      <c r="E195" s="7" t="s">
        <v>683</v>
      </c>
      <c r="F195" s="7" t="s">
        <v>77</v>
      </c>
    </row>
    <row r="196">
      <c r="A196" s="7" t="s">
        <v>15</v>
      </c>
      <c r="B196" s="8">
        <v>5.0</v>
      </c>
      <c r="C196" s="7" t="s">
        <v>72</v>
      </c>
      <c r="D196" s="7" t="s">
        <v>682</v>
      </c>
      <c r="E196" s="7" t="s">
        <v>683</v>
      </c>
      <c r="F196" s="7" t="s">
        <v>77</v>
      </c>
    </row>
    <row r="197">
      <c r="A197" s="7" t="s">
        <v>610</v>
      </c>
      <c r="B197" s="8">
        <v>5.0</v>
      </c>
      <c r="C197" s="7" t="s">
        <v>72</v>
      </c>
      <c r="D197" s="7" t="s">
        <v>682</v>
      </c>
      <c r="E197" s="7" t="s">
        <v>683</v>
      </c>
      <c r="F197" s="7" t="s">
        <v>77</v>
      </c>
    </row>
    <row r="198">
      <c r="A198" s="7" t="s">
        <v>16</v>
      </c>
      <c r="B198" s="8">
        <v>5.0</v>
      </c>
      <c r="C198" s="7" t="s">
        <v>72</v>
      </c>
      <c r="D198" s="7" t="s">
        <v>682</v>
      </c>
      <c r="E198" s="7" t="s">
        <v>683</v>
      </c>
      <c r="F198" s="7" t="s">
        <v>77</v>
      </c>
    </row>
    <row r="199">
      <c r="A199" s="7" t="s">
        <v>611</v>
      </c>
      <c r="B199" s="8">
        <v>5.0</v>
      </c>
      <c r="C199" s="7" t="s">
        <v>72</v>
      </c>
      <c r="D199" s="7" t="s">
        <v>682</v>
      </c>
      <c r="E199" s="7" t="s">
        <v>683</v>
      </c>
      <c r="F199" s="7" t="s">
        <v>688</v>
      </c>
    </row>
    <row r="200">
      <c r="A200" s="7" t="s">
        <v>612</v>
      </c>
      <c r="B200" s="8">
        <v>5.0</v>
      </c>
      <c r="C200" s="7" t="s">
        <v>72</v>
      </c>
      <c r="D200" s="7" t="s">
        <v>682</v>
      </c>
      <c r="E200" s="7" t="s">
        <v>683</v>
      </c>
      <c r="F200" s="7" t="s">
        <v>77</v>
      </c>
    </row>
    <row r="201">
      <c r="A201" s="7" t="s">
        <v>18</v>
      </c>
      <c r="B201" s="8">
        <v>5.0</v>
      </c>
      <c r="C201" s="7" t="s">
        <v>72</v>
      </c>
      <c r="D201" s="7" t="s">
        <v>682</v>
      </c>
      <c r="E201" s="7" t="s">
        <v>683</v>
      </c>
      <c r="F201" s="7" t="s">
        <v>77</v>
      </c>
    </row>
    <row r="202">
      <c r="A202" s="7" t="s">
        <v>19</v>
      </c>
      <c r="B202" s="8">
        <v>5.0</v>
      </c>
      <c r="C202" s="7" t="s">
        <v>72</v>
      </c>
      <c r="D202" s="7" t="s">
        <v>682</v>
      </c>
      <c r="E202" s="7" t="s">
        <v>683</v>
      </c>
      <c r="F202" s="7" t="s">
        <v>77</v>
      </c>
    </row>
    <row r="203">
      <c r="A203" s="7" t="s">
        <v>596</v>
      </c>
      <c r="B203" s="8">
        <v>5.0</v>
      </c>
      <c r="C203" s="7" t="s">
        <v>78</v>
      </c>
      <c r="D203" s="7" t="s">
        <v>689</v>
      </c>
      <c r="E203" s="7" t="s">
        <v>690</v>
      </c>
      <c r="F203" s="7" t="s">
        <v>245</v>
      </c>
    </row>
    <row r="204">
      <c r="A204" s="7" t="s">
        <v>597</v>
      </c>
      <c r="B204" s="8">
        <v>5.0</v>
      </c>
      <c r="C204" s="7" t="s">
        <v>78</v>
      </c>
      <c r="D204" s="7" t="s">
        <v>689</v>
      </c>
      <c r="E204" s="7" t="s">
        <v>690</v>
      </c>
      <c r="F204" s="7" t="s">
        <v>81</v>
      </c>
    </row>
    <row r="205">
      <c r="A205" s="7" t="s">
        <v>598</v>
      </c>
      <c r="B205" s="8">
        <v>5.0</v>
      </c>
      <c r="C205" s="7" t="s">
        <v>78</v>
      </c>
      <c r="D205" s="7" t="s">
        <v>689</v>
      </c>
      <c r="E205" s="7" t="s">
        <v>690</v>
      </c>
      <c r="F205" s="7" t="s">
        <v>82</v>
      </c>
    </row>
    <row r="206">
      <c r="A206" s="7" t="s">
        <v>599</v>
      </c>
      <c r="B206" s="8">
        <v>5.0</v>
      </c>
      <c r="C206" s="7" t="s">
        <v>78</v>
      </c>
      <c r="D206" s="7" t="s">
        <v>689</v>
      </c>
      <c r="E206" s="7" t="s">
        <v>690</v>
      </c>
      <c r="F206" s="7" t="s">
        <v>245</v>
      </c>
    </row>
    <row r="207">
      <c r="A207" s="7" t="s">
        <v>600</v>
      </c>
      <c r="B207" s="8">
        <v>5.0</v>
      </c>
      <c r="C207" s="7" t="s">
        <v>78</v>
      </c>
      <c r="D207" s="7" t="s">
        <v>689</v>
      </c>
      <c r="E207" s="7" t="s">
        <v>690</v>
      </c>
      <c r="F207" s="7" t="s">
        <v>691</v>
      </c>
    </row>
    <row r="208">
      <c r="A208" s="7" t="s">
        <v>601</v>
      </c>
      <c r="B208" s="8">
        <v>5.0</v>
      </c>
      <c r="C208" s="7" t="s">
        <v>78</v>
      </c>
      <c r="D208" s="7" t="s">
        <v>689</v>
      </c>
      <c r="E208" s="7" t="s">
        <v>690</v>
      </c>
      <c r="F208" s="7" t="s">
        <v>692</v>
      </c>
    </row>
    <row r="209">
      <c r="A209" s="7" t="s">
        <v>602</v>
      </c>
      <c r="B209" s="8">
        <v>5.0</v>
      </c>
      <c r="C209" s="7" t="s">
        <v>78</v>
      </c>
      <c r="D209" s="7" t="s">
        <v>689</v>
      </c>
      <c r="E209" s="7" t="s">
        <v>690</v>
      </c>
      <c r="F209" s="7" t="s">
        <v>693</v>
      </c>
    </row>
    <row r="210">
      <c r="A210" s="7" t="s">
        <v>603</v>
      </c>
      <c r="B210" s="8">
        <v>5.0</v>
      </c>
      <c r="C210" s="7" t="s">
        <v>78</v>
      </c>
      <c r="D210" s="7" t="s">
        <v>689</v>
      </c>
      <c r="E210" s="7" t="s">
        <v>690</v>
      </c>
      <c r="F210" s="7" t="s">
        <v>81</v>
      </c>
    </row>
    <row r="211">
      <c r="A211" s="7" t="s">
        <v>604</v>
      </c>
      <c r="B211" s="8">
        <v>5.0</v>
      </c>
      <c r="C211" s="7" t="s">
        <v>78</v>
      </c>
      <c r="D211" s="7" t="s">
        <v>689</v>
      </c>
      <c r="E211" s="7" t="s">
        <v>690</v>
      </c>
      <c r="F211" s="7" t="s">
        <v>244</v>
      </c>
    </row>
    <row r="212">
      <c r="A212" s="7" t="s">
        <v>605</v>
      </c>
      <c r="B212" s="8">
        <v>5.0</v>
      </c>
      <c r="C212" s="7" t="s">
        <v>78</v>
      </c>
      <c r="D212" s="7" t="s">
        <v>689</v>
      </c>
      <c r="E212" s="7" t="s">
        <v>690</v>
      </c>
      <c r="F212" s="7" t="s">
        <v>468</v>
      </c>
    </row>
    <row r="213">
      <c r="A213" s="7" t="s">
        <v>606</v>
      </c>
      <c r="B213" s="8">
        <v>5.0</v>
      </c>
      <c r="C213" s="7" t="s">
        <v>78</v>
      </c>
      <c r="D213" s="7" t="s">
        <v>689</v>
      </c>
      <c r="E213" s="7" t="s">
        <v>690</v>
      </c>
      <c r="F213" s="7" t="s">
        <v>245</v>
      </c>
    </row>
    <row r="214">
      <c r="A214" s="7" t="s">
        <v>11</v>
      </c>
      <c r="B214" s="8">
        <v>5.0</v>
      </c>
      <c r="C214" s="7" t="s">
        <v>78</v>
      </c>
      <c r="D214" s="7" t="s">
        <v>689</v>
      </c>
      <c r="E214" s="7" t="s">
        <v>690</v>
      </c>
      <c r="F214" s="7" t="s">
        <v>82</v>
      </c>
    </row>
    <row r="215">
      <c r="A215" s="7" t="s">
        <v>607</v>
      </c>
      <c r="B215" s="8">
        <v>5.0</v>
      </c>
      <c r="C215" s="7" t="s">
        <v>78</v>
      </c>
      <c r="D215" s="7" t="s">
        <v>689</v>
      </c>
      <c r="E215" s="7" t="s">
        <v>690</v>
      </c>
      <c r="F215" s="7" t="s">
        <v>469</v>
      </c>
    </row>
    <row r="216">
      <c r="A216" s="7" t="s">
        <v>608</v>
      </c>
      <c r="B216" s="8">
        <v>5.0</v>
      </c>
      <c r="C216" s="7" t="s">
        <v>78</v>
      </c>
      <c r="D216" s="7" t="s">
        <v>689</v>
      </c>
      <c r="E216" s="7" t="s">
        <v>690</v>
      </c>
      <c r="F216" s="7" t="s">
        <v>694</v>
      </c>
    </row>
    <row r="217">
      <c r="A217" s="7" t="s">
        <v>609</v>
      </c>
      <c r="B217" s="8">
        <v>5.0</v>
      </c>
      <c r="C217" s="7" t="s">
        <v>78</v>
      </c>
      <c r="D217" s="7" t="s">
        <v>689</v>
      </c>
      <c r="E217" s="7" t="s">
        <v>690</v>
      </c>
      <c r="F217" s="7" t="s">
        <v>695</v>
      </c>
    </row>
    <row r="218">
      <c r="A218" s="7" t="s">
        <v>15</v>
      </c>
      <c r="B218" s="8">
        <v>5.0</v>
      </c>
      <c r="C218" s="7" t="s">
        <v>78</v>
      </c>
      <c r="D218" s="7" t="s">
        <v>689</v>
      </c>
      <c r="E218" s="7" t="s">
        <v>690</v>
      </c>
      <c r="F218" s="7" t="s">
        <v>463</v>
      </c>
    </row>
    <row r="219">
      <c r="A219" s="7" t="s">
        <v>610</v>
      </c>
      <c r="B219" s="8">
        <v>5.0</v>
      </c>
      <c r="C219" s="7" t="s">
        <v>78</v>
      </c>
      <c r="D219" s="7" t="s">
        <v>689</v>
      </c>
      <c r="E219" s="7" t="s">
        <v>690</v>
      </c>
      <c r="F219" s="7" t="s">
        <v>245</v>
      </c>
    </row>
    <row r="220">
      <c r="A220" s="7" t="s">
        <v>16</v>
      </c>
      <c r="B220" s="8">
        <v>5.0</v>
      </c>
      <c r="C220" s="7" t="s">
        <v>78</v>
      </c>
      <c r="D220" s="7" t="s">
        <v>689</v>
      </c>
      <c r="E220" s="7" t="s">
        <v>690</v>
      </c>
      <c r="F220" s="7" t="s">
        <v>695</v>
      </c>
    </row>
    <row r="221">
      <c r="A221" s="7" t="s">
        <v>611</v>
      </c>
      <c r="B221" s="8">
        <v>5.0</v>
      </c>
      <c r="C221" s="7" t="s">
        <v>78</v>
      </c>
      <c r="D221" s="7" t="s">
        <v>689</v>
      </c>
      <c r="E221" s="7" t="s">
        <v>690</v>
      </c>
      <c r="F221" s="7" t="s">
        <v>696</v>
      </c>
    </row>
    <row r="222">
      <c r="A222" s="7" t="s">
        <v>612</v>
      </c>
      <c r="B222" s="8">
        <v>5.0</v>
      </c>
      <c r="C222" s="7" t="s">
        <v>78</v>
      </c>
      <c r="D222" s="7" t="s">
        <v>689</v>
      </c>
      <c r="E222" s="7" t="s">
        <v>690</v>
      </c>
      <c r="F222" s="7" t="s">
        <v>245</v>
      </c>
    </row>
    <row r="223">
      <c r="A223" s="7" t="s">
        <v>18</v>
      </c>
      <c r="B223" s="8">
        <v>5.0</v>
      </c>
      <c r="C223" s="7" t="s">
        <v>78</v>
      </c>
      <c r="D223" s="7" t="s">
        <v>689</v>
      </c>
      <c r="E223" s="7" t="s">
        <v>690</v>
      </c>
      <c r="F223" s="7" t="s">
        <v>697</v>
      </c>
    </row>
    <row r="224">
      <c r="A224" s="7" t="s">
        <v>19</v>
      </c>
      <c r="B224" s="8">
        <v>5.0</v>
      </c>
      <c r="C224" s="7" t="s">
        <v>78</v>
      </c>
      <c r="D224" s="7" t="s">
        <v>689</v>
      </c>
      <c r="E224" s="7" t="s">
        <v>690</v>
      </c>
      <c r="F224" s="7" t="s">
        <v>698</v>
      </c>
    </row>
    <row r="225">
      <c r="A225" s="7" t="s">
        <v>596</v>
      </c>
      <c r="B225" s="8">
        <v>5.0</v>
      </c>
      <c r="C225" s="7" t="s">
        <v>699</v>
      </c>
      <c r="D225" s="7" t="s">
        <v>700</v>
      </c>
      <c r="E225" s="7" t="s">
        <v>701</v>
      </c>
      <c r="F225" s="7" t="s">
        <v>702</v>
      </c>
    </row>
    <row r="226">
      <c r="A226" s="7" t="s">
        <v>597</v>
      </c>
      <c r="B226" s="8">
        <v>5.0</v>
      </c>
      <c r="C226" s="7" t="s">
        <v>699</v>
      </c>
      <c r="D226" s="7" t="s">
        <v>700</v>
      </c>
      <c r="E226" s="7" t="s">
        <v>701</v>
      </c>
      <c r="F226" s="7" t="s">
        <v>703</v>
      </c>
    </row>
    <row r="227">
      <c r="A227" s="7" t="s">
        <v>598</v>
      </c>
      <c r="B227" s="8">
        <v>5.0</v>
      </c>
      <c r="C227" s="7" t="s">
        <v>699</v>
      </c>
      <c r="D227" s="7" t="s">
        <v>700</v>
      </c>
      <c r="E227" s="7" t="s">
        <v>701</v>
      </c>
      <c r="F227" s="7" t="s">
        <v>704</v>
      </c>
    </row>
    <row r="228">
      <c r="A228" s="7" t="s">
        <v>599</v>
      </c>
      <c r="B228" s="8">
        <v>5.0</v>
      </c>
      <c r="C228" s="7" t="s">
        <v>699</v>
      </c>
      <c r="D228" s="7" t="s">
        <v>700</v>
      </c>
      <c r="E228" s="7" t="s">
        <v>701</v>
      </c>
      <c r="F228" s="7" t="s">
        <v>702</v>
      </c>
    </row>
    <row r="229">
      <c r="A229" s="7" t="s">
        <v>600</v>
      </c>
      <c r="B229" s="8">
        <v>5.0</v>
      </c>
      <c r="C229" s="7" t="s">
        <v>699</v>
      </c>
      <c r="D229" s="7" t="s">
        <v>700</v>
      </c>
      <c r="E229" s="7" t="s">
        <v>701</v>
      </c>
      <c r="F229" s="7" t="s">
        <v>705</v>
      </c>
    </row>
    <row r="230">
      <c r="A230" s="7" t="s">
        <v>601</v>
      </c>
      <c r="B230" s="8">
        <v>5.0</v>
      </c>
      <c r="C230" s="7" t="s">
        <v>699</v>
      </c>
      <c r="D230" s="7" t="s">
        <v>700</v>
      </c>
      <c r="E230" s="7" t="s">
        <v>701</v>
      </c>
      <c r="F230" s="7" t="s">
        <v>706</v>
      </c>
    </row>
    <row r="231">
      <c r="A231" s="7" t="s">
        <v>602</v>
      </c>
      <c r="B231" s="8">
        <v>5.0</v>
      </c>
      <c r="C231" s="7" t="s">
        <v>699</v>
      </c>
      <c r="D231" s="7" t="s">
        <v>700</v>
      </c>
      <c r="E231" s="7" t="s">
        <v>701</v>
      </c>
      <c r="F231" s="7" t="s">
        <v>707</v>
      </c>
    </row>
    <row r="232">
      <c r="A232" s="7" t="s">
        <v>603</v>
      </c>
      <c r="B232" s="8">
        <v>5.0</v>
      </c>
      <c r="C232" s="7" t="s">
        <v>699</v>
      </c>
      <c r="D232" s="7" t="s">
        <v>700</v>
      </c>
      <c r="E232" s="7" t="s">
        <v>701</v>
      </c>
      <c r="F232" s="7" t="s">
        <v>708</v>
      </c>
    </row>
    <row r="233">
      <c r="A233" s="7" t="s">
        <v>604</v>
      </c>
      <c r="B233" s="8">
        <v>5.0</v>
      </c>
      <c r="C233" s="7" t="s">
        <v>699</v>
      </c>
      <c r="D233" s="7" t="s">
        <v>700</v>
      </c>
      <c r="E233" s="7" t="s">
        <v>701</v>
      </c>
      <c r="F233" s="7" t="s">
        <v>709</v>
      </c>
    </row>
    <row r="234">
      <c r="A234" s="7" t="s">
        <v>605</v>
      </c>
      <c r="B234" s="8">
        <v>5.0</v>
      </c>
      <c r="C234" s="7" t="s">
        <v>699</v>
      </c>
      <c r="D234" s="7" t="s">
        <v>700</v>
      </c>
      <c r="E234" s="7" t="s">
        <v>701</v>
      </c>
      <c r="F234" s="7" t="s">
        <v>710</v>
      </c>
    </row>
    <row r="235">
      <c r="A235" s="7" t="s">
        <v>606</v>
      </c>
      <c r="B235" s="8">
        <v>5.0</v>
      </c>
      <c r="C235" s="7" t="s">
        <v>699</v>
      </c>
      <c r="D235" s="7" t="s">
        <v>700</v>
      </c>
      <c r="E235" s="7" t="s">
        <v>701</v>
      </c>
      <c r="F235" s="7" t="s">
        <v>702</v>
      </c>
    </row>
    <row r="236">
      <c r="A236" s="7" t="s">
        <v>11</v>
      </c>
      <c r="B236" s="8">
        <v>5.0</v>
      </c>
      <c r="C236" s="7" t="s">
        <v>699</v>
      </c>
      <c r="D236" s="7" t="s">
        <v>700</v>
      </c>
      <c r="E236" s="7" t="s">
        <v>701</v>
      </c>
      <c r="F236" s="7" t="s">
        <v>711</v>
      </c>
    </row>
    <row r="237">
      <c r="A237" s="7" t="s">
        <v>607</v>
      </c>
      <c r="B237" s="8">
        <v>5.0</v>
      </c>
      <c r="C237" s="7" t="s">
        <v>699</v>
      </c>
      <c r="D237" s="7" t="s">
        <v>700</v>
      </c>
      <c r="E237" s="7" t="s">
        <v>701</v>
      </c>
      <c r="F237" s="7" t="s">
        <v>712</v>
      </c>
    </row>
    <row r="238">
      <c r="A238" s="7" t="s">
        <v>608</v>
      </c>
      <c r="B238" s="8">
        <v>5.0</v>
      </c>
      <c r="C238" s="7" t="s">
        <v>699</v>
      </c>
      <c r="D238" s="7" t="s">
        <v>700</v>
      </c>
      <c r="E238" s="7" t="s">
        <v>701</v>
      </c>
      <c r="F238" s="7" t="s">
        <v>713</v>
      </c>
    </row>
    <row r="239">
      <c r="A239" s="7" t="s">
        <v>609</v>
      </c>
      <c r="B239" s="8">
        <v>5.0</v>
      </c>
      <c r="C239" s="7" t="s">
        <v>699</v>
      </c>
      <c r="D239" s="7" t="s">
        <v>700</v>
      </c>
      <c r="E239" s="7" t="s">
        <v>701</v>
      </c>
      <c r="F239" s="7" t="s">
        <v>714</v>
      </c>
    </row>
    <row r="240">
      <c r="A240" s="7" t="s">
        <v>15</v>
      </c>
      <c r="B240" s="8">
        <v>5.0</v>
      </c>
      <c r="C240" s="7" t="s">
        <v>699</v>
      </c>
      <c r="D240" s="7" t="s">
        <v>700</v>
      </c>
      <c r="E240" s="7" t="s">
        <v>701</v>
      </c>
      <c r="F240" s="7" t="s">
        <v>715</v>
      </c>
    </row>
    <row r="241">
      <c r="A241" s="7" t="s">
        <v>610</v>
      </c>
      <c r="B241" s="8">
        <v>5.0</v>
      </c>
      <c r="C241" s="7" t="s">
        <v>699</v>
      </c>
      <c r="D241" s="7" t="s">
        <v>700</v>
      </c>
      <c r="E241" s="7" t="s">
        <v>701</v>
      </c>
      <c r="F241" s="7" t="s">
        <v>702</v>
      </c>
    </row>
    <row r="242">
      <c r="A242" s="7" t="s">
        <v>16</v>
      </c>
      <c r="B242" s="8">
        <v>5.0</v>
      </c>
      <c r="C242" s="7" t="s">
        <v>699</v>
      </c>
      <c r="D242" s="7" t="s">
        <v>700</v>
      </c>
      <c r="E242" s="7" t="s">
        <v>701</v>
      </c>
      <c r="F242" s="7" t="s">
        <v>716</v>
      </c>
    </row>
    <row r="243">
      <c r="A243" s="7" t="s">
        <v>611</v>
      </c>
      <c r="B243" s="8">
        <v>5.0</v>
      </c>
      <c r="C243" s="7" t="s">
        <v>699</v>
      </c>
      <c r="D243" s="7" t="s">
        <v>700</v>
      </c>
      <c r="E243" s="7" t="s">
        <v>701</v>
      </c>
      <c r="F243" s="7" t="s">
        <v>702</v>
      </c>
    </row>
    <row r="244">
      <c r="A244" s="7" t="s">
        <v>612</v>
      </c>
      <c r="B244" s="8">
        <v>5.0</v>
      </c>
      <c r="C244" s="7" t="s">
        <v>699</v>
      </c>
      <c r="D244" s="7" t="s">
        <v>700</v>
      </c>
      <c r="E244" s="7" t="s">
        <v>701</v>
      </c>
      <c r="F244" s="7" t="s">
        <v>717</v>
      </c>
    </row>
    <row r="245">
      <c r="A245" s="7" t="s">
        <v>18</v>
      </c>
      <c r="B245" s="8">
        <v>5.0</v>
      </c>
      <c r="C245" s="7" t="s">
        <v>699</v>
      </c>
      <c r="D245" s="7" t="s">
        <v>700</v>
      </c>
      <c r="E245" s="7" t="s">
        <v>701</v>
      </c>
      <c r="F245" s="7" t="s">
        <v>718</v>
      </c>
    </row>
    <row r="246">
      <c r="A246" s="7" t="s">
        <v>19</v>
      </c>
      <c r="B246" s="8">
        <v>5.0</v>
      </c>
      <c r="C246" s="7" t="s">
        <v>699</v>
      </c>
      <c r="D246" s="7" t="s">
        <v>700</v>
      </c>
      <c r="E246" s="7" t="s">
        <v>701</v>
      </c>
      <c r="F246" s="7" t="s">
        <v>719</v>
      </c>
    </row>
    <row r="247">
      <c r="A247" s="7" t="s">
        <v>596</v>
      </c>
      <c r="B247" s="8">
        <v>5.0</v>
      </c>
      <c r="C247" s="7" t="s">
        <v>101</v>
      </c>
      <c r="D247" s="7" t="s">
        <v>720</v>
      </c>
      <c r="E247" s="7" t="s">
        <v>721</v>
      </c>
      <c r="F247" s="7" t="s">
        <v>109</v>
      </c>
    </row>
    <row r="248">
      <c r="A248" s="7" t="s">
        <v>597</v>
      </c>
      <c r="B248" s="8">
        <v>5.0</v>
      </c>
      <c r="C248" s="7" t="s">
        <v>101</v>
      </c>
      <c r="D248" s="7" t="s">
        <v>720</v>
      </c>
      <c r="E248" s="7" t="s">
        <v>721</v>
      </c>
      <c r="F248" s="7" t="s">
        <v>109</v>
      </c>
    </row>
    <row r="249">
      <c r="A249" s="7" t="s">
        <v>598</v>
      </c>
      <c r="B249" s="8">
        <v>5.0</v>
      </c>
      <c r="C249" s="7" t="s">
        <v>101</v>
      </c>
      <c r="D249" s="7" t="s">
        <v>720</v>
      </c>
      <c r="E249" s="7" t="s">
        <v>721</v>
      </c>
      <c r="F249" s="7" t="s">
        <v>109</v>
      </c>
    </row>
    <row r="250">
      <c r="A250" s="7" t="s">
        <v>599</v>
      </c>
      <c r="B250" s="8">
        <v>5.0</v>
      </c>
      <c r="C250" s="7" t="s">
        <v>101</v>
      </c>
      <c r="D250" s="7" t="s">
        <v>720</v>
      </c>
      <c r="E250" s="7" t="s">
        <v>721</v>
      </c>
      <c r="F250" s="7" t="s">
        <v>109</v>
      </c>
    </row>
    <row r="251">
      <c r="A251" s="7" t="s">
        <v>600</v>
      </c>
      <c r="B251" s="8">
        <v>5.0</v>
      </c>
      <c r="C251" s="7" t="s">
        <v>101</v>
      </c>
      <c r="D251" s="7" t="s">
        <v>720</v>
      </c>
      <c r="E251" s="7" t="s">
        <v>721</v>
      </c>
      <c r="F251" s="7" t="s">
        <v>104</v>
      </c>
    </row>
    <row r="252">
      <c r="A252" s="7" t="s">
        <v>601</v>
      </c>
      <c r="B252" s="8">
        <v>5.0</v>
      </c>
      <c r="C252" s="7" t="s">
        <v>101</v>
      </c>
      <c r="D252" s="7" t="s">
        <v>720</v>
      </c>
      <c r="E252" s="7" t="s">
        <v>721</v>
      </c>
      <c r="F252" s="7" t="s">
        <v>722</v>
      </c>
    </row>
    <row r="253">
      <c r="A253" s="7" t="s">
        <v>602</v>
      </c>
      <c r="B253" s="8">
        <v>5.0</v>
      </c>
      <c r="C253" s="7" t="s">
        <v>101</v>
      </c>
      <c r="D253" s="7" t="s">
        <v>720</v>
      </c>
      <c r="E253" s="7" t="s">
        <v>721</v>
      </c>
      <c r="F253" s="7" t="s">
        <v>109</v>
      </c>
    </row>
    <row r="254">
      <c r="A254" s="7" t="s">
        <v>603</v>
      </c>
      <c r="B254" s="8">
        <v>5.0</v>
      </c>
      <c r="C254" s="7" t="s">
        <v>101</v>
      </c>
      <c r="D254" s="7" t="s">
        <v>720</v>
      </c>
      <c r="E254" s="7" t="s">
        <v>721</v>
      </c>
      <c r="F254" s="7" t="s">
        <v>723</v>
      </c>
    </row>
    <row r="255">
      <c r="A255" s="7" t="s">
        <v>604</v>
      </c>
      <c r="B255" s="8">
        <v>5.0</v>
      </c>
      <c r="C255" s="7" t="s">
        <v>101</v>
      </c>
      <c r="D255" s="7" t="s">
        <v>720</v>
      </c>
      <c r="E255" s="7" t="s">
        <v>721</v>
      </c>
      <c r="F255" s="7" t="s">
        <v>105</v>
      </c>
    </row>
    <row r="256">
      <c r="A256" s="7" t="s">
        <v>605</v>
      </c>
      <c r="B256" s="8">
        <v>5.0</v>
      </c>
      <c r="C256" s="7" t="s">
        <v>101</v>
      </c>
      <c r="D256" s="7" t="s">
        <v>720</v>
      </c>
      <c r="E256" s="7" t="s">
        <v>721</v>
      </c>
      <c r="F256" s="7" t="s">
        <v>109</v>
      </c>
    </row>
    <row r="257">
      <c r="A257" s="7" t="s">
        <v>606</v>
      </c>
      <c r="B257" s="8">
        <v>5.0</v>
      </c>
      <c r="C257" s="7" t="s">
        <v>101</v>
      </c>
      <c r="D257" s="7" t="s">
        <v>720</v>
      </c>
      <c r="E257" s="7" t="s">
        <v>721</v>
      </c>
      <c r="F257" s="7" t="s">
        <v>109</v>
      </c>
    </row>
    <row r="258">
      <c r="A258" s="7" t="s">
        <v>11</v>
      </c>
      <c r="B258" s="8">
        <v>5.0</v>
      </c>
      <c r="C258" s="7" t="s">
        <v>101</v>
      </c>
      <c r="D258" s="7" t="s">
        <v>720</v>
      </c>
      <c r="E258" s="7" t="s">
        <v>721</v>
      </c>
      <c r="F258" s="7" t="s">
        <v>724</v>
      </c>
    </row>
    <row r="259">
      <c r="A259" s="7" t="s">
        <v>607</v>
      </c>
      <c r="B259" s="8">
        <v>5.0</v>
      </c>
      <c r="C259" s="7" t="s">
        <v>101</v>
      </c>
      <c r="D259" s="7" t="s">
        <v>720</v>
      </c>
      <c r="E259" s="7" t="s">
        <v>721</v>
      </c>
      <c r="F259" s="7" t="s">
        <v>105</v>
      </c>
    </row>
    <row r="260">
      <c r="A260" s="7" t="s">
        <v>608</v>
      </c>
      <c r="B260" s="8">
        <v>5.0</v>
      </c>
      <c r="C260" s="7" t="s">
        <v>101</v>
      </c>
      <c r="D260" s="7" t="s">
        <v>720</v>
      </c>
      <c r="E260" s="7" t="s">
        <v>721</v>
      </c>
      <c r="F260" s="7" t="s">
        <v>109</v>
      </c>
    </row>
    <row r="261">
      <c r="A261" s="7" t="s">
        <v>609</v>
      </c>
      <c r="B261" s="8">
        <v>5.0</v>
      </c>
      <c r="C261" s="7" t="s">
        <v>101</v>
      </c>
      <c r="D261" s="7" t="s">
        <v>720</v>
      </c>
      <c r="E261" s="7" t="s">
        <v>721</v>
      </c>
      <c r="F261" s="7" t="s">
        <v>109</v>
      </c>
    </row>
    <row r="262">
      <c r="A262" s="7" t="s">
        <v>15</v>
      </c>
      <c r="B262" s="8">
        <v>5.0</v>
      </c>
      <c r="C262" s="7" t="s">
        <v>101</v>
      </c>
      <c r="D262" s="7" t="s">
        <v>720</v>
      </c>
      <c r="E262" s="7" t="s">
        <v>721</v>
      </c>
      <c r="F262" s="7" t="s">
        <v>109</v>
      </c>
    </row>
    <row r="263">
      <c r="A263" s="7" t="s">
        <v>610</v>
      </c>
      <c r="B263" s="8">
        <v>5.0</v>
      </c>
      <c r="C263" s="7" t="s">
        <v>101</v>
      </c>
      <c r="D263" s="7" t="s">
        <v>720</v>
      </c>
      <c r="E263" s="7" t="s">
        <v>721</v>
      </c>
      <c r="F263" s="7" t="s">
        <v>109</v>
      </c>
    </row>
    <row r="264">
      <c r="A264" s="7" t="s">
        <v>16</v>
      </c>
      <c r="B264" s="8">
        <v>5.0</v>
      </c>
      <c r="C264" s="7" t="s">
        <v>101</v>
      </c>
      <c r="D264" s="7" t="s">
        <v>720</v>
      </c>
      <c r="E264" s="7" t="s">
        <v>721</v>
      </c>
      <c r="F264" s="7" t="s">
        <v>109</v>
      </c>
    </row>
    <row r="265">
      <c r="A265" s="7" t="s">
        <v>611</v>
      </c>
      <c r="B265" s="8">
        <v>5.0</v>
      </c>
      <c r="C265" s="7" t="s">
        <v>101</v>
      </c>
      <c r="D265" s="7" t="s">
        <v>720</v>
      </c>
      <c r="E265" s="7" t="s">
        <v>721</v>
      </c>
      <c r="F265" s="7" t="s">
        <v>109</v>
      </c>
    </row>
    <row r="266">
      <c r="A266" s="7" t="s">
        <v>612</v>
      </c>
      <c r="B266" s="8">
        <v>5.0</v>
      </c>
      <c r="C266" s="7" t="s">
        <v>101</v>
      </c>
      <c r="D266" s="7" t="s">
        <v>720</v>
      </c>
      <c r="E266" s="7" t="s">
        <v>721</v>
      </c>
      <c r="F266" s="7" t="s">
        <v>109</v>
      </c>
    </row>
    <row r="267">
      <c r="A267" s="7" t="s">
        <v>18</v>
      </c>
      <c r="B267" s="8">
        <v>5.0</v>
      </c>
      <c r="C267" s="7" t="s">
        <v>101</v>
      </c>
      <c r="D267" s="7" t="s">
        <v>720</v>
      </c>
      <c r="E267" s="7" t="s">
        <v>721</v>
      </c>
      <c r="F267" s="7" t="s">
        <v>725</v>
      </c>
    </row>
    <row r="268">
      <c r="A268" s="7" t="s">
        <v>19</v>
      </c>
      <c r="B268" s="8">
        <v>5.0</v>
      </c>
      <c r="C268" s="7" t="s">
        <v>101</v>
      </c>
      <c r="D268" s="7" t="s">
        <v>720</v>
      </c>
      <c r="E268" s="7" t="s">
        <v>721</v>
      </c>
      <c r="F268" s="7" t="s">
        <v>109</v>
      </c>
    </row>
    <row r="269">
      <c r="A269" s="7" t="s">
        <v>596</v>
      </c>
      <c r="B269" s="8">
        <v>5.0</v>
      </c>
      <c r="C269" s="7" t="s">
        <v>112</v>
      </c>
      <c r="D269" s="7" t="s">
        <v>726</v>
      </c>
      <c r="E269" s="7" t="s">
        <v>727</v>
      </c>
      <c r="F269" s="7" t="s">
        <v>728</v>
      </c>
    </row>
    <row r="270">
      <c r="A270" s="7" t="s">
        <v>597</v>
      </c>
      <c r="B270" s="8">
        <v>5.0</v>
      </c>
      <c r="C270" s="7" t="s">
        <v>112</v>
      </c>
      <c r="D270" s="7" t="s">
        <v>726</v>
      </c>
      <c r="E270" s="7" t="s">
        <v>727</v>
      </c>
      <c r="F270" s="7" t="s">
        <v>115</v>
      </c>
    </row>
    <row r="271">
      <c r="A271" s="7" t="s">
        <v>598</v>
      </c>
      <c r="B271" s="8">
        <v>5.0</v>
      </c>
      <c r="C271" s="7" t="s">
        <v>112</v>
      </c>
      <c r="D271" s="7" t="s">
        <v>726</v>
      </c>
      <c r="E271" s="7" t="s">
        <v>727</v>
      </c>
      <c r="F271" s="7" t="s">
        <v>115</v>
      </c>
    </row>
    <row r="272">
      <c r="A272" s="7" t="s">
        <v>599</v>
      </c>
      <c r="B272" s="8">
        <v>5.0</v>
      </c>
      <c r="C272" s="7" t="s">
        <v>112</v>
      </c>
      <c r="D272" s="7" t="s">
        <v>726</v>
      </c>
      <c r="E272" s="7" t="s">
        <v>727</v>
      </c>
      <c r="F272" s="7" t="s">
        <v>115</v>
      </c>
    </row>
    <row r="273">
      <c r="A273" s="7" t="s">
        <v>600</v>
      </c>
      <c r="B273" s="8">
        <v>5.0</v>
      </c>
      <c r="C273" s="7" t="s">
        <v>112</v>
      </c>
      <c r="D273" s="7" t="s">
        <v>726</v>
      </c>
      <c r="E273" s="7" t="s">
        <v>727</v>
      </c>
      <c r="F273" s="7" t="s">
        <v>729</v>
      </c>
    </row>
    <row r="274">
      <c r="A274" s="7" t="s">
        <v>601</v>
      </c>
      <c r="B274" s="8">
        <v>5.0</v>
      </c>
      <c r="C274" s="7" t="s">
        <v>112</v>
      </c>
      <c r="D274" s="7" t="s">
        <v>726</v>
      </c>
      <c r="E274" s="7" t="s">
        <v>727</v>
      </c>
      <c r="F274" s="7" t="s">
        <v>730</v>
      </c>
    </row>
    <row r="275">
      <c r="A275" s="7" t="s">
        <v>602</v>
      </c>
      <c r="B275" s="8">
        <v>5.0</v>
      </c>
      <c r="C275" s="7" t="s">
        <v>112</v>
      </c>
      <c r="D275" s="7" t="s">
        <v>726</v>
      </c>
      <c r="E275" s="7" t="s">
        <v>727</v>
      </c>
      <c r="F275" s="7" t="s">
        <v>731</v>
      </c>
    </row>
    <row r="276">
      <c r="A276" s="7" t="s">
        <v>603</v>
      </c>
      <c r="B276" s="8">
        <v>5.0</v>
      </c>
      <c r="C276" s="7" t="s">
        <v>112</v>
      </c>
      <c r="D276" s="7" t="s">
        <v>726</v>
      </c>
      <c r="E276" s="7" t="s">
        <v>727</v>
      </c>
      <c r="F276" s="7" t="s">
        <v>732</v>
      </c>
    </row>
    <row r="277">
      <c r="A277" s="7" t="s">
        <v>604</v>
      </c>
      <c r="B277" s="8">
        <v>5.0</v>
      </c>
      <c r="C277" s="7" t="s">
        <v>112</v>
      </c>
      <c r="D277" s="7" t="s">
        <v>726</v>
      </c>
      <c r="E277" s="7" t="s">
        <v>727</v>
      </c>
      <c r="F277" s="7" t="s">
        <v>115</v>
      </c>
    </row>
    <row r="278">
      <c r="A278" s="7" t="s">
        <v>605</v>
      </c>
      <c r="B278" s="8">
        <v>5.0</v>
      </c>
      <c r="C278" s="7" t="s">
        <v>112</v>
      </c>
      <c r="D278" s="7" t="s">
        <v>726</v>
      </c>
      <c r="E278" s="7" t="s">
        <v>727</v>
      </c>
      <c r="F278" s="7" t="s">
        <v>115</v>
      </c>
    </row>
    <row r="279">
      <c r="A279" s="7" t="s">
        <v>606</v>
      </c>
      <c r="B279" s="8">
        <v>5.0</v>
      </c>
      <c r="C279" s="7" t="s">
        <v>112</v>
      </c>
      <c r="D279" s="7" t="s">
        <v>726</v>
      </c>
      <c r="E279" s="7" t="s">
        <v>727</v>
      </c>
      <c r="F279" s="7" t="s">
        <v>115</v>
      </c>
    </row>
    <row r="280">
      <c r="A280" s="7" t="s">
        <v>11</v>
      </c>
      <c r="B280" s="8">
        <v>5.0</v>
      </c>
      <c r="C280" s="7" t="s">
        <v>112</v>
      </c>
      <c r="D280" s="7" t="s">
        <v>726</v>
      </c>
      <c r="E280" s="7" t="s">
        <v>727</v>
      </c>
      <c r="F280" s="7" t="s">
        <v>115</v>
      </c>
    </row>
    <row r="281">
      <c r="A281" s="7" t="s">
        <v>607</v>
      </c>
      <c r="B281" s="8">
        <v>5.0</v>
      </c>
      <c r="C281" s="7" t="s">
        <v>112</v>
      </c>
      <c r="D281" s="7" t="s">
        <v>726</v>
      </c>
      <c r="E281" s="7" t="s">
        <v>727</v>
      </c>
      <c r="F281" s="7" t="s">
        <v>115</v>
      </c>
    </row>
    <row r="282">
      <c r="A282" s="7" t="s">
        <v>608</v>
      </c>
      <c r="B282" s="8">
        <v>5.0</v>
      </c>
      <c r="C282" s="7" t="s">
        <v>112</v>
      </c>
      <c r="D282" s="7" t="s">
        <v>726</v>
      </c>
      <c r="E282" s="7" t="s">
        <v>727</v>
      </c>
      <c r="F282" s="7" t="s">
        <v>115</v>
      </c>
    </row>
    <row r="283">
      <c r="A283" s="7" t="s">
        <v>609</v>
      </c>
      <c r="B283" s="8">
        <v>5.0</v>
      </c>
      <c r="C283" s="7" t="s">
        <v>112</v>
      </c>
      <c r="D283" s="7" t="s">
        <v>726</v>
      </c>
      <c r="E283" s="7" t="s">
        <v>727</v>
      </c>
      <c r="F283" s="7" t="s">
        <v>115</v>
      </c>
    </row>
    <row r="284">
      <c r="A284" s="7" t="s">
        <v>15</v>
      </c>
      <c r="B284" s="8">
        <v>5.0</v>
      </c>
      <c r="C284" s="7" t="s">
        <v>112</v>
      </c>
      <c r="D284" s="7" t="s">
        <v>726</v>
      </c>
      <c r="E284" s="7" t="s">
        <v>727</v>
      </c>
      <c r="F284" s="7" t="s">
        <v>115</v>
      </c>
    </row>
    <row r="285">
      <c r="A285" s="7" t="s">
        <v>610</v>
      </c>
      <c r="B285" s="8">
        <v>5.0</v>
      </c>
      <c r="C285" s="7" t="s">
        <v>112</v>
      </c>
      <c r="D285" s="7" t="s">
        <v>726</v>
      </c>
      <c r="E285" s="7" t="s">
        <v>727</v>
      </c>
      <c r="F285" s="7" t="s">
        <v>115</v>
      </c>
    </row>
    <row r="286">
      <c r="A286" s="7" t="s">
        <v>16</v>
      </c>
      <c r="B286" s="8">
        <v>5.0</v>
      </c>
      <c r="C286" s="7" t="s">
        <v>112</v>
      </c>
      <c r="D286" s="7" t="s">
        <v>726</v>
      </c>
      <c r="E286" s="7" t="s">
        <v>727</v>
      </c>
      <c r="F286" s="7" t="s">
        <v>115</v>
      </c>
    </row>
    <row r="287">
      <c r="A287" s="7" t="s">
        <v>611</v>
      </c>
      <c r="B287" s="8">
        <v>5.0</v>
      </c>
      <c r="C287" s="7" t="s">
        <v>112</v>
      </c>
      <c r="D287" s="7" t="s">
        <v>726</v>
      </c>
      <c r="E287" s="7" t="s">
        <v>727</v>
      </c>
      <c r="F287" s="7" t="s">
        <v>115</v>
      </c>
    </row>
    <row r="288">
      <c r="A288" s="7" t="s">
        <v>612</v>
      </c>
      <c r="B288" s="8">
        <v>5.0</v>
      </c>
      <c r="C288" s="7" t="s">
        <v>112</v>
      </c>
      <c r="D288" s="7" t="s">
        <v>726</v>
      </c>
      <c r="E288" s="7" t="s">
        <v>727</v>
      </c>
      <c r="F288" s="7" t="s">
        <v>115</v>
      </c>
    </row>
    <row r="289">
      <c r="A289" s="7" t="s">
        <v>18</v>
      </c>
      <c r="B289" s="8">
        <v>5.0</v>
      </c>
      <c r="C289" s="7" t="s">
        <v>112</v>
      </c>
      <c r="D289" s="7" t="s">
        <v>726</v>
      </c>
      <c r="E289" s="7" t="s">
        <v>727</v>
      </c>
      <c r="F289" s="7" t="s">
        <v>115</v>
      </c>
    </row>
    <row r="290">
      <c r="A290" s="7" t="s">
        <v>19</v>
      </c>
      <c r="B290" s="8">
        <v>5.0</v>
      </c>
      <c r="C290" s="7" t="s">
        <v>112</v>
      </c>
      <c r="D290" s="7" t="s">
        <v>726</v>
      </c>
      <c r="E290" s="7" t="s">
        <v>727</v>
      </c>
      <c r="F290" s="7" t="s">
        <v>733</v>
      </c>
    </row>
    <row r="291">
      <c r="A291" s="7" t="s">
        <v>597</v>
      </c>
      <c r="B291" s="8">
        <v>5.0</v>
      </c>
      <c r="C291" s="7" t="s">
        <v>734</v>
      </c>
      <c r="D291" s="7" t="s">
        <v>735</v>
      </c>
      <c r="E291" s="7" t="s">
        <v>736</v>
      </c>
      <c r="F291" s="7" t="s">
        <v>737</v>
      </c>
    </row>
    <row r="292">
      <c r="A292" s="7" t="s">
        <v>598</v>
      </c>
      <c r="B292" s="8">
        <v>5.0</v>
      </c>
      <c r="C292" s="7" t="s">
        <v>734</v>
      </c>
      <c r="D292" s="7" t="s">
        <v>735</v>
      </c>
      <c r="E292" s="7" t="s">
        <v>736</v>
      </c>
      <c r="F292" s="7" t="s">
        <v>737</v>
      </c>
    </row>
    <row r="293">
      <c r="A293" s="7" t="s">
        <v>599</v>
      </c>
      <c r="B293" s="8">
        <v>5.0</v>
      </c>
      <c r="C293" s="7" t="s">
        <v>734</v>
      </c>
      <c r="D293" s="7" t="s">
        <v>735</v>
      </c>
      <c r="E293" s="7" t="s">
        <v>736</v>
      </c>
      <c r="F293" s="7" t="s">
        <v>737</v>
      </c>
    </row>
    <row r="294">
      <c r="A294" s="7" t="s">
        <v>600</v>
      </c>
      <c r="B294" s="8">
        <v>5.0</v>
      </c>
      <c r="C294" s="7" t="s">
        <v>734</v>
      </c>
      <c r="D294" s="7" t="s">
        <v>735</v>
      </c>
      <c r="E294" s="7" t="s">
        <v>736</v>
      </c>
      <c r="F294" s="7" t="s">
        <v>737</v>
      </c>
    </row>
    <row r="295">
      <c r="A295" s="7" t="s">
        <v>601</v>
      </c>
      <c r="B295" s="8">
        <v>5.0</v>
      </c>
      <c r="C295" s="7" t="s">
        <v>734</v>
      </c>
      <c r="D295" s="7" t="s">
        <v>735</v>
      </c>
      <c r="E295" s="7" t="s">
        <v>736</v>
      </c>
      <c r="F295" s="7" t="s">
        <v>738</v>
      </c>
    </row>
    <row r="296">
      <c r="A296" s="7" t="s">
        <v>602</v>
      </c>
      <c r="B296" s="8">
        <v>5.0</v>
      </c>
      <c r="C296" s="7" t="s">
        <v>734</v>
      </c>
      <c r="D296" s="7" t="s">
        <v>735</v>
      </c>
      <c r="E296" s="7" t="s">
        <v>736</v>
      </c>
      <c r="F296" s="7" t="s">
        <v>739</v>
      </c>
    </row>
    <row r="297">
      <c r="A297" s="7" t="s">
        <v>603</v>
      </c>
      <c r="B297" s="8">
        <v>5.0</v>
      </c>
      <c r="C297" s="7" t="s">
        <v>734</v>
      </c>
      <c r="D297" s="7" t="s">
        <v>735</v>
      </c>
      <c r="E297" s="7" t="s">
        <v>736</v>
      </c>
      <c r="F297" s="7" t="s">
        <v>737</v>
      </c>
    </row>
    <row r="298">
      <c r="A298" s="7" t="s">
        <v>604</v>
      </c>
      <c r="B298" s="8">
        <v>5.0</v>
      </c>
      <c r="C298" s="7" t="s">
        <v>734</v>
      </c>
      <c r="D298" s="7" t="s">
        <v>735</v>
      </c>
      <c r="E298" s="7" t="s">
        <v>736</v>
      </c>
      <c r="F298" s="7" t="s">
        <v>737</v>
      </c>
    </row>
    <row r="299">
      <c r="A299" s="7" t="s">
        <v>605</v>
      </c>
      <c r="B299" s="8">
        <v>5.0</v>
      </c>
      <c r="C299" s="7" t="s">
        <v>734</v>
      </c>
      <c r="D299" s="7" t="s">
        <v>735</v>
      </c>
      <c r="E299" s="7" t="s">
        <v>736</v>
      </c>
      <c r="F299" s="7" t="s">
        <v>737</v>
      </c>
    </row>
    <row r="300">
      <c r="A300" s="7" t="s">
        <v>606</v>
      </c>
      <c r="B300" s="8">
        <v>5.0</v>
      </c>
      <c r="C300" s="7" t="s">
        <v>734</v>
      </c>
      <c r="D300" s="7" t="s">
        <v>735</v>
      </c>
      <c r="E300" s="7" t="s">
        <v>736</v>
      </c>
      <c r="F300" s="7" t="s">
        <v>737</v>
      </c>
    </row>
    <row r="301">
      <c r="A301" s="7" t="s">
        <v>11</v>
      </c>
      <c r="B301" s="8">
        <v>5.0</v>
      </c>
      <c r="C301" s="7" t="s">
        <v>734</v>
      </c>
      <c r="D301" s="7" t="s">
        <v>735</v>
      </c>
      <c r="E301" s="7" t="s">
        <v>736</v>
      </c>
      <c r="F301" s="7" t="s">
        <v>737</v>
      </c>
    </row>
    <row r="302">
      <c r="A302" s="7" t="s">
        <v>607</v>
      </c>
      <c r="B302" s="8">
        <v>5.0</v>
      </c>
      <c r="C302" s="7" t="s">
        <v>734</v>
      </c>
      <c r="D302" s="7" t="s">
        <v>735</v>
      </c>
      <c r="E302" s="7" t="s">
        <v>736</v>
      </c>
      <c r="F302" s="7" t="s">
        <v>737</v>
      </c>
    </row>
    <row r="303">
      <c r="A303" s="7" t="s">
        <v>608</v>
      </c>
      <c r="B303" s="8">
        <v>5.0</v>
      </c>
      <c r="C303" s="7" t="s">
        <v>734</v>
      </c>
      <c r="D303" s="7" t="s">
        <v>735</v>
      </c>
      <c r="E303" s="7" t="s">
        <v>736</v>
      </c>
      <c r="F303" s="7" t="s">
        <v>737</v>
      </c>
    </row>
    <row r="304">
      <c r="A304" s="7" t="s">
        <v>609</v>
      </c>
      <c r="B304" s="8">
        <v>5.0</v>
      </c>
      <c r="C304" s="7" t="s">
        <v>734</v>
      </c>
      <c r="D304" s="7" t="s">
        <v>735</v>
      </c>
      <c r="E304" s="7" t="s">
        <v>736</v>
      </c>
      <c r="F304" s="7" t="s">
        <v>737</v>
      </c>
    </row>
    <row r="305">
      <c r="A305" s="7" t="s">
        <v>15</v>
      </c>
      <c r="B305" s="8">
        <v>5.0</v>
      </c>
      <c r="C305" s="7" t="s">
        <v>734</v>
      </c>
      <c r="D305" s="7" t="s">
        <v>735</v>
      </c>
      <c r="E305" s="7" t="s">
        <v>736</v>
      </c>
      <c r="F305" s="7" t="s">
        <v>737</v>
      </c>
    </row>
    <row r="306">
      <c r="A306" s="7" t="s">
        <v>610</v>
      </c>
      <c r="B306" s="8">
        <v>5.0</v>
      </c>
      <c r="C306" s="7" t="s">
        <v>734</v>
      </c>
      <c r="D306" s="7" t="s">
        <v>735</v>
      </c>
      <c r="E306" s="7" t="s">
        <v>736</v>
      </c>
      <c r="F306" s="7" t="s">
        <v>737</v>
      </c>
    </row>
    <row r="307">
      <c r="A307" s="7" t="s">
        <v>16</v>
      </c>
      <c r="B307" s="8">
        <v>5.0</v>
      </c>
      <c r="C307" s="7" t="s">
        <v>734</v>
      </c>
      <c r="D307" s="7" t="s">
        <v>735</v>
      </c>
      <c r="E307" s="7" t="s">
        <v>736</v>
      </c>
      <c r="F307" s="7" t="s">
        <v>737</v>
      </c>
    </row>
    <row r="308">
      <c r="A308" s="7" t="s">
        <v>611</v>
      </c>
      <c r="B308" s="8">
        <v>5.0</v>
      </c>
      <c r="C308" s="7" t="s">
        <v>734</v>
      </c>
      <c r="D308" s="7" t="s">
        <v>735</v>
      </c>
      <c r="E308" s="7" t="s">
        <v>736</v>
      </c>
      <c r="F308" s="7" t="s">
        <v>737</v>
      </c>
    </row>
    <row r="309">
      <c r="A309" s="7" t="s">
        <v>612</v>
      </c>
      <c r="B309" s="8">
        <v>5.0</v>
      </c>
      <c r="C309" s="7" t="s">
        <v>734</v>
      </c>
      <c r="D309" s="7" t="s">
        <v>735</v>
      </c>
      <c r="E309" s="7" t="s">
        <v>736</v>
      </c>
      <c r="F309" s="7" t="s">
        <v>737</v>
      </c>
    </row>
    <row r="310">
      <c r="A310" s="7" t="s">
        <v>18</v>
      </c>
      <c r="B310" s="8">
        <v>5.0</v>
      </c>
      <c r="C310" s="7" t="s">
        <v>734</v>
      </c>
      <c r="D310" s="7" t="s">
        <v>735</v>
      </c>
      <c r="E310" s="7" t="s">
        <v>736</v>
      </c>
      <c r="F310" s="7" t="s">
        <v>737</v>
      </c>
    </row>
    <row r="311">
      <c r="A311" s="7" t="s">
        <v>19</v>
      </c>
      <c r="B311" s="8">
        <v>5.0</v>
      </c>
      <c r="C311" s="7" t="s">
        <v>734</v>
      </c>
      <c r="D311" s="7" t="s">
        <v>735</v>
      </c>
      <c r="E311" s="7" t="s">
        <v>736</v>
      </c>
      <c r="F311" s="7" t="s">
        <v>740</v>
      </c>
    </row>
    <row r="312">
      <c r="A312" s="7" t="s">
        <v>597</v>
      </c>
      <c r="B312" s="8">
        <v>5.0</v>
      </c>
      <c r="C312" s="7" t="s">
        <v>741</v>
      </c>
      <c r="D312" s="7" t="s">
        <v>742</v>
      </c>
      <c r="E312" s="7" t="s">
        <v>743</v>
      </c>
      <c r="F312" s="7" t="s">
        <v>744</v>
      </c>
    </row>
    <row r="313">
      <c r="A313" s="7" t="s">
        <v>598</v>
      </c>
      <c r="B313" s="8">
        <v>5.0</v>
      </c>
      <c r="C313" s="7" t="s">
        <v>741</v>
      </c>
      <c r="D313" s="7" t="s">
        <v>742</v>
      </c>
      <c r="E313" s="7" t="s">
        <v>743</v>
      </c>
      <c r="F313" s="7" t="s">
        <v>744</v>
      </c>
    </row>
    <row r="314">
      <c r="A314" s="7" t="s">
        <v>599</v>
      </c>
      <c r="B314" s="8">
        <v>5.0</v>
      </c>
      <c r="C314" s="7" t="s">
        <v>741</v>
      </c>
      <c r="D314" s="7" t="s">
        <v>742</v>
      </c>
      <c r="E314" s="7" t="s">
        <v>743</v>
      </c>
      <c r="F314" s="7" t="s">
        <v>744</v>
      </c>
    </row>
    <row r="315">
      <c r="A315" s="7" t="s">
        <v>600</v>
      </c>
      <c r="B315" s="8">
        <v>5.0</v>
      </c>
      <c r="C315" s="7" t="s">
        <v>741</v>
      </c>
      <c r="D315" s="7" t="s">
        <v>742</v>
      </c>
      <c r="E315" s="7" t="s">
        <v>743</v>
      </c>
      <c r="F315" s="7" t="s">
        <v>744</v>
      </c>
    </row>
    <row r="316">
      <c r="A316" s="7" t="s">
        <v>601</v>
      </c>
      <c r="B316" s="8">
        <v>5.0</v>
      </c>
      <c r="C316" s="7" t="s">
        <v>741</v>
      </c>
      <c r="D316" s="7" t="s">
        <v>742</v>
      </c>
      <c r="E316" s="7" t="s">
        <v>743</v>
      </c>
      <c r="F316" s="7" t="s">
        <v>745</v>
      </c>
    </row>
    <row r="317">
      <c r="A317" s="7" t="s">
        <v>602</v>
      </c>
      <c r="B317" s="8">
        <v>5.0</v>
      </c>
      <c r="C317" s="7" t="s">
        <v>741</v>
      </c>
      <c r="D317" s="7" t="s">
        <v>742</v>
      </c>
      <c r="E317" s="7" t="s">
        <v>743</v>
      </c>
      <c r="F317" s="7" t="s">
        <v>744</v>
      </c>
    </row>
    <row r="318">
      <c r="A318" s="7" t="s">
        <v>603</v>
      </c>
      <c r="B318" s="8">
        <v>5.0</v>
      </c>
      <c r="C318" s="7" t="s">
        <v>741</v>
      </c>
      <c r="D318" s="7" t="s">
        <v>742</v>
      </c>
      <c r="E318" s="7" t="s">
        <v>743</v>
      </c>
      <c r="F318" s="7" t="s">
        <v>744</v>
      </c>
    </row>
    <row r="319">
      <c r="A319" s="7" t="s">
        <v>604</v>
      </c>
      <c r="B319" s="8">
        <v>5.0</v>
      </c>
      <c r="C319" s="7" t="s">
        <v>741</v>
      </c>
      <c r="D319" s="7" t="s">
        <v>742</v>
      </c>
      <c r="E319" s="7" t="s">
        <v>743</v>
      </c>
      <c r="F319" s="7" t="s">
        <v>744</v>
      </c>
    </row>
    <row r="320">
      <c r="A320" s="7" t="s">
        <v>605</v>
      </c>
      <c r="B320" s="8">
        <v>5.0</v>
      </c>
      <c r="C320" s="7" t="s">
        <v>741</v>
      </c>
      <c r="D320" s="7" t="s">
        <v>742</v>
      </c>
      <c r="E320" s="7" t="s">
        <v>743</v>
      </c>
      <c r="F320" s="7" t="s">
        <v>744</v>
      </c>
    </row>
    <row r="321">
      <c r="A321" s="7" t="s">
        <v>606</v>
      </c>
      <c r="B321" s="8">
        <v>5.0</v>
      </c>
      <c r="C321" s="7" t="s">
        <v>741</v>
      </c>
      <c r="D321" s="7" t="s">
        <v>742</v>
      </c>
      <c r="E321" s="7" t="s">
        <v>743</v>
      </c>
      <c r="F321" s="7" t="s">
        <v>744</v>
      </c>
    </row>
    <row r="322">
      <c r="A322" s="7" t="s">
        <v>11</v>
      </c>
      <c r="B322" s="8">
        <v>5.0</v>
      </c>
      <c r="C322" s="7" t="s">
        <v>741</v>
      </c>
      <c r="D322" s="7" t="s">
        <v>742</v>
      </c>
      <c r="E322" s="7" t="s">
        <v>743</v>
      </c>
      <c r="F322" s="7" t="s">
        <v>744</v>
      </c>
    </row>
    <row r="323">
      <c r="A323" s="7" t="s">
        <v>607</v>
      </c>
      <c r="B323" s="8">
        <v>5.0</v>
      </c>
      <c r="C323" s="7" t="s">
        <v>741</v>
      </c>
      <c r="D323" s="7" t="s">
        <v>742</v>
      </c>
      <c r="E323" s="7" t="s">
        <v>743</v>
      </c>
      <c r="F323" s="7" t="s">
        <v>744</v>
      </c>
    </row>
    <row r="324">
      <c r="A324" s="7" t="s">
        <v>608</v>
      </c>
      <c r="B324" s="8">
        <v>5.0</v>
      </c>
      <c r="C324" s="7" t="s">
        <v>741</v>
      </c>
      <c r="D324" s="7" t="s">
        <v>742</v>
      </c>
      <c r="E324" s="7" t="s">
        <v>743</v>
      </c>
      <c r="F324" s="7" t="s">
        <v>744</v>
      </c>
    </row>
    <row r="325">
      <c r="A325" s="7" t="s">
        <v>609</v>
      </c>
      <c r="B325" s="8">
        <v>5.0</v>
      </c>
      <c r="C325" s="7" t="s">
        <v>741</v>
      </c>
      <c r="D325" s="7" t="s">
        <v>742</v>
      </c>
      <c r="E325" s="7" t="s">
        <v>743</v>
      </c>
      <c r="F325" s="7" t="s">
        <v>744</v>
      </c>
    </row>
    <row r="326">
      <c r="A326" s="7" t="s">
        <v>15</v>
      </c>
      <c r="B326" s="8">
        <v>5.0</v>
      </c>
      <c r="C326" s="7" t="s">
        <v>741</v>
      </c>
      <c r="D326" s="7" t="s">
        <v>742</v>
      </c>
      <c r="E326" s="7" t="s">
        <v>743</v>
      </c>
      <c r="F326" s="7" t="s">
        <v>744</v>
      </c>
    </row>
    <row r="327">
      <c r="A327" s="7" t="s">
        <v>610</v>
      </c>
      <c r="B327" s="8">
        <v>5.0</v>
      </c>
      <c r="C327" s="7" t="s">
        <v>741</v>
      </c>
      <c r="D327" s="7" t="s">
        <v>742</v>
      </c>
      <c r="E327" s="7" t="s">
        <v>743</v>
      </c>
      <c r="F327" s="7" t="s">
        <v>744</v>
      </c>
    </row>
    <row r="328">
      <c r="A328" s="7" t="s">
        <v>16</v>
      </c>
      <c r="B328" s="8">
        <v>5.0</v>
      </c>
      <c r="C328" s="7" t="s">
        <v>741</v>
      </c>
      <c r="D328" s="7" t="s">
        <v>742</v>
      </c>
      <c r="E328" s="7" t="s">
        <v>743</v>
      </c>
      <c r="F328" s="7" t="s">
        <v>744</v>
      </c>
    </row>
    <row r="329">
      <c r="A329" s="7" t="s">
        <v>611</v>
      </c>
      <c r="B329" s="8">
        <v>5.0</v>
      </c>
      <c r="C329" s="7" t="s">
        <v>741</v>
      </c>
      <c r="D329" s="7" t="s">
        <v>742</v>
      </c>
      <c r="E329" s="7" t="s">
        <v>743</v>
      </c>
      <c r="F329" s="7" t="s">
        <v>744</v>
      </c>
    </row>
    <row r="330">
      <c r="A330" s="7" t="s">
        <v>612</v>
      </c>
      <c r="B330" s="8">
        <v>5.0</v>
      </c>
      <c r="C330" s="7" t="s">
        <v>741</v>
      </c>
      <c r="D330" s="7" t="s">
        <v>742</v>
      </c>
      <c r="E330" s="7" t="s">
        <v>743</v>
      </c>
      <c r="F330" s="7" t="s">
        <v>744</v>
      </c>
    </row>
    <row r="331">
      <c r="A331" s="7" t="s">
        <v>18</v>
      </c>
      <c r="B331" s="8">
        <v>5.0</v>
      </c>
      <c r="C331" s="7" t="s">
        <v>741</v>
      </c>
      <c r="D331" s="7" t="s">
        <v>742</v>
      </c>
      <c r="E331" s="7" t="s">
        <v>743</v>
      </c>
      <c r="F331" s="7" t="s">
        <v>744</v>
      </c>
    </row>
    <row r="332">
      <c r="A332" s="7" t="s">
        <v>19</v>
      </c>
      <c r="B332" s="8">
        <v>5.0</v>
      </c>
      <c r="C332" s="7" t="s">
        <v>741</v>
      </c>
      <c r="D332" s="7" t="s">
        <v>742</v>
      </c>
      <c r="E332" s="7" t="s">
        <v>743</v>
      </c>
      <c r="F332" s="7" t="s">
        <v>744</v>
      </c>
    </row>
    <row r="333">
      <c r="A333" s="7" t="s">
        <v>597</v>
      </c>
      <c r="B333" s="8">
        <v>5.0</v>
      </c>
      <c r="C333" s="7" t="s">
        <v>746</v>
      </c>
      <c r="D333" s="7" t="s">
        <v>747</v>
      </c>
      <c r="E333" s="7" t="s">
        <v>748</v>
      </c>
      <c r="F333" s="7" t="s">
        <v>749</v>
      </c>
    </row>
    <row r="334">
      <c r="A334" s="7" t="s">
        <v>598</v>
      </c>
      <c r="B334" s="8">
        <v>5.0</v>
      </c>
      <c r="C334" s="7" t="s">
        <v>746</v>
      </c>
      <c r="D334" s="7" t="s">
        <v>747</v>
      </c>
      <c r="E334" s="7" t="s">
        <v>748</v>
      </c>
      <c r="F334" s="7" t="s">
        <v>749</v>
      </c>
    </row>
    <row r="335">
      <c r="A335" s="7" t="s">
        <v>599</v>
      </c>
      <c r="B335" s="8">
        <v>5.0</v>
      </c>
      <c r="C335" s="7" t="s">
        <v>746</v>
      </c>
      <c r="D335" s="7" t="s">
        <v>747</v>
      </c>
      <c r="E335" s="7" t="s">
        <v>748</v>
      </c>
      <c r="F335" s="7" t="s">
        <v>749</v>
      </c>
    </row>
    <row r="336">
      <c r="A336" s="7" t="s">
        <v>600</v>
      </c>
      <c r="B336" s="8">
        <v>5.0</v>
      </c>
      <c r="C336" s="7" t="s">
        <v>746</v>
      </c>
      <c r="D336" s="7" t="s">
        <v>747</v>
      </c>
      <c r="E336" s="7" t="s">
        <v>748</v>
      </c>
      <c r="F336" s="7" t="s">
        <v>749</v>
      </c>
    </row>
    <row r="337">
      <c r="A337" s="7" t="s">
        <v>601</v>
      </c>
      <c r="B337" s="8">
        <v>5.0</v>
      </c>
      <c r="C337" s="7" t="s">
        <v>746</v>
      </c>
      <c r="D337" s="7" t="s">
        <v>747</v>
      </c>
      <c r="E337" s="7" t="s">
        <v>748</v>
      </c>
      <c r="F337" s="7" t="s">
        <v>750</v>
      </c>
    </row>
    <row r="338">
      <c r="A338" s="7" t="s">
        <v>602</v>
      </c>
      <c r="B338" s="8">
        <v>5.0</v>
      </c>
      <c r="C338" s="7" t="s">
        <v>746</v>
      </c>
      <c r="D338" s="7" t="s">
        <v>747</v>
      </c>
      <c r="E338" s="7" t="s">
        <v>748</v>
      </c>
      <c r="F338" s="7" t="s">
        <v>749</v>
      </c>
    </row>
    <row r="339">
      <c r="A339" s="7" t="s">
        <v>603</v>
      </c>
      <c r="B339" s="8">
        <v>5.0</v>
      </c>
      <c r="C339" s="7" t="s">
        <v>746</v>
      </c>
      <c r="D339" s="7" t="s">
        <v>747</v>
      </c>
      <c r="E339" s="7" t="s">
        <v>748</v>
      </c>
      <c r="F339" s="7" t="s">
        <v>749</v>
      </c>
    </row>
    <row r="340">
      <c r="A340" s="7" t="s">
        <v>604</v>
      </c>
      <c r="B340" s="8">
        <v>5.0</v>
      </c>
      <c r="C340" s="7" t="s">
        <v>746</v>
      </c>
      <c r="D340" s="7" t="s">
        <v>747</v>
      </c>
      <c r="E340" s="7" t="s">
        <v>748</v>
      </c>
      <c r="F340" s="7" t="s">
        <v>749</v>
      </c>
    </row>
    <row r="341">
      <c r="A341" s="7" t="s">
        <v>605</v>
      </c>
      <c r="B341" s="8">
        <v>5.0</v>
      </c>
      <c r="C341" s="7" t="s">
        <v>746</v>
      </c>
      <c r="D341" s="7" t="s">
        <v>747</v>
      </c>
      <c r="E341" s="7" t="s">
        <v>748</v>
      </c>
      <c r="F341" s="7" t="s">
        <v>749</v>
      </c>
    </row>
    <row r="342">
      <c r="A342" s="7" t="s">
        <v>606</v>
      </c>
      <c r="B342" s="8">
        <v>5.0</v>
      </c>
      <c r="C342" s="7" t="s">
        <v>746</v>
      </c>
      <c r="D342" s="7" t="s">
        <v>747</v>
      </c>
      <c r="E342" s="7" t="s">
        <v>748</v>
      </c>
      <c r="F342" s="7" t="s">
        <v>749</v>
      </c>
    </row>
    <row r="343">
      <c r="A343" s="7" t="s">
        <v>11</v>
      </c>
      <c r="B343" s="8">
        <v>5.0</v>
      </c>
      <c r="C343" s="7" t="s">
        <v>746</v>
      </c>
      <c r="D343" s="7" t="s">
        <v>747</v>
      </c>
      <c r="E343" s="7" t="s">
        <v>748</v>
      </c>
      <c r="F343" s="7" t="s">
        <v>749</v>
      </c>
    </row>
    <row r="344">
      <c r="A344" s="7" t="s">
        <v>607</v>
      </c>
      <c r="B344" s="8">
        <v>5.0</v>
      </c>
      <c r="C344" s="7" t="s">
        <v>746</v>
      </c>
      <c r="D344" s="7" t="s">
        <v>747</v>
      </c>
      <c r="E344" s="7" t="s">
        <v>748</v>
      </c>
      <c r="F344" s="7" t="s">
        <v>751</v>
      </c>
    </row>
    <row r="345">
      <c r="A345" s="7" t="s">
        <v>608</v>
      </c>
      <c r="B345" s="8">
        <v>5.0</v>
      </c>
      <c r="C345" s="7" t="s">
        <v>746</v>
      </c>
      <c r="D345" s="7" t="s">
        <v>747</v>
      </c>
      <c r="E345" s="7" t="s">
        <v>748</v>
      </c>
      <c r="F345" s="7" t="s">
        <v>749</v>
      </c>
    </row>
    <row r="346">
      <c r="A346" s="7" t="s">
        <v>609</v>
      </c>
      <c r="B346" s="8">
        <v>5.0</v>
      </c>
      <c r="C346" s="7" t="s">
        <v>746</v>
      </c>
      <c r="D346" s="7" t="s">
        <v>747</v>
      </c>
      <c r="E346" s="7" t="s">
        <v>748</v>
      </c>
      <c r="F346" s="7" t="s">
        <v>749</v>
      </c>
    </row>
    <row r="347">
      <c r="A347" s="7" t="s">
        <v>15</v>
      </c>
      <c r="B347" s="8">
        <v>5.0</v>
      </c>
      <c r="C347" s="7" t="s">
        <v>746</v>
      </c>
      <c r="D347" s="7" t="s">
        <v>747</v>
      </c>
      <c r="E347" s="7" t="s">
        <v>748</v>
      </c>
      <c r="F347" s="7" t="s">
        <v>749</v>
      </c>
    </row>
    <row r="348">
      <c r="A348" s="7" t="s">
        <v>610</v>
      </c>
      <c r="B348" s="8">
        <v>5.0</v>
      </c>
      <c r="C348" s="7" t="s">
        <v>746</v>
      </c>
      <c r="D348" s="7" t="s">
        <v>747</v>
      </c>
      <c r="E348" s="7" t="s">
        <v>748</v>
      </c>
      <c r="F348" s="7" t="s">
        <v>749</v>
      </c>
    </row>
    <row r="349">
      <c r="A349" s="7" t="s">
        <v>16</v>
      </c>
      <c r="B349" s="8">
        <v>5.0</v>
      </c>
      <c r="C349" s="7" t="s">
        <v>746</v>
      </c>
      <c r="D349" s="7" t="s">
        <v>747</v>
      </c>
      <c r="E349" s="7" t="s">
        <v>748</v>
      </c>
      <c r="F349" s="7" t="s">
        <v>749</v>
      </c>
    </row>
    <row r="350">
      <c r="A350" s="7" t="s">
        <v>611</v>
      </c>
      <c r="B350" s="8">
        <v>5.0</v>
      </c>
      <c r="C350" s="7" t="s">
        <v>746</v>
      </c>
      <c r="D350" s="7" t="s">
        <v>747</v>
      </c>
      <c r="E350" s="7" t="s">
        <v>748</v>
      </c>
      <c r="F350" s="7" t="s">
        <v>749</v>
      </c>
    </row>
    <row r="351">
      <c r="A351" s="7" t="s">
        <v>612</v>
      </c>
      <c r="B351" s="8">
        <v>5.0</v>
      </c>
      <c r="C351" s="7" t="s">
        <v>746</v>
      </c>
      <c r="D351" s="7" t="s">
        <v>747</v>
      </c>
      <c r="E351" s="7" t="s">
        <v>748</v>
      </c>
      <c r="F351" s="7" t="s">
        <v>749</v>
      </c>
    </row>
    <row r="352">
      <c r="A352" s="7" t="s">
        <v>18</v>
      </c>
      <c r="B352" s="8">
        <v>5.0</v>
      </c>
      <c r="C352" s="7" t="s">
        <v>746</v>
      </c>
      <c r="D352" s="7" t="s">
        <v>747</v>
      </c>
      <c r="E352" s="7" t="s">
        <v>748</v>
      </c>
      <c r="F352" s="7" t="s">
        <v>749</v>
      </c>
    </row>
    <row r="353">
      <c r="A353" s="7" t="s">
        <v>19</v>
      </c>
      <c r="B353" s="8">
        <v>5.0</v>
      </c>
      <c r="C353" s="7" t="s">
        <v>746</v>
      </c>
      <c r="D353" s="7" t="s">
        <v>747</v>
      </c>
      <c r="E353" s="7" t="s">
        <v>748</v>
      </c>
      <c r="F353" s="7" t="s">
        <v>749</v>
      </c>
    </row>
    <row r="354">
      <c r="A354" s="7" t="s">
        <v>597</v>
      </c>
      <c r="B354" s="8">
        <v>5.0</v>
      </c>
      <c r="C354" s="7" t="s">
        <v>752</v>
      </c>
      <c r="D354" s="7" t="s">
        <v>753</v>
      </c>
      <c r="E354" s="7" t="s">
        <v>754</v>
      </c>
      <c r="F354" s="7" t="s">
        <v>755</v>
      </c>
    </row>
    <row r="355">
      <c r="A355" s="7" t="s">
        <v>598</v>
      </c>
      <c r="B355" s="8">
        <v>5.0</v>
      </c>
      <c r="C355" s="7" t="s">
        <v>752</v>
      </c>
      <c r="D355" s="7" t="s">
        <v>753</v>
      </c>
      <c r="E355" s="7" t="s">
        <v>754</v>
      </c>
      <c r="F355" s="7" t="s">
        <v>755</v>
      </c>
    </row>
    <row r="356">
      <c r="A356" s="7" t="s">
        <v>599</v>
      </c>
      <c r="B356" s="8">
        <v>5.0</v>
      </c>
      <c r="C356" s="7" t="s">
        <v>752</v>
      </c>
      <c r="D356" s="7" t="s">
        <v>753</v>
      </c>
      <c r="E356" s="7" t="s">
        <v>754</v>
      </c>
      <c r="F356" s="7" t="s">
        <v>755</v>
      </c>
    </row>
    <row r="357">
      <c r="A357" s="7" t="s">
        <v>600</v>
      </c>
      <c r="B357" s="8">
        <v>5.0</v>
      </c>
      <c r="C357" s="7" t="s">
        <v>752</v>
      </c>
      <c r="D357" s="7" t="s">
        <v>753</v>
      </c>
      <c r="E357" s="7" t="s">
        <v>754</v>
      </c>
      <c r="F357" s="7" t="s">
        <v>755</v>
      </c>
    </row>
    <row r="358">
      <c r="A358" s="7" t="s">
        <v>601</v>
      </c>
      <c r="B358" s="8">
        <v>5.0</v>
      </c>
      <c r="C358" s="7" t="s">
        <v>752</v>
      </c>
      <c r="D358" s="7" t="s">
        <v>753</v>
      </c>
      <c r="E358" s="7" t="s">
        <v>754</v>
      </c>
      <c r="F358" s="7" t="s">
        <v>756</v>
      </c>
    </row>
    <row r="359">
      <c r="A359" s="7" t="s">
        <v>602</v>
      </c>
      <c r="B359" s="8">
        <v>5.0</v>
      </c>
      <c r="C359" s="7" t="s">
        <v>752</v>
      </c>
      <c r="D359" s="7" t="s">
        <v>753</v>
      </c>
      <c r="E359" s="7" t="s">
        <v>754</v>
      </c>
      <c r="F359" s="7" t="s">
        <v>755</v>
      </c>
    </row>
    <row r="360">
      <c r="A360" s="7" t="s">
        <v>603</v>
      </c>
      <c r="B360" s="8">
        <v>5.0</v>
      </c>
      <c r="C360" s="7" t="s">
        <v>752</v>
      </c>
      <c r="D360" s="7" t="s">
        <v>753</v>
      </c>
      <c r="E360" s="7" t="s">
        <v>754</v>
      </c>
      <c r="F360" s="7" t="s">
        <v>755</v>
      </c>
    </row>
    <row r="361">
      <c r="A361" s="7" t="s">
        <v>604</v>
      </c>
      <c r="B361" s="8">
        <v>5.0</v>
      </c>
      <c r="C361" s="7" t="s">
        <v>752</v>
      </c>
      <c r="D361" s="7" t="s">
        <v>753</v>
      </c>
      <c r="E361" s="7" t="s">
        <v>754</v>
      </c>
      <c r="F361" s="7" t="s">
        <v>755</v>
      </c>
    </row>
    <row r="362">
      <c r="A362" s="7" t="s">
        <v>605</v>
      </c>
      <c r="B362" s="8">
        <v>5.0</v>
      </c>
      <c r="C362" s="7" t="s">
        <v>752</v>
      </c>
      <c r="D362" s="7" t="s">
        <v>753</v>
      </c>
      <c r="E362" s="7" t="s">
        <v>754</v>
      </c>
      <c r="F362" s="7" t="s">
        <v>755</v>
      </c>
    </row>
    <row r="363">
      <c r="A363" s="7" t="s">
        <v>606</v>
      </c>
      <c r="B363" s="8">
        <v>5.0</v>
      </c>
      <c r="C363" s="7" t="s">
        <v>752</v>
      </c>
      <c r="D363" s="7" t="s">
        <v>753</v>
      </c>
      <c r="E363" s="7" t="s">
        <v>754</v>
      </c>
      <c r="F363" s="7" t="s">
        <v>755</v>
      </c>
    </row>
    <row r="364">
      <c r="A364" s="7" t="s">
        <v>11</v>
      </c>
      <c r="B364" s="8">
        <v>5.0</v>
      </c>
      <c r="C364" s="7" t="s">
        <v>752</v>
      </c>
      <c r="D364" s="7" t="s">
        <v>753</v>
      </c>
      <c r="E364" s="7" t="s">
        <v>754</v>
      </c>
      <c r="F364" s="7" t="s">
        <v>755</v>
      </c>
    </row>
    <row r="365">
      <c r="A365" s="7" t="s">
        <v>607</v>
      </c>
      <c r="B365" s="8">
        <v>5.0</v>
      </c>
      <c r="C365" s="7" t="s">
        <v>752</v>
      </c>
      <c r="D365" s="7" t="s">
        <v>753</v>
      </c>
      <c r="E365" s="7" t="s">
        <v>754</v>
      </c>
      <c r="F365" s="7" t="s">
        <v>755</v>
      </c>
    </row>
    <row r="366">
      <c r="A366" s="7" t="s">
        <v>608</v>
      </c>
      <c r="B366" s="8">
        <v>5.0</v>
      </c>
      <c r="C366" s="7" t="s">
        <v>752</v>
      </c>
      <c r="D366" s="7" t="s">
        <v>753</v>
      </c>
      <c r="E366" s="7" t="s">
        <v>754</v>
      </c>
      <c r="F366" s="7" t="s">
        <v>755</v>
      </c>
    </row>
    <row r="367">
      <c r="A367" s="7" t="s">
        <v>609</v>
      </c>
      <c r="B367" s="8">
        <v>5.0</v>
      </c>
      <c r="C367" s="7" t="s">
        <v>752</v>
      </c>
      <c r="D367" s="7" t="s">
        <v>753</v>
      </c>
      <c r="E367" s="7" t="s">
        <v>754</v>
      </c>
      <c r="F367" s="7" t="s">
        <v>755</v>
      </c>
    </row>
    <row r="368">
      <c r="A368" s="7" t="s">
        <v>15</v>
      </c>
      <c r="B368" s="8">
        <v>5.0</v>
      </c>
      <c r="C368" s="7" t="s">
        <v>752</v>
      </c>
      <c r="D368" s="7" t="s">
        <v>753</v>
      </c>
      <c r="E368" s="7" t="s">
        <v>754</v>
      </c>
      <c r="F368" s="7" t="s">
        <v>755</v>
      </c>
    </row>
    <row r="369">
      <c r="A369" s="7" t="s">
        <v>610</v>
      </c>
      <c r="B369" s="8">
        <v>5.0</v>
      </c>
      <c r="C369" s="7" t="s">
        <v>752</v>
      </c>
      <c r="D369" s="7" t="s">
        <v>753</v>
      </c>
      <c r="E369" s="7" t="s">
        <v>754</v>
      </c>
      <c r="F369" s="7" t="s">
        <v>755</v>
      </c>
    </row>
    <row r="370">
      <c r="A370" s="7" t="s">
        <v>16</v>
      </c>
      <c r="B370" s="8">
        <v>5.0</v>
      </c>
      <c r="C370" s="7" t="s">
        <v>752</v>
      </c>
      <c r="D370" s="7" t="s">
        <v>753</v>
      </c>
      <c r="E370" s="7" t="s">
        <v>754</v>
      </c>
      <c r="F370" s="7" t="s">
        <v>755</v>
      </c>
    </row>
    <row r="371">
      <c r="A371" s="7" t="s">
        <v>611</v>
      </c>
      <c r="B371" s="8">
        <v>5.0</v>
      </c>
      <c r="C371" s="7" t="s">
        <v>752</v>
      </c>
      <c r="D371" s="7" t="s">
        <v>753</v>
      </c>
      <c r="E371" s="7" t="s">
        <v>754</v>
      </c>
      <c r="F371" s="7" t="s">
        <v>755</v>
      </c>
    </row>
    <row r="372">
      <c r="A372" s="7" t="s">
        <v>612</v>
      </c>
      <c r="B372" s="8">
        <v>5.0</v>
      </c>
      <c r="C372" s="7" t="s">
        <v>752</v>
      </c>
      <c r="D372" s="7" t="s">
        <v>753</v>
      </c>
      <c r="E372" s="7" t="s">
        <v>754</v>
      </c>
      <c r="F372" s="7" t="s">
        <v>755</v>
      </c>
    </row>
    <row r="373">
      <c r="A373" s="7" t="s">
        <v>18</v>
      </c>
      <c r="B373" s="8">
        <v>5.0</v>
      </c>
      <c r="C373" s="7" t="s">
        <v>752</v>
      </c>
      <c r="D373" s="7" t="s">
        <v>753</v>
      </c>
      <c r="E373" s="7" t="s">
        <v>754</v>
      </c>
      <c r="F373" s="7" t="s">
        <v>755</v>
      </c>
    </row>
    <row r="374">
      <c r="A374" s="7" t="s">
        <v>19</v>
      </c>
      <c r="B374" s="8">
        <v>5.0</v>
      </c>
      <c r="C374" s="7" t="s">
        <v>752</v>
      </c>
      <c r="D374" s="7" t="s">
        <v>753</v>
      </c>
      <c r="E374" s="7" t="s">
        <v>754</v>
      </c>
      <c r="F374" s="7" t="s">
        <v>755</v>
      </c>
    </row>
    <row r="375">
      <c r="A375" s="7" t="s">
        <v>596</v>
      </c>
      <c r="B375" s="8">
        <v>5.0</v>
      </c>
      <c r="C375" s="7" t="s">
        <v>172</v>
      </c>
      <c r="D375" s="7" t="s">
        <v>757</v>
      </c>
      <c r="E375" s="7" t="s">
        <v>758</v>
      </c>
      <c r="F375" s="7" t="s">
        <v>759</v>
      </c>
    </row>
    <row r="376">
      <c r="A376" s="7" t="s">
        <v>597</v>
      </c>
      <c r="B376" s="8">
        <v>5.0</v>
      </c>
      <c r="C376" s="7" t="s">
        <v>172</v>
      </c>
      <c r="D376" s="7" t="s">
        <v>757</v>
      </c>
      <c r="E376" s="7" t="s">
        <v>758</v>
      </c>
      <c r="F376" s="7" t="s">
        <v>760</v>
      </c>
    </row>
    <row r="377">
      <c r="A377" s="7" t="s">
        <v>598</v>
      </c>
      <c r="B377" s="8">
        <v>5.0</v>
      </c>
      <c r="C377" s="7" t="s">
        <v>172</v>
      </c>
      <c r="D377" s="7" t="s">
        <v>757</v>
      </c>
      <c r="E377" s="7" t="s">
        <v>758</v>
      </c>
      <c r="F377" s="7" t="s">
        <v>760</v>
      </c>
    </row>
    <row r="378">
      <c r="A378" s="7" t="s">
        <v>599</v>
      </c>
      <c r="B378" s="8">
        <v>5.0</v>
      </c>
      <c r="C378" s="7" t="s">
        <v>172</v>
      </c>
      <c r="D378" s="7" t="s">
        <v>757</v>
      </c>
      <c r="E378" s="7" t="s">
        <v>758</v>
      </c>
      <c r="F378" s="7" t="s">
        <v>760</v>
      </c>
    </row>
    <row r="379">
      <c r="A379" s="7" t="s">
        <v>600</v>
      </c>
      <c r="B379" s="8">
        <v>5.0</v>
      </c>
      <c r="C379" s="7" t="s">
        <v>172</v>
      </c>
      <c r="D379" s="7" t="s">
        <v>757</v>
      </c>
      <c r="E379" s="7" t="s">
        <v>758</v>
      </c>
      <c r="F379" s="7" t="s">
        <v>761</v>
      </c>
    </row>
    <row r="380">
      <c r="A380" s="7" t="s">
        <v>601</v>
      </c>
      <c r="B380" s="8">
        <v>5.0</v>
      </c>
      <c r="C380" s="7" t="s">
        <v>172</v>
      </c>
      <c r="D380" s="7" t="s">
        <v>757</v>
      </c>
      <c r="E380" s="7" t="s">
        <v>758</v>
      </c>
      <c r="F380" s="7" t="s">
        <v>762</v>
      </c>
    </row>
    <row r="381">
      <c r="A381" s="7" t="s">
        <v>602</v>
      </c>
      <c r="B381" s="8">
        <v>5.0</v>
      </c>
      <c r="C381" s="7" t="s">
        <v>172</v>
      </c>
      <c r="D381" s="7" t="s">
        <v>757</v>
      </c>
      <c r="E381" s="7" t="s">
        <v>758</v>
      </c>
      <c r="F381" s="7" t="s">
        <v>760</v>
      </c>
    </row>
    <row r="382">
      <c r="A382" s="7" t="s">
        <v>603</v>
      </c>
      <c r="B382" s="8">
        <v>5.0</v>
      </c>
      <c r="C382" s="7" t="s">
        <v>172</v>
      </c>
      <c r="D382" s="7" t="s">
        <v>757</v>
      </c>
      <c r="E382" s="7" t="s">
        <v>758</v>
      </c>
      <c r="F382" s="7" t="s">
        <v>761</v>
      </c>
    </row>
    <row r="383">
      <c r="A383" s="7" t="s">
        <v>604</v>
      </c>
      <c r="B383" s="8">
        <v>5.0</v>
      </c>
      <c r="C383" s="7" t="s">
        <v>172</v>
      </c>
      <c r="D383" s="7" t="s">
        <v>757</v>
      </c>
      <c r="E383" s="7" t="s">
        <v>758</v>
      </c>
      <c r="F383" s="7" t="s">
        <v>763</v>
      </c>
    </row>
    <row r="384">
      <c r="A384" s="7" t="s">
        <v>605</v>
      </c>
      <c r="B384" s="8">
        <v>5.0</v>
      </c>
      <c r="C384" s="7" t="s">
        <v>172</v>
      </c>
      <c r="D384" s="7" t="s">
        <v>757</v>
      </c>
      <c r="E384" s="7" t="s">
        <v>758</v>
      </c>
      <c r="F384" s="7" t="s">
        <v>764</v>
      </c>
    </row>
    <row r="385">
      <c r="A385" s="7" t="s">
        <v>606</v>
      </c>
      <c r="B385" s="8">
        <v>5.0</v>
      </c>
      <c r="C385" s="7" t="s">
        <v>172</v>
      </c>
      <c r="D385" s="7" t="s">
        <v>757</v>
      </c>
      <c r="E385" s="7" t="s">
        <v>758</v>
      </c>
      <c r="F385" s="7" t="s">
        <v>761</v>
      </c>
    </row>
    <row r="386">
      <c r="A386" s="7" t="s">
        <v>11</v>
      </c>
      <c r="B386" s="8">
        <v>5.0</v>
      </c>
      <c r="C386" s="7" t="s">
        <v>172</v>
      </c>
      <c r="D386" s="7" t="s">
        <v>757</v>
      </c>
      <c r="E386" s="7" t="s">
        <v>758</v>
      </c>
      <c r="F386" s="7" t="s">
        <v>760</v>
      </c>
    </row>
    <row r="387">
      <c r="A387" s="7" t="s">
        <v>607</v>
      </c>
      <c r="B387" s="8">
        <v>5.0</v>
      </c>
      <c r="C387" s="7" t="s">
        <v>172</v>
      </c>
      <c r="D387" s="7" t="s">
        <v>757</v>
      </c>
      <c r="E387" s="7" t="s">
        <v>758</v>
      </c>
      <c r="F387" s="7" t="s">
        <v>760</v>
      </c>
    </row>
    <row r="388">
      <c r="A388" s="7" t="s">
        <v>608</v>
      </c>
      <c r="B388" s="8">
        <v>5.0</v>
      </c>
      <c r="C388" s="7" t="s">
        <v>172</v>
      </c>
      <c r="D388" s="7" t="s">
        <v>757</v>
      </c>
      <c r="E388" s="7" t="s">
        <v>758</v>
      </c>
      <c r="F388" s="7" t="s">
        <v>760</v>
      </c>
    </row>
    <row r="389">
      <c r="A389" s="7" t="s">
        <v>609</v>
      </c>
      <c r="B389" s="8">
        <v>5.0</v>
      </c>
      <c r="C389" s="7" t="s">
        <v>172</v>
      </c>
      <c r="D389" s="7" t="s">
        <v>757</v>
      </c>
      <c r="E389" s="7" t="s">
        <v>758</v>
      </c>
      <c r="F389" s="7" t="s">
        <v>760</v>
      </c>
    </row>
    <row r="390">
      <c r="A390" s="7" t="s">
        <v>15</v>
      </c>
      <c r="B390" s="8">
        <v>5.0</v>
      </c>
      <c r="C390" s="7" t="s">
        <v>172</v>
      </c>
      <c r="D390" s="7" t="s">
        <v>757</v>
      </c>
      <c r="E390" s="7" t="s">
        <v>758</v>
      </c>
      <c r="F390" s="7" t="s">
        <v>760</v>
      </c>
    </row>
    <row r="391">
      <c r="A391" s="7" t="s">
        <v>610</v>
      </c>
      <c r="B391" s="8">
        <v>5.0</v>
      </c>
      <c r="C391" s="7" t="s">
        <v>172</v>
      </c>
      <c r="D391" s="7" t="s">
        <v>757</v>
      </c>
      <c r="E391" s="7" t="s">
        <v>758</v>
      </c>
      <c r="F391" s="7" t="s">
        <v>760</v>
      </c>
    </row>
    <row r="392">
      <c r="A392" s="7" t="s">
        <v>16</v>
      </c>
      <c r="B392" s="8">
        <v>5.0</v>
      </c>
      <c r="C392" s="7" t="s">
        <v>172</v>
      </c>
      <c r="D392" s="7" t="s">
        <v>757</v>
      </c>
      <c r="E392" s="7" t="s">
        <v>758</v>
      </c>
      <c r="F392" s="7" t="s">
        <v>760</v>
      </c>
    </row>
    <row r="393">
      <c r="A393" s="7" t="s">
        <v>611</v>
      </c>
      <c r="B393" s="8">
        <v>5.0</v>
      </c>
      <c r="C393" s="7" t="s">
        <v>172</v>
      </c>
      <c r="D393" s="7" t="s">
        <v>757</v>
      </c>
      <c r="E393" s="7" t="s">
        <v>758</v>
      </c>
      <c r="F393" s="7" t="s">
        <v>765</v>
      </c>
    </row>
    <row r="394">
      <c r="A394" s="7" t="s">
        <v>612</v>
      </c>
      <c r="B394" s="8">
        <v>5.0</v>
      </c>
      <c r="C394" s="7" t="s">
        <v>172</v>
      </c>
      <c r="D394" s="7" t="s">
        <v>757</v>
      </c>
      <c r="E394" s="7" t="s">
        <v>758</v>
      </c>
      <c r="F394" s="7" t="s">
        <v>760</v>
      </c>
    </row>
    <row r="395">
      <c r="A395" s="7" t="s">
        <v>18</v>
      </c>
      <c r="B395" s="8">
        <v>5.0</v>
      </c>
      <c r="C395" s="7" t="s">
        <v>172</v>
      </c>
      <c r="D395" s="7" t="s">
        <v>757</v>
      </c>
      <c r="E395" s="7" t="s">
        <v>758</v>
      </c>
      <c r="F395" s="7" t="s">
        <v>760</v>
      </c>
    </row>
    <row r="396">
      <c r="A396" s="7" t="s">
        <v>19</v>
      </c>
      <c r="B396" s="8">
        <v>5.0</v>
      </c>
      <c r="C396" s="7" t="s">
        <v>172</v>
      </c>
      <c r="D396" s="7" t="s">
        <v>757</v>
      </c>
      <c r="E396" s="7" t="s">
        <v>758</v>
      </c>
      <c r="F396" s="7" t="s">
        <v>760</v>
      </c>
    </row>
    <row r="397">
      <c r="A397" s="7" t="s">
        <v>596</v>
      </c>
      <c r="B397" s="8">
        <v>5.0</v>
      </c>
      <c r="C397" s="7" t="s">
        <v>267</v>
      </c>
      <c r="D397" s="7" t="s">
        <v>766</v>
      </c>
      <c r="E397" s="7" t="s">
        <v>767</v>
      </c>
      <c r="F397" s="7" t="s">
        <v>238</v>
      </c>
    </row>
    <row r="398">
      <c r="A398" s="7" t="s">
        <v>597</v>
      </c>
      <c r="B398" s="8">
        <v>5.0</v>
      </c>
      <c r="C398" s="7" t="s">
        <v>267</v>
      </c>
      <c r="D398" s="7" t="s">
        <v>766</v>
      </c>
      <c r="E398" s="7" t="s">
        <v>767</v>
      </c>
      <c r="F398" s="7" t="s">
        <v>238</v>
      </c>
    </row>
    <row r="399">
      <c r="A399" s="7" t="s">
        <v>598</v>
      </c>
      <c r="B399" s="8">
        <v>5.0</v>
      </c>
      <c r="C399" s="7" t="s">
        <v>267</v>
      </c>
      <c r="D399" s="7" t="s">
        <v>766</v>
      </c>
      <c r="E399" s="7" t="s">
        <v>767</v>
      </c>
      <c r="F399" s="7" t="s">
        <v>271</v>
      </c>
    </row>
    <row r="400">
      <c r="A400" s="7" t="s">
        <v>599</v>
      </c>
      <c r="B400" s="8">
        <v>5.0</v>
      </c>
      <c r="C400" s="7" t="s">
        <v>267</v>
      </c>
      <c r="D400" s="7" t="s">
        <v>766</v>
      </c>
      <c r="E400" s="7" t="s">
        <v>767</v>
      </c>
      <c r="F400" s="7" t="s">
        <v>238</v>
      </c>
    </row>
    <row r="401">
      <c r="A401" s="7" t="s">
        <v>600</v>
      </c>
      <c r="B401" s="8">
        <v>5.0</v>
      </c>
      <c r="C401" s="7" t="s">
        <v>267</v>
      </c>
      <c r="D401" s="7" t="s">
        <v>766</v>
      </c>
      <c r="E401" s="7" t="s">
        <v>767</v>
      </c>
      <c r="F401" s="7" t="s">
        <v>768</v>
      </c>
    </row>
    <row r="402">
      <c r="A402" s="7" t="s">
        <v>601</v>
      </c>
      <c r="B402" s="8">
        <v>5.0</v>
      </c>
      <c r="C402" s="7" t="s">
        <v>267</v>
      </c>
      <c r="D402" s="7" t="s">
        <v>766</v>
      </c>
      <c r="E402" s="7" t="s">
        <v>767</v>
      </c>
      <c r="F402" s="7" t="s">
        <v>769</v>
      </c>
    </row>
    <row r="403">
      <c r="A403" s="7" t="s">
        <v>602</v>
      </c>
      <c r="B403" s="8">
        <v>5.0</v>
      </c>
      <c r="C403" s="7" t="s">
        <v>267</v>
      </c>
      <c r="D403" s="7" t="s">
        <v>766</v>
      </c>
      <c r="E403" s="7" t="s">
        <v>767</v>
      </c>
      <c r="F403" s="7" t="s">
        <v>238</v>
      </c>
    </row>
    <row r="404">
      <c r="A404" s="7" t="s">
        <v>603</v>
      </c>
      <c r="B404" s="8">
        <v>5.0</v>
      </c>
      <c r="C404" s="7" t="s">
        <v>267</v>
      </c>
      <c r="D404" s="7" t="s">
        <v>766</v>
      </c>
      <c r="E404" s="7" t="s">
        <v>767</v>
      </c>
      <c r="F404" s="7" t="s">
        <v>238</v>
      </c>
    </row>
    <row r="405">
      <c r="A405" s="7" t="s">
        <v>604</v>
      </c>
      <c r="B405" s="8">
        <v>5.0</v>
      </c>
      <c r="C405" s="7" t="s">
        <v>267</v>
      </c>
      <c r="D405" s="7" t="s">
        <v>766</v>
      </c>
      <c r="E405" s="7" t="s">
        <v>767</v>
      </c>
      <c r="F405" s="7" t="s">
        <v>770</v>
      </c>
    </row>
    <row r="406">
      <c r="A406" s="7" t="s">
        <v>605</v>
      </c>
      <c r="B406" s="8">
        <v>5.0</v>
      </c>
      <c r="C406" s="7" t="s">
        <v>267</v>
      </c>
      <c r="D406" s="7" t="s">
        <v>766</v>
      </c>
      <c r="E406" s="7" t="s">
        <v>767</v>
      </c>
      <c r="F406" s="7" t="s">
        <v>238</v>
      </c>
    </row>
    <row r="407">
      <c r="A407" s="7" t="s">
        <v>606</v>
      </c>
      <c r="B407" s="8">
        <v>5.0</v>
      </c>
      <c r="C407" s="7" t="s">
        <v>267</v>
      </c>
      <c r="D407" s="7" t="s">
        <v>766</v>
      </c>
      <c r="E407" s="7" t="s">
        <v>767</v>
      </c>
      <c r="F407" s="7" t="s">
        <v>238</v>
      </c>
    </row>
    <row r="408">
      <c r="A408" s="7" t="s">
        <v>11</v>
      </c>
      <c r="B408" s="8">
        <v>5.0</v>
      </c>
      <c r="C408" s="7" t="s">
        <v>267</v>
      </c>
      <c r="D408" s="7" t="s">
        <v>766</v>
      </c>
      <c r="E408" s="7" t="s">
        <v>767</v>
      </c>
      <c r="F408" s="7" t="s">
        <v>771</v>
      </c>
    </row>
    <row r="409">
      <c r="A409" s="7" t="s">
        <v>607</v>
      </c>
      <c r="B409" s="8">
        <v>5.0</v>
      </c>
      <c r="C409" s="7" t="s">
        <v>267</v>
      </c>
      <c r="D409" s="7" t="s">
        <v>766</v>
      </c>
      <c r="E409" s="7" t="s">
        <v>767</v>
      </c>
      <c r="F409" s="7" t="s">
        <v>271</v>
      </c>
    </row>
    <row r="410">
      <c r="A410" s="7" t="s">
        <v>608</v>
      </c>
      <c r="B410" s="8">
        <v>5.0</v>
      </c>
      <c r="C410" s="7" t="s">
        <v>267</v>
      </c>
      <c r="D410" s="7" t="s">
        <v>766</v>
      </c>
      <c r="E410" s="7" t="s">
        <v>767</v>
      </c>
      <c r="F410" s="7" t="s">
        <v>273</v>
      </c>
    </row>
    <row r="411">
      <c r="A411" s="7" t="s">
        <v>609</v>
      </c>
      <c r="B411" s="8">
        <v>5.0</v>
      </c>
      <c r="C411" s="7" t="s">
        <v>267</v>
      </c>
      <c r="D411" s="7" t="s">
        <v>766</v>
      </c>
      <c r="E411" s="7" t="s">
        <v>767</v>
      </c>
      <c r="F411" s="7" t="s">
        <v>238</v>
      </c>
    </row>
    <row r="412">
      <c r="A412" s="7" t="s">
        <v>15</v>
      </c>
      <c r="B412" s="8">
        <v>5.0</v>
      </c>
      <c r="C412" s="7" t="s">
        <v>267</v>
      </c>
      <c r="D412" s="7" t="s">
        <v>766</v>
      </c>
      <c r="E412" s="7" t="s">
        <v>767</v>
      </c>
      <c r="F412" s="7" t="s">
        <v>238</v>
      </c>
    </row>
    <row r="413">
      <c r="A413" s="7" t="s">
        <v>610</v>
      </c>
      <c r="B413" s="8">
        <v>5.0</v>
      </c>
      <c r="C413" s="7" t="s">
        <v>267</v>
      </c>
      <c r="D413" s="7" t="s">
        <v>766</v>
      </c>
      <c r="E413" s="7" t="s">
        <v>767</v>
      </c>
      <c r="F413" s="7" t="s">
        <v>238</v>
      </c>
    </row>
    <row r="414">
      <c r="A414" s="7" t="s">
        <v>16</v>
      </c>
      <c r="B414" s="8">
        <v>5.0</v>
      </c>
      <c r="C414" s="7" t="s">
        <v>267</v>
      </c>
      <c r="D414" s="7" t="s">
        <v>766</v>
      </c>
      <c r="E414" s="7" t="s">
        <v>767</v>
      </c>
      <c r="F414" s="7" t="s">
        <v>238</v>
      </c>
    </row>
    <row r="415">
      <c r="A415" s="7" t="s">
        <v>611</v>
      </c>
      <c r="B415" s="8">
        <v>5.0</v>
      </c>
      <c r="C415" s="7" t="s">
        <v>267</v>
      </c>
      <c r="D415" s="7" t="s">
        <v>766</v>
      </c>
      <c r="E415" s="7" t="s">
        <v>767</v>
      </c>
      <c r="F415" s="7" t="s">
        <v>772</v>
      </c>
    </row>
    <row r="416">
      <c r="A416" s="7" t="s">
        <v>612</v>
      </c>
      <c r="B416" s="8">
        <v>5.0</v>
      </c>
      <c r="C416" s="7" t="s">
        <v>267</v>
      </c>
      <c r="D416" s="7" t="s">
        <v>766</v>
      </c>
      <c r="E416" s="7" t="s">
        <v>767</v>
      </c>
      <c r="F416" s="7" t="s">
        <v>238</v>
      </c>
    </row>
    <row r="417">
      <c r="A417" s="7" t="s">
        <v>18</v>
      </c>
      <c r="B417" s="8">
        <v>5.0</v>
      </c>
      <c r="C417" s="7" t="s">
        <v>267</v>
      </c>
      <c r="D417" s="7" t="s">
        <v>766</v>
      </c>
      <c r="E417" s="7" t="s">
        <v>767</v>
      </c>
      <c r="F417" s="7" t="s">
        <v>238</v>
      </c>
    </row>
    <row r="418">
      <c r="A418" s="7" t="s">
        <v>19</v>
      </c>
      <c r="B418" s="8">
        <v>5.0</v>
      </c>
      <c r="C418" s="7" t="s">
        <v>267</v>
      </c>
      <c r="D418" s="7" t="s">
        <v>766</v>
      </c>
      <c r="E418" s="7" t="s">
        <v>767</v>
      </c>
      <c r="F418" s="7" t="s">
        <v>238</v>
      </c>
    </row>
    <row r="419">
      <c r="A419" s="7" t="s">
        <v>596</v>
      </c>
      <c r="B419" s="8">
        <v>5.0</v>
      </c>
      <c r="C419" s="7" t="s">
        <v>773</v>
      </c>
      <c r="D419" s="7" t="s">
        <v>774</v>
      </c>
      <c r="E419" s="7" t="s">
        <v>775</v>
      </c>
      <c r="F419" s="7" t="s">
        <v>776</v>
      </c>
    </row>
    <row r="420">
      <c r="A420" s="7" t="s">
        <v>597</v>
      </c>
      <c r="B420" s="8">
        <v>5.0</v>
      </c>
      <c r="C420" s="7" t="s">
        <v>773</v>
      </c>
      <c r="D420" s="7" t="s">
        <v>774</v>
      </c>
      <c r="E420" s="7" t="s">
        <v>775</v>
      </c>
      <c r="F420" s="7" t="s">
        <v>776</v>
      </c>
    </row>
    <row r="421">
      <c r="A421" s="7" t="s">
        <v>598</v>
      </c>
      <c r="B421" s="8">
        <v>5.0</v>
      </c>
      <c r="C421" s="7" t="s">
        <v>773</v>
      </c>
      <c r="D421" s="7" t="s">
        <v>774</v>
      </c>
      <c r="E421" s="7" t="s">
        <v>775</v>
      </c>
      <c r="F421" s="7" t="s">
        <v>776</v>
      </c>
    </row>
    <row r="422">
      <c r="A422" s="7" t="s">
        <v>599</v>
      </c>
      <c r="B422" s="8">
        <v>5.0</v>
      </c>
      <c r="C422" s="7" t="s">
        <v>773</v>
      </c>
      <c r="D422" s="7" t="s">
        <v>774</v>
      </c>
      <c r="E422" s="7" t="s">
        <v>775</v>
      </c>
      <c r="F422" s="7" t="s">
        <v>776</v>
      </c>
    </row>
    <row r="423">
      <c r="A423" s="7" t="s">
        <v>600</v>
      </c>
      <c r="B423" s="8">
        <v>5.0</v>
      </c>
      <c r="C423" s="7" t="s">
        <v>773</v>
      </c>
      <c r="D423" s="7" t="s">
        <v>774</v>
      </c>
      <c r="E423" s="7" t="s">
        <v>775</v>
      </c>
      <c r="F423" s="7" t="s">
        <v>776</v>
      </c>
    </row>
    <row r="424">
      <c r="A424" s="7" t="s">
        <v>601</v>
      </c>
      <c r="B424" s="8">
        <v>5.0</v>
      </c>
      <c r="C424" s="7" t="s">
        <v>773</v>
      </c>
      <c r="D424" s="7" t="s">
        <v>774</v>
      </c>
      <c r="E424" s="7" t="s">
        <v>775</v>
      </c>
      <c r="F424" s="7" t="s">
        <v>777</v>
      </c>
    </row>
    <row r="425">
      <c r="A425" s="7" t="s">
        <v>602</v>
      </c>
      <c r="B425" s="8">
        <v>5.0</v>
      </c>
      <c r="C425" s="7" t="s">
        <v>773</v>
      </c>
      <c r="D425" s="7" t="s">
        <v>774</v>
      </c>
      <c r="E425" s="7" t="s">
        <v>775</v>
      </c>
      <c r="F425" s="7" t="s">
        <v>776</v>
      </c>
    </row>
    <row r="426">
      <c r="A426" s="7" t="s">
        <v>603</v>
      </c>
      <c r="B426" s="8">
        <v>5.0</v>
      </c>
      <c r="C426" s="7" t="s">
        <v>773</v>
      </c>
      <c r="D426" s="7" t="s">
        <v>774</v>
      </c>
      <c r="E426" s="7" t="s">
        <v>775</v>
      </c>
      <c r="F426" s="7" t="s">
        <v>776</v>
      </c>
    </row>
    <row r="427">
      <c r="A427" s="7" t="s">
        <v>604</v>
      </c>
      <c r="B427" s="8">
        <v>5.0</v>
      </c>
      <c r="C427" s="7" t="s">
        <v>773</v>
      </c>
      <c r="D427" s="7" t="s">
        <v>774</v>
      </c>
      <c r="E427" s="7" t="s">
        <v>775</v>
      </c>
      <c r="F427" s="7" t="s">
        <v>776</v>
      </c>
    </row>
    <row r="428">
      <c r="A428" s="7" t="s">
        <v>605</v>
      </c>
      <c r="B428" s="8">
        <v>5.0</v>
      </c>
      <c r="C428" s="7" t="s">
        <v>773</v>
      </c>
      <c r="D428" s="7" t="s">
        <v>774</v>
      </c>
      <c r="E428" s="7" t="s">
        <v>775</v>
      </c>
      <c r="F428" s="7" t="s">
        <v>776</v>
      </c>
    </row>
    <row r="429">
      <c r="A429" s="7" t="s">
        <v>606</v>
      </c>
      <c r="B429" s="8">
        <v>5.0</v>
      </c>
      <c r="C429" s="7" t="s">
        <v>773</v>
      </c>
      <c r="D429" s="7" t="s">
        <v>774</v>
      </c>
      <c r="E429" s="7" t="s">
        <v>775</v>
      </c>
      <c r="F429" s="7" t="s">
        <v>776</v>
      </c>
    </row>
    <row r="430">
      <c r="A430" s="7" t="s">
        <v>11</v>
      </c>
      <c r="B430" s="8">
        <v>5.0</v>
      </c>
      <c r="C430" s="7" t="s">
        <v>773</v>
      </c>
      <c r="D430" s="7" t="s">
        <v>774</v>
      </c>
      <c r="E430" s="7" t="s">
        <v>775</v>
      </c>
      <c r="F430" s="7" t="s">
        <v>776</v>
      </c>
    </row>
    <row r="431">
      <c r="A431" s="7" t="s">
        <v>607</v>
      </c>
      <c r="B431" s="8">
        <v>5.0</v>
      </c>
      <c r="C431" s="7" t="s">
        <v>773</v>
      </c>
      <c r="D431" s="7" t="s">
        <v>774</v>
      </c>
      <c r="E431" s="7" t="s">
        <v>775</v>
      </c>
      <c r="F431" s="7" t="s">
        <v>776</v>
      </c>
    </row>
    <row r="432">
      <c r="A432" s="7" t="s">
        <v>608</v>
      </c>
      <c r="B432" s="8">
        <v>5.0</v>
      </c>
      <c r="C432" s="7" t="s">
        <v>773</v>
      </c>
      <c r="D432" s="7" t="s">
        <v>774</v>
      </c>
      <c r="E432" s="7" t="s">
        <v>775</v>
      </c>
      <c r="F432" s="7" t="s">
        <v>776</v>
      </c>
    </row>
    <row r="433">
      <c r="A433" s="7" t="s">
        <v>609</v>
      </c>
      <c r="B433" s="8">
        <v>5.0</v>
      </c>
      <c r="C433" s="7" t="s">
        <v>773</v>
      </c>
      <c r="D433" s="7" t="s">
        <v>774</v>
      </c>
      <c r="E433" s="7" t="s">
        <v>775</v>
      </c>
      <c r="F433" s="7" t="s">
        <v>776</v>
      </c>
    </row>
    <row r="434">
      <c r="A434" s="7" t="s">
        <v>15</v>
      </c>
      <c r="B434" s="8">
        <v>5.0</v>
      </c>
      <c r="C434" s="7" t="s">
        <v>773</v>
      </c>
      <c r="D434" s="7" t="s">
        <v>774</v>
      </c>
      <c r="E434" s="7" t="s">
        <v>775</v>
      </c>
      <c r="F434" s="7" t="s">
        <v>776</v>
      </c>
    </row>
    <row r="435">
      <c r="A435" s="7" t="s">
        <v>610</v>
      </c>
      <c r="B435" s="8">
        <v>5.0</v>
      </c>
      <c r="C435" s="7" t="s">
        <v>773</v>
      </c>
      <c r="D435" s="7" t="s">
        <v>774</v>
      </c>
      <c r="E435" s="7" t="s">
        <v>775</v>
      </c>
      <c r="F435" s="7" t="s">
        <v>776</v>
      </c>
    </row>
    <row r="436">
      <c r="A436" s="7" t="s">
        <v>16</v>
      </c>
      <c r="B436" s="8">
        <v>5.0</v>
      </c>
      <c r="C436" s="7" t="s">
        <v>773</v>
      </c>
      <c r="D436" s="7" t="s">
        <v>774</v>
      </c>
      <c r="E436" s="7" t="s">
        <v>775</v>
      </c>
      <c r="F436" s="7" t="s">
        <v>776</v>
      </c>
    </row>
    <row r="437">
      <c r="A437" s="7" t="s">
        <v>611</v>
      </c>
      <c r="B437" s="8">
        <v>5.0</v>
      </c>
      <c r="C437" s="7" t="s">
        <v>773</v>
      </c>
      <c r="D437" s="7" t="s">
        <v>774</v>
      </c>
      <c r="E437" s="7" t="s">
        <v>775</v>
      </c>
      <c r="F437" s="7" t="s">
        <v>776</v>
      </c>
    </row>
    <row r="438">
      <c r="A438" s="7" t="s">
        <v>612</v>
      </c>
      <c r="B438" s="8">
        <v>5.0</v>
      </c>
      <c r="C438" s="7" t="s">
        <v>773</v>
      </c>
      <c r="D438" s="7" t="s">
        <v>774</v>
      </c>
      <c r="E438" s="7" t="s">
        <v>775</v>
      </c>
      <c r="F438" s="7" t="s">
        <v>776</v>
      </c>
    </row>
    <row r="439">
      <c r="A439" s="7" t="s">
        <v>18</v>
      </c>
      <c r="B439" s="8">
        <v>5.0</v>
      </c>
      <c r="C439" s="7" t="s">
        <v>773</v>
      </c>
      <c r="D439" s="7" t="s">
        <v>774</v>
      </c>
      <c r="E439" s="7" t="s">
        <v>775</v>
      </c>
      <c r="F439" s="7" t="s">
        <v>776</v>
      </c>
    </row>
    <row r="440">
      <c r="A440" s="7" t="s">
        <v>19</v>
      </c>
      <c r="B440" s="8">
        <v>5.0</v>
      </c>
      <c r="C440" s="7" t="s">
        <v>773</v>
      </c>
      <c r="D440" s="7" t="s">
        <v>774</v>
      </c>
      <c r="E440" s="7" t="s">
        <v>775</v>
      </c>
      <c r="F440" s="7" t="s">
        <v>776</v>
      </c>
    </row>
    <row r="441">
      <c r="A441" s="7" t="s">
        <v>596</v>
      </c>
      <c r="B441" s="8">
        <v>5.0</v>
      </c>
      <c r="C441" s="7" t="s">
        <v>274</v>
      </c>
      <c r="D441" s="7" t="s">
        <v>778</v>
      </c>
      <c r="E441" s="7" t="s">
        <v>779</v>
      </c>
      <c r="F441" s="7" t="s">
        <v>780</v>
      </c>
    </row>
    <row r="442">
      <c r="A442" s="7" t="s">
        <v>597</v>
      </c>
      <c r="B442" s="8">
        <v>5.0</v>
      </c>
      <c r="C442" s="7" t="s">
        <v>274</v>
      </c>
      <c r="D442" s="7" t="s">
        <v>778</v>
      </c>
      <c r="E442" s="7" t="s">
        <v>779</v>
      </c>
      <c r="F442" s="7" t="s">
        <v>780</v>
      </c>
    </row>
    <row r="443">
      <c r="A443" s="7" t="s">
        <v>598</v>
      </c>
      <c r="B443" s="8">
        <v>5.0</v>
      </c>
      <c r="C443" s="7" t="s">
        <v>274</v>
      </c>
      <c r="D443" s="7" t="s">
        <v>778</v>
      </c>
      <c r="E443" s="7" t="s">
        <v>779</v>
      </c>
      <c r="F443" s="7" t="s">
        <v>780</v>
      </c>
    </row>
    <row r="444">
      <c r="A444" s="7" t="s">
        <v>599</v>
      </c>
      <c r="B444" s="8">
        <v>5.0</v>
      </c>
      <c r="C444" s="7" t="s">
        <v>274</v>
      </c>
      <c r="D444" s="7" t="s">
        <v>778</v>
      </c>
      <c r="E444" s="7" t="s">
        <v>779</v>
      </c>
      <c r="F444" s="7" t="s">
        <v>781</v>
      </c>
    </row>
    <row r="445">
      <c r="A445" s="7" t="s">
        <v>600</v>
      </c>
      <c r="B445" s="8">
        <v>5.0</v>
      </c>
      <c r="C445" s="7" t="s">
        <v>274</v>
      </c>
      <c r="D445" s="7" t="s">
        <v>778</v>
      </c>
      <c r="E445" s="7" t="s">
        <v>779</v>
      </c>
      <c r="F445" s="7" t="s">
        <v>782</v>
      </c>
    </row>
    <row r="446">
      <c r="A446" s="7" t="s">
        <v>601</v>
      </c>
      <c r="B446" s="8">
        <v>5.0</v>
      </c>
      <c r="C446" s="7" t="s">
        <v>274</v>
      </c>
      <c r="D446" s="7" t="s">
        <v>778</v>
      </c>
      <c r="E446" s="7" t="s">
        <v>779</v>
      </c>
      <c r="F446" s="7" t="s">
        <v>783</v>
      </c>
    </row>
    <row r="447">
      <c r="A447" s="7" t="s">
        <v>602</v>
      </c>
      <c r="B447" s="8">
        <v>5.0</v>
      </c>
      <c r="C447" s="7" t="s">
        <v>274</v>
      </c>
      <c r="D447" s="7" t="s">
        <v>778</v>
      </c>
      <c r="E447" s="7" t="s">
        <v>779</v>
      </c>
      <c r="F447" s="7" t="s">
        <v>780</v>
      </c>
    </row>
    <row r="448">
      <c r="A448" s="7" t="s">
        <v>603</v>
      </c>
      <c r="B448" s="8">
        <v>5.0</v>
      </c>
      <c r="C448" s="7" t="s">
        <v>274</v>
      </c>
      <c r="D448" s="7" t="s">
        <v>778</v>
      </c>
      <c r="E448" s="7" t="s">
        <v>779</v>
      </c>
      <c r="F448" s="7" t="s">
        <v>784</v>
      </c>
    </row>
    <row r="449">
      <c r="A449" s="7" t="s">
        <v>604</v>
      </c>
      <c r="B449" s="8">
        <v>5.0</v>
      </c>
      <c r="C449" s="7" t="s">
        <v>274</v>
      </c>
      <c r="D449" s="7" t="s">
        <v>778</v>
      </c>
      <c r="E449" s="7" t="s">
        <v>779</v>
      </c>
      <c r="F449" s="7" t="s">
        <v>785</v>
      </c>
    </row>
    <row r="450">
      <c r="A450" s="7" t="s">
        <v>605</v>
      </c>
      <c r="B450" s="8">
        <v>5.0</v>
      </c>
      <c r="C450" s="7" t="s">
        <v>274</v>
      </c>
      <c r="D450" s="7" t="s">
        <v>778</v>
      </c>
      <c r="E450" s="7" t="s">
        <v>779</v>
      </c>
      <c r="F450" s="7" t="s">
        <v>780</v>
      </c>
    </row>
    <row r="451">
      <c r="A451" s="7" t="s">
        <v>606</v>
      </c>
      <c r="B451" s="8">
        <v>5.0</v>
      </c>
      <c r="C451" s="7" t="s">
        <v>274</v>
      </c>
      <c r="D451" s="7" t="s">
        <v>778</v>
      </c>
      <c r="E451" s="7" t="s">
        <v>779</v>
      </c>
      <c r="F451" s="7" t="s">
        <v>780</v>
      </c>
    </row>
    <row r="452">
      <c r="A452" s="7" t="s">
        <v>11</v>
      </c>
      <c r="B452" s="8">
        <v>5.0</v>
      </c>
      <c r="C452" s="7" t="s">
        <v>274</v>
      </c>
      <c r="D452" s="7" t="s">
        <v>778</v>
      </c>
      <c r="E452" s="7" t="s">
        <v>779</v>
      </c>
      <c r="F452" s="7" t="s">
        <v>786</v>
      </c>
    </row>
    <row r="453">
      <c r="A453" s="7" t="s">
        <v>607</v>
      </c>
      <c r="B453" s="8">
        <v>5.0</v>
      </c>
      <c r="C453" s="7" t="s">
        <v>274</v>
      </c>
      <c r="D453" s="7" t="s">
        <v>778</v>
      </c>
      <c r="E453" s="7" t="s">
        <v>779</v>
      </c>
      <c r="F453" s="7" t="s">
        <v>787</v>
      </c>
    </row>
    <row r="454">
      <c r="A454" s="7" t="s">
        <v>608</v>
      </c>
      <c r="B454" s="8">
        <v>5.0</v>
      </c>
      <c r="C454" s="7" t="s">
        <v>274</v>
      </c>
      <c r="D454" s="7" t="s">
        <v>778</v>
      </c>
      <c r="E454" s="7" t="s">
        <v>779</v>
      </c>
      <c r="F454" s="7" t="s">
        <v>780</v>
      </c>
    </row>
    <row r="455">
      <c r="A455" s="7" t="s">
        <v>609</v>
      </c>
      <c r="B455" s="8">
        <v>5.0</v>
      </c>
      <c r="C455" s="7" t="s">
        <v>274</v>
      </c>
      <c r="D455" s="7" t="s">
        <v>778</v>
      </c>
      <c r="E455" s="7" t="s">
        <v>779</v>
      </c>
      <c r="F455" s="7" t="s">
        <v>780</v>
      </c>
    </row>
    <row r="456">
      <c r="A456" s="7" t="s">
        <v>15</v>
      </c>
      <c r="B456" s="8">
        <v>5.0</v>
      </c>
      <c r="C456" s="7" t="s">
        <v>274</v>
      </c>
      <c r="D456" s="7" t="s">
        <v>778</v>
      </c>
      <c r="E456" s="7" t="s">
        <v>779</v>
      </c>
      <c r="F456" s="7" t="s">
        <v>780</v>
      </c>
    </row>
    <row r="457">
      <c r="A457" s="7" t="s">
        <v>610</v>
      </c>
      <c r="B457" s="8">
        <v>5.0</v>
      </c>
      <c r="C457" s="7" t="s">
        <v>274</v>
      </c>
      <c r="D457" s="7" t="s">
        <v>778</v>
      </c>
      <c r="E457" s="7" t="s">
        <v>779</v>
      </c>
      <c r="F457" s="7" t="s">
        <v>780</v>
      </c>
    </row>
    <row r="458">
      <c r="A458" s="7" t="s">
        <v>16</v>
      </c>
      <c r="B458" s="8">
        <v>5.0</v>
      </c>
      <c r="C458" s="7" t="s">
        <v>274</v>
      </c>
      <c r="D458" s="7" t="s">
        <v>778</v>
      </c>
      <c r="E458" s="7" t="s">
        <v>779</v>
      </c>
      <c r="F458" s="7" t="s">
        <v>780</v>
      </c>
    </row>
    <row r="459">
      <c r="A459" s="7" t="s">
        <v>611</v>
      </c>
      <c r="B459" s="8">
        <v>5.0</v>
      </c>
      <c r="C459" s="7" t="s">
        <v>274</v>
      </c>
      <c r="D459" s="7" t="s">
        <v>778</v>
      </c>
      <c r="E459" s="7" t="s">
        <v>779</v>
      </c>
      <c r="F459" s="7" t="s">
        <v>780</v>
      </c>
    </row>
    <row r="460">
      <c r="A460" s="7" t="s">
        <v>612</v>
      </c>
      <c r="B460" s="8">
        <v>5.0</v>
      </c>
      <c r="C460" s="7" t="s">
        <v>274</v>
      </c>
      <c r="D460" s="7" t="s">
        <v>778</v>
      </c>
      <c r="E460" s="7" t="s">
        <v>779</v>
      </c>
      <c r="F460" s="7" t="s">
        <v>780</v>
      </c>
    </row>
    <row r="461">
      <c r="A461" s="7" t="s">
        <v>18</v>
      </c>
      <c r="B461" s="8">
        <v>5.0</v>
      </c>
      <c r="C461" s="7" t="s">
        <v>274</v>
      </c>
      <c r="D461" s="7" t="s">
        <v>778</v>
      </c>
      <c r="E461" s="7" t="s">
        <v>779</v>
      </c>
      <c r="F461" s="7" t="s">
        <v>780</v>
      </c>
    </row>
    <row r="462">
      <c r="A462" s="7" t="s">
        <v>19</v>
      </c>
      <c r="B462" s="8">
        <v>5.0</v>
      </c>
      <c r="C462" s="7" t="s">
        <v>274</v>
      </c>
      <c r="D462" s="7" t="s">
        <v>778</v>
      </c>
      <c r="E462" s="7" t="s">
        <v>779</v>
      </c>
      <c r="F462" s="7" t="s">
        <v>780</v>
      </c>
    </row>
    <row r="463">
      <c r="A463" s="7" t="s">
        <v>596</v>
      </c>
      <c r="B463" s="8">
        <v>5.0</v>
      </c>
      <c r="C463" s="7" t="s">
        <v>788</v>
      </c>
      <c r="D463" s="7" t="s">
        <v>789</v>
      </c>
      <c r="E463" s="7" t="s">
        <v>790</v>
      </c>
      <c r="F463" s="7" t="s">
        <v>791</v>
      </c>
    </row>
    <row r="464">
      <c r="A464" s="7" t="s">
        <v>597</v>
      </c>
      <c r="B464" s="8">
        <v>5.0</v>
      </c>
      <c r="C464" s="7" t="s">
        <v>788</v>
      </c>
      <c r="D464" s="7" t="s">
        <v>789</v>
      </c>
      <c r="E464" s="7" t="s">
        <v>790</v>
      </c>
      <c r="F464" s="7" t="s">
        <v>792</v>
      </c>
    </row>
    <row r="465">
      <c r="A465" s="7" t="s">
        <v>598</v>
      </c>
      <c r="B465" s="8">
        <v>5.0</v>
      </c>
      <c r="C465" s="7" t="s">
        <v>788</v>
      </c>
      <c r="D465" s="7" t="s">
        <v>789</v>
      </c>
      <c r="E465" s="7" t="s">
        <v>790</v>
      </c>
      <c r="F465" s="7" t="s">
        <v>792</v>
      </c>
    </row>
    <row r="466">
      <c r="A466" s="7" t="s">
        <v>599</v>
      </c>
      <c r="B466" s="8">
        <v>5.0</v>
      </c>
      <c r="C466" s="7" t="s">
        <v>788</v>
      </c>
      <c r="D466" s="7" t="s">
        <v>789</v>
      </c>
      <c r="E466" s="7" t="s">
        <v>790</v>
      </c>
      <c r="F466" s="7" t="s">
        <v>792</v>
      </c>
    </row>
    <row r="467">
      <c r="A467" s="7" t="s">
        <v>600</v>
      </c>
      <c r="B467" s="8">
        <v>5.0</v>
      </c>
      <c r="C467" s="7" t="s">
        <v>788</v>
      </c>
      <c r="D467" s="7" t="s">
        <v>789</v>
      </c>
      <c r="E467" s="7" t="s">
        <v>790</v>
      </c>
      <c r="F467" s="7" t="s">
        <v>792</v>
      </c>
    </row>
    <row r="468">
      <c r="A468" s="7" t="s">
        <v>601</v>
      </c>
      <c r="B468" s="8">
        <v>5.0</v>
      </c>
      <c r="C468" s="7" t="s">
        <v>788</v>
      </c>
      <c r="D468" s="7" t="s">
        <v>789</v>
      </c>
      <c r="E468" s="7" t="s">
        <v>790</v>
      </c>
      <c r="F468" s="7" t="s">
        <v>793</v>
      </c>
    </row>
    <row r="469">
      <c r="A469" s="7" t="s">
        <v>602</v>
      </c>
      <c r="B469" s="8">
        <v>5.0</v>
      </c>
      <c r="C469" s="7" t="s">
        <v>788</v>
      </c>
      <c r="D469" s="7" t="s">
        <v>789</v>
      </c>
      <c r="E469" s="7" t="s">
        <v>790</v>
      </c>
      <c r="F469" s="7" t="s">
        <v>792</v>
      </c>
    </row>
    <row r="470">
      <c r="A470" s="7" t="s">
        <v>603</v>
      </c>
      <c r="B470" s="8">
        <v>5.0</v>
      </c>
      <c r="C470" s="7" t="s">
        <v>788</v>
      </c>
      <c r="D470" s="7" t="s">
        <v>789</v>
      </c>
      <c r="E470" s="7" t="s">
        <v>790</v>
      </c>
      <c r="F470" s="7" t="s">
        <v>792</v>
      </c>
    </row>
    <row r="471">
      <c r="A471" s="7" t="s">
        <v>604</v>
      </c>
      <c r="B471" s="8">
        <v>5.0</v>
      </c>
      <c r="C471" s="7" t="s">
        <v>788</v>
      </c>
      <c r="D471" s="7" t="s">
        <v>789</v>
      </c>
      <c r="E471" s="7" t="s">
        <v>790</v>
      </c>
      <c r="F471" s="7" t="s">
        <v>792</v>
      </c>
    </row>
    <row r="472">
      <c r="A472" s="7" t="s">
        <v>605</v>
      </c>
      <c r="B472" s="8">
        <v>5.0</v>
      </c>
      <c r="C472" s="7" t="s">
        <v>788</v>
      </c>
      <c r="D472" s="7" t="s">
        <v>789</v>
      </c>
      <c r="E472" s="7" t="s">
        <v>790</v>
      </c>
      <c r="F472" s="7" t="s">
        <v>792</v>
      </c>
    </row>
    <row r="473">
      <c r="A473" s="7" t="s">
        <v>606</v>
      </c>
      <c r="B473" s="8">
        <v>5.0</v>
      </c>
      <c r="C473" s="7" t="s">
        <v>788</v>
      </c>
      <c r="D473" s="7" t="s">
        <v>789</v>
      </c>
      <c r="E473" s="7" t="s">
        <v>790</v>
      </c>
      <c r="F473" s="7" t="s">
        <v>792</v>
      </c>
    </row>
    <row r="474">
      <c r="A474" s="7" t="s">
        <v>11</v>
      </c>
      <c r="B474" s="8">
        <v>5.0</v>
      </c>
      <c r="C474" s="7" t="s">
        <v>788</v>
      </c>
      <c r="D474" s="7" t="s">
        <v>789</v>
      </c>
      <c r="E474" s="7" t="s">
        <v>790</v>
      </c>
      <c r="F474" s="7" t="s">
        <v>792</v>
      </c>
    </row>
    <row r="475">
      <c r="A475" s="7" t="s">
        <v>607</v>
      </c>
      <c r="B475" s="8">
        <v>5.0</v>
      </c>
      <c r="C475" s="7" t="s">
        <v>788</v>
      </c>
      <c r="D475" s="7" t="s">
        <v>789</v>
      </c>
      <c r="E475" s="7" t="s">
        <v>790</v>
      </c>
      <c r="F475" s="7" t="s">
        <v>792</v>
      </c>
    </row>
    <row r="476">
      <c r="A476" s="7" t="s">
        <v>608</v>
      </c>
      <c r="B476" s="8">
        <v>5.0</v>
      </c>
      <c r="C476" s="7" t="s">
        <v>788</v>
      </c>
      <c r="D476" s="7" t="s">
        <v>789</v>
      </c>
      <c r="E476" s="7" t="s">
        <v>790</v>
      </c>
      <c r="F476" s="7" t="s">
        <v>792</v>
      </c>
    </row>
    <row r="477">
      <c r="A477" s="7" t="s">
        <v>609</v>
      </c>
      <c r="B477" s="8">
        <v>5.0</v>
      </c>
      <c r="C477" s="7" t="s">
        <v>788</v>
      </c>
      <c r="D477" s="7" t="s">
        <v>789</v>
      </c>
      <c r="E477" s="7" t="s">
        <v>790</v>
      </c>
      <c r="F477" s="7" t="s">
        <v>792</v>
      </c>
    </row>
    <row r="478">
      <c r="A478" s="7" t="s">
        <v>15</v>
      </c>
      <c r="B478" s="8">
        <v>5.0</v>
      </c>
      <c r="C478" s="7" t="s">
        <v>788</v>
      </c>
      <c r="D478" s="7" t="s">
        <v>789</v>
      </c>
      <c r="E478" s="7" t="s">
        <v>790</v>
      </c>
      <c r="F478" s="7" t="s">
        <v>792</v>
      </c>
    </row>
    <row r="479">
      <c r="A479" s="7" t="s">
        <v>610</v>
      </c>
      <c r="B479" s="8">
        <v>5.0</v>
      </c>
      <c r="C479" s="7" t="s">
        <v>788</v>
      </c>
      <c r="D479" s="7" t="s">
        <v>789</v>
      </c>
      <c r="E479" s="7" t="s">
        <v>790</v>
      </c>
      <c r="F479" s="7" t="s">
        <v>792</v>
      </c>
    </row>
    <row r="480">
      <c r="A480" s="7" t="s">
        <v>16</v>
      </c>
      <c r="B480" s="8">
        <v>5.0</v>
      </c>
      <c r="C480" s="7" t="s">
        <v>788</v>
      </c>
      <c r="D480" s="7" t="s">
        <v>789</v>
      </c>
      <c r="E480" s="7" t="s">
        <v>790</v>
      </c>
      <c r="F480" s="7" t="s">
        <v>792</v>
      </c>
    </row>
    <row r="481">
      <c r="A481" s="7" t="s">
        <v>611</v>
      </c>
      <c r="B481" s="8">
        <v>5.0</v>
      </c>
      <c r="C481" s="7" t="s">
        <v>788</v>
      </c>
      <c r="D481" s="7" t="s">
        <v>789</v>
      </c>
      <c r="E481" s="7" t="s">
        <v>790</v>
      </c>
      <c r="F481" s="7" t="s">
        <v>792</v>
      </c>
    </row>
    <row r="482">
      <c r="A482" s="7" t="s">
        <v>612</v>
      </c>
      <c r="B482" s="8">
        <v>5.0</v>
      </c>
      <c r="C482" s="7" t="s">
        <v>788</v>
      </c>
      <c r="D482" s="7" t="s">
        <v>789</v>
      </c>
      <c r="E482" s="7" t="s">
        <v>790</v>
      </c>
      <c r="F482" s="7" t="s">
        <v>792</v>
      </c>
    </row>
    <row r="483">
      <c r="A483" s="7" t="s">
        <v>18</v>
      </c>
      <c r="B483" s="8">
        <v>5.0</v>
      </c>
      <c r="C483" s="7" t="s">
        <v>788</v>
      </c>
      <c r="D483" s="7" t="s">
        <v>789</v>
      </c>
      <c r="E483" s="7" t="s">
        <v>790</v>
      </c>
      <c r="F483" s="7" t="s">
        <v>792</v>
      </c>
    </row>
    <row r="484">
      <c r="A484" s="7" t="s">
        <v>19</v>
      </c>
      <c r="B484" s="8">
        <v>5.0</v>
      </c>
      <c r="C484" s="7" t="s">
        <v>788</v>
      </c>
      <c r="D484" s="7" t="s">
        <v>789</v>
      </c>
      <c r="E484" s="7" t="s">
        <v>790</v>
      </c>
      <c r="F484" s="7" t="s">
        <v>792</v>
      </c>
    </row>
    <row r="485">
      <c r="A485" s="7" t="s">
        <v>596</v>
      </c>
      <c r="B485" s="8">
        <v>5.0</v>
      </c>
      <c r="C485" s="7" t="s">
        <v>794</v>
      </c>
      <c r="D485" s="7" t="s">
        <v>795</v>
      </c>
      <c r="E485" s="7" t="s">
        <v>796</v>
      </c>
      <c r="F485" s="7" t="s">
        <v>797</v>
      </c>
    </row>
    <row r="486">
      <c r="A486" s="7" t="s">
        <v>597</v>
      </c>
      <c r="B486" s="8">
        <v>5.0</v>
      </c>
      <c r="C486" s="7" t="s">
        <v>794</v>
      </c>
      <c r="D486" s="7" t="s">
        <v>795</v>
      </c>
      <c r="E486" s="7" t="s">
        <v>796</v>
      </c>
      <c r="F486" s="7" t="s">
        <v>798</v>
      </c>
    </row>
    <row r="487">
      <c r="A487" s="7" t="s">
        <v>598</v>
      </c>
      <c r="B487" s="8">
        <v>5.0</v>
      </c>
      <c r="C487" s="7" t="s">
        <v>794</v>
      </c>
      <c r="D487" s="7" t="s">
        <v>795</v>
      </c>
      <c r="E487" s="7" t="s">
        <v>796</v>
      </c>
      <c r="F487" s="7" t="s">
        <v>797</v>
      </c>
    </row>
    <row r="488">
      <c r="A488" s="7" t="s">
        <v>599</v>
      </c>
      <c r="B488" s="8">
        <v>5.0</v>
      </c>
      <c r="C488" s="7" t="s">
        <v>794</v>
      </c>
      <c r="D488" s="7" t="s">
        <v>795</v>
      </c>
      <c r="E488" s="7" t="s">
        <v>796</v>
      </c>
      <c r="F488" s="7" t="s">
        <v>797</v>
      </c>
    </row>
    <row r="489">
      <c r="A489" s="7" t="s">
        <v>600</v>
      </c>
      <c r="B489" s="8">
        <v>5.0</v>
      </c>
      <c r="C489" s="7" t="s">
        <v>794</v>
      </c>
      <c r="D489" s="7" t="s">
        <v>795</v>
      </c>
      <c r="E489" s="7" t="s">
        <v>796</v>
      </c>
      <c r="F489" s="7" t="s">
        <v>799</v>
      </c>
    </row>
    <row r="490">
      <c r="A490" s="7" t="s">
        <v>601</v>
      </c>
      <c r="B490" s="8">
        <v>5.0</v>
      </c>
      <c r="C490" s="7" t="s">
        <v>794</v>
      </c>
      <c r="D490" s="7" t="s">
        <v>795</v>
      </c>
      <c r="E490" s="7" t="s">
        <v>796</v>
      </c>
      <c r="F490" s="7" t="s">
        <v>800</v>
      </c>
    </row>
    <row r="491">
      <c r="A491" s="7" t="s">
        <v>602</v>
      </c>
      <c r="B491" s="8">
        <v>5.0</v>
      </c>
      <c r="C491" s="7" t="s">
        <v>794</v>
      </c>
      <c r="D491" s="7" t="s">
        <v>795</v>
      </c>
      <c r="E491" s="7" t="s">
        <v>796</v>
      </c>
      <c r="F491" s="7" t="s">
        <v>801</v>
      </c>
    </row>
    <row r="492">
      <c r="A492" s="7" t="s">
        <v>603</v>
      </c>
      <c r="B492" s="8">
        <v>5.0</v>
      </c>
      <c r="C492" s="7" t="s">
        <v>794</v>
      </c>
      <c r="D492" s="7" t="s">
        <v>795</v>
      </c>
      <c r="E492" s="7" t="s">
        <v>796</v>
      </c>
      <c r="F492" s="7" t="s">
        <v>802</v>
      </c>
    </row>
    <row r="493">
      <c r="A493" s="7" t="s">
        <v>604</v>
      </c>
      <c r="B493" s="8">
        <v>5.0</v>
      </c>
      <c r="C493" s="7" t="s">
        <v>794</v>
      </c>
      <c r="D493" s="7" t="s">
        <v>795</v>
      </c>
      <c r="E493" s="7" t="s">
        <v>796</v>
      </c>
      <c r="F493" s="7" t="s">
        <v>803</v>
      </c>
    </row>
    <row r="494">
      <c r="A494" s="7" t="s">
        <v>605</v>
      </c>
      <c r="B494" s="8">
        <v>5.0</v>
      </c>
      <c r="C494" s="7" t="s">
        <v>794</v>
      </c>
      <c r="D494" s="7" t="s">
        <v>795</v>
      </c>
      <c r="E494" s="7" t="s">
        <v>796</v>
      </c>
      <c r="F494" s="7" t="s">
        <v>804</v>
      </c>
    </row>
    <row r="495">
      <c r="A495" s="7" t="s">
        <v>606</v>
      </c>
      <c r="B495" s="8">
        <v>5.0</v>
      </c>
      <c r="C495" s="7" t="s">
        <v>794</v>
      </c>
      <c r="D495" s="7" t="s">
        <v>795</v>
      </c>
      <c r="E495" s="7" t="s">
        <v>796</v>
      </c>
      <c r="F495" s="7" t="s">
        <v>797</v>
      </c>
    </row>
    <row r="496">
      <c r="A496" s="7" t="s">
        <v>11</v>
      </c>
      <c r="B496" s="8">
        <v>5.0</v>
      </c>
      <c r="C496" s="7" t="s">
        <v>794</v>
      </c>
      <c r="D496" s="7" t="s">
        <v>795</v>
      </c>
      <c r="E496" s="7" t="s">
        <v>796</v>
      </c>
      <c r="F496" s="7" t="s">
        <v>805</v>
      </c>
    </row>
    <row r="497">
      <c r="A497" s="7" t="s">
        <v>607</v>
      </c>
      <c r="B497" s="8">
        <v>5.0</v>
      </c>
      <c r="C497" s="7" t="s">
        <v>794</v>
      </c>
      <c r="D497" s="7" t="s">
        <v>795</v>
      </c>
      <c r="E497" s="7" t="s">
        <v>796</v>
      </c>
      <c r="F497" s="7" t="s">
        <v>806</v>
      </c>
    </row>
    <row r="498">
      <c r="A498" s="7" t="s">
        <v>608</v>
      </c>
      <c r="B498" s="8">
        <v>5.0</v>
      </c>
      <c r="C498" s="7" t="s">
        <v>794</v>
      </c>
      <c r="D498" s="7" t="s">
        <v>795</v>
      </c>
      <c r="E498" s="7" t="s">
        <v>796</v>
      </c>
      <c r="F498" s="7" t="s">
        <v>807</v>
      </c>
    </row>
    <row r="499">
      <c r="A499" s="7" t="s">
        <v>609</v>
      </c>
      <c r="B499" s="8">
        <v>5.0</v>
      </c>
      <c r="C499" s="7" t="s">
        <v>794</v>
      </c>
      <c r="D499" s="7" t="s">
        <v>795</v>
      </c>
      <c r="E499" s="7" t="s">
        <v>796</v>
      </c>
      <c r="F499" s="7" t="s">
        <v>808</v>
      </c>
    </row>
    <row r="500">
      <c r="A500" s="7" t="s">
        <v>15</v>
      </c>
      <c r="B500" s="8">
        <v>5.0</v>
      </c>
      <c r="C500" s="7" t="s">
        <v>794</v>
      </c>
      <c r="D500" s="7" t="s">
        <v>795</v>
      </c>
      <c r="E500" s="7" t="s">
        <v>796</v>
      </c>
      <c r="F500" s="7" t="s">
        <v>797</v>
      </c>
    </row>
    <row r="501">
      <c r="A501" s="7" t="s">
        <v>610</v>
      </c>
      <c r="B501" s="8">
        <v>5.0</v>
      </c>
      <c r="C501" s="7" t="s">
        <v>794</v>
      </c>
      <c r="D501" s="7" t="s">
        <v>795</v>
      </c>
      <c r="E501" s="7" t="s">
        <v>796</v>
      </c>
      <c r="F501" s="7" t="s">
        <v>797</v>
      </c>
    </row>
    <row r="502">
      <c r="A502" s="7" t="s">
        <v>16</v>
      </c>
      <c r="B502" s="8">
        <v>5.0</v>
      </c>
      <c r="C502" s="7" t="s">
        <v>794</v>
      </c>
      <c r="D502" s="7" t="s">
        <v>795</v>
      </c>
      <c r="E502" s="7" t="s">
        <v>796</v>
      </c>
      <c r="F502" s="7" t="s">
        <v>809</v>
      </c>
    </row>
    <row r="503">
      <c r="A503" s="7" t="s">
        <v>611</v>
      </c>
      <c r="B503" s="8">
        <v>5.0</v>
      </c>
      <c r="C503" s="7" t="s">
        <v>794</v>
      </c>
      <c r="D503" s="7" t="s">
        <v>795</v>
      </c>
      <c r="E503" s="7" t="s">
        <v>796</v>
      </c>
      <c r="F503" s="7" t="s">
        <v>797</v>
      </c>
    </row>
    <row r="504">
      <c r="A504" s="7" t="s">
        <v>612</v>
      </c>
      <c r="B504" s="8">
        <v>5.0</v>
      </c>
      <c r="C504" s="7" t="s">
        <v>794</v>
      </c>
      <c r="D504" s="7" t="s">
        <v>795</v>
      </c>
      <c r="E504" s="7" t="s">
        <v>796</v>
      </c>
      <c r="F504" s="7" t="s">
        <v>810</v>
      </c>
    </row>
    <row r="505">
      <c r="A505" s="7" t="s">
        <v>18</v>
      </c>
      <c r="B505" s="8">
        <v>5.0</v>
      </c>
      <c r="C505" s="7" t="s">
        <v>794</v>
      </c>
      <c r="D505" s="7" t="s">
        <v>795</v>
      </c>
      <c r="E505" s="7" t="s">
        <v>796</v>
      </c>
      <c r="F505" s="7" t="s">
        <v>811</v>
      </c>
    </row>
    <row r="506">
      <c r="A506" s="7" t="s">
        <v>19</v>
      </c>
      <c r="B506" s="8">
        <v>5.0</v>
      </c>
      <c r="C506" s="7" t="s">
        <v>794</v>
      </c>
      <c r="D506" s="7" t="s">
        <v>795</v>
      </c>
      <c r="E506" s="7" t="s">
        <v>796</v>
      </c>
      <c r="F506" s="7" t="s">
        <v>812</v>
      </c>
    </row>
    <row r="507">
      <c r="A507" s="7" t="s">
        <v>596</v>
      </c>
      <c r="B507" s="8">
        <v>5.0</v>
      </c>
      <c r="C507" s="7" t="s">
        <v>813</v>
      </c>
      <c r="D507" s="7" t="s">
        <v>814</v>
      </c>
      <c r="E507" s="7" t="s">
        <v>815</v>
      </c>
      <c r="F507" s="7" t="s">
        <v>816</v>
      </c>
    </row>
    <row r="508">
      <c r="A508" s="7" t="s">
        <v>597</v>
      </c>
      <c r="B508" s="8">
        <v>5.0</v>
      </c>
      <c r="C508" s="7" t="s">
        <v>813</v>
      </c>
      <c r="D508" s="7" t="s">
        <v>814</v>
      </c>
      <c r="E508" s="7" t="s">
        <v>815</v>
      </c>
      <c r="F508" s="7" t="s">
        <v>816</v>
      </c>
    </row>
    <row r="509">
      <c r="A509" s="7" t="s">
        <v>598</v>
      </c>
      <c r="B509" s="8">
        <v>5.0</v>
      </c>
      <c r="C509" s="7" t="s">
        <v>813</v>
      </c>
      <c r="D509" s="7" t="s">
        <v>814</v>
      </c>
      <c r="E509" s="7" t="s">
        <v>815</v>
      </c>
      <c r="F509" s="7" t="s">
        <v>816</v>
      </c>
    </row>
    <row r="510">
      <c r="A510" s="7" t="s">
        <v>599</v>
      </c>
      <c r="B510" s="8">
        <v>5.0</v>
      </c>
      <c r="C510" s="7" t="s">
        <v>813</v>
      </c>
      <c r="D510" s="7" t="s">
        <v>814</v>
      </c>
      <c r="E510" s="7" t="s">
        <v>815</v>
      </c>
      <c r="F510" s="7" t="s">
        <v>816</v>
      </c>
    </row>
    <row r="511">
      <c r="A511" s="7" t="s">
        <v>600</v>
      </c>
      <c r="B511" s="8">
        <v>5.0</v>
      </c>
      <c r="C511" s="7" t="s">
        <v>813</v>
      </c>
      <c r="D511" s="7" t="s">
        <v>814</v>
      </c>
      <c r="E511" s="7" t="s">
        <v>815</v>
      </c>
      <c r="F511" s="7" t="s">
        <v>816</v>
      </c>
    </row>
    <row r="512">
      <c r="A512" s="7" t="s">
        <v>601</v>
      </c>
      <c r="B512" s="8">
        <v>5.0</v>
      </c>
      <c r="C512" s="7" t="s">
        <v>813</v>
      </c>
      <c r="D512" s="7" t="s">
        <v>814</v>
      </c>
      <c r="E512" s="7" t="s">
        <v>815</v>
      </c>
      <c r="F512" s="7" t="s">
        <v>817</v>
      </c>
    </row>
    <row r="513">
      <c r="A513" s="7" t="s">
        <v>602</v>
      </c>
      <c r="B513" s="8">
        <v>5.0</v>
      </c>
      <c r="C513" s="7" t="s">
        <v>813</v>
      </c>
      <c r="D513" s="7" t="s">
        <v>814</v>
      </c>
      <c r="E513" s="7" t="s">
        <v>815</v>
      </c>
      <c r="F513" s="7" t="s">
        <v>816</v>
      </c>
    </row>
    <row r="514">
      <c r="A514" s="7" t="s">
        <v>603</v>
      </c>
      <c r="B514" s="8">
        <v>5.0</v>
      </c>
      <c r="C514" s="7" t="s">
        <v>813</v>
      </c>
      <c r="D514" s="7" t="s">
        <v>814</v>
      </c>
      <c r="E514" s="7" t="s">
        <v>815</v>
      </c>
      <c r="F514" s="7" t="s">
        <v>816</v>
      </c>
    </row>
    <row r="515">
      <c r="A515" s="7" t="s">
        <v>604</v>
      </c>
      <c r="B515" s="8">
        <v>5.0</v>
      </c>
      <c r="C515" s="7" t="s">
        <v>813</v>
      </c>
      <c r="D515" s="7" t="s">
        <v>814</v>
      </c>
      <c r="E515" s="7" t="s">
        <v>815</v>
      </c>
      <c r="F515" s="7" t="s">
        <v>816</v>
      </c>
    </row>
    <row r="516">
      <c r="A516" s="7" t="s">
        <v>605</v>
      </c>
      <c r="B516" s="8">
        <v>5.0</v>
      </c>
      <c r="C516" s="7" t="s">
        <v>813</v>
      </c>
      <c r="D516" s="7" t="s">
        <v>814</v>
      </c>
      <c r="E516" s="7" t="s">
        <v>815</v>
      </c>
      <c r="F516" s="7" t="s">
        <v>816</v>
      </c>
    </row>
    <row r="517">
      <c r="A517" s="7" t="s">
        <v>606</v>
      </c>
      <c r="B517" s="8">
        <v>5.0</v>
      </c>
      <c r="C517" s="7" t="s">
        <v>813</v>
      </c>
      <c r="D517" s="7" t="s">
        <v>814</v>
      </c>
      <c r="E517" s="7" t="s">
        <v>815</v>
      </c>
      <c r="F517" s="7" t="s">
        <v>816</v>
      </c>
    </row>
    <row r="518">
      <c r="A518" s="7" t="s">
        <v>11</v>
      </c>
      <c r="B518" s="8">
        <v>5.0</v>
      </c>
      <c r="C518" s="7" t="s">
        <v>813</v>
      </c>
      <c r="D518" s="7" t="s">
        <v>814</v>
      </c>
      <c r="E518" s="7" t="s">
        <v>815</v>
      </c>
      <c r="F518" s="7" t="s">
        <v>816</v>
      </c>
    </row>
    <row r="519">
      <c r="A519" s="7" t="s">
        <v>607</v>
      </c>
      <c r="B519" s="8">
        <v>5.0</v>
      </c>
      <c r="C519" s="7" t="s">
        <v>813</v>
      </c>
      <c r="D519" s="7" t="s">
        <v>814</v>
      </c>
      <c r="E519" s="7" t="s">
        <v>815</v>
      </c>
      <c r="F519" s="7" t="s">
        <v>816</v>
      </c>
    </row>
    <row r="520">
      <c r="A520" s="7" t="s">
        <v>608</v>
      </c>
      <c r="B520" s="8">
        <v>5.0</v>
      </c>
      <c r="C520" s="7" t="s">
        <v>813</v>
      </c>
      <c r="D520" s="7" t="s">
        <v>814</v>
      </c>
      <c r="E520" s="7" t="s">
        <v>815</v>
      </c>
      <c r="F520" s="7" t="s">
        <v>816</v>
      </c>
    </row>
    <row r="521">
      <c r="A521" s="7" t="s">
        <v>609</v>
      </c>
      <c r="B521" s="8">
        <v>5.0</v>
      </c>
      <c r="C521" s="7" t="s">
        <v>813</v>
      </c>
      <c r="D521" s="7" t="s">
        <v>814</v>
      </c>
      <c r="E521" s="7" t="s">
        <v>815</v>
      </c>
      <c r="F521" s="7" t="s">
        <v>816</v>
      </c>
    </row>
    <row r="522">
      <c r="A522" s="7" t="s">
        <v>15</v>
      </c>
      <c r="B522" s="8">
        <v>5.0</v>
      </c>
      <c r="C522" s="7" t="s">
        <v>813</v>
      </c>
      <c r="D522" s="7" t="s">
        <v>814</v>
      </c>
      <c r="E522" s="7" t="s">
        <v>815</v>
      </c>
      <c r="F522" s="7" t="s">
        <v>816</v>
      </c>
    </row>
    <row r="523">
      <c r="A523" s="7" t="s">
        <v>610</v>
      </c>
      <c r="B523" s="8">
        <v>5.0</v>
      </c>
      <c r="C523" s="7" t="s">
        <v>813</v>
      </c>
      <c r="D523" s="7" t="s">
        <v>814</v>
      </c>
      <c r="E523" s="7" t="s">
        <v>815</v>
      </c>
      <c r="F523" s="7" t="s">
        <v>816</v>
      </c>
    </row>
    <row r="524">
      <c r="A524" s="7" t="s">
        <v>16</v>
      </c>
      <c r="B524" s="8">
        <v>5.0</v>
      </c>
      <c r="C524" s="7" t="s">
        <v>813</v>
      </c>
      <c r="D524" s="7" t="s">
        <v>814</v>
      </c>
      <c r="E524" s="7" t="s">
        <v>815</v>
      </c>
      <c r="F524" s="7" t="s">
        <v>816</v>
      </c>
    </row>
    <row r="525">
      <c r="A525" s="7" t="s">
        <v>611</v>
      </c>
      <c r="B525" s="8">
        <v>5.0</v>
      </c>
      <c r="C525" s="7" t="s">
        <v>813</v>
      </c>
      <c r="D525" s="7" t="s">
        <v>814</v>
      </c>
      <c r="E525" s="7" t="s">
        <v>815</v>
      </c>
      <c r="F525" s="7" t="s">
        <v>816</v>
      </c>
    </row>
    <row r="526">
      <c r="A526" s="7" t="s">
        <v>612</v>
      </c>
      <c r="B526" s="8">
        <v>5.0</v>
      </c>
      <c r="C526" s="7" t="s">
        <v>813</v>
      </c>
      <c r="D526" s="7" t="s">
        <v>814</v>
      </c>
      <c r="E526" s="7" t="s">
        <v>815</v>
      </c>
      <c r="F526" s="7" t="s">
        <v>816</v>
      </c>
    </row>
    <row r="527">
      <c r="A527" s="7" t="s">
        <v>18</v>
      </c>
      <c r="B527" s="8">
        <v>5.0</v>
      </c>
      <c r="C527" s="7" t="s">
        <v>813</v>
      </c>
      <c r="D527" s="7" t="s">
        <v>814</v>
      </c>
      <c r="E527" s="7" t="s">
        <v>815</v>
      </c>
      <c r="F527" s="7" t="s">
        <v>816</v>
      </c>
    </row>
    <row r="528">
      <c r="A528" s="7" t="s">
        <v>19</v>
      </c>
      <c r="B528" s="8">
        <v>5.0</v>
      </c>
      <c r="C528" s="7" t="s">
        <v>813</v>
      </c>
      <c r="D528" s="7" t="s">
        <v>814</v>
      </c>
      <c r="E528" s="7" t="s">
        <v>815</v>
      </c>
      <c r="F528" s="7" t="s">
        <v>816</v>
      </c>
    </row>
    <row r="529">
      <c r="A529" s="7" t="s">
        <v>596</v>
      </c>
      <c r="B529" s="8">
        <v>5.0</v>
      </c>
      <c r="C529" s="7" t="s">
        <v>295</v>
      </c>
      <c r="D529" s="7" t="s">
        <v>818</v>
      </c>
      <c r="E529" s="7" t="s">
        <v>819</v>
      </c>
      <c r="F529" s="7" t="s">
        <v>862</v>
      </c>
    </row>
    <row r="530">
      <c r="A530" s="7" t="s">
        <v>597</v>
      </c>
      <c r="B530" s="8">
        <v>5.0</v>
      </c>
      <c r="C530" s="7" t="s">
        <v>295</v>
      </c>
      <c r="D530" s="7" t="s">
        <v>818</v>
      </c>
      <c r="E530" s="7" t="s">
        <v>819</v>
      </c>
      <c r="F530" s="7" t="s">
        <v>863</v>
      </c>
    </row>
    <row r="531">
      <c r="A531" s="7" t="s">
        <v>598</v>
      </c>
      <c r="B531" s="8">
        <v>5.0</v>
      </c>
      <c r="C531" s="7" t="s">
        <v>295</v>
      </c>
      <c r="D531" s="7" t="s">
        <v>818</v>
      </c>
      <c r="E531" s="7" t="s">
        <v>819</v>
      </c>
      <c r="F531" s="7" t="s">
        <v>864</v>
      </c>
    </row>
    <row r="532">
      <c r="A532" s="7" t="s">
        <v>599</v>
      </c>
      <c r="B532" s="8">
        <v>5.0</v>
      </c>
      <c r="C532" s="7" t="s">
        <v>295</v>
      </c>
      <c r="D532" s="7" t="s">
        <v>818</v>
      </c>
      <c r="E532" s="7" t="s">
        <v>819</v>
      </c>
      <c r="F532" s="7" t="s">
        <v>862</v>
      </c>
    </row>
    <row r="533">
      <c r="A533" s="7" t="s">
        <v>600</v>
      </c>
      <c r="B533" s="8">
        <v>5.0</v>
      </c>
      <c r="C533" s="7" t="s">
        <v>295</v>
      </c>
      <c r="D533" s="7" t="s">
        <v>818</v>
      </c>
      <c r="E533" s="7" t="s">
        <v>819</v>
      </c>
      <c r="F533" s="7" t="s">
        <v>865</v>
      </c>
    </row>
    <row r="534">
      <c r="A534" s="7" t="s">
        <v>601</v>
      </c>
      <c r="B534" s="8">
        <v>5.0</v>
      </c>
      <c r="C534" s="7" t="s">
        <v>295</v>
      </c>
      <c r="D534" s="7" t="s">
        <v>818</v>
      </c>
      <c r="E534" s="7" t="s">
        <v>819</v>
      </c>
      <c r="F534" s="7" t="s">
        <v>594</v>
      </c>
    </row>
    <row r="535">
      <c r="A535" s="7" t="s">
        <v>602</v>
      </c>
      <c r="B535" s="8">
        <v>5.0</v>
      </c>
      <c r="C535" s="7" t="s">
        <v>295</v>
      </c>
      <c r="D535" s="7" t="s">
        <v>818</v>
      </c>
      <c r="E535" s="7" t="s">
        <v>819</v>
      </c>
      <c r="F535" s="7" t="s">
        <v>384</v>
      </c>
    </row>
    <row r="536">
      <c r="A536" s="7" t="s">
        <v>603</v>
      </c>
      <c r="B536" s="8">
        <v>5.0</v>
      </c>
      <c r="C536" s="7" t="s">
        <v>295</v>
      </c>
      <c r="D536" s="7" t="s">
        <v>818</v>
      </c>
      <c r="E536" s="7" t="s">
        <v>819</v>
      </c>
      <c r="F536" s="7" t="s">
        <v>862</v>
      </c>
    </row>
    <row r="537">
      <c r="A537" s="7" t="s">
        <v>604</v>
      </c>
      <c r="B537" s="8">
        <v>5.0</v>
      </c>
      <c r="C537" s="7" t="s">
        <v>295</v>
      </c>
      <c r="D537" s="7" t="s">
        <v>818</v>
      </c>
      <c r="E537" s="7" t="s">
        <v>819</v>
      </c>
      <c r="F537" s="7" t="s">
        <v>864</v>
      </c>
    </row>
    <row r="538">
      <c r="A538" s="7" t="s">
        <v>605</v>
      </c>
      <c r="B538" s="8">
        <v>5.0</v>
      </c>
      <c r="C538" s="7" t="s">
        <v>295</v>
      </c>
      <c r="D538" s="7" t="s">
        <v>818</v>
      </c>
      <c r="E538" s="7" t="s">
        <v>819</v>
      </c>
      <c r="F538" s="7" t="s">
        <v>863</v>
      </c>
    </row>
    <row r="539">
      <c r="A539" s="7" t="s">
        <v>606</v>
      </c>
      <c r="B539" s="8">
        <v>5.0</v>
      </c>
      <c r="C539" s="7" t="s">
        <v>295</v>
      </c>
      <c r="D539" s="7" t="s">
        <v>818</v>
      </c>
      <c r="E539" s="7" t="s">
        <v>819</v>
      </c>
      <c r="F539" s="7" t="s">
        <v>864</v>
      </c>
    </row>
    <row r="540">
      <c r="A540" s="7" t="s">
        <v>11</v>
      </c>
      <c r="B540" s="8">
        <v>5.0</v>
      </c>
      <c r="C540" s="7" t="s">
        <v>295</v>
      </c>
      <c r="D540" s="7" t="s">
        <v>818</v>
      </c>
      <c r="E540" s="7" t="s">
        <v>819</v>
      </c>
      <c r="F540" s="7" t="s">
        <v>863</v>
      </c>
    </row>
    <row r="541">
      <c r="A541" s="7" t="s">
        <v>607</v>
      </c>
      <c r="B541" s="8">
        <v>5.0</v>
      </c>
      <c r="C541" s="7" t="s">
        <v>295</v>
      </c>
      <c r="D541" s="7" t="s">
        <v>818</v>
      </c>
      <c r="E541" s="7" t="s">
        <v>819</v>
      </c>
      <c r="F541" s="7" t="s">
        <v>863</v>
      </c>
    </row>
    <row r="542">
      <c r="A542" s="7" t="s">
        <v>608</v>
      </c>
      <c r="B542" s="8">
        <v>5.0</v>
      </c>
      <c r="C542" s="7" t="s">
        <v>295</v>
      </c>
      <c r="D542" s="7" t="s">
        <v>818</v>
      </c>
      <c r="E542" s="7" t="s">
        <v>819</v>
      </c>
      <c r="F542" s="7" t="s">
        <v>864</v>
      </c>
    </row>
    <row r="543">
      <c r="A543" s="7" t="s">
        <v>609</v>
      </c>
      <c r="B543" s="8">
        <v>5.0</v>
      </c>
      <c r="C543" s="7" t="s">
        <v>295</v>
      </c>
      <c r="D543" s="7" t="s">
        <v>818</v>
      </c>
      <c r="E543" s="7" t="s">
        <v>819</v>
      </c>
      <c r="F543" s="7" t="s">
        <v>384</v>
      </c>
    </row>
    <row r="544">
      <c r="A544" s="7" t="s">
        <v>15</v>
      </c>
      <c r="B544" s="8">
        <v>5.0</v>
      </c>
      <c r="C544" s="7" t="s">
        <v>295</v>
      </c>
      <c r="D544" s="7" t="s">
        <v>818</v>
      </c>
      <c r="E544" s="7" t="s">
        <v>819</v>
      </c>
      <c r="F544" s="7" t="s">
        <v>863</v>
      </c>
    </row>
    <row r="545">
      <c r="A545" s="7" t="s">
        <v>610</v>
      </c>
      <c r="B545" s="8">
        <v>5.0</v>
      </c>
      <c r="C545" s="7" t="s">
        <v>295</v>
      </c>
      <c r="D545" s="7" t="s">
        <v>818</v>
      </c>
      <c r="E545" s="7" t="s">
        <v>819</v>
      </c>
      <c r="F545" s="7" t="s">
        <v>865</v>
      </c>
    </row>
    <row r="546">
      <c r="A546" s="7" t="s">
        <v>16</v>
      </c>
      <c r="B546" s="8">
        <v>5.0</v>
      </c>
      <c r="C546" s="7" t="s">
        <v>295</v>
      </c>
      <c r="D546" s="7" t="s">
        <v>818</v>
      </c>
      <c r="E546" s="7" t="s">
        <v>819</v>
      </c>
      <c r="F546" s="7" t="s">
        <v>865</v>
      </c>
    </row>
    <row r="547">
      <c r="A547" s="7" t="s">
        <v>611</v>
      </c>
      <c r="B547" s="8">
        <v>5.0</v>
      </c>
      <c r="C547" s="7" t="s">
        <v>295</v>
      </c>
      <c r="D547" s="7" t="s">
        <v>818</v>
      </c>
      <c r="E547" s="7" t="s">
        <v>819</v>
      </c>
      <c r="F547" s="7" t="s">
        <v>865</v>
      </c>
    </row>
    <row r="548">
      <c r="A548" s="7" t="s">
        <v>612</v>
      </c>
      <c r="B548" s="8">
        <v>5.0</v>
      </c>
      <c r="C548" s="7" t="s">
        <v>295</v>
      </c>
      <c r="D548" s="7" t="s">
        <v>818</v>
      </c>
      <c r="E548" s="7" t="s">
        <v>819</v>
      </c>
      <c r="F548" s="7" t="s">
        <v>864</v>
      </c>
    </row>
    <row r="549">
      <c r="A549" s="7" t="s">
        <v>18</v>
      </c>
      <c r="B549" s="8">
        <v>5.0</v>
      </c>
      <c r="C549" s="7" t="s">
        <v>295</v>
      </c>
      <c r="D549" s="7" t="s">
        <v>818</v>
      </c>
      <c r="E549" s="7" t="s">
        <v>819</v>
      </c>
      <c r="F549" s="7" t="s">
        <v>864</v>
      </c>
    </row>
    <row r="550">
      <c r="A550" s="7" t="s">
        <v>19</v>
      </c>
      <c r="B550" s="8">
        <v>5.0</v>
      </c>
      <c r="C550" s="7" t="s">
        <v>295</v>
      </c>
      <c r="D550" s="7" t="s">
        <v>818</v>
      </c>
      <c r="E550" s="7" t="s">
        <v>819</v>
      </c>
      <c r="F550" s="7" t="s">
        <v>594</v>
      </c>
    </row>
    <row r="551">
      <c r="A551" s="7" t="s">
        <v>596</v>
      </c>
      <c r="B551" s="8">
        <v>5.0</v>
      </c>
      <c r="C551" s="7" t="s">
        <v>309</v>
      </c>
      <c r="D551" s="7" t="s">
        <v>310</v>
      </c>
      <c r="E551" s="7" t="s">
        <v>820</v>
      </c>
      <c r="F551" s="7" t="s">
        <v>821</v>
      </c>
    </row>
    <row r="552">
      <c r="A552" s="7" t="s">
        <v>597</v>
      </c>
      <c r="B552" s="8">
        <v>5.0</v>
      </c>
      <c r="C552" s="7" t="s">
        <v>309</v>
      </c>
      <c r="D552" s="7" t="s">
        <v>310</v>
      </c>
      <c r="E552" s="7" t="s">
        <v>820</v>
      </c>
      <c r="F552" s="7" t="s">
        <v>238</v>
      </c>
    </row>
    <row r="553">
      <c r="A553" s="7" t="s">
        <v>598</v>
      </c>
      <c r="B553" s="8">
        <v>5.0</v>
      </c>
      <c r="C553" s="7" t="s">
        <v>309</v>
      </c>
      <c r="D553" s="7" t="s">
        <v>310</v>
      </c>
      <c r="E553" s="7" t="s">
        <v>820</v>
      </c>
      <c r="F553" s="7" t="s">
        <v>271</v>
      </c>
    </row>
    <row r="554">
      <c r="A554" s="7" t="s">
        <v>599</v>
      </c>
      <c r="B554" s="8">
        <v>5.0</v>
      </c>
      <c r="C554" s="7" t="s">
        <v>309</v>
      </c>
      <c r="D554" s="7" t="s">
        <v>310</v>
      </c>
      <c r="E554" s="7" t="s">
        <v>820</v>
      </c>
      <c r="F554" s="7" t="s">
        <v>238</v>
      </c>
    </row>
    <row r="555">
      <c r="A555" s="7" t="s">
        <v>600</v>
      </c>
      <c r="B555" s="8">
        <v>5.0</v>
      </c>
      <c r="C555" s="7" t="s">
        <v>309</v>
      </c>
      <c r="D555" s="7" t="s">
        <v>310</v>
      </c>
      <c r="E555" s="7" t="s">
        <v>820</v>
      </c>
      <c r="F555" s="7" t="s">
        <v>768</v>
      </c>
    </row>
    <row r="556">
      <c r="A556" s="7" t="s">
        <v>601</v>
      </c>
      <c r="B556" s="8">
        <v>5.0</v>
      </c>
      <c r="C556" s="7" t="s">
        <v>309</v>
      </c>
      <c r="D556" s="7" t="s">
        <v>310</v>
      </c>
      <c r="E556" s="7" t="s">
        <v>820</v>
      </c>
      <c r="F556" s="7" t="s">
        <v>238</v>
      </c>
    </row>
    <row r="557">
      <c r="A557" s="7" t="s">
        <v>602</v>
      </c>
      <c r="B557" s="8">
        <v>5.0</v>
      </c>
      <c r="C557" s="7" t="s">
        <v>309</v>
      </c>
      <c r="D557" s="7" t="s">
        <v>310</v>
      </c>
      <c r="E557" s="7" t="s">
        <v>820</v>
      </c>
      <c r="F557" s="7" t="s">
        <v>238</v>
      </c>
    </row>
    <row r="558">
      <c r="A558" s="7" t="s">
        <v>603</v>
      </c>
      <c r="B558" s="8">
        <v>5.0</v>
      </c>
      <c r="C558" s="7" t="s">
        <v>309</v>
      </c>
      <c r="D558" s="7" t="s">
        <v>310</v>
      </c>
      <c r="E558" s="7" t="s">
        <v>820</v>
      </c>
      <c r="F558" s="7" t="s">
        <v>238</v>
      </c>
    </row>
    <row r="559">
      <c r="A559" s="7" t="s">
        <v>604</v>
      </c>
      <c r="B559" s="8">
        <v>5.0</v>
      </c>
      <c r="C559" s="7" t="s">
        <v>309</v>
      </c>
      <c r="D559" s="7" t="s">
        <v>310</v>
      </c>
      <c r="E559" s="7" t="s">
        <v>820</v>
      </c>
      <c r="F559" s="7" t="s">
        <v>770</v>
      </c>
    </row>
    <row r="560">
      <c r="A560" s="7" t="s">
        <v>605</v>
      </c>
      <c r="B560" s="8">
        <v>5.0</v>
      </c>
      <c r="C560" s="7" t="s">
        <v>309</v>
      </c>
      <c r="D560" s="7" t="s">
        <v>310</v>
      </c>
      <c r="E560" s="7" t="s">
        <v>820</v>
      </c>
      <c r="F560" s="7" t="s">
        <v>238</v>
      </c>
    </row>
    <row r="561">
      <c r="A561" s="7" t="s">
        <v>606</v>
      </c>
      <c r="B561" s="8">
        <v>5.0</v>
      </c>
      <c r="C561" s="7" t="s">
        <v>309</v>
      </c>
      <c r="D561" s="7" t="s">
        <v>310</v>
      </c>
      <c r="E561" s="7" t="s">
        <v>820</v>
      </c>
      <c r="F561" s="7" t="s">
        <v>238</v>
      </c>
    </row>
    <row r="562">
      <c r="A562" s="7" t="s">
        <v>11</v>
      </c>
      <c r="B562" s="8">
        <v>5.0</v>
      </c>
      <c r="C562" s="7" t="s">
        <v>309</v>
      </c>
      <c r="D562" s="7" t="s">
        <v>310</v>
      </c>
      <c r="E562" s="7" t="s">
        <v>820</v>
      </c>
      <c r="F562" s="7" t="s">
        <v>771</v>
      </c>
    </row>
    <row r="563">
      <c r="A563" s="7" t="s">
        <v>607</v>
      </c>
      <c r="B563" s="8">
        <v>5.0</v>
      </c>
      <c r="C563" s="7" t="s">
        <v>309</v>
      </c>
      <c r="D563" s="7" t="s">
        <v>310</v>
      </c>
      <c r="E563" s="7" t="s">
        <v>820</v>
      </c>
      <c r="F563" s="7" t="s">
        <v>271</v>
      </c>
    </row>
    <row r="564">
      <c r="A564" s="7" t="s">
        <v>608</v>
      </c>
      <c r="B564" s="8">
        <v>5.0</v>
      </c>
      <c r="C564" s="7" t="s">
        <v>309</v>
      </c>
      <c r="D564" s="7" t="s">
        <v>310</v>
      </c>
      <c r="E564" s="7" t="s">
        <v>820</v>
      </c>
      <c r="F564" s="7" t="s">
        <v>273</v>
      </c>
    </row>
    <row r="565">
      <c r="A565" s="7" t="s">
        <v>609</v>
      </c>
      <c r="B565" s="8">
        <v>5.0</v>
      </c>
      <c r="C565" s="7" t="s">
        <v>309</v>
      </c>
      <c r="D565" s="7" t="s">
        <v>310</v>
      </c>
      <c r="E565" s="7" t="s">
        <v>820</v>
      </c>
      <c r="F565" s="7" t="s">
        <v>238</v>
      </c>
    </row>
    <row r="566">
      <c r="A566" s="7" t="s">
        <v>15</v>
      </c>
      <c r="B566" s="8">
        <v>5.0</v>
      </c>
      <c r="C566" s="7" t="s">
        <v>309</v>
      </c>
      <c r="D566" s="7" t="s">
        <v>310</v>
      </c>
      <c r="E566" s="7" t="s">
        <v>820</v>
      </c>
      <c r="F566" s="7" t="s">
        <v>238</v>
      </c>
    </row>
    <row r="567">
      <c r="A567" s="7" t="s">
        <v>610</v>
      </c>
      <c r="B567" s="8">
        <v>5.0</v>
      </c>
      <c r="C567" s="7" t="s">
        <v>309</v>
      </c>
      <c r="D567" s="7" t="s">
        <v>310</v>
      </c>
      <c r="E567" s="7" t="s">
        <v>820</v>
      </c>
      <c r="F567" s="7" t="s">
        <v>238</v>
      </c>
    </row>
    <row r="568">
      <c r="A568" s="7" t="s">
        <v>16</v>
      </c>
      <c r="B568" s="8">
        <v>5.0</v>
      </c>
      <c r="C568" s="7" t="s">
        <v>309</v>
      </c>
      <c r="D568" s="7" t="s">
        <v>310</v>
      </c>
      <c r="E568" s="7" t="s">
        <v>820</v>
      </c>
      <c r="F568" s="7" t="s">
        <v>238</v>
      </c>
    </row>
    <row r="569">
      <c r="A569" s="7" t="s">
        <v>611</v>
      </c>
      <c r="B569" s="8">
        <v>5.0</v>
      </c>
      <c r="C569" s="7" t="s">
        <v>309</v>
      </c>
      <c r="D569" s="7" t="s">
        <v>310</v>
      </c>
      <c r="E569" s="7" t="s">
        <v>820</v>
      </c>
      <c r="F569" s="7" t="s">
        <v>772</v>
      </c>
    </row>
    <row r="570">
      <c r="A570" s="7" t="s">
        <v>612</v>
      </c>
      <c r="B570" s="8">
        <v>5.0</v>
      </c>
      <c r="C570" s="7" t="s">
        <v>309</v>
      </c>
      <c r="D570" s="7" t="s">
        <v>310</v>
      </c>
      <c r="E570" s="7" t="s">
        <v>820</v>
      </c>
      <c r="F570" s="7" t="s">
        <v>238</v>
      </c>
    </row>
    <row r="571">
      <c r="A571" s="7" t="s">
        <v>18</v>
      </c>
      <c r="B571" s="8">
        <v>5.0</v>
      </c>
      <c r="C571" s="7" t="s">
        <v>309</v>
      </c>
      <c r="D571" s="7" t="s">
        <v>310</v>
      </c>
      <c r="E571" s="7" t="s">
        <v>820</v>
      </c>
      <c r="F571" s="7" t="s">
        <v>238</v>
      </c>
    </row>
    <row r="572">
      <c r="A572" s="7" t="s">
        <v>19</v>
      </c>
      <c r="B572" s="8">
        <v>5.0</v>
      </c>
      <c r="C572" s="7" t="s">
        <v>309</v>
      </c>
      <c r="D572" s="7" t="s">
        <v>310</v>
      </c>
      <c r="E572" s="7" t="s">
        <v>820</v>
      </c>
      <c r="F572" s="7" t="s">
        <v>238</v>
      </c>
    </row>
    <row r="573">
      <c r="A573" s="7" t="s">
        <v>596</v>
      </c>
      <c r="B573" s="8">
        <v>5.0</v>
      </c>
      <c r="C573" s="7" t="s">
        <v>314</v>
      </c>
      <c r="D573" s="7" t="s">
        <v>315</v>
      </c>
      <c r="E573" s="7" t="s">
        <v>822</v>
      </c>
      <c r="F573" s="7" t="s">
        <v>823</v>
      </c>
    </row>
    <row r="574">
      <c r="A574" s="7" t="s">
        <v>597</v>
      </c>
      <c r="B574" s="8">
        <v>5.0</v>
      </c>
      <c r="C574" s="7" t="s">
        <v>314</v>
      </c>
      <c r="D574" s="7" t="s">
        <v>315</v>
      </c>
      <c r="E574" s="7" t="s">
        <v>822</v>
      </c>
      <c r="F574" s="7" t="s">
        <v>780</v>
      </c>
    </row>
    <row r="575">
      <c r="A575" s="7" t="s">
        <v>598</v>
      </c>
      <c r="B575" s="8">
        <v>5.0</v>
      </c>
      <c r="C575" s="7" t="s">
        <v>314</v>
      </c>
      <c r="D575" s="7" t="s">
        <v>315</v>
      </c>
      <c r="E575" s="7" t="s">
        <v>822</v>
      </c>
      <c r="F575" s="7" t="s">
        <v>780</v>
      </c>
    </row>
    <row r="576">
      <c r="A576" s="7" t="s">
        <v>599</v>
      </c>
      <c r="B576" s="8">
        <v>5.0</v>
      </c>
      <c r="C576" s="7" t="s">
        <v>314</v>
      </c>
      <c r="D576" s="7" t="s">
        <v>315</v>
      </c>
      <c r="E576" s="7" t="s">
        <v>822</v>
      </c>
      <c r="F576" s="7" t="s">
        <v>780</v>
      </c>
    </row>
    <row r="577">
      <c r="A577" s="7" t="s">
        <v>600</v>
      </c>
      <c r="B577" s="8">
        <v>5.0</v>
      </c>
      <c r="C577" s="7" t="s">
        <v>314</v>
      </c>
      <c r="D577" s="7" t="s">
        <v>315</v>
      </c>
      <c r="E577" s="7" t="s">
        <v>822</v>
      </c>
      <c r="F577" s="7" t="s">
        <v>782</v>
      </c>
    </row>
    <row r="578">
      <c r="A578" s="7" t="s">
        <v>601</v>
      </c>
      <c r="B578" s="8">
        <v>5.0</v>
      </c>
      <c r="C578" s="7" t="s">
        <v>314</v>
      </c>
      <c r="D578" s="7" t="s">
        <v>315</v>
      </c>
      <c r="E578" s="7" t="s">
        <v>822</v>
      </c>
      <c r="F578" s="7" t="s">
        <v>824</v>
      </c>
    </row>
    <row r="579">
      <c r="A579" s="7" t="s">
        <v>602</v>
      </c>
      <c r="B579" s="8">
        <v>5.0</v>
      </c>
      <c r="C579" s="7" t="s">
        <v>314</v>
      </c>
      <c r="D579" s="7" t="s">
        <v>315</v>
      </c>
      <c r="E579" s="7" t="s">
        <v>822</v>
      </c>
      <c r="F579" s="7" t="s">
        <v>780</v>
      </c>
    </row>
    <row r="580">
      <c r="A580" s="7" t="s">
        <v>603</v>
      </c>
      <c r="B580" s="8">
        <v>5.0</v>
      </c>
      <c r="C580" s="7" t="s">
        <v>314</v>
      </c>
      <c r="D580" s="7" t="s">
        <v>315</v>
      </c>
      <c r="E580" s="7" t="s">
        <v>822</v>
      </c>
      <c r="F580" s="7" t="s">
        <v>784</v>
      </c>
    </row>
    <row r="581">
      <c r="A581" s="7" t="s">
        <v>604</v>
      </c>
      <c r="B581" s="8">
        <v>5.0</v>
      </c>
      <c r="C581" s="7" t="s">
        <v>314</v>
      </c>
      <c r="D581" s="7" t="s">
        <v>315</v>
      </c>
      <c r="E581" s="7" t="s">
        <v>822</v>
      </c>
      <c r="F581" s="7" t="s">
        <v>785</v>
      </c>
    </row>
    <row r="582">
      <c r="A582" s="7" t="s">
        <v>605</v>
      </c>
      <c r="B582" s="8">
        <v>5.0</v>
      </c>
      <c r="C582" s="7" t="s">
        <v>314</v>
      </c>
      <c r="D582" s="7" t="s">
        <v>315</v>
      </c>
      <c r="E582" s="7" t="s">
        <v>822</v>
      </c>
      <c r="F582" s="7" t="s">
        <v>780</v>
      </c>
    </row>
    <row r="583">
      <c r="A583" s="7" t="s">
        <v>606</v>
      </c>
      <c r="B583" s="8">
        <v>5.0</v>
      </c>
      <c r="C583" s="7" t="s">
        <v>314</v>
      </c>
      <c r="D583" s="7" t="s">
        <v>315</v>
      </c>
      <c r="E583" s="7" t="s">
        <v>822</v>
      </c>
      <c r="F583" s="7" t="s">
        <v>780</v>
      </c>
    </row>
    <row r="584">
      <c r="A584" s="7" t="s">
        <v>11</v>
      </c>
      <c r="B584" s="8">
        <v>5.0</v>
      </c>
      <c r="C584" s="7" t="s">
        <v>314</v>
      </c>
      <c r="D584" s="7" t="s">
        <v>315</v>
      </c>
      <c r="E584" s="7" t="s">
        <v>822</v>
      </c>
      <c r="F584" s="7" t="s">
        <v>825</v>
      </c>
    </row>
    <row r="585">
      <c r="A585" s="7" t="s">
        <v>607</v>
      </c>
      <c r="B585" s="8">
        <v>5.0</v>
      </c>
      <c r="C585" s="7" t="s">
        <v>314</v>
      </c>
      <c r="D585" s="7" t="s">
        <v>315</v>
      </c>
      <c r="E585" s="7" t="s">
        <v>822</v>
      </c>
      <c r="F585" s="7" t="s">
        <v>787</v>
      </c>
    </row>
    <row r="586">
      <c r="A586" s="7" t="s">
        <v>608</v>
      </c>
      <c r="B586" s="8">
        <v>5.0</v>
      </c>
      <c r="C586" s="7" t="s">
        <v>314</v>
      </c>
      <c r="D586" s="7" t="s">
        <v>315</v>
      </c>
      <c r="E586" s="7" t="s">
        <v>822</v>
      </c>
      <c r="F586" s="7" t="s">
        <v>780</v>
      </c>
    </row>
    <row r="587">
      <c r="A587" s="7" t="s">
        <v>609</v>
      </c>
      <c r="B587" s="8">
        <v>5.0</v>
      </c>
      <c r="C587" s="7" t="s">
        <v>314</v>
      </c>
      <c r="D587" s="7" t="s">
        <v>315</v>
      </c>
      <c r="E587" s="7" t="s">
        <v>822</v>
      </c>
      <c r="F587" s="7" t="s">
        <v>780</v>
      </c>
    </row>
    <row r="588">
      <c r="A588" s="7" t="s">
        <v>15</v>
      </c>
      <c r="B588" s="8">
        <v>5.0</v>
      </c>
      <c r="C588" s="7" t="s">
        <v>314</v>
      </c>
      <c r="D588" s="7" t="s">
        <v>315</v>
      </c>
      <c r="E588" s="7" t="s">
        <v>822</v>
      </c>
      <c r="F588" s="7" t="s">
        <v>780</v>
      </c>
    </row>
    <row r="589">
      <c r="A589" s="7" t="s">
        <v>610</v>
      </c>
      <c r="B589" s="8">
        <v>5.0</v>
      </c>
      <c r="C589" s="7" t="s">
        <v>314</v>
      </c>
      <c r="D589" s="7" t="s">
        <v>315</v>
      </c>
      <c r="E589" s="7" t="s">
        <v>822</v>
      </c>
      <c r="F589" s="7" t="s">
        <v>780</v>
      </c>
    </row>
    <row r="590">
      <c r="A590" s="7" t="s">
        <v>16</v>
      </c>
      <c r="B590" s="8">
        <v>5.0</v>
      </c>
      <c r="C590" s="7" t="s">
        <v>314</v>
      </c>
      <c r="D590" s="7" t="s">
        <v>315</v>
      </c>
      <c r="E590" s="7" t="s">
        <v>822</v>
      </c>
      <c r="F590" s="7" t="s">
        <v>780</v>
      </c>
    </row>
    <row r="591">
      <c r="A591" s="7" t="s">
        <v>611</v>
      </c>
      <c r="B591" s="8">
        <v>5.0</v>
      </c>
      <c r="C591" s="7" t="s">
        <v>314</v>
      </c>
      <c r="D591" s="7" t="s">
        <v>315</v>
      </c>
      <c r="E591" s="7" t="s">
        <v>822</v>
      </c>
      <c r="F591" s="7" t="s">
        <v>780</v>
      </c>
    </row>
    <row r="592">
      <c r="A592" s="7" t="s">
        <v>612</v>
      </c>
      <c r="B592" s="8">
        <v>5.0</v>
      </c>
      <c r="C592" s="7" t="s">
        <v>314</v>
      </c>
      <c r="D592" s="7" t="s">
        <v>315</v>
      </c>
      <c r="E592" s="7" t="s">
        <v>822</v>
      </c>
      <c r="F592" s="7" t="s">
        <v>780</v>
      </c>
    </row>
    <row r="593">
      <c r="A593" s="7" t="s">
        <v>18</v>
      </c>
      <c r="B593" s="8">
        <v>5.0</v>
      </c>
      <c r="C593" s="7" t="s">
        <v>314</v>
      </c>
      <c r="D593" s="7" t="s">
        <v>315</v>
      </c>
      <c r="E593" s="7" t="s">
        <v>822</v>
      </c>
      <c r="F593" s="7" t="s">
        <v>780</v>
      </c>
    </row>
    <row r="594">
      <c r="A594" s="7" t="s">
        <v>19</v>
      </c>
      <c r="B594" s="8">
        <v>5.0</v>
      </c>
      <c r="C594" s="7" t="s">
        <v>314</v>
      </c>
      <c r="D594" s="7" t="s">
        <v>315</v>
      </c>
      <c r="E594" s="7" t="s">
        <v>822</v>
      </c>
      <c r="F594" s="7" t="s">
        <v>780</v>
      </c>
    </row>
    <row r="595">
      <c r="A595" s="7" t="s">
        <v>596</v>
      </c>
      <c r="B595" s="8">
        <v>5.0</v>
      </c>
      <c r="C595" s="7" t="s">
        <v>826</v>
      </c>
      <c r="D595" s="7" t="s">
        <v>827</v>
      </c>
      <c r="E595" s="7" t="s">
        <v>828</v>
      </c>
      <c r="F595" s="7" t="s">
        <v>596</v>
      </c>
    </row>
    <row r="596">
      <c r="A596" s="7" t="s">
        <v>596</v>
      </c>
      <c r="B596" s="8">
        <v>5.0</v>
      </c>
      <c r="C596" s="7" t="s">
        <v>829</v>
      </c>
      <c r="D596" s="7" t="s">
        <v>830</v>
      </c>
      <c r="E596" s="7" t="s">
        <v>831</v>
      </c>
      <c r="F596" s="7" t="s">
        <v>832</v>
      </c>
    </row>
    <row r="597">
      <c r="A597" s="7" t="s">
        <v>598</v>
      </c>
      <c r="B597" s="8">
        <v>5.0</v>
      </c>
      <c r="C597" s="7" t="s">
        <v>829</v>
      </c>
      <c r="D597" s="7" t="s">
        <v>830</v>
      </c>
      <c r="E597" s="7" t="s">
        <v>831</v>
      </c>
      <c r="F597" s="7" t="s">
        <v>833</v>
      </c>
    </row>
    <row r="598">
      <c r="A598" s="7" t="s">
        <v>596</v>
      </c>
      <c r="B598" s="8">
        <v>5.0</v>
      </c>
      <c r="C598" s="7" t="s">
        <v>122</v>
      </c>
      <c r="D598" s="7" t="s">
        <v>834</v>
      </c>
      <c r="E598" s="7" t="s">
        <v>835</v>
      </c>
      <c r="F598" s="7" t="s">
        <v>836</v>
      </c>
    </row>
    <row r="599">
      <c r="A599" s="7" t="s">
        <v>597</v>
      </c>
      <c r="B599" s="8">
        <v>5.0</v>
      </c>
      <c r="C599" s="7" t="s">
        <v>122</v>
      </c>
      <c r="D599" s="7" t="s">
        <v>834</v>
      </c>
      <c r="E599" s="7" t="s">
        <v>835</v>
      </c>
      <c r="F599" s="7" t="s">
        <v>566</v>
      </c>
    </row>
    <row r="600">
      <c r="A600" s="7" t="s">
        <v>598</v>
      </c>
      <c r="B600" s="8">
        <v>5.0</v>
      </c>
      <c r="C600" s="7" t="s">
        <v>122</v>
      </c>
      <c r="D600" s="7" t="s">
        <v>834</v>
      </c>
      <c r="E600" s="7" t="s">
        <v>835</v>
      </c>
      <c r="F600" s="7" t="s">
        <v>837</v>
      </c>
    </row>
    <row r="601">
      <c r="A601" s="7" t="s">
        <v>599</v>
      </c>
      <c r="B601" s="8">
        <v>5.0</v>
      </c>
      <c r="C601" s="7" t="s">
        <v>122</v>
      </c>
      <c r="D601" s="7" t="s">
        <v>834</v>
      </c>
      <c r="E601" s="7" t="s">
        <v>835</v>
      </c>
      <c r="F601" s="7" t="s">
        <v>838</v>
      </c>
    </row>
    <row r="602">
      <c r="A602" s="7" t="s">
        <v>596</v>
      </c>
      <c r="B602" s="8">
        <v>5.0</v>
      </c>
      <c r="C602" s="7" t="s">
        <v>139</v>
      </c>
      <c r="D602" s="7" t="s">
        <v>839</v>
      </c>
      <c r="E602" s="7" t="s">
        <v>840</v>
      </c>
      <c r="F602" s="7" t="s">
        <v>240</v>
      </c>
    </row>
    <row r="603">
      <c r="A603" s="7" t="s">
        <v>597</v>
      </c>
      <c r="B603" s="8">
        <v>5.0</v>
      </c>
      <c r="C603" s="7" t="s">
        <v>139</v>
      </c>
      <c r="D603" s="7" t="s">
        <v>839</v>
      </c>
      <c r="E603" s="7" t="s">
        <v>840</v>
      </c>
      <c r="F603" s="7" t="s">
        <v>142</v>
      </c>
    </row>
    <row r="604">
      <c r="A604" s="7" t="s">
        <v>598</v>
      </c>
      <c r="B604" s="8">
        <v>5.0</v>
      </c>
      <c r="C604" s="7" t="s">
        <v>139</v>
      </c>
      <c r="D604" s="7" t="s">
        <v>839</v>
      </c>
      <c r="E604" s="7" t="s">
        <v>840</v>
      </c>
      <c r="F604" s="7" t="s">
        <v>841</v>
      </c>
    </row>
    <row r="605">
      <c r="A605" s="7" t="s">
        <v>599</v>
      </c>
      <c r="B605" s="8">
        <v>5.0</v>
      </c>
      <c r="C605" s="7" t="s">
        <v>139</v>
      </c>
      <c r="D605" s="7" t="s">
        <v>839</v>
      </c>
      <c r="E605" s="7" t="s">
        <v>840</v>
      </c>
      <c r="F605" s="7" t="s">
        <v>142</v>
      </c>
    </row>
    <row r="606">
      <c r="A606" s="7" t="s">
        <v>596</v>
      </c>
      <c r="B606" s="8">
        <v>5.0</v>
      </c>
      <c r="C606" s="7" t="s">
        <v>162</v>
      </c>
      <c r="D606" s="7" t="s">
        <v>842</v>
      </c>
      <c r="E606" s="7" t="s">
        <v>843</v>
      </c>
      <c r="F606" s="7" t="s">
        <v>844</v>
      </c>
    </row>
    <row r="607">
      <c r="A607" s="7" t="s">
        <v>597</v>
      </c>
      <c r="B607" s="8">
        <v>5.0</v>
      </c>
      <c r="C607" s="7" t="s">
        <v>162</v>
      </c>
      <c r="D607" s="7" t="s">
        <v>842</v>
      </c>
      <c r="E607" s="7" t="s">
        <v>843</v>
      </c>
      <c r="F607" s="7" t="s">
        <v>845</v>
      </c>
    </row>
    <row r="608">
      <c r="A608" s="7" t="s">
        <v>598</v>
      </c>
      <c r="B608" s="8">
        <v>5.0</v>
      </c>
      <c r="C608" s="7" t="s">
        <v>162</v>
      </c>
      <c r="D608" s="7" t="s">
        <v>842</v>
      </c>
      <c r="E608" s="7" t="s">
        <v>843</v>
      </c>
      <c r="F608" s="7" t="s">
        <v>846</v>
      </c>
    </row>
    <row r="609">
      <c r="A609" s="7" t="s">
        <v>599</v>
      </c>
      <c r="B609" s="8">
        <v>5.0</v>
      </c>
      <c r="C609" s="7" t="s">
        <v>162</v>
      </c>
      <c r="D609" s="7" t="s">
        <v>842</v>
      </c>
      <c r="E609" s="7" t="s">
        <v>843</v>
      </c>
      <c r="F609" s="7" t="s">
        <v>847</v>
      </c>
    </row>
    <row r="610">
      <c r="A610" s="7" t="s">
        <v>598</v>
      </c>
      <c r="B610" s="8">
        <v>5.0</v>
      </c>
      <c r="C610" s="7" t="s">
        <v>347</v>
      </c>
      <c r="D610" s="7" t="s">
        <v>576</v>
      </c>
      <c r="E610" s="7" t="s">
        <v>848</v>
      </c>
      <c r="F610" s="7" t="s">
        <v>845</v>
      </c>
    </row>
    <row r="611">
      <c r="A611" s="7" t="s">
        <v>599</v>
      </c>
      <c r="B611" s="8">
        <v>5.0</v>
      </c>
      <c r="C611" s="7" t="s">
        <v>347</v>
      </c>
      <c r="D611" s="7" t="s">
        <v>576</v>
      </c>
      <c r="E611" s="7" t="s">
        <v>848</v>
      </c>
      <c r="F611" s="7" t="s">
        <v>849</v>
      </c>
    </row>
    <row r="612">
      <c r="A612" s="7" t="s">
        <v>596</v>
      </c>
      <c r="B612" s="8">
        <v>5.0</v>
      </c>
      <c r="C612" s="7" t="s">
        <v>354</v>
      </c>
      <c r="D612" s="7" t="s">
        <v>850</v>
      </c>
      <c r="E612" s="7" t="s">
        <v>851</v>
      </c>
      <c r="F612" s="7" t="s">
        <v>240</v>
      </c>
    </row>
    <row r="613">
      <c r="A613" s="7" t="s">
        <v>598</v>
      </c>
      <c r="B613" s="8">
        <v>5.0</v>
      </c>
      <c r="C613" s="7" t="s">
        <v>354</v>
      </c>
      <c r="D613" s="7" t="s">
        <v>850</v>
      </c>
      <c r="E613" s="7" t="s">
        <v>851</v>
      </c>
      <c r="F613" s="7" t="s">
        <v>841</v>
      </c>
    </row>
    <row r="614">
      <c r="A614" s="7" t="s">
        <v>596</v>
      </c>
      <c r="B614" s="8">
        <v>5.0</v>
      </c>
      <c r="C614" s="7" t="s">
        <v>590</v>
      </c>
      <c r="D614" s="7" t="s">
        <v>852</v>
      </c>
      <c r="E614" s="7" t="s">
        <v>853</v>
      </c>
      <c r="F614" s="7" t="s">
        <v>65</v>
      </c>
    </row>
    <row r="615">
      <c r="A615" s="7" t="s">
        <v>598</v>
      </c>
      <c r="B615" s="8">
        <v>5.0</v>
      </c>
      <c r="C615" s="7" t="s">
        <v>590</v>
      </c>
      <c r="D615" s="7" t="s">
        <v>852</v>
      </c>
      <c r="E615" s="7" t="s">
        <v>853</v>
      </c>
      <c r="F615" s="7" t="s">
        <v>232</v>
      </c>
    </row>
    <row r="616">
      <c r="A616" s="7" t="s">
        <v>599</v>
      </c>
      <c r="B616" s="8">
        <v>5.0</v>
      </c>
      <c r="C616" s="7" t="s">
        <v>590</v>
      </c>
      <c r="D616" s="7" t="s">
        <v>852</v>
      </c>
      <c r="E616" s="7" t="s">
        <v>853</v>
      </c>
      <c r="F616" s="7" t="s">
        <v>65</v>
      </c>
    </row>
    <row r="617">
      <c r="A617" s="7" t="s">
        <v>596</v>
      </c>
      <c r="B617" s="8">
        <v>5.0</v>
      </c>
      <c r="C617" s="7" t="s">
        <v>854</v>
      </c>
      <c r="D617" s="7" t="s">
        <v>855</v>
      </c>
      <c r="E617" s="7" t="s">
        <v>856</v>
      </c>
      <c r="F617" s="7" t="s">
        <v>857</v>
      </c>
    </row>
    <row r="618">
      <c r="A618" s="7" t="s">
        <v>596</v>
      </c>
      <c r="B618" s="8">
        <v>5.0</v>
      </c>
      <c r="C618" s="7" t="s">
        <v>367</v>
      </c>
      <c r="D618" s="7" t="s">
        <v>368</v>
      </c>
      <c r="E618" s="7" t="s">
        <v>858</v>
      </c>
      <c r="F618" s="7" t="s">
        <v>859</v>
      </c>
    </row>
    <row r="619">
      <c r="A619" s="7" t="s">
        <v>597</v>
      </c>
      <c r="B619" s="8">
        <v>5.0</v>
      </c>
      <c r="C619" s="7" t="s">
        <v>367</v>
      </c>
      <c r="D619" s="7" t="s">
        <v>368</v>
      </c>
      <c r="E619" s="7" t="s">
        <v>858</v>
      </c>
      <c r="F619" s="7" t="s">
        <v>860</v>
      </c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87.38"/>
    <col customWidth="1" min="5" max="40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9" t="s">
        <v>596</v>
      </c>
      <c r="F1" s="3" t="s">
        <v>188</v>
      </c>
      <c r="G1" s="3" t="s">
        <v>4</v>
      </c>
      <c r="H1" s="9" t="s">
        <v>386</v>
      </c>
      <c r="I1" s="9" t="s">
        <v>866</v>
      </c>
      <c r="J1" s="3" t="s">
        <v>5</v>
      </c>
      <c r="K1" s="3" t="s">
        <v>867</v>
      </c>
      <c r="L1" s="3" t="s">
        <v>868</v>
      </c>
      <c r="M1" s="9" t="s">
        <v>599</v>
      </c>
      <c r="N1" s="3" t="s">
        <v>869</v>
      </c>
      <c r="O1" s="3" t="s">
        <v>870</v>
      </c>
      <c r="P1" s="3" t="s">
        <v>6</v>
      </c>
      <c r="Q1" s="3" t="s">
        <v>871</v>
      </c>
      <c r="R1" s="3" t="s">
        <v>7</v>
      </c>
      <c r="S1" s="3" t="s">
        <v>8</v>
      </c>
      <c r="T1" s="3" t="s">
        <v>388</v>
      </c>
      <c r="U1" s="3" t="s">
        <v>189</v>
      </c>
      <c r="V1" s="3" t="s">
        <v>9</v>
      </c>
      <c r="W1" s="3" t="s">
        <v>10</v>
      </c>
      <c r="X1" s="3" t="s">
        <v>872</v>
      </c>
      <c r="Y1" s="3" t="s">
        <v>873</v>
      </c>
      <c r="Z1" s="3" t="s">
        <v>11</v>
      </c>
      <c r="AA1" s="3" t="s">
        <v>12</v>
      </c>
      <c r="AB1" s="9" t="s">
        <v>874</v>
      </c>
      <c r="AC1" s="3" t="s">
        <v>13</v>
      </c>
      <c r="AD1" s="3" t="s">
        <v>875</v>
      </c>
      <c r="AE1" s="3" t="s">
        <v>14</v>
      </c>
      <c r="AF1" s="3" t="s">
        <v>609</v>
      </c>
      <c r="AG1" s="3" t="s">
        <v>15</v>
      </c>
      <c r="AH1" s="9" t="s">
        <v>610</v>
      </c>
      <c r="AI1" s="3" t="s">
        <v>16</v>
      </c>
      <c r="AJ1" s="3" t="s">
        <v>876</v>
      </c>
      <c r="AK1" s="3" t="s">
        <v>877</v>
      </c>
      <c r="AL1" s="3" t="s">
        <v>17</v>
      </c>
      <c r="AM1" s="3" t="s">
        <v>18</v>
      </c>
      <c r="AN1" s="3" t="s">
        <v>19</v>
      </c>
    </row>
    <row r="2" ht="15.75" customHeight="1">
      <c r="A2" s="4">
        <v>6.0</v>
      </c>
      <c r="B2" s="5" t="s">
        <v>193</v>
      </c>
      <c r="C2" s="5" t="s">
        <v>878</v>
      </c>
      <c r="D2" s="5" t="s">
        <v>879</v>
      </c>
      <c r="E2" s="5">
        <v>2014.0</v>
      </c>
      <c r="F2" s="5">
        <v>2011.0</v>
      </c>
      <c r="G2" s="5">
        <v>2009.0</v>
      </c>
      <c r="H2" s="5">
        <v>2010.0</v>
      </c>
      <c r="I2" s="5">
        <v>2010.0</v>
      </c>
      <c r="J2" s="5">
        <v>2011.0</v>
      </c>
      <c r="K2" s="5">
        <v>2013.0</v>
      </c>
      <c r="L2" s="5">
        <v>2011.0</v>
      </c>
      <c r="M2" s="5">
        <v>2014.0</v>
      </c>
      <c r="N2" s="5">
        <v>2013.0</v>
      </c>
      <c r="O2" s="5">
        <v>2011.0</v>
      </c>
      <c r="P2" s="5">
        <v>2012.0</v>
      </c>
      <c r="Q2" s="5">
        <v>2013.0</v>
      </c>
      <c r="R2" s="5">
        <v>2013.0</v>
      </c>
      <c r="S2" s="5">
        <v>2012.0</v>
      </c>
      <c r="T2" s="5">
        <v>2011.0</v>
      </c>
      <c r="U2" s="5">
        <v>2013.0</v>
      </c>
      <c r="V2" s="5">
        <v>2009.0</v>
      </c>
      <c r="W2" s="5">
        <v>2013.0</v>
      </c>
      <c r="X2" s="5">
        <v>2010.0</v>
      </c>
      <c r="Y2" s="5">
        <v>2011.0</v>
      </c>
      <c r="Z2" s="5">
        <v>2014.0</v>
      </c>
      <c r="AA2" s="5">
        <v>2009.0</v>
      </c>
      <c r="AB2" s="5">
        <v>2011.0</v>
      </c>
      <c r="AC2" s="5">
        <v>2011.0</v>
      </c>
      <c r="AD2" s="5">
        <v>2014.0</v>
      </c>
      <c r="AE2" s="5">
        <v>2014.0</v>
      </c>
      <c r="AF2" s="5">
        <v>2012.0</v>
      </c>
      <c r="AG2" s="5">
        <v>2014.0</v>
      </c>
      <c r="AH2" s="5">
        <v>2015.0</v>
      </c>
      <c r="AI2" s="5">
        <v>2010.0</v>
      </c>
      <c r="AJ2" s="5">
        <v>2013.0</v>
      </c>
      <c r="AK2" s="5">
        <v>2014.0</v>
      </c>
      <c r="AL2" s="5">
        <v>2011.0</v>
      </c>
      <c r="AM2" s="5">
        <v>2011.0</v>
      </c>
      <c r="AN2" s="5">
        <v>2013.0</v>
      </c>
    </row>
    <row r="3" ht="15.75" customHeight="1">
      <c r="A3" s="4">
        <v>6.0</v>
      </c>
      <c r="B3" s="5" t="s">
        <v>227</v>
      </c>
      <c r="C3" s="5" t="s">
        <v>880</v>
      </c>
      <c r="D3" s="5" t="s">
        <v>881</v>
      </c>
      <c r="E3" s="5">
        <v>2014.0</v>
      </c>
      <c r="F3" s="5">
        <v>2011.0</v>
      </c>
      <c r="G3" s="5">
        <v>2009.0</v>
      </c>
      <c r="H3" s="5">
        <v>2010.0</v>
      </c>
      <c r="I3" s="5">
        <v>2010.0</v>
      </c>
      <c r="J3" s="5">
        <v>2011.0</v>
      </c>
      <c r="K3" s="5">
        <v>2013.0</v>
      </c>
      <c r="L3" s="5">
        <v>2011.0</v>
      </c>
      <c r="M3" s="5">
        <v>2014.0</v>
      </c>
      <c r="N3" s="5">
        <v>2013.0</v>
      </c>
      <c r="O3" s="5">
        <v>2011.0</v>
      </c>
      <c r="P3" s="5">
        <v>2012.0</v>
      </c>
      <c r="Q3" s="5">
        <v>2013.0</v>
      </c>
      <c r="R3" s="5">
        <v>2013.0</v>
      </c>
      <c r="S3" s="5">
        <v>2012.0</v>
      </c>
      <c r="T3" s="5">
        <v>2011.0</v>
      </c>
      <c r="U3" s="5">
        <v>2013.0</v>
      </c>
      <c r="V3" s="5">
        <v>2009.0</v>
      </c>
      <c r="W3" s="5">
        <v>2013.0</v>
      </c>
      <c r="X3" s="5">
        <v>2010.0</v>
      </c>
      <c r="Y3" s="5">
        <v>2011.0</v>
      </c>
      <c r="Z3" s="5">
        <v>2014.0</v>
      </c>
      <c r="AA3" s="5">
        <v>2009.0</v>
      </c>
      <c r="AB3" s="5">
        <v>2011.0</v>
      </c>
      <c r="AC3" s="5">
        <v>2011.0</v>
      </c>
      <c r="AD3" s="5">
        <v>2014.0</v>
      </c>
      <c r="AE3" s="5">
        <v>2014.0</v>
      </c>
      <c r="AF3" s="5">
        <v>2012.0</v>
      </c>
      <c r="AG3" s="5">
        <v>2014.0</v>
      </c>
      <c r="AH3" s="5">
        <v>2015.0</v>
      </c>
      <c r="AI3" s="5">
        <v>2010.0</v>
      </c>
      <c r="AJ3" s="5">
        <v>2013.0</v>
      </c>
      <c r="AK3" s="5">
        <v>2014.0</v>
      </c>
      <c r="AL3" s="5">
        <v>2011.0</v>
      </c>
      <c r="AM3" s="5">
        <v>2011.0</v>
      </c>
      <c r="AN3" s="5">
        <v>2013.0</v>
      </c>
    </row>
    <row r="4" ht="15.75" customHeight="1">
      <c r="A4" s="4">
        <v>6.0</v>
      </c>
      <c r="B4" s="5" t="s">
        <v>882</v>
      </c>
      <c r="C4" s="5" t="s">
        <v>883</v>
      </c>
      <c r="D4" s="5" t="s">
        <v>884</v>
      </c>
      <c r="E4" s="5">
        <v>2014.0</v>
      </c>
      <c r="F4" s="5">
        <v>2011.0</v>
      </c>
      <c r="G4" s="5">
        <v>2009.0</v>
      </c>
      <c r="H4" s="5">
        <v>2010.0</v>
      </c>
      <c r="I4" s="5">
        <v>2010.0</v>
      </c>
      <c r="J4" s="5">
        <v>2011.0</v>
      </c>
      <c r="K4" s="5">
        <v>2013.0</v>
      </c>
      <c r="L4" s="5">
        <v>2011.0</v>
      </c>
      <c r="M4" s="5">
        <v>2014.0</v>
      </c>
      <c r="N4" s="5">
        <v>2013.0</v>
      </c>
      <c r="O4" s="5">
        <v>2011.0</v>
      </c>
      <c r="P4" s="5">
        <v>2012.0</v>
      </c>
      <c r="Q4" s="5">
        <v>2013.0</v>
      </c>
      <c r="R4" s="5">
        <v>2013.0</v>
      </c>
      <c r="S4" s="5">
        <v>2012.0</v>
      </c>
      <c r="T4" s="5">
        <v>2011.0</v>
      </c>
      <c r="U4" s="5">
        <v>2013.0</v>
      </c>
      <c r="V4" s="5">
        <v>2009.0</v>
      </c>
      <c r="W4" s="5">
        <v>2013.0</v>
      </c>
      <c r="X4" s="5">
        <v>2010.0</v>
      </c>
      <c r="Y4" s="5">
        <v>2011.0</v>
      </c>
      <c r="Z4" s="5">
        <v>2014.0</v>
      </c>
      <c r="AA4" s="5">
        <v>2009.0</v>
      </c>
      <c r="AB4" s="5">
        <v>2011.0</v>
      </c>
      <c r="AC4" s="5">
        <v>2011.0</v>
      </c>
      <c r="AD4" s="5">
        <v>2014.0</v>
      </c>
      <c r="AE4" s="5">
        <v>2014.0</v>
      </c>
      <c r="AF4" s="5">
        <v>2012.0</v>
      </c>
      <c r="AG4" s="5">
        <v>2014.0</v>
      </c>
      <c r="AH4" s="5">
        <v>2015.0</v>
      </c>
      <c r="AI4" s="5">
        <v>2010.0</v>
      </c>
      <c r="AJ4" s="5">
        <v>2013.0</v>
      </c>
      <c r="AK4" s="5">
        <v>2014.0</v>
      </c>
      <c r="AL4" s="5">
        <v>2011.0</v>
      </c>
      <c r="AM4" s="5">
        <v>2011.0</v>
      </c>
      <c r="AN4" s="5">
        <v>2013.0</v>
      </c>
    </row>
    <row r="5" ht="15.75" customHeight="1">
      <c r="A5" s="4">
        <v>6.0</v>
      </c>
      <c r="B5" s="5" t="s">
        <v>885</v>
      </c>
      <c r="C5" s="5" t="s">
        <v>886</v>
      </c>
      <c r="D5" s="5" t="s">
        <v>887</v>
      </c>
      <c r="E5" s="5">
        <v>2014.0</v>
      </c>
      <c r="F5" s="5">
        <v>2011.0</v>
      </c>
      <c r="G5" s="5">
        <v>2009.0</v>
      </c>
      <c r="H5" s="5">
        <v>2010.0</v>
      </c>
      <c r="I5" s="5">
        <v>2010.0</v>
      </c>
      <c r="J5" s="5">
        <v>2011.0</v>
      </c>
      <c r="K5" s="5">
        <v>2013.0</v>
      </c>
      <c r="L5" s="5">
        <v>2011.0</v>
      </c>
      <c r="M5" s="5">
        <v>2014.0</v>
      </c>
      <c r="N5" s="5">
        <v>2013.0</v>
      </c>
      <c r="O5" s="5">
        <v>2011.0</v>
      </c>
      <c r="P5" s="5">
        <v>2012.0</v>
      </c>
      <c r="Q5" s="5">
        <v>2013.0</v>
      </c>
      <c r="R5" s="5">
        <v>2013.0</v>
      </c>
      <c r="S5" s="5">
        <v>2012.0</v>
      </c>
      <c r="T5" s="5">
        <v>2011.0</v>
      </c>
      <c r="U5" s="5">
        <v>2013.0</v>
      </c>
      <c r="V5" s="5">
        <v>2009.0</v>
      </c>
      <c r="W5" s="5">
        <v>2013.0</v>
      </c>
      <c r="X5" s="5">
        <v>2010.0</v>
      </c>
      <c r="Y5" s="5">
        <v>2011.0</v>
      </c>
      <c r="Z5" s="5">
        <v>2014.0</v>
      </c>
      <c r="AA5" s="5">
        <v>2009.0</v>
      </c>
      <c r="AB5" s="5">
        <v>2011.0</v>
      </c>
      <c r="AC5" s="5">
        <v>2011.0</v>
      </c>
      <c r="AD5" s="5">
        <v>2014.0</v>
      </c>
      <c r="AE5" s="5">
        <v>2014.0</v>
      </c>
      <c r="AF5" s="5">
        <v>2012.0</v>
      </c>
      <c r="AG5" s="5">
        <v>2014.0</v>
      </c>
      <c r="AH5" s="5">
        <v>2015.0</v>
      </c>
      <c r="AI5" s="5">
        <v>2010.0</v>
      </c>
      <c r="AJ5" s="5">
        <v>2013.0</v>
      </c>
      <c r="AK5" s="5">
        <v>2014.0</v>
      </c>
      <c r="AL5" s="5">
        <v>2011.0</v>
      </c>
      <c r="AM5" s="5">
        <v>2011.0</v>
      </c>
      <c r="AN5" s="5">
        <v>2013.0</v>
      </c>
    </row>
    <row r="6" ht="15.75" customHeight="1">
      <c r="A6" s="4">
        <v>6.0</v>
      </c>
      <c r="B6" s="5" t="s">
        <v>619</v>
      </c>
      <c r="C6" s="5" t="s">
        <v>888</v>
      </c>
      <c r="D6" s="5" t="s">
        <v>889</v>
      </c>
      <c r="E6" s="5">
        <v>2014.0</v>
      </c>
      <c r="F6" s="5">
        <v>2011.0</v>
      </c>
      <c r="G6" s="5">
        <v>2009.0</v>
      </c>
      <c r="H6" s="5">
        <v>2010.0</v>
      </c>
      <c r="I6" s="5">
        <v>2010.0</v>
      </c>
      <c r="J6" s="5">
        <v>2011.0</v>
      </c>
      <c r="K6" s="5">
        <v>2013.0</v>
      </c>
      <c r="L6" s="5">
        <v>2011.0</v>
      </c>
      <c r="M6" s="5">
        <v>2014.0</v>
      </c>
      <c r="N6" s="5">
        <v>2013.0</v>
      </c>
      <c r="O6" s="5">
        <v>2011.0</v>
      </c>
      <c r="P6" s="5">
        <v>2012.0</v>
      </c>
      <c r="Q6" s="5">
        <v>2013.0</v>
      </c>
      <c r="R6" s="5">
        <v>2013.0</v>
      </c>
      <c r="S6" s="5">
        <v>2012.0</v>
      </c>
      <c r="T6" s="5">
        <v>2011.0</v>
      </c>
      <c r="U6" s="5">
        <v>2013.0</v>
      </c>
      <c r="V6" s="5">
        <v>2009.0</v>
      </c>
      <c r="W6" s="5">
        <v>2013.0</v>
      </c>
      <c r="X6" s="5">
        <v>2010.0</v>
      </c>
      <c r="Y6" s="5">
        <v>2011.0</v>
      </c>
      <c r="Z6" s="5">
        <v>2014.0</v>
      </c>
      <c r="AA6" s="5">
        <v>2009.0</v>
      </c>
      <c r="AB6" s="5">
        <v>2011.0</v>
      </c>
      <c r="AC6" s="5">
        <v>2011.0</v>
      </c>
      <c r="AD6" s="5">
        <v>2014.0</v>
      </c>
      <c r="AE6" s="5">
        <v>2014.0</v>
      </c>
      <c r="AF6" s="5">
        <v>2012.0</v>
      </c>
      <c r="AG6" s="5">
        <v>2014.0</v>
      </c>
      <c r="AH6" s="5">
        <v>2015.0</v>
      </c>
      <c r="AI6" s="5">
        <v>2010.0</v>
      </c>
      <c r="AJ6" s="5">
        <v>2013.0</v>
      </c>
      <c r="AK6" s="5">
        <v>2014.0</v>
      </c>
      <c r="AL6" s="5">
        <v>2011.0</v>
      </c>
      <c r="AM6" s="5">
        <v>2011.0</v>
      </c>
      <c r="AN6" s="5">
        <v>2013.0</v>
      </c>
    </row>
    <row r="7" ht="15.75" customHeight="1">
      <c r="A7" s="4">
        <v>6.0</v>
      </c>
      <c r="B7" s="5" t="s">
        <v>621</v>
      </c>
      <c r="C7" s="5" t="s">
        <v>890</v>
      </c>
      <c r="D7" s="5" t="s">
        <v>891</v>
      </c>
      <c r="E7" s="5">
        <v>2014.0</v>
      </c>
      <c r="F7" s="5">
        <v>2011.0</v>
      </c>
      <c r="G7" s="5">
        <v>2009.0</v>
      </c>
      <c r="H7" s="5">
        <v>2010.0</v>
      </c>
      <c r="I7" s="5">
        <v>2010.0</v>
      </c>
      <c r="J7" s="5">
        <v>2011.0</v>
      </c>
      <c r="K7" s="5">
        <v>2013.0</v>
      </c>
      <c r="L7" s="5">
        <v>2011.0</v>
      </c>
      <c r="M7" s="5">
        <v>2014.0</v>
      </c>
      <c r="N7" s="5">
        <v>2013.0</v>
      </c>
      <c r="O7" s="5">
        <v>2011.0</v>
      </c>
      <c r="P7" s="5">
        <v>2012.0</v>
      </c>
      <c r="Q7" s="5">
        <v>2013.0</v>
      </c>
      <c r="R7" s="5">
        <v>2013.0</v>
      </c>
      <c r="S7" s="5">
        <v>2012.0</v>
      </c>
      <c r="T7" s="5">
        <v>2011.0</v>
      </c>
      <c r="U7" s="5">
        <v>2013.0</v>
      </c>
      <c r="V7" s="5">
        <v>2009.0</v>
      </c>
      <c r="W7" s="5">
        <v>2013.0</v>
      </c>
      <c r="X7" s="5">
        <v>2010.0</v>
      </c>
      <c r="Y7" s="5">
        <v>2011.0</v>
      </c>
      <c r="Z7" s="5">
        <v>2014.0</v>
      </c>
      <c r="AA7" s="5">
        <v>2009.0</v>
      </c>
      <c r="AB7" s="5">
        <v>2011.0</v>
      </c>
      <c r="AC7" s="5">
        <v>2011.0</v>
      </c>
      <c r="AD7" s="5">
        <v>2014.0</v>
      </c>
      <c r="AE7" s="5">
        <v>2014.0</v>
      </c>
      <c r="AF7" s="5">
        <v>2012.0</v>
      </c>
      <c r="AG7" s="5">
        <v>2014.0</v>
      </c>
      <c r="AH7" s="5">
        <v>2015.0</v>
      </c>
      <c r="AI7" s="5">
        <v>2010.0</v>
      </c>
      <c r="AJ7" s="5">
        <v>2013.0</v>
      </c>
      <c r="AK7" s="5">
        <v>2014.0</v>
      </c>
      <c r="AL7" s="5">
        <v>2011.0</v>
      </c>
      <c r="AM7" s="5">
        <v>2011.0</v>
      </c>
      <c r="AN7" s="5">
        <v>2013.0</v>
      </c>
    </row>
    <row r="8" ht="15.75" customHeight="1">
      <c r="A8" s="4">
        <v>6.0</v>
      </c>
      <c r="B8" s="5" t="s">
        <v>20</v>
      </c>
      <c r="C8" s="5" t="s">
        <v>892</v>
      </c>
      <c r="D8" s="5" t="s">
        <v>893</v>
      </c>
      <c r="E8" s="5" t="s">
        <v>894</v>
      </c>
      <c r="F8" s="5" t="s">
        <v>26</v>
      </c>
      <c r="G8" s="5" t="s">
        <v>894</v>
      </c>
      <c r="H8" s="5" t="s">
        <v>26</v>
      </c>
      <c r="I8" s="5" t="s">
        <v>26</v>
      </c>
      <c r="J8" s="5" t="s">
        <v>895</v>
      </c>
      <c r="K8" s="5" t="s">
        <v>26</v>
      </c>
      <c r="L8" s="5" t="s">
        <v>895</v>
      </c>
      <c r="M8" s="5" t="s">
        <v>894</v>
      </c>
      <c r="N8" s="5" t="s">
        <v>894</v>
      </c>
      <c r="O8" s="5" t="s">
        <v>896</v>
      </c>
      <c r="P8" s="5" t="s">
        <v>897</v>
      </c>
      <c r="Q8" s="5" t="s">
        <v>898</v>
      </c>
      <c r="R8" s="5" t="s">
        <v>899</v>
      </c>
      <c r="S8" s="5" t="s">
        <v>900</v>
      </c>
      <c r="T8" s="5" t="s">
        <v>901</v>
      </c>
      <c r="U8" s="5" t="s">
        <v>26</v>
      </c>
      <c r="V8" s="5" t="s">
        <v>902</v>
      </c>
      <c r="W8" s="5" t="s">
        <v>26</v>
      </c>
      <c r="X8" s="5" t="s">
        <v>903</v>
      </c>
      <c r="Y8" s="5" t="s">
        <v>894</v>
      </c>
      <c r="Z8" s="5" t="s">
        <v>904</v>
      </c>
      <c r="AA8" s="5" t="s">
        <v>905</v>
      </c>
      <c r="AB8" s="5" t="s">
        <v>26</v>
      </c>
      <c r="AC8" s="5" t="s">
        <v>894</v>
      </c>
      <c r="AD8" s="5" t="s">
        <v>906</v>
      </c>
      <c r="AE8" s="5" t="s">
        <v>394</v>
      </c>
      <c r="AF8" s="5" t="s">
        <v>906</v>
      </c>
      <c r="AG8" s="5" t="s">
        <v>906</v>
      </c>
      <c r="AH8" s="5" t="s">
        <v>906</v>
      </c>
      <c r="AI8" s="5" t="s">
        <v>906</v>
      </c>
      <c r="AJ8" s="5" t="s">
        <v>907</v>
      </c>
      <c r="AK8" s="5" t="s">
        <v>906</v>
      </c>
      <c r="AL8" s="5" t="s">
        <v>908</v>
      </c>
      <c r="AM8" s="5" t="s">
        <v>906</v>
      </c>
      <c r="AN8" s="5" t="s">
        <v>906</v>
      </c>
    </row>
    <row r="9" ht="15.75" customHeight="1">
      <c r="A9" s="4">
        <v>6.0</v>
      </c>
      <c r="B9" s="5" t="s">
        <v>35</v>
      </c>
      <c r="C9" s="5" t="s">
        <v>909</v>
      </c>
      <c r="D9" s="5" t="s">
        <v>910</v>
      </c>
      <c r="E9" s="5" t="s">
        <v>38</v>
      </c>
      <c r="F9" s="5" t="s">
        <v>427</v>
      </c>
      <c r="G9" s="5" t="s">
        <v>38</v>
      </c>
      <c r="H9" s="5" t="s">
        <v>427</v>
      </c>
      <c r="I9" s="5" t="s">
        <v>427</v>
      </c>
      <c r="J9" s="5" t="s">
        <v>427</v>
      </c>
      <c r="K9" s="5" t="s">
        <v>911</v>
      </c>
      <c r="L9" s="5" t="s">
        <v>427</v>
      </c>
      <c r="M9" s="5" t="s">
        <v>902</v>
      </c>
      <c r="N9" s="5" t="s">
        <v>38</v>
      </c>
      <c r="O9" s="5" t="s">
        <v>912</v>
      </c>
      <c r="P9" s="5" t="s">
        <v>38</v>
      </c>
      <c r="Q9" s="5" t="s">
        <v>913</v>
      </c>
      <c r="R9" s="5" t="s">
        <v>240</v>
      </c>
      <c r="S9" s="5" t="s">
        <v>240</v>
      </c>
      <c r="T9" s="5" t="s">
        <v>914</v>
      </c>
      <c r="U9" s="5" t="s">
        <v>208</v>
      </c>
      <c r="V9" s="5" t="s">
        <v>38</v>
      </c>
      <c r="W9" s="5" t="s">
        <v>208</v>
      </c>
      <c r="X9" s="5" t="s">
        <v>427</v>
      </c>
      <c r="Y9" s="5" t="s">
        <v>38</v>
      </c>
      <c r="Z9" s="5" t="s">
        <v>915</v>
      </c>
      <c r="AA9" s="5" t="s">
        <v>916</v>
      </c>
      <c r="AB9" s="5" t="s">
        <v>208</v>
      </c>
      <c r="AC9" s="5" t="s">
        <v>427</v>
      </c>
      <c r="AD9" s="5" t="s">
        <v>427</v>
      </c>
      <c r="AE9" s="5" t="s">
        <v>427</v>
      </c>
      <c r="AF9" s="5" t="s">
        <v>917</v>
      </c>
      <c r="AG9" s="5" t="s">
        <v>240</v>
      </c>
      <c r="AH9" s="5" t="s">
        <v>304</v>
      </c>
      <c r="AI9" s="5" t="s">
        <v>240</v>
      </c>
      <c r="AJ9" s="5" t="s">
        <v>913</v>
      </c>
      <c r="AK9" s="5" t="s">
        <v>240</v>
      </c>
      <c r="AL9" s="5" t="s">
        <v>38</v>
      </c>
      <c r="AM9" s="5" t="s">
        <v>240</v>
      </c>
      <c r="AN9" s="5" t="s">
        <v>240</v>
      </c>
    </row>
    <row r="10" ht="15.75" customHeight="1">
      <c r="A10" s="4">
        <v>6.0</v>
      </c>
      <c r="B10" s="5" t="s">
        <v>918</v>
      </c>
      <c r="C10" s="5" t="s">
        <v>919</v>
      </c>
      <c r="D10" s="5" t="s">
        <v>920</v>
      </c>
      <c r="E10" s="5" t="s">
        <v>921</v>
      </c>
      <c r="F10" s="5" t="s">
        <v>922</v>
      </c>
      <c r="G10" s="5" t="s">
        <v>921</v>
      </c>
      <c r="H10" s="5" t="s">
        <v>922</v>
      </c>
      <c r="I10" s="5" t="s">
        <v>922</v>
      </c>
      <c r="J10" s="5" t="s">
        <v>922</v>
      </c>
      <c r="K10" s="5" t="s">
        <v>922</v>
      </c>
      <c r="L10" s="5" t="s">
        <v>922</v>
      </c>
      <c r="M10" s="5" t="s">
        <v>921</v>
      </c>
      <c r="N10" s="5" t="s">
        <v>921</v>
      </c>
      <c r="O10" s="5" t="s">
        <v>922</v>
      </c>
      <c r="P10" s="5" t="s">
        <v>921</v>
      </c>
      <c r="Q10" s="5" t="s">
        <v>922</v>
      </c>
      <c r="R10" s="5" t="s">
        <v>921</v>
      </c>
      <c r="S10" s="5" t="s">
        <v>923</v>
      </c>
      <c r="T10" s="5" t="s">
        <v>921</v>
      </c>
      <c r="U10" s="5" t="s">
        <v>922</v>
      </c>
      <c r="V10" s="5" t="s">
        <v>921</v>
      </c>
      <c r="W10" s="5" t="s">
        <v>922</v>
      </c>
      <c r="X10" s="5" t="s">
        <v>921</v>
      </c>
      <c r="Y10" s="5" t="s">
        <v>921</v>
      </c>
      <c r="Z10" s="5" t="s">
        <v>924</v>
      </c>
      <c r="AA10" s="5" t="s">
        <v>921</v>
      </c>
      <c r="AB10" s="5" t="s">
        <v>922</v>
      </c>
    </row>
    <row r="11" ht="15.75" customHeight="1">
      <c r="A11" s="4">
        <v>6.0</v>
      </c>
      <c r="B11" s="5" t="s">
        <v>925</v>
      </c>
      <c r="C11" s="5" t="s">
        <v>926</v>
      </c>
      <c r="D11" s="5" t="s">
        <v>927</v>
      </c>
      <c r="E11" s="5" t="s">
        <v>928</v>
      </c>
      <c r="F11" s="5" t="s">
        <v>928</v>
      </c>
      <c r="G11" s="5" t="s">
        <v>928</v>
      </c>
      <c r="H11" s="5" t="s">
        <v>928</v>
      </c>
      <c r="I11" s="5" t="s">
        <v>928</v>
      </c>
      <c r="J11" s="5" t="s">
        <v>928</v>
      </c>
      <c r="K11" s="5" t="s">
        <v>928</v>
      </c>
      <c r="L11" s="5" t="s">
        <v>928</v>
      </c>
      <c r="M11" s="5" t="s">
        <v>928</v>
      </c>
      <c r="N11" s="5" t="s">
        <v>902</v>
      </c>
      <c r="P11" s="5" t="s">
        <v>928</v>
      </c>
      <c r="S11" s="5" t="s">
        <v>929</v>
      </c>
      <c r="AB11" s="5" t="s">
        <v>928</v>
      </c>
    </row>
    <row r="12" ht="15.75" customHeight="1">
      <c r="A12" s="4">
        <v>6.0</v>
      </c>
      <c r="B12" s="5" t="s">
        <v>930</v>
      </c>
      <c r="C12" s="5" t="s">
        <v>931</v>
      </c>
      <c r="D12" s="5" t="s">
        <v>932</v>
      </c>
      <c r="E12" s="5" t="s">
        <v>933</v>
      </c>
      <c r="F12" s="5" t="s">
        <v>934</v>
      </c>
      <c r="G12" s="5" t="s">
        <v>933</v>
      </c>
      <c r="H12" s="5" t="s">
        <v>935</v>
      </c>
      <c r="I12" s="5" t="s">
        <v>935</v>
      </c>
      <c r="J12" s="5" t="s">
        <v>935</v>
      </c>
      <c r="K12" s="5" t="s">
        <v>936</v>
      </c>
      <c r="L12" s="5" t="s">
        <v>935</v>
      </c>
      <c r="M12" s="5" t="s">
        <v>935</v>
      </c>
      <c r="N12" s="5" t="s">
        <v>937</v>
      </c>
      <c r="O12" s="5" t="s">
        <v>936</v>
      </c>
      <c r="P12" s="5" t="s">
        <v>532</v>
      </c>
      <c r="Q12" s="5" t="s">
        <v>938</v>
      </c>
      <c r="S12" s="5" t="s">
        <v>939</v>
      </c>
      <c r="X12" s="5" t="s">
        <v>902</v>
      </c>
      <c r="AB12" s="5" t="s">
        <v>936</v>
      </c>
      <c r="AD12" s="5" t="s">
        <v>902</v>
      </c>
    </row>
    <row r="13" ht="15.75" customHeight="1">
      <c r="A13" s="4">
        <v>6.0</v>
      </c>
      <c r="B13" s="5" t="s">
        <v>940</v>
      </c>
      <c r="C13" s="5" t="s">
        <v>941</v>
      </c>
      <c r="D13" s="5" t="s">
        <v>942</v>
      </c>
      <c r="E13" s="5">
        <v>2014.0</v>
      </c>
      <c r="F13" s="5">
        <v>2011.0</v>
      </c>
      <c r="G13" s="5">
        <v>2009.0</v>
      </c>
      <c r="H13" s="5">
        <v>2010.0</v>
      </c>
      <c r="I13" s="5">
        <v>2010.0</v>
      </c>
      <c r="J13" s="5">
        <v>2011.0</v>
      </c>
      <c r="K13" s="5">
        <v>2013.0</v>
      </c>
      <c r="L13" s="5">
        <v>2011.0</v>
      </c>
      <c r="M13" s="5">
        <v>2014.0</v>
      </c>
      <c r="N13" s="5">
        <v>2013.0</v>
      </c>
      <c r="O13" s="5">
        <v>2011.0</v>
      </c>
      <c r="P13" s="5">
        <v>2012.0</v>
      </c>
      <c r="Q13" s="5">
        <v>2013.0</v>
      </c>
      <c r="R13" s="5">
        <v>2013.0</v>
      </c>
      <c r="S13" s="5">
        <v>2012.0</v>
      </c>
      <c r="T13" s="5">
        <v>2011.0</v>
      </c>
      <c r="U13" s="5">
        <v>2013.0</v>
      </c>
      <c r="V13" s="5">
        <v>2009.0</v>
      </c>
      <c r="W13" s="5">
        <v>2013.0</v>
      </c>
      <c r="X13" s="5">
        <v>2010.0</v>
      </c>
      <c r="Y13" s="5">
        <v>2011.0</v>
      </c>
      <c r="Z13" s="5">
        <v>2014.0</v>
      </c>
      <c r="AA13" s="5">
        <v>2009.0</v>
      </c>
      <c r="AB13" s="5">
        <v>2011.0</v>
      </c>
      <c r="AC13" s="5">
        <v>2011.0</v>
      </c>
      <c r="AD13" s="5">
        <v>2014.0</v>
      </c>
      <c r="AE13" s="5">
        <v>2014.0</v>
      </c>
      <c r="AF13" s="5">
        <v>2012.0</v>
      </c>
      <c r="AG13" s="5">
        <v>2014.0</v>
      </c>
      <c r="AH13" s="5">
        <v>2015.0</v>
      </c>
      <c r="AI13" s="5">
        <v>2010.0</v>
      </c>
      <c r="AJ13" s="5">
        <v>2013.0</v>
      </c>
      <c r="AK13" s="5">
        <v>2014.0</v>
      </c>
      <c r="AL13" s="5">
        <v>2011.0</v>
      </c>
      <c r="AM13" s="5">
        <v>2011.0</v>
      </c>
      <c r="AN13" s="5">
        <v>2013.0</v>
      </c>
    </row>
    <row r="14" ht="15.75" customHeight="1">
      <c r="A14" s="4">
        <v>6.0</v>
      </c>
      <c r="B14" s="5" t="s">
        <v>943</v>
      </c>
      <c r="C14" s="5" t="s">
        <v>439</v>
      </c>
      <c r="D14" s="5" t="s">
        <v>944</v>
      </c>
      <c r="M14" s="5" t="s">
        <v>444</v>
      </c>
      <c r="N14" s="5" t="s">
        <v>945</v>
      </c>
      <c r="O14" s="5" t="s">
        <v>444</v>
      </c>
      <c r="P14" s="5" t="s">
        <v>444</v>
      </c>
      <c r="Q14" s="5" t="s">
        <v>444</v>
      </c>
      <c r="R14" s="5" t="s">
        <v>444</v>
      </c>
    </row>
    <row r="15" ht="15.75" customHeight="1">
      <c r="A15" s="4">
        <v>6.0</v>
      </c>
      <c r="B15" s="5" t="s">
        <v>49</v>
      </c>
      <c r="C15" s="5" t="s">
        <v>441</v>
      </c>
      <c r="D15" s="5" t="s">
        <v>946</v>
      </c>
      <c r="E15" s="5" t="s">
        <v>947</v>
      </c>
      <c r="F15" s="5" t="s">
        <v>948</v>
      </c>
      <c r="G15" s="5" t="s">
        <v>947</v>
      </c>
      <c r="H15" s="5" t="s">
        <v>949</v>
      </c>
      <c r="I15" s="5" t="s">
        <v>949</v>
      </c>
      <c r="J15" s="5" t="s">
        <v>444</v>
      </c>
      <c r="K15" s="5" t="s">
        <v>444</v>
      </c>
      <c r="L15" s="5" t="s">
        <v>950</v>
      </c>
      <c r="M15" s="5" t="s">
        <v>951</v>
      </c>
      <c r="N15" s="5" t="s">
        <v>952</v>
      </c>
      <c r="O15" s="5" t="s">
        <v>953</v>
      </c>
      <c r="P15" s="5" t="s">
        <v>953</v>
      </c>
      <c r="Q15" s="5" t="s">
        <v>954</v>
      </c>
      <c r="R15" s="5" t="s">
        <v>955</v>
      </c>
      <c r="S15" s="5" t="s">
        <v>219</v>
      </c>
      <c r="T15" s="5" t="s">
        <v>956</v>
      </c>
      <c r="U15" s="5" t="s">
        <v>957</v>
      </c>
      <c r="V15" s="5" t="s">
        <v>958</v>
      </c>
      <c r="W15" s="5" t="s">
        <v>56</v>
      </c>
      <c r="X15" s="5" t="s">
        <v>56</v>
      </c>
      <c r="Y15" s="5" t="s">
        <v>54</v>
      </c>
      <c r="Z15" s="5" t="s">
        <v>56</v>
      </c>
      <c r="AA15" s="5" t="s">
        <v>56</v>
      </c>
      <c r="AB15" s="5" t="s">
        <v>56</v>
      </c>
      <c r="AC15" s="5" t="s">
        <v>56</v>
      </c>
      <c r="AD15" s="5" t="s">
        <v>959</v>
      </c>
      <c r="AE15" s="5" t="s">
        <v>959</v>
      </c>
      <c r="AF15" s="5" t="s">
        <v>955</v>
      </c>
      <c r="AG15" s="5" t="s">
        <v>955</v>
      </c>
      <c r="AH15" s="5" t="s">
        <v>959</v>
      </c>
      <c r="AI15" s="5" t="s">
        <v>955</v>
      </c>
      <c r="AJ15" s="5" t="s">
        <v>959</v>
      </c>
      <c r="AK15" s="5" t="s">
        <v>955</v>
      </c>
      <c r="AL15" s="5" t="s">
        <v>955</v>
      </c>
      <c r="AM15" s="5" t="s">
        <v>955</v>
      </c>
      <c r="AN15" s="5" t="s">
        <v>955</v>
      </c>
    </row>
    <row r="16" ht="15.75" customHeight="1">
      <c r="A16" s="4">
        <v>6.0</v>
      </c>
      <c r="B16" s="5" t="s">
        <v>223</v>
      </c>
      <c r="C16" s="5" t="s">
        <v>446</v>
      </c>
      <c r="D16" s="5" t="s">
        <v>960</v>
      </c>
      <c r="E16" s="5" t="s">
        <v>953</v>
      </c>
      <c r="F16" s="5" t="s">
        <v>950</v>
      </c>
      <c r="G16" s="5" t="s">
        <v>953</v>
      </c>
      <c r="H16" s="5" t="s">
        <v>950</v>
      </c>
      <c r="I16" s="5" t="s">
        <v>950</v>
      </c>
      <c r="J16" s="5" t="s">
        <v>950</v>
      </c>
      <c r="K16" s="5" t="s">
        <v>950</v>
      </c>
      <c r="L16" s="5" t="s">
        <v>65</v>
      </c>
      <c r="M16" s="5" t="s">
        <v>444</v>
      </c>
      <c r="N16" s="5" t="s">
        <v>66</v>
      </c>
      <c r="O16" s="5" t="s">
        <v>444</v>
      </c>
      <c r="P16" s="5" t="s">
        <v>444</v>
      </c>
      <c r="Q16" s="5" t="s">
        <v>444</v>
      </c>
      <c r="R16" s="5" t="s">
        <v>444</v>
      </c>
      <c r="S16" s="5" t="s">
        <v>66</v>
      </c>
      <c r="T16" s="5" t="s">
        <v>443</v>
      </c>
      <c r="U16" s="5" t="s">
        <v>444</v>
      </c>
      <c r="V16" s="5" t="s">
        <v>443</v>
      </c>
      <c r="W16" s="5" t="s">
        <v>444</v>
      </c>
      <c r="X16" s="5" t="s">
        <v>961</v>
      </c>
      <c r="Y16" s="5" t="s">
        <v>444</v>
      </c>
      <c r="Z16" s="5" t="s">
        <v>444</v>
      </c>
      <c r="AA16" s="5" t="s">
        <v>444</v>
      </c>
      <c r="AB16" s="5" t="s">
        <v>444</v>
      </c>
      <c r="AC16" s="5" t="s">
        <v>444</v>
      </c>
      <c r="AD16" s="5" t="s">
        <v>444</v>
      </c>
      <c r="AE16" s="5" t="s">
        <v>444</v>
      </c>
      <c r="AF16" s="5" t="s">
        <v>444</v>
      </c>
      <c r="AG16" s="5" t="s">
        <v>444</v>
      </c>
      <c r="AH16" s="5" t="s">
        <v>444</v>
      </c>
      <c r="AI16" s="5" t="s">
        <v>444</v>
      </c>
      <c r="AJ16" s="5" t="s">
        <v>444</v>
      </c>
      <c r="AK16" s="5" t="s">
        <v>444</v>
      </c>
      <c r="AL16" s="5" t="s">
        <v>444</v>
      </c>
      <c r="AM16" s="5" t="s">
        <v>444</v>
      </c>
      <c r="AN16" s="5" t="s">
        <v>444</v>
      </c>
    </row>
    <row r="17" ht="15.75" customHeight="1">
      <c r="A17" s="4">
        <v>6.0</v>
      </c>
      <c r="B17" s="5" t="s">
        <v>43</v>
      </c>
      <c r="C17" s="5" t="s">
        <v>631</v>
      </c>
      <c r="D17" s="5" t="s">
        <v>962</v>
      </c>
      <c r="E17" s="5" t="s">
        <v>444</v>
      </c>
      <c r="F17" s="5" t="s">
        <v>444</v>
      </c>
      <c r="G17" s="5" t="s">
        <v>444</v>
      </c>
      <c r="H17" s="5" t="s">
        <v>444</v>
      </c>
      <c r="I17" s="5" t="s">
        <v>65</v>
      </c>
      <c r="J17" s="5" t="s">
        <v>65</v>
      </c>
      <c r="K17" s="5" t="s">
        <v>444</v>
      </c>
      <c r="L17" s="5" t="s">
        <v>444</v>
      </c>
      <c r="M17" s="5" t="s">
        <v>444</v>
      </c>
      <c r="N17" s="5" t="s">
        <v>66</v>
      </c>
      <c r="O17" s="5" t="s">
        <v>444</v>
      </c>
      <c r="P17" s="5" t="s">
        <v>444</v>
      </c>
      <c r="Q17" s="5" t="s">
        <v>444</v>
      </c>
      <c r="R17" s="5" t="s">
        <v>444</v>
      </c>
      <c r="S17" s="5" t="s">
        <v>66</v>
      </c>
      <c r="T17" s="5" t="s">
        <v>443</v>
      </c>
      <c r="U17" s="5" t="s">
        <v>444</v>
      </c>
      <c r="V17" s="5" t="s">
        <v>443</v>
      </c>
      <c r="W17" s="5" t="s">
        <v>444</v>
      </c>
      <c r="X17" s="5" t="s">
        <v>961</v>
      </c>
      <c r="Y17" s="5" t="s">
        <v>444</v>
      </c>
      <c r="Z17" s="5" t="s">
        <v>444</v>
      </c>
      <c r="AA17" s="5" t="s">
        <v>444</v>
      </c>
      <c r="AB17" s="5" t="s">
        <v>444</v>
      </c>
      <c r="AC17" s="5" t="s">
        <v>444</v>
      </c>
      <c r="AD17" s="5" t="s">
        <v>444</v>
      </c>
      <c r="AE17" s="5" t="s">
        <v>444</v>
      </c>
      <c r="AF17" s="5" t="s">
        <v>444</v>
      </c>
      <c r="AG17" s="5" t="s">
        <v>444</v>
      </c>
      <c r="AH17" s="5" t="s">
        <v>444</v>
      </c>
      <c r="AI17" s="5" t="s">
        <v>444</v>
      </c>
      <c r="AJ17" s="5" t="s">
        <v>444</v>
      </c>
      <c r="AK17" s="5" t="s">
        <v>444</v>
      </c>
      <c r="AL17" s="5" t="s">
        <v>444</v>
      </c>
      <c r="AM17" s="5" t="s">
        <v>444</v>
      </c>
      <c r="AN17" s="5" t="s">
        <v>444</v>
      </c>
    </row>
    <row r="18" ht="15.75" customHeight="1">
      <c r="A18" s="4">
        <v>6.0</v>
      </c>
      <c r="B18" s="5" t="s">
        <v>62</v>
      </c>
      <c r="C18" s="5" t="s">
        <v>963</v>
      </c>
      <c r="D18" s="5" t="s">
        <v>964</v>
      </c>
      <c r="E18" s="5" t="s">
        <v>47</v>
      </c>
      <c r="F18" s="5" t="s">
        <v>47</v>
      </c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66</v>
      </c>
      <c r="O18" s="5" t="s">
        <v>47</v>
      </c>
      <c r="P18" s="5" t="s">
        <v>47</v>
      </c>
      <c r="Q18" s="5" t="s">
        <v>47</v>
      </c>
      <c r="R18" s="5" t="s">
        <v>47</v>
      </c>
      <c r="S18" s="5" t="s">
        <v>66</v>
      </c>
      <c r="T18" s="5" t="s">
        <v>443</v>
      </c>
      <c r="U18" s="5" t="s">
        <v>444</v>
      </c>
      <c r="V18" s="5" t="s">
        <v>443</v>
      </c>
      <c r="W18" s="5" t="s">
        <v>444</v>
      </c>
      <c r="X18" s="5" t="s">
        <v>961</v>
      </c>
      <c r="Y18" s="5" t="s">
        <v>444</v>
      </c>
      <c r="Z18" s="5" t="s">
        <v>444</v>
      </c>
      <c r="AA18" s="5" t="s">
        <v>444</v>
      </c>
      <c r="AB18" s="5" t="s">
        <v>444</v>
      </c>
      <c r="AC18" s="5" t="s">
        <v>444</v>
      </c>
      <c r="AD18" s="5" t="s">
        <v>965</v>
      </c>
      <c r="AE18" s="5" t="s">
        <v>444</v>
      </c>
      <c r="AF18" s="5" t="s">
        <v>444</v>
      </c>
      <c r="AG18" s="5" t="s">
        <v>444</v>
      </c>
      <c r="AH18" s="5" t="s">
        <v>444</v>
      </c>
      <c r="AI18" s="5" t="s">
        <v>444</v>
      </c>
      <c r="AJ18" s="5" t="s">
        <v>444</v>
      </c>
      <c r="AK18" s="5" t="s">
        <v>444</v>
      </c>
      <c r="AL18" s="5" t="s">
        <v>444</v>
      </c>
      <c r="AM18" s="5" t="s">
        <v>444</v>
      </c>
      <c r="AN18" s="5" t="s">
        <v>444</v>
      </c>
    </row>
    <row r="19" ht="15.75" customHeight="1">
      <c r="A19" s="4">
        <v>6.0</v>
      </c>
      <c r="B19" s="5" t="s">
        <v>966</v>
      </c>
      <c r="C19" s="5" t="s">
        <v>967</v>
      </c>
      <c r="D19" s="5" t="s">
        <v>968</v>
      </c>
      <c r="E19" s="5" t="s">
        <v>47</v>
      </c>
      <c r="F19" s="5" t="s">
        <v>47</v>
      </c>
      <c r="G19" s="5" t="s">
        <v>47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66</v>
      </c>
      <c r="O19" s="5" t="s">
        <v>47</v>
      </c>
      <c r="P19" s="5" t="s">
        <v>47</v>
      </c>
      <c r="Q19" s="5" t="s">
        <v>47</v>
      </c>
      <c r="R19" s="5" t="s">
        <v>47</v>
      </c>
      <c r="S19" s="5" t="s">
        <v>66</v>
      </c>
      <c r="T19" s="5" t="s">
        <v>443</v>
      </c>
      <c r="U19" s="5" t="s">
        <v>444</v>
      </c>
      <c r="V19" s="5" t="s">
        <v>443</v>
      </c>
      <c r="W19" s="5" t="s">
        <v>444</v>
      </c>
      <c r="X19" s="5" t="s">
        <v>961</v>
      </c>
      <c r="Y19" s="5" t="s">
        <v>444</v>
      </c>
      <c r="Z19" s="5" t="s">
        <v>444</v>
      </c>
      <c r="AA19" s="5" t="s">
        <v>444</v>
      </c>
      <c r="AB19" s="5" t="s">
        <v>444</v>
      </c>
      <c r="AC19" s="5" t="s">
        <v>444</v>
      </c>
      <c r="AD19" s="5" t="s">
        <v>965</v>
      </c>
      <c r="AE19" s="5" t="s">
        <v>444</v>
      </c>
      <c r="AF19" s="5" t="s">
        <v>444</v>
      </c>
      <c r="AG19" s="5" t="s">
        <v>444</v>
      </c>
      <c r="AH19" s="5" t="s">
        <v>444</v>
      </c>
      <c r="AI19" s="5" t="s">
        <v>444</v>
      </c>
      <c r="AJ19" s="5" t="s">
        <v>444</v>
      </c>
      <c r="AK19" s="5" t="s">
        <v>444</v>
      </c>
      <c r="AL19" s="5" t="s">
        <v>444</v>
      </c>
      <c r="AM19" s="5" t="s">
        <v>444</v>
      </c>
      <c r="AN19" s="5" t="s">
        <v>444</v>
      </c>
    </row>
    <row r="20" ht="15.75" customHeight="1">
      <c r="A20" s="4">
        <v>6.0</v>
      </c>
      <c r="B20" s="5" t="s">
        <v>67</v>
      </c>
      <c r="C20" s="5" t="s">
        <v>969</v>
      </c>
      <c r="D20" s="5" t="s">
        <v>970</v>
      </c>
      <c r="E20" s="5" t="s">
        <v>444</v>
      </c>
      <c r="F20" s="5" t="s">
        <v>444</v>
      </c>
      <c r="G20" s="5" t="s">
        <v>971</v>
      </c>
      <c r="H20" s="5" t="s">
        <v>444</v>
      </c>
      <c r="I20" s="5" t="s">
        <v>444</v>
      </c>
      <c r="J20" s="5" t="s">
        <v>972</v>
      </c>
      <c r="K20" s="5" t="s">
        <v>131</v>
      </c>
      <c r="L20" s="5" t="s">
        <v>131</v>
      </c>
      <c r="M20" s="5" t="s">
        <v>70</v>
      </c>
      <c r="N20" s="5" t="s">
        <v>973</v>
      </c>
      <c r="O20" s="5" t="s">
        <v>131</v>
      </c>
      <c r="P20" s="5" t="s">
        <v>131</v>
      </c>
      <c r="Q20" s="5" t="s">
        <v>131</v>
      </c>
      <c r="R20" s="5" t="s">
        <v>70</v>
      </c>
      <c r="S20" s="5" t="s">
        <v>66</v>
      </c>
      <c r="T20" s="5" t="s">
        <v>443</v>
      </c>
      <c r="U20" s="5" t="s">
        <v>444</v>
      </c>
      <c r="V20" s="5" t="s">
        <v>443</v>
      </c>
      <c r="W20" s="5" t="s">
        <v>444</v>
      </c>
      <c r="X20" s="5" t="s">
        <v>974</v>
      </c>
      <c r="Y20" s="5" t="s">
        <v>975</v>
      </c>
      <c r="Z20" s="5" t="s">
        <v>976</v>
      </c>
      <c r="AA20" s="5" t="s">
        <v>977</v>
      </c>
      <c r="AB20" s="5" t="s">
        <v>444</v>
      </c>
      <c r="AC20" s="5" t="s">
        <v>444</v>
      </c>
      <c r="AD20" s="5" t="s">
        <v>965</v>
      </c>
      <c r="AE20" s="5" t="s">
        <v>444</v>
      </c>
      <c r="AF20" s="5" t="s">
        <v>444</v>
      </c>
      <c r="AG20" s="5" t="s">
        <v>444</v>
      </c>
      <c r="AH20" s="5" t="s">
        <v>444</v>
      </c>
      <c r="AI20" s="5" t="s">
        <v>444</v>
      </c>
      <c r="AJ20" s="5" t="s">
        <v>444</v>
      </c>
      <c r="AK20" s="5" t="s">
        <v>444</v>
      </c>
      <c r="AL20" s="5" t="s">
        <v>444</v>
      </c>
      <c r="AM20" s="5" t="s">
        <v>444</v>
      </c>
      <c r="AN20" s="5" t="s">
        <v>444</v>
      </c>
    </row>
    <row r="21" ht="15.75" customHeight="1">
      <c r="A21" s="4">
        <v>6.0</v>
      </c>
      <c r="B21" s="5" t="s">
        <v>72</v>
      </c>
      <c r="C21" s="5" t="s">
        <v>978</v>
      </c>
      <c r="D21" s="5" t="s">
        <v>979</v>
      </c>
      <c r="E21" s="5" t="s">
        <v>238</v>
      </c>
      <c r="F21" s="5" t="s">
        <v>980</v>
      </c>
      <c r="G21" s="5" t="s">
        <v>238</v>
      </c>
      <c r="H21" s="5" t="s">
        <v>980</v>
      </c>
      <c r="I21" s="5" t="s">
        <v>980</v>
      </c>
      <c r="J21" s="5" t="s">
        <v>76</v>
      </c>
      <c r="K21" s="5" t="s">
        <v>981</v>
      </c>
      <c r="L21" s="5" t="s">
        <v>76</v>
      </c>
      <c r="M21" s="5" t="s">
        <v>902</v>
      </c>
      <c r="N21" s="5" t="s">
        <v>982</v>
      </c>
      <c r="O21" s="5" t="s">
        <v>75</v>
      </c>
      <c r="P21" s="5" t="s">
        <v>75</v>
      </c>
      <c r="Q21" s="5" t="s">
        <v>76</v>
      </c>
      <c r="R21" s="5" t="s">
        <v>77</v>
      </c>
      <c r="S21" s="5" t="s">
        <v>77</v>
      </c>
      <c r="T21" s="5" t="s">
        <v>983</v>
      </c>
      <c r="U21" s="5" t="s">
        <v>76</v>
      </c>
      <c r="V21" s="5" t="s">
        <v>77</v>
      </c>
      <c r="W21" s="5" t="s">
        <v>365</v>
      </c>
      <c r="X21" s="5" t="s">
        <v>365</v>
      </c>
      <c r="Y21" s="5" t="s">
        <v>77</v>
      </c>
      <c r="Z21" s="5" t="s">
        <v>984</v>
      </c>
      <c r="AA21" s="5" t="s">
        <v>985</v>
      </c>
      <c r="AB21" s="5" t="s">
        <v>76</v>
      </c>
      <c r="AC21" s="5" t="s">
        <v>76</v>
      </c>
      <c r="AD21" s="5" t="s">
        <v>76</v>
      </c>
      <c r="AE21" s="5" t="s">
        <v>76</v>
      </c>
      <c r="AF21" s="5" t="s">
        <v>77</v>
      </c>
      <c r="AG21" s="5" t="s">
        <v>77</v>
      </c>
      <c r="AH21" s="5" t="s">
        <v>365</v>
      </c>
      <c r="AI21" s="5" t="s">
        <v>77</v>
      </c>
      <c r="AJ21" s="5" t="s">
        <v>365</v>
      </c>
      <c r="AK21" s="5" t="s">
        <v>77</v>
      </c>
      <c r="AL21" s="5" t="s">
        <v>77</v>
      </c>
      <c r="AM21" s="5" t="s">
        <v>77</v>
      </c>
      <c r="AN21" s="5" t="s">
        <v>77</v>
      </c>
    </row>
    <row r="22" ht="15.75" customHeight="1">
      <c r="A22" s="4">
        <v>6.0</v>
      </c>
      <c r="B22" s="5" t="s">
        <v>78</v>
      </c>
      <c r="C22" s="5" t="s">
        <v>986</v>
      </c>
      <c r="D22" s="5" t="s">
        <v>987</v>
      </c>
      <c r="E22" s="5" t="s">
        <v>245</v>
      </c>
      <c r="F22" s="5" t="s">
        <v>470</v>
      </c>
      <c r="G22" s="5" t="s">
        <v>81</v>
      </c>
      <c r="H22" s="5" t="s">
        <v>247</v>
      </c>
      <c r="I22" s="5" t="s">
        <v>988</v>
      </c>
      <c r="J22" s="5" t="s">
        <v>82</v>
      </c>
      <c r="K22" s="5" t="s">
        <v>989</v>
      </c>
      <c r="L22" s="5" t="s">
        <v>81</v>
      </c>
      <c r="M22" s="5" t="s">
        <v>245</v>
      </c>
      <c r="N22" s="5" t="s">
        <v>990</v>
      </c>
      <c r="O22" s="5" t="s">
        <v>991</v>
      </c>
      <c r="P22" s="5" t="s">
        <v>245</v>
      </c>
      <c r="Q22" s="5" t="s">
        <v>85</v>
      </c>
      <c r="R22" s="5" t="s">
        <v>693</v>
      </c>
      <c r="S22" s="5" t="s">
        <v>992</v>
      </c>
      <c r="T22" s="5" t="s">
        <v>82</v>
      </c>
      <c r="U22" s="5" t="s">
        <v>993</v>
      </c>
      <c r="V22" s="5" t="s">
        <v>245</v>
      </c>
      <c r="W22" s="5" t="s">
        <v>85</v>
      </c>
      <c r="X22" s="5" t="s">
        <v>245</v>
      </c>
      <c r="Y22" s="5" t="s">
        <v>902</v>
      </c>
      <c r="Z22" s="5" t="s">
        <v>245</v>
      </c>
      <c r="AA22" s="5" t="s">
        <v>469</v>
      </c>
      <c r="AB22" s="5" t="s">
        <v>247</v>
      </c>
      <c r="AC22" s="5" t="s">
        <v>994</v>
      </c>
      <c r="AD22" s="5" t="s">
        <v>245</v>
      </c>
      <c r="AE22" s="5" t="s">
        <v>995</v>
      </c>
      <c r="AF22" s="5" t="s">
        <v>245</v>
      </c>
      <c r="AG22" s="5" t="s">
        <v>996</v>
      </c>
      <c r="AH22" s="5" t="s">
        <v>997</v>
      </c>
      <c r="AI22" s="5" t="s">
        <v>695</v>
      </c>
      <c r="AJ22" s="5" t="s">
        <v>85</v>
      </c>
      <c r="AK22" s="5" t="s">
        <v>245</v>
      </c>
      <c r="AL22" s="5" t="s">
        <v>998</v>
      </c>
      <c r="AM22" s="5" t="s">
        <v>245</v>
      </c>
      <c r="AN22" s="5" t="s">
        <v>999</v>
      </c>
    </row>
    <row r="23" ht="15.75" customHeight="1">
      <c r="A23" s="4">
        <v>6.0</v>
      </c>
      <c r="B23" s="5" t="s">
        <v>699</v>
      </c>
      <c r="C23" s="5" t="s">
        <v>1000</v>
      </c>
      <c r="D23" s="5" t="s">
        <v>1001</v>
      </c>
      <c r="E23" s="5" t="s">
        <v>1002</v>
      </c>
      <c r="F23" s="5" t="s">
        <v>1003</v>
      </c>
      <c r="G23" s="5" t="s">
        <v>703</v>
      </c>
      <c r="H23" s="5" t="s">
        <v>1003</v>
      </c>
      <c r="I23" s="5" t="s">
        <v>1004</v>
      </c>
      <c r="J23" s="5" t="s">
        <v>1005</v>
      </c>
      <c r="K23" s="5" t="s">
        <v>1006</v>
      </c>
      <c r="L23" s="5" t="s">
        <v>1006</v>
      </c>
      <c r="M23" s="5" t="s">
        <v>702</v>
      </c>
      <c r="N23" s="5" t="s">
        <v>1007</v>
      </c>
      <c r="O23" s="5" t="s">
        <v>1003</v>
      </c>
      <c r="P23" s="5" t="s">
        <v>1008</v>
      </c>
      <c r="Q23" s="5" t="s">
        <v>1009</v>
      </c>
      <c r="R23" s="5" t="s">
        <v>707</v>
      </c>
      <c r="S23" s="5" t="s">
        <v>1010</v>
      </c>
      <c r="T23" s="5" t="s">
        <v>709</v>
      </c>
      <c r="U23" s="5" t="s">
        <v>1006</v>
      </c>
      <c r="V23" s="5" t="s">
        <v>702</v>
      </c>
      <c r="W23" s="5" t="s">
        <v>1006</v>
      </c>
      <c r="X23" s="5" t="s">
        <v>1011</v>
      </c>
      <c r="Y23" s="5" t="s">
        <v>1012</v>
      </c>
      <c r="Z23" s="5" t="s">
        <v>1013</v>
      </c>
      <c r="AA23" s="5" t="s">
        <v>1014</v>
      </c>
      <c r="AB23" s="5" t="s">
        <v>1015</v>
      </c>
      <c r="AC23" s="5" t="s">
        <v>1016</v>
      </c>
      <c r="AD23" s="5" t="s">
        <v>1017</v>
      </c>
      <c r="AE23" s="5" t="s">
        <v>1006</v>
      </c>
      <c r="AF23" s="5" t="s">
        <v>1018</v>
      </c>
      <c r="AG23" s="5" t="s">
        <v>1019</v>
      </c>
      <c r="AH23" s="5" t="s">
        <v>702</v>
      </c>
      <c r="AI23" s="5" t="s">
        <v>716</v>
      </c>
      <c r="AJ23" s="5" t="s">
        <v>1006</v>
      </c>
      <c r="AK23" s="5" t="s">
        <v>702</v>
      </c>
      <c r="AL23" s="5" t="s">
        <v>1020</v>
      </c>
      <c r="AM23" s="5" t="s">
        <v>1021</v>
      </c>
      <c r="AN23" s="5" t="s">
        <v>719</v>
      </c>
    </row>
    <row r="24" ht="15.75" customHeight="1">
      <c r="A24" s="4">
        <v>6.0</v>
      </c>
      <c r="B24" s="5" t="s">
        <v>101</v>
      </c>
      <c r="C24" s="5" t="s">
        <v>1022</v>
      </c>
      <c r="D24" s="5" t="s">
        <v>1023</v>
      </c>
      <c r="E24" s="5" t="s">
        <v>780</v>
      </c>
      <c r="F24" s="5" t="s">
        <v>1024</v>
      </c>
      <c r="H24" s="5" t="s">
        <v>1024</v>
      </c>
      <c r="I24" s="5" t="s">
        <v>1024</v>
      </c>
      <c r="J24" s="5" t="s">
        <v>1025</v>
      </c>
      <c r="K24" s="5" t="s">
        <v>1026</v>
      </c>
      <c r="L24" s="5" t="s">
        <v>251</v>
      </c>
      <c r="M24" s="5" t="s">
        <v>109</v>
      </c>
      <c r="N24" s="5" t="s">
        <v>109</v>
      </c>
      <c r="O24" s="5" t="s">
        <v>1027</v>
      </c>
      <c r="P24" s="5" t="s">
        <v>477</v>
      </c>
      <c r="Q24" s="5" t="s">
        <v>1028</v>
      </c>
      <c r="R24" s="5" t="s">
        <v>1029</v>
      </c>
      <c r="S24" s="5" t="s">
        <v>1030</v>
      </c>
      <c r="T24" s="5" t="s">
        <v>105</v>
      </c>
      <c r="U24" s="5" t="s">
        <v>1024</v>
      </c>
      <c r="V24" s="5" t="s">
        <v>109</v>
      </c>
      <c r="W24" s="5" t="s">
        <v>1031</v>
      </c>
      <c r="X24" s="5" t="s">
        <v>1032</v>
      </c>
      <c r="Y24" s="5" t="s">
        <v>1030</v>
      </c>
      <c r="Z24" s="5" t="s">
        <v>1033</v>
      </c>
      <c r="AA24" s="5" t="s">
        <v>1034</v>
      </c>
      <c r="AB24" s="5" t="s">
        <v>1035</v>
      </c>
      <c r="AC24" s="5" t="s">
        <v>1030</v>
      </c>
      <c r="AD24" s="5" t="s">
        <v>1030</v>
      </c>
      <c r="AE24" s="5" t="s">
        <v>1036</v>
      </c>
      <c r="AF24" s="5" t="s">
        <v>1030</v>
      </c>
      <c r="AG24" s="5" t="s">
        <v>1030</v>
      </c>
      <c r="AH24" s="5" t="s">
        <v>1037</v>
      </c>
      <c r="AI24" s="5" t="s">
        <v>1030</v>
      </c>
      <c r="AJ24" s="5" t="s">
        <v>1038</v>
      </c>
      <c r="AK24" s="5" t="s">
        <v>1030</v>
      </c>
      <c r="AL24" s="5" t="s">
        <v>1039</v>
      </c>
      <c r="AM24" s="5" t="s">
        <v>1030</v>
      </c>
      <c r="AN24" s="5" t="s">
        <v>1030</v>
      </c>
    </row>
    <row r="25" ht="15.75" customHeight="1">
      <c r="A25" s="4">
        <v>6.0</v>
      </c>
      <c r="B25" s="5" t="s">
        <v>112</v>
      </c>
      <c r="C25" s="5" t="s">
        <v>1040</v>
      </c>
      <c r="D25" s="5" t="s">
        <v>1041</v>
      </c>
      <c r="F25" s="5" t="s">
        <v>1042</v>
      </c>
      <c r="G25" s="5" t="s">
        <v>109</v>
      </c>
      <c r="H25" s="5" t="s">
        <v>1042</v>
      </c>
      <c r="I25" s="5" t="s">
        <v>1042</v>
      </c>
      <c r="J25" s="5" t="s">
        <v>115</v>
      </c>
      <c r="K25" s="5" t="s">
        <v>1042</v>
      </c>
      <c r="L25" s="5" t="s">
        <v>1042</v>
      </c>
      <c r="M25" s="5" t="s">
        <v>1043</v>
      </c>
      <c r="N25" s="5" t="s">
        <v>902</v>
      </c>
      <c r="O25" s="5" t="s">
        <v>1044</v>
      </c>
      <c r="P25" s="5" t="s">
        <v>115</v>
      </c>
      <c r="Q25" s="5" t="s">
        <v>1042</v>
      </c>
      <c r="R25" s="5" t="s">
        <v>1045</v>
      </c>
      <c r="S25" s="5" t="s">
        <v>1046</v>
      </c>
      <c r="U25" s="5" t="s">
        <v>1042</v>
      </c>
      <c r="W25" s="5" t="s">
        <v>1047</v>
      </c>
      <c r="AB25" s="5" t="s">
        <v>1042</v>
      </c>
      <c r="AE25" s="5" t="s">
        <v>1048</v>
      </c>
      <c r="AF25" s="5" t="s">
        <v>115</v>
      </c>
    </row>
    <row r="26" ht="15.75" customHeight="1">
      <c r="A26" s="4">
        <v>6.0</v>
      </c>
      <c r="B26" s="5" t="s">
        <v>734</v>
      </c>
      <c r="C26" s="5" t="s">
        <v>1049</v>
      </c>
      <c r="D26" s="5" t="s">
        <v>1050</v>
      </c>
      <c r="N26" s="5" t="s">
        <v>902</v>
      </c>
    </row>
    <row r="27" ht="15.75" customHeight="1">
      <c r="A27" s="4">
        <v>6.0</v>
      </c>
      <c r="B27" s="5" t="s">
        <v>746</v>
      </c>
      <c r="C27" s="5" t="s">
        <v>1051</v>
      </c>
      <c r="D27" s="5" t="s">
        <v>1052</v>
      </c>
      <c r="R27" s="5" t="s">
        <v>1053</v>
      </c>
      <c r="AL27" s="5" t="s">
        <v>1054</v>
      </c>
    </row>
    <row r="28" ht="15.75" customHeight="1">
      <c r="A28" s="4">
        <v>6.0</v>
      </c>
      <c r="B28" s="5" t="s">
        <v>752</v>
      </c>
      <c r="C28" s="5" t="s">
        <v>1055</v>
      </c>
      <c r="D28" s="5" t="s">
        <v>1056</v>
      </c>
      <c r="O28" s="5" t="s">
        <v>1057</v>
      </c>
    </row>
    <row r="29" ht="15.75" customHeight="1">
      <c r="A29" s="4">
        <v>6.0</v>
      </c>
      <c r="B29" s="5" t="s">
        <v>1058</v>
      </c>
      <c r="C29" s="5" t="s">
        <v>1059</v>
      </c>
      <c r="D29" s="5" t="s">
        <v>1060</v>
      </c>
      <c r="N29" s="5" t="s">
        <v>1061</v>
      </c>
      <c r="O29" s="5" t="s">
        <v>1062</v>
      </c>
      <c r="Q29" s="5" t="s">
        <v>1063</v>
      </c>
      <c r="X29" s="5" t="s">
        <v>902</v>
      </c>
      <c r="AD29" s="5" t="s">
        <v>902</v>
      </c>
    </row>
    <row r="30" ht="15.75" customHeight="1">
      <c r="A30" s="4">
        <v>6.0</v>
      </c>
      <c r="B30" s="5" t="s">
        <v>172</v>
      </c>
      <c r="C30" s="5" t="s">
        <v>1064</v>
      </c>
      <c r="D30" s="5" t="s">
        <v>1065</v>
      </c>
      <c r="E30" s="5" t="s">
        <v>444</v>
      </c>
      <c r="F30" s="5" t="s">
        <v>444</v>
      </c>
      <c r="G30" s="5" t="s">
        <v>760</v>
      </c>
      <c r="H30" s="5" t="s">
        <v>1066</v>
      </c>
      <c r="I30" s="5" t="s">
        <v>1066</v>
      </c>
      <c r="J30" s="5" t="s">
        <v>1067</v>
      </c>
      <c r="K30" s="5" t="s">
        <v>1068</v>
      </c>
      <c r="L30" s="5" t="s">
        <v>1068</v>
      </c>
      <c r="M30" s="5" t="s">
        <v>1069</v>
      </c>
      <c r="N30" s="5" t="s">
        <v>761</v>
      </c>
      <c r="O30" s="5" t="s">
        <v>1070</v>
      </c>
      <c r="P30" s="5" t="s">
        <v>760</v>
      </c>
      <c r="Q30" s="5" t="s">
        <v>1071</v>
      </c>
      <c r="R30" s="5" t="s">
        <v>444</v>
      </c>
      <c r="S30" s="5" t="s">
        <v>48</v>
      </c>
      <c r="T30" s="5" t="s">
        <v>443</v>
      </c>
      <c r="U30" s="5" t="s">
        <v>1068</v>
      </c>
      <c r="V30" s="5" t="s">
        <v>763</v>
      </c>
      <c r="W30" s="5" t="s">
        <v>1068</v>
      </c>
      <c r="X30" s="5" t="s">
        <v>1072</v>
      </c>
      <c r="Y30" s="5" t="s">
        <v>1073</v>
      </c>
      <c r="Z30" s="5" t="s">
        <v>760</v>
      </c>
      <c r="AA30" s="5" t="s">
        <v>1074</v>
      </c>
      <c r="AB30" s="5" t="s">
        <v>1075</v>
      </c>
      <c r="AC30" s="5" t="s">
        <v>1076</v>
      </c>
      <c r="AD30" s="5" t="s">
        <v>965</v>
      </c>
      <c r="AE30" s="5" t="s">
        <v>444</v>
      </c>
      <c r="AF30" s="5" t="s">
        <v>444</v>
      </c>
      <c r="AG30" s="5" t="s">
        <v>444</v>
      </c>
      <c r="AH30" s="5" t="s">
        <v>444</v>
      </c>
      <c r="AI30" s="5" t="s">
        <v>444</v>
      </c>
      <c r="AJ30" s="5" t="s">
        <v>444</v>
      </c>
      <c r="AK30" s="5" t="s">
        <v>444</v>
      </c>
      <c r="AL30" s="5" t="s">
        <v>444</v>
      </c>
      <c r="AM30" s="5" t="s">
        <v>444</v>
      </c>
      <c r="AN30" s="5" t="s">
        <v>444</v>
      </c>
    </row>
    <row r="31" ht="15.75" customHeight="1">
      <c r="A31" s="4">
        <v>6.0</v>
      </c>
      <c r="B31" s="5" t="s">
        <v>267</v>
      </c>
      <c r="C31" s="5" t="s">
        <v>1077</v>
      </c>
      <c r="D31" s="5" t="s">
        <v>1078</v>
      </c>
      <c r="E31" s="5" t="s">
        <v>238</v>
      </c>
      <c r="F31" s="5" t="s">
        <v>980</v>
      </c>
      <c r="G31" s="5" t="s">
        <v>238</v>
      </c>
      <c r="H31" s="5" t="s">
        <v>980</v>
      </c>
      <c r="I31" s="5" t="s">
        <v>980</v>
      </c>
      <c r="J31" s="5" t="s">
        <v>271</v>
      </c>
      <c r="K31" s="5" t="s">
        <v>1079</v>
      </c>
      <c r="L31" s="5" t="s">
        <v>271</v>
      </c>
      <c r="M31" s="5" t="s">
        <v>902</v>
      </c>
      <c r="N31" s="5" t="s">
        <v>238</v>
      </c>
      <c r="O31" s="5" t="s">
        <v>238</v>
      </c>
      <c r="P31" s="5" t="s">
        <v>1080</v>
      </c>
      <c r="Q31" s="5" t="s">
        <v>271</v>
      </c>
      <c r="R31" s="5" t="s">
        <v>238</v>
      </c>
      <c r="S31" s="5" t="s">
        <v>238</v>
      </c>
      <c r="T31" s="5" t="s">
        <v>770</v>
      </c>
      <c r="U31" s="5" t="s">
        <v>271</v>
      </c>
      <c r="V31" s="5" t="s">
        <v>238</v>
      </c>
      <c r="W31" s="5" t="s">
        <v>271</v>
      </c>
      <c r="X31" s="5" t="s">
        <v>271</v>
      </c>
      <c r="Y31" s="5" t="s">
        <v>238</v>
      </c>
      <c r="Z31" s="5" t="s">
        <v>1081</v>
      </c>
      <c r="AA31" s="5" t="s">
        <v>1082</v>
      </c>
      <c r="AB31" s="5" t="s">
        <v>271</v>
      </c>
      <c r="AC31" s="5" t="s">
        <v>271</v>
      </c>
      <c r="AD31" s="5" t="s">
        <v>271</v>
      </c>
      <c r="AE31" s="5" t="s">
        <v>271</v>
      </c>
      <c r="AF31" s="5" t="s">
        <v>238</v>
      </c>
      <c r="AG31" s="5" t="s">
        <v>238</v>
      </c>
      <c r="AH31" s="5" t="s">
        <v>273</v>
      </c>
      <c r="AI31" s="5" t="s">
        <v>240</v>
      </c>
      <c r="AJ31" s="5" t="s">
        <v>913</v>
      </c>
      <c r="AK31" s="5" t="s">
        <v>238</v>
      </c>
      <c r="AL31" s="5" t="s">
        <v>238</v>
      </c>
      <c r="AM31" s="5" t="s">
        <v>238</v>
      </c>
      <c r="AN31" s="5" t="s">
        <v>238</v>
      </c>
    </row>
    <row r="32" ht="15.75" customHeight="1">
      <c r="A32" s="4">
        <v>6.0</v>
      </c>
      <c r="B32" s="5" t="s">
        <v>773</v>
      </c>
      <c r="C32" s="5" t="s">
        <v>1083</v>
      </c>
      <c r="D32" s="5" t="s">
        <v>1084</v>
      </c>
      <c r="E32" s="5" t="s">
        <v>776</v>
      </c>
      <c r="F32" s="5" t="s">
        <v>776</v>
      </c>
      <c r="G32" s="5" t="s">
        <v>776</v>
      </c>
      <c r="H32" s="5" t="s">
        <v>1085</v>
      </c>
      <c r="I32" s="5" t="s">
        <v>1085</v>
      </c>
      <c r="J32" s="5" t="s">
        <v>1086</v>
      </c>
      <c r="K32" s="5" t="s">
        <v>1087</v>
      </c>
      <c r="L32" s="5" t="s">
        <v>1088</v>
      </c>
      <c r="M32" s="5" t="s">
        <v>776</v>
      </c>
      <c r="N32" s="5" t="s">
        <v>776</v>
      </c>
      <c r="O32" s="5" t="s">
        <v>1088</v>
      </c>
      <c r="P32" s="5" t="s">
        <v>776</v>
      </c>
      <c r="Q32" s="5" t="s">
        <v>1088</v>
      </c>
      <c r="R32" s="5" t="s">
        <v>776</v>
      </c>
      <c r="S32" s="5" t="s">
        <v>1089</v>
      </c>
      <c r="T32" s="5" t="s">
        <v>1089</v>
      </c>
      <c r="U32" s="5" t="s">
        <v>1088</v>
      </c>
      <c r="V32" s="5" t="s">
        <v>776</v>
      </c>
      <c r="W32" s="5" t="s">
        <v>1088</v>
      </c>
      <c r="X32" s="5" t="s">
        <v>776</v>
      </c>
      <c r="Z32" s="5" t="s">
        <v>776</v>
      </c>
      <c r="AA32" s="5" t="s">
        <v>776</v>
      </c>
    </row>
    <row r="33" ht="15.75" customHeight="1">
      <c r="A33" s="4">
        <v>6.0</v>
      </c>
      <c r="B33" s="5" t="s">
        <v>274</v>
      </c>
      <c r="C33" s="5" t="s">
        <v>1090</v>
      </c>
      <c r="D33" s="5" t="s">
        <v>1091</v>
      </c>
      <c r="E33" s="5" t="s">
        <v>780</v>
      </c>
      <c r="F33" s="5" t="s">
        <v>1092</v>
      </c>
      <c r="G33" s="5" t="s">
        <v>780</v>
      </c>
      <c r="H33" s="5" t="s">
        <v>277</v>
      </c>
      <c r="I33" s="5" t="s">
        <v>277</v>
      </c>
      <c r="J33" s="5" t="s">
        <v>1025</v>
      </c>
      <c r="K33" s="5" t="s">
        <v>1093</v>
      </c>
      <c r="L33" s="5" t="s">
        <v>277</v>
      </c>
      <c r="M33" s="5" t="s">
        <v>780</v>
      </c>
      <c r="N33" s="5" t="s">
        <v>780</v>
      </c>
      <c r="O33" s="5" t="s">
        <v>1094</v>
      </c>
      <c r="P33" s="5" t="s">
        <v>1095</v>
      </c>
      <c r="Q33" s="5" t="s">
        <v>1096</v>
      </c>
      <c r="R33" s="5" t="s">
        <v>1097</v>
      </c>
      <c r="S33" s="5" t="s">
        <v>1098</v>
      </c>
      <c r="T33" s="5" t="s">
        <v>785</v>
      </c>
      <c r="U33" s="5" t="s">
        <v>1092</v>
      </c>
      <c r="V33" s="5" t="s">
        <v>902</v>
      </c>
      <c r="W33" s="5" t="s">
        <v>1099</v>
      </c>
      <c r="X33" s="5" t="s">
        <v>1100</v>
      </c>
      <c r="Y33" s="5" t="s">
        <v>780</v>
      </c>
      <c r="Z33" s="5" t="s">
        <v>1101</v>
      </c>
      <c r="AA33" s="5" t="s">
        <v>1102</v>
      </c>
      <c r="AB33" s="5" t="s">
        <v>277</v>
      </c>
      <c r="AC33" s="5" t="s">
        <v>780</v>
      </c>
      <c r="AD33" s="5" t="s">
        <v>780</v>
      </c>
      <c r="AE33" s="5" t="s">
        <v>1103</v>
      </c>
      <c r="AF33" s="5" t="s">
        <v>780</v>
      </c>
      <c r="AG33" s="5" t="s">
        <v>1104</v>
      </c>
      <c r="AH33" s="5" t="s">
        <v>780</v>
      </c>
      <c r="AI33" s="5" t="s">
        <v>780</v>
      </c>
      <c r="AJ33" s="5" t="s">
        <v>907</v>
      </c>
      <c r="AK33" s="5" t="s">
        <v>780</v>
      </c>
      <c r="AL33" s="5" t="s">
        <v>1105</v>
      </c>
      <c r="AM33" s="5" t="s">
        <v>780</v>
      </c>
      <c r="AN33" s="5" t="s">
        <v>780</v>
      </c>
    </row>
    <row r="34" ht="15.75" customHeight="1">
      <c r="A34" s="4">
        <v>6.0</v>
      </c>
      <c r="B34" s="5" t="s">
        <v>788</v>
      </c>
      <c r="C34" s="5" t="s">
        <v>1106</v>
      </c>
      <c r="D34" s="5" t="s">
        <v>1107</v>
      </c>
      <c r="O34" s="5" t="s">
        <v>1108</v>
      </c>
      <c r="R34" s="5" t="s">
        <v>1109</v>
      </c>
      <c r="AL34" s="5" t="s">
        <v>1110</v>
      </c>
    </row>
    <row r="35" ht="15.75" customHeight="1">
      <c r="A35" s="4">
        <v>6.0</v>
      </c>
      <c r="B35" s="5" t="s">
        <v>794</v>
      </c>
      <c r="C35" s="5" t="s">
        <v>1111</v>
      </c>
      <c r="D35" s="5" t="s">
        <v>1112</v>
      </c>
      <c r="E35" s="5" t="s">
        <v>1113</v>
      </c>
      <c r="F35" s="5" t="s">
        <v>1114</v>
      </c>
      <c r="G35" s="5" t="s">
        <v>1115</v>
      </c>
      <c r="H35" s="5" t="s">
        <v>1116</v>
      </c>
      <c r="I35" s="5" t="s">
        <v>1117</v>
      </c>
      <c r="J35" s="5" t="s">
        <v>1005</v>
      </c>
      <c r="K35" s="5" t="s">
        <v>1118</v>
      </c>
      <c r="L35" s="5" t="s">
        <v>1119</v>
      </c>
      <c r="M35" s="5" t="s">
        <v>1120</v>
      </c>
      <c r="N35" s="5" t="s">
        <v>1121</v>
      </c>
      <c r="O35" s="5" t="s">
        <v>1122</v>
      </c>
      <c r="P35" s="5" t="s">
        <v>1123</v>
      </c>
      <c r="Q35" s="5" t="s">
        <v>1114</v>
      </c>
      <c r="R35" s="5" t="s">
        <v>1124</v>
      </c>
      <c r="S35" s="5" t="s">
        <v>1125</v>
      </c>
      <c r="T35" s="5" t="s">
        <v>1126</v>
      </c>
      <c r="U35" s="5" t="s">
        <v>1127</v>
      </c>
      <c r="V35" s="5" t="s">
        <v>1128</v>
      </c>
      <c r="W35" s="5" t="s">
        <v>1129</v>
      </c>
      <c r="X35" s="5" t="s">
        <v>1130</v>
      </c>
      <c r="Y35" s="5" t="s">
        <v>1131</v>
      </c>
      <c r="Z35" s="5" t="s">
        <v>1132</v>
      </c>
      <c r="AA35" s="5" t="s">
        <v>1133</v>
      </c>
      <c r="AB35" s="5" t="s">
        <v>1134</v>
      </c>
      <c r="AC35" s="5" t="s">
        <v>1135</v>
      </c>
      <c r="AD35" s="5" t="s">
        <v>1136</v>
      </c>
      <c r="AE35" s="5" t="s">
        <v>1129</v>
      </c>
      <c r="AF35" s="5" t="s">
        <v>808</v>
      </c>
      <c r="AG35" s="5" t="s">
        <v>1137</v>
      </c>
      <c r="AH35" s="5" t="s">
        <v>1120</v>
      </c>
      <c r="AI35" s="5" t="s">
        <v>1138</v>
      </c>
      <c r="AJ35" s="5" t="s">
        <v>1139</v>
      </c>
      <c r="AK35" s="5" t="s">
        <v>797</v>
      </c>
      <c r="AL35" s="5" t="s">
        <v>1140</v>
      </c>
      <c r="AM35" s="5" t="s">
        <v>1141</v>
      </c>
      <c r="AN35" s="5" t="s">
        <v>1142</v>
      </c>
    </row>
    <row r="36" ht="15.75" customHeight="1">
      <c r="A36" s="4">
        <v>6.0</v>
      </c>
      <c r="B36" s="5" t="s">
        <v>813</v>
      </c>
      <c r="C36" s="5" t="s">
        <v>1143</v>
      </c>
      <c r="D36" s="5" t="s">
        <v>1144</v>
      </c>
      <c r="M36" s="5" t="s">
        <v>1145</v>
      </c>
    </row>
    <row r="37" ht="15.75" customHeight="1">
      <c r="A37" s="4">
        <v>6.0</v>
      </c>
      <c r="B37" s="5" t="s">
        <v>1146</v>
      </c>
      <c r="C37" s="5" t="s">
        <v>1147</v>
      </c>
      <c r="D37" s="5" t="s">
        <v>1148</v>
      </c>
      <c r="J37" s="5" t="s">
        <v>1063</v>
      </c>
      <c r="K37" s="5" t="s">
        <v>1063</v>
      </c>
      <c r="N37" s="5" t="s">
        <v>1149</v>
      </c>
      <c r="O37" s="5" t="s">
        <v>1062</v>
      </c>
      <c r="P37" s="5" t="s">
        <v>532</v>
      </c>
      <c r="Q37" s="5" t="s">
        <v>1062</v>
      </c>
      <c r="X37" s="5" t="s">
        <v>902</v>
      </c>
      <c r="AD37" s="5" t="s">
        <v>902</v>
      </c>
    </row>
    <row r="38" ht="15.75" customHeight="1">
      <c r="A38" s="4">
        <v>6.0</v>
      </c>
      <c r="B38" s="5" t="s">
        <v>309</v>
      </c>
      <c r="C38" s="5" t="s">
        <v>1150</v>
      </c>
      <c r="D38" s="5" t="s">
        <v>1151</v>
      </c>
      <c r="E38" s="5" t="s">
        <v>238</v>
      </c>
      <c r="F38" s="5" t="s">
        <v>980</v>
      </c>
      <c r="G38" s="5" t="s">
        <v>238</v>
      </c>
      <c r="H38" s="5" t="s">
        <v>1152</v>
      </c>
      <c r="I38" s="5" t="s">
        <v>1152</v>
      </c>
      <c r="J38" s="5" t="s">
        <v>271</v>
      </c>
      <c r="K38" s="5" t="s">
        <v>1153</v>
      </c>
      <c r="L38" s="5" t="s">
        <v>271</v>
      </c>
      <c r="M38" s="5" t="s">
        <v>902</v>
      </c>
      <c r="N38" s="5" t="s">
        <v>238</v>
      </c>
      <c r="O38" s="5" t="s">
        <v>1154</v>
      </c>
      <c r="P38" s="5" t="s">
        <v>1154</v>
      </c>
      <c r="Q38" s="5" t="s">
        <v>271</v>
      </c>
      <c r="R38" s="5" t="s">
        <v>238</v>
      </c>
      <c r="S38" s="5" t="s">
        <v>238</v>
      </c>
      <c r="T38" s="5" t="s">
        <v>770</v>
      </c>
      <c r="U38" s="5" t="s">
        <v>271</v>
      </c>
      <c r="V38" s="5" t="s">
        <v>238</v>
      </c>
      <c r="W38" s="5" t="s">
        <v>271</v>
      </c>
      <c r="X38" s="5" t="s">
        <v>271</v>
      </c>
      <c r="Y38" s="5" t="s">
        <v>238</v>
      </c>
      <c r="Z38" s="5" t="s">
        <v>1081</v>
      </c>
      <c r="AA38" s="5" t="s">
        <v>1155</v>
      </c>
      <c r="AB38" s="5" t="s">
        <v>1156</v>
      </c>
      <c r="AC38" s="5" t="s">
        <v>271</v>
      </c>
      <c r="AD38" s="5" t="s">
        <v>271</v>
      </c>
      <c r="AE38" s="5" t="s">
        <v>271</v>
      </c>
      <c r="AF38" s="5" t="s">
        <v>238</v>
      </c>
      <c r="AG38" s="5" t="s">
        <v>238</v>
      </c>
      <c r="AH38" s="5" t="s">
        <v>273</v>
      </c>
      <c r="AI38" s="5" t="s">
        <v>238</v>
      </c>
      <c r="AJ38" s="5" t="s">
        <v>913</v>
      </c>
      <c r="AK38" s="5" t="s">
        <v>238</v>
      </c>
      <c r="AL38" s="5" t="s">
        <v>238</v>
      </c>
      <c r="AM38" s="5" t="s">
        <v>238</v>
      </c>
      <c r="AN38" s="5" t="s">
        <v>238</v>
      </c>
    </row>
    <row r="39" ht="15.75" customHeight="1">
      <c r="A39" s="4">
        <v>6.0</v>
      </c>
      <c r="B39" s="5" t="s">
        <v>314</v>
      </c>
      <c r="C39" s="5" t="s">
        <v>1157</v>
      </c>
      <c r="D39" s="5" t="s">
        <v>1158</v>
      </c>
      <c r="E39" s="5" t="s">
        <v>780</v>
      </c>
      <c r="F39" s="5" t="s">
        <v>1092</v>
      </c>
      <c r="G39" s="5" t="s">
        <v>780</v>
      </c>
      <c r="H39" s="5" t="s">
        <v>277</v>
      </c>
      <c r="I39" s="5" t="s">
        <v>277</v>
      </c>
      <c r="J39" s="5" t="s">
        <v>1159</v>
      </c>
      <c r="K39" s="5" t="s">
        <v>1093</v>
      </c>
      <c r="L39" s="5" t="s">
        <v>277</v>
      </c>
      <c r="M39" s="5" t="s">
        <v>780</v>
      </c>
      <c r="N39" s="5" t="s">
        <v>780</v>
      </c>
      <c r="O39" s="5" t="s">
        <v>1160</v>
      </c>
      <c r="P39" s="5" t="s">
        <v>824</v>
      </c>
      <c r="Q39" s="5" t="s">
        <v>1096</v>
      </c>
      <c r="R39" s="5" t="s">
        <v>1161</v>
      </c>
      <c r="S39" s="5" t="s">
        <v>1162</v>
      </c>
      <c r="T39" s="5" t="s">
        <v>785</v>
      </c>
      <c r="U39" s="5" t="s">
        <v>1092</v>
      </c>
      <c r="V39" s="5" t="s">
        <v>780</v>
      </c>
      <c r="W39" s="5" t="s">
        <v>1099</v>
      </c>
      <c r="X39" s="5" t="s">
        <v>1100</v>
      </c>
      <c r="Y39" s="5" t="s">
        <v>780</v>
      </c>
      <c r="Z39" s="5" t="s">
        <v>902</v>
      </c>
      <c r="AA39" s="5" t="s">
        <v>1163</v>
      </c>
      <c r="AB39" s="5" t="s">
        <v>1164</v>
      </c>
      <c r="AC39" s="5" t="s">
        <v>780</v>
      </c>
      <c r="AD39" s="5" t="s">
        <v>780</v>
      </c>
      <c r="AE39" s="5" t="s">
        <v>1103</v>
      </c>
      <c r="AF39" s="5" t="s">
        <v>780</v>
      </c>
      <c r="AG39" s="5" t="s">
        <v>780</v>
      </c>
      <c r="AH39" s="5" t="s">
        <v>780</v>
      </c>
      <c r="AI39" s="5" t="s">
        <v>780</v>
      </c>
      <c r="AJ39" s="5" t="s">
        <v>907</v>
      </c>
      <c r="AK39" s="5" t="s">
        <v>780</v>
      </c>
      <c r="AL39" s="5" t="s">
        <v>1105</v>
      </c>
      <c r="AM39" s="5" t="s">
        <v>780</v>
      </c>
      <c r="AN39" s="5" t="s">
        <v>780</v>
      </c>
    </row>
    <row r="40" ht="15.75" customHeight="1">
      <c r="A40" s="4">
        <v>6.0</v>
      </c>
      <c r="B40" s="5" t="s">
        <v>122</v>
      </c>
      <c r="C40" s="5" t="s">
        <v>1165</v>
      </c>
      <c r="D40" s="5" t="s">
        <v>321</v>
      </c>
      <c r="E40" s="5" t="s">
        <v>1166</v>
      </c>
      <c r="F40" s="5" t="s">
        <v>1167</v>
      </c>
      <c r="G40" s="5" t="s">
        <v>566</v>
      </c>
      <c r="H40" s="5" t="s">
        <v>545</v>
      </c>
      <c r="I40" s="5" t="s">
        <v>1168</v>
      </c>
      <c r="J40" s="5" t="s">
        <v>1169</v>
      </c>
      <c r="K40" s="5" t="s">
        <v>1170</v>
      </c>
      <c r="L40" s="5" t="s">
        <v>1171</v>
      </c>
      <c r="M40" s="5" t="s">
        <v>1172</v>
      </c>
      <c r="N40" s="5" t="s">
        <v>1173</v>
      </c>
      <c r="O40" s="5" t="s">
        <v>1174</v>
      </c>
      <c r="P40" s="5" t="s">
        <v>1175</v>
      </c>
      <c r="Q40" s="5" t="s">
        <v>1176</v>
      </c>
      <c r="R40" s="5" t="s">
        <v>1177</v>
      </c>
      <c r="S40" s="5" t="s">
        <v>1178</v>
      </c>
      <c r="T40" s="5" t="s">
        <v>548</v>
      </c>
      <c r="U40" s="5" t="s">
        <v>1179</v>
      </c>
      <c r="V40" s="5" t="s">
        <v>680</v>
      </c>
      <c r="W40" s="5" t="s">
        <v>1180</v>
      </c>
      <c r="X40" s="5" t="s">
        <v>1181</v>
      </c>
      <c r="Y40" s="5" t="s">
        <v>1182</v>
      </c>
      <c r="Z40" s="5" t="s">
        <v>1183</v>
      </c>
      <c r="AA40" s="5" t="s">
        <v>1184</v>
      </c>
      <c r="AB40" s="5" t="s">
        <v>1185</v>
      </c>
      <c r="AC40" s="5" t="s">
        <v>1186</v>
      </c>
      <c r="AD40" s="5" t="s">
        <v>1187</v>
      </c>
      <c r="AE40" s="5" t="s">
        <v>1188</v>
      </c>
      <c r="AF40" s="5" t="s">
        <v>1189</v>
      </c>
      <c r="AG40" s="5" t="s">
        <v>1190</v>
      </c>
      <c r="AH40" s="5" t="s">
        <v>1191</v>
      </c>
      <c r="AI40" s="5" t="s">
        <v>1192</v>
      </c>
      <c r="AJ40" s="5" t="s">
        <v>1193</v>
      </c>
      <c r="AK40" s="5" t="s">
        <v>1194</v>
      </c>
      <c r="AL40" s="5" t="s">
        <v>1195</v>
      </c>
      <c r="AM40" s="5" t="s">
        <v>1196</v>
      </c>
      <c r="AN40" s="5" t="s">
        <v>558</v>
      </c>
    </row>
    <row r="41" ht="15.75" customHeight="1">
      <c r="A41" s="4">
        <v>6.0</v>
      </c>
      <c r="B41" s="5" t="s">
        <v>139</v>
      </c>
      <c r="C41" s="5" t="s">
        <v>1197</v>
      </c>
      <c r="D41" s="5" t="s">
        <v>1198</v>
      </c>
      <c r="E41" s="5" t="s">
        <v>240</v>
      </c>
      <c r="F41" s="5" t="s">
        <v>841</v>
      </c>
      <c r="G41" s="5" t="s">
        <v>240</v>
      </c>
      <c r="H41" s="5" t="s">
        <v>841</v>
      </c>
      <c r="I41" s="5" t="s">
        <v>841</v>
      </c>
      <c r="J41" s="5" t="s">
        <v>1199</v>
      </c>
      <c r="K41" s="5" t="s">
        <v>1200</v>
      </c>
      <c r="L41" s="5" t="s">
        <v>561</v>
      </c>
      <c r="M41" s="5" t="s">
        <v>902</v>
      </c>
      <c r="N41" s="5" t="s">
        <v>142</v>
      </c>
      <c r="O41" s="5" t="s">
        <v>1201</v>
      </c>
      <c r="P41" s="5" t="s">
        <v>142</v>
      </c>
      <c r="Q41" s="5" t="s">
        <v>1202</v>
      </c>
      <c r="R41" s="5" t="s">
        <v>142</v>
      </c>
      <c r="S41" s="5" t="s">
        <v>1203</v>
      </c>
      <c r="T41" s="5" t="s">
        <v>1204</v>
      </c>
      <c r="U41" s="5" t="s">
        <v>841</v>
      </c>
      <c r="V41" s="5" t="s">
        <v>142</v>
      </c>
      <c r="W41" s="5" t="s">
        <v>561</v>
      </c>
      <c r="X41" s="5" t="s">
        <v>841</v>
      </c>
      <c r="Y41" s="5" t="s">
        <v>142</v>
      </c>
      <c r="Z41" s="5" t="s">
        <v>902</v>
      </c>
      <c r="AA41" s="5" t="s">
        <v>1205</v>
      </c>
      <c r="AB41" s="5" t="s">
        <v>1206</v>
      </c>
      <c r="AC41" s="5" t="s">
        <v>1207</v>
      </c>
      <c r="AD41" s="5" t="s">
        <v>1208</v>
      </c>
      <c r="AE41" s="5" t="s">
        <v>305</v>
      </c>
      <c r="AF41" s="5" t="s">
        <v>238</v>
      </c>
      <c r="AG41" s="5" t="s">
        <v>1209</v>
      </c>
      <c r="AH41" s="5" t="s">
        <v>273</v>
      </c>
      <c r="AI41" s="5" t="s">
        <v>240</v>
      </c>
      <c r="AJ41" s="5" t="s">
        <v>1210</v>
      </c>
      <c r="AK41" s="5" t="s">
        <v>240</v>
      </c>
      <c r="AL41" s="5" t="s">
        <v>240</v>
      </c>
      <c r="AM41" s="5" t="s">
        <v>240</v>
      </c>
      <c r="AN41" s="5" t="s">
        <v>240</v>
      </c>
    </row>
    <row r="42" ht="15.75" customHeight="1">
      <c r="A42" s="4">
        <v>6.0</v>
      </c>
      <c r="B42" s="5" t="s">
        <v>162</v>
      </c>
      <c r="C42" s="5" t="s">
        <v>341</v>
      </c>
      <c r="D42" s="5" t="s">
        <v>342</v>
      </c>
      <c r="E42" s="5" t="s">
        <v>906</v>
      </c>
      <c r="F42" s="5" t="s">
        <v>1211</v>
      </c>
      <c r="G42" s="5" t="s">
        <v>906</v>
      </c>
      <c r="H42" s="5" t="s">
        <v>1212</v>
      </c>
      <c r="I42" s="5" t="s">
        <v>1212</v>
      </c>
      <c r="J42" s="5" t="s">
        <v>1213</v>
      </c>
      <c r="K42" s="5" t="s">
        <v>1214</v>
      </c>
      <c r="L42" s="5" t="s">
        <v>1215</v>
      </c>
      <c r="M42" s="5" t="s">
        <v>902</v>
      </c>
      <c r="N42" s="5" t="s">
        <v>1216</v>
      </c>
      <c r="O42" s="5" t="s">
        <v>1217</v>
      </c>
      <c r="P42" s="5" t="s">
        <v>1218</v>
      </c>
      <c r="Q42" s="5" t="s">
        <v>1219</v>
      </c>
      <c r="R42" s="5" t="s">
        <v>1220</v>
      </c>
      <c r="S42" s="5" t="s">
        <v>1221</v>
      </c>
      <c r="T42" s="5" t="s">
        <v>1222</v>
      </c>
      <c r="U42" s="5" t="s">
        <v>1223</v>
      </c>
      <c r="V42" s="5" t="s">
        <v>902</v>
      </c>
      <c r="W42" s="5" t="s">
        <v>1224</v>
      </c>
      <c r="X42" s="5" t="s">
        <v>1225</v>
      </c>
      <c r="Y42" s="5" t="s">
        <v>845</v>
      </c>
      <c r="Z42" s="5" t="s">
        <v>902</v>
      </c>
      <c r="AA42" s="5" t="s">
        <v>1226</v>
      </c>
      <c r="AB42" s="5" t="s">
        <v>1215</v>
      </c>
      <c r="AC42" s="5" t="s">
        <v>845</v>
      </c>
      <c r="AD42" s="5" t="s">
        <v>845</v>
      </c>
      <c r="AE42" s="5" t="s">
        <v>1227</v>
      </c>
      <c r="AF42" s="5" t="s">
        <v>780</v>
      </c>
      <c r="AG42" s="5" t="s">
        <v>780</v>
      </c>
      <c r="AH42" s="5" t="s">
        <v>902</v>
      </c>
      <c r="AI42" s="5" t="s">
        <v>906</v>
      </c>
      <c r="AJ42" s="5" t="s">
        <v>1228</v>
      </c>
      <c r="AK42" s="5" t="s">
        <v>906</v>
      </c>
      <c r="AL42" s="5" t="s">
        <v>908</v>
      </c>
      <c r="AM42" s="5" t="s">
        <v>906</v>
      </c>
      <c r="AN42" s="5" t="s">
        <v>780</v>
      </c>
    </row>
    <row r="43" ht="15.75" customHeight="1">
      <c r="A43" s="4">
        <v>6.0</v>
      </c>
      <c r="B43" s="5" t="s">
        <v>1229</v>
      </c>
      <c r="C43" s="5" t="s">
        <v>1230</v>
      </c>
      <c r="D43" s="5" t="s">
        <v>1231</v>
      </c>
      <c r="E43" s="5" t="s">
        <v>1232</v>
      </c>
      <c r="G43" s="5" t="s">
        <v>1232</v>
      </c>
      <c r="H43" s="5" t="s">
        <v>1233</v>
      </c>
      <c r="I43" s="5" t="s">
        <v>1233</v>
      </c>
      <c r="K43" s="5" t="s">
        <v>1234</v>
      </c>
      <c r="L43" s="5" t="s">
        <v>1235</v>
      </c>
      <c r="M43" s="5" t="s">
        <v>1236</v>
      </c>
      <c r="N43" s="5" t="s">
        <v>1237</v>
      </c>
      <c r="O43" s="5" t="s">
        <v>1234</v>
      </c>
      <c r="Q43" s="5" t="s">
        <v>1234</v>
      </c>
      <c r="S43" s="5" t="s">
        <v>523</v>
      </c>
      <c r="U43" s="5" t="s">
        <v>1234</v>
      </c>
      <c r="AD43" s="5" t="s">
        <v>902</v>
      </c>
    </row>
    <row r="44" ht="15.75" customHeight="1">
      <c r="A44" s="4">
        <v>6.0</v>
      </c>
      <c r="B44" s="5" t="s">
        <v>347</v>
      </c>
      <c r="C44" s="5" t="s">
        <v>1238</v>
      </c>
      <c r="D44" s="5" t="s">
        <v>1239</v>
      </c>
      <c r="E44" s="5" t="s">
        <v>240</v>
      </c>
      <c r="F44" s="5" t="s">
        <v>841</v>
      </c>
      <c r="G44" s="5" t="s">
        <v>240</v>
      </c>
      <c r="H44" s="5" t="s">
        <v>76</v>
      </c>
      <c r="I44" s="5" t="s">
        <v>76</v>
      </c>
      <c r="J44" s="5" t="s">
        <v>305</v>
      </c>
      <c r="K44" s="5" t="s">
        <v>1200</v>
      </c>
      <c r="L44" s="5" t="s">
        <v>305</v>
      </c>
      <c r="N44" s="5" t="s">
        <v>238</v>
      </c>
      <c r="O44" s="5" t="s">
        <v>1240</v>
      </c>
      <c r="P44" s="5" t="s">
        <v>1154</v>
      </c>
      <c r="Q44" s="5" t="s">
        <v>365</v>
      </c>
      <c r="R44" s="5" t="s">
        <v>238</v>
      </c>
      <c r="S44" s="5" t="s">
        <v>66</v>
      </c>
      <c r="T44" s="5" t="s">
        <v>770</v>
      </c>
      <c r="U44" s="5" t="s">
        <v>271</v>
      </c>
      <c r="V44" s="5" t="s">
        <v>238</v>
      </c>
      <c r="W44" s="5" t="s">
        <v>271</v>
      </c>
      <c r="X44" s="5" t="s">
        <v>271</v>
      </c>
      <c r="Y44" s="5" t="s">
        <v>238</v>
      </c>
      <c r="Z44" s="5" t="s">
        <v>1241</v>
      </c>
      <c r="AA44" s="5" t="s">
        <v>272</v>
      </c>
      <c r="AB44" s="5" t="s">
        <v>1242</v>
      </c>
      <c r="AC44" s="5" t="s">
        <v>271</v>
      </c>
      <c r="AD44" s="5" t="s">
        <v>271</v>
      </c>
      <c r="AE44" s="5" t="s">
        <v>271</v>
      </c>
      <c r="AF44" s="5" t="s">
        <v>238</v>
      </c>
      <c r="AG44" s="5" t="s">
        <v>238</v>
      </c>
      <c r="AH44" s="5" t="s">
        <v>273</v>
      </c>
      <c r="AI44" s="5" t="s">
        <v>238</v>
      </c>
      <c r="AJ44" s="5" t="s">
        <v>913</v>
      </c>
      <c r="AK44" s="5" t="s">
        <v>238</v>
      </c>
      <c r="AL44" s="5" t="s">
        <v>240</v>
      </c>
      <c r="AM44" s="5" t="s">
        <v>238</v>
      </c>
      <c r="AN44" s="5" t="s">
        <v>238</v>
      </c>
    </row>
    <row r="45" ht="15.75" customHeight="1">
      <c r="A45" s="4">
        <v>6.0</v>
      </c>
      <c r="B45" s="5" t="s">
        <v>354</v>
      </c>
      <c r="C45" s="5" t="s">
        <v>1243</v>
      </c>
      <c r="D45" s="5" t="s">
        <v>1244</v>
      </c>
      <c r="E45" s="5" t="s">
        <v>906</v>
      </c>
      <c r="F45" s="5" t="s">
        <v>1211</v>
      </c>
      <c r="G45" s="5" t="s">
        <v>906</v>
      </c>
      <c r="H45" s="5" t="s">
        <v>1245</v>
      </c>
      <c r="I45" s="5" t="s">
        <v>1245</v>
      </c>
      <c r="J45" s="5" t="s">
        <v>1213</v>
      </c>
      <c r="K45" s="5" t="s">
        <v>1214</v>
      </c>
      <c r="L45" s="5" t="s">
        <v>1246</v>
      </c>
      <c r="N45" s="5" t="s">
        <v>1247</v>
      </c>
      <c r="O45" s="5" t="s">
        <v>1248</v>
      </c>
      <c r="P45" s="5" t="s">
        <v>824</v>
      </c>
      <c r="Q45" s="5" t="s">
        <v>1249</v>
      </c>
      <c r="R45" s="5" t="s">
        <v>1250</v>
      </c>
      <c r="S45" s="5" t="s">
        <v>1251</v>
      </c>
      <c r="T45" s="5" t="s">
        <v>1252</v>
      </c>
      <c r="U45" s="5" t="s">
        <v>1092</v>
      </c>
      <c r="V45" s="5" t="s">
        <v>780</v>
      </c>
      <c r="W45" s="5" t="s">
        <v>1096</v>
      </c>
      <c r="X45" s="5" t="s">
        <v>1100</v>
      </c>
      <c r="Y45" s="5" t="s">
        <v>780</v>
      </c>
      <c r="Z45" s="5" t="s">
        <v>902</v>
      </c>
      <c r="AA45" s="5" t="s">
        <v>1253</v>
      </c>
      <c r="AB45" s="5" t="s">
        <v>277</v>
      </c>
      <c r="AC45" s="5" t="s">
        <v>780</v>
      </c>
      <c r="AD45" s="5" t="s">
        <v>780</v>
      </c>
      <c r="AE45" s="5" t="s">
        <v>1103</v>
      </c>
      <c r="AF45" s="5" t="s">
        <v>780</v>
      </c>
      <c r="AG45" s="5" t="s">
        <v>780</v>
      </c>
      <c r="AH45" s="5" t="s">
        <v>780</v>
      </c>
      <c r="AI45" s="5" t="s">
        <v>780</v>
      </c>
      <c r="AJ45" s="5" t="s">
        <v>907</v>
      </c>
      <c r="AK45" s="5" t="s">
        <v>906</v>
      </c>
      <c r="AL45" s="5" t="s">
        <v>908</v>
      </c>
      <c r="AM45" s="5" t="s">
        <v>780</v>
      </c>
      <c r="AN45" s="5" t="s">
        <v>780</v>
      </c>
    </row>
    <row r="46" ht="15.75" customHeight="1">
      <c r="A46" s="4">
        <v>6.0</v>
      </c>
      <c r="B46" s="5" t="s">
        <v>590</v>
      </c>
      <c r="C46" s="5" t="s">
        <v>1254</v>
      </c>
      <c r="D46" s="5" t="s">
        <v>1255</v>
      </c>
      <c r="E46" s="5" t="s">
        <v>65</v>
      </c>
      <c r="F46" s="5" t="s">
        <v>444</v>
      </c>
      <c r="G46" s="5" t="s">
        <v>65</v>
      </c>
      <c r="H46" s="5" t="s">
        <v>65</v>
      </c>
      <c r="I46" s="5" t="s">
        <v>444</v>
      </c>
      <c r="J46" s="5" t="s">
        <v>444</v>
      </c>
      <c r="K46" s="5" t="s">
        <v>444</v>
      </c>
      <c r="L46" s="5" t="s">
        <v>444</v>
      </c>
      <c r="N46" s="5" t="s">
        <v>66</v>
      </c>
      <c r="O46" s="5" t="s">
        <v>444</v>
      </c>
      <c r="P46" s="5" t="s">
        <v>444</v>
      </c>
      <c r="Q46" s="5" t="s">
        <v>444</v>
      </c>
      <c r="R46" s="5" t="s">
        <v>444</v>
      </c>
      <c r="T46" s="5" t="s">
        <v>443</v>
      </c>
      <c r="U46" s="5" t="s">
        <v>444</v>
      </c>
      <c r="V46" s="5" t="s">
        <v>443</v>
      </c>
      <c r="W46" s="5" t="s">
        <v>444</v>
      </c>
      <c r="X46" s="5" t="s">
        <v>1256</v>
      </c>
      <c r="Y46" s="5" t="s">
        <v>444</v>
      </c>
      <c r="Z46" s="5" t="s">
        <v>444</v>
      </c>
      <c r="AA46" s="5" t="s">
        <v>1257</v>
      </c>
      <c r="AB46" s="5" t="s">
        <v>444</v>
      </c>
      <c r="AC46" s="5" t="s">
        <v>444</v>
      </c>
      <c r="AD46" s="5" t="s">
        <v>965</v>
      </c>
      <c r="AE46" s="5" t="s">
        <v>444</v>
      </c>
      <c r="AF46" s="5" t="s">
        <v>444</v>
      </c>
      <c r="AG46" s="5" t="s">
        <v>444</v>
      </c>
      <c r="AH46" s="5" t="s">
        <v>444</v>
      </c>
      <c r="AI46" s="5" t="s">
        <v>444</v>
      </c>
      <c r="AJ46" s="5" t="s">
        <v>444</v>
      </c>
      <c r="AK46" s="5" t="s">
        <v>444</v>
      </c>
      <c r="AL46" s="5" t="s">
        <v>444</v>
      </c>
      <c r="AM46" s="5" t="s">
        <v>444</v>
      </c>
      <c r="AN46" s="5" t="s">
        <v>444</v>
      </c>
    </row>
    <row r="47" ht="15.75" customHeight="1">
      <c r="A47" s="4">
        <v>6.0</v>
      </c>
      <c r="B47" s="5" t="s">
        <v>1258</v>
      </c>
      <c r="C47" s="5" t="s">
        <v>1259</v>
      </c>
      <c r="D47" s="5" t="s">
        <v>1260</v>
      </c>
      <c r="E47" s="5" t="s">
        <v>1261</v>
      </c>
      <c r="F47" s="5" t="s">
        <v>1262</v>
      </c>
      <c r="G47" s="5" t="s">
        <v>1263</v>
      </c>
      <c r="H47" s="5" t="s">
        <v>1262</v>
      </c>
      <c r="I47" s="5" t="s">
        <v>1264</v>
      </c>
      <c r="J47" s="5" t="s">
        <v>1262</v>
      </c>
      <c r="K47" s="5" t="s">
        <v>1265</v>
      </c>
      <c r="L47" s="5" t="s">
        <v>1262</v>
      </c>
      <c r="M47" s="5" t="s">
        <v>1261</v>
      </c>
      <c r="N47" s="5" t="s">
        <v>1263</v>
      </c>
      <c r="O47" s="5" t="s">
        <v>1265</v>
      </c>
      <c r="P47" s="5" t="s">
        <v>1262</v>
      </c>
      <c r="Q47" s="5" t="s">
        <v>1262</v>
      </c>
      <c r="R47" s="5" t="s">
        <v>1264</v>
      </c>
      <c r="S47" s="5" t="s">
        <v>1263</v>
      </c>
      <c r="T47" s="5" t="s">
        <v>1262</v>
      </c>
      <c r="U47" s="5" t="s">
        <v>1263</v>
      </c>
      <c r="V47" s="5" t="s">
        <v>1263</v>
      </c>
      <c r="W47" s="5" t="s">
        <v>1262</v>
      </c>
      <c r="X47" s="5" t="s">
        <v>1263</v>
      </c>
      <c r="Y47" s="5" t="s">
        <v>1261</v>
      </c>
      <c r="Z47" s="5" t="s">
        <v>1263</v>
      </c>
      <c r="AA47" s="5" t="s">
        <v>1263</v>
      </c>
      <c r="AB47" s="5" t="s">
        <v>1262</v>
      </c>
      <c r="AC47" s="5" t="s">
        <v>1262</v>
      </c>
      <c r="AD47" s="5" t="s">
        <v>1265</v>
      </c>
      <c r="AE47" s="5" t="s">
        <v>1262</v>
      </c>
      <c r="AF47" s="5" t="s">
        <v>1262</v>
      </c>
      <c r="AG47" s="5" t="s">
        <v>1263</v>
      </c>
      <c r="AH47" s="5" t="s">
        <v>1261</v>
      </c>
      <c r="AI47" s="5" t="s">
        <v>1264</v>
      </c>
      <c r="AJ47" s="5" t="s">
        <v>1262</v>
      </c>
      <c r="AK47" s="5" t="s">
        <v>1261</v>
      </c>
      <c r="AL47" s="5" t="s">
        <v>1264</v>
      </c>
      <c r="AM47" s="5" t="s">
        <v>1263</v>
      </c>
      <c r="AN47" s="5" t="s">
        <v>1263</v>
      </c>
    </row>
    <row r="48" ht="15.75" customHeight="1">
      <c r="A48" s="4">
        <v>6.0</v>
      </c>
      <c r="B48" s="5" t="s">
        <v>1266</v>
      </c>
      <c r="C48" s="5" t="s">
        <v>1267</v>
      </c>
      <c r="D48" s="5" t="s">
        <v>1268</v>
      </c>
      <c r="E48" s="5" t="s">
        <v>1269</v>
      </c>
      <c r="F48" s="5" t="s">
        <v>1270</v>
      </c>
      <c r="G48" s="5" t="s">
        <v>1271</v>
      </c>
      <c r="H48" s="5" t="s">
        <v>1272</v>
      </c>
      <c r="I48" s="5" t="s">
        <v>1273</v>
      </c>
      <c r="J48" s="5" t="s">
        <v>1272</v>
      </c>
      <c r="K48" s="5" t="s">
        <v>1274</v>
      </c>
      <c r="L48" s="5" t="s">
        <v>1272</v>
      </c>
      <c r="M48" s="5" t="s">
        <v>902</v>
      </c>
      <c r="N48" s="5" t="s">
        <v>1275</v>
      </c>
      <c r="O48" s="5" t="s">
        <v>1276</v>
      </c>
      <c r="P48" s="5" t="s">
        <v>1272</v>
      </c>
      <c r="Q48" s="5" t="s">
        <v>1277</v>
      </c>
      <c r="R48" s="5" t="s">
        <v>1278</v>
      </c>
      <c r="S48" s="5" t="s">
        <v>1279</v>
      </c>
      <c r="T48" s="5" t="s">
        <v>1272</v>
      </c>
      <c r="U48" s="4" t="s">
        <v>1280</v>
      </c>
      <c r="V48" s="5" t="s">
        <v>1279</v>
      </c>
      <c r="W48" s="5" t="s">
        <v>1272</v>
      </c>
      <c r="X48" s="5" t="s">
        <v>1281</v>
      </c>
      <c r="Y48" s="5" t="s">
        <v>1282</v>
      </c>
      <c r="Z48" s="5" t="s">
        <v>1283</v>
      </c>
      <c r="AA48" s="5" t="s">
        <v>1279</v>
      </c>
      <c r="AB48" s="5" t="s">
        <v>1272</v>
      </c>
      <c r="AC48" s="5" t="s">
        <v>1272</v>
      </c>
      <c r="AD48" s="5" t="s">
        <v>1284</v>
      </c>
      <c r="AE48" s="5" t="s">
        <v>1272</v>
      </c>
      <c r="AF48" s="5" t="s">
        <v>1272</v>
      </c>
      <c r="AG48" s="5" t="s">
        <v>1285</v>
      </c>
      <c r="AH48" s="5" t="s">
        <v>1286</v>
      </c>
      <c r="AI48" s="5" t="s">
        <v>1287</v>
      </c>
      <c r="AJ48" s="5" t="s">
        <v>1272</v>
      </c>
      <c r="AK48" s="5" t="s">
        <v>1282</v>
      </c>
      <c r="AL48" s="5" t="s">
        <v>1278</v>
      </c>
      <c r="AM48" s="5" t="s">
        <v>1288</v>
      </c>
      <c r="AN48" s="5" t="s">
        <v>1288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20.0"/>
    <col customWidth="1" min="4" max="4" width="18.38"/>
    <col customWidth="1" min="5" max="5" width="40.75"/>
    <col customWidth="1" min="6" max="6" width="23.38"/>
  </cols>
  <sheetData>
    <row r="2">
      <c r="A2" s="7" t="s">
        <v>596</v>
      </c>
      <c r="B2" s="7" t="s">
        <v>1289</v>
      </c>
      <c r="C2" s="7" t="s">
        <v>193</v>
      </c>
      <c r="D2" s="7" t="s">
        <v>878</v>
      </c>
      <c r="E2" s="7" t="s">
        <v>879</v>
      </c>
      <c r="F2" s="7" t="s">
        <v>1290</v>
      </c>
    </row>
    <row r="3">
      <c r="A3" s="7" t="s">
        <v>188</v>
      </c>
      <c r="B3" s="7">
        <v>6.0</v>
      </c>
      <c r="C3" s="7" t="s">
        <v>193</v>
      </c>
      <c r="D3" s="7" t="s">
        <v>878</v>
      </c>
      <c r="E3" s="7" t="s">
        <v>879</v>
      </c>
      <c r="F3" s="7" t="s">
        <v>864</v>
      </c>
    </row>
    <row r="4">
      <c r="A4" s="7" t="s">
        <v>4</v>
      </c>
      <c r="B4" s="7">
        <v>6.0</v>
      </c>
      <c r="C4" s="7" t="s">
        <v>193</v>
      </c>
      <c r="D4" s="7" t="s">
        <v>878</v>
      </c>
      <c r="E4" s="7" t="s">
        <v>879</v>
      </c>
      <c r="F4" s="7" t="s">
        <v>863</v>
      </c>
    </row>
    <row r="5">
      <c r="A5" s="7" t="s">
        <v>386</v>
      </c>
      <c r="B5" s="7">
        <v>6.0</v>
      </c>
      <c r="C5" s="7" t="s">
        <v>193</v>
      </c>
      <c r="D5" s="7" t="s">
        <v>878</v>
      </c>
      <c r="E5" s="7" t="s">
        <v>879</v>
      </c>
      <c r="F5" s="7" t="s">
        <v>865</v>
      </c>
    </row>
    <row r="6">
      <c r="A6" s="7" t="s">
        <v>866</v>
      </c>
      <c r="B6" s="7">
        <v>6.0</v>
      </c>
      <c r="C6" s="7" t="s">
        <v>193</v>
      </c>
      <c r="D6" s="7" t="s">
        <v>878</v>
      </c>
      <c r="E6" s="7" t="s">
        <v>879</v>
      </c>
      <c r="F6" s="7" t="s">
        <v>865</v>
      </c>
    </row>
    <row r="7">
      <c r="A7" s="7" t="s">
        <v>5</v>
      </c>
      <c r="B7" s="7">
        <v>6.0</v>
      </c>
      <c r="C7" s="7" t="s">
        <v>193</v>
      </c>
      <c r="D7" s="7" t="s">
        <v>878</v>
      </c>
      <c r="E7" s="7" t="s">
        <v>879</v>
      </c>
      <c r="F7" s="7" t="s">
        <v>864</v>
      </c>
    </row>
    <row r="8">
      <c r="A8" s="7" t="s">
        <v>867</v>
      </c>
      <c r="B8" s="7">
        <v>6.0</v>
      </c>
      <c r="C8" s="7" t="s">
        <v>193</v>
      </c>
      <c r="D8" s="7" t="s">
        <v>878</v>
      </c>
      <c r="E8" s="7" t="s">
        <v>879</v>
      </c>
      <c r="F8" s="7" t="s">
        <v>1291</v>
      </c>
    </row>
    <row r="9">
      <c r="A9" s="7" t="s">
        <v>868</v>
      </c>
      <c r="B9" s="7">
        <v>6.0</v>
      </c>
      <c r="C9" s="7" t="s">
        <v>193</v>
      </c>
      <c r="D9" s="7" t="s">
        <v>878</v>
      </c>
      <c r="E9" s="7" t="s">
        <v>879</v>
      </c>
      <c r="F9" s="7" t="s">
        <v>864</v>
      </c>
    </row>
    <row r="10">
      <c r="A10" s="7" t="s">
        <v>599</v>
      </c>
      <c r="B10" s="7">
        <v>6.0</v>
      </c>
      <c r="C10" s="7" t="s">
        <v>193</v>
      </c>
      <c r="D10" s="7" t="s">
        <v>878</v>
      </c>
      <c r="E10" s="7" t="s">
        <v>879</v>
      </c>
      <c r="F10" s="7" t="s">
        <v>1290</v>
      </c>
    </row>
    <row r="11">
      <c r="A11" s="7" t="s">
        <v>869</v>
      </c>
      <c r="B11" s="7">
        <v>6.0</v>
      </c>
      <c r="C11" s="7" t="s">
        <v>193</v>
      </c>
      <c r="D11" s="7" t="s">
        <v>878</v>
      </c>
      <c r="E11" s="7" t="s">
        <v>879</v>
      </c>
      <c r="F11" s="7" t="s">
        <v>1291</v>
      </c>
    </row>
    <row r="12">
      <c r="A12" s="7" t="s">
        <v>870</v>
      </c>
      <c r="B12" s="7">
        <v>6.0</v>
      </c>
      <c r="C12" s="7" t="s">
        <v>193</v>
      </c>
      <c r="D12" s="7" t="s">
        <v>878</v>
      </c>
      <c r="E12" s="7" t="s">
        <v>879</v>
      </c>
      <c r="F12" s="7" t="s">
        <v>864</v>
      </c>
    </row>
    <row r="13">
      <c r="A13" s="7" t="s">
        <v>6</v>
      </c>
      <c r="B13" s="7">
        <v>6.0</v>
      </c>
      <c r="C13" s="7" t="s">
        <v>193</v>
      </c>
      <c r="D13" s="7" t="s">
        <v>878</v>
      </c>
      <c r="E13" s="7" t="s">
        <v>879</v>
      </c>
      <c r="F13" s="7" t="s">
        <v>862</v>
      </c>
    </row>
    <row r="14">
      <c r="A14" s="7" t="s">
        <v>871</v>
      </c>
      <c r="B14" s="7">
        <v>6.0</v>
      </c>
      <c r="C14" s="7" t="s">
        <v>193</v>
      </c>
      <c r="D14" s="7" t="s">
        <v>878</v>
      </c>
      <c r="E14" s="7" t="s">
        <v>879</v>
      </c>
      <c r="F14" s="7" t="s">
        <v>1291</v>
      </c>
    </row>
    <row r="15">
      <c r="A15" s="7" t="s">
        <v>7</v>
      </c>
      <c r="B15" s="7">
        <v>6.0</v>
      </c>
      <c r="C15" s="7" t="s">
        <v>193</v>
      </c>
      <c r="D15" s="7" t="s">
        <v>878</v>
      </c>
      <c r="E15" s="7" t="s">
        <v>879</v>
      </c>
      <c r="F15" s="7" t="s">
        <v>1291</v>
      </c>
    </row>
    <row r="16">
      <c r="A16" s="7" t="s">
        <v>8</v>
      </c>
      <c r="B16" s="7">
        <v>6.0</v>
      </c>
      <c r="C16" s="7" t="s">
        <v>193</v>
      </c>
      <c r="D16" s="7" t="s">
        <v>878</v>
      </c>
      <c r="E16" s="7" t="s">
        <v>879</v>
      </c>
      <c r="F16" s="7" t="s">
        <v>862</v>
      </c>
    </row>
    <row r="17">
      <c r="A17" s="7" t="s">
        <v>388</v>
      </c>
      <c r="B17" s="7">
        <v>6.0</v>
      </c>
      <c r="C17" s="7" t="s">
        <v>193</v>
      </c>
      <c r="D17" s="7" t="s">
        <v>878</v>
      </c>
      <c r="E17" s="7" t="s">
        <v>879</v>
      </c>
      <c r="F17" s="7" t="s">
        <v>864</v>
      </c>
    </row>
    <row r="18">
      <c r="A18" s="7" t="s">
        <v>189</v>
      </c>
      <c r="B18" s="7">
        <v>6.0</v>
      </c>
      <c r="C18" s="7" t="s">
        <v>193</v>
      </c>
      <c r="D18" s="7" t="s">
        <v>878</v>
      </c>
      <c r="E18" s="7" t="s">
        <v>879</v>
      </c>
      <c r="F18" s="7" t="s">
        <v>1291</v>
      </c>
    </row>
    <row r="19">
      <c r="A19" s="7" t="s">
        <v>9</v>
      </c>
      <c r="B19" s="7">
        <v>6.0</v>
      </c>
      <c r="C19" s="7" t="s">
        <v>193</v>
      </c>
      <c r="D19" s="7" t="s">
        <v>878</v>
      </c>
      <c r="E19" s="7" t="s">
        <v>879</v>
      </c>
      <c r="F19" s="7" t="s">
        <v>863</v>
      </c>
    </row>
    <row r="20">
      <c r="A20" s="7" t="s">
        <v>10</v>
      </c>
      <c r="B20" s="7">
        <v>6.0</v>
      </c>
      <c r="C20" s="7" t="s">
        <v>193</v>
      </c>
      <c r="D20" s="7" t="s">
        <v>878</v>
      </c>
      <c r="E20" s="7" t="s">
        <v>879</v>
      </c>
      <c r="F20" s="7" t="s">
        <v>1291</v>
      </c>
    </row>
    <row r="21">
      <c r="A21" s="7" t="s">
        <v>872</v>
      </c>
      <c r="B21" s="7">
        <v>6.0</v>
      </c>
      <c r="C21" s="7" t="s">
        <v>193</v>
      </c>
      <c r="D21" s="7" t="s">
        <v>878</v>
      </c>
      <c r="E21" s="7" t="s">
        <v>879</v>
      </c>
      <c r="F21" s="7" t="s">
        <v>865</v>
      </c>
    </row>
    <row r="22">
      <c r="A22" s="7" t="s">
        <v>873</v>
      </c>
      <c r="B22" s="7">
        <v>6.0</v>
      </c>
      <c r="C22" s="7" t="s">
        <v>193</v>
      </c>
      <c r="D22" s="7" t="s">
        <v>878</v>
      </c>
      <c r="E22" s="7" t="s">
        <v>879</v>
      </c>
      <c r="F22" s="7" t="s">
        <v>864</v>
      </c>
    </row>
    <row r="23">
      <c r="A23" s="7" t="s">
        <v>11</v>
      </c>
      <c r="B23" s="7">
        <v>6.0</v>
      </c>
      <c r="C23" s="7" t="s">
        <v>193</v>
      </c>
      <c r="D23" s="7" t="s">
        <v>878</v>
      </c>
      <c r="E23" s="7" t="s">
        <v>879</v>
      </c>
      <c r="F23" s="7" t="s">
        <v>1290</v>
      </c>
    </row>
    <row r="24">
      <c r="A24" s="7" t="s">
        <v>12</v>
      </c>
      <c r="B24" s="7">
        <v>6.0</v>
      </c>
      <c r="C24" s="7" t="s">
        <v>193</v>
      </c>
      <c r="D24" s="7" t="s">
        <v>878</v>
      </c>
      <c r="E24" s="7" t="s">
        <v>879</v>
      </c>
      <c r="F24" s="7" t="s">
        <v>863</v>
      </c>
    </row>
    <row r="25">
      <c r="A25" s="7" t="s">
        <v>874</v>
      </c>
      <c r="B25" s="7">
        <v>6.0</v>
      </c>
      <c r="C25" s="7" t="s">
        <v>193</v>
      </c>
      <c r="D25" s="7" t="s">
        <v>878</v>
      </c>
      <c r="E25" s="7" t="s">
        <v>879</v>
      </c>
      <c r="F25" s="7" t="s">
        <v>864</v>
      </c>
    </row>
    <row r="26">
      <c r="A26" s="7" t="s">
        <v>13</v>
      </c>
      <c r="B26" s="7">
        <v>6.0</v>
      </c>
      <c r="C26" s="7" t="s">
        <v>193</v>
      </c>
      <c r="D26" s="7" t="s">
        <v>878</v>
      </c>
      <c r="E26" s="7" t="s">
        <v>879</v>
      </c>
      <c r="F26" s="7" t="s">
        <v>864</v>
      </c>
    </row>
    <row r="27">
      <c r="A27" s="7" t="s">
        <v>875</v>
      </c>
      <c r="B27" s="7">
        <v>6.0</v>
      </c>
      <c r="C27" s="7" t="s">
        <v>193</v>
      </c>
      <c r="D27" s="7" t="s">
        <v>878</v>
      </c>
      <c r="E27" s="7" t="s">
        <v>879</v>
      </c>
      <c r="F27" s="7" t="s">
        <v>1290</v>
      </c>
    </row>
    <row r="28">
      <c r="A28" s="7" t="s">
        <v>14</v>
      </c>
      <c r="B28" s="7">
        <v>6.0</v>
      </c>
      <c r="C28" s="7" t="s">
        <v>193</v>
      </c>
      <c r="D28" s="7" t="s">
        <v>878</v>
      </c>
      <c r="E28" s="7" t="s">
        <v>879</v>
      </c>
      <c r="F28" s="7" t="s">
        <v>1290</v>
      </c>
    </row>
    <row r="29">
      <c r="A29" s="7" t="s">
        <v>609</v>
      </c>
      <c r="B29" s="7">
        <v>6.0</v>
      </c>
      <c r="C29" s="7" t="s">
        <v>193</v>
      </c>
      <c r="D29" s="7" t="s">
        <v>878</v>
      </c>
      <c r="E29" s="7" t="s">
        <v>879</v>
      </c>
      <c r="F29" s="7" t="s">
        <v>862</v>
      </c>
    </row>
    <row r="30">
      <c r="A30" s="7" t="s">
        <v>15</v>
      </c>
      <c r="B30" s="7">
        <v>6.0</v>
      </c>
      <c r="C30" s="7" t="s">
        <v>193</v>
      </c>
      <c r="D30" s="7" t="s">
        <v>878</v>
      </c>
      <c r="E30" s="7" t="s">
        <v>879</v>
      </c>
      <c r="F30" s="7" t="s">
        <v>1290</v>
      </c>
    </row>
    <row r="31">
      <c r="A31" s="7" t="s">
        <v>610</v>
      </c>
      <c r="B31" s="7">
        <v>6.0</v>
      </c>
      <c r="C31" s="7" t="s">
        <v>193</v>
      </c>
      <c r="D31" s="7" t="s">
        <v>878</v>
      </c>
      <c r="E31" s="7" t="s">
        <v>879</v>
      </c>
      <c r="F31" s="7" t="s">
        <v>1292</v>
      </c>
    </row>
    <row r="32">
      <c r="A32" s="7" t="s">
        <v>16</v>
      </c>
      <c r="B32" s="7">
        <v>6.0</v>
      </c>
      <c r="C32" s="7" t="s">
        <v>193</v>
      </c>
      <c r="D32" s="7" t="s">
        <v>878</v>
      </c>
      <c r="E32" s="7" t="s">
        <v>879</v>
      </c>
      <c r="F32" s="7" t="s">
        <v>865</v>
      </c>
    </row>
    <row r="33">
      <c r="A33" s="7" t="s">
        <v>876</v>
      </c>
      <c r="B33" s="7">
        <v>6.0</v>
      </c>
      <c r="C33" s="7" t="s">
        <v>193</v>
      </c>
      <c r="D33" s="7" t="s">
        <v>878</v>
      </c>
      <c r="E33" s="7" t="s">
        <v>879</v>
      </c>
      <c r="F33" s="7" t="s">
        <v>1291</v>
      </c>
    </row>
    <row r="34">
      <c r="A34" s="7" t="s">
        <v>877</v>
      </c>
      <c r="B34" s="7">
        <v>6.0</v>
      </c>
      <c r="C34" s="7" t="s">
        <v>193</v>
      </c>
      <c r="D34" s="7" t="s">
        <v>878</v>
      </c>
      <c r="E34" s="7" t="s">
        <v>879</v>
      </c>
      <c r="F34" s="7" t="s">
        <v>1290</v>
      </c>
    </row>
    <row r="35">
      <c r="A35" s="7" t="s">
        <v>17</v>
      </c>
      <c r="B35" s="7">
        <v>6.0</v>
      </c>
      <c r="C35" s="7" t="s">
        <v>193</v>
      </c>
      <c r="D35" s="7" t="s">
        <v>878</v>
      </c>
      <c r="E35" s="7" t="s">
        <v>879</v>
      </c>
      <c r="F35" s="7" t="s">
        <v>864</v>
      </c>
    </row>
    <row r="36">
      <c r="A36" s="7" t="s">
        <v>18</v>
      </c>
      <c r="B36" s="7">
        <v>6.0</v>
      </c>
      <c r="C36" s="7" t="s">
        <v>193</v>
      </c>
      <c r="D36" s="7" t="s">
        <v>878</v>
      </c>
      <c r="E36" s="7" t="s">
        <v>879</v>
      </c>
      <c r="F36" s="7" t="s">
        <v>864</v>
      </c>
    </row>
    <row r="37">
      <c r="A37" s="7" t="s">
        <v>19</v>
      </c>
      <c r="B37" s="7">
        <v>6.0</v>
      </c>
      <c r="C37" s="7" t="s">
        <v>193</v>
      </c>
      <c r="D37" s="7" t="s">
        <v>878</v>
      </c>
      <c r="E37" s="7" t="s">
        <v>879</v>
      </c>
      <c r="F37" s="7" t="s">
        <v>1291</v>
      </c>
    </row>
    <row r="38">
      <c r="A38" s="7" t="s">
        <v>596</v>
      </c>
      <c r="B38" s="7">
        <v>6.0</v>
      </c>
      <c r="C38" s="7" t="s">
        <v>227</v>
      </c>
      <c r="D38" s="7" t="s">
        <v>880</v>
      </c>
      <c r="E38" s="7" t="s">
        <v>881</v>
      </c>
      <c r="F38" s="7" t="s">
        <v>1290</v>
      </c>
    </row>
    <row r="39">
      <c r="A39" s="7" t="s">
        <v>188</v>
      </c>
      <c r="B39" s="7">
        <v>6.0</v>
      </c>
      <c r="C39" s="7" t="s">
        <v>227</v>
      </c>
      <c r="D39" s="7" t="s">
        <v>880</v>
      </c>
      <c r="E39" s="7" t="s">
        <v>881</v>
      </c>
      <c r="F39" s="7" t="s">
        <v>864</v>
      </c>
    </row>
    <row r="40">
      <c r="A40" s="7" t="s">
        <v>4</v>
      </c>
      <c r="B40" s="7">
        <v>6.0</v>
      </c>
      <c r="C40" s="7" t="s">
        <v>227</v>
      </c>
      <c r="D40" s="7" t="s">
        <v>880</v>
      </c>
      <c r="E40" s="7" t="s">
        <v>881</v>
      </c>
      <c r="F40" s="7" t="s">
        <v>863</v>
      </c>
    </row>
    <row r="41">
      <c r="A41" s="7" t="s">
        <v>386</v>
      </c>
      <c r="B41" s="7">
        <v>6.0</v>
      </c>
      <c r="C41" s="7" t="s">
        <v>227</v>
      </c>
      <c r="D41" s="7" t="s">
        <v>880</v>
      </c>
      <c r="E41" s="7" t="s">
        <v>881</v>
      </c>
      <c r="F41" s="7" t="s">
        <v>865</v>
      </c>
    </row>
    <row r="42">
      <c r="A42" s="7" t="s">
        <v>866</v>
      </c>
      <c r="B42" s="7">
        <v>6.0</v>
      </c>
      <c r="C42" s="7" t="s">
        <v>227</v>
      </c>
      <c r="D42" s="7" t="s">
        <v>880</v>
      </c>
      <c r="E42" s="7" t="s">
        <v>881</v>
      </c>
      <c r="F42" s="7" t="s">
        <v>865</v>
      </c>
    </row>
    <row r="43">
      <c r="A43" s="7" t="s">
        <v>5</v>
      </c>
      <c r="B43" s="7">
        <v>6.0</v>
      </c>
      <c r="C43" s="7" t="s">
        <v>227</v>
      </c>
      <c r="D43" s="7" t="s">
        <v>880</v>
      </c>
      <c r="E43" s="7" t="s">
        <v>881</v>
      </c>
      <c r="F43" s="7" t="s">
        <v>864</v>
      </c>
    </row>
    <row r="44">
      <c r="A44" s="7" t="s">
        <v>867</v>
      </c>
      <c r="B44" s="7">
        <v>6.0</v>
      </c>
      <c r="C44" s="7" t="s">
        <v>227</v>
      </c>
      <c r="D44" s="7" t="s">
        <v>880</v>
      </c>
      <c r="E44" s="7" t="s">
        <v>881</v>
      </c>
      <c r="F44" s="7" t="s">
        <v>1291</v>
      </c>
    </row>
    <row r="45">
      <c r="A45" s="7" t="s">
        <v>868</v>
      </c>
      <c r="B45" s="7">
        <v>6.0</v>
      </c>
      <c r="C45" s="7" t="s">
        <v>227</v>
      </c>
      <c r="D45" s="7" t="s">
        <v>880</v>
      </c>
      <c r="E45" s="7" t="s">
        <v>881</v>
      </c>
      <c r="F45" s="7" t="s">
        <v>864</v>
      </c>
    </row>
    <row r="46">
      <c r="A46" s="7" t="s">
        <v>599</v>
      </c>
      <c r="B46" s="7">
        <v>6.0</v>
      </c>
      <c r="C46" s="7" t="s">
        <v>227</v>
      </c>
      <c r="D46" s="7" t="s">
        <v>880</v>
      </c>
      <c r="E46" s="7" t="s">
        <v>881</v>
      </c>
      <c r="F46" s="7" t="s">
        <v>1290</v>
      </c>
    </row>
    <row r="47">
      <c r="A47" s="7" t="s">
        <v>869</v>
      </c>
      <c r="B47" s="7">
        <v>6.0</v>
      </c>
      <c r="C47" s="7" t="s">
        <v>227</v>
      </c>
      <c r="D47" s="7" t="s">
        <v>880</v>
      </c>
      <c r="E47" s="7" t="s">
        <v>881</v>
      </c>
      <c r="F47" s="7" t="s">
        <v>1291</v>
      </c>
    </row>
    <row r="48">
      <c r="A48" s="7" t="s">
        <v>870</v>
      </c>
      <c r="B48" s="7">
        <v>6.0</v>
      </c>
      <c r="C48" s="7" t="s">
        <v>227</v>
      </c>
      <c r="D48" s="7" t="s">
        <v>880</v>
      </c>
      <c r="E48" s="7" t="s">
        <v>881</v>
      </c>
      <c r="F48" s="7" t="s">
        <v>864</v>
      </c>
    </row>
    <row r="49">
      <c r="A49" s="7" t="s">
        <v>6</v>
      </c>
      <c r="B49" s="7">
        <v>6.0</v>
      </c>
      <c r="C49" s="7" t="s">
        <v>227</v>
      </c>
      <c r="D49" s="7" t="s">
        <v>880</v>
      </c>
      <c r="E49" s="7" t="s">
        <v>881</v>
      </c>
      <c r="F49" s="7" t="s">
        <v>862</v>
      </c>
    </row>
    <row r="50">
      <c r="A50" s="7" t="s">
        <v>871</v>
      </c>
      <c r="B50" s="7">
        <v>6.0</v>
      </c>
      <c r="C50" s="7" t="s">
        <v>227</v>
      </c>
      <c r="D50" s="7" t="s">
        <v>880</v>
      </c>
      <c r="E50" s="7" t="s">
        <v>881</v>
      </c>
      <c r="F50" s="7" t="s">
        <v>1291</v>
      </c>
    </row>
    <row r="51">
      <c r="A51" s="7" t="s">
        <v>7</v>
      </c>
      <c r="B51" s="7">
        <v>6.0</v>
      </c>
      <c r="C51" s="7" t="s">
        <v>227</v>
      </c>
      <c r="D51" s="7" t="s">
        <v>880</v>
      </c>
      <c r="E51" s="7" t="s">
        <v>881</v>
      </c>
      <c r="F51" s="7" t="s">
        <v>1291</v>
      </c>
    </row>
    <row r="52">
      <c r="A52" s="7" t="s">
        <v>8</v>
      </c>
      <c r="B52" s="7">
        <v>6.0</v>
      </c>
      <c r="C52" s="7" t="s">
        <v>227</v>
      </c>
      <c r="D52" s="7" t="s">
        <v>880</v>
      </c>
      <c r="E52" s="7" t="s">
        <v>881</v>
      </c>
      <c r="F52" s="7" t="s">
        <v>862</v>
      </c>
    </row>
    <row r="53">
      <c r="A53" s="7" t="s">
        <v>388</v>
      </c>
      <c r="B53" s="7">
        <v>6.0</v>
      </c>
      <c r="C53" s="7" t="s">
        <v>227</v>
      </c>
      <c r="D53" s="7" t="s">
        <v>880</v>
      </c>
      <c r="E53" s="7" t="s">
        <v>881</v>
      </c>
      <c r="F53" s="7" t="s">
        <v>864</v>
      </c>
    </row>
    <row r="54">
      <c r="A54" s="7" t="s">
        <v>189</v>
      </c>
      <c r="B54" s="7">
        <v>6.0</v>
      </c>
      <c r="C54" s="7" t="s">
        <v>227</v>
      </c>
      <c r="D54" s="7" t="s">
        <v>880</v>
      </c>
      <c r="E54" s="7" t="s">
        <v>881</v>
      </c>
      <c r="F54" s="7" t="s">
        <v>1291</v>
      </c>
    </row>
    <row r="55">
      <c r="A55" s="7" t="s">
        <v>9</v>
      </c>
      <c r="B55" s="7">
        <v>6.0</v>
      </c>
      <c r="C55" s="7" t="s">
        <v>227</v>
      </c>
      <c r="D55" s="7" t="s">
        <v>880</v>
      </c>
      <c r="E55" s="7" t="s">
        <v>881</v>
      </c>
      <c r="F55" s="7" t="s">
        <v>863</v>
      </c>
    </row>
    <row r="56">
      <c r="A56" s="7" t="s">
        <v>10</v>
      </c>
      <c r="B56" s="7">
        <v>6.0</v>
      </c>
      <c r="C56" s="7" t="s">
        <v>227</v>
      </c>
      <c r="D56" s="7" t="s">
        <v>880</v>
      </c>
      <c r="E56" s="7" t="s">
        <v>881</v>
      </c>
      <c r="F56" s="7" t="s">
        <v>1291</v>
      </c>
    </row>
    <row r="57">
      <c r="A57" s="7" t="s">
        <v>872</v>
      </c>
      <c r="B57" s="7">
        <v>6.0</v>
      </c>
      <c r="C57" s="7" t="s">
        <v>227</v>
      </c>
      <c r="D57" s="7" t="s">
        <v>880</v>
      </c>
      <c r="E57" s="7" t="s">
        <v>881</v>
      </c>
      <c r="F57" s="7" t="s">
        <v>865</v>
      </c>
    </row>
    <row r="58">
      <c r="A58" s="7" t="s">
        <v>873</v>
      </c>
      <c r="B58" s="7">
        <v>6.0</v>
      </c>
      <c r="C58" s="7" t="s">
        <v>227</v>
      </c>
      <c r="D58" s="7" t="s">
        <v>880</v>
      </c>
      <c r="E58" s="7" t="s">
        <v>881</v>
      </c>
      <c r="F58" s="7" t="s">
        <v>864</v>
      </c>
    </row>
    <row r="59">
      <c r="A59" s="7" t="s">
        <v>11</v>
      </c>
      <c r="B59" s="7">
        <v>6.0</v>
      </c>
      <c r="C59" s="7" t="s">
        <v>227</v>
      </c>
      <c r="D59" s="7" t="s">
        <v>880</v>
      </c>
      <c r="E59" s="7" t="s">
        <v>881</v>
      </c>
      <c r="F59" s="7" t="s">
        <v>1290</v>
      </c>
    </row>
    <row r="60">
      <c r="A60" s="7" t="s">
        <v>12</v>
      </c>
      <c r="B60" s="7">
        <v>6.0</v>
      </c>
      <c r="C60" s="7" t="s">
        <v>227</v>
      </c>
      <c r="D60" s="7" t="s">
        <v>880</v>
      </c>
      <c r="E60" s="7" t="s">
        <v>881</v>
      </c>
      <c r="F60" s="7" t="s">
        <v>863</v>
      </c>
    </row>
    <row r="61">
      <c r="A61" s="7" t="s">
        <v>874</v>
      </c>
      <c r="B61" s="7">
        <v>6.0</v>
      </c>
      <c r="C61" s="7" t="s">
        <v>227</v>
      </c>
      <c r="D61" s="7" t="s">
        <v>880</v>
      </c>
      <c r="E61" s="7" t="s">
        <v>881</v>
      </c>
      <c r="F61" s="7" t="s">
        <v>864</v>
      </c>
    </row>
    <row r="62">
      <c r="A62" s="7" t="s">
        <v>13</v>
      </c>
      <c r="B62" s="7">
        <v>6.0</v>
      </c>
      <c r="C62" s="7" t="s">
        <v>227</v>
      </c>
      <c r="D62" s="7" t="s">
        <v>880</v>
      </c>
      <c r="E62" s="7" t="s">
        <v>881</v>
      </c>
      <c r="F62" s="7" t="s">
        <v>864</v>
      </c>
    </row>
    <row r="63">
      <c r="A63" s="7" t="s">
        <v>875</v>
      </c>
      <c r="B63" s="7">
        <v>6.0</v>
      </c>
      <c r="C63" s="7" t="s">
        <v>227</v>
      </c>
      <c r="D63" s="7" t="s">
        <v>880</v>
      </c>
      <c r="E63" s="7" t="s">
        <v>881</v>
      </c>
      <c r="F63" s="7" t="s">
        <v>1290</v>
      </c>
    </row>
    <row r="64">
      <c r="A64" s="7" t="s">
        <v>14</v>
      </c>
      <c r="B64" s="7">
        <v>6.0</v>
      </c>
      <c r="C64" s="7" t="s">
        <v>227</v>
      </c>
      <c r="D64" s="7" t="s">
        <v>880</v>
      </c>
      <c r="E64" s="7" t="s">
        <v>881</v>
      </c>
      <c r="F64" s="7" t="s">
        <v>1290</v>
      </c>
    </row>
    <row r="65">
      <c r="A65" s="7" t="s">
        <v>609</v>
      </c>
      <c r="B65" s="7">
        <v>6.0</v>
      </c>
      <c r="C65" s="7" t="s">
        <v>227</v>
      </c>
      <c r="D65" s="7" t="s">
        <v>880</v>
      </c>
      <c r="E65" s="7" t="s">
        <v>881</v>
      </c>
      <c r="F65" s="7" t="s">
        <v>862</v>
      </c>
    </row>
    <row r="66">
      <c r="A66" s="7" t="s">
        <v>15</v>
      </c>
      <c r="B66" s="7">
        <v>6.0</v>
      </c>
      <c r="C66" s="7" t="s">
        <v>227</v>
      </c>
      <c r="D66" s="7" t="s">
        <v>880</v>
      </c>
      <c r="E66" s="7" t="s">
        <v>881</v>
      </c>
      <c r="F66" s="7" t="s">
        <v>1290</v>
      </c>
    </row>
    <row r="67">
      <c r="A67" s="7" t="s">
        <v>610</v>
      </c>
      <c r="B67" s="7">
        <v>6.0</v>
      </c>
      <c r="C67" s="7" t="s">
        <v>227</v>
      </c>
      <c r="D67" s="7" t="s">
        <v>880</v>
      </c>
      <c r="E67" s="7" t="s">
        <v>881</v>
      </c>
      <c r="F67" s="7" t="s">
        <v>1292</v>
      </c>
    </row>
    <row r="68">
      <c r="A68" s="7" t="s">
        <v>16</v>
      </c>
      <c r="B68" s="7">
        <v>6.0</v>
      </c>
      <c r="C68" s="7" t="s">
        <v>227</v>
      </c>
      <c r="D68" s="7" t="s">
        <v>880</v>
      </c>
      <c r="E68" s="7" t="s">
        <v>881</v>
      </c>
      <c r="F68" s="7" t="s">
        <v>865</v>
      </c>
    </row>
    <row r="69">
      <c r="A69" s="7" t="s">
        <v>876</v>
      </c>
      <c r="B69" s="7">
        <v>6.0</v>
      </c>
      <c r="C69" s="7" t="s">
        <v>227</v>
      </c>
      <c r="D69" s="7" t="s">
        <v>880</v>
      </c>
      <c r="E69" s="7" t="s">
        <v>881</v>
      </c>
      <c r="F69" s="7" t="s">
        <v>1291</v>
      </c>
    </row>
    <row r="70">
      <c r="A70" s="7" t="s">
        <v>877</v>
      </c>
      <c r="B70" s="7">
        <v>6.0</v>
      </c>
      <c r="C70" s="7" t="s">
        <v>227</v>
      </c>
      <c r="D70" s="7" t="s">
        <v>880</v>
      </c>
      <c r="E70" s="7" t="s">
        <v>881</v>
      </c>
      <c r="F70" s="7" t="s">
        <v>1290</v>
      </c>
    </row>
    <row r="71">
      <c r="A71" s="7" t="s">
        <v>17</v>
      </c>
      <c r="B71" s="7">
        <v>6.0</v>
      </c>
      <c r="C71" s="7" t="s">
        <v>227</v>
      </c>
      <c r="D71" s="7" t="s">
        <v>880</v>
      </c>
      <c r="E71" s="7" t="s">
        <v>881</v>
      </c>
      <c r="F71" s="7" t="s">
        <v>864</v>
      </c>
    </row>
    <row r="72">
      <c r="A72" s="7" t="s">
        <v>18</v>
      </c>
      <c r="B72" s="7">
        <v>6.0</v>
      </c>
      <c r="C72" s="7" t="s">
        <v>227</v>
      </c>
      <c r="D72" s="7" t="s">
        <v>880</v>
      </c>
      <c r="E72" s="7" t="s">
        <v>881</v>
      </c>
      <c r="F72" s="7" t="s">
        <v>864</v>
      </c>
    </row>
    <row r="73">
      <c r="A73" s="7" t="s">
        <v>19</v>
      </c>
      <c r="B73" s="7">
        <v>6.0</v>
      </c>
      <c r="C73" s="7" t="s">
        <v>227</v>
      </c>
      <c r="D73" s="7" t="s">
        <v>880</v>
      </c>
      <c r="E73" s="7" t="s">
        <v>881</v>
      </c>
      <c r="F73" s="7" t="s">
        <v>1291</v>
      </c>
    </row>
    <row r="74">
      <c r="A74" s="7" t="s">
        <v>596</v>
      </c>
      <c r="B74" s="7">
        <v>6.0</v>
      </c>
      <c r="C74" s="7" t="s">
        <v>882</v>
      </c>
      <c r="D74" s="7" t="s">
        <v>883</v>
      </c>
      <c r="E74" s="7" t="s">
        <v>884</v>
      </c>
      <c r="F74" s="7" t="s">
        <v>1290</v>
      </c>
    </row>
    <row r="75">
      <c r="A75" s="7" t="s">
        <v>188</v>
      </c>
      <c r="B75" s="7">
        <v>6.0</v>
      </c>
      <c r="C75" s="7" t="s">
        <v>882</v>
      </c>
      <c r="D75" s="7" t="s">
        <v>883</v>
      </c>
      <c r="E75" s="7" t="s">
        <v>884</v>
      </c>
      <c r="F75" s="7" t="s">
        <v>864</v>
      </c>
    </row>
    <row r="76">
      <c r="A76" s="7" t="s">
        <v>4</v>
      </c>
      <c r="B76" s="7">
        <v>6.0</v>
      </c>
      <c r="C76" s="7" t="s">
        <v>882</v>
      </c>
      <c r="D76" s="7" t="s">
        <v>883</v>
      </c>
      <c r="E76" s="7" t="s">
        <v>884</v>
      </c>
      <c r="F76" s="7" t="s">
        <v>863</v>
      </c>
    </row>
    <row r="77">
      <c r="A77" s="7" t="s">
        <v>386</v>
      </c>
      <c r="B77" s="7">
        <v>6.0</v>
      </c>
      <c r="C77" s="7" t="s">
        <v>882</v>
      </c>
      <c r="D77" s="7" t="s">
        <v>883</v>
      </c>
      <c r="E77" s="7" t="s">
        <v>884</v>
      </c>
      <c r="F77" s="7" t="s">
        <v>865</v>
      </c>
    </row>
    <row r="78">
      <c r="A78" s="7" t="s">
        <v>866</v>
      </c>
      <c r="B78" s="7">
        <v>6.0</v>
      </c>
      <c r="C78" s="7" t="s">
        <v>882</v>
      </c>
      <c r="D78" s="7" t="s">
        <v>883</v>
      </c>
      <c r="E78" s="7" t="s">
        <v>884</v>
      </c>
      <c r="F78" s="7" t="s">
        <v>865</v>
      </c>
    </row>
    <row r="79">
      <c r="A79" s="7" t="s">
        <v>5</v>
      </c>
      <c r="B79" s="7">
        <v>6.0</v>
      </c>
      <c r="C79" s="7" t="s">
        <v>882</v>
      </c>
      <c r="D79" s="7" t="s">
        <v>883</v>
      </c>
      <c r="E79" s="7" t="s">
        <v>884</v>
      </c>
      <c r="F79" s="7" t="s">
        <v>864</v>
      </c>
    </row>
    <row r="80">
      <c r="A80" s="7" t="s">
        <v>867</v>
      </c>
      <c r="B80" s="7">
        <v>6.0</v>
      </c>
      <c r="C80" s="7" t="s">
        <v>882</v>
      </c>
      <c r="D80" s="7" t="s">
        <v>883</v>
      </c>
      <c r="E80" s="7" t="s">
        <v>884</v>
      </c>
      <c r="F80" s="7" t="s">
        <v>1291</v>
      </c>
    </row>
    <row r="81">
      <c r="A81" s="7" t="s">
        <v>868</v>
      </c>
      <c r="B81" s="7">
        <v>6.0</v>
      </c>
      <c r="C81" s="7" t="s">
        <v>882</v>
      </c>
      <c r="D81" s="7" t="s">
        <v>883</v>
      </c>
      <c r="E81" s="7" t="s">
        <v>884</v>
      </c>
      <c r="F81" s="7" t="s">
        <v>864</v>
      </c>
    </row>
    <row r="82">
      <c r="A82" s="7" t="s">
        <v>599</v>
      </c>
      <c r="B82" s="7">
        <v>6.0</v>
      </c>
      <c r="C82" s="7" t="s">
        <v>882</v>
      </c>
      <c r="D82" s="7" t="s">
        <v>883</v>
      </c>
      <c r="E82" s="7" t="s">
        <v>884</v>
      </c>
      <c r="F82" s="7" t="s">
        <v>1290</v>
      </c>
    </row>
    <row r="83">
      <c r="A83" s="7" t="s">
        <v>869</v>
      </c>
      <c r="B83" s="7">
        <v>6.0</v>
      </c>
      <c r="C83" s="7" t="s">
        <v>882</v>
      </c>
      <c r="D83" s="7" t="s">
        <v>883</v>
      </c>
      <c r="E83" s="7" t="s">
        <v>884</v>
      </c>
      <c r="F83" s="7" t="s">
        <v>1291</v>
      </c>
    </row>
    <row r="84">
      <c r="A84" s="7" t="s">
        <v>870</v>
      </c>
      <c r="B84" s="7">
        <v>6.0</v>
      </c>
      <c r="C84" s="7" t="s">
        <v>882</v>
      </c>
      <c r="D84" s="7" t="s">
        <v>883</v>
      </c>
      <c r="E84" s="7" t="s">
        <v>884</v>
      </c>
      <c r="F84" s="7" t="s">
        <v>864</v>
      </c>
    </row>
    <row r="85">
      <c r="A85" s="7" t="s">
        <v>6</v>
      </c>
      <c r="B85" s="7">
        <v>6.0</v>
      </c>
      <c r="C85" s="7" t="s">
        <v>882</v>
      </c>
      <c r="D85" s="7" t="s">
        <v>883</v>
      </c>
      <c r="E85" s="7" t="s">
        <v>884</v>
      </c>
      <c r="F85" s="7" t="s">
        <v>862</v>
      </c>
    </row>
    <row r="86">
      <c r="A86" s="7" t="s">
        <v>871</v>
      </c>
      <c r="B86" s="7">
        <v>6.0</v>
      </c>
      <c r="C86" s="7" t="s">
        <v>882</v>
      </c>
      <c r="D86" s="7" t="s">
        <v>883</v>
      </c>
      <c r="E86" s="7" t="s">
        <v>884</v>
      </c>
      <c r="F86" s="7" t="s">
        <v>1291</v>
      </c>
    </row>
    <row r="87">
      <c r="A87" s="7" t="s">
        <v>7</v>
      </c>
      <c r="B87" s="7">
        <v>6.0</v>
      </c>
      <c r="C87" s="7" t="s">
        <v>882</v>
      </c>
      <c r="D87" s="7" t="s">
        <v>883</v>
      </c>
      <c r="E87" s="7" t="s">
        <v>884</v>
      </c>
      <c r="F87" s="7" t="s">
        <v>1291</v>
      </c>
    </row>
    <row r="88">
      <c r="A88" s="7" t="s">
        <v>8</v>
      </c>
      <c r="B88" s="7">
        <v>6.0</v>
      </c>
      <c r="C88" s="7" t="s">
        <v>882</v>
      </c>
      <c r="D88" s="7" t="s">
        <v>883</v>
      </c>
      <c r="E88" s="7" t="s">
        <v>884</v>
      </c>
      <c r="F88" s="7" t="s">
        <v>862</v>
      </c>
    </row>
    <row r="89">
      <c r="A89" s="7" t="s">
        <v>388</v>
      </c>
      <c r="B89" s="7">
        <v>6.0</v>
      </c>
      <c r="C89" s="7" t="s">
        <v>882</v>
      </c>
      <c r="D89" s="7" t="s">
        <v>883</v>
      </c>
      <c r="E89" s="7" t="s">
        <v>884</v>
      </c>
      <c r="F89" s="7" t="s">
        <v>864</v>
      </c>
    </row>
    <row r="90">
      <c r="A90" s="7" t="s">
        <v>189</v>
      </c>
      <c r="B90" s="7">
        <v>6.0</v>
      </c>
      <c r="C90" s="7" t="s">
        <v>882</v>
      </c>
      <c r="D90" s="7" t="s">
        <v>883</v>
      </c>
      <c r="E90" s="7" t="s">
        <v>884</v>
      </c>
      <c r="F90" s="7" t="s">
        <v>1291</v>
      </c>
    </row>
    <row r="91">
      <c r="A91" s="7" t="s">
        <v>9</v>
      </c>
      <c r="B91" s="7">
        <v>6.0</v>
      </c>
      <c r="C91" s="7" t="s">
        <v>882</v>
      </c>
      <c r="D91" s="7" t="s">
        <v>883</v>
      </c>
      <c r="E91" s="7" t="s">
        <v>884</v>
      </c>
      <c r="F91" s="7" t="s">
        <v>863</v>
      </c>
    </row>
    <row r="92">
      <c r="A92" s="7" t="s">
        <v>10</v>
      </c>
      <c r="B92" s="7">
        <v>6.0</v>
      </c>
      <c r="C92" s="7" t="s">
        <v>882</v>
      </c>
      <c r="D92" s="7" t="s">
        <v>883</v>
      </c>
      <c r="E92" s="7" t="s">
        <v>884</v>
      </c>
      <c r="F92" s="7" t="s">
        <v>1291</v>
      </c>
    </row>
    <row r="93">
      <c r="A93" s="7" t="s">
        <v>872</v>
      </c>
      <c r="B93" s="7">
        <v>6.0</v>
      </c>
      <c r="C93" s="7" t="s">
        <v>882</v>
      </c>
      <c r="D93" s="7" t="s">
        <v>883</v>
      </c>
      <c r="E93" s="7" t="s">
        <v>884</v>
      </c>
      <c r="F93" s="7" t="s">
        <v>865</v>
      </c>
    </row>
    <row r="94">
      <c r="A94" s="7" t="s">
        <v>873</v>
      </c>
      <c r="B94" s="7">
        <v>6.0</v>
      </c>
      <c r="C94" s="7" t="s">
        <v>882</v>
      </c>
      <c r="D94" s="7" t="s">
        <v>883</v>
      </c>
      <c r="E94" s="7" t="s">
        <v>884</v>
      </c>
      <c r="F94" s="7" t="s">
        <v>864</v>
      </c>
    </row>
    <row r="95">
      <c r="A95" s="7" t="s">
        <v>11</v>
      </c>
      <c r="B95" s="7">
        <v>6.0</v>
      </c>
      <c r="C95" s="7" t="s">
        <v>882</v>
      </c>
      <c r="D95" s="7" t="s">
        <v>883</v>
      </c>
      <c r="E95" s="7" t="s">
        <v>884</v>
      </c>
      <c r="F95" s="7" t="s">
        <v>1290</v>
      </c>
    </row>
    <row r="96">
      <c r="A96" s="7" t="s">
        <v>12</v>
      </c>
      <c r="B96" s="7">
        <v>6.0</v>
      </c>
      <c r="C96" s="7" t="s">
        <v>882</v>
      </c>
      <c r="D96" s="7" t="s">
        <v>883</v>
      </c>
      <c r="E96" s="7" t="s">
        <v>884</v>
      </c>
      <c r="F96" s="7" t="s">
        <v>863</v>
      </c>
    </row>
    <row r="97">
      <c r="A97" s="7" t="s">
        <v>874</v>
      </c>
      <c r="B97" s="7">
        <v>6.0</v>
      </c>
      <c r="C97" s="7" t="s">
        <v>882</v>
      </c>
      <c r="D97" s="7" t="s">
        <v>883</v>
      </c>
      <c r="E97" s="7" t="s">
        <v>884</v>
      </c>
      <c r="F97" s="7" t="s">
        <v>864</v>
      </c>
    </row>
    <row r="98">
      <c r="A98" s="7" t="s">
        <v>13</v>
      </c>
      <c r="B98" s="7">
        <v>6.0</v>
      </c>
      <c r="C98" s="7" t="s">
        <v>882</v>
      </c>
      <c r="D98" s="7" t="s">
        <v>883</v>
      </c>
      <c r="E98" s="7" t="s">
        <v>884</v>
      </c>
      <c r="F98" s="7" t="s">
        <v>864</v>
      </c>
    </row>
    <row r="99">
      <c r="A99" s="7" t="s">
        <v>875</v>
      </c>
      <c r="B99" s="7">
        <v>6.0</v>
      </c>
      <c r="C99" s="7" t="s">
        <v>882</v>
      </c>
      <c r="D99" s="7" t="s">
        <v>883</v>
      </c>
      <c r="E99" s="7" t="s">
        <v>884</v>
      </c>
      <c r="F99" s="7" t="s">
        <v>1290</v>
      </c>
    </row>
    <row r="100">
      <c r="A100" s="7" t="s">
        <v>14</v>
      </c>
      <c r="B100" s="7">
        <v>6.0</v>
      </c>
      <c r="C100" s="7" t="s">
        <v>882</v>
      </c>
      <c r="D100" s="7" t="s">
        <v>883</v>
      </c>
      <c r="E100" s="7" t="s">
        <v>884</v>
      </c>
      <c r="F100" s="7" t="s">
        <v>1290</v>
      </c>
    </row>
    <row r="101">
      <c r="A101" s="7" t="s">
        <v>609</v>
      </c>
      <c r="B101" s="7">
        <v>6.0</v>
      </c>
      <c r="C101" s="7" t="s">
        <v>882</v>
      </c>
      <c r="D101" s="7" t="s">
        <v>883</v>
      </c>
      <c r="E101" s="7" t="s">
        <v>884</v>
      </c>
      <c r="F101" s="7" t="s">
        <v>862</v>
      </c>
    </row>
    <row r="102">
      <c r="A102" s="7" t="s">
        <v>15</v>
      </c>
      <c r="B102" s="7">
        <v>6.0</v>
      </c>
      <c r="C102" s="7" t="s">
        <v>882</v>
      </c>
      <c r="D102" s="7" t="s">
        <v>883</v>
      </c>
      <c r="E102" s="7" t="s">
        <v>884</v>
      </c>
      <c r="F102" s="7" t="s">
        <v>1290</v>
      </c>
    </row>
    <row r="103">
      <c r="A103" s="7" t="s">
        <v>610</v>
      </c>
      <c r="B103" s="7">
        <v>6.0</v>
      </c>
      <c r="C103" s="7" t="s">
        <v>882</v>
      </c>
      <c r="D103" s="7" t="s">
        <v>883</v>
      </c>
      <c r="E103" s="7" t="s">
        <v>884</v>
      </c>
      <c r="F103" s="7" t="s">
        <v>1292</v>
      </c>
    </row>
    <row r="104">
      <c r="A104" s="7" t="s">
        <v>16</v>
      </c>
      <c r="B104" s="7">
        <v>6.0</v>
      </c>
      <c r="C104" s="7" t="s">
        <v>882</v>
      </c>
      <c r="D104" s="7" t="s">
        <v>883</v>
      </c>
      <c r="E104" s="7" t="s">
        <v>884</v>
      </c>
      <c r="F104" s="7" t="s">
        <v>865</v>
      </c>
    </row>
    <row r="105">
      <c r="A105" s="7" t="s">
        <v>876</v>
      </c>
      <c r="B105" s="7">
        <v>6.0</v>
      </c>
      <c r="C105" s="7" t="s">
        <v>882</v>
      </c>
      <c r="D105" s="7" t="s">
        <v>883</v>
      </c>
      <c r="E105" s="7" t="s">
        <v>884</v>
      </c>
      <c r="F105" s="7" t="s">
        <v>1291</v>
      </c>
    </row>
    <row r="106">
      <c r="A106" s="7" t="s">
        <v>877</v>
      </c>
      <c r="B106" s="7">
        <v>6.0</v>
      </c>
      <c r="C106" s="7" t="s">
        <v>882</v>
      </c>
      <c r="D106" s="7" t="s">
        <v>883</v>
      </c>
      <c r="E106" s="7" t="s">
        <v>884</v>
      </c>
      <c r="F106" s="7" t="s">
        <v>1290</v>
      </c>
    </row>
    <row r="107">
      <c r="A107" s="7" t="s">
        <v>17</v>
      </c>
      <c r="B107" s="7">
        <v>6.0</v>
      </c>
      <c r="C107" s="7" t="s">
        <v>882</v>
      </c>
      <c r="D107" s="7" t="s">
        <v>883</v>
      </c>
      <c r="E107" s="7" t="s">
        <v>884</v>
      </c>
      <c r="F107" s="7" t="s">
        <v>864</v>
      </c>
    </row>
    <row r="108">
      <c r="A108" s="7" t="s">
        <v>18</v>
      </c>
      <c r="B108" s="7">
        <v>6.0</v>
      </c>
      <c r="C108" s="7" t="s">
        <v>882</v>
      </c>
      <c r="D108" s="7" t="s">
        <v>883</v>
      </c>
      <c r="E108" s="7" t="s">
        <v>884</v>
      </c>
      <c r="F108" s="7" t="s">
        <v>864</v>
      </c>
    </row>
    <row r="109">
      <c r="A109" s="7" t="s">
        <v>19</v>
      </c>
      <c r="B109" s="7">
        <v>6.0</v>
      </c>
      <c r="C109" s="7" t="s">
        <v>882</v>
      </c>
      <c r="D109" s="7" t="s">
        <v>883</v>
      </c>
      <c r="E109" s="7" t="s">
        <v>884</v>
      </c>
      <c r="F109" s="7" t="s">
        <v>1291</v>
      </c>
    </row>
    <row r="110">
      <c r="A110" s="7" t="s">
        <v>596</v>
      </c>
      <c r="B110" s="7">
        <v>6.0</v>
      </c>
      <c r="C110" s="7" t="s">
        <v>885</v>
      </c>
      <c r="D110" s="7" t="s">
        <v>886</v>
      </c>
      <c r="E110" s="7" t="s">
        <v>887</v>
      </c>
      <c r="F110" s="7" t="s">
        <v>1290</v>
      </c>
    </row>
    <row r="111">
      <c r="A111" s="7" t="s">
        <v>188</v>
      </c>
      <c r="B111" s="7">
        <v>6.0</v>
      </c>
      <c r="C111" s="7" t="s">
        <v>885</v>
      </c>
      <c r="D111" s="7" t="s">
        <v>886</v>
      </c>
      <c r="E111" s="7" t="s">
        <v>887</v>
      </c>
      <c r="F111" s="7" t="s">
        <v>864</v>
      </c>
    </row>
    <row r="112">
      <c r="A112" s="7" t="s">
        <v>4</v>
      </c>
      <c r="B112" s="7">
        <v>6.0</v>
      </c>
      <c r="C112" s="7" t="s">
        <v>885</v>
      </c>
      <c r="D112" s="7" t="s">
        <v>886</v>
      </c>
      <c r="E112" s="7" t="s">
        <v>887</v>
      </c>
      <c r="F112" s="7" t="s">
        <v>863</v>
      </c>
    </row>
    <row r="113">
      <c r="A113" s="7" t="s">
        <v>386</v>
      </c>
      <c r="B113" s="7">
        <v>6.0</v>
      </c>
      <c r="C113" s="7" t="s">
        <v>885</v>
      </c>
      <c r="D113" s="7" t="s">
        <v>886</v>
      </c>
      <c r="E113" s="7" t="s">
        <v>887</v>
      </c>
      <c r="F113" s="7" t="s">
        <v>865</v>
      </c>
    </row>
    <row r="114">
      <c r="A114" s="7" t="s">
        <v>866</v>
      </c>
      <c r="B114" s="7">
        <v>6.0</v>
      </c>
      <c r="C114" s="7" t="s">
        <v>885</v>
      </c>
      <c r="D114" s="7" t="s">
        <v>886</v>
      </c>
      <c r="E114" s="7" t="s">
        <v>887</v>
      </c>
      <c r="F114" s="7" t="s">
        <v>865</v>
      </c>
    </row>
    <row r="115">
      <c r="A115" s="7" t="s">
        <v>5</v>
      </c>
      <c r="B115" s="7">
        <v>6.0</v>
      </c>
      <c r="C115" s="7" t="s">
        <v>885</v>
      </c>
      <c r="D115" s="7" t="s">
        <v>886</v>
      </c>
      <c r="E115" s="7" t="s">
        <v>887</v>
      </c>
      <c r="F115" s="7" t="s">
        <v>864</v>
      </c>
    </row>
    <row r="116">
      <c r="A116" s="7" t="s">
        <v>867</v>
      </c>
      <c r="B116" s="7">
        <v>6.0</v>
      </c>
      <c r="C116" s="7" t="s">
        <v>885</v>
      </c>
      <c r="D116" s="7" t="s">
        <v>886</v>
      </c>
      <c r="E116" s="7" t="s">
        <v>887</v>
      </c>
      <c r="F116" s="7" t="s">
        <v>1291</v>
      </c>
    </row>
    <row r="117">
      <c r="A117" s="7" t="s">
        <v>868</v>
      </c>
      <c r="B117" s="7">
        <v>6.0</v>
      </c>
      <c r="C117" s="7" t="s">
        <v>885</v>
      </c>
      <c r="D117" s="7" t="s">
        <v>886</v>
      </c>
      <c r="E117" s="7" t="s">
        <v>887</v>
      </c>
      <c r="F117" s="7" t="s">
        <v>864</v>
      </c>
    </row>
    <row r="118">
      <c r="A118" s="7" t="s">
        <v>599</v>
      </c>
      <c r="B118" s="7">
        <v>6.0</v>
      </c>
      <c r="C118" s="7" t="s">
        <v>885</v>
      </c>
      <c r="D118" s="7" t="s">
        <v>886</v>
      </c>
      <c r="E118" s="7" t="s">
        <v>887</v>
      </c>
      <c r="F118" s="7" t="s">
        <v>1290</v>
      </c>
    </row>
    <row r="119">
      <c r="A119" s="7" t="s">
        <v>869</v>
      </c>
      <c r="B119" s="7">
        <v>6.0</v>
      </c>
      <c r="C119" s="7" t="s">
        <v>885</v>
      </c>
      <c r="D119" s="7" t="s">
        <v>886</v>
      </c>
      <c r="E119" s="7" t="s">
        <v>887</v>
      </c>
      <c r="F119" s="7" t="s">
        <v>1291</v>
      </c>
    </row>
    <row r="120">
      <c r="A120" s="7" t="s">
        <v>870</v>
      </c>
      <c r="B120" s="7">
        <v>6.0</v>
      </c>
      <c r="C120" s="7" t="s">
        <v>885</v>
      </c>
      <c r="D120" s="7" t="s">
        <v>886</v>
      </c>
      <c r="E120" s="7" t="s">
        <v>887</v>
      </c>
      <c r="F120" s="7" t="s">
        <v>864</v>
      </c>
    </row>
    <row r="121">
      <c r="A121" s="7" t="s">
        <v>6</v>
      </c>
      <c r="B121" s="7">
        <v>6.0</v>
      </c>
      <c r="C121" s="7" t="s">
        <v>885</v>
      </c>
      <c r="D121" s="7" t="s">
        <v>886</v>
      </c>
      <c r="E121" s="7" t="s">
        <v>887</v>
      </c>
      <c r="F121" s="7" t="s">
        <v>862</v>
      </c>
    </row>
    <row r="122">
      <c r="A122" s="7" t="s">
        <v>871</v>
      </c>
      <c r="B122" s="7">
        <v>6.0</v>
      </c>
      <c r="C122" s="7" t="s">
        <v>885</v>
      </c>
      <c r="D122" s="7" t="s">
        <v>886</v>
      </c>
      <c r="E122" s="7" t="s">
        <v>887</v>
      </c>
      <c r="F122" s="7" t="s">
        <v>1291</v>
      </c>
    </row>
    <row r="123">
      <c r="A123" s="7" t="s">
        <v>7</v>
      </c>
      <c r="B123" s="7">
        <v>6.0</v>
      </c>
      <c r="C123" s="7" t="s">
        <v>885</v>
      </c>
      <c r="D123" s="7" t="s">
        <v>886</v>
      </c>
      <c r="E123" s="7" t="s">
        <v>887</v>
      </c>
      <c r="F123" s="7" t="s">
        <v>1291</v>
      </c>
    </row>
    <row r="124">
      <c r="A124" s="7" t="s">
        <v>8</v>
      </c>
      <c r="B124" s="7">
        <v>6.0</v>
      </c>
      <c r="C124" s="7" t="s">
        <v>885</v>
      </c>
      <c r="D124" s="7" t="s">
        <v>886</v>
      </c>
      <c r="E124" s="7" t="s">
        <v>887</v>
      </c>
      <c r="F124" s="7" t="s">
        <v>862</v>
      </c>
    </row>
    <row r="125">
      <c r="A125" s="7" t="s">
        <v>388</v>
      </c>
      <c r="B125" s="7">
        <v>6.0</v>
      </c>
      <c r="C125" s="7" t="s">
        <v>885</v>
      </c>
      <c r="D125" s="7" t="s">
        <v>886</v>
      </c>
      <c r="E125" s="7" t="s">
        <v>887</v>
      </c>
      <c r="F125" s="7" t="s">
        <v>864</v>
      </c>
    </row>
    <row r="126">
      <c r="A126" s="7" t="s">
        <v>189</v>
      </c>
      <c r="B126" s="7">
        <v>6.0</v>
      </c>
      <c r="C126" s="7" t="s">
        <v>885</v>
      </c>
      <c r="D126" s="7" t="s">
        <v>886</v>
      </c>
      <c r="E126" s="7" t="s">
        <v>887</v>
      </c>
      <c r="F126" s="7" t="s">
        <v>1291</v>
      </c>
    </row>
    <row r="127">
      <c r="A127" s="7" t="s">
        <v>9</v>
      </c>
      <c r="B127" s="7">
        <v>6.0</v>
      </c>
      <c r="C127" s="7" t="s">
        <v>885</v>
      </c>
      <c r="D127" s="7" t="s">
        <v>886</v>
      </c>
      <c r="E127" s="7" t="s">
        <v>887</v>
      </c>
      <c r="F127" s="7" t="s">
        <v>863</v>
      </c>
    </row>
    <row r="128">
      <c r="A128" s="7" t="s">
        <v>10</v>
      </c>
      <c r="B128" s="7">
        <v>6.0</v>
      </c>
      <c r="C128" s="7" t="s">
        <v>885</v>
      </c>
      <c r="D128" s="7" t="s">
        <v>886</v>
      </c>
      <c r="E128" s="7" t="s">
        <v>887</v>
      </c>
      <c r="F128" s="7" t="s">
        <v>1291</v>
      </c>
    </row>
    <row r="129">
      <c r="A129" s="7" t="s">
        <v>872</v>
      </c>
      <c r="B129" s="7">
        <v>6.0</v>
      </c>
      <c r="C129" s="7" t="s">
        <v>885</v>
      </c>
      <c r="D129" s="7" t="s">
        <v>886</v>
      </c>
      <c r="E129" s="7" t="s">
        <v>887</v>
      </c>
      <c r="F129" s="7" t="s">
        <v>865</v>
      </c>
    </row>
    <row r="130">
      <c r="A130" s="7" t="s">
        <v>873</v>
      </c>
      <c r="B130" s="7">
        <v>6.0</v>
      </c>
      <c r="C130" s="7" t="s">
        <v>885</v>
      </c>
      <c r="D130" s="7" t="s">
        <v>886</v>
      </c>
      <c r="E130" s="7" t="s">
        <v>887</v>
      </c>
      <c r="F130" s="7" t="s">
        <v>864</v>
      </c>
    </row>
    <row r="131">
      <c r="A131" s="7" t="s">
        <v>11</v>
      </c>
      <c r="B131" s="7">
        <v>6.0</v>
      </c>
      <c r="C131" s="7" t="s">
        <v>885</v>
      </c>
      <c r="D131" s="7" t="s">
        <v>886</v>
      </c>
      <c r="E131" s="7" t="s">
        <v>887</v>
      </c>
      <c r="F131" s="7" t="s">
        <v>1290</v>
      </c>
    </row>
    <row r="132">
      <c r="A132" s="7" t="s">
        <v>12</v>
      </c>
      <c r="B132" s="7">
        <v>6.0</v>
      </c>
      <c r="C132" s="7" t="s">
        <v>885</v>
      </c>
      <c r="D132" s="7" t="s">
        <v>886</v>
      </c>
      <c r="E132" s="7" t="s">
        <v>887</v>
      </c>
      <c r="F132" s="7" t="s">
        <v>863</v>
      </c>
    </row>
    <row r="133">
      <c r="A133" s="7" t="s">
        <v>874</v>
      </c>
      <c r="B133" s="7">
        <v>6.0</v>
      </c>
      <c r="C133" s="7" t="s">
        <v>885</v>
      </c>
      <c r="D133" s="7" t="s">
        <v>886</v>
      </c>
      <c r="E133" s="7" t="s">
        <v>887</v>
      </c>
      <c r="F133" s="7" t="s">
        <v>864</v>
      </c>
    </row>
    <row r="134">
      <c r="A134" s="7" t="s">
        <v>13</v>
      </c>
      <c r="B134" s="7">
        <v>6.0</v>
      </c>
      <c r="C134" s="7" t="s">
        <v>885</v>
      </c>
      <c r="D134" s="7" t="s">
        <v>886</v>
      </c>
      <c r="E134" s="7" t="s">
        <v>887</v>
      </c>
      <c r="F134" s="7" t="s">
        <v>864</v>
      </c>
    </row>
    <row r="135">
      <c r="A135" s="7" t="s">
        <v>875</v>
      </c>
      <c r="B135" s="7">
        <v>6.0</v>
      </c>
      <c r="C135" s="7" t="s">
        <v>885</v>
      </c>
      <c r="D135" s="7" t="s">
        <v>886</v>
      </c>
      <c r="E135" s="7" t="s">
        <v>887</v>
      </c>
      <c r="F135" s="7" t="s">
        <v>1290</v>
      </c>
    </row>
    <row r="136">
      <c r="A136" s="7" t="s">
        <v>14</v>
      </c>
      <c r="B136" s="7">
        <v>6.0</v>
      </c>
      <c r="C136" s="7" t="s">
        <v>885</v>
      </c>
      <c r="D136" s="7" t="s">
        <v>886</v>
      </c>
      <c r="E136" s="7" t="s">
        <v>887</v>
      </c>
      <c r="F136" s="7" t="s">
        <v>1290</v>
      </c>
    </row>
    <row r="137">
      <c r="A137" s="7" t="s">
        <v>609</v>
      </c>
      <c r="B137" s="7">
        <v>6.0</v>
      </c>
      <c r="C137" s="7" t="s">
        <v>885</v>
      </c>
      <c r="D137" s="7" t="s">
        <v>886</v>
      </c>
      <c r="E137" s="7" t="s">
        <v>887</v>
      </c>
      <c r="F137" s="7" t="s">
        <v>862</v>
      </c>
    </row>
    <row r="138">
      <c r="A138" s="7" t="s">
        <v>15</v>
      </c>
      <c r="B138" s="7">
        <v>6.0</v>
      </c>
      <c r="C138" s="7" t="s">
        <v>885</v>
      </c>
      <c r="D138" s="7" t="s">
        <v>886</v>
      </c>
      <c r="E138" s="7" t="s">
        <v>887</v>
      </c>
      <c r="F138" s="7" t="s">
        <v>1290</v>
      </c>
    </row>
    <row r="139">
      <c r="A139" s="7" t="s">
        <v>610</v>
      </c>
      <c r="B139" s="7">
        <v>6.0</v>
      </c>
      <c r="C139" s="7" t="s">
        <v>885</v>
      </c>
      <c r="D139" s="7" t="s">
        <v>886</v>
      </c>
      <c r="E139" s="7" t="s">
        <v>887</v>
      </c>
      <c r="F139" s="7" t="s">
        <v>1292</v>
      </c>
    </row>
    <row r="140">
      <c r="A140" s="7" t="s">
        <v>16</v>
      </c>
      <c r="B140" s="7">
        <v>6.0</v>
      </c>
      <c r="C140" s="7" t="s">
        <v>885</v>
      </c>
      <c r="D140" s="7" t="s">
        <v>886</v>
      </c>
      <c r="E140" s="7" t="s">
        <v>887</v>
      </c>
      <c r="F140" s="7" t="s">
        <v>865</v>
      </c>
    </row>
    <row r="141">
      <c r="A141" s="7" t="s">
        <v>876</v>
      </c>
      <c r="B141" s="7">
        <v>6.0</v>
      </c>
      <c r="C141" s="7" t="s">
        <v>885</v>
      </c>
      <c r="D141" s="7" t="s">
        <v>886</v>
      </c>
      <c r="E141" s="7" t="s">
        <v>887</v>
      </c>
      <c r="F141" s="7" t="s">
        <v>1291</v>
      </c>
    </row>
    <row r="142">
      <c r="A142" s="7" t="s">
        <v>877</v>
      </c>
      <c r="B142" s="7">
        <v>6.0</v>
      </c>
      <c r="C142" s="7" t="s">
        <v>885</v>
      </c>
      <c r="D142" s="7" t="s">
        <v>886</v>
      </c>
      <c r="E142" s="7" t="s">
        <v>887</v>
      </c>
      <c r="F142" s="7" t="s">
        <v>1290</v>
      </c>
    </row>
    <row r="143">
      <c r="A143" s="7" t="s">
        <v>17</v>
      </c>
      <c r="B143" s="7">
        <v>6.0</v>
      </c>
      <c r="C143" s="7" t="s">
        <v>885</v>
      </c>
      <c r="D143" s="7" t="s">
        <v>886</v>
      </c>
      <c r="E143" s="7" t="s">
        <v>887</v>
      </c>
      <c r="F143" s="7" t="s">
        <v>864</v>
      </c>
    </row>
    <row r="144">
      <c r="A144" s="7" t="s">
        <v>18</v>
      </c>
      <c r="B144" s="7">
        <v>6.0</v>
      </c>
      <c r="C144" s="7" t="s">
        <v>885</v>
      </c>
      <c r="D144" s="7" t="s">
        <v>886</v>
      </c>
      <c r="E144" s="7" t="s">
        <v>887</v>
      </c>
      <c r="F144" s="7" t="s">
        <v>864</v>
      </c>
    </row>
    <row r="145">
      <c r="A145" s="7" t="s">
        <v>19</v>
      </c>
      <c r="B145" s="7">
        <v>6.0</v>
      </c>
      <c r="C145" s="7" t="s">
        <v>885</v>
      </c>
      <c r="D145" s="7" t="s">
        <v>886</v>
      </c>
      <c r="E145" s="7" t="s">
        <v>887</v>
      </c>
      <c r="F145" s="7" t="s">
        <v>1291</v>
      </c>
    </row>
    <row r="146">
      <c r="A146" s="7" t="s">
        <v>596</v>
      </c>
      <c r="B146" s="7">
        <v>6.0</v>
      </c>
      <c r="C146" s="7" t="s">
        <v>619</v>
      </c>
      <c r="D146" s="7" t="s">
        <v>888</v>
      </c>
      <c r="E146" s="7" t="s">
        <v>889</v>
      </c>
      <c r="F146" s="7" t="s">
        <v>1290</v>
      </c>
    </row>
    <row r="147">
      <c r="A147" s="7" t="s">
        <v>188</v>
      </c>
      <c r="B147" s="7">
        <v>6.0</v>
      </c>
      <c r="C147" s="7" t="s">
        <v>619</v>
      </c>
      <c r="D147" s="7" t="s">
        <v>888</v>
      </c>
      <c r="E147" s="7" t="s">
        <v>889</v>
      </c>
      <c r="F147" s="7" t="s">
        <v>864</v>
      </c>
    </row>
    <row r="148">
      <c r="A148" s="7" t="s">
        <v>4</v>
      </c>
      <c r="B148" s="7">
        <v>6.0</v>
      </c>
      <c r="C148" s="7" t="s">
        <v>619</v>
      </c>
      <c r="D148" s="7" t="s">
        <v>888</v>
      </c>
      <c r="E148" s="7" t="s">
        <v>889</v>
      </c>
      <c r="F148" s="7" t="s">
        <v>863</v>
      </c>
    </row>
    <row r="149">
      <c r="A149" s="7" t="s">
        <v>386</v>
      </c>
      <c r="B149" s="7">
        <v>6.0</v>
      </c>
      <c r="C149" s="7" t="s">
        <v>619</v>
      </c>
      <c r="D149" s="7" t="s">
        <v>888</v>
      </c>
      <c r="E149" s="7" t="s">
        <v>889</v>
      </c>
      <c r="F149" s="7" t="s">
        <v>865</v>
      </c>
    </row>
    <row r="150">
      <c r="A150" s="7" t="s">
        <v>866</v>
      </c>
      <c r="B150" s="7">
        <v>6.0</v>
      </c>
      <c r="C150" s="7" t="s">
        <v>619</v>
      </c>
      <c r="D150" s="7" t="s">
        <v>888</v>
      </c>
      <c r="E150" s="7" t="s">
        <v>889</v>
      </c>
      <c r="F150" s="7" t="s">
        <v>865</v>
      </c>
    </row>
    <row r="151">
      <c r="A151" s="7" t="s">
        <v>5</v>
      </c>
      <c r="B151" s="7">
        <v>6.0</v>
      </c>
      <c r="C151" s="7" t="s">
        <v>619</v>
      </c>
      <c r="D151" s="7" t="s">
        <v>888</v>
      </c>
      <c r="E151" s="7" t="s">
        <v>889</v>
      </c>
      <c r="F151" s="7" t="s">
        <v>864</v>
      </c>
    </row>
    <row r="152">
      <c r="A152" s="7" t="s">
        <v>867</v>
      </c>
      <c r="B152" s="7">
        <v>6.0</v>
      </c>
      <c r="C152" s="7" t="s">
        <v>619</v>
      </c>
      <c r="D152" s="7" t="s">
        <v>888</v>
      </c>
      <c r="E152" s="7" t="s">
        <v>889</v>
      </c>
      <c r="F152" s="7" t="s">
        <v>1291</v>
      </c>
    </row>
    <row r="153">
      <c r="A153" s="7" t="s">
        <v>868</v>
      </c>
      <c r="B153" s="7">
        <v>6.0</v>
      </c>
      <c r="C153" s="7" t="s">
        <v>619</v>
      </c>
      <c r="D153" s="7" t="s">
        <v>888</v>
      </c>
      <c r="E153" s="7" t="s">
        <v>889</v>
      </c>
      <c r="F153" s="7" t="s">
        <v>864</v>
      </c>
    </row>
    <row r="154">
      <c r="A154" s="7" t="s">
        <v>599</v>
      </c>
      <c r="B154" s="7">
        <v>6.0</v>
      </c>
      <c r="C154" s="7" t="s">
        <v>619</v>
      </c>
      <c r="D154" s="7" t="s">
        <v>888</v>
      </c>
      <c r="E154" s="7" t="s">
        <v>889</v>
      </c>
      <c r="F154" s="7" t="s">
        <v>1290</v>
      </c>
    </row>
    <row r="155">
      <c r="A155" s="7" t="s">
        <v>869</v>
      </c>
      <c r="B155" s="7">
        <v>6.0</v>
      </c>
      <c r="C155" s="7" t="s">
        <v>619</v>
      </c>
      <c r="D155" s="7" t="s">
        <v>888</v>
      </c>
      <c r="E155" s="7" t="s">
        <v>889</v>
      </c>
      <c r="F155" s="7" t="s">
        <v>1291</v>
      </c>
    </row>
    <row r="156">
      <c r="A156" s="7" t="s">
        <v>870</v>
      </c>
      <c r="B156" s="7">
        <v>6.0</v>
      </c>
      <c r="C156" s="7" t="s">
        <v>619</v>
      </c>
      <c r="D156" s="7" t="s">
        <v>888</v>
      </c>
      <c r="E156" s="7" t="s">
        <v>889</v>
      </c>
      <c r="F156" s="7" t="s">
        <v>864</v>
      </c>
    </row>
    <row r="157">
      <c r="A157" s="7" t="s">
        <v>6</v>
      </c>
      <c r="B157" s="7">
        <v>6.0</v>
      </c>
      <c r="C157" s="7" t="s">
        <v>619</v>
      </c>
      <c r="D157" s="7" t="s">
        <v>888</v>
      </c>
      <c r="E157" s="7" t="s">
        <v>889</v>
      </c>
      <c r="F157" s="7" t="s">
        <v>862</v>
      </c>
    </row>
    <row r="158">
      <c r="A158" s="7" t="s">
        <v>871</v>
      </c>
      <c r="B158" s="7">
        <v>6.0</v>
      </c>
      <c r="C158" s="7" t="s">
        <v>619</v>
      </c>
      <c r="D158" s="7" t="s">
        <v>888</v>
      </c>
      <c r="E158" s="7" t="s">
        <v>889</v>
      </c>
      <c r="F158" s="7" t="s">
        <v>1291</v>
      </c>
    </row>
    <row r="159">
      <c r="A159" s="7" t="s">
        <v>7</v>
      </c>
      <c r="B159" s="7">
        <v>6.0</v>
      </c>
      <c r="C159" s="7" t="s">
        <v>619</v>
      </c>
      <c r="D159" s="7" t="s">
        <v>888</v>
      </c>
      <c r="E159" s="7" t="s">
        <v>889</v>
      </c>
      <c r="F159" s="7" t="s">
        <v>1291</v>
      </c>
    </row>
    <row r="160">
      <c r="A160" s="7" t="s">
        <v>8</v>
      </c>
      <c r="B160" s="7">
        <v>6.0</v>
      </c>
      <c r="C160" s="7" t="s">
        <v>619</v>
      </c>
      <c r="D160" s="7" t="s">
        <v>888</v>
      </c>
      <c r="E160" s="7" t="s">
        <v>889</v>
      </c>
      <c r="F160" s="7" t="s">
        <v>862</v>
      </c>
    </row>
    <row r="161">
      <c r="A161" s="7" t="s">
        <v>388</v>
      </c>
      <c r="B161" s="7">
        <v>6.0</v>
      </c>
      <c r="C161" s="7" t="s">
        <v>619</v>
      </c>
      <c r="D161" s="7" t="s">
        <v>888</v>
      </c>
      <c r="E161" s="7" t="s">
        <v>889</v>
      </c>
      <c r="F161" s="7" t="s">
        <v>864</v>
      </c>
    </row>
    <row r="162">
      <c r="A162" s="7" t="s">
        <v>189</v>
      </c>
      <c r="B162" s="7">
        <v>6.0</v>
      </c>
      <c r="C162" s="7" t="s">
        <v>619</v>
      </c>
      <c r="D162" s="7" t="s">
        <v>888</v>
      </c>
      <c r="E162" s="7" t="s">
        <v>889</v>
      </c>
      <c r="F162" s="7" t="s">
        <v>1291</v>
      </c>
    </row>
    <row r="163">
      <c r="A163" s="7" t="s">
        <v>9</v>
      </c>
      <c r="B163" s="7">
        <v>6.0</v>
      </c>
      <c r="C163" s="7" t="s">
        <v>619</v>
      </c>
      <c r="D163" s="7" t="s">
        <v>888</v>
      </c>
      <c r="E163" s="7" t="s">
        <v>889</v>
      </c>
      <c r="F163" s="7" t="s">
        <v>863</v>
      </c>
    </row>
    <row r="164">
      <c r="A164" s="7" t="s">
        <v>10</v>
      </c>
      <c r="B164" s="7">
        <v>6.0</v>
      </c>
      <c r="C164" s="7" t="s">
        <v>619</v>
      </c>
      <c r="D164" s="7" t="s">
        <v>888</v>
      </c>
      <c r="E164" s="7" t="s">
        <v>889</v>
      </c>
      <c r="F164" s="7" t="s">
        <v>1291</v>
      </c>
    </row>
    <row r="165">
      <c r="A165" s="7" t="s">
        <v>872</v>
      </c>
      <c r="B165" s="7">
        <v>6.0</v>
      </c>
      <c r="C165" s="7" t="s">
        <v>619</v>
      </c>
      <c r="D165" s="7" t="s">
        <v>888</v>
      </c>
      <c r="E165" s="7" t="s">
        <v>889</v>
      </c>
      <c r="F165" s="7" t="s">
        <v>865</v>
      </c>
    </row>
    <row r="166">
      <c r="A166" s="7" t="s">
        <v>873</v>
      </c>
      <c r="B166" s="7">
        <v>6.0</v>
      </c>
      <c r="C166" s="7" t="s">
        <v>619</v>
      </c>
      <c r="D166" s="7" t="s">
        <v>888</v>
      </c>
      <c r="E166" s="7" t="s">
        <v>889</v>
      </c>
      <c r="F166" s="7" t="s">
        <v>864</v>
      </c>
    </row>
    <row r="167">
      <c r="A167" s="7" t="s">
        <v>11</v>
      </c>
      <c r="B167" s="7">
        <v>6.0</v>
      </c>
      <c r="C167" s="7" t="s">
        <v>619</v>
      </c>
      <c r="D167" s="7" t="s">
        <v>888</v>
      </c>
      <c r="E167" s="7" t="s">
        <v>889</v>
      </c>
      <c r="F167" s="7" t="s">
        <v>1290</v>
      </c>
    </row>
    <row r="168">
      <c r="A168" s="7" t="s">
        <v>12</v>
      </c>
      <c r="B168" s="7">
        <v>6.0</v>
      </c>
      <c r="C168" s="7" t="s">
        <v>619</v>
      </c>
      <c r="D168" s="7" t="s">
        <v>888</v>
      </c>
      <c r="E168" s="7" t="s">
        <v>889</v>
      </c>
      <c r="F168" s="7" t="s">
        <v>863</v>
      </c>
    </row>
    <row r="169">
      <c r="A169" s="7" t="s">
        <v>874</v>
      </c>
      <c r="B169" s="7">
        <v>6.0</v>
      </c>
      <c r="C169" s="7" t="s">
        <v>619</v>
      </c>
      <c r="D169" s="7" t="s">
        <v>888</v>
      </c>
      <c r="E169" s="7" t="s">
        <v>889</v>
      </c>
      <c r="F169" s="7" t="s">
        <v>864</v>
      </c>
    </row>
    <row r="170">
      <c r="A170" s="7" t="s">
        <v>13</v>
      </c>
      <c r="B170" s="7">
        <v>6.0</v>
      </c>
      <c r="C170" s="7" t="s">
        <v>619</v>
      </c>
      <c r="D170" s="7" t="s">
        <v>888</v>
      </c>
      <c r="E170" s="7" t="s">
        <v>889</v>
      </c>
      <c r="F170" s="7" t="s">
        <v>864</v>
      </c>
    </row>
    <row r="171">
      <c r="A171" s="7" t="s">
        <v>875</v>
      </c>
      <c r="B171" s="7">
        <v>6.0</v>
      </c>
      <c r="C171" s="7" t="s">
        <v>619</v>
      </c>
      <c r="D171" s="7" t="s">
        <v>888</v>
      </c>
      <c r="E171" s="7" t="s">
        <v>889</v>
      </c>
      <c r="F171" s="7" t="s">
        <v>1290</v>
      </c>
    </row>
    <row r="172">
      <c r="A172" s="7" t="s">
        <v>14</v>
      </c>
      <c r="B172" s="7">
        <v>6.0</v>
      </c>
      <c r="C172" s="7" t="s">
        <v>619</v>
      </c>
      <c r="D172" s="7" t="s">
        <v>888</v>
      </c>
      <c r="E172" s="7" t="s">
        <v>889</v>
      </c>
      <c r="F172" s="7" t="s">
        <v>1290</v>
      </c>
    </row>
    <row r="173">
      <c r="A173" s="7" t="s">
        <v>609</v>
      </c>
      <c r="B173" s="7">
        <v>6.0</v>
      </c>
      <c r="C173" s="7" t="s">
        <v>619</v>
      </c>
      <c r="D173" s="7" t="s">
        <v>888</v>
      </c>
      <c r="E173" s="7" t="s">
        <v>889</v>
      </c>
      <c r="F173" s="7" t="s">
        <v>862</v>
      </c>
    </row>
    <row r="174">
      <c r="A174" s="7" t="s">
        <v>15</v>
      </c>
      <c r="B174" s="7">
        <v>6.0</v>
      </c>
      <c r="C174" s="7" t="s">
        <v>619</v>
      </c>
      <c r="D174" s="7" t="s">
        <v>888</v>
      </c>
      <c r="E174" s="7" t="s">
        <v>889</v>
      </c>
      <c r="F174" s="7" t="s">
        <v>1290</v>
      </c>
    </row>
    <row r="175">
      <c r="A175" s="7" t="s">
        <v>610</v>
      </c>
      <c r="B175" s="7">
        <v>6.0</v>
      </c>
      <c r="C175" s="7" t="s">
        <v>619</v>
      </c>
      <c r="D175" s="7" t="s">
        <v>888</v>
      </c>
      <c r="E175" s="7" t="s">
        <v>889</v>
      </c>
      <c r="F175" s="7" t="s">
        <v>1292</v>
      </c>
    </row>
    <row r="176">
      <c r="A176" s="7" t="s">
        <v>16</v>
      </c>
      <c r="B176" s="7">
        <v>6.0</v>
      </c>
      <c r="C176" s="7" t="s">
        <v>619</v>
      </c>
      <c r="D176" s="7" t="s">
        <v>888</v>
      </c>
      <c r="E176" s="7" t="s">
        <v>889</v>
      </c>
      <c r="F176" s="7" t="s">
        <v>865</v>
      </c>
    </row>
    <row r="177">
      <c r="A177" s="7" t="s">
        <v>876</v>
      </c>
      <c r="B177" s="7">
        <v>6.0</v>
      </c>
      <c r="C177" s="7" t="s">
        <v>619</v>
      </c>
      <c r="D177" s="7" t="s">
        <v>888</v>
      </c>
      <c r="E177" s="7" t="s">
        <v>889</v>
      </c>
      <c r="F177" s="7" t="s">
        <v>1291</v>
      </c>
    </row>
    <row r="178">
      <c r="A178" s="7" t="s">
        <v>877</v>
      </c>
      <c r="B178" s="7">
        <v>6.0</v>
      </c>
      <c r="C178" s="7" t="s">
        <v>619</v>
      </c>
      <c r="D178" s="7" t="s">
        <v>888</v>
      </c>
      <c r="E178" s="7" t="s">
        <v>889</v>
      </c>
      <c r="F178" s="7" t="s">
        <v>1290</v>
      </c>
    </row>
    <row r="179">
      <c r="A179" s="7" t="s">
        <v>17</v>
      </c>
      <c r="B179" s="7">
        <v>6.0</v>
      </c>
      <c r="C179" s="7" t="s">
        <v>619</v>
      </c>
      <c r="D179" s="7" t="s">
        <v>888</v>
      </c>
      <c r="E179" s="7" t="s">
        <v>889</v>
      </c>
      <c r="F179" s="7" t="s">
        <v>864</v>
      </c>
    </row>
    <row r="180">
      <c r="A180" s="7" t="s">
        <v>18</v>
      </c>
      <c r="B180" s="7">
        <v>6.0</v>
      </c>
      <c r="C180" s="7" t="s">
        <v>619</v>
      </c>
      <c r="D180" s="7" t="s">
        <v>888</v>
      </c>
      <c r="E180" s="7" t="s">
        <v>889</v>
      </c>
      <c r="F180" s="7" t="s">
        <v>864</v>
      </c>
    </row>
    <row r="181">
      <c r="A181" s="7" t="s">
        <v>19</v>
      </c>
      <c r="B181" s="7">
        <v>6.0</v>
      </c>
      <c r="C181" s="7" t="s">
        <v>619</v>
      </c>
      <c r="D181" s="7" t="s">
        <v>888</v>
      </c>
      <c r="E181" s="7" t="s">
        <v>889</v>
      </c>
      <c r="F181" s="7" t="s">
        <v>1291</v>
      </c>
    </row>
    <row r="182">
      <c r="A182" s="7" t="s">
        <v>596</v>
      </c>
      <c r="B182" s="7">
        <v>6.0</v>
      </c>
      <c r="C182" s="7" t="s">
        <v>621</v>
      </c>
      <c r="D182" s="7" t="s">
        <v>890</v>
      </c>
      <c r="E182" s="7" t="s">
        <v>891</v>
      </c>
      <c r="F182" s="7" t="s">
        <v>1290</v>
      </c>
    </row>
    <row r="183">
      <c r="A183" s="7" t="s">
        <v>188</v>
      </c>
      <c r="B183" s="7">
        <v>6.0</v>
      </c>
      <c r="C183" s="7" t="s">
        <v>621</v>
      </c>
      <c r="D183" s="7" t="s">
        <v>890</v>
      </c>
      <c r="E183" s="7" t="s">
        <v>891</v>
      </c>
      <c r="F183" s="7" t="s">
        <v>864</v>
      </c>
    </row>
    <row r="184">
      <c r="A184" s="7" t="s">
        <v>4</v>
      </c>
      <c r="B184" s="7">
        <v>6.0</v>
      </c>
      <c r="C184" s="7" t="s">
        <v>621</v>
      </c>
      <c r="D184" s="7" t="s">
        <v>890</v>
      </c>
      <c r="E184" s="7" t="s">
        <v>891</v>
      </c>
      <c r="F184" s="7" t="s">
        <v>863</v>
      </c>
    </row>
    <row r="185">
      <c r="A185" s="7" t="s">
        <v>386</v>
      </c>
      <c r="B185" s="7">
        <v>6.0</v>
      </c>
      <c r="C185" s="7" t="s">
        <v>621</v>
      </c>
      <c r="D185" s="7" t="s">
        <v>890</v>
      </c>
      <c r="E185" s="7" t="s">
        <v>891</v>
      </c>
      <c r="F185" s="7" t="s">
        <v>865</v>
      </c>
    </row>
    <row r="186">
      <c r="A186" s="7" t="s">
        <v>866</v>
      </c>
      <c r="B186" s="7">
        <v>6.0</v>
      </c>
      <c r="C186" s="7" t="s">
        <v>621</v>
      </c>
      <c r="D186" s="7" t="s">
        <v>890</v>
      </c>
      <c r="E186" s="7" t="s">
        <v>891</v>
      </c>
      <c r="F186" s="7" t="s">
        <v>865</v>
      </c>
    </row>
    <row r="187">
      <c r="A187" s="7" t="s">
        <v>5</v>
      </c>
      <c r="B187" s="7">
        <v>6.0</v>
      </c>
      <c r="C187" s="7" t="s">
        <v>621</v>
      </c>
      <c r="D187" s="7" t="s">
        <v>890</v>
      </c>
      <c r="E187" s="7" t="s">
        <v>891</v>
      </c>
      <c r="F187" s="7" t="s">
        <v>864</v>
      </c>
    </row>
    <row r="188">
      <c r="A188" s="7" t="s">
        <v>867</v>
      </c>
      <c r="B188" s="7">
        <v>6.0</v>
      </c>
      <c r="C188" s="7" t="s">
        <v>621</v>
      </c>
      <c r="D188" s="7" t="s">
        <v>890</v>
      </c>
      <c r="E188" s="7" t="s">
        <v>891</v>
      </c>
      <c r="F188" s="7" t="s">
        <v>1291</v>
      </c>
    </row>
    <row r="189">
      <c r="A189" s="7" t="s">
        <v>868</v>
      </c>
      <c r="B189" s="7">
        <v>6.0</v>
      </c>
      <c r="C189" s="7" t="s">
        <v>621</v>
      </c>
      <c r="D189" s="7" t="s">
        <v>890</v>
      </c>
      <c r="E189" s="7" t="s">
        <v>891</v>
      </c>
      <c r="F189" s="7" t="s">
        <v>864</v>
      </c>
    </row>
    <row r="190">
      <c r="A190" s="7" t="s">
        <v>599</v>
      </c>
      <c r="B190" s="7">
        <v>6.0</v>
      </c>
      <c r="C190" s="7" t="s">
        <v>621</v>
      </c>
      <c r="D190" s="7" t="s">
        <v>890</v>
      </c>
      <c r="E190" s="7" t="s">
        <v>891</v>
      </c>
      <c r="F190" s="7" t="s">
        <v>1290</v>
      </c>
    </row>
    <row r="191">
      <c r="A191" s="7" t="s">
        <v>869</v>
      </c>
      <c r="B191" s="7">
        <v>6.0</v>
      </c>
      <c r="C191" s="7" t="s">
        <v>621</v>
      </c>
      <c r="D191" s="7" t="s">
        <v>890</v>
      </c>
      <c r="E191" s="7" t="s">
        <v>891</v>
      </c>
      <c r="F191" s="7" t="s">
        <v>1291</v>
      </c>
    </row>
    <row r="192">
      <c r="A192" s="7" t="s">
        <v>870</v>
      </c>
      <c r="B192" s="7">
        <v>6.0</v>
      </c>
      <c r="C192" s="7" t="s">
        <v>621</v>
      </c>
      <c r="D192" s="7" t="s">
        <v>890</v>
      </c>
      <c r="E192" s="7" t="s">
        <v>891</v>
      </c>
      <c r="F192" s="7" t="s">
        <v>864</v>
      </c>
    </row>
    <row r="193">
      <c r="A193" s="7" t="s">
        <v>6</v>
      </c>
      <c r="B193" s="7">
        <v>6.0</v>
      </c>
      <c r="C193" s="7" t="s">
        <v>621</v>
      </c>
      <c r="D193" s="7" t="s">
        <v>890</v>
      </c>
      <c r="E193" s="7" t="s">
        <v>891</v>
      </c>
      <c r="F193" s="7" t="s">
        <v>862</v>
      </c>
    </row>
    <row r="194">
      <c r="A194" s="7" t="s">
        <v>871</v>
      </c>
      <c r="B194" s="7">
        <v>6.0</v>
      </c>
      <c r="C194" s="7" t="s">
        <v>621</v>
      </c>
      <c r="D194" s="7" t="s">
        <v>890</v>
      </c>
      <c r="E194" s="7" t="s">
        <v>891</v>
      </c>
      <c r="F194" s="7" t="s">
        <v>1291</v>
      </c>
    </row>
    <row r="195">
      <c r="A195" s="7" t="s">
        <v>7</v>
      </c>
      <c r="B195" s="7">
        <v>6.0</v>
      </c>
      <c r="C195" s="7" t="s">
        <v>621</v>
      </c>
      <c r="D195" s="7" t="s">
        <v>890</v>
      </c>
      <c r="E195" s="7" t="s">
        <v>891</v>
      </c>
      <c r="F195" s="7" t="s">
        <v>1291</v>
      </c>
    </row>
    <row r="196">
      <c r="A196" s="7" t="s">
        <v>8</v>
      </c>
      <c r="B196" s="7">
        <v>6.0</v>
      </c>
      <c r="C196" s="7" t="s">
        <v>621</v>
      </c>
      <c r="D196" s="7" t="s">
        <v>890</v>
      </c>
      <c r="E196" s="7" t="s">
        <v>891</v>
      </c>
      <c r="F196" s="7" t="s">
        <v>862</v>
      </c>
    </row>
    <row r="197">
      <c r="A197" s="7" t="s">
        <v>388</v>
      </c>
      <c r="B197" s="7">
        <v>6.0</v>
      </c>
      <c r="C197" s="7" t="s">
        <v>621</v>
      </c>
      <c r="D197" s="7" t="s">
        <v>890</v>
      </c>
      <c r="E197" s="7" t="s">
        <v>891</v>
      </c>
      <c r="F197" s="7" t="s">
        <v>864</v>
      </c>
    </row>
    <row r="198">
      <c r="A198" s="7" t="s">
        <v>189</v>
      </c>
      <c r="B198" s="7">
        <v>6.0</v>
      </c>
      <c r="C198" s="7" t="s">
        <v>621</v>
      </c>
      <c r="D198" s="7" t="s">
        <v>890</v>
      </c>
      <c r="E198" s="7" t="s">
        <v>891</v>
      </c>
      <c r="F198" s="7" t="s">
        <v>1291</v>
      </c>
    </row>
    <row r="199">
      <c r="A199" s="7" t="s">
        <v>9</v>
      </c>
      <c r="B199" s="7">
        <v>6.0</v>
      </c>
      <c r="C199" s="7" t="s">
        <v>621</v>
      </c>
      <c r="D199" s="7" t="s">
        <v>890</v>
      </c>
      <c r="E199" s="7" t="s">
        <v>891</v>
      </c>
      <c r="F199" s="7" t="s">
        <v>863</v>
      </c>
    </row>
    <row r="200">
      <c r="A200" s="7" t="s">
        <v>10</v>
      </c>
      <c r="B200" s="7">
        <v>6.0</v>
      </c>
      <c r="C200" s="7" t="s">
        <v>621</v>
      </c>
      <c r="D200" s="7" t="s">
        <v>890</v>
      </c>
      <c r="E200" s="7" t="s">
        <v>891</v>
      </c>
      <c r="F200" s="7" t="s">
        <v>1291</v>
      </c>
    </row>
    <row r="201">
      <c r="A201" s="7" t="s">
        <v>872</v>
      </c>
      <c r="B201" s="7">
        <v>6.0</v>
      </c>
      <c r="C201" s="7" t="s">
        <v>621</v>
      </c>
      <c r="D201" s="7" t="s">
        <v>890</v>
      </c>
      <c r="E201" s="7" t="s">
        <v>891</v>
      </c>
      <c r="F201" s="7" t="s">
        <v>865</v>
      </c>
    </row>
    <row r="202">
      <c r="A202" s="7" t="s">
        <v>873</v>
      </c>
      <c r="B202" s="7">
        <v>6.0</v>
      </c>
      <c r="C202" s="7" t="s">
        <v>621</v>
      </c>
      <c r="D202" s="7" t="s">
        <v>890</v>
      </c>
      <c r="E202" s="7" t="s">
        <v>891</v>
      </c>
      <c r="F202" s="7" t="s">
        <v>864</v>
      </c>
    </row>
    <row r="203">
      <c r="A203" s="7" t="s">
        <v>11</v>
      </c>
      <c r="B203" s="7">
        <v>6.0</v>
      </c>
      <c r="C203" s="7" t="s">
        <v>621</v>
      </c>
      <c r="D203" s="7" t="s">
        <v>890</v>
      </c>
      <c r="E203" s="7" t="s">
        <v>891</v>
      </c>
      <c r="F203" s="7" t="s">
        <v>1290</v>
      </c>
    </row>
    <row r="204">
      <c r="A204" s="7" t="s">
        <v>12</v>
      </c>
      <c r="B204" s="7">
        <v>6.0</v>
      </c>
      <c r="C204" s="7" t="s">
        <v>621</v>
      </c>
      <c r="D204" s="7" t="s">
        <v>890</v>
      </c>
      <c r="E204" s="7" t="s">
        <v>891</v>
      </c>
      <c r="F204" s="7" t="s">
        <v>863</v>
      </c>
    </row>
    <row r="205">
      <c r="A205" s="7" t="s">
        <v>874</v>
      </c>
      <c r="B205" s="7">
        <v>6.0</v>
      </c>
      <c r="C205" s="7" t="s">
        <v>621</v>
      </c>
      <c r="D205" s="7" t="s">
        <v>890</v>
      </c>
      <c r="E205" s="7" t="s">
        <v>891</v>
      </c>
      <c r="F205" s="7" t="s">
        <v>864</v>
      </c>
    </row>
    <row r="206">
      <c r="A206" s="7" t="s">
        <v>13</v>
      </c>
      <c r="B206" s="7">
        <v>6.0</v>
      </c>
      <c r="C206" s="7" t="s">
        <v>621</v>
      </c>
      <c r="D206" s="7" t="s">
        <v>890</v>
      </c>
      <c r="E206" s="7" t="s">
        <v>891</v>
      </c>
      <c r="F206" s="7" t="s">
        <v>864</v>
      </c>
    </row>
    <row r="207">
      <c r="A207" s="7" t="s">
        <v>875</v>
      </c>
      <c r="B207" s="7">
        <v>6.0</v>
      </c>
      <c r="C207" s="7" t="s">
        <v>621</v>
      </c>
      <c r="D207" s="7" t="s">
        <v>890</v>
      </c>
      <c r="E207" s="7" t="s">
        <v>891</v>
      </c>
      <c r="F207" s="7" t="s">
        <v>1290</v>
      </c>
    </row>
    <row r="208">
      <c r="A208" s="7" t="s">
        <v>14</v>
      </c>
      <c r="B208" s="7">
        <v>6.0</v>
      </c>
      <c r="C208" s="7" t="s">
        <v>621</v>
      </c>
      <c r="D208" s="7" t="s">
        <v>890</v>
      </c>
      <c r="E208" s="7" t="s">
        <v>891</v>
      </c>
      <c r="F208" s="7" t="s">
        <v>1290</v>
      </c>
    </row>
    <row r="209">
      <c r="A209" s="7" t="s">
        <v>609</v>
      </c>
      <c r="B209" s="7">
        <v>6.0</v>
      </c>
      <c r="C209" s="7" t="s">
        <v>621</v>
      </c>
      <c r="D209" s="7" t="s">
        <v>890</v>
      </c>
      <c r="E209" s="7" t="s">
        <v>891</v>
      </c>
      <c r="F209" s="7" t="s">
        <v>862</v>
      </c>
    </row>
    <row r="210">
      <c r="A210" s="7" t="s">
        <v>15</v>
      </c>
      <c r="B210" s="7">
        <v>6.0</v>
      </c>
      <c r="C210" s="7" t="s">
        <v>621</v>
      </c>
      <c r="D210" s="7" t="s">
        <v>890</v>
      </c>
      <c r="E210" s="7" t="s">
        <v>891</v>
      </c>
      <c r="F210" s="7" t="s">
        <v>1290</v>
      </c>
    </row>
    <row r="211">
      <c r="A211" s="7" t="s">
        <v>610</v>
      </c>
      <c r="B211" s="7">
        <v>6.0</v>
      </c>
      <c r="C211" s="7" t="s">
        <v>621</v>
      </c>
      <c r="D211" s="7" t="s">
        <v>890</v>
      </c>
      <c r="E211" s="7" t="s">
        <v>891</v>
      </c>
      <c r="F211" s="7" t="s">
        <v>1292</v>
      </c>
    </row>
    <row r="212">
      <c r="A212" s="7" t="s">
        <v>16</v>
      </c>
      <c r="B212" s="7">
        <v>6.0</v>
      </c>
      <c r="C212" s="7" t="s">
        <v>621</v>
      </c>
      <c r="D212" s="7" t="s">
        <v>890</v>
      </c>
      <c r="E212" s="7" t="s">
        <v>891</v>
      </c>
      <c r="F212" s="7" t="s">
        <v>865</v>
      </c>
    </row>
    <row r="213">
      <c r="A213" s="7" t="s">
        <v>876</v>
      </c>
      <c r="B213" s="7">
        <v>6.0</v>
      </c>
      <c r="C213" s="7" t="s">
        <v>621</v>
      </c>
      <c r="D213" s="7" t="s">
        <v>890</v>
      </c>
      <c r="E213" s="7" t="s">
        <v>891</v>
      </c>
      <c r="F213" s="7" t="s">
        <v>1291</v>
      </c>
    </row>
    <row r="214">
      <c r="A214" s="7" t="s">
        <v>877</v>
      </c>
      <c r="B214" s="7">
        <v>6.0</v>
      </c>
      <c r="C214" s="7" t="s">
        <v>621</v>
      </c>
      <c r="D214" s="7" t="s">
        <v>890</v>
      </c>
      <c r="E214" s="7" t="s">
        <v>891</v>
      </c>
      <c r="F214" s="7" t="s">
        <v>1290</v>
      </c>
    </row>
    <row r="215">
      <c r="A215" s="7" t="s">
        <v>17</v>
      </c>
      <c r="B215" s="7">
        <v>6.0</v>
      </c>
      <c r="C215" s="7" t="s">
        <v>621</v>
      </c>
      <c r="D215" s="7" t="s">
        <v>890</v>
      </c>
      <c r="E215" s="7" t="s">
        <v>891</v>
      </c>
      <c r="F215" s="7" t="s">
        <v>864</v>
      </c>
    </row>
    <row r="216">
      <c r="A216" s="7" t="s">
        <v>18</v>
      </c>
      <c r="B216" s="7">
        <v>6.0</v>
      </c>
      <c r="C216" s="7" t="s">
        <v>621</v>
      </c>
      <c r="D216" s="7" t="s">
        <v>890</v>
      </c>
      <c r="E216" s="7" t="s">
        <v>891</v>
      </c>
      <c r="F216" s="7" t="s">
        <v>864</v>
      </c>
    </row>
    <row r="217">
      <c r="A217" s="7" t="s">
        <v>19</v>
      </c>
      <c r="B217" s="7">
        <v>6.0</v>
      </c>
      <c r="C217" s="7" t="s">
        <v>621</v>
      </c>
      <c r="D217" s="7" t="s">
        <v>890</v>
      </c>
      <c r="E217" s="7" t="s">
        <v>891</v>
      </c>
      <c r="F217" s="7" t="s">
        <v>1291</v>
      </c>
    </row>
    <row r="218">
      <c r="A218" s="7" t="s">
        <v>596</v>
      </c>
      <c r="B218" s="7">
        <v>6.0</v>
      </c>
      <c r="C218" s="7" t="s">
        <v>20</v>
      </c>
      <c r="D218" s="7" t="s">
        <v>892</v>
      </c>
      <c r="E218" s="7" t="s">
        <v>893</v>
      </c>
      <c r="F218" s="7" t="s">
        <v>894</v>
      </c>
    </row>
    <row r="219">
      <c r="A219" s="7" t="s">
        <v>188</v>
      </c>
      <c r="B219" s="7">
        <v>6.0</v>
      </c>
      <c r="C219" s="7" t="s">
        <v>20</v>
      </c>
      <c r="D219" s="7" t="s">
        <v>892</v>
      </c>
      <c r="E219" s="7" t="s">
        <v>893</v>
      </c>
      <c r="F219" s="7" t="s">
        <v>26</v>
      </c>
    </row>
    <row r="220">
      <c r="A220" s="7" t="s">
        <v>4</v>
      </c>
      <c r="B220" s="7">
        <v>6.0</v>
      </c>
      <c r="C220" s="7" t="s">
        <v>20</v>
      </c>
      <c r="D220" s="7" t="s">
        <v>892</v>
      </c>
      <c r="E220" s="7" t="s">
        <v>893</v>
      </c>
      <c r="F220" s="7" t="s">
        <v>894</v>
      </c>
    </row>
    <row r="221">
      <c r="A221" s="7" t="s">
        <v>386</v>
      </c>
      <c r="B221" s="7">
        <v>6.0</v>
      </c>
      <c r="C221" s="7" t="s">
        <v>20</v>
      </c>
      <c r="D221" s="7" t="s">
        <v>892</v>
      </c>
      <c r="E221" s="7" t="s">
        <v>893</v>
      </c>
      <c r="F221" s="7" t="s">
        <v>26</v>
      </c>
    </row>
    <row r="222">
      <c r="A222" s="7" t="s">
        <v>866</v>
      </c>
      <c r="B222" s="7">
        <v>6.0</v>
      </c>
      <c r="C222" s="7" t="s">
        <v>20</v>
      </c>
      <c r="D222" s="7" t="s">
        <v>892</v>
      </c>
      <c r="E222" s="7" t="s">
        <v>893</v>
      </c>
      <c r="F222" s="7" t="s">
        <v>26</v>
      </c>
    </row>
    <row r="223">
      <c r="A223" s="7" t="s">
        <v>5</v>
      </c>
      <c r="B223" s="7">
        <v>6.0</v>
      </c>
      <c r="C223" s="7" t="s">
        <v>20</v>
      </c>
      <c r="D223" s="7" t="s">
        <v>892</v>
      </c>
      <c r="E223" s="7" t="s">
        <v>893</v>
      </c>
      <c r="F223" s="7" t="s">
        <v>895</v>
      </c>
    </row>
    <row r="224">
      <c r="A224" s="7" t="s">
        <v>867</v>
      </c>
      <c r="B224" s="7">
        <v>6.0</v>
      </c>
      <c r="C224" s="7" t="s">
        <v>20</v>
      </c>
      <c r="D224" s="7" t="s">
        <v>892</v>
      </c>
      <c r="E224" s="7" t="s">
        <v>893</v>
      </c>
      <c r="F224" s="7" t="s">
        <v>26</v>
      </c>
    </row>
    <row r="225">
      <c r="A225" s="7" t="s">
        <v>868</v>
      </c>
      <c r="B225" s="7">
        <v>6.0</v>
      </c>
      <c r="C225" s="7" t="s">
        <v>20</v>
      </c>
      <c r="D225" s="7" t="s">
        <v>892</v>
      </c>
      <c r="E225" s="7" t="s">
        <v>893</v>
      </c>
      <c r="F225" s="7" t="s">
        <v>895</v>
      </c>
    </row>
    <row r="226">
      <c r="A226" s="7" t="s">
        <v>599</v>
      </c>
      <c r="B226" s="7">
        <v>6.0</v>
      </c>
      <c r="C226" s="7" t="s">
        <v>20</v>
      </c>
      <c r="D226" s="7" t="s">
        <v>892</v>
      </c>
      <c r="E226" s="7" t="s">
        <v>893</v>
      </c>
      <c r="F226" s="7" t="s">
        <v>894</v>
      </c>
    </row>
    <row r="227">
      <c r="A227" s="7" t="s">
        <v>869</v>
      </c>
      <c r="B227" s="7">
        <v>6.0</v>
      </c>
      <c r="C227" s="7" t="s">
        <v>20</v>
      </c>
      <c r="D227" s="7" t="s">
        <v>892</v>
      </c>
      <c r="E227" s="7" t="s">
        <v>893</v>
      </c>
      <c r="F227" s="7" t="s">
        <v>894</v>
      </c>
    </row>
    <row r="228">
      <c r="A228" s="7" t="s">
        <v>870</v>
      </c>
      <c r="B228" s="7">
        <v>6.0</v>
      </c>
      <c r="C228" s="7" t="s">
        <v>20</v>
      </c>
      <c r="D228" s="7" t="s">
        <v>892</v>
      </c>
      <c r="E228" s="7" t="s">
        <v>893</v>
      </c>
      <c r="F228" s="7" t="s">
        <v>896</v>
      </c>
    </row>
    <row r="229">
      <c r="A229" s="7" t="s">
        <v>6</v>
      </c>
      <c r="B229" s="7">
        <v>6.0</v>
      </c>
      <c r="C229" s="7" t="s">
        <v>20</v>
      </c>
      <c r="D229" s="7" t="s">
        <v>892</v>
      </c>
      <c r="E229" s="7" t="s">
        <v>893</v>
      </c>
      <c r="F229" s="7" t="s">
        <v>897</v>
      </c>
    </row>
    <row r="230">
      <c r="A230" s="7" t="s">
        <v>871</v>
      </c>
      <c r="B230" s="7">
        <v>6.0</v>
      </c>
      <c r="C230" s="7" t="s">
        <v>20</v>
      </c>
      <c r="D230" s="7" t="s">
        <v>892</v>
      </c>
      <c r="E230" s="7" t="s">
        <v>893</v>
      </c>
      <c r="F230" s="7" t="s">
        <v>898</v>
      </c>
    </row>
    <row r="231">
      <c r="A231" s="7" t="s">
        <v>7</v>
      </c>
      <c r="B231" s="7">
        <v>6.0</v>
      </c>
      <c r="C231" s="7" t="s">
        <v>20</v>
      </c>
      <c r="D231" s="7" t="s">
        <v>892</v>
      </c>
      <c r="E231" s="7" t="s">
        <v>893</v>
      </c>
      <c r="F231" s="7" t="s">
        <v>899</v>
      </c>
    </row>
    <row r="232">
      <c r="A232" s="7" t="s">
        <v>8</v>
      </c>
      <c r="B232" s="7">
        <v>6.0</v>
      </c>
      <c r="C232" s="7" t="s">
        <v>20</v>
      </c>
      <c r="D232" s="7" t="s">
        <v>892</v>
      </c>
      <c r="E232" s="7" t="s">
        <v>893</v>
      </c>
      <c r="F232" s="7" t="s">
        <v>900</v>
      </c>
    </row>
    <row r="233">
      <c r="A233" s="7" t="s">
        <v>388</v>
      </c>
      <c r="B233" s="7">
        <v>6.0</v>
      </c>
      <c r="C233" s="7" t="s">
        <v>20</v>
      </c>
      <c r="D233" s="7" t="s">
        <v>892</v>
      </c>
      <c r="E233" s="7" t="s">
        <v>893</v>
      </c>
      <c r="F233" s="7" t="s">
        <v>901</v>
      </c>
    </row>
    <row r="234">
      <c r="A234" s="7" t="s">
        <v>189</v>
      </c>
      <c r="B234" s="7">
        <v>6.0</v>
      </c>
      <c r="C234" s="7" t="s">
        <v>20</v>
      </c>
      <c r="D234" s="7" t="s">
        <v>892</v>
      </c>
      <c r="E234" s="7" t="s">
        <v>893</v>
      </c>
      <c r="F234" s="7" t="s">
        <v>26</v>
      </c>
    </row>
    <row r="235">
      <c r="A235" s="7" t="s">
        <v>9</v>
      </c>
      <c r="B235" s="7">
        <v>6.0</v>
      </c>
      <c r="C235" s="7" t="s">
        <v>20</v>
      </c>
      <c r="D235" s="7" t="s">
        <v>892</v>
      </c>
      <c r="E235" s="7" t="s">
        <v>893</v>
      </c>
      <c r="F235" s="7" t="s">
        <v>902</v>
      </c>
    </row>
    <row r="236">
      <c r="A236" s="7" t="s">
        <v>10</v>
      </c>
      <c r="B236" s="7">
        <v>6.0</v>
      </c>
      <c r="C236" s="7" t="s">
        <v>20</v>
      </c>
      <c r="D236" s="7" t="s">
        <v>892</v>
      </c>
      <c r="E236" s="7" t="s">
        <v>893</v>
      </c>
      <c r="F236" s="7" t="s">
        <v>26</v>
      </c>
    </row>
    <row r="237">
      <c r="A237" s="7" t="s">
        <v>872</v>
      </c>
      <c r="B237" s="7">
        <v>6.0</v>
      </c>
      <c r="C237" s="7" t="s">
        <v>20</v>
      </c>
      <c r="D237" s="7" t="s">
        <v>892</v>
      </c>
      <c r="E237" s="7" t="s">
        <v>893</v>
      </c>
      <c r="F237" s="7" t="s">
        <v>903</v>
      </c>
    </row>
    <row r="238">
      <c r="A238" s="7" t="s">
        <v>873</v>
      </c>
      <c r="B238" s="7">
        <v>6.0</v>
      </c>
      <c r="C238" s="7" t="s">
        <v>20</v>
      </c>
      <c r="D238" s="7" t="s">
        <v>892</v>
      </c>
      <c r="E238" s="7" t="s">
        <v>893</v>
      </c>
      <c r="F238" s="7" t="s">
        <v>894</v>
      </c>
    </row>
    <row r="239">
      <c r="A239" s="7" t="s">
        <v>11</v>
      </c>
      <c r="B239" s="7">
        <v>6.0</v>
      </c>
      <c r="C239" s="7" t="s">
        <v>20</v>
      </c>
      <c r="D239" s="7" t="s">
        <v>892</v>
      </c>
      <c r="E239" s="7" t="s">
        <v>893</v>
      </c>
      <c r="F239" s="7" t="s">
        <v>904</v>
      </c>
    </row>
    <row r="240">
      <c r="A240" s="7" t="s">
        <v>12</v>
      </c>
      <c r="B240" s="7">
        <v>6.0</v>
      </c>
      <c r="C240" s="7" t="s">
        <v>20</v>
      </c>
      <c r="D240" s="7" t="s">
        <v>892</v>
      </c>
      <c r="E240" s="7" t="s">
        <v>893</v>
      </c>
      <c r="F240" s="7" t="s">
        <v>905</v>
      </c>
    </row>
    <row r="241">
      <c r="A241" s="7" t="s">
        <v>874</v>
      </c>
      <c r="B241" s="7">
        <v>6.0</v>
      </c>
      <c r="C241" s="7" t="s">
        <v>20</v>
      </c>
      <c r="D241" s="7" t="s">
        <v>892</v>
      </c>
      <c r="E241" s="7" t="s">
        <v>893</v>
      </c>
      <c r="F241" s="7" t="s">
        <v>26</v>
      </c>
    </row>
    <row r="242">
      <c r="A242" s="7" t="s">
        <v>13</v>
      </c>
      <c r="B242" s="7">
        <v>6.0</v>
      </c>
      <c r="C242" s="7" t="s">
        <v>20</v>
      </c>
      <c r="D242" s="7" t="s">
        <v>892</v>
      </c>
      <c r="E242" s="7" t="s">
        <v>893</v>
      </c>
      <c r="F242" s="7" t="s">
        <v>894</v>
      </c>
    </row>
    <row r="243">
      <c r="A243" s="7" t="s">
        <v>875</v>
      </c>
      <c r="B243" s="7">
        <v>6.0</v>
      </c>
      <c r="C243" s="7" t="s">
        <v>20</v>
      </c>
      <c r="D243" s="7" t="s">
        <v>892</v>
      </c>
      <c r="E243" s="7" t="s">
        <v>893</v>
      </c>
      <c r="F243" s="7" t="s">
        <v>906</v>
      </c>
    </row>
    <row r="244">
      <c r="A244" s="7" t="s">
        <v>14</v>
      </c>
      <c r="B244" s="7">
        <v>6.0</v>
      </c>
      <c r="C244" s="7" t="s">
        <v>20</v>
      </c>
      <c r="D244" s="7" t="s">
        <v>892</v>
      </c>
      <c r="E244" s="7" t="s">
        <v>893</v>
      </c>
      <c r="F244" s="7" t="s">
        <v>394</v>
      </c>
    </row>
    <row r="245">
      <c r="A245" s="7" t="s">
        <v>609</v>
      </c>
      <c r="B245" s="7">
        <v>6.0</v>
      </c>
      <c r="C245" s="7" t="s">
        <v>20</v>
      </c>
      <c r="D245" s="7" t="s">
        <v>892</v>
      </c>
      <c r="E245" s="7" t="s">
        <v>893</v>
      </c>
      <c r="F245" s="7" t="s">
        <v>906</v>
      </c>
    </row>
    <row r="246">
      <c r="A246" s="7" t="s">
        <v>15</v>
      </c>
      <c r="B246" s="7">
        <v>6.0</v>
      </c>
      <c r="C246" s="7" t="s">
        <v>20</v>
      </c>
      <c r="D246" s="7" t="s">
        <v>892</v>
      </c>
      <c r="E246" s="7" t="s">
        <v>893</v>
      </c>
      <c r="F246" s="7" t="s">
        <v>906</v>
      </c>
    </row>
    <row r="247">
      <c r="A247" s="7" t="s">
        <v>610</v>
      </c>
      <c r="B247" s="7">
        <v>6.0</v>
      </c>
      <c r="C247" s="7" t="s">
        <v>20</v>
      </c>
      <c r="D247" s="7" t="s">
        <v>892</v>
      </c>
      <c r="E247" s="7" t="s">
        <v>893</v>
      </c>
      <c r="F247" s="7" t="s">
        <v>906</v>
      </c>
    </row>
    <row r="248">
      <c r="A248" s="7" t="s">
        <v>16</v>
      </c>
      <c r="B248" s="7">
        <v>6.0</v>
      </c>
      <c r="C248" s="7" t="s">
        <v>20</v>
      </c>
      <c r="D248" s="7" t="s">
        <v>892</v>
      </c>
      <c r="E248" s="7" t="s">
        <v>893</v>
      </c>
      <c r="F248" s="7" t="s">
        <v>906</v>
      </c>
    </row>
    <row r="249">
      <c r="A249" s="7" t="s">
        <v>876</v>
      </c>
      <c r="B249" s="7">
        <v>6.0</v>
      </c>
      <c r="C249" s="7" t="s">
        <v>20</v>
      </c>
      <c r="D249" s="7" t="s">
        <v>892</v>
      </c>
      <c r="E249" s="7" t="s">
        <v>893</v>
      </c>
      <c r="F249" s="7" t="s">
        <v>907</v>
      </c>
    </row>
    <row r="250">
      <c r="A250" s="7" t="s">
        <v>877</v>
      </c>
      <c r="B250" s="7">
        <v>6.0</v>
      </c>
      <c r="C250" s="7" t="s">
        <v>20</v>
      </c>
      <c r="D250" s="7" t="s">
        <v>892</v>
      </c>
      <c r="E250" s="7" t="s">
        <v>893</v>
      </c>
      <c r="F250" s="7" t="s">
        <v>906</v>
      </c>
    </row>
    <row r="251">
      <c r="A251" s="7" t="s">
        <v>17</v>
      </c>
      <c r="B251" s="7">
        <v>6.0</v>
      </c>
      <c r="C251" s="7" t="s">
        <v>20</v>
      </c>
      <c r="D251" s="7" t="s">
        <v>892</v>
      </c>
      <c r="E251" s="7" t="s">
        <v>893</v>
      </c>
      <c r="F251" s="7" t="s">
        <v>908</v>
      </c>
    </row>
    <row r="252">
      <c r="A252" s="7" t="s">
        <v>18</v>
      </c>
      <c r="B252" s="7">
        <v>6.0</v>
      </c>
      <c r="C252" s="7" t="s">
        <v>20</v>
      </c>
      <c r="D252" s="7" t="s">
        <v>892</v>
      </c>
      <c r="E252" s="7" t="s">
        <v>893</v>
      </c>
      <c r="F252" s="7" t="s">
        <v>906</v>
      </c>
    </row>
    <row r="253">
      <c r="A253" s="7" t="s">
        <v>19</v>
      </c>
      <c r="B253" s="7">
        <v>6.0</v>
      </c>
      <c r="C253" s="7" t="s">
        <v>20</v>
      </c>
      <c r="D253" s="7" t="s">
        <v>892</v>
      </c>
      <c r="E253" s="7" t="s">
        <v>893</v>
      </c>
      <c r="F253" s="7" t="s">
        <v>906</v>
      </c>
    </row>
    <row r="254">
      <c r="A254" s="7" t="s">
        <v>596</v>
      </c>
      <c r="B254" s="7">
        <v>6.0</v>
      </c>
      <c r="C254" s="7" t="s">
        <v>35</v>
      </c>
      <c r="D254" s="7" t="s">
        <v>909</v>
      </c>
      <c r="E254" s="7" t="s">
        <v>910</v>
      </c>
      <c r="F254" s="7" t="s">
        <v>38</v>
      </c>
    </row>
    <row r="255">
      <c r="A255" s="7" t="s">
        <v>188</v>
      </c>
      <c r="B255" s="7">
        <v>6.0</v>
      </c>
      <c r="C255" s="7" t="s">
        <v>35</v>
      </c>
      <c r="D255" s="7" t="s">
        <v>909</v>
      </c>
      <c r="E255" s="7" t="s">
        <v>910</v>
      </c>
      <c r="F255" s="7" t="s">
        <v>427</v>
      </c>
    </row>
    <row r="256">
      <c r="A256" s="7" t="s">
        <v>4</v>
      </c>
      <c r="B256" s="7">
        <v>6.0</v>
      </c>
      <c r="C256" s="7" t="s">
        <v>35</v>
      </c>
      <c r="D256" s="7" t="s">
        <v>909</v>
      </c>
      <c r="E256" s="7" t="s">
        <v>910</v>
      </c>
      <c r="F256" s="7" t="s">
        <v>38</v>
      </c>
    </row>
    <row r="257">
      <c r="A257" s="7" t="s">
        <v>386</v>
      </c>
      <c r="B257" s="7">
        <v>6.0</v>
      </c>
      <c r="C257" s="7" t="s">
        <v>35</v>
      </c>
      <c r="D257" s="7" t="s">
        <v>909</v>
      </c>
      <c r="E257" s="7" t="s">
        <v>910</v>
      </c>
      <c r="F257" s="7" t="s">
        <v>427</v>
      </c>
    </row>
    <row r="258">
      <c r="A258" s="7" t="s">
        <v>866</v>
      </c>
      <c r="B258" s="7">
        <v>6.0</v>
      </c>
      <c r="C258" s="7" t="s">
        <v>35</v>
      </c>
      <c r="D258" s="7" t="s">
        <v>909</v>
      </c>
      <c r="E258" s="7" t="s">
        <v>910</v>
      </c>
      <c r="F258" s="7" t="s">
        <v>427</v>
      </c>
    </row>
    <row r="259">
      <c r="A259" s="7" t="s">
        <v>5</v>
      </c>
      <c r="B259" s="7">
        <v>6.0</v>
      </c>
      <c r="C259" s="7" t="s">
        <v>35</v>
      </c>
      <c r="D259" s="7" t="s">
        <v>909</v>
      </c>
      <c r="E259" s="7" t="s">
        <v>910</v>
      </c>
      <c r="F259" s="7" t="s">
        <v>427</v>
      </c>
    </row>
    <row r="260">
      <c r="A260" s="7" t="s">
        <v>867</v>
      </c>
      <c r="B260" s="7">
        <v>6.0</v>
      </c>
      <c r="C260" s="7" t="s">
        <v>35</v>
      </c>
      <c r="D260" s="7" t="s">
        <v>909</v>
      </c>
      <c r="E260" s="7" t="s">
        <v>910</v>
      </c>
      <c r="F260" s="7" t="s">
        <v>911</v>
      </c>
    </row>
    <row r="261">
      <c r="A261" s="7" t="s">
        <v>868</v>
      </c>
      <c r="B261" s="7">
        <v>6.0</v>
      </c>
      <c r="C261" s="7" t="s">
        <v>35</v>
      </c>
      <c r="D261" s="7" t="s">
        <v>909</v>
      </c>
      <c r="E261" s="7" t="s">
        <v>910</v>
      </c>
      <c r="F261" s="7" t="s">
        <v>427</v>
      </c>
    </row>
    <row r="262">
      <c r="A262" s="7" t="s">
        <v>599</v>
      </c>
      <c r="B262" s="7">
        <v>6.0</v>
      </c>
      <c r="C262" s="7" t="s">
        <v>35</v>
      </c>
      <c r="D262" s="7" t="s">
        <v>909</v>
      </c>
      <c r="E262" s="7" t="s">
        <v>910</v>
      </c>
      <c r="F262" s="7" t="s">
        <v>902</v>
      </c>
    </row>
    <row r="263">
      <c r="A263" s="7" t="s">
        <v>869</v>
      </c>
      <c r="B263" s="7">
        <v>6.0</v>
      </c>
      <c r="C263" s="7" t="s">
        <v>35</v>
      </c>
      <c r="D263" s="7" t="s">
        <v>909</v>
      </c>
      <c r="E263" s="7" t="s">
        <v>910</v>
      </c>
      <c r="F263" s="7" t="s">
        <v>38</v>
      </c>
    </row>
    <row r="264">
      <c r="A264" s="7" t="s">
        <v>870</v>
      </c>
      <c r="B264" s="7">
        <v>6.0</v>
      </c>
      <c r="C264" s="7" t="s">
        <v>35</v>
      </c>
      <c r="D264" s="7" t="s">
        <v>909</v>
      </c>
      <c r="E264" s="7" t="s">
        <v>910</v>
      </c>
      <c r="F264" s="7" t="s">
        <v>912</v>
      </c>
    </row>
    <row r="265">
      <c r="A265" s="7" t="s">
        <v>6</v>
      </c>
      <c r="B265" s="7">
        <v>6.0</v>
      </c>
      <c r="C265" s="7" t="s">
        <v>35</v>
      </c>
      <c r="D265" s="7" t="s">
        <v>909</v>
      </c>
      <c r="E265" s="7" t="s">
        <v>910</v>
      </c>
      <c r="F265" s="7" t="s">
        <v>38</v>
      </c>
    </row>
    <row r="266">
      <c r="A266" s="7" t="s">
        <v>871</v>
      </c>
      <c r="B266" s="7">
        <v>6.0</v>
      </c>
      <c r="C266" s="7" t="s">
        <v>35</v>
      </c>
      <c r="D266" s="7" t="s">
        <v>909</v>
      </c>
      <c r="E266" s="7" t="s">
        <v>910</v>
      </c>
      <c r="F266" s="7" t="s">
        <v>913</v>
      </c>
    </row>
    <row r="267">
      <c r="A267" s="7" t="s">
        <v>7</v>
      </c>
      <c r="B267" s="7">
        <v>6.0</v>
      </c>
      <c r="C267" s="7" t="s">
        <v>35</v>
      </c>
      <c r="D267" s="7" t="s">
        <v>909</v>
      </c>
      <c r="E267" s="7" t="s">
        <v>910</v>
      </c>
      <c r="F267" s="7" t="s">
        <v>240</v>
      </c>
    </row>
    <row r="268">
      <c r="A268" s="7" t="s">
        <v>8</v>
      </c>
      <c r="B268" s="7">
        <v>6.0</v>
      </c>
      <c r="C268" s="7" t="s">
        <v>35</v>
      </c>
      <c r="D268" s="7" t="s">
        <v>909</v>
      </c>
      <c r="E268" s="7" t="s">
        <v>910</v>
      </c>
      <c r="F268" s="7" t="s">
        <v>240</v>
      </c>
    </row>
    <row r="269">
      <c r="A269" s="7" t="s">
        <v>388</v>
      </c>
      <c r="B269" s="7">
        <v>6.0</v>
      </c>
      <c r="C269" s="7" t="s">
        <v>35</v>
      </c>
      <c r="D269" s="7" t="s">
        <v>909</v>
      </c>
      <c r="E269" s="7" t="s">
        <v>910</v>
      </c>
      <c r="F269" s="7" t="s">
        <v>914</v>
      </c>
    </row>
    <row r="270">
      <c r="A270" s="7" t="s">
        <v>189</v>
      </c>
      <c r="B270" s="7">
        <v>6.0</v>
      </c>
      <c r="C270" s="7" t="s">
        <v>35</v>
      </c>
      <c r="D270" s="7" t="s">
        <v>909</v>
      </c>
      <c r="E270" s="7" t="s">
        <v>910</v>
      </c>
      <c r="F270" s="7" t="s">
        <v>208</v>
      </c>
    </row>
    <row r="271">
      <c r="A271" s="7" t="s">
        <v>9</v>
      </c>
      <c r="B271" s="7">
        <v>6.0</v>
      </c>
      <c r="C271" s="7" t="s">
        <v>35</v>
      </c>
      <c r="D271" s="7" t="s">
        <v>909</v>
      </c>
      <c r="E271" s="7" t="s">
        <v>910</v>
      </c>
      <c r="F271" s="7" t="s">
        <v>38</v>
      </c>
    </row>
    <row r="272">
      <c r="A272" s="7" t="s">
        <v>10</v>
      </c>
      <c r="B272" s="7">
        <v>6.0</v>
      </c>
      <c r="C272" s="7" t="s">
        <v>35</v>
      </c>
      <c r="D272" s="7" t="s">
        <v>909</v>
      </c>
      <c r="E272" s="7" t="s">
        <v>910</v>
      </c>
      <c r="F272" s="7" t="s">
        <v>208</v>
      </c>
    </row>
    <row r="273">
      <c r="A273" s="7" t="s">
        <v>872</v>
      </c>
      <c r="B273" s="7">
        <v>6.0</v>
      </c>
      <c r="C273" s="7" t="s">
        <v>35</v>
      </c>
      <c r="D273" s="7" t="s">
        <v>909</v>
      </c>
      <c r="E273" s="7" t="s">
        <v>910</v>
      </c>
      <c r="F273" s="7" t="s">
        <v>427</v>
      </c>
    </row>
    <row r="274">
      <c r="A274" s="7" t="s">
        <v>873</v>
      </c>
      <c r="B274" s="7">
        <v>6.0</v>
      </c>
      <c r="C274" s="7" t="s">
        <v>35</v>
      </c>
      <c r="D274" s="7" t="s">
        <v>909</v>
      </c>
      <c r="E274" s="7" t="s">
        <v>910</v>
      </c>
      <c r="F274" s="7" t="s">
        <v>38</v>
      </c>
    </row>
    <row r="275">
      <c r="A275" s="7" t="s">
        <v>11</v>
      </c>
      <c r="B275" s="7">
        <v>6.0</v>
      </c>
      <c r="C275" s="7" t="s">
        <v>35</v>
      </c>
      <c r="D275" s="7" t="s">
        <v>909</v>
      </c>
      <c r="E275" s="7" t="s">
        <v>910</v>
      </c>
      <c r="F275" s="7" t="s">
        <v>915</v>
      </c>
    </row>
    <row r="276">
      <c r="A276" s="7" t="s">
        <v>12</v>
      </c>
      <c r="B276" s="7">
        <v>6.0</v>
      </c>
      <c r="C276" s="7" t="s">
        <v>35</v>
      </c>
      <c r="D276" s="7" t="s">
        <v>909</v>
      </c>
      <c r="E276" s="7" t="s">
        <v>910</v>
      </c>
      <c r="F276" s="7" t="s">
        <v>916</v>
      </c>
    </row>
    <row r="277">
      <c r="A277" s="7" t="s">
        <v>874</v>
      </c>
      <c r="B277" s="7">
        <v>6.0</v>
      </c>
      <c r="C277" s="7" t="s">
        <v>35</v>
      </c>
      <c r="D277" s="7" t="s">
        <v>909</v>
      </c>
      <c r="E277" s="7" t="s">
        <v>910</v>
      </c>
      <c r="F277" s="7" t="s">
        <v>208</v>
      </c>
    </row>
    <row r="278">
      <c r="A278" s="7" t="s">
        <v>13</v>
      </c>
      <c r="B278" s="7">
        <v>6.0</v>
      </c>
      <c r="C278" s="7" t="s">
        <v>35</v>
      </c>
      <c r="D278" s="7" t="s">
        <v>909</v>
      </c>
      <c r="E278" s="7" t="s">
        <v>910</v>
      </c>
      <c r="F278" s="7" t="s">
        <v>427</v>
      </c>
    </row>
    <row r="279">
      <c r="A279" s="7" t="s">
        <v>875</v>
      </c>
      <c r="B279" s="7">
        <v>6.0</v>
      </c>
      <c r="C279" s="7" t="s">
        <v>35</v>
      </c>
      <c r="D279" s="7" t="s">
        <v>909</v>
      </c>
      <c r="E279" s="7" t="s">
        <v>910</v>
      </c>
      <c r="F279" s="7" t="s">
        <v>427</v>
      </c>
    </row>
    <row r="280">
      <c r="A280" s="7" t="s">
        <v>14</v>
      </c>
      <c r="B280" s="7">
        <v>6.0</v>
      </c>
      <c r="C280" s="7" t="s">
        <v>35</v>
      </c>
      <c r="D280" s="7" t="s">
        <v>909</v>
      </c>
      <c r="E280" s="7" t="s">
        <v>910</v>
      </c>
      <c r="F280" s="7" t="s">
        <v>427</v>
      </c>
    </row>
    <row r="281">
      <c r="A281" s="7" t="s">
        <v>609</v>
      </c>
      <c r="B281" s="7">
        <v>6.0</v>
      </c>
      <c r="C281" s="7" t="s">
        <v>35</v>
      </c>
      <c r="D281" s="7" t="s">
        <v>909</v>
      </c>
      <c r="E281" s="7" t="s">
        <v>910</v>
      </c>
      <c r="F281" s="7" t="s">
        <v>917</v>
      </c>
    </row>
    <row r="282">
      <c r="A282" s="7" t="s">
        <v>15</v>
      </c>
      <c r="B282" s="7">
        <v>6.0</v>
      </c>
      <c r="C282" s="7" t="s">
        <v>35</v>
      </c>
      <c r="D282" s="7" t="s">
        <v>909</v>
      </c>
      <c r="E282" s="7" t="s">
        <v>910</v>
      </c>
      <c r="F282" s="7" t="s">
        <v>240</v>
      </c>
    </row>
    <row r="283">
      <c r="A283" s="7" t="s">
        <v>610</v>
      </c>
      <c r="B283" s="7">
        <v>6.0</v>
      </c>
      <c r="C283" s="7" t="s">
        <v>35</v>
      </c>
      <c r="D283" s="7" t="s">
        <v>909</v>
      </c>
      <c r="E283" s="7" t="s">
        <v>910</v>
      </c>
      <c r="F283" s="7" t="s">
        <v>304</v>
      </c>
    </row>
    <row r="284">
      <c r="A284" s="7" t="s">
        <v>16</v>
      </c>
      <c r="B284" s="7">
        <v>6.0</v>
      </c>
      <c r="C284" s="7" t="s">
        <v>35</v>
      </c>
      <c r="D284" s="7" t="s">
        <v>909</v>
      </c>
      <c r="E284" s="7" t="s">
        <v>910</v>
      </c>
      <c r="F284" s="7" t="s">
        <v>240</v>
      </c>
    </row>
    <row r="285">
      <c r="A285" s="7" t="s">
        <v>876</v>
      </c>
      <c r="B285" s="7">
        <v>6.0</v>
      </c>
      <c r="C285" s="7" t="s">
        <v>35</v>
      </c>
      <c r="D285" s="7" t="s">
        <v>909</v>
      </c>
      <c r="E285" s="7" t="s">
        <v>910</v>
      </c>
      <c r="F285" s="7" t="s">
        <v>913</v>
      </c>
    </row>
    <row r="286">
      <c r="A286" s="7" t="s">
        <v>877</v>
      </c>
      <c r="B286" s="7">
        <v>6.0</v>
      </c>
      <c r="C286" s="7" t="s">
        <v>35</v>
      </c>
      <c r="D286" s="7" t="s">
        <v>909</v>
      </c>
      <c r="E286" s="7" t="s">
        <v>910</v>
      </c>
      <c r="F286" s="7" t="s">
        <v>240</v>
      </c>
    </row>
    <row r="287">
      <c r="A287" s="7" t="s">
        <v>17</v>
      </c>
      <c r="B287" s="7">
        <v>6.0</v>
      </c>
      <c r="C287" s="7" t="s">
        <v>35</v>
      </c>
      <c r="D287" s="7" t="s">
        <v>909</v>
      </c>
      <c r="E287" s="7" t="s">
        <v>910</v>
      </c>
      <c r="F287" s="7" t="s">
        <v>38</v>
      </c>
    </row>
    <row r="288">
      <c r="A288" s="7" t="s">
        <v>18</v>
      </c>
      <c r="B288" s="7">
        <v>6.0</v>
      </c>
      <c r="C288" s="7" t="s">
        <v>35</v>
      </c>
      <c r="D288" s="7" t="s">
        <v>909</v>
      </c>
      <c r="E288" s="7" t="s">
        <v>910</v>
      </c>
      <c r="F288" s="7" t="s">
        <v>240</v>
      </c>
    </row>
    <row r="289">
      <c r="A289" s="7" t="s">
        <v>19</v>
      </c>
      <c r="B289" s="7">
        <v>6.0</v>
      </c>
      <c r="C289" s="7" t="s">
        <v>35</v>
      </c>
      <c r="D289" s="7" t="s">
        <v>909</v>
      </c>
      <c r="E289" s="7" t="s">
        <v>910</v>
      </c>
      <c r="F289" s="7" t="s">
        <v>240</v>
      </c>
    </row>
    <row r="290">
      <c r="A290" s="7" t="s">
        <v>596</v>
      </c>
      <c r="B290" s="7">
        <v>6.0</v>
      </c>
      <c r="C290" s="7" t="s">
        <v>918</v>
      </c>
      <c r="D290" s="7" t="s">
        <v>919</v>
      </c>
      <c r="E290" s="7" t="s">
        <v>920</v>
      </c>
      <c r="F290" s="7" t="s">
        <v>921</v>
      </c>
    </row>
    <row r="291">
      <c r="A291" s="7" t="s">
        <v>188</v>
      </c>
      <c r="B291" s="7">
        <v>6.0</v>
      </c>
      <c r="C291" s="7" t="s">
        <v>918</v>
      </c>
      <c r="D291" s="7" t="s">
        <v>919</v>
      </c>
      <c r="E291" s="7" t="s">
        <v>920</v>
      </c>
      <c r="F291" s="7" t="s">
        <v>922</v>
      </c>
    </row>
    <row r="292">
      <c r="A292" s="7" t="s">
        <v>4</v>
      </c>
      <c r="B292" s="7">
        <v>6.0</v>
      </c>
      <c r="C292" s="7" t="s">
        <v>918</v>
      </c>
      <c r="D292" s="7" t="s">
        <v>919</v>
      </c>
      <c r="E292" s="7" t="s">
        <v>920</v>
      </c>
      <c r="F292" s="7" t="s">
        <v>921</v>
      </c>
    </row>
    <row r="293">
      <c r="A293" s="7" t="s">
        <v>386</v>
      </c>
      <c r="B293" s="7">
        <v>6.0</v>
      </c>
      <c r="C293" s="7" t="s">
        <v>918</v>
      </c>
      <c r="D293" s="7" t="s">
        <v>919</v>
      </c>
      <c r="E293" s="7" t="s">
        <v>920</v>
      </c>
      <c r="F293" s="7" t="s">
        <v>922</v>
      </c>
    </row>
    <row r="294">
      <c r="A294" s="7" t="s">
        <v>866</v>
      </c>
      <c r="B294" s="7">
        <v>6.0</v>
      </c>
      <c r="C294" s="7" t="s">
        <v>918</v>
      </c>
      <c r="D294" s="7" t="s">
        <v>919</v>
      </c>
      <c r="E294" s="7" t="s">
        <v>920</v>
      </c>
      <c r="F294" s="7" t="s">
        <v>922</v>
      </c>
    </row>
    <row r="295">
      <c r="A295" s="7" t="s">
        <v>5</v>
      </c>
      <c r="B295" s="7">
        <v>6.0</v>
      </c>
      <c r="C295" s="7" t="s">
        <v>918</v>
      </c>
      <c r="D295" s="7" t="s">
        <v>919</v>
      </c>
      <c r="E295" s="7" t="s">
        <v>920</v>
      </c>
      <c r="F295" s="7" t="s">
        <v>922</v>
      </c>
    </row>
    <row r="296">
      <c r="A296" s="7" t="s">
        <v>867</v>
      </c>
      <c r="B296" s="7">
        <v>6.0</v>
      </c>
      <c r="C296" s="7" t="s">
        <v>918</v>
      </c>
      <c r="D296" s="7" t="s">
        <v>919</v>
      </c>
      <c r="E296" s="7" t="s">
        <v>920</v>
      </c>
      <c r="F296" s="7" t="s">
        <v>922</v>
      </c>
    </row>
    <row r="297">
      <c r="A297" s="7" t="s">
        <v>868</v>
      </c>
      <c r="B297" s="7">
        <v>6.0</v>
      </c>
      <c r="C297" s="7" t="s">
        <v>918</v>
      </c>
      <c r="D297" s="7" t="s">
        <v>919</v>
      </c>
      <c r="E297" s="7" t="s">
        <v>920</v>
      </c>
      <c r="F297" s="7" t="s">
        <v>922</v>
      </c>
    </row>
    <row r="298">
      <c r="A298" s="7" t="s">
        <v>599</v>
      </c>
      <c r="B298" s="7">
        <v>6.0</v>
      </c>
      <c r="C298" s="7" t="s">
        <v>918</v>
      </c>
      <c r="D298" s="7" t="s">
        <v>919</v>
      </c>
      <c r="E298" s="7" t="s">
        <v>920</v>
      </c>
      <c r="F298" s="7" t="s">
        <v>921</v>
      </c>
    </row>
    <row r="299">
      <c r="A299" s="7" t="s">
        <v>869</v>
      </c>
      <c r="B299" s="7">
        <v>6.0</v>
      </c>
      <c r="C299" s="7" t="s">
        <v>918</v>
      </c>
      <c r="D299" s="7" t="s">
        <v>919</v>
      </c>
      <c r="E299" s="7" t="s">
        <v>920</v>
      </c>
      <c r="F299" s="7" t="s">
        <v>921</v>
      </c>
    </row>
    <row r="300">
      <c r="A300" s="7" t="s">
        <v>870</v>
      </c>
      <c r="B300" s="7">
        <v>6.0</v>
      </c>
      <c r="C300" s="7" t="s">
        <v>918</v>
      </c>
      <c r="D300" s="7" t="s">
        <v>919</v>
      </c>
      <c r="E300" s="7" t="s">
        <v>920</v>
      </c>
      <c r="F300" s="7" t="s">
        <v>922</v>
      </c>
    </row>
    <row r="301">
      <c r="A301" s="7" t="s">
        <v>6</v>
      </c>
      <c r="B301" s="7">
        <v>6.0</v>
      </c>
      <c r="C301" s="7" t="s">
        <v>918</v>
      </c>
      <c r="D301" s="7" t="s">
        <v>919</v>
      </c>
      <c r="E301" s="7" t="s">
        <v>920</v>
      </c>
      <c r="F301" s="7" t="s">
        <v>921</v>
      </c>
    </row>
    <row r="302">
      <c r="A302" s="7" t="s">
        <v>871</v>
      </c>
      <c r="B302" s="7">
        <v>6.0</v>
      </c>
      <c r="C302" s="7" t="s">
        <v>918</v>
      </c>
      <c r="D302" s="7" t="s">
        <v>919</v>
      </c>
      <c r="E302" s="7" t="s">
        <v>920</v>
      </c>
      <c r="F302" s="7" t="s">
        <v>922</v>
      </c>
    </row>
    <row r="303">
      <c r="A303" s="7" t="s">
        <v>7</v>
      </c>
      <c r="B303" s="7">
        <v>6.0</v>
      </c>
      <c r="C303" s="7" t="s">
        <v>918</v>
      </c>
      <c r="D303" s="7" t="s">
        <v>919</v>
      </c>
      <c r="E303" s="7" t="s">
        <v>920</v>
      </c>
      <c r="F303" s="7" t="s">
        <v>921</v>
      </c>
    </row>
    <row r="304">
      <c r="A304" s="7" t="s">
        <v>8</v>
      </c>
      <c r="B304" s="7">
        <v>6.0</v>
      </c>
      <c r="C304" s="7" t="s">
        <v>918</v>
      </c>
      <c r="D304" s="7" t="s">
        <v>919</v>
      </c>
      <c r="E304" s="7" t="s">
        <v>920</v>
      </c>
      <c r="F304" s="7" t="s">
        <v>923</v>
      </c>
    </row>
    <row r="305">
      <c r="A305" s="7" t="s">
        <v>388</v>
      </c>
      <c r="B305" s="7">
        <v>6.0</v>
      </c>
      <c r="C305" s="7" t="s">
        <v>918</v>
      </c>
      <c r="D305" s="7" t="s">
        <v>919</v>
      </c>
      <c r="E305" s="7" t="s">
        <v>920</v>
      </c>
      <c r="F305" s="7" t="s">
        <v>921</v>
      </c>
    </row>
    <row r="306">
      <c r="A306" s="7" t="s">
        <v>189</v>
      </c>
      <c r="B306" s="7">
        <v>6.0</v>
      </c>
      <c r="C306" s="7" t="s">
        <v>918</v>
      </c>
      <c r="D306" s="7" t="s">
        <v>919</v>
      </c>
      <c r="E306" s="7" t="s">
        <v>920</v>
      </c>
      <c r="F306" s="7" t="s">
        <v>922</v>
      </c>
    </row>
    <row r="307">
      <c r="A307" s="7" t="s">
        <v>9</v>
      </c>
      <c r="B307" s="7">
        <v>6.0</v>
      </c>
      <c r="C307" s="7" t="s">
        <v>918</v>
      </c>
      <c r="D307" s="7" t="s">
        <v>919</v>
      </c>
      <c r="E307" s="7" t="s">
        <v>920</v>
      </c>
      <c r="F307" s="7" t="s">
        <v>921</v>
      </c>
    </row>
    <row r="308">
      <c r="A308" s="7" t="s">
        <v>10</v>
      </c>
      <c r="B308" s="7">
        <v>6.0</v>
      </c>
      <c r="C308" s="7" t="s">
        <v>918</v>
      </c>
      <c r="D308" s="7" t="s">
        <v>919</v>
      </c>
      <c r="E308" s="7" t="s">
        <v>920</v>
      </c>
      <c r="F308" s="7" t="s">
        <v>922</v>
      </c>
    </row>
    <row r="309">
      <c r="A309" s="7" t="s">
        <v>872</v>
      </c>
      <c r="B309" s="7">
        <v>6.0</v>
      </c>
      <c r="C309" s="7" t="s">
        <v>918</v>
      </c>
      <c r="D309" s="7" t="s">
        <v>919</v>
      </c>
      <c r="E309" s="7" t="s">
        <v>920</v>
      </c>
      <c r="F309" s="7" t="s">
        <v>921</v>
      </c>
    </row>
    <row r="310">
      <c r="A310" s="7" t="s">
        <v>873</v>
      </c>
      <c r="B310" s="7">
        <v>6.0</v>
      </c>
      <c r="C310" s="7" t="s">
        <v>918</v>
      </c>
      <c r="D310" s="7" t="s">
        <v>919</v>
      </c>
      <c r="E310" s="7" t="s">
        <v>920</v>
      </c>
      <c r="F310" s="7" t="s">
        <v>921</v>
      </c>
    </row>
    <row r="311">
      <c r="A311" s="7" t="s">
        <v>11</v>
      </c>
      <c r="B311" s="7">
        <v>6.0</v>
      </c>
      <c r="C311" s="7" t="s">
        <v>918</v>
      </c>
      <c r="D311" s="7" t="s">
        <v>919</v>
      </c>
      <c r="E311" s="7" t="s">
        <v>920</v>
      </c>
      <c r="F311" s="7" t="s">
        <v>924</v>
      </c>
    </row>
    <row r="312">
      <c r="A312" s="7" t="s">
        <v>12</v>
      </c>
      <c r="B312" s="7">
        <v>6.0</v>
      </c>
      <c r="C312" s="7" t="s">
        <v>918</v>
      </c>
      <c r="D312" s="7" t="s">
        <v>919</v>
      </c>
      <c r="E312" s="7" t="s">
        <v>920</v>
      </c>
      <c r="F312" s="7" t="s">
        <v>921</v>
      </c>
    </row>
    <row r="313">
      <c r="A313" s="7" t="s">
        <v>874</v>
      </c>
      <c r="B313" s="7">
        <v>6.0</v>
      </c>
      <c r="C313" s="7" t="s">
        <v>918</v>
      </c>
      <c r="D313" s="7" t="s">
        <v>919</v>
      </c>
      <c r="E313" s="7" t="s">
        <v>920</v>
      </c>
      <c r="F313" s="7" t="s">
        <v>922</v>
      </c>
    </row>
    <row r="314">
      <c r="A314" s="7" t="s">
        <v>596</v>
      </c>
      <c r="B314" s="7">
        <v>6.0</v>
      </c>
      <c r="C314" s="7" t="s">
        <v>925</v>
      </c>
      <c r="D314" s="7" t="s">
        <v>926</v>
      </c>
      <c r="E314" s="7" t="s">
        <v>927</v>
      </c>
      <c r="F314" s="7" t="s">
        <v>928</v>
      </c>
    </row>
    <row r="315">
      <c r="A315" s="7" t="s">
        <v>188</v>
      </c>
      <c r="B315" s="7">
        <v>6.0</v>
      </c>
      <c r="C315" s="7" t="s">
        <v>925</v>
      </c>
      <c r="D315" s="7" t="s">
        <v>926</v>
      </c>
      <c r="E315" s="7" t="s">
        <v>927</v>
      </c>
      <c r="F315" s="7" t="s">
        <v>928</v>
      </c>
    </row>
    <row r="316">
      <c r="A316" s="7" t="s">
        <v>4</v>
      </c>
      <c r="B316" s="7">
        <v>6.0</v>
      </c>
      <c r="C316" s="7" t="s">
        <v>925</v>
      </c>
      <c r="D316" s="7" t="s">
        <v>926</v>
      </c>
      <c r="E316" s="7" t="s">
        <v>927</v>
      </c>
      <c r="F316" s="7" t="s">
        <v>928</v>
      </c>
    </row>
    <row r="317">
      <c r="A317" s="7" t="s">
        <v>386</v>
      </c>
      <c r="B317" s="7">
        <v>6.0</v>
      </c>
      <c r="C317" s="7" t="s">
        <v>925</v>
      </c>
      <c r="D317" s="7" t="s">
        <v>926</v>
      </c>
      <c r="E317" s="7" t="s">
        <v>927</v>
      </c>
      <c r="F317" s="7" t="s">
        <v>928</v>
      </c>
    </row>
    <row r="318">
      <c r="A318" s="7" t="s">
        <v>866</v>
      </c>
      <c r="B318" s="7">
        <v>6.0</v>
      </c>
      <c r="C318" s="7" t="s">
        <v>925</v>
      </c>
      <c r="D318" s="7" t="s">
        <v>926</v>
      </c>
      <c r="E318" s="7" t="s">
        <v>927</v>
      </c>
      <c r="F318" s="7" t="s">
        <v>928</v>
      </c>
    </row>
    <row r="319">
      <c r="A319" s="7" t="s">
        <v>5</v>
      </c>
      <c r="B319" s="7">
        <v>6.0</v>
      </c>
      <c r="C319" s="7" t="s">
        <v>925</v>
      </c>
      <c r="D319" s="7" t="s">
        <v>926</v>
      </c>
      <c r="E319" s="7" t="s">
        <v>927</v>
      </c>
      <c r="F319" s="7" t="s">
        <v>928</v>
      </c>
    </row>
    <row r="320">
      <c r="A320" s="7" t="s">
        <v>867</v>
      </c>
      <c r="B320" s="7">
        <v>6.0</v>
      </c>
      <c r="C320" s="7" t="s">
        <v>925</v>
      </c>
      <c r="D320" s="7" t="s">
        <v>926</v>
      </c>
      <c r="E320" s="7" t="s">
        <v>927</v>
      </c>
      <c r="F320" s="7" t="s">
        <v>928</v>
      </c>
    </row>
    <row r="321">
      <c r="A321" s="7" t="s">
        <v>868</v>
      </c>
      <c r="B321" s="7">
        <v>6.0</v>
      </c>
      <c r="C321" s="7" t="s">
        <v>925</v>
      </c>
      <c r="D321" s="7" t="s">
        <v>926</v>
      </c>
      <c r="E321" s="7" t="s">
        <v>927</v>
      </c>
      <c r="F321" s="7" t="s">
        <v>928</v>
      </c>
    </row>
    <row r="322">
      <c r="A322" s="7" t="s">
        <v>599</v>
      </c>
      <c r="B322" s="7">
        <v>6.0</v>
      </c>
      <c r="C322" s="7" t="s">
        <v>925</v>
      </c>
      <c r="D322" s="7" t="s">
        <v>926</v>
      </c>
      <c r="E322" s="7" t="s">
        <v>927</v>
      </c>
      <c r="F322" s="7" t="s">
        <v>928</v>
      </c>
    </row>
    <row r="323">
      <c r="A323" s="7" t="s">
        <v>869</v>
      </c>
      <c r="B323" s="7">
        <v>6.0</v>
      </c>
      <c r="C323" s="7" t="s">
        <v>925</v>
      </c>
      <c r="D323" s="7" t="s">
        <v>926</v>
      </c>
      <c r="E323" s="7" t="s">
        <v>927</v>
      </c>
      <c r="F323" s="7" t="s">
        <v>902</v>
      </c>
    </row>
    <row r="324">
      <c r="A324" s="7" t="s">
        <v>6</v>
      </c>
      <c r="B324" s="7">
        <v>6.0</v>
      </c>
      <c r="C324" s="7" t="s">
        <v>925</v>
      </c>
      <c r="D324" s="7" t="s">
        <v>926</v>
      </c>
      <c r="E324" s="7" t="s">
        <v>927</v>
      </c>
      <c r="F324" s="7" t="s">
        <v>928</v>
      </c>
    </row>
    <row r="325">
      <c r="A325" s="7" t="s">
        <v>8</v>
      </c>
      <c r="B325" s="7">
        <v>6.0</v>
      </c>
      <c r="C325" s="7" t="s">
        <v>925</v>
      </c>
      <c r="D325" s="7" t="s">
        <v>926</v>
      </c>
      <c r="E325" s="7" t="s">
        <v>927</v>
      </c>
      <c r="F325" s="7" t="s">
        <v>929</v>
      </c>
    </row>
    <row r="326">
      <c r="A326" s="7" t="s">
        <v>874</v>
      </c>
      <c r="B326" s="7">
        <v>6.0</v>
      </c>
      <c r="C326" s="7" t="s">
        <v>925</v>
      </c>
      <c r="D326" s="7" t="s">
        <v>926</v>
      </c>
      <c r="E326" s="7" t="s">
        <v>927</v>
      </c>
      <c r="F326" s="7" t="s">
        <v>928</v>
      </c>
    </row>
    <row r="327">
      <c r="A327" s="7" t="s">
        <v>596</v>
      </c>
      <c r="B327" s="7">
        <v>6.0</v>
      </c>
      <c r="C327" s="7" t="s">
        <v>930</v>
      </c>
      <c r="D327" s="7" t="s">
        <v>931</v>
      </c>
      <c r="E327" s="7" t="s">
        <v>932</v>
      </c>
      <c r="F327" s="7" t="s">
        <v>933</v>
      </c>
    </row>
    <row r="328">
      <c r="A328" s="7" t="s">
        <v>188</v>
      </c>
      <c r="B328" s="7">
        <v>6.0</v>
      </c>
      <c r="C328" s="7" t="s">
        <v>930</v>
      </c>
      <c r="D328" s="7" t="s">
        <v>931</v>
      </c>
      <c r="E328" s="7" t="s">
        <v>932</v>
      </c>
      <c r="F328" s="7" t="s">
        <v>934</v>
      </c>
    </row>
    <row r="329">
      <c r="A329" s="7" t="s">
        <v>4</v>
      </c>
      <c r="B329" s="7">
        <v>6.0</v>
      </c>
      <c r="C329" s="7" t="s">
        <v>930</v>
      </c>
      <c r="D329" s="7" t="s">
        <v>931</v>
      </c>
      <c r="E329" s="7" t="s">
        <v>932</v>
      </c>
      <c r="F329" s="7" t="s">
        <v>933</v>
      </c>
    </row>
    <row r="330">
      <c r="A330" s="7" t="s">
        <v>386</v>
      </c>
      <c r="B330" s="7">
        <v>6.0</v>
      </c>
      <c r="C330" s="7" t="s">
        <v>930</v>
      </c>
      <c r="D330" s="7" t="s">
        <v>931</v>
      </c>
      <c r="E330" s="7" t="s">
        <v>932</v>
      </c>
      <c r="F330" s="7" t="s">
        <v>935</v>
      </c>
    </row>
    <row r="331">
      <c r="A331" s="7" t="s">
        <v>866</v>
      </c>
      <c r="B331" s="7">
        <v>6.0</v>
      </c>
      <c r="C331" s="7" t="s">
        <v>930</v>
      </c>
      <c r="D331" s="7" t="s">
        <v>931</v>
      </c>
      <c r="E331" s="7" t="s">
        <v>932</v>
      </c>
      <c r="F331" s="7" t="s">
        <v>935</v>
      </c>
    </row>
    <row r="332">
      <c r="A332" s="7" t="s">
        <v>5</v>
      </c>
      <c r="B332" s="7">
        <v>6.0</v>
      </c>
      <c r="C332" s="7" t="s">
        <v>930</v>
      </c>
      <c r="D332" s="7" t="s">
        <v>931</v>
      </c>
      <c r="E332" s="7" t="s">
        <v>932</v>
      </c>
      <c r="F332" s="7" t="s">
        <v>935</v>
      </c>
    </row>
    <row r="333">
      <c r="A333" s="7" t="s">
        <v>867</v>
      </c>
      <c r="B333" s="7">
        <v>6.0</v>
      </c>
      <c r="C333" s="7" t="s">
        <v>930</v>
      </c>
      <c r="D333" s="7" t="s">
        <v>931</v>
      </c>
      <c r="E333" s="7" t="s">
        <v>932</v>
      </c>
      <c r="F333" s="7" t="s">
        <v>936</v>
      </c>
    </row>
    <row r="334">
      <c r="A334" s="7" t="s">
        <v>868</v>
      </c>
      <c r="B334" s="7">
        <v>6.0</v>
      </c>
      <c r="C334" s="7" t="s">
        <v>930</v>
      </c>
      <c r="D334" s="7" t="s">
        <v>931</v>
      </c>
      <c r="E334" s="7" t="s">
        <v>932</v>
      </c>
      <c r="F334" s="7" t="s">
        <v>935</v>
      </c>
    </row>
    <row r="335">
      <c r="A335" s="7" t="s">
        <v>599</v>
      </c>
      <c r="B335" s="7">
        <v>6.0</v>
      </c>
      <c r="C335" s="7" t="s">
        <v>930</v>
      </c>
      <c r="D335" s="7" t="s">
        <v>931</v>
      </c>
      <c r="E335" s="7" t="s">
        <v>932</v>
      </c>
      <c r="F335" s="7" t="s">
        <v>935</v>
      </c>
    </row>
    <row r="336">
      <c r="A336" s="7" t="s">
        <v>869</v>
      </c>
      <c r="B336" s="7">
        <v>6.0</v>
      </c>
      <c r="C336" s="7" t="s">
        <v>930</v>
      </c>
      <c r="D336" s="7" t="s">
        <v>931</v>
      </c>
      <c r="E336" s="7" t="s">
        <v>932</v>
      </c>
      <c r="F336" s="7" t="s">
        <v>937</v>
      </c>
    </row>
    <row r="337">
      <c r="A337" s="7" t="s">
        <v>870</v>
      </c>
      <c r="B337" s="7">
        <v>6.0</v>
      </c>
      <c r="C337" s="7" t="s">
        <v>930</v>
      </c>
      <c r="D337" s="7" t="s">
        <v>931</v>
      </c>
      <c r="E337" s="7" t="s">
        <v>932</v>
      </c>
      <c r="F337" s="7" t="s">
        <v>936</v>
      </c>
    </row>
    <row r="338">
      <c r="A338" s="7" t="s">
        <v>6</v>
      </c>
      <c r="B338" s="7">
        <v>6.0</v>
      </c>
      <c r="C338" s="7" t="s">
        <v>930</v>
      </c>
      <c r="D338" s="7" t="s">
        <v>931</v>
      </c>
      <c r="E338" s="7" t="s">
        <v>932</v>
      </c>
      <c r="F338" s="7" t="s">
        <v>532</v>
      </c>
    </row>
    <row r="339">
      <c r="A339" s="7" t="s">
        <v>871</v>
      </c>
      <c r="B339" s="7">
        <v>6.0</v>
      </c>
      <c r="C339" s="7" t="s">
        <v>930</v>
      </c>
      <c r="D339" s="7" t="s">
        <v>931</v>
      </c>
      <c r="E339" s="7" t="s">
        <v>932</v>
      </c>
      <c r="F339" s="7" t="s">
        <v>938</v>
      </c>
    </row>
    <row r="340">
      <c r="A340" s="7" t="s">
        <v>8</v>
      </c>
      <c r="B340" s="7">
        <v>6.0</v>
      </c>
      <c r="C340" s="7" t="s">
        <v>930</v>
      </c>
      <c r="D340" s="7" t="s">
        <v>931</v>
      </c>
      <c r="E340" s="7" t="s">
        <v>932</v>
      </c>
      <c r="F340" s="7" t="s">
        <v>939</v>
      </c>
    </row>
    <row r="341">
      <c r="A341" s="7" t="s">
        <v>872</v>
      </c>
      <c r="B341" s="7">
        <v>6.0</v>
      </c>
      <c r="C341" s="7" t="s">
        <v>930</v>
      </c>
      <c r="D341" s="7" t="s">
        <v>931</v>
      </c>
      <c r="E341" s="7" t="s">
        <v>932</v>
      </c>
      <c r="F341" s="7" t="s">
        <v>902</v>
      </c>
    </row>
    <row r="342">
      <c r="A342" s="7" t="s">
        <v>874</v>
      </c>
      <c r="B342" s="7">
        <v>6.0</v>
      </c>
      <c r="C342" s="7" t="s">
        <v>930</v>
      </c>
      <c r="D342" s="7" t="s">
        <v>931</v>
      </c>
      <c r="E342" s="7" t="s">
        <v>932</v>
      </c>
      <c r="F342" s="7" t="s">
        <v>936</v>
      </c>
    </row>
    <row r="343">
      <c r="A343" s="7" t="s">
        <v>875</v>
      </c>
      <c r="B343" s="7">
        <v>6.0</v>
      </c>
      <c r="C343" s="7" t="s">
        <v>930</v>
      </c>
      <c r="D343" s="7" t="s">
        <v>931</v>
      </c>
      <c r="E343" s="7" t="s">
        <v>932</v>
      </c>
      <c r="F343" s="7" t="s">
        <v>902</v>
      </c>
    </row>
    <row r="344">
      <c r="A344" s="7" t="s">
        <v>596</v>
      </c>
      <c r="B344" s="7">
        <v>6.0</v>
      </c>
      <c r="C344" s="7" t="s">
        <v>940</v>
      </c>
      <c r="D344" s="7" t="s">
        <v>941</v>
      </c>
      <c r="E344" s="7" t="s">
        <v>942</v>
      </c>
      <c r="F344" s="7" t="s">
        <v>1290</v>
      </c>
    </row>
    <row r="345">
      <c r="A345" s="7" t="s">
        <v>188</v>
      </c>
      <c r="B345" s="7">
        <v>6.0</v>
      </c>
      <c r="C345" s="7" t="s">
        <v>940</v>
      </c>
      <c r="D345" s="7" t="s">
        <v>941</v>
      </c>
      <c r="E345" s="7" t="s">
        <v>942</v>
      </c>
      <c r="F345" s="7" t="s">
        <v>864</v>
      </c>
    </row>
    <row r="346">
      <c r="A346" s="7" t="s">
        <v>4</v>
      </c>
      <c r="B346" s="7">
        <v>6.0</v>
      </c>
      <c r="C346" s="7" t="s">
        <v>940</v>
      </c>
      <c r="D346" s="7" t="s">
        <v>941</v>
      </c>
      <c r="E346" s="7" t="s">
        <v>942</v>
      </c>
      <c r="F346" s="7" t="s">
        <v>863</v>
      </c>
    </row>
    <row r="347">
      <c r="A347" s="7" t="s">
        <v>386</v>
      </c>
      <c r="B347" s="7">
        <v>6.0</v>
      </c>
      <c r="C347" s="7" t="s">
        <v>940</v>
      </c>
      <c r="D347" s="7" t="s">
        <v>941</v>
      </c>
      <c r="E347" s="7" t="s">
        <v>942</v>
      </c>
      <c r="F347" s="7" t="s">
        <v>865</v>
      </c>
    </row>
    <row r="348">
      <c r="A348" s="7" t="s">
        <v>866</v>
      </c>
      <c r="B348" s="7">
        <v>6.0</v>
      </c>
      <c r="C348" s="7" t="s">
        <v>940</v>
      </c>
      <c r="D348" s="7" t="s">
        <v>941</v>
      </c>
      <c r="E348" s="7" t="s">
        <v>942</v>
      </c>
      <c r="F348" s="7" t="s">
        <v>865</v>
      </c>
    </row>
    <row r="349">
      <c r="A349" s="7" t="s">
        <v>5</v>
      </c>
      <c r="B349" s="7">
        <v>6.0</v>
      </c>
      <c r="C349" s="7" t="s">
        <v>940</v>
      </c>
      <c r="D349" s="7" t="s">
        <v>941</v>
      </c>
      <c r="E349" s="7" t="s">
        <v>942</v>
      </c>
      <c r="F349" s="7" t="s">
        <v>864</v>
      </c>
    </row>
    <row r="350">
      <c r="A350" s="7" t="s">
        <v>867</v>
      </c>
      <c r="B350" s="7">
        <v>6.0</v>
      </c>
      <c r="C350" s="7" t="s">
        <v>940</v>
      </c>
      <c r="D350" s="7" t="s">
        <v>941</v>
      </c>
      <c r="E350" s="7" t="s">
        <v>942</v>
      </c>
      <c r="F350" s="7" t="s">
        <v>1291</v>
      </c>
    </row>
    <row r="351">
      <c r="A351" s="7" t="s">
        <v>868</v>
      </c>
      <c r="B351" s="7">
        <v>6.0</v>
      </c>
      <c r="C351" s="7" t="s">
        <v>940</v>
      </c>
      <c r="D351" s="7" t="s">
        <v>941</v>
      </c>
      <c r="E351" s="7" t="s">
        <v>942</v>
      </c>
      <c r="F351" s="7" t="s">
        <v>864</v>
      </c>
    </row>
    <row r="352">
      <c r="A352" s="7" t="s">
        <v>599</v>
      </c>
      <c r="B352" s="7">
        <v>6.0</v>
      </c>
      <c r="C352" s="7" t="s">
        <v>940</v>
      </c>
      <c r="D352" s="7" t="s">
        <v>941</v>
      </c>
      <c r="E352" s="7" t="s">
        <v>942</v>
      </c>
      <c r="F352" s="7" t="s">
        <v>1290</v>
      </c>
    </row>
    <row r="353">
      <c r="A353" s="7" t="s">
        <v>869</v>
      </c>
      <c r="B353" s="7">
        <v>6.0</v>
      </c>
      <c r="C353" s="7" t="s">
        <v>940</v>
      </c>
      <c r="D353" s="7" t="s">
        <v>941</v>
      </c>
      <c r="E353" s="7" t="s">
        <v>942</v>
      </c>
      <c r="F353" s="7" t="s">
        <v>1291</v>
      </c>
    </row>
    <row r="354">
      <c r="A354" s="7" t="s">
        <v>870</v>
      </c>
      <c r="B354" s="7">
        <v>6.0</v>
      </c>
      <c r="C354" s="7" t="s">
        <v>940</v>
      </c>
      <c r="D354" s="7" t="s">
        <v>941</v>
      </c>
      <c r="E354" s="7" t="s">
        <v>942</v>
      </c>
      <c r="F354" s="7" t="s">
        <v>864</v>
      </c>
    </row>
    <row r="355">
      <c r="A355" s="7" t="s">
        <v>6</v>
      </c>
      <c r="B355" s="7">
        <v>6.0</v>
      </c>
      <c r="C355" s="7" t="s">
        <v>940</v>
      </c>
      <c r="D355" s="7" t="s">
        <v>941</v>
      </c>
      <c r="E355" s="7" t="s">
        <v>942</v>
      </c>
      <c r="F355" s="7" t="s">
        <v>862</v>
      </c>
    </row>
    <row r="356">
      <c r="A356" s="7" t="s">
        <v>871</v>
      </c>
      <c r="B356" s="7">
        <v>6.0</v>
      </c>
      <c r="C356" s="7" t="s">
        <v>940</v>
      </c>
      <c r="D356" s="7" t="s">
        <v>941</v>
      </c>
      <c r="E356" s="7" t="s">
        <v>942</v>
      </c>
      <c r="F356" s="7" t="s">
        <v>1291</v>
      </c>
    </row>
    <row r="357">
      <c r="A357" s="7" t="s">
        <v>7</v>
      </c>
      <c r="B357" s="7">
        <v>6.0</v>
      </c>
      <c r="C357" s="7" t="s">
        <v>940</v>
      </c>
      <c r="D357" s="7" t="s">
        <v>941</v>
      </c>
      <c r="E357" s="7" t="s">
        <v>942</v>
      </c>
      <c r="F357" s="7" t="s">
        <v>1291</v>
      </c>
    </row>
    <row r="358">
      <c r="A358" s="7" t="s">
        <v>8</v>
      </c>
      <c r="B358" s="7">
        <v>6.0</v>
      </c>
      <c r="C358" s="7" t="s">
        <v>940</v>
      </c>
      <c r="D358" s="7" t="s">
        <v>941</v>
      </c>
      <c r="E358" s="7" t="s">
        <v>942</v>
      </c>
      <c r="F358" s="7" t="s">
        <v>862</v>
      </c>
    </row>
    <row r="359">
      <c r="A359" s="7" t="s">
        <v>388</v>
      </c>
      <c r="B359" s="7">
        <v>6.0</v>
      </c>
      <c r="C359" s="7" t="s">
        <v>940</v>
      </c>
      <c r="D359" s="7" t="s">
        <v>941</v>
      </c>
      <c r="E359" s="7" t="s">
        <v>942</v>
      </c>
      <c r="F359" s="7" t="s">
        <v>864</v>
      </c>
    </row>
    <row r="360">
      <c r="A360" s="7" t="s">
        <v>189</v>
      </c>
      <c r="B360" s="7">
        <v>6.0</v>
      </c>
      <c r="C360" s="7" t="s">
        <v>940</v>
      </c>
      <c r="D360" s="7" t="s">
        <v>941</v>
      </c>
      <c r="E360" s="7" t="s">
        <v>942</v>
      </c>
      <c r="F360" s="7" t="s">
        <v>1291</v>
      </c>
    </row>
    <row r="361">
      <c r="A361" s="7" t="s">
        <v>9</v>
      </c>
      <c r="B361" s="7">
        <v>6.0</v>
      </c>
      <c r="C361" s="7" t="s">
        <v>940</v>
      </c>
      <c r="D361" s="7" t="s">
        <v>941</v>
      </c>
      <c r="E361" s="7" t="s">
        <v>942</v>
      </c>
      <c r="F361" s="7" t="s">
        <v>863</v>
      </c>
    </row>
    <row r="362">
      <c r="A362" s="7" t="s">
        <v>10</v>
      </c>
      <c r="B362" s="7">
        <v>6.0</v>
      </c>
      <c r="C362" s="7" t="s">
        <v>940</v>
      </c>
      <c r="D362" s="7" t="s">
        <v>941</v>
      </c>
      <c r="E362" s="7" t="s">
        <v>942</v>
      </c>
      <c r="F362" s="7" t="s">
        <v>1291</v>
      </c>
    </row>
    <row r="363">
      <c r="A363" s="7" t="s">
        <v>872</v>
      </c>
      <c r="B363" s="7">
        <v>6.0</v>
      </c>
      <c r="C363" s="7" t="s">
        <v>940</v>
      </c>
      <c r="D363" s="7" t="s">
        <v>941</v>
      </c>
      <c r="E363" s="7" t="s">
        <v>942</v>
      </c>
      <c r="F363" s="7" t="s">
        <v>865</v>
      </c>
    </row>
    <row r="364">
      <c r="A364" s="7" t="s">
        <v>873</v>
      </c>
      <c r="B364" s="7">
        <v>6.0</v>
      </c>
      <c r="C364" s="7" t="s">
        <v>940</v>
      </c>
      <c r="D364" s="7" t="s">
        <v>941</v>
      </c>
      <c r="E364" s="7" t="s">
        <v>942</v>
      </c>
      <c r="F364" s="7" t="s">
        <v>864</v>
      </c>
    </row>
    <row r="365">
      <c r="A365" s="7" t="s">
        <v>11</v>
      </c>
      <c r="B365" s="7">
        <v>6.0</v>
      </c>
      <c r="C365" s="7" t="s">
        <v>940</v>
      </c>
      <c r="D365" s="7" t="s">
        <v>941</v>
      </c>
      <c r="E365" s="7" t="s">
        <v>942</v>
      </c>
      <c r="F365" s="7" t="s">
        <v>1290</v>
      </c>
    </row>
    <row r="366">
      <c r="A366" s="7" t="s">
        <v>12</v>
      </c>
      <c r="B366" s="7">
        <v>6.0</v>
      </c>
      <c r="C366" s="7" t="s">
        <v>940</v>
      </c>
      <c r="D366" s="7" t="s">
        <v>941</v>
      </c>
      <c r="E366" s="7" t="s">
        <v>942</v>
      </c>
      <c r="F366" s="7" t="s">
        <v>863</v>
      </c>
    </row>
    <row r="367">
      <c r="A367" s="7" t="s">
        <v>874</v>
      </c>
      <c r="B367" s="7">
        <v>6.0</v>
      </c>
      <c r="C367" s="7" t="s">
        <v>940</v>
      </c>
      <c r="D367" s="7" t="s">
        <v>941</v>
      </c>
      <c r="E367" s="7" t="s">
        <v>942</v>
      </c>
      <c r="F367" s="7" t="s">
        <v>864</v>
      </c>
    </row>
    <row r="368">
      <c r="A368" s="7" t="s">
        <v>13</v>
      </c>
      <c r="B368" s="7">
        <v>6.0</v>
      </c>
      <c r="C368" s="7" t="s">
        <v>940</v>
      </c>
      <c r="D368" s="7" t="s">
        <v>941</v>
      </c>
      <c r="E368" s="7" t="s">
        <v>942</v>
      </c>
      <c r="F368" s="7" t="s">
        <v>864</v>
      </c>
    </row>
    <row r="369">
      <c r="A369" s="7" t="s">
        <v>875</v>
      </c>
      <c r="B369" s="7">
        <v>6.0</v>
      </c>
      <c r="C369" s="7" t="s">
        <v>940</v>
      </c>
      <c r="D369" s="7" t="s">
        <v>941</v>
      </c>
      <c r="E369" s="7" t="s">
        <v>942</v>
      </c>
      <c r="F369" s="7" t="s">
        <v>1290</v>
      </c>
    </row>
    <row r="370">
      <c r="A370" s="7" t="s">
        <v>14</v>
      </c>
      <c r="B370" s="7">
        <v>6.0</v>
      </c>
      <c r="C370" s="7" t="s">
        <v>940</v>
      </c>
      <c r="D370" s="7" t="s">
        <v>941</v>
      </c>
      <c r="E370" s="7" t="s">
        <v>942</v>
      </c>
      <c r="F370" s="7" t="s">
        <v>1290</v>
      </c>
    </row>
    <row r="371">
      <c r="A371" s="7" t="s">
        <v>609</v>
      </c>
      <c r="B371" s="7">
        <v>6.0</v>
      </c>
      <c r="C371" s="7" t="s">
        <v>940</v>
      </c>
      <c r="D371" s="7" t="s">
        <v>941</v>
      </c>
      <c r="E371" s="7" t="s">
        <v>942</v>
      </c>
      <c r="F371" s="7" t="s">
        <v>862</v>
      </c>
    </row>
    <row r="372">
      <c r="A372" s="7" t="s">
        <v>15</v>
      </c>
      <c r="B372" s="7">
        <v>6.0</v>
      </c>
      <c r="C372" s="7" t="s">
        <v>940</v>
      </c>
      <c r="D372" s="7" t="s">
        <v>941</v>
      </c>
      <c r="E372" s="7" t="s">
        <v>942</v>
      </c>
      <c r="F372" s="7" t="s">
        <v>1290</v>
      </c>
    </row>
    <row r="373">
      <c r="A373" s="7" t="s">
        <v>610</v>
      </c>
      <c r="B373" s="7">
        <v>6.0</v>
      </c>
      <c r="C373" s="7" t="s">
        <v>940</v>
      </c>
      <c r="D373" s="7" t="s">
        <v>941</v>
      </c>
      <c r="E373" s="7" t="s">
        <v>942</v>
      </c>
      <c r="F373" s="7" t="s">
        <v>1292</v>
      </c>
    </row>
    <row r="374">
      <c r="A374" s="7" t="s">
        <v>16</v>
      </c>
      <c r="B374" s="7">
        <v>6.0</v>
      </c>
      <c r="C374" s="7" t="s">
        <v>940</v>
      </c>
      <c r="D374" s="7" t="s">
        <v>941</v>
      </c>
      <c r="E374" s="7" t="s">
        <v>942</v>
      </c>
      <c r="F374" s="7" t="s">
        <v>865</v>
      </c>
    </row>
    <row r="375">
      <c r="A375" s="7" t="s">
        <v>876</v>
      </c>
      <c r="B375" s="7">
        <v>6.0</v>
      </c>
      <c r="C375" s="7" t="s">
        <v>940</v>
      </c>
      <c r="D375" s="7" t="s">
        <v>941</v>
      </c>
      <c r="E375" s="7" t="s">
        <v>942</v>
      </c>
      <c r="F375" s="7" t="s">
        <v>1291</v>
      </c>
    </row>
    <row r="376">
      <c r="A376" s="7" t="s">
        <v>877</v>
      </c>
      <c r="B376" s="7">
        <v>6.0</v>
      </c>
      <c r="C376" s="7" t="s">
        <v>940</v>
      </c>
      <c r="D376" s="7" t="s">
        <v>941</v>
      </c>
      <c r="E376" s="7" t="s">
        <v>942</v>
      </c>
      <c r="F376" s="7" t="s">
        <v>1290</v>
      </c>
    </row>
    <row r="377">
      <c r="A377" s="7" t="s">
        <v>17</v>
      </c>
      <c r="B377" s="7">
        <v>6.0</v>
      </c>
      <c r="C377" s="7" t="s">
        <v>940</v>
      </c>
      <c r="D377" s="7" t="s">
        <v>941</v>
      </c>
      <c r="E377" s="7" t="s">
        <v>942</v>
      </c>
      <c r="F377" s="7" t="s">
        <v>864</v>
      </c>
    </row>
    <row r="378">
      <c r="A378" s="7" t="s">
        <v>18</v>
      </c>
      <c r="B378" s="7">
        <v>6.0</v>
      </c>
      <c r="C378" s="7" t="s">
        <v>940</v>
      </c>
      <c r="D378" s="7" t="s">
        <v>941</v>
      </c>
      <c r="E378" s="7" t="s">
        <v>942</v>
      </c>
      <c r="F378" s="7" t="s">
        <v>864</v>
      </c>
    </row>
    <row r="379">
      <c r="A379" s="7" t="s">
        <v>19</v>
      </c>
      <c r="B379" s="7">
        <v>6.0</v>
      </c>
      <c r="C379" s="7" t="s">
        <v>940</v>
      </c>
      <c r="D379" s="7" t="s">
        <v>941</v>
      </c>
      <c r="E379" s="7" t="s">
        <v>942</v>
      </c>
      <c r="F379" s="7" t="s">
        <v>1291</v>
      </c>
    </row>
    <row r="380">
      <c r="A380" s="7" t="s">
        <v>599</v>
      </c>
      <c r="B380" s="7">
        <v>6.0</v>
      </c>
      <c r="C380" s="7" t="s">
        <v>943</v>
      </c>
      <c r="D380" s="7" t="s">
        <v>439</v>
      </c>
      <c r="E380" s="7" t="s">
        <v>944</v>
      </c>
      <c r="F380" s="7" t="s">
        <v>444</v>
      </c>
    </row>
    <row r="381">
      <c r="A381" s="7" t="s">
        <v>869</v>
      </c>
      <c r="B381" s="7">
        <v>6.0</v>
      </c>
      <c r="C381" s="7" t="s">
        <v>943</v>
      </c>
      <c r="D381" s="7" t="s">
        <v>439</v>
      </c>
      <c r="E381" s="7" t="s">
        <v>944</v>
      </c>
      <c r="F381" s="7" t="s">
        <v>945</v>
      </c>
    </row>
    <row r="382">
      <c r="A382" s="7" t="s">
        <v>870</v>
      </c>
      <c r="B382" s="7">
        <v>6.0</v>
      </c>
      <c r="C382" s="7" t="s">
        <v>943</v>
      </c>
      <c r="D382" s="7" t="s">
        <v>439</v>
      </c>
      <c r="E382" s="7" t="s">
        <v>944</v>
      </c>
      <c r="F382" s="7" t="s">
        <v>444</v>
      </c>
    </row>
    <row r="383">
      <c r="A383" s="7" t="s">
        <v>6</v>
      </c>
      <c r="B383" s="7">
        <v>6.0</v>
      </c>
      <c r="C383" s="7" t="s">
        <v>943</v>
      </c>
      <c r="D383" s="7" t="s">
        <v>439</v>
      </c>
      <c r="E383" s="7" t="s">
        <v>944</v>
      </c>
      <c r="F383" s="7" t="s">
        <v>444</v>
      </c>
    </row>
    <row r="384">
      <c r="A384" s="7" t="s">
        <v>871</v>
      </c>
      <c r="B384" s="7">
        <v>6.0</v>
      </c>
      <c r="C384" s="7" t="s">
        <v>943</v>
      </c>
      <c r="D384" s="7" t="s">
        <v>439</v>
      </c>
      <c r="E384" s="7" t="s">
        <v>944</v>
      </c>
      <c r="F384" s="7" t="s">
        <v>444</v>
      </c>
    </row>
    <row r="385">
      <c r="A385" s="7" t="s">
        <v>7</v>
      </c>
      <c r="B385" s="7">
        <v>6.0</v>
      </c>
      <c r="C385" s="7" t="s">
        <v>943</v>
      </c>
      <c r="D385" s="7" t="s">
        <v>439</v>
      </c>
      <c r="E385" s="7" t="s">
        <v>944</v>
      </c>
      <c r="F385" s="7" t="s">
        <v>444</v>
      </c>
    </row>
    <row r="386">
      <c r="A386" s="7" t="s">
        <v>596</v>
      </c>
      <c r="B386" s="7">
        <v>6.0</v>
      </c>
      <c r="C386" s="7" t="s">
        <v>49</v>
      </c>
      <c r="D386" s="7" t="s">
        <v>441</v>
      </c>
      <c r="E386" s="7" t="s">
        <v>946</v>
      </c>
      <c r="F386" s="7" t="s">
        <v>947</v>
      </c>
    </row>
    <row r="387">
      <c r="A387" s="7" t="s">
        <v>188</v>
      </c>
      <c r="B387" s="7">
        <v>6.0</v>
      </c>
      <c r="C387" s="7" t="s">
        <v>49</v>
      </c>
      <c r="D387" s="7" t="s">
        <v>441</v>
      </c>
      <c r="E387" s="7" t="s">
        <v>946</v>
      </c>
      <c r="F387" s="7" t="s">
        <v>948</v>
      </c>
    </row>
    <row r="388">
      <c r="A388" s="7" t="s">
        <v>4</v>
      </c>
      <c r="B388" s="7">
        <v>6.0</v>
      </c>
      <c r="C388" s="7" t="s">
        <v>49</v>
      </c>
      <c r="D388" s="7" t="s">
        <v>441</v>
      </c>
      <c r="E388" s="7" t="s">
        <v>946</v>
      </c>
      <c r="F388" s="7" t="s">
        <v>947</v>
      </c>
    </row>
    <row r="389">
      <c r="A389" s="7" t="s">
        <v>386</v>
      </c>
      <c r="B389" s="7">
        <v>6.0</v>
      </c>
      <c r="C389" s="7" t="s">
        <v>49</v>
      </c>
      <c r="D389" s="7" t="s">
        <v>441</v>
      </c>
      <c r="E389" s="7" t="s">
        <v>946</v>
      </c>
      <c r="F389" s="7" t="s">
        <v>949</v>
      </c>
    </row>
    <row r="390">
      <c r="A390" s="7" t="s">
        <v>866</v>
      </c>
      <c r="B390" s="7">
        <v>6.0</v>
      </c>
      <c r="C390" s="7" t="s">
        <v>49</v>
      </c>
      <c r="D390" s="7" t="s">
        <v>441</v>
      </c>
      <c r="E390" s="7" t="s">
        <v>946</v>
      </c>
      <c r="F390" s="7" t="s">
        <v>949</v>
      </c>
    </row>
    <row r="391">
      <c r="A391" s="7" t="s">
        <v>5</v>
      </c>
      <c r="B391" s="7">
        <v>6.0</v>
      </c>
      <c r="C391" s="7" t="s">
        <v>49</v>
      </c>
      <c r="D391" s="7" t="s">
        <v>441</v>
      </c>
      <c r="E391" s="7" t="s">
        <v>946</v>
      </c>
      <c r="F391" s="7" t="s">
        <v>444</v>
      </c>
    </row>
    <row r="392">
      <c r="A392" s="7" t="s">
        <v>867</v>
      </c>
      <c r="B392" s="7">
        <v>6.0</v>
      </c>
      <c r="C392" s="7" t="s">
        <v>49</v>
      </c>
      <c r="D392" s="7" t="s">
        <v>441</v>
      </c>
      <c r="E392" s="7" t="s">
        <v>946</v>
      </c>
      <c r="F392" s="7" t="s">
        <v>444</v>
      </c>
    </row>
    <row r="393">
      <c r="A393" s="7" t="s">
        <v>868</v>
      </c>
      <c r="B393" s="7">
        <v>6.0</v>
      </c>
      <c r="C393" s="7" t="s">
        <v>49</v>
      </c>
      <c r="D393" s="7" t="s">
        <v>441</v>
      </c>
      <c r="E393" s="7" t="s">
        <v>946</v>
      </c>
      <c r="F393" s="7" t="s">
        <v>950</v>
      </c>
    </row>
    <row r="394">
      <c r="A394" s="7" t="s">
        <v>599</v>
      </c>
      <c r="B394" s="7">
        <v>6.0</v>
      </c>
      <c r="C394" s="7" t="s">
        <v>49</v>
      </c>
      <c r="D394" s="7" t="s">
        <v>441</v>
      </c>
      <c r="E394" s="7" t="s">
        <v>946</v>
      </c>
      <c r="F394" s="7" t="s">
        <v>951</v>
      </c>
    </row>
    <row r="395">
      <c r="A395" s="7" t="s">
        <v>869</v>
      </c>
      <c r="B395" s="7">
        <v>6.0</v>
      </c>
      <c r="C395" s="7" t="s">
        <v>49</v>
      </c>
      <c r="D395" s="7" t="s">
        <v>441</v>
      </c>
      <c r="E395" s="7" t="s">
        <v>946</v>
      </c>
      <c r="F395" s="7" t="s">
        <v>952</v>
      </c>
    </row>
    <row r="396">
      <c r="A396" s="7" t="s">
        <v>870</v>
      </c>
      <c r="B396" s="7">
        <v>6.0</v>
      </c>
      <c r="C396" s="7" t="s">
        <v>49</v>
      </c>
      <c r="D396" s="7" t="s">
        <v>441</v>
      </c>
      <c r="E396" s="7" t="s">
        <v>946</v>
      </c>
      <c r="F396" s="7" t="s">
        <v>953</v>
      </c>
    </row>
    <row r="397">
      <c r="A397" s="7" t="s">
        <v>6</v>
      </c>
      <c r="B397" s="7">
        <v>6.0</v>
      </c>
      <c r="C397" s="7" t="s">
        <v>49</v>
      </c>
      <c r="D397" s="7" t="s">
        <v>441</v>
      </c>
      <c r="E397" s="7" t="s">
        <v>946</v>
      </c>
      <c r="F397" s="7" t="s">
        <v>953</v>
      </c>
    </row>
    <row r="398">
      <c r="A398" s="7" t="s">
        <v>871</v>
      </c>
      <c r="B398" s="7">
        <v>6.0</v>
      </c>
      <c r="C398" s="7" t="s">
        <v>49</v>
      </c>
      <c r="D398" s="7" t="s">
        <v>441</v>
      </c>
      <c r="E398" s="7" t="s">
        <v>946</v>
      </c>
      <c r="F398" s="7" t="s">
        <v>954</v>
      </c>
    </row>
    <row r="399">
      <c r="A399" s="7" t="s">
        <v>7</v>
      </c>
      <c r="B399" s="7">
        <v>6.0</v>
      </c>
      <c r="C399" s="7" t="s">
        <v>49</v>
      </c>
      <c r="D399" s="7" t="s">
        <v>441</v>
      </c>
      <c r="E399" s="7" t="s">
        <v>946</v>
      </c>
      <c r="F399" s="7" t="s">
        <v>955</v>
      </c>
    </row>
    <row r="400">
      <c r="A400" s="7" t="s">
        <v>8</v>
      </c>
      <c r="B400" s="7">
        <v>6.0</v>
      </c>
      <c r="C400" s="7" t="s">
        <v>49</v>
      </c>
      <c r="D400" s="7" t="s">
        <v>441</v>
      </c>
      <c r="E400" s="7" t="s">
        <v>946</v>
      </c>
      <c r="F400" s="7" t="s">
        <v>219</v>
      </c>
    </row>
    <row r="401">
      <c r="A401" s="7" t="s">
        <v>388</v>
      </c>
      <c r="B401" s="7">
        <v>6.0</v>
      </c>
      <c r="C401" s="7" t="s">
        <v>49</v>
      </c>
      <c r="D401" s="7" t="s">
        <v>441</v>
      </c>
      <c r="E401" s="7" t="s">
        <v>946</v>
      </c>
      <c r="F401" s="7" t="s">
        <v>956</v>
      </c>
    </row>
    <row r="402">
      <c r="A402" s="7" t="s">
        <v>189</v>
      </c>
      <c r="B402" s="7">
        <v>6.0</v>
      </c>
      <c r="C402" s="7" t="s">
        <v>49</v>
      </c>
      <c r="D402" s="7" t="s">
        <v>441</v>
      </c>
      <c r="E402" s="7" t="s">
        <v>946</v>
      </c>
      <c r="F402" s="7" t="s">
        <v>957</v>
      </c>
    </row>
    <row r="403">
      <c r="A403" s="7" t="s">
        <v>9</v>
      </c>
      <c r="B403" s="7">
        <v>6.0</v>
      </c>
      <c r="C403" s="7" t="s">
        <v>49</v>
      </c>
      <c r="D403" s="7" t="s">
        <v>441</v>
      </c>
      <c r="E403" s="7" t="s">
        <v>946</v>
      </c>
      <c r="F403" s="7" t="s">
        <v>958</v>
      </c>
    </row>
    <row r="404">
      <c r="A404" s="7" t="s">
        <v>10</v>
      </c>
      <c r="B404" s="7">
        <v>6.0</v>
      </c>
      <c r="C404" s="7" t="s">
        <v>49</v>
      </c>
      <c r="D404" s="7" t="s">
        <v>441</v>
      </c>
      <c r="E404" s="7" t="s">
        <v>946</v>
      </c>
      <c r="F404" s="7" t="s">
        <v>56</v>
      </c>
    </row>
    <row r="405">
      <c r="A405" s="7" t="s">
        <v>872</v>
      </c>
      <c r="B405" s="7">
        <v>6.0</v>
      </c>
      <c r="C405" s="7" t="s">
        <v>49</v>
      </c>
      <c r="D405" s="7" t="s">
        <v>441</v>
      </c>
      <c r="E405" s="7" t="s">
        <v>946</v>
      </c>
      <c r="F405" s="7" t="s">
        <v>56</v>
      </c>
    </row>
    <row r="406">
      <c r="A406" s="7" t="s">
        <v>873</v>
      </c>
      <c r="B406" s="7">
        <v>6.0</v>
      </c>
      <c r="C406" s="7" t="s">
        <v>49</v>
      </c>
      <c r="D406" s="7" t="s">
        <v>441</v>
      </c>
      <c r="E406" s="7" t="s">
        <v>946</v>
      </c>
      <c r="F406" s="7" t="s">
        <v>54</v>
      </c>
    </row>
    <row r="407">
      <c r="A407" s="7" t="s">
        <v>11</v>
      </c>
      <c r="B407" s="7">
        <v>6.0</v>
      </c>
      <c r="C407" s="7" t="s">
        <v>49</v>
      </c>
      <c r="D407" s="7" t="s">
        <v>441</v>
      </c>
      <c r="E407" s="7" t="s">
        <v>946</v>
      </c>
      <c r="F407" s="7" t="s">
        <v>56</v>
      </c>
    </row>
    <row r="408">
      <c r="A408" s="7" t="s">
        <v>12</v>
      </c>
      <c r="B408" s="7">
        <v>6.0</v>
      </c>
      <c r="C408" s="7" t="s">
        <v>49</v>
      </c>
      <c r="D408" s="7" t="s">
        <v>441</v>
      </c>
      <c r="E408" s="7" t="s">
        <v>946</v>
      </c>
      <c r="F408" s="7" t="s">
        <v>56</v>
      </c>
    </row>
    <row r="409">
      <c r="A409" s="7" t="s">
        <v>874</v>
      </c>
      <c r="B409" s="7">
        <v>6.0</v>
      </c>
      <c r="C409" s="7" t="s">
        <v>49</v>
      </c>
      <c r="D409" s="7" t="s">
        <v>441</v>
      </c>
      <c r="E409" s="7" t="s">
        <v>946</v>
      </c>
      <c r="F409" s="7" t="s">
        <v>56</v>
      </c>
    </row>
    <row r="410">
      <c r="A410" s="7" t="s">
        <v>13</v>
      </c>
      <c r="B410" s="7">
        <v>6.0</v>
      </c>
      <c r="C410" s="7" t="s">
        <v>49</v>
      </c>
      <c r="D410" s="7" t="s">
        <v>441</v>
      </c>
      <c r="E410" s="7" t="s">
        <v>946</v>
      </c>
      <c r="F410" s="7" t="s">
        <v>56</v>
      </c>
    </row>
    <row r="411">
      <c r="A411" s="7" t="s">
        <v>875</v>
      </c>
      <c r="B411" s="7">
        <v>6.0</v>
      </c>
      <c r="C411" s="7" t="s">
        <v>49</v>
      </c>
      <c r="D411" s="7" t="s">
        <v>441</v>
      </c>
      <c r="E411" s="7" t="s">
        <v>946</v>
      </c>
      <c r="F411" s="7" t="s">
        <v>959</v>
      </c>
    </row>
    <row r="412">
      <c r="A412" s="7" t="s">
        <v>14</v>
      </c>
      <c r="B412" s="7">
        <v>6.0</v>
      </c>
      <c r="C412" s="7" t="s">
        <v>49</v>
      </c>
      <c r="D412" s="7" t="s">
        <v>441</v>
      </c>
      <c r="E412" s="7" t="s">
        <v>946</v>
      </c>
      <c r="F412" s="7" t="s">
        <v>959</v>
      </c>
    </row>
    <row r="413">
      <c r="A413" s="7" t="s">
        <v>609</v>
      </c>
      <c r="B413" s="7">
        <v>6.0</v>
      </c>
      <c r="C413" s="7" t="s">
        <v>49</v>
      </c>
      <c r="D413" s="7" t="s">
        <v>441</v>
      </c>
      <c r="E413" s="7" t="s">
        <v>946</v>
      </c>
      <c r="F413" s="7" t="s">
        <v>955</v>
      </c>
    </row>
    <row r="414">
      <c r="A414" s="7" t="s">
        <v>15</v>
      </c>
      <c r="B414" s="7">
        <v>6.0</v>
      </c>
      <c r="C414" s="7" t="s">
        <v>49</v>
      </c>
      <c r="D414" s="7" t="s">
        <v>441</v>
      </c>
      <c r="E414" s="7" t="s">
        <v>946</v>
      </c>
      <c r="F414" s="7" t="s">
        <v>955</v>
      </c>
    </row>
    <row r="415">
      <c r="A415" s="7" t="s">
        <v>610</v>
      </c>
      <c r="B415" s="7">
        <v>6.0</v>
      </c>
      <c r="C415" s="7" t="s">
        <v>49</v>
      </c>
      <c r="D415" s="7" t="s">
        <v>441</v>
      </c>
      <c r="E415" s="7" t="s">
        <v>946</v>
      </c>
      <c r="F415" s="7" t="s">
        <v>959</v>
      </c>
    </row>
    <row r="416">
      <c r="A416" s="7" t="s">
        <v>16</v>
      </c>
      <c r="B416" s="7">
        <v>6.0</v>
      </c>
      <c r="C416" s="7" t="s">
        <v>49</v>
      </c>
      <c r="D416" s="7" t="s">
        <v>441</v>
      </c>
      <c r="E416" s="7" t="s">
        <v>946</v>
      </c>
      <c r="F416" s="7" t="s">
        <v>955</v>
      </c>
    </row>
    <row r="417">
      <c r="A417" s="7" t="s">
        <v>876</v>
      </c>
      <c r="B417" s="7">
        <v>6.0</v>
      </c>
      <c r="C417" s="7" t="s">
        <v>49</v>
      </c>
      <c r="D417" s="7" t="s">
        <v>441</v>
      </c>
      <c r="E417" s="7" t="s">
        <v>946</v>
      </c>
      <c r="F417" s="7" t="s">
        <v>959</v>
      </c>
    </row>
    <row r="418">
      <c r="A418" s="7" t="s">
        <v>877</v>
      </c>
      <c r="B418" s="7">
        <v>6.0</v>
      </c>
      <c r="C418" s="7" t="s">
        <v>49</v>
      </c>
      <c r="D418" s="7" t="s">
        <v>441</v>
      </c>
      <c r="E418" s="7" t="s">
        <v>946</v>
      </c>
      <c r="F418" s="7" t="s">
        <v>955</v>
      </c>
    </row>
    <row r="419">
      <c r="A419" s="7" t="s">
        <v>17</v>
      </c>
      <c r="B419" s="7">
        <v>6.0</v>
      </c>
      <c r="C419" s="7" t="s">
        <v>49</v>
      </c>
      <c r="D419" s="7" t="s">
        <v>441</v>
      </c>
      <c r="E419" s="7" t="s">
        <v>946</v>
      </c>
      <c r="F419" s="7" t="s">
        <v>955</v>
      </c>
    </row>
    <row r="420">
      <c r="A420" s="7" t="s">
        <v>18</v>
      </c>
      <c r="B420" s="7">
        <v>6.0</v>
      </c>
      <c r="C420" s="7" t="s">
        <v>49</v>
      </c>
      <c r="D420" s="7" t="s">
        <v>441</v>
      </c>
      <c r="E420" s="7" t="s">
        <v>946</v>
      </c>
      <c r="F420" s="7" t="s">
        <v>955</v>
      </c>
    </row>
    <row r="421">
      <c r="A421" s="7" t="s">
        <v>19</v>
      </c>
      <c r="B421" s="7">
        <v>6.0</v>
      </c>
      <c r="C421" s="7" t="s">
        <v>49</v>
      </c>
      <c r="D421" s="7" t="s">
        <v>441</v>
      </c>
      <c r="E421" s="7" t="s">
        <v>946</v>
      </c>
      <c r="F421" s="7" t="s">
        <v>955</v>
      </c>
    </row>
    <row r="422">
      <c r="A422" s="7" t="s">
        <v>596</v>
      </c>
      <c r="B422" s="7">
        <v>6.0</v>
      </c>
      <c r="C422" s="7" t="s">
        <v>223</v>
      </c>
      <c r="D422" s="7" t="s">
        <v>446</v>
      </c>
      <c r="E422" s="7" t="s">
        <v>960</v>
      </c>
      <c r="F422" s="7" t="s">
        <v>953</v>
      </c>
    </row>
    <row r="423">
      <c r="A423" s="7" t="s">
        <v>188</v>
      </c>
      <c r="B423" s="7">
        <v>6.0</v>
      </c>
      <c r="C423" s="7" t="s">
        <v>223</v>
      </c>
      <c r="D423" s="7" t="s">
        <v>446</v>
      </c>
      <c r="E423" s="7" t="s">
        <v>960</v>
      </c>
      <c r="F423" s="7" t="s">
        <v>950</v>
      </c>
    </row>
    <row r="424">
      <c r="A424" s="7" t="s">
        <v>4</v>
      </c>
      <c r="B424" s="7">
        <v>6.0</v>
      </c>
      <c r="C424" s="7" t="s">
        <v>223</v>
      </c>
      <c r="D424" s="7" t="s">
        <v>446</v>
      </c>
      <c r="E424" s="7" t="s">
        <v>960</v>
      </c>
      <c r="F424" s="7" t="s">
        <v>953</v>
      </c>
    </row>
    <row r="425">
      <c r="A425" s="7" t="s">
        <v>386</v>
      </c>
      <c r="B425" s="7">
        <v>6.0</v>
      </c>
      <c r="C425" s="7" t="s">
        <v>223</v>
      </c>
      <c r="D425" s="7" t="s">
        <v>446</v>
      </c>
      <c r="E425" s="7" t="s">
        <v>960</v>
      </c>
      <c r="F425" s="7" t="s">
        <v>950</v>
      </c>
    </row>
    <row r="426">
      <c r="A426" s="7" t="s">
        <v>866</v>
      </c>
      <c r="B426" s="7">
        <v>6.0</v>
      </c>
      <c r="C426" s="7" t="s">
        <v>223</v>
      </c>
      <c r="D426" s="7" t="s">
        <v>446</v>
      </c>
      <c r="E426" s="7" t="s">
        <v>960</v>
      </c>
      <c r="F426" s="7" t="s">
        <v>950</v>
      </c>
    </row>
    <row r="427">
      <c r="A427" s="7" t="s">
        <v>5</v>
      </c>
      <c r="B427" s="7">
        <v>6.0</v>
      </c>
      <c r="C427" s="7" t="s">
        <v>223</v>
      </c>
      <c r="D427" s="7" t="s">
        <v>446</v>
      </c>
      <c r="E427" s="7" t="s">
        <v>960</v>
      </c>
      <c r="F427" s="7" t="s">
        <v>950</v>
      </c>
    </row>
    <row r="428">
      <c r="A428" s="7" t="s">
        <v>867</v>
      </c>
      <c r="B428" s="7">
        <v>6.0</v>
      </c>
      <c r="C428" s="7" t="s">
        <v>223</v>
      </c>
      <c r="D428" s="7" t="s">
        <v>446</v>
      </c>
      <c r="E428" s="7" t="s">
        <v>960</v>
      </c>
      <c r="F428" s="7" t="s">
        <v>950</v>
      </c>
    </row>
    <row r="429">
      <c r="A429" s="7" t="s">
        <v>868</v>
      </c>
      <c r="B429" s="7">
        <v>6.0</v>
      </c>
      <c r="C429" s="7" t="s">
        <v>223</v>
      </c>
      <c r="D429" s="7" t="s">
        <v>446</v>
      </c>
      <c r="E429" s="7" t="s">
        <v>960</v>
      </c>
      <c r="F429" s="7" t="s">
        <v>65</v>
      </c>
    </row>
    <row r="430">
      <c r="A430" s="7" t="s">
        <v>599</v>
      </c>
      <c r="B430" s="7">
        <v>6.0</v>
      </c>
      <c r="C430" s="7" t="s">
        <v>223</v>
      </c>
      <c r="D430" s="7" t="s">
        <v>446</v>
      </c>
      <c r="E430" s="7" t="s">
        <v>960</v>
      </c>
      <c r="F430" s="7" t="s">
        <v>444</v>
      </c>
    </row>
    <row r="431">
      <c r="A431" s="7" t="s">
        <v>869</v>
      </c>
      <c r="B431" s="7">
        <v>6.0</v>
      </c>
      <c r="C431" s="7" t="s">
        <v>223</v>
      </c>
      <c r="D431" s="7" t="s">
        <v>446</v>
      </c>
      <c r="E431" s="7" t="s">
        <v>960</v>
      </c>
      <c r="F431" s="7" t="s">
        <v>66</v>
      </c>
    </row>
    <row r="432">
      <c r="A432" s="7" t="s">
        <v>870</v>
      </c>
      <c r="B432" s="7">
        <v>6.0</v>
      </c>
      <c r="C432" s="7" t="s">
        <v>223</v>
      </c>
      <c r="D432" s="7" t="s">
        <v>446</v>
      </c>
      <c r="E432" s="7" t="s">
        <v>960</v>
      </c>
      <c r="F432" s="7" t="s">
        <v>444</v>
      </c>
    </row>
    <row r="433">
      <c r="A433" s="7" t="s">
        <v>6</v>
      </c>
      <c r="B433" s="7">
        <v>6.0</v>
      </c>
      <c r="C433" s="7" t="s">
        <v>223</v>
      </c>
      <c r="D433" s="7" t="s">
        <v>446</v>
      </c>
      <c r="E433" s="7" t="s">
        <v>960</v>
      </c>
      <c r="F433" s="7" t="s">
        <v>444</v>
      </c>
    </row>
    <row r="434">
      <c r="A434" s="7" t="s">
        <v>871</v>
      </c>
      <c r="B434" s="7">
        <v>6.0</v>
      </c>
      <c r="C434" s="7" t="s">
        <v>223</v>
      </c>
      <c r="D434" s="7" t="s">
        <v>446</v>
      </c>
      <c r="E434" s="7" t="s">
        <v>960</v>
      </c>
      <c r="F434" s="7" t="s">
        <v>444</v>
      </c>
    </row>
    <row r="435">
      <c r="A435" s="7" t="s">
        <v>7</v>
      </c>
      <c r="B435" s="7">
        <v>6.0</v>
      </c>
      <c r="C435" s="7" t="s">
        <v>223</v>
      </c>
      <c r="D435" s="7" t="s">
        <v>446</v>
      </c>
      <c r="E435" s="7" t="s">
        <v>960</v>
      </c>
      <c r="F435" s="7" t="s">
        <v>444</v>
      </c>
    </row>
    <row r="436">
      <c r="A436" s="7" t="s">
        <v>8</v>
      </c>
      <c r="B436" s="7">
        <v>6.0</v>
      </c>
      <c r="C436" s="7" t="s">
        <v>223</v>
      </c>
      <c r="D436" s="7" t="s">
        <v>446</v>
      </c>
      <c r="E436" s="7" t="s">
        <v>960</v>
      </c>
      <c r="F436" s="7" t="s">
        <v>66</v>
      </c>
    </row>
    <row r="437">
      <c r="A437" s="7" t="s">
        <v>388</v>
      </c>
      <c r="B437" s="7">
        <v>6.0</v>
      </c>
      <c r="C437" s="7" t="s">
        <v>223</v>
      </c>
      <c r="D437" s="7" t="s">
        <v>446</v>
      </c>
      <c r="E437" s="7" t="s">
        <v>960</v>
      </c>
      <c r="F437" s="7" t="s">
        <v>443</v>
      </c>
    </row>
    <row r="438">
      <c r="A438" s="7" t="s">
        <v>189</v>
      </c>
      <c r="B438" s="7">
        <v>6.0</v>
      </c>
      <c r="C438" s="7" t="s">
        <v>223</v>
      </c>
      <c r="D438" s="7" t="s">
        <v>446</v>
      </c>
      <c r="E438" s="7" t="s">
        <v>960</v>
      </c>
      <c r="F438" s="7" t="s">
        <v>444</v>
      </c>
    </row>
    <row r="439">
      <c r="A439" s="7" t="s">
        <v>9</v>
      </c>
      <c r="B439" s="7">
        <v>6.0</v>
      </c>
      <c r="C439" s="7" t="s">
        <v>223</v>
      </c>
      <c r="D439" s="7" t="s">
        <v>446</v>
      </c>
      <c r="E439" s="7" t="s">
        <v>960</v>
      </c>
      <c r="F439" s="7" t="s">
        <v>443</v>
      </c>
    </row>
    <row r="440">
      <c r="A440" s="7" t="s">
        <v>10</v>
      </c>
      <c r="B440" s="7">
        <v>6.0</v>
      </c>
      <c r="C440" s="7" t="s">
        <v>223</v>
      </c>
      <c r="D440" s="7" t="s">
        <v>446</v>
      </c>
      <c r="E440" s="7" t="s">
        <v>960</v>
      </c>
      <c r="F440" s="7" t="s">
        <v>444</v>
      </c>
    </row>
    <row r="441">
      <c r="A441" s="7" t="s">
        <v>872</v>
      </c>
      <c r="B441" s="7">
        <v>6.0</v>
      </c>
      <c r="C441" s="7" t="s">
        <v>223</v>
      </c>
      <c r="D441" s="7" t="s">
        <v>446</v>
      </c>
      <c r="E441" s="7" t="s">
        <v>960</v>
      </c>
      <c r="F441" s="7" t="s">
        <v>961</v>
      </c>
    </row>
    <row r="442">
      <c r="A442" s="7" t="s">
        <v>873</v>
      </c>
      <c r="B442" s="7">
        <v>6.0</v>
      </c>
      <c r="C442" s="7" t="s">
        <v>223</v>
      </c>
      <c r="D442" s="7" t="s">
        <v>446</v>
      </c>
      <c r="E442" s="7" t="s">
        <v>960</v>
      </c>
      <c r="F442" s="7" t="s">
        <v>444</v>
      </c>
    </row>
    <row r="443">
      <c r="A443" s="7" t="s">
        <v>11</v>
      </c>
      <c r="B443" s="7">
        <v>6.0</v>
      </c>
      <c r="C443" s="7" t="s">
        <v>223</v>
      </c>
      <c r="D443" s="7" t="s">
        <v>446</v>
      </c>
      <c r="E443" s="7" t="s">
        <v>960</v>
      </c>
      <c r="F443" s="7" t="s">
        <v>444</v>
      </c>
    </row>
    <row r="444">
      <c r="A444" s="7" t="s">
        <v>12</v>
      </c>
      <c r="B444" s="7">
        <v>6.0</v>
      </c>
      <c r="C444" s="7" t="s">
        <v>223</v>
      </c>
      <c r="D444" s="7" t="s">
        <v>446</v>
      </c>
      <c r="E444" s="7" t="s">
        <v>960</v>
      </c>
      <c r="F444" s="7" t="s">
        <v>444</v>
      </c>
    </row>
    <row r="445">
      <c r="A445" s="7" t="s">
        <v>874</v>
      </c>
      <c r="B445" s="7">
        <v>6.0</v>
      </c>
      <c r="C445" s="7" t="s">
        <v>223</v>
      </c>
      <c r="D445" s="7" t="s">
        <v>446</v>
      </c>
      <c r="E445" s="7" t="s">
        <v>960</v>
      </c>
      <c r="F445" s="7" t="s">
        <v>444</v>
      </c>
    </row>
    <row r="446">
      <c r="A446" s="7" t="s">
        <v>13</v>
      </c>
      <c r="B446" s="7">
        <v>6.0</v>
      </c>
      <c r="C446" s="7" t="s">
        <v>223</v>
      </c>
      <c r="D446" s="7" t="s">
        <v>446</v>
      </c>
      <c r="E446" s="7" t="s">
        <v>960</v>
      </c>
      <c r="F446" s="7" t="s">
        <v>444</v>
      </c>
    </row>
    <row r="447">
      <c r="A447" s="7" t="s">
        <v>875</v>
      </c>
      <c r="B447" s="7">
        <v>6.0</v>
      </c>
      <c r="C447" s="7" t="s">
        <v>223</v>
      </c>
      <c r="D447" s="7" t="s">
        <v>446</v>
      </c>
      <c r="E447" s="7" t="s">
        <v>960</v>
      </c>
      <c r="F447" s="7" t="s">
        <v>444</v>
      </c>
    </row>
    <row r="448">
      <c r="A448" s="7" t="s">
        <v>14</v>
      </c>
      <c r="B448" s="7">
        <v>6.0</v>
      </c>
      <c r="C448" s="7" t="s">
        <v>223</v>
      </c>
      <c r="D448" s="7" t="s">
        <v>446</v>
      </c>
      <c r="E448" s="7" t="s">
        <v>960</v>
      </c>
      <c r="F448" s="7" t="s">
        <v>444</v>
      </c>
    </row>
    <row r="449">
      <c r="A449" s="7" t="s">
        <v>609</v>
      </c>
      <c r="B449" s="7">
        <v>6.0</v>
      </c>
      <c r="C449" s="7" t="s">
        <v>223</v>
      </c>
      <c r="D449" s="7" t="s">
        <v>446</v>
      </c>
      <c r="E449" s="7" t="s">
        <v>960</v>
      </c>
      <c r="F449" s="7" t="s">
        <v>444</v>
      </c>
    </row>
    <row r="450">
      <c r="A450" s="7" t="s">
        <v>15</v>
      </c>
      <c r="B450" s="7">
        <v>6.0</v>
      </c>
      <c r="C450" s="7" t="s">
        <v>223</v>
      </c>
      <c r="D450" s="7" t="s">
        <v>446</v>
      </c>
      <c r="E450" s="7" t="s">
        <v>960</v>
      </c>
      <c r="F450" s="7" t="s">
        <v>444</v>
      </c>
    </row>
    <row r="451">
      <c r="A451" s="7" t="s">
        <v>610</v>
      </c>
      <c r="B451" s="7">
        <v>6.0</v>
      </c>
      <c r="C451" s="7" t="s">
        <v>223</v>
      </c>
      <c r="D451" s="7" t="s">
        <v>446</v>
      </c>
      <c r="E451" s="7" t="s">
        <v>960</v>
      </c>
      <c r="F451" s="7" t="s">
        <v>444</v>
      </c>
    </row>
    <row r="452">
      <c r="A452" s="7" t="s">
        <v>16</v>
      </c>
      <c r="B452" s="7">
        <v>6.0</v>
      </c>
      <c r="C452" s="7" t="s">
        <v>223</v>
      </c>
      <c r="D452" s="7" t="s">
        <v>446</v>
      </c>
      <c r="E452" s="7" t="s">
        <v>960</v>
      </c>
      <c r="F452" s="7" t="s">
        <v>444</v>
      </c>
    </row>
    <row r="453">
      <c r="A453" s="7" t="s">
        <v>876</v>
      </c>
      <c r="B453" s="7">
        <v>6.0</v>
      </c>
      <c r="C453" s="7" t="s">
        <v>223</v>
      </c>
      <c r="D453" s="7" t="s">
        <v>446</v>
      </c>
      <c r="E453" s="7" t="s">
        <v>960</v>
      </c>
      <c r="F453" s="7" t="s">
        <v>444</v>
      </c>
    </row>
    <row r="454">
      <c r="A454" s="7" t="s">
        <v>877</v>
      </c>
      <c r="B454" s="7">
        <v>6.0</v>
      </c>
      <c r="C454" s="7" t="s">
        <v>223</v>
      </c>
      <c r="D454" s="7" t="s">
        <v>446</v>
      </c>
      <c r="E454" s="7" t="s">
        <v>960</v>
      </c>
      <c r="F454" s="7" t="s">
        <v>444</v>
      </c>
    </row>
    <row r="455">
      <c r="A455" s="7" t="s">
        <v>17</v>
      </c>
      <c r="B455" s="7">
        <v>6.0</v>
      </c>
      <c r="C455" s="7" t="s">
        <v>223</v>
      </c>
      <c r="D455" s="7" t="s">
        <v>446</v>
      </c>
      <c r="E455" s="7" t="s">
        <v>960</v>
      </c>
      <c r="F455" s="7" t="s">
        <v>444</v>
      </c>
    </row>
    <row r="456">
      <c r="A456" s="7" t="s">
        <v>18</v>
      </c>
      <c r="B456" s="7">
        <v>6.0</v>
      </c>
      <c r="C456" s="7" t="s">
        <v>223</v>
      </c>
      <c r="D456" s="7" t="s">
        <v>446</v>
      </c>
      <c r="E456" s="7" t="s">
        <v>960</v>
      </c>
      <c r="F456" s="7" t="s">
        <v>444</v>
      </c>
    </row>
    <row r="457">
      <c r="A457" s="7" t="s">
        <v>19</v>
      </c>
      <c r="B457" s="7">
        <v>6.0</v>
      </c>
      <c r="C457" s="7" t="s">
        <v>223</v>
      </c>
      <c r="D457" s="7" t="s">
        <v>446</v>
      </c>
      <c r="E457" s="7" t="s">
        <v>960</v>
      </c>
      <c r="F457" s="7" t="s">
        <v>444</v>
      </c>
    </row>
    <row r="458">
      <c r="A458" s="7" t="s">
        <v>596</v>
      </c>
      <c r="B458" s="7">
        <v>6.0</v>
      </c>
      <c r="C458" s="7" t="s">
        <v>43</v>
      </c>
      <c r="D458" s="7" t="s">
        <v>631</v>
      </c>
      <c r="E458" s="7" t="s">
        <v>962</v>
      </c>
      <c r="F458" s="7" t="s">
        <v>444</v>
      </c>
    </row>
    <row r="459">
      <c r="A459" s="7" t="s">
        <v>188</v>
      </c>
      <c r="B459" s="7">
        <v>6.0</v>
      </c>
      <c r="C459" s="7" t="s">
        <v>43</v>
      </c>
      <c r="D459" s="7" t="s">
        <v>631</v>
      </c>
      <c r="E459" s="7" t="s">
        <v>962</v>
      </c>
      <c r="F459" s="7" t="s">
        <v>444</v>
      </c>
    </row>
    <row r="460">
      <c r="A460" s="7" t="s">
        <v>4</v>
      </c>
      <c r="B460" s="7">
        <v>6.0</v>
      </c>
      <c r="C460" s="7" t="s">
        <v>43</v>
      </c>
      <c r="D460" s="7" t="s">
        <v>631</v>
      </c>
      <c r="E460" s="7" t="s">
        <v>962</v>
      </c>
      <c r="F460" s="7" t="s">
        <v>444</v>
      </c>
    </row>
    <row r="461">
      <c r="A461" s="7" t="s">
        <v>386</v>
      </c>
      <c r="B461" s="7">
        <v>6.0</v>
      </c>
      <c r="C461" s="7" t="s">
        <v>43</v>
      </c>
      <c r="D461" s="7" t="s">
        <v>631</v>
      </c>
      <c r="E461" s="7" t="s">
        <v>962</v>
      </c>
      <c r="F461" s="7" t="s">
        <v>444</v>
      </c>
    </row>
    <row r="462">
      <c r="A462" s="7" t="s">
        <v>866</v>
      </c>
      <c r="B462" s="7">
        <v>6.0</v>
      </c>
      <c r="C462" s="7" t="s">
        <v>43</v>
      </c>
      <c r="D462" s="7" t="s">
        <v>631</v>
      </c>
      <c r="E462" s="7" t="s">
        <v>962</v>
      </c>
      <c r="F462" s="7" t="s">
        <v>65</v>
      </c>
    </row>
    <row r="463">
      <c r="A463" s="7" t="s">
        <v>5</v>
      </c>
      <c r="B463" s="7">
        <v>6.0</v>
      </c>
      <c r="C463" s="7" t="s">
        <v>43</v>
      </c>
      <c r="D463" s="7" t="s">
        <v>631</v>
      </c>
      <c r="E463" s="7" t="s">
        <v>962</v>
      </c>
      <c r="F463" s="7" t="s">
        <v>65</v>
      </c>
    </row>
    <row r="464">
      <c r="A464" s="7" t="s">
        <v>867</v>
      </c>
      <c r="B464" s="7">
        <v>6.0</v>
      </c>
      <c r="C464" s="7" t="s">
        <v>43</v>
      </c>
      <c r="D464" s="7" t="s">
        <v>631</v>
      </c>
      <c r="E464" s="7" t="s">
        <v>962</v>
      </c>
      <c r="F464" s="7" t="s">
        <v>444</v>
      </c>
    </row>
    <row r="465">
      <c r="A465" s="7" t="s">
        <v>868</v>
      </c>
      <c r="B465" s="7">
        <v>6.0</v>
      </c>
      <c r="C465" s="7" t="s">
        <v>43</v>
      </c>
      <c r="D465" s="7" t="s">
        <v>631</v>
      </c>
      <c r="E465" s="7" t="s">
        <v>962</v>
      </c>
      <c r="F465" s="7" t="s">
        <v>444</v>
      </c>
    </row>
    <row r="466">
      <c r="A466" s="7" t="s">
        <v>599</v>
      </c>
      <c r="B466" s="7">
        <v>6.0</v>
      </c>
      <c r="C466" s="7" t="s">
        <v>43</v>
      </c>
      <c r="D466" s="7" t="s">
        <v>631</v>
      </c>
      <c r="E466" s="7" t="s">
        <v>962</v>
      </c>
      <c r="F466" s="7" t="s">
        <v>444</v>
      </c>
    </row>
    <row r="467">
      <c r="A467" s="7" t="s">
        <v>869</v>
      </c>
      <c r="B467" s="7">
        <v>6.0</v>
      </c>
      <c r="C467" s="7" t="s">
        <v>43</v>
      </c>
      <c r="D467" s="7" t="s">
        <v>631</v>
      </c>
      <c r="E467" s="7" t="s">
        <v>962</v>
      </c>
      <c r="F467" s="7" t="s">
        <v>66</v>
      </c>
    </row>
    <row r="468">
      <c r="A468" s="7" t="s">
        <v>870</v>
      </c>
      <c r="B468" s="7">
        <v>6.0</v>
      </c>
      <c r="C468" s="7" t="s">
        <v>43</v>
      </c>
      <c r="D468" s="7" t="s">
        <v>631</v>
      </c>
      <c r="E468" s="7" t="s">
        <v>962</v>
      </c>
      <c r="F468" s="7" t="s">
        <v>444</v>
      </c>
    </row>
    <row r="469">
      <c r="A469" s="7" t="s">
        <v>6</v>
      </c>
      <c r="B469" s="7">
        <v>6.0</v>
      </c>
      <c r="C469" s="7" t="s">
        <v>43</v>
      </c>
      <c r="D469" s="7" t="s">
        <v>631</v>
      </c>
      <c r="E469" s="7" t="s">
        <v>962</v>
      </c>
      <c r="F469" s="7" t="s">
        <v>444</v>
      </c>
    </row>
    <row r="470">
      <c r="A470" s="7" t="s">
        <v>871</v>
      </c>
      <c r="B470" s="7">
        <v>6.0</v>
      </c>
      <c r="C470" s="7" t="s">
        <v>43</v>
      </c>
      <c r="D470" s="7" t="s">
        <v>631</v>
      </c>
      <c r="E470" s="7" t="s">
        <v>962</v>
      </c>
      <c r="F470" s="7" t="s">
        <v>444</v>
      </c>
    </row>
    <row r="471">
      <c r="A471" s="7" t="s">
        <v>7</v>
      </c>
      <c r="B471" s="7">
        <v>6.0</v>
      </c>
      <c r="C471" s="7" t="s">
        <v>43</v>
      </c>
      <c r="D471" s="7" t="s">
        <v>631</v>
      </c>
      <c r="E471" s="7" t="s">
        <v>962</v>
      </c>
      <c r="F471" s="7" t="s">
        <v>444</v>
      </c>
    </row>
    <row r="472">
      <c r="A472" s="7" t="s">
        <v>8</v>
      </c>
      <c r="B472" s="7">
        <v>6.0</v>
      </c>
      <c r="C472" s="7" t="s">
        <v>43</v>
      </c>
      <c r="D472" s="7" t="s">
        <v>631</v>
      </c>
      <c r="E472" s="7" t="s">
        <v>962</v>
      </c>
      <c r="F472" s="7" t="s">
        <v>66</v>
      </c>
    </row>
    <row r="473">
      <c r="A473" s="7" t="s">
        <v>388</v>
      </c>
      <c r="B473" s="7">
        <v>6.0</v>
      </c>
      <c r="C473" s="7" t="s">
        <v>43</v>
      </c>
      <c r="D473" s="7" t="s">
        <v>631</v>
      </c>
      <c r="E473" s="7" t="s">
        <v>962</v>
      </c>
      <c r="F473" s="7" t="s">
        <v>443</v>
      </c>
    </row>
    <row r="474">
      <c r="A474" s="7" t="s">
        <v>189</v>
      </c>
      <c r="B474" s="7">
        <v>6.0</v>
      </c>
      <c r="C474" s="7" t="s">
        <v>43</v>
      </c>
      <c r="D474" s="7" t="s">
        <v>631</v>
      </c>
      <c r="E474" s="7" t="s">
        <v>962</v>
      </c>
      <c r="F474" s="7" t="s">
        <v>444</v>
      </c>
    </row>
    <row r="475">
      <c r="A475" s="7" t="s">
        <v>9</v>
      </c>
      <c r="B475" s="7">
        <v>6.0</v>
      </c>
      <c r="C475" s="7" t="s">
        <v>43</v>
      </c>
      <c r="D475" s="7" t="s">
        <v>631</v>
      </c>
      <c r="E475" s="7" t="s">
        <v>962</v>
      </c>
      <c r="F475" s="7" t="s">
        <v>443</v>
      </c>
    </row>
    <row r="476">
      <c r="A476" s="7" t="s">
        <v>10</v>
      </c>
      <c r="B476" s="7">
        <v>6.0</v>
      </c>
      <c r="C476" s="7" t="s">
        <v>43</v>
      </c>
      <c r="D476" s="7" t="s">
        <v>631</v>
      </c>
      <c r="E476" s="7" t="s">
        <v>962</v>
      </c>
      <c r="F476" s="7" t="s">
        <v>444</v>
      </c>
    </row>
    <row r="477">
      <c r="A477" s="7" t="s">
        <v>872</v>
      </c>
      <c r="B477" s="7">
        <v>6.0</v>
      </c>
      <c r="C477" s="7" t="s">
        <v>43</v>
      </c>
      <c r="D477" s="7" t="s">
        <v>631</v>
      </c>
      <c r="E477" s="7" t="s">
        <v>962</v>
      </c>
      <c r="F477" s="7" t="s">
        <v>961</v>
      </c>
    </row>
    <row r="478">
      <c r="A478" s="7" t="s">
        <v>873</v>
      </c>
      <c r="B478" s="7">
        <v>6.0</v>
      </c>
      <c r="C478" s="7" t="s">
        <v>43</v>
      </c>
      <c r="D478" s="7" t="s">
        <v>631</v>
      </c>
      <c r="E478" s="7" t="s">
        <v>962</v>
      </c>
      <c r="F478" s="7" t="s">
        <v>444</v>
      </c>
    </row>
    <row r="479">
      <c r="A479" s="7" t="s">
        <v>11</v>
      </c>
      <c r="B479" s="7">
        <v>6.0</v>
      </c>
      <c r="C479" s="7" t="s">
        <v>43</v>
      </c>
      <c r="D479" s="7" t="s">
        <v>631</v>
      </c>
      <c r="E479" s="7" t="s">
        <v>962</v>
      </c>
      <c r="F479" s="7" t="s">
        <v>444</v>
      </c>
    </row>
    <row r="480">
      <c r="A480" s="7" t="s">
        <v>12</v>
      </c>
      <c r="B480" s="7">
        <v>6.0</v>
      </c>
      <c r="C480" s="7" t="s">
        <v>43</v>
      </c>
      <c r="D480" s="7" t="s">
        <v>631</v>
      </c>
      <c r="E480" s="7" t="s">
        <v>962</v>
      </c>
      <c r="F480" s="7" t="s">
        <v>444</v>
      </c>
    </row>
    <row r="481">
      <c r="A481" s="7" t="s">
        <v>874</v>
      </c>
      <c r="B481" s="7">
        <v>6.0</v>
      </c>
      <c r="C481" s="7" t="s">
        <v>43</v>
      </c>
      <c r="D481" s="7" t="s">
        <v>631</v>
      </c>
      <c r="E481" s="7" t="s">
        <v>962</v>
      </c>
      <c r="F481" s="7" t="s">
        <v>444</v>
      </c>
    </row>
    <row r="482">
      <c r="A482" s="7" t="s">
        <v>13</v>
      </c>
      <c r="B482" s="7">
        <v>6.0</v>
      </c>
      <c r="C482" s="7" t="s">
        <v>43</v>
      </c>
      <c r="D482" s="7" t="s">
        <v>631</v>
      </c>
      <c r="E482" s="7" t="s">
        <v>962</v>
      </c>
      <c r="F482" s="7" t="s">
        <v>444</v>
      </c>
    </row>
    <row r="483">
      <c r="A483" s="7" t="s">
        <v>875</v>
      </c>
      <c r="B483" s="7">
        <v>6.0</v>
      </c>
      <c r="C483" s="7" t="s">
        <v>43</v>
      </c>
      <c r="D483" s="7" t="s">
        <v>631</v>
      </c>
      <c r="E483" s="7" t="s">
        <v>962</v>
      </c>
      <c r="F483" s="7" t="s">
        <v>444</v>
      </c>
    </row>
    <row r="484">
      <c r="A484" s="7" t="s">
        <v>14</v>
      </c>
      <c r="B484" s="7">
        <v>6.0</v>
      </c>
      <c r="C484" s="7" t="s">
        <v>43</v>
      </c>
      <c r="D484" s="7" t="s">
        <v>631</v>
      </c>
      <c r="E484" s="7" t="s">
        <v>962</v>
      </c>
      <c r="F484" s="7" t="s">
        <v>444</v>
      </c>
    </row>
    <row r="485">
      <c r="A485" s="7" t="s">
        <v>609</v>
      </c>
      <c r="B485" s="7">
        <v>6.0</v>
      </c>
      <c r="C485" s="7" t="s">
        <v>43</v>
      </c>
      <c r="D485" s="7" t="s">
        <v>631</v>
      </c>
      <c r="E485" s="7" t="s">
        <v>962</v>
      </c>
      <c r="F485" s="7" t="s">
        <v>444</v>
      </c>
    </row>
    <row r="486">
      <c r="A486" s="7" t="s">
        <v>15</v>
      </c>
      <c r="B486" s="7">
        <v>6.0</v>
      </c>
      <c r="C486" s="7" t="s">
        <v>43</v>
      </c>
      <c r="D486" s="7" t="s">
        <v>631</v>
      </c>
      <c r="E486" s="7" t="s">
        <v>962</v>
      </c>
      <c r="F486" s="7" t="s">
        <v>444</v>
      </c>
    </row>
    <row r="487">
      <c r="A487" s="7" t="s">
        <v>610</v>
      </c>
      <c r="B487" s="7">
        <v>6.0</v>
      </c>
      <c r="C487" s="7" t="s">
        <v>43</v>
      </c>
      <c r="D487" s="7" t="s">
        <v>631</v>
      </c>
      <c r="E487" s="7" t="s">
        <v>962</v>
      </c>
      <c r="F487" s="7" t="s">
        <v>444</v>
      </c>
    </row>
    <row r="488">
      <c r="A488" s="7" t="s">
        <v>16</v>
      </c>
      <c r="B488" s="7">
        <v>6.0</v>
      </c>
      <c r="C488" s="7" t="s">
        <v>43</v>
      </c>
      <c r="D488" s="7" t="s">
        <v>631</v>
      </c>
      <c r="E488" s="7" t="s">
        <v>962</v>
      </c>
      <c r="F488" s="7" t="s">
        <v>444</v>
      </c>
    </row>
    <row r="489">
      <c r="A489" s="7" t="s">
        <v>876</v>
      </c>
      <c r="B489" s="7">
        <v>6.0</v>
      </c>
      <c r="C489" s="7" t="s">
        <v>43</v>
      </c>
      <c r="D489" s="7" t="s">
        <v>631</v>
      </c>
      <c r="E489" s="7" t="s">
        <v>962</v>
      </c>
      <c r="F489" s="7" t="s">
        <v>444</v>
      </c>
    </row>
    <row r="490">
      <c r="A490" s="7" t="s">
        <v>877</v>
      </c>
      <c r="B490" s="7">
        <v>6.0</v>
      </c>
      <c r="C490" s="7" t="s">
        <v>43</v>
      </c>
      <c r="D490" s="7" t="s">
        <v>631</v>
      </c>
      <c r="E490" s="7" t="s">
        <v>962</v>
      </c>
      <c r="F490" s="7" t="s">
        <v>444</v>
      </c>
    </row>
    <row r="491">
      <c r="A491" s="7" t="s">
        <v>17</v>
      </c>
      <c r="B491" s="7">
        <v>6.0</v>
      </c>
      <c r="C491" s="7" t="s">
        <v>43</v>
      </c>
      <c r="D491" s="7" t="s">
        <v>631</v>
      </c>
      <c r="E491" s="7" t="s">
        <v>962</v>
      </c>
      <c r="F491" s="7" t="s">
        <v>444</v>
      </c>
    </row>
    <row r="492">
      <c r="A492" s="7" t="s">
        <v>18</v>
      </c>
      <c r="B492" s="7">
        <v>6.0</v>
      </c>
      <c r="C492" s="7" t="s">
        <v>43</v>
      </c>
      <c r="D492" s="7" t="s">
        <v>631</v>
      </c>
      <c r="E492" s="7" t="s">
        <v>962</v>
      </c>
      <c r="F492" s="7" t="s">
        <v>444</v>
      </c>
    </row>
    <row r="493">
      <c r="A493" s="7" t="s">
        <v>19</v>
      </c>
      <c r="B493" s="7">
        <v>6.0</v>
      </c>
      <c r="C493" s="7" t="s">
        <v>43</v>
      </c>
      <c r="D493" s="7" t="s">
        <v>631</v>
      </c>
      <c r="E493" s="7" t="s">
        <v>962</v>
      </c>
      <c r="F493" s="7" t="s">
        <v>444</v>
      </c>
    </row>
    <row r="494">
      <c r="A494" s="7" t="s">
        <v>596</v>
      </c>
      <c r="B494" s="7">
        <v>6.0</v>
      </c>
      <c r="C494" s="7" t="s">
        <v>62</v>
      </c>
      <c r="D494" s="7" t="s">
        <v>963</v>
      </c>
      <c r="E494" s="7" t="s">
        <v>964</v>
      </c>
      <c r="F494" s="7" t="s">
        <v>47</v>
      </c>
    </row>
    <row r="495">
      <c r="A495" s="7" t="s">
        <v>188</v>
      </c>
      <c r="B495" s="7">
        <v>6.0</v>
      </c>
      <c r="C495" s="7" t="s">
        <v>62</v>
      </c>
      <c r="D495" s="7" t="s">
        <v>963</v>
      </c>
      <c r="E495" s="7" t="s">
        <v>964</v>
      </c>
      <c r="F495" s="7" t="s">
        <v>47</v>
      </c>
    </row>
    <row r="496">
      <c r="A496" s="7" t="s">
        <v>4</v>
      </c>
      <c r="B496" s="7">
        <v>6.0</v>
      </c>
      <c r="C496" s="7" t="s">
        <v>62</v>
      </c>
      <c r="D496" s="7" t="s">
        <v>963</v>
      </c>
      <c r="E496" s="7" t="s">
        <v>964</v>
      </c>
      <c r="F496" s="7" t="s">
        <v>47</v>
      </c>
    </row>
    <row r="497">
      <c r="A497" s="7" t="s">
        <v>386</v>
      </c>
      <c r="B497" s="7">
        <v>6.0</v>
      </c>
      <c r="C497" s="7" t="s">
        <v>62</v>
      </c>
      <c r="D497" s="7" t="s">
        <v>963</v>
      </c>
      <c r="E497" s="7" t="s">
        <v>964</v>
      </c>
      <c r="F497" s="7" t="s">
        <v>47</v>
      </c>
    </row>
    <row r="498">
      <c r="A498" s="7" t="s">
        <v>866</v>
      </c>
      <c r="B498" s="7">
        <v>6.0</v>
      </c>
      <c r="C498" s="7" t="s">
        <v>62</v>
      </c>
      <c r="D498" s="7" t="s">
        <v>963</v>
      </c>
      <c r="E498" s="7" t="s">
        <v>964</v>
      </c>
      <c r="F498" s="7" t="s">
        <v>47</v>
      </c>
    </row>
    <row r="499">
      <c r="A499" s="7" t="s">
        <v>5</v>
      </c>
      <c r="B499" s="7">
        <v>6.0</v>
      </c>
      <c r="C499" s="7" t="s">
        <v>62</v>
      </c>
      <c r="D499" s="7" t="s">
        <v>963</v>
      </c>
      <c r="E499" s="7" t="s">
        <v>964</v>
      </c>
      <c r="F499" s="7" t="s">
        <v>47</v>
      </c>
    </row>
    <row r="500">
      <c r="A500" s="7" t="s">
        <v>867</v>
      </c>
      <c r="B500" s="7">
        <v>6.0</v>
      </c>
      <c r="C500" s="7" t="s">
        <v>62</v>
      </c>
      <c r="D500" s="7" t="s">
        <v>963</v>
      </c>
      <c r="E500" s="7" t="s">
        <v>964</v>
      </c>
      <c r="F500" s="7" t="s">
        <v>47</v>
      </c>
    </row>
    <row r="501">
      <c r="A501" s="7" t="s">
        <v>868</v>
      </c>
      <c r="B501" s="7">
        <v>6.0</v>
      </c>
      <c r="C501" s="7" t="s">
        <v>62</v>
      </c>
      <c r="D501" s="7" t="s">
        <v>963</v>
      </c>
      <c r="E501" s="7" t="s">
        <v>964</v>
      </c>
      <c r="F501" s="7" t="s">
        <v>47</v>
      </c>
    </row>
    <row r="502">
      <c r="A502" s="7" t="s">
        <v>599</v>
      </c>
      <c r="B502" s="7">
        <v>6.0</v>
      </c>
      <c r="C502" s="7" t="s">
        <v>62</v>
      </c>
      <c r="D502" s="7" t="s">
        <v>963</v>
      </c>
      <c r="E502" s="7" t="s">
        <v>964</v>
      </c>
      <c r="F502" s="7" t="s">
        <v>47</v>
      </c>
    </row>
    <row r="503">
      <c r="A503" s="7" t="s">
        <v>869</v>
      </c>
      <c r="B503" s="7">
        <v>6.0</v>
      </c>
      <c r="C503" s="7" t="s">
        <v>62</v>
      </c>
      <c r="D503" s="7" t="s">
        <v>963</v>
      </c>
      <c r="E503" s="7" t="s">
        <v>964</v>
      </c>
      <c r="F503" s="7" t="s">
        <v>66</v>
      </c>
    </row>
    <row r="504">
      <c r="A504" s="7" t="s">
        <v>870</v>
      </c>
      <c r="B504" s="7">
        <v>6.0</v>
      </c>
      <c r="C504" s="7" t="s">
        <v>62</v>
      </c>
      <c r="D504" s="7" t="s">
        <v>963</v>
      </c>
      <c r="E504" s="7" t="s">
        <v>964</v>
      </c>
      <c r="F504" s="7" t="s">
        <v>47</v>
      </c>
    </row>
    <row r="505">
      <c r="A505" s="7" t="s">
        <v>6</v>
      </c>
      <c r="B505" s="7">
        <v>6.0</v>
      </c>
      <c r="C505" s="7" t="s">
        <v>62</v>
      </c>
      <c r="D505" s="7" t="s">
        <v>963</v>
      </c>
      <c r="E505" s="7" t="s">
        <v>964</v>
      </c>
      <c r="F505" s="7" t="s">
        <v>47</v>
      </c>
    </row>
    <row r="506">
      <c r="A506" s="7" t="s">
        <v>871</v>
      </c>
      <c r="B506" s="7">
        <v>6.0</v>
      </c>
      <c r="C506" s="7" t="s">
        <v>62</v>
      </c>
      <c r="D506" s="7" t="s">
        <v>963</v>
      </c>
      <c r="E506" s="7" t="s">
        <v>964</v>
      </c>
      <c r="F506" s="7" t="s">
        <v>47</v>
      </c>
    </row>
    <row r="507">
      <c r="A507" s="7" t="s">
        <v>7</v>
      </c>
      <c r="B507" s="7">
        <v>6.0</v>
      </c>
      <c r="C507" s="7" t="s">
        <v>62</v>
      </c>
      <c r="D507" s="7" t="s">
        <v>963</v>
      </c>
      <c r="E507" s="7" t="s">
        <v>964</v>
      </c>
      <c r="F507" s="7" t="s">
        <v>47</v>
      </c>
    </row>
    <row r="508">
      <c r="A508" s="7" t="s">
        <v>8</v>
      </c>
      <c r="B508" s="7">
        <v>6.0</v>
      </c>
      <c r="C508" s="7" t="s">
        <v>62</v>
      </c>
      <c r="D508" s="7" t="s">
        <v>963</v>
      </c>
      <c r="E508" s="7" t="s">
        <v>964</v>
      </c>
      <c r="F508" s="7" t="s">
        <v>66</v>
      </c>
    </row>
    <row r="509">
      <c r="A509" s="7" t="s">
        <v>388</v>
      </c>
      <c r="B509" s="7">
        <v>6.0</v>
      </c>
      <c r="C509" s="7" t="s">
        <v>62</v>
      </c>
      <c r="D509" s="7" t="s">
        <v>963</v>
      </c>
      <c r="E509" s="7" t="s">
        <v>964</v>
      </c>
      <c r="F509" s="7" t="s">
        <v>443</v>
      </c>
    </row>
    <row r="510">
      <c r="A510" s="7" t="s">
        <v>189</v>
      </c>
      <c r="B510" s="7">
        <v>6.0</v>
      </c>
      <c r="C510" s="7" t="s">
        <v>62</v>
      </c>
      <c r="D510" s="7" t="s">
        <v>963</v>
      </c>
      <c r="E510" s="7" t="s">
        <v>964</v>
      </c>
      <c r="F510" s="7" t="s">
        <v>444</v>
      </c>
    </row>
    <row r="511">
      <c r="A511" s="7" t="s">
        <v>9</v>
      </c>
      <c r="B511" s="7">
        <v>6.0</v>
      </c>
      <c r="C511" s="7" t="s">
        <v>62</v>
      </c>
      <c r="D511" s="7" t="s">
        <v>963</v>
      </c>
      <c r="E511" s="7" t="s">
        <v>964</v>
      </c>
      <c r="F511" s="7" t="s">
        <v>443</v>
      </c>
    </row>
    <row r="512">
      <c r="A512" s="7" t="s">
        <v>10</v>
      </c>
      <c r="B512" s="7">
        <v>6.0</v>
      </c>
      <c r="C512" s="7" t="s">
        <v>62</v>
      </c>
      <c r="D512" s="7" t="s">
        <v>963</v>
      </c>
      <c r="E512" s="7" t="s">
        <v>964</v>
      </c>
      <c r="F512" s="7" t="s">
        <v>444</v>
      </c>
    </row>
    <row r="513">
      <c r="A513" s="7" t="s">
        <v>872</v>
      </c>
      <c r="B513" s="7">
        <v>6.0</v>
      </c>
      <c r="C513" s="7" t="s">
        <v>62</v>
      </c>
      <c r="D513" s="7" t="s">
        <v>963</v>
      </c>
      <c r="E513" s="7" t="s">
        <v>964</v>
      </c>
      <c r="F513" s="7" t="s">
        <v>961</v>
      </c>
    </row>
    <row r="514">
      <c r="A514" s="7" t="s">
        <v>873</v>
      </c>
      <c r="B514" s="7">
        <v>6.0</v>
      </c>
      <c r="C514" s="7" t="s">
        <v>62</v>
      </c>
      <c r="D514" s="7" t="s">
        <v>963</v>
      </c>
      <c r="E514" s="7" t="s">
        <v>964</v>
      </c>
      <c r="F514" s="7" t="s">
        <v>444</v>
      </c>
    </row>
    <row r="515">
      <c r="A515" s="7" t="s">
        <v>11</v>
      </c>
      <c r="B515" s="7">
        <v>6.0</v>
      </c>
      <c r="C515" s="7" t="s">
        <v>62</v>
      </c>
      <c r="D515" s="7" t="s">
        <v>963</v>
      </c>
      <c r="E515" s="7" t="s">
        <v>964</v>
      </c>
      <c r="F515" s="7" t="s">
        <v>444</v>
      </c>
    </row>
    <row r="516">
      <c r="A516" s="7" t="s">
        <v>12</v>
      </c>
      <c r="B516" s="7">
        <v>6.0</v>
      </c>
      <c r="C516" s="7" t="s">
        <v>62</v>
      </c>
      <c r="D516" s="7" t="s">
        <v>963</v>
      </c>
      <c r="E516" s="7" t="s">
        <v>964</v>
      </c>
      <c r="F516" s="7" t="s">
        <v>444</v>
      </c>
    </row>
    <row r="517">
      <c r="A517" s="7" t="s">
        <v>874</v>
      </c>
      <c r="B517" s="7">
        <v>6.0</v>
      </c>
      <c r="C517" s="7" t="s">
        <v>62</v>
      </c>
      <c r="D517" s="7" t="s">
        <v>963</v>
      </c>
      <c r="E517" s="7" t="s">
        <v>964</v>
      </c>
      <c r="F517" s="7" t="s">
        <v>444</v>
      </c>
    </row>
    <row r="518">
      <c r="A518" s="7" t="s">
        <v>13</v>
      </c>
      <c r="B518" s="7">
        <v>6.0</v>
      </c>
      <c r="C518" s="7" t="s">
        <v>62</v>
      </c>
      <c r="D518" s="7" t="s">
        <v>963</v>
      </c>
      <c r="E518" s="7" t="s">
        <v>964</v>
      </c>
      <c r="F518" s="7" t="s">
        <v>444</v>
      </c>
    </row>
    <row r="519">
      <c r="A519" s="7" t="s">
        <v>875</v>
      </c>
      <c r="B519" s="7">
        <v>6.0</v>
      </c>
      <c r="C519" s="7" t="s">
        <v>62</v>
      </c>
      <c r="D519" s="7" t="s">
        <v>963</v>
      </c>
      <c r="E519" s="7" t="s">
        <v>964</v>
      </c>
      <c r="F519" s="7" t="s">
        <v>965</v>
      </c>
    </row>
    <row r="520">
      <c r="A520" s="7" t="s">
        <v>14</v>
      </c>
      <c r="B520" s="7">
        <v>6.0</v>
      </c>
      <c r="C520" s="7" t="s">
        <v>62</v>
      </c>
      <c r="D520" s="7" t="s">
        <v>963</v>
      </c>
      <c r="E520" s="7" t="s">
        <v>964</v>
      </c>
      <c r="F520" s="7" t="s">
        <v>444</v>
      </c>
    </row>
    <row r="521">
      <c r="A521" s="7" t="s">
        <v>609</v>
      </c>
      <c r="B521" s="7">
        <v>6.0</v>
      </c>
      <c r="C521" s="7" t="s">
        <v>62</v>
      </c>
      <c r="D521" s="7" t="s">
        <v>963</v>
      </c>
      <c r="E521" s="7" t="s">
        <v>964</v>
      </c>
      <c r="F521" s="7" t="s">
        <v>444</v>
      </c>
    </row>
    <row r="522">
      <c r="A522" s="7" t="s">
        <v>15</v>
      </c>
      <c r="B522" s="7">
        <v>6.0</v>
      </c>
      <c r="C522" s="7" t="s">
        <v>62</v>
      </c>
      <c r="D522" s="7" t="s">
        <v>963</v>
      </c>
      <c r="E522" s="7" t="s">
        <v>964</v>
      </c>
      <c r="F522" s="7" t="s">
        <v>444</v>
      </c>
    </row>
    <row r="523">
      <c r="A523" s="7" t="s">
        <v>610</v>
      </c>
      <c r="B523" s="7">
        <v>6.0</v>
      </c>
      <c r="C523" s="7" t="s">
        <v>62</v>
      </c>
      <c r="D523" s="7" t="s">
        <v>963</v>
      </c>
      <c r="E523" s="7" t="s">
        <v>964</v>
      </c>
      <c r="F523" s="7" t="s">
        <v>444</v>
      </c>
    </row>
    <row r="524">
      <c r="A524" s="7" t="s">
        <v>16</v>
      </c>
      <c r="B524" s="7">
        <v>6.0</v>
      </c>
      <c r="C524" s="7" t="s">
        <v>62</v>
      </c>
      <c r="D524" s="7" t="s">
        <v>963</v>
      </c>
      <c r="E524" s="7" t="s">
        <v>964</v>
      </c>
      <c r="F524" s="7" t="s">
        <v>444</v>
      </c>
    </row>
    <row r="525">
      <c r="A525" s="7" t="s">
        <v>876</v>
      </c>
      <c r="B525" s="7">
        <v>6.0</v>
      </c>
      <c r="C525" s="7" t="s">
        <v>62</v>
      </c>
      <c r="D525" s="7" t="s">
        <v>963</v>
      </c>
      <c r="E525" s="7" t="s">
        <v>964</v>
      </c>
      <c r="F525" s="7" t="s">
        <v>444</v>
      </c>
    </row>
    <row r="526">
      <c r="A526" s="7" t="s">
        <v>877</v>
      </c>
      <c r="B526" s="7">
        <v>6.0</v>
      </c>
      <c r="C526" s="7" t="s">
        <v>62</v>
      </c>
      <c r="D526" s="7" t="s">
        <v>963</v>
      </c>
      <c r="E526" s="7" t="s">
        <v>964</v>
      </c>
      <c r="F526" s="7" t="s">
        <v>444</v>
      </c>
    </row>
    <row r="527">
      <c r="A527" s="7" t="s">
        <v>17</v>
      </c>
      <c r="B527" s="7">
        <v>6.0</v>
      </c>
      <c r="C527" s="7" t="s">
        <v>62</v>
      </c>
      <c r="D527" s="7" t="s">
        <v>963</v>
      </c>
      <c r="E527" s="7" t="s">
        <v>964</v>
      </c>
      <c r="F527" s="7" t="s">
        <v>444</v>
      </c>
    </row>
    <row r="528">
      <c r="A528" s="7" t="s">
        <v>18</v>
      </c>
      <c r="B528" s="7">
        <v>6.0</v>
      </c>
      <c r="C528" s="7" t="s">
        <v>62</v>
      </c>
      <c r="D528" s="7" t="s">
        <v>963</v>
      </c>
      <c r="E528" s="7" t="s">
        <v>964</v>
      </c>
      <c r="F528" s="7" t="s">
        <v>444</v>
      </c>
    </row>
    <row r="529">
      <c r="A529" s="7" t="s">
        <v>19</v>
      </c>
      <c r="B529" s="7">
        <v>6.0</v>
      </c>
      <c r="C529" s="7" t="s">
        <v>62</v>
      </c>
      <c r="D529" s="7" t="s">
        <v>963</v>
      </c>
      <c r="E529" s="7" t="s">
        <v>964</v>
      </c>
      <c r="F529" s="7" t="s">
        <v>444</v>
      </c>
    </row>
    <row r="530">
      <c r="A530" s="7" t="s">
        <v>596</v>
      </c>
      <c r="B530" s="7">
        <v>6.0</v>
      </c>
      <c r="C530" s="7" t="s">
        <v>966</v>
      </c>
      <c r="D530" s="7" t="s">
        <v>967</v>
      </c>
      <c r="E530" s="7" t="s">
        <v>968</v>
      </c>
      <c r="F530" s="7" t="s">
        <v>47</v>
      </c>
    </row>
    <row r="531">
      <c r="A531" s="7" t="s">
        <v>188</v>
      </c>
      <c r="B531" s="7">
        <v>6.0</v>
      </c>
      <c r="C531" s="7" t="s">
        <v>966</v>
      </c>
      <c r="D531" s="7" t="s">
        <v>967</v>
      </c>
      <c r="E531" s="7" t="s">
        <v>968</v>
      </c>
      <c r="F531" s="7" t="s">
        <v>47</v>
      </c>
    </row>
    <row r="532">
      <c r="A532" s="7" t="s">
        <v>4</v>
      </c>
      <c r="B532" s="7">
        <v>6.0</v>
      </c>
      <c r="C532" s="7" t="s">
        <v>966</v>
      </c>
      <c r="D532" s="7" t="s">
        <v>967</v>
      </c>
      <c r="E532" s="7" t="s">
        <v>968</v>
      </c>
      <c r="F532" s="7" t="s">
        <v>47</v>
      </c>
    </row>
    <row r="533">
      <c r="A533" s="7" t="s">
        <v>386</v>
      </c>
      <c r="B533" s="7">
        <v>6.0</v>
      </c>
      <c r="C533" s="7" t="s">
        <v>966</v>
      </c>
      <c r="D533" s="7" t="s">
        <v>967</v>
      </c>
      <c r="E533" s="7" t="s">
        <v>968</v>
      </c>
      <c r="F533" s="7" t="s">
        <v>47</v>
      </c>
    </row>
    <row r="534">
      <c r="A534" s="7" t="s">
        <v>866</v>
      </c>
      <c r="B534" s="7">
        <v>6.0</v>
      </c>
      <c r="C534" s="7" t="s">
        <v>966</v>
      </c>
      <c r="D534" s="7" t="s">
        <v>967</v>
      </c>
      <c r="E534" s="7" t="s">
        <v>968</v>
      </c>
      <c r="F534" s="7" t="s">
        <v>47</v>
      </c>
    </row>
    <row r="535">
      <c r="A535" s="7" t="s">
        <v>5</v>
      </c>
      <c r="B535" s="7">
        <v>6.0</v>
      </c>
      <c r="C535" s="7" t="s">
        <v>966</v>
      </c>
      <c r="D535" s="7" t="s">
        <v>967</v>
      </c>
      <c r="E535" s="7" t="s">
        <v>968</v>
      </c>
      <c r="F535" s="7" t="s">
        <v>47</v>
      </c>
    </row>
    <row r="536">
      <c r="A536" s="7" t="s">
        <v>867</v>
      </c>
      <c r="B536" s="7">
        <v>6.0</v>
      </c>
      <c r="C536" s="7" t="s">
        <v>966</v>
      </c>
      <c r="D536" s="7" t="s">
        <v>967</v>
      </c>
      <c r="E536" s="7" t="s">
        <v>968</v>
      </c>
      <c r="F536" s="7" t="s">
        <v>47</v>
      </c>
    </row>
    <row r="537">
      <c r="A537" s="7" t="s">
        <v>868</v>
      </c>
      <c r="B537" s="7">
        <v>6.0</v>
      </c>
      <c r="C537" s="7" t="s">
        <v>966</v>
      </c>
      <c r="D537" s="7" t="s">
        <v>967</v>
      </c>
      <c r="E537" s="7" t="s">
        <v>968</v>
      </c>
      <c r="F537" s="7" t="s">
        <v>47</v>
      </c>
    </row>
    <row r="538">
      <c r="A538" s="7" t="s">
        <v>599</v>
      </c>
      <c r="B538" s="7">
        <v>6.0</v>
      </c>
      <c r="C538" s="7" t="s">
        <v>966</v>
      </c>
      <c r="D538" s="7" t="s">
        <v>967</v>
      </c>
      <c r="E538" s="7" t="s">
        <v>968</v>
      </c>
      <c r="F538" s="7" t="s">
        <v>47</v>
      </c>
    </row>
    <row r="539">
      <c r="A539" s="7" t="s">
        <v>869</v>
      </c>
      <c r="B539" s="7">
        <v>6.0</v>
      </c>
      <c r="C539" s="7" t="s">
        <v>966</v>
      </c>
      <c r="D539" s="7" t="s">
        <v>967</v>
      </c>
      <c r="E539" s="7" t="s">
        <v>968</v>
      </c>
      <c r="F539" s="7" t="s">
        <v>66</v>
      </c>
    </row>
    <row r="540">
      <c r="A540" s="7" t="s">
        <v>870</v>
      </c>
      <c r="B540" s="7">
        <v>6.0</v>
      </c>
      <c r="C540" s="7" t="s">
        <v>966</v>
      </c>
      <c r="D540" s="7" t="s">
        <v>967</v>
      </c>
      <c r="E540" s="7" t="s">
        <v>968</v>
      </c>
      <c r="F540" s="7" t="s">
        <v>47</v>
      </c>
    </row>
    <row r="541">
      <c r="A541" s="7" t="s">
        <v>6</v>
      </c>
      <c r="B541" s="7">
        <v>6.0</v>
      </c>
      <c r="C541" s="7" t="s">
        <v>966</v>
      </c>
      <c r="D541" s="7" t="s">
        <v>967</v>
      </c>
      <c r="E541" s="7" t="s">
        <v>968</v>
      </c>
      <c r="F541" s="7" t="s">
        <v>47</v>
      </c>
    </row>
    <row r="542">
      <c r="A542" s="7" t="s">
        <v>871</v>
      </c>
      <c r="B542" s="7">
        <v>6.0</v>
      </c>
      <c r="C542" s="7" t="s">
        <v>966</v>
      </c>
      <c r="D542" s="7" t="s">
        <v>967</v>
      </c>
      <c r="E542" s="7" t="s">
        <v>968</v>
      </c>
      <c r="F542" s="7" t="s">
        <v>47</v>
      </c>
    </row>
    <row r="543">
      <c r="A543" s="7" t="s">
        <v>7</v>
      </c>
      <c r="B543" s="7">
        <v>6.0</v>
      </c>
      <c r="C543" s="7" t="s">
        <v>966</v>
      </c>
      <c r="D543" s="7" t="s">
        <v>967</v>
      </c>
      <c r="E543" s="7" t="s">
        <v>968</v>
      </c>
      <c r="F543" s="7" t="s">
        <v>47</v>
      </c>
    </row>
    <row r="544">
      <c r="A544" s="7" t="s">
        <v>8</v>
      </c>
      <c r="B544" s="7">
        <v>6.0</v>
      </c>
      <c r="C544" s="7" t="s">
        <v>966</v>
      </c>
      <c r="D544" s="7" t="s">
        <v>967</v>
      </c>
      <c r="E544" s="7" t="s">
        <v>968</v>
      </c>
      <c r="F544" s="7" t="s">
        <v>66</v>
      </c>
    </row>
    <row r="545">
      <c r="A545" s="7" t="s">
        <v>388</v>
      </c>
      <c r="B545" s="7">
        <v>6.0</v>
      </c>
      <c r="C545" s="7" t="s">
        <v>966</v>
      </c>
      <c r="D545" s="7" t="s">
        <v>967</v>
      </c>
      <c r="E545" s="7" t="s">
        <v>968</v>
      </c>
      <c r="F545" s="7" t="s">
        <v>443</v>
      </c>
    </row>
    <row r="546">
      <c r="A546" s="7" t="s">
        <v>189</v>
      </c>
      <c r="B546" s="7">
        <v>6.0</v>
      </c>
      <c r="C546" s="7" t="s">
        <v>966</v>
      </c>
      <c r="D546" s="7" t="s">
        <v>967</v>
      </c>
      <c r="E546" s="7" t="s">
        <v>968</v>
      </c>
      <c r="F546" s="7" t="s">
        <v>444</v>
      </c>
    </row>
    <row r="547">
      <c r="A547" s="7" t="s">
        <v>9</v>
      </c>
      <c r="B547" s="7">
        <v>6.0</v>
      </c>
      <c r="C547" s="7" t="s">
        <v>966</v>
      </c>
      <c r="D547" s="7" t="s">
        <v>967</v>
      </c>
      <c r="E547" s="7" t="s">
        <v>968</v>
      </c>
      <c r="F547" s="7" t="s">
        <v>443</v>
      </c>
    </row>
    <row r="548">
      <c r="A548" s="7" t="s">
        <v>10</v>
      </c>
      <c r="B548" s="7">
        <v>6.0</v>
      </c>
      <c r="C548" s="7" t="s">
        <v>966</v>
      </c>
      <c r="D548" s="7" t="s">
        <v>967</v>
      </c>
      <c r="E548" s="7" t="s">
        <v>968</v>
      </c>
      <c r="F548" s="7" t="s">
        <v>444</v>
      </c>
    </row>
    <row r="549">
      <c r="A549" s="7" t="s">
        <v>872</v>
      </c>
      <c r="B549" s="7">
        <v>6.0</v>
      </c>
      <c r="C549" s="7" t="s">
        <v>966</v>
      </c>
      <c r="D549" s="7" t="s">
        <v>967</v>
      </c>
      <c r="E549" s="7" t="s">
        <v>968</v>
      </c>
      <c r="F549" s="7" t="s">
        <v>961</v>
      </c>
    </row>
    <row r="550">
      <c r="A550" s="7" t="s">
        <v>873</v>
      </c>
      <c r="B550" s="7">
        <v>6.0</v>
      </c>
      <c r="C550" s="7" t="s">
        <v>966</v>
      </c>
      <c r="D550" s="7" t="s">
        <v>967</v>
      </c>
      <c r="E550" s="7" t="s">
        <v>968</v>
      </c>
      <c r="F550" s="7" t="s">
        <v>444</v>
      </c>
    </row>
    <row r="551">
      <c r="A551" s="7" t="s">
        <v>11</v>
      </c>
      <c r="B551" s="7">
        <v>6.0</v>
      </c>
      <c r="C551" s="7" t="s">
        <v>966</v>
      </c>
      <c r="D551" s="7" t="s">
        <v>967</v>
      </c>
      <c r="E551" s="7" t="s">
        <v>968</v>
      </c>
      <c r="F551" s="7" t="s">
        <v>444</v>
      </c>
    </row>
    <row r="552">
      <c r="A552" s="7" t="s">
        <v>12</v>
      </c>
      <c r="B552" s="7">
        <v>6.0</v>
      </c>
      <c r="C552" s="7" t="s">
        <v>966</v>
      </c>
      <c r="D552" s="7" t="s">
        <v>967</v>
      </c>
      <c r="E552" s="7" t="s">
        <v>968</v>
      </c>
      <c r="F552" s="7" t="s">
        <v>444</v>
      </c>
    </row>
    <row r="553">
      <c r="A553" s="7" t="s">
        <v>874</v>
      </c>
      <c r="B553" s="7">
        <v>6.0</v>
      </c>
      <c r="C553" s="7" t="s">
        <v>966</v>
      </c>
      <c r="D553" s="7" t="s">
        <v>967</v>
      </c>
      <c r="E553" s="7" t="s">
        <v>968</v>
      </c>
      <c r="F553" s="7" t="s">
        <v>444</v>
      </c>
    </row>
    <row r="554">
      <c r="A554" s="7" t="s">
        <v>13</v>
      </c>
      <c r="B554" s="7">
        <v>6.0</v>
      </c>
      <c r="C554" s="7" t="s">
        <v>966</v>
      </c>
      <c r="D554" s="7" t="s">
        <v>967</v>
      </c>
      <c r="E554" s="7" t="s">
        <v>968</v>
      </c>
      <c r="F554" s="7" t="s">
        <v>444</v>
      </c>
    </row>
    <row r="555">
      <c r="A555" s="7" t="s">
        <v>875</v>
      </c>
      <c r="B555" s="7">
        <v>6.0</v>
      </c>
      <c r="C555" s="7" t="s">
        <v>966</v>
      </c>
      <c r="D555" s="7" t="s">
        <v>967</v>
      </c>
      <c r="E555" s="7" t="s">
        <v>968</v>
      </c>
      <c r="F555" s="7" t="s">
        <v>965</v>
      </c>
    </row>
    <row r="556">
      <c r="A556" s="7" t="s">
        <v>14</v>
      </c>
      <c r="B556" s="7">
        <v>6.0</v>
      </c>
      <c r="C556" s="7" t="s">
        <v>966</v>
      </c>
      <c r="D556" s="7" t="s">
        <v>967</v>
      </c>
      <c r="E556" s="7" t="s">
        <v>968</v>
      </c>
      <c r="F556" s="7" t="s">
        <v>444</v>
      </c>
    </row>
    <row r="557">
      <c r="A557" s="7" t="s">
        <v>609</v>
      </c>
      <c r="B557" s="7">
        <v>6.0</v>
      </c>
      <c r="C557" s="7" t="s">
        <v>966</v>
      </c>
      <c r="D557" s="7" t="s">
        <v>967</v>
      </c>
      <c r="E557" s="7" t="s">
        <v>968</v>
      </c>
      <c r="F557" s="7" t="s">
        <v>444</v>
      </c>
    </row>
    <row r="558">
      <c r="A558" s="7" t="s">
        <v>15</v>
      </c>
      <c r="B558" s="7">
        <v>6.0</v>
      </c>
      <c r="C558" s="7" t="s">
        <v>966</v>
      </c>
      <c r="D558" s="7" t="s">
        <v>967</v>
      </c>
      <c r="E558" s="7" t="s">
        <v>968</v>
      </c>
      <c r="F558" s="7" t="s">
        <v>444</v>
      </c>
    </row>
    <row r="559">
      <c r="A559" s="7" t="s">
        <v>610</v>
      </c>
      <c r="B559" s="7">
        <v>6.0</v>
      </c>
      <c r="C559" s="7" t="s">
        <v>966</v>
      </c>
      <c r="D559" s="7" t="s">
        <v>967</v>
      </c>
      <c r="E559" s="7" t="s">
        <v>968</v>
      </c>
      <c r="F559" s="7" t="s">
        <v>444</v>
      </c>
    </row>
    <row r="560">
      <c r="A560" s="7" t="s">
        <v>16</v>
      </c>
      <c r="B560" s="7">
        <v>6.0</v>
      </c>
      <c r="C560" s="7" t="s">
        <v>966</v>
      </c>
      <c r="D560" s="7" t="s">
        <v>967</v>
      </c>
      <c r="E560" s="7" t="s">
        <v>968</v>
      </c>
      <c r="F560" s="7" t="s">
        <v>444</v>
      </c>
    </row>
    <row r="561">
      <c r="A561" s="7" t="s">
        <v>876</v>
      </c>
      <c r="B561" s="7">
        <v>6.0</v>
      </c>
      <c r="C561" s="7" t="s">
        <v>966</v>
      </c>
      <c r="D561" s="7" t="s">
        <v>967</v>
      </c>
      <c r="E561" s="7" t="s">
        <v>968</v>
      </c>
      <c r="F561" s="7" t="s">
        <v>444</v>
      </c>
    </row>
    <row r="562">
      <c r="A562" s="7" t="s">
        <v>877</v>
      </c>
      <c r="B562" s="7">
        <v>6.0</v>
      </c>
      <c r="C562" s="7" t="s">
        <v>966</v>
      </c>
      <c r="D562" s="7" t="s">
        <v>967</v>
      </c>
      <c r="E562" s="7" t="s">
        <v>968</v>
      </c>
      <c r="F562" s="7" t="s">
        <v>444</v>
      </c>
    </row>
    <row r="563">
      <c r="A563" s="7" t="s">
        <v>17</v>
      </c>
      <c r="B563" s="7">
        <v>6.0</v>
      </c>
      <c r="C563" s="7" t="s">
        <v>966</v>
      </c>
      <c r="D563" s="7" t="s">
        <v>967</v>
      </c>
      <c r="E563" s="7" t="s">
        <v>968</v>
      </c>
      <c r="F563" s="7" t="s">
        <v>444</v>
      </c>
    </row>
    <row r="564">
      <c r="A564" s="7" t="s">
        <v>18</v>
      </c>
      <c r="B564" s="7">
        <v>6.0</v>
      </c>
      <c r="C564" s="7" t="s">
        <v>966</v>
      </c>
      <c r="D564" s="7" t="s">
        <v>967</v>
      </c>
      <c r="E564" s="7" t="s">
        <v>968</v>
      </c>
      <c r="F564" s="7" t="s">
        <v>444</v>
      </c>
    </row>
    <row r="565">
      <c r="A565" s="7" t="s">
        <v>19</v>
      </c>
      <c r="B565" s="7">
        <v>6.0</v>
      </c>
      <c r="C565" s="7" t="s">
        <v>966</v>
      </c>
      <c r="D565" s="7" t="s">
        <v>967</v>
      </c>
      <c r="E565" s="7" t="s">
        <v>968</v>
      </c>
      <c r="F565" s="7" t="s">
        <v>444</v>
      </c>
    </row>
    <row r="566">
      <c r="A566" s="7" t="s">
        <v>596</v>
      </c>
      <c r="B566" s="7">
        <v>6.0</v>
      </c>
      <c r="C566" s="7" t="s">
        <v>67</v>
      </c>
      <c r="D566" s="7" t="s">
        <v>969</v>
      </c>
      <c r="E566" s="7" t="s">
        <v>970</v>
      </c>
      <c r="F566" s="7" t="s">
        <v>444</v>
      </c>
    </row>
    <row r="567">
      <c r="A567" s="7" t="s">
        <v>188</v>
      </c>
      <c r="B567" s="7">
        <v>6.0</v>
      </c>
      <c r="C567" s="7" t="s">
        <v>67</v>
      </c>
      <c r="D567" s="7" t="s">
        <v>969</v>
      </c>
      <c r="E567" s="7" t="s">
        <v>970</v>
      </c>
      <c r="F567" s="7" t="s">
        <v>444</v>
      </c>
    </row>
    <row r="568">
      <c r="A568" s="7" t="s">
        <v>4</v>
      </c>
      <c r="B568" s="7">
        <v>6.0</v>
      </c>
      <c r="C568" s="7" t="s">
        <v>67</v>
      </c>
      <c r="D568" s="7" t="s">
        <v>969</v>
      </c>
      <c r="E568" s="7" t="s">
        <v>970</v>
      </c>
      <c r="F568" s="7" t="s">
        <v>971</v>
      </c>
    </row>
    <row r="569">
      <c r="A569" s="7" t="s">
        <v>386</v>
      </c>
      <c r="B569" s="7">
        <v>6.0</v>
      </c>
      <c r="C569" s="7" t="s">
        <v>67</v>
      </c>
      <c r="D569" s="7" t="s">
        <v>969</v>
      </c>
      <c r="E569" s="7" t="s">
        <v>970</v>
      </c>
      <c r="F569" s="7" t="s">
        <v>444</v>
      </c>
    </row>
    <row r="570">
      <c r="A570" s="7" t="s">
        <v>866</v>
      </c>
      <c r="B570" s="7">
        <v>6.0</v>
      </c>
      <c r="C570" s="7" t="s">
        <v>67</v>
      </c>
      <c r="D570" s="7" t="s">
        <v>969</v>
      </c>
      <c r="E570" s="7" t="s">
        <v>970</v>
      </c>
      <c r="F570" s="7" t="s">
        <v>444</v>
      </c>
    </row>
    <row r="571">
      <c r="A571" s="7" t="s">
        <v>5</v>
      </c>
      <c r="B571" s="7">
        <v>6.0</v>
      </c>
      <c r="C571" s="7" t="s">
        <v>67</v>
      </c>
      <c r="D571" s="7" t="s">
        <v>969</v>
      </c>
      <c r="E571" s="7" t="s">
        <v>970</v>
      </c>
      <c r="F571" s="7" t="s">
        <v>972</v>
      </c>
    </row>
    <row r="572">
      <c r="A572" s="7" t="s">
        <v>867</v>
      </c>
      <c r="B572" s="7">
        <v>6.0</v>
      </c>
      <c r="C572" s="7" t="s">
        <v>67</v>
      </c>
      <c r="D572" s="7" t="s">
        <v>969</v>
      </c>
      <c r="E572" s="7" t="s">
        <v>970</v>
      </c>
      <c r="F572" s="7" t="s">
        <v>131</v>
      </c>
    </row>
    <row r="573">
      <c r="A573" s="7" t="s">
        <v>868</v>
      </c>
      <c r="B573" s="7">
        <v>6.0</v>
      </c>
      <c r="C573" s="7" t="s">
        <v>67</v>
      </c>
      <c r="D573" s="7" t="s">
        <v>969</v>
      </c>
      <c r="E573" s="7" t="s">
        <v>970</v>
      </c>
      <c r="F573" s="7" t="s">
        <v>131</v>
      </c>
    </row>
    <row r="574">
      <c r="A574" s="7" t="s">
        <v>599</v>
      </c>
      <c r="B574" s="7">
        <v>6.0</v>
      </c>
      <c r="C574" s="7" t="s">
        <v>67</v>
      </c>
      <c r="D574" s="7" t="s">
        <v>969</v>
      </c>
      <c r="E574" s="7" t="s">
        <v>970</v>
      </c>
      <c r="F574" s="7" t="s">
        <v>70</v>
      </c>
    </row>
    <row r="575">
      <c r="A575" s="7" t="s">
        <v>869</v>
      </c>
      <c r="B575" s="7">
        <v>6.0</v>
      </c>
      <c r="C575" s="7" t="s">
        <v>67</v>
      </c>
      <c r="D575" s="7" t="s">
        <v>969</v>
      </c>
      <c r="E575" s="7" t="s">
        <v>970</v>
      </c>
      <c r="F575" s="7" t="s">
        <v>973</v>
      </c>
    </row>
    <row r="576">
      <c r="A576" s="7" t="s">
        <v>870</v>
      </c>
      <c r="B576" s="7">
        <v>6.0</v>
      </c>
      <c r="C576" s="7" t="s">
        <v>67</v>
      </c>
      <c r="D576" s="7" t="s">
        <v>969</v>
      </c>
      <c r="E576" s="7" t="s">
        <v>970</v>
      </c>
      <c r="F576" s="7" t="s">
        <v>131</v>
      </c>
    </row>
    <row r="577">
      <c r="A577" s="7" t="s">
        <v>6</v>
      </c>
      <c r="B577" s="7">
        <v>6.0</v>
      </c>
      <c r="C577" s="7" t="s">
        <v>67</v>
      </c>
      <c r="D577" s="7" t="s">
        <v>969</v>
      </c>
      <c r="E577" s="7" t="s">
        <v>970</v>
      </c>
      <c r="F577" s="7" t="s">
        <v>131</v>
      </c>
    </row>
    <row r="578">
      <c r="A578" s="7" t="s">
        <v>871</v>
      </c>
      <c r="B578" s="7">
        <v>6.0</v>
      </c>
      <c r="C578" s="7" t="s">
        <v>67</v>
      </c>
      <c r="D578" s="7" t="s">
        <v>969</v>
      </c>
      <c r="E578" s="7" t="s">
        <v>970</v>
      </c>
      <c r="F578" s="7" t="s">
        <v>131</v>
      </c>
    </row>
    <row r="579">
      <c r="A579" s="7" t="s">
        <v>7</v>
      </c>
      <c r="B579" s="7">
        <v>6.0</v>
      </c>
      <c r="C579" s="7" t="s">
        <v>67</v>
      </c>
      <c r="D579" s="7" t="s">
        <v>969</v>
      </c>
      <c r="E579" s="7" t="s">
        <v>970</v>
      </c>
      <c r="F579" s="7" t="s">
        <v>70</v>
      </c>
    </row>
    <row r="580">
      <c r="A580" s="7" t="s">
        <v>8</v>
      </c>
      <c r="B580" s="7">
        <v>6.0</v>
      </c>
      <c r="C580" s="7" t="s">
        <v>67</v>
      </c>
      <c r="D580" s="7" t="s">
        <v>969</v>
      </c>
      <c r="E580" s="7" t="s">
        <v>970</v>
      </c>
      <c r="F580" s="7" t="s">
        <v>66</v>
      </c>
    </row>
    <row r="581">
      <c r="A581" s="7" t="s">
        <v>388</v>
      </c>
      <c r="B581" s="7">
        <v>6.0</v>
      </c>
      <c r="C581" s="7" t="s">
        <v>67</v>
      </c>
      <c r="D581" s="7" t="s">
        <v>969</v>
      </c>
      <c r="E581" s="7" t="s">
        <v>970</v>
      </c>
      <c r="F581" s="7" t="s">
        <v>443</v>
      </c>
    </row>
    <row r="582">
      <c r="A582" s="7" t="s">
        <v>189</v>
      </c>
      <c r="B582" s="7">
        <v>6.0</v>
      </c>
      <c r="C582" s="7" t="s">
        <v>67</v>
      </c>
      <c r="D582" s="7" t="s">
        <v>969</v>
      </c>
      <c r="E582" s="7" t="s">
        <v>970</v>
      </c>
      <c r="F582" s="7" t="s">
        <v>444</v>
      </c>
    </row>
    <row r="583">
      <c r="A583" s="7" t="s">
        <v>9</v>
      </c>
      <c r="B583" s="7">
        <v>6.0</v>
      </c>
      <c r="C583" s="7" t="s">
        <v>67</v>
      </c>
      <c r="D583" s="7" t="s">
        <v>969</v>
      </c>
      <c r="E583" s="7" t="s">
        <v>970</v>
      </c>
      <c r="F583" s="7" t="s">
        <v>443</v>
      </c>
    </row>
    <row r="584">
      <c r="A584" s="7" t="s">
        <v>10</v>
      </c>
      <c r="B584" s="7">
        <v>6.0</v>
      </c>
      <c r="C584" s="7" t="s">
        <v>67</v>
      </c>
      <c r="D584" s="7" t="s">
        <v>969</v>
      </c>
      <c r="E584" s="7" t="s">
        <v>970</v>
      </c>
      <c r="F584" s="7" t="s">
        <v>444</v>
      </c>
    </row>
    <row r="585">
      <c r="A585" s="7" t="s">
        <v>872</v>
      </c>
      <c r="B585" s="7">
        <v>6.0</v>
      </c>
      <c r="C585" s="7" t="s">
        <v>67</v>
      </c>
      <c r="D585" s="7" t="s">
        <v>969</v>
      </c>
      <c r="E585" s="7" t="s">
        <v>970</v>
      </c>
      <c r="F585" s="7" t="s">
        <v>974</v>
      </c>
    </row>
    <row r="586">
      <c r="A586" s="7" t="s">
        <v>873</v>
      </c>
      <c r="B586" s="7">
        <v>6.0</v>
      </c>
      <c r="C586" s="7" t="s">
        <v>67</v>
      </c>
      <c r="D586" s="7" t="s">
        <v>969</v>
      </c>
      <c r="E586" s="7" t="s">
        <v>970</v>
      </c>
      <c r="F586" s="7" t="s">
        <v>975</v>
      </c>
    </row>
    <row r="587">
      <c r="A587" s="7" t="s">
        <v>11</v>
      </c>
      <c r="B587" s="7">
        <v>6.0</v>
      </c>
      <c r="C587" s="7" t="s">
        <v>67</v>
      </c>
      <c r="D587" s="7" t="s">
        <v>969</v>
      </c>
      <c r="E587" s="7" t="s">
        <v>970</v>
      </c>
      <c r="F587" s="7" t="s">
        <v>976</v>
      </c>
    </row>
    <row r="588">
      <c r="A588" s="7" t="s">
        <v>12</v>
      </c>
      <c r="B588" s="7">
        <v>6.0</v>
      </c>
      <c r="C588" s="7" t="s">
        <v>67</v>
      </c>
      <c r="D588" s="7" t="s">
        <v>969</v>
      </c>
      <c r="E588" s="7" t="s">
        <v>970</v>
      </c>
      <c r="F588" s="7" t="s">
        <v>977</v>
      </c>
    </row>
    <row r="589">
      <c r="A589" s="7" t="s">
        <v>874</v>
      </c>
      <c r="B589" s="7">
        <v>6.0</v>
      </c>
      <c r="C589" s="7" t="s">
        <v>67</v>
      </c>
      <c r="D589" s="7" t="s">
        <v>969</v>
      </c>
      <c r="E589" s="7" t="s">
        <v>970</v>
      </c>
      <c r="F589" s="7" t="s">
        <v>444</v>
      </c>
    </row>
    <row r="590">
      <c r="A590" s="7" t="s">
        <v>13</v>
      </c>
      <c r="B590" s="7">
        <v>6.0</v>
      </c>
      <c r="C590" s="7" t="s">
        <v>67</v>
      </c>
      <c r="D590" s="7" t="s">
        <v>969</v>
      </c>
      <c r="E590" s="7" t="s">
        <v>970</v>
      </c>
      <c r="F590" s="7" t="s">
        <v>444</v>
      </c>
    </row>
    <row r="591">
      <c r="A591" s="7" t="s">
        <v>875</v>
      </c>
      <c r="B591" s="7">
        <v>6.0</v>
      </c>
      <c r="C591" s="7" t="s">
        <v>67</v>
      </c>
      <c r="D591" s="7" t="s">
        <v>969</v>
      </c>
      <c r="E591" s="7" t="s">
        <v>970</v>
      </c>
      <c r="F591" s="7" t="s">
        <v>965</v>
      </c>
    </row>
    <row r="592">
      <c r="A592" s="7" t="s">
        <v>14</v>
      </c>
      <c r="B592" s="7">
        <v>6.0</v>
      </c>
      <c r="C592" s="7" t="s">
        <v>67</v>
      </c>
      <c r="D592" s="7" t="s">
        <v>969</v>
      </c>
      <c r="E592" s="7" t="s">
        <v>970</v>
      </c>
      <c r="F592" s="7" t="s">
        <v>444</v>
      </c>
    </row>
    <row r="593">
      <c r="A593" s="7" t="s">
        <v>609</v>
      </c>
      <c r="B593" s="7">
        <v>6.0</v>
      </c>
      <c r="C593" s="7" t="s">
        <v>67</v>
      </c>
      <c r="D593" s="7" t="s">
        <v>969</v>
      </c>
      <c r="E593" s="7" t="s">
        <v>970</v>
      </c>
      <c r="F593" s="7" t="s">
        <v>444</v>
      </c>
    </row>
    <row r="594">
      <c r="A594" s="7" t="s">
        <v>15</v>
      </c>
      <c r="B594" s="7">
        <v>6.0</v>
      </c>
      <c r="C594" s="7" t="s">
        <v>67</v>
      </c>
      <c r="D594" s="7" t="s">
        <v>969</v>
      </c>
      <c r="E594" s="7" t="s">
        <v>970</v>
      </c>
      <c r="F594" s="7" t="s">
        <v>444</v>
      </c>
    </row>
    <row r="595">
      <c r="A595" s="7" t="s">
        <v>610</v>
      </c>
      <c r="B595" s="7">
        <v>6.0</v>
      </c>
      <c r="C595" s="7" t="s">
        <v>67</v>
      </c>
      <c r="D595" s="7" t="s">
        <v>969</v>
      </c>
      <c r="E595" s="7" t="s">
        <v>970</v>
      </c>
      <c r="F595" s="7" t="s">
        <v>444</v>
      </c>
    </row>
    <row r="596">
      <c r="A596" s="7" t="s">
        <v>16</v>
      </c>
      <c r="B596" s="7">
        <v>6.0</v>
      </c>
      <c r="C596" s="7" t="s">
        <v>67</v>
      </c>
      <c r="D596" s="7" t="s">
        <v>969</v>
      </c>
      <c r="E596" s="7" t="s">
        <v>970</v>
      </c>
      <c r="F596" s="7" t="s">
        <v>444</v>
      </c>
    </row>
    <row r="597">
      <c r="A597" s="7" t="s">
        <v>876</v>
      </c>
      <c r="B597" s="7">
        <v>6.0</v>
      </c>
      <c r="C597" s="7" t="s">
        <v>67</v>
      </c>
      <c r="D597" s="7" t="s">
        <v>969</v>
      </c>
      <c r="E597" s="7" t="s">
        <v>970</v>
      </c>
      <c r="F597" s="7" t="s">
        <v>444</v>
      </c>
    </row>
    <row r="598">
      <c r="A598" s="7" t="s">
        <v>877</v>
      </c>
      <c r="B598" s="7">
        <v>6.0</v>
      </c>
      <c r="C598" s="7" t="s">
        <v>67</v>
      </c>
      <c r="D598" s="7" t="s">
        <v>969</v>
      </c>
      <c r="E598" s="7" t="s">
        <v>970</v>
      </c>
      <c r="F598" s="7" t="s">
        <v>444</v>
      </c>
    </row>
    <row r="599">
      <c r="A599" s="7" t="s">
        <v>17</v>
      </c>
      <c r="B599" s="7">
        <v>6.0</v>
      </c>
      <c r="C599" s="7" t="s">
        <v>67</v>
      </c>
      <c r="D599" s="7" t="s">
        <v>969</v>
      </c>
      <c r="E599" s="7" t="s">
        <v>970</v>
      </c>
      <c r="F599" s="7" t="s">
        <v>444</v>
      </c>
    </row>
    <row r="600">
      <c r="A600" s="7" t="s">
        <v>18</v>
      </c>
      <c r="B600" s="7">
        <v>6.0</v>
      </c>
      <c r="C600" s="7" t="s">
        <v>67</v>
      </c>
      <c r="D600" s="7" t="s">
        <v>969</v>
      </c>
      <c r="E600" s="7" t="s">
        <v>970</v>
      </c>
      <c r="F600" s="7" t="s">
        <v>444</v>
      </c>
    </row>
    <row r="601">
      <c r="A601" s="7" t="s">
        <v>19</v>
      </c>
      <c r="B601" s="7">
        <v>6.0</v>
      </c>
      <c r="C601" s="7" t="s">
        <v>67</v>
      </c>
      <c r="D601" s="7" t="s">
        <v>969</v>
      </c>
      <c r="E601" s="7" t="s">
        <v>970</v>
      </c>
      <c r="F601" s="7" t="s">
        <v>444</v>
      </c>
    </row>
    <row r="602">
      <c r="A602" s="7" t="s">
        <v>596</v>
      </c>
      <c r="B602" s="7">
        <v>6.0</v>
      </c>
      <c r="C602" s="7" t="s">
        <v>72</v>
      </c>
      <c r="D602" s="7" t="s">
        <v>978</v>
      </c>
      <c r="E602" s="7" t="s">
        <v>979</v>
      </c>
      <c r="F602" s="7" t="s">
        <v>238</v>
      </c>
    </row>
    <row r="603">
      <c r="A603" s="7" t="s">
        <v>188</v>
      </c>
      <c r="B603" s="7">
        <v>6.0</v>
      </c>
      <c r="C603" s="7" t="s">
        <v>72</v>
      </c>
      <c r="D603" s="7" t="s">
        <v>978</v>
      </c>
      <c r="E603" s="7" t="s">
        <v>979</v>
      </c>
      <c r="F603" s="7" t="s">
        <v>980</v>
      </c>
    </row>
    <row r="604">
      <c r="A604" s="7" t="s">
        <v>4</v>
      </c>
      <c r="B604" s="7">
        <v>6.0</v>
      </c>
      <c r="C604" s="7" t="s">
        <v>72</v>
      </c>
      <c r="D604" s="7" t="s">
        <v>978</v>
      </c>
      <c r="E604" s="7" t="s">
        <v>979</v>
      </c>
      <c r="F604" s="7" t="s">
        <v>238</v>
      </c>
    </row>
    <row r="605">
      <c r="A605" s="7" t="s">
        <v>386</v>
      </c>
      <c r="B605" s="7">
        <v>6.0</v>
      </c>
      <c r="C605" s="7" t="s">
        <v>72</v>
      </c>
      <c r="D605" s="7" t="s">
        <v>978</v>
      </c>
      <c r="E605" s="7" t="s">
        <v>979</v>
      </c>
      <c r="F605" s="7" t="s">
        <v>980</v>
      </c>
    </row>
    <row r="606">
      <c r="A606" s="7" t="s">
        <v>866</v>
      </c>
      <c r="B606" s="7">
        <v>6.0</v>
      </c>
      <c r="C606" s="7" t="s">
        <v>72</v>
      </c>
      <c r="D606" s="7" t="s">
        <v>978</v>
      </c>
      <c r="E606" s="7" t="s">
        <v>979</v>
      </c>
      <c r="F606" s="7" t="s">
        <v>980</v>
      </c>
    </row>
    <row r="607">
      <c r="A607" s="7" t="s">
        <v>5</v>
      </c>
      <c r="B607" s="7">
        <v>6.0</v>
      </c>
      <c r="C607" s="7" t="s">
        <v>72</v>
      </c>
      <c r="D607" s="7" t="s">
        <v>978</v>
      </c>
      <c r="E607" s="7" t="s">
        <v>979</v>
      </c>
      <c r="F607" s="7" t="s">
        <v>76</v>
      </c>
    </row>
    <row r="608">
      <c r="A608" s="7" t="s">
        <v>867</v>
      </c>
      <c r="B608" s="7">
        <v>6.0</v>
      </c>
      <c r="C608" s="7" t="s">
        <v>72</v>
      </c>
      <c r="D608" s="7" t="s">
        <v>978</v>
      </c>
      <c r="E608" s="7" t="s">
        <v>979</v>
      </c>
      <c r="F608" s="7" t="s">
        <v>981</v>
      </c>
    </row>
    <row r="609">
      <c r="A609" s="7" t="s">
        <v>868</v>
      </c>
      <c r="B609" s="7">
        <v>6.0</v>
      </c>
      <c r="C609" s="7" t="s">
        <v>72</v>
      </c>
      <c r="D609" s="7" t="s">
        <v>978</v>
      </c>
      <c r="E609" s="7" t="s">
        <v>979</v>
      </c>
      <c r="F609" s="7" t="s">
        <v>76</v>
      </c>
    </row>
    <row r="610">
      <c r="A610" s="7" t="s">
        <v>599</v>
      </c>
      <c r="B610" s="7">
        <v>6.0</v>
      </c>
      <c r="C610" s="7" t="s">
        <v>72</v>
      </c>
      <c r="D610" s="7" t="s">
        <v>978</v>
      </c>
      <c r="E610" s="7" t="s">
        <v>979</v>
      </c>
      <c r="F610" s="7" t="s">
        <v>902</v>
      </c>
    </row>
    <row r="611">
      <c r="A611" s="7" t="s">
        <v>869</v>
      </c>
      <c r="B611" s="7">
        <v>6.0</v>
      </c>
      <c r="C611" s="7" t="s">
        <v>72</v>
      </c>
      <c r="D611" s="7" t="s">
        <v>978</v>
      </c>
      <c r="E611" s="7" t="s">
        <v>979</v>
      </c>
      <c r="F611" s="7" t="s">
        <v>982</v>
      </c>
    </row>
    <row r="612">
      <c r="A612" s="7" t="s">
        <v>870</v>
      </c>
      <c r="B612" s="7">
        <v>6.0</v>
      </c>
      <c r="C612" s="7" t="s">
        <v>72</v>
      </c>
      <c r="D612" s="7" t="s">
        <v>978</v>
      </c>
      <c r="E612" s="7" t="s">
        <v>979</v>
      </c>
      <c r="F612" s="7" t="s">
        <v>75</v>
      </c>
    </row>
    <row r="613">
      <c r="A613" s="7" t="s">
        <v>6</v>
      </c>
      <c r="B613" s="7">
        <v>6.0</v>
      </c>
      <c r="C613" s="7" t="s">
        <v>72</v>
      </c>
      <c r="D613" s="7" t="s">
        <v>978</v>
      </c>
      <c r="E613" s="7" t="s">
        <v>979</v>
      </c>
      <c r="F613" s="7" t="s">
        <v>75</v>
      </c>
    </row>
    <row r="614">
      <c r="A614" s="7" t="s">
        <v>871</v>
      </c>
      <c r="B614" s="7">
        <v>6.0</v>
      </c>
      <c r="C614" s="7" t="s">
        <v>72</v>
      </c>
      <c r="D614" s="7" t="s">
        <v>978</v>
      </c>
      <c r="E614" s="7" t="s">
        <v>979</v>
      </c>
      <c r="F614" s="7" t="s">
        <v>76</v>
      </c>
    </row>
    <row r="615">
      <c r="A615" s="7" t="s">
        <v>7</v>
      </c>
      <c r="B615" s="7">
        <v>6.0</v>
      </c>
      <c r="C615" s="7" t="s">
        <v>72</v>
      </c>
      <c r="D615" s="7" t="s">
        <v>978</v>
      </c>
      <c r="E615" s="7" t="s">
        <v>979</v>
      </c>
      <c r="F615" s="7" t="s">
        <v>77</v>
      </c>
    </row>
    <row r="616">
      <c r="A616" s="7" t="s">
        <v>8</v>
      </c>
      <c r="B616" s="7">
        <v>6.0</v>
      </c>
      <c r="C616" s="7" t="s">
        <v>72</v>
      </c>
      <c r="D616" s="7" t="s">
        <v>978</v>
      </c>
      <c r="E616" s="7" t="s">
        <v>979</v>
      </c>
      <c r="F616" s="7" t="s">
        <v>77</v>
      </c>
    </row>
    <row r="617">
      <c r="A617" s="7" t="s">
        <v>388</v>
      </c>
      <c r="B617" s="7">
        <v>6.0</v>
      </c>
      <c r="C617" s="7" t="s">
        <v>72</v>
      </c>
      <c r="D617" s="7" t="s">
        <v>978</v>
      </c>
      <c r="E617" s="7" t="s">
        <v>979</v>
      </c>
      <c r="F617" s="7" t="s">
        <v>983</v>
      </c>
    </row>
    <row r="618">
      <c r="A618" s="7" t="s">
        <v>189</v>
      </c>
      <c r="B618" s="7">
        <v>6.0</v>
      </c>
      <c r="C618" s="7" t="s">
        <v>72</v>
      </c>
      <c r="D618" s="7" t="s">
        <v>978</v>
      </c>
      <c r="E618" s="7" t="s">
        <v>979</v>
      </c>
      <c r="F618" s="7" t="s">
        <v>76</v>
      </c>
    </row>
    <row r="619">
      <c r="A619" s="7" t="s">
        <v>9</v>
      </c>
      <c r="B619" s="7">
        <v>6.0</v>
      </c>
      <c r="C619" s="7" t="s">
        <v>72</v>
      </c>
      <c r="D619" s="7" t="s">
        <v>978</v>
      </c>
      <c r="E619" s="7" t="s">
        <v>979</v>
      </c>
      <c r="F619" s="7" t="s">
        <v>77</v>
      </c>
    </row>
    <row r="620">
      <c r="A620" s="7" t="s">
        <v>10</v>
      </c>
      <c r="B620" s="7">
        <v>6.0</v>
      </c>
      <c r="C620" s="7" t="s">
        <v>72</v>
      </c>
      <c r="D620" s="7" t="s">
        <v>978</v>
      </c>
      <c r="E620" s="7" t="s">
        <v>979</v>
      </c>
      <c r="F620" s="7" t="s">
        <v>365</v>
      </c>
    </row>
    <row r="621">
      <c r="A621" s="7" t="s">
        <v>872</v>
      </c>
      <c r="B621" s="7">
        <v>6.0</v>
      </c>
      <c r="C621" s="7" t="s">
        <v>72</v>
      </c>
      <c r="D621" s="7" t="s">
        <v>978</v>
      </c>
      <c r="E621" s="7" t="s">
        <v>979</v>
      </c>
      <c r="F621" s="7" t="s">
        <v>365</v>
      </c>
    </row>
    <row r="622">
      <c r="A622" s="7" t="s">
        <v>873</v>
      </c>
      <c r="B622" s="7">
        <v>6.0</v>
      </c>
      <c r="C622" s="7" t="s">
        <v>72</v>
      </c>
      <c r="D622" s="7" t="s">
        <v>978</v>
      </c>
      <c r="E622" s="7" t="s">
        <v>979</v>
      </c>
      <c r="F622" s="7" t="s">
        <v>77</v>
      </c>
    </row>
    <row r="623">
      <c r="A623" s="7" t="s">
        <v>11</v>
      </c>
      <c r="B623" s="7">
        <v>6.0</v>
      </c>
      <c r="C623" s="7" t="s">
        <v>72</v>
      </c>
      <c r="D623" s="7" t="s">
        <v>978</v>
      </c>
      <c r="E623" s="7" t="s">
        <v>979</v>
      </c>
      <c r="F623" s="7" t="s">
        <v>984</v>
      </c>
    </row>
    <row r="624">
      <c r="A624" s="7" t="s">
        <v>12</v>
      </c>
      <c r="B624" s="7">
        <v>6.0</v>
      </c>
      <c r="C624" s="7" t="s">
        <v>72</v>
      </c>
      <c r="D624" s="7" t="s">
        <v>978</v>
      </c>
      <c r="E624" s="7" t="s">
        <v>979</v>
      </c>
      <c r="F624" s="7" t="s">
        <v>985</v>
      </c>
    </row>
    <row r="625">
      <c r="A625" s="7" t="s">
        <v>874</v>
      </c>
      <c r="B625" s="7">
        <v>6.0</v>
      </c>
      <c r="C625" s="7" t="s">
        <v>72</v>
      </c>
      <c r="D625" s="7" t="s">
        <v>978</v>
      </c>
      <c r="E625" s="7" t="s">
        <v>979</v>
      </c>
      <c r="F625" s="7" t="s">
        <v>76</v>
      </c>
    </row>
    <row r="626">
      <c r="A626" s="7" t="s">
        <v>13</v>
      </c>
      <c r="B626" s="7">
        <v>6.0</v>
      </c>
      <c r="C626" s="7" t="s">
        <v>72</v>
      </c>
      <c r="D626" s="7" t="s">
        <v>978</v>
      </c>
      <c r="E626" s="7" t="s">
        <v>979</v>
      </c>
      <c r="F626" s="7" t="s">
        <v>76</v>
      </c>
    </row>
    <row r="627">
      <c r="A627" s="7" t="s">
        <v>875</v>
      </c>
      <c r="B627" s="7">
        <v>6.0</v>
      </c>
      <c r="C627" s="7" t="s">
        <v>72</v>
      </c>
      <c r="D627" s="7" t="s">
        <v>978</v>
      </c>
      <c r="E627" s="7" t="s">
        <v>979</v>
      </c>
      <c r="F627" s="7" t="s">
        <v>76</v>
      </c>
    </row>
    <row r="628">
      <c r="A628" s="7" t="s">
        <v>14</v>
      </c>
      <c r="B628" s="7">
        <v>6.0</v>
      </c>
      <c r="C628" s="7" t="s">
        <v>72</v>
      </c>
      <c r="D628" s="7" t="s">
        <v>978</v>
      </c>
      <c r="E628" s="7" t="s">
        <v>979</v>
      </c>
      <c r="F628" s="7" t="s">
        <v>76</v>
      </c>
    </row>
    <row r="629">
      <c r="A629" s="7" t="s">
        <v>609</v>
      </c>
      <c r="B629" s="7">
        <v>6.0</v>
      </c>
      <c r="C629" s="7" t="s">
        <v>72</v>
      </c>
      <c r="D629" s="7" t="s">
        <v>978</v>
      </c>
      <c r="E629" s="7" t="s">
        <v>979</v>
      </c>
      <c r="F629" s="7" t="s">
        <v>77</v>
      </c>
    </row>
    <row r="630">
      <c r="A630" s="7" t="s">
        <v>15</v>
      </c>
      <c r="B630" s="7">
        <v>6.0</v>
      </c>
      <c r="C630" s="7" t="s">
        <v>72</v>
      </c>
      <c r="D630" s="7" t="s">
        <v>978</v>
      </c>
      <c r="E630" s="7" t="s">
        <v>979</v>
      </c>
      <c r="F630" s="7" t="s">
        <v>77</v>
      </c>
    </row>
    <row r="631">
      <c r="A631" s="7" t="s">
        <v>610</v>
      </c>
      <c r="B631" s="7">
        <v>6.0</v>
      </c>
      <c r="C631" s="7" t="s">
        <v>72</v>
      </c>
      <c r="D631" s="7" t="s">
        <v>978</v>
      </c>
      <c r="E631" s="7" t="s">
        <v>979</v>
      </c>
      <c r="F631" s="7" t="s">
        <v>365</v>
      </c>
    </row>
    <row r="632">
      <c r="A632" s="7" t="s">
        <v>16</v>
      </c>
      <c r="B632" s="7">
        <v>6.0</v>
      </c>
      <c r="C632" s="7" t="s">
        <v>72</v>
      </c>
      <c r="D632" s="7" t="s">
        <v>978</v>
      </c>
      <c r="E632" s="7" t="s">
        <v>979</v>
      </c>
      <c r="F632" s="7" t="s">
        <v>77</v>
      </c>
    </row>
    <row r="633">
      <c r="A633" s="7" t="s">
        <v>876</v>
      </c>
      <c r="B633" s="7">
        <v>6.0</v>
      </c>
      <c r="C633" s="7" t="s">
        <v>72</v>
      </c>
      <c r="D633" s="7" t="s">
        <v>978</v>
      </c>
      <c r="E633" s="7" t="s">
        <v>979</v>
      </c>
      <c r="F633" s="7" t="s">
        <v>365</v>
      </c>
    </row>
    <row r="634">
      <c r="A634" s="7" t="s">
        <v>877</v>
      </c>
      <c r="B634" s="7">
        <v>6.0</v>
      </c>
      <c r="C634" s="7" t="s">
        <v>72</v>
      </c>
      <c r="D634" s="7" t="s">
        <v>978</v>
      </c>
      <c r="E634" s="7" t="s">
        <v>979</v>
      </c>
      <c r="F634" s="7" t="s">
        <v>77</v>
      </c>
    </row>
    <row r="635">
      <c r="A635" s="7" t="s">
        <v>17</v>
      </c>
      <c r="B635" s="7">
        <v>6.0</v>
      </c>
      <c r="C635" s="7" t="s">
        <v>72</v>
      </c>
      <c r="D635" s="7" t="s">
        <v>978</v>
      </c>
      <c r="E635" s="7" t="s">
        <v>979</v>
      </c>
      <c r="F635" s="7" t="s">
        <v>77</v>
      </c>
    </row>
    <row r="636">
      <c r="A636" s="7" t="s">
        <v>18</v>
      </c>
      <c r="B636" s="7">
        <v>6.0</v>
      </c>
      <c r="C636" s="7" t="s">
        <v>72</v>
      </c>
      <c r="D636" s="7" t="s">
        <v>978</v>
      </c>
      <c r="E636" s="7" t="s">
        <v>979</v>
      </c>
      <c r="F636" s="7" t="s">
        <v>77</v>
      </c>
    </row>
    <row r="637">
      <c r="A637" s="7" t="s">
        <v>19</v>
      </c>
      <c r="B637" s="7">
        <v>6.0</v>
      </c>
      <c r="C637" s="7" t="s">
        <v>72</v>
      </c>
      <c r="D637" s="7" t="s">
        <v>978</v>
      </c>
      <c r="E637" s="7" t="s">
        <v>979</v>
      </c>
      <c r="F637" s="7" t="s">
        <v>77</v>
      </c>
    </row>
    <row r="638">
      <c r="A638" s="7" t="s">
        <v>596</v>
      </c>
      <c r="B638" s="7">
        <v>6.0</v>
      </c>
      <c r="C638" s="7" t="s">
        <v>78</v>
      </c>
      <c r="D638" s="7" t="s">
        <v>986</v>
      </c>
      <c r="E638" s="7" t="s">
        <v>987</v>
      </c>
      <c r="F638" s="7" t="s">
        <v>245</v>
      </c>
    </row>
    <row r="639">
      <c r="A639" s="7" t="s">
        <v>188</v>
      </c>
      <c r="B639" s="7">
        <v>6.0</v>
      </c>
      <c r="C639" s="7" t="s">
        <v>78</v>
      </c>
      <c r="D639" s="7" t="s">
        <v>986</v>
      </c>
      <c r="E639" s="7" t="s">
        <v>987</v>
      </c>
      <c r="F639" s="7" t="s">
        <v>470</v>
      </c>
    </row>
    <row r="640">
      <c r="A640" s="7" t="s">
        <v>4</v>
      </c>
      <c r="B640" s="7">
        <v>6.0</v>
      </c>
      <c r="C640" s="7" t="s">
        <v>78</v>
      </c>
      <c r="D640" s="7" t="s">
        <v>986</v>
      </c>
      <c r="E640" s="7" t="s">
        <v>987</v>
      </c>
      <c r="F640" s="7" t="s">
        <v>81</v>
      </c>
    </row>
    <row r="641">
      <c r="A641" s="7" t="s">
        <v>386</v>
      </c>
      <c r="B641" s="7">
        <v>6.0</v>
      </c>
      <c r="C641" s="7" t="s">
        <v>78</v>
      </c>
      <c r="D641" s="7" t="s">
        <v>986</v>
      </c>
      <c r="E641" s="7" t="s">
        <v>987</v>
      </c>
      <c r="F641" s="7" t="s">
        <v>247</v>
      </c>
    </row>
    <row r="642">
      <c r="A642" s="7" t="s">
        <v>866</v>
      </c>
      <c r="B642" s="7">
        <v>6.0</v>
      </c>
      <c r="C642" s="7" t="s">
        <v>78</v>
      </c>
      <c r="D642" s="7" t="s">
        <v>986</v>
      </c>
      <c r="E642" s="7" t="s">
        <v>987</v>
      </c>
      <c r="F642" s="7" t="s">
        <v>988</v>
      </c>
    </row>
    <row r="643">
      <c r="A643" s="7" t="s">
        <v>5</v>
      </c>
      <c r="B643" s="7">
        <v>6.0</v>
      </c>
      <c r="C643" s="7" t="s">
        <v>78</v>
      </c>
      <c r="D643" s="7" t="s">
        <v>986</v>
      </c>
      <c r="E643" s="7" t="s">
        <v>987</v>
      </c>
      <c r="F643" s="7" t="s">
        <v>82</v>
      </c>
    </row>
    <row r="644">
      <c r="A644" s="7" t="s">
        <v>867</v>
      </c>
      <c r="B644" s="7">
        <v>6.0</v>
      </c>
      <c r="C644" s="7" t="s">
        <v>78</v>
      </c>
      <c r="D644" s="7" t="s">
        <v>986</v>
      </c>
      <c r="E644" s="7" t="s">
        <v>987</v>
      </c>
      <c r="F644" s="7" t="s">
        <v>989</v>
      </c>
    </row>
    <row r="645">
      <c r="A645" s="7" t="s">
        <v>868</v>
      </c>
      <c r="B645" s="7">
        <v>6.0</v>
      </c>
      <c r="C645" s="7" t="s">
        <v>78</v>
      </c>
      <c r="D645" s="7" t="s">
        <v>986</v>
      </c>
      <c r="E645" s="7" t="s">
        <v>987</v>
      </c>
      <c r="F645" s="7" t="s">
        <v>81</v>
      </c>
    </row>
    <row r="646">
      <c r="A646" s="7" t="s">
        <v>599</v>
      </c>
      <c r="B646" s="7">
        <v>6.0</v>
      </c>
      <c r="C646" s="7" t="s">
        <v>78</v>
      </c>
      <c r="D646" s="7" t="s">
        <v>986</v>
      </c>
      <c r="E646" s="7" t="s">
        <v>987</v>
      </c>
      <c r="F646" s="7" t="s">
        <v>245</v>
      </c>
    </row>
    <row r="647">
      <c r="A647" s="7" t="s">
        <v>869</v>
      </c>
      <c r="B647" s="7">
        <v>6.0</v>
      </c>
      <c r="C647" s="7" t="s">
        <v>78</v>
      </c>
      <c r="D647" s="7" t="s">
        <v>986</v>
      </c>
      <c r="E647" s="7" t="s">
        <v>987</v>
      </c>
      <c r="F647" s="7" t="s">
        <v>990</v>
      </c>
    </row>
    <row r="648">
      <c r="A648" s="7" t="s">
        <v>870</v>
      </c>
      <c r="B648" s="7">
        <v>6.0</v>
      </c>
      <c r="C648" s="7" t="s">
        <v>78</v>
      </c>
      <c r="D648" s="7" t="s">
        <v>986</v>
      </c>
      <c r="E648" s="7" t="s">
        <v>987</v>
      </c>
      <c r="F648" s="7" t="s">
        <v>991</v>
      </c>
    </row>
    <row r="649">
      <c r="A649" s="7" t="s">
        <v>6</v>
      </c>
      <c r="B649" s="7">
        <v>6.0</v>
      </c>
      <c r="C649" s="7" t="s">
        <v>78</v>
      </c>
      <c r="D649" s="7" t="s">
        <v>986</v>
      </c>
      <c r="E649" s="7" t="s">
        <v>987</v>
      </c>
      <c r="F649" s="7" t="s">
        <v>245</v>
      </c>
    </row>
    <row r="650">
      <c r="A650" s="7" t="s">
        <v>871</v>
      </c>
      <c r="B650" s="7">
        <v>6.0</v>
      </c>
      <c r="C650" s="7" t="s">
        <v>78</v>
      </c>
      <c r="D650" s="7" t="s">
        <v>986</v>
      </c>
      <c r="E650" s="7" t="s">
        <v>987</v>
      </c>
      <c r="F650" s="7" t="s">
        <v>85</v>
      </c>
    </row>
    <row r="651">
      <c r="A651" s="7" t="s">
        <v>7</v>
      </c>
      <c r="B651" s="7">
        <v>6.0</v>
      </c>
      <c r="C651" s="7" t="s">
        <v>78</v>
      </c>
      <c r="D651" s="7" t="s">
        <v>986</v>
      </c>
      <c r="E651" s="7" t="s">
        <v>987</v>
      </c>
      <c r="F651" s="7" t="s">
        <v>693</v>
      </c>
    </row>
    <row r="652">
      <c r="A652" s="7" t="s">
        <v>8</v>
      </c>
      <c r="B652" s="7">
        <v>6.0</v>
      </c>
      <c r="C652" s="7" t="s">
        <v>78</v>
      </c>
      <c r="D652" s="7" t="s">
        <v>986</v>
      </c>
      <c r="E652" s="7" t="s">
        <v>987</v>
      </c>
      <c r="F652" s="7" t="s">
        <v>992</v>
      </c>
    </row>
    <row r="653">
      <c r="A653" s="7" t="s">
        <v>388</v>
      </c>
      <c r="B653" s="7">
        <v>6.0</v>
      </c>
      <c r="C653" s="7" t="s">
        <v>78</v>
      </c>
      <c r="D653" s="7" t="s">
        <v>986</v>
      </c>
      <c r="E653" s="7" t="s">
        <v>987</v>
      </c>
      <c r="F653" s="7" t="s">
        <v>82</v>
      </c>
    </row>
    <row r="654">
      <c r="A654" s="7" t="s">
        <v>189</v>
      </c>
      <c r="B654" s="7">
        <v>6.0</v>
      </c>
      <c r="C654" s="7" t="s">
        <v>78</v>
      </c>
      <c r="D654" s="7" t="s">
        <v>986</v>
      </c>
      <c r="E654" s="7" t="s">
        <v>987</v>
      </c>
      <c r="F654" s="7" t="s">
        <v>993</v>
      </c>
    </row>
    <row r="655">
      <c r="A655" s="7" t="s">
        <v>9</v>
      </c>
      <c r="B655" s="7">
        <v>6.0</v>
      </c>
      <c r="C655" s="7" t="s">
        <v>78</v>
      </c>
      <c r="D655" s="7" t="s">
        <v>986</v>
      </c>
      <c r="E655" s="7" t="s">
        <v>987</v>
      </c>
      <c r="F655" s="7" t="s">
        <v>245</v>
      </c>
    </row>
    <row r="656">
      <c r="A656" s="7" t="s">
        <v>10</v>
      </c>
      <c r="B656" s="7">
        <v>6.0</v>
      </c>
      <c r="C656" s="7" t="s">
        <v>78</v>
      </c>
      <c r="D656" s="7" t="s">
        <v>986</v>
      </c>
      <c r="E656" s="7" t="s">
        <v>987</v>
      </c>
      <c r="F656" s="7" t="s">
        <v>85</v>
      </c>
    </row>
    <row r="657">
      <c r="A657" s="7" t="s">
        <v>872</v>
      </c>
      <c r="B657" s="7">
        <v>6.0</v>
      </c>
      <c r="C657" s="7" t="s">
        <v>78</v>
      </c>
      <c r="D657" s="7" t="s">
        <v>986</v>
      </c>
      <c r="E657" s="7" t="s">
        <v>987</v>
      </c>
      <c r="F657" s="7" t="s">
        <v>245</v>
      </c>
    </row>
    <row r="658">
      <c r="A658" s="7" t="s">
        <v>873</v>
      </c>
      <c r="B658" s="7">
        <v>6.0</v>
      </c>
      <c r="C658" s="7" t="s">
        <v>78</v>
      </c>
      <c r="D658" s="7" t="s">
        <v>986</v>
      </c>
      <c r="E658" s="7" t="s">
        <v>987</v>
      </c>
      <c r="F658" s="7" t="s">
        <v>902</v>
      </c>
    </row>
    <row r="659">
      <c r="A659" s="7" t="s">
        <v>11</v>
      </c>
      <c r="B659" s="7">
        <v>6.0</v>
      </c>
      <c r="C659" s="7" t="s">
        <v>78</v>
      </c>
      <c r="D659" s="7" t="s">
        <v>986</v>
      </c>
      <c r="E659" s="7" t="s">
        <v>987</v>
      </c>
      <c r="F659" s="7" t="s">
        <v>245</v>
      </c>
    </row>
    <row r="660">
      <c r="A660" s="7" t="s">
        <v>12</v>
      </c>
      <c r="B660" s="7">
        <v>6.0</v>
      </c>
      <c r="C660" s="7" t="s">
        <v>78</v>
      </c>
      <c r="D660" s="7" t="s">
        <v>986</v>
      </c>
      <c r="E660" s="7" t="s">
        <v>987</v>
      </c>
      <c r="F660" s="7" t="s">
        <v>469</v>
      </c>
    </row>
    <row r="661">
      <c r="A661" s="7" t="s">
        <v>874</v>
      </c>
      <c r="B661" s="7">
        <v>6.0</v>
      </c>
      <c r="C661" s="7" t="s">
        <v>78</v>
      </c>
      <c r="D661" s="7" t="s">
        <v>986</v>
      </c>
      <c r="E661" s="7" t="s">
        <v>987</v>
      </c>
      <c r="F661" s="7" t="s">
        <v>247</v>
      </c>
    </row>
    <row r="662">
      <c r="A662" s="7" t="s">
        <v>13</v>
      </c>
      <c r="B662" s="7">
        <v>6.0</v>
      </c>
      <c r="C662" s="7" t="s">
        <v>78</v>
      </c>
      <c r="D662" s="7" t="s">
        <v>986</v>
      </c>
      <c r="E662" s="7" t="s">
        <v>987</v>
      </c>
      <c r="F662" s="7" t="s">
        <v>994</v>
      </c>
    </row>
    <row r="663">
      <c r="A663" s="7" t="s">
        <v>875</v>
      </c>
      <c r="B663" s="7">
        <v>6.0</v>
      </c>
      <c r="C663" s="7" t="s">
        <v>78</v>
      </c>
      <c r="D663" s="7" t="s">
        <v>986</v>
      </c>
      <c r="E663" s="7" t="s">
        <v>987</v>
      </c>
      <c r="F663" s="7" t="s">
        <v>245</v>
      </c>
    </row>
    <row r="664">
      <c r="A664" s="7" t="s">
        <v>14</v>
      </c>
      <c r="B664" s="7">
        <v>6.0</v>
      </c>
      <c r="C664" s="7" t="s">
        <v>78</v>
      </c>
      <c r="D664" s="7" t="s">
        <v>986</v>
      </c>
      <c r="E664" s="7" t="s">
        <v>987</v>
      </c>
      <c r="F664" s="7" t="s">
        <v>995</v>
      </c>
    </row>
    <row r="665">
      <c r="A665" s="7" t="s">
        <v>609</v>
      </c>
      <c r="B665" s="7">
        <v>6.0</v>
      </c>
      <c r="C665" s="7" t="s">
        <v>78</v>
      </c>
      <c r="D665" s="7" t="s">
        <v>986</v>
      </c>
      <c r="E665" s="7" t="s">
        <v>987</v>
      </c>
      <c r="F665" s="7" t="s">
        <v>245</v>
      </c>
    </row>
    <row r="666">
      <c r="A666" s="7" t="s">
        <v>15</v>
      </c>
      <c r="B666" s="7">
        <v>6.0</v>
      </c>
      <c r="C666" s="7" t="s">
        <v>78</v>
      </c>
      <c r="D666" s="7" t="s">
        <v>986</v>
      </c>
      <c r="E666" s="7" t="s">
        <v>987</v>
      </c>
      <c r="F666" s="7" t="s">
        <v>996</v>
      </c>
    </row>
    <row r="667">
      <c r="A667" s="7" t="s">
        <v>610</v>
      </c>
      <c r="B667" s="7">
        <v>6.0</v>
      </c>
      <c r="C667" s="7" t="s">
        <v>78</v>
      </c>
      <c r="D667" s="7" t="s">
        <v>986</v>
      </c>
      <c r="E667" s="7" t="s">
        <v>987</v>
      </c>
      <c r="F667" s="7" t="s">
        <v>997</v>
      </c>
    </row>
    <row r="668">
      <c r="A668" s="7" t="s">
        <v>16</v>
      </c>
      <c r="B668" s="7">
        <v>6.0</v>
      </c>
      <c r="C668" s="7" t="s">
        <v>78</v>
      </c>
      <c r="D668" s="7" t="s">
        <v>986</v>
      </c>
      <c r="E668" s="7" t="s">
        <v>987</v>
      </c>
      <c r="F668" s="7" t="s">
        <v>695</v>
      </c>
    </row>
    <row r="669">
      <c r="A669" s="7" t="s">
        <v>876</v>
      </c>
      <c r="B669" s="7">
        <v>6.0</v>
      </c>
      <c r="C669" s="7" t="s">
        <v>78</v>
      </c>
      <c r="D669" s="7" t="s">
        <v>986</v>
      </c>
      <c r="E669" s="7" t="s">
        <v>987</v>
      </c>
      <c r="F669" s="7" t="s">
        <v>85</v>
      </c>
    </row>
    <row r="670">
      <c r="A670" s="7" t="s">
        <v>877</v>
      </c>
      <c r="B670" s="7">
        <v>6.0</v>
      </c>
      <c r="C670" s="7" t="s">
        <v>78</v>
      </c>
      <c r="D670" s="7" t="s">
        <v>986</v>
      </c>
      <c r="E670" s="7" t="s">
        <v>987</v>
      </c>
      <c r="F670" s="7" t="s">
        <v>245</v>
      </c>
    </row>
    <row r="671">
      <c r="A671" s="7" t="s">
        <v>17</v>
      </c>
      <c r="B671" s="7">
        <v>6.0</v>
      </c>
      <c r="C671" s="7" t="s">
        <v>78</v>
      </c>
      <c r="D671" s="7" t="s">
        <v>986</v>
      </c>
      <c r="E671" s="7" t="s">
        <v>987</v>
      </c>
      <c r="F671" s="7" t="s">
        <v>998</v>
      </c>
    </row>
    <row r="672">
      <c r="A672" s="7" t="s">
        <v>18</v>
      </c>
      <c r="B672" s="7">
        <v>6.0</v>
      </c>
      <c r="C672" s="7" t="s">
        <v>78</v>
      </c>
      <c r="D672" s="7" t="s">
        <v>986</v>
      </c>
      <c r="E672" s="7" t="s">
        <v>987</v>
      </c>
      <c r="F672" s="7" t="s">
        <v>245</v>
      </c>
    </row>
    <row r="673">
      <c r="A673" s="7" t="s">
        <v>19</v>
      </c>
      <c r="B673" s="7">
        <v>6.0</v>
      </c>
      <c r="C673" s="7" t="s">
        <v>78</v>
      </c>
      <c r="D673" s="7" t="s">
        <v>986</v>
      </c>
      <c r="E673" s="7" t="s">
        <v>987</v>
      </c>
      <c r="F673" s="7" t="s">
        <v>999</v>
      </c>
    </row>
    <row r="674">
      <c r="A674" s="7" t="s">
        <v>596</v>
      </c>
      <c r="B674" s="7">
        <v>6.0</v>
      </c>
      <c r="C674" s="7" t="s">
        <v>699</v>
      </c>
      <c r="D674" s="7" t="s">
        <v>1000</v>
      </c>
      <c r="E674" s="7" t="s">
        <v>1001</v>
      </c>
      <c r="F674" s="7" t="s">
        <v>1002</v>
      </c>
    </row>
    <row r="675">
      <c r="A675" s="7" t="s">
        <v>188</v>
      </c>
      <c r="B675" s="7">
        <v>6.0</v>
      </c>
      <c r="C675" s="7" t="s">
        <v>699</v>
      </c>
      <c r="D675" s="7" t="s">
        <v>1000</v>
      </c>
      <c r="E675" s="7" t="s">
        <v>1001</v>
      </c>
      <c r="F675" s="7" t="s">
        <v>1003</v>
      </c>
    </row>
    <row r="676">
      <c r="A676" s="7" t="s">
        <v>4</v>
      </c>
      <c r="B676" s="7">
        <v>6.0</v>
      </c>
      <c r="C676" s="7" t="s">
        <v>699</v>
      </c>
      <c r="D676" s="7" t="s">
        <v>1000</v>
      </c>
      <c r="E676" s="7" t="s">
        <v>1001</v>
      </c>
      <c r="F676" s="7" t="s">
        <v>703</v>
      </c>
    </row>
    <row r="677">
      <c r="A677" s="7" t="s">
        <v>386</v>
      </c>
      <c r="B677" s="7">
        <v>6.0</v>
      </c>
      <c r="C677" s="7" t="s">
        <v>699</v>
      </c>
      <c r="D677" s="7" t="s">
        <v>1000</v>
      </c>
      <c r="E677" s="7" t="s">
        <v>1001</v>
      </c>
      <c r="F677" s="7" t="s">
        <v>1003</v>
      </c>
    </row>
    <row r="678">
      <c r="A678" s="7" t="s">
        <v>866</v>
      </c>
      <c r="B678" s="7">
        <v>6.0</v>
      </c>
      <c r="C678" s="7" t="s">
        <v>699</v>
      </c>
      <c r="D678" s="7" t="s">
        <v>1000</v>
      </c>
      <c r="E678" s="7" t="s">
        <v>1001</v>
      </c>
      <c r="F678" s="7" t="s">
        <v>1004</v>
      </c>
    </row>
    <row r="679">
      <c r="A679" s="7" t="s">
        <v>5</v>
      </c>
      <c r="B679" s="7">
        <v>6.0</v>
      </c>
      <c r="C679" s="7" t="s">
        <v>699</v>
      </c>
      <c r="D679" s="7" t="s">
        <v>1000</v>
      </c>
      <c r="E679" s="7" t="s">
        <v>1001</v>
      </c>
      <c r="F679" s="7" t="s">
        <v>1005</v>
      </c>
    </row>
    <row r="680">
      <c r="A680" s="7" t="s">
        <v>867</v>
      </c>
      <c r="B680" s="7">
        <v>6.0</v>
      </c>
      <c r="C680" s="7" t="s">
        <v>699</v>
      </c>
      <c r="D680" s="7" t="s">
        <v>1000</v>
      </c>
      <c r="E680" s="7" t="s">
        <v>1001</v>
      </c>
      <c r="F680" s="7" t="s">
        <v>1006</v>
      </c>
    </row>
    <row r="681">
      <c r="A681" s="7" t="s">
        <v>868</v>
      </c>
      <c r="B681" s="7">
        <v>6.0</v>
      </c>
      <c r="C681" s="7" t="s">
        <v>699</v>
      </c>
      <c r="D681" s="7" t="s">
        <v>1000</v>
      </c>
      <c r="E681" s="7" t="s">
        <v>1001</v>
      </c>
      <c r="F681" s="7" t="s">
        <v>1006</v>
      </c>
    </row>
    <row r="682">
      <c r="A682" s="7" t="s">
        <v>599</v>
      </c>
      <c r="B682" s="7">
        <v>6.0</v>
      </c>
      <c r="C682" s="7" t="s">
        <v>699</v>
      </c>
      <c r="D682" s="7" t="s">
        <v>1000</v>
      </c>
      <c r="E682" s="7" t="s">
        <v>1001</v>
      </c>
      <c r="F682" s="7" t="s">
        <v>702</v>
      </c>
    </row>
    <row r="683">
      <c r="A683" s="7" t="s">
        <v>869</v>
      </c>
      <c r="B683" s="7">
        <v>6.0</v>
      </c>
      <c r="C683" s="7" t="s">
        <v>699</v>
      </c>
      <c r="D683" s="7" t="s">
        <v>1000</v>
      </c>
      <c r="E683" s="7" t="s">
        <v>1001</v>
      </c>
      <c r="F683" s="7" t="s">
        <v>1007</v>
      </c>
    </row>
    <row r="684">
      <c r="A684" s="7" t="s">
        <v>870</v>
      </c>
      <c r="B684" s="7">
        <v>6.0</v>
      </c>
      <c r="C684" s="7" t="s">
        <v>699</v>
      </c>
      <c r="D684" s="7" t="s">
        <v>1000</v>
      </c>
      <c r="E684" s="7" t="s">
        <v>1001</v>
      </c>
      <c r="F684" s="7" t="s">
        <v>1003</v>
      </c>
    </row>
    <row r="685">
      <c r="A685" s="7" t="s">
        <v>6</v>
      </c>
      <c r="B685" s="7">
        <v>6.0</v>
      </c>
      <c r="C685" s="7" t="s">
        <v>699</v>
      </c>
      <c r="D685" s="7" t="s">
        <v>1000</v>
      </c>
      <c r="E685" s="7" t="s">
        <v>1001</v>
      </c>
      <c r="F685" s="7" t="s">
        <v>1008</v>
      </c>
    </row>
    <row r="686">
      <c r="A686" s="7" t="s">
        <v>871</v>
      </c>
      <c r="B686" s="7">
        <v>6.0</v>
      </c>
      <c r="C686" s="7" t="s">
        <v>699</v>
      </c>
      <c r="D686" s="7" t="s">
        <v>1000</v>
      </c>
      <c r="E686" s="7" t="s">
        <v>1001</v>
      </c>
      <c r="F686" s="7" t="s">
        <v>1009</v>
      </c>
    </row>
    <row r="687">
      <c r="A687" s="7" t="s">
        <v>7</v>
      </c>
      <c r="B687" s="7">
        <v>6.0</v>
      </c>
      <c r="C687" s="7" t="s">
        <v>699</v>
      </c>
      <c r="D687" s="7" t="s">
        <v>1000</v>
      </c>
      <c r="E687" s="7" t="s">
        <v>1001</v>
      </c>
      <c r="F687" s="7" t="s">
        <v>707</v>
      </c>
    </row>
    <row r="688">
      <c r="A688" s="7" t="s">
        <v>8</v>
      </c>
      <c r="B688" s="7">
        <v>6.0</v>
      </c>
      <c r="C688" s="7" t="s">
        <v>699</v>
      </c>
      <c r="D688" s="7" t="s">
        <v>1000</v>
      </c>
      <c r="E688" s="7" t="s">
        <v>1001</v>
      </c>
      <c r="F688" s="7" t="s">
        <v>1010</v>
      </c>
    </row>
    <row r="689">
      <c r="A689" s="7" t="s">
        <v>388</v>
      </c>
      <c r="B689" s="7">
        <v>6.0</v>
      </c>
      <c r="C689" s="7" t="s">
        <v>699</v>
      </c>
      <c r="D689" s="7" t="s">
        <v>1000</v>
      </c>
      <c r="E689" s="7" t="s">
        <v>1001</v>
      </c>
      <c r="F689" s="7" t="s">
        <v>709</v>
      </c>
    </row>
    <row r="690">
      <c r="A690" s="7" t="s">
        <v>189</v>
      </c>
      <c r="B690" s="7">
        <v>6.0</v>
      </c>
      <c r="C690" s="7" t="s">
        <v>699</v>
      </c>
      <c r="D690" s="7" t="s">
        <v>1000</v>
      </c>
      <c r="E690" s="7" t="s">
        <v>1001</v>
      </c>
      <c r="F690" s="7" t="s">
        <v>1006</v>
      </c>
    </row>
    <row r="691">
      <c r="A691" s="7" t="s">
        <v>9</v>
      </c>
      <c r="B691" s="7">
        <v>6.0</v>
      </c>
      <c r="C691" s="7" t="s">
        <v>699</v>
      </c>
      <c r="D691" s="7" t="s">
        <v>1000</v>
      </c>
      <c r="E691" s="7" t="s">
        <v>1001</v>
      </c>
      <c r="F691" s="7" t="s">
        <v>702</v>
      </c>
    </row>
    <row r="692">
      <c r="A692" s="7" t="s">
        <v>10</v>
      </c>
      <c r="B692" s="7">
        <v>6.0</v>
      </c>
      <c r="C692" s="7" t="s">
        <v>699</v>
      </c>
      <c r="D692" s="7" t="s">
        <v>1000</v>
      </c>
      <c r="E692" s="7" t="s">
        <v>1001</v>
      </c>
      <c r="F692" s="7" t="s">
        <v>1006</v>
      </c>
    </row>
    <row r="693">
      <c r="A693" s="7" t="s">
        <v>872</v>
      </c>
      <c r="B693" s="7">
        <v>6.0</v>
      </c>
      <c r="C693" s="7" t="s">
        <v>699</v>
      </c>
      <c r="D693" s="7" t="s">
        <v>1000</v>
      </c>
      <c r="E693" s="7" t="s">
        <v>1001</v>
      </c>
      <c r="F693" s="7" t="s">
        <v>1011</v>
      </c>
    </row>
    <row r="694">
      <c r="A694" s="7" t="s">
        <v>873</v>
      </c>
      <c r="B694" s="7">
        <v>6.0</v>
      </c>
      <c r="C694" s="7" t="s">
        <v>699</v>
      </c>
      <c r="D694" s="7" t="s">
        <v>1000</v>
      </c>
      <c r="E694" s="7" t="s">
        <v>1001</v>
      </c>
      <c r="F694" s="7" t="s">
        <v>1012</v>
      </c>
    </row>
    <row r="695">
      <c r="A695" s="7" t="s">
        <v>11</v>
      </c>
      <c r="B695" s="7">
        <v>6.0</v>
      </c>
      <c r="C695" s="7" t="s">
        <v>699</v>
      </c>
      <c r="D695" s="7" t="s">
        <v>1000</v>
      </c>
      <c r="E695" s="7" t="s">
        <v>1001</v>
      </c>
      <c r="F695" s="7" t="s">
        <v>1013</v>
      </c>
    </row>
    <row r="696">
      <c r="A696" s="7" t="s">
        <v>12</v>
      </c>
      <c r="B696" s="7">
        <v>6.0</v>
      </c>
      <c r="C696" s="7" t="s">
        <v>699</v>
      </c>
      <c r="D696" s="7" t="s">
        <v>1000</v>
      </c>
      <c r="E696" s="7" t="s">
        <v>1001</v>
      </c>
      <c r="F696" s="7" t="s">
        <v>1014</v>
      </c>
    </row>
    <row r="697">
      <c r="A697" s="7" t="s">
        <v>874</v>
      </c>
      <c r="B697" s="7">
        <v>6.0</v>
      </c>
      <c r="C697" s="7" t="s">
        <v>699</v>
      </c>
      <c r="D697" s="7" t="s">
        <v>1000</v>
      </c>
      <c r="E697" s="7" t="s">
        <v>1001</v>
      </c>
      <c r="F697" s="7" t="s">
        <v>1015</v>
      </c>
    </row>
    <row r="698">
      <c r="A698" s="7" t="s">
        <v>13</v>
      </c>
      <c r="B698" s="7">
        <v>6.0</v>
      </c>
      <c r="C698" s="7" t="s">
        <v>699</v>
      </c>
      <c r="D698" s="7" t="s">
        <v>1000</v>
      </c>
      <c r="E698" s="7" t="s">
        <v>1001</v>
      </c>
      <c r="F698" s="7" t="s">
        <v>1016</v>
      </c>
    </row>
    <row r="699">
      <c r="A699" s="7" t="s">
        <v>875</v>
      </c>
      <c r="B699" s="7">
        <v>6.0</v>
      </c>
      <c r="C699" s="7" t="s">
        <v>699</v>
      </c>
      <c r="D699" s="7" t="s">
        <v>1000</v>
      </c>
      <c r="E699" s="7" t="s">
        <v>1001</v>
      </c>
      <c r="F699" s="7" t="s">
        <v>1017</v>
      </c>
    </row>
    <row r="700">
      <c r="A700" s="7" t="s">
        <v>14</v>
      </c>
      <c r="B700" s="7">
        <v>6.0</v>
      </c>
      <c r="C700" s="7" t="s">
        <v>699</v>
      </c>
      <c r="D700" s="7" t="s">
        <v>1000</v>
      </c>
      <c r="E700" s="7" t="s">
        <v>1001</v>
      </c>
      <c r="F700" s="7" t="s">
        <v>1006</v>
      </c>
    </row>
    <row r="701">
      <c r="A701" s="7" t="s">
        <v>609</v>
      </c>
      <c r="B701" s="7">
        <v>6.0</v>
      </c>
      <c r="C701" s="7" t="s">
        <v>699</v>
      </c>
      <c r="D701" s="7" t="s">
        <v>1000</v>
      </c>
      <c r="E701" s="7" t="s">
        <v>1001</v>
      </c>
      <c r="F701" s="7" t="s">
        <v>1018</v>
      </c>
    </row>
    <row r="702">
      <c r="A702" s="7" t="s">
        <v>15</v>
      </c>
      <c r="B702" s="7">
        <v>6.0</v>
      </c>
      <c r="C702" s="7" t="s">
        <v>699</v>
      </c>
      <c r="D702" s="7" t="s">
        <v>1000</v>
      </c>
      <c r="E702" s="7" t="s">
        <v>1001</v>
      </c>
      <c r="F702" s="7" t="s">
        <v>1019</v>
      </c>
    </row>
    <row r="703">
      <c r="A703" s="7" t="s">
        <v>610</v>
      </c>
      <c r="B703" s="7">
        <v>6.0</v>
      </c>
      <c r="C703" s="7" t="s">
        <v>699</v>
      </c>
      <c r="D703" s="7" t="s">
        <v>1000</v>
      </c>
      <c r="E703" s="7" t="s">
        <v>1001</v>
      </c>
      <c r="F703" s="7" t="s">
        <v>702</v>
      </c>
    </row>
    <row r="704">
      <c r="A704" s="7" t="s">
        <v>16</v>
      </c>
      <c r="B704" s="7">
        <v>6.0</v>
      </c>
      <c r="C704" s="7" t="s">
        <v>699</v>
      </c>
      <c r="D704" s="7" t="s">
        <v>1000</v>
      </c>
      <c r="E704" s="7" t="s">
        <v>1001</v>
      </c>
      <c r="F704" s="7" t="s">
        <v>716</v>
      </c>
    </row>
    <row r="705">
      <c r="A705" s="7" t="s">
        <v>876</v>
      </c>
      <c r="B705" s="7">
        <v>6.0</v>
      </c>
      <c r="C705" s="7" t="s">
        <v>699</v>
      </c>
      <c r="D705" s="7" t="s">
        <v>1000</v>
      </c>
      <c r="E705" s="7" t="s">
        <v>1001</v>
      </c>
      <c r="F705" s="7" t="s">
        <v>1006</v>
      </c>
    </row>
    <row r="706">
      <c r="A706" s="7" t="s">
        <v>877</v>
      </c>
      <c r="B706" s="7">
        <v>6.0</v>
      </c>
      <c r="C706" s="7" t="s">
        <v>699</v>
      </c>
      <c r="D706" s="7" t="s">
        <v>1000</v>
      </c>
      <c r="E706" s="7" t="s">
        <v>1001</v>
      </c>
      <c r="F706" s="7" t="s">
        <v>702</v>
      </c>
    </row>
    <row r="707">
      <c r="A707" s="7" t="s">
        <v>17</v>
      </c>
      <c r="B707" s="7">
        <v>6.0</v>
      </c>
      <c r="C707" s="7" t="s">
        <v>699</v>
      </c>
      <c r="D707" s="7" t="s">
        <v>1000</v>
      </c>
      <c r="E707" s="7" t="s">
        <v>1001</v>
      </c>
      <c r="F707" s="7" t="s">
        <v>1020</v>
      </c>
    </row>
    <row r="708">
      <c r="A708" s="7" t="s">
        <v>18</v>
      </c>
      <c r="B708" s="7">
        <v>6.0</v>
      </c>
      <c r="C708" s="7" t="s">
        <v>699</v>
      </c>
      <c r="D708" s="7" t="s">
        <v>1000</v>
      </c>
      <c r="E708" s="7" t="s">
        <v>1001</v>
      </c>
      <c r="F708" s="7" t="s">
        <v>1021</v>
      </c>
    </row>
    <row r="709">
      <c r="A709" s="7" t="s">
        <v>19</v>
      </c>
      <c r="B709" s="7">
        <v>6.0</v>
      </c>
      <c r="C709" s="7" t="s">
        <v>699</v>
      </c>
      <c r="D709" s="7" t="s">
        <v>1000</v>
      </c>
      <c r="E709" s="7" t="s">
        <v>1001</v>
      </c>
      <c r="F709" s="7" t="s">
        <v>719</v>
      </c>
    </row>
    <row r="710">
      <c r="A710" s="7" t="s">
        <v>596</v>
      </c>
      <c r="B710" s="7">
        <v>6.0</v>
      </c>
      <c r="C710" s="7" t="s">
        <v>101</v>
      </c>
      <c r="D710" s="7" t="s">
        <v>1022</v>
      </c>
      <c r="E710" s="7" t="s">
        <v>1023</v>
      </c>
      <c r="F710" s="7" t="s">
        <v>780</v>
      </c>
    </row>
    <row r="711">
      <c r="A711" s="7" t="s">
        <v>188</v>
      </c>
      <c r="B711" s="7">
        <v>6.0</v>
      </c>
      <c r="C711" s="7" t="s">
        <v>101</v>
      </c>
      <c r="D711" s="7" t="s">
        <v>1022</v>
      </c>
      <c r="E711" s="7" t="s">
        <v>1023</v>
      </c>
      <c r="F711" s="7" t="s">
        <v>1024</v>
      </c>
    </row>
    <row r="712">
      <c r="A712" s="7" t="s">
        <v>386</v>
      </c>
      <c r="B712" s="7">
        <v>6.0</v>
      </c>
      <c r="C712" s="7" t="s">
        <v>101</v>
      </c>
      <c r="D712" s="7" t="s">
        <v>1022</v>
      </c>
      <c r="E712" s="7" t="s">
        <v>1023</v>
      </c>
      <c r="F712" s="7" t="s">
        <v>1024</v>
      </c>
    </row>
    <row r="713">
      <c r="A713" s="7" t="s">
        <v>866</v>
      </c>
      <c r="B713" s="7">
        <v>6.0</v>
      </c>
      <c r="C713" s="7" t="s">
        <v>101</v>
      </c>
      <c r="D713" s="7" t="s">
        <v>1022</v>
      </c>
      <c r="E713" s="7" t="s">
        <v>1023</v>
      </c>
      <c r="F713" s="7" t="s">
        <v>1024</v>
      </c>
    </row>
    <row r="714">
      <c r="A714" s="7" t="s">
        <v>5</v>
      </c>
      <c r="B714" s="7">
        <v>6.0</v>
      </c>
      <c r="C714" s="7" t="s">
        <v>101</v>
      </c>
      <c r="D714" s="7" t="s">
        <v>1022</v>
      </c>
      <c r="E714" s="7" t="s">
        <v>1023</v>
      </c>
      <c r="F714" s="7" t="s">
        <v>1025</v>
      </c>
    </row>
    <row r="715">
      <c r="A715" s="7" t="s">
        <v>867</v>
      </c>
      <c r="B715" s="7">
        <v>6.0</v>
      </c>
      <c r="C715" s="7" t="s">
        <v>101</v>
      </c>
      <c r="D715" s="7" t="s">
        <v>1022</v>
      </c>
      <c r="E715" s="7" t="s">
        <v>1023</v>
      </c>
      <c r="F715" s="7" t="s">
        <v>1026</v>
      </c>
    </row>
    <row r="716">
      <c r="A716" s="7" t="s">
        <v>868</v>
      </c>
      <c r="B716" s="7">
        <v>6.0</v>
      </c>
      <c r="C716" s="7" t="s">
        <v>101</v>
      </c>
      <c r="D716" s="7" t="s">
        <v>1022</v>
      </c>
      <c r="E716" s="7" t="s">
        <v>1023</v>
      </c>
      <c r="F716" s="7" t="s">
        <v>251</v>
      </c>
    </row>
    <row r="717">
      <c r="A717" s="7" t="s">
        <v>599</v>
      </c>
      <c r="B717" s="7">
        <v>6.0</v>
      </c>
      <c r="C717" s="7" t="s">
        <v>101</v>
      </c>
      <c r="D717" s="7" t="s">
        <v>1022</v>
      </c>
      <c r="E717" s="7" t="s">
        <v>1023</v>
      </c>
      <c r="F717" s="7" t="s">
        <v>109</v>
      </c>
    </row>
    <row r="718">
      <c r="A718" s="7" t="s">
        <v>869</v>
      </c>
      <c r="B718" s="7">
        <v>6.0</v>
      </c>
      <c r="C718" s="7" t="s">
        <v>101</v>
      </c>
      <c r="D718" s="7" t="s">
        <v>1022</v>
      </c>
      <c r="E718" s="7" t="s">
        <v>1023</v>
      </c>
      <c r="F718" s="7" t="s">
        <v>109</v>
      </c>
    </row>
    <row r="719">
      <c r="A719" s="7" t="s">
        <v>870</v>
      </c>
      <c r="B719" s="7">
        <v>6.0</v>
      </c>
      <c r="C719" s="7" t="s">
        <v>101</v>
      </c>
      <c r="D719" s="7" t="s">
        <v>1022</v>
      </c>
      <c r="E719" s="7" t="s">
        <v>1023</v>
      </c>
      <c r="F719" s="7" t="s">
        <v>1027</v>
      </c>
    </row>
    <row r="720">
      <c r="A720" s="7" t="s">
        <v>6</v>
      </c>
      <c r="B720" s="7">
        <v>6.0</v>
      </c>
      <c r="C720" s="7" t="s">
        <v>101</v>
      </c>
      <c r="D720" s="7" t="s">
        <v>1022</v>
      </c>
      <c r="E720" s="7" t="s">
        <v>1023</v>
      </c>
      <c r="F720" s="7" t="s">
        <v>477</v>
      </c>
    </row>
    <row r="721">
      <c r="A721" s="7" t="s">
        <v>871</v>
      </c>
      <c r="B721" s="7">
        <v>6.0</v>
      </c>
      <c r="C721" s="7" t="s">
        <v>101</v>
      </c>
      <c r="D721" s="7" t="s">
        <v>1022</v>
      </c>
      <c r="E721" s="7" t="s">
        <v>1023</v>
      </c>
      <c r="F721" s="7" t="s">
        <v>1028</v>
      </c>
    </row>
    <row r="722">
      <c r="A722" s="7" t="s">
        <v>7</v>
      </c>
      <c r="B722" s="7">
        <v>6.0</v>
      </c>
      <c r="C722" s="7" t="s">
        <v>101</v>
      </c>
      <c r="D722" s="7" t="s">
        <v>1022</v>
      </c>
      <c r="E722" s="7" t="s">
        <v>1023</v>
      </c>
      <c r="F722" s="7" t="s">
        <v>1029</v>
      </c>
    </row>
    <row r="723">
      <c r="A723" s="7" t="s">
        <v>8</v>
      </c>
      <c r="B723" s="7">
        <v>6.0</v>
      </c>
      <c r="C723" s="7" t="s">
        <v>101</v>
      </c>
      <c r="D723" s="7" t="s">
        <v>1022</v>
      </c>
      <c r="E723" s="7" t="s">
        <v>1023</v>
      </c>
      <c r="F723" s="7" t="s">
        <v>1030</v>
      </c>
    </row>
    <row r="724">
      <c r="A724" s="7" t="s">
        <v>388</v>
      </c>
      <c r="B724" s="7">
        <v>6.0</v>
      </c>
      <c r="C724" s="7" t="s">
        <v>101</v>
      </c>
      <c r="D724" s="7" t="s">
        <v>1022</v>
      </c>
      <c r="E724" s="7" t="s">
        <v>1023</v>
      </c>
      <c r="F724" s="7" t="s">
        <v>105</v>
      </c>
    </row>
    <row r="725">
      <c r="A725" s="7" t="s">
        <v>189</v>
      </c>
      <c r="B725" s="7">
        <v>6.0</v>
      </c>
      <c r="C725" s="7" t="s">
        <v>101</v>
      </c>
      <c r="D725" s="7" t="s">
        <v>1022</v>
      </c>
      <c r="E725" s="7" t="s">
        <v>1023</v>
      </c>
      <c r="F725" s="7" t="s">
        <v>1024</v>
      </c>
    </row>
    <row r="726">
      <c r="A726" s="7" t="s">
        <v>9</v>
      </c>
      <c r="B726" s="7">
        <v>6.0</v>
      </c>
      <c r="C726" s="7" t="s">
        <v>101</v>
      </c>
      <c r="D726" s="7" t="s">
        <v>1022</v>
      </c>
      <c r="E726" s="7" t="s">
        <v>1023</v>
      </c>
      <c r="F726" s="7" t="s">
        <v>109</v>
      </c>
    </row>
    <row r="727">
      <c r="A727" s="7" t="s">
        <v>10</v>
      </c>
      <c r="B727" s="7">
        <v>6.0</v>
      </c>
      <c r="C727" s="7" t="s">
        <v>101</v>
      </c>
      <c r="D727" s="7" t="s">
        <v>1022</v>
      </c>
      <c r="E727" s="7" t="s">
        <v>1023</v>
      </c>
      <c r="F727" s="7" t="s">
        <v>1031</v>
      </c>
    </row>
    <row r="728">
      <c r="A728" s="7" t="s">
        <v>872</v>
      </c>
      <c r="B728" s="7">
        <v>6.0</v>
      </c>
      <c r="C728" s="7" t="s">
        <v>101</v>
      </c>
      <c r="D728" s="7" t="s">
        <v>1022</v>
      </c>
      <c r="E728" s="7" t="s">
        <v>1023</v>
      </c>
      <c r="F728" s="7" t="s">
        <v>1032</v>
      </c>
    </row>
    <row r="729">
      <c r="A729" s="7" t="s">
        <v>873</v>
      </c>
      <c r="B729" s="7">
        <v>6.0</v>
      </c>
      <c r="C729" s="7" t="s">
        <v>101</v>
      </c>
      <c r="D729" s="7" t="s">
        <v>1022</v>
      </c>
      <c r="E729" s="7" t="s">
        <v>1023</v>
      </c>
      <c r="F729" s="7" t="s">
        <v>1030</v>
      </c>
    </row>
    <row r="730">
      <c r="A730" s="7" t="s">
        <v>11</v>
      </c>
      <c r="B730" s="7">
        <v>6.0</v>
      </c>
      <c r="C730" s="7" t="s">
        <v>101</v>
      </c>
      <c r="D730" s="7" t="s">
        <v>1022</v>
      </c>
      <c r="E730" s="7" t="s">
        <v>1023</v>
      </c>
      <c r="F730" s="7" t="s">
        <v>1033</v>
      </c>
    </row>
    <row r="731">
      <c r="A731" s="7" t="s">
        <v>12</v>
      </c>
      <c r="B731" s="7">
        <v>6.0</v>
      </c>
      <c r="C731" s="7" t="s">
        <v>101</v>
      </c>
      <c r="D731" s="7" t="s">
        <v>1022</v>
      </c>
      <c r="E731" s="7" t="s">
        <v>1023</v>
      </c>
      <c r="F731" s="7" t="s">
        <v>1034</v>
      </c>
    </row>
    <row r="732">
      <c r="A732" s="7" t="s">
        <v>874</v>
      </c>
      <c r="B732" s="7">
        <v>6.0</v>
      </c>
      <c r="C732" s="7" t="s">
        <v>101</v>
      </c>
      <c r="D732" s="7" t="s">
        <v>1022</v>
      </c>
      <c r="E732" s="7" t="s">
        <v>1023</v>
      </c>
      <c r="F732" s="7" t="s">
        <v>1035</v>
      </c>
    </row>
    <row r="733">
      <c r="A733" s="7" t="s">
        <v>13</v>
      </c>
      <c r="B733" s="7">
        <v>6.0</v>
      </c>
      <c r="C733" s="7" t="s">
        <v>101</v>
      </c>
      <c r="D733" s="7" t="s">
        <v>1022</v>
      </c>
      <c r="E733" s="7" t="s">
        <v>1023</v>
      </c>
      <c r="F733" s="7" t="s">
        <v>1030</v>
      </c>
    </row>
    <row r="734">
      <c r="A734" s="7" t="s">
        <v>875</v>
      </c>
      <c r="B734" s="7">
        <v>6.0</v>
      </c>
      <c r="C734" s="7" t="s">
        <v>101</v>
      </c>
      <c r="D734" s="7" t="s">
        <v>1022</v>
      </c>
      <c r="E734" s="7" t="s">
        <v>1023</v>
      </c>
      <c r="F734" s="7" t="s">
        <v>1030</v>
      </c>
    </row>
    <row r="735">
      <c r="A735" s="7" t="s">
        <v>14</v>
      </c>
      <c r="B735" s="7">
        <v>6.0</v>
      </c>
      <c r="C735" s="7" t="s">
        <v>101</v>
      </c>
      <c r="D735" s="7" t="s">
        <v>1022</v>
      </c>
      <c r="E735" s="7" t="s">
        <v>1023</v>
      </c>
      <c r="F735" s="7" t="s">
        <v>1036</v>
      </c>
    </row>
    <row r="736">
      <c r="A736" s="7" t="s">
        <v>609</v>
      </c>
      <c r="B736" s="7">
        <v>6.0</v>
      </c>
      <c r="C736" s="7" t="s">
        <v>101</v>
      </c>
      <c r="D736" s="7" t="s">
        <v>1022</v>
      </c>
      <c r="E736" s="7" t="s">
        <v>1023</v>
      </c>
      <c r="F736" s="7" t="s">
        <v>1030</v>
      </c>
    </row>
    <row r="737">
      <c r="A737" s="7" t="s">
        <v>15</v>
      </c>
      <c r="B737" s="7">
        <v>6.0</v>
      </c>
      <c r="C737" s="7" t="s">
        <v>101</v>
      </c>
      <c r="D737" s="7" t="s">
        <v>1022</v>
      </c>
      <c r="E737" s="7" t="s">
        <v>1023</v>
      </c>
      <c r="F737" s="7" t="s">
        <v>1030</v>
      </c>
    </row>
    <row r="738">
      <c r="A738" s="7" t="s">
        <v>610</v>
      </c>
      <c r="B738" s="7">
        <v>6.0</v>
      </c>
      <c r="C738" s="7" t="s">
        <v>101</v>
      </c>
      <c r="D738" s="7" t="s">
        <v>1022</v>
      </c>
      <c r="E738" s="7" t="s">
        <v>1023</v>
      </c>
      <c r="F738" s="7" t="s">
        <v>1037</v>
      </c>
    </row>
    <row r="739">
      <c r="A739" s="7" t="s">
        <v>16</v>
      </c>
      <c r="B739" s="7">
        <v>6.0</v>
      </c>
      <c r="C739" s="7" t="s">
        <v>101</v>
      </c>
      <c r="D739" s="7" t="s">
        <v>1022</v>
      </c>
      <c r="E739" s="7" t="s">
        <v>1023</v>
      </c>
      <c r="F739" s="7" t="s">
        <v>1030</v>
      </c>
    </row>
    <row r="740">
      <c r="A740" s="7" t="s">
        <v>876</v>
      </c>
      <c r="B740" s="7">
        <v>6.0</v>
      </c>
      <c r="C740" s="7" t="s">
        <v>101</v>
      </c>
      <c r="D740" s="7" t="s">
        <v>1022</v>
      </c>
      <c r="E740" s="7" t="s">
        <v>1023</v>
      </c>
      <c r="F740" s="7" t="s">
        <v>1038</v>
      </c>
    </row>
    <row r="741">
      <c r="A741" s="7" t="s">
        <v>877</v>
      </c>
      <c r="B741" s="7">
        <v>6.0</v>
      </c>
      <c r="C741" s="7" t="s">
        <v>101</v>
      </c>
      <c r="D741" s="7" t="s">
        <v>1022</v>
      </c>
      <c r="E741" s="7" t="s">
        <v>1023</v>
      </c>
      <c r="F741" s="7" t="s">
        <v>1030</v>
      </c>
    </row>
    <row r="742">
      <c r="A742" s="7" t="s">
        <v>17</v>
      </c>
      <c r="B742" s="7">
        <v>6.0</v>
      </c>
      <c r="C742" s="7" t="s">
        <v>101</v>
      </c>
      <c r="D742" s="7" t="s">
        <v>1022</v>
      </c>
      <c r="E742" s="7" t="s">
        <v>1023</v>
      </c>
      <c r="F742" s="7" t="s">
        <v>1039</v>
      </c>
    </row>
    <row r="743">
      <c r="A743" s="7" t="s">
        <v>18</v>
      </c>
      <c r="B743" s="7">
        <v>6.0</v>
      </c>
      <c r="C743" s="7" t="s">
        <v>101</v>
      </c>
      <c r="D743" s="7" t="s">
        <v>1022</v>
      </c>
      <c r="E743" s="7" t="s">
        <v>1023</v>
      </c>
      <c r="F743" s="7" t="s">
        <v>1030</v>
      </c>
    </row>
    <row r="744">
      <c r="A744" s="7" t="s">
        <v>19</v>
      </c>
      <c r="B744" s="7">
        <v>6.0</v>
      </c>
      <c r="C744" s="7" t="s">
        <v>101</v>
      </c>
      <c r="D744" s="7" t="s">
        <v>1022</v>
      </c>
      <c r="E744" s="7" t="s">
        <v>1023</v>
      </c>
      <c r="F744" s="7" t="s">
        <v>1030</v>
      </c>
    </row>
    <row r="745">
      <c r="A745" s="7" t="s">
        <v>188</v>
      </c>
      <c r="B745" s="7">
        <v>6.0</v>
      </c>
      <c r="C745" s="7" t="s">
        <v>112</v>
      </c>
      <c r="D745" s="7" t="s">
        <v>1040</v>
      </c>
      <c r="E745" s="7" t="s">
        <v>1041</v>
      </c>
      <c r="F745" s="7" t="s">
        <v>1042</v>
      </c>
    </row>
    <row r="746">
      <c r="A746" s="7" t="s">
        <v>4</v>
      </c>
      <c r="B746" s="7">
        <v>6.0</v>
      </c>
      <c r="C746" s="7" t="s">
        <v>112</v>
      </c>
      <c r="D746" s="7" t="s">
        <v>1040</v>
      </c>
      <c r="E746" s="7" t="s">
        <v>1041</v>
      </c>
      <c r="F746" s="7" t="s">
        <v>109</v>
      </c>
    </row>
    <row r="747">
      <c r="A747" s="7" t="s">
        <v>386</v>
      </c>
      <c r="B747" s="7">
        <v>6.0</v>
      </c>
      <c r="C747" s="7" t="s">
        <v>112</v>
      </c>
      <c r="D747" s="7" t="s">
        <v>1040</v>
      </c>
      <c r="E747" s="7" t="s">
        <v>1041</v>
      </c>
      <c r="F747" s="7" t="s">
        <v>1042</v>
      </c>
    </row>
    <row r="748">
      <c r="A748" s="7" t="s">
        <v>866</v>
      </c>
      <c r="B748" s="7">
        <v>6.0</v>
      </c>
      <c r="C748" s="7" t="s">
        <v>112</v>
      </c>
      <c r="D748" s="7" t="s">
        <v>1040</v>
      </c>
      <c r="E748" s="7" t="s">
        <v>1041</v>
      </c>
      <c r="F748" s="7" t="s">
        <v>1042</v>
      </c>
    </row>
    <row r="749">
      <c r="A749" s="7" t="s">
        <v>5</v>
      </c>
      <c r="B749" s="7">
        <v>6.0</v>
      </c>
      <c r="C749" s="7" t="s">
        <v>112</v>
      </c>
      <c r="D749" s="7" t="s">
        <v>1040</v>
      </c>
      <c r="E749" s="7" t="s">
        <v>1041</v>
      </c>
      <c r="F749" s="7" t="s">
        <v>115</v>
      </c>
    </row>
    <row r="750">
      <c r="A750" s="7" t="s">
        <v>867</v>
      </c>
      <c r="B750" s="7">
        <v>6.0</v>
      </c>
      <c r="C750" s="7" t="s">
        <v>112</v>
      </c>
      <c r="D750" s="7" t="s">
        <v>1040</v>
      </c>
      <c r="E750" s="7" t="s">
        <v>1041</v>
      </c>
      <c r="F750" s="7" t="s">
        <v>1042</v>
      </c>
    </row>
    <row r="751">
      <c r="A751" s="7" t="s">
        <v>868</v>
      </c>
      <c r="B751" s="7">
        <v>6.0</v>
      </c>
      <c r="C751" s="7" t="s">
        <v>112</v>
      </c>
      <c r="D751" s="7" t="s">
        <v>1040</v>
      </c>
      <c r="E751" s="7" t="s">
        <v>1041</v>
      </c>
      <c r="F751" s="7" t="s">
        <v>1042</v>
      </c>
    </row>
    <row r="752">
      <c r="A752" s="7" t="s">
        <v>599</v>
      </c>
      <c r="B752" s="7">
        <v>6.0</v>
      </c>
      <c r="C752" s="7" t="s">
        <v>112</v>
      </c>
      <c r="D752" s="7" t="s">
        <v>1040</v>
      </c>
      <c r="E752" s="7" t="s">
        <v>1041</v>
      </c>
      <c r="F752" s="7" t="s">
        <v>1043</v>
      </c>
    </row>
    <row r="753">
      <c r="A753" s="7" t="s">
        <v>869</v>
      </c>
      <c r="B753" s="7">
        <v>6.0</v>
      </c>
      <c r="C753" s="7" t="s">
        <v>112</v>
      </c>
      <c r="D753" s="7" t="s">
        <v>1040</v>
      </c>
      <c r="E753" s="7" t="s">
        <v>1041</v>
      </c>
      <c r="F753" s="7" t="s">
        <v>902</v>
      </c>
    </row>
    <row r="754">
      <c r="A754" s="7" t="s">
        <v>870</v>
      </c>
      <c r="B754" s="7">
        <v>6.0</v>
      </c>
      <c r="C754" s="7" t="s">
        <v>112</v>
      </c>
      <c r="D754" s="7" t="s">
        <v>1040</v>
      </c>
      <c r="E754" s="7" t="s">
        <v>1041</v>
      </c>
      <c r="F754" s="7" t="s">
        <v>1044</v>
      </c>
    </row>
    <row r="755">
      <c r="A755" s="7" t="s">
        <v>6</v>
      </c>
      <c r="B755" s="7">
        <v>6.0</v>
      </c>
      <c r="C755" s="7" t="s">
        <v>112</v>
      </c>
      <c r="D755" s="7" t="s">
        <v>1040</v>
      </c>
      <c r="E755" s="7" t="s">
        <v>1041</v>
      </c>
      <c r="F755" s="7" t="s">
        <v>115</v>
      </c>
    </row>
    <row r="756">
      <c r="A756" s="7" t="s">
        <v>871</v>
      </c>
      <c r="B756" s="7">
        <v>6.0</v>
      </c>
      <c r="C756" s="7" t="s">
        <v>112</v>
      </c>
      <c r="D756" s="7" t="s">
        <v>1040</v>
      </c>
      <c r="E756" s="7" t="s">
        <v>1041</v>
      </c>
      <c r="F756" s="7" t="s">
        <v>1042</v>
      </c>
    </row>
    <row r="757">
      <c r="A757" s="7" t="s">
        <v>7</v>
      </c>
      <c r="B757" s="7">
        <v>6.0</v>
      </c>
      <c r="C757" s="7" t="s">
        <v>112</v>
      </c>
      <c r="D757" s="7" t="s">
        <v>1040</v>
      </c>
      <c r="E757" s="7" t="s">
        <v>1041</v>
      </c>
      <c r="F757" s="7" t="s">
        <v>1045</v>
      </c>
    </row>
    <row r="758">
      <c r="A758" s="7" t="s">
        <v>8</v>
      </c>
      <c r="B758" s="7">
        <v>6.0</v>
      </c>
      <c r="C758" s="7" t="s">
        <v>112</v>
      </c>
      <c r="D758" s="7" t="s">
        <v>1040</v>
      </c>
      <c r="E758" s="7" t="s">
        <v>1041</v>
      </c>
      <c r="F758" s="7" t="s">
        <v>1046</v>
      </c>
    </row>
    <row r="759">
      <c r="A759" s="7" t="s">
        <v>189</v>
      </c>
      <c r="B759" s="7">
        <v>6.0</v>
      </c>
      <c r="C759" s="7" t="s">
        <v>112</v>
      </c>
      <c r="D759" s="7" t="s">
        <v>1040</v>
      </c>
      <c r="E759" s="7" t="s">
        <v>1041</v>
      </c>
      <c r="F759" s="7" t="s">
        <v>1042</v>
      </c>
    </row>
    <row r="760">
      <c r="A760" s="7" t="s">
        <v>10</v>
      </c>
      <c r="B760" s="7">
        <v>6.0</v>
      </c>
      <c r="C760" s="7" t="s">
        <v>112</v>
      </c>
      <c r="D760" s="7" t="s">
        <v>1040</v>
      </c>
      <c r="E760" s="7" t="s">
        <v>1041</v>
      </c>
      <c r="F760" s="7" t="s">
        <v>1047</v>
      </c>
    </row>
    <row r="761">
      <c r="A761" s="7" t="s">
        <v>874</v>
      </c>
      <c r="B761" s="7">
        <v>6.0</v>
      </c>
      <c r="C761" s="7" t="s">
        <v>112</v>
      </c>
      <c r="D761" s="7" t="s">
        <v>1040</v>
      </c>
      <c r="E761" s="7" t="s">
        <v>1041</v>
      </c>
      <c r="F761" s="7" t="s">
        <v>1042</v>
      </c>
    </row>
    <row r="762">
      <c r="A762" s="7" t="s">
        <v>14</v>
      </c>
      <c r="B762" s="7">
        <v>6.0</v>
      </c>
      <c r="C762" s="7" t="s">
        <v>112</v>
      </c>
      <c r="D762" s="7" t="s">
        <v>1040</v>
      </c>
      <c r="E762" s="7" t="s">
        <v>1041</v>
      </c>
      <c r="F762" s="7" t="s">
        <v>1048</v>
      </c>
    </row>
    <row r="763">
      <c r="A763" s="7" t="s">
        <v>609</v>
      </c>
      <c r="B763" s="7">
        <v>6.0</v>
      </c>
      <c r="C763" s="7" t="s">
        <v>112</v>
      </c>
      <c r="D763" s="7" t="s">
        <v>1040</v>
      </c>
      <c r="E763" s="7" t="s">
        <v>1041</v>
      </c>
      <c r="F763" s="7" t="s">
        <v>115</v>
      </c>
    </row>
    <row r="764">
      <c r="A764" s="7" t="s">
        <v>869</v>
      </c>
      <c r="B764" s="7">
        <v>6.0</v>
      </c>
      <c r="C764" s="7" t="s">
        <v>734</v>
      </c>
      <c r="D764" s="7" t="s">
        <v>1049</v>
      </c>
      <c r="E764" s="7" t="s">
        <v>1050</v>
      </c>
      <c r="F764" s="7" t="s">
        <v>902</v>
      </c>
    </row>
    <row r="765">
      <c r="A765" s="7" t="s">
        <v>7</v>
      </c>
      <c r="B765" s="7">
        <v>6.0</v>
      </c>
      <c r="C765" s="7" t="s">
        <v>746</v>
      </c>
      <c r="D765" s="7" t="s">
        <v>1051</v>
      </c>
      <c r="E765" s="7" t="s">
        <v>1052</v>
      </c>
      <c r="F765" s="7" t="s">
        <v>1053</v>
      </c>
    </row>
    <row r="766">
      <c r="A766" s="7" t="s">
        <v>17</v>
      </c>
      <c r="B766" s="7">
        <v>6.0</v>
      </c>
      <c r="C766" s="7" t="s">
        <v>746</v>
      </c>
      <c r="D766" s="7" t="s">
        <v>1051</v>
      </c>
      <c r="E766" s="7" t="s">
        <v>1052</v>
      </c>
      <c r="F766" s="7" t="s">
        <v>1054</v>
      </c>
    </row>
    <row r="767">
      <c r="A767" s="7" t="s">
        <v>870</v>
      </c>
      <c r="B767" s="7">
        <v>6.0</v>
      </c>
      <c r="C767" s="7" t="s">
        <v>752</v>
      </c>
      <c r="D767" s="7" t="s">
        <v>1055</v>
      </c>
      <c r="E767" s="7" t="s">
        <v>1056</v>
      </c>
      <c r="F767" s="7" t="s">
        <v>1057</v>
      </c>
    </row>
    <row r="768">
      <c r="A768" s="7" t="s">
        <v>869</v>
      </c>
      <c r="B768" s="7">
        <v>6.0</v>
      </c>
      <c r="C768" s="7" t="s">
        <v>1058</v>
      </c>
      <c r="D768" s="7" t="s">
        <v>1059</v>
      </c>
      <c r="E768" s="7" t="s">
        <v>1060</v>
      </c>
      <c r="F768" s="7" t="s">
        <v>1061</v>
      </c>
    </row>
    <row r="769">
      <c r="A769" s="7" t="s">
        <v>870</v>
      </c>
      <c r="B769" s="7">
        <v>6.0</v>
      </c>
      <c r="C769" s="7" t="s">
        <v>1058</v>
      </c>
      <c r="D769" s="7" t="s">
        <v>1059</v>
      </c>
      <c r="E769" s="7" t="s">
        <v>1060</v>
      </c>
      <c r="F769" s="7" t="s">
        <v>1062</v>
      </c>
    </row>
    <row r="770">
      <c r="A770" s="7" t="s">
        <v>871</v>
      </c>
      <c r="B770" s="7">
        <v>6.0</v>
      </c>
      <c r="C770" s="7" t="s">
        <v>1058</v>
      </c>
      <c r="D770" s="7" t="s">
        <v>1059</v>
      </c>
      <c r="E770" s="7" t="s">
        <v>1060</v>
      </c>
      <c r="F770" s="7" t="s">
        <v>1063</v>
      </c>
    </row>
    <row r="771">
      <c r="A771" s="7" t="s">
        <v>872</v>
      </c>
      <c r="B771" s="7">
        <v>6.0</v>
      </c>
      <c r="C771" s="7" t="s">
        <v>1058</v>
      </c>
      <c r="D771" s="7" t="s">
        <v>1059</v>
      </c>
      <c r="E771" s="7" t="s">
        <v>1060</v>
      </c>
      <c r="F771" s="7" t="s">
        <v>902</v>
      </c>
    </row>
    <row r="772">
      <c r="A772" s="7" t="s">
        <v>875</v>
      </c>
      <c r="B772" s="7">
        <v>6.0</v>
      </c>
      <c r="C772" s="7" t="s">
        <v>1058</v>
      </c>
      <c r="D772" s="7" t="s">
        <v>1059</v>
      </c>
      <c r="E772" s="7" t="s">
        <v>1060</v>
      </c>
      <c r="F772" s="7" t="s">
        <v>902</v>
      </c>
    </row>
    <row r="773">
      <c r="A773" s="7" t="s">
        <v>596</v>
      </c>
      <c r="B773" s="7">
        <v>6.0</v>
      </c>
      <c r="C773" s="7" t="s">
        <v>172</v>
      </c>
      <c r="D773" s="7" t="s">
        <v>1064</v>
      </c>
      <c r="E773" s="7" t="s">
        <v>1065</v>
      </c>
      <c r="F773" s="7" t="s">
        <v>444</v>
      </c>
    </row>
    <row r="774">
      <c r="A774" s="7" t="s">
        <v>188</v>
      </c>
      <c r="B774" s="7">
        <v>6.0</v>
      </c>
      <c r="C774" s="7" t="s">
        <v>172</v>
      </c>
      <c r="D774" s="7" t="s">
        <v>1064</v>
      </c>
      <c r="E774" s="7" t="s">
        <v>1065</v>
      </c>
      <c r="F774" s="7" t="s">
        <v>444</v>
      </c>
    </row>
    <row r="775">
      <c r="A775" s="7" t="s">
        <v>4</v>
      </c>
      <c r="B775" s="7">
        <v>6.0</v>
      </c>
      <c r="C775" s="7" t="s">
        <v>172</v>
      </c>
      <c r="D775" s="7" t="s">
        <v>1064</v>
      </c>
      <c r="E775" s="7" t="s">
        <v>1065</v>
      </c>
      <c r="F775" s="7" t="s">
        <v>760</v>
      </c>
    </row>
    <row r="776">
      <c r="A776" s="7" t="s">
        <v>386</v>
      </c>
      <c r="B776" s="7">
        <v>6.0</v>
      </c>
      <c r="C776" s="7" t="s">
        <v>172</v>
      </c>
      <c r="D776" s="7" t="s">
        <v>1064</v>
      </c>
      <c r="E776" s="7" t="s">
        <v>1065</v>
      </c>
      <c r="F776" s="7" t="s">
        <v>1066</v>
      </c>
    </row>
    <row r="777">
      <c r="A777" s="7" t="s">
        <v>866</v>
      </c>
      <c r="B777" s="7">
        <v>6.0</v>
      </c>
      <c r="C777" s="7" t="s">
        <v>172</v>
      </c>
      <c r="D777" s="7" t="s">
        <v>1064</v>
      </c>
      <c r="E777" s="7" t="s">
        <v>1065</v>
      </c>
      <c r="F777" s="7" t="s">
        <v>1066</v>
      </c>
    </row>
    <row r="778">
      <c r="A778" s="7" t="s">
        <v>5</v>
      </c>
      <c r="B778" s="7">
        <v>6.0</v>
      </c>
      <c r="C778" s="7" t="s">
        <v>172</v>
      </c>
      <c r="D778" s="7" t="s">
        <v>1064</v>
      </c>
      <c r="E778" s="7" t="s">
        <v>1065</v>
      </c>
      <c r="F778" s="7" t="s">
        <v>1067</v>
      </c>
    </row>
    <row r="779">
      <c r="A779" s="7" t="s">
        <v>867</v>
      </c>
      <c r="B779" s="7">
        <v>6.0</v>
      </c>
      <c r="C779" s="7" t="s">
        <v>172</v>
      </c>
      <c r="D779" s="7" t="s">
        <v>1064</v>
      </c>
      <c r="E779" s="7" t="s">
        <v>1065</v>
      </c>
      <c r="F779" s="7" t="s">
        <v>1068</v>
      </c>
    </row>
    <row r="780">
      <c r="A780" s="7" t="s">
        <v>868</v>
      </c>
      <c r="B780" s="7">
        <v>6.0</v>
      </c>
      <c r="C780" s="7" t="s">
        <v>172</v>
      </c>
      <c r="D780" s="7" t="s">
        <v>1064</v>
      </c>
      <c r="E780" s="7" t="s">
        <v>1065</v>
      </c>
      <c r="F780" s="7" t="s">
        <v>1068</v>
      </c>
    </row>
    <row r="781">
      <c r="A781" s="7" t="s">
        <v>599</v>
      </c>
      <c r="B781" s="7">
        <v>6.0</v>
      </c>
      <c r="C781" s="7" t="s">
        <v>172</v>
      </c>
      <c r="D781" s="7" t="s">
        <v>1064</v>
      </c>
      <c r="E781" s="7" t="s">
        <v>1065</v>
      </c>
      <c r="F781" s="7" t="s">
        <v>1069</v>
      </c>
    </row>
    <row r="782">
      <c r="A782" s="7" t="s">
        <v>869</v>
      </c>
      <c r="B782" s="7">
        <v>6.0</v>
      </c>
      <c r="C782" s="7" t="s">
        <v>172</v>
      </c>
      <c r="D782" s="7" t="s">
        <v>1064</v>
      </c>
      <c r="E782" s="7" t="s">
        <v>1065</v>
      </c>
      <c r="F782" s="7" t="s">
        <v>761</v>
      </c>
    </row>
    <row r="783">
      <c r="A783" s="7" t="s">
        <v>870</v>
      </c>
      <c r="B783" s="7">
        <v>6.0</v>
      </c>
      <c r="C783" s="7" t="s">
        <v>172</v>
      </c>
      <c r="D783" s="7" t="s">
        <v>1064</v>
      </c>
      <c r="E783" s="7" t="s">
        <v>1065</v>
      </c>
      <c r="F783" s="7" t="s">
        <v>1070</v>
      </c>
    </row>
    <row r="784">
      <c r="A784" s="7" t="s">
        <v>6</v>
      </c>
      <c r="B784" s="7">
        <v>6.0</v>
      </c>
      <c r="C784" s="7" t="s">
        <v>172</v>
      </c>
      <c r="D784" s="7" t="s">
        <v>1064</v>
      </c>
      <c r="E784" s="7" t="s">
        <v>1065</v>
      </c>
      <c r="F784" s="7" t="s">
        <v>760</v>
      </c>
    </row>
    <row r="785">
      <c r="A785" s="7" t="s">
        <v>871</v>
      </c>
      <c r="B785" s="7">
        <v>6.0</v>
      </c>
      <c r="C785" s="7" t="s">
        <v>172</v>
      </c>
      <c r="D785" s="7" t="s">
        <v>1064</v>
      </c>
      <c r="E785" s="7" t="s">
        <v>1065</v>
      </c>
      <c r="F785" s="7" t="s">
        <v>1071</v>
      </c>
    </row>
    <row r="786">
      <c r="A786" s="7" t="s">
        <v>7</v>
      </c>
      <c r="B786" s="7">
        <v>6.0</v>
      </c>
      <c r="C786" s="7" t="s">
        <v>172</v>
      </c>
      <c r="D786" s="7" t="s">
        <v>1064</v>
      </c>
      <c r="E786" s="7" t="s">
        <v>1065</v>
      </c>
      <c r="F786" s="7" t="s">
        <v>444</v>
      </c>
    </row>
    <row r="787">
      <c r="A787" s="7" t="s">
        <v>8</v>
      </c>
      <c r="B787" s="7">
        <v>6.0</v>
      </c>
      <c r="C787" s="7" t="s">
        <v>172</v>
      </c>
      <c r="D787" s="7" t="s">
        <v>1064</v>
      </c>
      <c r="E787" s="7" t="s">
        <v>1065</v>
      </c>
      <c r="F787" s="7" t="s">
        <v>48</v>
      </c>
    </row>
    <row r="788">
      <c r="A788" s="7" t="s">
        <v>388</v>
      </c>
      <c r="B788" s="7">
        <v>6.0</v>
      </c>
      <c r="C788" s="7" t="s">
        <v>172</v>
      </c>
      <c r="D788" s="7" t="s">
        <v>1064</v>
      </c>
      <c r="E788" s="7" t="s">
        <v>1065</v>
      </c>
      <c r="F788" s="7" t="s">
        <v>443</v>
      </c>
    </row>
    <row r="789">
      <c r="A789" s="7" t="s">
        <v>189</v>
      </c>
      <c r="B789" s="7">
        <v>6.0</v>
      </c>
      <c r="C789" s="7" t="s">
        <v>172</v>
      </c>
      <c r="D789" s="7" t="s">
        <v>1064</v>
      </c>
      <c r="E789" s="7" t="s">
        <v>1065</v>
      </c>
      <c r="F789" s="7" t="s">
        <v>1068</v>
      </c>
    </row>
    <row r="790">
      <c r="A790" s="7" t="s">
        <v>9</v>
      </c>
      <c r="B790" s="7">
        <v>6.0</v>
      </c>
      <c r="C790" s="7" t="s">
        <v>172</v>
      </c>
      <c r="D790" s="7" t="s">
        <v>1064</v>
      </c>
      <c r="E790" s="7" t="s">
        <v>1065</v>
      </c>
      <c r="F790" s="7" t="s">
        <v>763</v>
      </c>
    </row>
    <row r="791">
      <c r="A791" s="7" t="s">
        <v>10</v>
      </c>
      <c r="B791" s="7">
        <v>6.0</v>
      </c>
      <c r="C791" s="7" t="s">
        <v>172</v>
      </c>
      <c r="D791" s="7" t="s">
        <v>1064</v>
      </c>
      <c r="E791" s="7" t="s">
        <v>1065</v>
      </c>
      <c r="F791" s="7" t="s">
        <v>1068</v>
      </c>
    </row>
    <row r="792">
      <c r="A792" s="7" t="s">
        <v>872</v>
      </c>
      <c r="B792" s="7">
        <v>6.0</v>
      </c>
      <c r="C792" s="7" t="s">
        <v>172</v>
      </c>
      <c r="D792" s="7" t="s">
        <v>1064</v>
      </c>
      <c r="E792" s="7" t="s">
        <v>1065</v>
      </c>
      <c r="F792" s="7" t="s">
        <v>1072</v>
      </c>
    </row>
    <row r="793">
      <c r="A793" s="7" t="s">
        <v>873</v>
      </c>
      <c r="B793" s="7">
        <v>6.0</v>
      </c>
      <c r="C793" s="7" t="s">
        <v>172</v>
      </c>
      <c r="D793" s="7" t="s">
        <v>1064</v>
      </c>
      <c r="E793" s="7" t="s">
        <v>1065</v>
      </c>
      <c r="F793" s="7" t="s">
        <v>1073</v>
      </c>
    </row>
    <row r="794">
      <c r="A794" s="7" t="s">
        <v>11</v>
      </c>
      <c r="B794" s="7">
        <v>6.0</v>
      </c>
      <c r="C794" s="7" t="s">
        <v>172</v>
      </c>
      <c r="D794" s="7" t="s">
        <v>1064</v>
      </c>
      <c r="E794" s="7" t="s">
        <v>1065</v>
      </c>
      <c r="F794" s="7" t="s">
        <v>760</v>
      </c>
    </row>
    <row r="795">
      <c r="A795" s="7" t="s">
        <v>12</v>
      </c>
      <c r="B795" s="7">
        <v>6.0</v>
      </c>
      <c r="C795" s="7" t="s">
        <v>172</v>
      </c>
      <c r="D795" s="7" t="s">
        <v>1064</v>
      </c>
      <c r="E795" s="7" t="s">
        <v>1065</v>
      </c>
      <c r="F795" s="7" t="s">
        <v>1074</v>
      </c>
    </row>
    <row r="796">
      <c r="A796" s="7" t="s">
        <v>874</v>
      </c>
      <c r="B796" s="7">
        <v>6.0</v>
      </c>
      <c r="C796" s="7" t="s">
        <v>172</v>
      </c>
      <c r="D796" s="7" t="s">
        <v>1064</v>
      </c>
      <c r="E796" s="7" t="s">
        <v>1065</v>
      </c>
      <c r="F796" s="7" t="s">
        <v>1075</v>
      </c>
    </row>
    <row r="797">
      <c r="A797" s="7" t="s">
        <v>13</v>
      </c>
      <c r="B797" s="7">
        <v>6.0</v>
      </c>
      <c r="C797" s="7" t="s">
        <v>172</v>
      </c>
      <c r="D797" s="7" t="s">
        <v>1064</v>
      </c>
      <c r="E797" s="7" t="s">
        <v>1065</v>
      </c>
      <c r="F797" s="7" t="s">
        <v>1076</v>
      </c>
    </row>
    <row r="798">
      <c r="A798" s="7" t="s">
        <v>875</v>
      </c>
      <c r="B798" s="7">
        <v>6.0</v>
      </c>
      <c r="C798" s="7" t="s">
        <v>172</v>
      </c>
      <c r="D798" s="7" t="s">
        <v>1064</v>
      </c>
      <c r="E798" s="7" t="s">
        <v>1065</v>
      </c>
      <c r="F798" s="7" t="s">
        <v>965</v>
      </c>
    </row>
    <row r="799">
      <c r="A799" s="7" t="s">
        <v>14</v>
      </c>
      <c r="B799" s="7">
        <v>6.0</v>
      </c>
      <c r="C799" s="7" t="s">
        <v>172</v>
      </c>
      <c r="D799" s="7" t="s">
        <v>1064</v>
      </c>
      <c r="E799" s="7" t="s">
        <v>1065</v>
      </c>
      <c r="F799" s="7" t="s">
        <v>444</v>
      </c>
    </row>
    <row r="800">
      <c r="A800" s="7" t="s">
        <v>609</v>
      </c>
      <c r="B800" s="7">
        <v>6.0</v>
      </c>
      <c r="C800" s="7" t="s">
        <v>172</v>
      </c>
      <c r="D800" s="7" t="s">
        <v>1064</v>
      </c>
      <c r="E800" s="7" t="s">
        <v>1065</v>
      </c>
      <c r="F800" s="7" t="s">
        <v>444</v>
      </c>
    </row>
    <row r="801">
      <c r="A801" s="7" t="s">
        <v>15</v>
      </c>
      <c r="B801" s="7">
        <v>6.0</v>
      </c>
      <c r="C801" s="7" t="s">
        <v>172</v>
      </c>
      <c r="D801" s="7" t="s">
        <v>1064</v>
      </c>
      <c r="E801" s="7" t="s">
        <v>1065</v>
      </c>
      <c r="F801" s="7" t="s">
        <v>444</v>
      </c>
    </row>
    <row r="802">
      <c r="A802" s="7" t="s">
        <v>610</v>
      </c>
      <c r="B802" s="7">
        <v>6.0</v>
      </c>
      <c r="C802" s="7" t="s">
        <v>172</v>
      </c>
      <c r="D802" s="7" t="s">
        <v>1064</v>
      </c>
      <c r="E802" s="7" t="s">
        <v>1065</v>
      </c>
      <c r="F802" s="7" t="s">
        <v>444</v>
      </c>
    </row>
    <row r="803">
      <c r="A803" s="7" t="s">
        <v>16</v>
      </c>
      <c r="B803" s="7">
        <v>6.0</v>
      </c>
      <c r="C803" s="7" t="s">
        <v>172</v>
      </c>
      <c r="D803" s="7" t="s">
        <v>1064</v>
      </c>
      <c r="E803" s="7" t="s">
        <v>1065</v>
      </c>
      <c r="F803" s="7" t="s">
        <v>444</v>
      </c>
    </row>
    <row r="804">
      <c r="A804" s="7" t="s">
        <v>876</v>
      </c>
      <c r="B804" s="7">
        <v>6.0</v>
      </c>
      <c r="C804" s="7" t="s">
        <v>172</v>
      </c>
      <c r="D804" s="7" t="s">
        <v>1064</v>
      </c>
      <c r="E804" s="7" t="s">
        <v>1065</v>
      </c>
      <c r="F804" s="7" t="s">
        <v>444</v>
      </c>
    </row>
    <row r="805">
      <c r="A805" s="7" t="s">
        <v>877</v>
      </c>
      <c r="B805" s="7">
        <v>6.0</v>
      </c>
      <c r="C805" s="7" t="s">
        <v>172</v>
      </c>
      <c r="D805" s="7" t="s">
        <v>1064</v>
      </c>
      <c r="E805" s="7" t="s">
        <v>1065</v>
      </c>
      <c r="F805" s="7" t="s">
        <v>444</v>
      </c>
    </row>
    <row r="806">
      <c r="A806" s="7" t="s">
        <v>17</v>
      </c>
      <c r="B806" s="7">
        <v>6.0</v>
      </c>
      <c r="C806" s="7" t="s">
        <v>172</v>
      </c>
      <c r="D806" s="7" t="s">
        <v>1064</v>
      </c>
      <c r="E806" s="7" t="s">
        <v>1065</v>
      </c>
      <c r="F806" s="7" t="s">
        <v>444</v>
      </c>
    </row>
    <row r="807">
      <c r="A807" s="7" t="s">
        <v>18</v>
      </c>
      <c r="B807" s="7">
        <v>6.0</v>
      </c>
      <c r="C807" s="7" t="s">
        <v>172</v>
      </c>
      <c r="D807" s="7" t="s">
        <v>1064</v>
      </c>
      <c r="E807" s="7" t="s">
        <v>1065</v>
      </c>
      <c r="F807" s="7" t="s">
        <v>444</v>
      </c>
    </row>
    <row r="808">
      <c r="A808" s="7" t="s">
        <v>19</v>
      </c>
      <c r="B808" s="7">
        <v>6.0</v>
      </c>
      <c r="C808" s="7" t="s">
        <v>172</v>
      </c>
      <c r="D808" s="7" t="s">
        <v>1064</v>
      </c>
      <c r="E808" s="7" t="s">
        <v>1065</v>
      </c>
      <c r="F808" s="7" t="s">
        <v>444</v>
      </c>
    </row>
    <row r="809">
      <c r="A809" s="7" t="s">
        <v>596</v>
      </c>
      <c r="B809" s="7">
        <v>6.0</v>
      </c>
      <c r="C809" s="7" t="s">
        <v>267</v>
      </c>
      <c r="D809" s="7" t="s">
        <v>1077</v>
      </c>
      <c r="E809" s="7" t="s">
        <v>1078</v>
      </c>
      <c r="F809" s="7" t="s">
        <v>238</v>
      </c>
    </row>
    <row r="810">
      <c r="A810" s="7" t="s">
        <v>188</v>
      </c>
      <c r="B810" s="7">
        <v>6.0</v>
      </c>
      <c r="C810" s="7" t="s">
        <v>267</v>
      </c>
      <c r="D810" s="7" t="s">
        <v>1077</v>
      </c>
      <c r="E810" s="7" t="s">
        <v>1078</v>
      </c>
      <c r="F810" s="7" t="s">
        <v>980</v>
      </c>
    </row>
    <row r="811">
      <c r="A811" s="7" t="s">
        <v>4</v>
      </c>
      <c r="B811" s="7">
        <v>6.0</v>
      </c>
      <c r="C811" s="7" t="s">
        <v>267</v>
      </c>
      <c r="D811" s="7" t="s">
        <v>1077</v>
      </c>
      <c r="E811" s="7" t="s">
        <v>1078</v>
      </c>
      <c r="F811" s="7" t="s">
        <v>238</v>
      </c>
    </row>
    <row r="812">
      <c r="A812" s="7" t="s">
        <v>386</v>
      </c>
      <c r="B812" s="7">
        <v>6.0</v>
      </c>
      <c r="C812" s="7" t="s">
        <v>267</v>
      </c>
      <c r="D812" s="7" t="s">
        <v>1077</v>
      </c>
      <c r="E812" s="7" t="s">
        <v>1078</v>
      </c>
      <c r="F812" s="7" t="s">
        <v>980</v>
      </c>
    </row>
    <row r="813">
      <c r="A813" s="7" t="s">
        <v>866</v>
      </c>
      <c r="B813" s="7">
        <v>6.0</v>
      </c>
      <c r="C813" s="7" t="s">
        <v>267</v>
      </c>
      <c r="D813" s="7" t="s">
        <v>1077</v>
      </c>
      <c r="E813" s="7" t="s">
        <v>1078</v>
      </c>
      <c r="F813" s="7" t="s">
        <v>980</v>
      </c>
    </row>
    <row r="814">
      <c r="A814" s="7" t="s">
        <v>5</v>
      </c>
      <c r="B814" s="7">
        <v>6.0</v>
      </c>
      <c r="C814" s="7" t="s">
        <v>267</v>
      </c>
      <c r="D814" s="7" t="s">
        <v>1077</v>
      </c>
      <c r="E814" s="7" t="s">
        <v>1078</v>
      </c>
      <c r="F814" s="7" t="s">
        <v>271</v>
      </c>
    </row>
    <row r="815">
      <c r="A815" s="7" t="s">
        <v>867</v>
      </c>
      <c r="B815" s="7">
        <v>6.0</v>
      </c>
      <c r="C815" s="7" t="s">
        <v>267</v>
      </c>
      <c r="D815" s="7" t="s">
        <v>1077</v>
      </c>
      <c r="E815" s="7" t="s">
        <v>1078</v>
      </c>
      <c r="F815" s="7" t="s">
        <v>1079</v>
      </c>
    </row>
    <row r="816">
      <c r="A816" s="7" t="s">
        <v>868</v>
      </c>
      <c r="B816" s="7">
        <v>6.0</v>
      </c>
      <c r="C816" s="7" t="s">
        <v>267</v>
      </c>
      <c r="D816" s="7" t="s">
        <v>1077</v>
      </c>
      <c r="E816" s="7" t="s">
        <v>1078</v>
      </c>
      <c r="F816" s="7" t="s">
        <v>271</v>
      </c>
    </row>
    <row r="817">
      <c r="A817" s="7" t="s">
        <v>599</v>
      </c>
      <c r="B817" s="7">
        <v>6.0</v>
      </c>
      <c r="C817" s="7" t="s">
        <v>267</v>
      </c>
      <c r="D817" s="7" t="s">
        <v>1077</v>
      </c>
      <c r="E817" s="7" t="s">
        <v>1078</v>
      </c>
      <c r="F817" s="7" t="s">
        <v>902</v>
      </c>
    </row>
    <row r="818">
      <c r="A818" s="7" t="s">
        <v>869</v>
      </c>
      <c r="B818" s="7">
        <v>6.0</v>
      </c>
      <c r="C818" s="7" t="s">
        <v>267</v>
      </c>
      <c r="D818" s="7" t="s">
        <v>1077</v>
      </c>
      <c r="E818" s="7" t="s">
        <v>1078</v>
      </c>
      <c r="F818" s="7" t="s">
        <v>238</v>
      </c>
    </row>
    <row r="819">
      <c r="A819" s="7" t="s">
        <v>870</v>
      </c>
      <c r="B819" s="7">
        <v>6.0</v>
      </c>
      <c r="C819" s="7" t="s">
        <v>267</v>
      </c>
      <c r="D819" s="7" t="s">
        <v>1077</v>
      </c>
      <c r="E819" s="7" t="s">
        <v>1078</v>
      </c>
      <c r="F819" s="7" t="s">
        <v>238</v>
      </c>
    </row>
    <row r="820">
      <c r="A820" s="7" t="s">
        <v>6</v>
      </c>
      <c r="B820" s="7">
        <v>6.0</v>
      </c>
      <c r="C820" s="7" t="s">
        <v>267</v>
      </c>
      <c r="D820" s="7" t="s">
        <v>1077</v>
      </c>
      <c r="E820" s="7" t="s">
        <v>1078</v>
      </c>
      <c r="F820" s="7" t="s">
        <v>1080</v>
      </c>
    </row>
    <row r="821">
      <c r="A821" s="7" t="s">
        <v>871</v>
      </c>
      <c r="B821" s="7">
        <v>6.0</v>
      </c>
      <c r="C821" s="7" t="s">
        <v>267</v>
      </c>
      <c r="D821" s="7" t="s">
        <v>1077</v>
      </c>
      <c r="E821" s="7" t="s">
        <v>1078</v>
      </c>
      <c r="F821" s="7" t="s">
        <v>271</v>
      </c>
    </row>
    <row r="822">
      <c r="A822" s="7" t="s">
        <v>7</v>
      </c>
      <c r="B822" s="7">
        <v>6.0</v>
      </c>
      <c r="C822" s="7" t="s">
        <v>267</v>
      </c>
      <c r="D822" s="7" t="s">
        <v>1077</v>
      </c>
      <c r="E822" s="7" t="s">
        <v>1078</v>
      </c>
      <c r="F822" s="7" t="s">
        <v>238</v>
      </c>
    </row>
    <row r="823">
      <c r="A823" s="7" t="s">
        <v>8</v>
      </c>
      <c r="B823" s="7">
        <v>6.0</v>
      </c>
      <c r="C823" s="7" t="s">
        <v>267</v>
      </c>
      <c r="D823" s="7" t="s">
        <v>1077</v>
      </c>
      <c r="E823" s="7" t="s">
        <v>1078</v>
      </c>
      <c r="F823" s="7" t="s">
        <v>238</v>
      </c>
    </row>
    <row r="824">
      <c r="A824" s="7" t="s">
        <v>388</v>
      </c>
      <c r="B824" s="7">
        <v>6.0</v>
      </c>
      <c r="C824" s="7" t="s">
        <v>267</v>
      </c>
      <c r="D824" s="7" t="s">
        <v>1077</v>
      </c>
      <c r="E824" s="7" t="s">
        <v>1078</v>
      </c>
      <c r="F824" s="7" t="s">
        <v>770</v>
      </c>
    </row>
    <row r="825">
      <c r="A825" s="7" t="s">
        <v>189</v>
      </c>
      <c r="B825" s="7">
        <v>6.0</v>
      </c>
      <c r="C825" s="7" t="s">
        <v>267</v>
      </c>
      <c r="D825" s="7" t="s">
        <v>1077</v>
      </c>
      <c r="E825" s="7" t="s">
        <v>1078</v>
      </c>
      <c r="F825" s="7" t="s">
        <v>271</v>
      </c>
    </row>
    <row r="826">
      <c r="A826" s="7" t="s">
        <v>9</v>
      </c>
      <c r="B826" s="7">
        <v>6.0</v>
      </c>
      <c r="C826" s="7" t="s">
        <v>267</v>
      </c>
      <c r="D826" s="7" t="s">
        <v>1077</v>
      </c>
      <c r="E826" s="7" t="s">
        <v>1078</v>
      </c>
      <c r="F826" s="7" t="s">
        <v>238</v>
      </c>
    </row>
    <row r="827">
      <c r="A827" s="7" t="s">
        <v>10</v>
      </c>
      <c r="B827" s="7">
        <v>6.0</v>
      </c>
      <c r="C827" s="7" t="s">
        <v>267</v>
      </c>
      <c r="D827" s="7" t="s">
        <v>1077</v>
      </c>
      <c r="E827" s="7" t="s">
        <v>1078</v>
      </c>
      <c r="F827" s="7" t="s">
        <v>271</v>
      </c>
    </row>
    <row r="828">
      <c r="A828" s="7" t="s">
        <v>872</v>
      </c>
      <c r="B828" s="7">
        <v>6.0</v>
      </c>
      <c r="C828" s="7" t="s">
        <v>267</v>
      </c>
      <c r="D828" s="7" t="s">
        <v>1077</v>
      </c>
      <c r="E828" s="7" t="s">
        <v>1078</v>
      </c>
      <c r="F828" s="7" t="s">
        <v>271</v>
      </c>
    </row>
    <row r="829">
      <c r="A829" s="7" t="s">
        <v>873</v>
      </c>
      <c r="B829" s="7">
        <v>6.0</v>
      </c>
      <c r="C829" s="7" t="s">
        <v>267</v>
      </c>
      <c r="D829" s="7" t="s">
        <v>1077</v>
      </c>
      <c r="E829" s="7" t="s">
        <v>1078</v>
      </c>
      <c r="F829" s="7" t="s">
        <v>238</v>
      </c>
    </row>
    <row r="830">
      <c r="A830" s="7" t="s">
        <v>11</v>
      </c>
      <c r="B830" s="7">
        <v>6.0</v>
      </c>
      <c r="C830" s="7" t="s">
        <v>267</v>
      </c>
      <c r="D830" s="7" t="s">
        <v>1077</v>
      </c>
      <c r="E830" s="7" t="s">
        <v>1078</v>
      </c>
      <c r="F830" s="7" t="s">
        <v>1081</v>
      </c>
    </row>
    <row r="831">
      <c r="A831" s="7" t="s">
        <v>12</v>
      </c>
      <c r="B831" s="7">
        <v>6.0</v>
      </c>
      <c r="C831" s="7" t="s">
        <v>267</v>
      </c>
      <c r="D831" s="7" t="s">
        <v>1077</v>
      </c>
      <c r="E831" s="7" t="s">
        <v>1078</v>
      </c>
      <c r="F831" s="7" t="s">
        <v>1082</v>
      </c>
    </row>
    <row r="832">
      <c r="A832" s="7" t="s">
        <v>874</v>
      </c>
      <c r="B832" s="7">
        <v>6.0</v>
      </c>
      <c r="C832" s="7" t="s">
        <v>267</v>
      </c>
      <c r="D832" s="7" t="s">
        <v>1077</v>
      </c>
      <c r="E832" s="7" t="s">
        <v>1078</v>
      </c>
      <c r="F832" s="7" t="s">
        <v>271</v>
      </c>
    </row>
    <row r="833">
      <c r="A833" s="7" t="s">
        <v>13</v>
      </c>
      <c r="B833" s="7">
        <v>6.0</v>
      </c>
      <c r="C833" s="7" t="s">
        <v>267</v>
      </c>
      <c r="D833" s="7" t="s">
        <v>1077</v>
      </c>
      <c r="E833" s="7" t="s">
        <v>1078</v>
      </c>
      <c r="F833" s="7" t="s">
        <v>271</v>
      </c>
    </row>
    <row r="834">
      <c r="A834" s="7" t="s">
        <v>875</v>
      </c>
      <c r="B834" s="7">
        <v>6.0</v>
      </c>
      <c r="C834" s="7" t="s">
        <v>267</v>
      </c>
      <c r="D834" s="7" t="s">
        <v>1077</v>
      </c>
      <c r="E834" s="7" t="s">
        <v>1078</v>
      </c>
      <c r="F834" s="7" t="s">
        <v>271</v>
      </c>
    </row>
    <row r="835">
      <c r="A835" s="7" t="s">
        <v>14</v>
      </c>
      <c r="B835" s="7">
        <v>6.0</v>
      </c>
      <c r="C835" s="7" t="s">
        <v>267</v>
      </c>
      <c r="D835" s="7" t="s">
        <v>1077</v>
      </c>
      <c r="E835" s="7" t="s">
        <v>1078</v>
      </c>
      <c r="F835" s="7" t="s">
        <v>271</v>
      </c>
    </row>
    <row r="836">
      <c r="A836" s="7" t="s">
        <v>609</v>
      </c>
      <c r="B836" s="7">
        <v>6.0</v>
      </c>
      <c r="C836" s="7" t="s">
        <v>267</v>
      </c>
      <c r="D836" s="7" t="s">
        <v>1077</v>
      </c>
      <c r="E836" s="7" t="s">
        <v>1078</v>
      </c>
      <c r="F836" s="7" t="s">
        <v>238</v>
      </c>
    </row>
    <row r="837">
      <c r="A837" s="7" t="s">
        <v>15</v>
      </c>
      <c r="B837" s="7">
        <v>6.0</v>
      </c>
      <c r="C837" s="7" t="s">
        <v>267</v>
      </c>
      <c r="D837" s="7" t="s">
        <v>1077</v>
      </c>
      <c r="E837" s="7" t="s">
        <v>1078</v>
      </c>
      <c r="F837" s="7" t="s">
        <v>238</v>
      </c>
    </row>
    <row r="838">
      <c r="A838" s="7" t="s">
        <v>610</v>
      </c>
      <c r="B838" s="7">
        <v>6.0</v>
      </c>
      <c r="C838" s="7" t="s">
        <v>267</v>
      </c>
      <c r="D838" s="7" t="s">
        <v>1077</v>
      </c>
      <c r="E838" s="7" t="s">
        <v>1078</v>
      </c>
      <c r="F838" s="7" t="s">
        <v>273</v>
      </c>
    </row>
    <row r="839">
      <c r="A839" s="7" t="s">
        <v>16</v>
      </c>
      <c r="B839" s="7">
        <v>6.0</v>
      </c>
      <c r="C839" s="7" t="s">
        <v>267</v>
      </c>
      <c r="D839" s="7" t="s">
        <v>1077</v>
      </c>
      <c r="E839" s="7" t="s">
        <v>1078</v>
      </c>
      <c r="F839" s="7" t="s">
        <v>240</v>
      </c>
    </row>
    <row r="840">
      <c r="A840" s="7" t="s">
        <v>876</v>
      </c>
      <c r="B840" s="7">
        <v>6.0</v>
      </c>
      <c r="C840" s="7" t="s">
        <v>267</v>
      </c>
      <c r="D840" s="7" t="s">
        <v>1077</v>
      </c>
      <c r="E840" s="7" t="s">
        <v>1078</v>
      </c>
      <c r="F840" s="7" t="s">
        <v>913</v>
      </c>
    </row>
    <row r="841">
      <c r="A841" s="7" t="s">
        <v>877</v>
      </c>
      <c r="B841" s="7">
        <v>6.0</v>
      </c>
      <c r="C841" s="7" t="s">
        <v>267</v>
      </c>
      <c r="D841" s="7" t="s">
        <v>1077</v>
      </c>
      <c r="E841" s="7" t="s">
        <v>1078</v>
      </c>
      <c r="F841" s="7" t="s">
        <v>238</v>
      </c>
    </row>
    <row r="842">
      <c r="A842" s="7" t="s">
        <v>17</v>
      </c>
      <c r="B842" s="7">
        <v>6.0</v>
      </c>
      <c r="C842" s="7" t="s">
        <v>267</v>
      </c>
      <c r="D842" s="7" t="s">
        <v>1077</v>
      </c>
      <c r="E842" s="7" t="s">
        <v>1078</v>
      </c>
      <c r="F842" s="7" t="s">
        <v>238</v>
      </c>
    </row>
    <row r="843">
      <c r="A843" s="7" t="s">
        <v>18</v>
      </c>
      <c r="B843" s="7">
        <v>6.0</v>
      </c>
      <c r="C843" s="7" t="s">
        <v>267</v>
      </c>
      <c r="D843" s="7" t="s">
        <v>1077</v>
      </c>
      <c r="E843" s="7" t="s">
        <v>1078</v>
      </c>
      <c r="F843" s="7" t="s">
        <v>238</v>
      </c>
    </row>
    <row r="844">
      <c r="A844" s="7" t="s">
        <v>19</v>
      </c>
      <c r="B844" s="7">
        <v>6.0</v>
      </c>
      <c r="C844" s="7" t="s">
        <v>267</v>
      </c>
      <c r="D844" s="7" t="s">
        <v>1077</v>
      </c>
      <c r="E844" s="7" t="s">
        <v>1078</v>
      </c>
      <c r="F844" s="7" t="s">
        <v>238</v>
      </c>
    </row>
    <row r="845">
      <c r="A845" s="7" t="s">
        <v>596</v>
      </c>
      <c r="B845" s="7">
        <v>6.0</v>
      </c>
      <c r="C845" s="7" t="s">
        <v>773</v>
      </c>
      <c r="D845" s="7" t="s">
        <v>1083</v>
      </c>
      <c r="E845" s="7" t="s">
        <v>1084</v>
      </c>
      <c r="F845" s="7" t="s">
        <v>776</v>
      </c>
    </row>
    <row r="846">
      <c r="A846" s="7" t="s">
        <v>188</v>
      </c>
      <c r="B846" s="7">
        <v>6.0</v>
      </c>
      <c r="C846" s="7" t="s">
        <v>773</v>
      </c>
      <c r="D846" s="7" t="s">
        <v>1083</v>
      </c>
      <c r="E846" s="7" t="s">
        <v>1084</v>
      </c>
      <c r="F846" s="7" t="s">
        <v>776</v>
      </c>
    </row>
    <row r="847">
      <c r="A847" s="7" t="s">
        <v>4</v>
      </c>
      <c r="B847" s="7">
        <v>6.0</v>
      </c>
      <c r="C847" s="7" t="s">
        <v>773</v>
      </c>
      <c r="D847" s="7" t="s">
        <v>1083</v>
      </c>
      <c r="E847" s="7" t="s">
        <v>1084</v>
      </c>
      <c r="F847" s="7" t="s">
        <v>776</v>
      </c>
    </row>
    <row r="848">
      <c r="A848" s="7" t="s">
        <v>386</v>
      </c>
      <c r="B848" s="7">
        <v>6.0</v>
      </c>
      <c r="C848" s="7" t="s">
        <v>773</v>
      </c>
      <c r="D848" s="7" t="s">
        <v>1083</v>
      </c>
      <c r="E848" s="7" t="s">
        <v>1084</v>
      </c>
      <c r="F848" s="7" t="s">
        <v>1085</v>
      </c>
    </row>
    <row r="849">
      <c r="A849" s="7" t="s">
        <v>866</v>
      </c>
      <c r="B849" s="7">
        <v>6.0</v>
      </c>
      <c r="C849" s="7" t="s">
        <v>773</v>
      </c>
      <c r="D849" s="7" t="s">
        <v>1083</v>
      </c>
      <c r="E849" s="7" t="s">
        <v>1084</v>
      </c>
      <c r="F849" s="7" t="s">
        <v>1085</v>
      </c>
    </row>
    <row r="850">
      <c r="A850" s="7" t="s">
        <v>5</v>
      </c>
      <c r="B850" s="7">
        <v>6.0</v>
      </c>
      <c r="C850" s="7" t="s">
        <v>773</v>
      </c>
      <c r="D850" s="7" t="s">
        <v>1083</v>
      </c>
      <c r="E850" s="7" t="s">
        <v>1084</v>
      </c>
      <c r="F850" s="7" t="s">
        <v>1086</v>
      </c>
    </row>
    <row r="851">
      <c r="A851" s="7" t="s">
        <v>867</v>
      </c>
      <c r="B851" s="7">
        <v>6.0</v>
      </c>
      <c r="C851" s="7" t="s">
        <v>773</v>
      </c>
      <c r="D851" s="7" t="s">
        <v>1083</v>
      </c>
      <c r="E851" s="7" t="s">
        <v>1084</v>
      </c>
      <c r="F851" s="7" t="s">
        <v>1087</v>
      </c>
    </row>
    <row r="852">
      <c r="A852" s="7" t="s">
        <v>868</v>
      </c>
      <c r="B852" s="7">
        <v>6.0</v>
      </c>
      <c r="C852" s="7" t="s">
        <v>773</v>
      </c>
      <c r="D852" s="7" t="s">
        <v>1083</v>
      </c>
      <c r="E852" s="7" t="s">
        <v>1084</v>
      </c>
      <c r="F852" s="7" t="s">
        <v>1088</v>
      </c>
    </row>
    <row r="853">
      <c r="A853" s="7" t="s">
        <v>599</v>
      </c>
      <c r="B853" s="7">
        <v>6.0</v>
      </c>
      <c r="C853" s="7" t="s">
        <v>773</v>
      </c>
      <c r="D853" s="7" t="s">
        <v>1083</v>
      </c>
      <c r="E853" s="7" t="s">
        <v>1084</v>
      </c>
      <c r="F853" s="7" t="s">
        <v>776</v>
      </c>
    </row>
    <row r="854">
      <c r="A854" s="7" t="s">
        <v>869</v>
      </c>
      <c r="B854" s="7">
        <v>6.0</v>
      </c>
      <c r="C854" s="7" t="s">
        <v>773</v>
      </c>
      <c r="D854" s="7" t="s">
        <v>1083</v>
      </c>
      <c r="E854" s="7" t="s">
        <v>1084</v>
      </c>
      <c r="F854" s="7" t="s">
        <v>776</v>
      </c>
    </row>
    <row r="855">
      <c r="A855" s="7" t="s">
        <v>870</v>
      </c>
      <c r="B855" s="7">
        <v>6.0</v>
      </c>
      <c r="C855" s="7" t="s">
        <v>773</v>
      </c>
      <c r="D855" s="7" t="s">
        <v>1083</v>
      </c>
      <c r="E855" s="7" t="s">
        <v>1084</v>
      </c>
      <c r="F855" s="7" t="s">
        <v>1088</v>
      </c>
    </row>
    <row r="856">
      <c r="A856" s="7" t="s">
        <v>6</v>
      </c>
      <c r="B856" s="7">
        <v>6.0</v>
      </c>
      <c r="C856" s="7" t="s">
        <v>773</v>
      </c>
      <c r="D856" s="7" t="s">
        <v>1083</v>
      </c>
      <c r="E856" s="7" t="s">
        <v>1084</v>
      </c>
      <c r="F856" s="7" t="s">
        <v>776</v>
      </c>
    </row>
    <row r="857">
      <c r="A857" s="7" t="s">
        <v>871</v>
      </c>
      <c r="B857" s="7">
        <v>6.0</v>
      </c>
      <c r="C857" s="7" t="s">
        <v>773</v>
      </c>
      <c r="D857" s="7" t="s">
        <v>1083</v>
      </c>
      <c r="E857" s="7" t="s">
        <v>1084</v>
      </c>
      <c r="F857" s="7" t="s">
        <v>1088</v>
      </c>
    </row>
    <row r="858">
      <c r="A858" s="7" t="s">
        <v>7</v>
      </c>
      <c r="B858" s="7">
        <v>6.0</v>
      </c>
      <c r="C858" s="7" t="s">
        <v>773</v>
      </c>
      <c r="D858" s="7" t="s">
        <v>1083</v>
      </c>
      <c r="E858" s="7" t="s">
        <v>1084</v>
      </c>
      <c r="F858" s="7" t="s">
        <v>776</v>
      </c>
    </row>
    <row r="859">
      <c r="A859" s="7" t="s">
        <v>8</v>
      </c>
      <c r="B859" s="7">
        <v>6.0</v>
      </c>
      <c r="C859" s="7" t="s">
        <v>773</v>
      </c>
      <c r="D859" s="7" t="s">
        <v>1083</v>
      </c>
      <c r="E859" s="7" t="s">
        <v>1084</v>
      </c>
      <c r="F859" s="7" t="s">
        <v>1089</v>
      </c>
    </row>
    <row r="860">
      <c r="A860" s="7" t="s">
        <v>388</v>
      </c>
      <c r="B860" s="7">
        <v>6.0</v>
      </c>
      <c r="C860" s="7" t="s">
        <v>773</v>
      </c>
      <c r="D860" s="7" t="s">
        <v>1083</v>
      </c>
      <c r="E860" s="7" t="s">
        <v>1084</v>
      </c>
      <c r="F860" s="7" t="s">
        <v>1089</v>
      </c>
    </row>
    <row r="861">
      <c r="A861" s="7" t="s">
        <v>189</v>
      </c>
      <c r="B861" s="7">
        <v>6.0</v>
      </c>
      <c r="C861" s="7" t="s">
        <v>773</v>
      </c>
      <c r="D861" s="7" t="s">
        <v>1083</v>
      </c>
      <c r="E861" s="7" t="s">
        <v>1084</v>
      </c>
      <c r="F861" s="7" t="s">
        <v>1088</v>
      </c>
    </row>
    <row r="862">
      <c r="A862" s="7" t="s">
        <v>9</v>
      </c>
      <c r="B862" s="7">
        <v>6.0</v>
      </c>
      <c r="C862" s="7" t="s">
        <v>773</v>
      </c>
      <c r="D862" s="7" t="s">
        <v>1083</v>
      </c>
      <c r="E862" s="7" t="s">
        <v>1084</v>
      </c>
      <c r="F862" s="7" t="s">
        <v>776</v>
      </c>
    </row>
    <row r="863">
      <c r="A863" s="7" t="s">
        <v>10</v>
      </c>
      <c r="B863" s="7">
        <v>6.0</v>
      </c>
      <c r="C863" s="7" t="s">
        <v>773</v>
      </c>
      <c r="D863" s="7" t="s">
        <v>1083</v>
      </c>
      <c r="E863" s="7" t="s">
        <v>1084</v>
      </c>
      <c r="F863" s="7" t="s">
        <v>1088</v>
      </c>
    </row>
    <row r="864">
      <c r="A864" s="7" t="s">
        <v>872</v>
      </c>
      <c r="B864" s="7">
        <v>6.0</v>
      </c>
      <c r="C864" s="7" t="s">
        <v>773</v>
      </c>
      <c r="D864" s="7" t="s">
        <v>1083</v>
      </c>
      <c r="E864" s="7" t="s">
        <v>1084</v>
      </c>
      <c r="F864" s="7" t="s">
        <v>776</v>
      </c>
    </row>
    <row r="865">
      <c r="A865" s="7" t="s">
        <v>11</v>
      </c>
      <c r="B865" s="7">
        <v>6.0</v>
      </c>
      <c r="C865" s="7" t="s">
        <v>773</v>
      </c>
      <c r="D865" s="7" t="s">
        <v>1083</v>
      </c>
      <c r="E865" s="7" t="s">
        <v>1084</v>
      </c>
      <c r="F865" s="7" t="s">
        <v>776</v>
      </c>
    </row>
    <row r="866">
      <c r="A866" s="7" t="s">
        <v>12</v>
      </c>
      <c r="B866" s="7">
        <v>6.0</v>
      </c>
      <c r="C866" s="7" t="s">
        <v>773</v>
      </c>
      <c r="D866" s="7" t="s">
        <v>1083</v>
      </c>
      <c r="E866" s="7" t="s">
        <v>1084</v>
      </c>
      <c r="F866" s="7" t="s">
        <v>776</v>
      </c>
    </row>
    <row r="867">
      <c r="A867" s="7" t="s">
        <v>596</v>
      </c>
      <c r="B867" s="7">
        <v>6.0</v>
      </c>
      <c r="C867" s="7" t="s">
        <v>274</v>
      </c>
      <c r="D867" s="7" t="s">
        <v>1090</v>
      </c>
      <c r="E867" s="7" t="s">
        <v>1091</v>
      </c>
      <c r="F867" s="7" t="s">
        <v>780</v>
      </c>
    </row>
    <row r="868">
      <c r="A868" s="7" t="s">
        <v>188</v>
      </c>
      <c r="B868" s="7">
        <v>6.0</v>
      </c>
      <c r="C868" s="7" t="s">
        <v>274</v>
      </c>
      <c r="D868" s="7" t="s">
        <v>1090</v>
      </c>
      <c r="E868" s="7" t="s">
        <v>1091</v>
      </c>
      <c r="F868" s="7" t="s">
        <v>1092</v>
      </c>
    </row>
    <row r="869">
      <c r="A869" s="7" t="s">
        <v>4</v>
      </c>
      <c r="B869" s="7">
        <v>6.0</v>
      </c>
      <c r="C869" s="7" t="s">
        <v>274</v>
      </c>
      <c r="D869" s="7" t="s">
        <v>1090</v>
      </c>
      <c r="E869" s="7" t="s">
        <v>1091</v>
      </c>
      <c r="F869" s="7" t="s">
        <v>780</v>
      </c>
    </row>
    <row r="870">
      <c r="A870" s="7" t="s">
        <v>386</v>
      </c>
      <c r="B870" s="7">
        <v>6.0</v>
      </c>
      <c r="C870" s="7" t="s">
        <v>274</v>
      </c>
      <c r="D870" s="7" t="s">
        <v>1090</v>
      </c>
      <c r="E870" s="7" t="s">
        <v>1091</v>
      </c>
      <c r="F870" s="7" t="s">
        <v>277</v>
      </c>
    </row>
    <row r="871">
      <c r="A871" s="7" t="s">
        <v>866</v>
      </c>
      <c r="B871" s="7">
        <v>6.0</v>
      </c>
      <c r="C871" s="7" t="s">
        <v>274</v>
      </c>
      <c r="D871" s="7" t="s">
        <v>1090</v>
      </c>
      <c r="E871" s="7" t="s">
        <v>1091</v>
      </c>
      <c r="F871" s="7" t="s">
        <v>277</v>
      </c>
    </row>
    <row r="872">
      <c r="A872" s="7" t="s">
        <v>5</v>
      </c>
      <c r="B872" s="7">
        <v>6.0</v>
      </c>
      <c r="C872" s="7" t="s">
        <v>274</v>
      </c>
      <c r="D872" s="7" t="s">
        <v>1090</v>
      </c>
      <c r="E872" s="7" t="s">
        <v>1091</v>
      </c>
      <c r="F872" s="7" t="s">
        <v>1025</v>
      </c>
    </row>
    <row r="873">
      <c r="A873" s="7" t="s">
        <v>867</v>
      </c>
      <c r="B873" s="7">
        <v>6.0</v>
      </c>
      <c r="C873" s="7" t="s">
        <v>274</v>
      </c>
      <c r="D873" s="7" t="s">
        <v>1090</v>
      </c>
      <c r="E873" s="7" t="s">
        <v>1091</v>
      </c>
      <c r="F873" s="7" t="s">
        <v>1093</v>
      </c>
    </row>
    <row r="874">
      <c r="A874" s="7" t="s">
        <v>868</v>
      </c>
      <c r="B874" s="7">
        <v>6.0</v>
      </c>
      <c r="C874" s="7" t="s">
        <v>274</v>
      </c>
      <c r="D874" s="7" t="s">
        <v>1090</v>
      </c>
      <c r="E874" s="7" t="s">
        <v>1091</v>
      </c>
      <c r="F874" s="7" t="s">
        <v>277</v>
      </c>
    </row>
    <row r="875">
      <c r="A875" s="7" t="s">
        <v>599</v>
      </c>
      <c r="B875" s="7">
        <v>6.0</v>
      </c>
      <c r="C875" s="7" t="s">
        <v>274</v>
      </c>
      <c r="D875" s="7" t="s">
        <v>1090</v>
      </c>
      <c r="E875" s="7" t="s">
        <v>1091</v>
      </c>
      <c r="F875" s="7" t="s">
        <v>780</v>
      </c>
    </row>
    <row r="876">
      <c r="A876" s="7" t="s">
        <v>869</v>
      </c>
      <c r="B876" s="7">
        <v>6.0</v>
      </c>
      <c r="C876" s="7" t="s">
        <v>274</v>
      </c>
      <c r="D876" s="7" t="s">
        <v>1090</v>
      </c>
      <c r="E876" s="7" t="s">
        <v>1091</v>
      </c>
      <c r="F876" s="7" t="s">
        <v>780</v>
      </c>
    </row>
    <row r="877">
      <c r="A877" s="7" t="s">
        <v>870</v>
      </c>
      <c r="B877" s="7">
        <v>6.0</v>
      </c>
      <c r="C877" s="7" t="s">
        <v>274</v>
      </c>
      <c r="D877" s="7" t="s">
        <v>1090</v>
      </c>
      <c r="E877" s="7" t="s">
        <v>1091</v>
      </c>
      <c r="F877" s="7" t="s">
        <v>1094</v>
      </c>
    </row>
    <row r="878">
      <c r="A878" s="7" t="s">
        <v>6</v>
      </c>
      <c r="B878" s="7">
        <v>6.0</v>
      </c>
      <c r="C878" s="7" t="s">
        <v>274</v>
      </c>
      <c r="D878" s="7" t="s">
        <v>1090</v>
      </c>
      <c r="E878" s="7" t="s">
        <v>1091</v>
      </c>
      <c r="F878" s="7" t="s">
        <v>1095</v>
      </c>
    </row>
    <row r="879">
      <c r="A879" s="7" t="s">
        <v>871</v>
      </c>
      <c r="B879" s="7">
        <v>6.0</v>
      </c>
      <c r="C879" s="7" t="s">
        <v>274</v>
      </c>
      <c r="D879" s="7" t="s">
        <v>1090</v>
      </c>
      <c r="E879" s="7" t="s">
        <v>1091</v>
      </c>
      <c r="F879" s="7" t="s">
        <v>1096</v>
      </c>
    </row>
    <row r="880">
      <c r="A880" s="7" t="s">
        <v>7</v>
      </c>
      <c r="B880" s="7">
        <v>6.0</v>
      </c>
      <c r="C880" s="7" t="s">
        <v>274</v>
      </c>
      <c r="D880" s="7" t="s">
        <v>1090</v>
      </c>
      <c r="E880" s="7" t="s">
        <v>1091</v>
      </c>
      <c r="F880" s="7" t="s">
        <v>1097</v>
      </c>
    </row>
    <row r="881">
      <c r="A881" s="7" t="s">
        <v>8</v>
      </c>
      <c r="B881" s="7">
        <v>6.0</v>
      </c>
      <c r="C881" s="7" t="s">
        <v>274</v>
      </c>
      <c r="D881" s="7" t="s">
        <v>1090</v>
      </c>
      <c r="E881" s="7" t="s">
        <v>1091</v>
      </c>
      <c r="F881" s="7" t="s">
        <v>1098</v>
      </c>
    </row>
    <row r="882">
      <c r="A882" s="7" t="s">
        <v>388</v>
      </c>
      <c r="B882" s="7">
        <v>6.0</v>
      </c>
      <c r="C882" s="7" t="s">
        <v>274</v>
      </c>
      <c r="D882" s="7" t="s">
        <v>1090</v>
      </c>
      <c r="E882" s="7" t="s">
        <v>1091</v>
      </c>
      <c r="F882" s="7" t="s">
        <v>785</v>
      </c>
    </row>
    <row r="883">
      <c r="A883" s="7" t="s">
        <v>189</v>
      </c>
      <c r="B883" s="7">
        <v>6.0</v>
      </c>
      <c r="C883" s="7" t="s">
        <v>274</v>
      </c>
      <c r="D883" s="7" t="s">
        <v>1090</v>
      </c>
      <c r="E883" s="7" t="s">
        <v>1091</v>
      </c>
      <c r="F883" s="7" t="s">
        <v>1092</v>
      </c>
    </row>
    <row r="884">
      <c r="A884" s="7" t="s">
        <v>9</v>
      </c>
      <c r="B884" s="7">
        <v>6.0</v>
      </c>
      <c r="C884" s="7" t="s">
        <v>274</v>
      </c>
      <c r="D884" s="7" t="s">
        <v>1090</v>
      </c>
      <c r="E884" s="7" t="s">
        <v>1091</v>
      </c>
      <c r="F884" s="7" t="s">
        <v>902</v>
      </c>
    </row>
    <row r="885">
      <c r="A885" s="7" t="s">
        <v>10</v>
      </c>
      <c r="B885" s="7">
        <v>6.0</v>
      </c>
      <c r="C885" s="7" t="s">
        <v>274</v>
      </c>
      <c r="D885" s="7" t="s">
        <v>1090</v>
      </c>
      <c r="E885" s="7" t="s">
        <v>1091</v>
      </c>
      <c r="F885" s="7" t="s">
        <v>1099</v>
      </c>
    </row>
    <row r="886">
      <c r="A886" s="7" t="s">
        <v>872</v>
      </c>
      <c r="B886" s="7">
        <v>6.0</v>
      </c>
      <c r="C886" s="7" t="s">
        <v>274</v>
      </c>
      <c r="D886" s="7" t="s">
        <v>1090</v>
      </c>
      <c r="E886" s="7" t="s">
        <v>1091</v>
      </c>
      <c r="F886" s="7" t="s">
        <v>1100</v>
      </c>
    </row>
    <row r="887">
      <c r="A887" s="7" t="s">
        <v>873</v>
      </c>
      <c r="B887" s="7">
        <v>6.0</v>
      </c>
      <c r="C887" s="7" t="s">
        <v>274</v>
      </c>
      <c r="D887" s="7" t="s">
        <v>1090</v>
      </c>
      <c r="E887" s="7" t="s">
        <v>1091</v>
      </c>
      <c r="F887" s="7" t="s">
        <v>780</v>
      </c>
    </row>
    <row r="888">
      <c r="A888" s="7" t="s">
        <v>11</v>
      </c>
      <c r="B888" s="7">
        <v>6.0</v>
      </c>
      <c r="C888" s="7" t="s">
        <v>274</v>
      </c>
      <c r="D888" s="7" t="s">
        <v>1090</v>
      </c>
      <c r="E888" s="7" t="s">
        <v>1091</v>
      </c>
      <c r="F888" s="7" t="s">
        <v>1101</v>
      </c>
    </row>
    <row r="889">
      <c r="A889" s="7" t="s">
        <v>12</v>
      </c>
      <c r="B889" s="7">
        <v>6.0</v>
      </c>
      <c r="C889" s="7" t="s">
        <v>274</v>
      </c>
      <c r="D889" s="7" t="s">
        <v>1090</v>
      </c>
      <c r="E889" s="7" t="s">
        <v>1091</v>
      </c>
      <c r="F889" s="7" t="s">
        <v>1102</v>
      </c>
    </row>
    <row r="890">
      <c r="A890" s="7" t="s">
        <v>874</v>
      </c>
      <c r="B890" s="7">
        <v>6.0</v>
      </c>
      <c r="C890" s="7" t="s">
        <v>274</v>
      </c>
      <c r="D890" s="7" t="s">
        <v>1090</v>
      </c>
      <c r="E890" s="7" t="s">
        <v>1091</v>
      </c>
      <c r="F890" s="7" t="s">
        <v>277</v>
      </c>
    </row>
    <row r="891">
      <c r="A891" s="7" t="s">
        <v>13</v>
      </c>
      <c r="B891" s="7">
        <v>6.0</v>
      </c>
      <c r="C891" s="7" t="s">
        <v>274</v>
      </c>
      <c r="D891" s="7" t="s">
        <v>1090</v>
      </c>
      <c r="E891" s="7" t="s">
        <v>1091</v>
      </c>
      <c r="F891" s="7" t="s">
        <v>780</v>
      </c>
    </row>
    <row r="892">
      <c r="A892" s="7" t="s">
        <v>875</v>
      </c>
      <c r="B892" s="7">
        <v>6.0</v>
      </c>
      <c r="C892" s="7" t="s">
        <v>274</v>
      </c>
      <c r="D892" s="7" t="s">
        <v>1090</v>
      </c>
      <c r="E892" s="7" t="s">
        <v>1091</v>
      </c>
      <c r="F892" s="7" t="s">
        <v>780</v>
      </c>
    </row>
    <row r="893">
      <c r="A893" s="7" t="s">
        <v>14</v>
      </c>
      <c r="B893" s="7">
        <v>6.0</v>
      </c>
      <c r="C893" s="7" t="s">
        <v>274</v>
      </c>
      <c r="D893" s="7" t="s">
        <v>1090</v>
      </c>
      <c r="E893" s="7" t="s">
        <v>1091</v>
      </c>
      <c r="F893" s="7" t="s">
        <v>1103</v>
      </c>
    </row>
    <row r="894">
      <c r="A894" s="7" t="s">
        <v>609</v>
      </c>
      <c r="B894" s="7">
        <v>6.0</v>
      </c>
      <c r="C894" s="7" t="s">
        <v>274</v>
      </c>
      <c r="D894" s="7" t="s">
        <v>1090</v>
      </c>
      <c r="E894" s="7" t="s">
        <v>1091</v>
      </c>
      <c r="F894" s="7" t="s">
        <v>780</v>
      </c>
    </row>
    <row r="895">
      <c r="A895" s="7" t="s">
        <v>15</v>
      </c>
      <c r="B895" s="7">
        <v>6.0</v>
      </c>
      <c r="C895" s="7" t="s">
        <v>274</v>
      </c>
      <c r="D895" s="7" t="s">
        <v>1090</v>
      </c>
      <c r="E895" s="7" t="s">
        <v>1091</v>
      </c>
      <c r="F895" s="7" t="s">
        <v>1104</v>
      </c>
    </row>
    <row r="896">
      <c r="A896" s="7" t="s">
        <v>610</v>
      </c>
      <c r="B896" s="7">
        <v>6.0</v>
      </c>
      <c r="C896" s="7" t="s">
        <v>274</v>
      </c>
      <c r="D896" s="7" t="s">
        <v>1090</v>
      </c>
      <c r="E896" s="7" t="s">
        <v>1091</v>
      </c>
      <c r="F896" s="7" t="s">
        <v>780</v>
      </c>
    </row>
    <row r="897">
      <c r="A897" s="7" t="s">
        <v>16</v>
      </c>
      <c r="B897" s="7">
        <v>6.0</v>
      </c>
      <c r="C897" s="7" t="s">
        <v>274</v>
      </c>
      <c r="D897" s="7" t="s">
        <v>1090</v>
      </c>
      <c r="E897" s="7" t="s">
        <v>1091</v>
      </c>
      <c r="F897" s="7" t="s">
        <v>780</v>
      </c>
    </row>
    <row r="898">
      <c r="A898" s="7" t="s">
        <v>876</v>
      </c>
      <c r="B898" s="7">
        <v>6.0</v>
      </c>
      <c r="C898" s="7" t="s">
        <v>274</v>
      </c>
      <c r="D898" s="7" t="s">
        <v>1090</v>
      </c>
      <c r="E898" s="7" t="s">
        <v>1091</v>
      </c>
      <c r="F898" s="7" t="s">
        <v>907</v>
      </c>
    </row>
    <row r="899">
      <c r="A899" s="7" t="s">
        <v>877</v>
      </c>
      <c r="B899" s="7">
        <v>6.0</v>
      </c>
      <c r="C899" s="7" t="s">
        <v>274</v>
      </c>
      <c r="D899" s="7" t="s">
        <v>1090</v>
      </c>
      <c r="E899" s="7" t="s">
        <v>1091</v>
      </c>
      <c r="F899" s="7" t="s">
        <v>780</v>
      </c>
    </row>
    <row r="900">
      <c r="A900" s="7" t="s">
        <v>17</v>
      </c>
      <c r="B900" s="7">
        <v>6.0</v>
      </c>
      <c r="C900" s="7" t="s">
        <v>274</v>
      </c>
      <c r="D900" s="7" t="s">
        <v>1090</v>
      </c>
      <c r="E900" s="7" t="s">
        <v>1091</v>
      </c>
      <c r="F900" s="7" t="s">
        <v>1105</v>
      </c>
    </row>
    <row r="901">
      <c r="A901" s="7" t="s">
        <v>18</v>
      </c>
      <c r="B901" s="7">
        <v>6.0</v>
      </c>
      <c r="C901" s="7" t="s">
        <v>274</v>
      </c>
      <c r="D901" s="7" t="s">
        <v>1090</v>
      </c>
      <c r="E901" s="7" t="s">
        <v>1091</v>
      </c>
      <c r="F901" s="7" t="s">
        <v>780</v>
      </c>
    </row>
    <row r="902">
      <c r="A902" s="7" t="s">
        <v>19</v>
      </c>
      <c r="B902" s="7">
        <v>6.0</v>
      </c>
      <c r="C902" s="7" t="s">
        <v>274</v>
      </c>
      <c r="D902" s="7" t="s">
        <v>1090</v>
      </c>
      <c r="E902" s="7" t="s">
        <v>1091</v>
      </c>
      <c r="F902" s="7" t="s">
        <v>780</v>
      </c>
    </row>
    <row r="903">
      <c r="A903" s="7" t="s">
        <v>870</v>
      </c>
      <c r="B903" s="7">
        <v>6.0</v>
      </c>
      <c r="C903" s="7" t="s">
        <v>788</v>
      </c>
      <c r="D903" s="7" t="s">
        <v>1106</v>
      </c>
      <c r="E903" s="7" t="s">
        <v>1107</v>
      </c>
      <c r="F903" s="7" t="s">
        <v>1108</v>
      </c>
    </row>
    <row r="904">
      <c r="A904" s="7" t="s">
        <v>7</v>
      </c>
      <c r="B904" s="7">
        <v>6.0</v>
      </c>
      <c r="C904" s="7" t="s">
        <v>788</v>
      </c>
      <c r="D904" s="7" t="s">
        <v>1106</v>
      </c>
      <c r="E904" s="7" t="s">
        <v>1107</v>
      </c>
      <c r="F904" s="7" t="s">
        <v>1109</v>
      </c>
    </row>
    <row r="905">
      <c r="A905" s="7" t="s">
        <v>17</v>
      </c>
      <c r="B905" s="7">
        <v>6.0</v>
      </c>
      <c r="C905" s="7" t="s">
        <v>788</v>
      </c>
      <c r="D905" s="7" t="s">
        <v>1106</v>
      </c>
      <c r="E905" s="7" t="s">
        <v>1107</v>
      </c>
      <c r="F905" s="7" t="s">
        <v>1110</v>
      </c>
    </row>
    <row r="906">
      <c r="A906" s="7" t="s">
        <v>596</v>
      </c>
      <c r="B906" s="7">
        <v>6.0</v>
      </c>
      <c r="C906" s="7" t="s">
        <v>794</v>
      </c>
      <c r="D906" s="7" t="s">
        <v>1111</v>
      </c>
      <c r="E906" s="7" t="s">
        <v>1112</v>
      </c>
      <c r="F906" s="7" t="s">
        <v>1113</v>
      </c>
    </row>
    <row r="907">
      <c r="A907" s="7" t="s">
        <v>188</v>
      </c>
      <c r="B907" s="7">
        <v>6.0</v>
      </c>
      <c r="C907" s="7" t="s">
        <v>794</v>
      </c>
      <c r="D907" s="7" t="s">
        <v>1111</v>
      </c>
      <c r="E907" s="7" t="s">
        <v>1112</v>
      </c>
      <c r="F907" s="7" t="s">
        <v>1114</v>
      </c>
    </row>
    <row r="908">
      <c r="A908" s="7" t="s">
        <v>4</v>
      </c>
      <c r="B908" s="7">
        <v>6.0</v>
      </c>
      <c r="C908" s="7" t="s">
        <v>794</v>
      </c>
      <c r="D908" s="7" t="s">
        <v>1111</v>
      </c>
      <c r="E908" s="7" t="s">
        <v>1112</v>
      </c>
      <c r="F908" s="7" t="s">
        <v>1115</v>
      </c>
    </row>
    <row r="909">
      <c r="A909" s="7" t="s">
        <v>386</v>
      </c>
      <c r="B909" s="7">
        <v>6.0</v>
      </c>
      <c r="C909" s="7" t="s">
        <v>794</v>
      </c>
      <c r="D909" s="7" t="s">
        <v>1111</v>
      </c>
      <c r="E909" s="7" t="s">
        <v>1112</v>
      </c>
      <c r="F909" s="7" t="s">
        <v>1116</v>
      </c>
    </row>
    <row r="910">
      <c r="A910" s="7" t="s">
        <v>866</v>
      </c>
      <c r="B910" s="7">
        <v>6.0</v>
      </c>
      <c r="C910" s="7" t="s">
        <v>794</v>
      </c>
      <c r="D910" s="7" t="s">
        <v>1111</v>
      </c>
      <c r="E910" s="7" t="s">
        <v>1112</v>
      </c>
      <c r="F910" s="7" t="s">
        <v>1117</v>
      </c>
    </row>
    <row r="911">
      <c r="A911" s="7" t="s">
        <v>5</v>
      </c>
      <c r="B911" s="7">
        <v>6.0</v>
      </c>
      <c r="C911" s="7" t="s">
        <v>794</v>
      </c>
      <c r="D911" s="7" t="s">
        <v>1111</v>
      </c>
      <c r="E911" s="7" t="s">
        <v>1112</v>
      </c>
      <c r="F911" s="7" t="s">
        <v>1005</v>
      </c>
    </row>
    <row r="912">
      <c r="A912" s="7" t="s">
        <v>867</v>
      </c>
      <c r="B912" s="7">
        <v>6.0</v>
      </c>
      <c r="C912" s="7" t="s">
        <v>794</v>
      </c>
      <c r="D912" s="7" t="s">
        <v>1111</v>
      </c>
      <c r="E912" s="7" t="s">
        <v>1112</v>
      </c>
      <c r="F912" s="7" t="s">
        <v>1118</v>
      </c>
    </row>
    <row r="913">
      <c r="A913" s="7" t="s">
        <v>868</v>
      </c>
      <c r="B913" s="7">
        <v>6.0</v>
      </c>
      <c r="C913" s="7" t="s">
        <v>794</v>
      </c>
      <c r="D913" s="7" t="s">
        <v>1111</v>
      </c>
      <c r="E913" s="7" t="s">
        <v>1112</v>
      </c>
      <c r="F913" s="7" t="s">
        <v>1119</v>
      </c>
    </row>
    <row r="914">
      <c r="A914" s="7" t="s">
        <v>599</v>
      </c>
      <c r="B914" s="7">
        <v>6.0</v>
      </c>
      <c r="C914" s="7" t="s">
        <v>794</v>
      </c>
      <c r="D914" s="7" t="s">
        <v>1111</v>
      </c>
      <c r="E914" s="7" t="s">
        <v>1112</v>
      </c>
      <c r="F914" s="7" t="s">
        <v>1120</v>
      </c>
    </row>
    <row r="915">
      <c r="A915" s="7" t="s">
        <v>869</v>
      </c>
      <c r="B915" s="7">
        <v>6.0</v>
      </c>
      <c r="C915" s="7" t="s">
        <v>794</v>
      </c>
      <c r="D915" s="7" t="s">
        <v>1111</v>
      </c>
      <c r="E915" s="7" t="s">
        <v>1112</v>
      </c>
      <c r="F915" s="7" t="s">
        <v>1121</v>
      </c>
    </row>
    <row r="916">
      <c r="A916" s="7" t="s">
        <v>870</v>
      </c>
      <c r="B916" s="7">
        <v>6.0</v>
      </c>
      <c r="C916" s="7" t="s">
        <v>794</v>
      </c>
      <c r="D916" s="7" t="s">
        <v>1111</v>
      </c>
      <c r="E916" s="7" t="s">
        <v>1112</v>
      </c>
      <c r="F916" s="7" t="s">
        <v>1122</v>
      </c>
    </row>
    <row r="917">
      <c r="A917" s="7" t="s">
        <v>6</v>
      </c>
      <c r="B917" s="7">
        <v>6.0</v>
      </c>
      <c r="C917" s="7" t="s">
        <v>794</v>
      </c>
      <c r="D917" s="7" t="s">
        <v>1111</v>
      </c>
      <c r="E917" s="7" t="s">
        <v>1112</v>
      </c>
      <c r="F917" s="7" t="s">
        <v>1123</v>
      </c>
    </row>
    <row r="918">
      <c r="A918" s="7" t="s">
        <v>871</v>
      </c>
      <c r="B918" s="7">
        <v>6.0</v>
      </c>
      <c r="C918" s="7" t="s">
        <v>794</v>
      </c>
      <c r="D918" s="7" t="s">
        <v>1111</v>
      </c>
      <c r="E918" s="7" t="s">
        <v>1112</v>
      </c>
      <c r="F918" s="7" t="s">
        <v>1114</v>
      </c>
    </row>
    <row r="919">
      <c r="A919" s="7" t="s">
        <v>7</v>
      </c>
      <c r="B919" s="7">
        <v>6.0</v>
      </c>
      <c r="C919" s="7" t="s">
        <v>794</v>
      </c>
      <c r="D919" s="7" t="s">
        <v>1111</v>
      </c>
      <c r="E919" s="7" t="s">
        <v>1112</v>
      </c>
      <c r="F919" s="7" t="s">
        <v>1124</v>
      </c>
    </row>
    <row r="920">
      <c r="A920" s="7" t="s">
        <v>8</v>
      </c>
      <c r="B920" s="7">
        <v>6.0</v>
      </c>
      <c r="C920" s="7" t="s">
        <v>794</v>
      </c>
      <c r="D920" s="7" t="s">
        <v>1111</v>
      </c>
      <c r="E920" s="7" t="s">
        <v>1112</v>
      </c>
      <c r="F920" s="7" t="s">
        <v>1125</v>
      </c>
    </row>
    <row r="921">
      <c r="A921" s="7" t="s">
        <v>388</v>
      </c>
      <c r="B921" s="7">
        <v>6.0</v>
      </c>
      <c r="C921" s="7" t="s">
        <v>794</v>
      </c>
      <c r="D921" s="7" t="s">
        <v>1111</v>
      </c>
      <c r="E921" s="7" t="s">
        <v>1112</v>
      </c>
      <c r="F921" s="7" t="s">
        <v>1126</v>
      </c>
    </row>
    <row r="922">
      <c r="A922" s="7" t="s">
        <v>189</v>
      </c>
      <c r="B922" s="7">
        <v>6.0</v>
      </c>
      <c r="C922" s="7" t="s">
        <v>794</v>
      </c>
      <c r="D922" s="7" t="s">
        <v>1111</v>
      </c>
      <c r="E922" s="7" t="s">
        <v>1112</v>
      </c>
      <c r="F922" s="7" t="s">
        <v>1127</v>
      </c>
    </row>
    <row r="923">
      <c r="A923" s="7" t="s">
        <v>9</v>
      </c>
      <c r="B923" s="7">
        <v>6.0</v>
      </c>
      <c r="C923" s="7" t="s">
        <v>794</v>
      </c>
      <c r="D923" s="7" t="s">
        <v>1111</v>
      </c>
      <c r="E923" s="7" t="s">
        <v>1112</v>
      </c>
      <c r="F923" s="7" t="s">
        <v>1128</v>
      </c>
    </row>
    <row r="924">
      <c r="A924" s="7" t="s">
        <v>10</v>
      </c>
      <c r="B924" s="7">
        <v>6.0</v>
      </c>
      <c r="C924" s="7" t="s">
        <v>794</v>
      </c>
      <c r="D924" s="7" t="s">
        <v>1111</v>
      </c>
      <c r="E924" s="7" t="s">
        <v>1112</v>
      </c>
      <c r="F924" s="7" t="s">
        <v>1129</v>
      </c>
    </row>
    <row r="925">
      <c r="A925" s="7" t="s">
        <v>872</v>
      </c>
      <c r="B925" s="7">
        <v>6.0</v>
      </c>
      <c r="C925" s="7" t="s">
        <v>794</v>
      </c>
      <c r="D925" s="7" t="s">
        <v>1111</v>
      </c>
      <c r="E925" s="7" t="s">
        <v>1112</v>
      </c>
      <c r="F925" s="7" t="s">
        <v>1130</v>
      </c>
    </row>
    <row r="926">
      <c r="A926" s="7" t="s">
        <v>873</v>
      </c>
      <c r="B926" s="7">
        <v>6.0</v>
      </c>
      <c r="C926" s="7" t="s">
        <v>794</v>
      </c>
      <c r="D926" s="7" t="s">
        <v>1111</v>
      </c>
      <c r="E926" s="7" t="s">
        <v>1112</v>
      </c>
      <c r="F926" s="7" t="s">
        <v>1131</v>
      </c>
    </row>
    <row r="927">
      <c r="A927" s="7" t="s">
        <v>11</v>
      </c>
      <c r="B927" s="7">
        <v>6.0</v>
      </c>
      <c r="C927" s="7" t="s">
        <v>794</v>
      </c>
      <c r="D927" s="7" t="s">
        <v>1111</v>
      </c>
      <c r="E927" s="7" t="s">
        <v>1112</v>
      </c>
      <c r="F927" s="7" t="s">
        <v>1132</v>
      </c>
    </row>
    <row r="928">
      <c r="A928" s="7" t="s">
        <v>12</v>
      </c>
      <c r="B928" s="7">
        <v>6.0</v>
      </c>
      <c r="C928" s="7" t="s">
        <v>794</v>
      </c>
      <c r="D928" s="7" t="s">
        <v>1111</v>
      </c>
      <c r="E928" s="7" t="s">
        <v>1112</v>
      </c>
      <c r="F928" s="7" t="s">
        <v>1133</v>
      </c>
    </row>
    <row r="929">
      <c r="A929" s="7" t="s">
        <v>874</v>
      </c>
      <c r="B929" s="7">
        <v>6.0</v>
      </c>
      <c r="C929" s="7" t="s">
        <v>794</v>
      </c>
      <c r="D929" s="7" t="s">
        <v>1111</v>
      </c>
      <c r="E929" s="7" t="s">
        <v>1112</v>
      </c>
      <c r="F929" s="7" t="s">
        <v>1134</v>
      </c>
    </row>
    <row r="930">
      <c r="A930" s="7" t="s">
        <v>13</v>
      </c>
      <c r="B930" s="7">
        <v>6.0</v>
      </c>
      <c r="C930" s="7" t="s">
        <v>794</v>
      </c>
      <c r="D930" s="7" t="s">
        <v>1111</v>
      </c>
      <c r="E930" s="7" t="s">
        <v>1112</v>
      </c>
      <c r="F930" s="7" t="s">
        <v>1135</v>
      </c>
    </row>
    <row r="931">
      <c r="A931" s="7" t="s">
        <v>875</v>
      </c>
      <c r="B931" s="7">
        <v>6.0</v>
      </c>
      <c r="C931" s="7" t="s">
        <v>794</v>
      </c>
      <c r="D931" s="7" t="s">
        <v>1111</v>
      </c>
      <c r="E931" s="7" t="s">
        <v>1112</v>
      </c>
      <c r="F931" s="7" t="s">
        <v>1136</v>
      </c>
    </row>
    <row r="932">
      <c r="A932" s="7" t="s">
        <v>14</v>
      </c>
      <c r="B932" s="7">
        <v>6.0</v>
      </c>
      <c r="C932" s="7" t="s">
        <v>794</v>
      </c>
      <c r="D932" s="7" t="s">
        <v>1111</v>
      </c>
      <c r="E932" s="7" t="s">
        <v>1112</v>
      </c>
      <c r="F932" s="7" t="s">
        <v>1129</v>
      </c>
    </row>
    <row r="933">
      <c r="A933" s="7" t="s">
        <v>609</v>
      </c>
      <c r="B933" s="7">
        <v>6.0</v>
      </c>
      <c r="C933" s="7" t="s">
        <v>794</v>
      </c>
      <c r="D933" s="7" t="s">
        <v>1111</v>
      </c>
      <c r="E933" s="7" t="s">
        <v>1112</v>
      </c>
      <c r="F933" s="7" t="s">
        <v>808</v>
      </c>
    </row>
    <row r="934">
      <c r="A934" s="7" t="s">
        <v>15</v>
      </c>
      <c r="B934" s="7">
        <v>6.0</v>
      </c>
      <c r="C934" s="7" t="s">
        <v>794</v>
      </c>
      <c r="D934" s="7" t="s">
        <v>1111</v>
      </c>
      <c r="E934" s="7" t="s">
        <v>1112</v>
      </c>
      <c r="F934" s="7" t="s">
        <v>1137</v>
      </c>
    </row>
    <row r="935">
      <c r="A935" s="7" t="s">
        <v>610</v>
      </c>
      <c r="B935" s="7">
        <v>6.0</v>
      </c>
      <c r="C935" s="7" t="s">
        <v>794</v>
      </c>
      <c r="D935" s="7" t="s">
        <v>1111</v>
      </c>
      <c r="E935" s="7" t="s">
        <v>1112</v>
      </c>
      <c r="F935" s="7" t="s">
        <v>1120</v>
      </c>
    </row>
    <row r="936">
      <c r="A936" s="7" t="s">
        <v>16</v>
      </c>
      <c r="B936" s="7">
        <v>6.0</v>
      </c>
      <c r="C936" s="7" t="s">
        <v>794</v>
      </c>
      <c r="D936" s="7" t="s">
        <v>1111</v>
      </c>
      <c r="E936" s="7" t="s">
        <v>1112</v>
      </c>
      <c r="F936" s="7" t="s">
        <v>1138</v>
      </c>
    </row>
    <row r="937">
      <c r="A937" s="7" t="s">
        <v>876</v>
      </c>
      <c r="B937" s="7">
        <v>6.0</v>
      </c>
      <c r="C937" s="7" t="s">
        <v>794</v>
      </c>
      <c r="D937" s="7" t="s">
        <v>1111</v>
      </c>
      <c r="E937" s="7" t="s">
        <v>1112</v>
      </c>
      <c r="F937" s="7" t="s">
        <v>1139</v>
      </c>
    </row>
    <row r="938">
      <c r="A938" s="7" t="s">
        <v>877</v>
      </c>
      <c r="B938" s="7">
        <v>6.0</v>
      </c>
      <c r="C938" s="7" t="s">
        <v>794</v>
      </c>
      <c r="D938" s="7" t="s">
        <v>1111</v>
      </c>
      <c r="E938" s="7" t="s">
        <v>1112</v>
      </c>
      <c r="F938" s="7" t="s">
        <v>797</v>
      </c>
    </row>
    <row r="939">
      <c r="A939" s="7" t="s">
        <v>17</v>
      </c>
      <c r="B939" s="7">
        <v>6.0</v>
      </c>
      <c r="C939" s="7" t="s">
        <v>794</v>
      </c>
      <c r="D939" s="7" t="s">
        <v>1111</v>
      </c>
      <c r="E939" s="7" t="s">
        <v>1112</v>
      </c>
      <c r="F939" s="7" t="s">
        <v>1140</v>
      </c>
    </row>
    <row r="940">
      <c r="A940" s="7" t="s">
        <v>18</v>
      </c>
      <c r="B940" s="7">
        <v>6.0</v>
      </c>
      <c r="C940" s="7" t="s">
        <v>794</v>
      </c>
      <c r="D940" s="7" t="s">
        <v>1111</v>
      </c>
      <c r="E940" s="7" t="s">
        <v>1112</v>
      </c>
      <c r="F940" s="7" t="s">
        <v>1141</v>
      </c>
    </row>
    <row r="941">
      <c r="A941" s="7" t="s">
        <v>19</v>
      </c>
      <c r="B941" s="7">
        <v>6.0</v>
      </c>
      <c r="C941" s="7" t="s">
        <v>794</v>
      </c>
      <c r="D941" s="7" t="s">
        <v>1111</v>
      </c>
      <c r="E941" s="7" t="s">
        <v>1112</v>
      </c>
      <c r="F941" s="7" t="s">
        <v>1142</v>
      </c>
    </row>
    <row r="942">
      <c r="A942" s="7" t="s">
        <v>599</v>
      </c>
      <c r="B942" s="7">
        <v>6.0</v>
      </c>
      <c r="C942" s="7" t="s">
        <v>813</v>
      </c>
      <c r="D942" s="7" t="s">
        <v>1143</v>
      </c>
      <c r="E942" s="7" t="s">
        <v>1144</v>
      </c>
      <c r="F942" s="7" t="s">
        <v>1145</v>
      </c>
    </row>
    <row r="943">
      <c r="A943" s="7" t="s">
        <v>5</v>
      </c>
      <c r="B943" s="7">
        <v>6.0</v>
      </c>
      <c r="C943" s="7" t="s">
        <v>1146</v>
      </c>
      <c r="D943" s="7" t="s">
        <v>1147</v>
      </c>
      <c r="E943" s="7" t="s">
        <v>1148</v>
      </c>
      <c r="F943" s="7" t="s">
        <v>1063</v>
      </c>
    </row>
    <row r="944">
      <c r="A944" s="7" t="s">
        <v>867</v>
      </c>
      <c r="B944" s="7">
        <v>6.0</v>
      </c>
      <c r="C944" s="7" t="s">
        <v>1146</v>
      </c>
      <c r="D944" s="7" t="s">
        <v>1147</v>
      </c>
      <c r="E944" s="7" t="s">
        <v>1148</v>
      </c>
      <c r="F944" s="7" t="s">
        <v>1063</v>
      </c>
    </row>
    <row r="945">
      <c r="A945" s="7" t="s">
        <v>869</v>
      </c>
      <c r="B945" s="7">
        <v>6.0</v>
      </c>
      <c r="C945" s="7" t="s">
        <v>1146</v>
      </c>
      <c r="D945" s="7" t="s">
        <v>1147</v>
      </c>
      <c r="E945" s="7" t="s">
        <v>1148</v>
      </c>
      <c r="F945" s="7" t="s">
        <v>1149</v>
      </c>
    </row>
    <row r="946">
      <c r="A946" s="7" t="s">
        <v>870</v>
      </c>
      <c r="B946" s="7">
        <v>6.0</v>
      </c>
      <c r="C946" s="7" t="s">
        <v>1146</v>
      </c>
      <c r="D946" s="7" t="s">
        <v>1147</v>
      </c>
      <c r="E946" s="7" t="s">
        <v>1148</v>
      </c>
      <c r="F946" s="7" t="s">
        <v>1062</v>
      </c>
    </row>
    <row r="947">
      <c r="A947" s="7" t="s">
        <v>6</v>
      </c>
      <c r="B947" s="7">
        <v>6.0</v>
      </c>
      <c r="C947" s="7" t="s">
        <v>1146</v>
      </c>
      <c r="D947" s="7" t="s">
        <v>1147</v>
      </c>
      <c r="E947" s="7" t="s">
        <v>1148</v>
      </c>
      <c r="F947" s="7" t="s">
        <v>532</v>
      </c>
    </row>
    <row r="948">
      <c r="A948" s="7" t="s">
        <v>871</v>
      </c>
      <c r="B948" s="7">
        <v>6.0</v>
      </c>
      <c r="C948" s="7" t="s">
        <v>1146</v>
      </c>
      <c r="D948" s="7" t="s">
        <v>1147</v>
      </c>
      <c r="E948" s="7" t="s">
        <v>1148</v>
      </c>
      <c r="F948" s="7" t="s">
        <v>1062</v>
      </c>
    </row>
    <row r="949">
      <c r="A949" s="7" t="s">
        <v>872</v>
      </c>
      <c r="B949" s="7">
        <v>6.0</v>
      </c>
      <c r="C949" s="7" t="s">
        <v>1146</v>
      </c>
      <c r="D949" s="7" t="s">
        <v>1147</v>
      </c>
      <c r="E949" s="7" t="s">
        <v>1148</v>
      </c>
      <c r="F949" s="7" t="s">
        <v>902</v>
      </c>
    </row>
    <row r="950">
      <c r="A950" s="7" t="s">
        <v>875</v>
      </c>
      <c r="B950" s="7">
        <v>6.0</v>
      </c>
      <c r="C950" s="7" t="s">
        <v>1146</v>
      </c>
      <c r="D950" s="7" t="s">
        <v>1147</v>
      </c>
      <c r="E950" s="7" t="s">
        <v>1148</v>
      </c>
      <c r="F950" s="7" t="s">
        <v>902</v>
      </c>
    </row>
    <row r="951">
      <c r="A951" s="7" t="s">
        <v>596</v>
      </c>
      <c r="B951" s="7">
        <v>6.0</v>
      </c>
      <c r="C951" s="7" t="s">
        <v>309</v>
      </c>
      <c r="D951" s="7" t="s">
        <v>1150</v>
      </c>
      <c r="E951" s="7" t="s">
        <v>1151</v>
      </c>
      <c r="F951" s="7" t="s">
        <v>238</v>
      </c>
    </row>
    <row r="952">
      <c r="A952" s="7" t="s">
        <v>188</v>
      </c>
      <c r="B952" s="7">
        <v>6.0</v>
      </c>
      <c r="C952" s="7" t="s">
        <v>309</v>
      </c>
      <c r="D952" s="7" t="s">
        <v>1150</v>
      </c>
      <c r="E952" s="7" t="s">
        <v>1151</v>
      </c>
      <c r="F952" s="7" t="s">
        <v>980</v>
      </c>
    </row>
    <row r="953">
      <c r="A953" s="7" t="s">
        <v>4</v>
      </c>
      <c r="B953" s="7">
        <v>6.0</v>
      </c>
      <c r="C953" s="7" t="s">
        <v>309</v>
      </c>
      <c r="D953" s="7" t="s">
        <v>1150</v>
      </c>
      <c r="E953" s="7" t="s">
        <v>1151</v>
      </c>
      <c r="F953" s="7" t="s">
        <v>238</v>
      </c>
    </row>
    <row r="954">
      <c r="A954" s="7" t="s">
        <v>386</v>
      </c>
      <c r="B954" s="7">
        <v>6.0</v>
      </c>
      <c r="C954" s="7" t="s">
        <v>309</v>
      </c>
      <c r="D954" s="7" t="s">
        <v>1150</v>
      </c>
      <c r="E954" s="7" t="s">
        <v>1151</v>
      </c>
      <c r="F954" s="7" t="s">
        <v>1152</v>
      </c>
    </row>
    <row r="955">
      <c r="A955" s="7" t="s">
        <v>866</v>
      </c>
      <c r="B955" s="7">
        <v>6.0</v>
      </c>
      <c r="C955" s="7" t="s">
        <v>309</v>
      </c>
      <c r="D955" s="7" t="s">
        <v>1150</v>
      </c>
      <c r="E955" s="7" t="s">
        <v>1151</v>
      </c>
      <c r="F955" s="7" t="s">
        <v>1152</v>
      </c>
    </row>
    <row r="956">
      <c r="A956" s="7" t="s">
        <v>5</v>
      </c>
      <c r="B956" s="7">
        <v>6.0</v>
      </c>
      <c r="C956" s="7" t="s">
        <v>309</v>
      </c>
      <c r="D956" s="7" t="s">
        <v>1150</v>
      </c>
      <c r="E956" s="7" t="s">
        <v>1151</v>
      </c>
      <c r="F956" s="7" t="s">
        <v>271</v>
      </c>
    </row>
    <row r="957">
      <c r="A957" s="7" t="s">
        <v>867</v>
      </c>
      <c r="B957" s="7">
        <v>6.0</v>
      </c>
      <c r="C957" s="7" t="s">
        <v>309</v>
      </c>
      <c r="D957" s="7" t="s">
        <v>1150</v>
      </c>
      <c r="E957" s="7" t="s">
        <v>1151</v>
      </c>
      <c r="F957" s="7" t="s">
        <v>1153</v>
      </c>
    </row>
    <row r="958">
      <c r="A958" s="7" t="s">
        <v>868</v>
      </c>
      <c r="B958" s="7">
        <v>6.0</v>
      </c>
      <c r="C958" s="7" t="s">
        <v>309</v>
      </c>
      <c r="D958" s="7" t="s">
        <v>1150</v>
      </c>
      <c r="E958" s="7" t="s">
        <v>1151</v>
      </c>
      <c r="F958" s="7" t="s">
        <v>271</v>
      </c>
    </row>
    <row r="959">
      <c r="A959" s="7" t="s">
        <v>599</v>
      </c>
      <c r="B959" s="7">
        <v>6.0</v>
      </c>
      <c r="C959" s="7" t="s">
        <v>309</v>
      </c>
      <c r="D959" s="7" t="s">
        <v>1150</v>
      </c>
      <c r="E959" s="7" t="s">
        <v>1151</v>
      </c>
      <c r="F959" s="7" t="s">
        <v>902</v>
      </c>
    </row>
    <row r="960">
      <c r="A960" s="7" t="s">
        <v>869</v>
      </c>
      <c r="B960" s="7">
        <v>6.0</v>
      </c>
      <c r="C960" s="7" t="s">
        <v>309</v>
      </c>
      <c r="D960" s="7" t="s">
        <v>1150</v>
      </c>
      <c r="E960" s="7" t="s">
        <v>1151</v>
      </c>
      <c r="F960" s="7" t="s">
        <v>238</v>
      </c>
    </row>
    <row r="961">
      <c r="A961" s="7" t="s">
        <v>870</v>
      </c>
      <c r="B961" s="7">
        <v>6.0</v>
      </c>
      <c r="C961" s="7" t="s">
        <v>309</v>
      </c>
      <c r="D961" s="7" t="s">
        <v>1150</v>
      </c>
      <c r="E961" s="7" t="s">
        <v>1151</v>
      </c>
      <c r="F961" s="7" t="s">
        <v>1154</v>
      </c>
    </row>
    <row r="962">
      <c r="A962" s="7" t="s">
        <v>6</v>
      </c>
      <c r="B962" s="7">
        <v>6.0</v>
      </c>
      <c r="C962" s="7" t="s">
        <v>309</v>
      </c>
      <c r="D962" s="7" t="s">
        <v>1150</v>
      </c>
      <c r="E962" s="7" t="s">
        <v>1151</v>
      </c>
      <c r="F962" s="7" t="s">
        <v>1154</v>
      </c>
    </row>
    <row r="963">
      <c r="A963" s="7" t="s">
        <v>871</v>
      </c>
      <c r="B963" s="7">
        <v>6.0</v>
      </c>
      <c r="C963" s="7" t="s">
        <v>309</v>
      </c>
      <c r="D963" s="7" t="s">
        <v>1150</v>
      </c>
      <c r="E963" s="7" t="s">
        <v>1151</v>
      </c>
      <c r="F963" s="7" t="s">
        <v>271</v>
      </c>
    </row>
    <row r="964">
      <c r="A964" s="7" t="s">
        <v>7</v>
      </c>
      <c r="B964" s="7">
        <v>6.0</v>
      </c>
      <c r="C964" s="7" t="s">
        <v>309</v>
      </c>
      <c r="D964" s="7" t="s">
        <v>1150</v>
      </c>
      <c r="E964" s="7" t="s">
        <v>1151</v>
      </c>
      <c r="F964" s="7" t="s">
        <v>238</v>
      </c>
    </row>
    <row r="965">
      <c r="A965" s="7" t="s">
        <v>8</v>
      </c>
      <c r="B965" s="7">
        <v>6.0</v>
      </c>
      <c r="C965" s="7" t="s">
        <v>309</v>
      </c>
      <c r="D965" s="7" t="s">
        <v>1150</v>
      </c>
      <c r="E965" s="7" t="s">
        <v>1151</v>
      </c>
      <c r="F965" s="7" t="s">
        <v>238</v>
      </c>
    </row>
    <row r="966">
      <c r="A966" s="7" t="s">
        <v>388</v>
      </c>
      <c r="B966" s="7">
        <v>6.0</v>
      </c>
      <c r="C966" s="7" t="s">
        <v>309</v>
      </c>
      <c r="D966" s="7" t="s">
        <v>1150</v>
      </c>
      <c r="E966" s="7" t="s">
        <v>1151</v>
      </c>
      <c r="F966" s="7" t="s">
        <v>770</v>
      </c>
    </row>
    <row r="967">
      <c r="A967" s="7" t="s">
        <v>189</v>
      </c>
      <c r="B967" s="7">
        <v>6.0</v>
      </c>
      <c r="C967" s="7" t="s">
        <v>309</v>
      </c>
      <c r="D967" s="7" t="s">
        <v>1150</v>
      </c>
      <c r="E967" s="7" t="s">
        <v>1151</v>
      </c>
      <c r="F967" s="7" t="s">
        <v>271</v>
      </c>
    </row>
    <row r="968">
      <c r="A968" s="7" t="s">
        <v>9</v>
      </c>
      <c r="B968" s="7">
        <v>6.0</v>
      </c>
      <c r="C968" s="7" t="s">
        <v>309</v>
      </c>
      <c r="D968" s="7" t="s">
        <v>1150</v>
      </c>
      <c r="E968" s="7" t="s">
        <v>1151</v>
      </c>
      <c r="F968" s="7" t="s">
        <v>238</v>
      </c>
    </row>
    <row r="969">
      <c r="A969" s="7" t="s">
        <v>10</v>
      </c>
      <c r="B969" s="7">
        <v>6.0</v>
      </c>
      <c r="C969" s="7" t="s">
        <v>309</v>
      </c>
      <c r="D969" s="7" t="s">
        <v>1150</v>
      </c>
      <c r="E969" s="7" t="s">
        <v>1151</v>
      </c>
      <c r="F969" s="7" t="s">
        <v>271</v>
      </c>
    </row>
    <row r="970">
      <c r="A970" s="7" t="s">
        <v>872</v>
      </c>
      <c r="B970" s="7">
        <v>6.0</v>
      </c>
      <c r="C970" s="7" t="s">
        <v>309</v>
      </c>
      <c r="D970" s="7" t="s">
        <v>1150</v>
      </c>
      <c r="E970" s="7" t="s">
        <v>1151</v>
      </c>
      <c r="F970" s="7" t="s">
        <v>271</v>
      </c>
    </row>
    <row r="971">
      <c r="A971" s="7" t="s">
        <v>873</v>
      </c>
      <c r="B971" s="7">
        <v>6.0</v>
      </c>
      <c r="C971" s="7" t="s">
        <v>309</v>
      </c>
      <c r="D971" s="7" t="s">
        <v>1150</v>
      </c>
      <c r="E971" s="7" t="s">
        <v>1151</v>
      </c>
      <c r="F971" s="7" t="s">
        <v>238</v>
      </c>
    </row>
    <row r="972">
      <c r="A972" s="7" t="s">
        <v>11</v>
      </c>
      <c r="B972" s="7">
        <v>6.0</v>
      </c>
      <c r="C972" s="7" t="s">
        <v>309</v>
      </c>
      <c r="D972" s="7" t="s">
        <v>1150</v>
      </c>
      <c r="E972" s="7" t="s">
        <v>1151</v>
      </c>
      <c r="F972" s="7" t="s">
        <v>1081</v>
      </c>
    </row>
    <row r="973">
      <c r="A973" s="7" t="s">
        <v>12</v>
      </c>
      <c r="B973" s="7">
        <v>6.0</v>
      </c>
      <c r="C973" s="7" t="s">
        <v>309</v>
      </c>
      <c r="D973" s="7" t="s">
        <v>1150</v>
      </c>
      <c r="E973" s="7" t="s">
        <v>1151</v>
      </c>
      <c r="F973" s="7" t="s">
        <v>1155</v>
      </c>
    </row>
    <row r="974">
      <c r="A974" s="7" t="s">
        <v>874</v>
      </c>
      <c r="B974" s="7">
        <v>6.0</v>
      </c>
      <c r="C974" s="7" t="s">
        <v>309</v>
      </c>
      <c r="D974" s="7" t="s">
        <v>1150</v>
      </c>
      <c r="E974" s="7" t="s">
        <v>1151</v>
      </c>
      <c r="F974" s="7" t="s">
        <v>1156</v>
      </c>
    </row>
    <row r="975">
      <c r="A975" s="7" t="s">
        <v>13</v>
      </c>
      <c r="B975" s="7">
        <v>6.0</v>
      </c>
      <c r="C975" s="7" t="s">
        <v>309</v>
      </c>
      <c r="D975" s="7" t="s">
        <v>1150</v>
      </c>
      <c r="E975" s="7" t="s">
        <v>1151</v>
      </c>
      <c r="F975" s="7" t="s">
        <v>271</v>
      </c>
    </row>
    <row r="976">
      <c r="A976" s="7" t="s">
        <v>875</v>
      </c>
      <c r="B976" s="7">
        <v>6.0</v>
      </c>
      <c r="C976" s="7" t="s">
        <v>309</v>
      </c>
      <c r="D976" s="7" t="s">
        <v>1150</v>
      </c>
      <c r="E976" s="7" t="s">
        <v>1151</v>
      </c>
      <c r="F976" s="7" t="s">
        <v>271</v>
      </c>
    </row>
    <row r="977">
      <c r="A977" s="7" t="s">
        <v>14</v>
      </c>
      <c r="B977" s="7">
        <v>6.0</v>
      </c>
      <c r="C977" s="7" t="s">
        <v>309</v>
      </c>
      <c r="D977" s="7" t="s">
        <v>1150</v>
      </c>
      <c r="E977" s="7" t="s">
        <v>1151</v>
      </c>
      <c r="F977" s="7" t="s">
        <v>271</v>
      </c>
    </row>
    <row r="978">
      <c r="A978" s="7" t="s">
        <v>609</v>
      </c>
      <c r="B978" s="7">
        <v>6.0</v>
      </c>
      <c r="C978" s="7" t="s">
        <v>309</v>
      </c>
      <c r="D978" s="7" t="s">
        <v>1150</v>
      </c>
      <c r="E978" s="7" t="s">
        <v>1151</v>
      </c>
      <c r="F978" s="7" t="s">
        <v>238</v>
      </c>
    </row>
    <row r="979">
      <c r="A979" s="7" t="s">
        <v>15</v>
      </c>
      <c r="B979" s="7">
        <v>6.0</v>
      </c>
      <c r="C979" s="7" t="s">
        <v>309</v>
      </c>
      <c r="D979" s="7" t="s">
        <v>1150</v>
      </c>
      <c r="E979" s="7" t="s">
        <v>1151</v>
      </c>
      <c r="F979" s="7" t="s">
        <v>238</v>
      </c>
    </row>
    <row r="980">
      <c r="A980" s="7" t="s">
        <v>610</v>
      </c>
      <c r="B980" s="7">
        <v>6.0</v>
      </c>
      <c r="C980" s="7" t="s">
        <v>309</v>
      </c>
      <c r="D980" s="7" t="s">
        <v>1150</v>
      </c>
      <c r="E980" s="7" t="s">
        <v>1151</v>
      </c>
      <c r="F980" s="7" t="s">
        <v>273</v>
      </c>
    </row>
    <row r="981">
      <c r="A981" s="7" t="s">
        <v>16</v>
      </c>
      <c r="B981" s="7">
        <v>6.0</v>
      </c>
      <c r="C981" s="7" t="s">
        <v>309</v>
      </c>
      <c r="D981" s="7" t="s">
        <v>1150</v>
      </c>
      <c r="E981" s="7" t="s">
        <v>1151</v>
      </c>
      <c r="F981" s="7" t="s">
        <v>238</v>
      </c>
    </row>
    <row r="982">
      <c r="A982" s="7" t="s">
        <v>876</v>
      </c>
      <c r="B982" s="7">
        <v>6.0</v>
      </c>
      <c r="C982" s="7" t="s">
        <v>309</v>
      </c>
      <c r="D982" s="7" t="s">
        <v>1150</v>
      </c>
      <c r="E982" s="7" t="s">
        <v>1151</v>
      </c>
      <c r="F982" s="7" t="s">
        <v>913</v>
      </c>
    </row>
    <row r="983">
      <c r="A983" s="7" t="s">
        <v>877</v>
      </c>
      <c r="B983" s="7">
        <v>6.0</v>
      </c>
      <c r="C983" s="7" t="s">
        <v>309</v>
      </c>
      <c r="D983" s="7" t="s">
        <v>1150</v>
      </c>
      <c r="E983" s="7" t="s">
        <v>1151</v>
      </c>
      <c r="F983" s="7" t="s">
        <v>238</v>
      </c>
    </row>
    <row r="984">
      <c r="A984" s="7" t="s">
        <v>17</v>
      </c>
      <c r="B984" s="7">
        <v>6.0</v>
      </c>
      <c r="C984" s="7" t="s">
        <v>309</v>
      </c>
      <c r="D984" s="7" t="s">
        <v>1150</v>
      </c>
      <c r="E984" s="7" t="s">
        <v>1151</v>
      </c>
      <c r="F984" s="7" t="s">
        <v>238</v>
      </c>
    </row>
    <row r="985">
      <c r="A985" s="7" t="s">
        <v>18</v>
      </c>
      <c r="B985" s="7">
        <v>6.0</v>
      </c>
      <c r="C985" s="7" t="s">
        <v>309</v>
      </c>
      <c r="D985" s="7" t="s">
        <v>1150</v>
      </c>
      <c r="E985" s="7" t="s">
        <v>1151</v>
      </c>
      <c r="F985" s="7" t="s">
        <v>238</v>
      </c>
    </row>
    <row r="986">
      <c r="A986" s="7" t="s">
        <v>19</v>
      </c>
      <c r="B986" s="7">
        <v>6.0</v>
      </c>
      <c r="C986" s="7" t="s">
        <v>309</v>
      </c>
      <c r="D986" s="7" t="s">
        <v>1150</v>
      </c>
      <c r="E986" s="7" t="s">
        <v>1151</v>
      </c>
      <c r="F986" s="7" t="s">
        <v>238</v>
      </c>
    </row>
    <row r="987">
      <c r="A987" s="7" t="s">
        <v>596</v>
      </c>
      <c r="B987" s="7">
        <v>6.0</v>
      </c>
      <c r="C987" s="7" t="s">
        <v>314</v>
      </c>
      <c r="D987" s="7" t="s">
        <v>1157</v>
      </c>
      <c r="E987" s="7" t="s">
        <v>1158</v>
      </c>
      <c r="F987" s="7" t="s">
        <v>780</v>
      </c>
    </row>
    <row r="988">
      <c r="A988" s="7" t="s">
        <v>188</v>
      </c>
      <c r="B988" s="7">
        <v>6.0</v>
      </c>
      <c r="C988" s="7" t="s">
        <v>314</v>
      </c>
      <c r="D988" s="7" t="s">
        <v>1157</v>
      </c>
      <c r="E988" s="7" t="s">
        <v>1158</v>
      </c>
      <c r="F988" s="7" t="s">
        <v>1092</v>
      </c>
    </row>
    <row r="989">
      <c r="A989" s="7" t="s">
        <v>4</v>
      </c>
      <c r="B989" s="7">
        <v>6.0</v>
      </c>
      <c r="C989" s="7" t="s">
        <v>314</v>
      </c>
      <c r="D989" s="7" t="s">
        <v>1157</v>
      </c>
      <c r="E989" s="7" t="s">
        <v>1158</v>
      </c>
      <c r="F989" s="7" t="s">
        <v>780</v>
      </c>
    </row>
    <row r="990">
      <c r="A990" s="7" t="s">
        <v>386</v>
      </c>
      <c r="B990" s="7">
        <v>6.0</v>
      </c>
      <c r="C990" s="7" t="s">
        <v>314</v>
      </c>
      <c r="D990" s="7" t="s">
        <v>1157</v>
      </c>
      <c r="E990" s="7" t="s">
        <v>1158</v>
      </c>
      <c r="F990" s="7" t="s">
        <v>277</v>
      </c>
    </row>
    <row r="991">
      <c r="A991" s="7" t="s">
        <v>866</v>
      </c>
      <c r="B991" s="7">
        <v>6.0</v>
      </c>
      <c r="C991" s="7" t="s">
        <v>314</v>
      </c>
      <c r="D991" s="7" t="s">
        <v>1157</v>
      </c>
      <c r="E991" s="7" t="s">
        <v>1158</v>
      </c>
      <c r="F991" s="7" t="s">
        <v>277</v>
      </c>
    </row>
    <row r="992">
      <c r="A992" s="7" t="s">
        <v>5</v>
      </c>
      <c r="B992" s="7">
        <v>6.0</v>
      </c>
      <c r="C992" s="7" t="s">
        <v>314</v>
      </c>
      <c r="D992" s="7" t="s">
        <v>1157</v>
      </c>
      <c r="E992" s="7" t="s">
        <v>1158</v>
      </c>
      <c r="F992" s="7" t="s">
        <v>1159</v>
      </c>
    </row>
    <row r="993">
      <c r="A993" s="7" t="s">
        <v>867</v>
      </c>
      <c r="B993" s="7">
        <v>6.0</v>
      </c>
      <c r="C993" s="7" t="s">
        <v>314</v>
      </c>
      <c r="D993" s="7" t="s">
        <v>1157</v>
      </c>
      <c r="E993" s="7" t="s">
        <v>1158</v>
      </c>
      <c r="F993" s="7" t="s">
        <v>1093</v>
      </c>
    </row>
    <row r="994">
      <c r="A994" s="7" t="s">
        <v>868</v>
      </c>
      <c r="B994" s="7">
        <v>6.0</v>
      </c>
      <c r="C994" s="7" t="s">
        <v>314</v>
      </c>
      <c r="D994" s="7" t="s">
        <v>1157</v>
      </c>
      <c r="E994" s="7" t="s">
        <v>1158</v>
      </c>
      <c r="F994" s="7" t="s">
        <v>277</v>
      </c>
    </row>
    <row r="995">
      <c r="A995" s="7" t="s">
        <v>599</v>
      </c>
      <c r="B995" s="7">
        <v>6.0</v>
      </c>
      <c r="C995" s="7" t="s">
        <v>314</v>
      </c>
      <c r="D995" s="7" t="s">
        <v>1157</v>
      </c>
      <c r="E995" s="7" t="s">
        <v>1158</v>
      </c>
      <c r="F995" s="7" t="s">
        <v>780</v>
      </c>
    </row>
    <row r="996">
      <c r="A996" s="7" t="s">
        <v>869</v>
      </c>
      <c r="B996" s="7">
        <v>6.0</v>
      </c>
      <c r="C996" s="7" t="s">
        <v>314</v>
      </c>
      <c r="D996" s="7" t="s">
        <v>1157</v>
      </c>
      <c r="E996" s="7" t="s">
        <v>1158</v>
      </c>
      <c r="F996" s="7" t="s">
        <v>780</v>
      </c>
    </row>
    <row r="997">
      <c r="A997" s="7" t="s">
        <v>870</v>
      </c>
      <c r="B997" s="7">
        <v>6.0</v>
      </c>
      <c r="C997" s="7" t="s">
        <v>314</v>
      </c>
      <c r="D997" s="7" t="s">
        <v>1157</v>
      </c>
      <c r="E997" s="7" t="s">
        <v>1158</v>
      </c>
      <c r="F997" s="7" t="s">
        <v>1160</v>
      </c>
    </row>
    <row r="998">
      <c r="A998" s="7" t="s">
        <v>6</v>
      </c>
      <c r="B998" s="7">
        <v>6.0</v>
      </c>
      <c r="C998" s="7" t="s">
        <v>314</v>
      </c>
      <c r="D998" s="7" t="s">
        <v>1157</v>
      </c>
      <c r="E998" s="7" t="s">
        <v>1158</v>
      </c>
      <c r="F998" s="7" t="s">
        <v>824</v>
      </c>
    </row>
    <row r="999">
      <c r="A999" s="7" t="s">
        <v>871</v>
      </c>
      <c r="B999" s="7">
        <v>6.0</v>
      </c>
      <c r="C999" s="7" t="s">
        <v>314</v>
      </c>
      <c r="D999" s="7" t="s">
        <v>1157</v>
      </c>
      <c r="E999" s="7" t="s">
        <v>1158</v>
      </c>
      <c r="F999" s="7" t="s">
        <v>1096</v>
      </c>
    </row>
    <row r="1000">
      <c r="A1000" s="7" t="s">
        <v>7</v>
      </c>
      <c r="B1000" s="7">
        <v>6.0</v>
      </c>
      <c r="C1000" s="7" t="s">
        <v>314</v>
      </c>
      <c r="D1000" s="7" t="s">
        <v>1157</v>
      </c>
      <c r="E1000" s="7" t="s">
        <v>1158</v>
      </c>
      <c r="F1000" s="7" t="s">
        <v>1161</v>
      </c>
    </row>
    <row r="1001">
      <c r="A1001" s="7" t="s">
        <v>8</v>
      </c>
      <c r="B1001" s="7">
        <v>6.0</v>
      </c>
      <c r="C1001" s="7" t="s">
        <v>314</v>
      </c>
      <c r="D1001" s="7" t="s">
        <v>1157</v>
      </c>
      <c r="E1001" s="7" t="s">
        <v>1158</v>
      </c>
      <c r="F1001" s="7" t="s">
        <v>1162</v>
      </c>
    </row>
    <row r="1002">
      <c r="A1002" s="7" t="s">
        <v>388</v>
      </c>
      <c r="B1002" s="7">
        <v>6.0</v>
      </c>
      <c r="C1002" s="7" t="s">
        <v>314</v>
      </c>
      <c r="D1002" s="7" t="s">
        <v>1157</v>
      </c>
      <c r="E1002" s="7" t="s">
        <v>1158</v>
      </c>
      <c r="F1002" s="7" t="s">
        <v>785</v>
      </c>
    </row>
    <row r="1003">
      <c r="A1003" s="7" t="s">
        <v>189</v>
      </c>
      <c r="B1003" s="7">
        <v>6.0</v>
      </c>
      <c r="C1003" s="7" t="s">
        <v>314</v>
      </c>
      <c r="D1003" s="7" t="s">
        <v>1157</v>
      </c>
      <c r="E1003" s="7" t="s">
        <v>1158</v>
      </c>
      <c r="F1003" s="7" t="s">
        <v>1092</v>
      </c>
    </row>
    <row r="1004">
      <c r="A1004" s="7" t="s">
        <v>9</v>
      </c>
      <c r="B1004" s="7">
        <v>6.0</v>
      </c>
      <c r="C1004" s="7" t="s">
        <v>314</v>
      </c>
      <c r="D1004" s="7" t="s">
        <v>1157</v>
      </c>
      <c r="E1004" s="7" t="s">
        <v>1158</v>
      </c>
      <c r="F1004" s="7" t="s">
        <v>780</v>
      </c>
    </row>
    <row r="1005">
      <c r="A1005" s="7" t="s">
        <v>10</v>
      </c>
      <c r="B1005" s="7">
        <v>6.0</v>
      </c>
      <c r="C1005" s="7" t="s">
        <v>314</v>
      </c>
      <c r="D1005" s="7" t="s">
        <v>1157</v>
      </c>
      <c r="E1005" s="7" t="s">
        <v>1158</v>
      </c>
      <c r="F1005" s="7" t="s">
        <v>1099</v>
      </c>
    </row>
    <row r="1006">
      <c r="A1006" s="7" t="s">
        <v>872</v>
      </c>
      <c r="B1006" s="7">
        <v>6.0</v>
      </c>
      <c r="C1006" s="7" t="s">
        <v>314</v>
      </c>
      <c r="D1006" s="7" t="s">
        <v>1157</v>
      </c>
      <c r="E1006" s="7" t="s">
        <v>1158</v>
      </c>
      <c r="F1006" s="7" t="s">
        <v>1100</v>
      </c>
    </row>
    <row r="1007">
      <c r="A1007" s="7" t="s">
        <v>873</v>
      </c>
      <c r="B1007" s="7">
        <v>6.0</v>
      </c>
      <c r="C1007" s="7" t="s">
        <v>314</v>
      </c>
      <c r="D1007" s="7" t="s">
        <v>1157</v>
      </c>
      <c r="E1007" s="7" t="s">
        <v>1158</v>
      </c>
      <c r="F1007" s="7" t="s">
        <v>780</v>
      </c>
    </row>
    <row r="1008">
      <c r="A1008" s="7" t="s">
        <v>11</v>
      </c>
      <c r="B1008" s="7">
        <v>6.0</v>
      </c>
      <c r="C1008" s="7" t="s">
        <v>314</v>
      </c>
      <c r="D1008" s="7" t="s">
        <v>1157</v>
      </c>
      <c r="E1008" s="7" t="s">
        <v>1158</v>
      </c>
      <c r="F1008" s="7" t="s">
        <v>902</v>
      </c>
    </row>
    <row r="1009">
      <c r="A1009" s="7" t="s">
        <v>12</v>
      </c>
      <c r="B1009" s="7">
        <v>6.0</v>
      </c>
      <c r="C1009" s="7" t="s">
        <v>314</v>
      </c>
      <c r="D1009" s="7" t="s">
        <v>1157</v>
      </c>
      <c r="E1009" s="7" t="s">
        <v>1158</v>
      </c>
      <c r="F1009" s="7" t="s">
        <v>1163</v>
      </c>
    </row>
    <row r="1010">
      <c r="A1010" s="7" t="s">
        <v>874</v>
      </c>
      <c r="B1010" s="7">
        <v>6.0</v>
      </c>
      <c r="C1010" s="7" t="s">
        <v>314</v>
      </c>
      <c r="D1010" s="7" t="s">
        <v>1157</v>
      </c>
      <c r="E1010" s="7" t="s">
        <v>1158</v>
      </c>
      <c r="F1010" s="7" t="s">
        <v>1164</v>
      </c>
    </row>
    <row r="1011">
      <c r="A1011" s="7" t="s">
        <v>13</v>
      </c>
      <c r="B1011" s="7">
        <v>6.0</v>
      </c>
      <c r="C1011" s="7" t="s">
        <v>314</v>
      </c>
      <c r="D1011" s="7" t="s">
        <v>1157</v>
      </c>
      <c r="E1011" s="7" t="s">
        <v>1158</v>
      </c>
      <c r="F1011" s="7" t="s">
        <v>780</v>
      </c>
    </row>
    <row r="1012">
      <c r="A1012" s="7" t="s">
        <v>875</v>
      </c>
      <c r="B1012" s="7">
        <v>6.0</v>
      </c>
      <c r="C1012" s="7" t="s">
        <v>314</v>
      </c>
      <c r="D1012" s="7" t="s">
        <v>1157</v>
      </c>
      <c r="E1012" s="7" t="s">
        <v>1158</v>
      </c>
      <c r="F1012" s="7" t="s">
        <v>780</v>
      </c>
    </row>
    <row r="1013">
      <c r="A1013" s="7" t="s">
        <v>14</v>
      </c>
      <c r="B1013" s="7">
        <v>6.0</v>
      </c>
      <c r="C1013" s="7" t="s">
        <v>314</v>
      </c>
      <c r="D1013" s="7" t="s">
        <v>1157</v>
      </c>
      <c r="E1013" s="7" t="s">
        <v>1158</v>
      </c>
      <c r="F1013" s="7" t="s">
        <v>1103</v>
      </c>
    </row>
    <row r="1014">
      <c r="A1014" s="7" t="s">
        <v>609</v>
      </c>
      <c r="B1014" s="7">
        <v>6.0</v>
      </c>
      <c r="C1014" s="7" t="s">
        <v>314</v>
      </c>
      <c r="D1014" s="7" t="s">
        <v>1157</v>
      </c>
      <c r="E1014" s="7" t="s">
        <v>1158</v>
      </c>
      <c r="F1014" s="7" t="s">
        <v>780</v>
      </c>
    </row>
    <row r="1015">
      <c r="A1015" s="7" t="s">
        <v>15</v>
      </c>
      <c r="B1015" s="7">
        <v>6.0</v>
      </c>
      <c r="C1015" s="7" t="s">
        <v>314</v>
      </c>
      <c r="D1015" s="7" t="s">
        <v>1157</v>
      </c>
      <c r="E1015" s="7" t="s">
        <v>1158</v>
      </c>
      <c r="F1015" s="7" t="s">
        <v>780</v>
      </c>
    </row>
    <row r="1016">
      <c r="A1016" s="7" t="s">
        <v>610</v>
      </c>
      <c r="B1016" s="7">
        <v>6.0</v>
      </c>
      <c r="C1016" s="7" t="s">
        <v>314</v>
      </c>
      <c r="D1016" s="7" t="s">
        <v>1157</v>
      </c>
      <c r="E1016" s="7" t="s">
        <v>1158</v>
      </c>
      <c r="F1016" s="7" t="s">
        <v>780</v>
      </c>
    </row>
    <row r="1017">
      <c r="A1017" s="7" t="s">
        <v>16</v>
      </c>
      <c r="B1017" s="7">
        <v>6.0</v>
      </c>
      <c r="C1017" s="7" t="s">
        <v>314</v>
      </c>
      <c r="D1017" s="7" t="s">
        <v>1157</v>
      </c>
      <c r="E1017" s="7" t="s">
        <v>1158</v>
      </c>
      <c r="F1017" s="7" t="s">
        <v>780</v>
      </c>
    </row>
    <row r="1018">
      <c r="A1018" s="7" t="s">
        <v>876</v>
      </c>
      <c r="B1018" s="7">
        <v>6.0</v>
      </c>
      <c r="C1018" s="7" t="s">
        <v>314</v>
      </c>
      <c r="D1018" s="7" t="s">
        <v>1157</v>
      </c>
      <c r="E1018" s="7" t="s">
        <v>1158</v>
      </c>
      <c r="F1018" s="7" t="s">
        <v>907</v>
      </c>
    </row>
    <row r="1019">
      <c r="A1019" s="7" t="s">
        <v>877</v>
      </c>
      <c r="B1019" s="7">
        <v>6.0</v>
      </c>
      <c r="C1019" s="7" t="s">
        <v>314</v>
      </c>
      <c r="D1019" s="7" t="s">
        <v>1157</v>
      </c>
      <c r="E1019" s="7" t="s">
        <v>1158</v>
      </c>
      <c r="F1019" s="7" t="s">
        <v>780</v>
      </c>
    </row>
    <row r="1020">
      <c r="A1020" s="7" t="s">
        <v>17</v>
      </c>
      <c r="B1020" s="7">
        <v>6.0</v>
      </c>
      <c r="C1020" s="7" t="s">
        <v>314</v>
      </c>
      <c r="D1020" s="7" t="s">
        <v>1157</v>
      </c>
      <c r="E1020" s="7" t="s">
        <v>1158</v>
      </c>
      <c r="F1020" s="7" t="s">
        <v>1105</v>
      </c>
    </row>
    <row r="1021">
      <c r="A1021" s="7" t="s">
        <v>18</v>
      </c>
      <c r="B1021" s="7">
        <v>6.0</v>
      </c>
      <c r="C1021" s="7" t="s">
        <v>314</v>
      </c>
      <c r="D1021" s="7" t="s">
        <v>1157</v>
      </c>
      <c r="E1021" s="7" t="s">
        <v>1158</v>
      </c>
      <c r="F1021" s="7" t="s">
        <v>780</v>
      </c>
    </row>
    <row r="1022">
      <c r="A1022" s="7" t="s">
        <v>19</v>
      </c>
      <c r="B1022" s="7">
        <v>6.0</v>
      </c>
      <c r="C1022" s="7" t="s">
        <v>314</v>
      </c>
      <c r="D1022" s="7" t="s">
        <v>1157</v>
      </c>
      <c r="E1022" s="7" t="s">
        <v>1158</v>
      </c>
      <c r="F1022" s="7" t="s">
        <v>780</v>
      </c>
    </row>
    <row r="1023">
      <c r="A1023" s="7" t="s">
        <v>596</v>
      </c>
      <c r="B1023" s="7">
        <v>6.0</v>
      </c>
      <c r="C1023" s="7" t="s">
        <v>122</v>
      </c>
      <c r="D1023" s="7" t="s">
        <v>1165</v>
      </c>
      <c r="E1023" s="7" t="s">
        <v>321</v>
      </c>
      <c r="F1023" s="7" t="s">
        <v>1166</v>
      </c>
    </row>
    <row r="1024">
      <c r="A1024" s="7" t="s">
        <v>188</v>
      </c>
      <c r="B1024" s="7">
        <v>6.0</v>
      </c>
      <c r="C1024" s="7" t="s">
        <v>122</v>
      </c>
      <c r="D1024" s="7" t="s">
        <v>1165</v>
      </c>
      <c r="E1024" s="7" t="s">
        <v>321</v>
      </c>
      <c r="F1024" s="7" t="s">
        <v>1167</v>
      </c>
    </row>
    <row r="1025">
      <c r="A1025" s="7" t="s">
        <v>4</v>
      </c>
      <c r="B1025" s="7">
        <v>6.0</v>
      </c>
      <c r="C1025" s="7" t="s">
        <v>122</v>
      </c>
      <c r="D1025" s="7" t="s">
        <v>1165</v>
      </c>
      <c r="E1025" s="7" t="s">
        <v>321</v>
      </c>
      <c r="F1025" s="7" t="s">
        <v>566</v>
      </c>
    </row>
    <row r="1026">
      <c r="A1026" s="7" t="s">
        <v>386</v>
      </c>
      <c r="B1026" s="7">
        <v>6.0</v>
      </c>
      <c r="C1026" s="7" t="s">
        <v>122</v>
      </c>
      <c r="D1026" s="7" t="s">
        <v>1165</v>
      </c>
      <c r="E1026" s="7" t="s">
        <v>321</v>
      </c>
      <c r="F1026" s="7" t="s">
        <v>545</v>
      </c>
    </row>
    <row r="1027">
      <c r="A1027" s="7" t="s">
        <v>866</v>
      </c>
      <c r="B1027" s="7">
        <v>6.0</v>
      </c>
      <c r="C1027" s="7" t="s">
        <v>122</v>
      </c>
      <c r="D1027" s="7" t="s">
        <v>1165</v>
      </c>
      <c r="E1027" s="7" t="s">
        <v>321</v>
      </c>
      <c r="F1027" s="7" t="s">
        <v>1168</v>
      </c>
    </row>
    <row r="1028">
      <c r="A1028" s="7" t="s">
        <v>5</v>
      </c>
      <c r="B1028" s="7">
        <v>6.0</v>
      </c>
      <c r="C1028" s="7" t="s">
        <v>122</v>
      </c>
      <c r="D1028" s="7" t="s">
        <v>1165</v>
      </c>
      <c r="E1028" s="7" t="s">
        <v>321</v>
      </c>
      <c r="F1028" s="7" t="s">
        <v>1169</v>
      </c>
    </row>
    <row r="1029">
      <c r="A1029" s="7" t="s">
        <v>867</v>
      </c>
      <c r="B1029" s="7">
        <v>6.0</v>
      </c>
      <c r="C1029" s="7" t="s">
        <v>122</v>
      </c>
      <c r="D1029" s="7" t="s">
        <v>1165</v>
      </c>
      <c r="E1029" s="7" t="s">
        <v>321</v>
      </c>
      <c r="F1029" s="7" t="s">
        <v>1170</v>
      </c>
    </row>
    <row r="1030">
      <c r="A1030" s="7" t="s">
        <v>868</v>
      </c>
      <c r="B1030" s="7">
        <v>6.0</v>
      </c>
      <c r="C1030" s="7" t="s">
        <v>122</v>
      </c>
      <c r="D1030" s="7" t="s">
        <v>1165</v>
      </c>
      <c r="E1030" s="7" t="s">
        <v>321</v>
      </c>
      <c r="F1030" s="7" t="s">
        <v>1171</v>
      </c>
    </row>
    <row r="1031">
      <c r="A1031" s="7" t="s">
        <v>599</v>
      </c>
      <c r="B1031" s="7">
        <v>6.0</v>
      </c>
      <c r="C1031" s="7" t="s">
        <v>122</v>
      </c>
      <c r="D1031" s="7" t="s">
        <v>1165</v>
      </c>
      <c r="E1031" s="7" t="s">
        <v>321</v>
      </c>
      <c r="F1031" s="7" t="s">
        <v>1172</v>
      </c>
    </row>
    <row r="1032">
      <c r="A1032" s="7" t="s">
        <v>869</v>
      </c>
      <c r="B1032" s="7">
        <v>6.0</v>
      </c>
      <c r="C1032" s="7" t="s">
        <v>122</v>
      </c>
      <c r="D1032" s="7" t="s">
        <v>1165</v>
      </c>
      <c r="E1032" s="7" t="s">
        <v>321</v>
      </c>
      <c r="F1032" s="7" t="s">
        <v>1173</v>
      </c>
    </row>
    <row r="1033">
      <c r="A1033" s="7" t="s">
        <v>870</v>
      </c>
      <c r="B1033" s="7">
        <v>6.0</v>
      </c>
      <c r="C1033" s="7" t="s">
        <v>122</v>
      </c>
      <c r="D1033" s="7" t="s">
        <v>1165</v>
      </c>
      <c r="E1033" s="7" t="s">
        <v>321</v>
      </c>
      <c r="F1033" s="7" t="s">
        <v>1174</v>
      </c>
    </row>
    <row r="1034">
      <c r="A1034" s="7" t="s">
        <v>6</v>
      </c>
      <c r="B1034" s="7">
        <v>6.0</v>
      </c>
      <c r="C1034" s="7" t="s">
        <v>122</v>
      </c>
      <c r="D1034" s="7" t="s">
        <v>1165</v>
      </c>
      <c r="E1034" s="7" t="s">
        <v>321</v>
      </c>
      <c r="F1034" s="7" t="s">
        <v>1175</v>
      </c>
    </row>
    <row r="1035">
      <c r="A1035" s="7" t="s">
        <v>871</v>
      </c>
      <c r="B1035" s="7">
        <v>6.0</v>
      </c>
      <c r="C1035" s="7" t="s">
        <v>122</v>
      </c>
      <c r="D1035" s="7" t="s">
        <v>1165</v>
      </c>
      <c r="E1035" s="7" t="s">
        <v>321</v>
      </c>
      <c r="F1035" s="7" t="s">
        <v>1176</v>
      </c>
    </row>
    <row r="1036">
      <c r="A1036" s="7" t="s">
        <v>7</v>
      </c>
      <c r="B1036" s="7">
        <v>6.0</v>
      </c>
      <c r="C1036" s="7" t="s">
        <v>122</v>
      </c>
      <c r="D1036" s="7" t="s">
        <v>1165</v>
      </c>
      <c r="E1036" s="7" t="s">
        <v>321</v>
      </c>
      <c r="F1036" s="7" t="s">
        <v>1177</v>
      </c>
    </row>
    <row r="1037">
      <c r="A1037" s="7" t="s">
        <v>8</v>
      </c>
      <c r="B1037" s="7">
        <v>6.0</v>
      </c>
      <c r="C1037" s="7" t="s">
        <v>122</v>
      </c>
      <c r="D1037" s="7" t="s">
        <v>1165</v>
      </c>
      <c r="E1037" s="7" t="s">
        <v>321</v>
      </c>
      <c r="F1037" s="7" t="s">
        <v>1178</v>
      </c>
    </row>
    <row r="1038">
      <c r="A1038" s="7" t="s">
        <v>388</v>
      </c>
      <c r="B1038" s="7">
        <v>6.0</v>
      </c>
      <c r="C1038" s="7" t="s">
        <v>122</v>
      </c>
      <c r="D1038" s="7" t="s">
        <v>1165</v>
      </c>
      <c r="E1038" s="7" t="s">
        <v>321</v>
      </c>
      <c r="F1038" s="7" t="s">
        <v>548</v>
      </c>
    </row>
    <row r="1039">
      <c r="A1039" s="7" t="s">
        <v>189</v>
      </c>
      <c r="B1039" s="7">
        <v>6.0</v>
      </c>
      <c r="C1039" s="7" t="s">
        <v>122</v>
      </c>
      <c r="D1039" s="7" t="s">
        <v>1165</v>
      </c>
      <c r="E1039" s="7" t="s">
        <v>321</v>
      </c>
      <c r="F1039" s="7" t="s">
        <v>1179</v>
      </c>
    </row>
    <row r="1040">
      <c r="A1040" s="7" t="s">
        <v>9</v>
      </c>
      <c r="B1040" s="7">
        <v>6.0</v>
      </c>
      <c r="C1040" s="7" t="s">
        <v>122</v>
      </c>
      <c r="D1040" s="7" t="s">
        <v>1165</v>
      </c>
      <c r="E1040" s="7" t="s">
        <v>321</v>
      </c>
      <c r="F1040" s="7" t="s">
        <v>680</v>
      </c>
    </row>
    <row r="1041">
      <c r="A1041" s="7" t="s">
        <v>10</v>
      </c>
      <c r="B1041" s="7">
        <v>6.0</v>
      </c>
      <c r="C1041" s="7" t="s">
        <v>122</v>
      </c>
      <c r="D1041" s="7" t="s">
        <v>1165</v>
      </c>
      <c r="E1041" s="7" t="s">
        <v>321</v>
      </c>
      <c r="F1041" s="7" t="s">
        <v>1180</v>
      </c>
    </row>
    <row r="1042">
      <c r="A1042" s="7" t="s">
        <v>872</v>
      </c>
      <c r="B1042" s="7">
        <v>6.0</v>
      </c>
      <c r="C1042" s="7" t="s">
        <v>122</v>
      </c>
      <c r="D1042" s="7" t="s">
        <v>1165</v>
      </c>
      <c r="E1042" s="7" t="s">
        <v>321</v>
      </c>
      <c r="F1042" s="7" t="s">
        <v>1181</v>
      </c>
    </row>
    <row r="1043">
      <c r="A1043" s="7" t="s">
        <v>873</v>
      </c>
      <c r="B1043" s="7">
        <v>6.0</v>
      </c>
      <c r="C1043" s="7" t="s">
        <v>122</v>
      </c>
      <c r="D1043" s="7" t="s">
        <v>1165</v>
      </c>
      <c r="E1043" s="7" t="s">
        <v>321</v>
      </c>
      <c r="F1043" s="7" t="s">
        <v>1182</v>
      </c>
    </row>
    <row r="1044">
      <c r="A1044" s="7" t="s">
        <v>11</v>
      </c>
      <c r="B1044" s="7">
        <v>6.0</v>
      </c>
      <c r="C1044" s="7" t="s">
        <v>122</v>
      </c>
      <c r="D1044" s="7" t="s">
        <v>1165</v>
      </c>
      <c r="E1044" s="7" t="s">
        <v>321</v>
      </c>
      <c r="F1044" s="7" t="s">
        <v>1183</v>
      </c>
    </row>
    <row r="1045">
      <c r="A1045" s="7" t="s">
        <v>12</v>
      </c>
      <c r="B1045" s="7">
        <v>6.0</v>
      </c>
      <c r="C1045" s="7" t="s">
        <v>122</v>
      </c>
      <c r="D1045" s="7" t="s">
        <v>1165</v>
      </c>
      <c r="E1045" s="7" t="s">
        <v>321</v>
      </c>
      <c r="F1045" s="7" t="s">
        <v>1184</v>
      </c>
    </row>
    <row r="1046">
      <c r="A1046" s="7" t="s">
        <v>874</v>
      </c>
      <c r="B1046" s="7">
        <v>6.0</v>
      </c>
      <c r="C1046" s="7" t="s">
        <v>122</v>
      </c>
      <c r="D1046" s="7" t="s">
        <v>1165</v>
      </c>
      <c r="E1046" s="7" t="s">
        <v>321</v>
      </c>
      <c r="F1046" s="7" t="s">
        <v>1185</v>
      </c>
    </row>
    <row r="1047">
      <c r="A1047" s="7" t="s">
        <v>13</v>
      </c>
      <c r="B1047" s="7">
        <v>6.0</v>
      </c>
      <c r="C1047" s="7" t="s">
        <v>122</v>
      </c>
      <c r="D1047" s="7" t="s">
        <v>1165</v>
      </c>
      <c r="E1047" s="7" t="s">
        <v>321</v>
      </c>
      <c r="F1047" s="7" t="s">
        <v>1186</v>
      </c>
    </row>
    <row r="1048">
      <c r="A1048" s="7" t="s">
        <v>875</v>
      </c>
      <c r="B1048" s="7">
        <v>6.0</v>
      </c>
      <c r="C1048" s="7" t="s">
        <v>122</v>
      </c>
      <c r="D1048" s="7" t="s">
        <v>1165</v>
      </c>
      <c r="E1048" s="7" t="s">
        <v>321</v>
      </c>
      <c r="F1048" s="7" t="s">
        <v>1187</v>
      </c>
    </row>
    <row r="1049">
      <c r="A1049" s="7" t="s">
        <v>14</v>
      </c>
      <c r="B1049" s="7">
        <v>6.0</v>
      </c>
      <c r="C1049" s="7" t="s">
        <v>122</v>
      </c>
      <c r="D1049" s="7" t="s">
        <v>1165</v>
      </c>
      <c r="E1049" s="7" t="s">
        <v>321</v>
      </c>
      <c r="F1049" s="7" t="s">
        <v>1188</v>
      </c>
    </row>
    <row r="1050">
      <c r="A1050" s="7" t="s">
        <v>609</v>
      </c>
      <c r="B1050" s="7">
        <v>6.0</v>
      </c>
      <c r="C1050" s="7" t="s">
        <v>122</v>
      </c>
      <c r="D1050" s="7" t="s">
        <v>1165</v>
      </c>
      <c r="E1050" s="7" t="s">
        <v>321</v>
      </c>
      <c r="F1050" s="7" t="s">
        <v>1189</v>
      </c>
    </row>
    <row r="1051">
      <c r="A1051" s="7" t="s">
        <v>15</v>
      </c>
      <c r="B1051" s="7">
        <v>6.0</v>
      </c>
      <c r="C1051" s="7" t="s">
        <v>122</v>
      </c>
      <c r="D1051" s="7" t="s">
        <v>1165</v>
      </c>
      <c r="E1051" s="7" t="s">
        <v>321</v>
      </c>
      <c r="F1051" s="7" t="s">
        <v>1190</v>
      </c>
    </row>
    <row r="1052">
      <c r="A1052" s="7" t="s">
        <v>610</v>
      </c>
      <c r="B1052" s="7">
        <v>6.0</v>
      </c>
      <c r="C1052" s="7" t="s">
        <v>122</v>
      </c>
      <c r="D1052" s="7" t="s">
        <v>1165</v>
      </c>
      <c r="E1052" s="7" t="s">
        <v>321</v>
      </c>
      <c r="F1052" s="7" t="s">
        <v>1191</v>
      </c>
    </row>
    <row r="1053">
      <c r="A1053" s="7" t="s">
        <v>16</v>
      </c>
      <c r="B1053" s="7">
        <v>6.0</v>
      </c>
      <c r="C1053" s="7" t="s">
        <v>122</v>
      </c>
      <c r="D1053" s="7" t="s">
        <v>1165</v>
      </c>
      <c r="E1053" s="7" t="s">
        <v>321</v>
      </c>
      <c r="F1053" s="7" t="s">
        <v>1192</v>
      </c>
    </row>
    <row r="1054">
      <c r="A1054" s="7" t="s">
        <v>876</v>
      </c>
      <c r="B1054" s="7">
        <v>6.0</v>
      </c>
      <c r="C1054" s="7" t="s">
        <v>122</v>
      </c>
      <c r="D1054" s="7" t="s">
        <v>1165</v>
      </c>
      <c r="E1054" s="7" t="s">
        <v>321</v>
      </c>
      <c r="F1054" s="7" t="s">
        <v>1193</v>
      </c>
    </row>
    <row r="1055">
      <c r="A1055" s="7" t="s">
        <v>877</v>
      </c>
      <c r="B1055" s="7">
        <v>6.0</v>
      </c>
      <c r="C1055" s="7" t="s">
        <v>122</v>
      </c>
      <c r="D1055" s="7" t="s">
        <v>1165</v>
      </c>
      <c r="E1055" s="7" t="s">
        <v>321</v>
      </c>
      <c r="F1055" s="7" t="s">
        <v>1194</v>
      </c>
    </row>
    <row r="1056">
      <c r="A1056" s="7" t="s">
        <v>17</v>
      </c>
      <c r="B1056" s="7">
        <v>6.0</v>
      </c>
      <c r="C1056" s="7" t="s">
        <v>122</v>
      </c>
      <c r="D1056" s="7" t="s">
        <v>1165</v>
      </c>
      <c r="E1056" s="7" t="s">
        <v>321</v>
      </c>
      <c r="F1056" s="7" t="s">
        <v>1195</v>
      </c>
    </row>
    <row r="1057">
      <c r="A1057" s="7" t="s">
        <v>18</v>
      </c>
      <c r="B1057" s="7">
        <v>6.0</v>
      </c>
      <c r="C1057" s="7" t="s">
        <v>122</v>
      </c>
      <c r="D1057" s="7" t="s">
        <v>1165</v>
      </c>
      <c r="E1057" s="7" t="s">
        <v>321</v>
      </c>
      <c r="F1057" s="7" t="s">
        <v>1196</v>
      </c>
    </row>
    <row r="1058">
      <c r="A1058" s="7" t="s">
        <v>19</v>
      </c>
      <c r="B1058" s="7">
        <v>6.0</v>
      </c>
      <c r="C1058" s="7" t="s">
        <v>122</v>
      </c>
      <c r="D1058" s="7" t="s">
        <v>1165</v>
      </c>
      <c r="E1058" s="7" t="s">
        <v>321</v>
      </c>
      <c r="F1058" s="7" t="s">
        <v>558</v>
      </c>
    </row>
    <row r="1059">
      <c r="A1059" s="7" t="s">
        <v>596</v>
      </c>
      <c r="B1059" s="7">
        <v>6.0</v>
      </c>
      <c r="C1059" s="7" t="s">
        <v>139</v>
      </c>
      <c r="D1059" s="7" t="s">
        <v>1197</v>
      </c>
      <c r="E1059" s="7" t="s">
        <v>1198</v>
      </c>
      <c r="F1059" s="7" t="s">
        <v>240</v>
      </c>
    </row>
    <row r="1060">
      <c r="A1060" s="7" t="s">
        <v>188</v>
      </c>
      <c r="B1060" s="7">
        <v>6.0</v>
      </c>
      <c r="C1060" s="7" t="s">
        <v>139</v>
      </c>
      <c r="D1060" s="7" t="s">
        <v>1197</v>
      </c>
      <c r="E1060" s="7" t="s">
        <v>1198</v>
      </c>
      <c r="F1060" s="7" t="s">
        <v>841</v>
      </c>
    </row>
    <row r="1061">
      <c r="A1061" s="7" t="s">
        <v>4</v>
      </c>
      <c r="B1061" s="7">
        <v>6.0</v>
      </c>
      <c r="C1061" s="7" t="s">
        <v>139</v>
      </c>
      <c r="D1061" s="7" t="s">
        <v>1197</v>
      </c>
      <c r="E1061" s="7" t="s">
        <v>1198</v>
      </c>
      <c r="F1061" s="7" t="s">
        <v>240</v>
      </c>
    </row>
    <row r="1062">
      <c r="A1062" s="7" t="s">
        <v>386</v>
      </c>
      <c r="B1062" s="7">
        <v>6.0</v>
      </c>
      <c r="C1062" s="7" t="s">
        <v>139</v>
      </c>
      <c r="D1062" s="7" t="s">
        <v>1197</v>
      </c>
      <c r="E1062" s="7" t="s">
        <v>1198</v>
      </c>
      <c r="F1062" s="7" t="s">
        <v>841</v>
      </c>
    </row>
    <row r="1063">
      <c r="A1063" s="7" t="s">
        <v>866</v>
      </c>
      <c r="B1063" s="7">
        <v>6.0</v>
      </c>
      <c r="C1063" s="7" t="s">
        <v>139</v>
      </c>
      <c r="D1063" s="7" t="s">
        <v>1197</v>
      </c>
      <c r="E1063" s="7" t="s">
        <v>1198</v>
      </c>
      <c r="F1063" s="7" t="s">
        <v>841</v>
      </c>
    </row>
    <row r="1064">
      <c r="A1064" s="7" t="s">
        <v>5</v>
      </c>
      <c r="B1064" s="7">
        <v>6.0</v>
      </c>
      <c r="C1064" s="7" t="s">
        <v>139</v>
      </c>
      <c r="D1064" s="7" t="s">
        <v>1197</v>
      </c>
      <c r="E1064" s="7" t="s">
        <v>1198</v>
      </c>
      <c r="F1064" s="7" t="s">
        <v>1199</v>
      </c>
    </row>
    <row r="1065">
      <c r="A1065" s="7" t="s">
        <v>867</v>
      </c>
      <c r="B1065" s="7">
        <v>6.0</v>
      </c>
      <c r="C1065" s="7" t="s">
        <v>139</v>
      </c>
      <c r="D1065" s="7" t="s">
        <v>1197</v>
      </c>
      <c r="E1065" s="7" t="s">
        <v>1198</v>
      </c>
      <c r="F1065" s="7" t="s">
        <v>1200</v>
      </c>
    </row>
    <row r="1066">
      <c r="A1066" s="7" t="s">
        <v>868</v>
      </c>
      <c r="B1066" s="7">
        <v>6.0</v>
      </c>
      <c r="C1066" s="7" t="s">
        <v>139</v>
      </c>
      <c r="D1066" s="7" t="s">
        <v>1197</v>
      </c>
      <c r="E1066" s="7" t="s">
        <v>1198</v>
      </c>
      <c r="F1066" s="7" t="s">
        <v>561</v>
      </c>
    </row>
    <row r="1067">
      <c r="A1067" s="7" t="s">
        <v>599</v>
      </c>
      <c r="B1067" s="7">
        <v>6.0</v>
      </c>
      <c r="C1067" s="7" t="s">
        <v>139</v>
      </c>
      <c r="D1067" s="7" t="s">
        <v>1197</v>
      </c>
      <c r="E1067" s="7" t="s">
        <v>1198</v>
      </c>
      <c r="F1067" s="7" t="s">
        <v>902</v>
      </c>
    </row>
    <row r="1068">
      <c r="A1068" s="7" t="s">
        <v>869</v>
      </c>
      <c r="B1068" s="7">
        <v>6.0</v>
      </c>
      <c r="C1068" s="7" t="s">
        <v>139</v>
      </c>
      <c r="D1068" s="7" t="s">
        <v>1197</v>
      </c>
      <c r="E1068" s="7" t="s">
        <v>1198</v>
      </c>
      <c r="F1068" s="7" t="s">
        <v>142</v>
      </c>
    </row>
    <row r="1069">
      <c r="A1069" s="7" t="s">
        <v>870</v>
      </c>
      <c r="B1069" s="7">
        <v>6.0</v>
      </c>
      <c r="C1069" s="7" t="s">
        <v>139</v>
      </c>
      <c r="D1069" s="7" t="s">
        <v>1197</v>
      </c>
      <c r="E1069" s="7" t="s">
        <v>1198</v>
      </c>
      <c r="F1069" s="7" t="s">
        <v>1201</v>
      </c>
    </row>
    <row r="1070">
      <c r="A1070" s="7" t="s">
        <v>6</v>
      </c>
      <c r="B1070" s="7">
        <v>6.0</v>
      </c>
      <c r="C1070" s="7" t="s">
        <v>139</v>
      </c>
      <c r="D1070" s="7" t="s">
        <v>1197</v>
      </c>
      <c r="E1070" s="7" t="s">
        <v>1198</v>
      </c>
      <c r="F1070" s="7" t="s">
        <v>142</v>
      </c>
    </row>
    <row r="1071">
      <c r="A1071" s="7" t="s">
        <v>871</v>
      </c>
      <c r="B1071" s="7">
        <v>6.0</v>
      </c>
      <c r="C1071" s="7" t="s">
        <v>139</v>
      </c>
      <c r="D1071" s="7" t="s">
        <v>1197</v>
      </c>
      <c r="E1071" s="7" t="s">
        <v>1198</v>
      </c>
      <c r="F1071" s="7" t="s">
        <v>1202</v>
      </c>
    </row>
    <row r="1072">
      <c r="A1072" s="7" t="s">
        <v>7</v>
      </c>
      <c r="B1072" s="7">
        <v>6.0</v>
      </c>
      <c r="C1072" s="7" t="s">
        <v>139</v>
      </c>
      <c r="D1072" s="7" t="s">
        <v>1197</v>
      </c>
      <c r="E1072" s="7" t="s">
        <v>1198</v>
      </c>
      <c r="F1072" s="7" t="s">
        <v>142</v>
      </c>
    </row>
    <row r="1073">
      <c r="A1073" s="7" t="s">
        <v>8</v>
      </c>
      <c r="B1073" s="7">
        <v>6.0</v>
      </c>
      <c r="C1073" s="7" t="s">
        <v>139</v>
      </c>
      <c r="D1073" s="7" t="s">
        <v>1197</v>
      </c>
      <c r="E1073" s="7" t="s">
        <v>1198</v>
      </c>
      <c r="F1073" s="7" t="s">
        <v>1203</v>
      </c>
    </row>
    <row r="1074">
      <c r="A1074" s="7" t="s">
        <v>388</v>
      </c>
      <c r="B1074" s="7">
        <v>6.0</v>
      </c>
      <c r="C1074" s="7" t="s">
        <v>139</v>
      </c>
      <c r="D1074" s="7" t="s">
        <v>1197</v>
      </c>
      <c r="E1074" s="7" t="s">
        <v>1198</v>
      </c>
      <c r="F1074" s="7" t="s">
        <v>1204</v>
      </c>
    </row>
    <row r="1075">
      <c r="A1075" s="7" t="s">
        <v>189</v>
      </c>
      <c r="B1075" s="7">
        <v>6.0</v>
      </c>
      <c r="C1075" s="7" t="s">
        <v>139</v>
      </c>
      <c r="D1075" s="7" t="s">
        <v>1197</v>
      </c>
      <c r="E1075" s="7" t="s">
        <v>1198</v>
      </c>
      <c r="F1075" s="7" t="s">
        <v>841</v>
      </c>
    </row>
    <row r="1076">
      <c r="A1076" s="7" t="s">
        <v>9</v>
      </c>
      <c r="B1076" s="7">
        <v>6.0</v>
      </c>
      <c r="C1076" s="7" t="s">
        <v>139</v>
      </c>
      <c r="D1076" s="7" t="s">
        <v>1197</v>
      </c>
      <c r="E1076" s="7" t="s">
        <v>1198</v>
      </c>
      <c r="F1076" s="7" t="s">
        <v>142</v>
      </c>
    </row>
    <row r="1077">
      <c r="A1077" s="7" t="s">
        <v>10</v>
      </c>
      <c r="B1077" s="7">
        <v>6.0</v>
      </c>
      <c r="C1077" s="7" t="s">
        <v>139</v>
      </c>
      <c r="D1077" s="7" t="s">
        <v>1197</v>
      </c>
      <c r="E1077" s="7" t="s">
        <v>1198</v>
      </c>
      <c r="F1077" s="7" t="s">
        <v>561</v>
      </c>
    </row>
    <row r="1078">
      <c r="A1078" s="7" t="s">
        <v>872</v>
      </c>
      <c r="B1078" s="7">
        <v>6.0</v>
      </c>
      <c r="C1078" s="7" t="s">
        <v>139</v>
      </c>
      <c r="D1078" s="7" t="s">
        <v>1197</v>
      </c>
      <c r="E1078" s="7" t="s">
        <v>1198</v>
      </c>
      <c r="F1078" s="7" t="s">
        <v>841</v>
      </c>
    </row>
    <row r="1079">
      <c r="A1079" s="7" t="s">
        <v>873</v>
      </c>
      <c r="B1079" s="7">
        <v>6.0</v>
      </c>
      <c r="C1079" s="7" t="s">
        <v>139</v>
      </c>
      <c r="D1079" s="7" t="s">
        <v>1197</v>
      </c>
      <c r="E1079" s="7" t="s">
        <v>1198</v>
      </c>
      <c r="F1079" s="7" t="s">
        <v>142</v>
      </c>
    </row>
    <row r="1080">
      <c r="A1080" s="7" t="s">
        <v>11</v>
      </c>
      <c r="B1080" s="7">
        <v>6.0</v>
      </c>
      <c r="C1080" s="7" t="s">
        <v>139</v>
      </c>
      <c r="D1080" s="7" t="s">
        <v>1197</v>
      </c>
      <c r="E1080" s="7" t="s">
        <v>1198</v>
      </c>
      <c r="F1080" s="7" t="s">
        <v>902</v>
      </c>
    </row>
    <row r="1081">
      <c r="A1081" s="7" t="s">
        <v>12</v>
      </c>
      <c r="B1081" s="7">
        <v>6.0</v>
      </c>
      <c r="C1081" s="7" t="s">
        <v>139</v>
      </c>
      <c r="D1081" s="7" t="s">
        <v>1197</v>
      </c>
      <c r="E1081" s="7" t="s">
        <v>1198</v>
      </c>
      <c r="F1081" s="7" t="s">
        <v>1205</v>
      </c>
    </row>
    <row r="1082">
      <c r="A1082" s="7" t="s">
        <v>874</v>
      </c>
      <c r="B1082" s="7">
        <v>6.0</v>
      </c>
      <c r="C1082" s="7" t="s">
        <v>139</v>
      </c>
      <c r="D1082" s="7" t="s">
        <v>1197</v>
      </c>
      <c r="E1082" s="7" t="s">
        <v>1198</v>
      </c>
      <c r="F1082" s="7" t="s">
        <v>1206</v>
      </c>
    </row>
    <row r="1083">
      <c r="A1083" s="7" t="s">
        <v>13</v>
      </c>
      <c r="B1083" s="7">
        <v>6.0</v>
      </c>
      <c r="C1083" s="7" t="s">
        <v>139</v>
      </c>
      <c r="D1083" s="7" t="s">
        <v>1197</v>
      </c>
      <c r="E1083" s="7" t="s">
        <v>1198</v>
      </c>
      <c r="F1083" s="7" t="s">
        <v>1207</v>
      </c>
    </row>
    <row r="1084">
      <c r="A1084" s="7" t="s">
        <v>875</v>
      </c>
      <c r="B1084" s="7">
        <v>6.0</v>
      </c>
      <c r="C1084" s="7" t="s">
        <v>139</v>
      </c>
      <c r="D1084" s="7" t="s">
        <v>1197</v>
      </c>
      <c r="E1084" s="7" t="s">
        <v>1198</v>
      </c>
      <c r="F1084" s="7" t="s">
        <v>1208</v>
      </c>
    </row>
    <row r="1085">
      <c r="A1085" s="7" t="s">
        <v>14</v>
      </c>
      <c r="B1085" s="7">
        <v>6.0</v>
      </c>
      <c r="C1085" s="7" t="s">
        <v>139</v>
      </c>
      <c r="D1085" s="7" t="s">
        <v>1197</v>
      </c>
      <c r="E1085" s="7" t="s">
        <v>1198</v>
      </c>
      <c r="F1085" s="7" t="s">
        <v>305</v>
      </c>
    </row>
    <row r="1086">
      <c r="A1086" s="7" t="s">
        <v>609</v>
      </c>
      <c r="B1086" s="7">
        <v>6.0</v>
      </c>
      <c r="C1086" s="7" t="s">
        <v>139</v>
      </c>
      <c r="D1086" s="7" t="s">
        <v>1197</v>
      </c>
      <c r="E1086" s="7" t="s">
        <v>1198</v>
      </c>
      <c r="F1086" s="7" t="s">
        <v>238</v>
      </c>
    </row>
    <row r="1087">
      <c r="A1087" s="7" t="s">
        <v>15</v>
      </c>
      <c r="B1087" s="7">
        <v>6.0</v>
      </c>
      <c r="C1087" s="7" t="s">
        <v>139</v>
      </c>
      <c r="D1087" s="7" t="s">
        <v>1197</v>
      </c>
      <c r="E1087" s="7" t="s">
        <v>1198</v>
      </c>
      <c r="F1087" s="7" t="s">
        <v>1209</v>
      </c>
    </row>
    <row r="1088">
      <c r="A1088" s="7" t="s">
        <v>610</v>
      </c>
      <c r="B1088" s="7">
        <v>6.0</v>
      </c>
      <c r="C1088" s="7" t="s">
        <v>139</v>
      </c>
      <c r="D1088" s="7" t="s">
        <v>1197</v>
      </c>
      <c r="E1088" s="7" t="s">
        <v>1198</v>
      </c>
      <c r="F1088" s="7" t="s">
        <v>273</v>
      </c>
    </row>
    <row r="1089">
      <c r="A1089" s="7" t="s">
        <v>16</v>
      </c>
      <c r="B1089" s="7">
        <v>6.0</v>
      </c>
      <c r="C1089" s="7" t="s">
        <v>139</v>
      </c>
      <c r="D1089" s="7" t="s">
        <v>1197</v>
      </c>
      <c r="E1089" s="7" t="s">
        <v>1198</v>
      </c>
      <c r="F1089" s="7" t="s">
        <v>240</v>
      </c>
    </row>
    <row r="1090">
      <c r="A1090" s="7" t="s">
        <v>876</v>
      </c>
      <c r="B1090" s="7">
        <v>6.0</v>
      </c>
      <c r="C1090" s="7" t="s">
        <v>139</v>
      </c>
      <c r="D1090" s="7" t="s">
        <v>1197</v>
      </c>
      <c r="E1090" s="7" t="s">
        <v>1198</v>
      </c>
      <c r="F1090" s="7" t="s">
        <v>1210</v>
      </c>
    </row>
    <row r="1091">
      <c r="A1091" s="7" t="s">
        <v>877</v>
      </c>
      <c r="B1091" s="7">
        <v>6.0</v>
      </c>
      <c r="C1091" s="7" t="s">
        <v>139</v>
      </c>
      <c r="D1091" s="7" t="s">
        <v>1197</v>
      </c>
      <c r="E1091" s="7" t="s">
        <v>1198</v>
      </c>
      <c r="F1091" s="7" t="s">
        <v>240</v>
      </c>
    </row>
    <row r="1092">
      <c r="A1092" s="7" t="s">
        <v>17</v>
      </c>
      <c r="B1092" s="7">
        <v>6.0</v>
      </c>
      <c r="C1092" s="7" t="s">
        <v>139</v>
      </c>
      <c r="D1092" s="7" t="s">
        <v>1197</v>
      </c>
      <c r="E1092" s="7" t="s">
        <v>1198</v>
      </c>
      <c r="F1092" s="7" t="s">
        <v>240</v>
      </c>
    </row>
    <row r="1093">
      <c r="A1093" s="7" t="s">
        <v>18</v>
      </c>
      <c r="B1093" s="7">
        <v>6.0</v>
      </c>
      <c r="C1093" s="7" t="s">
        <v>139</v>
      </c>
      <c r="D1093" s="7" t="s">
        <v>1197</v>
      </c>
      <c r="E1093" s="7" t="s">
        <v>1198</v>
      </c>
      <c r="F1093" s="7" t="s">
        <v>240</v>
      </c>
    </row>
    <row r="1094">
      <c r="A1094" s="7" t="s">
        <v>19</v>
      </c>
      <c r="B1094" s="7">
        <v>6.0</v>
      </c>
      <c r="C1094" s="7" t="s">
        <v>139</v>
      </c>
      <c r="D1094" s="7" t="s">
        <v>1197</v>
      </c>
      <c r="E1094" s="7" t="s">
        <v>1198</v>
      </c>
      <c r="F1094" s="7" t="s">
        <v>240</v>
      </c>
    </row>
    <row r="1095">
      <c r="A1095" s="7" t="s">
        <v>596</v>
      </c>
      <c r="B1095" s="7">
        <v>6.0</v>
      </c>
      <c r="C1095" s="7" t="s">
        <v>162</v>
      </c>
      <c r="D1095" s="7" t="s">
        <v>341</v>
      </c>
      <c r="E1095" s="7" t="s">
        <v>342</v>
      </c>
      <c r="F1095" s="7" t="s">
        <v>906</v>
      </c>
    </row>
    <row r="1096">
      <c r="A1096" s="7" t="s">
        <v>188</v>
      </c>
      <c r="B1096" s="7">
        <v>6.0</v>
      </c>
      <c r="C1096" s="7" t="s">
        <v>162</v>
      </c>
      <c r="D1096" s="7" t="s">
        <v>341</v>
      </c>
      <c r="E1096" s="7" t="s">
        <v>342</v>
      </c>
      <c r="F1096" s="7" t="s">
        <v>1211</v>
      </c>
    </row>
    <row r="1097">
      <c r="A1097" s="7" t="s">
        <v>4</v>
      </c>
      <c r="B1097" s="7">
        <v>6.0</v>
      </c>
      <c r="C1097" s="7" t="s">
        <v>162</v>
      </c>
      <c r="D1097" s="7" t="s">
        <v>341</v>
      </c>
      <c r="E1097" s="7" t="s">
        <v>342</v>
      </c>
      <c r="F1097" s="7" t="s">
        <v>906</v>
      </c>
    </row>
    <row r="1098">
      <c r="A1098" s="7" t="s">
        <v>386</v>
      </c>
      <c r="B1098" s="7">
        <v>6.0</v>
      </c>
      <c r="C1098" s="7" t="s">
        <v>162</v>
      </c>
      <c r="D1098" s="7" t="s">
        <v>341</v>
      </c>
      <c r="E1098" s="7" t="s">
        <v>342</v>
      </c>
      <c r="F1098" s="7" t="s">
        <v>1212</v>
      </c>
    </row>
    <row r="1099">
      <c r="A1099" s="7" t="s">
        <v>866</v>
      </c>
      <c r="B1099" s="7">
        <v>6.0</v>
      </c>
      <c r="C1099" s="7" t="s">
        <v>162</v>
      </c>
      <c r="D1099" s="7" t="s">
        <v>341</v>
      </c>
      <c r="E1099" s="7" t="s">
        <v>342</v>
      </c>
      <c r="F1099" s="7" t="s">
        <v>1212</v>
      </c>
    </row>
    <row r="1100">
      <c r="A1100" s="7" t="s">
        <v>5</v>
      </c>
      <c r="B1100" s="7">
        <v>6.0</v>
      </c>
      <c r="C1100" s="7" t="s">
        <v>162</v>
      </c>
      <c r="D1100" s="7" t="s">
        <v>341</v>
      </c>
      <c r="E1100" s="7" t="s">
        <v>342</v>
      </c>
      <c r="F1100" s="7" t="s">
        <v>1213</v>
      </c>
    </row>
    <row r="1101">
      <c r="A1101" s="7" t="s">
        <v>867</v>
      </c>
      <c r="B1101" s="7">
        <v>6.0</v>
      </c>
      <c r="C1101" s="7" t="s">
        <v>162</v>
      </c>
      <c r="D1101" s="7" t="s">
        <v>341</v>
      </c>
      <c r="E1101" s="7" t="s">
        <v>342</v>
      </c>
      <c r="F1101" s="7" t="s">
        <v>1214</v>
      </c>
    </row>
    <row r="1102">
      <c r="A1102" s="7" t="s">
        <v>868</v>
      </c>
      <c r="B1102" s="7">
        <v>6.0</v>
      </c>
      <c r="C1102" s="7" t="s">
        <v>162</v>
      </c>
      <c r="D1102" s="7" t="s">
        <v>341</v>
      </c>
      <c r="E1102" s="7" t="s">
        <v>342</v>
      </c>
      <c r="F1102" s="7" t="s">
        <v>1215</v>
      </c>
    </row>
    <row r="1103">
      <c r="A1103" s="7" t="s">
        <v>599</v>
      </c>
      <c r="B1103" s="7">
        <v>6.0</v>
      </c>
      <c r="C1103" s="7" t="s">
        <v>162</v>
      </c>
      <c r="D1103" s="7" t="s">
        <v>341</v>
      </c>
      <c r="E1103" s="7" t="s">
        <v>342</v>
      </c>
      <c r="F1103" s="7" t="s">
        <v>902</v>
      </c>
    </row>
    <row r="1104">
      <c r="A1104" s="7" t="s">
        <v>869</v>
      </c>
      <c r="B1104" s="7">
        <v>6.0</v>
      </c>
      <c r="C1104" s="7" t="s">
        <v>162</v>
      </c>
      <c r="D1104" s="7" t="s">
        <v>341</v>
      </c>
      <c r="E1104" s="7" t="s">
        <v>342</v>
      </c>
      <c r="F1104" s="7" t="s">
        <v>1216</v>
      </c>
    </row>
    <row r="1105">
      <c r="A1105" s="7" t="s">
        <v>870</v>
      </c>
      <c r="B1105" s="7">
        <v>6.0</v>
      </c>
      <c r="C1105" s="7" t="s">
        <v>162</v>
      </c>
      <c r="D1105" s="7" t="s">
        <v>341</v>
      </c>
      <c r="E1105" s="7" t="s">
        <v>342</v>
      </c>
      <c r="F1105" s="7" t="s">
        <v>1217</v>
      </c>
    </row>
    <row r="1106">
      <c r="A1106" s="7" t="s">
        <v>6</v>
      </c>
      <c r="B1106" s="7">
        <v>6.0</v>
      </c>
      <c r="C1106" s="7" t="s">
        <v>162</v>
      </c>
      <c r="D1106" s="7" t="s">
        <v>341</v>
      </c>
      <c r="E1106" s="7" t="s">
        <v>342</v>
      </c>
      <c r="F1106" s="7" t="s">
        <v>1218</v>
      </c>
    </row>
    <row r="1107">
      <c r="A1107" s="7" t="s">
        <v>871</v>
      </c>
      <c r="B1107" s="7">
        <v>6.0</v>
      </c>
      <c r="C1107" s="7" t="s">
        <v>162</v>
      </c>
      <c r="D1107" s="7" t="s">
        <v>341</v>
      </c>
      <c r="E1107" s="7" t="s">
        <v>342</v>
      </c>
      <c r="F1107" s="7" t="s">
        <v>1219</v>
      </c>
    </row>
    <row r="1108">
      <c r="A1108" s="7" t="s">
        <v>7</v>
      </c>
      <c r="B1108" s="7">
        <v>6.0</v>
      </c>
      <c r="C1108" s="7" t="s">
        <v>162</v>
      </c>
      <c r="D1108" s="7" t="s">
        <v>341</v>
      </c>
      <c r="E1108" s="7" t="s">
        <v>342</v>
      </c>
      <c r="F1108" s="7" t="s">
        <v>1220</v>
      </c>
    </row>
    <row r="1109">
      <c r="A1109" s="7" t="s">
        <v>8</v>
      </c>
      <c r="B1109" s="7">
        <v>6.0</v>
      </c>
      <c r="C1109" s="7" t="s">
        <v>162</v>
      </c>
      <c r="D1109" s="7" t="s">
        <v>341</v>
      </c>
      <c r="E1109" s="7" t="s">
        <v>342</v>
      </c>
      <c r="F1109" s="7" t="s">
        <v>1221</v>
      </c>
    </row>
    <row r="1110">
      <c r="A1110" s="7" t="s">
        <v>388</v>
      </c>
      <c r="B1110" s="7">
        <v>6.0</v>
      </c>
      <c r="C1110" s="7" t="s">
        <v>162</v>
      </c>
      <c r="D1110" s="7" t="s">
        <v>341</v>
      </c>
      <c r="E1110" s="7" t="s">
        <v>342</v>
      </c>
      <c r="F1110" s="7" t="s">
        <v>1222</v>
      </c>
    </row>
    <row r="1111">
      <c r="A1111" s="7" t="s">
        <v>189</v>
      </c>
      <c r="B1111" s="7">
        <v>6.0</v>
      </c>
      <c r="C1111" s="7" t="s">
        <v>162</v>
      </c>
      <c r="D1111" s="7" t="s">
        <v>341</v>
      </c>
      <c r="E1111" s="7" t="s">
        <v>342</v>
      </c>
      <c r="F1111" s="7" t="s">
        <v>1223</v>
      </c>
    </row>
    <row r="1112">
      <c r="A1112" s="7" t="s">
        <v>9</v>
      </c>
      <c r="B1112" s="7">
        <v>6.0</v>
      </c>
      <c r="C1112" s="7" t="s">
        <v>162</v>
      </c>
      <c r="D1112" s="7" t="s">
        <v>341</v>
      </c>
      <c r="E1112" s="7" t="s">
        <v>342</v>
      </c>
      <c r="F1112" s="7" t="s">
        <v>902</v>
      </c>
    </row>
    <row r="1113">
      <c r="A1113" s="7" t="s">
        <v>10</v>
      </c>
      <c r="B1113" s="7">
        <v>6.0</v>
      </c>
      <c r="C1113" s="7" t="s">
        <v>162</v>
      </c>
      <c r="D1113" s="7" t="s">
        <v>341</v>
      </c>
      <c r="E1113" s="7" t="s">
        <v>342</v>
      </c>
      <c r="F1113" s="7" t="s">
        <v>1224</v>
      </c>
    </row>
    <row r="1114">
      <c r="A1114" s="7" t="s">
        <v>872</v>
      </c>
      <c r="B1114" s="7">
        <v>6.0</v>
      </c>
      <c r="C1114" s="7" t="s">
        <v>162</v>
      </c>
      <c r="D1114" s="7" t="s">
        <v>341</v>
      </c>
      <c r="E1114" s="7" t="s">
        <v>342</v>
      </c>
      <c r="F1114" s="7" t="s">
        <v>1225</v>
      </c>
    </row>
    <row r="1115">
      <c r="A1115" s="7" t="s">
        <v>873</v>
      </c>
      <c r="B1115" s="7">
        <v>6.0</v>
      </c>
      <c r="C1115" s="7" t="s">
        <v>162</v>
      </c>
      <c r="D1115" s="7" t="s">
        <v>341</v>
      </c>
      <c r="E1115" s="7" t="s">
        <v>342</v>
      </c>
      <c r="F1115" s="7" t="s">
        <v>845</v>
      </c>
    </row>
    <row r="1116">
      <c r="A1116" s="7" t="s">
        <v>11</v>
      </c>
      <c r="B1116" s="7">
        <v>6.0</v>
      </c>
      <c r="C1116" s="7" t="s">
        <v>162</v>
      </c>
      <c r="D1116" s="7" t="s">
        <v>341</v>
      </c>
      <c r="E1116" s="7" t="s">
        <v>342</v>
      </c>
      <c r="F1116" s="7" t="s">
        <v>902</v>
      </c>
    </row>
    <row r="1117">
      <c r="A1117" s="7" t="s">
        <v>12</v>
      </c>
      <c r="B1117" s="7">
        <v>6.0</v>
      </c>
      <c r="C1117" s="7" t="s">
        <v>162</v>
      </c>
      <c r="D1117" s="7" t="s">
        <v>341</v>
      </c>
      <c r="E1117" s="7" t="s">
        <v>342</v>
      </c>
      <c r="F1117" s="7" t="s">
        <v>1226</v>
      </c>
    </row>
    <row r="1118">
      <c r="A1118" s="7" t="s">
        <v>874</v>
      </c>
      <c r="B1118" s="7">
        <v>6.0</v>
      </c>
      <c r="C1118" s="7" t="s">
        <v>162</v>
      </c>
      <c r="D1118" s="7" t="s">
        <v>341</v>
      </c>
      <c r="E1118" s="7" t="s">
        <v>342</v>
      </c>
      <c r="F1118" s="7" t="s">
        <v>1215</v>
      </c>
    </row>
    <row r="1119">
      <c r="A1119" s="7" t="s">
        <v>13</v>
      </c>
      <c r="B1119" s="7">
        <v>6.0</v>
      </c>
      <c r="C1119" s="7" t="s">
        <v>162</v>
      </c>
      <c r="D1119" s="7" t="s">
        <v>341</v>
      </c>
      <c r="E1119" s="7" t="s">
        <v>342</v>
      </c>
      <c r="F1119" s="7" t="s">
        <v>845</v>
      </c>
    </row>
    <row r="1120">
      <c r="A1120" s="7" t="s">
        <v>875</v>
      </c>
      <c r="B1120" s="7">
        <v>6.0</v>
      </c>
      <c r="C1120" s="7" t="s">
        <v>162</v>
      </c>
      <c r="D1120" s="7" t="s">
        <v>341</v>
      </c>
      <c r="E1120" s="7" t="s">
        <v>342</v>
      </c>
      <c r="F1120" s="7" t="s">
        <v>845</v>
      </c>
    </row>
    <row r="1121">
      <c r="A1121" s="7" t="s">
        <v>14</v>
      </c>
      <c r="B1121" s="7">
        <v>6.0</v>
      </c>
      <c r="C1121" s="7" t="s">
        <v>162</v>
      </c>
      <c r="D1121" s="7" t="s">
        <v>341</v>
      </c>
      <c r="E1121" s="7" t="s">
        <v>342</v>
      </c>
      <c r="F1121" s="7" t="s">
        <v>1227</v>
      </c>
    </row>
    <row r="1122">
      <c r="A1122" s="7" t="s">
        <v>609</v>
      </c>
      <c r="B1122" s="7">
        <v>6.0</v>
      </c>
      <c r="C1122" s="7" t="s">
        <v>162</v>
      </c>
      <c r="D1122" s="7" t="s">
        <v>341</v>
      </c>
      <c r="E1122" s="7" t="s">
        <v>342</v>
      </c>
      <c r="F1122" s="7" t="s">
        <v>780</v>
      </c>
    </row>
    <row r="1123">
      <c r="A1123" s="7" t="s">
        <v>15</v>
      </c>
      <c r="B1123" s="7">
        <v>6.0</v>
      </c>
      <c r="C1123" s="7" t="s">
        <v>162</v>
      </c>
      <c r="D1123" s="7" t="s">
        <v>341</v>
      </c>
      <c r="E1123" s="7" t="s">
        <v>342</v>
      </c>
      <c r="F1123" s="7" t="s">
        <v>780</v>
      </c>
    </row>
    <row r="1124">
      <c r="A1124" s="7" t="s">
        <v>610</v>
      </c>
      <c r="B1124" s="7">
        <v>6.0</v>
      </c>
      <c r="C1124" s="7" t="s">
        <v>162</v>
      </c>
      <c r="D1124" s="7" t="s">
        <v>341</v>
      </c>
      <c r="E1124" s="7" t="s">
        <v>342</v>
      </c>
      <c r="F1124" s="7" t="s">
        <v>902</v>
      </c>
    </row>
    <row r="1125">
      <c r="A1125" s="7" t="s">
        <v>16</v>
      </c>
      <c r="B1125" s="7">
        <v>6.0</v>
      </c>
      <c r="C1125" s="7" t="s">
        <v>162</v>
      </c>
      <c r="D1125" s="7" t="s">
        <v>341</v>
      </c>
      <c r="E1125" s="7" t="s">
        <v>342</v>
      </c>
      <c r="F1125" s="7" t="s">
        <v>906</v>
      </c>
    </row>
    <row r="1126">
      <c r="A1126" s="7" t="s">
        <v>876</v>
      </c>
      <c r="B1126" s="7">
        <v>6.0</v>
      </c>
      <c r="C1126" s="7" t="s">
        <v>162</v>
      </c>
      <c r="D1126" s="7" t="s">
        <v>341</v>
      </c>
      <c r="E1126" s="7" t="s">
        <v>342</v>
      </c>
      <c r="F1126" s="7" t="s">
        <v>1228</v>
      </c>
    </row>
    <row r="1127">
      <c r="A1127" s="7" t="s">
        <v>877</v>
      </c>
      <c r="B1127" s="7">
        <v>6.0</v>
      </c>
      <c r="C1127" s="7" t="s">
        <v>162</v>
      </c>
      <c r="D1127" s="7" t="s">
        <v>341</v>
      </c>
      <c r="E1127" s="7" t="s">
        <v>342</v>
      </c>
      <c r="F1127" s="7" t="s">
        <v>906</v>
      </c>
    </row>
    <row r="1128">
      <c r="A1128" s="7" t="s">
        <v>17</v>
      </c>
      <c r="B1128" s="7">
        <v>6.0</v>
      </c>
      <c r="C1128" s="7" t="s">
        <v>162</v>
      </c>
      <c r="D1128" s="7" t="s">
        <v>341</v>
      </c>
      <c r="E1128" s="7" t="s">
        <v>342</v>
      </c>
      <c r="F1128" s="7" t="s">
        <v>908</v>
      </c>
    </row>
    <row r="1129">
      <c r="A1129" s="7" t="s">
        <v>18</v>
      </c>
      <c r="B1129" s="7">
        <v>6.0</v>
      </c>
      <c r="C1129" s="7" t="s">
        <v>162</v>
      </c>
      <c r="D1129" s="7" t="s">
        <v>341</v>
      </c>
      <c r="E1129" s="7" t="s">
        <v>342</v>
      </c>
      <c r="F1129" s="7" t="s">
        <v>906</v>
      </c>
    </row>
    <row r="1130">
      <c r="A1130" s="7" t="s">
        <v>19</v>
      </c>
      <c r="B1130" s="7">
        <v>6.0</v>
      </c>
      <c r="C1130" s="7" t="s">
        <v>162</v>
      </c>
      <c r="D1130" s="7" t="s">
        <v>341</v>
      </c>
      <c r="E1130" s="7" t="s">
        <v>342</v>
      </c>
      <c r="F1130" s="7" t="s">
        <v>780</v>
      </c>
    </row>
    <row r="1131">
      <c r="A1131" s="7" t="s">
        <v>596</v>
      </c>
      <c r="B1131" s="7">
        <v>6.0</v>
      </c>
      <c r="C1131" s="7" t="s">
        <v>1229</v>
      </c>
      <c r="D1131" s="7" t="s">
        <v>1230</v>
      </c>
      <c r="E1131" s="7" t="s">
        <v>1231</v>
      </c>
      <c r="F1131" s="7" t="s">
        <v>1232</v>
      </c>
    </row>
    <row r="1132">
      <c r="A1132" s="7" t="s">
        <v>4</v>
      </c>
      <c r="B1132" s="7">
        <v>6.0</v>
      </c>
      <c r="C1132" s="7" t="s">
        <v>1229</v>
      </c>
      <c r="D1132" s="7" t="s">
        <v>1230</v>
      </c>
      <c r="E1132" s="7" t="s">
        <v>1231</v>
      </c>
      <c r="F1132" s="7" t="s">
        <v>1232</v>
      </c>
    </row>
    <row r="1133">
      <c r="A1133" s="7" t="s">
        <v>386</v>
      </c>
      <c r="B1133" s="7">
        <v>6.0</v>
      </c>
      <c r="C1133" s="7" t="s">
        <v>1229</v>
      </c>
      <c r="D1133" s="7" t="s">
        <v>1230</v>
      </c>
      <c r="E1133" s="7" t="s">
        <v>1231</v>
      </c>
      <c r="F1133" s="7" t="s">
        <v>1233</v>
      </c>
    </row>
    <row r="1134">
      <c r="A1134" s="7" t="s">
        <v>866</v>
      </c>
      <c r="B1134" s="7">
        <v>6.0</v>
      </c>
      <c r="C1134" s="7" t="s">
        <v>1229</v>
      </c>
      <c r="D1134" s="7" t="s">
        <v>1230</v>
      </c>
      <c r="E1134" s="7" t="s">
        <v>1231</v>
      </c>
      <c r="F1134" s="7" t="s">
        <v>1233</v>
      </c>
    </row>
    <row r="1135">
      <c r="A1135" s="7" t="s">
        <v>867</v>
      </c>
      <c r="B1135" s="7">
        <v>6.0</v>
      </c>
      <c r="C1135" s="7" t="s">
        <v>1229</v>
      </c>
      <c r="D1135" s="7" t="s">
        <v>1230</v>
      </c>
      <c r="E1135" s="7" t="s">
        <v>1231</v>
      </c>
      <c r="F1135" s="7" t="s">
        <v>1234</v>
      </c>
    </row>
    <row r="1136">
      <c r="A1136" s="7" t="s">
        <v>868</v>
      </c>
      <c r="B1136" s="7">
        <v>6.0</v>
      </c>
      <c r="C1136" s="7" t="s">
        <v>1229</v>
      </c>
      <c r="D1136" s="7" t="s">
        <v>1230</v>
      </c>
      <c r="E1136" s="7" t="s">
        <v>1231</v>
      </c>
      <c r="F1136" s="7" t="s">
        <v>1235</v>
      </c>
    </row>
    <row r="1137">
      <c r="A1137" s="7" t="s">
        <v>599</v>
      </c>
      <c r="B1137" s="7">
        <v>6.0</v>
      </c>
      <c r="C1137" s="7" t="s">
        <v>1229</v>
      </c>
      <c r="D1137" s="7" t="s">
        <v>1230</v>
      </c>
      <c r="E1137" s="7" t="s">
        <v>1231</v>
      </c>
      <c r="F1137" s="7" t="s">
        <v>1236</v>
      </c>
    </row>
    <row r="1138">
      <c r="A1138" s="7" t="s">
        <v>869</v>
      </c>
      <c r="B1138" s="7">
        <v>6.0</v>
      </c>
      <c r="C1138" s="7" t="s">
        <v>1229</v>
      </c>
      <c r="D1138" s="7" t="s">
        <v>1230</v>
      </c>
      <c r="E1138" s="7" t="s">
        <v>1231</v>
      </c>
      <c r="F1138" s="7" t="s">
        <v>1237</v>
      </c>
    </row>
    <row r="1139">
      <c r="A1139" s="7" t="s">
        <v>870</v>
      </c>
      <c r="B1139" s="7">
        <v>6.0</v>
      </c>
      <c r="C1139" s="7" t="s">
        <v>1229</v>
      </c>
      <c r="D1139" s="7" t="s">
        <v>1230</v>
      </c>
      <c r="E1139" s="7" t="s">
        <v>1231</v>
      </c>
      <c r="F1139" s="7" t="s">
        <v>1234</v>
      </c>
    </row>
    <row r="1140">
      <c r="A1140" s="7" t="s">
        <v>871</v>
      </c>
      <c r="B1140" s="7">
        <v>6.0</v>
      </c>
      <c r="C1140" s="7" t="s">
        <v>1229</v>
      </c>
      <c r="D1140" s="7" t="s">
        <v>1230</v>
      </c>
      <c r="E1140" s="7" t="s">
        <v>1231</v>
      </c>
      <c r="F1140" s="7" t="s">
        <v>1234</v>
      </c>
    </row>
    <row r="1141">
      <c r="A1141" s="7" t="s">
        <v>8</v>
      </c>
      <c r="B1141" s="7">
        <v>6.0</v>
      </c>
      <c r="C1141" s="7" t="s">
        <v>1229</v>
      </c>
      <c r="D1141" s="7" t="s">
        <v>1230</v>
      </c>
      <c r="E1141" s="7" t="s">
        <v>1231</v>
      </c>
      <c r="F1141" s="7" t="s">
        <v>523</v>
      </c>
    </row>
    <row r="1142">
      <c r="A1142" s="7" t="s">
        <v>189</v>
      </c>
      <c r="B1142" s="7">
        <v>6.0</v>
      </c>
      <c r="C1142" s="7" t="s">
        <v>1229</v>
      </c>
      <c r="D1142" s="7" t="s">
        <v>1230</v>
      </c>
      <c r="E1142" s="7" t="s">
        <v>1231</v>
      </c>
      <c r="F1142" s="7" t="s">
        <v>1234</v>
      </c>
    </row>
    <row r="1143">
      <c r="A1143" s="7" t="s">
        <v>875</v>
      </c>
      <c r="B1143" s="7">
        <v>6.0</v>
      </c>
      <c r="C1143" s="7" t="s">
        <v>1229</v>
      </c>
      <c r="D1143" s="7" t="s">
        <v>1230</v>
      </c>
      <c r="E1143" s="7" t="s">
        <v>1231</v>
      </c>
      <c r="F1143" s="7" t="s">
        <v>902</v>
      </c>
    </row>
    <row r="1144">
      <c r="A1144" s="7" t="s">
        <v>596</v>
      </c>
      <c r="B1144" s="7">
        <v>6.0</v>
      </c>
      <c r="C1144" s="7" t="s">
        <v>347</v>
      </c>
      <c r="D1144" s="7" t="s">
        <v>1238</v>
      </c>
      <c r="E1144" s="7" t="s">
        <v>1239</v>
      </c>
      <c r="F1144" s="7" t="s">
        <v>240</v>
      </c>
    </row>
    <row r="1145">
      <c r="A1145" s="7" t="s">
        <v>188</v>
      </c>
      <c r="B1145" s="7">
        <v>6.0</v>
      </c>
      <c r="C1145" s="7" t="s">
        <v>347</v>
      </c>
      <c r="D1145" s="7" t="s">
        <v>1238</v>
      </c>
      <c r="E1145" s="7" t="s">
        <v>1239</v>
      </c>
      <c r="F1145" s="7" t="s">
        <v>841</v>
      </c>
    </row>
    <row r="1146">
      <c r="A1146" s="7" t="s">
        <v>4</v>
      </c>
      <c r="B1146" s="7">
        <v>6.0</v>
      </c>
      <c r="C1146" s="7" t="s">
        <v>347</v>
      </c>
      <c r="D1146" s="7" t="s">
        <v>1238</v>
      </c>
      <c r="E1146" s="7" t="s">
        <v>1239</v>
      </c>
      <c r="F1146" s="7" t="s">
        <v>240</v>
      </c>
    </row>
    <row r="1147">
      <c r="A1147" s="7" t="s">
        <v>386</v>
      </c>
      <c r="B1147" s="7">
        <v>6.0</v>
      </c>
      <c r="C1147" s="7" t="s">
        <v>347</v>
      </c>
      <c r="D1147" s="7" t="s">
        <v>1238</v>
      </c>
      <c r="E1147" s="7" t="s">
        <v>1239</v>
      </c>
      <c r="F1147" s="7" t="s">
        <v>76</v>
      </c>
    </row>
    <row r="1148">
      <c r="A1148" s="7" t="s">
        <v>866</v>
      </c>
      <c r="B1148" s="7">
        <v>6.0</v>
      </c>
      <c r="C1148" s="7" t="s">
        <v>347</v>
      </c>
      <c r="D1148" s="7" t="s">
        <v>1238</v>
      </c>
      <c r="E1148" s="7" t="s">
        <v>1239</v>
      </c>
      <c r="F1148" s="7" t="s">
        <v>76</v>
      </c>
    </row>
    <row r="1149">
      <c r="A1149" s="7" t="s">
        <v>5</v>
      </c>
      <c r="B1149" s="7">
        <v>6.0</v>
      </c>
      <c r="C1149" s="7" t="s">
        <v>347</v>
      </c>
      <c r="D1149" s="7" t="s">
        <v>1238</v>
      </c>
      <c r="E1149" s="7" t="s">
        <v>1239</v>
      </c>
      <c r="F1149" s="7" t="s">
        <v>305</v>
      </c>
    </row>
    <row r="1150">
      <c r="A1150" s="7" t="s">
        <v>867</v>
      </c>
      <c r="B1150" s="7">
        <v>6.0</v>
      </c>
      <c r="C1150" s="7" t="s">
        <v>347</v>
      </c>
      <c r="D1150" s="7" t="s">
        <v>1238</v>
      </c>
      <c r="E1150" s="7" t="s">
        <v>1239</v>
      </c>
      <c r="F1150" s="7" t="s">
        <v>1200</v>
      </c>
    </row>
    <row r="1151">
      <c r="A1151" s="7" t="s">
        <v>868</v>
      </c>
      <c r="B1151" s="7">
        <v>6.0</v>
      </c>
      <c r="C1151" s="7" t="s">
        <v>347</v>
      </c>
      <c r="D1151" s="7" t="s">
        <v>1238</v>
      </c>
      <c r="E1151" s="7" t="s">
        <v>1239</v>
      </c>
      <c r="F1151" s="7" t="s">
        <v>305</v>
      </c>
    </row>
    <row r="1152">
      <c r="A1152" s="7" t="s">
        <v>869</v>
      </c>
      <c r="B1152" s="7">
        <v>6.0</v>
      </c>
      <c r="C1152" s="7" t="s">
        <v>347</v>
      </c>
      <c r="D1152" s="7" t="s">
        <v>1238</v>
      </c>
      <c r="E1152" s="7" t="s">
        <v>1239</v>
      </c>
      <c r="F1152" s="7" t="s">
        <v>238</v>
      </c>
    </row>
    <row r="1153">
      <c r="A1153" s="7" t="s">
        <v>870</v>
      </c>
      <c r="B1153" s="7">
        <v>6.0</v>
      </c>
      <c r="C1153" s="7" t="s">
        <v>347</v>
      </c>
      <c r="D1153" s="7" t="s">
        <v>1238</v>
      </c>
      <c r="E1153" s="7" t="s">
        <v>1239</v>
      </c>
      <c r="F1153" s="7" t="s">
        <v>1240</v>
      </c>
    </row>
    <row r="1154">
      <c r="A1154" s="7" t="s">
        <v>6</v>
      </c>
      <c r="B1154" s="7">
        <v>6.0</v>
      </c>
      <c r="C1154" s="7" t="s">
        <v>347</v>
      </c>
      <c r="D1154" s="7" t="s">
        <v>1238</v>
      </c>
      <c r="E1154" s="7" t="s">
        <v>1239</v>
      </c>
      <c r="F1154" s="7" t="s">
        <v>1154</v>
      </c>
    </row>
    <row r="1155">
      <c r="A1155" s="7" t="s">
        <v>871</v>
      </c>
      <c r="B1155" s="7">
        <v>6.0</v>
      </c>
      <c r="C1155" s="7" t="s">
        <v>347</v>
      </c>
      <c r="D1155" s="7" t="s">
        <v>1238</v>
      </c>
      <c r="E1155" s="7" t="s">
        <v>1239</v>
      </c>
      <c r="F1155" s="7" t="s">
        <v>365</v>
      </c>
    </row>
    <row r="1156">
      <c r="A1156" s="7" t="s">
        <v>7</v>
      </c>
      <c r="B1156" s="7">
        <v>6.0</v>
      </c>
      <c r="C1156" s="7" t="s">
        <v>347</v>
      </c>
      <c r="D1156" s="7" t="s">
        <v>1238</v>
      </c>
      <c r="E1156" s="7" t="s">
        <v>1239</v>
      </c>
      <c r="F1156" s="7" t="s">
        <v>238</v>
      </c>
    </row>
    <row r="1157">
      <c r="A1157" s="7" t="s">
        <v>8</v>
      </c>
      <c r="B1157" s="7">
        <v>6.0</v>
      </c>
      <c r="C1157" s="7" t="s">
        <v>347</v>
      </c>
      <c r="D1157" s="7" t="s">
        <v>1238</v>
      </c>
      <c r="E1157" s="7" t="s">
        <v>1239</v>
      </c>
      <c r="F1157" s="7" t="s">
        <v>66</v>
      </c>
    </row>
    <row r="1158">
      <c r="A1158" s="7" t="s">
        <v>388</v>
      </c>
      <c r="B1158" s="7">
        <v>6.0</v>
      </c>
      <c r="C1158" s="7" t="s">
        <v>347</v>
      </c>
      <c r="D1158" s="7" t="s">
        <v>1238</v>
      </c>
      <c r="E1158" s="7" t="s">
        <v>1239</v>
      </c>
      <c r="F1158" s="7" t="s">
        <v>770</v>
      </c>
    </row>
    <row r="1159">
      <c r="A1159" s="7" t="s">
        <v>189</v>
      </c>
      <c r="B1159" s="7">
        <v>6.0</v>
      </c>
      <c r="C1159" s="7" t="s">
        <v>347</v>
      </c>
      <c r="D1159" s="7" t="s">
        <v>1238</v>
      </c>
      <c r="E1159" s="7" t="s">
        <v>1239</v>
      </c>
      <c r="F1159" s="7" t="s">
        <v>271</v>
      </c>
    </row>
    <row r="1160">
      <c r="A1160" s="7" t="s">
        <v>9</v>
      </c>
      <c r="B1160" s="7">
        <v>6.0</v>
      </c>
      <c r="C1160" s="7" t="s">
        <v>347</v>
      </c>
      <c r="D1160" s="7" t="s">
        <v>1238</v>
      </c>
      <c r="E1160" s="7" t="s">
        <v>1239</v>
      </c>
      <c r="F1160" s="7" t="s">
        <v>238</v>
      </c>
    </row>
    <row r="1161">
      <c r="A1161" s="7" t="s">
        <v>10</v>
      </c>
      <c r="B1161" s="7">
        <v>6.0</v>
      </c>
      <c r="C1161" s="7" t="s">
        <v>347</v>
      </c>
      <c r="D1161" s="7" t="s">
        <v>1238</v>
      </c>
      <c r="E1161" s="7" t="s">
        <v>1239</v>
      </c>
      <c r="F1161" s="7" t="s">
        <v>271</v>
      </c>
    </row>
    <row r="1162">
      <c r="A1162" s="7" t="s">
        <v>872</v>
      </c>
      <c r="B1162" s="7">
        <v>6.0</v>
      </c>
      <c r="C1162" s="7" t="s">
        <v>347</v>
      </c>
      <c r="D1162" s="7" t="s">
        <v>1238</v>
      </c>
      <c r="E1162" s="7" t="s">
        <v>1239</v>
      </c>
      <c r="F1162" s="7" t="s">
        <v>271</v>
      </c>
    </row>
    <row r="1163">
      <c r="A1163" s="7" t="s">
        <v>873</v>
      </c>
      <c r="B1163" s="7">
        <v>6.0</v>
      </c>
      <c r="C1163" s="7" t="s">
        <v>347</v>
      </c>
      <c r="D1163" s="7" t="s">
        <v>1238</v>
      </c>
      <c r="E1163" s="7" t="s">
        <v>1239</v>
      </c>
      <c r="F1163" s="7" t="s">
        <v>238</v>
      </c>
    </row>
    <row r="1164">
      <c r="A1164" s="7" t="s">
        <v>11</v>
      </c>
      <c r="B1164" s="7">
        <v>6.0</v>
      </c>
      <c r="C1164" s="7" t="s">
        <v>347</v>
      </c>
      <c r="D1164" s="7" t="s">
        <v>1238</v>
      </c>
      <c r="E1164" s="7" t="s">
        <v>1239</v>
      </c>
      <c r="F1164" s="7" t="s">
        <v>1241</v>
      </c>
    </row>
    <row r="1165">
      <c r="A1165" s="7" t="s">
        <v>12</v>
      </c>
      <c r="B1165" s="7">
        <v>6.0</v>
      </c>
      <c r="C1165" s="7" t="s">
        <v>347</v>
      </c>
      <c r="D1165" s="7" t="s">
        <v>1238</v>
      </c>
      <c r="E1165" s="7" t="s">
        <v>1239</v>
      </c>
      <c r="F1165" s="7" t="s">
        <v>272</v>
      </c>
    </row>
    <row r="1166">
      <c r="A1166" s="7" t="s">
        <v>874</v>
      </c>
      <c r="B1166" s="7">
        <v>6.0</v>
      </c>
      <c r="C1166" s="7" t="s">
        <v>347</v>
      </c>
      <c r="D1166" s="7" t="s">
        <v>1238</v>
      </c>
      <c r="E1166" s="7" t="s">
        <v>1239</v>
      </c>
      <c r="F1166" s="7" t="s">
        <v>1242</v>
      </c>
    </row>
    <row r="1167">
      <c r="A1167" s="7" t="s">
        <v>13</v>
      </c>
      <c r="B1167" s="7">
        <v>6.0</v>
      </c>
      <c r="C1167" s="7" t="s">
        <v>347</v>
      </c>
      <c r="D1167" s="7" t="s">
        <v>1238</v>
      </c>
      <c r="E1167" s="7" t="s">
        <v>1239</v>
      </c>
      <c r="F1167" s="7" t="s">
        <v>271</v>
      </c>
    </row>
    <row r="1168">
      <c r="A1168" s="7" t="s">
        <v>875</v>
      </c>
      <c r="B1168" s="7">
        <v>6.0</v>
      </c>
      <c r="C1168" s="7" t="s">
        <v>347</v>
      </c>
      <c r="D1168" s="7" t="s">
        <v>1238</v>
      </c>
      <c r="E1168" s="7" t="s">
        <v>1239</v>
      </c>
      <c r="F1168" s="7" t="s">
        <v>271</v>
      </c>
    </row>
    <row r="1169">
      <c r="A1169" s="7" t="s">
        <v>14</v>
      </c>
      <c r="B1169" s="7">
        <v>6.0</v>
      </c>
      <c r="C1169" s="7" t="s">
        <v>347</v>
      </c>
      <c r="D1169" s="7" t="s">
        <v>1238</v>
      </c>
      <c r="E1169" s="7" t="s">
        <v>1239</v>
      </c>
      <c r="F1169" s="7" t="s">
        <v>271</v>
      </c>
    </row>
    <row r="1170">
      <c r="A1170" s="7" t="s">
        <v>609</v>
      </c>
      <c r="B1170" s="7">
        <v>6.0</v>
      </c>
      <c r="C1170" s="7" t="s">
        <v>347</v>
      </c>
      <c r="D1170" s="7" t="s">
        <v>1238</v>
      </c>
      <c r="E1170" s="7" t="s">
        <v>1239</v>
      </c>
      <c r="F1170" s="7" t="s">
        <v>238</v>
      </c>
    </row>
    <row r="1171">
      <c r="A1171" s="7" t="s">
        <v>15</v>
      </c>
      <c r="B1171" s="7">
        <v>6.0</v>
      </c>
      <c r="C1171" s="7" t="s">
        <v>347</v>
      </c>
      <c r="D1171" s="7" t="s">
        <v>1238</v>
      </c>
      <c r="E1171" s="7" t="s">
        <v>1239</v>
      </c>
      <c r="F1171" s="7" t="s">
        <v>238</v>
      </c>
    </row>
    <row r="1172">
      <c r="A1172" s="7" t="s">
        <v>610</v>
      </c>
      <c r="B1172" s="7">
        <v>6.0</v>
      </c>
      <c r="C1172" s="7" t="s">
        <v>347</v>
      </c>
      <c r="D1172" s="7" t="s">
        <v>1238</v>
      </c>
      <c r="E1172" s="7" t="s">
        <v>1239</v>
      </c>
      <c r="F1172" s="7" t="s">
        <v>273</v>
      </c>
    </row>
    <row r="1173">
      <c r="A1173" s="7" t="s">
        <v>16</v>
      </c>
      <c r="B1173" s="7">
        <v>6.0</v>
      </c>
      <c r="C1173" s="7" t="s">
        <v>347</v>
      </c>
      <c r="D1173" s="7" t="s">
        <v>1238</v>
      </c>
      <c r="E1173" s="7" t="s">
        <v>1239</v>
      </c>
      <c r="F1173" s="7" t="s">
        <v>238</v>
      </c>
    </row>
    <row r="1174">
      <c r="A1174" s="7" t="s">
        <v>876</v>
      </c>
      <c r="B1174" s="7">
        <v>6.0</v>
      </c>
      <c r="C1174" s="7" t="s">
        <v>347</v>
      </c>
      <c r="D1174" s="7" t="s">
        <v>1238</v>
      </c>
      <c r="E1174" s="7" t="s">
        <v>1239</v>
      </c>
      <c r="F1174" s="7" t="s">
        <v>913</v>
      </c>
    </row>
    <row r="1175">
      <c r="A1175" s="7" t="s">
        <v>877</v>
      </c>
      <c r="B1175" s="7">
        <v>6.0</v>
      </c>
      <c r="C1175" s="7" t="s">
        <v>347</v>
      </c>
      <c r="D1175" s="7" t="s">
        <v>1238</v>
      </c>
      <c r="E1175" s="7" t="s">
        <v>1239</v>
      </c>
      <c r="F1175" s="7" t="s">
        <v>238</v>
      </c>
    </row>
    <row r="1176">
      <c r="A1176" s="7" t="s">
        <v>17</v>
      </c>
      <c r="B1176" s="7">
        <v>6.0</v>
      </c>
      <c r="C1176" s="7" t="s">
        <v>347</v>
      </c>
      <c r="D1176" s="7" t="s">
        <v>1238</v>
      </c>
      <c r="E1176" s="7" t="s">
        <v>1239</v>
      </c>
      <c r="F1176" s="7" t="s">
        <v>240</v>
      </c>
    </row>
    <row r="1177">
      <c r="A1177" s="7" t="s">
        <v>18</v>
      </c>
      <c r="B1177" s="7">
        <v>6.0</v>
      </c>
      <c r="C1177" s="7" t="s">
        <v>347</v>
      </c>
      <c r="D1177" s="7" t="s">
        <v>1238</v>
      </c>
      <c r="E1177" s="7" t="s">
        <v>1239</v>
      </c>
      <c r="F1177" s="7" t="s">
        <v>238</v>
      </c>
    </row>
    <row r="1178">
      <c r="A1178" s="7" t="s">
        <v>19</v>
      </c>
      <c r="B1178" s="7">
        <v>6.0</v>
      </c>
      <c r="C1178" s="7" t="s">
        <v>347</v>
      </c>
      <c r="D1178" s="7" t="s">
        <v>1238</v>
      </c>
      <c r="E1178" s="7" t="s">
        <v>1239</v>
      </c>
      <c r="F1178" s="7" t="s">
        <v>238</v>
      </c>
    </row>
    <row r="1179">
      <c r="A1179" s="7" t="s">
        <v>596</v>
      </c>
      <c r="B1179" s="7">
        <v>6.0</v>
      </c>
      <c r="C1179" s="7" t="s">
        <v>354</v>
      </c>
      <c r="D1179" s="7" t="s">
        <v>1243</v>
      </c>
      <c r="E1179" s="7" t="s">
        <v>1244</v>
      </c>
      <c r="F1179" s="7" t="s">
        <v>906</v>
      </c>
    </row>
    <row r="1180">
      <c r="A1180" s="7" t="s">
        <v>188</v>
      </c>
      <c r="B1180" s="7">
        <v>6.0</v>
      </c>
      <c r="C1180" s="7" t="s">
        <v>354</v>
      </c>
      <c r="D1180" s="7" t="s">
        <v>1243</v>
      </c>
      <c r="E1180" s="7" t="s">
        <v>1244</v>
      </c>
      <c r="F1180" s="7" t="s">
        <v>1211</v>
      </c>
    </row>
    <row r="1181">
      <c r="A1181" s="7" t="s">
        <v>4</v>
      </c>
      <c r="B1181" s="7">
        <v>6.0</v>
      </c>
      <c r="C1181" s="7" t="s">
        <v>354</v>
      </c>
      <c r="D1181" s="7" t="s">
        <v>1243</v>
      </c>
      <c r="E1181" s="7" t="s">
        <v>1244</v>
      </c>
      <c r="F1181" s="7" t="s">
        <v>906</v>
      </c>
    </row>
    <row r="1182">
      <c r="A1182" s="7" t="s">
        <v>386</v>
      </c>
      <c r="B1182" s="7">
        <v>6.0</v>
      </c>
      <c r="C1182" s="7" t="s">
        <v>354</v>
      </c>
      <c r="D1182" s="7" t="s">
        <v>1243</v>
      </c>
      <c r="E1182" s="7" t="s">
        <v>1244</v>
      </c>
      <c r="F1182" s="7" t="s">
        <v>1245</v>
      </c>
    </row>
    <row r="1183">
      <c r="A1183" s="7" t="s">
        <v>866</v>
      </c>
      <c r="B1183" s="7">
        <v>6.0</v>
      </c>
      <c r="C1183" s="7" t="s">
        <v>354</v>
      </c>
      <c r="D1183" s="7" t="s">
        <v>1243</v>
      </c>
      <c r="E1183" s="7" t="s">
        <v>1244</v>
      </c>
      <c r="F1183" s="7" t="s">
        <v>1245</v>
      </c>
    </row>
    <row r="1184">
      <c r="A1184" s="7" t="s">
        <v>5</v>
      </c>
      <c r="B1184" s="7">
        <v>6.0</v>
      </c>
      <c r="C1184" s="7" t="s">
        <v>354</v>
      </c>
      <c r="D1184" s="7" t="s">
        <v>1243</v>
      </c>
      <c r="E1184" s="7" t="s">
        <v>1244</v>
      </c>
      <c r="F1184" s="7" t="s">
        <v>1213</v>
      </c>
    </row>
    <row r="1185">
      <c r="A1185" s="7" t="s">
        <v>867</v>
      </c>
      <c r="B1185" s="7">
        <v>6.0</v>
      </c>
      <c r="C1185" s="7" t="s">
        <v>354</v>
      </c>
      <c r="D1185" s="7" t="s">
        <v>1243</v>
      </c>
      <c r="E1185" s="7" t="s">
        <v>1244</v>
      </c>
      <c r="F1185" s="7" t="s">
        <v>1214</v>
      </c>
    </row>
    <row r="1186">
      <c r="A1186" s="7" t="s">
        <v>868</v>
      </c>
      <c r="B1186" s="7">
        <v>6.0</v>
      </c>
      <c r="C1186" s="7" t="s">
        <v>354</v>
      </c>
      <c r="D1186" s="7" t="s">
        <v>1243</v>
      </c>
      <c r="E1186" s="7" t="s">
        <v>1244</v>
      </c>
      <c r="F1186" s="7" t="s">
        <v>1246</v>
      </c>
    </row>
    <row r="1187">
      <c r="A1187" s="7" t="s">
        <v>869</v>
      </c>
      <c r="B1187" s="7">
        <v>6.0</v>
      </c>
      <c r="C1187" s="7" t="s">
        <v>354</v>
      </c>
      <c r="D1187" s="7" t="s">
        <v>1243</v>
      </c>
      <c r="E1187" s="7" t="s">
        <v>1244</v>
      </c>
      <c r="F1187" s="7" t="s">
        <v>1247</v>
      </c>
    </row>
    <row r="1188">
      <c r="A1188" s="7" t="s">
        <v>870</v>
      </c>
      <c r="B1188" s="7">
        <v>6.0</v>
      </c>
      <c r="C1188" s="7" t="s">
        <v>354</v>
      </c>
      <c r="D1188" s="7" t="s">
        <v>1243</v>
      </c>
      <c r="E1188" s="7" t="s">
        <v>1244</v>
      </c>
      <c r="F1188" s="7" t="s">
        <v>1248</v>
      </c>
    </row>
    <row r="1189">
      <c r="A1189" s="7" t="s">
        <v>6</v>
      </c>
      <c r="B1189" s="7">
        <v>6.0</v>
      </c>
      <c r="C1189" s="7" t="s">
        <v>354</v>
      </c>
      <c r="D1189" s="7" t="s">
        <v>1243</v>
      </c>
      <c r="E1189" s="7" t="s">
        <v>1244</v>
      </c>
      <c r="F1189" s="7" t="s">
        <v>824</v>
      </c>
    </row>
    <row r="1190">
      <c r="A1190" s="7" t="s">
        <v>871</v>
      </c>
      <c r="B1190" s="7">
        <v>6.0</v>
      </c>
      <c r="C1190" s="7" t="s">
        <v>354</v>
      </c>
      <c r="D1190" s="7" t="s">
        <v>1243</v>
      </c>
      <c r="E1190" s="7" t="s">
        <v>1244</v>
      </c>
      <c r="F1190" s="7" t="s">
        <v>1249</v>
      </c>
    </row>
    <row r="1191">
      <c r="A1191" s="7" t="s">
        <v>7</v>
      </c>
      <c r="B1191" s="7">
        <v>6.0</v>
      </c>
      <c r="C1191" s="7" t="s">
        <v>354</v>
      </c>
      <c r="D1191" s="7" t="s">
        <v>1243</v>
      </c>
      <c r="E1191" s="7" t="s">
        <v>1244</v>
      </c>
      <c r="F1191" s="7" t="s">
        <v>1250</v>
      </c>
    </row>
    <row r="1192">
      <c r="A1192" s="7" t="s">
        <v>8</v>
      </c>
      <c r="B1192" s="7">
        <v>6.0</v>
      </c>
      <c r="C1192" s="7" t="s">
        <v>354</v>
      </c>
      <c r="D1192" s="7" t="s">
        <v>1243</v>
      </c>
      <c r="E1192" s="7" t="s">
        <v>1244</v>
      </c>
      <c r="F1192" s="7" t="s">
        <v>1251</v>
      </c>
    </row>
    <row r="1193">
      <c r="A1193" s="7" t="s">
        <v>388</v>
      </c>
      <c r="B1193" s="7">
        <v>6.0</v>
      </c>
      <c r="C1193" s="7" t="s">
        <v>354</v>
      </c>
      <c r="D1193" s="7" t="s">
        <v>1243</v>
      </c>
      <c r="E1193" s="7" t="s">
        <v>1244</v>
      </c>
      <c r="F1193" s="7" t="s">
        <v>1252</v>
      </c>
    </row>
    <row r="1194">
      <c r="A1194" s="7" t="s">
        <v>189</v>
      </c>
      <c r="B1194" s="7">
        <v>6.0</v>
      </c>
      <c r="C1194" s="7" t="s">
        <v>354</v>
      </c>
      <c r="D1194" s="7" t="s">
        <v>1243</v>
      </c>
      <c r="E1194" s="7" t="s">
        <v>1244</v>
      </c>
      <c r="F1194" s="7" t="s">
        <v>1092</v>
      </c>
    </row>
    <row r="1195">
      <c r="A1195" s="7" t="s">
        <v>9</v>
      </c>
      <c r="B1195" s="7">
        <v>6.0</v>
      </c>
      <c r="C1195" s="7" t="s">
        <v>354</v>
      </c>
      <c r="D1195" s="7" t="s">
        <v>1243</v>
      </c>
      <c r="E1195" s="7" t="s">
        <v>1244</v>
      </c>
      <c r="F1195" s="7" t="s">
        <v>780</v>
      </c>
    </row>
    <row r="1196">
      <c r="A1196" s="7" t="s">
        <v>10</v>
      </c>
      <c r="B1196" s="7">
        <v>6.0</v>
      </c>
      <c r="C1196" s="7" t="s">
        <v>354</v>
      </c>
      <c r="D1196" s="7" t="s">
        <v>1243</v>
      </c>
      <c r="E1196" s="7" t="s">
        <v>1244</v>
      </c>
      <c r="F1196" s="7" t="s">
        <v>1096</v>
      </c>
    </row>
    <row r="1197">
      <c r="A1197" s="7" t="s">
        <v>872</v>
      </c>
      <c r="B1197" s="7">
        <v>6.0</v>
      </c>
      <c r="C1197" s="7" t="s">
        <v>354</v>
      </c>
      <c r="D1197" s="7" t="s">
        <v>1243</v>
      </c>
      <c r="E1197" s="7" t="s">
        <v>1244</v>
      </c>
      <c r="F1197" s="7" t="s">
        <v>1100</v>
      </c>
    </row>
    <row r="1198">
      <c r="A1198" s="7" t="s">
        <v>873</v>
      </c>
      <c r="B1198" s="7">
        <v>6.0</v>
      </c>
      <c r="C1198" s="7" t="s">
        <v>354</v>
      </c>
      <c r="D1198" s="7" t="s">
        <v>1243</v>
      </c>
      <c r="E1198" s="7" t="s">
        <v>1244</v>
      </c>
      <c r="F1198" s="7" t="s">
        <v>780</v>
      </c>
    </row>
    <row r="1199">
      <c r="A1199" s="7" t="s">
        <v>11</v>
      </c>
      <c r="B1199" s="7">
        <v>6.0</v>
      </c>
      <c r="C1199" s="7" t="s">
        <v>354</v>
      </c>
      <c r="D1199" s="7" t="s">
        <v>1243</v>
      </c>
      <c r="E1199" s="7" t="s">
        <v>1244</v>
      </c>
      <c r="F1199" s="7" t="s">
        <v>902</v>
      </c>
    </row>
    <row r="1200">
      <c r="A1200" s="7" t="s">
        <v>12</v>
      </c>
      <c r="B1200" s="7">
        <v>6.0</v>
      </c>
      <c r="C1200" s="7" t="s">
        <v>354</v>
      </c>
      <c r="D1200" s="7" t="s">
        <v>1243</v>
      </c>
      <c r="E1200" s="7" t="s">
        <v>1244</v>
      </c>
      <c r="F1200" s="7" t="s">
        <v>1253</v>
      </c>
    </row>
    <row r="1201">
      <c r="A1201" s="7" t="s">
        <v>874</v>
      </c>
      <c r="B1201" s="7">
        <v>6.0</v>
      </c>
      <c r="C1201" s="7" t="s">
        <v>354</v>
      </c>
      <c r="D1201" s="7" t="s">
        <v>1243</v>
      </c>
      <c r="E1201" s="7" t="s">
        <v>1244</v>
      </c>
      <c r="F1201" s="7" t="s">
        <v>277</v>
      </c>
    </row>
    <row r="1202">
      <c r="A1202" s="7" t="s">
        <v>13</v>
      </c>
      <c r="B1202" s="7">
        <v>6.0</v>
      </c>
      <c r="C1202" s="7" t="s">
        <v>354</v>
      </c>
      <c r="D1202" s="7" t="s">
        <v>1243</v>
      </c>
      <c r="E1202" s="7" t="s">
        <v>1244</v>
      </c>
      <c r="F1202" s="7" t="s">
        <v>780</v>
      </c>
    </row>
    <row r="1203">
      <c r="A1203" s="7" t="s">
        <v>875</v>
      </c>
      <c r="B1203" s="7">
        <v>6.0</v>
      </c>
      <c r="C1203" s="7" t="s">
        <v>354</v>
      </c>
      <c r="D1203" s="7" t="s">
        <v>1243</v>
      </c>
      <c r="E1203" s="7" t="s">
        <v>1244</v>
      </c>
      <c r="F1203" s="7" t="s">
        <v>780</v>
      </c>
    </row>
    <row r="1204">
      <c r="A1204" s="7" t="s">
        <v>14</v>
      </c>
      <c r="B1204" s="7">
        <v>6.0</v>
      </c>
      <c r="C1204" s="7" t="s">
        <v>354</v>
      </c>
      <c r="D1204" s="7" t="s">
        <v>1243</v>
      </c>
      <c r="E1204" s="7" t="s">
        <v>1244</v>
      </c>
      <c r="F1204" s="7" t="s">
        <v>1103</v>
      </c>
    </row>
    <row r="1205">
      <c r="A1205" s="7" t="s">
        <v>609</v>
      </c>
      <c r="B1205" s="7">
        <v>6.0</v>
      </c>
      <c r="C1205" s="7" t="s">
        <v>354</v>
      </c>
      <c r="D1205" s="7" t="s">
        <v>1243</v>
      </c>
      <c r="E1205" s="7" t="s">
        <v>1244</v>
      </c>
      <c r="F1205" s="7" t="s">
        <v>780</v>
      </c>
    </row>
    <row r="1206">
      <c r="A1206" s="7" t="s">
        <v>15</v>
      </c>
      <c r="B1206" s="7">
        <v>6.0</v>
      </c>
      <c r="C1206" s="7" t="s">
        <v>354</v>
      </c>
      <c r="D1206" s="7" t="s">
        <v>1243</v>
      </c>
      <c r="E1206" s="7" t="s">
        <v>1244</v>
      </c>
      <c r="F1206" s="7" t="s">
        <v>780</v>
      </c>
    </row>
    <row r="1207">
      <c r="A1207" s="7" t="s">
        <v>610</v>
      </c>
      <c r="B1207" s="7">
        <v>6.0</v>
      </c>
      <c r="C1207" s="7" t="s">
        <v>354</v>
      </c>
      <c r="D1207" s="7" t="s">
        <v>1243</v>
      </c>
      <c r="E1207" s="7" t="s">
        <v>1244</v>
      </c>
      <c r="F1207" s="7" t="s">
        <v>780</v>
      </c>
    </row>
    <row r="1208">
      <c r="A1208" s="7" t="s">
        <v>16</v>
      </c>
      <c r="B1208" s="7">
        <v>6.0</v>
      </c>
      <c r="C1208" s="7" t="s">
        <v>354</v>
      </c>
      <c r="D1208" s="7" t="s">
        <v>1243</v>
      </c>
      <c r="E1208" s="7" t="s">
        <v>1244</v>
      </c>
      <c r="F1208" s="7" t="s">
        <v>780</v>
      </c>
    </row>
    <row r="1209">
      <c r="A1209" s="7" t="s">
        <v>876</v>
      </c>
      <c r="B1209" s="7">
        <v>6.0</v>
      </c>
      <c r="C1209" s="7" t="s">
        <v>354</v>
      </c>
      <c r="D1209" s="7" t="s">
        <v>1243</v>
      </c>
      <c r="E1209" s="7" t="s">
        <v>1244</v>
      </c>
      <c r="F1209" s="7" t="s">
        <v>907</v>
      </c>
    </row>
    <row r="1210">
      <c r="A1210" s="7" t="s">
        <v>877</v>
      </c>
      <c r="B1210" s="7">
        <v>6.0</v>
      </c>
      <c r="C1210" s="7" t="s">
        <v>354</v>
      </c>
      <c r="D1210" s="7" t="s">
        <v>1243</v>
      </c>
      <c r="E1210" s="7" t="s">
        <v>1244</v>
      </c>
      <c r="F1210" s="7" t="s">
        <v>906</v>
      </c>
    </row>
    <row r="1211">
      <c r="A1211" s="7" t="s">
        <v>17</v>
      </c>
      <c r="B1211" s="7">
        <v>6.0</v>
      </c>
      <c r="C1211" s="7" t="s">
        <v>354</v>
      </c>
      <c r="D1211" s="7" t="s">
        <v>1243</v>
      </c>
      <c r="E1211" s="7" t="s">
        <v>1244</v>
      </c>
      <c r="F1211" s="7" t="s">
        <v>908</v>
      </c>
    </row>
    <row r="1212">
      <c r="A1212" s="7" t="s">
        <v>18</v>
      </c>
      <c r="B1212" s="7">
        <v>6.0</v>
      </c>
      <c r="C1212" s="7" t="s">
        <v>354</v>
      </c>
      <c r="D1212" s="7" t="s">
        <v>1243</v>
      </c>
      <c r="E1212" s="7" t="s">
        <v>1244</v>
      </c>
      <c r="F1212" s="7" t="s">
        <v>780</v>
      </c>
    </row>
    <row r="1213">
      <c r="A1213" s="7" t="s">
        <v>19</v>
      </c>
      <c r="B1213" s="7">
        <v>6.0</v>
      </c>
      <c r="C1213" s="7" t="s">
        <v>354</v>
      </c>
      <c r="D1213" s="7" t="s">
        <v>1243</v>
      </c>
      <c r="E1213" s="7" t="s">
        <v>1244</v>
      </c>
      <c r="F1213" s="7" t="s">
        <v>780</v>
      </c>
    </row>
    <row r="1214">
      <c r="A1214" s="7" t="s">
        <v>596</v>
      </c>
      <c r="B1214" s="7">
        <v>6.0</v>
      </c>
      <c r="C1214" s="7" t="s">
        <v>590</v>
      </c>
      <c r="D1214" s="7" t="s">
        <v>1254</v>
      </c>
      <c r="E1214" s="7" t="s">
        <v>1255</v>
      </c>
      <c r="F1214" s="7" t="s">
        <v>65</v>
      </c>
    </row>
    <row r="1215">
      <c r="A1215" s="7" t="s">
        <v>188</v>
      </c>
      <c r="B1215" s="7">
        <v>6.0</v>
      </c>
      <c r="C1215" s="7" t="s">
        <v>590</v>
      </c>
      <c r="D1215" s="7" t="s">
        <v>1254</v>
      </c>
      <c r="E1215" s="7" t="s">
        <v>1255</v>
      </c>
      <c r="F1215" s="7" t="s">
        <v>444</v>
      </c>
    </row>
    <row r="1216">
      <c r="A1216" s="7" t="s">
        <v>4</v>
      </c>
      <c r="B1216" s="7">
        <v>6.0</v>
      </c>
      <c r="C1216" s="7" t="s">
        <v>590</v>
      </c>
      <c r="D1216" s="7" t="s">
        <v>1254</v>
      </c>
      <c r="E1216" s="7" t="s">
        <v>1255</v>
      </c>
      <c r="F1216" s="7" t="s">
        <v>65</v>
      </c>
    </row>
    <row r="1217">
      <c r="A1217" s="7" t="s">
        <v>386</v>
      </c>
      <c r="B1217" s="7">
        <v>6.0</v>
      </c>
      <c r="C1217" s="7" t="s">
        <v>590</v>
      </c>
      <c r="D1217" s="7" t="s">
        <v>1254</v>
      </c>
      <c r="E1217" s="7" t="s">
        <v>1255</v>
      </c>
      <c r="F1217" s="7" t="s">
        <v>65</v>
      </c>
    </row>
    <row r="1218">
      <c r="A1218" s="7" t="s">
        <v>866</v>
      </c>
      <c r="B1218" s="7">
        <v>6.0</v>
      </c>
      <c r="C1218" s="7" t="s">
        <v>590</v>
      </c>
      <c r="D1218" s="7" t="s">
        <v>1254</v>
      </c>
      <c r="E1218" s="7" t="s">
        <v>1255</v>
      </c>
      <c r="F1218" s="7" t="s">
        <v>444</v>
      </c>
    </row>
    <row r="1219">
      <c r="A1219" s="7" t="s">
        <v>5</v>
      </c>
      <c r="B1219" s="7">
        <v>6.0</v>
      </c>
      <c r="C1219" s="7" t="s">
        <v>590</v>
      </c>
      <c r="D1219" s="7" t="s">
        <v>1254</v>
      </c>
      <c r="E1219" s="7" t="s">
        <v>1255</v>
      </c>
      <c r="F1219" s="7" t="s">
        <v>444</v>
      </c>
    </row>
    <row r="1220">
      <c r="A1220" s="7" t="s">
        <v>867</v>
      </c>
      <c r="B1220" s="7">
        <v>6.0</v>
      </c>
      <c r="C1220" s="7" t="s">
        <v>590</v>
      </c>
      <c r="D1220" s="7" t="s">
        <v>1254</v>
      </c>
      <c r="E1220" s="7" t="s">
        <v>1255</v>
      </c>
      <c r="F1220" s="7" t="s">
        <v>444</v>
      </c>
    </row>
    <row r="1221">
      <c r="A1221" s="7" t="s">
        <v>868</v>
      </c>
      <c r="B1221" s="7">
        <v>6.0</v>
      </c>
      <c r="C1221" s="7" t="s">
        <v>590</v>
      </c>
      <c r="D1221" s="7" t="s">
        <v>1254</v>
      </c>
      <c r="E1221" s="7" t="s">
        <v>1255</v>
      </c>
      <c r="F1221" s="7" t="s">
        <v>444</v>
      </c>
    </row>
    <row r="1222">
      <c r="A1222" s="7" t="s">
        <v>869</v>
      </c>
      <c r="B1222" s="7">
        <v>6.0</v>
      </c>
      <c r="C1222" s="7" t="s">
        <v>590</v>
      </c>
      <c r="D1222" s="7" t="s">
        <v>1254</v>
      </c>
      <c r="E1222" s="7" t="s">
        <v>1255</v>
      </c>
      <c r="F1222" s="7" t="s">
        <v>66</v>
      </c>
    </row>
    <row r="1223">
      <c r="A1223" s="7" t="s">
        <v>870</v>
      </c>
      <c r="B1223" s="7">
        <v>6.0</v>
      </c>
      <c r="C1223" s="7" t="s">
        <v>590</v>
      </c>
      <c r="D1223" s="7" t="s">
        <v>1254</v>
      </c>
      <c r="E1223" s="7" t="s">
        <v>1255</v>
      </c>
      <c r="F1223" s="7" t="s">
        <v>444</v>
      </c>
    </row>
    <row r="1224">
      <c r="A1224" s="7" t="s">
        <v>6</v>
      </c>
      <c r="B1224" s="7">
        <v>6.0</v>
      </c>
      <c r="C1224" s="7" t="s">
        <v>590</v>
      </c>
      <c r="D1224" s="7" t="s">
        <v>1254</v>
      </c>
      <c r="E1224" s="7" t="s">
        <v>1255</v>
      </c>
      <c r="F1224" s="7" t="s">
        <v>444</v>
      </c>
    </row>
    <row r="1225">
      <c r="A1225" s="7" t="s">
        <v>871</v>
      </c>
      <c r="B1225" s="7">
        <v>6.0</v>
      </c>
      <c r="C1225" s="7" t="s">
        <v>590</v>
      </c>
      <c r="D1225" s="7" t="s">
        <v>1254</v>
      </c>
      <c r="E1225" s="7" t="s">
        <v>1255</v>
      </c>
      <c r="F1225" s="7" t="s">
        <v>444</v>
      </c>
    </row>
    <row r="1226">
      <c r="A1226" s="7" t="s">
        <v>7</v>
      </c>
      <c r="B1226" s="7">
        <v>6.0</v>
      </c>
      <c r="C1226" s="7" t="s">
        <v>590</v>
      </c>
      <c r="D1226" s="7" t="s">
        <v>1254</v>
      </c>
      <c r="E1226" s="7" t="s">
        <v>1255</v>
      </c>
      <c r="F1226" s="7" t="s">
        <v>444</v>
      </c>
    </row>
    <row r="1227">
      <c r="A1227" s="7" t="s">
        <v>388</v>
      </c>
      <c r="B1227" s="7">
        <v>6.0</v>
      </c>
      <c r="C1227" s="7" t="s">
        <v>590</v>
      </c>
      <c r="D1227" s="7" t="s">
        <v>1254</v>
      </c>
      <c r="E1227" s="7" t="s">
        <v>1255</v>
      </c>
      <c r="F1227" s="7" t="s">
        <v>443</v>
      </c>
    </row>
    <row r="1228">
      <c r="A1228" s="7" t="s">
        <v>189</v>
      </c>
      <c r="B1228" s="7">
        <v>6.0</v>
      </c>
      <c r="C1228" s="7" t="s">
        <v>590</v>
      </c>
      <c r="D1228" s="7" t="s">
        <v>1254</v>
      </c>
      <c r="E1228" s="7" t="s">
        <v>1255</v>
      </c>
      <c r="F1228" s="7" t="s">
        <v>444</v>
      </c>
    </row>
    <row r="1229">
      <c r="A1229" s="7" t="s">
        <v>9</v>
      </c>
      <c r="B1229" s="7">
        <v>6.0</v>
      </c>
      <c r="C1229" s="7" t="s">
        <v>590</v>
      </c>
      <c r="D1229" s="7" t="s">
        <v>1254</v>
      </c>
      <c r="E1229" s="7" t="s">
        <v>1255</v>
      </c>
      <c r="F1229" s="7" t="s">
        <v>443</v>
      </c>
    </row>
    <row r="1230">
      <c r="A1230" s="7" t="s">
        <v>10</v>
      </c>
      <c r="B1230" s="7">
        <v>6.0</v>
      </c>
      <c r="C1230" s="7" t="s">
        <v>590</v>
      </c>
      <c r="D1230" s="7" t="s">
        <v>1254</v>
      </c>
      <c r="E1230" s="7" t="s">
        <v>1255</v>
      </c>
      <c r="F1230" s="7" t="s">
        <v>444</v>
      </c>
    </row>
    <row r="1231">
      <c r="A1231" s="7" t="s">
        <v>872</v>
      </c>
      <c r="B1231" s="7">
        <v>6.0</v>
      </c>
      <c r="C1231" s="7" t="s">
        <v>590</v>
      </c>
      <c r="D1231" s="7" t="s">
        <v>1254</v>
      </c>
      <c r="E1231" s="7" t="s">
        <v>1255</v>
      </c>
      <c r="F1231" s="7" t="s">
        <v>1256</v>
      </c>
    </row>
    <row r="1232">
      <c r="A1232" s="7" t="s">
        <v>873</v>
      </c>
      <c r="B1232" s="7">
        <v>6.0</v>
      </c>
      <c r="C1232" s="7" t="s">
        <v>590</v>
      </c>
      <c r="D1232" s="7" t="s">
        <v>1254</v>
      </c>
      <c r="E1232" s="7" t="s">
        <v>1255</v>
      </c>
      <c r="F1232" s="7" t="s">
        <v>444</v>
      </c>
    </row>
    <row r="1233">
      <c r="A1233" s="7" t="s">
        <v>11</v>
      </c>
      <c r="B1233" s="7">
        <v>6.0</v>
      </c>
      <c r="C1233" s="7" t="s">
        <v>590</v>
      </c>
      <c r="D1233" s="7" t="s">
        <v>1254</v>
      </c>
      <c r="E1233" s="7" t="s">
        <v>1255</v>
      </c>
      <c r="F1233" s="7" t="s">
        <v>444</v>
      </c>
    </row>
    <row r="1234">
      <c r="A1234" s="7" t="s">
        <v>12</v>
      </c>
      <c r="B1234" s="7">
        <v>6.0</v>
      </c>
      <c r="C1234" s="7" t="s">
        <v>590</v>
      </c>
      <c r="D1234" s="7" t="s">
        <v>1254</v>
      </c>
      <c r="E1234" s="7" t="s">
        <v>1255</v>
      </c>
      <c r="F1234" s="7" t="s">
        <v>1257</v>
      </c>
    </row>
    <row r="1235">
      <c r="A1235" s="7" t="s">
        <v>874</v>
      </c>
      <c r="B1235" s="7">
        <v>6.0</v>
      </c>
      <c r="C1235" s="7" t="s">
        <v>590</v>
      </c>
      <c r="D1235" s="7" t="s">
        <v>1254</v>
      </c>
      <c r="E1235" s="7" t="s">
        <v>1255</v>
      </c>
      <c r="F1235" s="7" t="s">
        <v>444</v>
      </c>
    </row>
    <row r="1236">
      <c r="A1236" s="7" t="s">
        <v>13</v>
      </c>
      <c r="B1236" s="7">
        <v>6.0</v>
      </c>
      <c r="C1236" s="7" t="s">
        <v>590</v>
      </c>
      <c r="D1236" s="7" t="s">
        <v>1254</v>
      </c>
      <c r="E1236" s="7" t="s">
        <v>1255</v>
      </c>
      <c r="F1236" s="7" t="s">
        <v>444</v>
      </c>
    </row>
    <row r="1237">
      <c r="A1237" s="7" t="s">
        <v>875</v>
      </c>
      <c r="B1237" s="7">
        <v>6.0</v>
      </c>
      <c r="C1237" s="7" t="s">
        <v>590</v>
      </c>
      <c r="D1237" s="7" t="s">
        <v>1254</v>
      </c>
      <c r="E1237" s="7" t="s">
        <v>1255</v>
      </c>
      <c r="F1237" s="7" t="s">
        <v>965</v>
      </c>
    </row>
    <row r="1238">
      <c r="A1238" s="7" t="s">
        <v>14</v>
      </c>
      <c r="B1238" s="7">
        <v>6.0</v>
      </c>
      <c r="C1238" s="7" t="s">
        <v>590</v>
      </c>
      <c r="D1238" s="7" t="s">
        <v>1254</v>
      </c>
      <c r="E1238" s="7" t="s">
        <v>1255</v>
      </c>
      <c r="F1238" s="7" t="s">
        <v>444</v>
      </c>
    </row>
    <row r="1239">
      <c r="A1239" s="7" t="s">
        <v>609</v>
      </c>
      <c r="B1239" s="7">
        <v>6.0</v>
      </c>
      <c r="C1239" s="7" t="s">
        <v>590</v>
      </c>
      <c r="D1239" s="7" t="s">
        <v>1254</v>
      </c>
      <c r="E1239" s="7" t="s">
        <v>1255</v>
      </c>
      <c r="F1239" s="7" t="s">
        <v>444</v>
      </c>
    </row>
    <row r="1240">
      <c r="A1240" s="7" t="s">
        <v>15</v>
      </c>
      <c r="B1240" s="7">
        <v>6.0</v>
      </c>
      <c r="C1240" s="7" t="s">
        <v>590</v>
      </c>
      <c r="D1240" s="7" t="s">
        <v>1254</v>
      </c>
      <c r="E1240" s="7" t="s">
        <v>1255</v>
      </c>
      <c r="F1240" s="7" t="s">
        <v>444</v>
      </c>
    </row>
    <row r="1241">
      <c r="A1241" s="7" t="s">
        <v>610</v>
      </c>
      <c r="B1241" s="7">
        <v>6.0</v>
      </c>
      <c r="C1241" s="7" t="s">
        <v>590</v>
      </c>
      <c r="D1241" s="7" t="s">
        <v>1254</v>
      </c>
      <c r="E1241" s="7" t="s">
        <v>1255</v>
      </c>
      <c r="F1241" s="7" t="s">
        <v>444</v>
      </c>
    </row>
    <row r="1242">
      <c r="A1242" s="7" t="s">
        <v>16</v>
      </c>
      <c r="B1242" s="7">
        <v>6.0</v>
      </c>
      <c r="C1242" s="7" t="s">
        <v>590</v>
      </c>
      <c r="D1242" s="7" t="s">
        <v>1254</v>
      </c>
      <c r="E1242" s="7" t="s">
        <v>1255</v>
      </c>
      <c r="F1242" s="7" t="s">
        <v>444</v>
      </c>
    </row>
    <row r="1243">
      <c r="A1243" s="7" t="s">
        <v>876</v>
      </c>
      <c r="B1243" s="7">
        <v>6.0</v>
      </c>
      <c r="C1243" s="7" t="s">
        <v>590</v>
      </c>
      <c r="D1243" s="7" t="s">
        <v>1254</v>
      </c>
      <c r="E1243" s="7" t="s">
        <v>1255</v>
      </c>
      <c r="F1243" s="7" t="s">
        <v>444</v>
      </c>
    </row>
    <row r="1244">
      <c r="A1244" s="7" t="s">
        <v>877</v>
      </c>
      <c r="B1244" s="7">
        <v>6.0</v>
      </c>
      <c r="C1244" s="7" t="s">
        <v>590</v>
      </c>
      <c r="D1244" s="7" t="s">
        <v>1254</v>
      </c>
      <c r="E1244" s="7" t="s">
        <v>1255</v>
      </c>
      <c r="F1244" s="7" t="s">
        <v>444</v>
      </c>
    </row>
    <row r="1245">
      <c r="A1245" s="7" t="s">
        <v>17</v>
      </c>
      <c r="B1245" s="7">
        <v>6.0</v>
      </c>
      <c r="C1245" s="7" t="s">
        <v>590</v>
      </c>
      <c r="D1245" s="7" t="s">
        <v>1254</v>
      </c>
      <c r="E1245" s="7" t="s">
        <v>1255</v>
      </c>
      <c r="F1245" s="7" t="s">
        <v>444</v>
      </c>
    </row>
    <row r="1246">
      <c r="A1246" s="7" t="s">
        <v>18</v>
      </c>
      <c r="B1246" s="7">
        <v>6.0</v>
      </c>
      <c r="C1246" s="7" t="s">
        <v>590</v>
      </c>
      <c r="D1246" s="7" t="s">
        <v>1254</v>
      </c>
      <c r="E1246" s="7" t="s">
        <v>1255</v>
      </c>
      <c r="F1246" s="7" t="s">
        <v>444</v>
      </c>
    </row>
    <row r="1247">
      <c r="A1247" s="7" t="s">
        <v>19</v>
      </c>
      <c r="B1247" s="7">
        <v>6.0</v>
      </c>
      <c r="C1247" s="7" t="s">
        <v>590</v>
      </c>
      <c r="D1247" s="7" t="s">
        <v>1254</v>
      </c>
      <c r="E1247" s="7" t="s">
        <v>1255</v>
      </c>
      <c r="F1247" s="7" t="s">
        <v>444</v>
      </c>
    </row>
    <row r="1248">
      <c r="A1248" s="7" t="s">
        <v>596</v>
      </c>
      <c r="B1248" s="7">
        <v>6.0</v>
      </c>
      <c r="C1248" s="7" t="s">
        <v>1258</v>
      </c>
      <c r="D1248" s="7" t="s">
        <v>1259</v>
      </c>
      <c r="E1248" s="7" t="s">
        <v>1260</v>
      </c>
      <c r="F1248" s="7" t="s">
        <v>1261</v>
      </c>
    </row>
    <row r="1249">
      <c r="A1249" s="7" t="s">
        <v>188</v>
      </c>
      <c r="B1249" s="7">
        <v>6.0</v>
      </c>
      <c r="C1249" s="7" t="s">
        <v>1258</v>
      </c>
      <c r="D1249" s="7" t="s">
        <v>1259</v>
      </c>
      <c r="E1249" s="7" t="s">
        <v>1260</v>
      </c>
      <c r="F1249" s="7" t="s">
        <v>1262</v>
      </c>
    </row>
    <row r="1250">
      <c r="A1250" s="7" t="s">
        <v>4</v>
      </c>
      <c r="B1250" s="7">
        <v>6.0</v>
      </c>
      <c r="C1250" s="7" t="s">
        <v>1258</v>
      </c>
      <c r="D1250" s="7" t="s">
        <v>1259</v>
      </c>
      <c r="E1250" s="7" t="s">
        <v>1260</v>
      </c>
      <c r="F1250" s="7" t="s">
        <v>1263</v>
      </c>
    </row>
    <row r="1251">
      <c r="A1251" s="7" t="s">
        <v>386</v>
      </c>
      <c r="B1251" s="7">
        <v>6.0</v>
      </c>
      <c r="C1251" s="7" t="s">
        <v>1258</v>
      </c>
      <c r="D1251" s="7" t="s">
        <v>1259</v>
      </c>
      <c r="E1251" s="7" t="s">
        <v>1260</v>
      </c>
      <c r="F1251" s="7" t="s">
        <v>1262</v>
      </c>
    </row>
    <row r="1252">
      <c r="A1252" s="7" t="s">
        <v>866</v>
      </c>
      <c r="B1252" s="7">
        <v>6.0</v>
      </c>
      <c r="C1252" s="7" t="s">
        <v>1258</v>
      </c>
      <c r="D1252" s="7" t="s">
        <v>1259</v>
      </c>
      <c r="E1252" s="7" t="s">
        <v>1260</v>
      </c>
      <c r="F1252" s="7" t="s">
        <v>1264</v>
      </c>
    </row>
    <row r="1253">
      <c r="A1253" s="7" t="s">
        <v>5</v>
      </c>
      <c r="B1253" s="7">
        <v>6.0</v>
      </c>
      <c r="C1253" s="7" t="s">
        <v>1258</v>
      </c>
      <c r="D1253" s="7" t="s">
        <v>1259</v>
      </c>
      <c r="E1253" s="7" t="s">
        <v>1260</v>
      </c>
      <c r="F1253" s="7" t="s">
        <v>1262</v>
      </c>
    </row>
    <row r="1254">
      <c r="A1254" s="7" t="s">
        <v>867</v>
      </c>
      <c r="B1254" s="7">
        <v>6.0</v>
      </c>
      <c r="C1254" s="7" t="s">
        <v>1258</v>
      </c>
      <c r="D1254" s="7" t="s">
        <v>1259</v>
      </c>
      <c r="E1254" s="7" t="s">
        <v>1260</v>
      </c>
      <c r="F1254" s="7" t="s">
        <v>1265</v>
      </c>
    </row>
    <row r="1255">
      <c r="A1255" s="7" t="s">
        <v>868</v>
      </c>
      <c r="B1255" s="7">
        <v>6.0</v>
      </c>
      <c r="C1255" s="7" t="s">
        <v>1258</v>
      </c>
      <c r="D1255" s="7" t="s">
        <v>1259</v>
      </c>
      <c r="E1255" s="7" t="s">
        <v>1260</v>
      </c>
      <c r="F1255" s="7" t="s">
        <v>1262</v>
      </c>
    </row>
    <row r="1256">
      <c r="A1256" s="7" t="s">
        <v>599</v>
      </c>
      <c r="B1256" s="7">
        <v>6.0</v>
      </c>
      <c r="C1256" s="7" t="s">
        <v>1258</v>
      </c>
      <c r="D1256" s="7" t="s">
        <v>1259</v>
      </c>
      <c r="E1256" s="7" t="s">
        <v>1260</v>
      </c>
      <c r="F1256" s="7" t="s">
        <v>1261</v>
      </c>
    </row>
    <row r="1257">
      <c r="A1257" s="7" t="s">
        <v>869</v>
      </c>
      <c r="B1257" s="7">
        <v>6.0</v>
      </c>
      <c r="C1257" s="7" t="s">
        <v>1258</v>
      </c>
      <c r="D1257" s="7" t="s">
        <v>1259</v>
      </c>
      <c r="E1257" s="7" t="s">
        <v>1260</v>
      </c>
      <c r="F1257" s="7" t="s">
        <v>1263</v>
      </c>
    </row>
    <row r="1258">
      <c r="A1258" s="7" t="s">
        <v>870</v>
      </c>
      <c r="B1258" s="7">
        <v>6.0</v>
      </c>
      <c r="C1258" s="7" t="s">
        <v>1258</v>
      </c>
      <c r="D1258" s="7" t="s">
        <v>1259</v>
      </c>
      <c r="E1258" s="7" t="s">
        <v>1260</v>
      </c>
      <c r="F1258" s="7" t="s">
        <v>1265</v>
      </c>
    </row>
    <row r="1259">
      <c r="A1259" s="7" t="s">
        <v>6</v>
      </c>
      <c r="B1259" s="7">
        <v>6.0</v>
      </c>
      <c r="C1259" s="7" t="s">
        <v>1258</v>
      </c>
      <c r="D1259" s="7" t="s">
        <v>1259</v>
      </c>
      <c r="E1259" s="7" t="s">
        <v>1260</v>
      </c>
      <c r="F1259" s="7" t="s">
        <v>1262</v>
      </c>
    </row>
    <row r="1260">
      <c r="A1260" s="7" t="s">
        <v>871</v>
      </c>
      <c r="B1260" s="7">
        <v>6.0</v>
      </c>
      <c r="C1260" s="7" t="s">
        <v>1258</v>
      </c>
      <c r="D1260" s="7" t="s">
        <v>1259</v>
      </c>
      <c r="E1260" s="7" t="s">
        <v>1260</v>
      </c>
      <c r="F1260" s="7" t="s">
        <v>1262</v>
      </c>
    </row>
    <row r="1261">
      <c r="A1261" s="7" t="s">
        <v>7</v>
      </c>
      <c r="B1261" s="7">
        <v>6.0</v>
      </c>
      <c r="C1261" s="7" t="s">
        <v>1258</v>
      </c>
      <c r="D1261" s="7" t="s">
        <v>1259</v>
      </c>
      <c r="E1261" s="7" t="s">
        <v>1260</v>
      </c>
      <c r="F1261" s="7" t="s">
        <v>1264</v>
      </c>
    </row>
    <row r="1262">
      <c r="A1262" s="7" t="s">
        <v>8</v>
      </c>
      <c r="B1262" s="7">
        <v>6.0</v>
      </c>
      <c r="C1262" s="7" t="s">
        <v>1258</v>
      </c>
      <c r="D1262" s="7" t="s">
        <v>1259</v>
      </c>
      <c r="E1262" s="7" t="s">
        <v>1260</v>
      </c>
      <c r="F1262" s="7" t="s">
        <v>1263</v>
      </c>
    </row>
    <row r="1263">
      <c r="A1263" s="7" t="s">
        <v>388</v>
      </c>
      <c r="B1263" s="7">
        <v>6.0</v>
      </c>
      <c r="C1263" s="7" t="s">
        <v>1258</v>
      </c>
      <c r="D1263" s="7" t="s">
        <v>1259</v>
      </c>
      <c r="E1263" s="7" t="s">
        <v>1260</v>
      </c>
      <c r="F1263" s="7" t="s">
        <v>1262</v>
      </c>
    </row>
    <row r="1264">
      <c r="A1264" s="7" t="s">
        <v>189</v>
      </c>
      <c r="B1264" s="7">
        <v>6.0</v>
      </c>
      <c r="C1264" s="7" t="s">
        <v>1258</v>
      </c>
      <c r="D1264" s="7" t="s">
        <v>1259</v>
      </c>
      <c r="E1264" s="7" t="s">
        <v>1260</v>
      </c>
      <c r="F1264" s="7" t="s">
        <v>1263</v>
      </c>
    </row>
    <row r="1265">
      <c r="A1265" s="7" t="s">
        <v>9</v>
      </c>
      <c r="B1265" s="7">
        <v>6.0</v>
      </c>
      <c r="C1265" s="7" t="s">
        <v>1258</v>
      </c>
      <c r="D1265" s="7" t="s">
        <v>1259</v>
      </c>
      <c r="E1265" s="7" t="s">
        <v>1260</v>
      </c>
      <c r="F1265" s="7" t="s">
        <v>1263</v>
      </c>
    </row>
    <row r="1266">
      <c r="A1266" s="7" t="s">
        <v>10</v>
      </c>
      <c r="B1266" s="7">
        <v>6.0</v>
      </c>
      <c r="C1266" s="7" t="s">
        <v>1258</v>
      </c>
      <c r="D1266" s="7" t="s">
        <v>1259</v>
      </c>
      <c r="E1266" s="7" t="s">
        <v>1260</v>
      </c>
      <c r="F1266" s="7" t="s">
        <v>1262</v>
      </c>
    </row>
    <row r="1267">
      <c r="A1267" s="7" t="s">
        <v>872</v>
      </c>
      <c r="B1267" s="7">
        <v>6.0</v>
      </c>
      <c r="C1267" s="7" t="s">
        <v>1258</v>
      </c>
      <c r="D1267" s="7" t="s">
        <v>1259</v>
      </c>
      <c r="E1267" s="7" t="s">
        <v>1260</v>
      </c>
      <c r="F1267" s="7" t="s">
        <v>1263</v>
      </c>
    </row>
    <row r="1268">
      <c r="A1268" s="7" t="s">
        <v>873</v>
      </c>
      <c r="B1268" s="7">
        <v>6.0</v>
      </c>
      <c r="C1268" s="7" t="s">
        <v>1258</v>
      </c>
      <c r="D1268" s="7" t="s">
        <v>1259</v>
      </c>
      <c r="E1268" s="7" t="s">
        <v>1260</v>
      </c>
      <c r="F1268" s="7" t="s">
        <v>1261</v>
      </c>
    </row>
    <row r="1269">
      <c r="A1269" s="7" t="s">
        <v>11</v>
      </c>
      <c r="B1269" s="7">
        <v>6.0</v>
      </c>
      <c r="C1269" s="7" t="s">
        <v>1258</v>
      </c>
      <c r="D1269" s="7" t="s">
        <v>1259</v>
      </c>
      <c r="E1269" s="7" t="s">
        <v>1260</v>
      </c>
      <c r="F1269" s="7" t="s">
        <v>1263</v>
      </c>
    </row>
    <row r="1270">
      <c r="A1270" s="7" t="s">
        <v>12</v>
      </c>
      <c r="B1270" s="7">
        <v>6.0</v>
      </c>
      <c r="C1270" s="7" t="s">
        <v>1258</v>
      </c>
      <c r="D1270" s="7" t="s">
        <v>1259</v>
      </c>
      <c r="E1270" s="7" t="s">
        <v>1260</v>
      </c>
      <c r="F1270" s="7" t="s">
        <v>1263</v>
      </c>
    </row>
    <row r="1271">
      <c r="A1271" s="7" t="s">
        <v>874</v>
      </c>
      <c r="B1271" s="7">
        <v>6.0</v>
      </c>
      <c r="C1271" s="7" t="s">
        <v>1258</v>
      </c>
      <c r="D1271" s="7" t="s">
        <v>1259</v>
      </c>
      <c r="E1271" s="7" t="s">
        <v>1260</v>
      </c>
      <c r="F1271" s="7" t="s">
        <v>1262</v>
      </c>
    </row>
    <row r="1272">
      <c r="A1272" s="7" t="s">
        <v>13</v>
      </c>
      <c r="B1272" s="7">
        <v>6.0</v>
      </c>
      <c r="C1272" s="7" t="s">
        <v>1258</v>
      </c>
      <c r="D1272" s="7" t="s">
        <v>1259</v>
      </c>
      <c r="E1272" s="7" t="s">
        <v>1260</v>
      </c>
      <c r="F1272" s="7" t="s">
        <v>1262</v>
      </c>
    </row>
    <row r="1273">
      <c r="A1273" s="7" t="s">
        <v>875</v>
      </c>
      <c r="B1273" s="7">
        <v>6.0</v>
      </c>
      <c r="C1273" s="7" t="s">
        <v>1258</v>
      </c>
      <c r="D1273" s="7" t="s">
        <v>1259</v>
      </c>
      <c r="E1273" s="7" t="s">
        <v>1260</v>
      </c>
      <c r="F1273" s="7" t="s">
        <v>1265</v>
      </c>
    </row>
    <row r="1274">
      <c r="A1274" s="7" t="s">
        <v>14</v>
      </c>
      <c r="B1274" s="7">
        <v>6.0</v>
      </c>
      <c r="C1274" s="7" t="s">
        <v>1258</v>
      </c>
      <c r="D1274" s="7" t="s">
        <v>1259</v>
      </c>
      <c r="E1274" s="7" t="s">
        <v>1260</v>
      </c>
      <c r="F1274" s="7" t="s">
        <v>1262</v>
      </c>
    </row>
    <row r="1275">
      <c r="A1275" s="7" t="s">
        <v>609</v>
      </c>
      <c r="B1275" s="7">
        <v>6.0</v>
      </c>
      <c r="C1275" s="7" t="s">
        <v>1258</v>
      </c>
      <c r="D1275" s="7" t="s">
        <v>1259</v>
      </c>
      <c r="E1275" s="7" t="s">
        <v>1260</v>
      </c>
      <c r="F1275" s="7" t="s">
        <v>1262</v>
      </c>
    </row>
    <row r="1276">
      <c r="A1276" s="7" t="s">
        <v>15</v>
      </c>
      <c r="B1276" s="7">
        <v>6.0</v>
      </c>
      <c r="C1276" s="7" t="s">
        <v>1258</v>
      </c>
      <c r="D1276" s="7" t="s">
        <v>1259</v>
      </c>
      <c r="E1276" s="7" t="s">
        <v>1260</v>
      </c>
      <c r="F1276" s="7" t="s">
        <v>1263</v>
      </c>
    </row>
    <row r="1277">
      <c r="A1277" s="7" t="s">
        <v>610</v>
      </c>
      <c r="B1277" s="7">
        <v>6.0</v>
      </c>
      <c r="C1277" s="7" t="s">
        <v>1258</v>
      </c>
      <c r="D1277" s="7" t="s">
        <v>1259</v>
      </c>
      <c r="E1277" s="7" t="s">
        <v>1260</v>
      </c>
      <c r="F1277" s="7" t="s">
        <v>1261</v>
      </c>
    </row>
    <row r="1278">
      <c r="A1278" s="7" t="s">
        <v>16</v>
      </c>
      <c r="B1278" s="7">
        <v>6.0</v>
      </c>
      <c r="C1278" s="7" t="s">
        <v>1258</v>
      </c>
      <c r="D1278" s="7" t="s">
        <v>1259</v>
      </c>
      <c r="E1278" s="7" t="s">
        <v>1260</v>
      </c>
      <c r="F1278" s="7" t="s">
        <v>1264</v>
      </c>
    </row>
    <row r="1279">
      <c r="A1279" s="7" t="s">
        <v>876</v>
      </c>
      <c r="B1279" s="7">
        <v>6.0</v>
      </c>
      <c r="C1279" s="7" t="s">
        <v>1258</v>
      </c>
      <c r="D1279" s="7" t="s">
        <v>1259</v>
      </c>
      <c r="E1279" s="7" t="s">
        <v>1260</v>
      </c>
      <c r="F1279" s="7" t="s">
        <v>1262</v>
      </c>
    </row>
    <row r="1280">
      <c r="A1280" s="7" t="s">
        <v>877</v>
      </c>
      <c r="B1280" s="7">
        <v>6.0</v>
      </c>
      <c r="C1280" s="7" t="s">
        <v>1258</v>
      </c>
      <c r="D1280" s="7" t="s">
        <v>1259</v>
      </c>
      <c r="E1280" s="7" t="s">
        <v>1260</v>
      </c>
      <c r="F1280" s="7" t="s">
        <v>1261</v>
      </c>
    </row>
    <row r="1281">
      <c r="A1281" s="7" t="s">
        <v>17</v>
      </c>
      <c r="B1281" s="7">
        <v>6.0</v>
      </c>
      <c r="C1281" s="7" t="s">
        <v>1258</v>
      </c>
      <c r="D1281" s="7" t="s">
        <v>1259</v>
      </c>
      <c r="E1281" s="7" t="s">
        <v>1260</v>
      </c>
      <c r="F1281" s="7" t="s">
        <v>1264</v>
      </c>
    </row>
    <row r="1282">
      <c r="A1282" s="7" t="s">
        <v>18</v>
      </c>
      <c r="B1282" s="7">
        <v>6.0</v>
      </c>
      <c r="C1282" s="7" t="s">
        <v>1258</v>
      </c>
      <c r="D1282" s="7" t="s">
        <v>1259</v>
      </c>
      <c r="E1282" s="7" t="s">
        <v>1260</v>
      </c>
      <c r="F1282" s="7" t="s">
        <v>1263</v>
      </c>
    </row>
    <row r="1283">
      <c r="A1283" s="7" t="s">
        <v>19</v>
      </c>
      <c r="B1283" s="7">
        <v>6.0</v>
      </c>
      <c r="C1283" s="7" t="s">
        <v>1258</v>
      </c>
      <c r="D1283" s="7" t="s">
        <v>1259</v>
      </c>
      <c r="E1283" s="7" t="s">
        <v>1260</v>
      </c>
      <c r="F1283" s="7" t="s">
        <v>1263</v>
      </c>
    </row>
    <row r="1284">
      <c r="A1284" s="7" t="s">
        <v>596</v>
      </c>
      <c r="B1284" s="7">
        <v>6.0</v>
      </c>
      <c r="C1284" s="7" t="s">
        <v>1266</v>
      </c>
      <c r="D1284" s="7" t="s">
        <v>1267</v>
      </c>
      <c r="E1284" s="7" t="s">
        <v>1268</v>
      </c>
      <c r="F1284" s="7" t="s">
        <v>1269</v>
      </c>
    </row>
    <row r="1285">
      <c r="A1285" s="7" t="s">
        <v>188</v>
      </c>
      <c r="B1285" s="7">
        <v>6.0</v>
      </c>
      <c r="C1285" s="7" t="s">
        <v>1266</v>
      </c>
      <c r="D1285" s="7" t="s">
        <v>1267</v>
      </c>
      <c r="E1285" s="7" t="s">
        <v>1268</v>
      </c>
      <c r="F1285" s="7" t="s">
        <v>1270</v>
      </c>
    </row>
    <row r="1286">
      <c r="A1286" s="7" t="s">
        <v>4</v>
      </c>
      <c r="B1286" s="7">
        <v>6.0</v>
      </c>
      <c r="C1286" s="7" t="s">
        <v>1266</v>
      </c>
      <c r="D1286" s="7" t="s">
        <v>1267</v>
      </c>
      <c r="E1286" s="7" t="s">
        <v>1268</v>
      </c>
      <c r="F1286" s="7" t="s">
        <v>1271</v>
      </c>
    </row>
    <row r="1287">
      <c r="A1287" s="7" t="s">
        <v>386</v>
      </c>
      <c r="B1287" s="7">
        <v>6.0</v>
      </c>
      <c r="C1287" s="7" t="s">
        <v>1266</v>
      </c>
      <c r="D1287" s="7" t="s">
        <v>1267</v>
      </c>
      <c r="E1287" s="7" t="s">
        <v>1268</v>
      </c>
      <c r="F1287" s="7" t="s">
        <v>1272</v>
      </c>
    </row>
    <row r="1288">
      <c r="A1288" s="7" t="s">
        <v>866</v>
      </c>
      <c r="B1288" s="7">
        <v>6.0</v>
      </c>
      <c r="C1288" s="7" t="s">
        <v>1266</v>
      </c>
      <c r="D1288" s="7" t="s">
        <v>1267</v>
      </c>
      <c r="E1288" s="7" t="s">
        <v>1268</v>
      </c>
      <c r="F1288" s="7" t="s">
        <v>1273</v>
      </c>
    </row>
    <row r="1289">
      <c r="A1289" s="7" t="s">
        <v>5</v>
      </c>
      <c r="B1289" s="7">
        <v>6.0</v>
      </c>
      <c r="C1289" s="7" t="s">
        <v>1266</v>
      </c>
      <c r="D1289" s="7" t="s">
        <v>1267</v>
      </c>
      <c r="E1289" s="7" t="s">
        <v>1268</v>
      </c>
      <c r="F1289" s="7" t="s">
        <v>1272</v>
      </c>
    </row>
    <row r="1290">
      <c r="A1290" s="7" t="s">
        <v>867</v>
      </c>
      <c r="B1290" s="7">
        <v>6.0</v>
      </c>
      <c r="C1290" s="7" t="s">
        <v>1266</v>
      </c>
      <c r="D1290" s="7" t="s">
        <v>1267</v>
      </c>
      <c r="E1290" s="7" t="s">
        <v>1268</v>
      </c>
      <c r="F1290" s="7" t="s">
        <v>1274</v>
      </c>
    </row>
    <row r="1291">
      <c r="A1291" s="7" t="s">
        <v>868</v>
      </c>
      <c r="B1291" s="7">
        <v>6.0</v>
      </c>
      <c r="C1291" s="7" t="s">
        <v>1266</v>
      </c>
      <c r="D1291" s="7" t="s">
        <v>1267</v>
      </c>
      <c r="E1291" s="7" t="s">
        <v>1268</v>
      </c>
      <c r="F1291" s="7" t="s">
        <v>1272</v>
      </c>
    </row>
    <row r="1292">
      <c r="A1292" s="7" t="s">
        <v>599</v>
      </c>
      <c r="B1292" s="7">
        <v>6.0</v>
      </c>
      <c r="C1292" s="7" t="s">
        <v>1266</v>
      </c>
      <c r="D1292" s="7" t="s">
        <v>1267</v>
      </c>
      <c r="E1292" s="7" t="s">
        <v>1268</v>
      </c>
      <c r="F1292" s="7" t="s">
        <v>902</v>
      </c>
    </row>
    <row r="1293">
      <c r="A1293" s="7" t="s">
        <v>869</v>
      </c>
      <c r="B1293" s="7">
        <v>6.0</v>
      </c>
      <c r="C1293" s="7" t="s">
        <v>1266</v>
      </c>
      <c r="D1293" s="7" t="s">
        <v>1267</v>
      </c>
      <c r="E1293" s="7" t="s">
        <v>1268</v>
      </c>
      <c r="F1293" s="7" t="s">
        <v>1275</v>
      </c>
    </row>
    <row r="1294">
      <c r="A1294" s="7" t="s">
        <v>870</v>
      </c>
      <c r="B1294" s="7">
        <v>6.0</v>
      </c>
      <c r="C1294" s="7" t="s">
        <v>1266</v>
      </c>
      <c r="D1294" s="7" t="s">
        <v>1267</v>
      </c>
      <c r="E1294" s="7" t="s">
        <v>1268</v>
      </c>
      <c r="F1294" s="7" t="s">
        <v>1276</v>
      </c>
    </row>
    <row r="1295">
      <c r="A1295" s="7" t="s">
        <v>6</v>
      </c>
      <c r="B1295" s="7">
        <v>6.0</v>
      </c>
      <c r="C1295" s="7" t="s">
        <v>1266</v>
      </c>
      <c r="D1295" s="7" t="s">
        <v>1267</v>
      </c>
      <c r="E1295" s="7" t="s">
        <v>1268</v>
      </c>
      <c r="F1295" s="7" t="s">
        <v>1272</v>
      </c>
    </row>
    <row r="1296">
      <c r="A1296" s="7" t="s">
        <v>871</v>
      </c>
      <c r="B1296" s="7">
        <v>6.0</v>
      </c>
      <c r="C1296" s="7" t="s">
        <v>1266</v>
      </c>
      <c r="D1296" s="7" t="s">
        <v>1267</v>
      </c>
      <c r="E1296" s="7" t="s">
        <v>1268</v>
      </c>
      <c r="F1296" s="7" t="s">
        <v>1277</v>
      </c>
    </row>
    <row r="1297">
      <c r="A1297" s="7" t="s">
        <v>7</v>
      </c>
      <c r="B1297" s="7">
        <v>6.0</v>
      </c>
      <c r="C1297" s="7" t="s">
        <v>1266</v>
      </c>
      <c r="D1297" s="7" t="s">
        <v>1267</v>
      </c>
      <c r="E1297" s="7" t="s">
        <v>1268</v>
      </c>
      <c r="F1297" s="7" t="s">
        <v>1278</v>
      </c>
    </row>
    <row r="1298">
      <c r="A1298" s="7" t="s">
        <v>8</v>
      </c>
      <c r="B1298" s="7">
        <v>6.0</v>
      </c>
      <c r="C1298" s="7" t="s">
        <v>1266</v>
      </c>
      <c r="D1298" s="7" t="s">
        <v>1267</v>
      </c>
      <c r="E1298" s="7" t="s">
        <v>1268</v>
      </c>
      <c r="F1298" s="7" t="s">
        <v>1279</v>
      </c>
    </row>
    <row r="1299">
      <c r="A1299" s="7" t="s">
        <v>388</v>
      </c>
      <c r="B1299" s="7">
        <v>6.0</v>
      </c>
      <c r="C1299" s="7" t="s">
        <v>1266</v>
      </c>
      <c r="D1299" s="7" t="s">
        <v>1267</v>
      </c>
      <c r="E1299" s="7" t="s">
        <v>1268</v>
      </c>
      <c r="F1299" s="7" t="s">
        <v>1272</v>
      </c>
    </row>
    <row r="1300">
      <c r="A1300" s="7" t="s">
        <v>189</v>
      </c>
      <c r="B1300" s="7">
        <v>6.0</v>
      </c>
      <c r="C1300" s="7" t="s">
        <v>1266</v>
      </c>
      <c r="D1300" s="7" t="s">
        <v>1267</v>
      </c>
      <c r="E1300" s="7" t="s">
        <v>1268</v>
      </c>
      <c r="F1300" s="7" t="s">
        <v>1280</v>
      </c>
    </row>
    <row r="1301">
      <c r="A1301" s="7" t="s">
        <v>9</v>
      </c>
      <c r="B1301" s="7">
        <v>6.0</v>
      </c>
      <c r="C1301" s="7" t="s">
        <v>1266</v>
      </c>
      <c r="D1301" s="7" t="s">
        <v>1267</v>
      </c>
      <c r="E1301" s="7" t="s">
        <v>1268</v>
      </c>
      <c r="F1301" s="7" t="s">
        <v>1279</v>
      </c>
    </row>
    <row r="1302">
      <c r="A1302" s="7" t="s">
        <v>10</v>
      </c>
      <c r="B1302" s="7">
        <v>6.0</v>
      </c>
      <c r="C1302" s="7" t="s">
        <v>1266</v>
      </c>
      <c r="D1302" s="7" t="s">
        <v>1267</v>
      </c>
      <c r="E1302" s="7" t="s">
        <v>1268</v>
      </c>
      <c r="F1302" s="7" t="s">
        <v>1272</v>
      </c>
    </row>
    <row r="1303">
      <c r="A1303" s="7" t="s">
        <v>872</v>
      </c>
      <c r="B1303" s="7">
        <v>6.0</v>
      </c>
      <c r="C1303" s="7" t="s">
        <v>1266</v>
      </c>
      <c r="D1303" s="7" t="s">
        <v>1267</v>
      </c>
      <c r="E1303" s="7" t="s">
        <v>1268</v>
      </c>
      <c r="F1303" s="7" t="s">
        <v>1281</v>
      </c>
    </row>
    <row r="1304">
      <c r="A1304" s="7" t="s">
        <v>873</v>
      </c>
      <c r="B1304" s="7">
        <v>6.0</v>
      </c>
      <c r="C1304" s="7" t="s">
        <v>1266</v>
      </c>
      <c r="D1304" s="7" t="s">
        <v>1267</v>
      </c>
      <c r="E1304" s="7" t="s">
        <v>1268</v>
      </c>
      <c r="F1304" s="7" t="s">
        <v>1282</v>
      </c>
    </row>
    <row r="1305">
      <c r="A1305" s="7" t="s">
        <v>11</v>
      </c>
      <c r="B1305" s="7">
        <v>6.0</v>
      </c>
      <c r="C1305" s="7" t="s">
        <v>1266</v>
      </c>
      <c r="D1305" s="7" t="s">
        <v>1267</v>
      </c>
      <c r="E1305" s="7" t="s">
        <v>1268</v>
      </c>
      <c r="F1305" s="7" t="s">
        <v>1283</v>
      </c>
    </row>
    <row r="1306">
      <c r="A1306" s="7" t="s">
        <v>12</v>
      </c>
      <c r="B1306" s="7">
        <v>6.0</v>
      </c>
      <c r="C1306" s="7" t="s">
        <v>1266</v>
      </c>
      <c r="D1306" s="7" t="s">
        <v>1267</v>
      </c>
      <c r="E1306" s="7" t="s">
        <v>1268</v>
      </c>
      <c r="F1306" s="7" t="s">
        <v>1279</v>
      </c>
    </row>
    <row r="1307">
      <c r="A1307" s="7" t="s">
        <v>874</v>
      </c>
      <c r="B1307" s="7">
        <v>6.0</v>
      </c>
      <c r="C1307" s="7" t="s">
        <v>1266</v>
      </c>
      <c r="D1307" s="7" t="s">
        <v>1267</v>
      </c>
      <c r="E1307" s="7" t="s">
        <v>1268</v>
      </c>
      <c r="F1307" s="7" t="s">
        <v>1272</v>
      </c>
    </row>
    <row r="1308">
      <c r="A1308" s="7" t="s">
        <v>13</v>
      </c>
      <c r="B1308" s="7">
        <v>6.0</v>
      </c>
      <c r="C1308" s="7" t="s">
        <v>1266</v>
      </c>
      <c r="D1308" s="7" t="s">
        <v>1267</v>
      </c>
      <c r="E1308" s="7" t="s">
        <v>1268</v>
      </c>
      <c r="F1308" s="7" t="s">
        <v>1272</v>
      </c>
    </row>
    <row r="1309">
      <c r="A1309" s="7" t="s">
        <v>875</v>
      </c>
      <c r="B1309" s="7">
        <v>6.0</v>
      </c>
      <c r="C1309" s="7" t="s">
        <v>1266</v>
      </c>
      <c r="D1309" s="7" t="s">
        <v>1267</v>
      </c>
      <c r="E1309" s="7" t="s">
        <v>1268</v>
      </c>
      <c r="F1309" s="7" t="s">
        <v>1284</v>
      </c>
    </row>
    <row r="1310">
      <c r="A1310" s="7" t="s">
        <v>14</v>
      </c>
      <c r="B1310" s="7">
        <v>6.0</v>
      </c>
      <c r="C1310" s="7" t="s">
        <v>1266</v>
      </c>
      <c r="D1310" s="7" t="s">
        <v>1267</v>
      </c>
      <c r="E1310" s="7" t="s">
        <v>1268</v>
      </c>
      <c r="F1310" s="7" t="s">
        <v>1272</v>
      </c>
    </row>
    <row r="1311">
      <c r="A1311" s="7" t="s">
        <v>609</v>
      </c>
      <c r="B1311" s="7">
        <v>6.0</v>
      </c>
      <c r="C1311" s="7" t="s">
        <v>1266</v>
      </c>
      <c r="D1311" s="7" t="s">
        <v>1267</v>
      </c>
      <c r="E1311" s="7" t="s">
        <v>1268</v>
      </c>
      <c r="F1311" s="7" t="s">
        <v>1272</v>
      </c>
    </row>
    <row r="1312">
      <c r="A1312" s="7" t="s">
        <v>15</v>
      </c>
      <c r="B1312" s="7">
        <v>6.0</v>
      </c>
      <c r="C1312" s="7" t="s">
        <v>1266</v>
      </c>
      <c r="D1312" s="7" t="s">
        <v>1267</v>
      </c>
      <c r="E1312" s="7" t="s">
        <v>1268</v>
      </c>
      <c r="F1312" s="7" t="s">
        <v>1285</v>
      </c>
    </row>
    <row r="1313">
      <c r="A1313" s="7" t="s">
        <v>610</v>
      </c>
      <c r="B1313" s="7">
        <v>6.0</v>
      </c>
      <c r="C1313" s="7" t="s">
        <v>1266</v>
      </c>
      <c r="D1313" s="7" t="s">
        <v>1267</v>
      </c>
      <c r="E1313" s="7" t="s">
        <v>1268</v>
      </c>
      <c r="F1313" s="7" t="s">
        <v>1286</v>
      </c>
    </row>
    <row r="1314">
      <c r="A1314" s="7" t="s">
        <v>16</v>
      </c>
      <c r="B1314" s="7">
        <v>6.0</v>
      </c>
      <c r="C1314" s="7" t="s">
        <v>1266</v>
      </c>
      <c r="D1314" s="7" t="s">
        <v>1267</v>
      </c>
      <c r="E1314" s="7" t="s">
        <v>1268</v>
      </c>
      <c r="F1314" s="7" t="s">
        <v>1287</v>
      </c>
    </row>
    <row r="1315">
      <c r="A1315" s="7" t="s">
        <v>876</v>
      </c>
      <c r="B1315" s="7">
        <v>6.0</v>
      </c>
      <c r="C1315" s="7" t="s">
        <v>1266</v>
      </c>
      <c r="D1315" s="7" t="s">
        <v>1267</v>
      </c>
      <c r="E1315" s="7" t="s">
        <v>1268</v>
      </c>
      <c r="F1315" s="7" t="s">
        <v>1272</v>
      </c>
    </row>
    <row r="1316">
      <c r="A1316" s="7" t="s">
        <v>877</v>
      </c>
      <c r="B1316" s="7">
        <v>6.0</v>
      </c>
      <c r="C1316" s="7" t="s">
        <v>1266</v>
      </c>
      <c r="D1316" s="7" t="s">
        <v>1267</v>
      </c>
      <c r="E1316" s="7" t="s">
        <v>1268</v>
      </c>
      <c r="F1316" s="7" t="s">
        <v>1282</v>
      </c>
    </row>
    <row r="1317">
      <c r="A1317" s="7" t="s">
        <v>17</v>
      </c>
      <c r="B1317" s="7">
        <v>6.0</v>
      </c>
      <c r="C1317" s="7" t="s">
        <v>1266</v>
      </c>
      <c r="D1317" s="7" t="s">
        <v>1267</v>
      </c>
      <c r="E1317" s="7" t="s">
        <v>1268</v>
      </c>
      <c r="F1317" s="7" t="s">
        <v>1278</v>
      </c>
    </row>
    <row r="1318">
      <c r="A1318" s="7" t="s">
        <v>18</v>
      </c>
      <c r="B1318" s="7">
        <v>6.0</v>
      </c>
      <c r="C1318" s="7" t="s">
        <v>1266</v>
      </c>
      <c r="D1318" s="7" t="s">
        <v>1267</v>
      </c>
      <c r="E1318" s="7" t="s">
        <v>1268</v>
      </c>
      <c r="F1318" s="7" t="s">
        <v>1288</v>
      </c>
    </row>
    <row r="1319">
      <c r="A1319" s="7" t="s">
        <v>19</v>
      </c>
      <c r="B1319" s="7">
        <v>6.0</v>
      </c>
      <c r="C1319" s="7" t="s">
        <v>1266</v>
      </c>
      <c r="D1319" s="7" t="s">
        <v>1267</v>
      </c>
      <c r="E1319" s="7" t="s">
        <v>1268</v>
      </c>
      <c r="F1319" s="7" t="s">
        <v>1288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59.88"/>
    <col customWidth="1" min="5" max="38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188</v>
      </c>
      <c r="F1" s="3" t="s">
        <v>4</v>
      </c>
      <c r="G1" s="9" t="s">
        <v>386</v>
      </c>
      <c r="H1" s="3" t="s">
        <v>5</v>
      </c>
      <c r="I1" s="3" t="s">
        <v>867</v>
      </c>
      <c r="J1" s="3" t="s">
        <v>868</v>
      </c>
      <c r="K1" s="3" t="s">
        <v>869</v>
      </c>
      <c r="L1" s="3" t="s">
        <v>870</v>
      </c>
      <c r="M1" s="3" t="s">
        <v>1293</v>
      </c>
      <c r="N1" s="3" t="s">
        <v>6</v>
      </c>
      <c r="O1" s="3" t="s">
        <v>871</v>
      </c>
      <c r="P1" s="3" t="s">
        <v>7</v>
      </c>
      <c r="Q1" s="3" t="s">
        <v>8</v>
      </c>
      <c r="R1" s="3" t="s">
        <v>388</v>
      </c>
      <c r="S1" s="3" t="s">
        <v>189</v>
      </c>
      <c r="T1" s="3" t="s">
        <v>9</v>
      </c>
      <c r="U1" s="3" t="s">
        <v>10</v>
      </c>
      <c r="V1" s="3" t="s">
        <v>872</v>
      </c>
      <c r="W1" s="3" t="s">
        <v>873</v>
      </c>
      <c r="X1" s="3" t="s">
        <v>11</v>
      </c>
      <c r="Y1" s="3" t="s">
        <v>12</v>
      </c>
      <c r="Z1" s="9" t="s">
        <v>874</v>
      </c>
      <c r="AA1" s="3" t="s">
        <v>13</v>
      </c>
      <c r="AB1" s="3" t="s">
        <v>875</v>
      </c>
      <c r="AC1" s="3" t="s">
        <v>14</v>
      </c>
      <c r="AD1" s="3" t="s">
        <v>609</v>
      </c>
      <c r="AE1" s="3" t="s">
        <v>15</v>
      </c>
      <c r="AF1" s="9" t="s">
        <v>610</v>
      </c>
      <c r="AG1" s="3" t="s">
        <v>16</v>
      </c>
      <c r="AH1" s="3" t="s">
        <v>876</v>
      </c>
      <c r="AI1" s="3" t="s">
        <v>877</v>
      </c>
      <c r="AJ1" s="3" t="s">
        <v>17</v>
      </c>
      <c r="AK1" s="3" t="s">
        <v>18</v>
      </c>
      <c r="AL1" s="3" t="s">
        <v>19</v>
      </c>
    </row>
    <row r="2" ht="15.75" customHeight="1">
      <c r="A2" s="4">
        <v>7.0</v>
      </c>
      <c r="B2" s="5" t="s">
        <v>193</v>
      </c>
      <c r="C2" s="5" t="s">
        <v>880</v>
      </c>
      <c r="D2" s="5" t="s">
        <v>1294</v>
      </c>
      <c r="E2" s="5">
        <v>2016.0</v>
      </c>
      <c r="F2" s="5">
        <v>2014.0</v>
      </c>
      <c r="G2" s="5">
        <v>2015.0</v>
      </c>
      <c r="H2" s="5">
        <v>2016.0</v>
      </c>
      <c r="I2" s="5">
        <v>2013.0</v>
      </c>
      <c r="J2" s="5">
        <v>2016.0</v>
      </c>
      <c r="K2" s="5">
        <v>2013.0</v>
      </c>
      <c r="L2" s="5">
        <v>2016.0</v>
      </c>
      <c r="M2" s="5">
        <v>2017.0</v>
      </c>
      <c r="N2" s="5">
        <v>2016.0</v>
      </c>
      <c r="O2" s="5">
        <v>2015.0</v>
      </c>
      <c r="P2" s="5">
        <v>2013.0</v>
      </c>
      <c r="Q2" s="5">
        <v>2017.0</v>
      </c>
      <c r="R2" s="5">
        <v>2017.0</v>
      </c>
      <c r="S2" s="5">
        <v>2013.0</v>
      </c>
      <c r="T2" s="5">
        <v>2014.0</v>
      </c>
      <c r="U2" s="5">
        <v>2016.0</v>
      </c>
      <c r="V2" s="5">
        <v>2014.0</v>
      </c>
      <c r="W2" s="5">
        <v>2016.0</v>
      </c>
      <c r="X2" s="5">
        <v>2014.0</v>
      </c>
      <c r="Y2" s="5">
        <v>2014.0</v>
      </c>
      <c r="Z2" s="5">
        <v>2016.0</v>
      </c>
      <c r="AA2" s="5">
        <v>2015.0</v>
      </c>
      <c r="AB2" s="5">
        <v>2016.0</v>
      </c>
      <c r="AC2" s="5">
        <v>2017.0</v>
      </c>
      <c r="AD2" s="5">
        <v>2018.0</v>
      </c>
      <c r="AE2" s="5">
        <v>2014.0</v>
      </c>
      <c r="AF2" s="5">
        <v>2015.0</v>
      </c>
      <c r="AG2" s="5">
        <v>2015.0</v>
      </c>
      <c r="AH2" s="5">
        <v>2013.0</v>
      </c>
      <c r="AI2" s="5">
        <v>2014.0</v>
      </c>
      <c r="AJ2" s="5">
        <v>2016.0</v>
      </c>
      <c r="AK2" s="5">
        <v>2016.0</v>
      </c>
      <c r="AL2" s="5">
        <v>2013.0</v>
      </c>
    </row>
    <row r="3" ht="15.75" customHeight="1">
      <c r="A3" s="4">
        <v>7.0</v>
      </c>
      <c r="B3" s="5" t="s">
        <v>227</v>
      </c>
      <c r="C3" s="5" t="s">
        <v>1295</v>
      </c>
      <c r="D3" s="5" t="s">
        <v>1296</v>
      </c>
      <c r="E3" s="5">
        <v>2016.0</v>
      </c>
      <c r="F3" s="5">
        <v>2014.0</v>
      </c>
      <c r="G3" s="5">
        <v>2015.0</v>
      </c>
      <c r="H3" s="5">
        <v>2016.0</v>
      </c>
      <c r="I3" s="5">
        <v>2013.0</v>
      </c>
      <c r="J3" s="5">
        <v>2016.0</v>
      </c>
      <c r="K3" s="5">
        <v>2013.0</v>
      </c>
      <c r="L3" s="5">
        <v>2016.0</v>
      </c>
      <c r="M3" s="5">
        <v>2017.0</v>
      </c>
      <c r="N3" s="5">
        <v>2016.0</v>
      </c>
      <c r="O3" s="5">
        <v>2015.0</v>
      </c>
      <c r="P3" s="5">
        <v>2013.0</v>
      </c>
      <c r="Q3" s="5">
        <v>2017.0</v>
      </c>
      <c r="R3" s="5">
        <v>2017.0</v>
      </c>
      <c r="S3" s="5">
        <v>2013.0</v>
      </c>
      <c r="T3" s="5">
        <v>2014.0</v>
      </c>
      <c r="U3" s="5">
        <v>2016.0</v>
      </c>
      <c r="V3" s="5">
        <v>2014.0</v>
      </c>
      <c r="W3" s="5">
        <v>2016.0</v>
      </c>
      <c r="X3" s="5">
        <v>2014.0</v>
      </c>
      <c r="Y3" s="5">
        <v>2014.0</v>
      </c>
      <c r="Z3" s="5">
        <v>2016.0</v>
      </c>
      <c r="AA3" s="5">
        <v>2015.0</v>
      </c>
      <c r="AB3" s="5">
        <v>2016.0</v>
      </c>
      <c r="AC3" s="5">
        <v>2017.0</v>
      </c>
      <c r="AD3" s="5">
        <v>2018.0</v>
      </c>
      <c r="AE3" s="5">
        <v>2014.0</v>
      </c>
      <c r="AF3" s="5">
        <v>2015.0</v>
      </c>
      <c r="AG3" s="5">
        <v>2015.0</v>
      </c>
      <c r="AH3" s="5">
        <v>2013.0</v>
      </c>
      <c r="AI3" s="5">
        <v>2014.0</v>
      </c>
      <c r="AJ3" s="5">
        <v>2016.0</v>
      </c>
      <c r="AK3" s="5">
        <v>2016.0</v>
      </c>
      <c r="AL3" s="5">
        <v>2013.0</v>
      </c>
    </row>
    <row r="4" ht="15.75" customHeight="1">
      <c r="A4" s="4">
        <v>7.0</v>
      </c>
      <c r="B4" s="5" t="s">
        <v>617</v>
      </c>
      <c r="C4" s="5" t="s">
        <v>892</v>
      </c>
      <c r="D4" s="5" t="s">
        <v>1297</v>
      </c>
      <c r="E4" s="5">
        <v>2016.0</v>
      </c>
      <c r="F4" s="5">
        <v>2014.0</v>
      </c>
      <c r="G4" s="5">
        <v>2015.0</v>
      </c>
      <c r="H4" s="5">
        <v>2016.0</v>
      </c>
      <c r="I4" s="5">
        <v>2013.0</v>
      </c>
      <c r="J4" s="5">
        <v>2016.0</v>
      </c>
      <c r="K4" s="5">
        <v>2013.0</v>
      </c>
      <c r="L4" s="5">
        <v>2016.0</v>
      </c>
      <c r="M4" s="5">
        <v>2017.0</v>
      </c>
      <c r="N4" s="5">
        <v>2016.0</v>
      </c>
      <c r="O4" s="5">
        <v>2015.0</v>
      </c>
      <c r="P4" s="5">
        <v>2013.0</v>
      </c>
      <c r="Q4" s="5">
        <v>2017.0</v>
      </c>
      <c r="R4" s="5">
        <v>2017.0</v>
      </c>
      <c r="S4" s="5">
        <v>2013.0</v>
      </c>
      <c r="T4" s="5">
        <v>2014.0</v>
      </c>
      <c r="U4" s="5">
        <v>2016.0</v>
      </c>
      <c r="V4" s="5">
        <v>2014.0</v>
      </c>
      <c r="W4" s="5">
        <v>2016.0</v>
      </c>
      <c r="X4" s="5">
        <v>2014.0</v>
      </c>
      <c r="Y4" s="5">
        <v>2014.0</v>
      </c>
      <c r="Z4" s="5">
        <v>2016.0</v>
      </c>
      <c r="AA4" s="5">
        <v>2015.0</v>
      </c>
      <c r="AB4" s="5">
        <v>2016.0</v>
      </c>
      <c r="AC4" s="5">
        <v>2017.0</v>
      </c>
      <c r="AD4" s="5">
        <v>2018.0</v>
      </c>
      <c r="AE4" s="5">
        <v>2014.0</v>
      </c>
      <c r="AF4" s="5">
        <v>2015.0</v>
      </c>
      <c r="AG4" s="5">
        <v>2015.0</v>
      </c>
      <c r="AH4" s="5">
        <v>2013.0</v>
      </c>
      <c r="AI4" s="5">
        <v>2014.0</v>
      </c>
      <c r="AJ4" s="5">
        <v>2016.0</v>
      </c>
      <c r="AK4" s="5">
        <v>2016.0</v>
      </c>
      <c r="AL4" s="5">
        <v>2013.0</v>
      </c>
    </row>
    <row r="5" ht="15.75" customHeight="1">
      <c r="A5" s="4">
        <v>7.0</v>
      </c>
      <c r="B5" s="5" t="s">
        <v>621</v>
      </c>
      <c r="C5" s="5" t="s">
        <v>909</v>
      </c>
      <c r="D5" s="5" t="s">
        <v>1298</v>
      </c>
      <c r="E5" s="5">
        <v>2016.0</v>
      </c>
      <c r="F5" s="5">
        <v>2014.0</v>
      </c>
      <c r="G5" s="5">
        <v>2015.0</v>
      </c>
      <c r="H5" s="5">
        <v>2016.0</v>
      </c>
      <c r="I5" s="5">
        <v>2013.0</v>
      </c>
      <c r="J5" s="5">
        <v>2016.0</v>
      </c>
      <c r="K5" s="5" t="s">
        <v>902</v>
      </c>
      <c r="L5" s="5">
        <v>2016.0</v>
      </c>
      <c r="M5" s="5">
        <v>2017.0</v>
      </c>
      <c r="N5" s="5">
        <v>2016.0</v>
      </c>
      <c r="O5" s="5">
        <v>2015.0</v>
      </c>
      <c r="P5" s="5">
        <v>2013.0</v>
      </c>
      <c r="Q5" s="5">
        <v>2017.0</v>
      </c>
      <c r="R5" s="5">
        <v>2017.0</v>
      </c>
      <c r="S5" s="5">
        <v>2013.0</v>
      </c>
      <c r="T5" s="5">
        <v>2014.0</v>
      </c>
      <c r="U5" s="5">
        <v>2016.0</v>
      </c>
      <c r="V5" s="5">
        <v>2014.0</v>
      </c>
      <c r="W5" s="5">
        <v>2016.0</v>
      </c>
      <c r="X5" s="5">
        <v>2014.0</v>
      </c>
      <c r="Y5" s="5">
        <v>2014.0</v>
      </c>
      <c r="Z5" s="5">
        <v>2016.0</v>
      </c>
      <c r="AA5" s="5">
        <v>2015.0</v>
      </c>
      <c r="AB5" s="5">
        <v>2016.0</v>
      </c>
      <c r="AC5" s="5">
        <v>2017.0</v>
      </c>
      <c r="AD5" s="5">
        <v>2018.0</v>
      </c>
      <c r="AE5" s="5">
        <v>2014.0</v>
      </c>
      <c r="AF5" s="5">
        <v>2015.0</v>
      </c>
      <c r="AG5" s="5">
        <v>2015.0</v>
      </c>
      <c r="AH5" s="5">
        <v>2013.0</v>
      </c>
      <c r="AI5" s="5">
        <v>2014.0</v>
      </c>
      <c r="AJ5" s="5">
        <v>2016.0</v>
      </c>
      <c r="AK5" s="5">
        <v>2016.0</v>
      </c>
      <c r="AL5" s="5">
        <v>2013.0</v>
      </c>
    </row>
    <row r="6" ht="15.75" customHeight="1">
      <c r="A6" s="4">
        <v>7.0</v>
      </c>
      <c r="B6" s="5" t="s">
        <v>20</v>
      </c>
      <c r="C6" s="5" t="s">
        <v>1299</v>
      </c>
      <c r="D6" s="5" t="s">
        <v>415</v>
      </c>
      <c r="E6" s="5" t="s">
        <v>26</v>
      </c>
      <c r="F6" s="5" t="s">
        <v>894</v>
      </c>
      <c r="G6" s="5" t="s">
        <v>26</v>
      </c>
      <c r="H6" s="5" t="s">
        <v>895</v>
      </c>
      <c r="I6" s="5" t="s">
        <v>26</v>
      </c>
      <c r="J6" s="5" t="s">
        <v>895</v>
      </c>
      <c r="K6" s="5" t="s">
        <v>894</v>
      </c>
      <c r="L6" s="5" t="s">
        <v>896</v>
      </c>
      <c r="M6" s="5" t="s">
        <v>417</v>
      </c>
      <c r="N6" s="5" t="s">
        <v>897</v>
      </c>
      <c r="O6" s="5" t="s">
        <v>898</v>
      </c>
      <c r="P6" s="5" t="s">
        <v>899</v>
      </c>
      <c r="Q6" s="5" t="s">
        <v>1300</v>
      </c>
      <c r="R6" s="5" t="s">
        <v>901</v>
      </c>
      <c r="S6" s="5" t="s">
        <v>26</v>
      </c>
      <c r="T6" s="5" t="s">
        <v>1251</v>
      </c>
      <c r="U6" s="5" t="s">
        <v>26</v>
      </c>
      <c r="V6" s="5" t="s">
        <v>903</v>
      </c>
      <c r="W6" s="5" t="s">
        <v>1301</v>
      </c>
      <c r="X6" s="5" t="s">
        <v>1251</v>
      </c>
      <c r="Y6" s="5" t="s">
        <v>905</v>
      </c>
      <c r="Z6" s="5" t="s">
        <v>26</v>
      </c>
      <c r="AA6" s="5" t="s">
        <v>894</v>
      </c>
      <c r="AB6" s="5" t="s">
        <v>1302</v>
      </c>
      <c r="AC6" s="5" t="s">
        <v>896</v>
      </c>
      <c r="AD6" s="5" t="s">
        <v>906</v>
      </c>
      <c r="AE6" s="5" t="s">
        <v>906</v>
      </c>
      <c r="AF6" s="5" t="s">
        <v>906</v>
      </c>
      <c r="AG6" s="5" t="s">
        <v>906</v>
      </c>
      <c r="AH6" s="5" t="s">
        <v>907</v>
      </c>
      <c r="AI6" s="5" t="s">
        <v>906</v>
      </c>
      <c r="AJ6" s="5" t="s">
        <v>908</v>
      </c>
      <c r="AK6" s="5" t="s">
        <v>906</v>
      </c>
      <c r="AL6" s="5" t="s">
        <v>906</v>
      </c>
    </row>
    <row r="7" ht="15.75" customHeight="1">
      <c r="A7" s="4">
        <v>7.0</v>
      </c>
      <c r="B7" s="5" t="s">
        <v>35</v>
      </c>
      <c r="C7" s="5" t="s">
        <v>1303</v>
      </c>
      <c r="D7" s="5" t="s">
        <v>424</v>
      </c>
      <c r="E7" s="5" t="s">
        <v>427</v>
      </c>
      <c r="F7" s="5" t="s">
        <v>38</v>
      </c>
      <c r="G7" s="5" t="s">
        <v>427</v>
      </c>
      <c r="H7" s="5" t="s">
        <v>427</v>
      </c>
      <c r="I7" s="5" t="s">
        <v>911</v>
      </c>
      <c r="J7" s="5" t="s">
        <v>427</v>
      </c>
      <c r="K7" s="5" t="s">
        <v>38</v>
      </c>
      <c r="L7" s="5" t="s">
        <v>1304</v>
      </c>
      <c r="M7" s="5" t="s">
        <v>1305</v>
      </c>
      <c r="N7" s="5" t="s">
        <v>38</v>
      </c>
      <c r="O7" s="5" t="s">
        <v>913</v>
      </c>
      <c r="P7" s="5" t="s">
        <v>38</v>
      </c>
      <c r="Q7" s="5" t="s">
        <v>240</v>
      </c>
      <c r="R7" s="5" t="s">
        <v>914</v>
      </c>
      <c r="S7" s="5" t="s">
        <v>208</v>
      </c>
      <c r="T7" s="5" t="s">
        <v>240</v>
      </c>
      <c r="U7" s="5" t="s">
        <v>208</v>
      </c>
      <c r="V7" s="5" t="s">
        <v>427</v>
      </c>
      <c r="W7" s="5" t="s">
        <v>38</v>
      </c>
      <c r="X7" s="5" t="s">
        <v>38</v>
      </c>
      <c r="Y7" s="5" t="s">
        <v>916</v>
      </c>
      <c r="Z7" s="5" t="s">
        <v>208</v>
      </c>
      <c r="AA7" s="5" t="s">
        <v>427</v>
      </c>
      <c r="AB7" s="5" t="s">
        <v>427</v>
      </c>
      <c r="AC7" s="5" t="s">
        <v>427</v>
      </c>
      <c r="AD7" s="5" t="s">
        <v>917</v>
      </c>
      <c r="AE7" s="5" t="s">
        <v>240</v>
      </c>
      <c r="AF7" s="5" t="s">
        <v>304</v>
      </c>
      <c r="AG7" s="5" t="s">
        <v>240</v>
      </c>
      <c r="AH7" s="5" t="s">
        <v>913</v>
      </c>
      <c r="AI7" s="5" t="s">
        <v>240</v>
      </c>
      <c r="AJ7" s="5" t="s">
        <v>38</v>
      </c>
      <c r="AK7" s="5" t="s">
        <v>240</v>
      </c>
      <c r="AL7" s="5" t="s">
        <v>240</v>
      </c>
    </row>
    <row r="8" ht="15.75" customHeight="1">
      <c r="A8" s="4">
        <v>7.0</v>
      </c>
      <c r="B8" s="5" t="s">
        <v>918</v>
      </c>
      <c r="C8" s="5" t="s">
        <v>1306</v>
      </c>
      <c r="D8" s="5" t="s">
        <v>1307</v>
      </c>
      <c r="E8" s="5" t="s">
        <v>922</v>
      </c>
      <c r="F8" s="5" t="s">
        <v>921</v>
      </c>
      <c r="G8" s="5" t="s">
        <v>922</v>
      </c>
      <c r="H8" s="5" t="s">
        <v>922</v>
      </c>
      <c r="I8" s="5" t="s">
        <v>922</v>
      </c>
      <c r="J8" s="5" t="s">
        <v>922</v>
      </c>
      <c r="K8" s="5" t="s">
        <v>921</v>
      </c>
      <c r="L8" s="5" t="s">
        <v>922</v>
      </c>
      <c r="M8" s="5" t="s">
        <v>921</v>
      </c>
      <c r="N8" s="5" t="s">
        <v>921</v>
      </c>
      <c r="O8" s="5" t="s">
        <v>922</v>
      </c>
      <c r="P8" s="5" t="s">
        <v>921</v>
      </c>
      <c r="Q8" s="5" t="s">
        <v>921</v>
      </c>
      <c r="R8" s="5" t="s">
        <v>921</v>
      </c>
      <c r="S8" s="5" t="s">
        <v>922</v>
      </c>
      <c r="T8" s="5" t="s">
        <v>1308</v>
      </c>
      <c r="U8" s="5" t="s">
        <v>922</v>
      </c>
      <c r="V8" s="5" t="s">
        <v>921</v>
      </c>
      <c r="W8" s="5" t="s">
        <v>921</v>
      </c>
      <c r="X8" s="5" t="s">
        <v>921</v>
      </c>
      <c r="Y8" s="5" t="s">
        <v>921</v>
      </c>
      <c r="Z8" s="5" t="s">
        <v>922</v>
      </c>
      <c r="AA8" s="5" t="s">
        <v>922</v>
      </c>
      <c r="AB8" s="5" t="s">
        <v>1309</v>
      </c>
      <c r="AC8" s="5" t="s">
        <v>922</v>
      </c>
      <c r="AD8" s="5" t="s">
        <v>921</v>
      </c>
      <c r="AE8" s="5" t="s">
        <v>921</v>
      </c>
      <c r="AF8" s="5" t="s">
        <v>921</v>
      </c>
      <c r="AG8" s="5" t="s">
        <v>921</v>
      </c>
      <c r="AH8" s="5" t="s">
        <v>922</v>
      </c>
      <c r="AI8" s="5" t="s">
        <v>921</v>
      </c>
      <c r="AJ8" s="5" t="s">
        <v>921</v>
      </c>
      <c r="AK8" s="5" t="s">
        <v>921</v>
      </c>
      <c r="AL8" s="5" t="s">
        <v>921</v>
      </c>
    </row>
    <row r="9" ht="15.75" customHeight="1">
      <c r="A9" s="4">
        <v>7.0</v>
      </c>
      <c r="B9" s="5" t="s">
        <v>437</v>
      </c>
      <c r="C9" s="5" t="s">
        <v>44</v>
      </c>
      <c r="D9" s="5" t="s">
        <v>1310</v>
      </c>
      <c r="E9" s="5" t="s">
        <v>948</v>
      </c>
      <c r="F9" s="5" t="s">
        <v>947</v>
      </c>
      <c r="G9" s="5" t="s">
        <v>949</v>
      </c>
      <c r="H9" s="5" t="s">
        <v>444</v>
      </c>
      <c r="I9" s="5" t="s">
        <v>444</v>
      </c>
      <c r="J9" s="5" t="s">
        <v>950</v>
      </c>
      <c r="K9" s="5" t="s">
        <v>1311</v>
      </c>
      <c r="L9" s="5" t="s">
        <v>953</v>
      </c>
      <c r="M9" s="5" t="s">
        <v>950</v>
      </c>
      <c r="N9" s="5" t="s">
        <v>953</v>
      </c>
      <c r="O9" s="5" t="s">
        <v>954</v>
      </c>
      <c r="P9" s="5" t="s">
        <v>955</v>
      </c>
      <c r="Q9" s="5" t="s">
        <v>219</v>
      </c>
      <c r="R9" s="5" t="s">
        <v>956</v>
      </c>
      <c r="S9" s="5" t="s">
        <v>56</v>
      </c>
      <c r="T9" s="5" t="s">
        <v>955</v>
      </c>
      <c r="U9" s="5" t="s">
        <v>56</v>
      </c>
      <c r="V9" s="5" t="s">
        <v>56</v>
      </c>
      <c r="W9" s="5" t="s">
        <v>54</v>
      </c>
      <c r="X9" s="5" t="s">
        <v>54</v>
      </c>
      <c r="Y9" s="5" t="s">
        <v>56</v>
      </c>
      <c r="Z9" s="5" t="s">
        <v>56</v>
      </c>
      <c r="AA9" s="5" t="s">
        <v>56</v>
      </c>
      <c r="AB9" s="5" t="s">
        <v>1312</v>
      </c>
      <c r="AC9" s="5" t="s">
        <v>959</v>
      </c>
      <c r="AD9" s="5" t="s">
        <v>955</v>
      </c>
      <c r="AE9" s="5" t="s">
        <v>955</v>
      </c>
      <c r="AF9" s="5" t="s">
        <v>959</v>
      </c>
      <c r="AG9" s="5" t="s">
        <v>955</v>
      </c>
      <c r="AH9" s="5" t="s">
        <v>959</v>
      </c>
      <c r="AI9" s="5" t="s">
        <v>955</v>
      </c>
      <c r="AJ9" s="5" t="s">
        <v>955</v>
      </c>
      <c r="AK9" s="5" t="s">
        <v>955</v>
      </c>
      <c r="AL9" s="5" t="s">
        <v>955</v>
      </c>
    </row>
    <row r="10" ht="15.75" customHeight="1">
      <c r="A10" s="4">
        <v>7.0</v>
      </c>
      <c r="B10" s="5" t="s">
        <v>223</v>
      </c>
      <c r="C10" s="5" t="s">
        <v>50</v>
      </c>
      <c r="D10" s="5" t="s">
        <v>1313</v>
      </c>
      <c r="E10" s="5" t="s">
        <v>950</v>
      </c>
      <c r="F10" s="5" t="s">
        <v>953</v>
      </c>
      <c r="G10" s="5" t="s">
        <v>1314</v>
      </c>
      <c r="H10" s="5" t="s">
        <v>1314</v>
      </c>
      <c r="I10" s="5" t="s">
        <v>950</v>
      </c>
      <c r="J10" s="5" t="s">
        <v>65</v>
      </c>
      <c r="K10" s="5" t="s">
        <v>66</v>
      </c>
      <c r="L10" s="5" t="s">
        <v>444</v>
      </c>
      <c r="M10" s="5" t="s">
        <v>65</v>
      </c>
      <c r="N10" s="5" t="s">
        <v>444</v>
      </c>
      <c r="O10" s="5" t="s">
        <v>444</v>
      </c>
      <c r="P10" s="5" t="s">
        <v>444</v>
      </c>
      <c r="Q10" s="5" t="s">
        <v>961</v>
      </c>
      <c r="R10" s="5" t="s">
        <v>444</v>
      </c>
      <c r="S10" s="5" t="s">
        <v>444</v>
      </c>
      <c r="T10" s="5" t="s">
        <v>444</v>
      </c>
      <c r="U10" s="5" t="s">
        <v>444</v>
      </c>
      <c r="V10" s="5" t="s">
        <v>961</v>
      </c>
      <c r="W10" s="5" t="s">
        <v>444</v>
      </c>
      <c r="X10" s="5" t="s">
        <v>444</v>
      </c>
      <c r="Y10" s="5" t="s">
        <v>444</v>
      </c>
      <c r="Z10" s="5" t="s">
        <v>444</v>
      </c>
      <c r="AA10" s="5" t="s">
        <v>444</v>
      </c>
      <c r="AB10" s="5" t="s">
        <v>444</v>
      </c>
      <c r="AC10" s="5" t="s">
        <v>444</v>
      </c>
      <c r="AD10" s="5" t="s">
        <v>444</v>
      </c>
      <c r="AE10" s="5" t="s">
        <v>444</v>
      </c>
      <c r="AF10" s="5" t="s">
        <v>444</v>
      </c>
      <c r="AG10" s="5" t="s">
        <v>444</v>
      </c>
      <c r="AH10" s="5" t="s">
        <v>444</v>
      </c>
      <c r="AI10" s="5" t="s">
        <v>444</v>
      </c>
      <c r="AJ10" s="5" t="s">
        <v>444</v>
      </c>
      <c r="AK10" s="5" t="s">
        <v>444</v>
      </c>
      <c r="AL10" s="5" t="s">
        <v>444</v>
      </c>
    </row>
    <row r="11" ht="15.75" customHeight="1">
      <c r="A11" s="4">
        <v>7.0</v>
      </c>
      <c r="B11" s="5" t="s">
        <v>43</v>
      </c>
      <c r="C11" s="5" t="s">
        <v>1315</v>
      </c>
      <c r="D11" s="5" t="s">
        <v>1316</v>
      </c>
      <c r="E11" s="5" t="s">
        <v>444</v>
      </c>
      <c r="F11" s="5" t="s">
        <v>444</v>
      </c>
      <c r="G11" s="5" t="s">
        <v>444</v>
      </c>
      <c r="H11" s="5" t="s">
        <v>444</v>
      </c>
      <c r="I11" s="5" t="s">
        <v>444</v>
      </c>
      <c r="J11" s="5" t="s">
        <v>444</v>
      </c>
      <c r="K11" s="5" t="s">
        <v>66</v>
      </c>
      <c r="L11" s="5" t="s">
        <v>444</v>
      </c>
      <c r="M11" s="5" t="s">
        <v>444</v>
      </c>
      <c r="N11" s="5" t="s">
        <v>444</v>
      </c>
      <c r="O11" s="5" t="s">
        <v>444</v>
      </c>
      <c r="P11" s="5" t="s">
        <v>444</v>
      </c>
      <c r="Q11" s="5" t="s">
        <v>961</v>
      </c>
      <c r="R11" s="5" t="s">
        <v>444</v>
      </c>
      <c r="S11" s="5" t="s">
        <v>444</v>
      </c>
      <c r="T11" s="5" t="s">
        <v>444</v>
      </c>
      <c r="U11" s="5" t="s">
        <v>444</v>
      </c>
      <c r="V11" s="5" t="s">
        <v>961</v>
      </c>
      <c r="W11" s="5" t="s">
        <v>444</v>
      </c>
      <c r="X11" s="5" t="s">
        <v>444</v>
      </c>
      <c r="Y11" s="5" t="s">
        <v>444</v>
      </c>
      <c r="Z11" s="5" t="s">
        <v>444</v>
      </c>
      <c r="AA11" s="5" t="s">
        <v>444</v>
      </c>
      <c r="AB11" s="5" t="s">
        <v>444</v>
      </c>
      <c r="AC11" s="5" t="s">
        <v>444</v>
      </c>
      <c r="AD11" s="5" t="s">
        <v>444</v>
      </c>
      <c r="AE11" s="5" t="s">
        <v>444</v>
      </c>
      <c r="AF11" s="5" t="s">
        <v>444</v>
      </c>
      <c r="AG11" s="5" t="s">
        <v>444</v>
      </c>
      <c r="AH11" s="5" t="s">
        <v>444</v>
      </c>
      <c r="AI11" s="5" t="s">
        <v>444</v>
      </c>
      <c r="AJ11" s="5" t="s">
        <v>444</v>
      </c>
      <c r="AK11" s="5" t="s">
        <v>444</v>
      </c>
      <c r="AL11" s="5" t="s">
        <v>444</v>
      </c>
    </row>
    <row r="12" ht="15.75" customHeight="1">
      <c r="A12" s="4">
        <v>7.0</v>
      </c>
      <c r="B12" s="5" t="s">
        <v>62</v>
      </c>
      <c r="C12" s="5" t="s">
        <v>1317</v>
      </c>
      <c r="D12" s="5" t="s">
        <v>1318</v>
      </c>
      <c r="E12" s="5" t="s">
        <v>444</v>
      </c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66</v>
      </c>
      <c r="L12" s="5" t="s">
        <v>47</v>
      </c>
      <c r="M12" s="5" t="s">
        <v>47</v>
      </c>
      <c r="N12" s="5" t="s">
        <v>444</v>
      </c>
      <c r="O12" s="5" t="s">
        <v>444</v>
      </c>
      <c r="P12" s="5" t="s">
        <v>444</v>
      </c>
      <c r="Q12" s="5" t="s">
        <v>961</v>
      </c>
      <c r="R12" s="5" t="s">
        <v>444</v>
      </c>
      <c r="S12" s="5" t="s">
        <v>444</v>
      </c>
      <c r="T12" s="5" t="s">
        <v>444</v>
      </c>
      <c r="U12" s="5" t="s">
        <v>444</v>
      </c>
      <c r="V12" s="5" t="s">
        <v>961</v>
      </c>
      <c r="W12" s="5" t="s">
        <v>444</v>
      </c>
      <c r="X12" s="5" t="s">
        <v>444</v>
      </c>
      <c r="Y12" s="5" t="s">
        <v>444</v>
      </c>
      <c r="Z12" s="5" t="s">
        <v>444</v>
      </c>
      <c r="AA12" s="5" t="s">
        <v>444</v>
      </c>
      <c r="AB12" s="5" t="s">
        <v>965</v>
      </c>
      <c r="AC12" s="5" t="s">
        <v>444</v>
      </c>
      <c r="AD12" s="5" t="s">
        <v>444</v>
      </c>
      <c r="AE12" s="5" t="s">
        <v>444</v>
      </c>
      <c r="AF12" s="5" t="s">
        <v>444</v>
      </c>
      <c r="AG12" s="5" t="s">
        <v>444</v>
      </c>
      <c r="AH12" s="5" t="s">
        <v>444</v>
      </c>
      <c r="AI12" s="5" t="s">
        <v>444</v>
      </c>
      <c r="AJ12" s="5" t="s">
        <v>444</v>
      </c>
      <c r="AK12" s="5" t="s">
        <v>444</v>
      </c>
      <c r="AL12" s="5" t="s">
        <v>444</v>
      </c>
    </row>
    <row r="13" ht="15.75" customHeight="1">
      <c r="A13" s="4">
        <v>7.0</v>
      </c>
      <c r="B13" s="5" t="s">
        <v>966</v>
      </c>
      <c r="C13" s="5" t="s">
        <v>1319</v>
      </c>
      <c r="D13" s="5" t="s">
        <v>1320</v>
      </c>
      <c r="E13" s="5" t="s">
        <v>444</v>
      </c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66</v>
      </c>
      <c r="L13" s="5" t="s">
        <v>47</v>
      </c>
      <c r="M13" s="5" t="s">
        <v>47</v>
      </c>
      <c r="N13" s="5" t="s">
        <v>444</v>
      </c>
      <c r="O13" s="5" t="s">
        <v>444</v>
      </c>
      <c r="P13" s="5" t="s">
        <v>444</v>
      </c>
      <c r="Q13" s="5" t="s">
        <v>961</v>
      </c>
      <c r="R13" s="5" t="s">
        <v>444</v>
      </c>
      <c r="S13" s="5" t="s">
        <v>444</v>
      </c>
      <c r="T13" s="5" t="s">
        <v>444</v>
      </c>
      <c r="U13" s="5" t="s">
        <v>444</v>
      </c>
      <c r="V13" s="5" t="s">
        <v>961</v>
      </c>
      <c r="W13" s="5" t="s">
        <v>444</v>
      </c>
      <c r="X13" s="5" t="s">
        <v>444</v>
      </c>
      <c r="Y13" s="5" t="s">
        <v>444</v>
      </c>
      <c r="Z13" s="5" t="s">
        <v>444</v>
      </c>
      <c r="AA13" s="5" t="s">
        <v>444</v>
      </c>
      <c r="AB13" s="5" t="s">
        <v>965</v>
      </c>
      <c r="AC13" s="5" t="s">
        <v>444</v>
      </c>
      <c r="AD13" s="5" t="s">
        <v>444</v>
      </c>
      <c r="AE13" s="5" t="s">
        <v>444</v>
      </c>
      <c r="AF13" s="5" t="s">
        <v>444</v>
      </c>
      <c r="AG13" s="5" t="s">
        <v>444</v>
      </c>
      <c r="AH13" s="5" t="s">
        <v>444</v>
      </c>
      <c r="AI13" s="5" t="s">
        <v>444</v>
      </c>
      <c r="AJ13" s="5" t="s">
        <v>444</v>
      </c>
      <c r="AK13" s="5" t="s">
        <v>444</v>
      </c>
      <c r="AL13" s="5" t="s">
        <v>444</v>
      </c>
    </row>
    <row r="14" ht="15.75" customHeight="1">
      <c r="A14" s="4">
        <v>7.0</v>
      </c>
      <c r="B14" s="5" t="s">
        <v>67</v>
      </c>
      <c r="C14" s="5" t="s">
        <v>1321</v>
      </c>
      <c r="D14" s="5" t="s">
        <v>1322</v>
      </c>
      <c r="E14" s="5" t="s">
        <v>444</v>
      </c>
      <c r="F14" s="5" t="s">
        <v>971</v>
      </c>
      <c r="G14" s="5" t="s">
        <v>444</v>
      </c>
      <c r="H14" s="5" t="s">
        <v>972</v>
      </c>
      <c r="I14" s="5" t="s">
        <v>131</v>
      </c>
      <c r="J14" s="5" t="s">
        <v>131</v>
      </c>
      <c r="K14" s="5" t="s">
        <v>1323</v>
      </c>
      <c r="L14" s="5" t="s">
        <v>47</v>
      </c>
      <c r="M14" s="5" t="s">
        <v>47</v>
      </c>
      <c r="N14" s="5" t="s">
        <v>444</v>
      </c>
      <c r="O14" s="5" t="s">
        <v>444</v>
      </c>
      <c r="P14" s="5" t="s">
        <v>444</v>
      </c>
      <c r="Q14" s="5" t="s">
        <v>1324</v>
      </c>
      <c r="R14" s="5" t="s">
        <v>444</v>
      </c>
      <c r="S14" s="5" t="s">
        <v>444</v>
      </c>
      <c r="T14" s="5" t="s">
        <v>444</v>
      </c>
      <c r="U14" s="5" t="s">
        <v>444</v>
      </c>
      <c r="V14" s="5" t="s">
        <v>1325</v>
      </c>
      <c r="W14" s="5" t="s">
        <v>444</v>
      </c>
      <c r="X14" s="5" t="s">
        <v>1326</v>
      </c>
      <c r="Y14" s="5" t="s">
        <v>1327</v>
      </c>
      <c r="Z14" s="5" t="s">
        <v>444</v>
      </c>
      <c r="AA14" s="5" t="s">
        <v>444</v>
      </c>
      <c r="AB14" s="5" t="s">
        <v>965</v>
      </c>
      <c r="AC14" s="5" t="s">
        <v>444</v>
      </c>
      <c r="AD14" s="5" t="s">
        <v>444</v>
      </c>
      <c r="AE14" s="5" t="s">
        <v>444</v>
      </c>
      <c r="AF14" s="5" t="s">
        <v>444</v>
      </c>
      <c r="AG14" s="5" t="s">
        <v>444</v>
      </c>
      <c r="AH14" s="5" t="s">
        <v>444</v>
      </c>
      <c r="AI14" s="5" t="s">
        <v>444</v>
      </c>
      <c r="AJ14" s="5" t="s">
        <v>444</v>
      </c>
      <c r="AK14" s="5" t="s">
        <v>444</v>
      </c>
      <c r="AL14" s="5" t="s">
        <v>444</v>
      </c>
    </row>
    <row r="15" ht="15.75" customHeight="1">
      <c r="A15" s="4">
        <v>7.0</v>
      </c>
      <c r="B15" s="5" t="s">
        <v>72</v>
      </c>
      <c r="C15" s="5" t="s">
        <v>1328</v>
      </c>
      <c r="D15" s="5" t="s">
        <v>1329</v>
      </c>
      <c r="E15" s="5" t="s">
        <v>980</v>
      </c>
      <c r="F15" s="5" t="s">
        <v>238</v>
      </c>
      <c r="G15" s="5" t="s">
        <v>980</v>
      </c>
      <c r="H15" s="5" t="s">
        <v>76</v>
      </c>
      <c r="I15" s="5" t="s">
        <v>981</v>
      </c>
      <c r="J15" s="5" t="s">
        <v>76</v>
      </c>
      <c r="K15" s="5" t="s">
        <v>1330</v>
      </c>
      <c r="L15" s="5" t="s">
        <v>77</v>
      </c>
      <c r="M15" s="5" t="s">
        <v>76</v>
      </c>
      <c r="N15" s="5" t="s">
        <v>77</v>
      </c>
      <c r="O15" s="5" t="s">
        <v>365</v>
      </c>
      <c r="P15" s="5" t="s">
        <v>77</v>
      </c>
      <c r="Q15" s="5" t="s">
        <v>77</v>
      </c>
      <c r="R15" s="5" t="s">
        <v>1331</v>
      </c>
      <c r="S15" s="5" t="s">
        <v>76</v>
      </c>
      <c r="T15" s="5" t="s">
        <v>77</v>
      </c>
      <c r="U15" s="5" t="s">
        <v>365</v>
      </c>
      <c r="V15" s="5" t="s">
        <v>365</v>
      </c>
      <c r="W15" s="5" t="s">
        <v>77</v>
      </c>
      <c r="X15" s="5" t="s">
        <v>77</v>
      </c>
      <c r="Y15" s="5" t="s">
        <v>1332</v>
      </c>
      <c r="Z15" s="5" t="s">
        <v>76</v>
      </c>
      <c r="AA15" s="5" t="s">
        <v>76</v>
      </c>
      <c r="AB15" s="5" t="s">
        <v>76</v>
      </c>
      <c r="AC15" s="5" t="s">
        <v>76</v>
      </c>
      <c r="AD15" s="5" t="s">
        <v>77</v>
      </c>
      <c r="AE15" s="5" t="s">
        <v>77</v>
      </c>
      <c r="AF15" s="5" t="s">
        <v>365</v>
      </c>
      <c r="AG15" s="5" t="s">
        <v>77</v>
      </c>
      <c r="AH15" s="5" t="s">
        <v>365</v>
      </c>
      <c r="AI15" s="5" t="s">
        <v>77</v>
      </c>
      <c r="AJ15" s="5" t="s">
        <v>77</v>
      </c>
      <c r="AK15" s="5" t="s">
        <v>77</v>
      </c>
      <c r="AL15" s="5" t="s">
        <v>77</v>
      </c>
    </row>
    <row r="16" ht="15.75" customHeight="1">
      <c r="A16" s="4">
        <v>7.0</v>
      </c>
      <c r="B16" s="5" t="s">
        <v>78</v>
      </c>
      <c r="C16" s="5" t="s">
        <v>1333</v>
      </c>
      <c r="D16" s="5" t="s">
        <v>1334</v>
      </c>
      <c r="E16" s="5" t="s">
        <v>470</v>
      </c>
      <c r="F16" s="5" t="s">
        <v>81</v>
      </c>
      <c r="G16" s="5" t="s">
        <v>247</v>
      </c>
      <c r="H16" s="5" t="s">
        <v>82</v>
      </c>
      <c r="I16" s="5" t="s">
        <v>989</v>
      </c>
      <c r="J16" s="5" t="s">
        <v>81</v>
      </c>
      <c r="K16" s="5" t="s">
        <v>990</v>
      </c>
      <c r="L16" s="5" t="s">
        <v>1335</v>
      </c>
      <c r="M16" s="5" t="s">
        <v>1336</v>
      </c>
      <c r="N16" s="5" t="s">
        <v>1337</v>
      </c>
      <c r="O16" s="5" t="s">
        <v>1338</v>
      </c>
      <c r="P16" s="5" t="s">
        <v>693</v>
      </c>
      <c r="Q16" s="5" t="s">
        <v>1339</v>
      </c>
      <c r="R16" s="5" t="s">
        <v>82</v>
      </c>
      <c r="S16" s="5" t="s">
        <v>993</v>
      </c>
      <c r="T16" s="5" t="s">
        <v>1340</v>
      </c>
      <c r="U16" s="5" t="s">
        <v>85</v>
      </c>
      <c r="V16" s="5" t="s">
        <v>245</v>
      </c>
      <c r="W16" s="5" t="s">
        <v>1337</v>
      </c>
      <c r="X16" s="5" t="s">
        <v>1341</v>
      </c>
      <c r="Y16" s="5" t="s">
        <v>469</v>
      </c>
      <c r="Z16" s="5" t="s">
        <v>81</v>
      </c>
      <c r="AA16" s="5" t="s">
        <v>994</v>
      </c>
      <c r="AB16" s="5" t="s">
        <v>245</v>
      </c>
      <c r="AC16" s="5" t="s">
        <v>85</v>
      </c>
      <c r="AD16" s="5" t="s">
        <v>1342</v>
      </c>
      <c r="AE16" s="5" t="s">
        <v>1343</v>
      </c>
      <c r="AF16" s="5" t="s">
        <v>1344</v>
      </c>
      <c r="AG16" s="5" t="s">
        <v>695</v>
      </c>
      <c r="AH16" s="5" t="s">
        <v>81</v>
      </c>
      <c r="AI16" s="5" t="s">
        <v>1345</v>
      </c>
      <c r="AJ16" s="5" t="s">
        <v>1346</v>
      </c>
      <c r="AK16" s="5" t="s">
        <v>1347</v>
      </c>
      <c r="AL16" s="5" t="s">
        <v>473</v>
      </c>
    </row>
    <row r="17" ht="15.75" customHeight="1">
      <c r="A17" s="4">
        <v>7.0</v>
      </c>
      <c r="B17" s="5" t="s">
        <v>101</v>
      </c>
      <c r="C17" s="5" t="s">
        <v>1348</v>
      </c>
      <c r="D17" s="6" t="s">
        <v>1349</v>
      </c>
      <c r="E17" s="5" t="s">
        <v>1024</v>
      </c>
      <c r="F17" s="5" t="s">
        <v>109</v>
      </c>
      <c r="G17" s="5" t="s">
        <v>1024</v>
      </c>
      <c r="H17" s="5" t="s">
        <v>1025</v>
      </c>
      <c r="I17" s="5" t="s">
        <v>1026</v>
      </c>
      <c r="J17" s="5" t="s">
        <v>251</v>
      </c>
      <c r="K17" s="5" t="s">
        <v>1350</v>
      </c>
      <c r="L17" s="5" t="s">
        <v>1351</v>
      </c>
      <c r="M17" s="5" t="s">
        <v>109</v>
      </c>
      <c r="N17" s="5" t="s">
        <v>1352</v>
      </c>
      <c r="O17" s="5" t="s">
        <v>108</v>
      </c>
      <c r="P17" s="5" t="s">
        <v>1353</v>
      </c>
      <c r="Q17" s="5" t="s">
        <v>1354</v>
      </c>
      <c r="R17" s="5" t="s">
        <v>1355</v>
      </c>
      <c r="S17" s="5" t="s">
        <v>1024</v>
      </c>
      <c r="T17" s="5" t="s">
        <v>1356</v>
      </c>
      <c r="U17" s="5" t="s">
        <v>257</v>
      </c>
      <c r="V17" s="5" t="s">
        <v>1357</v>
      </c>
      <c r="W17" s="5" t="s">
        <v>1028</v>
      </c>
      <c r="X17" s="5" t="s">
        <v>1358</v>
      </c>
      <c r="Y17" s="5" t="s">
        <v>1359</v>
      </c>
      <c r="Z17" s="5" t="s">
        <v>1360</v>
      </c>
      <c r="AA17" s="5" t="s">
        <v>1030</v>
      </c>
      <c r="AB17" s="5" t="s">
        <v>1361</v>
      </c>
      <c r="AC17" s="5" t="s">
        <v>1362</v>
      </c>
      <c r="AD17" s="5" t="s">
        <v>108</v>
      </c>
      <c r="AE17" s="5" t="s">
        <v>1030</v>
      </c>
      <c r="AF17" s="5" t="s">
        <v>1037</v>
      </c>
      <c r="AG17" s="5" t="s">
        <v>1030</v>
      </c>
      <c r="AH17" s="5" t="s">
        <v>1036</v>
      </c>
      <c r="AI17" s="5" t="s">
        <v>1363</v>
      </c>
      <c r="AJ17" s="5" t="s">
        <v>1356</v>
      </c>
      <c r="AK17" s="5" t="s">
        <v>1364</v>
      </c>
      <c r="AL17" s="5" t="s">
        <v>1364</v>
      </c>
    </row>
    <row r="18" ht="15.75" customHeight="1">
      <c r="A18" s="4">
        <v>7.0</v>
      </c>
      <c r="B18" s="5" t="s">
        <v>112</v>
      </c>
      <c r="C18" s="5" t="s">
        <v>1365</v>
      </c>
      <c r="D18" s="5" t="s">
        <v>1366</v>
      </c>
      <c r="E18" s="5" t="s">
        <v>1042</v>
      </c>
      <c r="F18" s="5" t="s">
        <v>1367</v>
      </c>
      <c r="G18" s="5" t="s">
        <v>1042</v>
      </c>
      <c r="H18" s="5" t="s">
        <v>115</v>
      </c>
      <c r="I18" s="5" t="s">
        <v>1042</v>
      </c>
      <c r="J18" s="5" t="s">
        <v>1042</v>
      </c>
      <c r="N18" s="5" t="s">
        <v>1368</v>
      </c>
      <c r="O18" s="5" t="s">
        <v>1369</v>
      </c>
      <c r="P18" s="5" t="s">
        <v>1045</v>
      </c>
      <c r="Q18" s="5" t="s">
        <v>1370</v>
      </c>
      <c r="R18" s="5" t="s">
        <v>1371</v>
      </c>
      <c r="S18" s="5" t="s">
        <v>1042</v>
      </c>
      <c r="T18" s="5" t="s">
        <v>1372</v>
      </c>
      <c r="U18" s="5" t="s">
        <v>1373</v>
      </c>
      <c r="V18" s="5" t="s">
        <v>1374</v>
      </c>
      <c r="W18" s="5" t="s">
        <v>115</v>
      </c>
      <c r="X18" s="5" t="s">
        <v>1371</v>
      </c>
      <c r="Y18" s="5" t="s">
        <v>1371</v>
      </c>
      <c r="Z18" s="5" t="s">
        <v>1042</v>
      </c>
      <c r="AA18" s="5" t="s">
        <v>1375</v>
      </c>
      <c r="AB18" s="5" t="s">
        <v>1376</v>
      </c>
      <c r="AC18" s="5" t="s">
        <v>1042</v>
      </c>
      <c r="AD18" s="5" t="s">
        <v>1367</v>
      </c>
      <c r="AE18" s="5" t="s">
        <v>1377</v>
      </c>
      <c r="AF18" s="5" t="s">
        <v>1371</v>
      </c>
      <c r="AG18" s="5" t="s">
        <v>1378</v>
      </c>
      <c r="AH18" s="5" t="s">
        <v>1379</v>
      </c>
      <c r="AI18" s="5" t="s">
        <v>1371</v>
      </c>
      <c r="AJ18" s="5" t="s">
        <v>1371</v>
      </c>
      <c r="AK18" s="5" t="s">
        <v>1380</v>
      </c>
      <c r="AL18" s="5" t="s">
        <v>115</v>
      </c>
    </row>
    <row r="19" ht="15.75" customHeight="1">
      <c r="A19" s="4">
        <v>7.0</v>
      </c>
      <c r="B19" s="5" t="s">
        <v>746</v>
      </c>
      <c r="C19" s="5" t="s">
        <v>1381</v>
      </c>
      <c r="D19" s="5" t="s">
        <v>1382</v>
      </c>
      <c r="I19" s="5" t="s">
        <v>1383</v>
      </c>
      <c r="J19" s="5" t="s">
        <v>1384</v>
      </c>
      <c r="K19" s="5" t="s">
        <v>1385</v>
      </c>
      <c r="L19" s="5" t="s">
        <v>1386</v>
      </c>
      <c r="M19" s="5" t="s">
        <v>1387</v>
      </c>
      <c r="N19" s="5" t="s">
        <v>1388</v>
      </c>
      <c r="O19" s="5" t="s">
        <v>1389</v>
      </c>
      <c r="P19" s="5" t="s">
        <v>1053</v>
      </c>
      <c r="Q19" s="5" t="s">
        <v>749</v>
      </c>
      <c r="R19" s="5" t="s">
        <v>749</v>
      </c>
      <c r="S19" s="5" t="s">
        <v>749</v>
      </c>
      <c r="T19" s="5" t="s">
        <v>1390</v>
      </c>
      <c r="U19" s="5" t="s">
        <v>1391</v>
      </c>
      <c r="V19" s="5" t="s">
        <v>1392</v>
      </c>
      <c r="W19" s="5" t="s">
        <v>1393</v>
      </c>
      <c r="X19" s="5" t="s">
        <v>1387</v>
      </c>
      <c r="Y19" s="5" t="s">
        <v>1387</v>
      </c>
      <c r="Z19" s="5" t="s">
        <v>1394</v>
      </c>
      <c r="AA19" s="5" t="s">
        <v>1395</v>
      </c>
      <c r="AB19" s="5" t="s">
        <v>1396</v>
      </c>
      <c r="AC19" s="5" t="s">
        <v>749</v>
      </c>
      <c r="AD19" s="5" t="s">
        <v>749</v>
      </c>
      <c r="AE19" s="5" t="s">
        <v>749</v>
      </c>
      <c r="AF19" s="5" t="s">
        <v>749</v>
      </c>
      <c r="AG19" s="5" t="s">
        <v>749</v>
      </c>
      <c r="AH19" s="5" t="s">
        <v>749</v>
      </c>
      <c r="AI19" s="5" t="s">
        <v>749</v>
      </c>
      <c r="AJ19" s="5" t="s">
        <v>1054</v>
      </c>
      <c r="AK19" s="5" t="s">
        <v>1397</v>
      </c>
      <c r="AL19" s="5" t="s">
        <v>749</v>
      </c>
    </row>
    <row r="20" ht="15.75" customHeight="1">
      <c r="A20" s="4">
        <v>7.0</v>
      </c>
      <c r="B20" s="5" t="s">
        <v>752</v>
      </c>
      <c r="C20" s="5" t="s">
        <v>1398</v>
      </c>
      <c r="D20" s="5" t="s">
        <v>1399</v>
      </c>
    </row>
    <row r="21" ht="15.75" customHeight="1">
      <c r="A21" s="4">
        <v>7.0</v>
      </c>
      <c r="B21" s="5" t="s">
        <v>1058</v>
      </c>
      <c r="C21" s="5" t="s">
        <v>1400</v>
      </c>
      <c r="D21" s="5" t="s">
        <v>1401</v>
      </c>
      <c r="K21" s="5" t="s">
        <v>1402</v>
      </c>
      <c r="V21" s="5" t="s">
        <v>902</v>
      </c>
    </row>
    <row r="22" ht="15.75" customHeight="1">
      <c r="A22" s="4">
        <v>7.0</v>
      </c>
      <c r="B22" s="5" t="s">
        <v>172</v>
      </c>
      <c r="C22" s="5" t="s">
        <v>1403</v>
      </c>
      <c r="D22" s="5" t="s">
        <v>1404</v>
      </c>
      <c r="E22" s="5" t="s">
        <v>444</v>
      </c>
      <c r="F22" s="5" t="s">
        <v>760</v>
      </c>
      <c r="G22" s="5" t="s">
        <v>1066</v>
      </c>
      <c r="H22" s="5" t="s">
        <v>1067</v>
      </c>
      <c r="I22" s="5" t="s">
        <v>1068</v>
      </c>
      <c r="J22" s="5" t="s">
        <v>1068</v>
      </c>
      <c r="K22" s="5" t="s">
        <v>761</v>
      </c>
      <c r="L22" s="5" t="s">
        <v>1070</v>
      </c>
      <c r="M22" s="5" t="s">
        <v>1405</v>
      </c>
      <c r="N22" s="5" t="s">
        <v>760</v>
      </c>
      <c r="O22" s="5" t="s">
        <v>1071</v>
      </c>
      <c r="P22" s="5" t="s">
        <v>1406</v>
      </c>
      <c r="Q22" s="5" t="s">
        <v>48</v>
      </c>
      <c r="R22" s="5" t="s">
        <v>444</v>
      </c>
      <c r="S22" s="5" t="s">
        <v>1068</v>
      </c>
      <c r="T22" s="5" t="s">
        <v>1407</v>
      </c>
      <c r="U22" s="5" t="s">
        <v>1068</v>
      </c>
      <c r="V22" s="5" t="s">
        <v>1408</v>
      </c>
      <c r="W22" s="5" t="s">
        <v>1409</v>
      </c>
      <c r="X22" s="5" t="s">
        <v>1410</v>
      </c>
      <c r="Y22" s="5" t="s">
        <v>1411</v>
      </c>
      <c r="Z22" s="5" t="s">
        <v>1075</v>
      </c>
      <c r="AA22" s="5" t="s">
        <v>1076</v>
      </c>
      <c r="AB22" s="5" t="s">
        <v>1412</v>
      </c>
      <c r="AC22" s="5" t="s">
        <v>444</v>
      </c>
      <c r="AD22" s="5" t="s">
        <v>444</v>
      </c>
      <c r="AE22" s="5" t="s">
        <v>444</v>
      </c>
      <c r="AF22" s="5" t="s">
        <v>444</v>
      </c>
      <c r="AG22" s="5" t="s">
        <v>444</v>
      </c>
      <c r="AH22" s="5" t="s">
        <v>444</v>
      </c>
      <c r="AI22" s="5" t="s">
        <v>444</v>
      </c>
      <c r="AJ22" s="5" t="s">
        <v>444</v>
      </c>
      <c r="AK22" s="5" t="s">
        <v>444</v>
      </c>
      <c r="AL22" s="5" t="s">
        <v>444</v>
      </c>
    </row>
    <row r="23" ht="15.75" customHeight="1">
      <c r="A23" s="4">
        <v>7.0</v>
      </c>
      <c r="B23" s="5" t="s">
        <v>267</v>
      </c>
      <c r="C23" s="5" t="s">
        <v>1413</v>
      </c>
      <c r="D23" s="5" t="s">
        <v>1414</v>
      </c>
      <c r="E23" s="5" t="s">
        <v>980</v>
      </c>
      <c r="F23" s="5" t="s">
        <v>238</v>
      </c>
      <c r="G23" s="5" t="s">
        <v>980</v>
      </c>
      <c r="H23" s="5" t="s">
        <v>271</v>
      </c>
      <c r="I23" s="5" t="s">
        <v>1079</v>
      </c>
      <c r="J23" s="5" t="s">
        <v>271</v>
      </c>
      <c r="K23" s="5" t="s">
        <v>238</v>
      </c>
      <c r="L23" s="5" t="s">
        <v>238</v>
      </c>
      <c r="M23" s="5" t="s">
        <v>76</v>
      </c>
      <c r="N23" s="5" t="s">
        <v>1415</v>
      </c>
      <c r="O23" s="5" t="s">
        <v>271</v>
      </c>
      <c r="P23" s="5" t="s">
        <v>1416</v>
      </c>
      <c r="Q23" s="5" t="s">
        <v>238</v>
      </c>
      <c r="R23" s="5" t="s">
        <v>1417</v>
      </c>
      <c r="S23" s="5" t="s">
        <v>271</v>
      </c>
      <c r="T23" s="5" t="s">
        <v>238</v>
      </c>
      <c r="U23" s="5" t="s">
        <v>271</v>
      </c>
      <c r="V23" s="5" t="s">
        <v>271</v>
      </c>
      <c r="W23" s="5" t="s">
        <v>238</v>
      </c>
      <c r="X23" s="5" t="s">
        <v>238</v>
      </c>
      <c r="Y23" s="5" t="s">
        <v>1418</v>
      </c>
      <c r="Z23" s="5" t="s">
        <v>271</v>
      </c>
      <c r="AA23" s="5" t="s">
        <v>271</v>
      </c>
      <c r="AB23" s="5" t="s">
        <v>271</v>
      </c>
      <c r="AC23" s="5" t="s">
        <v>271</v>
      </c>
      <c r="AD23" s="5" t="s">
        <v>238</v>
      </c>
      <c r="AE23" s="5" t="s">
        <v>238</v>
      </c>
      <c r="AF23" s="5" t="s">
        <v>273</v>
      </c>
      <c r="AG23" s="5" t="s">
        <v>238</v>
      </c>
      <c r="AH23" s="5" t="s">
        <v>273</v>
      </c>
      <c r="AI23" s="5" t="s">
        <v>238</v>
      </c>
      <c r="AJ23" s="5" t="s">
        <v>238</v>
      </c>
      <c r="AK23" s="5" t="s">
        <v>238</v>
      </c>
      <c r="AL23" s="5" t="s">
        <v>238</v>
      </c>
    </row>
    <row r="24" ht="15.75" customHeight="1">
      <c r="A24" s="4">
        <v>7.0</v>
      </c>
      <c r="B24" s="5" t="s">
        <v>284</v>
      </c>
      <c r="C24" s="5" t="s">
        <v>1419</v>
      </c>
      <c r="D24" s="5" t="s">
        <v>1420</v>
      </c>
      <c r="E24" s="5" t="s">
        <v>776</v>
      </c>
      <c r="F24" s="5" t="s">
        <v>776</v>
      </c>
      <c r="G24" s="5" t="s">
        <v>1085</v>
      </c>
      <c r="H24" s="5" t="s">
        <v>1086</v>
      </c>
      <c r="I24" s="5" t="s">
        <v>1087</v>
      </c>
      <c r="J24" s="5" t="s">
        <v>1088</v>
      </c>
      <c r="K24" s="5" t="s">
        <v>776</v>
      </c>
      <c r="L24" s="5" t="s">
        <v>1088</v>
      </c>
      <c r="M24" s="5" t="s">
        <v>776</v>
      </c>
      <c r="N24" s="5" t="s">
        <v>1421</v>
      </c>
      <c r="O24" s="5" t="s">
        <v>1088</v>
      </c>
      <c r="P24" s="5" t="s">
        <v>1422</v>
      </c>
      <c r="Q24" s="5" t="s">
        <v>1089</v>
      </c>
      <c r="R24" s="5" t="s">
        <v>1089</v>
      </c>
      <c r="S24" s="5" t="s">
        <v>1088</v>
      </c>
      <c r="T24" s="5" t="s">
        <v>776</v>
      </c>
      <c r="U24" s="5" t="s">
        <v>776</v>
      </c>
      <c r="V24" s="5" t="s">
        <v>776</v>
      </c>
      <c r="W24" s="5" t="s">
        <v>776</v>
      </c>
      <c r="X24" s="5" t="s">
        <v>776</v>
      </c>
      <c r="Y24" s="5" t="s">
        <v>776</v>
      </c>
      <c r="Z24" s="5" t="s">
        <v>776</v>
      </c>
      <c r="AA24" s="5" t="s">
        <v>776</v>
      </c>
      <c r="AB24" s="5" t="s">
        <v>1423</v>
      </c>
      <c r="AC24" s="5" t="s">
        <v>1088</v>
      </c>
      <c r="AD24" s="5" t="s">
        <v>776</v>
      </c>
      <c r="AE24" s="5" t="s">
        <v>776</v>
      </c>
      <c r="AF24" s="5" t="s">
        <v>776</v>
      </c>
      <c r="AG24" s="5" t="s">
        <v>776</v>
      </c>
      <c r="AH24" s="5" t="s">
        <v>776</v>
      </c>
      <c r="AI24" s="5" t="s">
        <v>776</v>
      </c>
      <c r="AJ24" s="5" t="s">
        <v>776</v>
      </c>
      <c r="AK24" s="5" t="s">
        <v>776</v>
      </c>
      <c r="AL24" s="5" t="s">
        <v>776</v>
      </c>
    </row>
    <row r="25" ht="15.75" customHeight="1">
      <c r="A25" s="4">
        <v>7.0</v>
      </c>
      <c r="B25" s="5" t="s">
        <v>274</v>
      </c>
      <c r="C25" s="5" t="s">
        <v>1424</v>
      </c>
      <c r="D25" s="5" t="s">
        <v>1425</v>
      </c>
      <c r="E25" s="5" t="s">
        <v>1092</v>
      </c>
      <c r="F25" s="5" t="s">
        <v>780</v>
      </c>
      <c r="G25" s="5" t="s">
        <v>277</v>
      </c>
      <c r="H25" s="5" t="s">
        <v>1025</v>
      </c>
      <c r="I25" s="5" t="s">
        <v>1093</v>
      </c>
      <c r="J25" s="5" t="s">
        <v>277</v>
      </c>
      <c r="K25" s="5" t="s">
        <v>780</v>
      </c>
      <c r="L25" s="5" t="s">
        <v>1094</v>
      </c>
      <c r="M25" s="5" t="s">
        <v>319</v>
      </c>
      <c r="N25" s="5" t="s">
        <v>1426</v>
      </c>
      <c r="O25" s="5" t="s">
        <v>1096</v>
      </c>
      <c r="P25" s="5" t="s">
        <v>1427</v>
      </c>
      <c r="Q25" s="5" t="s">
        <v>1428</v>
      </c>
      <c r="R25" s="5" t="s">
        <v>1429</v>
      </c>
      <c r="S25" s="5" t="s">
        <v>1092</v>
      </c>
      <c r="T25" s="5" t="s">
        <v>1430</v>
      </c>
      <c r="U25" s="5" t="s">
        <v>1252</v>
      </c>
      <c r="V25" s="5" t="s">
        <v>1431</v>
      </c>
      <c r="W25" s="5" t="s">
        <v>1432</v>
      </c>
      <c r="X25" s="5" t="s">
        <v>1433</v>
      </c>
      <c r="Y25" s="5" t="s">
        <v>1434</v>
      </c>
      <c r="Z25" s="5" t="s">
        <v>1435</v>
      </c>
      <c r="AA25" s="5" t="s">
        <v>780</v>
      </c>
      <c r="AB25" s="5" t="s">
        <v>1361</v>
      </c>
      <c r="AC25" s="5" t="s">
        <v>1103</v>
      </c>
      <c r="AD25" s="5" t="s">
        <v>1436</v>
      </c>
      <c r="AE25" s="5" t="s">
        <v>1437</v>
      </c>
      <c r="AF25" s="5" t="s">
        <v>1437</v>
      </c>
      <c r="AG25" s="5" t="s">
        <v>1437</v>
      </c>
      <c r="AH25" s="5" t="s">
        <v>1438</v>
      </c>
      <c r="AI25" s="5" t="s">
        <v>1437</v>
      </c>
      <c r="AJ25" s="5" t="s">
        <v>1105</v>
      </c>
      <c r="AK25" s="5" t="s">
        <v>1439</v>
      </c>
      <c r="AL25" s="5" t="s">
        <v>1439</v>
      </c>
    </row>
    <row r="26" ht="15.75" customHeight="1">
      <c r="A26" s="4">
        <v>7.0</v>
      </c>
      <c r="B26" s="5" t="s">
        <v>1146</v>
      </c>
      <c r="C26" s="5" t="s">
        <v>1440</v>
      </c>
      <c r="D26" s="5" t="s">
        <v>1441</v>
      </c>
      <c r="H26" s="5" t="s">
        <v>902</v>
      </c>
      <c r="K26" s="5" t="s">
        <v>1442</v>
      </c>
    </row>
    <row r="27" ht="15.75" customHeight="1">
      <c r="A27" s="4">
        <v>7.0</v>
      </c>
      <c r="B27" s="5" t="s">
        <v>309</v>
      </c>
      <c r="C27" s="5" t="s">
        <v>1443</v>
      </c>
      <c r="D27" s="5" t="s">
        <v>522</v>
      </c>
      <c r="E27" s="5" t="s">
        <v>980</v>
      </c>
      <c r="F27" s="5" t="s">
        <v>238</v>
      </c>
      <c r="G27" s="5" t="s">
        <v>1152</v>
      </c>
      <c r="H27" s="5" t="s">
        <v>271</v>
      </c>
      <c r="I27" s="5" t="s">
        <v>1153</v>
      </c>
      <c r="J27" s="5" t="s">
        <v>271</v>
      </c>
      <c r="K27" s="5" t="s">
        <v>238</v>
      </c>
      <c r="L27" s="5" t="s">
        <v>1154</v>
      </c>
      <c r="M27" s="5" t="s">
        <v>271</v>
      </c>
      <c r="N27" s="5" t="s">
        <v>238</v>
      </c>
      <c r="O27" s="5" t="s">
        <v>271</v>
      </c>
      <c r="P27" s="5" t="s">
        <v>238</v>
      </c>
      <c r="Q27" s="5" t="s">
        <v>238</v>
      </c>
      <c r="R27" s="5" t="s">
        <v>1444</v>
      </c>
      <c r="S27" s="5" t="s">
        <v>271</v>
      </c>
      <c r="T27" s="5" t="s">
        <v>238</v>
      </c>
      <c r="U27" s="5" t="s">
        <v>271</v>
      </c>
      <c r="V27" s="5" t="s">
        <v>271</v>
      </c>
      <c r="W27" s="5" t="s">
        <v>238</v>
      </c>
      <c r="X27" s="5" t="s">
        <v>1445</v>
      </c>
      <c r="Y27" s="5" t="s">
        <v>1446</v>
      </c>
      <c r="Z27" s="5" t="s">
        <v>271</v>
      </c>
      <c r="AA27" s="5" t="s">
        <v>271</v>
      </c>
      <c r="AB27" s="5" t="s">
        <v>271</v>
      </c>
      <c r="AC27" s="5" t="s">
        <v>271</v>
      </c>
      <c r="AD27" s="5" t="s">
        <v>238</v>
      </c>
      <c r="AE27" s="5" t="s">
        <v>238</v>
      </c>
      <c r="AF27" s="5" t="s">
        <v>273</v>
      </c>
      <c r="AG27" s="5" t="s">
        <v>238</v>
      </c>
      <c r="AH27" s="5" t="s">
        <v>273</v>
      </c>
      <c r="AI27" s="5" t="s">
        <v>238</v>
      </c>
      <c r="AJ27" s="5" t="s">
        <v>238</v>
      </c>
      <c r="AK27" s="5" t="s">
        <v>238</v>
      </c>
      <c r="AL27" s="5" t="s">
        <v>238</v>
      </c>
    </row>
    <row r="28" ht="15.75" customHeight="1">
      <c r="A28" s="4">
        <v>7.0</v>
      </c>
      <c r="B28" s="5" t="s">
        <v>314</v>
      </c>
      <c r="C28" s="5" t="s">
        <v>1447</v>
      </c>
      <c r="D28" s="5" t="s">
        <v>1448</v>
      </c>
      <c r="E28" s="5" t="s">
        <v>1092</v>
      </c>
      <c r="F28" s="5" t="s">
        <v>780</v>
      </c>
      <c r="G28" s="5" t="s">
        <v>277</v>
      </c>
      <c r="H28" s="5" t="s">
        <v>1159</v>
      </c>
      <c r="I28" s="5" t="s">
        <v>1093</v>
      </c>
      <c r="J28" s="5" t="s">
        <v>277</v>
      </c>
      <c r="K28" s="5" t="s">
        <v>780</v>
      </c>
      <c r="L28" s="5" t="s">
        <v>1160</v>
      </c>
      <c r="M28" s="5" t="s">
        <v>319</v>
      </c>
      <c r="N28" s="5" t="s">
        <v>1449</v>
      </c>
      <c r="O28" s="5" t="s">
        <v>1096</v>
      </c>
      <c r="P28" s="5" t="s">
        <v>1161</v>
      </c>
      <c r="Q28" s="5" t="s">
        <v>1428</v>
      </c>
      <c r="R28" s="5" t="s">
        <v>1450</v>
      </c>
      <c r="S28" s="5" t="s">
        <v>1092</v>
      </c>
      <c r="T28" s="5" t="s">
        <v>1430</v>
      </c>
      <c r="U28" s="5" t="s">
        <v>1252</v>
      </c>
      <c r="V28" s="5" t="s">
        <v>1431</v>
      </c>
      <c r="W28" s="5" t="s">
        <v>1432</v>
      </c>
      <c r="X28" s="5" t="s">
        <v>1451</v>
      </c>
      <c r="Y28" s="5" t="s">
        <v>1452</v>
      </c>
      <c r="Z28" s="5" t="s">
        <v>1435</v>
      </c>
      <c r="AA28" s="5" t="s">
        <v>780</v>
      </c>
      <c r="AB28" s="5" t="s">
        <v>1361</v>
      </c>
      <c r="AC28" s="5" t="s">
        <v>1103</v>
      </c>
      <c r="AD28" s="5" t="s">
        <v>1436</v>
      </c>
      <c r="AE28" s="5" t="s">
        <v>1437</v>
      </c>
      <c r="AF28" s="5" t="s">
        <v>1437</v>
      </c>
      <c r="AG28" s="5" t="s">
        <v>1437</v>
      </c>
      <c r="AH28" s="5" t="s">
        <v>1103</v>
      </c>
      <c r="AI28" s="5" t="s">
        <v>1437</v>
      </c>
      <c r="AJ28" s="5" t="s">
        <v>1105</v>
      </c>
      <c r="AK28" s="5" t="s">
        <v>1439</v>
      </c>
      <c r="AL28" s="5" t="s">
        <v>1439</v>
      </c>
    </row>
    <row r="29" ht="15.75" customHeight="1">
      <c r="A29" s="4">
        <v>7.0</v>
      </c>
      <c r="B29" s="5" t="s">
        <v>1453</v>
      </c>
      <c r="C29" s="5" t="s">
        <v>1454</v>
      </c>
      <c r="D29" s="5" t="s">
        <v>1455</v>
      </c>
      <c r="E29" s="5" t="s">
        <v>980</v>
      </c>
      <c r="F29" s="5" t="s">
        <v>238</v>
      </c>
      <c r="G29" s="5" t="s">
        <v>1152</v>
      </c>
      <c r="H29" s="5" t="s">
        <v>271</v>
      </c>
      <c r="I29" s="5" t="s">
        <v>1153</v>
      </c>
      <c r="J29" s="5" t="s">
        <v>271</v>
      </c>
      <c r="K29" s="5" t="s">
        <v>238</v>
      </c>
      <c r="L29" s="5" t="s">
        <v>1154</v>
      </c>
      <c r="M29" s="5" t="s">
        <v>271</v>
      </c>
      <c r="N29" s="5" t="s">
        <v>238</v>
      </c>
      <c r="O29" s="5" t="s">
        <v>271</v>
      </c>
      <c r="P29" s="5" t="s">
        <v>238</v>
      </c>
      <c r="Q29" s="5" t="s">
        <v>238</v>
      </c>
      <c r="R29" s="5" t="s">
        <v>1456</v>
      </c>
      <c r="S29" s="5" t="s">
        <v>271</v>
      </c>
      <c r="T29" s="5" t="s">
        <v>238</v>
      </c>
      <c r="U29" s="5" t="s">
        <v>271</v>
      </c>
      <c r="V29" s="5" t="s">
        <v>271</v>
      </c>
      <c r="W29" s="5" t="s">
        <v>238</v>
      </c>
      <c r="X29" s="5" t="s">
        <v>238</v>
      </c>
      <c r="Y29" s="5" t="s">
        <v>271</v>
      </c>
      <c r="Z29" s="5" t="s">
        <v>271</v>
      </c>
      <c r="AA29" s="5" t="s">
        <v>271</v>
      </c>
      <c r="AB29" s="5" t="s">
        <v>271</v>
      </c>
      <c r="AC29" s="5" t="s">
        <v>271</v>
      </c>
      <c r="AD29" s="5" t="s">
        <v>238</v>
      </c>
      <c r="AE29" s="5" t="s">
        <v>238</v>
      </c>
      <c r="AF29" s="5" t="s">
        <v>273</v>
      </c>
      <c r="AG29" s="5" t="s">
        <v>238</v>
      </c>
      <c r="AH29" s="5" t="s">
        <v>273</v>
      </c>
      <c r="AI29" s="5" t="s">
        <v>238</v>
      </c>
      <c r="AJ29" s="5" t="s">
        <v>238</v>
      </c>
      <c r="AK29" s="5" t="s">
        <v>238</v>
      </c>
      <c r="AL29" s="5" t="s">
        <v>238</v>
      </c>
    </row>
    <row r="30" ht="15.75" customHeight="1">
      <c r="A30" s="4">
        <v>7.0</v>
      </c>
      <c r="B30" s="5" t="s">
        <v>122</v>
      </c>
      <c r="C30" s="5" t="s">
        <v>1457</v>
      </c>
      <c r="D30" s="5" t="s">
        <v>1458</v>
      </c>
      <c r="E30" s="5" t="s">
        <v>1459</v>
      </c>
      <c r="F30" s="5" t="s">
        <v>566</v>
      </c>
      <c r="G30" s="5" t="s">
        <v>1460</v>
      </c>
      <c r="H30" s="5" t="s">
        <v>1461</v>
      </c>
      <c r="I30" s="5" t="s">
        <v>1170</v>
      </c>
      <c r="J30" s="5" t="s">
        <v>1462</v>
      </c>
      <c r="K30" s="5" t="s">
        <v>1173</v>
      </c>
      <c r="L30" s="5" t="s">
        <v>1174</v>
      </c>
      <c r="M30" s="5" t="s">
        <v>1463</v>
      </c>
      <c r="N30" s="5" t="s">
        <v>1464</v>
      </c>
      <c r="O30" s="5" t="s">
        <v>1465</v>
      </c>
      <c r="P30" s="5" t="s">
        <v>1177</v>
      </c>
      <c r="Q30" s="5" t="s">
        <v>1466</v>
      </c>
      <c r="R30" s="5" t="s">
        <v>1467</v>
      </c>
      <c r="S30" s="5" t="s">
        <v>1179</v>
      </c>
      <c r="T30" s="5" t="s">
        <v>1468</v>
      </c>
      <c r="U30" s="5" t="s">
        <v>1469</v>
      </c>
      <c r="V30" s="5" t="s">
        <v>1470</v>
      </c>
      <c r="W30" s="5" t="s">
        <v>1471</v>
      </c>
      <c r="X30" s="5" t="s">
        <v>1472</v>
      </c>
      <c r="Y30" s="5" t="s">
        <v>1473</v>
      </c>
      <c r="Z30" s="5" t="s">
        <v>1474</v>
      </c>
      <c r="AA30" s="5" t="s">
        <v>1475</v>
      </c>
      <c r="AB30" s="5" t="s">
        <v>1476</v>
      </c>
      <c r="AC30" s="5" t="s">
        <v>1188</v>
      </c>
      <c r="AD30" s="5" t="s">
        <v>1477</v>
      </c>
      <c r="AE30" s="5" t="s">
        <v>1478</v>
      </c>
      <c r="AF30" s="5" t="s">
        <v>1191</v>
      </c>
      <c r="AG30" s="5" t="s">
        <v>1479</v>
      </c>
      <c r="AH30" s="5" t="s">
        <v>1193</v>
      </c>
      <c r="AI30" s="5" t="s">
        <v>1480</v>
      </c>
      <c r="AJ30" s="5" t="s">
        <v>1195</v>
      </c>
      <c r="AK30" s="5" t="s">
        <v>1481</v>
      </c>
      <c r="AL30" s="5" t="s">
        <v>558</v>
      </c>
    </row>
    <row r="31" ht="15.75" customHeight="1">
      <c r="A31" s="4">
        <v>7.0</v>
      </c>
      <c r="B31" s="5" t="s">
        <v>139</v>
      </c>
      <c r="C31" s="5" t="s">
        <v>1482</v>
      </c>
      <c r="D31" s="5" t="s">
        <v>1483</v>
      </c>
      <c r="E31" s="5" t="s">
        <v>841</v>
      </c>
      <c r="F31" s="5" t="s">
        <v>240</v>
      </c>
      <c r="G31" s="5" t="s">
        <v>841</v>
      </c>
      <c r="H31" s="5" t="s">
        <v>1199</v>
      </c>
      <c r="I31" s="5" t="s">
        <v>1200</v>
      </c>
      <c r="J31" s="5" t="s">
        <v>561</v>
      </c>
      <c r="K31" s="5" t="s">
        <v>142</v>
      </c>
      <c r="L31" s="5" t="s">
        <v>1201</v>
      </c>
      <c r="M31" s="5" t="s">
        <v>1484</v>
      </c>
      <c r="N31" s="5" t="s">
        <v>240</v>
      </c>
      <c r="O31" s="5" t="s">
        <v>305</v>
      </c>
      <c r="P31" s="5" t="s">
        <v>238</v>
      </c>
      <c r="Q31" s="5" t="s">
        <v>238</v>
      </c>
      <c r="R31" s="5" t="s">
        <v>1485</v>
      </c>
      <c r="S31" s="5" t="s">
        <v>841</v>
      </c>
      <c r="T31" s="5" t="s">
        <v>142</v>
      </c>
      <c r="U31" s="5" t="s">
        <v>305</v>
      </c>
      <c r="V31" s="5" t="s">
        <v>305</v>
      </c>
      <c r="W31" s="5" t="s">
        <v>238</v>
      </c>
      <c r="X31" s="5" t="s">
        <v>238</v>
      </c>
      <c r="Y31" s="5" t="s">
        <v>1486</v>
      </c>
      <c r="Z31" s="5" t="s">
        <v>271</v>
      </c>
      <c r="AA31" s="5" t="s">
        <v>271</v>
      </c>
      <c r="AB31" s="5" t="s">
        <v>271</v>
      </c>
      <c r="AC31" s="5" t="s">
        <v>305</v>
      </c>
      <c r="AD31" s="5" t="s">
        <v>1487</v>
      </c>
      <c r="AE31" s="5" t="s">
        <v>1488</v>
      </c>
      <c r="AF31" s="5" t="s">
        <v>273</v>
      </c>
      <c r="AG31" s="5" t="s">
        <v>1203</v>
      </c>
      <c r="AH31" s="5" t="s">
        <v>305</v>
      </c>
      <c r="AI31" s="5" t="s">
        <v>1203</v>
      </c>
      <c r="AJ31" s="5" t="s">
        <v>1203</v>
      </c>
      <c r="AK31" s="5" t="s">
        <v>1203</v>
      </c>
      <c r="AL31" s="5" t="s">
        <v>1203</v>
      </c>
    </row>
    <row r="32" ht="15.75" customHeight="1">
      <c r="A32" s="4">
        <v>7.0</v>
      </c>
      <c r="B32" s="5" t="s">
        <v>162</v>
      </c>
      <c r="C32" s="5" t="s">
        <v>1489</v>
      </c>
      <c r="D32" s="5" t="s">
        <v>1490</v>
      </c>
      <c r="E32" s="5" t="s">
        <v>1211</v>
      </c>
      <c r="F32" s="5" t="s">
        <v>906</v>
      </c>
      <c r="G32" s="5" t="s">
        <v>1212</v>
      </c>
      <c r="H32" s="5" t="s">
        <v>1213</v>
      </c>
      <c r="I32" s="5" t="s">
        <v>1214</v>
      </c>
      <c r="J32" s="5" t="s">
        <v>1215</v>
      </c>
      <c r="K32" s="5" t="s">
        <v>1216</v>
      </c>
      <c r="L32" s="5" t="s">
        <v>1217</v>
      </c>
      <c r="M32" s="5" t="s">
        <v>1251</v>
      </c>
      <c r="N32" s="5" t="s">
        <v>1491</v>
      </c>
      <c r="O32" s="5" t="s">
        <v>1492</v>
      </c>
      <c r="P32" s="5" t="s">
        <v>1161</v>
      </c>
      <c r="Q32" s="5" t="s">
        <v>1428</v>
      </c>
      <c r="R32" s="5" t="s">
        <v>1493</v>
      </c>
      <c r="S32" s="5" t="s">
        <v>1223</v>
      </c>
      <c r="T32" s="5" t="s">
        <v>1251</v>
      </c>
      <c r="U32" s="5" t="s">
        <v>1252</v>
      </c>
      <c r="V32" s="5" t="s">
        <v>1494</v>
      </c>
      <c r="W32" s="5" t="s">
        <v>1495</v>
      </c>
      <c r="X32" s="5" t="s">
        <v>1496</v>
      </c>
      <c r="Y32" s="5" t="s">
        <v>1497</v>
      </c>
      <c r="Z32" s="5" t="s">
        <v>1435</v>
      </c>
      <c r="AA32" s="5" t="s">
        <v>780</v>
      </c>
      <c r="AB32" s="5" t="s">
        <v>1361</v>
      </c>
      <c r="AC32" s="5" t="s">
        <v>1227</v>
      </c>
      <c r="AD32" s="5" t="s">
        <v>1251</v>
      </c>
      <c r="AE32" s="5" t="s">
        <v>1251</v>
      </c>
      <c r="AF32" s="5" t="s">
        <v>902</v>
      </c>
      <c r="AG32" s="5" t="s">
        <v>1251</v>
      </c>
      <c r="AH32" s="5" t="s">
        <v>1498</v>
      </c>
      <c r="AI32" s="5" t="s">
        <v>1251</v>
      </c>
      <c r="AJ32" s="5" t="s">
        <v>1499</v>
      </c>
      <c r="AK32" s="5" t="s">
        <v>1439</v>
      </c>
      <c r="AL32" s="5" t="s">
        <v>1439</v>
      </c>
    </row>
    <row r="33" ht="15.75" customHeight="1">
      <c r="A33" s="4">
        <v>7.0</v>
      </c>
      <c r="B33" s="5" t="s">
        <v>1229</v>
      </c>
      <c r="C33" s="5" t="s">
        <v>1500</v>
      </c>
      <c r="D33" s="5" t="s">
        <v>1501</v>
      </c>
      <c r="H33" s="5" t="s">
        <v>902</v>
      </c>
      <c r="K33" s="5" t="s">
        <v>1237</v>
      </c>
    </row>
    <row r="34" ht="15.75" customHeight="1">
      <c r="A34" s="4">
        <v>7.0</v>
      </c>
      <c r="B34" s="5" t="s">
        <v>1502</v>
      </c>
      <c r="C34" s="5" t="s">
        <v>1503</v>
      </c>
      <c r="D34" s="5" t="s">
        <v>1504</v>
      </c>
      <c r="E34" s="5" t="s">
        <v>1505</v>
      </c>
      <c r="G34" s="5" t="s">
        <v>1505</v>
      </c>
      <c r="M34" s="5" t="s">
        <v>1506</v>
      </c>
      <c r="N34" s="5" t="s">
        <v>1507</v>
      </c>
      <c r="O34" s="5" t="s">
        <v>1508</v>
      </c>
      <c r="P34" s="5" t="s">
        <v>1509</v>
      </c>
      <c r="Q34" s="5" t="s">
        <v>1510</v>
      </c>
      <c r="S34" s="5" t="s">
        <v>1505</v>
      </c>
      <c r="T34" s="5" t="s">
        <v>1511</v>
      </c>
      <c r="U34" s="5" t="s">
        <v>1512</v>
      </c>
      <c r="V34" s="5" t="s">
        <v>1513</v>
      </c>
      <c r="W34" s="5" t="s">
        <v>1514</v>
      </c>
      <c r="X34" s="5" t="s">
        <v>1515</v>
      </c>
      <c r="Y34" s="5" t="s">
        <v>1515</v>
      </c>
      <c r="Z34" s="5" t="s">
        <v>1515</v>
      </c>
      <c r="AA34" s="5" t="s">
        <v>1516</v>
      </c>
      <c r="AB34" s="5" t="s">
        <v>1517</v>
      </c>
      <c r="AC34" s="5" t="s">
        <v>1512</v>
      </c>
      <c r="AD34" s="5" t="s">
        <v>1512</v>
      </c>
      <c r="AE34" s="5" t="s">
        <v>1512</v>
      </c>
      <c r="AF34" s="5" t="s">
        <v>1512</v>
      </c>
      <c r="AG34" s="5" t="s">
        <v>1518</v>
      </c>
      <c r="AH34" s="5" t="s">
        <v>1519</v>
      </c>
      <c r="AI34" s="5" t="s">
        <v>1520</v>
      </c>
      <c r="AJ34" s="5" t="s">
        <v>1521</v>
      </c>
      <c r="AK34" s="5" t="s">
        <v>1522</v>
      </c>
      <c r="AL34" s="5" t="s">
        <v>1522</v>
      </c>
    </row>
    <row r="35" ht="15.75" customHeight="1">
      <c r="A35" s="4">
        <v>7.0</v>
      </c>
      <c r="B35" s="5" t="s">
        <v>347</v>
      </c>
      <c r="C35" s="5" t="s">
        <v>1150</v>
      </c>
      <c r="D35" s="5" t="s">
        <v>1523</v>
      </c>
      <c r="E35" s="5" t="s">
        <v>841</v>
      </c>
      <c r="F35" s="5" t="s">
        <v>240</v>
      </c>
      <c r="G35" s="5" t="s">
        <v>76</v>
      </c>
      <c r="H35" s="5" t="s">
        <v>305</v>
      </c>
      <c r="I35" s="5" t="s">
        <v>1200</v>
      </c>
      <c r="J35" s="5" t="s">
        <v>305</v>
      </c>
      <c r="K35" s="5" t="s">
        <v>238</v>
      </c>
      <c r="L35" s="5" t="s">
        <v>1240</v>
      </c>
      <c r="M35" s="5" t="s">
        <v>271</v>
      </c>
      <c r="N35" s="5" t="s">
        <v>240</v>
      </c>
      <c r="O35" s="5" t="s">
        <v>305</v>
      </c>
      <c r="P35" s="5" t="s">
        <v>238</v>
      </c>
      <c r="Q35" s="5" t="s">
        <v>238</v>
      </c>
      <c r="R35" s="5" t="s">
        <v>1524</v>
      </c>
      <c r="S35" s="5" t="s">
        <v>271</v>
      </c>
      <c r="T35" s="5" t="s">
        <v>238</v>
      </c>
      <c r="U35" s="5" t="s">
        <v>271</v>
      </c>
      <c r="V35" s="5" t="s">
        <v>271</v>
      </c>
      <c r="W35" s="5" t="s">
        <v>238</v>
      </c>
      <c r="X35" s="5" t="s">
        <v>238</v>
      </c>
      <c r="Y35" s="5" t="s">
        <v>271</v>
      </c>
      <c r="Z35" s="5" t="s">
        <v>271</v>
      </c>
      <c r="AA35" s="5" t="s">
        <v>271</v>
      </c>
      <c r="AB35" s="5" t="s">
        <v>271</v>
      </c>
      <c r="AC35" s="5" t="s">
        <v>271</v>
      </c>
      <c r="AD35" s="5" t="s">
        <v>238</v>
      </c>
      <c r="AE35" s="5" t="s">
        <v>238</v>
      </c>
      <c r="AF35" s="5" t="s">
        <v>273</v>
      </c>
      <c r="AG35" s="5" t="s">
        <v>238</v>
      </c>
      <c r="AH35" s="5" t="s">
        <v>273</v>
      </c>
      <c r="AI35" s="5" t="s">
        <v>238</v>
      </c>
      <c r="AJ35" s="5" t="s">
        <v>238</v>
      </c>
      <c r="AK35" s="5" t="s">
        <v>238</v>
      </c>
      <c r="AL35" s="5" t="s">
        <v>238</v>
      </c>
    </row>
    <row r="36" ht="15.75" customHeight="1">
      <c r="A36" s="4">
        <v>7.0</v>
      </c>
      <c r="B36" s="5" t="s">
        <v>354</v>
      </c>
      <c r="C36" s="5" t="s">
        <v>1157</v>
      </c>
      <c r="D36" s="5" t="s">
        <v>1525</v>
      </c>
      <c r="E36" s="5" t="s">
        <v>1211</v>
      </c>
      <c r="F36" s="5" t="s">
        <v>906</v>
      </c>
      <c r="G36" s="5" t="s">
        <v>1245</v>
      </c>
      <c r="H36" s="5" t="s">
        <v>1213</v>
      </c>
      <c r="I36" s="5" t="s">
        <v>1214</v>
      </c>
      <c r="J36" s="5" t="s">
        <v>1246</v>
      </c>
      <c r="K36" s="5" t="s">
        <v>1247</v>
      </c>
      <c r="L36" s="5" t="s">
        <v>1248</v>
      </c>
      <c r="M36" s="5" t="s">
        <v>319</v>
      </c>
      <c r="N36" s="5" t="s">
        <v>824</v>
      </c>
      <c r="O36" s="5" t="s">
        <v>1103</v>
      </c>
      <c r="P36" s="5" t="s">
        <v>1161</v>
      </c>
      <c r="Q36" s="5" t="s">
        <v>1428</v>
      </c>
      <c r="R36" s="5" t="s">
        <v>1450</v>
      </c>
      <c r="S36" s="5" t="s">
        <v>1092</v>
      </c>
      <c r="T36" s="5" t="s">
        <v>780</v>
      </c>
      <c r="U36" s="5" t="s">
        <v>1252</v>
      </c>
      <c r="V36" s="5" t="s">
        <v>1494</v>
      </c>
      <c r="W36" s="5" t="s">
        <v>780</v>
      </c>
      <c r="X36" s="5" t="s">
        <v>1526</v>
      </c>
      <c r="Y36" s="5" t="s">
        <v>1527</v>
      </c>
      <c r="Z36" s="5" t="s">
        <v>1435</v>
      </c>
      <c r="AA36" s="5" t="s">
        <v>780</v>
      </c>
      <c r="AB36" s="5" t="s">
        <v>1361</v>
      </c>
      <c r="AC36" s="5" t="s">
        <v>1103</v>
      </c>
      <c r="AD36" s="5" t="s">
        <v>1251</v>
      </c>
      <c r="AE36" s="5" t="s">
        <v>1251</v>
      </c>
      <c r="AF36" s="5" t="s">
        <v>1251</v>
      </c>
      <c r="AG36" s="5" t="s">
        <v>1251</v>
      </c>
      <c r="AH36" s="5" t="s">
        <v>1498</v>
      </c>
      <c r="AI36" s="5" t="s">
        <v>1251</v>
      </c>
      <c r="AJ36" s="5" t="s">
        <v>1105</v>
      </c>
      <c r="AK36" s="5" t="s">
        <v>1439</v>
      </c>
      <c r="AL36" s="5" t="s">
        <v>1439</v>
      </c>
    </row>
    <row r="37" ht="15.75" customHeight="1">
      <c r="A37" s="4">
        <v>7.0</v>
      </c>
      <c r="B37" s="5" t="s">
        <v>590</v>
      </c>
      <c r="C37" s="5" t="s">
        <v>1528</v>
      </c>
      <c r="D37" s="5" t="s">
        <v>1529</v>
      </c>
      <c r="E37" s="5" t="s">
        <v>444</v>
      </c>
      <c r="F37" s="5" t="s">
        <v>444</v>
      </c>
      <c r="G37" s="5" t="s">
        <v>444</v>
      </c>
      <c r="H37" s="5" t="s">
        <v>444</v>
      </c>
      <c r="I37" s="5" t="s">
        <v>444</v>
      </c>
      <c r="J37" s="5" t="s">
        <v>444</v>
      </c>
      <c r="K37" s="5" t="s">
        <v>66</v>
      </c>
      <c r="L37" s="5" t="s">
        <v>444</v>
      </c>
      <c r="M37" s="5" t="s">
        <v>444</v>
      </c>
      <c r="N37" s="5" t="s">
        <v>444</v>
      </c>
      <c r="O37" s="5" t="s">
        <v>444</v>
      </c>
      <c r="P37" s="5" t="s">
        <v>444</v>
      </c>
      <c r="Q37" s="5" t="s">
        <v>48</v>
      </c>
      <c r="R37" s="5" t="s">
        <v>444</v>
      </c>
      <c r="S37" s="5" t="s">
        <v>444</v>
      </c>
      <c r="T37" s="5" t="s">
        <v>444</v>
      </c>
      <c r="U37" s="5" t="s">
        <v>444</v>
      </c>
      <c r="V37" s="5" t="s">
        <v>961</v>
      </c>
      <c r="W37" s="5" t="s">
        <v>444</v>
      </c>
      <c r="X37" s="5" t="s">
        <v>444</v>
      </c>
      <c r="Y37" s="5" t="s">
        <v>444</v>
      </c>
      <c r="Z37" s="5" t="s">
        <v>444</v>
      </c>
      <c r="AA37" s="5" t="s">
        <v>444</v>
      </c>
      <c r="AB37" s="5" t="s">
        <v>965</v>
      </c>
      <c r="AC37" s="5" t="s">
        <v>444</v>
      </c>
      <c r="AD37" s="5" t="s">
        <v>444</v>
      </c>
      <c r="AE37" s="5" t="s">
        <v>444</v>
      </c>
      <c r="AF37" s="5" t="s">
        <v>444</v>
      </c>
      <c r="AG37" s="5" t="s">
        <v>444</v>
      </c>
      <c r="AH37" s="5" t="s">
        <v>444</v>
      </c>
      <c r="AI37" s="5" t="s">
        <v>444</v>
      </c>
      <c r="AJ37" s="5" t="s">
        <v>444</v>
      </c>
      <c r="AK37" s="5" t="s">
        <v>444</v>
      </c>
      <c r="AL37" s="5" t="s">
        <v>444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75"/>
    <col customWidth="1" min="3" max="3" width="17.0"/>
    <col customWidth="1" min="4" max="4" width="16.5"/>
    <col customWidth="1" min="5" max="5" width="40.88"/>
  </cols>
  <sheetData>
    <row r="3">
      <c r="A3" s="7" t="str">
        <f>IFERROR(__xludf.DUMMYFUNCTION("ARRAYFORMULA(
  QUERY(
    SPLIT(
      FLATTEN(
        'R7_indigenization'!E1:AL1 &amp; ""♦"" &amp; 
        'R7_indigenization'!A2:A1582 &amp; ""♦"" &amp; 
        'R7_indigenization'!B2:B1582 &amp; ""♦"" &amp; 
        'R7_indigenization'!C2:C1582 &amp; ""♦"" &amp; 
        'R7_indi"&amp;"genization'!D2:D1582 &amp; ""♦"" &amp; 
        'R7_indigenization'!E2:AL1582
      ),
      ""♦""
    ),
    ""SELECT * WHERE Col6 IS NOT NULL"",
    1
  )
)"),"BENIN")</f>
        <v>BENIN</v>
      </c>
      <c r="B3" s="7" t="str">
        <f>IFERROR(__xludf.DUMMYFUNCTION("""COMPUTED_VALUE"""),"7")</f>
        <v>7</v>
      </c>
      <c r="C3" s="7" t="str">
        <f>IFERROR(__xludf.DUMMYFUNCTION("""COMPUTED_VALUE"""),"A_10_33")</f>
        <v>A_10_33</v>
      </c>
      <c r="D3" s="7" t="str">
        <f>IFERROR(__xludf.DUMMYFUNCTION("""COMPUTED_VALUE"""),"Q22")</f>
        <v>Q22</v>
      </c>
      <c r="E3" s="7" t="str">
        <f>IFERROR(__xludf.DUMMYFUNCTION("""COMPUTED_VALUE"""),"Q22. Voting in the most recent national election")</f>
        <v>Q22. Voting in the most recent national election</v>
      </c>
      <c r="F3" s="7" t="str">
        <f>IFERROR(__xludf.DUMMYFUNCTION("""COMPUTED_VALUE"""),"2016")</f>
        <v>2016</v>
      </c>
    </row>
    <row r="4">
      <c r="A4" s="7" t="str">
        <f>IFERROR(__xludf.DUMMYFUNCTION("""COMPUTED_VALUE"""),"BOTSWANA")</f>
        <v>BOTSWANA</v>
      </c>
      <c r="B4" s="7">
        <f>IFERROR(__xludf.DUMMYFUNCTION("""COMPUTED_VALUE"""),7.0)</f>
        <v>7</v>
      </c>
      <c r="C4" s="7" t="str">
        <f>IFERROR(__xludf.DUMMYFUNCTION("""COMPUTED_VALUE"""),"A_10_33")</f>
        <v>A_10_33</v>
      </c>
      <c r="D4" s="7" t="str">
        <f>IFERROR(__xludf.DUMMYFUNCTION("""COMPUTED_VALUE"""),"Q22")</f>
        <v>Q22</v>
      </c>
      <c r="E4" s="7" t="str">
        <f>IFERROR(__xludf.DUMMYFUNCTION("""COMPUTED_VALUE"""),"Q22. Voting in the most recent national election")</f>
        <v>Q22. Voting in the most recent national election</v>
      </c>
      <c r="F4" s="7" t="str">
        <f>IFERROR(__xludf.DUMMYFUNCTION("""COMPUTED_VALUE"""),"2014")</f>
        <v>2014</v>
      </c>
    </row>
    <row r="5">
      <c r="A5" s="7" t="str">
        <f>IFERROR(__xludf.DUMMYFUNCTION("""COMPUTED_VALUE"""),"BURKINA FASO")</f>
        <v>BURKINA FASO</v>
      </c>
      <c r="B5" s="7">
        <f>IFERROR(__xludf.DUMMYFUNCTION("""COMPUTED_VALUE"""),7.0)</f>
        <v>7</v>
      </c>
      <c r="C5" s="7" t="str">
        <f>IFERROR(__xludf.DUMMYFUNCTION("""COMPUTED_VALUE"""),"A_10_33")</f>
        <v>A_10_33</v>
      </c>
      <c r="D5" s="7" t="str">
        <f>IFERROR(__xludf.DUMMYFUNCTION("""COMPUTED_VALUE"""),"Q22")</f>
        <v>Q22</v>
      </c>
      <c r="E5" s="7" t="str">
        <f>IFERROR(__xludf.DUMMYFUNCTION("""COMPUTED_VALUE"""),"Q22. Voting in the most recent national election")</f>
        <v>Q22. Voting in the most recent national election</v>
      </c>
      <c r="F5" s="7" t="str">
        <f>IFERROR(__xludf.DUMMYFUNCTION("""COMPUTED_VALUE"""),"2015")</f>
        <v>2015</v>
      </c>
    </row>
    <row r="6">
      <c r="A6" s="7" t="str">
        <f>IFERROR(__xludf.DUMMYFUNCTION("""COMPUTED_VALUE"""),"CABO VERDE")</f>
        <v>CABO VERDE</v>
      </c>
      <c r="B6" s="7">
        <f>IFERROR(__xludf.DUMMYFUNCTION("""COMPUTED_VALUE"""),7.0)</f>
        <v>7</v>
      </c>
      <c r="C6" s="7" t="str">
        <f>IFERROR(__xludf.DUMMYFUNCTION("""COMPUTED_VALUE"""),"A_10_33")</f>
        <v>A_10_33</v>
      </c>
      <c r="D6" s="7" t="str">
        <f>IFERROR(__xludf.DUMMYFUNCTION("""COMPUTED_VALUE"""),"Q22")</f>
        <v>Q22</v>
      </c>
      <c r="E6" s="7" t="str">
        <f>IFERROR(__xludf.DUMMYFUNCTION("""COMPUTED_VALUE"""),"Q22. Voting in the most recent national election")</f>
        <v>Q22. Voting in the most recent national election</v>
      </c>
      <c r="F6" s="7" t="str">
        <f>IFERROR(__xludf.DUMMYFUNCTION("""COMPUTED_VALUE"""),"2016")</f>
        <v>2016</v>
      </c>
    </row>
    <row r="7">
      <c r="A7" s="7" t="str">
        <f>IFERROR(__xludf.DUMMYFUNCTION("""COMPUTED_VALUE"""),"CAMEROON")</f>
        <v>CAMEROON</v>
      </c>
      <c r="B7" s="7">
        <f>IFERROR(__xludf.DUMMYFUNCTION("""COMPUTED_VALUE"""),7.0)</f>
        <v>7</v>
      </c>
      <c r="C7" s="7" t="str">
        <f>IFERROR(__xludf.DUMMYFUNCTION("""COMPUTED_VALUE"""),"A_10_33")</f>
        <v>A_10_33</v>
      </c>
      <c r="D7" s="7" t="str">
        <f>IFERROR(__xludf.DUMMYFUNCTION("""COMPUTED_VALUE"""),"Q22")</f>
        <v>Q22</v>
      </c>
      <c r="E7" s="7" t="str">
        <f>IFERROR(__xludf.DUMMYFUNCTION("""COMPUTED_VALUE"""),"Q22. Voting in the most recent national election")</f>
        <v>Q22. Voting in the most recent national election</v>
      </c>
      <c r="F7" s="7" t="str">
        <f>IFERROR(__xludf.DUMMYFUNCTION("""COMPUTED_VALUE"""),"2013")</f>
        <v>2013</v>
      </c>
    </row>
    <row r="8">
      <c r="A8" s="7" t="str">
        <f>IFERROR(__xludf.DUMMYFUNCTION("""COMPUTED_VALUE"""),"COTE D'IVOIRE")</f>
        <v>COTE D'IVOIRE</v>
      </c>
      <c r="B8" s="7">
        <f>IFERROR(__xludf.DUMMYFUNCTION("""COMPUTED_VALUE"""),7.0)</f>
        <v>7</v>
      </c>
      <c r="C8" s="7" t="str">
        <f>IFERROR(__xludf.DUMMYFUNCTION("""COMPUTED_VALUE"""),"A_10_33")</f>
        <v>A_10_33</v>
      </c>
      <c r="D8" s="7" t="str">
        <f>IFERROR(__xludf.DUMMYFUNCTION("""COMPUTED_VALUE"""),"Q22")</f>
        <v>Q22</v>
      </c>
      <c r="E8" s="7" t="str">
        <f>IFERROR(__xludf.DUMMYFUNCTION("""COMPUTED_VALUE"""),"Q22. Voting in the most recent national election")</f>
        <v>Q22. Voting in the most recent national election</v>
      </c>
      <c r="F8" s="7" t="str">
        <f>IFERROR(__xludf.DUMMYFUNCTION("""COMPUTED_VALUE"""),"2016")</f>
        <v>2016</v>
      </c>
    </row>
    <row r="9">
      <c r="A9" s="7" t="str">
        <f>IFERROR(__xludf.DUMMYFUNCTION("""COMPUTED_VALUE"""),"ESWATINI")</f>
        <v>ESWATINI</v>
      </c>
      <c r="B9" s="7">
        <f>IFERROR(__xludf.DUMMYFUNCTION("""COMPUTED_VALUE"""),7.0)</f>
        <v>7</v>
      </c>
      <c r="C9" s="7" t="str">
        <f>IFERROR(__xludf.DUMMYFUNCTION("""COMPUTED_VALUE"""),"A_10_33")</f>
        <v>A_10_33</v>
      </c>
      <c r="D9" s="7" t="str">
        <f>IFERROR(__xludf.DUMMYFUNCTION("""COMPUTED_VALUE"""),"Q22")</f>
        <v>Q22</v>
      </c>
      <c r="E9" s="7" t="str">
        <f>IFERROR(__xludf.DUMMYFUNCTION("""COMPUTED_VALUE"""),"Q22. Voting in the most recent national election")</f>
        <v>Q22. Voting in the most recent national election</v>
      </c>
      <c r="F9" s="7" t="str">
        <f>IFERROR(__xludf.DUMMYFUNCTION("""COMPUTED_VALUE"""),"2013")</f>
        <v>2013</v>
      </c>
    </row>
    <row r="10">
      <c r="A10" s="7" t="str">
        <f>IFERROR(__xludf.DUMMYFUNCTION("""COMPUTED_VALUE"""),"GABON")</f>
        <v>GABON</v>
      </c>
      <c r="B10" s="7">
        <f>IFERROR(__xludf.DUMMYFUNCTION("""COMPUTED_VALUE"""),7.0)</f>
        <v>7</v>
      </c>
      <c r="C10" s="7" t="str">
        <f>IFERROR(__xludf.DUMMYFUNCTION("""COMPUTED_VALUE"""),"A_10_33")</f>
        <v>A_10_33</v>
      </c>
      <c r="D10" s="7" t="str">
        <f>IFERROR(__xludf.DUMMYFUNCTION("""COMPUTED_VALUE"""),"Q22")</f>
        <v>Q22</v>
      </c>
      <c r="E10" s="7" t="str">
        <f>IFERROR(__xludf.DUMMYFUNCTION("""COMPUTED_VALUE"""),"Q22. Voting in the most recent national election")</f>
        <v>Q22. Voting in the most recent national election</v>
      </c>
      <c r="F10" s="7" t="str">
        <f>IFERROR(__xludf.DUMMYFUNCTION("""COMPUTED_VALUE"""),"2016")</f>
        <v>2016</v>
      </c>
    </row>
    <row r="11">
      <c r="A11" s="7" t="str">
        <f>IFERROR(__xludf.DUMMYFUNCTION("""COMPUTED_VALUE"""),"GAMBIA")</f>
        <v>GAMBIA</v>
      </c>
      <c r="B11" s="7">
        <f>IFERROR(__xludf.DUMMYFUNCTION("""COMPUTED_VALUE"""),7.0)</f>
        <v>7</v>
      </c>
      <c r="C11" s="7" t="str">
        <f>IFERROR(__xludf.DUMMYFUNCTION("""COMPUTED_VALUE"""),"A_10_33")</f>
        <v>A_10_33</v>
      </c>
      <c r="D11" s="7" t="str">
        <f>IFERROR(__xludf.DUMMYFUNCTION("""COMPUTED_VALUE"""),"Q22")</f>
        <v>Q22</v>
      </c>
      <c r="E11" s="7" t="str">
        <f>IFERROR(__xludf.DUMMYFUNCTION("""COMPUTED_VALUE"""),"Q22. Voting in the most recent national election")</f>
        <v>Q22. Voting in the most recent national election</v>
      </c>
      <c r="F11" s="7" t="str">
        <f>IFERROR(__xludf.DUMMYFUNCTION("""COMPUTED_VALUE"""),"2017")</f>
        <v>2017</v>
      </c>
    </row>
    <row r="12">
      <c r="A12" s="7" t="str">
        <f>IFERROR(__xludf.DUMMYFUNCTION("""COMPUTED_VALUE"""),"GHANA")</f>
        <v>GHANA</v>
      </c>
      <c r="B12" s="7">
        <f>IFERROR(__xludf.DUMMYFUNCTION("""COMPUTED_VALUE"""),7.0)</f>
        <v>7</v>
      </c>
      <c r="C12" s="7" t="str">
        <f>IFERROR(__xludf.DUMMYFUNCTION("""COMPUTED_VALUE"""),"A_10_33")</f>
        <v>A_10_33</v>
      </c>
      <c r="D12" s="7" t="str">
        <f>IFERROR(__xludf.DUMMYFUNCTION("""COMPUTED_VALUE"""),"Q22")</f>
        <v>Q22</v>
      </c>
      <c r="E12" s="7" t="str">
        <f>IFERROR(__xludf.DUMMYFUNCTION("""COMPUTED_VALUE"""),"Q22. Voting in the most recent national election")</f>
        <v>Q22. Voting in the most recent national election</v>
      </c>
      <c r="F12" s="7" t="str">
        <f>IFERROR(__xludf.DUMMYFUNCTION("""COMPUTED_VALUE"""),"2016")</f>
        <v>2016</v>
      </c>
    </row>
    <row r="13">
      <c r="A13" s="7" t="str">
        <f>IFERROR(__xludf.DUMMYFUNCTION("""COMPUTED_VALUE"""),"GUINEA")</f>
        <v>GUINEA</v>
      </c>
      <c r="B13" s="7">
        <f>IFERROR(__xludf.DUMMYFUNCTION("""COMPUTED_VALUE"""),7.0)</f>
        <v>7</v>
      </c>
      <c r="C13" s="7" t="str">
        <f>IFERROR(__xludf.DUMMYFUNCTION("""COMPUTED_VALUE"""),"A_10_33")</f>
        <v>A_10_33</v>
      </c>
      <c r="D13" s="7" t="str">
        <f>IFERROR(__xludf.DUMMYFUNCTION("""COMPUTED_VALUE"""),"Q22")</f>
        <v>Q22</v>
      </c>
      <c r="E13" s="7" t="str">
        <f>IFERROR(__xludf.DUMMYFUNCTION("""COMPUTED_VALUE"""),"Q22. Voting in the most recent national election")</f>
        <v>Q22. Voting in the most recent national election</v>
      </c>
      <c r="F13" s="7" t="str">
        <f>IFERROR(__xludf.DUMMYFUNCTION("""COMPUTED_VALUE"""),"2015")</f>
        <v>2015</v>
      </c>
    </row>
    <row r="14">
      <c r="A14" s="7" t="str">
        <f>IFERROR(__xludf.DUMMYFUNCTION("""COMPUTED_VALUE"""),"KENYA")</f>
        <v>KENYA</v>
      </c>
      <c r="B14" s="7">
        <f>IFERROR(__xludf.DUMMYFUNCTION("""COMPUTED_VALUE"""),7.0)</f>
        <v>7</v>
      </c>
      <c r="C14" s="7" t="str">
        <f>IFERROR(__xludf.DUMMYFUNCTION("""COMPUTED_VALUE"""),"A_10_33")</f>
        <v>A_10_33</v>
      </c>
      <c r="D14" s="7" t="str">
        <f>IFERROR(__xludf.DUMMYFUNCTION("""COMPUTED_VALUE"""),"Q22")</f>
        <v>Q22</v>
      </c>
      <c r="E14" s="7" t="str">
        <f>IFERROR(__xludf.DUMMYFUNCTION("""COMPUTED_VALUE"""),"Q22. Voting in the most recent national election")</f>
        <v>Q22. Voting in the most recent national election</v>
      </c>
      <c r="F14" s="7" t="str">
        <f>IFERROR(__xludf.DUMMYFUNCTION("""COMPUTED_VALUE"""),"2013")</f>
        <v>2013</v>
      </c>
    </row>
    <row r="15">
      <c r="A15" s="7" t="str">
        <f>IFERROR(__xludf.DUMMYFUNCTION("""COMPUTED_VALUE"""),"LESOTHO")</f>
        <v>LESOTHO</v>
      </c>
      <c r="B15" s="7">
        <f>IFERROR(__xludf.DUMMYFUNCTION("""COMPUTED_VALUE"""),7.0)</f>
        <v>7</v>
      </c>
      <c r="C15" s="7" t="str">
        <f>IFERROR(__xludf.DUMMYFUNCTION("""COMPUTED_VALUE"""),"A_10_33")</f>
        <v>A_10_33</v>
      </c>
      <c r="D15" s="7" t="str">
        <f>IFERROR(__xludf.DUMMYFUNCTION("""COMPUTED_VALUE"""),"Q22")</f>
        <v>Q22</v>
      </c>
      <c r="E15" s="7" t="str">
        <f>IFERROR(__xludf.DUMMYFUNCTION("""COMPUTED_VALUE"""),"Q22. Voting in the most recent national election")</f>
        <v>Q22. Voting in the most recent national election</v>
      </c>
      <c r="F15" s="7" t="str">
        <f>IFERROR(__xludf.DUMMYFUNCTION("""COMPUTED_VALUE"""),"2017")</f>
        <v>2017</v>
      </c>
    </row>
    <row r="16">
      <c r="A16" s="7" t="str">
        <f>IFERROR(__xludf.DUMMYFUNCTION("""COMPUTED_VALUE"""),"LIBERIA")</f>
        <v>LIBERIA</v>
      </c>
      <c r="B16" s="7">
        <f>IFERROR(__xludf.DUMMYFUNCTION("""COMPUTED_VALUE"""),7.0)</f>
        <v>7</v>
      </c>
      <c r="C16" s="7" t="str">
        <f>IFERROR(__xludf.DUMMYFUNCTION("""COMPUTED_VALUE"""),"A_10_33")</f>
        <v>A_10_33</v>
      </c>
      <c r="D16" s="7" t="str">
        <f>IFERROR(__xludf.DUMMYFUNCTION("""COMPUTED_VALUE"""),"Q22")</f>
        <v>Q22</v>
      </c>
      <c r="E16" s="7" t="str">
        <f>IFERROR(__xludf.DUMMYFUNCTION("""COMPUTED_VALUE"""),"Q22. Voting in the most recent national election")</f>
        <v>Q22. Voting in the most recent national election</v>
      </c>
      <c r="F16" s="7" t="str">
        <f>IFERROR(__xludf.DUMMYFUNCTION("""COMPUTED_VALUE"""),"2017")</f>
        <v>2017</v>
      </c>
    </row>
    <row r="17">
      <c r="A17" s="7" t="str">
        <f>IFERROR(__xludf.DUMMYFUNCTION("""COMPUTED_VALUE"""),"MADAGASCAR")</f>
        <v>MADAGASCAR</v>
      </c>
      <c r="B17" s="7">
        <f>IFERROR(__xludf.DUMMYFUNCTION("""COMPUTED_VALUE"""),7.0)</f>
        <v>7</v>
      </c>
      <c r="C17" s="7" t="str">
        <f>IFERROR(__xludf.DUMMYFUNCTION("""COMPUTED_VALUE"""),"A_10_33")</f>
        <v>A_10_33</v>
      </c>
      <c r="D17" s="7" t="str">
        <f>IFERROR(__xludf.DUMMYFUNCTION("""COMPUTED_VALUE"""),"Q22")</f>
        <v>Q22</v>
      </c>
      <c r="E17" s="7" t="str">
        <f>IFERROR(__xludf.DUMMYFUNCTION("""COMPUTED_VALUE"""),"Q22. Voting in the most recent national election")</f>
        <v>Q22. Voting in the most recent national election</v>
      </c>
      <c r="F17" s="7" t="str">
        <f>IFERROR(__xludf.DUMMYFUNCTION("""COMPUTED_VALUE"""),"2013")</f>
        <v>2013</v>
      </c>
    </row>
    <row r="18">
      <c r="A18" s="7" t="str">
        <f>IFERROR(__xludf.DUMMYFUNCTION("""COMPUTED_VALUE"""),"MALAWI")</f>
        <v>MALAWI</v>
      </c>
      <c r="B18" s="7">
        <f>IFERROR(__xludf.DUMMYFUNCTION("""COMPUTED_VALUE"""),7.0)</f>
        <v>7</v>
      </c>
      <c r="C18" s="7" t="str">
        <f>IFERROR(__xludf.DUMMYFUNCTION("""COMPUTED_VALUE"""),"A_10_33")</f>
        <v>A_10_33</v>
      </c>
      <c r="D18" s="7" t="str">
        <f>IFERROR(__xludf.DUMMYFUNCTION("""COMPUTED_VALUE"""),"Q22")</f>
        <v>Q22</v>
      </c>
      <c r="E18" s="7" t="str">
        <f>IFERROR(__xludf.DUMMYFUNCTION("""COMPUTED_VALUE"""),"Q22. Voting in the most recent national election")</f>
        <v>Q22. Voting in the most recent national election</v>
      </c>
      <c r="F18" s="7" t="str">
        <f>IFERROR(__xludf.DUMMYFUNCTION("""COMPUTED_VALUE"""),"2014")</f>
        <v>2014</v>
      </c>
    </row>
    <row r="19">
      <c r="A19" s="7" t="str">
        <f>IFERROR(__xludf.DUMMYFUNCTION("""COMPUTED_VALUE"""),"MALI")</f>
        <v>MALI</v>
      </c>
      <c r="B19" s="7">
        <f>IFERROR(__xludf.DUMMYFUNCTION("""COMPUTED_VALUE"""),7.0)</f>
        <v>7</v>
      </c>
      <c r="C19" s="7" t="str">
        <f>IFERROR(__xludf.DUMMYFUNCTION("""COMPUTED_VALUE"""),"A_10_33")</f>
        <v>A_10_33</v>
      </c>
      <c r="D19" s="7" t="str">
        <f>IFERROR(__xludf.DUMMYFUNCTION("""COMPUTED_VALUE"""),"Q22")</f>
        <v>Q22</v>
      </c>
      <c r="E19" s="7" t="str">
        <f>IFERROR(__xludf.DUMMYFUNCTION("""COMPUTED_VALUE"""),"Q22. Voting in the most recent national election")</f>
        <v>Q22. Voting in the most recent national election</v>
      </c>
      <c r="F19" s="7" t="str">
        <f>IFERROR(__xludf.DUMMYFUNCTION("""COMPUTED_VALUE"""),"2016")</f>
        <v>2016</v>
      </c>
    </row>
    <row r="20">
      <c r="A20" s="7" t="str">
        <f>IFERROR(__xludf.DUMMYFUNCTION("""COMPUTED_VALUE"""),"MAURITIUS")</f>
        <v>MAURITIUS</v>
      </c>
      <c r="B20" s="7">
        <f>IFERROR(__xludf.DUMMYFUNCTION("""COMPUTED_VALUE"""),7.0)</f>
        <v>7</v>
      </c>
      <c r="C20" s="7" t="str">
        <f>IFERROR(__xludf.DUMMYFUNCTION("""COMPUTED_VALUE"""),"A_10_33")</f>
        <v>A_10_33</v>
      </c>
      <c r="D20" s="7" t="str">
        <f>IFERROR(__xludf.DUMMYFUNCTION("""COMPUTED_VALUE"""),"Q22")</f>
        <v>Q22</v>
      </c>
      <c r="E20" s="7" t="str">
        <f>IFERROR(__xludf.DUMMYFUNCTION("""COMPUTED_VALUE"""),"Q22. Voting in the most recent national election")</f>
        <v>Q22. Voting in the most recent national election</v>
      </c>
      <c r="F20" s="7" t="str">
        <f>IFERROR(__xludf.DUMMYFUNCTION("""COMPUTED_VALUE"""),"2014")</f>
        <v>2014</v>
      </c>
    </row>
    <row r="21">
      <c r="A21" s="7" t="str">
        <f>IFERROR(__xludf.DUMMYFUNCTION("""COMPUTED_VALUE"""),"MOROCCO")</f>
        <v>MOROCCO</v>
      </c>
      <c r="B21" s="7">
        <f>IFERROR(__xludf.DUMMYFUNCTION("""COMPUTED_VALUE"""),7.0)</f>
        <v>7</v>
      </c>
      <c r="C21" s="7" t="str">
        <f>IFERROR(__xludf.DUMMYFUNCTION("""COMPUTED_VALUE"""),"A_10_33")</f>
        <v>A_10_33</v>
      </c>
      <c r="D21" s="7" t="str">
        <f>IFERROR(__xludf.DUMMYFUNCTION("""COMPUTED_VALUE"""),"Q22")</f>
        <v>Q22</v>
      </c>
      <c r="E21" s="7" t="str">
        <f>IFERROR(__xludf.DUMMYFUNCTION("""COMPUTED_VALUE"""),"Q22. Voting in the most recent national election")</f>
        <v>Q22. Voting in the most recent national election</v>
      </c>
      <c r="F21" s="7" t="str">
        <f>IFERROR(__xludf.DUMMYFUNCTION("""COMPUTED_VALUE"""),"2016")</f>
        <v>2016</v>
      </c>
    </row>
    <row r="22">
      <c r="A22" s="7" t="str">
        <f>IFERROR(__xludf.DUMMYFUNCTION("""COMPUTED_VALUE"""),"MOZAMBIQUE")</f>
        <v>MOZAMBIQUE</v>
      </c>
      <c r="B22" s="7">
        <f>IFERROR(__xludf.DUMMYFUNCTION("""COMPUTED_VALUE"""),7.0)</f>
        <v>7</v>
      </c>
      <c r="C22" s="7" t="str">
        <f>IFERROR(__xludf.DUMMYFUNCTION("""COMPUTED_VALUE"""),"A_10_33")</f>
        <v>A_10_33</v>
      </c>
      <c r="D22" s="7" t="str">
        <f>IFERROR(__xludf.DUMMYFUNCTION("""COMPUTED_VALUE"""),"Q22")</f>
        <v>Q22</v>
      </c>
      <c r="E22" s="7" t="str">
        <f>IFERROR(__xludf.DUMMYFUNCTION("""COMPUTED_VALUE"""),"Q22. Voting in the most recent national election")</f>
        <v>Q22. Voting in the most recent national election</v>
      </c>
      <c r="F22" s="7" t="str">
        <f>IFERROR(__xludf.DUMMYFUNCTION("""COMPUTED_VALUE"""),"2014")</f>
        <v>2014</v>
      </c>
    </row>
    <row r="23">
      <c r="A23" s="7" t="str">
        <f>IFERROR(__xludf.DUMMYFUNCTION("""COMPUTED_VALUE"""),"NAMIBIA")</f>
        <v>NAMIBIA</v>
      </c>
      <c r="B23" s="7">
        <f>IFERROR(__xludf.DUMMYFUNCTION("""COMPUTED_VALUE"""),7.0)</f>
        <v>7</v>
      </c>
      <c r="C23" s="7" t="str">
        <f>IFERROR(__xludf.DUMMYFUNCTION("""COMPUTED_VALUE"""),"A_10_33")</f>
        <v>A_10_33</v>
      </c>
      <c r="D23" s="7" t="str">
        <f>IFERROR(__xludf.DUMMYFUNCTION("""COMPUTED_VALUE"""),"Q22")</f>
        <v>Q22</v>
      </c>
      <c r="E23" s="7" t="str">
        <f>IFERROR(__xludf.DUMMYFUNCTION("""COMPUTED_VALUE"""),"Q22. Voting in the most recent national election")</f>
        <v>Q22. Voting in the most recent national election</v>
      </c>
      <c r="F23" s="7" t="str">
        <f>IFERROR(__xludf.DUMMYFUNCTION("""COMPUTED_VALUE"""),"2014")</f>
        <v>2014</v>
      </c>
    </row>
    <row r="24">
      <c r="A24" s="7" t="str">
        <f>IFERROR(__xludf.DUMMYFUNCTION("""COMPUTED_VALUE"""),"NIGER")</f>
        <v>NIGER</v>
      </c>
      <c r="B24" s="7">
        <f>IFERROR(__xludf.DUMMYFUNCTION("""COMPUTED_VALUE"""),7.0)</f>
        <v>7</v>
      </c>
      <c r="C24" s="7" t="str">
        <f>IFERROR(__xludf.DUMMYFUNCTION("""COMPUTED_VALUE"""),"A_10_33")</f>
        <v>A_10_33</v>
      </c>
      <c r="D24" s="7" t="str">
        <f>IFERROR(__xludf.DUMMYFUNCTION("""COMPUTED_VALUE"""),"Q22")</f>
        <v>Q22</v>
      </c>
      <c r="E24" s="7" t="str">
        <f>IFERROR(__xludf.DUMMYFUNCTION("""COMPUTED_VALUE"""),"Q22. Voting in the most recent national election")</f>
        <v>Q22. Voting in the most recent national election</v>
      </c>
      <c r="F24" s="7" t="str">
        <f>IFERROR(__xludf.DUMMYFUNCTION("""COMPUTED_VALUE"""),"2016")</f>
        <v>2016</v>
      </c>
    </row>
    <row r="25">
      <c r="A25" s="7" t="str">
        <f>IFERROR(__xludf.DUMMYFUNCTION("""COMPUTED_VALUE"""),"NIGERIA")</f>
        <v>NIGERIA</v>
      </c>
      <c r="B25" s="7">
        <f>IFERROR(__xludf.DUMMYFUNCTION("""COMPUTED_VALUE"""),7.0)</f>
        <v>7</v>
      </c>
      <c r="C25" s="7" t="str">
        <f>IFERROR(__xludf.DUMMYFUNCTION("""COMPUTED_VALUE"""),"A_10_33")</f>
        <v>A_10_33</v>
      </c>
      <c r="D25" s="7" t="str">
        <f>IFERROR(__xludf.DUMMYFUNCTION("""COMPUTED_VALUE"""),"Q22")</f>
        <v>Q22</v>
      </c>
      <c r="E25" s="7" t="str">
        <f>IFERROR(__xludf.DUMMYFUNCTION("""COMPUTED_VALUE"""),"Q22. Voting in the most recent national election")</f>
        <v>Q22. Voting in the most recent national election</v>
      </c>
      <c r="F25" s="7" t="str">
        <f>IFERROR(__xludf.DUMMYFUNCTION("""COMPUTED_VALUE"""),"2015")</f>
        <v>2015</v>
      </c>
    </row>
    <row r="26">
      <c r="A26" s="7" t="str">
        <f>IFERROR(__xludf.DUMMYFUNCTION("""COMPUTED_VALUE"""),"SAO TOME AND PRINCIPE")</f>
        <v>SAO TOME AND PRINCIPE</v>
      </c>
      <c r="B26" s="7">
        <f>IFERROR(__xludf.DUMMYFUNCTION("""COMPUTED_VALUE"""),7.0)</f>
        <v>7</v>
      </c>
      <c r="C26" s="7" t="str">
        <f>IFERROR(__xludf.DUMMYFUNCTION("""COMPUTED_VALUE"""),"A_10_33")</f>
        <v>A_10_33</v>
      </c>
      <c r="D26" s="7" t="str">
        <f>IFERROR(__xludf.DUMMYFUNCTION("""COMPUTED_VALUE"""),"Q22")</f>
        <v>Q22</v>
      </c>
      <c r="E26" s="7" t="str">
        <f>IFERROR(__xludf.DUMMYFUNCTION("""COMPUTED_VALUE"""),"Q22. Voting in the most recent national election")</f>
        <v>Q22. Voting in the most recent national election</v>
      </c>
      <c r="F26" s="7" t="str">
        <f>IFERROR(__xludf.DUMMYFUNCTION("""COMPUTED_VALUE"""),"2016")</f>
        <v>2016</v>
      </c>
    </row>
    <row r="27">
      <c r="A27" s="7" t="str">
        <f>IFERROR(__xludf.DUMMYFUNCTION("""COMPUTED_VALUE"""),"SENEGAL")</f>
        <v>SENEGAL</v>
      </c>
      <c r="B27" s="7">
        <f>IFERROR(__xludf.DUMMYFUNCTION("""COMPUTED_VALUE"""),7.0)</f>
        <v>7</v>
      </c>
      <c r="C27" s="7" t="str">
        <f>IFERROR(__xludf.DUMMYFUNCTION("""COMPUTED_VALUE"""),"A_10_33")</f>
        <v>A_10_33</v>
      </c>
      <c r="D27" s="7" t="str">
        <f>IFERROR(__xludf.DUMMYFUNCTION("""COMPUTED_VALUE"""),"Q22")</f>
        <v>Q22</v>
      </c>
      <c r="E27" s="7" t="str">
        <f>IFERROR(__xludf.DUMMYFUNCTION("""COMPUTED_VALUE"""),"Q22. Voting in the most recent national election")</f>
        <v>Q22. Voting in the most recent national election</v>
      </c>
      <c r="F27" s="7" t="str">
        <f>IFERROR(__xludf.DUMMYFUNCTION("""COMPUTED_VALUE"""),"2017")</f>
        <v>2017</v>
      </c>
    </row>
    <row r="28">
      <c r="A28" s="7" t="str">
        <f>IFERROR(__xludf.DUMMYFUNCTION("""COMPUTED_VALUE"""),"SIERRA LEONE")</f>
        <v>SIERRA LEONE</v>
      </c>
      <c r="B28" s="7">
        <f>IFERROR(__xludf.DUMMYFUNCTION("""COMPUTED_VALUE"""),7.0)</f>
        <v>7</v>
      </c>
      <c r="C28" s="7" t="str">
        <f>IFERROR(__xludf.DUMMYFUNCTION("""COMPUTED_VALUE"""),"A_10_33")</f>
        <v>A_10_33</v>
      </c>
      <c r="D28" s="7" t="str">
        <f>IFERROR(__xludf.DUMMYFUNCTION("""COMPUTED_VALUE"""),"Q22")</f>
        <v>Q22</v>
      </c>
      <c r="E28" s="7" t="str">
        <f>IFERROR(__xludf.DUMMYFUNCTION("""COMPUTED_VALUE"""),"Q22. Voting in the most recent national election")</f>
        <v>Q22. Voting in the most recent national election</v>
      </c>
      <c r="F28" s="7" t="str">
        <f>IFERROR(__xludf.DUMMYFUNCTION("""COMPUTED_VALUE"""),"2018")</f>
        <v>2018</v>
      </c>
    </row>
    <row r="29">
      <c r="A29" s="7" t="str">
        <f>IFERROR(__xludf.DUMMYFUNCTION("""COMPUTED_VALUE"""),"SOUTH AFRICA")</f>
        <v>SOUTH AFRICA</v>
      </c>
      <c r="B29" s="7">
        <f>IFERROR(__xludf.DUMMYFUNCTION("""COMPUTED_VALUE"""),7.0)</f>
        <v>7</v>
      </c>
      <c r="C29" s="7" t="str">
        <f>IFERROR(__xludf.DUMMYFUNCTION("""COMPUTED_VALUE"""),"A_10_33")</f>
        <v>A_10_33</v>
      </c>
      <c r="D29" s="7" t="str">
        <f>IFERROR(__xludf.DUMMYFUNCTION("""COMPUTED_VALUE"""),"Q22")</f>
        <v>Q22</v>
      </c>
      <c r="E29" s="7" t="str">
        <f>IFERROR(__xludf.DUMMYFUNCTION("""COMPUTED_VALUE"""),"Q22. Voting in the most recent national election")</f>
        <v>Q22. Voting in the most recent national election</v>
      </c>
      <c r="F29" s="7" t="str">
        <f>IFERROR(__xludf.DUMMYFUNCTION("""COMPUTED_VALUE"""),"2014")</f>
        <v>2014</v>
      </c>
    </row>
    <row r="30">
      <c r="A30" s="7" t="str">
        <f>IFERROR(__xludf.DUMMYFUNCTION("""COMPUTED_VALUE"""),"SUDAN")</f>
        <v>SUDAN</v>
      </c>
      <c r="B30" s="7">
        <f>IFERROR(__xludf.DUMMYFUNCTION("""COMPUTED_VALUE"""),7.0)</f>
        <v>7</v>
      </c>
      <c r="C30" s="7" t="str">
        <f>IFERROR(__xludf.DUMMYFUNCTION("""COMPUTED_VALUE"""),"A_10_33")</f>
        <v>A_10_33</v>
      </c>
      <c r="D30" s="7" t="str">
        <f>IFERROR(__xludf.DUMMYFUNCTION("""COMPUTED_VALUE"""),"Q22")</f>
        <v>Q22</v>
      </c>
      <c r="E30" s="7" t="str">
        <f>IFERROR(__xludf.DUMMYFUNCTION("""COMPUTED_VALUE"""),"Q22. Voting in the most recent national election")</f>
        <v>Q22. Voting in the most recent national election</v>
      </c>
      <c r="F30" s="7" t="str">
        <f>IFERROR(__xludf.DUMMYFUNCTION("""COMPUTED_VALUE"""),"2015")</f>
        <v>2015</v>
      </c>
    </row>
    <row r="31">
      <c r="A31" s="7" t="str">
        <f>IFERROR(__xludf.DUMMYFUNCTION("""COMPUTED_VALUE"""),"TANZANIA")</f>
        <v>TANZANIA</v>
      </c>
      <c r="B31" s="7">
        <f>IFERROR(__xludf.DUMMYFUNCTION("""COMPUTED_VALUE"""),7.0)</f>
        <v>7</v>
      </c>
      <c r="C31" s="7" t="str">
        <f>IFERROR(__xludf.DUMMYFUNCTION("""COMPUTED_VALUE"""),"A_10_33")</f>
        <v>A_10_33</v>
      </c>
      <c r="D31" s="7" t="str">
        <f>IFERROR(__xludf.DUMMYFUNCTION("""COMPUTED_VALUE"""),"Q22")</f>
        <v>Q22</v>
      </c>
      <c r="E31" s="7" t="str">
        <f>IFERROR(__xludf.DUMMYFUNCTION("""COMPUTED_VALUE"""),"Q22. Voting in the most recent national election")</f>
        <v>Q22. Voting in the most recent national election</v>
      </c>
      <c r="F31" s="7" t="str">
        <f>IFERROR(__xludf.DUMMYFUNCTION("""COMPUTED_VALUE"""),"2015")</f>
        <v>2015</v>
      </c>
    </row>
    <row r="32">
      <c r="A32" s="7" t="str">
        <f>IFERROR(__xludf.DUMMYFUNCTION("""COMPUTED_VALUE"""),"TOGO")</f>
        <v>TOGO</v>
      </c>
      <c r="B32" s="7">
        <f>IFERROR(__xludf.DUMMYFUNCTION("""COMPUTED_VALUE"""),7.0)</f>
        <v>7</v>
      </c>
      <c r="C32" s="7" t="str">
        <f>IFERROR(__xludf.DUMMYFUNCTION("""COMPUTED_VALUE"""),"A_10_33")</f>
        <v>A_10_33</v>
      </c>
      <c r="D32" s="7" t="str">
        <f>IFERROR(__xludf.DUMMYFUNCTION("""COMPUTED_VALUE"""),"Q22")</f>
        <v>Q22</v>
      </c>
      <c r="E32" s="7" t="str">
        <f>IFERROR(__xludf.DUMMYFUNCTION("""COMPUTED_VALUE"""),"Q22. Voting in the most recent national election")</f>
        <v>Q22. Voting in the most recent national election</v>
      </c>
      <c r="F32" s="7" t="str">
        <f>IFERROR(__xludf.DUMMYFUNCTION("""COMPUTED_VALUE"""),"2013")</f>
        <v>2013</v>
      </c>
    </row>
    <row r="33">
      <c r="A33" s="7" t="str">
        <f>IFERROR(__xludf.DUMMYFUNCTION("""COMPUTED_VALUE"""),"TUNISIA")</f>
        <v>TUNISIA</v>
      </c>
      <c r="B33" s="7">
        <f>IFERROR(__xludf.DUMMYFUNCTION("""COMPUTED_VALUE"""),7.0)</f>
        <v>7</v>
      </c>
      <c r="C33" s="7" t="str">
        <f>IFERROR(__xludf.DUMMYFUNCTION("""COMPUTED_VALUE"""),"A_10_33")</f>
        <v>A_10_33</v>
      </c>
      <c r="D33" s="7" t="str">
        <f>IFERROR(__xludf.DUMMYFUNCTION("""COMPUTED_VALUE"""),"Q22")</f>
        <v>Q22</v>
      </c>
      <c r="E33" s="7" t="str">
        <f>IFERROR(__xludf.DUMMYFUNCTION("""COMPUTED_VALUE"""),"Q22. Voting in the most recent national election")</f>
        <v>Q22. Voting in the most recent national election</v>
      </c>
      <c r="F33" s="7" t="str">
        <f>IFERROR(__xludf.DUMMYFUNCTION("""COMPUTED_VALUE"""),"2014")</f>
        <v>2014</v>
      </c>
    </row>
    <row r="34">
      <c r="A34" s="7" t="str">
        <f>IFERROR(__xludf.DUMMYFUNCTION("""COMPUTED_VALUE"""),"UGANDA")</f>
        <v>UGANDA</v>
      </c>
      <c r="B34" s="7">
        <f>IFERROR(__xludf.DUMMYFUNCTION("""COMPUTED_VALUE"""),7.0)</f>
        <v>7</v>
      </c>
      <c r="C34" s="7" t="str">
        <f>IFERROR(__xludf.DUMMYFUNCTION("""COMPUTED_VALUE"""),"A_10_33")</f>
        <v>A_10_33</v>
      </c>
      <c r="D34" s="7" t="str">
        <f>IFERROR(__xludf.DUMMYFUNCTION("""COMPUTED_VALUE"""),"Q22")</f>
        <v>Q22</v>
      </c>
      <c r="E34" s="7" t="str">
        <f>IFERROR(__xludf.DUMMYFUNCTION("""COMPUTED_VALUE"""),"Q22. Voting in the most recent national election")</f>
        <v>Q22. Voting in the most recent national election</v>
      </c>
      <c r="F34" s="7" t="str">
        <f>IFERROR(__xludf.DUMMYFUNCTION("""COMPUTED_VALUE"""),"2016")</f>
        <v>2016</v>
      </c>
    </row>
    <row r="35">
      <c r="A35" s="7" t="str">
        <f>IFERROR(__xludf.DUMMYFUNCTION("""COMPUTED_VALUE"""),"ZAMBIA")</f>
        <v>ZAMBIA</v>
      </c>
      <c r="B35" s="7">
        <f>IFERROR(__xludf.DUMMYFUNCTION("""COMPUTED_VALUE"""),7.0)</f>
        <v>7</v>
      </c>
      <c r="C35" s="7" t="str">
        <f>IFERROR(__xludf.DUMMYFUNCTION("""COMPUTED_VALUE"""),"A_10_33")</f>
        <v>A_10_33</v>
      </c>
      <c r="D35" s="7" t="str">
        <f>IFERROR(__xludf.DUMMYFUNCTION("""COMPUTED_VALUE"""),"Q22")</f>
        <v>Q22</v>
      </c>
      <c r="E35" s="7" t="str">
        <f>IFERROR(__xludf.DUMMYFUNCTION("""COMPUTED_VALUE"""),"Q22. Voting in the most recent national election")</f>
        <v>Q22. Voting in the most recent national election</v>
      </c>
      <c r="F35" s="7" t="str">
        <f>IFERROR(__xludf.DUMMYFUNCTION("""COMPUTED_VALUE"""),"2016")</f>
        <v>2016</v>
      </c>
    </row>
    <row r="36">
      <c r="A36" s="7" t="str">
        <f>IFERROR(__xludf.DUMMYFUNCTION("""COMPUTED_VALUE"""),"ZIMBABWE")</f>
        <v>ZIMBABWE</v>
      </c>
      <c r="B36" s="7">
        <f>IFERROR(__xludf.DUMMYFUNCTION("""COMPUTED_VALUE"""),7.0)</f>
        <v>7</v>
      </c>
      <c r="C36" s="7" t="str">
        <f>IFERROR(__xludf.DUMMYFUNCTION("""COMPUTED_VALUE"""),"A_10_33")</f>
        <v>A_10_33</v>
      </c>
      <c r="D36" s="7" t="str">
        <f>IFERROR(__xludf.DUMMYFUNCTION("""COMPUTED_VALUE"""),"Q22")</f>
        <v>Q22</v>
      </c>
      <c r="E36" s="7" t="str">
        <f>IFERROR(__xludf.DUMMYFUNCTION("""COMPUTED_VALUE"""),"Q22. Voting in the most recent national election")</f>
        <v>Q22. Voting in the most recent national election</v>
      </c>
      <c r="F36" s="7" t="str">
        <f>IFERROR(__xludf.DUMMYFUNCTION("""COMPUTED_VALUE"""),"2013")</f>
        <v>2013</v>
      </c>
    </row>
    <row r="37">
      <c r="A37" s="7" t="str">
        <f>IFERROR(__xludf.DUMMYFUNCTION("""COMPUTED_VALUE"""),"BENIN")</f>
        <v>BENIN</v>
      </c>
      <c r="B37" s="7">
        <f>IFERROR(__xludf.DUMMYFUNCTION("""COMPUTED_VALUE"""),7.0)</f>
        <v>7</v>
      </c>
      <c r="C37" s="7" t="str">
        <f>IFERROR(__xludf.DUMMYFUNCTION("""COMPUTED_VALUE"""),"A_10_10")</f>
        <v>A_10_10</v>
      </c>
      <c r="D37" s="7" t="str">
        <f>IFERROR(__xludf.DUMMYFUNCTION("""COMPUTED_VALUE"""),"Q23")</f>
        <v>Q23</v>
      </c>
      <c r="E37" s="7" t="str">
        <f>IFERROR(__xludf.DUMMYFUNCTION("""COMPUTED_VALUE"""),"Q23. Freeness and fairness of the last national election")</f>
        <v>Q23. Freeness and fairness of the last national election</v>
      </c>
      <c r="F37" s="7" t="str">
        <f>IFERROR(__xludf.DUMMYFUNCTION("""COMPUTED_VALUE"""),"2016")</f>
        <v>2016</v>
      </c>
    </row>
    <row r="38">
      <c r="A38" s="7" t="str">
        <f>IFERROR(__xludf.DUMMYFUNCTION("""COMPUTED_VALUE"""),"BOTSWANA")</f>
        <v>BOTSWANA</v>
      </c>
      <c r="B38" s="7">
        <f>IFERROR(__xludf.DUMMYFUNCTION("""COMPUTED_VALUE"""),7.0)</f>
        <v>7</v>
      </c>
      <c r="C38" s="7" t="str">
        <f>IFERROR(__xludf.DUMMYFUNCTION("""COMPUTED_VALUE"""),"A_10_10")</f>
        <v>A_10_10</v>
      </c>
      <c r="D38" s="7" t="str">
        <f>IFERROR(__xludf.DUMMYFUNCTION("""COMPUTED_VALUE"""),"Q23")</f>
        <v>Q23</v>
      </c>
      <c r="E38" s="7" t="str">
        <f>IFERROR(__xludf.DUMMYFUNCTION("""COMPUTED_VALUE"""),"Q23. Freeness and fairness of the last national election")</f>
        <v>Q23. Freeness and fairness of the last national election</v>
      </c>
      <c r="F38" s="7" t="str">
        <f>IFERROR(__xludf.DUMMYFUNCTION("""COMPUTED_VALUE"""),"2014")</f>
        <v>2014</v>
      </c>
    </row>
    <row r="39">
      <c r="A39" s="7" t="str">
        <f>IFERROR(__xludf.DUMMYFUNCTION("""COMPUTED_VALUE"""),"BURKINA FASO")</f>
        <v>BURKINA FASO</v>
      </c>
      <c r="B39" s="7">
        <f>IFERROR(__xludf.DUMMYFUNCTION("""COMPUTED_VALUE"""),7.0)</f>
        <v>7</v>
      </c>
      <c r="C39" s="7" t="str">
        <f>IFERROR(__xludf.DUMMYFUNCTION("""COMPUTED_VALUE"""),"A_10_10")</f>
        <v>A_10_10</v>
      </c>
      <c r="D39" s="7" t="str">
        <f>IFERROR(__xludf.DUMMYFUNCTION("""COMPUTED_VALUE"""),"Q23")</f>
        <v>Q23</v>
      </c>
      <c r="E39" s="7" t="str">
        <f>IFERROR(__xludf.DUMMYFUNCTION("""COMPUTED_VALUE"""),"Q23. Freeness and fairness of the last national election")</f>
        <v>Q23. Freeness and fairness of the last national election</v>
      </c>
      <c r="F39" s="7" t="str">
        <f>IFERROR(__xludf.DUMMYFUNCTION("""COMPUTED_VALUE"""),"2015")</f>
        <v>2015</v>
      </c>
    </row>
    <row r="40">
      <c r="A40" s="7" t="str">
        <f>IFERROR(__xludf.DUMMYFUNCTION("""COMPUTED_VALUE"""),"CABO VERDE")</f>
        <v>CABO VERDE</v>
      </c>
      <c r="B40" s="7">
        <f>IFERROR(__xludf.DUMMYFUNCTION("""COMPUTED_VALUE"""),7.0)</f>
        <v>7</v>
      </c>
      <c r="C40" s="7" t="str">
        <f>IFERROR(__xludf.DUMMYFUNCTION("""COMPUTED_VALUE"""),"A_10_10")</f>
        <v>A_10_10</v>
      </c>
      <c r="D40" s="7" t="str">
        <f>IFERROR(__xludf.DUMMYFUNCTION("""COMPUTED_VALUE"""),"Q23")</f>
        <v>Q23</v>
      </c>
      <c r="E40" s="7" t="str">
        <f>IFERROR(__xludf.DUMMYFUNCTION("""COMPUTED_VALUE"""),"Q23. Freeness and fairness of the last national election")</f>
        <v>Q23. Freeness and fairness of the last national election</v>
      </c>
      <c r="F40" s="7" t="str">
        <f>IFERROR(__xludf.DUMMYFUNCTION("""COMPUTED_VALUE"""),"2016")</f>
        <v>2016</v>
      </c>
    </row>
    <row r="41">
      <c r="A41" s="7" t="str">
        <f>IFERROR(__xludf.DUMMYFUNCTION("""COMPUTED_VALUE"""),"CAMEROON")</f>
        <v>CAMEROON</v>
      </c>
      <c r="B41" s="7">
        <f>IFERROR(__xludf.DUMMYFUNCTION("""COMPUTED_VALUE"""),7.0)</f>
        <v>7</v>
      </c>
      <c r="C41" s="7" t="str">
        <f>IFERROR(__xludf.DUMMYFUNCTION("""COMPUTED_VALUE"""),"A_10_10")</f>
        <v>A_10_10</v>
      </c>
      <c r="D41" s="7" t="str">
        <f>IFERROR(__xludf.DUMMYFUNCTION("""COMPUTED_VALUE"""),"Q23")</f>
        <v>Q23</v>
      </c>
      <c r="E41" s="7" t="str">
        <f>IFERROR(__xludf.DUMMYFUNCTION("""COMPUTED_VALUE"""),"Q23. Freeness and fairness of the last national election")</f>
        <v>Q23. Freeness and fairness of the last national election</v>
      </c>
      <c r="F41" s="7" t="str">
        <f>IFERROR(__xludf.DUMMYFUNCTION("""COMPUTED_VALUE"""),"2013")</f>
        <v>2013</v>
      </c>
    </row>
    <row r="42">
      <c r="A42" s="7" t="str">
        <f>IFERROR(__xludf.DUMMYFUNCTION("""COMPUTED_VALUE"""),"COTE D'IVOIRE")</f>
        <v>COTE D'IVOIRE</v>
      </c>
      <c r="B42" s="7">
        <f>IFERROR(__xludf.DUMMYFUNCTION("""COMPUTED_VALUE"""),7.0)</f>
        <v>7</v>
      </c>
      <c r="C42" s="7" t="str">
        <f>IFERROR(__xludf.DUMMYFUNCTION("""COMPUTED_VALUE"""),"A_10_10")</f>
        <v>A_10_10</v>
      </c>
      <c r="D42" s="7" t="str">
        <f>IFERROR(__xludf.DUMMYFUNCTION("""COMPUTED_VALUE"""),"Q23")</f>
        <v>Q23</v>
      </c>
      <c r="E42" s="7" t="str">
        <f>IFERROR(__xludf.DUMMYFUNCTION("""COMPUTED_VALUE"""),"Q23. Freeness and fairness of the last national election")</f>
        <v>Q23. Freeness and fairness of the last national election</v>
      </c>
      <c r="F42" s="7" t="str">
        <f>IFERROR(__xludf.DUMMYFUNCTION("""COMPUTED_VALUE"""),"2016")</f>
        <v>2016</v>
      </c>
    </row>
    <row r="43">
      <c r="A43" s="7" t="str">
        <f>IFERROR(__xludf.DUMMYFUNCTION("""COMPUTED_VALUE"""),"ESWATINI")</f>
        <v>ESWATINI</v>
      </c>
      <c r="B43" s="7">
        <f>IFERROR(__xludf.DUMMYFUNCTION("""COMPUTED_VALUE"""),7.0)</f>
        <v>7</v>
      </c>
      <c r="C43" s="7" t="str">
        <f>IFERROR(__xludf.DUMMYFUNCTION("""COMPUTED_VALUE"""),"A_10_10")</f>
        <v>A_10_10</v>
      </c>
      <c r="D43" s="7" t="str">
        <f>IFERROR(__xludf.DUMMYFUNCTION("""COMPUTED_VALUE"""),"Q23")</f>
        <v>Q23</v>
      </c>
      <c r="E43" s="7" t="str">
        <f>IFERROR(__xludf.DUMMYFUNCTION("""COMPUTED_VALUE"""),"Q23. Freeness and fairness of the last national election")</f>
        <v>Q23. Freeness and fairness of the last national election</v>
      </c>
      <c r="F43" s="7" t="str">
        <f>IFERROR(__xludf.DUMMYFUNCTION("""COMPUTED_VALUE"""),"2013")</f>
        <v>2013</v>
      </c>
    </row>
    <row r="44">
      <c r="A44" s="7" t="str">
        <f>IFERROR(__xludf.DUMMYFUNCTION("""COMPUTED_VALUE"""),"GABON")</f>
        <v>GABON</v>
      </c>
      <c r="B44" s="7">
        <f>IFERROR(__xludf.DUMMYFUNCTION("""COMPUTED_VALUE"""),7.0)</f>
        <v>7</v>
      </c>
      <c r="C44" s="7" t="str">
        <f>IFERROR(__xludf.DUMMYFUNCTION("""COMPUTED_VALUE"""),"A_10_10")</f>
        <v>A_10_10</v>
      </c>
      <c r="D44" s="7" t="str">
        <f>IFERROR(__xludf.DUMMYFUNCTION("""COMPUTED_VALUE"""),"Q23")</f>
        <v>Q23</v>
      </c>
      <c r="E44" s="7" t="str">
        <f>IFERROR(__xludf.DUMMYFUNCTION("""COMPUTED_VALUE"""),"Q23. Freeness and fairness of the last national election")</f>
        <v>Q23. Freeness and fairness of the last national election</v>
      </c>
      <c r="F44" s="7" t="str">
        <f>IFERROR(__xludf.DUMMYFUNCTION("""COMPUTED_VALUE"""),"2016")</f>
        <v>2016</v>
      </c>
    </row>
    <row r="45">
      <c r="A45" s="7" t="str">
        <f>IFERROR(__xludf.DUMMYFUNCTION("""COMPUTED_VALUE"""),"GAMBIA")</f>
        <v>GAMBIA</v>
      </c>
      <c r="B45" s="7">
        <f>IFERROR(__xludf.DUMMYFUNCTION("""COMPUTED_VALUE"""),7.0)</f>
        <v>7</v>
      </c>
      <c r="C45" s="7" t="str">
        <f>IFERROR(__xludf.DUMMYFUNCTION("""COMPUTED_VALUE"""),"A_10_10")</f>
        <v>A_10_10</v>
      </c>
      <c r="D45" s="7" t="str">
        <f>IFERROR(__xludf.DUMMYFUNCTION("""COMPUTED_VALUE"""),"Q23")</f>
        <v>Q23</v>
      </c>
      <c r="E45" s="7" t="str">
        <f>IFERROR(__xludf.DUMMYFUNCTION("""COMPUTED_VALUE"""),"Q23. Freeness and fairness of the last national election")</f>
        <v>Q23. Freeness and fairness of the last national election</v>
      </c>
      <c r="F45" s="7" t="str">
        <f>IFERROR(__xludf.DUMMYFUNCTION("""COMPUTED_VALUE"""),"2017")</f>
        <v>2017</v>
      </c>
    </row>
    <row r="46">
      <c r="A46" s="7" t="str">
        <f>IFERROR(__xludf.DUMMYFUNCTION("""COMPUTED_VALUE"""),"GHANA")</f>
        <v>GHANA</v>
      </c>
      <c r="B46" s="7">
        <f>IFERROR(__xludf.DUMMYFUNCTION("""COMPUTED_VALUE"""),7.0)</f>
        <v>7</v>
      </c>
      <c r="C46" s="7" t="str">
        <f>IFERROR(__xludf.DUMMYFUNCTION("""COMPUTED_VALUE"""),"A_10_10")</f>
        <v>A_10_10</v>
      </c>
      <c r="D46" s="7" t="str">
        <f>IFERROR(__xludf.DUMMYFUNCTION("""COMPUTED_VALUE"""),"Q23")</f>
        <v>Q23</v>
      </c>
      <c r="E46" s="7" t="str">
        <f>IFERROR(__xludf.DUMMYFUNCTION("""COMPUTED_VALUE"""),"Q23. Freeness and fairness of the last national election")</f>
        <v>Q23. Freeness and fairness of the last national election</v>
      </c>
      <c r="F46" s="7" t="str">
        <f>IFERROR(__xludf.DUMMYFUNCTION("""COMPUTED_VALUE"""),"2016")</f>
        <v>2016</v>
      </c>
    </row>
    <row r="47">
      <c r="A47" s="7" t="str">
        <f>IFERROR(__xludf.DUMMYFUNCTION("""COMPUTED_VALUE"""),"GUINEA")</f>
        <v>GUINEA</v>
      </c>
      <c r="B47" s="7">
        <f>IFERROR(__xludf.DUMMYFUNCTION("""COMPUTED_VALUE"""),7.0)</f>
        <v>7</v>
      </c>
      <c r="C47" s="7" t="str">
        <f>IFERROR(__xludf.DUMMYFUNCTION("""COMPUTED_VALUE"""),"A_10_10")</f>
        <v>A_10_10</v>
      </c>
      <c r="D47" s="7" t="str">
        <f>IFERROR(__xludf.DUMMYFUNCTION("""COMPUTED_VALUE"""),"Q23")</f>
        <v>Q23</v>
      </c>
      <c r="E47" s="7" t="str">
        <f>IFERROR(__xludf.DUMMYFUNCTION("""COMPUTED_VALUE"""),"Q23. Freeness and fairness of the last national election")</f>
        <v>Q23. Freeness and fairness of the last national election</v>
      </c>
      <c r="F47" s="7" t="str">
        <f>IFERROR(__xludf.DUMMYFUNCTION("""COMPUTED_VALUE"""),"2015")</f>
        <v>2015</v>
      </c>
    </row>
    <row r="48">
      <c r="A48" s="7" t="str">
        <f>IFERROR(__xludf.DUMMYFUNCTION("""COMPUTED_VALUE"""),"KENYA")</f>
        <v>KENYA</v>
      </c>
      <c r="B48" s="7">
        <f>IFERROR(__xludf.DUMMYFUNCTION("""COMPUTED_VALUE"""),7.0)</f>
        <v>7</v>
      </c>
      <c r="C48" s="7" t="str">
        <f>IFERROR(__xludf.DUMMYFUNCTION("""COMPUTED_VALUE"""),"A_10_10")</f>
        <v>A_10_10</v>
      </c>
      <c r="D48" s="7" t="str">
        <f>IFERROR(__xludf.DUMMYFUNCTION("""COMPUTED_VALUE"""),"Q23")</f>
        <v>Q23</v>
      </c>
      <c r="E48" s="7" t="str">
        <f>IFERROR(__xludf.DUMMYFUNCTION("""COMPUTED_VALUE"""),"Q23. Freeness and fairness of the last national election")</f>
        <v>Q23. Freeness and fairness of the last national election</v>
      </c>
      <c r="F48" s="7" t="str">
        <f>IFERROR(__xludf.DUMMYFUNCTION("""COMPUTED_VALUE"""),"2013")</f>
        <v>2013</v>
      </c>
    </row>
    <row r="49">
      <c r="A49" s="7" t="str">
        <f>IFERROR(__xludf.DUMMYFUNCTION("""COMPUTED_VALUE"""),"LESOTHO")</f>
        <v>LESOTHO</v>
      </c>
      <c r="B49" s="7">
        <f>IFERROR(__xludf.DUMMYFUNCTION("""COMPUTED_VALUE"""),7.0)</f>
        <v>7</v>
      </c>
      <c r="C49" s="7" t="str">
        <f>IFERROR(__xludf.DUMMYFUNCTION("""COMPUTED_VALUE"""),"A_10_10")</f>
        <v>A_10_10</v>
      </c>
      <c r="D49" s="7" t="str">
        <f>IFERROR(__xludf.DUMMYFUNCTION("""COMPUTED_VALUE"""),"Q23")</f>
        <v>Q23</v>
      </c>
      <c r="E49" s="7" t="str">
        <f>IFERROR(__xludf.DUMMYFUNCTION("""COMPUTED_VALUE"""),"Q23. Freeness and fairness of the last national election")</f>
        <v>Q23. Freeness and fairness of the last national election</v>
      </c>
      <c r="F49" s="7" t="str">
        <f>IFERROR(__xludf.DUMMYFUNCTION("""COMPUTED_VALUE"""),"2017")</f>
        <v>2017</v>
      </c>
    </row>
    <row r="50">
      <c r="A50" s="7" t="str">
        <f>IFERROR(__xludf.DUMMYFUNCTION("""COMPUTED_VALUE"""),"LIBERIA")</f>
        <v>LIBERIA</v>
      </c>
      <c r="B50" s="7">
        <f>IFERROR(__xludf.DUMMYFUNCTION("""COMPUTED_VALUE"""),7.0)</f>
        <v>7</v>
      </c>
      <c r="C50" s="7" t="str">
        <f>IFERROR(__xludf.DUMMYFUNCTION("""COMPUTED_VALUE"""),"A_10_10")</f>
        <v>A_10_10</v>
      </c>
      <c r="D50" s="7" t="str">
        <f>IFERROR(__xludf.DUMMYFUNCTION("""COMPUTED_VALUE"""),"Q23")</f>
        <v>Q23</v>
      </c>
      <c r="E50" s="7" t="str">
        <f>IFERROR(__xludf.DUMMYFUNCTION("""COMPUTED_VALUE"""),"Q23. Freeness and fairness of the last national election")</f>
        <v>Q23. Freeness and fairness of the last national election</v>
      </c>
      <c r="F50" s="7" t="str">
        <f>IFERROR(__xludf.DUMMYFUNCTION("""COMPUTED_VALUE"""),"2017")</f>
        <v>2017</v>
      </c>
    </row>
    <row r="51">
      <c r="A51" s="7" t="str">
        <f>IFERROR(__xludf.DUMMYFUNCTION("""COMPUTED_VALUE"""),"MADAGASCAR")</f>
        <v>MADAGASCAR</v>
      </c>
      <c r="B51" s="7">
        <f>IFERROR(__xludf.DUMMYFUNCTION("""COMPUTED_VALUE"""),7.0)</f>
        <v>7</v>
      </c>
      <c r="C51" s="7" t="str">
        <f>IFERROR(__xludf.DUMMYFUNCTION("""COMPUTED_VALUE"""),"A_10_10")</f>
        <v>A_10_10</v>
      </c>
      <c r="D51" s="7" t="str">
        <f>IFERROR(__xludf.DUMMYFUNCTION("""COMPUTED_VALUE"""),"Q23")</f>
        <v>Q23</v>
      </c>
      <c r="E51" s="7" t="str">
        <f>IFERROR(__xludf.DUMMYFUNCTION("""COMPUTED_VALUE"""),"Q23. Freeness and fairness of the last national election")</f>
        <v>Q23. Freeness and fairness of the last national election</v>
      </c>
      <c r="F51" s="7" t="str">
        <f>IFERROR(__xludf.DUMMYFUNCTION("""COMPUTED_VALUE"""),"2013")</f>
        <v>2013</v>
      </c>
    </row>
    <row r="52">
      <c r="A52" s="7" t="str">
        <f>IFERROR(__xludf.DUMMYFUNCTION("""COMPUTED_VALUE"""),"MALAWI")</f>
        <v>MALAWI</v>
      </c>
      <c r="B52" s="7">
        <f>IFERROR(__xludf.DUMMYFUNCTION("""COMPUTED_VALUE"""),7.0)</f>
        <v>7</v>
      </c>
      <c r="C52" s="7" t="str">
        <f>IFERROR(__xludf.DUMMYFUNCTION("""COMPUTED_VALUE"""),"A_10_10")</f>
        <v>A_10_10</v>
      </c>
      <c r="D52" s="7" t="str">
        <f>IFERROR(__xludf.DUMMYFUNCTION("""COMPUTED_VALUE"""),"Q23")</f>
        <v>Q23</v>
      </c>
      <c r="E52" s="7" t="str">
        <f>IFERROR(__xludf.DUMMYFUNCTION("""COMPUTED_VALUE"""),"Q23. Freeness and fairness of the last national election")</f>
        <v>Q23. Freeness and fairness of the last national election</v>
      </c>
      <c r="F52" s="7" t="str">
        <f>IFERROR(__xludf.DUMMYFUNCTION("""COMPUTED_VALUE"""),"2014")</f>
        <v>2014</v>
      </c>
    </row>
    <row r="53">
      <c r="A53" s="7" t="str">
        <f>IFERROR(__xludf.DUMMYFUNCTION("""COMPUTED_VALUE"""),"MALI")</f>
        <v>MALI</v>
      </c>
      <c r="B53" s="7">
        <f>IFERROR(__xludf.DUMMYFUNCTION("""COMPUTED_VALUE"""),7.0)</f>
        <v>7</v>
      </c>
      <c r="C53" s="7" t="str">
        <f>IFERROR(__xludf.DUMMYFUNCTION("""COMPUTED_VALUE"""),"A_10_10")</f>
        <v>A_10_10</v>
      </c>
      <c r="D53" s="7" t="str">
        <f>IFERROR(__xludf.DUMMYFUNCTION("""COMPUTED_VALUE"""),"Q23")</f>
        <v>Q23</v>
      </c>
      <c r="E53" s="7" t="str">
        <f>IFERROR(__xludf.DUMMYFUNCTION("""COMPUTED_VALUE"""),"Q23. Freeness and fairness of the last national election")</f>
        <v>Q23. Freeness and fairness of the last national election</v>
      </c>
      <c r="F53" s="7" t="str">
        <f>IFERROR(__xludf.DUMMYFUNCTION("""COMPUTED_VALUE"""),"2016")</f>
        <v>2016</v>
      </c>
    </row>
    <row r="54">
      <c r="A54" s="7" t="str">
        <f>IFERROR(__xludf.DUMMYFUNCTION("""COMPUTED_VALUE"""),"MAURITIUS")</f>
        <v>MAURITIUS</v>
      </c>
      <c r="B54" s="7">
        <f>IFERROR(__xludf.DUMMYFUNCTION("""COMPUTED_VALUE"""),7.0)</f>
        <v>7</v>
      </c>
      <c r="C54" s="7" t="str">
        <f>IFERROR(__xludf.DUMMYFUNCTION("""COMPUTED_VALUE"""),"A_10_10")</f>
        <v>A_10_10</v>
      </c>
      <c r="D54" s="7" t="str">
        <f>IFERROR(__xludf.DUMMYFUNCTION("""COMPUTED_VALUE"""),"Q23")</f>
        <v>Q23</v>
      </c>
      <c r="E54" s="7" t="str">
        <f>IFERROR(__xludf.DUMMYFUNCTION("""COMPUTED_VALUE"""),"Q23. Freeness and fairness of the last national election")</f>
        <v>Q23. Freeness and fairness of the last national election</v>
      </c>
      <c r="F54" s="7" t="str">
        <f>IFERROR(__xludf.DUMMYFUNCTION("""COMPUTED_VALUE"""),"2014")</f>
        <v>2014</v>
      </c>
    </row>
    <row r="55">
      <c r="A55" s="7" t="str">
        <f>IFERROR(__xludf.DUMMYFUNCTION("""COMPUTED_VALUE"""),"MOROCCO")</f>
        <v>MOROCCO</v>
      </c>
      <c r="B55" s="7">
        <f>IFERROR(__xludf.DUMMYFUNCTION("""COMPUTED_VALUE"""),7.0)</f>
        <v>7</v>
      </c>
      <c r="C55" s="7" t="str">
        <f>IFERROR(__xludf.DUMMYFUNCTION("""COMPUTED_VALUE"""),"A_10_10")</f>
        <v>A_10_10</v>
      </c>
      <c r="D55" s="7" t="str">
        <f>IFERROR(__xludf.DUMMYFUNCTION("""COMPUTED_VALUE"""),"Q23")</f>
        <v>Q23</v>
      </c>
      <c r="E55" s="7" t="str">
        <f>IFERROR(__xludf.DUMMYFUNCTION("""COMPUTED_VALUE"""),"Q23. Freeness and fairness of the last national election")</f>
        <v>Q23. Freeness and fairness of the last national election</v>
      </c>
      <c r="F55" s="7" t="str">
        <f>IFERROR(__xludf.DUMMYFUNCTION("""COMPUTED_VALUE"""),"2016")</f>
        <v>2016</v>
      </c>
    </row>
    <row r="56">
      <c r="A56" s="7" t="str">
        <f>IFERROR(__xludf.DUMMYFUNCTION("""COMPUTED_VALUE"""),"MOZAMBIQUE")</f>
        <v>MOZAMBIQUE</v>
      </c>
      <c r="B56" s="7">
        <f>IFERROR(__xludf.DUMMYFUNCTION("""COMPUTED_VALUE"""),7.0)</f>
        <v>7</v>
      </c>
      <c r="C56" s="7" t="str">
        <f>IFERROR(__xludf.DUMMYFUNCTION("""COMPUTED_VALUE"""),"A_10_10")</f>
        <v>A_10_10</v>
      </c>
      <c r="D56" s="7" t="str">
        <f>IFERROR(__xludf.DUMMYFUNCTION("""COMPUTED_VALUE"""),"Q23")</f>
        <v>Q23</v>
      </c>
      <c r="E56" s="7" t="str">
        <f>IFERROR(__xludf.DUMMYFUNCTION("""COMPUTED_VALUE"""),"Q23. Freeness and fairness of the last national election")</f>
        <v>Q23. Freeness and fairness of the last national election</v>
      </c>
      <c r="F56" s="7" t="str">
        <f>IFERROR(__xludf.DUMMYFUNCTION("""COMPUTED_VALUE"""),"2014")</f>
        <v>2014</v>
      </c>
    </row>
    <row r="57">
      <c r="A57" s="7" t="str">
        <f>IFERROR(__xludf.DUMMYFUNCTION("""COMPUTED_VALUE"""),"NAMIBIA")</f>
        <v>NAMIBIA</v>
      </c>
      <c r="B57" s="7">
        <f>IFERROR(__xludf.DUMMYFUNCTION("""COMPUTED_VALUE"""),7.0)</f>
        <v>7</v>
      </c>
      <c r="C57" s="7" t="str">
        <f>IFERROR(__xludf.DUMMYFUNCTION("""COMPUTED_VALUE"""),"A_10_10")</f>
        <v>A_10_10</v>
      </c>
      <c r="D57" s="7" t="str">
        <f>IFERROR(__xludf.DUMMYFUNCTION("""COMPUTED_VALUE"""),"Q23")</f>
        <v>Q23</v>
      </c>
      <c r="E57" s="7" t="str">
        <f>IFERROR(__xludf.DUMMYFUNCTION("""COMPUTED_VALUE"""),"Q23. Freeness and fairness of the last national election")</f>
        <v>Q23. Freeness and fairness of the last national election</v>
      </c>
      <c r="F57" s="7" t="str">
        <f>IFERROR(__xludf.DUMMYFUNCTION("""COMPUTED_VALUE"""),"2014")</f>
        <v>2014</v>
      </c>
    </row>
    <row r="58">
      <c r="A58" s="7" t="str">
        <f>IFERROR(__xludf.DUMMYFUNCTION("""COMPUTED_VALUE"""),"NIGER")</f>
        <v>NIGER</v>
      </c>
      <c r="B58" s="7">
        <f>IFERROR(__xludf.DUMMYFUNCTION("""COMPUTED_VALUE"""),7.0)</f>
        <v>7</v>
      </c>
      <c r="C58" s="7" t="str">
        <f>IFERROR(__xludf.DUMMYFUNCTION("""COMPUTED_VALUE"""),"A_10_10")</f>
        <v>A_10_10</v>
      </c>
      <c r="D58" s="7" t="str">
        <f>IFERROR(__xludf.DUMMYFUNCTION("""COMPUTED_VALUE"""),"Q23")</f>
        <v>Q23</v>
      </c>
      <c r="E58" s="7" t="str">
        <f>IFERROR(__xludf.DUMMYFUNCTION("""COMPUTED_VALUE"""),"Q23. Freeness and fairness of the last national election")</f>
        <v>Q23. Freeness and fairness of the last national election</v>
      </c>
      <c r="F58" s="7" t="str">
        <f>IFERROR(__xludf.DUMMYFUNCTION("""COMPUTED_VALUE"""),"2016")</f>
        <v>2016</v>
      </c>
    </row>
    <row r="59">
      <c r="A59" s="7" t="str">
        <f>IFERROR(__xludf.DUMMYFUNCTION("""COMPUTED_VALUE"""),"NIGERIA")</f>
        <v>NIGERIA</v>
      </c>
      <c r="B59" s="7">
        <f>IFERROR(__xludf.DUMMYFUNCTION("""COMPUTED_VALUE"""),7.0)</f>
        <v>7</v>
      </c>
      <c r="C59" s="7" t="str">
        <f>IFERROR(__xludf.DUMMYFUNCTION("""COMPUTED_VALUE"""),"A_10_10")</f>
        <v>A_10_10</v>
      </c>
      <c r="D59" s="7" t="str">
        <f>IFERROR(__xludf.DUMMYFUNCTION("""COMPUTED_VALUE"""),"Q23")</f>
        <v>Q23</v>
      </c>
      <c r="E59" s="7" t="str">
        <f>IFERROR(__xludf.DUMMYFUNCTION("""COMPUTED_VALUE"""),"Q23. Freeness and fairness of the last national election")</f>
        <v>Q23. Freeness and fairness of the last national election</v>
      </c>
      <c r="F59" s="7" t="str">
        <f>IFERROR(__xludf.DUMMYFUNCTION("""COMPUTED_VALUE"""),"2015")</f>
        <v>2015</v>
      </c>
    </row>
    <row r="60">
      <c r="A60" s="7" t="str">
        <f>IFERROR(__xludf.DUMMYFUNCTION("""COMPUTED_VALUE"""),"SAO TOME AND PRINCIPE")</f>
        <v>SAO TOME AND PRINCIPE</v>
      </c>
      <c r="B60" s="7">
        <f>IFERROR(__xludf.DUMMYFUNCTION("""COMPUTED_VALUE"""),7.0)</f>
        <v>7</v>
      </c>
      <c r="C60" s="7" t="str">
        <f>IFERROR(__xludf.DUMMYFUNCTION("""COMPUTED_VALUE"""),"A_10_10")</f>
        <v>A_10_10</v>
      </c>
      <c r="D60" s="7" t="str">
        <f>IFERROR(__xludf.DUMMYFUNCTION("""COMPUTED_VALUE"""),"Q23")</f>
        <v>Q23</v>
      </c>
      <c r="E60" s="7" t="str">
        <f>IFERROR(__xludf.DUMMYFUNCTION("""COMPUTED_VALUE"""),"Q23. Freeness and fairness of the last national election")</f>
        <v>Q23. Freeness and fairness of the last national election</v>
      </c>
      <c r="F60" s="7" t="str">
        <f>IFERROR(__xludf.DUMMYFUNCTION("""COMPUTED_VALUE"""),"2016")</f>
        <v>2016</v>
      </c>
    </row>
    <row r="61">
      <c r="A61" s="7" t="str">
        <f>IFERROR(__xludf.DUMMYFUNCTION("""COMPUTED_VALUE"""),"SENEGAL")</f>
        <v>SENEGAL</v>
      </c>
      <c r="B61" s="7">
        <f>IFERROR(__xludf.DUMMYFUNCTION("""COMPUTED_VALUE"""),7.0)</f>
        <v>7</v>
      </c>
      <c r="C61" s="7" t="str">
        <f>IFERROR(__xludf.DUMMYFUNCTION("""COMPUTED_VALUE"""),"A_10_10")</f>
        <v>A_10_10</v>
      </c>
      <c r="D61" s="7" t="str">
        <f>IFERROR(__xludf.DUMMYFUNCTION("""COMPUTED_VALUE"""),"Q23")</f>
        <v>Q23</v>
      </c>
      <c r="E61" s="7" t="str">
        <f>IFERROR(__xludf.DUMMYFUNCTION("""COMPUTED_VALUE"""),"Q23. Freeness and fairness of the last national election")</f>
        <v>Q23. Freeness and fairness of the last national election</v>
      </c>
      <c r="F61" s="7" t="str">
        <f>IFERROR(__xludf.DUMMYFUNCTION("""COMPUTED_VALUE"""),"2017")</f>
        <v>2017</v>
      </c>
    </row>
    <row r="62">
      <c r="A62" s="7" t="str">
        <f>IFERROR(__xludf.DUMMYFUNCTION("""COMPUTED_VALUE"""),"SIERRA LEONE")</f>
        <v>SIERRA LEONE</v>
      </c>
      <c r="B62" s="7">
        <f>IFERROR(__xludf.DUMMYFUNCTION("""COMPUTED_VALUE"""),7.0)</f>
        <v>7</v>
      </c>
      <c r="C62" s="7" t="str">
        <f>IFERROR(__xludf.DUMMYFUNCTION("""COMPUTED_VALUE"""),"A_10_10")</f>
        <v>A_10_10</v>
      </c>
      <c r="D62" s="7" t="str">
        <f>IFERROR(__xludf.DUMMYFUNCTION("""COMPUTED_VALUE"""),"Q23")</f>
        <v>Q23</v>
      </c>
      <c r="E62" s="7" t="str">
        <f>IFERROR(__xludf.DUMMYFUNCTION("""COMPUTED_VALUE"""),"Q23. Freeness and fairness of the last national election")</f>
        <v>Q23. Freeness and fairness of the last national election</v>
      </c>
      <c r="F62" s="7" t="str">
        <f>IFERROR(__xludf.DUMMYFUNCTION("""COMPUTED_VALUE"""),"2018")</f>
        <v>2018</v>
      </c>
    </row>
    <row r="63">
      <c r="A63" s="7" t="str">
        <f>IFERROR(__xludf.DUMMYFUNCTION("""COMPUTED_VALUE"""),"SOUTH AFRICA")</f>
        <v>SOUTH AFRICA</v>
      </c>
      <c r="B63" s="7">
        <f>IFERROR(__xludf.DUMMYFUNCTION("""COMPUTED_VALUE"""),7.0)</f>
        <v>7</v>
      </c>
      <c r="C63" s="7" t="str">
        <f>IFERROR(__xludf.DUMMYFUNCTION("""COMPUTED_VALUE"""),"A_10_10")</f>
        <v>A_10_10</v>
      </c>
      <c r="D63" s="7" t="str">
        <f>IFERROR(__xludf.DUMMYFUNCTION("""COMPUTED_VALUE"""),"Q23")</f>
        <v>Q23</v>
      </c>
      <c r="E63" s="7" t="str">
        <f>IFERROR(__xludf.DUMMYFUNCTION("""COMPUTED_VALUE"""),"Q23. Freeness and fairness of the last national election")</f>
        <v>Q23. Freeness and fairness of the last national election</v>
      </c>
      <c r="F63" s="7" t="str">
        <f>IFERROR(__xludf.DUMMYFUNCTION("""COMPUTED_VALUE"""),"2014")</f>
        <v>2014</v>
      </c>
    </row>
    <row r="64">
      <c r="A64" s="7" t="str">
        <f>IFERROR(__xludf.DUMMYFUNCTION("""COMPUTED_VALUE"""),"SUDAN")</f>
        <v>SUDAN</v>
      </c>
      <c r="B64" s="7">
        <f>IFERROR(__xludf.DUMMYFUNCTION("""COMPUTED_VALUE"""),7.0)</f>
        <v>7</v>
      </c>
      <c r="C64" s="7" t="str">
        <f>IFERROR(__xludf.DUMMYFUNCTION("""COMPUTED_VALUE"""),"A_10_10")</f>
        <v>A_10_10</v>
      </c>
      <c r="D64" s="7" t="str">
        <f>IFERROR(__xludf.DUMMYFUNCTION("""COMPUTED_VALUE"""),"Q23")</f>
        <v>Q23</v>
      </c>
      <c r="E64" s="7" t="str">
        <f>IFERROR(__xludf.DUMMYFUNCTION("""COMPUTED_VALUE"""),"Q23. Freeness and fairness of the last national election")</f>
        <v>Q23. Freeness and fairness of the last national election</v>
      </c>
      <c r="F64" s="7" t="str">
        <f>IFERROR(__xludf.DUMMYFUNCTION("""COMPUTED_VALUE"""),"2015")</f>
        <v>2015</v>
      </c>
    </row>
    <row r="65">
      <c r="A65" s="7" t="str">
        <f>IFERROR(__xludf.DUMMYFUNCTION("""COMPUTED_VALUE"""),"TANZANIA")</f>
        <v>TANZANIA</v>
      </c>
      <c r="B65" s="7">
        <f>IFERROR(__xludf.DUMMYFUNCTION("""COMPUTED_VALUE"""),7.0)</f>
        <v>7</v>
      </c>
      <c r="C65" s="7" t="str">
        <f>IFERROR(__xludf.DUMMYFUNCTION("""COMPUTED_VALUE"""),"A_10_10")</f>
        <v>A_10_10</v>
      </c>
      <c r="D65" s="7" t="str">
        <f>IFERROR(__xludf.DUMMYFUNCTION("""COMPUTED_VALUE"""),"Q23")</f>
        <v>Q23</v>
      </c>
      <c r="E65" s="7" t="str">
        <f>IFERROR(__xludf.DUMMYFUNCTION("""COMPUTED_VALUE"""),"Q23. Freeness and fairness of the last national election")</f>
        <v>Q23. Freeness and fairness of the last national election</v>
      </c>
      <c r="F65" s="7" t="str">
        <f>IFERROR(__xludf.DUMMYFUNCTION("""COMPUTED_VALUE"""),"2015")</f>
        <v>2015</v>
      </c>
    </row>
    <row r="66">
      <c r="A66" s="7" t="str">
        <f>IFERROR(__xludf.DUMMYFUNCTION("""COMPUTED_VALUE"""),"TOGO")</f>
        <v>TOGO</v>
      </c>
      <c r="B66" s="7">
        <f>IFERROR(__xludf.DUMMYFUNCTION("""COMPUTED_VALUE"""),7.0)</f>
        <v>7</v>
      </c>
      <c r="C66" s="7" t="str">
        <f>IFERROR(__xludf.DUMMYFUNCTION("""COMPUTED_VALUE"""),"A_10_10")</f>
        <v>A_10_10</v>
      </c>
      <c r="D66" s="7" t="str">
        <f>IFERROR(__xludf.DUMMYFUNCTION("""COMPUTED_VALUE"""),"Q23")</f>
        <v>Q23</v>
      </c>
      <c r="E66" s="7" t="str">
        <f>IFERROR(__xludf.DUMMYFUNCTION("""COMPUTED_VALUE"""),"Q23. Freeness and fairness of the last national election")</f>
        <v>Q23. Freeness and fairness of the last national election</v>
      </c>
      <c r="F66" s="7" t="str">
        <f>IFERROR(__xludf.DUMMYFUNCTION("""COMPUTED_VALUE"""),"2013")</f>
        <v>2013</v>
      </c>
    </row>
    <row r="67">
      <c r="A67" s="7" t="str">
        <f>IFERROR(__xludf.DUMMYFUNCTION("""COMPUTED_VALUE"""),"TUNISIA")</f>
        <v>TUNISIA</v>
      </c>
      <c r="B67" s="7">
        <f>IFERROR(__xludf.DUMMYFUNCTION("""COMPUTED_VALUE"""),7.0)</f>
        <v>7</v>
      </c>
      <c r="C67" s="7" t="str">
        <f>IFERROR(__xludf.DUMMYFUNCTION("""COMPUTED_VALUE"""),"A_10_10")</f>
        <v>A_10_10</v>
      </c>
      <c r="D67" s="7" t="str">
        <f>IFERROR(__xludf.DUMMYFUNCTION("""COMPUTED_VALUE"""),"Q23")</f>
        <v>Q23</v>
      </c>
      <c r="E67" s="7" t="str">
        <f>IFERROR(__xludf.DUMMYFUNCTION("""COMPUTED_VALUE"""),"Q23. Freeness and fairness of the last national election")</f>
        <v>Q23. Freeness and fairness of the last national election</v>
      </c>
      <c r="F67" s="7" t="str">
        <f>IFERROR(__xludf.DUMMYFUNCTION("""COMPUTED_VALUE"""),"2014")</f>
        <v>2014</v>
      </c>
    </row>
    <row r="68">
      <c r="A68" s="7" t="str">
        <f>IFERROR(__xludf.DUMMYFUNCTION("""COMPUTED_VALUE"""),"UGANDA")</f>
        <v>UGANDA</v>
      </c>
      <c r="B68" s="7">
        <f>IFERROR(__xludf.DUMMYFUNCTION("""COMPUTED_VALUE"""),7.0)</f>
        <v>7</v>
      </c>
      <c r="C68" s="7" t="str">
        <f>IFERROR(__xludf.DUMMYFUNCTION("""COMPUTED_VALUE"""),"A_10_10")</f>
        <v>A_10_10</v>
      </c>
      <c r="D68" s="7" t="str">
        <f>IFERROR(__xludf.DUMMYFUNCTION("""COMPUTED_VALUE"""),"Q23")</f>
        <v>Q23</v>
      </c>
      <c r="E68" s="7" t="str">
        <f>IFERROR(__xludf.DUMMYFUNCTION("""COMPUTED_VALUE"""),"Q23. Freeness and fairness of the last national election")</f>
        <v>Q23. Freeness and fairness of the last national election</v>
      </c>
      <c r="F68" s="7" t="str">
        <f>IFERROR(__xludf.DUMMYFUNCTION("""COMPUTED_VALUE"""),"2016")</f>
        <v>2016</v>
      </c>
    </row>
    <row r="69">
      <c r="A69" s="7" t="str">
        <f>IFERROR(__xludf.DUMMYFUNCTION("""COMPUTED_VALUE"""),"ZAMBIA")</f>
        <v>ZAMBIA</v>
      </c>
      <c r="B69" s="7">
        <f>IFERROR(__xludf.DUMMYFUNCTION("""COMPUTED_VALUE"""),7.0)</f>
        <v>7</v>
      </c>
      <c r="C69" s="7" t="str">
        <f>IFERROR(__xludf.DUMMYFUNCTION("""COMPUTED_VALUE"""),"A_10_10")</f>
        <v>A_10_10</v>
      </c>
      <c r="D69" s="7" t="str">
        <f>IFERROR(__xludf.DUMMYFUNCTION("""COMPUTED_VALUE"""),"Q23")</f>
        <v>Q23</v>
      </c>
      <c r="E69" s="7" t="str">
        <f>IFERROR(__xludf.DUMMYFUNCTION("""COMPUTED_VALUE"""),"Q23. Freeness and fairness of the last national election")</f>
        <v>Q23. Freeness and fairness of the last national election</v>
      </c>
      <c r="F69" s="7" t="str">
        <f>IFERROR(__xludf.DUMMYFUNCTION("""COMPUTED_VALUE"""),"2016")</f>
        <v>2016</v>
      </c>
    </row>
    <row r="70">
      <c r="A70" s="7" t="str">
        <f>IFERROR(__xludf.DUMMYFUNCTION("""COMPUTED_VALUE"""),"ZIMBABWE")</f>
        <v>ZIMBABWE</v>
      </c>
      <c r="B70" s="7">
        <f>IFERROR(__xludf.DUMMYFUNCTION("""COMPUTED_VALUE"""),7.0)</f>
        <v>7</v>
      </c>
      <c r="C70" s="7" t="str">
        <f>IFERROR(__xludf.DUMMYFUNCTION("""COMPUTED_VALUE"""),"A_10_10")</f>
        <v>A_10_10</v>
      </c>
      <c r="D70" s="7" t="str">
        <f>IFERROR(__xludf.DUMMYFUNCTION("""COMPUTED_VALUE"""),"Q23")</f>
        <v>Q23</v>
      </c>
      <c r="E70" s="7" t="str">
        <f>IFERROR(__xludf.DUMMYFUNCTION("""COMPUTED_VALUE"""),"Q23. Freeness and fairness of the last national election")</f>
        <v>Q23. Freeness and fairness of the last national election</v>
      </c>
      <c r="F70" s="7" t="str">
        <f>IFERROR(__xludf.DUMMYFUNCTION("""COMPUTED_VALUE"""),"2013")</f>
        <v>2013</v>
      </c>
    </row>
    <row r="71">
      <c r="A71" s="7" t="str">
        <f>IFERROR(__xludf.DUMMYFUNCTION("""COMPUTED_VALUE"""),"BENIN")</f>
        <v>BENIN</v>
      </c>
      <c r="B71" s="7">
        <f>IFERROR(__xludf.DUMMYFUNCTION("""COMPUTED_VALUE"""),7.0)</f>
        <v>7</v>
      </c>
      <c r="C71" s="7" t="str">
        <f>IFERROR(__xludf.DUMMYFUNCTION("""COMPUTED_VALUE"""),"A_10_23")</f>
        <v>A_10_23</v>
      </c>
      <c r="D71" s="7" t="str">
        <f>IFERROR(__xludf.DUMMYFUNCTION("""COMPUTED_VALUE"""),"Q24A")</f>
        <v>Q24A</v>
      </c>
      <c r="E71" s="7" t="str">
        <f>IFERROR(__xludf.DUMMYFUNCTION("""COMPUTED_VALUE"""),"Q24a. Last national election: attend a campaign rally")</f>
        <v>Q24a. Last national election: attend a campaign rally</v>
      </c>
      <c r="F71" s="7" t="str">
        <f>IFERROR(__xludf.DUMMYFUNCTION("""COMPUTED_VALUE"""),"2016")</f>
        <v>2016</v>
      </c>
    </row>
    <row r="72">
      <c r="A72" s="7" t="str">
        <f>IFERROR(__xludf.DUMMYFUNCTION("""COMPUTED_VALUE"""),"BOTSWANA")</f>
        <v>BOTSWANA</v>
      </c>
      <c r="B72" s="7">
        <f>IFERROR(__xludf.DUMMYFUNCTION("""COMPUTED_VALUE"""),7.0)</f>
        <v>7</v>
      </c>
      <c r="C72" s="7" t="str">
        <f>IFERROR(__xludf.DUMMYFUNCTION("""COMPUTED_VALUE"""),"A_10_23")</f>
        <v>A_10_23</v>
      </c>
      <c r="D72" s="7" t="str">
        <f>IFERROR(__xludf.DUMMYFUNCTION("""COMPUTED_VALUE"""),"Q24A")</f>
        <v>Q24A</v>
      </c>
      <c r="E72" s="7" t="str">
        <f>IFERROR(__xludf.DUMMYFUNCTION("""COMPUTED_VALUE"""),"Q24a. Last national election: attend a campaign rally")</f>
        <v>Q24a. Last national election: attend a campaign rally</v>
      </c>
      <c r="F72" s="7" t="str">
        <f>IFERROR(__xludf.DUMMYFUNCTION("""COMPUTED_VALUE"""),"2014")</f>
        <v>2014</v>
      </c>
    </row>
    <row r="73">
      <c r="A73" s="7" t="str">
        <f>IFERROR(__xludf.DUMMYFUNCTION("""COMPUTED_VALUE"""),"BURKINA FASO")</f>
        <v>BURKINA FASO</v>
      </c>
      <c r="B73" s="7">
        <f>IFERROR(__xludf.DUMMYFUNCTION("""COMPUTED_VALUE"""),7.0)</f>
        <v>7</v>
      </c>
      <c r="C73" s="7" t="str">
        <f>IFERROR(__xludf.DUMMYFUNCTION("""COMPUTED_VALUE"""),"A_10_23")</f>
        <v>A_10_23</v>
      </c>
      <c r="D73" s="7" t="str">
        <f>IFERROR(__xludf.DUMMYFUNCTION("""COMPUTED_VALUE"""),"Q24A")</f>
        <v>Q24A</v>
      </c>
      <c r="E73" s="7" t="str">
        <f>IFERROR(__xludf.DUMMYFUNCTION("""COMPUTED_VALUE"""),"Q24a. Last national election: attend a campaign rally")</f>
        <v>Q24a. Last national election: attend a campaign rally</v>
      </c>
      <c r="F73" s="7" t="str">
        <f>IFERROR(__xludf.DUMMYFUNCTION("""COMPUTED_VALUE"""),"2015")</f>
        <v>2015</v>
      </c>
    </row>
    <row r="74">
      <c r="A74" s="7" t="str">
        <f>IFERROR(__xludf.DUMMYFUNCTION("""COMPUTED_VALUE"""),"CABO VERDE")</f>
        <v>CABO VERDE</v>
      </c>
      <c r="B74" s="7">
        <f>IFERROR(__xludf.DUMMYFUNCTION("""COMPUTED_VALUE"""),7.0)</f>
        <v>7</v>
      </c>
      <c r="C74" s="7" t="str">
        <f>IFERROR(__xludf.DUMMYFUNCTION("""COMPUTED_VALUE"""),"A_10_23")</f>
        <v>A_10_23</v>
      </c>
      <c r="D74" s="7" t="str">
        <f>IFERROR(__xludf.DUMMYFUNCTION("""COMPUTED_VALUE"""),"Q24A")</f>
        <v>Q24A</v>
      </c>
      <c r="E74" s="7" t="str">
        <f>IFERROR(__xludf.DUMMYFUNCTION("""COMPUTED_VALUE"""),"Q24a. Last national election: attend a campaign rally")</f>
        <v>Q24a. Last national election: attend a campaign rally</v>
      </c>
      <c r="F74" s="7" t="str">
        <f>IFERROR(__xludf.DUMMYFUNCTION("""COMPUTED_VALUE"""),"2016")</f>
        <v>2016</v>
      </c>
    </row>
    <row r="75">
      <c r="A75" s="7" t="str">
        <f>IFERROR(__xludf.DUMMYFUNCTION("""COMPUTED_VALUE"""),"CAMEROON")</f>
        <v>CAMEROON</v>
      </c>
      <c r="B75" s="7">
        <f>IFERROR(__xludf.DUMMYFUNCTION("""COMPUTED_VALUE"""),7.0)</f>
        <v>7</v>
      </c>
      <c r="C75" s="7" t="str">
        <f>IFERROR(__xludf.DUMMYFUNCTION("""COMPUTED_VALUE"""),"A_10_23")</f>
        <v>A_10_23</v>
      </c>
      <c r="D75" s="7" t="str">
        <f>IFERROR(__xludf.DUMMYFUNCTION("""COMPUTED_VALUE"""),"Q24A")</f>
        <v>Q24A</v>
      </c>
      <c r="E75" s="7" t="str">
        <f>IFERROR(__xludf.DUMMYFUNCTION("""COMPUTED_VALUE"""),"Q24a. Last national election: attend a campaign rally")</f>
        <v>Q24a. Last national election: attend a campaign rally</v>
      </c>
      <c r="F75" s="7" t="str">
        <f>IFERROR(__xludf.DUMMYFUNCTION("""COMPUTED_VALUE"""),"2013")</f>
        <v>2013</v>
      </c>
    </row>
    <row r="76">
      <c r="A76" s="7" t="str">
        <f>IFERROR(__xludf.DUMMYFUNCTION("""COMPUTED_VALUE"""),"COTE D'IVOIRE")</f>
        <v>COTE D'IVOIRE</v>
      </c>
      <c r="B76" s="7">
        <f>IFERROR(__xludf.DUMMYFUNCTION("""COMPUTED_VALUE"""),7.0)</f>
        <v>7</v>
      </c>
      <c r="C76" s="7" t="str">
        <f>IFERROR(__xludf.DUMMYFUNCTION("""COMPUTED_VALUE"""),"A_10_23")</f>
        <v>A_10_23</v>
      </c>
      <c r="D76" s="7" t="str">
        <f>IFERROR(__xludf.DUMMYFUNCTION("""COMPUTED_VALUE"""),"Q24A")</f>
        <v>Q24A</v>
      </c>
      <c r="E76" s="7" t="str">
        <f>IFERROR(__xludf.DUMMYFUNCTION("""COMPUTED_VALUE"""),"Q24a. Last national election: attend a campaign rally")</f>
        <v>Q24a. Last national election: attend a campaign rally</v>
      </c>
      <c r="F76" s="7" t="str">
        <f>IFERROR(__xludf.DUMMYFUNCTION("""COMPUTED_VALUE"""),"2016")</f>
        <v>2016</v>
      </c>
    </row>
    <row r="77">
      <c r="A77" s="7" t="str">
        <f>IFERROR(__xludf.DUMMYFUNCTION("""COMPUTED_VALUE"""),"ESWATINI")</f>
        <v>ESWATINI</v>
      </c>
      <c r="B77" s="7">
        <f>IFERROR(__xludf.DUMMYFUNCTION("""COMPUTED_VALUE"""),7.0)</f>
        <v>7</v>
      </c>
      <c r="C77" s="7" t="str">
        <f>IFERROR(__xludf.DUMMYFUNCTION("""COMPUTED_VALUE"""),"A_10_23")</f>
        <v>A_10_23</v>
      </c>
      <c r="D77" s="7" t="str">
        <f>IFERROR(__xludf.DUMMYFUNCTION("""COMPUTED_VALUE"""),"Q24A")</f>
        <v>Q24A</v>
      </c>
      <c r="E77" s="7" t="str">
        <f>IFERROR(__xludf.DUMMYFUNCTION("""COMPUTED_VALUE"""),"Q24a. Last national election: attend a campaign rally")</f>
        <v>Q24a. Last national election: attend a campaign rally</v>
      </c>
      <c r="F77" s="7" t="str">
        <f>IFERROR(__xludf.DUMMYFUNCTION("""COMPUTED_VALUE"""),"2013")</f>
        <v>2013</v>
      </c>
    </row>
    <row r="78">
      <c r="A78" s="7" t="str">
        <f>IFERROR(__xludf.DUMMYFUNCTION("""COMPUTED_VALUE"""),"GABON")</f>
        <v>GABON</v>
      </c>
      <c r="B78" s="7">
        <f>IFERROR(__xludf.DUMMYFUNCTION("""COMPUTED_VALUE"""),7.0)</f>
        <v>7</v>
      </c>
      <c r="C78" s="7" t="str">
        <f>IFERROR(__xludf.DUMMYFUNCTION("""COMPUTED_VALUE"""),"A_10_23")</f>
        <v>A_10_23</v>
      </c>
      <c r="D78" s="7" t="str">
        <f>IFERROR(__xludf.DUMMYFUNCTION("""COMPUTED_VALUE"""),"Q24A")</f>
        <v>Q24A</v>
      </c>
      <c r="E78" s="7" t="str">
        <f>IFERROR(__xludf.DUMMYFUNCTION("""COMPUTED_VALUE"""),"Q24a. Last national election: attend a campaign rally")</f>
        <v>Q24a. Last national election: attend a campaign rally</v>
      </c>
      <c r="F78" s="7" t="str">
        <f>IFERROR(__xludf.DUMMYFUNCTION("""COMPUTED_VALUE"""),"2016")</f>
        <v>2016</v>
      </c>
    </row>
    <row r="79">
      <c r="A79" s="7" t="str">
        <f>IFERROR(__xludf.DUMMYFUNCTION("""COMPUTED_VALUE"""),"GAMBIA")</f>
        <v>GAMBIA</v>
      </c>
      <c r="B79" s="7">
        <f>IFERROR(__xludf.DUMMYFUNCTION("""COMPUTED_VALUE"""),7.0)</f>
        <v>7</v>
      </c>
      <c r="C79" s="7" t="str">
        <f>IFERROR(__xludf.DUMMYFUNCTION("""COMPUTED_VALUE"""),"A_10_23")</f>
        <v>A_10_23</v>
      </c>
      <c r="D79" s="7" t="str">
        <f>IFERROR(__xludf.DUMMYFUNCTION("""COMPUTED_VALUE"""),"Q24A")</f>
        <v>Q24A</v>
      </c>
      <c r="E79" s="7" t="str">
        <f>IFERROR(__xludf.DUMMYFUNCTION("""COMPUTED_VALUE"""),"Q24a. Last national election: attend a campaign rally")</f>
        <v>Q24a. Last national election: attend a campaign rally</v>
      </c>
      <c r="F79" s="7" t="str">
        <f>IFERROR(__xludf.DUMMYFUNCTION("""COMPUTED_VALUE"""),"2017")</f>
        <v>2017</v>
      </c>
    </row>
    <row r="80">
      <c r="A80" s="7" t="str">
        <f>IFERROR(__xludf.DUMMYFUNCTION("""COMPUTED_VALUE"""),"GHANA")</f>
        <v>GHANA</v>
      </c>
      <c r="B80" s="7">
        <f>IFERROR(__xludf.DUMMYFUNCTION("""COMPUTED_VALUE"""),7.0)</f>
        <v>7</v>
      </c>
      <c r="C80" s="7" t="str">
        <f>IFERROR(__xludf.DUMMYFUNCTION("""COMPUTED_VALUE"""),"A_10_23")</f>
        <v>A_10_23</v>
      </c>
      <c r="D80" s="7" t="str">
        <f>IFERROR(__xludf.DUMMYFUNCTION("""COMPUTED_VALUE"""),"Q24A")</f>
        <v>Q24A</v>
      </c>
      <c r="E80" s="7" t="str">
        <f>IFERROR(__xludf.DUMMYFUNCTION("""COMPUTED_VALUE"""),"Q24a. Last national election: attend a campaign rally")</f>
        <v>Q24a. Last national election: attend a campaign rally</v>
      </c>
      <c r="F80" s="7" t="str">
        <f>IFERROR(__xludf.DUMMYFUNCTION("""COMPUTED_VALUE"""),"2016")</f>
        <v>2016</v>
      </c>
    </row>
    <row r="81">
      <c r="A81" s="7" t="str">
        <f>IFERROR(__xludf.DUMMYFUNCTION("""COMPUTED_VALUE"""),"GUINEA")</f>
        <v>GUINEA</v>
      </c>
      <c r="B81" s="7">
        <f>IFERROR(__xludf.DUMMYFUNCTION("""COMPUTED_VALUE"""),7.0)</f>
        <v>7</v>
      </c>
      <c r="C81" s="7" t="str">
        <f>IFERROR(__xludf.DUMMYFUNCTION("""COMPUTED_VALUE"""),"A_10_23")</f>
        <v>A_10_23</v>
      </c>
      <c r="D81" s="7" t="str">
        <f>IFERROR(__xludf.DUMMYFUNCTION("""COMPUTED_VALUE"""),"Q24A")</f>
        <v>Q24A</v>
      </c>
      <c r="E81" s="7" t="str">
        <f>IFERROR(__xludf.DUMMYFUNCTION("""COMPUTED_VALUE"""),"Q24a. Last national election: attend a campaign rally")</f>
        <v>Q24a. Last national election: attend a campaign rally</v>
      </c>
      <c r="F81" s="7" t="str">
        <f>IFERROR(__xludf.DUMMYFUNCTION("""COMPUTED_VALUE"""),"2015")</f>
        <v>2015</v>
      </c>
    </row>
    <row r="82">
      <c r="A82" s="7" t="str">
        <f>IFERROR(__xludf.DUMMYFUNCTION("""COMPUTED_VALUE"""),"KENYA")</f>
        <v>KENYA</v>
      </c>
      <c r="B82" s="7">
        <f>IFERROR(__xludf.DUMMYFUNCTION("""COMPUTED_VALUE"""),7.0)</f>
        <v>7</v>
      </c>
      <c r="C82" s="7" t="str">
        <f>IFERROR(__xludf.DUMMYFUNCTION("""COMPUTED_VALUE"""),"A_10_23")</f>
        <v>A_10_23</v>
      </c>
      <c r="D82" s="7" t="str">
        <f>IFERROR(__xludf.DUMMYFUNCTION("""COMPUTED_VALUE"""),"Q24A")</f>
        <v>Q24A</v>
      </c>
      <c r="E82" s="7" t="str">
        <f>IFERROR(__xludf.DUMMYFUNCTION("""COMPUTED_VALUE"""),"Q24a. Last national election: attend a campaign rally")</f>
        <v>Q24a. Last national election: attend a campaign rally</v>
      </c>
      <c r="F82" s="7" t="str">
        <f>IFERROR(__xludf.DUMMYFUNCTION("""COMPUTED_VALUE"""),"2013")</f>
        <v>2013</v>
      </c>
    </row>
    <row r="83">
      <c r="A83" s="7" t="str">
        <f>IFERROR(__xludf.DUMMYFUNCTION("""COMPUTED_VALUE"""),"LESOTHO")</f>
        <v>LESOTHO</v>
      </c>
      <c r="B83" s="7">
        <f>IFERROR(__xludf.DUMMYFUNCTION("""COMPUTED_VALUE"""),7.0)</f>
        <v>7</v>
      </c>
      <c r="C83" s="7" t="str">
        <f>IFERROR(__xludf.DUMMYFUNCTION("""COMPUTED_VALUE"""),"A_10_23")</f>
        <v>A_10_23</v>
      </c>
      <c r="D83" s="7" t="str">
        <f>IFERROR(__xludf.DUMMYFUNCTION("""COMPUTED_VALUE"""),"Q24A")</f>
        <v>Q24A</v>
      </c>
      <c r="E83" s="7" t="str">
        <f>IFERROR(__xludf.DUMMYFUNCTION("""COMPUTED_VALUE"""),"Q24a. Last national election: attend a campaign rally")</f>
        <v>Q24a. Last national election: attend a campaign rally</v>
      </c>
      <c r="F83" s="7" t="str">
        <f>IFERROR(__xludf.DUMMYFUNCTION("""COMPUTED_VALUE"""),"2017")</f>
        <v>2017</v>
      </c>
    </row>
    <row r="84">
      <c r="A84" s="7" t="str">
        <f>IFERROR(__xludf.DUMMYFUNCTION("""COMPUTED_VALUE"""),"LIBERIA")</f>
        <v>LIBERIA</v>
      </c>
      <c r="B84" s="7">
        <f>IFERROR(__xludf.DUMMYFUNCTION("""COMPUTED_VALUE"""),7.0)</f>
        <v>7</v>
      </c>
      <c r="C84" s="7" t="str">
        <f>IFERROR(__xludf.DUMMYFUNCTION("""COMPUTED_VALUE"""),"A_10_23")</f>
        <v>A_10_23</v>
      </c>
      <c r="D84" s="7" t="str">
        <f>IFERROR(__xludf.DUMMYFUNCTION("""COMPUTED_VALUE"""),"Q24A")</f>
        <v>Q24A</v>
      </c>
      <c r="E84" s="7" t="str">
        <f>IFERROR(__xludf.DUMMYFUNCTION("""COMPUTED_VALUE"""),"Q24a. Last national election: attend a campaign rally")</f>
        <v>Q24a. Last national election: attend a campaign rally</v>
      </c>
      <c r="F84" s="7" t="str">
        <f>IFERROR(__xludf.DUMMYFUNCTION("""COMPUTED_VALUE"""),"2017")</f>
        <v>2017</v>
      </c>
    </row>
    <row r="85">
      <c r="A85" s="7" t="str">
        <f>IFERROR(__xludf.DUMMYFUNCTION("""COMPUTED_VALUE"""),"MADAGASCAR")</f>
        <v>MADAGASCAR</v>
      </c>
      <c r="B85" s="7">
        <f>IFERROR(__xludf.DUMMYFUNCTION("""COMPUTED_VALUE"""),7.0)</f>
        <v>7</v>
      </c>
      <c r="C85" s="7" t="str">
        <f>IFERROR(__xludf.DUMMYFUNCTION("""COMPUTED_VALUE"""),"A_10_23")</f>
        <v>A_10_23</v>
      </c>
      <c r="D85" s="7" t="str">
        <f>IFERROR(__xludf.DUMMYFUNCTION("""COMPUTED_VALUE"""),"Q24A")</f>
        <v>Q24A</v>
      </c>
      <c r="E85" s="7" t="str">
        <f>IFERROR(__xludf.DUMMYFUNCTION("""COMPUTED_VALUE"""),"Q24a. Last national election: attend a campaign rally")</f>
        <v>Q24a. Last national election: attend a campaign rally</v>
      </c>
      <c r="F85" s="7" t="str">
        <f>IFERROR(__xludf.DUMMYFUNCTION("""COMPUTED_VALUE"""),"2013")</f>
        <v>2013</v>
      </c>
    </row>
    <row r="86">
      <c r="A86" s="7" t="str">
        <f>IFERROR(__xludf.DUMMYFUNCTION("""COMPUTED_VALUE"""),"MALAWI")</f>
        <v>MALAWI</v>
      </c>
      <c r="B86" s="7">
        <f>IFERROR(__xludf.DUMMYFUNCTION("""COMPUTED_VALUE"""),7.0)</f>
        <v>7</v>
      </c>
      <c r="C86" s="7" t="str">
        <f>IFERROR(__xludf.DUMMYFUNCTION("""COMPUTED_VALUE"""),"A_10_23")</f>
        <v>A_10_23</v>
      </c>
      <c r="D86" s="7" t="str">
        <f>IFERROR(__xludf.DUMMYFUNCTION("""COMPUTED_VALUE"""),"Q24A")</f>
        <v>Q24A</v>
      </c>
      <c r="E86" s="7" t="str">
        <f>IFERROR(__xludf.DUMMYFUNCTION("""COMPUTED_VALUE"""),"Q24a. Last national election: attend a campaign rally")</f>
        <v>Q24a. Last national election: attend a campaign rally</v>
      </c>
      <c r="F86" s="7" t="str">
        <f>IFERROR(__xludf.DUMMYFUNCTION("""COMPUTED_VALUE"""),"2014")</f>
        <v>2014</v>
      </c>
    </row>
    <row r="87">
      <c r="A87" s="7" t="str">
        <f>IFERROR(__xludf.DUMMYFUNCTION("""COMPUTED_VALUE"""),"MALI")</f>
        <v>MALI</v>
      </c>
      <c r="B87" s="7">
        <f>IFERROR(__xludf.DUMMYFUNCTION("""COMPUTED_VALUE"""),7.0)</f>
        <v>7</v>
      </c>
      <c r="C87" s="7" t="str">
        <f>IFERROR(__xludf.DUMMYFUNCTION("""COMPUTED_VALUE"""),"A_10_23")</f>
        <v>A_10_23</v>
      </c>
      <c r="D87" s="7" t="str">
        <f>IFERROR(__xludf.DUMMYFUNCTION("""COMPUTED_VALUE"""),"Q24A")</f>
        <v>Q24A</v>
      </c>
      <c r="E87" s="7" t="str">
        <f>IFERROR(__xludf.DUMMYFUNCTION("""COMPUTED_VALUE"""),"Q24a. Last national election: attend a campaign rally")</f>
        <v>Q24a. Last national election: attend a campaign rally</v>
      </c>
      <c r="F87" s="7" t="str">
        <f>IFERROR(__xludf.DUMMYFUNCTION("""COMPUTED_VALUE"""),"2016")</f>
        <v>2016</v>
      </c>
    </row>
    <row r="88">
      <c r="A88" s="7" t="str">
        <f>IFERROR(__xludf.DUMMYFUNCTION("""COMPUTED_VALUE"""),"MAURITIUS")</f>
        <v>MAURITIUS</v>
      </c>
      <c r="B88" s="7">
        <f>IFERROR(__xludf.DUMMYFUNCTION("""COMPUTED_VALUE"""),7.0)</f>
        <v>7</v>
      </c>
      <c r="C88" s="7" t="str">
        <f>IFERROR(__xludf.DUMMYFUNCTION("""COMPUTED_VALUE"""),"A_10_23")</f>
        <v>A_10_23</v>
      </c>
      <c r="D88" s="7" t="str">
        <f>IFERROR(__xludf.DUMMYFUNCTION("""COMPUTED_VALUE"""),"Q24A")</f>
        <v>Q24A</v>
      </c>
      <c r="E88" s="7" t="str">
        <f>IFERROR(__xludf.DUMMYFUNCTION("""COMPUTED_VALUE"""),"Q24a. Last national election: attend a campaign rally")</f>
        <v>Q24a. Last national election: attend a campaign rally</v>
      </c>
      <c r="F88" s="7" t="str">
        <f>IFERROR(__xludf.DUMMYFUNCTION("""COMPUTED_VALUE"""),"2014")</f>
        <v>2014</v>
      </c>
    </row>
    <row r="89">
      <c r="A89" s="7" t="str">
        <f>IFERROR(__xludf.DUMMYFUNCTION("""COMPUTED_VALUE"""),"MOROCCO")</f>
        <v>MOROCCO</v>
      </c>
      <c r="B89" s="7">
        <f>IFERROR(__xludf.DUMMYFUNCTION("""COMPUTED_VALUE"""),7.0)</f>
        <v>7</v>
      </c>
      <c r="C89" s="7" t="str">
        <f>IFERROR(__xludf.DUMMYFUNCTION("""COMPUTED_VALUE"""),"A_10_23")</f>
        <v>A_10_23</v>
      </c>
      <c r="D89" s="7" t="str">
        <f>IFERROR(__xludf.DUMMYFUNCTION("""COMPUTED_VALUE"""),"Q24A")</f>
        <v>Q24A</v>
      </c>
      <c r="E89" s="7" t="str">
        <f>IFERROR(__xludf.DUMMYFUNCTION("""COMPUTED_VALUE"""),"Q24a. Last national election: attend a campaign rally")</f>
        <v>Q24a. Last national election: attend a campaign rally</v>
      </c>
      <c r="F89" s="7" t="str">
        <f>IFERROR(__xludf.DUMMYFUNCTION("""COMPUTED_VALUE"""),"2016")</f>
        <v>2016</v>
      </c>
    </row>
    <row r="90">
      <c r="A90" s="7" t="str">
        <f>IFERROR(__xludf.DUMMYFUNCTION("""COMPUTED_VALUE"""),"MOZAMBIQUE")</f>
        <v>MOZAMBIQUE</v>
      </c>
      <c r="B90" s="7">
        <f>IFERROR(__xludf.DUMMYFUNCTION("""COMPUTED_VALUE"""),7.0)</f>
        <v>7</v>
      </c>
      <c r="C90" s="7" t="str">
        <f>IFERROR(__xludf.DUMMYFUNCTION("""COMPUTED_VALUE"""),"A_10_23")</f>
        <v>A_10_23</v>
      </c>
      <c r="D90" s="7" t="str">
        <f>IFERROR(__xludf.DUMMYFUNCTION("""COMPUTED_VALUE"""),"Q24A")</f>
        <v>Q24A</v>
      </c>
      <c r="E90" s="7" t="str">
        <f>IFERROR(__xludf.DUMMYFUNCTION("""COMPUTED_VALUE"""),"Q24a. Last national election: attend a campaign rally")</f>
        <v>Q24a. Last national election: attend a campaign rally</v>
      </c>
      <c r="F90" s="7" t="str">
        <f>IFERROR(__xludf.DUMMYFUNCTION("""COMPUTED_VALUE"""),"2014")</f>
        <v>2014</v>
      </c>
    </row>
    <row r="91">
      <c r="A91" s="7" t="str">
        <f>IFERROR(__xludf.DUMMYFUNCTION("""COMPUTED_VALUE"""),"NAMIBIA")</f>
        <v>NAMIBIA</v>
      </c>
      <c r="B91" s="7">
        <f>IFERROR(__xludf.DUMMYFUNCTION("""COMPUTED_VALUE"""),7.0)</f>
        <v>7</v>
      </c>
      <c r="C91" s="7" t="str">
        <f>IFERROR(__xludf.DUMMYFUNCTION("""COMPUTED_VALUE"""),"A_10_23")</f>
        <v>A_10_23</v>
      </c>
      <c r="D91" s="7" t="str">
        <f>IFERROR(__xludf.DUMMYFUNCTION("""COMPUTED_VALUE"""),"Q24A")</f>
        <v>Q24A</v>
      </c>
      <c r="E91" s="7" t="str">
        <f>IFERROR(__xludf.DUMMYFUNCTION("""COMPUTED_VALUE"""),"Q24a. Last national election: attend a campaign rally")</f>
        <v>Q24a. Last national election: attend a campaign rally</v>
      </c>
      <c r="F91" s="7" t="str">
        <f>IFERROR(__xludf.DUMMYFUNCTION("""COMPUTED_VALUE"""),"2014")</f>
        <v>2014</v>
      </c>
    </row>
    <row r="92">
      <c r="A92" s="7" t="str">
        <f>IFERROR(__xludf.DUMMYFUNCTION("""COMPUTED_VALUE"""),"NIGER")</f>
        <v>NIGER</v>
      </c>
      <c r="B92" s="7">
        <f>IFERROR(__xludf.DUMMYFUNCTION("""COMPUTED_VALUE"""),7.0)</f>
        <v>7</v>
      </c>
      <c r="C92" s="7" t="str">
        <f>IFERROR(__xludf.DUMMYFUNCTION("""COMPUTED_VALUE"""),"A_10_23")</f>
        <v>A_10_23</v>
      </c>
      <c r="D92" s="7" t="str">
        <f>IFERROR(__xludf.DUMMYFUNCTION("""COMPUTED_VALUE"""),"Q24A")</f>
        <v>Q24A</v>
      </c>
      <c r="E92" s="7" t="str">
        <f>IFERROR(__xludf.DUMMYFUNCTION("""COMPUTED_VALUE"""),"Q24a. Last national election: attend a campaign rally")</f>
        <v>Q24a. Last national election: attend a campaign rally</v>
      </c>
      <c r="F92" s="7" t="str">
        <f>IFERROR(__xludf.DUMMYFUNCTION("""COMPUTED_VALUE"""),"2016")</f>
        <v>2016</v>
      </c>
    </row>
    <row r="93">
      <c r="A93" s="7" t="str">
        <f>IFERROR(__xludf.DUMMYFUNCTION("""COMPUTED_VALUE"""),"NIGERIA")</f>
        <v>NIGERIA</v>
      </c>
      <c r="B93" s="7">
        <f>IFERROR(__xludf.DUMMYFUNCTION("""COMPUTED_VALUE"""),7.0)</f>
        <v>7</v>
      </c>
      <c r="C93" s="7" t="str">
        <f>IFERROR(__xludf.DUMMYFUNCTION("""COMPUTED_VALUE"""),"A_10_23")</f>
        <v>A_10_23</v>
      </c>
      <c r="D93" s="7" t="str">
        <f>IFERROR(__xludf.DUMMYFUNCTION("""COMPUTED_VALUE"""),"Q24A")</f>
        <v>Q24A</v>
      </c>
      <c r="E93" s="7" t="str">
        <f>IFERROR(__xludf.DUMMYFUNCTION("""COMPUTED_VALUE"""),"Q24a. Last national election: attend a campaign rally")</f>
        <v>Q24a. Last national election: attend a campaign rally</v>
      </c>
      <c r="F93" s="7" t="str">
        <f>IFERROR(__xludf.DUMMYFUNCTION("""COMPUTED_VALUE"""),"2015")</f>
        <v>2015</v>
      </c>
    </row>
    <row r="94">
      <c r="A94" s="7" t="str">
        <f>IFERROR(__xludf.DUMMYFUNCTION("""COMPUTED_VALUE"""),"SAO TOME AND PRINCIPE")</f>
        <v>SAO TOME AND PRINCIPE</v>
      </c>
      <c r="B94" s="7">
        <f>IFERROR(__xludf.DUMMYFUNCTION("""COMPUTED_VALUE"""),7.0)</f>
        <v>7</v>
      </c>
      <c r="C94" s="7" t="str">
        <f>IFERROR(__xludf.DUMMYFUNCTION("""COMPUTED_VALUE"""),"A_10_23")</f>
        <v>A_10_23</v>
      </c>
      <c r="D94" s="7" t="str">
        <f>IFERROR(__xludf.DUMMYFUNCTION("""COMPUTED_VALUE"""),"Q24A")</f>
        <v>Q24A</v>
      </c>
      <c r="E94" s="7" t="str">
        <f>IFERROR(__xludf.DUMMYFUNCTION("""COMPUTED_VALUE"""),"Q24a. Last national election: attend a campaign rally")</f>
        <v>Q24a. Last national election: attend a campaign rally</v>
      </c>
      <c r="F94" s="7" t="str">
        <f>IFERROR(__xludf.DUMMYFUNCTION("""COMPUTED_VALUE"""),"2016")</f>
        <v>2016</v>
      </c>
    </row>
    <row r="95">
      <c r="A95" s="7" t="str">
        <f>IFERROR(__xludf.DUMMYFUNCTION("""COMPUTED_VALUE"""),"SENEGAL")</f>
        <v>SENEGAL</v>
      </c>
      <c r="B95" s="7">
        <f>IFERROR(__xludf.DUMMYFUNCTION("""COMPUTED_VALUE"""),7.0)</f>
        <v>7</v>
      </c>
      <c r="C95" s="7" t="str">
        <f>IFERROR(__xludf.DUMMYFUNCTION("""COMPUTED_VALUE"""),"A_10_23")</f>
        <v>A_10_23</v>
      </c>
      <c r="D95" s="7" t="str">
        <f>IFERROR(__xludf.DUMMYFUNCTION("""COMPUTED_VALUE"""),"Q24A")</f>
        <v>Q24A</v>
      </c>
      <c r="E95" s="7" t="str">
        <f>IFERROR(__xludf.DUMMYFUNCTION("""COMPUTED_VALUE"""),"Q24a. Last national election: attend a campaign rally")</f>
        <v>Q24a. Last national election: attend a campaign rally</v>
      </c>
      <c r="F95" s="7" t="str">
        <f>IFERROR(__xludf.DUMMYFUNCTION("""COMPUTED_VALUE"""),"2017")</f>
        <v>2017</v>
      </c>
    </row>
    <row r="96">
      <c r="A96" s="7" t="str">
        <f>IFERROR(__xludf.DUMMYFUNCTION("""COMPUTED_VALUE"""),"SIERRA LEONE")</f>
        <v>SIERRA LEONE</v>
      </c>
      <c r="B96" s="7">
        <f>IFERROR(__xludf.DUMMYFUNCTION("""COMPUTED_VALUE"""),7.0)</f>
        <v>7</v>
      </c>
      <c r="C96" s="7" t="str">
        <f>IFERROR(__xludf.DUMMYFUNCTION("""COMPUTED_VALUE"""),"A_10_23")</f>
        <v>A_10_23</v>
      </c>
      <c r="D96" s="7" t="str">
        <f>IFERROR(__xludf.DUMMYFUNCTION("""COMPUTED_VALUE"""),"Q24A")</f>
        <v>Q24A</v>
      </c>
      <c r="E96" s="7" t="str">
        <f>IFERROR(__xludf.DUMMYFUNCTION("""COMPUTED_VALUE"""),"Q24a. Last national election: attend a campaign rally")</f>
        <v>Q24a. Last national election: attend a campaign rally</v>
      </c>
      <c r="F96" s="7" t="str">
        <f>IFERROR(__xludf.DUMMYFUNCTION("""COMPUTED_VALUE"""),"2018")</f>
        <v>2018</v>
      </c>
    </row>
    <row r="97">
      <c r="A97" s="7" t="str">
        <f>IFERROR(__xludf.DUMMYFUNCTION("""COMPUTED_VALUE"""),"SOUTH AFRICA")</f>
        <v>SOUTH AFRICA</v>
      </c>
      <c r="B97" s="7">
        <f>IFERROR(__xludf.DUMMYFUNCTION("""COMPUTED_VALUE"""),7.0)</f>
        <v>7</v>
      </c>
      <c r="C97" s="7" t="str">
        <f>IFERROR(__xludf.DUMMYFUNCTION("""COMPUTED_VALUE"""),"A_10_23")</f>
        <v>A_10_23</v>
      </c>
      <c r="D97" s="7" t="str">
        <f>IFERROR(__xludf.DUMMYFUNCTION("""COMPUTED_VALUE"""),"Q24A")</f>
        <v>Q24A</v>
      </c>
      <c r="E97" s="7" t="str">
        <f>IFERROR(__xludf.DUMMYFUNCTION("""COMPUTED_VALUE"""),"Q24a. Last national election: attend a campaign rally")</f>
        <v>Q24a. Last national election: attend a campaign rally</v>
      </c>
      <c r="F97" s="7" t="str">
        <f>IFERROR(__xludf.DUMMYFUNCTION("""COMPUTED_VALUE"""),"2014")</f>
        <v>2014</v>
      </c>
    </row>
    <row r="98">
      <c r="A98" s="7" t="str">
        <f>IFERROR(__xludf.DUMMYFUNCTION("""COMPUTED_VALUE"""),"SUDAN")</f>
        <v>SUDAN</v>
      </c>
      <c r="B98" s="7">
        <f>IFERROR(__xludf.DUMMYFUNCTION("""COMPUTED_VALUE"""),7.0)</f>
        <v>7</v>
      </c>
      <c r="C98" s="7" t="str">
        <f>IFERROR(__xludf.DUMMYFUNCTION("""COMPUTED_VALUE"""),"A_10_23")</f>
        <v>A_10_23</v>
      </c>
      <c r="D98" s="7" t="str">
        <f>IFERROR(__xludf.DUMMYFUNCTION("""COMPUTED_VALUE"""),"Q24A")</f>
        <v>Q24A</v>
      </c>
      <c r="E98" s="7" t="str">
        <f>IFERROR(__xludf.DUMMYFUNCTION("""COMPUTED_VALUE"""),"Q24a. Last national election: attend a campaign rally")</f>
        <v>Q24a. Last national election: attend a campaign rally</v>
      </c>
      <c r="F98" s="7" t="str">
        <f>IFERROR(__xludf.DUMMYFUNCTION("""COMPUTED_VALUE"""),"2015")</f>
        <v>2015</v>
      </c>
    </row>
    <row r="99">
      <c r="A99" s="7" t="str">
        <f>IFERROR(__xludf.DUMMYFUNCTION("""COMPUTED_VALUE"""),"TANZANIA")</f>
        <v>TANZANIA</v>
      </c>
      <c r="B99" s="7">
        <f>IFERROR(__xludf.DUMMYFUNCTION("""COMPUTED_VALUE"""),7.0)</f>
        <v>7</v>
      </c>
      <c r="C99" s="7" t="str">
        <f>IFERROR(__xludf.DUMMYFUNCTION("""COMPUTED_VALUE"""),"A_10_23")</f>
        <v>A_10_23</v>
      </c>
      <c r="D99" s="7" t="str">
        <f>IFERROR(__xludf.DUMMYFUNCTION("""COMPUTED_VALUE"""),"Q24A")</f>
        <v>Q24A</v>
      </c>
      <c r="E99" s="7" t="str">
        <f>IFERROR(__xludf.DUMMYFUNCTION("""COMPUTED_VALUE"""),"Q24a. Last national election: attend a campaign rally")</f>
        <v>Q24a. Last national election: attend a campaign rally</v>
      </c>
      <c r="F99" s="7" t="str">
        <f>IFERROR(__xludf.DUMMYFUNCTION("""COMPUTED_VALUE"""),"2015")</f>
        <v>2015</v>
      </c>
    </row>
    <row r="100">
      <c r="A100" s="7" t="str">
        <f>IFERROR(__xludf.DUMMYFUNCTION("""COMPUTED_VALUE"""),"TOGO")</f>
        <v>TOGO</v>
      </c>
      <c r="B100" s="7">
        <f>IFERROR(__xludf.DUMMYFUNCTION("""COMPUTED_VALUE"""),7.0)</f>
        <v>7</v>
      </c>
      <c r="C100" s="7" t="str">
        <f>IFERROR(__xludf.DUMMYFUNCTION("""COMPUTED_VALUE"""),"A_10_23")</f>
        <v>A_10_23</v>
      </c>
      <c r="D100" s="7" t="str">
        <f>IFERROR(__xludf.DUMMYFUNCTION("""COMPUTED_VALUE"""),"Q24A")</f>
        <v>Q24A</v>
      </c>
      <c r="E100" s="7" t="str">
        <f>IFERROR(__xludf.DUMMYFUNCTION("""COMPUTED_VALUE"""),"Q24a. Last national election: attend a campaign rally")</f>
        <v>Q24a. Last national election: attend a campaign rally</v>
      </c>
      <c r="F100" s="7" t="str">
        <f>IFERROR(__xludf.DUMMYFUNCTION("""COMPUTED_VALUE"""),"2013")</f>
        <v>2013</v>
      </c>
    </row>
    <row r="101">
      <c r="A101" s="7" t="str">
        <f>IFERROR(__xludf.DUMMYFUNCTION("""COMPUTED_VALUE"""),"TUNISIA")</f>
        <v>TUNISIA</v>
      </c>
      <c r="B101" s="7">
        <f>IFERROR(__xludf.DUMMYFUNCTION("""COMPUTED_VALUE"""),7.0)</f>
        <v>7</v>
      </c>
      <c r="C101" s="7" t="str">
        <f>IFERROR(__xludf.DUMMYFUNCTION("""COMPUTED_VALUE"""),"A_10_23")</f>
        <v>A_10_23</v>
      </c>
      <c r="D101" s="7" t="str">
        <f>IFERROR(__xludf.DUMMYFUNCTION("""COMPUTED_VALUE"""),"Q24A")</f>
        <v>Q24A</v>
      </c>
      <c r="E101" s="7" t="str">
        <f>IFERROR(__xludf.DUMMYFUNCTION("""COMPUTED_VALUE"""),"Q24a. Last national election: attend a campaign rally")</f>
        <v>Q24a. Last national election: attend a campaign rally</v>
      </c>
      <c r="F101" s="7" t="str">
        <f>IFERROR(__xludf.DUMMYFUNCTION("""COMPUTED_VALUE"""),"2014")</f>
        <v>2014</v>
      </c>
    </row>
    <row r="102">
      <c r="A102" s="7" t="str">
        <f>IFERROR(__xludf.DUMMYFUNCTION("""COMPUTED_VALUE"""),"UGANDA")</f>
        <v>UGANDA</v>
      </c>
      <c r="B102" s="7">
        <f>IFERROR(__xludf.DUMMYFUNCTION("""COMPUTED_VALUE"""),7.0)</f>
        <v>7</v>
      </c>
      <c r="C102" s="7" t="str">
        <f>IFERROR(__xludf.DUMMYFUNCTION("""COMPUTED_VALUE"""),"A_10_23")</f>
        <v>A_10_23</v>
      </c>
      <c r="D102" s="7" t="str">
        <f>IFERROR(__xludf.DUMMYFUNCTION("""COMPUTED_VALUE"""),"Q24A")</f>
        <v>Q24A</v>
      </c>
      <c r="E102" s="7" t="str">
        <f>IFERROR(__xludf.DUMMYFUNCTION("""COMPUTED_VALUE"""),"Q24a. Last national election: attend a campaign rally")</f>
        <v>Q24a. Last national election: attend a campaign rally</v>
      </c>
      <c r="F102" s="7" t="str">
        <f>IFERROR(__xludf.DUMMYFUNCTION("""COMPUTED_VALUE"""),"2016")</f>
        <v>2016</v>
      </c>
    </row>
    <row r="103">
      <c r="A103" s="7" t="str">
        <f>IFERROR(__xludf.DUMMYFUNCTION("""COMPUTED_VALUE"""),"ZAMBIA")</f>
        <v>ZAMBIA</v>
      </c>
      <c r="B103" s="7">
        <f>IFERROR(__xludf.DUMMYFUNCTION("""COMPUTED_VALUE"""),7.0)</f>
        <v>7</v>
      </c>
      <c r="C103" s="7" t="str">
        <f>IFERROR(__xludf.DUMMYFUNCTION("""COMPUTED_VALUE"""),"A_10_23")</f>
        <v>A_10_23</v>
      </c>
      <c r="D103" s="7" t="str">
        <f>IFERROR(__xludf.DUMMYFUNCTION("""COMPUTED_VALUE"""),"Q24A")</f>
        <v>Q24A</v>
      </c>
      <c r="E103" s="7" t="str">
        <f>IFERROR(__xludf.DUMMYFUNCTION("""COMPUTED_VALUE"""),"Q24a. Last national election: attend a campaign rally")</f>
        <v>Q24a. Last national election: attend a campaign rally</v>
      </c>
      <c r="F103" s="7" t="str">
        <f>IFERROR(__xludf.DUMMYFUNCTION("""COMPUTED_VALUE"""),"2016")</f>
        <v>2016</v>
      </c>
    </row>
    <row r="104">
      <c r="A104" s="7" t="str">
        <f>IFERROR(__xludf.DUMMYFUNCTION("""COMPUTED_VALUE"""),"ZIMBABWE")</f>
        <v>ZIMBABWE</v>
      </c>
      <c r="B104" s="7">
        <f>IFERROR(__xludf.DUMMYFUNCTION("""COMPUTED_VALUE"""),7.0)</f>
        <v>7</v>
      </c>
      <c r="C104" s="7" t="str">
        <f>IFERROR(__xludf.DUMMYFUNCTION("""COMPUTED_VALUE"""),"A_10_23")</f>
        <v>A_10_23</v>
      </c>
      <c r="D104" s="7" t="str">
        <f>IFERROR(__xludf.DUMMYFUNCTION("""COMPUTED_VALUE"""),"Q24A")</f>
        <v>Q24A</v>
      </c>
      <c r="E104" s="7" t="str">
        <f>IFERROR(__xludf.DUMMYFUNCTION("""COMPUTED_VALUE"""),"Q24a. Last national election: attend a campaign rally")</f>
        <v>Q24a. Last national election: attend a campaign rally</v>
      </c>
      <c r="F104" s="7" t="str">
        <f>IFERROR(__xludf.DUMMYFUNCTION("""COMPUTED_VALUE"""),"2013")</f>
        <v>2013</v>
      </c>
    </row>
    <row r="105">
      <c r="A105" s="7" t="str">
        <f>IFERROR(__xludf.DUMMYFUNCTION("""COMPUTED_VALUE"""),"BENIN")</f>
        <v>BENIN</v>
      </c>
      <c r="B105" s="7">
        <f>IFERROR(__xludf.DUMMYFUNCTION("""COMPUTED_VALUE"""),7.0)</f>
        <v>7</v>
      </c>
      <c r="C105" s="7" t="str">
        <f>IFERROR(__xludf.DUMMYFUNCTION("""COMPUTED_VALUE"""),"A_10_27")</f>
        <v>A_10_27</v>
      </c>
      <c r="D105" s="7" t="str">
        <f>IFERROR(__xludf.DUMMYFUNCTION("""COMPUTED_VALUE"""),"Q24B")</f>
        <v>Q24B</v>
      </c>
      <c r="E105" s="7" t="str">
        <f>IFERROR(__xludf.DUMMYFUNCTION("""COMPUTED_VALUE"""),"Q24b. Last national election: work for a candidate or party")</f>
        <v>Q24b. Last national election: work for a candidate or party</v>
      </c>
      <c r="F105" s="7" t="str">
        <f>IFERROR(__xludf.DUMMYFUNCTION("""COMPUTED_VALUE"""),"2016")</f>
        <v>2016</v>
      </c>
    </row>
    <row r="106">
      <c r="A106" s="7" t="str">
        <f>IFERROR(__xludf.DUMMYFUNCTION("""COMPUTED_VALUE"""),"BOTSWANA")</f>
        <v>BOTSWANA</v>
      </c>
      <c r="B106" s="7">
        <f>IFERROR(__xludf.DUMMYFUNCTION("""COMPUTED_VALUE"""),7.0)</f>
        <v>7</v>
      </c>
      <c r="C106" s="7" t="str">
        <f>IFERROR(__xludf.DUMMYFUNCTION("""COMPUTED_VALUE"""),"A_10_27")</f>
        <v>A_10_27</v>
      </c>
      <c r="D106" s="7" t="str">
        <f>IFERROR(__xludf.DUMMYFUNCTION("""COMPUTED_VALUE"""),"Q24B")</f>
        <v>Q24B</v>
      </c>
      <c r="E106" s="7" t="str">
        <f>IFERROR(__xludf.DUMMYFUNCTION("""COMPUTED_VALUE"""),"Q24b. Last national election: work for a candidate or party")</f>
        <v>Q24b. Last national election: work for a candidate or party</v>
      </c>
      <c r="F106" s="7" t="str">
        <f>IFERROR(__xludf.DUMMYFUNCTION("""COMPUTED_VALUE"""),"2014")</f>
        <v>2014</v>
      </c>
    </row>
    <row r="107">
      <c r="A107" s="7" t="str">
        <f>IFERROR(__xludf.DUMMYFUNCTION("""COMPUTED_VALUE"""),"BURKINA FASO")</f>
        <v>BURKINA FASO</v>
      </c>
      <c r="B107" s="7">
        <f>IFERROR(__xludf.DUMMYFUNCTION("""COMPUTED_VALUE"""),7.0)</f>
        <v>7</v>
      </c>
      <c r="C107" s="7" t="str">
        <f>IFERROR(__xludf.DUMMYFUNCTION("""COMPUTED_VALUE"""),"A_10_27")</f>
        <v>A_10_27</v>
      </c>
      <c r="D107" s="7" t="str">
        <f>IFERROR(__xludf.DUMMYFUNCTION("""COMPUTED_VALUE"""),"Q24B")</f>
        <v>Q24B</v>
      </c>
      <c r="E107" s="7" t="str">
        <f>IFERROR(__xludf.DUMMYFUNCTION("""COMPUTED_VALUE"""),"Q24b. Last national election: work for a candidate or party")</f>
        <v>Q24b. Last national election: work for a candidate or party</v>
      </c>
      <c r="F107" s="7" t="str">
        <f>IFERROR(__xludf.DUMMYFUNCTION("""COMPUTED_VALUE"""),"2015")</f>
        <v>2015</v>
      </c>
    </row>
    <row r="108">
      <c r="A108" s="7" t="str">
        <f>IFERROR(__xludf.DUMMYFUNCTION("""COMPUTED_VALUE"""),"CABO VERDE")</f>
        <v>CABO VERDE</v>
      </c>
      <c r="B108" s="7">
        <f>IFERROR(__xludf.DUMMYFUNCTION("""COMPUTED_VALUE"""),7.0)</f>
        <v>7</v>
      </c>
      <c r="C108" s="7" t="str">
        <f>IFERROR(__xludf.DUMMYFUNCTION("""COMPUTED_VALUE"""),"A_10_27")</f>
        <v>A_10_27</v>
      </c>
      <c r="D108" s="7" t="str">
        <f>IFERROR(__xludf.DUMMYFUNCTION("""COMPUTED_VALUE"""),"Q24B")</f>
        <v>Q24B</v>
      </c>
      <c r="E108" s="7" t="str">
        <f>IFERROR(__xludf.DUMMYFUNCTION("""COMPUTED_VALUE"""),"Q24b. Last national election: work for a candidate or party")</f>
        <v>Q24b. Last national election: work for a candidate or party</v>
      </c>
      <c r="F108" s="7" t="str">
        <f>IFERROR(__xludf.DUMMYFUNCTION("""COMPUTED_VALUE"""),"2016")</f>
        <v>2016</v>
      </c>
    </row>
    <row r="109">
      <c r="A109" s="7" t="str">
        <f>IFERROR(__xludf.DUMMYFUNCTION("""COMPUTED_VALUE"""),"CAMEROON")</f>
        <v>CAMEROON</v>
      </c>
      <c r="B109" s="7">
        <f>IFERROR(__xludf.DUMMYFUNCTION("""COMPUTED_VALUE"""),7.0)</f>
        <v>7</v>
      </c>
      <c r="C109" s="7" t="str">
        <f>IFERROR(__xludf.DUMMYFUNCTION("""COMPUTED_VALUE"""),"A_10_27")</f>
        <v>A_10_27</v>
      </c>
      <c r="D109" s="7" t="str">
        <f>IFERROR(__xludf.DUMMYFUNCTION("""COMPUTED_VALUE"""),"Q24B")</f>
        <v>Q24B</v>
      </c>
      <c r="E109" s="7" t="str">
        <f>IFERROR(__xludf.DUMMYFUNCTION("""COMPUTED_VALUE"""),"Q24b. Last national election: work for a candidate or party")</f>
        <v>Q24b. Last national election: work for a candidate or party</v>
      </c>
      <c r="F109" s="7" t="str">
        <f>IFERROR(__xludf.DUMMYFUNCTION("""COMPUTED_VALUE"""),"2013")</f>
        <v>2013</v>
      </c>
    </row>
    <row r="110">
      <c r="A110" s="7" t="str">
        <f>IFERROR(__xludf.DUMMYFUNCTION("""COMPUTED_VALUE"""),"COTE D'IVOIRE")</f>
        <v>COTE D'IVOIRE</v>
      </c>
      <c r="B110" s="7">
        <f>IFERROR(__xludf.DUMMYFUNCTION("""COMPUTED_VALUE"""),7.0)</f>
        <v>7</v>
      </c>
      <c r="C110" s="7" t="str">
        <f>IFERROR(__xludf.DUMMYFUNCTION("""COMPUTED_VALUE"""),"A_10_27")</f>
        <v>A_10_27</v>
      </c>
      <c r="D110" s="7" t="str">
        <f>IFERROR(__xludf.DUMMYFUNCTION("""COMPUTED_VALUE"""),"Q24B")</f>
        <v>Q24B</v>
      </c>
      <c r="E110" s="7" t="str">
        <f>IFERROR(__xludf.DUMMYFUNCTION("""COMPUTED_VALUE"""),"Q24b. Last national election: work for a candidate or party")</f>
        <v>Q24b. Last national election: work for a candidate or party</v>
      </c>
      <c r="F110" s="7" t="str">
        <f>IFERROR(__xludf.DUMMYFUNCTION("""COMPUTED_VALUE"""),"2016")</f>
        <v>2016</v>
      </c>
    </row>
    <row r="111">
      <c r="A111" s="7" t="str">
        <f>IFERROR(__xludf.DUMMYFUNCTION("""COMPUTED_VALUE"""),"ESWATINI")</f>
        <v>ESWATINI</v>
      </c>
      <c r="B111" s="7">
        <f>IFERROR(__xludf.DUMMYFUNCTION("""COMPUTED_VALUE"""),7.0)</f>
        <v>7</v>
      </c>
      <c r="C111" s="7" t="str">
        <f>IFERROR(__xludf.DUMMYFUNCTION("""COMPUTED_VALUE"""),"A_10_27")</f>
        <v>A_10_27</v>
      </c>
      <c r="D111" s="7" t="str">
        <f>IFERROR(__xludf.DUMMYFUNCTION("""COMPUTED_VALUE"""),"Q24B")</f>
        <v>Q24B</v>
      </c>
      <c r="E111" s="7" t="str">
        <f>IFERROR(__xludf.DUMMYFUNCTION("""COMPUTED_VALUE"""),"Q24b. Last national election: work for a candidate or party")</f>
        <v>Q24b. Last national election: work for a candidate or party</v>
      </c>
      <c r="F111" s="7" t="str">
        <f>IFERROR(__xludf.DUMMYFUNCTION("""COMPUTED_VALUE"""),"N/A")</f>
        <v>N/A</v>
      </c>
    </row>
    <row r="112">
      <c r="A112" s="7" t="str">
        <f>IFERROR(__xludf.DUMMYFUNCTION("""COMPUTED_VALUE"""),"GABON")</f>
        <v>GABON</v>
      </c>
      <c r="B112" s="7">
        <f>IFERROR(__xludf.DUMMYFUNCTION("""COMPUTED_VALUE"""),7.0)</f>
        <v>7</v>
      </c>
      <c r="C112" s="7" t="str">
        <f>IFERROR(__xludf.DUMMYFUNCTION("""COMPUTED_VALUE"""),"A_10_27")</f>
        <v>A_10_27</v>
      </c>
      <c r="D112" s="7" t="str">
        <f>IFERROR(__xludf.DUMMYFUNCTION("""COMPUTED_VALUE"""),"Q24B")</f>
        <v>Q24B</v>
      </c>
      <c r="E112" s="7" t="str">
        <f>IFERROR(__xludf.DUMMYFUNCTION("""COMPUTED_VALUE"""),"Q24b. Last national election: work for a candidate or party")</f>
        <v>Q24b. Last national election: work for a candidate or party</v>
      </c>
      <c r="F112" s="7" t="str">
        <f>IFERROR(__xludf.DUMMYFUNCTION("""COMPUTED_VALUE"""),"2016")</f>
        <v>2016</v>
      </c>
    </row>
    <row r="113">
      <c r="A113" s="7" t="str">
        <f>IFERROR(__xludf.DUMMYFUNCTION("""COMPUTED_VALUE"""),"GAMBIA")</f>
        <v>GAMBIA</v>
      </c>
      <c r="B113" s="7">
        <f>IFERROR(__xludf.DUMMYFUNCTION("""COMPUTED_VALUE"""),7.0)</f>
        <v>7</v>
      </c>
      <c r="C113" s="7" t="str">
        <f>IFERROR(__xludf.DUMMYFUNCTION("""COMPUTED_VALUE"""),"A_10_27")</f>
        <v>A_10_27</v>
      </c>
      <c r="D113" s="7" t="str">
        <f>IFERROR(__xludf.DUMMYFUNCTION("""COMPUTED_VALUE"""),"Q24B")</f>
        <v>Q24B</v>
      </c>
      <c r="E113" s="7" t="str">
        <f>IFERROR(__xludf.DUMMYFUNCTION("""COMPUTED_VALUE"""),"Q24b. Last national election: work for a candidate or party")</f>
        <v>Q24b. Last national election: work for a candidate or party</v>
      </c>
      <c r="F113" s="7" t="str">
        <f>IFERROR(__xludf.DUMMYFUNCTION("""COMPUTED_VALUE"""),"2017")</f>
        <v>2017</v>
      </c>
    </row>
    <row r="114">
      <c r="A114" s="7" t="str">
        <f>IFERROR(__xludf.DUMMYFUNCTION("""COMPUTED_VALUE"""),"GHANA")</f>
        <v>GHANA</v>
      </c>
      <c r="B114" s="7">
        <f>IFERROR(__xludf.DUMMYFUNCTION("""COMPUTED_VALUE"""),7.0)</f>
        <v>7</v>
      </c>
      <c r="C114" s="7" t="str">
        <f>IFERROR(__xludf.DUMMYFUNCTION("""COMPUTED_VALUE"""),"A_10_27")</f>
        <v>A_10_27</v>
      </c>
      <c r="D114" s="7" t="str">
        <f>IFERROR(__xludf.DUMMYFUNCTION("""COMPUTED_VALUE"""),"Q24B")</f>
        <v>Q24B</v>
      </c>
      <c r="E114" s="7" t="str">
        <f>IFERROR(__xludf.DUMMYFUNCTION("""COMPUTED_VALUE"""),"Q24b. Last national election: work for a candidate or party")</f>
        <v>Q24b. Last national election: work for a candidate or party</v>
      </c>
      <c r="F114" s="7" t="str">
        <f>IFERROR(__xludf.DUMMYFUNCTION("""COMPUTED_VALUE"""),"2016")</f>
        <v>2016</v>
      </c>
    </row>
    <row r="115">
      <c r="A115" s="7" t="str">
        <f>IFERROR(__xludf.DUMMYFUNCTION("""COMPUTED_VALUE"""),"GUINEA")</f>
        <v>GUINEA</v>
      </c>
      <c r="B115" s="7">
        <f>IFERROR(__xludf.DUMMYFUNCTION("""COMPUTED_VALUE"""),7.0)</f>
        <v>7</v>
      </c>
      <c r="C115" s="7" t="str">
        <f>IFERROR(__xludf.DUMMYFUNCTION("""COMPUTED_VALUE"""),"A_10_27")</f>
        <v>A_10_27</v>
      </c>
      <c r="D115" s="7" t="str">
        <f>IFERROR(__xludf.DUMMYFUNCTION("""COMPUTED_VALUE"""),"Q24B")</f>
        <v>Q24B</v>
      </c>
      <c r="E115" s="7" t="str">
        <f>IFERROR(__xludf.DUMMYFUNCTION("""COMPUTED_VALUE"""),"Q24b. Last national election: work for a candidate or party")</f>
        <v>Q24b. Last national election: work for a candidate or party</v>
      </c>
      <c r="F115" s="7" t="str">
        <f>IFERROR(__xludf.DUMMYFUNCTION("""COMPUTED_VALUE"""),"2015")</f>
        <v>2015</v>
      </c>
    </row>
    <row r="116">
      <c r="A116" s="7" t="str">
        <f>IFERROR(__xludf.DUMMYFUNCTION("""COMPUTED_VALUE"""),"KENYA")</f>
        <v>KENYA</v>
      </c>
      <c r="B116" s="7">
        <f>IFERROR(__xludf.DUMMYFUNCTION("""COMPUTED_VALUE"""),7.0)</f>
        <v>7</v>
      </c>
      <c r="C116" s="7" t="str">
        <f>IFERROR(__xludf.DUMMYFUNCTION("""COMPUTED_VALUE"""),"A_10_27")</f>
        <v>A_10_27</v>
      </c>
      <c r="D116" s="7" t="str">
        <f>IFERROR(__xludf.DUMMYFUNCTION("""COMPUTED_VALUE"""),"Q24B")</f>
        <v>Q24B</v>
      </c>
      <c r="E116" s="7" t="str">
        <f>IFERROR(__xludf.DUMMYFUNCTION("""COMPUTED_VALUE"""),"Q24b. Last national election: work for a candidate or party")</f>
        <v>Q24b. Last national election: work for a candidate or party</v>
      </c>
      <c r="F116" s="7" t="str">
        <f>IFERROR(__xludf.DUMMYFUNCTION("""COMPUTED_VALUE"""),"2013")</f>
        <v>2013</v>
      </c>
    </row>
    <row r="117">
      <c r="A117" s="7" t="str">
        <f>IFERROR(__xludf.DUMMYFUNCTION("""COMPUTED_VALUE"""),"LESOTHO")</f>
        <v>LESOTHO</v>
      </c>
      <c r="B117" s="7">
        <f>IFERROR(__xludf.DUMMYFUNCTION("""COMPUTED_VALUE"""),7.0)</f>
        <v>7</v>
      </c>
      <c r="C117" s="7" t="str">
        <f>IFERROR(__xludf.DUMMYFUNCTION("""COMPUTED_VALUE"""),"A_10_27")</f>
        <v>A_10_27</v>
      </c>
      <c r="D117" s="7" t="str">
        <f>IFERROR(__xludf.DUMMYFUNCTION("""COMPUTED_VALUE"""),"Q24B")</f>
        <v>Q24B</v>
      </c>
      <c r="E117" s="7" t="str">
        <f>IFERROR(__xludf.DUMMYFUNCTION("""COMPUTED_VALUE"""),"Q24b. Last national election: work for a candidate or party")</f>
        <v>Q24b. Last national election: work for a candidate or party</v>
      </c>
      <c r="F117" s="7" t="str">
        <f>IFERROR(__xludf.DUMMYFUNCTION("""COMPUTED_VALUE"""),"2017")</f>
        <v>2017</v>
      </c>
    </row>
    <row r="118">
      <c r="A118" s="7" t="str">
        <f>IFERROR(__xludf.DUMMYFUNCTION("""COMPUTED_VALUE"""),"LIBERIA")</f>
        <v>LIBERIA</v>
      </c>
      <c r="B118" s="7">
        <f>IFERROR(__xludf.DUMMYFUNCTION("""COMPUTED_VALUE"""),7.0)</f>
        <v>7</v>
      </c>
      <c r="C118" s="7" t="str">
        <f>IFERROR(__xludf.DUMMYFUNCTION("""COMPUTED_VALUE"""),"A_10_27")</f>
        <v>A_10_27</v>
      </c>
      <c r="D118" s="7" t="str">
        <f>IFERROR(__xludf.DUMMYFUNCTION("""COMPUTED_VALUE"""),"Q24B")</f>
        <v>Q24B</v>
      </c>
      <c r="E118" s="7" t="str">
        <f>IFERROR(__xludf.DUMMYFUNCTION("""COMPUTED_VALUE"""),"Q24b. Last national election: work for a candidate or party")</f>
        <v>Q24b. Last national election: work for a candidate or party</v>
      </c>
      <c r="F118" s="7" t="str">
        <f>IFERROR(__xludf.DUMMYFUNCTION("""COMPUTED_VALUE"""),"2017")</f>
        <v>2017</v>
      </c>
    </row>
    <row r="119">
      <c r="A119" s="7" t="str">
        <f>IFERROR(__xludf.DUMMYFUNCTION("""COMPUTED_VALUE"""),"MADAGASCAR")</f>
        <v>MADAGASCAR</v>
      </c>
      <c r="B119" s="7">
        <f>IFERROR(__xludf.DUMMYFUNCTION("""COMPUTED_VALUE"""),7.0)</f>
        <v>7</v>
      </c>
      <c r="C119" s="7" t="str">
        <f>IFERROR(__xludf.DUMMYFUNCTION("""COMPUTED_VALUE"""),"A_10_27")</f>
        <v>A_10_27</v>
      </c>
      <c r="D119" s="7" t="str">
        <f>IFERROR(__xludf.DUMMYFUNCTION("""COMPUTED_VALUE"""),"Q24B")</f>
        <v>Q24B</v>
      </c>
      <c r="E119" s="7" t="str">
        <f>IFERROR(__xludf.DUMMYFUNCTION("""COMPUTED_VALUE"""),"Q24b. Last national election: work for a candidate or party")</f>
        <v>Q24b. Last national election: work for a candidate or party</v>
      </c>
      <c r="F119" s="7" t="str">
        <f>IFERROR(__xludf.DUMMYFUNCTION("""COMPUTED_VALUE"""),"2013")</f>
        <v>2013</v>
      </c>
    </row>
    <row r="120">
      <c r="A120" s="7" t="str">
        <f>IFERROR(__xludf.DUMMYFUNCTION("""COMPUTED_VALUE"""),"MALAWI")</f>
        <v>MALAWI</v>
      </c>
      <c r="B120" s="7">
        <f>IFERROR(__xludf.DUMMYFUNCTION("""COMPUTED_VALUE"""),7.0)</f>
        <v>7</v>
      </c>
      <c r="C120" s="7" t="str">
        <f>IFERROR(__xludf.DUMMYFUNCTION("""COMPUTED_VALUE"""),"A_10_27")</f>
        <v>A_10_27</v>
      </c>
      <c r="D120" s="7" t="str">
        <f>IFERROR(__xludf.DUMMYFUNCTION("""COMPUTED_VALUE"""),"Q24B")</f>
        <v>Q24B</v>
      </c>
      <c r="E120" s="7" t="str">
        <f>IFERROR(__xludf.DUMMYFUNCTION("""COMPUTED_VALUE"""),"Q24b. Last national election: work for a candidate or party")</f>
        <v>Q24b. Last national election: work for a candidate or party</v>
      </c>
      <c r="F120" s="7" t="str">
        <f>IFERROR(__xludf.DUMMYFUNCTION("""COMPUTED_VALUE"""),"2014")</f>
        <v>2014</v>
      </c>
    </row>
    <row r="121">
      <c r="A121" s="7" t="str">
        <f>IFERROR(__xludf.DUMMYFUNCTION("""COMPUTED_VALUE"""),"MALI")</f>
        <v>MALI</v>
      </c>
      <c r="B121" s="7">
        <f>IFERROR(__xludf.DUMMYFUNCTION("""COMPUTED_VALUE"""),7.0)</f>
        <v>7</v>
      </c>
      <c r="C121" s="7" t="str">
        <f>IFERROR(__xludf.DUMMYFUNCTION("""COMPUTED_VALUE"""),"A_10_27")</f>
        <v>A_10_27</v>
      </c>
      <c r="D121" s="7" t="str">
        <f>IFERROR(__xludf.DUMMYFUNCTION("""COMPUTED_VALUE"""),"Q24B")</f>
        <v>Q24B</v>
      </c>
      <c r="E121" s="7" t="str">
        <f>IFERROR(__xludf.DUMMYFUNCTION("""COMPUTED_VALUE"""),"Q24b. Last national election: work for a candidate or party")</f>
        <v>Q24b. Last national election: work for a candidate or party</v>
      </c>
      <c r="F121" s="7" t="str">
        <f>IFERROR(__xludf.DUMMYFUNCTION("""COMPUTED_VALUE"""),"2016")</f>
        <v>2016</v>
      </c>
    </row>
    <row r="122">
      <c r="A122" s="7" t="str">
        <f>IFERROR(__xludf.DUMMYFUNCTION("""COMPUTED_VALUE"""),"MAURITIUS")</f>
        <v>MAURITIUS</v>
      </c>
      <c r="B122" s="7">
        <f>IFERROR(__xludf.DUMMYFUNCTION("""COMPUTED_VALUE"""),7.0)</f>
        <v>7</v>
      </c>
      <c r="C122" s="7" t="str">
        <f>IFERROR(__xludf.DUMMYFUNCTION("""COMPUTED_VALUE"""),"A_10_27")</f>
        <v>A_10_27</v>
      </c>
      <c r="D122" s="7" t="str">
        <f>IFERROR(__xludf.DUMMYFUNCTION("""COMPUTED_VALUE"""),"Q24B")</f>
        <v>Q24B</v>
      </c>
      <c r="E122" s="7" t="str">
        <f>IFERROR(__xludf.DUMMYFUNCTION("""COMPUTED_VALUE"""),"Q24b. Last national election: work for a candidate or party")</f>
        <v>Q24b. Last national election: work for a candidate or party</v>
      </c>
      <c r="F122" s="7" t="str">
        <f>IFERROR(__xludf.DUMMYFUNCTION("""COMPUTED_VALUE"""),"2014")</f>
        <v>2014</v>
      </c>
    </row>
    <row r="123">
      <c r="A123" s="7" t="str">
        <f>IFERROR(__xludf.DUMMYFUNCTION("""COMPUTED_VALUE"""),"MOROCCO")</f>
        <v>MOROCCO</v>
      </c>
      <c r="B123" s="7">
        <f>IFERROR(__xludf.DUMMYFUNCTION("""COMPUTED_VALUE"""),7.0)</f>
        <v>7</v>
      </c>
      <c r="C123" s="7" t="str">
        <f>IFERROR(__xludf.DUMMYFUNCTION("""COMPUTED_VALUE"""),"A_10_27")</f>
        <v>A_10_27</v>
      </c>
      <c r="D123" s="7" t="str">
        <f>IFERROR(__xludf.DUMMYFUNCTION("""COMPUTED_VALUE"""),"Q24B")</f>
        <v>Q24B</v>
      </c>
      <c r="E123" s="7" t="str">
        <f>IFERROR(__xludf.DUMMYFUNCTION("""COMPUTED_VALUE"""),"Q24b. Last national election: work for a candidate or party")</f>
        <v>Q24b. Last national election: work for a candidate or party</v>
      </c>
      <c r="F123" s="7" t="str">
        <f>IFERROR(__xludf.DUMMYFUNCTION("""COMPUTED_VALUE"""),"2016")</f>
        <v>2016</v>
      </c>
    </row>
    <row r="124">
      <c r="A124" s="7" t="str">
        <f>IFERROR(__xludf.DUMMYFUNCTION("""COMPUTED_VALUE"""),"MOZAMBIQUE")</f>
        <v>MOZAMBIQUE</v>
      </c>
      <c r="B124" s="7">
        <f>IFERROR(__xludf.DUMMYFUNCTION("""COMPUTED_VALUE"""),7.0)</f>
        <v>7</v>
      </c>
      <c r="C124" s="7" t="str">
        <f>IFERROR(__xludf.DUMMYFUNCTION("""COMPUTED_VALUE"""),"A_10_27")</f>
        <v>A_10_27</v>
      </c>
      <c r="D124" s="7" t="str">
        <f>IFERROR(__xludf.DUMMYFUNCTION("""COMPUTED_VALUE"""),"Q24B")</f>
        <v>Q24B</v>
      </c>
      <c r="E124" s="7" t="str">
        <f>IFERROR(__xludf.DUMMYFUNCTION("""COMPUTED_VALUE"""),"Q24b. Last national election: work for a candidate or party")</f>
        <v>Q24b. Last national election: work for a candidate or party</v>
      </c>
      <c r="F124" s="7" t="str">
        <f>IFERROR(__xludf.DUMMYFUNCTION("""COMPUTED_VALUE"""),"2014")</f>
        <v>2014</v>
      </c>
    </row>
    <row r="125">
      <c r="A125" s="7" t="str">
        <f>IFERROR(__xludf.DUMMYFUNCTION("""COMPUTED_VALUE"""),"NAMIBIA")</f>
        <v>NAMIBIA</v>
      </c>
      <c r="B125" s="7">
        <f>IFERROR(__xludf.DUMMYFUNCTION("""COMPUTED_VALUE"""),7.0)</f>
        <v>7</v>
      </c>
      <c r="C125" s="7" t="str">
        <f>IFERROR(__xludf.DUMMYFUNCTION("""COMPUTED_VALUE"""),"A_10_27")</f>
        <v>A_10_27</v>
      </c>
      <c r="D125" s="7" t="str">
        <f>IFERROR(__xludf.DUMMYFUNCTION("""COMPUTED_VALUE"""),"Q24B")</f>
        <v>Q24B</v>
      </c>
      <c r="E125" s="7" t="str">
        <f>IFERROR(__xludf.DUMMYFUNCTION("""COMPUTED_VALUE"""),"Q24b. Last national election: work for a candidate or party")</f>
        <v>Q24b. Last national election: work for a candidate or party</v>
      </c>
      <c r="F125" s="7" t="str">
        <f>IFERROR(__xludf.DUMMYFUNCTION("""COMPUTED_VALUE"""),"2014")</f>
        <v>2014</v>
      </c>
    </row>
    <row r="126">
      <c r="A126" s="7" t="str">
        <f>IFERROR(__xludf.DUMMYFUNCTION("""COMPUTED_VALUE"""),"NIGER")</f>
        <v>NIGER</v>
      </c>
      <c r="B126" s="7">
        <f>IFERROR(__xludf.DUMMYFUNCTION("""COMPUTED_VALUE"""),7.0)</f>
        <v>7</v>
      </c>
      <c r="C126" s="7" t="str">
        <f>IFERROR(__xludf.DUMMYFUNCTION("""COMPUTED_VALUE"""),"A_10_27")</f>
        <v>A_10_27</v>
      </c>
      <c r="D126" s="7" t="str">
        <f>IFERROR(__xludf.DUMMYFUNCTION("""COMPUTED_VALUE"""),"Q24B")</f>
        <v>Q24B</v>
      </c>
      <c r="E126" s="7" t="str">
        <f>IFERROR(__xludf.DUMMYFUNCTION("""COMPUTED_VALUE"""),"Q24b. Last national election: work for a candidate or party")</f>
        <v>Q24b. Last national election: work for a candidate or party</v>
      </c>
      <c r="F126" s="7" t="str">
        <f>IFERROR(__xludf.DUMMYFUNCTION("""COMPUTED_VALUE"""),"2016")</f>
        <v>2016</v>
      </c>
    </row>
    <row r="127">
      <c r="A127" s="7" t="str">
        <f>IFERROR(__xludf.DUMMYFUNCTION("""COMPUTED_VALUE"""),"NIGERIA")</f>
        <v>NIGERIA</v>
      </c>
      <c r="B127" s="7">
        <f>IFERROR(__xludf.DUMMYFUNCTION("""COMPUTED_VALUE"""),7.0)</f>
        <v>7</v>
      </c>
      <c r="C127" s="7" t="str">
        <f>IFERROR(__xludf.DUMMYFUNCTION("""COMPUTED_VALUE"""),"A_10_27")</f>
        <v>A_10_27</v>
      </c>
      <c r="D127" s="7" t="str">
        <f>IFERROR(__xludf.DUMMYFUNCTION("""COMPUTED_VALUE"""),"Q24B")</f>
        <v>Q24B</v>
      </c>
      <c r="E127" s="7" t="str">
        <f>IFERROR(__xludf.DUMMYFUNCTION("""COMPUTED_VALUE"""),"Q24b. Last national election: work for a candidate or party")</f>
        <v>Q24b. Last national election: work for a candidate or party</v>
      </c>
      <c r="F127" s="7" t="str">
        <f>IFERROR(__xludf.DUMMYFUNCTION("""COMPUTED_VALUE"""),"2015")</f>
        <v>2015</v>
      </c>
    </row>
    <row r="128">
      <c r="A128" s="7" t="str">
        <f>IFERROR(__xludf.DUMMYFUNCTION("""COMPUTED_VALUE"""),"SAO TOME AND PRINCIPE")</f>
        <v>SAO TOME AND PRINCIPE</v>
      </c>
      <c r="B128" s="7">
        <f>IFERROR(__xludf.DUMMYFUNCTION("""COMPUTED_VALUE"""),7.0)</f>
        <v>7</v>
      </c>
      <c r="C128" s="7" t="str">
        <f>IFERROR(__xludf.DUMMYFUNCTION("""COMPUTED_VALUE"""),"A_10_27")</f>
        <v>A_10_27</v>
      </c>
      <c r="D128" s="7" t="str">
        <f>IFERROR(__xludf.DUMMYFUNCTION("""COMPUTED_VALUE"""),"Q24B")</f>
        <v>Q24B</v>
      </c>
      <c r="E128" s="7" t="str">
        <f>IFERROR(__xludf.DUMMYFUNCTION("""COMPUTED_VALUE"""),"Q24b. Last national election: work for a candidate or party")</f>
        <v>Q24b. Last national election: work for a candidate or party</v>
      </c>
      <c r="F128" s="7" t="str">
        <f>IFERROR(__xludf.DUMMYFUNCTION("""COMPUTED_VALUE"""),"2016")</f>
        <v>2016</v>
      </c>
    </row>
    <row r="129">
      <c r="A129" s="7" t="str">
        <f>IFERROR(__xludf.DUMMYFUNCTION("""COMPUTED_VALUE"""),"SENEGAL")</f>
        <v>SENEGAL</v>
      </c>
      <c r="B129" s="7">
        <f>IFERROR(__xludf.DUMMYFUNCTION("""COMPUTED_VALUE"""),7.0)</f>
        <v>7</v>
      </c>
      <c r="C129" s="7" t="str">
        <f>IFERROR(__xludf.DUMMYFUNCTION("""COMPUTED_VALUE"""),"A_10_27")</f>
        <v>A_10_27</v>
      </c>
      <c r="D129" s="7" t="str">
        <f>IFERROR(__xludf.DUMMYFUNCTION("""COMPUTED_VALUE"""),"Q24B")</f>
        <v>Q24B</v>
      </c>
      <c r="E129" s="7" t="str">
        <f>IFERROR(__xludf.DUMMYFUNCTION("""COMPUTED_VALUE"""),"Q24b. Last national election: work for a candidate or party")</f>
        <v>Q24b. Last national election: work for a candidate or party</v>
      </c>
      <c r="F129" s="7" t="str">
        <f>IFERROR(__xludf.DUMMYFUNCTION("""COMPUTED_VALUE"""),"2017")</f>
        <v>2017</v>
      </c>
    </row>
    <row r="130">
      <c r="A130" s="7" t="str">
        <f>IFERROR(__xludf.DUMMYFUNCTION("""COMPUTED_VALUE"""),"SIERRA LEONE")</f>
        <v>SIERRA LEONE</v>
      </c>
      <c r="B130" s="7">
        <f>IFERROR(__xludf.DUMMYFUNCTION("""COMPUTED_VALUE"""),7.0)</f>
        <v>7</v>
      </c>
      <c r="C130" s="7" t="str">
        <f>IFERROR(__xludf.DUMMYFUNCTION("""COMPUTED_VALUE"""),"A_10_27")</f>
        <v>A_10_27</v>
      </c>
      <c r="D130" s="7" t="str">
        <f>IFERROR(__xludf.DUMMYFUNCTION("""COMPUTED_VALUE"""),"Q24B")</f>
        <v>Q24B</v>
      </c>
      <c r="E130" s="7" t="str">
        <f>IFERROR(__xludf.DUMMYFUNCTION("""COMPUTED_VALUE"""),"Q24b. Last national election: work for a candidate or party")</f>
        <v>Q24b. Last national election: work for a candidate or party</v>
      </c>
      <c r="F130" s="7" t="str">
        <f>IFERROR(__xludf.DUMMYFUNCTION("""COMPUTED_VALUE"""),"2018")</f>
        <v>2018</v>
      </c>
    </row>
    <row r="131">
      <c r="A131" s="7" t="str">
        <f>IFERROR(__xludf.DUMMYFUNCTION("""COMPUTED_VALUE"""),"SOUTH AFRICA")</f>
        <v>SOUTH AFRICA</v>
      </c>
      <c r="B131" s="7">
        <f>IFERROR(__xludf.DUMMYFUNCTION("""COMPUTED_VALUE"""),7.0)</f>
        <v>7</v>
      </c>
      <c r="C131" s="7" t="str">
        <f>IFERROR(__xludf.DUMMYFUNCTION("""COMPUTED_VALUE"""),"A_10_27")</f>
        <v>A_10_27</v>
      </c>
      <c r="D131" s="7" t="str">
        <f>IFERROR(__xludf.DUMMYFUNCTION("""COMPUTED_VALUE"""),"Q24B")</f>
        <v>Q24B</v>
      </c>
      <c r="E131" s="7" t="str">
        <f>IFERROR(__xludf.DUMMYFUNCTION("""COMPUTED_VALUE"""),"Q24b. Last national election: work for a candidate or party")</f>
        <v>Q24b. Last national election: work for a candidate or party</v>
      </c>
      <c r="F131" s="7" t="str">
        <f>IFERROR(__xludf.DUMMYFUNCTION("""COMPUTED_VALUE"""),"2014")</f>
        <v>2014</v>
      </c>
    </row>
    <row r="132">
      <c r="A132" s="7" t="str">
        <f>IFERROR(__xludf.DUMMYFUNCTION("""COMPUTED_VALUE"""),"SUDAN")</f>
        <v>SUDAN</v>
      </c>
      <c r="B132" s="7">
        <f>IFERROR(__xludf.DUMMYFUNCTION("""COMPUTED_VALUE"""),7.0)</f>
        <v>7</v>
      </c>
      <c r="C132" s="7" t="str">
        <f>IFERROR(__xludf.DUMMYFUNCTION("""COMPUTED_VALUE"""),"A_10_27")</f>
        <v>A_10_27</v>
      </c>
      <c r="D132" s="7" t="str">
        <f>IFERROR(__xludf.DUMMYFUNCTION("""COMPUTED_VALUE"""),"Q24B")</f>
        <v>Q24B</v>
      </c>
      <c r="E132" s="7" t="str">
        <f>IFERROR(__xludf.DUMMYFUNCTION("""COMPUTED_VALUE"""),"Q24b. Last national election: work for a candidate or party")</f>
        <v>Q24b. Last national election: work for a candidate or party</v>
      </c>
      <c r="F132" s="7" t="str">
        <f>IFERROR(__xludf.DUMMYFUNCTION("""COMPUTED_VALUE"""),"2015")</f>
        <v>2015</v>
      </c>
    </row>
    <row r="133">
      <c r="A133" s="7" t="str">
        <f>IFERROR(__xludf.DUMMYFUNCTION("""COMPUTED_VALUE"""),"TANZANIA")</f>
        <v>TANZANIA</v>
      </c>
      <c r="B133" s="7">
        <f>IFERROR(__xludf.DUMMYFUNCTION("""COMPUTED_VALUE"""),7.0)</f>
        <v>7</v>
      </c>
      <c r="C133" s="7" t="str">
        <f>IFERROR(__xludf.DUMMYFUNCTION("""COMPUTED_VALUE"""),"A_10_27")</f>
        <v>A_10_27</v>
      </c>
      <c r="D133" s="7" t="str">
        <f>IFERROR(__xludf.DUMMYFUNCTION("""COMPUTED_VALUE"""),"Q24B")</f>
        <v>Q24B</v>
      </c>
      <c r="E133" s="7" t="str">
        <f>IFERROR(__xludf.DUMMYFUNCTION("""COMPUTED_VALUE"""),"Q24b. Last national election: work for a candidate or party")</f>
        <v>Q24b. Last national election: work for a candidate or party</v>
      </c>
      <c r="F133" s="7" t="str">
        <f>IFERROR(__xludf.DUMMYFUNCTION("""COMPUTED_VALUE"""),"2015")</f>
        <v>2015</v>
      </c>
    </row>
    <row r="134">
      <c r="A134" s="7" t="str">
        <f>IFERROR(__xludf.DUMMYFUNCTION("""COMPUTED_VALUE"""),"TOGO")</f>
        <v>TOGO</v>
      </c>
      <c r="B134" s="7">
        <f>IFERROR(__xludf.DUMMYFUNCTION("""COMPUTED_VALUE"""),7.0)</f>
        <v>7</v>
      </c>
      <c r="C134" s="7" t="str">
        <f>IFERROR(__xludf.DUMMYFUNCTION("""COMPUTED_VALUE"""),"A_10_27")</f>
        <v>A_10_27</v>
      </c>
      <c r="D134" s="7" t="str">
        <f>IFERROR(__xludf.DUMMYFUNCTION("""COMPUTED_VALUE"""),"Q24B")</f>
        <v>Q24B</v>
      </c>
      <c r="E134" s="7" t="str">
        <f>IFERROR(__xludf.DUMMYFUNCTION("""COMPUTED_VALUE"""),"Q24b. Last national election: work for a candidate or party")</f>
        <v>Q24b. Last national election: work for a candidate or party</v>
      </c>
      <c r="F134" s="7" t="str">
        <f>IFERROR(__xludf.DUMMYFUNCTION("""COMPUTED_VALUE"""),"2013")</f>
        <v>2013</v>
      </c>
    </row>
    <row r="135">
      <c r="A135" s="7" t="str">
        <f>IFERROR(__xludf.DUMMYFUNCTION("""COMPUTED_VALUE"""),"TUNISIA")</f>
        <v>TUNISIA</v>
      </c>
      <c r="B135" s="7">
        <f>IFERROR(__xludf.DUMMYFUNCTION("""COMPUTED_VALUE"""),7.0)</f>
        <v>7</v>
      </c>
      <c r="C135" s="7" t="str">
        <f>IFERROR(__xludf.DUMMYFUNCTION("""COMPUTED_VALUE"""),"A_10_27")</f>
        <v>A_10_27</v>
      </c>
      <c r="D135" s="7" t="str">
        <f>IFERROR(__xludf.DUMMYFUNCTION("""COMPUTED_VALUE"""),"Q24B")</f>
        <v>Q24B</v>
      </c>
      <c r="E135" s="7" t="str">
        <f>IFERROR(__xludf.DUMMYFUNCTION("""COMPUTED_VALUE"""),"Q24b. Last national election: work for a candidate or party")</f>
        <v>Q24b. Last national election: work for a candidate or party</v>
      </c>
      <c r="F135" s="7" t="str">
        <f>IFERROR(__xludf.DUMMYFUNCTION("""COMPUTED_VALUE"""),"2014")</f>
        <v>2014</v>
      </c>
    </row>
    <row r="136">
      <c r="A136" s="7" t="str">
        <f>IFERROR(__xludf.DUMMYFUNCTION("""COMPUTED_VALUE"""),"UGANDA")</f>
        <v>UGANDA</v>
      </c>
      <c r="B136" s="7">
        <f>IFERROR(__xludf.DUMMYFUNCTION("""COMPUTED_VALUE"""),7.0)</f>
        <v>7</v>
      </c>
      <c r="C136" s="7" t="str">
        <f>IFERROR(__xludf.DUMMYFUNCTION("""COMPUTED_VALUE"""),"A_10_27")</f>
        <v>A_10_27</v>
      </c>
      <c r="D136" s="7" t="str">
        <f>IFERROR(__xludf.DUMMYFUNCTION("""COMPUTED_VALUE"""),"Q24B")</f>
        <v>Q24B</v>
      </c>
      <c r="E136" s="7" t="str">
        <f>IFERROR(__xludf.DUMMYFUNCTION("""COMPUTED_VALUE"""),"Q24b. Last national election: work for a candidate or party")</f>
        <v>Q24b. Last national election: work for a candidate or party</v>
      </c>
      <c r="F136" s="7" t="str">
        <f>IFERROR(__xludf.DUMMYFUNCTION("""COMPUTED_VALUE"""),"2016")</f>
        <v>2016</v>
      </c>
    </row>
    <row r="137">
      <c r="A137" s="7" t="str">
        <f>IFERROR(__xludf.DUMMYFUNCTION("""COMPUTED_VALUE"""),"ZAMBIA")</f>
        <v>ZAMBIA</v>
      </c>
      <c r="B137" s="7">
        <f>IFERROR(__xludf.DUMMYFUNCTION("""COMPUTED_VALUE"""),7.0)</f>
        <v>7</v>
      </c>
      <c r="C137" s="7" t="str">
        <f>IFERROR(__xludf.DUMMYFUNCTION("""COMPUTED_VALUE"""),"A_10_27")</f>
        <v>A_10_27</v>
      </c>
      <c r="D137" s="7" t="str">
        <f>IFERROR(__xludf.DUMMYFUNCTION("""COMPUTED_VALUE"""),"Q24B")</f>
        <v>Q24B</v>
      </c>
      <c r="E137" s="7" t="str">
        <f>IFERROR(__xludf.DUMMYFUNCTION("""COMPUTED_VALUE"""),"Q24b. Last national election: work for a candidate or party")</f>
        <v>Q24b. Last national election: work for a candidate or party</v>
      </c>
      <c r="F137" s="7" t="str">
        <f>IFERROR(__xludf.DUMMYFUNCTION("""COMPUTED_VALUE"""),"2016")</f>
        <v>2016</v>
      </c>
    </row>
    <row r="138">
      <c r="A138" s="7" t="str">
        <f>IFERROR(__xludf.DUMMYFUNCTION("""COMPUTED_VALUE"""),"ZIMBABWE")</f>
        <v>ZIMBABWE</v>
      </c>
      <c r="B138" s="7">
        <f>IFERROR(__xludf.DUMMYFUNCTION("""COMPUTED_VALUE"""),7.0)</f>
        <v>7</v>
      </c>
      <c r="C138" s="7" t="str">
        <f>IFERROR(__xludf.DUMMYFUNCTION("""COMPUTED_VALUE"""),"A_10_27")</f>
        <v>A_10_27</v>
      </c>
      <c r="D138" s="7" t="str">
        <f>IFERROR(__xludf.DUMMYFUNCTION("""COMPUTED_VALUE"""),"Q24B")</f>
        <v>Q24B</v>
      </c>
      <c r="E138" s="7" t="str">
        <f>IFERROR(__xludf.DUMMYFUNCTION("""COMPUTED_VALUE"""),"Q24b. Last national election: work for a candidate or party")</f>
        <v>Q24b. Last national election: work for a candidate or party</v>
      </c>
      <c r="F138" s="7" t="str">
        <f>IFERROR(__xludf.DUMMYFUNCTION("""COMPUTED_VALUE"""),"2013")</f>
        <v>2013</v>
      </c>
    </row>
    <row r="139">
      <c r="A139" s="7" t="str">
        <f>IFERROR(__xludf.DUMMYFUNCTION("""COMPUTED_VALUE"""),"BENIN")</f>
        <v>BENIN</v>
      </c>
      <c r="B139" s="7">
        <f>IFERROR(__xludf.DUMMYFUNCTION("""COMPUTED_VALUE"""),7.0)</f>
        <v>7</v>
      </c>
      <c r="C139" s="7" t="str">
        <f>IFERROR(__xludf.DUMMYFUNCTION("""COMPUTED_VALUE"""),"A_05_07")</f>
        <v>A_05_07</v>
      </c>
      <c r="D139" s="7" t="str">
        <f>IFERROR(__xludf.DUMMYFUNCTION("""COMPUTED_VALUE"""),"Q25A")</f>
        <v>Q25A</v>
      </c>
      <c r="E139" s="7" t="str">
        <f>IFERROR(__xludf.DUMMYFUNCTION("""COMPUTED_VALUE"""),"Q25a. Contact local government councillor")</f>
        <v>Q25a. Contact local government councillor</v>
      </c>
      <c r="F139" s="7" t="str">
        <f>IFERROR(__xludf.DUMMYFUNCTION("""COMPUTED_VALUE"""),"A municipal councilor")</f>
        <v>A municipal councilor</v>
      </c>
    </row>
    <row r="140">
      <c r="A140" s="7" t="str">
        <f>IFERROR(__xludf.DUMMYFUNCTION("""COMPUTED_VALUE"""),"BOTSWANA")</f>
        <v>BOTSWANA</v>
      </c>
      <c r="B140" s="7">
        <f>IFERROR(__xludf.DUMMYFUNCTION("""COMPUTED_VALUE"""),7.0)</f>
        <v>7</v>
      </c>
      <c r="C140" s="7" t="str">
        <f>IFERROR(__xludf.DUMMYFUNCTION("""COMPUTED_VALUE"""),"A_05_07")</f>
        <v>A_05_07</v>
      </c>
      <c r="D140" s="7" t="str">
        <f>IFERROR(__xludf.DUMMYFUNCTION("""COMPUTED_VALUE"""),"Q25A")</f>
        <v>Q25A</v>
      </c>
      <c r="E140" s="7" t="str">
        <f>IFERROR(__xludf.DUMMYFUNCTION("""COMPUTED_VALUE"""),"Q25a. Contact local government councillor")</f>
        <v>Q25a. Contact local government councillor</v>
      </c>
      <c r="F140" s="7" t="str">
        <f>IFERROR(__xludf.DUMMYFUNCTION("""COMPUTED_VALUE"""),"A local government councilor")</f>
        <v>A local government councilor</v>
      </c>
    </row>
    <row r="141">
      <c r="A141" s="7" t="str">
        <f>IFERROR(__xludf.DUMMYFUNCTION("""COMPUTED_VALUE"""),"BURKINA FASO")</f>
        <v>BURKINA FASO</v>
      </c>
      <c r="B141" s="7">
        <f>IFERROR(__xludf.DUMMYFUNCTION("""COMPUTED_VALUE"""),7.0)</f>
        <v>7</v>
      </c>
      <c r="C141" s="7" t="str">
        <f>IFERROR(__xludf.DUMMYFUNCTION("""COMPUTED_VALUE"""),"A_05_07")</f>
        <v>A_05_07</v>
      </c>
      <c r="D141" s="7" t="str">
        <f>IFERROR(__xludf.DUMMYFUNCTION("""COMPUTED_VALUE"""),"Q25A")</f>
        <v>Q25A</v>
      </c>
      <c r="E141" s="7" t="str">
        <f>IFERROR(__xludf.DUMMYFUNCTION("""COMPUTED_VALUE"""),"Q25a. Contact local government councillor")</f>
        <v>Q25a. Contact local government councillor</v>
      </c>
      <c r="F141" s="7" t="str">
        <f>IFERROR(__xludf.DUMMYFUNCTION("""COMPUTED_VALUE"""),"A municipal councilor")</f>
        <v>A municipal councilor</v>
      </c>
    </row>
    <row r="142">
      <c r="A142" s="7" t="str">
        <f>IFERROR(__xludf.DUMMYFUNCTION("""COMPUTED_VALUE"""),"CABO VERDE")</f>
        <v>CABO VERDE</v>
      </c>
      <c r="B142" s="7">
        <f>IFERROR(__xludf.DUMMYFUNCTION("""COMPUTED_VALUE"""),7.0)</f>
        <v>7</v>
      </c>
      <c r="C142" s="7" t="str">
        <f>IFERROR(__xludf.DUMMYFUNCTION("""COMPUTED_VALUE"""),"A_05_07")</f>
        <v>A_05_07</v>
      </c>
      <c r="D142" s="7" t="str">
        <f>IFERROR(__xludf.DUMMYFUNCTION("""COMPUTED_VALUE"""),"Q25A")</f>
        <v>Q25A</v>
      </c>
      <c r="E142" s="7" t="str">
        <f>IFERROR(__xludf.DUMMYFUNCTION("""COMPUTED_VALUE"""),"Q25a. Contact local government councillor")</f>
        <v>Q25a. Contact local government councillor</v>
      </c>
      <c r="F142" s="7" t="str">
        <f>IFERROR(__xludf.DUMMYFUNCTION("""COMPUTED_VALUE"""),"A Municipal Councilor")</f>
        <v>A Municipal Councilor</v>
      </c>
    </row>
    <row r="143">
      <c r="A143" s="7" t="str">
        <f>IFERROR(__xludf.DUMMYFUNCTION("""COMPUTED_VALUE"""),"CAMEROON")</f>
        <v>CAMEROON</v>
      </c>
      <c r="B143" s="7">
        <f>IFERROR(__xludf.DUMMYFUNCTION("""COMPUTED_VALUE"""),7.0)</f>
        <v>7</v>
      </c>
      <c r="C143" s="7" t="str">
        <f>IFERROR(__xludf.DUMMYFUNCTION("""COMPUTED_VALUE"""),"A_05_07")</f>
        <v>A_05_07</v>
      </c>
      <c r="D143" s="7" t="str">
        <f>IFERROR(__xludf.DUMMYFUNCTION("""COMPUTED_VALUE"""),"Q25A")</f>
        <v>Q25A</v>
      </c>
      <c r="E143" s="7" t="str">
        <f>IFERROR(__xludf.DUMMYFUNCTION("""COMPUTED_VALUE"""),"Q25a. Contact local government councillor")</f>
        <v>Q25a. Contact local government councillor</v>
      </c>
      <c r="F143" s="7" t="str">
        <f>IFERROR(__xludf.DUMMYFUNCTION("""COMPUTED_VALUE"""),"A municipal councilor")</f>
        <v>A municipal councilor</v>
      </c>
    </row>
    <row r="144">
      <c r="A144" s="7" t="str">
        <f>IFERROR(__xludf.DUMMYFUNCTION("""COMPUTED_VALUE"""),"COTE D'IVOIRE")</f>
        <v>COTE D'IVOIRE</v>
      </c>
      <c r="B144" s="7">
        <f>IFERROR(__xludf.DUMMYFUNCTION("""COMPUTED_VALUE"""),7.0)</f>
        <v>7</v>
      </c>
      <c r="C144" s="7" t="str">
        <f>IFERROR(__xludf.DUMMYFUNCTION("""COMPUTED_VALUE"""),"A_05_07")</f>
        <v>A_05_07</v>
      </c>
      <c r="D144" s="7" t="str">
        <f>IFERROR(__xludf.DUMMYFUNCTION("""COMPUTED_VALUE"""),"Q25A")</f>
        <v>Q25A</v>
      </c>
      <c r="E144" s="7" t="str">
        <f>IFERROR(__xludf.DUMMYFUNCTION("""COMPUTED_VALUE"""),"Q25a. Contact local government councillor")</f>
        <v>Q25a. Contact local government councillor</v>
      </c>
      <c r="F144" s="7" t="str">
        <f>IFERROR(__xludf.DUMMYFUNCTION("""COMPUTED_VALUE"""),"A Municipal Councilor")</f>
        <v>A Municipal Councilor</v>
      </c>
    </row>
    <row r="145">
      <c r="A145" s="7" t="str">
        <f>IFERROR(__xludf.DUMMYFUNCTION("""COMPUTED_VALUE"""),"ESWATINI")</f>
        <v>ESWATINI</v>
      </c>
      <c r="B145" s="7">
        <f>IFERROR(__xludf.DUMMYFUNCTION("""COMPUTED_VALUE"""),7.0)</f>
        <v>7</v>
      </c>
      <c r="C145" s="7" t="str">
        <f>IFERROR(__xludf.DUMMYFUNCTION("""COMPUTED_VALUE"""),"A_05_07")</f>
        <v>A_05_07</v>
      </c>
      <c r="D145" s="7" t="str">
        <f>IFERROR(__xludf.DUMMYFUNCTION("""COMPUTED_VALUE"""),"Q25A")</f>
        <v>Q25A</v>
      </c>
      <c r="E145" s="7" t="str">
        <f>IFERROR(__xludf.DUMMYFUNCTION("""COMPUTED_VALUE"""),"Q25a. Contact local government councillor")</f>
        <v>Q25a. Contact local government councillor</v>
      </c>
      <c r="F145" s="7" t="str">
        <f>IFERROR(__xludf.DUMMYFUNCTION("""COMPUTED_VALUE"""),"A local government councilor")</f>
        <v>A local government councilor</v>
      </c>
    </row>
    <row r="146">
      <c r="A146" s="7" t="str">
        <f>IFERROR(__xludf.DUMMYFUNCTION("""COMPUTED_VALUE"""),"GABON")</f>
        <v>GABON</v>
      </c>
      <c r="B146" s="7">
        <f>IFERROR(__xludf.DUMMYFUNCTION("""COMPUTED_VALUE"""),7.0)</f>
        <v>7</v>
      </c>
      <c r="C146" s="7" t="str">
        <f>IFERROR(__xludf.DUMMYFUNCTION("""COMPUTED_VALUE"""),"A_05_07")</f>
        <v>A_05_07</v>
      </c>
      <c r="D146" s="7" t="str">
        <f>IFERROR(__xludf.DUMMYFUNCTION("""COMPUTED_VALUE"""),"Q25A")</f>
        <v>Q25A</v>
      </c>
      <c r="E146" s="7" t="str">
        <f>IFERROR(__xludf.DUMMYFUNCTION("""COMPUTED_VALUE"""),"Q25a. Contact local government councillor")</f>
        <v>Q25a. Contact local government councillor</v>
      </c>
      <c r="F146" s="7" t="str">
        <f>IFERROR(__xludf.DUMMYFUNCTION("""COMPUTED_VALUE"""),"A municipal or departmental councilor")</f>
        <v>A municipal or departmental councilor</v>
      </c>
    </row>
    <row r="147">
      <c r="A147" s="7" t="str">
        <f>IFERROR(__xludf.DUMMYFUNCTION("""COMPUTED_VALUE"""),"GAMBIA")</f>
        <v>GAMBIA</v>
      </c>
      <c r="B147" s="7">
        <f>IFERROR(__xludf.DUMMYFUNCTION("""COMPUTED_VALUE"""),7.0)</f>
        <v>7</v>
      </c>
      <c r="C147" s="7" t="str">
        <f>IFERROR(__xludf.DUMMYFUNCTION("""COMPUTED_VALUE"""),"A_05_07")</f>
        <v>A_05_07</v>
      </c>
      <c r="D147" s="7" t="str">
        <f>IFERROR(__xludf.DUMMYFUNCTION("""COMPUTED_VALUE"""),"Q25A")</f>
        <v>Q25A</v>
      </c>
      <c r="E147" s="7" t="str">
        <f>IFERROR(__xludf.DUMMYFUNCTION("""COMPUTED_VALUE"""),"Q25a. Contact local government councillor")</f>
        <v>Q25a. Contact local government councillor</v>
      </c>
      <c r="F147" s="7" t="str">
        <f>IFERROR(__xludf.DUMMYFUNCTION("""COMPUTED_VALUE"""),"A local government councillor")</f>
        <v>A local government councillor</v>
      </c>
    </row>
    <row r="148">
      <c r="A148" s="7" t="str">
        <f>IFERROR(__xludf.DUMMYFUNCTION("""COMPUTED_VALUE"""),"GHANA")</f>
        <v>GHANA</v>
      </c>
      <c r="B148" s="7">
        <f>IFERROR(__xludf.DUMMYFUNCTION("""COMPUTED_VALUE"""),7.0)</f>
        <v>7</v>
      </c>
      <c r="C148" s="7" t="str">
        <f>IFERROR(__xludf.DUMMYFUNCTION("""COMPUTED_VALUE"""),"A_05_07")</f>
        <v>A_05_07</v>
      </c>
      <c r="D148" s="7" t="str">
        <f>IFERROR(__xludf.DUMMYFUNCTION("""COMPUTED_VALUE"""),"Q25A")</f>
        <v>Q25A</v>
      </c>
      <c r="E148" s="7" t="str">
        <f>IFERROR(__xludf.DUMMYFUNCTION("""COMPUTED_VALUE"""),"Q25a. Contact local government councillor")</f>
        <v>Q25a. Contact local government councillor</v>
      </c>
      <c r="F148" s="7" t="str">
        <f>IFERROR(__xludf.DUMMYFUNCTION("""COMPUTED_VALUE"""),"An Assembly man or woman")</f>
        <v>An Assembly man or woman</v>
      </c>
    </row>
    <row r="149">
      <c r="A149" s="7" t="str">
        <f>IFERROR(__xludf.DUMMYFUNCTION("""COMPUTED_VALUE"""),"GUINEA")</f>
        <v>GUINEA</v>
      </c>
      <c r="B149" s="7">
        <f>IFERROR(__xludf.DUMMYFUNCTION("""COMPUTED_VALUE"""),7.0)</f>
        <v>7</v>
      </c>
      <c r="C149" s="7" t="str">
        <f>IFERROR(__xludf.DUMMYFUNCTION("""COMPUTED_VALUE"""),"A_05_07")</f>
        <v>A_05_07</v>
      </c>
      <c r="D149" s="7" t="str">
        <f>IFERROR(__xludf.DUMMYFUNCTION("""COMPUTED_VALUE"""),"Q25A")</f>
        <v>Q25A</v>
      </c>
      <c r="E149" s="7" t="str">
        <f>IFERROR(__xludf.DUMMYFUNCTION("""COMPUTED_VALUE"""),"Q25a. Contact local government councillor")</f>
        <v>Q25a. Contact local government councillor</v>
      </c>
      <c r="F149" s="7" t="str">
        <f>IFERROR(__xludf.DUMMYFUNCTION("""COMPUTED_VALUE"""),"A communal councilor")</f>
        <v>A communal councilor</v>
      </c>
    </row>
    <row r="150">
      <c r="A150" s="7" t="str">
        <f>IFERROR(__xludf.DUMMYFUNCTION("""COMPUTED_VALUE"""),"KENYA")</f>
        <v>KENYA</v>
      </c>
      <c r="B150" s="7">
        <f>IFERROR(__xludf.DUMMYFUNCTION("""COMPUTED_VALUE"""),7.0)</f>
        <v>7</v>
      </c>
      <c r="C150" s="7" t="str">
        <f>IFERROR(__xludf.DUMMYFUNCTION("""COMPUTED_VALUE"""),"A_05_07")</f>
        <v>A_05_07</v>
      </c>
      <c r="D150" s="7" t="str">
        <f>IFERROR(__xludf.DUMMYFUNCTION("""COMPUTED_VALUE"""),"Q25A")</f>
        <v>Q25A</v>
      </c>
      <c r="E150" s="7" t="str">
        <f>IFERROR(__xludf.DUMMYFUNCTION("""COMPUTED_VALUE"""),"Q25a. Contact local government councillor")</f>
        <v>Q25a. Contact local government councillor</v>
      </c>
      <c r="F150" s="7" t="str">
        <f>IFERROR(__xludf.DUMMYFUNCTION("""COMPUTED_VALUE"""),"A local member of County Assembly")</f>
        <v>A local member of County Assembly</v>
      </c>
    </row>
    <row r="151">
      <c r="A151" s="7" t="str">
        <f>IFERROR(__xludf.DUMMYFUNCTION("""COMPUTED_VALUE"""),"LESOTHO")</f>
        <v>LESOTHO</v>
      </c>
      <c r="B151" s="7">
        <f>IFERROR(__xludf.DUMMYFUNCTION("""COMPUTED_VALUE"""),7.0)</f>
        <v>7</v>
      </c>
      <c r="C151" s="7" t="str">
        <f>IFERROR(__xludf.DUMMYFUNCTION("""COMPUTED_VALUE"""),"A_05_07")</f>
        <v>A_05_07</v>
      </c>
      <c r="D151" s="7" t="str">
        <f>IFERROR(__xludf.DUMMYFUNCTION("""COMPUTED_VALUE"""),"Q25A")</f>
        <v>Q25A</v>
      </c>
      <c r="E151" s="7" t="str">
        <f>IFERROR(__xludf.DUMMYFUNCTION("""COMPUTED_VALUE"""),"Q25a. Contact local government councillor")</f>
        <v>Q25a. Contact local government councillor</v>
      </c>
      <c r="F151" s="7" t="str">
        <f>IFERROR(__xludf.DUMMYFUNCTION("""COMPUTED_VALUE"""),"Community councilor")</f>
        <v>Community councilor</v>
      </c>
    </row>
    <row r="152">
      <c r="A152" s="7" t="str">
        <f>IFERROR(__xludf.DUMMYFUNCTION("""COMPUTED_VALUE"""),"LIBERIA")</f>
        <v>LIBERIA</v>
      </c>
      <c r="B152" s="7">
        <f>IFERROR(__xludf.DUMMYFUNCTION("""COMPUTED_VALUE"""),7.0)</f>
        <v>7</v>
      </c>
      <c r="C152" s="7" t="str">
        <f>IFERROR(__xludf.DUMMYFUNCTION("""COMPUTED_VALUE"""),"A_05_07")</f>
        <v>A_05_07</v>
      </c>
      <c r="D152" s="7" t="str">
        <f>IFERROR(__xludf.DUMMYFUNCTION("""COMPUTED_VALUE"""),"Q25A")</f>
        <v>Q25A</v>
      </c>
      <c r="E152" s="7" t="str">
        <f>IFERROR(__xludf.DUMMYFUNCTION("""COMPUTED_VALUE"""),"Q25a. Contact local government councillor")</f>
        <v>Q25a. Contact local government councillor</v>
      </c>
      <c r="F152" s="7" t="str">
        <f>IFERROR(__xludf.DUMMYFUNCTION("""COMPUTED_VALUE"""),"A local authority councilor")</f>
        <v>A local authority councilor</v>
      </c>
    </row>
    <row r="153">
      <c r="A153" s="7" t="str">
        <f>IFERROR(__xludf.DUMMYFUNCTION("""COMPUTED_VALUE"""),"MADAGASCAR")</f>
        <v>MADAGASCAR</v>
      </c>
      <c r="B153" s="7">
        <f>IFERROR(__xludf.DUMMYFUNCTION("""COMPUTED_VALUE"""),7.0)</f>
        <v>7</v>
      </c>
      <c r="C153" s="7" t="str">
        <f>IFERROR(__xludf.DUMMYFUNCTION("""COMPUTED_VALUE"""),"A_05_07")</f>
        <v>A_05_07</v>
      </c>
      <c r="D153" s="7" t="str">
        <f>IFERROR(__xludf.DUMMYFUNCTION("""COMPUTED_VALUE"""),"Q25A")</f>
        <v>Q25A</v>
      </c>
      <c r="E153" s="7" t="str">
        <f>IFERROR(__xludf.DUMMYFUNCTION("""COMPUTED_VALUE"""),"Q25a. Contact local government councillor")</f>
        <v>Q25a. Contact local government councillor</v>
      </c>
      <c r="F153" s="7" t="str">
        <f>IFERROR(__xludf.DUMMYFUNCTION("""COMPUTED_VALUE"""),"A municipal councilor")</f>
        <v>A municipal councilor</v>
      </c>
    </row>
    <row r="154">
      <c r="A154" s="7" t="str">
        <f>IFERROR(__xludf.DUMMYFUNCTION("""COMPUTED_VALUE"""),"MALAWI")</f>
        <v>MALAWI</v>
      </c>
      <c r="B154" s="7">
        <f>IFERROR(__xludf.DUMMYFUNCTION("""COMPUTED_VALUE"""),7.0)</f>
        <v>7</v>
      </c>
      <c r="C154" s="7" t="str">
        <f>IFERROR(__xludf.DUMMYFUNCTION("""COMPUTED_VALUE"""),"A_05_07")</f>
        <v>A_05_07</v>
      </c>
      <c r="D154" s="7" t="str">
        <f>IFERROR(__xludf.DUMMYFUNCTION("""COMPUTED_VALUE"""),"Q25A")</f>
        <v>Q25A</v>
      </c>
      <c r="E154" s="7" t="str">
        <f>IFERROR(__xludf.DUMMYFUNCTION("""COMPUTED_VALUE"""),"Q25a. Contact local government councillor")</f>
        <v>Q25a. Contact local government councillor</v>
      </c>
      <c r="F154" s="7" t="str">
        <f>IFERROR(__xludf.DUMMYFUNCTION("""COMPUTED_VALUE"""),"Local government councillor")</f>
        <v>Local government councillor</v>
      </c>
    </row>
    <row r="155">
      <c r="A155" s="7" t="str">
        <f>IFERROR(__xludf.DUMMYFUNCTION("""COMPUTED_VALUE"""),"MALI")</f>
        <v>MALI</v>
      </c>
      <c r="B155" s="7">
        <f>IFERROR(__xludf.DUMMYFUNCTION("""COMPUTED_VALUE"""),7.0)</f>
        <v>7</v>
      </c>
      <c r="C155" s="7" t="str">
        <f>IFERROR(__xludf.DUMMYFUNCTION("""COMPUTED_VALUE"""),"A_05_07")</f>
        <v>A_05_07</v>
      </c>
      <c r="D155" s="7" t="str">
        <f>IFERROR(__xludf.DUMMYFUNCTION("""COMPUTED_VALUE"""),"Q25A")</f>
        <v>Q25A</v>
      </c>
      <c r="E155" s="7" t="str">
        <f>IFERROR(__xludf.DUMMYFUNCTION("""COMPUTED_VALUE"""),"Q25a. Contact local government councillor")</f>
        <v>Q25a. Contact local government councillor</v>
      </c>
      <c r="F155" s="7" t="str">
        <f>IFERROR(__xludf.DUMMYFUNCTION("""COMPUTED_VALUE"""),"A municipal councilor")</f>
        <v>A municipal councilor</v>
      </c>
    </row>
    <row r="156">
      <c r="A156" s="7" t="str">
        <f>IFERROR(__xludf.DUMMYFUNCTION("""COMPUTED_VALUE"""),"MAURITIUS")</f>
        <v>MAURITIUS</v>
      </c>
      <c r="B156" s="7">
        <f>IFERROR(__xludf.DUMMYFUNCTION("""COMPUTED_VALUE"""),7.0)</f>
        <v>7</v>
      </c>
      <c r="C156" s="7" t="str">
        <f>IFERROR(__xludf.DUMMYFUNCTION("""COMPUTED_VALUE"""),"A_05_07")</f>
        <v>A_05_07</v>
      </c>
      <c r="D156" s="7" t="str">
        <f>IFERROR(__xludf.DUMMYFUNCTION("""COMPUTED_VALUE"""),"Q25A")</f>
        <v>Q25A</v>
      </c>
      <c r="E156" s="7" t="str">
        <f>IFERROR(__xludf.DUMMYFUNCTION("""COMPUTED_VALUE"""),"Q25a. Contact local government councillor")</f>
        <v>Q25a. Contact local government councillor</v>
      </c>
      <c r="F156" s="7" t="str">
        <f>IFERROR(__xludf.DUMMYFUNCTION("""COMPUTED_VALUE"""),"A municipal or district councilor")</f>
        <v>A municipal or district councilor</v>
      </c>
    </row>
    <row r="157">
      <c r="A157" s="7" t="str">
        <f>IFERROR(__xludf.DUMMYFUNCTION("""COMPUTED_VALUE"""),"MOROCCO")</f>
        <v>MOROCCO</v>
      </c>
      <c r="B157" s="7">
        <f>IFERROR(__xludf.DUMMYFUNCTION("""COMPUTED_VALUE"""),7.0)</f>
        <v>7</v>
      </c>
      <c r="C157" s="7" t="str">
        <f>IFERROR(__xludf.DUMMYFUNCTION("""COMPUTED_VALUE"""),"A_05_07")</f>
        <v>A_05_07</v>
      </c>
      <c r="D157" s="7" t="str">
        <f>IFERROR(__xludf.DUMMYFUNCTION("""COMPUTED_VALUE"""),"Q25A")</f>
        <v>Q25A</v>
      </c>
      <c r="E157" s="7" t="str">
        <f>IFERROR(__xludf.DUMMYFUNCTION("""COMPUTED_VALUE"""),"Q25a. Contact local government councillor")</f>
        <v>Q25a. Contact local government councillor</v>
      </c>
      <c r="F157" s="7" t="str">
        <f>IFERROR(__xludf.DUMMYFUNCTION("""COMPUTED_VALUE"""),"Local councilor")</f>
        <v>Local councilor</v>
      </c>
    </row>
    <row r="158">
      <c r="A158" s="7" t="str">
        <f>IFERROR(__xludf.DUMMYFUNCTION("""COMPUTED_VALUE"""),"MOZAMBIQUE")</f>
        <v>MOZAMBIQUE</v>
      </c>
      <c r="B158" s="7">
        <f>IFERROR(__xludf.DUMMYFUNCTION("""COMPUTED_VALUE"""),7.0)</f>
        <v>7</v>
      </c>
      <c r="C158" s="7" t="str">
        <f>IFERROR(__xludf.DUMMYFUNCTION("""COMPUTED_VALUE"""),"A_05_07")</f>
        <v>A_05_07</v>
      </c>
      <c r="D158" s="7" t="str">
        <f>IFERROR(__xludf.DUMMYFUNCTION("""COMPUTED_VALUE"""),"Q25A")</f>
        <v>Q25A</v>
      </c>
      <c r="E158" s="7" t="str">
        <f>IFERROR(__xludf.DUMMYFUNCTION("""COMPUTED_VALUE"""),"Q25a. Contact local government councillor")</f>
        <v>Q25a. Contact local government councillor</v>
      </c>
      <c r="F158" s="7" t="str">
        <f>IFERROR(__xludf.DUMMYFUNCTION("""COMPUTED_VALUE"""),"Local government councillor")</f>
        <v>Local government councillor</v>
      </c>
    </row>
    <row r="159">
      <c r="A159" s="7" t="str">
        <f>IFERROR(__xludf.DUMMYFUNCTION("""COMPUTED_VALUE"""),"NAMIBIA")</f>
        <v>NAMIBIA</v>
      </c>
      <c r="B159" s="7">
        <f>IFERROR(__xludf.DUMMYFUNCTION("""COMPUTED_VALUE"""),7.0)</f>
        <v>7</v>
      </c>
      <c r="C159" s="7" t="str">
        <f>IFERROR(__xludf.DUMMYFUNCTION("""COMPUTED_VALUE"""),"A_05_07")</f>
        <v>A_05_07</v>
      </c>
      <c r="D159" s="7" t="str">
        <f>IFERROR(__xludf.DUMMYFUNCTION("""COMPUTED_VALUE"""),"Q25A")</f>
        <v>Q25A</v>
      </c>
      <c r="E159" s="7" t="str">
        <f>IFERROR(__xludf.DUMMYFUNCTION("""COMPUTED_VALUE"""),"Q25a. Contact local government councillor")</f>
        <v>Q25a. Contact local government councillor</v>
      </c>
      <c r="F159" s="7" t="str">
        <f>IFERROR(__xludf.DUMMYFUNCTION("""COMPUTED_VALUE"""),"A. A Local Authority Councilor
A1-NAM A Regional Councilor
")</f>
        <v>A. A Local Authority Councilor
A1-NAM A Regional Councilor
</v>
      </c>
    </row>
    <row r="160">
      <c r="A160" s="7" t="str">
        <f>IFERROR(__xludf.DUMMYFUNCTION("""COMPUTED_VALUE"""),"NIGER")</f>
        <v>NIGER</v>
      </c>
      <c r="B160" s="7">
        <f>IFERROR(__xludf.DUMMYFUNCTION("""COMPUTED_VALUE"""),7.0)</f>
        <v>7</v>
      </c>
      <c r="C160" s="7" t="str">
        <f>IFERROR(__xludf.DUMMYFUNCTION("""COMPUTED_VALUE"""),"A_05_07")</f>
        <v>A_05_07</v>
      </c>
      <c r="D160" s="7" t="str">
        <f>IFERROR(__xludf.DUMMYFUNCTION("""COMPUTED_VALUE"""),"Q25A")</f>
        <v>Q25A</v>
      </c>
      <c r="E160" s="7" t="str">
        <f>IFERROR(__xludf.DUMMYFUNCTION("""COMPUTED_VALUE"""),"Q25a. Contact local government councillor")</f>
        <v>Q25a. Contact local government councillor</v>
      </c>
      <c r="F160" s="7" t="str">
        <f>IFERROR(__xludf.DUMMYFUNCTION("""COMPUTED_VALUE"""),"A municipal councilor")</f>
        <v>A municipal councilor</v>
      </c>
    </row>
    <row r="161">
      <c r="A161" s="7" t="str">
        <f>IFERROR(__xludf.DUMMYFUNCTION("""COMPUTED_VALUE"""),"NIGERIA")</f>
        <v>NIGERIA</v>
      </c>
      <c r="B161" s="7">
        <f>IFERROR(__xludf.DUMMYFUNCTION("""COMPUTED_VALUE"""),7.0)</f>
        <v>7</v>
      </c>
      <c r="C161" s="7" t="str">
        <f>IFERROR(__xludf.DUMMYFUNCTION("""COMPUTED_VALUE"""),"A_05_07")</f>
        <v>A_05_07</v>
      </c>
      <c r="D161" s="7" t="str">
        <f>IFERROR(__xludf.DUMMYFUNCTION("""COMPUTED_VALUE"""),"Q25A")</f>
        <v>Q25A</v>
      </c>
      <c r="E161" s="7" t="str">
        <f>IFERROR(__xludf.DUMMYFUNCTION("""COMPUTED_VALUE"""),"Q25a. Contact local government councillor")</f>
        <v>Q25a. Contact local government councillor</v>
      </c>
      <c r="F161" s="7" t="str">
        <f>IFERROR(__xludf.DUMMYFUNCTION("""COMPUTED_VALUE"""),"A local government councilor")</f>
        <v>A local government councilor</v>
      </c>
    </row>
    <row r="162">
      <c r="A162" s="7" t="str">
        <f>IFERROR(__xludf.DUMMYFUNCTION("""COMPUTED_VALUE"""),"SAO TOME AND PRINCIPE")</f>
        <v>SAO TOME AND PRINCIPE</v>
      </c>
      <c r="B162" s="7">
        <f>IFERROR(__xludf.DUMMYFUNCTION("""COMPUTED_VALUE"""),7.0)</f>
        <v>7</v>
      </c>
      <c r="C162" s="7" t="str">
        <f>IFERROR(__xludf.DUMMYFUNCTION("""COMPUTED_VALUE"""),"A_05_07")</f>
        <v>A_05_07</v>
      </c>
      <c r="D162" s="7" t="str">
        <f>IFERROR(__xludf.DUMMYFUNCTION("""COMPUTED_VALUE"""),"Q25A")</f>
        <v>Q25A</v>
      </c>
      <c r="E162" s="7" t="str">
        <f>IFERROR(__xludf.DUMMYFUNCTION("""COMPUTED_VALUE"""),"Q25a. Contact local government councillor")</f>
        <v>Q25a. Contact local government councillor</v>
      </c>
      <c r="F162" s="7" t="str">
        <f>IFERROR(__xludf.DUMMYFUNCTION("""COMPUTED_VALUE"""),"District councilor")</f>
        <v>District councilor</v>
      </c>
    </row>
    <row r="163">
      <c r="A163" s="7" t="str">
        <f>IFERROR(__xludf.DUMMYFUNCTION("""COMPUTED_VALUE"""),"SENEGAL")</f>
        <v>SENEGAL</v>
      </c>
      <c r="B163" s="7">
        <f>IFERROR(__xludf.DUMMYFUNCTION("""COMPUTED_VALUE"""),7.0)</f>
        <v>7</v>
      </c>
      <c r="C163" s="7" t="str">
        <f>IFERROR(__xludf.DUMMYFUNCTION("""COMPUTED_VALUE"""),"A_05_07")</f>
        <v>A_05_07</v>
      </c>
      <c r="D163" s="7" t="str">
        <f>IFERROR(__xludf.DUMMYFUNCTION("""COMPUTED_VALUE"""),"Q25A")</f>
        <v>Q25A</v>
      </c>
      <c r="E163" s="7" t="str">
        <f>IFERROR(__xludf.DUMMYFUNCTION("""COMPUTED_VALUE"""),"Q25a. Contact local government councillor")</f>
        <v>Q25a. Contact local government councillor</v>
      </c>
      <c r="F163" s="7" t="str">
        <f>IFERROR(__xludf.DUMMYFUNCTION("""COMPUTED_VALUE"""),"A municipal or departmental councilor")</f>
        <v>A municipal or departmental councilor</v>
      </c>
    </row>
    <row r="164">
      <c r="A164" s="7" t="str">
        <f>IFERROR(__xludf.DUMMYFUNCTION("""COMPUTED_VALUE"""),"SIERRA LEONE")</f>
        <v>SIERRA LEONE</v>
      </c>
      <c r="B164" s="7">
        <f>IFERROR(__xludf.DUMMYFUNCTION("""COMPUTED_VALUE"""),7.0)</f>
        <v>7</v>
      </c>
      <c r="C164" s="7" t="str">
        <f>IFERROR(__xludf.DUMMYFUNCTION("""COMPUTED_VALUE"""),"A_05_07")</f>
        <v>A_05_07</v>
      </c>
      <c r="D164" s="7" t="str">
        <f>IFERROR(__xludf.DUMMYFUNCTION("""COMPUTED_VALUE"""),"Q25A")</f>
        <v>Q25A</v>
      </c>
      <c r="E164" s="7" t="str">
        <f>IFERROR(__xludf.DUMMYFUNCTION("""COMPUTED_VALUE"""),"Q25a. Contact local government councillor")</f>
        <v>Q25a. Contact local government councillor</v>
      </c>
      <c r="F164" s="7" t="str">
        <f>IFERROR(__xludf.DUMMYFUNCTION("""COMPUTED_VALUE"""),"Local government councilor")</f>
        <v>Local government councilor</v>
      </c>
    </row>
    <row r="165">
      <c r="A165" s="7" t="str">
        <f>IFERROR(__xludf.DUMMYFUNCTION("""COMPUTED_VALUE"""),"SOUTH AFRICA")</f>
        <v>SOUTH AFRICA</v>
      </c>
      <c r="B165" s="7">
        <f>IFERROR(__xludf.DUMMYFUNCTION("""COMPUTED_VALUE"""),7.0)</f>
        <v>7</v>
      </c>
      <c r="C165" s="7" t="str">
        <f>IFERROR(__xludf.DUMMYFUNCTION("""COMPUTED_VALUE"""),"A_05_07")</f>
        <v>A_05_07</v>
      </c>
      <c r="D165" s="7" t="str">
        <f>IFERROR(__xludf.DUMMYFUNCTION("""COMPUTED_VALUE"""),"Q25A")</f>
        <v>Q25A</v>
      </c>
      <c r="E165" s="7" t="str">
        <f>IFERROR(__xludf.DUMMYFUNCTION("""COMPUTED_VALUE"""),"Q25a. Contact local government councillor")</f>
        <v>Q25a. Contact local government councillor</v>
      </c>
      <c r="F165" s="7" t="str">
        <f>IFERROR(__xludf.DUMMYFUNCTION("""COMPUTED_VALUE"""),"Local government councilor")</f>
        <v>Local government councilor</v>
      </c>
    </row>
    <row r="166">
      <c r="A166" s="7" t="str">
        <f>IFERROR(__xludf.DUMMYFUNCTION("""COMPUTED_VALUE"""),"SUDAN")</f>
        <v>SUDAN</v>
      </c>
      <c r="B166" s="7">
        <f>IFERROR(__xludf.DUMMYFUNCTION("""COMPUTED_VALUE"""),7.0)</f>
        <v>7</v>
      </c>
      <c r="C166" s="7" t="str">
        <f>IFERROR(__xludf.DUMMYFUNCTION("""COMPUTED_VALUE"""),"A_05_07")</f>
        <v>A_05_07</v>
      </c>
      <c r="D166" s="7" t="str">
        <f>IFERROR(__xludf.DUMMYFUNCTION("""COMPUTED_VALUE"""),"Q25A")</f>
        <v>Q25A</v>
      </c>
      <c r="E166" s="7" t="str">
        <f>IFERROR(__xludf.DUMMYFUNCTION("""COMPUTED_VALUE"""),"Q25a. Contact local government councillor")</f>
        <v>Q25a. Contact local government councillor</v>
      </c>
      <c r="F166" s="7" t="str">
        <f>IFERROR(__xludf.DUMMYFUNCTION("""COMPUTED_VALUE"""),"Local government councilor")</f>
        <v>Local government councilor</v>
      </c>
    </row>
    <row r="167">
      <c r="A167" s="7" t="str">
        <f>IFERROR(__xludf.DUMMYFUNCTION("""COMPUTED_VALUE"""),"TANZANIA")</f>
        <v>TANZANIA</v>
      </c>
      <c r="B167" s="7">
        <f>IFERROR(__xludf.DUMMYFUNCTION("""COMPUTED_VALUE"""),7.0)</f>
        <v>7</v>
      </c>
      <c r="C167" s="7" t="str">
        <f>IFERROR(__xludf.DUMMYFUNCTION("""COMPUTED_VALUE"""),"A_05_07")</f>
        <v>A_05_07</v>
      </c>
      <c r="D167" s="7" t="str">
        <f>IFERROR(__xludf.DUMMYFUNCTION("""COMPUTED_VALUE"""),"Q25A")</f>
        <v>Q25A</v>
      </c>
      <c r="E167" s="7" t="str">
        <f>IFERROR(__xludf.DUMMYFUNCTION("""COMPUTED_VALUE"""),"Q25a. Contact local government councillor")</f>
        <v>Q25a. Contact local government councillor</v>
      </c>
      <c r="F167" s="7" t="str">
        <f>IFERROR(__xludf.DUMMYFUNCTION("""COMPUTED_VALUE"""),"Local government councilor")</f>
        <v>Local government councilor</v>
      </c>
    </row>
    <row r="168">
      <c r="A168" s="7" t="str">
        <f>IFERROR(__xludf.DUMMYFUNCTION("""COMPUTED_VALUE"""),"TOGO")</f>
        <v>TOGO</v>
      </c>
      <c r="B168" s="7">
        <f>IFERROR(__xludf.DUMMYFUNCTION("""COMPUTED_VALUE"""),7.0)</f>
        <v>7</v>
      </c>
      <c r="C168" s="7" t="str">
        <f>IFERROR(__xludf.DUMMYFUNCTION("""COMPUTED_VALUE"""),"A_05_07")</f>
        <v>A_05_07</v>
      </c>
      <c r="D168" s="7" t="str">
        <f>IFERROR(__xludf.DUMMYFUNCTION("""COMPUTED_VALUE"""),"Q25A")</f>
        <v>Q25A</v>
      </c>
      <c r="E168" s="7" t="str">
        <f>IFERROR(__xludf.DUMMYFUNCTION("""COMPUTED_VALUE"""),"Q25a. Contact local government councillor")</f>
        <v>Q25a. Contact local government councillor</v>
      </c>
      <c r="F168" s="7" t="str">
        <f>IFERROR(__xludf.DUMMYFUNCTION("""COMPUTED_VALUE"""),"A prefectural / municipal councillor")</f>
        <v>A prefectural / municipal councillor</v>
      </c>
    </row>
    <row r="169">
      <c r="A169" s="7" t="str">
        <f>IFERROR(__xludf.DUMMYFUNCTION("""COMPUTED_VALUE"""),"TUNISIA")</f>
        <v>TUNISIA</v>
      </c>
      <c r="B169" s="7">
        <f>IFERROR(__xludf.DUMMYFUNCTION("""COMPUTED_VALUE"""),7.0)</f>
        <v>7</v>
      </c>
      <c r="C169" s="7" t="str">
        <f>IFERROR(__xludf.DUMMYFUNCTION("""COMPUTED_VALUE"""),"A_05_07")</f>
        <v>A_05_07</v>
      </c>
      <c r="D169" s="7" t="str">
        <f>IFERROR(__xludf.DUMMYFUNCTION("""COMPUTED_VALUE"""),"Q25A")</f>
        <v>Q25A</v>
      </c>
      <c r="E169" s="7" t="str">
        <f>IFERROR(__xludf.DUMMYFUNCTION("""COMPUTED_VALUE"""),"Q25a. Contact local government councillor")</f>
        <v>Q25a. Contact local government councillor</v>
      </c>
      <c r="F169" s="7" t="str">
        <f>IFERROR(__xludf.DUMMYFUNCTION("""COMPUTED_VALUE"""),"Local government councilor")</f>
        <v>Local government councilor</v>
      </c>
    </row>
    <row r="170">
      <c r="A170" s="7" t="str">
        <f>IFERROR(__xludf.DUMMYFUNCTION("""COMPUTED_VALUE"""),"UGANDA")</f>
        <v>UGANDA</v>
      </c>
      <c r="B170" s="7">
        <f>IFERROR(__xludf.DUMMYFUNCTION("""COMPUTED_VALUE"""),7.0)</f>
        <v>7</v>
      </c>
      <c r="C170" s="7" t="str">
        <f>IFERROR(__xludf.DUMMYFUNCTION("""COMPUTED_VALUE"""),"A_05_07")</f>
        <v>A_05_07</v>
      </c>
      <c r="D170" s="7" t="str">
        <f>IFERROR(__xludf.DUMMYFUNCTION("""COMPUTED_VALUE"""),"Q25A")</f>
        <v>Q25A</v>
      </c>
      <c r="E170" s="7" t="str">
        <f>IFERROR(__xludf.DUMMYFUNCTION("""COMPUTED_VALUE"""),"Q25a. Contact local government councillor")</f>
        <v>Q25a. Contact local government councillor</v>
      </c>
      <c r="F170" s="7" t="str">
        <f>IFERROR(__xludf.DUMMYFUNCTION("""COMPUTED_VALUE"""),"District Councillor")</f>
        <v>District Councillor</v>
      </c>
    </row>
    <row r="171">
      <c r="A171" s="7" t="str">
        <f>IFERROR(__xludf.DUMMYFUNCTION("""COMPUTED_VALUE"""),"ZAMBIA")</f>
        <v>ZAMBIA</v>
      </c>
      <c r="B171" s="7">
        <f>IFERROR(__xludf.DUMMYFUNCTION("""COMPUTED_VALUE"""),7.0)</f>
        <v>7</v>
      </c>
      <c r="C171" s="7" t="str">
        <f>IFERROR(__xludf.DUMMYFUNCTION("""COMPUTED_VALUE"""),"A_05_07")</f>
        <v>A_05_07</v>
      </c>
      <c r="D171" s="7" t="str">
        <f>IFERROR(__xludf.DUMMYFUNCTION("""COMPUTED_VALUE"""),"Q25A")</f>
        <v>Q25A</v>
      </c>
      <c r="E171" s="7" t="str">
        <f>IFERROR(__xludf.DUMMYFUNCTION("""COMPUTED_VALUE"""),"Q25a. Contact local government councillor")</f>
        <v>Q25a. Contact local government councillor</v>
      </c>
      <c r="F171" s="7" t="str">
        <f>IFERROR(__xludf.DUMMYFUNCTION("""COMPUTED_VALUE"""),"Local government councilor")</f>
        <v>Local government councilor</v>
      </c>
    </row>
    <row r="172">
      <c r="A172" s="7" t="str">
        <f>IFERROR(__xludf.DUMMYFUNCTION("""COMPUTED_VALUE"""),"ZIMBABWE")</f>
        <v>ZIMBABWE</v>
      </c>
      <c r="B172" s="7">
        <f>IFERROR(__xludf.DUMMYFUNCTION("""COMPUTED_VALUE"""),7.0)</f>
        <v>7</v>
      </c>
      <c r="C172" s="7" t="str">
        <f>IFERROR(__xludf.DUMMYFUNCTION("""COMPUTED_VALUE"""),"A_05_07")</f>
        <v>A_05_07</v>
      </c>
      <c r="D172" s="7" t="str">
        <f>IFERROR(__xludf.DUMMYFUNCTION("""COMPUTED_VALUE"""),"Q25A")</f>
        <v>Q25A</v>
      </c>
      <c r="E172" s="7" t="str">
        <f>IFERROR(__xludf.DUMMYFUNCTION("""COMPUTED_VALUE"""),"Q25a. Contact local government councillor")</f>
        <v>Q25a. Contact local government councillor</v>
      </c>
      <c r="F172" s="7" t="str">
        <f>IFERROR(__xludf.DUMMYFUNCTION("""COMPUTED_VALUE"""),"Local government councilor")</f>
        <v>Local government councilor</v>
      </c>
    </row>
    <row r="173">
      <c r="A173" s="7" t="str">
        <f>IFERROR(__xludf.DUMMYFUNCTION("""COMPUTED_VALUE"""),"BENIN")</f>
        <v>BENIN</v>
      </c>
      <c r="B173" s="7">
        <f>IFERROR(__xludf.DUMMYFUNCTION("""COMPUTED_VALUE"""),7.0)</f>
        <v>7</v>
      </c>
      <c r="C173" s="7" t="str">
        <f>IFERROR(__xludf.DUMMYFUNCTION("""COMPUTED_VALUE"""),"A_05_09")</f>
        <v>A_05_09</v>
      </c>
      <c r="D173" s="7" t="str">
        <f>IFERROR(__xludf.DUMMYFUNCTION("""COMPUTED_VALUE"""),"Q25B")</f>
        <v>Q25B</v>
      </c>
      <c r="E173" s="7" t="str">
        <f>IFERROR(__xludf.DUMMYFUNCTION("""COMPUTED_VALUE"""),"Q25b. Contact MP")</f>
        <v>Q25b. Contact MP</v>
      </c>
      <c r="F173" s="7" t="str">
        <f>IFERROR(__xludf.DUMMYFUNCTION("""COMPUTED_VALUE"""),"A Member of the National Assembly")</f>
        <v>A Member of the National Assembly</v>
      </c>
    </row>
    <row r="174">
      <c r="A174" s="7" t="str">
        <f>IFERROR(__xludf.DUMMYFUNCTION("""COMPUTED_VALUE"""),"BOTSWANA")</f>
        <v>BOTSWANA</v>
      </c>
      <c r="B174" s="7">
        <f>IFERROR(__xludf.DUMMYFUNCTION("""COMPUTED_VALUE"""),7.0)</f>
        <v>7</v>
      </c>
      <c r="C174" s="7" t="str">
        <f>IFERROR(__xludf.DUMMYFUNCTION("""COMPUTED_VALUE"""),"A_05_09")</f>
        <v>A_05_09</v>
      </c>
      <c r="D174" s="7" t="str">
        <f>IFERROR(__xludf.DUMMYFUNCTION("""COMPUTED_VALUE"""),"Q25B")</f>
        <v>Q25B</v>
      </c>
      <c r="E174" s="7" t="str">
        <f>IFERROR(__xludf.DUMMYFUNCTION("""COMPUTED_VALUE"""),"Q25b. Contact MP")</f>
        <v>Q25b. Contact MP</v>
      </c>
      <c r="F174" s="7" t="str">
        <f>IFERROR(__xludf.DUMMYFUNCTION("""COMPUTED_VALUE"""),"A Member of Parliament")</f>
        <v>A Member of Parliament</v>
      </c>
    </row>
    <row r="175">
      <c r="A175" s="7" t="str">
        <f>IFERROR(__xludf.DUMMYFUNCTION("""COMPUTED_VALUE"""),"BURKINA FASO")</f>
        <v>BURKINA FASO</v>
      </c>
      <c r="B175" s="7">
        <f>IFERROR(__xludf.DUMMYFUNCTION("""COMPUTED_VALUE"""),7.0)</f>
        <v>7</v>
      </c>
      <c r="C175" s="7" t="str">
        <f>IFERROR(__xludf.DUMMYFUNCTION("""COMPUTED_VALUE"""),"A_05_09")</f>
        <v>A_05_09</v>
      </c>
      <c r="D175" s="7" t="str">
        <f>IFERROR(__xludf.DUMMYFUNCTION("""COMPUTED_VALUE"""),"Q25B")</f>
        <v>Q25B</v>
      </c>
      <c r="E175" s="7" t="str">
        <f>IFERROR(__xludf.DUMMYFUNCTION("""COMPUTED_VALUE"""),"Q25b. Contact MP")</f>
        <v>Q25b. Contact MP</v>
      </c>
      <c r="F175" s="7" t="str">
        <f>IFERROR(__xludf.DUMMYFUNCTION("""COMPUTED_VALUE"""),"A Member of the National Assembly")</f>
        <v>A Member of the National Assembly</v>
      </c>
    </row>
    <row r="176">
      <c r="A176" s="7" t="str">
        <f>IFERROR(__xludf.DUMMYFUNCTION("""COMPUTED_VALUE"""),"CABO VERDE")</f>
        <v>CABO VERDE</v>
      </c>
      <c r="B176" s="7">
        <f>IFERROR(__xludf.DUMMYFUNCTION("""COMPUTED_VALUE"""),7.0)</f>
        <v>7</v>
      </c>
      <c r="C176" s="7" t="str">
        <f>IFERROR(__xludf.DUMMYFUNCTION("""COMPUTED_VALUE"""),"A_05_09")</f>
        <v>A_05_09</v>
      </c>
      <c r="D176" s="7" t="str">
        <f>IFERROR(__xludf.DUMMYFUNCTION("""COMPUTED_VALUE"""),"Q25B")</f>
        <v>Q25B</v>
      </c>
      <c r="E176" s="7" t="str">
        <f>IFERROR(__xludf.DUMMYFUNCTION("""COMPUTED_VALUE"""),"Q25b. Contact MP")</f>
        <v>Q25b. Contact MP</v>
      </c>
      <c r="F176" s="7" t="str">
        <f>IFERROR(__xludf.DUMMYFUNCTION("""COMPUTED_VALUE"""),"A Member of the National Assembly")</f>
        <v>A Member of the National Assembly</v>
      </c>
    </row>
    <row r="177">
      <c r="A177" s="7" t="str">
        <f>IFERROR(__xludf.DUMMYFUNCTION("""COMPUTED_VALUE"""),"CAMEROON")</f>
        <v>CAMEROON</v>
      </c>
      <c r="B177" s="7">
        <f>IFERROR(__xludf.DUMMYFUNCTION("""COMPUTED_VALUE"""),7.0)</f>
        <v>7</v>
      </c>
      <c r="C177" s="7" t="str">
        <f>IFERROR(__xludf.DUMMYFUNCTION("""COMPUTED_VALUE"""),"A_05_09")</f>
        <v>A_05_09</v>
      </c>
      <c r="D177" s="7" t="str">
        <f>IFERROR(__xludf.DUMMYFUNCTION("""COMPUTED_VALUE"""),"Q25B")</f>
        <v>Q25B</v>
      </c>
      <c r="E177" s="7" t="str">
        <f>IFERROR(__xludf.DUMMYFUNCTION("""COMPUTED_VALUE"""),"Q25b. Contact MP")</f>
        <v>Q25b. Contact MP</v>
      </c>
      <c r="F177" s="7" t="str">
        <f>IFERROR(__xludf.DUMMYFUNCTION("""COMPUTED_VALUE"""),"A deputy or a Senator")</f>
        <v>A deputy or a Senator</v>
      </c>
    </row>
    <row r="178">
      <c r="A178" s="7" t="str">
        <f>IFERROR(__xludf.DUMMYFUNCTION("""COMPUTED_VALUE"""),"COTE D'IVOIRE")</f>
        <v>COTE D'IVOIRE</v>
      </c>
      <c r="B178" s="7">
        <f>IFERROR(__xludf.DUMMYFUNCTION("""COMPUTED_VALUE"""),7.0)</f>
        <v>7</v>
      </c>
      <c r="C178" s="7" t="str">
        <f>IFERROR(__xludf.DUMMYFUNCTION("""COMPUTED_VALUE"""),"A_05_09")</f>
        <v>A_05_09</v>
      </c>
      <c r="D178" s="7" t="str">
        <f>IFERROR(__xludf.DUMMYFUNCTION("""COMPUTED_VALUE"""),"Q25B")</f>
        <v>Q25B</v>
      </c>
      <c r="E178" s="7" t="str">
        <f>IFERROR(__xludf.DUMMYFUNCTION("""COMPUTED_VALUE"""),"Q25b. Contact MP")</f>
        <v>Q25b. Contact MP</v>
      </c>
      <c r="F178" s="7" t="str">
        <f>IFERROR(__xludf.DUMMYFUNCTION("""COMPUTED_VALUE"""),"A Member of the National Assembly")</f>
        <v>A Member of the National Assembly</v>
      </c>
    </row>
    <row r="179">
      <c r="A179" s="7" t="str">
        <f>IFERROR(__xludf.DUMMYFUNCTION("""COMPUTED_VALUE"""),"ESWATINI")</f>
        <v>ESWATINI</v>
      </c>
      <c r="B179" s="7">
        <f>IFERROR(__xludf.DUMMYFUNCTION("""COMPUTED_VALUE"""),7.0)</f>
        <v>7</v>
      </c>
      <c r="C179" s="7" t="str">
        <f>IFERROR(__xludf.DUMMYFUNCTION("""COMPUTED_VALUE"""),"A_05_09")</f>
        <v>A_05_09</v>
      </c>
      <c r="D179" s="7" t="str">
        <f>IFERROR(__xludf.DUMMYFUNCTION("""COMPUTED_VALUE"""),"Q25B")</f>
        <v>Q25B</v>
      </c>
      <c r="E179" s="7" t="str">
        <f>IFERROR(__xludf.DUMMYFUNCTION("""COMPUTED_VALUE"""),"Q25b. Contact MP")</f>
        <v>Q25b. Contact MP</v>
      </c>
      <c r="F179" s="7" t="str">
        <f>IFERROR(__xludf.DUMMYFUNCTION("""COMPUTED_VALUE"""),"A Member of Parliament")</f>
        <v>A Member of Parliament</v>
      </c>
    </row>
    <row r="180">
      <c r="A180" s="7" t="str">
        <f>IFERROR(__xludf.DUMMYFUNCTION("""COMPUTED_VALUE"""),"GABON")</f>
        <v>GABON</v>
      </c>
      <c r="B180" s="7">
        <f>IFERROR(__xludf.DUMMYFUNCTION("""COMPUTED_VALUE"""),7.0)</f>
        <v>7</v>
      </c>
      <c r="C180" s="7" t="str">
        <f>IFERROR(__xludf.DUMMYFUNCTION("""COMPUTED_VALUE"""),"A_05_09")</f>
        <v>A_05_09</v>
      </c>
      <c r="D180" s="7" t="str">
        <f>IFERROR(__xludf.DUMMYFUNCTION("""COMPUTED_VALUE"""),"Q25B")</f>
        <v>Q25B</v>
      </c>
      <c r="E180" s="7" t="str">
        <f>IFERROR(__xludf.DUMMYFUNCTION("""COMPUTED_VALUE"""),"Q25b. Contact MP")</f>
        <v>Q25b. Contact MP</v>
      </c>
      <c r="F180" s="7" t="str">
        <f>IFERROR(__xludf.DUMMYFUNCTION("""COMPUTED_VALUE"""),"B. A Member of Parliament (MP)
B1-GAB A parliamentary senator")</f>
        <v>B. A Member of Parliament (MP)
B1-GAB A parliamentary senator</v>
      </c>
    </row>
    <row r="181">
      <c r="A181" s="7" t="str">
        <f>IFERROR(__xludf.DUMMYFUNCTION("""COMPUTED_VALUE"""),"GAMBIA")</f>
        <v>GAMBIA</v>
      </c>
      <c r="B181" s="7">
        <f>IFERROR(__xludf.DUMMYFUNCTION("""COMPUTED_VALUE"""),7.0)</f>
        <v>7</v>
      </c>
      <c r="C181" s="7" t="str">
        <f>IFERROR(__xludf.DUMMYFUNCTION("""COMPUTED_VALUE"""),"A_05_09")</f>
        <v>A_05_09</v>
      </c>
      <c r="D181" s="7" t="str">
        <f>IFERROR(__xludf.DUMMYFUNCTION("""COMPUTED_VALUE"""),"Q25B")</f>
        <v>Q25B</v>
      </c>
      <c r="E181" s="7" t="str">
        <f>IFERROR(__xludf.DUMMYFUNCTION("""COMPUTED_VALUE"""),"Q25b. Contact MP")</f>
        <v>Q25b. Contact MP</v>
      </c>
      <c r="F181" s="7" t="str">
        <f>IFERROR(__xludf.DUMMYFUNCTION("""COMPUTED_VALUE"""),"A member of  the National Assembly")</f>
        <v>A member of  the National Assembly</v>
      </c>
    </row>
    <row r="182">
      <c r="A182" s="7" t="str">
        <f>IFERROR(__xludf.DUMMYFUNCTION("""COMPUTED_VALUE"""),"GHANA")</f>
        <v>GHANA</v>
      </c>
      <c r="B182" s="7">
        <f>IFERROR(__xludf.DUMMYFUNCTION("""COMPUTED_VALUE"""),7.0)</f>
        <v>7</v>
      </c>
      <c r="C182" s="7" t="str">
        <f>IFERROR(__xludf.DUMMYFUNCTION("""COMPUTED_VALUE"""),"A_05_09")</f>
        <v>A_05_09</v>
      </c>
      <c r="D182" s="7" t="str">
        <f>IFERROR(__xludf.DUMMYFUNCTION("""COMPUTED_VALUE"""),"Q25B")</f>
        <v>Q25B</v>
      </c>
      <c r="E182" s="7" t="str">
        <f>IFERROR(__xludf.DUMMYFUNCTION("""COMPUTED_VALUE"""),"Q25b. Contact MP")</f>
        <v>Q25b. Contact MP</v>
      </c>
      <c r="F182" s="7" t="str">
        <f>IFERROR(__xludf.DUMMYFUNCTION("""COMPUTED_VALUE"""),"A Member of Parliament")</f>
        <v>A Member of Parliament</v>
      </c>
    </row>
    <row r="183">
      <c r="A183" s="7" t="str">
        <f>IFERROR(__xludf.DUMMYFUNCTION("""COMPUTED_VALUE"""),"GUINEA")</f>
        <v>GUINEA</v>
      </c>
      <c r="B183" s="7">
        <f>IFERROR(__xludf.DUMMYFUNCTION("""COMPUTED_VALUE"""),7.0)</f>
        <v>7</v>
      </c>
      <c r="C183" s="7" t="str">
        <f>IFERROR(__xludf.DUMMYFUNCTION("""COMPUTED_VALUE"""),"A_05_09")</f>
        <v>A_05_09</v>
      </c>
      <c r="D183" s="7" t="str">
        <f>IFERROR(__xludf.DUMMYFUNCTION("""COMPUTED_VALUE"""),"Q25B")</f>
        <v>Q25B</v>
      </c>
      <c r="E183" s="7" t="str">
        <f>IFERROR(__xludf.DUMMYFUNCTION("""COMPUTED_VALUE"""),"Q25b. Contact MP")</f>
        <v>Q25b. Contact MP</v>
      </c>
      <c r="F183" s="7" t="str">
        <f>IFERROR(__xludf.DUMMYFUNCTION("""COMPUTED_VALUE"""),"A deputy/member of the National Assembly")</f>
        <v>A deputy/member of the National Assembly</v>
      </c>
    </row>
    <row r="184">
      <c r="A184" s="7" t="str">
        <f>IFERROR(__xludf.DUMMYFUNCTION("""COMPUTED_VALUE"""),"KENYA")</f>
        <v>KENYA</v>
      </c>
      <c r="B184" s="7">
        <f>IFERROR(__xludf.DUMMYFUNCTION("""COMPUTED_VALUE"""),7.0)</f>
        <v>7</v>
      </c>
      <c r="C184" s="7" t="str">
        <f>IFERROR(__xludf.DUMMYFUNCTION("""COMPUTED_VALUE"""),"A_05_09")</f>
        <v>A_05_09</v>
      </c>
      <c r="D184" s="7" t="str">
        <f>IFERROR(__xludf.DUMMYFUNCTION("""COMPUTED_VALUE"""),"Q25B")</f>
        <v>Q25B</v>
      </c>
      <c r="E184" s="7" t="str">
        <f>IFERROR(__xludf.DUMMYFUNCTION("""COMPUTED_VALUE"""),"Q25b. Contact MP")</f>
        <v>Q25b. Contact MP</v>
      </c>
      <c r="F184" s="7" t="str">
        <f>IFERROR(__xludf.DUMMYFUNCTION("""COMPUTED_VALUE"""),"A Member of Parliament")</f>
        <v>A Member of Parliament</v>
      </c>
    </row>
    <row r="185">
      <c r="A185" s="7" t="str">
        <f>IFERROR(__xludf.DUMMYFUNCTION("""COMPUTED_VALUE"""),"LESOTHO")</f>
        <v>LESOTHO</v>
      </c>
      <c r="B185" s="7">
        <f>IFERROR(__xludf.DUMMYFUNCTION("""COMPUTED_VALUE"""),7.0)</f>
        <v>7</v>
      </c>
      <c r="C185" s="7" t="str">
        <f>IFERROR(__xludf.DUMMYFUNCTION("""COMPUTED_VALUE"""),"A_05_09")</f>
        <v>A_05_09</v>
      </c>
      <c r="D185" s="7" t="str">
        <f>IFERROR(__xludf.DUMMYFUNCTION("""COMPUTED_VALUE"""),"Q25B")</f>
        <v>Q25B</v>
      </c>
      <c r="E185" s="7" t="str">
        <f>IFERROR(__xludf.DUMMYFUNCTION("""COMPUTED_VALUE"""),"Q25b. Contact MP")</f>
        <v>Q25b. Contact MP</v>
      </c>
      <c r="F185" s="7" t="str">
        <f>IFERROR(__xludf.DUMMYFUNCTION("""COMPUTED_VALUE"""),"Member of Parliament")</f>
        <v>Member of Parliament</v>
      </c>
    </row>
    <row r="186">
      <c r="A186" s="7" t="str">
        <f>IFERROR(__xludf.DUMMYFUNCTION("""COMPUTED_VALUE"""),"LIBERIA")</f>
        <v>LIBERIA</v>
      </c>
      <c r="B186" s="7">
        <f>IFERROR(__xludf.DUMMYFUNCTION("""COMPUTED_VALUE"""),7.0)</f>
        <v>7</v>
      </c>
      <c r="C186" s="7" t="str">
        <f>IFERROR(__xludf.DUMMYFUNCTION("""COMPUTED_VALUE"""),"A_05_09")</f>
        <v>A_05_09</v>
      </c>
      <c r="D186" s="7" t="str">
        <f>IFERROR(__xludf.DUMMYFUNCTION("""COMPUTED_VALUE"""),"Q25B")</f>
        <v>Q25B</v>
      </c>
      <c r="E186" s="7" t="str">
        <f>IFERROR(__xludf.DUMMYFUNCTION("""COMPUTED_VALUE"""),"Q25b. Contact MP")</f>
        <v>Q25b. Contact MP</v>
      </c>
      <c r="F186" s="7" t="str">
        <f>IFERROR(__xludf.DUMMYFUNCTION("""COMPUTED_VALUE"""),"A Member of House of Representatives")</f>
        <v>A Member of House of Representatives</v>
      </c>
    </row>
    <row r="187">
      <c r="A187" s="7" t="str">
        <f>IFERROR(__xludf.DUMMYFUNCTION("""COMPUTED_VALUE"""),"MADAGASCAR")</f>
        <v>MADAGASCAR</v>
      </c>
      <c r="B187" s="7">
        <f>IFERROR(__xludf.DUMMYFUNCTION("""COMPUTED_VALUE"""),7.0)</f>
        <v>7</v>
      </c>
      <c r="C187" s="7" t="str">
        <f>IFERROR(__xludf.DUMMYFUNCTION("""COMPUTED_VALUE"""),"A_05_09")</f>
        <v>A_05_09</v>
      </c>
      <c r="D187" s="7" t="str">
        <f>IFERROR(__xludf.DUMMYFUNCTION("""COMPUTED_VALUE"""),"Q25B")</f>
        <v>Q25B</v>
      </c>
      <c r="E187" s="7" t="str">
        <f>IFERROR(__xludf.DUMMYFUNCTION("""COMPUTED_VALUE"""),"Q25b. Contact MP")</f>
        <v>Q25b. Contact MP</v>
      </c>
      <c r="F187" s="7" t="str">
        <f>IFERROR(__xludf.DUMMYFUNCTION("""COMPUTED_VALUE"""),"A member of the National Assembly")</f>
        <v>A member of the National Assembly</v>
      </c>
    </row>
    <row r="188">
      <c r="A188" s="7" t="str">
        <f>IFERROR(__xludf.DUMMYFUNCTION("""COMPUTED_VALUE"""),"MALAWI")</f>
        <v>MALAWI</v>
      </c>
      <c r="B188" s="7">
        <f>IFERROR(__xludf.DUMMYFUNCTION("""COMPUTED_VALUE"""),7.0)</f>
        <v>7</v>
      </c>
      <c r="C188" s="7" t="str">
        <f>IFERROR(__xludf.DUMMYFUNCTION("""COMPUTED_VALUE"""),"A_05_09")</f>
        <v>A_05_09</v>
      </c>
      <c r="D188" s="7" t="str">
        <f>IFERROR(__xludf.DUMMYFUNCTION("""COMPUTED_VALUE"""),"Q25B")</f>
        <v>Q25B</v>
      </c>
      <c r="E188" s="7" t="str">
        <f>IFERROR(__xludf.DUMMYFUNCTION("""COMPUTED_VALUE"""),"Q25b. Contact MP")</f>
        <v>Q25b. Contact MP</v>
      </c>
      <c r="F188" s="7" t="str">
        <f>IFERROR(__xludf.DUMMYFUNCTION("""COMPUTED_VALUE"""),"Member of Parliament")</f>
        <v>Member of Parliament</v>
      </c>
    </row>
    <row r="189">
      <c r="A189" s="7" t="str">
        <f>IFERROR(__xludf.DUMMYFUNCTION("""COMPUTED_VALUE"""),"MALI")</f>
        <v>MALI</v>
      </c>
      <c r="B189" s="7">
        <f>IFERROR(__xludf.DUMMYFUNCTION("""COMPUTED_VALUE"""),7.0)</f>
        <v>7</v>
      </c>
      <c r="C189" s="7" t="str">
        <f>IFERROR(__xludf.DUMMYFUNCTION("""COMPUTED_VALUE"""),"A_05_09")</f>
        <v>A_05_09</v>
      </c>
      <c r="D189" s="7" t="str">
        <f>IFERROR(__xludf.DUMMYFUNCTION("""COMPUTED_VALUE"""),"Q25B")</f>
        <v>Q25B</v>
      </c>
      <c r="E189" s="7" t="str">
        <f>IFERROR(__xludf.DUMMYFUNCTION("""COMPUTED_VALUE"""),"Q25b. Contact MP")</f>
        <v>Q25b. Contact MP</v>
      </c>
      <c r="F189" s="7" t="str">
        <f>IFERROR(__xludf.DUMMYFUNCTION("""COMPUTED_VALUE"""),"A member of the National Assembly")</f>
        <v>A member of the National Assembly</v>
      </c>
    </row>
    <row r="190">
      <c r="A190" s="7" t="str">
        <f>IFERROR(__xludf.DUMMYFUNCTION("""COMPUTED_VALUE"""),"MAURITIUS")</f>
        <v>MAURITIUS</v>
      </c>
      <c r="B190" s="7">
        <f>IFERROR(__xludf.DUMMYFUNCTION("""COMPUTED_VALUE"""),7.0)</f>
        <v>7</v>
      </c>
      <c r="C190" s="7" t="str">
        <f>IFERROR(__xludf.DUMMYFUNCTION("""COMPUTED_VALUE"""),"A_05_09")</f>
        <v>A_05_09</v>
      </c>
      <c r="D190" s="7" t="str">
        <f>IFERROR(__xludf.DUMMYFUNCTION("""COMPUTED_VALUE"""),"Q25B")</f>
        <v>Q25B</v>
      </c>
      <c r="E190" s="7" t="str">
        <f>IFERROR(__xludf.DUMMYFUNCTION("""COMPUTED_VALUE"""),"Q25b. Contact MP")</f>
        <v>Q25b. Contact MP</v>
      </c>
      <c r="F190" s="7" t="str">
        <f>IFERROR(__xludf.DUMMYFUNCTION("""COMPUTED_VALUE"""),"A Member of the National Assembly")</f>
        <v>A Member of the National Assembly</v>
      </c>
    </row>
    <row r="191">
      <c r="A191" s="7" t="str">
        <f>IFERROR(__xludf.DUMMYFUNCTION("""COMPUTED_VALUE"""),"MOROCCO")</f>
        <v>MOROCCO</v>
      </c>
      <c r="B191" s="7">
        <f>IFERROR(__xludf.DUMMYFUNCTION("""COMPUTED_VALUE"""),7.0)</f>
        <v>7</v>
      </c>
      <c r="C191" s="7" t="str">
        <f>IFERROR(__xludf.DUMMYFUNCTION("""COMPUTED_VALUE"""),"A_05_09")</f>
        <v>A_05_09</v>
      </c>
      <c r="D191" s="7" t="str">
        <f>IFERROR(__xludf.DUMMYFUNCTION("""COMPUTED_VALUE"""),"Q25B")</f>
        <v>Q25B</v>
      </c>
      <c r="E191" s="7" t="str">
        <f>IFERROR(__xludf.DUMMYFUNCTION("""COMPUTED_VALUE"""),"Q25b. Contact MP")</f>
        <v>Q25b. Contact MP</v>
      </c>
      <c r="F191" s="7" t="str">
        <f>IFERROR(__xludf.DUMMYFUNCTION("""COMPUTED_VALUE"""),"A Member of Parliament")</f>
        <v>A Member of Parliament</v>
      </c>
    </row>
    <row r="192">
      <c r="A192" s="7" t="str">
        <f>IFERROR(__xludf.DUMMYFUNCTION("""COMPUTED_VALUE"""),"MOZAMBIQUE")</f>
        <v>MOZAMBIQUE</v>
      </c>
      <c r="B192" s="7">
        <f>IFERROR(__xludf.DUMMYFUNCTION("""COMPUTED_VALUE"""),7.0)</f>
        <v>7</v>
      </c>
      <c r="C192" s="7" t="str">
        <f>IFERROR(__xludf.DUMMYFUNCTION("""COMPUTED_VALUE"""),"A_05_09")</f>
        <v>A_05_09</v>
      </c>
      <c r="D192" s="7" t="str">
        <f>IFERROR(__xludf.DUMMYFUNCTION("""COMPUTED_VALUE"""),"Q25B")</f>
        <v>Q25B</v>
      </c>
      <c r="E192" s="7" t="str">
        <f>IFERROR(__xludf.DUMMYFUNCTION("""COMPUTED_VALUE"""),"Q25b. Contact MP")</f>
        <v>Q25b. Contact MP</v>
      </c>
      <c r="F192" s="7" t="str">
        <f>IFERROR(__xludf.DUMMYFUNCTION("""COMPUTED_VALUE"""),"A Member of Parliament")</f>
        <v>A Member of Parliament</v>
      </c>
    </row>
    <row r="193">
      <c r="A193" s="7" t="str">
        <f>IFERROR(__xludf.DUMMYFUNCTION("""COMPUTED_VALUE"""),"NAMIBIA")</f>
        <v>NAMIBIA</v>
      </c>
      <c r="B193" s="7">
        <f>IFERROR(__xludf.DUMMYFUNCTION("""COMPUTED_VALUE"""),7.0)</f>
        <v>7</v>
      </c>
      <c r="C193" s="7" t="str">
        <f>IFERROR(__xludf.DUMMYFUNCTION("""COMPUTED_VALUE"""),"A_05_09")</f>
        <v>A_05_09</v>
      </c>
      <c r="D193" s="7" t="str">
        <f>IFERROR(__xludf.DUMMYFUNCTION("""COMPUTED_VALUE"""),"Q25B")</f>
        <v>Q25B</v>
      </c>
      <c r="E193" s="7" t="str">
        <f>IFERROR(__xludf.DUMMYFUNCTION("""COMPUTED_VALUE"""),"Q25b. Contact MP")</f>
        <v>Q25b. Contact MP</v>
      </c>
      <c r="F193" s="7" t="str">
        <f>IFERROR(__xludf.DUMMYFUNCTION("""COMPUTED_VALUE"""),"B. A Member of the National Assembly
B1-NAM A National Council Representative
")</f>
        <v>B. A Member of the National Assembly
B1-NAM A National Council Representative
</v>
      </c>
    </row>
    <row r="194">
      <c r="A194" s="7" t="str">
        <f>IFERROR(__xludf.DUMMYFUNCTION("""COMPUTED_VALUE"""),"NIGER")</f>
        <v>NIGER</v>
      </c>
      <c r="B194" s="7">
        <f>IFERROR(__xludf.DUMMYFUNCTION("""COMPUTED_VALUE"""),7.0)</f>
        <v>7</v>
      </c>
      <c r="C194" s="7" t="str">
        <f>IFERROR(__xludf.DUMMYFUNCTION("""COMPUTED_VALUE"""),"A_05_09")</f>
        <v>A_05_09</v>
      </c>
      <c r="D194" s="7" t="str">
        <f>IFERROR(__xludf.DUMMYFUNCTION("""COMPUTED_VALUE"""),"Q25B")</f>
        <v>Q25B</v>
      </c>
      <c r="E194" s="7" t="str">
        <f>IFERROR(__xludf.DUMMYFUNCTION("""COMPUTED_VALUE"""),"Q25b. Contact MP")</f>
        <v>Q25b. Contact MP</v>
      </c>
      <c r="F194" s="7" t="str">
        <f>IFERROR(__xludf.DUMMYFUNCTION("""COMPUTED_VALUE"""),"A member of the National Assembly")</f>
        <v>A member of the National Assembly</v>
      </c>
    </row>
    <row r="195">
      <c r="A195" s="7" t="str">
        <f>IFERROR(__xludf.DUMMYFUNCTION("""COMPUTED_VALUE"""),"NIGERIA")</f>
        <v>NIGERIA</v>
      </c>
      <c r="B195" s="7">
        <f>IFERROR(__xludf.DUMMYFUNCTION("""COMPUTED_VALUE"""),7.0)</f>
        <v>7</v>
      </c>
      <c r="C195" s="7" t="str">
        <f>IFERROR(__xludf.DUMMYFUNCTION("""COMPUTED_VALUE"""),"A_05_09")</f>
        <v>A_05_09</v>
      </c>
      <c r="D195" s="7" t="str">
        <f>IFERROR(__xludf.DUMMYFUNCTION("""COMPUTED_VALUE"""),"Q25B")</f>
        <v>Q25B</v>
      </c>
      <c r="E195" s="7" t="str">
        <f>IFERROR(__xludf.DUMMYFUNCTION("""COMPUTED_VALUE"""),"Q25b. Contact MP")</f>
        <v>Q25b. Contact MP</v>
      </c>
      <c r="F195" s="7" t="str">
        <f>IFERROR(__xludf.DUMMYFUNCTION("""COMPUTED_VALUE"""),"A Member of the National Assembly")</f>
        <v>A Member of the National Assembly</v>
      </c>
    </row>
    <row r="196">
      <c r="A196" s="7" t="str">
        <f>IFERROR(__xludf.DUMMYFUNCTION("""COMPUTED_VALUE"""),"SAO TOME AND PRINCIPE")</f>
        <v>SAO TOME AND PRINCIPE</v>
      </c>
      <c r="B196" s="7">
        <f>IFERROR(__xludf.DUMMYFUNCTION("""COMPUTED_VALUE"""),7.0)</f>
        <v>7</v>
      </c>
      <c r="C196" s="7" t="str">
        <f>IFERROR(__xludf.DUMMYFUNCTION("""COMPUTED_VALUE"""),"A_05_09")</f>
        <v>A_05_09</v>
      </c>
      <c r="D196" s="7" t="str">
        <f>IFERROR(__xludf.DUMMYFUNCTION("""COMPUTED_VALUE"""),"Q25B")</f>
        <v>Q25B</v>
      </c>
      <c r="E196" s="7" t="str">
        <f>IFERROR(__xludf.DUMMYFUNCTION("""COMPUTED_VALUE"""),"Q25b. Contact MP")</f>
        <v>Q25b. Contact MP</v>
      </c>
      <c r="F196" s="7" t="str">
        <f>IFERROR(__xludf.DUMMYFUNCTION("""COMPUTED_VALUE"""),"A Member of the National Assembly")</f>
        <v>A Member of the National Assembly</v>
      </c>
    </row>
    <row r="197">
      <c r="A197" s="7" t="str">
        <f>IFERROR(__xludf.DUMMYFUNCTION("""COMPUTED_VALUE"""),"SENEGAL")</f>
        <v>SENEGAL</v>
      </c>
      <c r="B197" s="7">
        <f>IFERROR(__xludf.DUMMYFUNCTION("""COMPUTED_VALUE"""),7.0)</f>
        <v>7</v>
      </c>
      <c r="C197" s="7" t="str">
        <f>IFERROR(__xludf.DUMMYFUNCTION("""COMPUTED_VALUE"""),"A_05_09")</f>
        <v>A_05_09</v>
      </c>
      <c r="D197" s="7" t="str">
        <f>IFERROR(__xludf.DUMMYFUNCTION("""COMPUTED_VALUE"""),"Q25B")</f>
        <v>Q25B</v>
      </c>
      <c r="E197" s="7" t="str">
        <f>IFERROR(__xludf.DUMMYFUNCTION("""COMPUTED_VALUE"""),"Q25b. Contact MP")</f>
        <v>Q25b. Contact MP</v>
      </c>
      <c r="F197" s="7" t="str">
        <f>IFERROR(__xludf.DUMMYFUNCTION("""COMPUTED_VALUE"""),"A Member of the National Assembly")</f>
        <v>A Member of the National Assembly</v>
      </c>
    </row>
    <row r="198">
      <c r="A198" s="7" t="str">
        <f>IFERROR(__xludf.DUMMYFUNCTION("""COMPUTED_VALUE"""),"SIERRA LEONE")</f>
        <v>SIERRA LEONE</v>
      </c>
      <c r="B198" s="7">
        <f>IFERROR(__xludf.DUMMYFUNCTION("""COMPUTED_VALUE"""),7.0)</f>
        <v>7</v>
      </c>
      <c r="C198" s="7" t="str">
        <f>IFERROR(__xludf.DUMMYFUNCTION("""COMPUTED_VALUE"""),"A_05_09")</f>
        <v>A_05_09</v>
      </c>
      <c r="D198" s="7" t="str">
        <f>IFERROR(__xludf.DUMMYFUNCTION("""COMPUTED_VALUE"""),"Q25B")</f>
        <v>Q25B</v>
      </c>
      <c r="E198" s="7" t="str">
        <f>IFERROR(__xludf.DUMMYFUNCTION("""COMPUTED_VALUE"""),"Q25b. Contact MP")</f>
        <v>Q25b. Contact MP</v>
      </c>
      <c r="F198" s="7" t="str">
        <f>IFERROR(__xludf.DUMMYFUNCTION("""COMPUTED_VALUE"""),"A Member of Parliament
")</f>
        <v>A Member of Parliament
</v>
      </c>
    </row>
    <row r="199">
      <c r="A199" s="7" t="str">
        <f>IFERROR(__xludf.DUMMYFUNCTION("""COMPUTED_VALUE"""),"SOUTH AFRICA")</f>
        <v>SOUTH AFRICA</v>
      </c>
      <c r="B199" s="7">
        <f>IFERROR(__xludf.DUMMYFUNCTION("""COMPUTED_VALUE"""),7.0)</f>
        <v>7</v>
      </c>
      <c r="C199" s="7" t="str">
        <f>IFERROR(__xludf.DUMMYFUNCTION("""COMPUTED_VALUE"""),"A_05_09")</f>
        <v>A_05_09</v>
      </c>
      <c r="D199" s="7" t="str">
        <f>IFERROR(__xludf.DUMMYFUNCTION("""COMPUTED_VALUE"""),"Q25B")</f>
        <v>Q25B</v>
      </c>
      <c r="E199" s="7" t="str">
        <f>IFERROR(__xludf.DUMMYFUNCTION("""COMPUTED_VALUE"""),"Q25b. Contact MP")</f>
        <v>Q25b. Contact MP</v>
      </c>
      <c r="F199" s="7" t="str">
        <f>IFERROR(__xludf.DUMMYFUNCTION("""COMPUTED_VALUE"""),"Member of Parliament")</f>
        <v>Member of Parliament</v>
      </c>
    </row>
    <row r="200">
      <c r="A200" s="7" t="str">
        <f>IFERROR(__xludf.DUMMYFUNCTION("""COMPUTED_VALUE"""),"SUDAN")</f>
        <v>SUDAN</v>
      </c>
      <c r="B200" s="7">
        <f>IFERROR(__xludf.DUMMYFUNCTION("""COMPUTED_VALUE"""),7.0)</f>
        <v>7</v>
      </c>
      <c r="C200" s="7" t="str">
        <f>IFERROR(__xludf.DUMMYFUNCTION("""COMPUTED_VALUE"""),"A_05_09")</f>
        <v>A_05_09</v>
      </c>
      <c r="D200" s="7" t="str">
        <f>IFERROR(__xludf.DUMMYFUNCTION("""COMPUTED_VALUE"""),"Q25B")</f>
        <v>Q25B</v>
      </c>
      <c r="E200" s="7" t="str">
        <f>IFERROR(__xludf.DUMMYFUNCTION("""COMPUTED_VALUE"""),"Q25b. Contact MP")</f>
        <v>Q25b. Contact MP</v>
      </c>
      <c r="F200" s="7" t="str">
        <f>IFERROR(__xludf.DUMMYFUNCTION("""COMPUTED_VALUE"""),"Member of National Assembly")</f>
        <v>Member of National Assembly</v>
      </c>
    </row>
    <row r="201">
      <c r="A201" s="7" t="str">
        <f>IFERROR(__xludf.DUMMYFUNCTION("""COMPUTED_VALUE"""),"TANZANIA")</f>
        <v>TANZANIA</v>
      </c>
      <c r="B201" s="7">
        <f>IFERROR(__xludf.DUMMYFUNCTION("""COMPUTED_VALUE"""),7.0)</f>
        <v>7</v>
      </c>
      <c r="C201" s="7" t="str">
        <f>IFERROR(__xludf.DUMMYFUNCTION("""COMPUTED_VALUE"""),"A_05_09")</f>
        <v>A_05_09</v>
      </c>
      <c r="D201" s="7" t="str">
        <f>IFERROR(__xludf.DUMMYFUNCTION("""COMPUTED_VALUE"""),"Q25B")</f>
        <v>Q25B</v>
      </c>
      <c r="E201" s="7" t="str">
        <f>IFERROR(__xludf.DUMMYFUNCTION("""COMPUTED_VALUE"""),"Q25b. Contact MP")</f>
        <v>Q25b. Contact MP</v>
      </c>
      <c r="F201" s="7" t="str">
        <f>IFERROR(__xludf.DUMMYFUNCTION("""COMPUTED_VALUE"""),"Member of Parliament")</f>
        <v>Member of Parliament</v>
      </c>
    </row>
    <row r="202">
      <c r="A202" s="7" t="str">
        <f>IFERROR(__xludf.DUMMYFUNCTION("""COMPUTED_VALUE"""),"TOGO")</f>
        <v>TOGO</v>
      </c>
      <c r="B202" s="7">
        <f>IFERROR(__xludf.DUMMYFUNCTION("""COMPUTED_VALUE"""),7.0)</f>
        <v>7</v>
      </c>
      <c r="C202" s="7" t="str">
        <f>IFERROR(__xludf.DUMMYFUNCTION("""COMPUTED_VALUE"""),"A_05_09")</f>
        <v>A_05_09</v>
      </c>
      <c r="D202" s="7" t="str">
        <f>IFERROR(__xludf.DUMMYFUNCTION("""COMPUTED_VALUE"""),"Q25B")</f>
        <v>Q25B</v>
      </c>
      <c r="E202" s="7" t="str">
        <f>IFERROR(__xludf.DUMMYFUNCTION("""COMPUTED_VALUE"""),"Q25b. Contact MP")</f>
        <v>Q25b. Contact MP</v>
      </c>
      <c r="F202" s="7" t="str">
        <f>IFERROR(__xludf.DUMMYFUNCTION("""COMPUTED_VALUE"""),"A deputy/member of the National Assembly")</f>
        <v>A deputy/member of the National Assembly</v>
      </c>
    </row>
    <row r="203">
      <c r="A203" s="7" t="str">
        <f>IFERROR(__xludf.DUMMYFUNCTION("""COMPUTED_VALUE"""),"TUNISIA")</f>
        <v>TUNISIA</v>
      </c>
      <c r="B203" s="7">
        <f>IFERROR(__xludf.DUMMYFUNCTION("""COMPUTED_VALUE"""),7.0)</f>
        <v>7</v>
      </c>
      <c r="C203" s="7" t="str">
        <f>IFERROR(__xludf.DUMMYFUNCTION("""COMPUTED_VALUE"""),"A_05_09")</f>
        <v>A_05_09</v>
      </c>
      <c r="D203" s="7" t="str">
        <f>IFERROR(__xludf.DUMMYFUNCTION("""COMPUTED_VALUE"""),"Q25B")</f>
        <v>Q25B</v>
      </c>
      <c r="E203" s="7" t="str">
        <f>IFERROR(__xludf.DUMMYFUNCTION("""COMPUTED_VALUE"""),"Q25b. Contact MP")</f>
        <v>Q25b. Contact MP</v>
      </c>
      <c r="F203" s="7" t="str">
        <f>IFERROR(__xludf.DUMMYFUNCTION("""COMPUTED_VALUE"""),"Member of Parliament")</f>
        <v>Member of Parliament</v>
      </c>
    </row>
    <row r="204">
      <c r="A204" s="7" t="str">
        <f>IFERROR(__xludf.DUMMYFUNCTION("""COMPUTED_VALUE"""),"UGANDA")</f>
        <v>UGANDA</v>
      </c>
      <c r="B204" s="7">
        <f>IFERROR(__xludf.DUMMYFUNCTION("""COMPUTED_VALUE"""),7.0)</f>
        <v>7</v>
      </c>
      <c r="C204" s="7" t="str">
        <f>IFERROR(__xludf.DUMMYFUNCTION("""COMPUTED_VALUE"""),"A_05_09")</f>
        <v>A_05_09</v>
      </c>
      <c r="D204" s="7" t="str">
        <f>IFERROR(__xludf.DUMMYFUNCTION("""COMPUTED_VALUE"""),"Q25B")</f>
        <v>Q25B</v>
      </c>
      <c r="E204" s="7" t="str">
        <f>IFERROR(__xludf.DUMMYFUNCTION("""COMPUTED_VALUE"""),"Q25b. Contact MP")</f>
        <v>Q25b. Contact MP</v>
      </c>
      <c r="F204" s="7" t="str">
        <f>IFERROR(__xludf.DUMMYFUNCTION("""COMPUTED_VALUE"""),"A Member of Parliament")</f>
        <v>A Member of Parliament</v>
      </c>
    </row>
    <row r="205">
      <c r="A205" s="7" t="str">
        <f>IFERROR(__xludf.DUMMYFUNCTION("""COMPUTED_VALUE"""),"ZAMBIA")</f>
        <v>ZAMBIA</v>
      </c>
      <c r="B205" s="7">
        <f>IFERROR(__xludf.DUMMYFUNCTION("""COMPUTED_VALUE"""),7.0)</f>
        <v>7</v>
      </c>
      <c r="C205" s="7" t="str">
        <f>IFERROR(__xludf.DUMMYFUNCTION("""COMPUTED_VALUE"""),"A_05_09")</f>
        <v>A_05_09</v>
      </c>
      <c r="D205" s="7" t="str">
        <f>IFERROR(__xludf.DUMMYFUNCTION("""COMPUTED_VALUE"""),"Q25B")</f>
        <v>Q25B</v>
      </c>
      <c r="E205" s="7" t="str">
        <f>IFERROR(__xludf.DUMMYFUNCTION("""COMPUTED_VALUE"""),"Q25b. Contact MP")</f>
        <v>Q25b. Contact MP</v>
      </c>
      <c r="F205" s="7" t="str">
        <f>IFERROR(__xludf.DUMMYFUNCTION("""COMPUTED_VALUE"""),"Member of Parliament")</f>
        <v>Member of Parliament</v>
      </c>
    </row>
    <row r="206">
      <c r="A206" s="7" t="str">
        <f>IFERROR(__xludf.DUMMYFUNCTION("""COMPUTED_VALUE"""),"ZIMBABWE")</f>
        <v>ZIMBABWE</v>
      </c>
      <c r="B206" s="7">
        <f>IFERROR(__xludf.DUMMYFUNCTION("""COMPUTED_VALUE"""),7.0)</f>
        <v>7</v>
      </c>
      <c r="C206" s="7" t="str">
        <f>IFERROR(__xludf.DUMMYFUNCTION("""COMPUTED_VALUE"""),"A_05_09")</f>
        <v>A_05_09</v>
      </c>
      <c r="D206" s="7" t="str">
        <f>IFERROR(__xludf.DUMMYFUNCTION("""COMPUTED_VALUE"""),"Q25B")</f>
        <v>Q25B</v>
      </c>
      <c r="E206" s="7" t="str">
        <f>IFERROR(__xludf.DUMMYFUNCTION("""COMPUTED_VALUE"""),"Q25b. Contact MP")</f>
        <v>Q25b. Contact MP</v>
      </c>
      <c r="F206" s="7" t="str">
        <f>IFERROR(__xludf.DUMMYFUNCTION("""COMPUTED_VALUE"""),"Member of Parliament")</f>
        <v>Member of Parliament</v>
      </c>
    </row>
    <row r="207">
      <c r="A207" s="7" t="str">
        <f>IFERROR(__xludf.DUMMYFUNCTION("""COMPUTED_VALUE"""),"BENIN")</f>
        <v>BENIN</v>
      </c>
      <c r="B207" s="7">
        <f>IFERROR(__xludf.DUMMYFUNCTION("""COMPUTED_VALUE"""),7.0)</f>
        <v>7</v>
      </c>
      <c r="C207" s="7" t="str">
        <f>IFERROR(__xludf.DUMMYFUNCTION("""COMPUTED_VALUE"""),"A_05_10")</f>
        <v>A_05_10</v>
      </c>
      <c r="D207" s="7" t="str">
        <f>IFERROR(__xludf.DUMMYFUNCTION("""COMPUTED_VALUE"""),"Q25C")</f>
        <v>Q25C</v>
      </c>
      <c r="E207" s="7" t="str">
        <f>IFERROR(__xludf.DUMMYFUNCTION("""COMPUTED_VALUE"""),"Q25c. Contact official of a government agency")</f>
        <v>Q25c. Contact official of a government agency</v>
      </c>
      <c r="F207" s="7" t="str">
        <f>IFERROR(__xludf.DUMMYFUNCTION("""COMPUTED_VALUE"""),"A government official")</f>
        <v>A government official</v>
      </c>
    </row>
    <row r="208">
      <c r="A208" s="7" t="str">
        <f>IFERROR(__xludf.DUMMYFUNCTION("""COMPUTED_VALUE"""),"BOTSWANA")</f>
        <v>BOTSWANA</v>
      </c>
      <c r="B208" s="7">
        <f>IFERROR(__xludf.DUMMYFUNCTION("""COMPUTED_VALUE"""),7.0)</f>
        <v>7</v>
      </c>
      <c r="C208" s="7" t="str">
        <f>IFERROR(__xludf.DUMMYFUNCTION("""COMPUTED_VALUE"""),"A_05_10")</f>
        <v>A_05_10</v>
      </c>
      <c r="D208" s="7" t="str">
        <f>IFERROR(__xludf.DUMMYFUNCTION("""COMPUTED_VALUE"""),"Q25C")</f>
        <v>Q25C</v>
      </c>
      <c r="E208" s="7" t="str">
        <f>IFERROR(__xludf.DUMMYFUNCTION("""COMPUTED_VALUE"""),"Q25c. Contact official of a government agency")</f>
        <v>Q25c. Contact official of a government agency</v>
      </c>
      <c r="F208" s="7" t="str">
        <f>IFERROR(__xludf.DUMMYFUNCTION("""COMPUTED_VALUE"""),"An official of a government agency")</f>
        <v>An official of a government agency</v>
      </c>
    </row>
    <row r="209">
      <c r="A209" s="7" t="str">
        <f>IFERROR(__xludf.DUMMYFUNCTION("""COMPUTED_VALUE"""),"BURKINA FASO")</f>
        <v>BURKINA FASO</v>
      </c>
      <c r="B209" s="7">
        <f>IFERROR(__xludf.DUMMYFUNCTION("""COMPUTED_VALUE"""),7.0)</f>
        <v>7</v>
      </c>
      <c r="C209" s="7" t="str">
        <f>IFERROR(__xludf.DUMMYFUNCTION("""COMPUTED_VALUE"""),"A_05_10")</f>
        <v>A_05_10</v>
      </c>
      <c r="D209" s="7" t="str">
        <f>IFERROR(__xludf.DUMMYFUNCTION("""COMPUTED_VALUE"""),"Q25C")</f>
        <v>Q25C</v>
      </c>
      <c r="E209" s="7" t="str">
        <f>IFERROR(__xludf.DUMMYFUNCTION("""COMPUTED_VALUE"""),"Q25c. Contact official of a government agency")</f>
        <v>Q25c. Contact official of a government agency</v>
      </c>
      <c r="F209" s="7" t="str">
        <f>IFERROR(__xludf.DUMMYFUNCTION("""COMPUTED_VALUE"""),"A government official")</f>
        <v>A government official</v>
      </c>
    </row>
    <row r="210">
      <c r="A210" s="7" t="str">
        <f>IFERROR(__xludf.DUMMYFUNCTION("""COMPUTED_VALUE"""),"CABO VERDE")</f>
        <v>CABO VERDE</v>
      </c>
      <c r="B210" s="7">
        <f>IFERROR(__xludf.DUMMYFUNCTION("""COMPUTED_VALUE"""),7.0)</f>
        <v>7</v>
      </c>
      <c r="C210" s="7" t="str">
        <f>IFERROR(__xludf.DUMMYFUNCTION("""COMPUTED_VALUE"""),"A_05_10")</f>
        <v>A_05_10</v>
      </c>
      <c r="D210" s="7" t="str">
        <f>IFERROR(__xludf.DUMMYFUNCTION("""COMPUTED_VALUE"""),"Q25C")</f>
        <v>Q25C</v>
      </c>
      <c r="E210" s="7" t="str">
        <f>IFERROR(__xludf.DUMMYFUNCTION("""COMPUTED_VALUE"""),"Q25c. Contact official of a government agency")</f>
        <v>Q25c. Contact official of a government agency</v>
      </c>
      <c r="F210" s="7" t="str">
        <f>IFERROR(__xludf.DUMMYFUNCTION("""COMPUTED_VALUE"""),"A government official")</f>
        <v>A government official</v>
      </c>
    </row>
    <row r="211">
      <c r="A211" s="7" t="str">
        <f>IFERROR(__xludf.DUMMYFUNCTION("""COMPUTED_VALUE"""),"CAMEROON")</f>
        <v>CAMEROON</v>
      </c>
      <c r="B211" s="7">
        <f>IFERROR(__xludf.DUMMYFUNCTION("""COMPUTED_VALUE"""),7.0)</f>
        <v>7</v>
      </c>
      <c r="C211" s="7" t="str">
        <f>IFERROR(__xludf.DUMMYFUNCTION("""COMPUTED_VALUE"""),"A_05_10")</f>
        <v>A_05_10</v>
      </c>
      <c r="D211" s="7" t="str">
        <f>IFERROR(__xludf.DUMMYFUNCTION("""COMPUTED_VALUE"""),"Q25C")</f>
        <v>Q25C</v>
      </c>
      <c r="E211" s="7" t="str">
        <f>IFERROR(__xludf.DUMMYFUNCTION("""COMPUTED_VALUE"""),"Q25c. Contact official of a government agency")</f>
        <v>Q25c. Contact official of a government agency</v>
      </c>
      <c r="F211" s="7" t="str">
        <f>IFERROR(__xludf.DUMMYFUNCTION("""COMPUTED_VALUE"""),"A government official")</f>
        <v>A government official</v>
      </c>
    </row>
    <row r="212">
      <c r="A212" s="7" t="str">
        <f>IFERROR(__xludf.DUMMYFUNCTION("""COMPUTED_VALUE"""),"COTE D'IVOIRE")</f>
        <v>COTE D'IVOIRE</v>
      </c>
      <c r="B212" s="7">
        <f>IFERROR(__xludf.DUMMYFUNCTION("""COMPUTED_VALUE"""),7.0)</f>
        <v>7</v>
      </c>
      <c r="C212" s="7" t="str">
        <f>IFERROR(__xludf.DUMMYFUNCTION("""COMPUTED_VALUE"""),"A_05_10")</f>
        <v>A_05_10</v>
      </c>
      <c r="D212" s="7" t="str">
        <f>IFERROR(__xludf.DUMMYFUNCTION("""COMPUTED_VALUE"""),"Q25C")</f>
        <v>Q25C</v>
      </c>
      <c r="E212" s="7" t="str">
        <f>IFERROR(__xludf.DUMMYFUNCTION("""COMPUTED_VALUE"""),"Q25c. Contact official of a government agency")</f>
        <v>Q25c. Contact official of a government agency</v>
      </c>
      <c r="F212" s="7" t="str">
        <f>IFERROR(__xludf.DUMMYFUNCTION("""COMPUTED_VALUE"""),"A government official")</f>
        <v>A government official</v>
      </c>
    </row>
    <row r="213">
      <c r="A213" s="7" t="str">
        <f>IFERROR(__xludf.DUMMYFUNCTION("""COMPUTED_VALUE"""),"ESWATINI")</f>
        <v>ESWATINI</v>
      </c>
      <c r="B213" s="7">
        <f>IFERROR(__xludf.DUMMYFUNCTION("""COMPUTED_VALUE"""),7.0)</f>
        <v>7</v>
      </c>
      <c r="C213" s="7" t="str">
        <f>IFERROR(__xludf.DUMMYFUNCTION("""COMPUTED_VALUE"""),"A_05_10")</f>
        <v>A_05_10</v>
      </c>
      <c r="D213" s="7" t="str">
        <f>IFERROR(__xludf.DUMMYFUNCTION("""COMPUTED_VALUE"""),"Q25C")</f>
        <v>Q25C</v>
      </c>
      <c r="E213" s="7" t="str">
        <f>IFERROR(__xludf.DUMMYFUNCTION("""COMPUTED_VALUE"""),"Q25c. Contact official of a government agency")</f>
        <v>Q25c. Contact official of a government agency</v>
      </c>
      <c r="F213" s="7" t="str">
        <f>IFERROR(__xludf.DUMMYFUNCTION("""COMPUTED_VALUE"""),"An official of a government agency")</f>
        <v>An official of a government agency</v>
      </c>
    </row>
    <row r="214">
      <c r="A214" s="7" t="str">
        <f>IFERROR(__xludf.DUMMYFUNCTION("""COMPUTED_VALUE"""),"GABON")</f>
        <v>GABON</v>
      </c>
      <c r="B214" s="7">
        <f>IFERROR(__xludf.DUMMYFUNCTION("""COMPUTED_VALUE"""),7.0)</f>
        <v>7</v>
      </c>
      <c r="C214" s="7" t="str">
        <f>IFERROR(__xludf.DUMMYFUNCTION("""COMPUTED_VALUE"""),"A_05_10")</f>
        <v>A_05_10</v>
      </c>
      <c r="D214" s="7" t="str">
        <f>IFERROR(__xludf.DUMMYFUNCTION("""COMPUTED_VALUE"""),"Q25C")</f>
        <v>Q25C</v>
      </c>
      <c r="E214" s="7" t="str">
        <f>IFERROR(__xludf.DUMMYFUNCTION("""COMPUTED_VALUE"""),"Q25c. Contact official of a government agency")</f>
        <v>Q25c. Contact official of a government agency</v>
      </c>
      <c r="F214" s="7" t="str">
        <f>IFERROR(__xludf.DUMMYFUNCTION("""COMPUTED_VALUE"""),"A government official")</f>
        <v>A government official</v>
      </c>
    </row>
    <row r="215">
      <c r="A215" s="7" t="str">
        <f>IFERROR(__xludf.DUMMYFUNCTION("""COMPUTED_VALUE"""),"GAMBIA")</f>
        <v>GAMBIA</v>
      </c>
      <c r="B215" s="7">
        <f>IFERROR(__xludf.DUMMYFUNCTION("""COMPUTED_VALUE"""),7.0)</f>
        <v>7</v>
      </c>
      <c r="C215" s="7" t="str">
        <f>IFERROR(__xludf.DUMMYFUNCTION("""COMPUTED_VALUE"""),"A_05_10")</f>
        <v>A_05_10</v>
      </c>
      <c r="D215" s="7" t="str">
        <f>IFERROR(__xludf.DUMMYFUNCTION("""COMPUTED_VALUE"""),"Q25C")</f>
        <v>Q25C</v>
      </c>
      <c r="E215" s="7" t="str">
        <f>IFERROR(__xludf.DUMMYFUNCTION("""COMPUTED_VALUE"""),"Q25c. Contact official of a government agency")</f>
        <v>Q25c. Contact official of a government agency</v>
      </c>
      <c r="F215" s="7" t="str">
        <f>IFERROR(__xludf.DUMMYFUNCTION("""COMPUTED_VALUE"""),"An official of a government agency")</f>
        <v>An official of a government agency</v>
      </c>
    </row>
    <row r="216">
      <c r="A216" s="7" t="str">
        <f>IFERROR(__xludf.DUMMYFUNCTION("""COMPUTED_VALUE"""),"GHANA")</f>
        <v>GHANA</v>
      </c>
      <c r="B216" s="7">
        <f>IFERROR(__xludf.DUMMYFUNCTION("""COMPUTED_VALUE"""),7.0)</f>
        <v>7</v>
      </c>
      <c r="C216" s="7" t="str">
        <f>IFERROR(__xludf.DUMMYFUNCTION("""COMPUTED_VALUE"""),"A_05_10")</f>
        <v>A_05_10</v>
      </c>
      <c r="D216" s="7" t="str">
        <f>IFERROR(__xludf.DUMMYFUNCTION("""COMPUTED_VALUE"""),"Q25C")</f>
        <v>Q25C</v>
      </c>
      <c r="E216" s="7" t="str">
        <f>IFERROR(__xludf.DUMMYFUNCTION("""COMPUTED_VALUE"""),"Q25c. Contact official of a government agency")</f>
        <v>Q25c. Contact official of a government agency</v>
      </c>
      <c r="F216" s="7" t="str">
        <f>IFERROR(__xludf.DUMMYFUNCTION("""COMPUTED_VALUE"""),"An official of a government agency")</f>
        <v>An official of a government agency</v>
      </c>
    </row>
    <row r="217">
      <c r="A217" s="7" t="str">
        <f>IFERROR(__xludf.DUMMYFUNCTION("""COMPUTED_VALUE"""),"GUINEA")</f>
        <v>GUINEA</v>
      </c>
      <c r="B217" s="7">
        <f>IFERROR(__xludf.DUMMYFUNCTION("""COMPUTED_VALUE"""),7.0)</f>
        <v>7</v>
      </c>
      <c r="C217" s="7" t="str">
        <f>IFERROR(__xludf.DUMMYFUNCTION("""COMPUTED_VALUE"""),"A_05_10")</f>
        <v>A_05_10</v>
      </c>
      <c r="D217" s="7" t="str">
        <f>IFERROR(__xludf.DUMMYFUNCTION("""COMPUTED_VALUE"""),"Q25C")</f>
        <v>Q25C</v>
      </c>
      <c r="E217" s="7" t="str">
        <f>IFERROR(__xludf.DUMMYFUNCTION("""COMPUTED_VALUE"""),"Q25c. Contact official of a government agency")</f>
        <v>Q25c. Contact official of a government agency</v>
      </c>
      <c r="F217" s="7" t="str">
        <f>IFERROR(__xludf.DUMMYFUNCTION("""COMPUTED_VALUE"""),"A government official")</f>
        <v>A government official</v>
      </c>
    </row>
    <row r="218">
      <c r="A218" s="7" t="str">
        <f>IFERROR(__xludf.DUMMYFUNCTION("""COMPUTED_VALUE"""),"KENYA")</f>
        <v>KENYA</v>
      </c>
      <c r="B218" s="7">
        <f>IFERROR(__xludf.DUMMYFUNCTION("""COMPUTED_VALUE"""),7.0)</f>
        <v>7</v>
      </c>
      <c r="C218" s="7" t="str">
        <f>IFERROR(__xludf.DUMMYFUNCTION("""COMPUTED_VALUE"""),"A_05_10")</f>
        <v>A_05_10</v>
      </c>
      <c r="D218" s="7" t="str">
        <f>IFERROR(__xludf.DUMMYFUNCTION("""COMPUTED_VALUE"""),"Q25C")</f>
        <v>Q25C</v>
      </c>
      <c r="E218" s="7" t="str">
        <f>IFERROR(__xludf.DUMMYFUNCTION("""COMPUTED_VALUE"""),"Q25c. Contact official of a government agency")</f>
        <v>Q25c. Contact official of a government agency</v>
      </c>
      <c r="F218" s="7" t="str">
        <f>IFERROR(__xludf.DUMMYFUNCTION("""COMPUTED_VALUE"""),"An official of a government agency")</f>
        <v>An official of a government agency</v>
      </c>
    </row>
    <row r="219">
      <c r="A219" s="7" t="str">
        <f>IFERROR(__xludf.DUMMYFUNCTION("""COMPUTED_VALUE"""),"LESOTHO")</f>
        <v>LESOTHO</v>
      </c>
      <c r="B219" s="7">
        <f>IFERROR(__xludf.DUMMYFUNCTION("""COMPUTED_VALUE"""),7.0)</f>
        <v>7</v>
      </c>
      <c r="C219" s="7" t="str">
        <f>IFERROR(__xludf.DUMMYFUNCTION("""COMPUTED_VALUE"""),"A_05_10")</f>
        <v>A_05_10</v>
      </c>
      <c r="D219" s="7" t="str">
        <f>IFERROR(__xludf.DUMMYFUNCTION("""COMPUTED_VALUE"""),"Q25C")</f>
        <v>Q25C</v>
      </c>
      <c r="E219" s="7" t="str">
        <f>IFERROR(__xludf.DUMMYFUNCTION("""COMPUTED_VALUE"""),"Q25c. Contact official of a government agency")</f>
        <v>Q25c. Contact official of a government agency</v>
      </c>
      <c r="F219" s="7" t="str">
        <f>IFERROR(__xludf.DUMMYFUNCTION("""COMPUTED_VALUE"""),"An official of a government agency")</f>
        <v>An official of a government agency</v>
      </c>
    </row>
    <row r="220">
      <c r="A220" s="7" t="str">
        <f>IFERROR(__xludf.DUMMYFUNCTION("""COMPUTED_VALUE"""),"LIBERIA")</f>
        <v>LIBERIA</v>
      </c>
      <c r="B220" s="7">
        <f>IFERROR(__xludf.DUMMYFUNCTION("""COMPUTED_VALUE"""),7.0)</f>
        <v>7</v>
      </c>
      <c r="C220" s="7" t="str">
        <f>IFERROR(__xludf.DUMMYFUNCTION("""COMPUTED_VALUE"""),"A_05_10")</f>
        <v>A_05_10</v>
      </c>
      <c r="D220" s="7" t="str">
        <f>IFERROR(__xludf.DUMMYFUNCTION("""COMPUTED_VALUE"""),"Q25C")</f>
        <v>Q25C</v>
      </c>
      <c r="E220" s="7" t="str">
        <f>IFERROR(__xludf.DUMMYFUNCTION("""COMPUTED_VALUE"""),"Q25c. Contact official of a government agency")</f>
        <v>Q25c. Contact official of a government agency</v>
      </c>
      <c r="F220" s="7" t="str">
        <f>IFERROR(__xludf.DUMMYFUNCTION("""COMPUTED_VALUE"""),"An official of a government agency")</f>
        <v>An official of a government agency</v>
      </c>
    </row>
    <row r="221">
      <c r="A221" s="7" t="str">
        <f>IFERROR(__xludf.DUMMYFUNCTION("""COMPUTED_VALUE"""),"MADAGASCAR")</f>
        <v>MADAGASCAR</v>
      </c>
      <c r="B221" s="7">
        <f>IFERROR(__xludf.DUMMYFUNCTION("""COMPUTED_VALUE"""),7.0)</f>
        <v>7</v>
      </c>
      <c r="C221" s="7" t="str">
        <f>IFERROR(__xludf.DUMMYFUNCTION("""COMPUTED_VALUE"""),"A_05_10")</f>
        <v>A_05_10</v>
      </c>
      <c r="D221" s="7" t="str">
        <f>IFERROR(__xludf.DUMMYFUNCTION("""COMPUTED_VALUE"""),"Q25C")</f>
        <v>Q25C</v>
      </c>
      <c r="E221" s="7" t="str">
        <f>IFERROR(__xludf.DUMMYFUNCTION("""COMPUTED_VALUE"""),"Q25c. Contact official of a government agency")</f>
        <v>Q25c. Contact official of a government agency</v>
      </c>
      <c r="F221" s="7" t="str">
        <f>IFERROR(__xludf.DUMMYFUNCTION("""COMPUTED_VALUE"""),"A government official")</f>
        <v>A government official</v>
      </c>
    </row>
    <row r="222">
      <c r="A222" s="7" t="str">
        <f>IFERROR(__xludf.DUMMYFUNCTION("""COMPUTED_VALUE"""),"MALAWI")</f>
        <v>MALAWI</v>
      </c>
      <c r="B222" s="7">
        <f>IFERROR(__xludf.DUMMYFUNCTION("""COMPUTED_VALUE"""),7.0)</f>
        <v>7</v>
      </c>
      <c r="C222" s="7" t="str">
        <f>IFERROR(__xludf.DUMMYFUNCTION("""COMPUTED_VALUE"""),"A_05_10")</f>
        <v>A_05_10</v>
      </c>
      <c r="D222" s="7" t="str">
        <f>IFERROR(__xludf.DUMMYFUNCTION("""COMPUTED_VALUE"""),"Q25C")</f>
        <v>Q25C</v>
      </c>
      <c r="E222" s="7" t="str">
        <f>IFERROR(__xludf.DUMMYFUNCTION("""COMPUTED_VALUE"""),"Q25c. Contact official of a government agency")</f>
        <v>Q25c. Contact official of a government agency</v>
      </c>
      <c r="F222" s="7" t="str">
        <f>IFERROR(__xludf.DUMMYFUNCTION("""COMPUTED_VALUE"""),"Official of a government agency")</f>
        <v>Official of a government agency</v>
      </c>
    </row>
    <row r="223">
      <c r="A223" s="7" t="str">
        <f>IFERROR(__xludf.DUMMYFUNCTION("""COMPUTED_VALUE"""),"MALI")</f>
        <v>MALI</v>
      </c>
      <c r="B223" s="7">
        <f>IFERROR(__xludf.DUMMYFUNCTION("""COMPUTED_VALUE"""),7.0)</f>
        <v>7</v>
      </c>
      <c r="C223" s="7" t="str">
        <f>IFERROR(__xludf.DUMMYFUNCTION("""COMPUTED_VALUE"""),"A_05_10")</f>
        <v>A_05_10</v>
      </c>
      <c r="D223" s="7" t="str">
        <f>IFERROR(__xludf.DUMMYFUNCTION("""COMPUTED_VALUE"""),"Q25C")</f>
        <v>Q25C</v>
      </c>
      <c r="E223" s="7" t="str">
        <f>IFERROR(__xludf.DUMMYFUNCTION("""COMPUTED_VALUE"""),"Q25c. Contact official of a government agency")</f>
        <v>Q25c. Contact official of a government agency</v>
      </c>
      <c r="F223" s="7" t="str">
        <f>IFERROR(__xludf.DUMMYFUNCTION("""COMPUTED_VALUE"""),"A government official")</f>
        <v>A government official</v>
      </c>
    </row>
    <row r="224">
      <c r="A224" s="7" t="str">
        <f>IFERROR(__xludf.DUMMYFUNCTION("""COMPUTED_VALUE"""),"MAURITIUS")</f>
        <v>MAURITIUS</v>
      </c>
      <c r="B224" s="7">
        <f>IFERROR(__xludf.DUMMYFUNCTION("""COMPUTED_VALUE"""),7.0)</f>
        <v>7</v>
      </c>
      <c r="C224" s="7" t="str">
        <f>IFERROR(__xludf.DUMMYFUNCTION("""COMPUTED_VALUE"""),"A_05_10")</f>
        <v>A_05_10</v>
      </c>
      <c r="D224" s="7" t="str">
        <f>IFERROR(__xludf.DUMMYFUNCTION("""COMPUTED_VALUE"""),"Q25C")</f>
        <v>Q25C</v>
      </c>
      <c r="E224" s="7" t="str">
        <f>IFERROR(__xludf.DUMMYFUNCTION("""COMPUTED_VALUE"""),"Q25c. Contact official of a government agency")</f>
        <v>Q25c. Contact official of a government agency</v>
      </c>
      <c r="F224" s="7" t="str">
        <f>IFERROR(__xludf.DUMMYFUNCTION("""COMPUTED_VALUE"""),"An official of a government agency")</f>
        <v>An official of a government agency</v>
      </c>
    </row>
    <row r="225">
      <c r="A225" s="7" t="str">
        <f>IFERROR(__xludf.DUMMYFUNCTION("""COMPUTED_VALUE"""),"MOROCCO")</f>
        <v>MOROCCO</v>
      </c>
      <c r="B225" s="7">
        <f>IFERROR(__xludf.DUMMYFUNCTION("""COMPUTED_VALUE"""),7.0)</f>
        <v>7</v>
      </c>
      <c r="C225" s="7" t="str">
        <f>IFERROR(__xludf.DUMMYFUNCTION("""COMPUTED_VALUE"""),"A_05_10")</f>
        <v>A_05_10</v>
      </c>
      <c r="D225" s="7" t="str">
        <f>IFERROR(__xludf.DUMMYFUNCTION("""COMPUTED_VALUE"""),"Q25C")</f>
        <v>Q25C</v>
      </c>
      <c r="E225" s="7" t="str">
        <f>IFERROR(__xludf.DUMMYFUNCTION("""COMPUTED_VALUE"""),"Q25c. Contact official of a government agency")</f>
        <v>Q25c. Contact official of a government agency</v>
      </c>
      <c r="F225" s="7" t="str">
        <f>IFERROR(__xludf.DUMMYFUNCTION("""COMPUTED_VALUE"""),"An official of a government agency")</f>
        <v>An official of a government agency</v>
      </c>
    </row>
    <row r="226">
      <c r="A226" s="7" t="str">
        <f>IFERROR(__xludf.DUMMYFUNCTION("""COMPUTED_VALUE"""),"MOZAMBIQUE")</f>
        <v>MOZAMBIQUE</v>
      </c>
      <c r="B226" s="7">
        <f>IFERROR(__xludf.DUMMYFUNCTION("""COMPUTED_VALUE"""),7.0)</f>
        <v>7</v>
      </c>
      <c r="C226" s="7" t="str">
        <f>IFERROR(__xludf.DUMMYFUNCTION("""COMPUTED_VALUE"""),"A_05_10")</f>
        <v>A_05_10</v>
      </c>
      <c r="D226" s="7" t="str">
        <f>IFERROR(__xludf.DUMMYFUNCTION("""COMPUTED_VALUE"""),"Q25C")</f>
        <v>Q25C</v>
      </c>
      <c r="E226" s="7" t="str">
        <f>IFERROR(__xludf.DUMMYFUNCTION("""COMPUTED_VALUE"""),"Q25c. Contact official of a government agency")</f>
        <v>Q25c. Contact official of a government agency</v>
      </c>
      <c r="F226" s="7" t="str">
        <f>IFERROR(__xludf.DUMMYFUNCTION("""COMPUTED_VALUE"""),"An official of a government agency")</f>
        <v>An official of a government agency</v>
      </c>
    </row>
    <row r="227">
      <c r="A227" s="7" t="str">
        <f>IFERROR(__xludf.DUMMYFUNCTION("""COMPUTED_VALUE"""),"NAMIBIA")</f>
        <v>NAMIBIA</v>
      </c>
      <c r="B227" s="7">
        <f>IFERROR(__xludf.DUMMYFUNCTION("""COMPUTED_VALUE"""),7.0)</f>
        <v>7</v>
      </c>
      <c r="C227" s="7" t="str">
        <f>IFERROR(__xludf.DUMMYFUNCTION("""COMPUTED_VALUE"""),"A_05_10")</f>
        <v>A_05_10</v>
      </c>
      <c r="D227" s="7" t="str">
        <f>IFERROR(__xludf.DUMMYFUNCTION("""COMPUTED_VALUE"""),"Q25C")</f>
        <v>Q25C</v>
      </c>
      <c r="E227" s="7" t="str">
        <f>IFERROR(__xludf.DUMMYFUNCTION("""COMPUTED_VALUE"""),"Q25c. Contact official of a government agency")</f>
        <v>Q25c. Contact official of a government agency</v>
      </c>
      <c r="F227" s="7" t="str">
        <f>IFERROR(__xludf.DUMMYFUNCTION("""COMPUTED_VALUE"""),"An official of a government agency")</f>
        <v>An official of a government agency</v>
      </c>
    </row>
    <row r="228">
      <c r="A228" s="7" t="str">
        <f>IFERROR(__xludf.DUMMYFUNCTION("""COMPUTED_VALUE"""),"NIGER")</f>
        <v>NIGER</v>
      </c>
      <c r="B228" s="7">
        <f>IFERROR(__xludf.DUMMYFUNCTION("""COMPUTED_VALUE"""),7.0)</f>
        <v>7</v>
      </c>
      <c r="C228" s="7" t="str">
        <f>IFERROR(__xludf.DUMMYFUNCTION("""COMPUTED_VALUE"""),"A_05_10")</f>
        <v>A_05_10</v>
      </c>
      <c r="D228" s="7" t="str">
        <f>IFERROR(__xludf.DUMMYFUNCTION("""COMPUTED_VALUE"""),"Q25C")</f>
        <v>Q25C</v>
      </c>
      <c r="E228" s="7" t="str">
        <f>IFERROR(__xludf.DUMMYFUNCTION("""COMPUTED_VALUE"""),"Q25c. Contact official of a government agency")</f>
        <v>Q25c. Contact official of a government agency</v>
      </c>
      <c r="F228" s="7" t="str">
        <f>IFERROR(__xludf.DUMMYFUNCTION("""COMPUTED_VALUE"""),"A government official")</f>
        <v>A government official</v>
      </c>
    </row>
    <row r="229">
      <c r="A229" s="7" t="str">
        <f>IFERROR(__xludf.DUMMYFUNCTION("""COMPUTED_VALUE"""),"NIGERIA")</f>
        <v>NIGERIA</v>
      </c>
      <c r="B229" s="7">
        <f>IFERROR(__xludf.DUMMYFUNCTION("""COMPUTED_VALUE"""),7.0)</f>
        <v>7</v>
      </c>
      <c r="C229" s="7" t="str">
        <f>IFERROR(__xludf.DUMMYFUNCTION("""COMPUTED_VALUE"""),"A_05_10")</f>
        <v>A_05_10</v>
      </c>
      <c r="D229" s="7" t="str">
        <f>IFERROR(__xludf.DUMMYFUNCTION("""COMPUTED_VALUE"""),"Q25C")</f>
        <v>Q25C</v>
      </c>
      <c r="E229" s="7" t="str">
        <f>IFERROR(__xludf.DUMMYFUNCTION("""COMPUTED_VALUE"""),"Q25c. Contact official of a government agency")</f>
        <v>Q25c. Contact official of a government agency</v>
      </c>
      <c r="F229" s="7" t="str">
        <f>IFERROR(__xludf.DUMMYFUNCTION("""COMPUTED_VALUE"""),"A government official")</f>
        <v>A government official</v>
      </c>
    </row>
    <row r="230">
      <c r="A230" s="7" t="str">
        <f>IFERROR(__xludf.DUMMYFUNCTION("""COMPUTED_VALUE"""),"SAO TOME AND PRINCIPE")</f>
        <v>SAO TOME AND PRINCIPE</v>
      </c>
      <c r="B230" s="7">
        <f>IFERROR(__xludf.DUMMYFUNCTION("""COMPUTED_VALUE"""),7.0)</f>
        <v>7</v>
      </c>
      <c r="C230" s="7" t="str">
        <f>IFERROR(__xludf.DUMMYFUNCTION("""COMPUTED_VALUE"""),"A_05_10")</f>
        <v>A_05_10</v>
      </c>
      <c r="D230" s="7" t="str">
        <f>IFERROR(__xludf.DUMMYFUNCTION("""COMPUTED_VALUE"""),"Q25C")</f>
        <v>Q25C</v>
      </c>
      <c r="E230" s="7" t="str">
        <f>IFERROR(__xludf.DUMMYFUNCTION("""COMPUTED_VALUE"""),"Q25c. Contact official of a government agency")</f>
        <v>Q25c. Contact official of a government agency</v>
      </c>
      <c r="F230" s="7" t="str">
        <f>IFERROR(__xludf.DUMMYFUNCTION("""COMPUTED_VALUE"""),"Leader of a government ministry")</f>
        <v>Leader of a government ministry</v>
      </c>
    </row>
    <row r="231">
      <c r="A231" s="7" t="str">
        <f>IFERROR(__xludf.DUMMYFUNCTION("""COMPUTED_VALUE"""),"SENEGAL")</f>
        <v>SENEGAL</v>
      </c>
      <c r="B231" s="7">
        <f>IFERROR(__xludf.DUMMYFUNCTION("""COMPUTED_VALUE"""),7.0)</f>
        <v>7</v>
      </c>
      <c r="C231" s="7" t="str">
        <f>IFERROR(__xludf.DUMMYFUNCTION("""COMPUTED_VALUE"""),"A_05_10")</f>
        <v>A_05_10</v>
      </c>
      <c r="D231" s="7" t="str">
        <f>IFERROR(__xludf.DUMMYFUNCTION("""COMPUTED_VALUE"""),"Q25C")</f>
        <v>Q25C</v>
      </c>
      <c r="E231" s="7" t="str">
        <f>IFERROR(__xludf.DUMMYFUNCTION("""COMPUTED_VALUE"""),"Q25c. Contact official of a government agency")</f>
        <v>Q25c. Contact official of a government agency</v>
      </c>
      <c r="F231" s="7" t="str">
        <f>IFERROR(__xludf.DUMMYFUNCTION("""COMPUTED_VALUE"""),"A government official")</f>
        <v>A government official</v>
      </c>
    </row>
    <row r="232">
      <c r="A232" s="7" t="str">
        <f>IFERROR(__xludf.DUMMYFUNCTION("""COMPUTED_VALUE"""),"SIERRA LEONE")</f>
        <v>SIERRA LEONE</v>
      </c>
      <c r="B232" s="7">
        <f>IFERROR(__xludf.DUMMYFUNCTION("""COMPUTED_VALUE"""),7.0)</f>
        <v>7</v>
      </c>
      <c r="C232" s="7" t="str">
        <f>IFERROR(__xludf.DUMMYFUNCTION("""COMPUTED_VALUE"""),"A_05_10")</f>
        <v>A_05_10</v>
      </c>
      <c r="D232" s="7" t="str">
        <f>IFERROR(__xludf.DUMMYFUNCTION("""COMPUTED_VALUE"""),"Q25C")</f>
        <v>Q25C</v>
      </c>
      <c r="E232" s="7" t="str">
        <f>IFERROR(__xludf.DUMMYFUNCTION("""COMPUTED_VALUE"""),"Q25c. Contact official of a government agency")</f>
        <v>Q25c. Contact official of a government agency</v>
      </c>
      <c r="F232" s="7" t="str">
        <f>IFERROR(__xludf.DUMMYFUNCTION("""COMPUTED_VALUE"""),"An official of a government agency")</f>
        <v>An official of a government agency</v>
      </c>
    </row>
    <row r="233">
      <c r="A233" s="7" t="str">
        <f>IFERROR(__xludf.DUMMYFUNCTION("""COMPUTED_VALUE"""),"SOUTH AFRICA")</f>
        <v>SOUTH AFRICA</v>
      </c>
      <c r="B233" s="7">
        <f>IFERROR(__xludf.DUMMYFUNCTION("""COMPUTED_VALUE"""),7.0)</f>
        <v>7</v>
      </c>
      <c r="C233" s="7" t="str">
        <f>IFERROR(__xludf.DUMMYFUNCTION("""COMPUTED_VALUE"""),"A_05_10")</f>
        <v>A_05_10</v>
      </c>
      <c r="D233" s="7" t="str">
        <f>IFERROR(__xludf.DUMMYFUNCTION("""COMPUTED_VALUE"""),"Q25C")</f>
        <v>Q25C</v>
      </c>
      <c r="E233" s="7" t="str">
        <f>IFERROR(__xludf.DUMMYFUNCTION("""COMPUTED_VALUE"""),"Q25c. Contact official of a government agency")</f>
        <v>Q25c. Contact official of a government agency</v>
      </c>
      <c r="F233" s="7" t="str">
        <f>IFERROR(__xludf.DUMMYFUNCTION("""COMPUTED_VALUE"""),"An official of a government agency")</f>
        <v>An official of a government agency</v>
      </c>
    </row>
    <row r="234">
      <c r="A234" s="7" t="str">
        <f>IFERROR(__xludf.DUMMYFUNCTION("""COMPUTED_VALUE"""),"SUDAN")</f>
        <v>SUDAN</v>
      </c>
      <c r="B234" s="7">
        <f>IFERROR(__xludf.DUMMYFUNCTION("""COMPUTED_VALUE"""),7.0)</f>
        <v>7</v>
      </c>
      <c r="C234" s="7" t="str">
        <f>IFERROR(__xludf.DUMMYFUNCTION("""COMPUTED_VALUE"""),"A_05_10")</f>
        <v>A_05_10</v>
      </c>
      <c r="D234" s="7" t="str">
        <f>IFERROR(__xludf.DUMMYFUNCTION("""COMPUTED_VALUE"""),"Q25C")</f>
        <v>Q25C</v>
      </c>
      <c r="E234" s="7" t="str">
        <f>IFERROR(__xludf.DUMMYFUNCTION("""COMPUTED_VALUE"""),"Q25c. Contact official of a government agency")</f>
        <v>Q25c. Contact official of a government agency</v>
      </c>
      <c r="F234" s="7" t="str">
        <f>IFERROR(__xludf.DUMMYFUNCTION("""COMPUTED_VALUE"""),"An official of a government agency")</f>
        <v>An official of a government agency</v>
      </c>
    </row>
    <row r="235">
      <c r="A235" s="7" t="str">
        <f>IFERROR(__xludf.DUMMYFUNCTION("""COMPUTED_VALUE"""),"TANZANIA")</f>
        <v>TANZANIA</v>
      </c>
      <c r="B235" s="7">
        <f>IFERROR(__xludf.DUMMYFUNCTION("""COMPUTED_VALUE"""),7.0)</f>
        <v>7</v>
      </c>
      <c r="C235" s="7" t="str">
        <f>IFERROR(__xludf.DUMMYFUNCTION("""COMPUTED_VALUE"""),"A_05_10")</f>
        <v>A_05_10</v>
      </c>
      <c r="D235" s="7" t="str">
        <f>IFERROR(__xludf.DUMMYFUNCTION("""COMPUTED_VALUE"""),"Q25C")</f>
        <v>Q25C</v>
      </c>
      <c r="E235" s="7" t="str">
        <f>IFERROR(__xludf.DUMMYFUNCTION("""COMPUTED_VALUE"""),"Q25c. Contact official of a government agency")</f>
        <v>Q25c. Contact official of a government agency</v>
      </c>
      <c r="F235" s="7" t="str">
        <f>IFERROR(__xludf.DUMMYFUNCTION("""COMPUTED_VALUE"""),"An official of a government agency")</f>
        <v>An official of a government agency</v>
      </c>
    </row>
    <row r="236">
      <c r="A236" s="7" t="str">
        <f>IFERROR(__xludf.DUMMYFUNCTION("""COMPUTED_VALUE"""),"TOGO")</f>
        <v>TOGO</v>
      </c>
      <c r="B236" s="7">
        <f>IFERROR(__xludf.DUMMYFUNCTION("""COMPUTED_VALUE"""),7.0)</f>
        <v>7</v>
      </c>
      <c r="C236" s="7" t="str">
        <f>IFERROR(__xludf.DUMMYFUNCTION("""COMPUTED_VALUE"""),"A_05_10")</f>
        <v>A_05_10</v>
      </c>
      <c r="D236" s="7" t="str">
        <f>IFERROR(__xludf.DUMMYFUNCTION("""COMPUTED_VALUE"""),"Q25C")</f>
        <v>Q25C</v>
      </c>
      <c r="E236" s="7" t="str">
        <f>IFERROR(__xludf.DUMMYFUNCTION("""COMPUTED_VALUE"""),"Q25c. Contact official of a government agency")</f>
        <v>Q25c. Contact official of a government agency</v>
      </c>
      <c r="F236" s="7" t="str">
        <f>IFERROR(__xludf.DUMMYFUNCTION("""COMPUTED_VALUE"""),"A government official")</f>
        <v>A government official</v>
      </c>
    </row>
    <row r="237">
      <c r="A237" s="7" t="str">
        <f>IFERROR(__xludf.DUMMYFUNCTION("""COMPUTED_VALUE"""),"TUNISIA")</f>
        <v>TUNISIA</v>
      </c>
      <c r="B237" s="7">
        <f>IFERROR(__xludf.DUMMYFUNCTION("""COMPUTED_VALUE"""),7.0)</f>
        <v>7</v>
      </c>
      <c r="C237" s="7" t="str">
        <f>IFERROR(__xludf.DUMMYFUNCTION("""COMPUTED_VALUE"""),"A_05_10")</f>
        <v>A_05_10</v>
      </c>
      <c r="D237" s="7" t="str">
        <f>IFERROR(__xludf.DUMMYFUNCTION("""COMPUTED_VALUE"""),"Q25C")</f>
        <v>Q25C</v>
      </c>
      <c r="E237" s="7" t="str">
        <f>IFERROR(__xludf.DUMMYFUNCTION("""COMPUTED_VALUE"""),"Q25c. Contact official of a government agency")</f>
        <v>Q25c. Contact official of a government agency</v>
      </c>
      <c r="F237" s="7" t="str">
        <f>IFERROR(__xludf.DUMMYFUNCTION("""COMPUTED_VALUE"""),"An official of a government agency")</f>
        <v>An official of a government agency</v>
      </c>
    </row>
    <row r="238">
      <c r="A238" s="7" t="str">
        <f>IFERROR(__xludf.DUMMYFUNCTION("""COMPUTED_VALUE"""),"UGANDA")</f>
        <v>UGANDA</v>
      </c>
      <c r="B238" s="7">
        <f>IFERROR(__xludf.DUMMYFUNCTION("""COMPUTED_VALUE"""),7.0)</f>
        <v>7</v>
      </c>
      <c r="C238" s="7" t="str">
        <f>IFERROR(__xludf.DUMMYFUNCTION("""COMPUTED_VALUE"""),"A_05_10")</f>
        <v>A_05_10</v>
      </c>
      <c r="D238" s="7" t="str">
        <f>IFERROR(__xludf.DUMMYFUNCTION("""COMPUTED_VALUE"""),"Q25C")</f>
        <v>Q25C</v>
      </c>
      <c r="E238" s="7" t="str">
        <f>IFERROR(__xludf.DUMMYFUNCTION("""COMPUTED_VALUE"""),"Q25c. Contact official of a government agency")</f>
        <v>Q25c. Contact official of a government agency</v>
      </c>
      <c r="F238" s="7" t="str">
        <f>IFERROR(__xludf.DUMMYFUNCTION("""COMPUTED_VALUE"""),"An official of a government agency")</f>
        <v>An official of a government agency</v>
      </c>
    </row>
    <row r="239">
      <c r="A239" s="7" t="str">
        <f>IFERROR(__xludf.DUMMYFUNCTION("""COMPUTED_VALUE"""),"ZAMBIA")</f>
        <v>ZAMBIA</v>
      </c>
      <c r="B239" s="7">
        <f>IFERROR(__xludf.DUMMYFUNCTION("""COMPUTED_VALUE"""),7.0)</f>
        <v>7</v>
      </c>
      <c r="C239" s="7" t="str">
        <f>IFERROR(__xludf.DUMMYFUNCTION("""COMPUTED_VALUE"""),"A_05_10")</f>
        <v>A_05_10</v>
      </c>
      <c r="D239" s="7" t="str">
        <f>IFERROR(__xludf.DUMMYFUNCTION("""COMPUTED_VALUE"""),"Q25C")</f>
        <v>Q25C</v>
      </c>
      <c r="E239" s="7" t="str">
        <f>IFERROR(__xludf.DUMMYFUNCTION("""COMPUTED_VALUE"""),"Q25c. Contact official of a government agency")</f>
        <v>Q25c. Contact official of a government agency</v>
      </c>
      <c r="F239" s="7" t="str">
        <f>IFERROR(__xludf.DUMMYFUNCTION("""COMPUTED_VALUE"""),"An official of a government agency")</f>
        <v>An official of a government agency</v>
      </c>
    </row>
    <row r="240">
      <c r="A240" s="7" t="str">
        <f>IFERROR(__xludf.DUMMYFUNCTION("""COMPUTED_VALUE"""),"ZIMBABWE")</f>
        <v>ZIMBABWE</v>
      </c>
      <c r="B240" s="7">
        <f>IFERROR(__xludf.DUMMYFUNCTION("""COMPUTED_VALUE"""),7.0)</f>
        <v>7</v>
      </c>
      <c r="C240" s="7" t="str">
        <f>IFERROR(__xludf.DUMMYFUNCTION("""COMPUTED_VALUE"""),"A_05_10")</f>
        <v>A_05_10</v>
      </c>
      <c r="D240" s="7" t="str">
        <f>IFERROR(__xludf.DUMMYFUNCTION("""COMPUTED_VALUE"""),"Q25C")</f>
        <v>Q25C</v>
      </c>
      <c r="E240" s="7" t="str">
        <f>IFERROR(__xludf.DUMMYFUNCTION("""COMPUTED_VALUE"""),"Q25c. Contact official of a government agency")</f>
        <v>Q25c. Contact official of a government agency</v>
      </c>
      <c r="F240" s="7" t="str">
        <f>IFERROR(__xludf.DUMMYFUNCTION("""COMPUTED_VALUE"""),"An official of a government agency")</f>
        <v>An official of a government agency</v>
      </c>
    </row>
    <row r="241">
      <c r="A241" s="7" t="str">
        <f>IFERROR(__xludf.DUMMYFUNCTION("""COMPUTED_VALUE"""),"BENIN")</f>
        <v>BENIN</v>
      </c>
      <c r="B241" s="7">
        <f>IFERROR(__xludf.DUMMYFUNCTION("""COMPUTED_VALUE"""),7.0)</f>
        <v>7</v>
      </c>
      <c r="C241" s="7" t="str">
        <f>IFERROR(__xludf.DUMMYFUNCTION("""COMPUTED_VALUE"""),"B_01_09")</f>
        <v>B_01_09</v>
      </c>
      <c r="D241" s="7" t="str">
        <f>IFERROR(__xludf.DUMMYFUNCTION("""COMPUTED_VALUE"""),"Q32")</f>
        <v>Q32</v>
      </c>
      <c r="E241" s="7" t="str">
        <f>IFERROR(__xludf.DUMMYFUNCTION("""COMPUTED_VALUE"""),"Q32. President monitored by parliament vs. free to act on own")</f>
        <v>Q32. President monitored by parliament vs. free to act on own</v>
      </c>
      <c r="F241" s="7" t="str">
        <f>IFERROR(__xludf.DUMMYFUNCTION("""COMPUTED_VALUE"""),"Members of national assemply vs President")</f>
        <v>Members of national assemply vs President</v>
      </c>
    </row>
    <row r="242">
      <c r="A242" s="7" t="str">
        <f>IFERROR(__xludf.DUMMYFUNCTION("""COMPUTED_VALUE"""),"BOTSWANA")</f>
        <v>BOTSWANA</v>
      </c>
      <c r="B242" s="7">
        <f>IFERROR(__xludf.DUMMYFUNCTION("""COMPUTED_VALUE"""),7.0)</f>
        <v>7</v>
      </c>
      <c r="C242" s="7" t="str">
        <f>IFERROR(__xludf.DUMMYFUNCTION("""COMPUTED_VALUE"""),"B_01_09")</f>
        <v>B_01_09</v>
      </c>
      <c r="D242" s="7" t="str">
        <f>IFERROR(__xludf.DUMMYFUNCTION("""COMPUTED_VALUE"""),"Q32")</f>
        <v>Q32</v>
      </c>
      <c r="E242" s="7" t="str">
        <f>IFERROR(__xludf.DUMMYFUNCTION("""COMPUTED_VALUE"""),"Q32. President monitored by parliament vs. free to act on own")</f>
        <v>Q32. President monitored by parliament vs. free to act on own</v>
      </c>
      <c r="F242" s="7" t="str">
        <f>IFERROR(__xludf.DUMMYFUNCTION("""COMPUTED_VALUE"""),"Members of parliament vs President")</f>
        <v>Members of parliament vs President</v>
      </c>
    </row>
    <row r="243">
      <c r="A243" s="7" t="str">
        <f>IFERROR(__xludf.DUMMYFUNCTION("""COMPUTED_VALUE"""),"BURKINA FASO")</f>
        <v>BURKINA FASO</v>
      </c>
      <c r="B243" s="7">
        <f>IFERROR(__xludf.DUMMYFUNCTION("""COMPUTED_VALUE"""),7.0)</f>
        <v>7</v>
      </c>
      <c r="C243" s="7" t="str">
        <f>IFERROR(__xludf.DUMMYFUNCTION("""COMPUTED_VALUE"""),"B_01_09")</f>
        <v>B_01_09</v>
      </c>
      <c r="D243" s="7" t="str">
        <f>IFERROR(__xludf.DUMMYFUNCTION("""COMPUTED_VALUE"""),"Q32")</f>
        <v>Q32</v>
      </c>
      <c r="E243" s="7" t="str">
        <f>IFERROR(__xludf.DUMMYFUNCTION("""COMPUTED_VALUE"""),"Q32. President monitored by parliament vs. free to act on own")</f>
        <v>Q32. President monitored by parliament vs. free to act on own</v>
      </c>
      <c r="F243" s="7" t="str">
        <f>IFERROR(__xludf.DUMMYFUNCTION("""COMPUTED_VALUE"""),"Members of national assembly vs President")</f>
        <v>Members of national assembly vs President</v>
      </c>
    </row>
    <row r="244">
      <c r="A244" s="7" t="str">
        <f>IFERROR(__xludf.DUMMYFUNCTION("""COMPUTED_VALUE"""),"CABO VERDE")</f>
        <v>CABO VERDE</v>
      </c>
      <c r="B244" s="7">
        <f>IFERROR(__xludf.DUMMYFUNCTION("""COMPUTED_VALUE"""),7.0)</f>
        <v>7</v>
      </c>
      <c r="C244" s="7" t="str">
        <f>IFERROR(__xludf.DUMMYFUNCTION("""COMPUTED_VALUE"""),"B_01_09")</f>
        <v>B_01_09</v>
      </c>
      <c r="D244" s="7" t="str">
        <f>IFERROR(__xludf.DUMMYFUNCTION("""COMPUTED_VALUE"""),"Q32")</f>
        <v>Q32</v>
      </c>
      <c r="E244" s="7" t="str">
        <f>IFERROR(__xludf.DUMMYFUNCTION("""COMPUTED_VALUE"""),"Q32. President monitored by parliament vs. free to act on own")</f>
        <v>Q32. President monitored by parliament vs. free to act on own</v>
      </c>
      <c r="F244" s="7" t="str">
        <f>IFERROR(__xludf.DUMMYFUNCTION("""COMPUTED_VALUE"""),"President/he")</f>
        <v>President/he</v>
      </c>
    </row>
    <row r="245">
      <c r="A245" s="7" t="str">
        <f>IFERROR(__xludf.DUMMYFUNCTION("""COMPUTED_VALUE"""),"CAMEROON")</f>
        <v>CAMEROON</v>
      </c>
      <c r="B245" s="7">
        <f>IFERROR(__xludf.DUMMYFUNCTION("""COMPUTED_VALUE"""),7.0)</f>
        <v>7</v>
      </c>
      <c r="C245" s="7" t="str">
        <f>IFERROR(__xludf.DUMMYFUNCTION("""COMPUTED_VALUE"""),"B_01_09")</f>
        <v>B_01_09</v>
      </c>
      <c r="D245" s="7" t="str">
        <f>IFERROR(__xludf.DUMMYFUNCTION("""COMPUTED_VALUE"""),"Q32")</f>
        <v>Q32</v>
      </c>
      <c r="E245" s="7" t="str">
        <f>IFERROR(__xludf.DUMMYFUNCTION("""COMPUTED_VALUE"""),"Q32. President monitored by parliament vs. free to act on own")</f>
        <v>Q32. President monitored by parliament vs. free to act on own</v>
      </c>
      <c r="F245" s="7" t="str">
        <f>IFERROR(__xludf.DUMMYFUNCTION("""COMPUTED_VALUE"""),"President/he")</f>
        <v>President/he</v>
      </c>
    </row>
    <row r="246">
      <c r="A246" s="7" t="str">
        <f>IFERROR(__xludf.DUMMYFUNCTION("""COMPUTED_VALUE"""),"COTE D'IVOIRE")</f>
        <v>COTE D'IVOIRE</v>
      </c>
      <c r="B246" s="7">
        <f>IFERROR(__xludf.DUMMYFUNCTION("""COMPUTED_VALUE"""),7.0)</f>
        <v>7</v>
      </c>
      <c r="C246" s="7" t="str">
        <f>IFERROR(__xludf.DUMMYFUNCTION("""COMPUTED_VALUE"""),"B_01_09")</f>
        <v>B_01_09</v>
      </c>
      <c r="D246" s="7" t="str">
        <f>IFERROR(__xludf.DUMMYFUNCTION("""COMPUTED_VALUE"""),"Q32")</f>
        <v>Q32</v>
      </c>
      <c r="E246" s="7" t="str">
        <f>IFERROR(__xludf.DUMMYFUNCTION("""COMPUTED_VALUE"""),"Q32. President monitored by parliament vs. free to act on own")</f>
        <v>Q32. President monitored by parliament vs. free to act on own</v>
      </c>
      <c r="F246" s="7" t="str">
        <f>IFERROR(__xludf.DUMMYFUNCTION("""COMPUTED_VALUE"""),"National assembly vs President/He")</f>
        <v>National assembly vs President/He</v>
      </c>
    </row>
    <row r="247">
      <c r="A247" s="7" t="str">
        <f>IFERROR(__xludf.DUMMYFUNCTION("""COMPUTED_VALUE"""),"ESWATINI")</f>
        <v>ESWATINI</v>
      </c>
      <c r="B247" s="7">
        <f>IFERROR(__xludf.DUMMYFUNCTION("""COMPUTED_VALUE"""),7.0)</f>
        <v>7</v>
      </c>
      <c r="C247" s="7" t="str">
        <f>IFERROR(__xludf.DUMMYFUNCTION("""COMPUTED_VALUE"""),"B_01_09")</f>
        <v>B_01_09</v>
      </c>
      <c r="D247" s="7" t="str">
        <f>IFERROR(__xludf.DUMMYFUNCTION("""COMPUTED_VALUE"""),"Q32")</f>
        <v>Q32</v>
      </c>
      <c r="E247" s="7" t="str">
        <f>IFERROR(__xludf.DUMMYFUNCTION("""COMPUTED_VALUE"""),"Q32. President monitored by parliament vs. free to act on own")</f>
        <v>Q32. President monitored by parliament vs. free to act on own</v>
      </c>
      <c r="F247" s="7" t="str">
        <f>IFERROR(__xludf.DUMMYFUNCTION("""COMPUTED_VALUE"""),"Parliament vs Prime Minister/he")</f>
        <v>Parliament vs Prime Minister/he</v>
      </c>
    </row>
    <row r="248">
      <c r="A248" s="7" t="str">
        <f>IFERROR(__xludf.DUMMYFUNCTION("""COMPUTED_VALUE"""),"GABON")</f>
        <v>GABON</v>
      </c>
      <c r="B248" s="7">
        <f>IFERROR(__xludf.DUMMYFUNCTION("""COMPUTED_VALUE"""),7.0)</f>
        <v>7</v>
      </c>
      <c r="C248" s="7" t="str">
        <f>IFERROR(__xludf.DUMMYFUNCTION("""COMPUTED_VALUE"""),"B_01_09")</f>
        <v>B_01_09</v>
      </c>
      <c r="D248" s="7" t="str">
        <f>IFERROR(__xludf.DUMMYFUNCTION("""COMPUTED_VALUE"""),"Q32")</f>
        <v>Q32</v>
      </c>
      <c r="E248" s="7" t="str">
        <f>IFERROR(__xludf.DUMMYFUNCTION("""COMPUTED_VALUE"""),"Q32. President monitored by parliament vs. free to act on own")</f>
        <v>Q32. President monitored by parliament vs. free to act on own</v>
      </c>
      <c r="F248" s="7" t="str">
        <f>IFERROR(__xludf.DUMMYFUNCTION("""COMPUTED_VALUE"""),"Parliament vs President/He")</f>
        <v>Parliament vs President/He</v>
      </c>
    </row>
    <row r="249">
      <c r="A249" s="7" t="str">
        <f>IFERROR(__xludf.DUMMYFUNCTION("""COMPUTED_VALUE"""),"GAMBIA")</f>
        <v>GAMBIA</v>
      </c>
      <c r="B249" s="7">
        <f>IFERROR(__xludf.DUMMYFUNCTION("""COMPUTED_VALUE"""),7.0)</f>
        <v>7</v>
      </c>
      <c r="C249" s="7" t="str">
        <f>IFERROR(__xludf.DUMMYFUNCTION("""COMPUTED_VALUE"""),"B_01_09")</f>
        <v>B_01_09</v>
      </c>
      <c r="D249" s="7" t="str">
        <f>IFERROR(__xludf.DUMMYFUNCTION("""COMPUTED_VALUE"""),"Q32")</f>
        <v>Q32</v>
      </c>
      <c r="E249" s="7" t="str">
        <f>IFERROR(__xludf.DUMMYFUNCTION("""COMPUTED_VALUE"""),"Q32. President monitored by parliament vs. free to act on own")</f>
        <v>Q32. President monitored by parliament vs. free to act on own</v>
      </c>
      <c r="F249" s="7" t="str">
        <f>IFERROR(__xludf.DUMMYFUNCTION("""COMPUTED_VALUE"""),"National assembly vs President/He")</f>
        <v>National assembly vs President/He</v>
      </c>
    </row>
    <row r="250">
      <c r="A250" s="7" t="str">
        <f>IFERROR(__xludf.DUMMYFUNCTION("""COMPUTED_VALUE"""),"GHANA")</f>
        <v>GHANA</v>
      </c>
      <c r="B250" s="7">
        <f>IFERROR(__xludf.DUMMYFUNCTION("""COMPUTED_VALUE"""),7.0)</f>
        <v>7</v>
      </c>
      <c r="C250" s="7" t="str">
        <f>IFERROR(__xludf.DUMMYFUNCTION("""COMPUTED_VALUE"""),"B_01_09")</f>
        <v>B_01_09</v>
      </c>
      <c r="D250" s="7" t="str">
        <f>IFERROR(__xludf.DUMMYFUNCTION("""COMPUTED_VALUE"""),"Q32")</f>
        <v>Q32</v>
      </c>
      <c r="E250" s="7" t="str">
        <f>IFERROR(__xludf.DUMMYFUNCTION("""COMPUTED_VALUE"""),"Q32. President monitored by parliament vs. free to act on own")</f>
        <v>Q32. President monitored by parliament vs. free to act on own</v>
      </c>
      <c r="F250" s="7" t="str">
        <f>IFERROR(__xludf.DUMMYFUNCTION("""COMPUTED_VALUE"""),"Parliament vs President/He")</f>
        <v>Parliament vs President/He</v>
      </c>
    </row>
    <row r="251">
      <c r="A251" s="7" t="str">
        <f>IFERROR(__xludf.DUMMYFUNCTION("""COMPUTED_VALUE"""),"GUINEA")</f>
        <v>GUINEA</v>
      </c>
      <c r="B251" s="7">
        <f>IFERROR(__xludf.DUMMYFUNCTION("""COMPUTED_VALUE"""),7.0)</f>
        <v>7</v>
      </c>
      <c r="C251" s="7" t="str">
        <f>IFERROR(__xludf.DUMMYFUNCTION("""COMPUTED_VALUE"""),"B_01_09")</f>
        <v>B_01_09</v>
      </c>
      <c r="D251" s="7" t="str">
        <f>IFERROR(__xludf.DUMMYFUNCTION("""COMPUTED_VALUE"""),"Q32")</f>
        <v>Q32</v>
      </c>
      <c r="E251" s="7" t="str">
        <f>IFERROR(__xludf.DUMMYFUNCTION("""COMPUTED_VALUE"""),"Q32. President monitored by parliament vs. free to act on own")</f>
        <v>Q32. President monitored by parliament vs. free to act on own</v>
      </c>
      <c r="F251" s="7" t="str">
        <f>IFERROR(__xludf.DUMMYFUNCTION("""COMPUTED_VALUE"""),"National Assembly vs President/He")</f>
        <v>National Assembly vs President/He</v>
      </c>
    </row>
    <row r="252">
      <c r="A252" s="7" t="str">
        <f>IFERROR(__xludf.DUMMYFUNCTION("""COMPUTED_VALUE"""),"KENYA")</f>
        <v>KENYA</v>
      </c>
      <c r="B252" s="7">
        <f>IFERROR(__xludf.DUMMYFUNCTION("""COMPUTED_VALUE"""),7.0)</f>
        <v>7</v>
      </c>
      <c r="C252" s="7" t="str">
        <f>IFERROR(__xludf.DUMMYFUNCTION("""COMPUTED_VALUE"""),"B_01_09")</f>
        <v>B_01_09</v>
      </c>
      <c r="D252" s="7" t="str">
        <f>IFERROR(__xludf.DUMMYFUNCTION("""COMPUTED_VALUE"""),"Q32")</f>
        <v>Q32</v>
      </c>
      <c r="E252" s="7" t="str">
        <f>IFERROR(__xludf.DUMMYFUNCTION("""COMPUTED_VALUE"""),"Q32. President monitored by parliament vs. free to act on own")</f>
        <v>Q32. President monitored by parliament vs. free to act on own</v>
      </c>
      <c r="F252" s="7" t="str">
        <f>IFERROR(__xludf.DUMMYFUNCTION("""COMPUTED_VALUE"""),"Parliament vs President/he")</f>
        <v>Parliament vs President/he</v>
      </c>
    </row>
    <row r="253">
      <c r="A253" s="7" t="str">
        <f>IFERROR(__xludf.DUMMYFUNCTION("""COMPUTED_VALUE"""),"LESOTHO")</f>
        <v>LESOTHO</v>
      </c>
      <c r="B253" s="7">
        <f>IFERROR(__xludf.DUMMYFUNCTION("""COMPUTED_VALUE"""),7.0)</f>
        <v>7</v>
      </c>
      <c r="C253" s="7" t="str">
        <f>IFERROR(__xludf.DUMMYFUNCTION("""COMPUTED_VALUE"""),"B_01_09")</f>
        <v>B_01_09</v>
      </c>
      <c r="D253" s="7" t="str">
        <f>IFERROR(__xludf.DUMMYFUNCTION("""COMPUTED_VALUE"""),"Q32")</f>
        <v>Q32</v>
      </c>
      <c r="E253" s="7" t="str">
        <f>IFERROR(__xludf.DUMMYFUNCTION("""COMPUTED_VALUE"""),"Q32. President monitored by parliament vs. free to act on own")</f>
        <v>Q32. President monitored by parliament vs. free to act on own</v>
      </c>
      <c r="F253" s="7" t="str">
        <f>IFERROR(__xludf.DUMMYFUNCTION("""COMPUTED_VALUE"""),"Parliament vs Prime Minister")</f>
        <v>Parliament vs Prime Minister</v>
      </c>
    </row>
    <row r="254">
      <c r="A254" s="7" t="str">
        <f>IFERROR(__xludf.DUMMYFUNCTION("""COMPUTED_VALUE"""),"LIBERIA")</f>
        <v>LIBERIA</v>
      </c>
      <c r="B254" s="7">
        <f>IFERROR(__xludf.DUMMYFUNCTION("""COMPUTED_VALUE"""),7.0)</f>
        <v>7</v>
      </c>
      <c r="C254" s="7" t="str">
        <f>IFERROR(__xludf.DUMMYFUNCTION("""COMPUTED_VALUE"""),"B_01_09")</f>
        <v>B_01_09</v>
      </c>
      <c r="D254" s="7" t="str">
        <f>IFERROR(__xludf.DUMMYFUNCTION("""COMPUTED_VALUE"""),"Q32")</f>
        <v>Q32</v>
      </c>
      <c r="E254" s="7" t="str">
        <f>IFERROR(__xludf.DUMMYFUNCTION("""COMPUTED_VALUE"""),"Q32. President monitored by parliament vs. free to act on own")</f>
        <v>Q32. President monitored by parliament vs. free to act on own</v>
      </c>
      <c r="F254" s="7" t="str">
        <f>IFERROR(__xludf.DUMMYFUNCTION("""COMPUTED_VALUE"""),"House of Representatives vs President")</f>
        <v>House of Representatives vs President</v>
      </c>
    </row>
    <row r="255">
      <c r="A255" s="7" t="str">
        <f>IFERROR(__xludf.DUMMYFUNCTION("""COMPUTED_VALUE"""),"MADAGASCAR")</f>
        <v>MADAGASCAR</v>
      </c>
      <c r="B255" s="7">
        <f>IFERROR(__xludf.DUMMYFUNCTION("""COMPUTED_VALUE"""),7.0)</f>
        <v>7</v>
      </c>
      <c r="C255" s="7" t="str">
        <f>IFERROR(__xludf.DUMMYFUNCTION("""COMPUTED_VALUE"""),"B_01_09")</f>
        <v>B_01_09</v>
      </c>
      <c r="D255" s="7" t="str">
        <f>IFERROR(__xludf.DUMMYFUNCTION("""COMPUTED_VALUE"""),"Q32")</f>
        <v>Q32</v>
      </c>
      <c r="E255" s="7" t="str">
        <f>IFERROR(__xludf.DUMMYFUNCTION("""COMPUTED_VALUE"""),"Q32. President monitored by parliament vs. free to act on own")</f>
        <v>Q32. President monitored by parliament vs. free to act on own</v>
      </c>
      <c r="F255" s="7" t="str">
        <f>IFERROR(__xludf.DUMMYFUNCTION("""COMPUTED_VALUE"""),"National Assembly vs President")</f>
        <v>National Assembly vs President</v>
      </c>
    </row>
    <row r="256">
      <c r="A256" s="7" t="str">
        <f>IFERROR(__xludf.DUMMYFUNCTION("""COMPUTED_VALUE"""),"MALAWI")</f>
        <v>MALAWI</v>
      </c>
      <c r="B256" s="7">
        <f>IFERROR(__xludf.DUMMYFUNCTION("""COMPUTED_VALUE"""),7.0)</f>
        <v>7</v>
      </c>
      <c r="C256" s="7" t="str">
        <f>IFERROR(__xludf.DUMMYFUNCTION("""COMPUTED_VALUE"""),"B_01_09")</f>
        <v>B_01_09</v>
      </c>
      <c r="D256" s="7" t="str">
        <f>IFERROR(__xludf.DUMMYFUNCTION("""COMPUTED_VALUE"""),"Q32")</f>
        <v>Q32</v>
      </c>
      <c r="E256" s="7" t="str">
        <f>IFERROR(__xludf.DUMMYFUNCTION("""COMPUTED_VALUE"""),"Q32. President monitored by parliament vs. free to act on own")</f>
        <v>Q32. President monitored by parliament vs. free to act on own</v>
      </c>
      <c r="F256" s="7" t="str">
        <f>IFERROR(__xludf.DUMMYFUNCTION("""COMPUTED_VALUE"""),"Parliament vs President/he")</f>
        <v>Parliament vs President/he</v>
      </c>
    </row>
    <row r="257">
      <c r="A257" s="7" t="str">
        <f>IFERROR(__xludf.DUMMYFUNCTION("""COMPUTED_VALUE"""),"MALI")</f>
        <v>MALI</v>
      </c>
      <c r="B257" s="7">
        <f>IFERROR(__xludf.DUMMYFUNCTION("""COMPUTED_VALUE"""),7.0)</f>
        <v>7</v>
      </c>
      <c r="C257" s="7" t="str">
        <f>IFERROR(__xludf.DUMMYFUNCTION("""COMPUTED_VALUE"""),"B_01_09")</f>
        <v>B_01_09</v>
      </c>
      <c r="D257" s="7" t="str">
        <f>IFERROR(__xludf.DUMMYFUNCTION("""COMPUTED_VALUE"""),"Q32")</f>
        <v>Q32</v>
      </c>
      <c r="E257" s="7" t="str">
        <f>IFERROR(__xludf.DUMMYFUNCTION("""COMPUTED_VALUE"""),"Q32. President monitored by parliament vs. free to act on own")</f>
        <v>Q32. President monitored by parliament vs. free to act on own</v>
      </c>
      <c r="F257" s="7" t="str">
        <f>IFERROR(__xludf.DUMMYFUNCTION("""COMPUTED_VALUE"""),"National Assembly vs President")</f>
        <v>National Assembly vs President</v>
      </c>
    </row>
    <row r="258">
      <c r="A258" s="7" t="str">
        <f>IFERROR(__xludf.DUMMYFUNCTION("""COMPUTED_VALUE"""),"MAURITIUS")</f>
        <v>MAURITIUS</v>
      </c>
      <c r="B258" s="7">
        <f>IFERROR(__xludf.DUMMYFUNCTION("""COMPUTED_VALUE"""),7.0)</f>
        <v>7</v>
      </c>
      <c r="C258" s="7" t="str">
        <f>IFERROR(__xludf.DUMMYFUNCTION("""COMPUTED_VALUE"""),"B_01_09")</f>
        <v>B_01_09</v>
      </c>
      <c r="D258" s="7" t="str">
        <f>IFERROR(__xludf.DUMMYFUNCTION("""COMPUTED_VALUE"""),"Q32")</f>
        <v>Q32</v>
      </c>
      <c r="E258" s="7" t="str">
        <f>IFERROR(__xludf.DUMMYFUNCTION("""COMPUTED_VALUE"""),"Q32. President monitored by parliament vs. free to act on own")</f>
        <v>Q32. President monitored by parliament vs. free to act on own</v>
      </c>
      <c r="F258" s="7" t="str">
        <f>IFERROR(__xludf.DUMMYFUNCTION("""COMPUTED_VALUE"""),"National Assembly vs President")</f>
        <v>National Assembly vs President</v>
      </c>
    </row>
    <row r="259">
      <c r="A259" s="7" t="str">
        <f>IFERROR(__xludf.DUMMYFUNCTION("""COMPUTED_VALUE"""),"MOROCCO")</f>
        <v>MOROCCO</v>
      </c>
      <c r="B259" s="7">
        <f>IFERROR(__xludf.DUMMYFUNCTION("""COMPUTED_VALUE"""),7.0)</f>
        <v>7</v>
      </c>
      <c r="C259" s="7" t="str">
        <f>IFERROR(__xludf.DUMMYFUNCTION("""COMPUTED_VALUE"""),"B_01_09")</f>
        <v>B_01_09</v>
      </c>
      <c r="D259" s="7" t="str">
        <f>IFERROR(__xludf.DUMMYFUNCTION("""COMPUTED_VALUE"""),"Q32")</f>
        <v>Q32</v>
      </c>
      <c r="E259" s="7" t="str">
        <f>IFERROR(__xludf.DUMMYFUNCTION("""COMPUTED_VALUE"""),"Q32. President monitored by parliament vs. free to act on own")</f>
        <v>Q32. President monitored by parliament vs. free to act on own</v>
      </c>
      <c r="F259" s="7" t="str">
        <f>IFERROR(__xludf.DUMMYFUNCTION("""COMPUTED_VALUE"""),"Parliament vs President")</f>
        <v>Parliament vs President</v>
      </c>
    </row>
    <row r="260">
      <c r="A260" s="7" t="str">
        <f>IFERROR(__xludf.DUMMYFUNCTION("""COMPUTED_VALUE"""),"MOZAMBIQUE")</f>
        <v>MOZAMBIQUE</v>
      </c>
      <c r="B260" s="7">
        <f>IFERROR(__xludf.DUMMYFUNCTION("""COMPUTED_VALUE"""),7.0)</f>
        <v>7</v>
      </c>
      <c r="C260" s="7" t="str">
        <f>IFERROR(__xludf.DUMMYFUNCTION("""COMPUTED_VALUE"""),"B_01_09")</f>
        <v>B_01_09</v>
      </c>
      <c r="D260" s="7" t="str">
        <f>IFERROR(__xludf.DUMMYFUNCTION("""COMPUTED_VALUE"""),"Q32")</f>
        <v>Q32</v>
      </c>
      <c r="E260" s="7" t="str">
        <f>IFERROR(__xludf.DUMMYFUNCTION("""COMPUTED_VALUE"""),"Q32. President monitored by parliament vs. free to act on own")</f>
        <v>Q32. President monitored by parliament vs. free to act on own</v>
      </c>
      <c r="F260" s="7" t="str">
        <f>IFERROR(__xludf.DUMMYFUNCTION("""COMPUTED_VALUE"""),"Parliament vs President")</f>
        <v>Parliament vs President</v>
      </c>
    </row>
    <row r="261">
      <c r="A261" s="7" t="str">
        <f>IFERROR(__xludf.DUMMYFUNCTION("""COMPUTED_VALUE"""),"NAMIBIA")</f>
        <v>NAMIBIA</v>
      </c>
      <c r="B261" s="7">
        <f>IFERROR(__xludf.DUMMYFUNCTION("""COMPUTED_VALUE"""),7.0)</f>
        <v>7</v>
      </c>
      <c r="C261" s="7" t="str">
        <f>IFERROR(__xludf.DUMMYFUNCTION("""COMPUTED_VALUE"""),"B_01_09")</f>
        <v>B_01_09</v>
      </c>
      <c r="D261" s="7" t="str">
        <f>IFERROR(__xludf.DUMMYFUNCTION("""COMPUTED_VALUE"""),"Q32")</f>
        <v>Q32</v>
      </c>
      <c r="E261" s="7" t="str">
        <f>IFERROR(__xludf.DUMMYFUNCTION("""COMPUTED_VALUE"""),"Q32. President monitored by parliament vs. free to act on own")</f>
        <v>Q32. President monitored by parliament vs. free to act on own</v>
      </c>
      <c r="F261" s="7" t="str">
        <f>IFERROR(__xludf.DUMMYFUNCTION("""COMPUTED_VALUE"""),"National Assembly vs President")</f>
        <v>National Assembly vs President</v>
      </c>
    </row>
    <row r="262">
      <c r="A262" s="7" t="str">
        <f>IFERROR(__xludf.DUMMYFUNCTION("""COMPUTED_VALUE"""),"NIGER")</f>
        <v>NIGER</v>
      </c>
      <c r="B262" s="7">
        <f>IFERROR(__xludf.DUMMYFUNCTION("""COMPUTED_VALUE"""),7.0)</f>
        <v>7</v>
      </c>
      <c r="C262" s="7" t="str">
        <f>IFERROR(__xludf.DUMMYFUNCTION("""COMPUTED_VALUE"""),"B_01_09")</f>
        <v>B_01_09</v>
      </c>
      <c r="D262" s="7" t="str">
        <f>IFERROR(__xludf.DUMMYFUNCTION("""COMPUTED_VALUE"""),"Q32")</f>
        <v>Q32</v>
      </c>
      <c r="E262" s="7" t="str">
        <f>IFERROR(__xludf.DUMMYFUNCTION("""COMPUTED_VALUE"""),"Q32. President monitored by parliament vs. free to act on own")</f>
        <v>Q32. President monitored by parliament vs. free to act on own</v>
      </c>
      <c r="F262" s="7" t="str">
        <f>IFERROR(__xludf.DUMMYFUNCTION("""COMPUTED_VALUE"""),"National Assembly vs President")</f>
        <v>National Assembly vs President</v>
      </c>
    </row>
    <row r="263">
      <c r="A263" s="7" t="str">
        <f>IFERROR(__xludf.DUMMYFUNCTION("""COMPUTED_VALUE"""),"NIGERIA")</f>
        <v>NIGERIA</v>
      </c>
      <c r="B263" s="7">
        <f>IFERROR(__xludf.DUMMYFUNCTION("""COMPUTED_VALUE"""),7.0)</f>
        <v>7</v>
      </c>
      <c r="C263" s="7" t="str">
        <f>IFERROR(__xludf.DUMMYFUNCTION("""COMPUTED_VALUE"""),"B_01_09")</f>
        <v>B_01_09</v>
      </c>
      <c r="D263" s="7" t="str">
        <f>IFERROR(__xludf.DUMMYFUNCTION("""COMPUTED_VALUE"""),"Q32")</f>
        <v>Q32</v>
      </c>
      <c r="E263" s="7" t="str">
        <f>IFERROR(__xludf.DUMMYFUNCTION("""COMPUTED_VALUE"""),"Q32. President monitored by parliament vs. free to act on own")</f>
        <v>Q32. President monitored by parliament vs. free to act on own</v>
      </c>
      <c r="F263" s="7" t="str">
        <f>IFERROR(__xludf.DUMMYFUNCTION("""COMPUTED_VALUE"""),"National Assembly vs President")</f>
        <v>National Assembly vs President</v>
      </c>
    </row>
    <row r="264">
      <c r="A264" s="7" t="str">
        <f>IFERROR(__xludf.DUMMYFUNCTION("""COMPUTED_VALUE"""),"SAO TOME AND PRINCIPE")</f>
        <v>SAO TOME AND PRINCIPE</v>
      </c>
      <c r="B264" s="7">
        <f>IFERROR(__xludf.DUMMYFUNCTION("""COMPUTED_VALUE"""),7.0)</f>
        <v>7</v>
      </c>
      <c r="C264" s="7" t="str">
        <f>IFERROR(__xludf.DUMMYFUNCTION("""COMPUTED_VALUE"""),"B_01_09")</f>
        <v>B_01_09</v>
      </c>
      <c r="D264" s="7" t="str">
        <f>IFERROR(__xludf.DUMMYFUNCTION("""COMPUTED_VALUE"""),"Q32")</f>
        <v>Q32</v>
      </c>
      <c r="E264" s="7" t="str">
        <f>IFERROR(__xludf.DUMMYFUNCTION("""COMPUTED_VALUE"""),"Q32. President monitored by parliament vs. free to act on own")</f>
        <v>Q32. President monitored by parliament vs. free to act on own</v>
      </c>
      <c r="F264" s="7" t="str">
        <f>IFERROR(__xludf.DUMMYFUNCTION("""COMPUTED_VALUE"""),"National Assembly vs Prime minister/he")</f>
        <v>National Assembly vs Prime minister/he</v>
      </c>
    </row>
    <row r="265">
      <c r="A265" s="7" t="str">
        <f>IFERROR(__xludf.DUMMYFUNCTION("""COMPUTED_VALUE"""),"SENEGAL")</f>
        <v>SENEGAL</v>
      </c>
      <c r="B265" s="7">
        <f>IFERROR(__xludf.DUMMYFUNCTION("""COMPUTED_VALUE"""),7.0)</f>
        <v>7</v>
      </c>
      <c r="C265" s="7" t="str">
        <f>IFERROR(__xludf.DUMMYFUNCTION("""COMPUTED_VALUE"""),"B_01_09")</f>
        <v>B_01_09</v>
      </c>
      <c r="D265" s="7" t="str">
        <f>IFERROR(__xludf.DUMMYFUNCTION("""COMPUTED_VALUE"""),"Q32")</f>
        <v>Q32</v>
      </c>
      <c r="E265" s="7" t="str">
        <f>IFERROR(__xludf.DUMMYFUNCTION("""COMPUTED_VALUE"""),"Q32. President monitored by parliament vs. free to act on own")</f>
        <v>Q32. President monitored by parliament vs. free to act on own</v>
      </c>
      <c r="F265" s="7" t="str">
        <f>IFERROR(__xludf.DUMMYFUNCTION("""COMPUTED_VALUE"""),"National Assembly vs President/he")</f>
        <v>National Assembly vs President/he</v>
      </c>
    </row>
    <row r="266">
      <c r="A266" s="7" t="str">
        <f>IFERROR(__xludf.DUMMYFUNCTION("""COMPUTED_VALUE"""),"SIERRA LEONE")</f>
        <v>SIERRA LEONE</v>
      </c>
      <c r="B266" s="7">
        <f>IFERROR(__xludf.DUMMYFUNCTION("""COMPUTED_VALUE"""),7.0)</f>
        <v>7</v>
      </c>
      <c r="C266" s="7" t="str">
        <f>IFERROR(__xludf.DUMMYFUNCTION("""COMPUTED_VALUE"""),"B_01_09")</f>
        <v>B_01_09</v>
      </c>
      <c r="D266" s="7" t="str">
        <f>IFERROR(__xludf.DUMMYFUNCTION("""COMPUTED_VALUE"""),"Q32")</f>
        <v>Q32</v>
      </c>
      <c r="E266" s="7" t="str">
        <f>IFERROR(__xludf.DUMMYFUNCTION("""COMPUTED_VALUE"""),"Q32. President monitored by parliament vs. free to act on own")</f>
        <v>Q32. President monitored by parliament vs. free to act on own</v>
      </c>
      <c r="F266" s="7" t="str">
        <f>IFERROR(__xludf.DUMMYFUNCTION("""COMPUTED_VALUE"""),"Parliament vs President/he")</f>
        <v>Parliament vs President/he</v>
      </c>
    </row>
    <row r="267">
      <c r="A267" s="7" t="str">
        <f>IFERROR(__xludf.DUMMYFUNCTION("""COMPUTED_VALUE"""),"SOUTH AFRICA")</f>
        <v>SOUTH AFRICA</v>
      </c>
      <c r="B267" s="7">
        <f>IFERROR(__xludf.DUMMYFUNCTION("""COMPUTED_VALUE"""),7.0)</f>
        <v>7</v>
      </c>
      <c r="C267" s="7" t="str">
        <f>IFERROR(__xludf.DUMMYFUNCTION("""COMPUTED_VALUE"""),"B_01_09")</f>
        <v>B_01_09</v>
      </c>
      <c r="D267" s="7" t="str">
        <f>IFERROR(__xludf.DUMMYFUNCTION("""COMPUTED_VALUE"""),"Q32")</f>
        <v>Q32</v>
      </c>
      <c r="E267" s="7" t="str">
        <f>IFERROR(__xludf.DUMMYFUNCTION("""COMPUTED_VALUE"""),"Q32. President monitored by parliament vs. free to act on own")</f>
        <v>Q32. President monitored by parliament vs. free to act on own</v>
      </c>
      <c r="F267" s="7" t="str">
        <f>IFERROR(__xludf.DUMMYFUNCTION("""COMPUTED_VALUE"""),"Parliament vs President/he")</f>
        <v>Parliament vs President/he</v>
      </c>
    </row>
    <row r="268">
      <c r="A268" s="7" t="str">
        <f>IFERROR(__xludf.DUMMYFUNCTION("""COMPUTED_VALUE"""),"SUDAN")</f>
        <v>SUDAN</v>
      </c>
      <c r="B268" s="7">
        <f>IFERROR(__xludf.DUMMYFUNCTION("""COMPUTED_VALUE"""),7.0)</f>
        <v>7</v>
      </c>
      <c r="C268" s="7" t="str">
        <f>IFERROR(__xludf.DUMMYFUNCTION("""COMPUTED_VALUE"""),"B_01_09")</f>
        <v>B_01_09</v>
      </c>
      <c r="D268" s="7" t="str">
        <f>IFERROR(__xludf.DUMMYFUNCTION("""COMPUTED_VALUE"""),"Q32")</f>
        <v>Q32</v>
      </c>
      <c r="E268" s="7" t="str">
        <f>IFERROR(__xludf.DUMMYFUNCTION("""COMPUTED_VALUE"""),"Q32. President monitored by parliament vs. free to act on own")</f>
        <v>Q32. President monitored by parliament vs. free to act on own</v>
      </c>
      <c r="F268" s="7" t="str">
        <f>IFERROR(__xludf.DUMMYFUNCTION("""COMPUTED_VALUE"""),"National Assembly vs President/he")</f>
        <v>National Assembly vs President/he</v>
      </c>
    </row>
    <row r="269">
      <c r="A269" s="7" t="str">
        <f>IFERROR(__xludf.DUMMYFUNCTION("""COMPUTED_VALUE"""),"TANZANIA")</f>
        <v>TANZANIA</v>
      </c>
      <c r="B269" s="7">
        <f>IFERROR(__xludf.DUMMYFUNCTION("""COMPUTED_VALUE"""),7.0)</f>
        <v>7</v>
      </c>
      <c r="C269" s="7" t="str">
        <f>IFERROR(__xludf.DUMMYFUNCTION("""COMPUTED_VALUE"""),"B_01_09")</f>
        <v>B_01_09</v>
      </c>
      <c r="D269" s="7" t="str">
        <f>IFERROR(__xludf.DUMMYFUNCTION("""COMPUTED_VALUE"""),"Q32")</f>
        <v>Q32</v>
      </c>
      <c r="E269" s="7" t="str">
        <f>IFERROR(__xludf.DUMMYFUNCTION("""COMPUTED_VALUE"""),"Q32. President monitored by parliament vs. free to act on own")</f>
        <v>Q32. President monitored by parliament vs. free to act on own</v>
      </c>
      <c r="F269" s="7" t="str">
        <f>IFERROR(__xludf.DUMMYFUNCTION("""COMPUTED_VALUE"""),"Parliament vs President/he")</f>
        <v>Parliament vs President/he</v>
      </c>
    </row>
    <row r="270">
      <c r="A270" s="7" t="str">
        <f>IFERROR(__xludf.DUMMYFUNCTION("""COMPUTED_VALUE"""),"TOGO")</f>
        <v>TOGO</v>
      </c>
      <c r="B270" s="7">
        <f>IFERROR(__xludf.DUMMYFUNCTION("""COMPUTED_VALUE"""),7.0)</f>
        <v>7</v>
      </c>
      <c r="C270" s="7" t="str">
        <f>IFERROR(__xludf.DUMMYFUNCTION("""COMPUTED_VALUE"""),"B_01_09")</f>
        <v>B_01_09</v>
      </c>
      <c r="D270" s="7" t="str">
        <f>IFERROR(__xludf.DUMMYFUNCTION("""COMPUTED_VALUE"""),"Q32")</f>
        <v>Q32</v>
      </c>
      <c r="E270" s="7" t="str">
        <f>IFERROR(__xludf.DUMMYFUNCTION("""COMPUTED_VALUE"""),"Q32. President monitored by parliament vs. free to act on own")</f>
        <v>Q32. President monitored by parliament vs. free to act on own</v>
      </c>
      <c r="F270" s="7" t="str">
        <f>IFERROR(__xludf.DUMMYFUNCTION("""COMPUTED_VALUE"""),"National Assembly vs President/he")</f>
        <v>National Assembly vs President/he</v>
      </c>
    </row>
    <row r="271">
      <c r="A271" s="7" t="str">
        <f>IFERROR(__xludf.DUMMYFUNCTION("""COMPUTED_VALUE"""),"TUNISIA")</f>
        <v>TUNISIA</v>
      </c>
      <c r="B271" s="7">
        <f>IFERROR(__xludf.DUMMYFUNCTION("""COMPUTED_VALUE"""),7.0)</f>
        <v>7</v>
      </c>
      <c r="C271" s="7" t="str">
        <f>IFERROR(__xludf.DUMMYFUNCTION("""COMPUTED_VALUE"""),"B_01_09")</f>
        <v>B_01_09</v>
      </c>
      <c r="D271" s="7" t="str">
        <f>IFERROR(__xludf.DUMMYFUNCTION("""COMPUTED_VALUE"""),"Q32")</f>
        <v>Q32</v>
      </c>
      <c r="E271" s="7" t="str">
        <f>IFERROR(__xludf.DUMMYFUNCTION("""COMPUTED_VALUE"""),"Q32. President monitored by parliament vs. free to act on own")</f>
        <v>Q32. President monitored by parliament vs. free to act on own</v>
      </c>
      <c r="F271" s="7" t="str">
        <f>IFERROR(__xludf.DUMMYFUNCTION("""COMPUTED_VALUE"""),"Parliament vs President/he")</f>
        <v>Parliament vs President/he</v>
      </c>
    </row>
    <row r="272">
      <c r="A272" s="7" t="str">
        <f>IFERROR(__xludf.DUMMYFUNCTION("""COMPUTED_VALUE"""),"UGANDA")</f>
        <v>UGANDA</v>
      </c>
      <c r="B272" s="7">
        <f>IFERROR(__xludf.DUMMYFUNCTION("""COMPUTED_VALUE"""),7.0)</f>
        <v>7</v>
      </c>
      <c r="C272" s="7" t="str">
        <f>IFERROR(__xludf.DUMMYFUNCTION("""COMPUTED_VALUE"""),"B_01_09")</f>
        <v>B_01_09</v>
      </c>
      <c r="D272" s="7" t="str">
        <f>IFERROR(__xludf.DUMMYFUNCTION("""COMPUTED_VALUE"""),"Q32")</f>
        <v>Q32</v>
      </c>
      <c r="E272" s="7" t="str">
        <f>IFERROR(__xludf.DUMMYFUNCTION("""COMPUTED_VALUE"""),"Q32. President monitored by parliament vs. free to act on own")</f>
        <v>Q32. President monitored by parliament vs. free to act on own</v>
      </c>
      <c r="F272" s="7" t="str">
        <f>IFERROR(__xludf.DUMMYFUNCTION("""COMPUTED_VALUE"""),"Parliament vs President/he")</f>
        <v>Parliament vs President/he</v>
      </c>
    </row>
    <row r="273">
      <c r="A273" s="7" t="str">
        <f>IFERROR(__xludf.DUMMYFUNCTION("""COMPUTED_VALUE"""),"ZAMBIA")</f>
        <v>ZAMBIA</v>
      </c>
      <c r="B273" s="7">
        <f>IFERROR(__xludf.DUMMYFUNCTION("""COMPUTED_VALUE"""),7.0)</f>
        <v>7</v>
      </c>
      <c r="C273" s="7" t="str">
        <f>IFERROR(__xludf.DUMMYFUNCTION("""COMPUTED_VALUE"""),"B_01_09")</f>
        <v>B_01_09</v>
      </c>
      <c r="D273" s="7" t="str">
        <f>IFERROR(__xludf.DUMMYFUNCTION("""COMPUTED_VALUE"""),"Q32")</f>
        <v>Q32</v>
      </c>
      <c r="E273" s="7" t="str">
        <f>IFERROR(__xludf.DUMMYFUNCTION("""COMPUTED_VALUE"""),"Q32. President monitored by parliament vs. free to act on own")</f>
        <v>Q32. President monitored by parliament vs. free to act on own</v>
      </c>
      <c r="F273" s="7" t="str">
        <f>IFERROR(__xludf.DUMMYFUNCTION("""COMPUTED_VALUE"""),"Parliament vs President/he")</f>
        <v>Parliament vs President/he</v>
      </c>
    </row>
    <row r="274">
      <c r="A274" s="7" t="str">
        <f>IFERROR(__xludf.DUMMYFUNCTION("""COMPUTED_VALUE"""),"ZIMBABWE")</f>
        <v>ZIMBABWE</v>
      </c>
      <c r="B274" s="7">
        <f>IFERROR(__xludf.DUMMYFUNCTION("""COMPUTED_VALUE"""),7.0)</f>
        <v>7</v>
      </c>
      <c r="C274" s="7" t="str">
        <f>IFERROR(__xludf.DUMMYFUNCTION("""COMPUTED_VALUE"""),"B_01_09")</f>
        <v>B_01_09</v>
      </c>
      <c r="D274" s="7" t="str">
        <f>IFERROR(__xludf.DUMMYFUNCTION("""COMPUTED_VALUE"""),"Q32")</f>
        <v>Q32</v>
      </c>
      <c r="E274" s="7" t="str">
        <f>IFERROR(__xludf.DUMMYFUNCTION("""COMPUTED_VALUE"""),"Q32. President monitored by parliament vs. free to act on own")</f>
        <v>Q32. President monitored by parliament vs. free to act on own</v>
      </c>
      <c r="F274" s="7" t="str">
        <f>IFERROR(__xludf.DUMMYFUNCTION("""COMPUTED_VALUE"""),"Parliament vs President/he")</f>
        <v>Parliament vs President/he</v>
      </c>
    </row>
    <row r="275">
      <c r="A275" s="7" t="str">
        <f>IFERROR(__xludf.DUMMYFUNCTION("""COMPUTED_VALUE"""),"BENIN")</f>
        <v>BENIN</v>
      </c>
      <c r="B275" s="7">
        <f>IFERROR(__xludf.DUMMYFUNCTION("""COMPUTED_VALUE"""),7.0)</f>
        <v>7</v>
      </c>
      <c r="C275" s="7" t="str">
        <f>IFERROR(__xludf.DUMMYFUNCTION("""COMPUTED_VALUE"""),"B_01_08")</f>
        <v>B_01_08</v>
      </c>
      <c r="D275" s="7" t="str">
        <f>IFERROR(__xludf.DUMMYFUNCTION("""COMPUTED_VALUE"""),"Q33")</f>
        <v>Q33</v>
      </c>
      <c r="E275" s="7" t="str">
        <f>IFERROR(__xludf.DUMMYFUNCTION("""COMPUTED_VALUE"""),"Q33. President free to act vs. obey the laws and courts")</f>
        <v>Q33. President free to act vs. obey the laws and courts</v>
      </c>
      <c r="F275" s="7" t="str">
        <f>IFERROR(__xludf.DUMMYFUNCTION("""COMPUTED_VALUE"""),"National assembly vs President/He")</f>
        <v>National assembly vs President/He</v>
      </c>
    </row>
    <row r="276">
      <c r="A276" s="7" t="str">
        <f>IFERROR(__xludf.DUMMYFUNCTION("""COMPUTED_VALUE"""),"BOTSWANA")</f>
        <v>BOTSWANA</v>
      </c>
      <c r="B276" s="7">
        <f>IFERROR(__xludf.DUMMYFUNCTION("""COMPUTED_VALUE"""),7.0)</f>
        <v>7</v>
      </c>
      <c r="C276" s="7" t="str">
        <f>IFERROR(__xludf.DUMMYFUNCTION("""COMPUTED_VALUE"""),"B_01_08")</f>
        <v>B_01_08</v>
      </c>
      <c r="D276" s="7" t="str">
        <f>IFERROR(__xludf.DUMMYFUNCTION("""COMPUTED_VALUE"""),"Q33")</f>
        <v>Q33</v>
      </c>
      <c r="E276" s="7" t="str">
        <f>IFERROR(__xludf.DUMMYFUNCTION("""COMPUTED_VALUE"""),"Q33. President free to act vs. obey the laws and courts")</f>
        <v>Q33. President free to act vs. obey the laws and courts</v>
      </c>
      <c r="F276" s="7" t="str">
        <f>IFERROR(__xludf.DUMMYFUNCTION("""COMPUTED_VALUE"""),"Parliament vs President/He")</f>
        <v>Parliament vs President/He</v>
      </c>
    </row>
    <row r="277">
      <c r="A277" s="7" t="str">
        <f>IFERROR(__xludf.DUMMYFUNCTION("""COMPUTED_VALUE"""),"BURKINA FASO")</f>
        <v>BURKINA FASO</v>
      </c>
      <c r="B277" s="7">
        <f>IFERROR(__xludf.DUMMYFUNCTION("""COMPUTED_VALUE"""),7.0)</f>
        <v>7</v>
      </c>
      <c r="C277" s="7" t="str">
        <f>IFERROR(__xludf.DUMMYFUNCTION("""COMPUTED_VALUE"""),"B_01_08")</f>
        <v>B_01_08</v>
      </c>
      <c r="D277" s="7" t="str">
        <f>IFERROR(__xludf.DUMMYFUNCTION("""COMPUTED_VALUE"""),"Q33")</f>
        <v>Q33</v>
      </c>
      <c r="E277" s="7" t="str">
        <f>IFERROR(__xludf.DUMMYFUNCTION("""COMPUTED_VALUE"""),"Q33. President free to act vs. obey the laws and courts")</f>
        <v>Q33. President free to act vs. obey the laws and courts</v>
      </c>
      <c r="F277" s="7" t="str">
        <f>IFERROR(__xludf.DUMMYFUNCTION("""COMPUTED_VALUE"""),"National assembly vs President/he")</f>
        <v>National assembly vs President/he</v>
      </c>
    </row>
    <row r="278">
      <c r="A278" s="7" t="str">
        <f>IFERROR(__xludf.DUMMYFUNCTION("""COMPUTED_VALUE"""),"CABO VERDE")</f>
        <v>CABO VERDE</v>
      </c>
      <c r="B278" s="7">
        <f>IFERROR(__xludf.DUMMYFUNCTION("""COMPUTED_VALUE"""),7.0)</f>
        <v>7</v>
      </c>
      <c r="C278" s="7" t="str">
        <f>IFERROR(__xludf.DUMMYFUNCTION("""COMPUTED_VALUE"""),"B_01_08")</f>
        <v>B_01_08</v>
      </c>
      <c r="D278" s="7" t="str">
        <f>IFERROR(__xludf.DUMMYFUNCTION("""COMPUTED_VALUE"""),"Q33")</f>
        <v>Q33</v>
      </c>
      <c r="E278" s="7" t="str">
        <f>IFERROR(__xludf.DUMMYFUNCTION("""COMPUTED_VALUE"""),"Q33. President free to act vs. obey the laws and courts")</f>
        <v>Q33. President free to act vs. obey the laws and courts</v>
      </c>
      <c r="F278" s="7" t="str">
        <f>IFERROR(__xludf.DUMMYFUNCTION("""COMPUTED_VALUE"""),"National assembly vs President/he")</f>
        <v>National assembly vs President/he</v>
      </c>
    </row>
    <row r="279">
      <c r="A279" s="7" t="str">
        <f>IFERROR(__xludf.DUMMYFUNCTION("""COMPUTED_VALUE"""),"CAMEROON")</f>
        <v>CAMEROON</v>
      </c>
      <c r="B279" s="7">
        <f>IFERROR(__xludf.DUMMYFUNCTION("""COMPUTED_VALUE"""),7.0)</f>
        <v>7</v>
      </c>
      <c r="C279" s="7" t="str">
        <f>IFERROR(__xludf.DUMMYFUNCTION("""COMPUTED_VALUE"""),"B_01_08")</f>
        <v>B_01_08</v>
      </c>
      <c r="D279" s="7" t="str">
        <f>IFERROR(__xludf.DUMMYFUNCTION("""COMPUTED_VALUE"""),"Q33")</f>
        <v>Q33</v>
      </c>
      <c r="E279" s="7" t="str">
        <f>IFERROR(__xludf.DUMMYFUNCTION("""COMPUTED_VALUE"""),"Q33. President free to act vs. obey the laws and courts")</f>
        <v>Q33. President free to act vs. obey the laws and courts</v>
      </c>
      <c r="F279" s="7" t="str">
        <f>IFERROR(__xludf.DUMMYFUNCTION("""COMPUTED_VALUE"""),"National assembly vs President/He")</f>
        <v>National assembly vs President/He</v>
      </c>
    </row>
    <row r="280">
      <c r="A280" s="7" t="str">
        <f>IFERROR(__xludf.DUMMYFUNCTION("""COMPUTED_VALUE"""),"COTE D'IVOIRE")</f>
        <v>COTE D'IVOIRE</v>
      </c>
      <c r="B280" s="7">
        <f>IFERROR(__xludf.DUMMYFUNCTION("""COMPUTED_VALUE"""),7.0)</f>
        <v>7</v>
      </c>
      <c r="C280" s="7" t="str">
        <f>IFERROR(__xludf.DUMMYFUNCTION("""COMPUTED_VALUE"""),"B_01_08")</f>
        <v>B_01_08</v>
      </c>
      <c r="D280" s="7" t="str">
        <f>IFERROR(__xludf.DUMMYFUNCTION("""COMPUTED_VALUE"""),"Q33")</f>
        <v>Q33</v>
      </c>
      <c r="E280" s="7" t="str">
        <f>IFERROR(__xludf.DUMMYFUNCTION("""COMPUTED_VALUE"""),"Q33. President free to act vs. obey the laws and courts")</f>
        <v>Q33. President free to act vs. obey the laws and courts</v>
      </c>
      <c r="F280" s="7" t="str">
        <f>IFERROR(__xludf.DUMMYFUNCTION("""COMPUTED_VALUE"""),"President")</f>
        <v>President</v>
      </c>
    </row>
    <row r="281">
      <c r="A281" s="7" t="str">
        <f>IFERROR(__xludf.DUMMYFUNCTION("""COMPUTED_VALUE"""),"ESWATINI")</f>
        <v>ESWATINI</v>
      </c>
      <c r="B281" s="7">
        <f>IFERROR(__xludf.DUMMYFUNCTION("""COMPUTED_VALUE"""),7.0)</f>
        <v>7</v>
      </c>
      <c r="C281" s="7" t="str">
        <f>IFERROR(__xludf.DUMMYFUNCTION("""COMPUTED_VALUE"""),"B_01_08")</f>
        <v>B_01_08</v>
      </c>
      <c r="D281" s="7" t="str">
        <f>IFERROR(__xludf.DUMMYFUNCTION("""COMPUTED_VALUE"""),"Q33")</f>
        <v>Q33</v>
      </c>
      <c r="E281" s="7" t="str">
        <f>IFERROR(__xludf.DUMMYFUNCTION("""COMPUTED_VALUE"""),"Q33. President free to act vs. obey the laws and courts")</f>
        <v>Q33. President free to act vs. obey the laws and courts</v>
      </c>
      <c r="F281" s="7" t="str">
        <f>IFERROR(__xludf.DUMMYFUNCTION("""COMPUTED_VALUE"""),"Prime Minister")</f>
        <v>Prime Minister</v>
      </c>
    </row>
    <row r="282">
      <c r="A282" s="7" t="str">
        <f>IFERROR(__xludf.DUMMYFUNCTION("""COMPUTED_VALUE"""),"GABON")</f>
        <v>GABON</v>
      </c>
      <c r="B282" s="7">
        <f>IFERROR(__xludf.DUMMYFUNCTION("""COMPUTED_VALUE"""),7.0)</f>
        <v>7</v>
      </c>
      <c r="C282" s="7" t="str">
        <f>IFERROR(__xludf.DUMMYFUNCTION("""COMPUTED_VALUE"""),"B_01_08")</f>
        <v>B_01_08</v>
      </c>
      <c r="D282" s="7" t="str">
        <f>IFERROR(__xludf.DUMMYFUNCTION("""COMPUTED_VALUE"""),"Q33")</f>
        <v>Q33</v>
      </c>
      <c r="E282" s="7" t="str">
        <f>IFERROR(__xludf.DUMMYFUNCTION("""COMPUTED_VALUE"""),"Q33. President free to act vs. obey the laws and courts")</f>
        <v>Q33. President free to act vs. obey the laws and courts</v>
      </c>
      <c r="F282" s="7" t="str">
        <f>IFERROR(__xludf.DUMMYFUNCTION("""COMPUTED_VALUE"""),"President/he")</f>
        <v>President/he</v>
      </c>
    </row>
    <row r="283">
      <c r="A283" s="7" t="str">
        <f>IFERROR(__xludf.DUMMYFUNCTION("""COMPUTED_VALUE"""),"GAMBIA")</f>
        <v>GAMBIA</v>
      </c>
      <c r="B283" s="7">
        <f>IFERROR(__xludf.DUMMYFUNCTION("""COMPUTED_VALUE"""),7.0)</f>
        <v>7</v>
      </c>
      <c r="C283" s="7" t="str">
        <f>IFERROR(__xludf.DUMMYFUNCTION("""COMPUTED_VALUE"""),"B_01_08")</f>
        <v>B_01_08</v>
      </c>
      <c r="D283" s="7" t="str">
        <f>IFERROR(__xludf.DUMMYFUNCTION("""COMPUTED_VALUE"""),"Q33")</f>
        <v>Q33</v>
      </c>
      <c r="E283" s="7" t="str">
        <f>IFERROR(__xludf.DUMMYFUNCTION("""COMPUTED_VALUE"""),"Q33. President free to act vs. obey the laws and courts")</f>
        <v>Q33. President free to act vs. obey the laws and courts</v>
      </c>
      <c r="F283" s="7" t="str">
        <f>IFERROR(__xludf.DUMMYFUNCTION("""COMPUTED_VALUE"""),"President")</f>
        <v>President</v>
      </c>
    </row>
    <row r="284">
      <c r="A284" s="7" t="str">
        <f>IFERROR(__xludf.DUMMYFUNCTION("""COMPUTED_VALUE"""),"GHANA")</f>
        <v>GHANA</v>
      </c>
      <c r="B284" s="7">
        <f>IFERROR(__xludf.DUMMYFUNCTION("""COMPUTED_VALUE"""),7.0)</f>
        <v>7</v>
      </c>
      <c r="C284" s="7" t="str">
        <f>IFERROR(__xludf.DUMMYFUNCTION("""COMPUTED_VALUE"""),"B_01_08")</f>
        <v>B_01_08</v>
      </c>
      <c r="D284" s="7" t="str">
        <f>IFERROR(__xludf.DUMMYFUNCTION("""COMPUTED_VALUE"""),"Q33")</f>
        <v>Q33</v>
      </c>
      <c r="E284" s="7" t="str">
        <f>IFERROR(__xludf.DUMMYFUNCTION("""COMPUTED_VALUE"""),"Q33. President free to act vs. obey the laws and courts")</f>
        <v>Q33. President free to act vs. obey the laws and courts</v>
      </c>
      <c r="F284" s="7" t="str">
        <f>IFERROR(__xludf.DUMMYFUNCTION("""COMPUTED_VALUE"""),"President/he")</f>
        <v>President/he</v>
      </c>
    </row>
    <row r="285">
      <c r="A285" s="7" t="str">
        <f>IFERROR(__xludf.DUMMYFUNCTION("""COMPUTED_VALUE"""),"GUINEA")</f>
        <v>GUINEA</v>
      </c>
      <c r="B285" s="7">
        <f>IFERROR(__xludf.DUMMYFUNCTION("""COMPUTED_VALUE"""),7.0)</f>
        <v>7</v>
      </c>
      <c r="C285" s="7" t="str">
        <f>IFERROR(__xludf.DUMMYFUNCTION("""COMPUTED_VALUE"""),"B_01_08")</f>
        <v>B_01_08</v>
      </c>
      <c r="D285" s="7" t="str">
        <f>IFERROR(__xludf.DUMMYFUNCTION("""COMPUTED_VALUE"""),"Q33")</f>
        <v>Q33</v>
      </c>
      <c r="E285" s="7" t="str">
        <f>IFERROR(__xludf.DUMMYFUNCTION("""COMPUTED_VALUE"""),"Q33. President free to act vs. obey the laws and courts")</f>
        <v>Q33. President free to act vs. obey the laws and courts</v>
      </c>
      <c r="F285" s="7" t="str">
        <f>IFERROR(__xludf.DUMMYFUNCTION("""COMPUTED_VALUE"""),"President/he")</f>
        <v>President/he</v>
      </c>
    </row>
    <row r="286">
      <c r="A286" s="7" t="str">
        <f>IFERROR(__xludf.DUMMYFUNCTION("""COMPUTED_VALUE"""),"KENYA")</f>
        <v>KENYA</v>
      </c>
      <c r="B286" s="7">
        <f>IFERROR(__xludf.DUMMYFUNCTION("""COMPUTED_VALUE"""),7.0)</f>
        <v>7</v>
      </c>
      <c r="C286" s="7" t="str">
        <f>IFERROR(__xludf.DUMMYFUNCTION("""COMPUTED_VALUE"""),"B_01_08")</f>
        <v>B_01_08</v>
      </c>
      <c r="D286" s="7" t="str">
        <f>IFERROR(__xludf.DUMMYFUNCTION("""COMPUTED_VALUE"""),"Q33")</f>
        <v>Q33</v>
      </c>
      <c r="E286" s="7" t="str">
        <f>IFERROR(__xludf.DUMMYFUNCTION("""COMPUTED_VALUE"""),"Q33. President free to act vs. obey the laws and courts")</f>
        <v>Q33. President free to act vs. obey the laws and courts</v>
      </c>
      <c r="F286" s="7" t="str">
        <f>IFERROR(__xludf.DUMMYFUNCTION("""COMPUTED_VALUE"""),"President/he")</f>
        <v>President/he</v>
      </c>
    </row>
    <row r="287">
      <c r="A287" s="7" t="str">
        <f>IFERROR(__xludf.DUMMYFUNCTION("""COMPUTED_VALUE"""),"LESOTHO")</f>
        <v>LESOTHO</v>
      </c>
      <c r="B287" s="7">
        <f>IFERROR(__xludf.DUMMYFUNCTION("""COMPUTED_VALUE"""),7.0)</f>
        <v>7</v>
      </c>
      <c r="C287" s="7" t="str">
        <f>IFERROR(__xludf.DUMMYFUNCTION("""COMPUTED_VALUE"""),"B_01_08")</f>
        <v>B_01_08</v>
      </c>
      <c r="D287" s="7" t="str">
        <f>IFERROR(__xludf.DUMMYFUNCTION("""COMPUTED_VALUE"""),"Q33")</f>
        <v>Q33</v>
      </c>
      <c r="E287" s="7" t="str">
        <f>IFERROR(__xludf.DUMMYFUNCTION("""COMPUTED_VALUE"""),"Q33. President free to act vs. obey the laws and courts")</f>
        <v>Q33. President free to act vs. obey the laws and courts</v>
      </c>
      <c r="F287" s="7" t="str">
        <f>IFERROR(__xludf.DUMMYFUNCTION("""COMPUTED_VALUE"""),"Prime Minister/he")</f>
        <v>Prime Minister/he</v>
      </c>
    </row>
    <row r="288">
      <c r="A288" s="7" t="str">
        <f>IFERROR(__xludf.DUMMYFUNCTION("""COMPUTED_VALUE"""),"LIBERIA")</f>
        <v>LIBERIA</v>
      </c>
      <c r="B288" s="7">
        <f>IFERROR(__xludf.DUMMYFUNCTION("""COMPUTED_VALUE"""),7.0)</f>
        <v>7</v>
      </c>
      <c r="C288" s="7" t="str">
        <f>IFERROR(__xludf.DUMMYFUNCTION("""COMPUTED_VALUE"""),"B_01_08")</f>
        <v>B_01_08</v>
      </c>
      <c r="D288" s="7" t="str">
        <f>IFERROR(__xludf.DUMMYFUNCTION("""COMPUTED_VALUE"""),"Q33")</f>
        <v>Q33</v>
      </c>
      <c r="E288" s="7" t="str">
        <f>IFERROR(__xludf.DUMMYFUNCTION("""COMPUTED_VALUE"""),"Q33. President free to act vs. obey the laws and courts")</f>
        <v>Q33. President free to act vs. obey the laws and courts</v>
      </c>
      <c r="F288" s="7" t="str">
        <f>IFERROR(__xludf.DUMMYFUNCTION("""COMPUTED_VALUE"""),"President/he")</f>
        <v>President/he</v>
      </c>
    </row>
    <row r="289">
      <c r="A289" s="7" t="str">
        <f>IFERROR(__xludf.DUMMYFUNCTION("""COMPUTED_VALUE"""),"MADAGASCAR")</f>
        <v>MADAGASCAR</v>
      </c>
      <c r="B289" s="7">
        <f>IFERROR(__xludf.DUMMYFUNCTION("""COMPUTED_VALUE"""),7.0)</f>
        <v>7</v>
      </c>
      <c r="C289" s="7" t="str">
        <f>IFERROR(__xludf.DUMMYFUNCTION("""COMPUTED_VALUE"""),"B_01_08")</f>
        <v>B_01_08</v>
      </c>
      <c r="D289" s="7" t="str">
        <f>IFERROR(__xludf.DUMMYFUNCTION("""COMPUTED_VALUE"""),"Q33")</f>
        <v>Q33</v>
      </c>
      <c r="E289" s="7" t="str">
        <f>IFERROR(__xludf.DUMMYFUNCTION("""COMPUTED_VALUE"""),"Q33. President free to act vs. obey the laws and courts")</f>
        <v>Q33. President free to act vs. obey the laws and courts</v>
      </c>
      <c r="F289" s="7" t="str">
        <f>IFERROR(__xludf.DUMMYFUNCTION("""COMPUTED_VALUE"""),"President/he")</f>
        <v>President/he</v>
      </c>
    </row>
    <row r="290">
      <c r="A290" s="7" t="str">
        <f>IFERROR(__xludf.DUMMYFUNCTION("""COMPUTED_VALUE"""),"MALAWI")</f>
        <v>MALAWI</v>
      </c>
      <c r="B290" s="7">
        <f>IFERROR(__xludf.DUMMYFUNCTION("""COMPUTED_VALUE"""),7.0)</f>
        <v>7</v>
      </c>
      <c r="C290" s="7" t="str">
        <f>IFERROR(__xludf.DUMMYFUNCTION("""COMPUTED_VALUE"""),"B_01_08")</f>
        <v>B_01_08</v>
      </c>
      <c r="D290" s="7" t="str">
        <f>IFERROR(__xludf.DUMMYFUNCTION("""COMPUTED_VALUE"""),"Q33")</f>
        <v>Q33</v>
      </c>
      <c r="E290" s="7" t="str">
        <f>IFERROR(__xludf.DUMMYFUNCTION("""COMPUTED_VALUE"""),"Q33. President free to act vs. obey the laws and courts")</f>
        <v>Q33. President free to act vs. obey the laws and courts</v>
      </c>
      <c r="F290" s="7" t="str">
        <f>IFERROR(__xludf.DUMMYFUNCTION("""COMPUTED_VALUE"""),"President/he")</f>
        <v>President/he</v>
      </c>
    </row>
    <row r="291">
      <c r="A291" s="7" t="str">
        <f>IFERROR(__xludf.DUMMYFUNCTION("""COMPUTED_VALUE"""),"MALI")</f>
        <v>MALI</v>
      </c>
      <c r="B291" s="7">
        <f>IFERROR(__xludf.DUMMYFUNCTION("""COMPUTED_VALUE"""),7.0)</f>
        <v>7</v>
      </c>
      <c r="C291" s="7" t="str">
        <f>IFERROR(__xludf.DUMMYFUNCTION("""COMPUTED_VALUE"""),"B_01_08")</f>
        <v>B_01_08</v>
      </c>
      <c r="D291" s="7" t="str">
        <f>IFERROR(__xludf.DUMMYFUNCTION("""COMPUTED_VALUE"""),"Q33")</f>
        <v>Q33</v>
      </c>
      <c r="E291" s="7" t="str">
        <f>IFERROR(__xludf.DUMMYFUNCTION("""COMPUTED_VALUE"""),"Q33. President free to act vs. obey the laws and courts")</f>
        <v>Q33. President free to act vs. obey the laws and courts</v>
      </c>
      <c r="F291" s="7" t="str">
        <f>IFERROR(__xludf.DUMMYFUNCTION("""COMPUTED_VALUE"""),"President/he")</f>
        <v>President/he</v>
      </c>
    </row>
    <row r="292">
      <c r="A292" s="7" t="str">
        <f>IFERROR(__xludf.DUMMYFUNCTION("""COMPUTED_VALUE"""),"MAURITIUS")</f>
        <v>MAURITIUS</v>
      </c>
      <c r="B292" s="7">
        <f>IFERROR(__xludf.DUMMYFUNCTION("""COMPUTED_VALUE"""),7.0)</f>
        <v>7</v>
      </c>
      <c r="C292" s="7" t="str">
        <f>IFERROR(__xludf.DUMMYFUNCTION("""COMPUTED_VALUE"""),"B_01_08")</f>
        <v>B_01_08</v>
      </c>
      <c r="D292" s="7" t="str">
        <f>IFERROR(__xludf.DUMMYFUNCTION("""COMPUTED_VALUE"""),"Q33")</f>
        <v>Q33</v>
      </c>
      <c r="E292" s="7" t="str">
        <f>IFERROR(__xludf.DUMMYFUNCTION("""COMPUTED_VALUE"""),"Q33. President free to act vs. obey the laws and courts")</f>
        <v>Q33. President free to act vs. obey the laws and courts</v>
      </c>
      <c r="F292" s="7" t="str">
        <f>IFERROR(__xludf.DUMMYFUNCTION("""COMPUTED_VALUE"""),"Prime Minister/he")</f>
        <v>Prime Minister/he</v>
      </c>
    </row>
    <row r="293">
      <c r="A293" s="7" t="str">
        <f>IFERROR(__xludf.DUMMYFUNCTION("""COMPUTED_VALUE"""),"MOROCCO")</f>
        <v>MOROCCO</v>
      </c>
      <c r="B293" s="7">
        <f>IFERROR(__xludf.DUMMYFUNCTION("""COMPUTED_VALUE"""),7.0)</f>
        <v>7</v>
      </c>
      <c r="C293" s="7" t="str">
        <f>IFERROR(__xludf.DUMMYFUNCTION("""COMPUTED_VALUE"""),"B_01_08")</f>
        <v>B_01_08</v>
      </c>
      <c r="D293" s="7" t="str">
        <f>IFERROR(__xludf.DUMMYFUNCTION("""COMPUTED_VALUE"""),"Q33")</f>
        <v>Q33</v>
      </c>
      <c r="E293" s="7" t="str">
        <f>IFERROR(__xludf.DUMMYFUNCTION("""COMPUTED_VALUE"""),"Q33. President free to act vs. obey the laws and courts")</f>
        <v>Q33. President free to act vs. obey the laws and courts</v>
      </c>
      <c r="F293" s="7" t="str">
        <f>IFERROR(__xludf.DUMMYFUNCTION("""COMPUTED_VALUE"""),"President/he")</f>
        <v>President/he</v>
      </c>
    </row>
    <row r="294">
      <c r="A294" s="7" t="str">
        <f>IFERROR(__xludf.DUMMYFUNCTION("""COMPUTED_VALUE"""),"MOZAMBIQUE")</f>
        <v>MOZAMBIQUE</v>
      </c>
      <c r="B294" s="7">
        <f>IFERROR(__xludf.DUMMYFUNCTION("""COMPUTED_VALUE"""),7.0)</f>
        <v>7</v>
      </c>
      <c r="C294" s="7" t="str">
        <f>IFERROR(__xludf.DUMMYFUNCTION("""COMPUTED_VALUE"""),"B_01_08")</f>
        <v>B_01_08</v>
      </c>
      <c r="D294" s="7" t="str">
        <f>IFERROR(__xludf.DUMMYFUNCTION("""COMPUTED_VALUE"""),"Q33")</f>
        <v>Q33</v>
      </c>
      <c r="E294" s="7" t="str">
        <f>IFERROR(__xludf.DUMMYFUNCTION("""COMPUTED_VALUE"""),"Q33. President free to act vs. obey the laws and courts")</f>
        <v>Q33. President free to act vs. obey the laws and courts</v>
      </c>
      <c r="F294" s="7" t="str">
        <f>IFERROR(__xludf.DUMMYFUNCTION("""COMPUTED_VALUE"""),"President/he")</f>
        <v>President/he</v>
      </c>
    </row>
    <row r="295">
      <c r="A295" s="7" t="str">
        <f>IFERROR(__xludf.DUMMYFUNCTION("""COMPUTED_VALUE"""),"NAMIBIA")</f>
        <v>NAMIBIA</v>
      </c>
      <c r="B295" s="7">
        <f>IFERROR(__xludf.DUMMYFUNCTION("""COMPUTED_VALUE"""),7.0)</f>
        <v>7</v>
      </c>
      <c r="C295" s="7" t="str">
        <f>IFERROR(__xludf.DUMMYFUNCTION("""COMPUTED_VALUE"""),"B_01_08")</f>
        <v>B_01_08</v>
      </c>
      <c r="D295" s="7" t="str">
        <f>IFERROR(__xludf.DUMMYFUNCTION("""COMPUTED_VALUE"""),"Q33")</f>
        <v>Q33</v>
      </c>
      <c r="E295" s="7" t="str">
        <f>IFERROR(__xludf.DUMMYFUNCTION("""COMPUTED_VALUE"""),"Q33. President free to act vs. obey the laws and courts")</f>
        <v>Q33. President free to act vs. obey the laws and courts</v>
      </c>
      <c r="F295" s="7" t="str">
        <f>IFERROR(__xludf.DUMMYFUNCTION("""COMPUTED_VALUE"""),"President/he")</f>
        <v>President/he</v>
      </c>
    </row>
    <row r="296">
      <c r="A296" s="7" t="str">
        <f>IFERROR(__xludf.DUMMYFUNCTION("""COMPUTED_VALUE"""),"NIGER")</f>
        <v>NIGER</v>
      </c>
      <c r="B296" s="7">
        <f>IFERROR(__xludf.DUMMYFUNCTION("""COMPUTED_VALUE"""),7.0)</f>
        <v>7</v>
      </c>
      <c r="C296" s="7" t="str">
        <f>IFERROR(__xludf.DUMMYFUNCTION("""COMPUTED_VALUE"""),"B_01_08")</f>
        <v>B_01_08</v>
      </c>
      <c r="D296" s="7" t="str">
        <f>IFERROR(__xludf.DUMMYFUNCTION("""COMPUTED_VALUE"""),"Q33")</f>
        <v>Q33</v>
      </c>
      <c r="E296" s="7" t="str">
        <f>IFERROR(__xludf.DUMMYFUNCTION("""COMPUTED_VALUE"""),"Q33. President free to act vs. obey the laws and courts")</f>
        <v>Q33. President free to act vs. obey the laws and courts</v>
      </c>
      <c r="F296" s="7" t="str">
        <f>IFERROR(__xludf.DUMMYFUNCTION("""COMPUTED_VALUE"""),"President/he")</f>
        <v>President/he</v>
      </c>
    </row>
    <row r="297">
      <c r="A297" s="7" t="str">
        <f>IFERROR(__xludf.DUMMYFUNCTION("""COMPUTED_VALUE"""),"NIGERIA")</f>
        <v>NIGERIA</v>
      </c>
      <c r="B297" s="7">
        <f>IFERROR(__xludf.DUMMYFUNCTION("""COMPUTED_VALUE"""),7.0)</f>
        <v>7</v>
      </c>
      <c r="C297" s="7" t="str">
        <f>IFERROR(__xludf.DUMMYFUNCTION("""COMPUTED_VALUE"""),"B_01_08")</f>
        <v>B_01_08</v>
      </c>
      <c r="D297" s="7" t="str">
        <f>IFERROR(__xludf.DUMMYFUNCTION("""COMPUTED_VALUE"""),"Q33")</f>
        <v>Q33</v>
      </c>
      <c r="E297" s="7" t="str">
        <f>IFERROR(__xludf.DUMMYFUNCTION("""COMPUTED_VALUE"""),"Q33. President free to act vs. obey the laws and courts")</f>
        <v>Q33. President free to act vs. obey the laws and courts</v>
      </c>
      <c r="F297" s="7" t="str">
        <f>IFERROR(__xludf.DUMMYFUNCTION("""COMPUTED_VALUE"""),"President/he")</f>
        <v>President/he</v>
      </c>
    </row>
    <row r="298">
      <c r="A298" s="7" t="str">
        <f>IFERROR(__xludf.DUMMYFUNCTION("""COMPUTED_VALUE"""),"SAO TOME AND PRINCIPE")</f>
        <v>SAO TOME AND PRINCIPE</v>
      </c>
      <c r="B298" s="7">
        <f>IFERROR(__xludf.DUMMYFUNCTION("""COMPUTED_VALUE"""),7.0)</f>
        <v>7</v>
      </c>
      <c r="C298" s="7" t="str">
        <f>IFERROR(__xludf.DUMMYFUNCTION("""COMPUTED_VALUE"""),"B_01_08")</f>
        <v>B_01_08</v>
      </c>
      <c r="D298" s="7" t="str">
        <f>IFERROR(__xludf.DUMMYFUNCTION("""COMPUTED_VALUE"""),"Q33")</f>
        <v>Q33</v>
      </c>
      <c r="E298" s="7" t="str">
        <f>IFERROR(__xludf.DUMMYFUNCTION("""COMPUTED_VALUE"""),"Q33. President free to act vs. obey the laws and courts")</f>
        <v>Q33. President free to act vs. obey the laws and courts</v>
      </c>
      <c r="F298" s="7" t="str">
        <f>IFERROR(__xludf.DUMMYFUNCTION("""COMPUTED_VALUE"""),"President/he")</f>
        <v>President/he</v>
      </c>
    </row>
    <row r="299">
      <c r="A299" s="7" t="str">
        <f>IFERROR(__xludf.DUMMYFUNCTION("""COMPUTED_VALUE"""),"SENEGAL")</f>
        <v>SENEGAL</v>
      </c>
      <c r="B299" s="7">
        <f>IFERROR(__xludf.DUMMYFUNCTION("""COMPUTED_VALUE"""),7.0)</f>
        <v>7</v>
      </c>
      <c r="C299" s="7" t="str">
        <f>IFERROR(__xludf.DUMMYFUNCTION("""COMPUTED_VALUE"""),"B_01_08")</f>
        <v>B_01_08</v>
      </c>
      <c r="D299" s="7" t="str">
        <f>IFERROR(__xludf.DUMMYFUNCTION("""COMPUTED_VALUE"""),"Q33")</f>
        <v>Q33</v>
      </c>
      <c r="E299" s="7" t="str">
        <f>IFERROR(__xludf.DUMMYFUNCTION("""COMPUTED_VALUE"""),"Q33. President free to act vs. obey the laws and courts")</f>
        <v>Q33. President free to act vs. obey the laws and courts</v>
      </c>
      <c r="F299" s="7" t="str">
        <f>IFERROR(__xludf.DUMMYFUNCTION("""COMPUTED_VALUE"""),"President/he")</f>
        <v>President/he</v>
      </c>
    </row>
    <row r="300">
      <c r="A300" s="7" t="str">
        <f>IFERROR(__xludf.DUMMYFUNCTION("""COMPUTED_VALUE"""),"SIERRA LEONE")</f>
        <v>SIERRA LEONE</v>
      </c>
      <c r="B300" s="7">
        <f>IFERROR(__xludf.DUMMYFUNCTION("""COMPUTED_VALUE"""),7.0)</f>
        <v>7</v>
      </c>
      <c r="C300" s="7" t="str">
        <f>IFERROR(__xludf.DUMMYFUNCTION("""COMPUTED_VALUE"""),"B_01_08")</f>
        <v>B_01_08</v>
      </c>
      <c r="D300" s="7" t="str">
        <f>IFERROR(__xludf.DUMMYFUNCTION("""COMPUTED_VALUE"""),"Q33")</f>
        <v>Q33</v>
      </c>
      <c r="E300" s="7" t="str">
        <f>IFERROR(__xludf.DUMMYFUNCTION("""COMPUTED_VALUE"""),"Q33. President free to act vs. obey the laws and courts")</f>
        <v>Q33. President free to act vs. obey the laws and courts</v>
      </c>
      <c r="F300" s="7" t="str">
        <f>IFERROR(__xludf.DUMMYFUNCTION("""COMPUTED_VALUE"""),"President/he")</f>
        <v>President/he</v>
      </c>
    </row>
    <row r="301">
      <c r="A301" s="7" t="str">
        <f>IFERROR(__xludf.DUMMYFUNCTION("""COMPUTED_VALUE"""),"SOUTH AFRICA")</f>
        <v>SOUTH AFRICA</v>
      </c>
      <c r="B301" s="7">
        <f>IFERROR(__xludf.DUMMYFUNCTION("""COMPUTED_VALUE"""),7.0)</f>
        <v>7</v>
      </c>
      <c r="C301" s="7" t="str">
        <f>IFERROR(__xludf.DUMMYFUNCTION("""COMPUTED_VALUE"""),"B_01_08")</f>
        <v>B_01_08</v>
      </c>
      <c r="D301" s="7" t="str">
        <f>IFERROR(__xludf.DUMMYFUNCTION("""COMPUTED_VALUE"""),"Q33")</f>
        <v>Q33</v>
      </c>
      <c r="E301" s="7" t="str">
        <f>IFERROR(__xludf.DUMMYFUNCTION("""COMPUTED_VALUE"""),"Q33. President free to act vs. obey the laws and courts")</f>
        <v>Q33. President free to act vs. obey the laws and courts</v>
      </c>
      <c r="F301" s="7" t="str">
        <f>IFERROR(__xludf.DUMMYFUNCTION("""COMPUTED_VALUE"""),"President/he")</f>
        <v>President/he</v>
      </c>
    </row>
    <row r="302">
      <c r="A302" s="7" t="str">
        <f>IFERROR(__xludf.DUMMYFUNCTION("""COMPUTED_VALUE"""),"SUDAN")</f>
        <v>SUDAN</v>
      </c>
      <c r="B302" s="7">
        <f>IFERROR(__xludf.DUMMYFUNCTION("""COMPUTED_VALUE"""),7.0)</f>
        <v>7</v>
      </c>
      <c r="C302" s="7" t="str">
        <f>IFERROR(__xludf.DUMMYFUNCTION("""COMPUTED_VALUE"""),"B_01_08")</f>
        <v>B_01_08</v>
      </c>
      <c r="D302" s="7" t="str">
        <f>IFERROR(__xludf.DUMMYFUNCTION("""COMPUTED_VALUE"""),"Q33")</f>
        <v>Q33</v>
      </c>
      <c r="E302" s="7" t="str">
        <f>IFERROR(__xludf.DUMMYFUNCTION("""COMPUTED_VALUE"""),"Q33. President free to act vs. obey the laws and courts")</f>
        <v>Q33. President free to act vs. obey the laws and courts</v>
      </c>
      <c r="F302" s="7" t="str">
        <f>IFERROR(__xludf.DUMMYFUNCTION("""COMPUTED_VALUE"""),"President/he")</f>
        <v>President/he</v>
      </c>
    </row>
    <row r="303">
      <c r="A303" s="7" t="str">
        <f>IFERROR(__xludf.DUMMYFUNCTION("""COMPUTED_VALUE"""),"TANZANIA")</f>
        <v>TANZANIA</v>
      </c>
      <c r="B303" s="7">
        <f>IFERROR(__xludf.DUMMYFUNCTION("""COMPUTED_VALUE"""),7.0)</f>
        <v>7</v>
      </c>
      <c r="C303" s="7" t="str">
        <f>IFERROR(__xludf.DUMMYFUNCTION("""COMPUTED_VALUE"""),"B_01_08")</f>
        <v>B_01_08</v>
      </c>
      <c r="D303" s="7" t="str">
        <f>IFERROR(__xludf.DUMMYFUNCTION("""COMPUTED_VALUE"""),"Q33")</f>
        <v>Q33</v>
      </c>
      <c r="E303" s="7" t="str">
        <f>IFERROR(__xludf.DUMMYFUNCTION("""COMPUTED_VALUE"""),"Q33. President free to act vs. obey the laws and courts")</f>
        <v>Q33. President free to act vs. obey the laws and courts</v>
      </c>
      <c r="F303" s="7" t="str">
        <f>IFERROR(__xludf.DUMMYFUNCTION("""COMPUTED_VALUE"""),"President/he")</f>
        <v>President/he</v>
      </c>
    </row>
    <row r="304">
      <c r="A304" s="7" t="str">
        <f>IFERROR(__xludf.DUMMYFUNCTION("""COMPUTED_VALUE"""),"TOGO")</f>
        <v>TOGO</v>
      </c>
      <c r="B304" s="7">
        <f>IFERROR(__xludf.DUMMYFUNCTION("""COMPUTED_VALUE"""),7.0)</f>
        <v>7</v>
      </c>
      <c r="C304" s="7" t="str">
        <f>IFERROR(__xludf.DUMMYFUNCTION("""COMPUTED_VALUE"""),"B_01_08")</f>
        <v>B_01_08</v>
      </c>
      <c r="D304" s="7" t="str">
        <f>IFERROR(__xludf.DUMMYFUNCTION("""COMPUTED_VALUE"""),"Q33")</f>
        <v>Q33</v>
      </c>
      <c r="E304" s="7" t="str">
        <f>IFERROR(__xludf.DUMMYFUNCTION("""COMPUTED_VALUE"""),"Q33. President free to act vs. obey the laws and courts")</f>
        <v>Q33. President free to act vs. obey the laws and courts</v>
      </c>
      <c r="F304" s="7" t="str">
        <f>IFERROR(__xludf.DUMMYFUNCTION("""COMPUTED_VALUE"""),"President/he")</f>
        <v>President/he</v>
      </c>
    </row>
    <row r="305">
      <c r="A305" s="7" t="str">
        <f>IFERROR(__xludf.DUMMYFUNCTION("""COMPUTED_VALUE"""),"TUNISIA")</f>
        <v>TUNISIA</v>
      </c>
      <c r="B305" s="7">
        <f>IFERROR(__xludf.DUMMYFUNCTION("""COMPUTED_VALUE"""),7.0)</f>
        <v>7</v>
      </c>
      <c r="C305" s="7" t="str">
        <f>IFERROR(__xludf.DUMMYFUNCTION("""COMPUTED_VALUE"""),"B_01_08")</f>
        <v>B_01_08</v>
      </c>
      <c r="D305" s="7" t="str">
        <f>IFERROR(__xludf.DUMMYFUNCTION("""COMPUTED_VALUE"""),"Q33")</f>
        <v>Q33</v>
      </c>
      <c r="E305" s="7" t="str">
        <f>IFERROR(__xludf.DUMMYFUNCTION("""COMPUTED_VALUE"""),"Q33. President free to act vs. obey the laws and courts")</f>
        <v>Q33. President free to act vs. obey the laws and courts</v>
      </c>
      <c r="F305" s="7" t="str">
        <f>IFERROR(__xludf.DUMMYFUNCTION("""COMPUTED_VALUE"""),"President/he")</f>
        <v>President/he</v>
      </c>
    </row>
    <row r="306">
      <c r="A306" s="7" t="str">
        <f>IFERROR(__xludf.DUMMYFUNCTION("""COMPUTED_VALUE"""),"UGANDA")</f>
        <v>UGANDA</v>
      </c>
      <c r="B306" s="7">
        <f>IFERROR(__xludf.DUMMYFUNCTION("""COMPUTED_VALUE"""),7.0)</f>
        <v>7</v>
      </c>
      <c r="C306" s="7" t="str">
        <f>IFERROR(__xludf.DUMMYFUNCTION("""COMPUTED_VALUE"""),"B_01_08")</f>
        <v>B_01_08</v>
      </c>
      <c r="D306" s="7" t="str">
        <f>IFERROR(__xludf.DUMMYFUNCTION("""COMPUTED_VALUE"""),"Q33")</f>
        <v>Q33</v>
      </c>
      <c r="E306" s="7" t="str">
        <f>IFERROR(__xludf.DUMMYFUNCTION("""COMPUTED_VALUE"""),"Q33. President free to act vs. obey the laws and courts")</f>
        <v>Q33. President free to act vs. obey the laws and courts</v>
      </c>
      <c r="F306" s="7" t="str">
        <f>IFERROR(__xludf.DUMMYFUNCTION("""COMPUTED_VALUE"""),"President/he")</f>
        <v>President/he</v>
      </c>
    </row>
    <row r="307">
      <c r="A307" s="7" t="str">
        <f>IFERROR(__xludf.DUMMYFUNCTION("""COMPUTED_VALUE"""),"ZAMBIA")</f>
        <v>ZAMBIA</v>
      </c>
      <c r="B307" s="7">
        <f>IFERROR(__xludf.DUMMYFUNCTION("""COMPUTED_VALUE"""),7.0)</f>
        <v>7</v>
      </c>
      <c r="C307" s="7" t="str">
        <f>IFERROR(__xludf.DUMMYFUNCTION("""COMPUTED_VALUE"""),"B_01_08")</f>
        <v>B_01_08</v>
      </c>
      <c r="D307" s="7" t="str">
        <f>IFERROR(__xludf.DUMMYFUNCTION("""COMPUTED_VALUE"""),"Q33")</f>
        <v>Q33</v>
      </c>
      <c r="E307" s="7" t="str">
        <f>IFERROR(__xludf.DUMMYFUNCTION("""COMPUTED_VALUE"""),"Q33. President free to act vs. obey the laws and courts")</f>
        <v>Q33. President free to act vs. obey the laws and courts</v>
      </c>
      <c r="F307" s="7" t="str">
        <f>IFERROR(__xludf.DUMMYFUNCTION("""COMPUTED_VALUE"""),"President/he")</f>
        <v>President/he</v>
      </c>
    </row>
    <row r="308">
      <c r="A308" s="7" t="str">
        <f>IFERROR(__xludf.DUMMYFUNCTION("""COMPUTED_VALUE"""),"ZIMBABWE")</f>
        <v>ZIMBABWE</v>
      </c>
      <c r="B308" s="7">
        <f>IFERROR(__xludf.DUMMYFUNCTION("""COMPUTED_VALUE"""),7.0)</f>
        <v>7</v>
      </c>
      <c r="C308" s="7" t="str">
        <f>IFERROR(__xludf.DUMMYFUNCTION("""COMPUTED_VALUE"""),"B_01_08")</f>
        <v>B_01_08</v>
      </c>
      <c r="D308" s="7" t="str">
        <f>IFERROR(__xludf.DUMMYFUNCTION("""COMPUTED_VALUE"""),"Q33")</f>
        <v>Q33</v>
      </c>
      <c r="E308" s="7" t="str">
        <f>IFERROR(__xludf.DUMMYFUNCTION("""COMPUTED_VALUE"""),"Q33. President free to act vs. obey the laws and courts")</f>
        <v>Q33. President free to act vs. obey the laws and courts</v>
      </c>
      <c r="F308" s="7" t="str">
        <f>IFERROR(__xludf.DUMMYFUNCTION("""COMPUTED_VALUE"""),"President/he")</f>
        <v>President/he</v>
      </c>
    </row>
    <row r="309">
      <c r="A309" s="7" t="str">
        <f>IFERROR(__xludf.DUMMYFUNCTION("""COMPUTED_VALUE"""),"BENIN")</f>
        <v>BENIN</v>
      </c>
      <c r="B309" s="7">
        <f>IFERROR(__xludf.DUMMYFUNCTION("""COMPUTED_VALUE"""),7.0)</f>
        <v>7</v>
      </c>
      <c r="C309" s="7" t="str">
        <f>IFERROR(__xludf.DUMMYFUNCTION("""COMPUTED_VALUE"""),"B_01_05")</f>
        <v>B_01_05</v>
      </c>
      <c r="D309" s="7" t="str">
        <f>IFERROR(__xludf.DUMMYFUNCTION("""COMPUTED_VALUE"""),"Q34")</f>
        <v>Q34</v>
      </c>
      <c r="E309" s="7" t="str">
        <f>IFERROR(__xludf.DUMMYFUNCTION("""COMPUTED_VALUE"""),"Q34. Presidential two term limit vs. no term limits")</f>
        <v>Q34. Presidential two term limit vs. no term limits</v>
      </c>
      <c r="F309" s="7" t="str">
        <f>IFERROR(__xludf.DUMMYFUNCTION("""COMPUTED_VALUE"""),"President/he")</f>
        <v>President/he</v>
      </c>
    </row>
    <row r="310">
      <c r="A310" s="7" t="str">
        <f>IFERROR(__xludf.DUMMYFUNCTION("""COMPUTED_VALUE"""),"BOTSWANA")</f>
        <v>BOTSWANA</v>
      </c>
      <c r="B310" s="7">
        <f>IFERROR(__xludf.DUMMYFUNCTION("""COMPUTED_VALUE"""),7.0)</f>
        <v>7</v>
      </c>
      <c r="C310" s="7" t="str">
        <f>IFERROR(__xludf.DUMMYFUNCTION("""COMPUTED_VALUE"""),"B_01_05")</f>
        <v>B_01_05</v>
      </c>
      <c r="D310" s="7" t="str">
        <f>IFERROR(__xludf.DUMMYFUNCTION("""COMPUTED_VALUE"""),"Q34")</f>
        <v>Q34</v>
      </c>
      <c r="E310" s="7" t="str">
        <f>IFERROR(__xludf.DUMMYFUNCTION("""COMPUTED_VALUE"""),"Q34. Presidential two term limit vs. no term limits")</f>
        <v>Q34. Presidential two term limit vs. no term limits</v>
      </c>
      <c r="F310" s="7" t="str">
        <f>IFERROR(__xludf.DUMMYFUNCTION("""COMPUTED_VALUE"""),"President/he")</f>
        <v>President/he</v>
      </c>
    </row>
    <row r="311">
      <c r="A311" s="7" t="str">
        <f>IFERROR(__xludf.DUMMYFUNCTION("""COMPUTED_VALUE"""),"BURKINA FASO")</f>
        <v>BURKINA FASO</v>
      </c>
      <c r="B311" s="7">
        <f>IFERROR(__xludf.DUMMYFUNCTION("""COMPUTED_VALUE"""),7.0)</f>
        <v>7</v>
      </c>
      <c r="C311" s="7" t="str">
        <f>IFERROR(__xludf.DUMMYFUNCTION("""COMPUTED_VALUE"""),"B_01_05")</f>
        <v>B_01_05</v>
      </c>
      <c r="D311" s="7" t="str">
        <f>IFERROR(__xludf.DUMMYFUNCTION("""COMPUTED_VALUE"""),"Q34")</f>
        <v>Q34</v>
      </c>
      <c r="E311" s="7" t="str">
        <f>IFERROR(__xludf.DUMMYFUNCTION("""COMPUTED_VALUE"""),"Q34. Presidential two term limit vs. no term limits")</f>
        <v>Q34. Presidential two term limit vs. no term limits</v>
      </c>
      <c r="F311" s="7" t="str">
        <f>IFERROR(__xludf.DUMMYFUNCTION("""COMPUTED_VALUE"""),"President/he")</f>
        <v>President/he</v>
      </c>
    </row>
    <row r="312">
      <c r="A312" s="7" t="str">
        <f>IFERROR(__xludf.DUMMYFUNCTION("""COMPUTED_VALUE"""),"CABO VERDE")</f>
        <v>CABO VERDE</v>
      </c>
      <c r="B312" s="7">
        <f>IFERROR(__xludf.DUMMYFUNCTION("""COMPUTED_VALUE"""),7.0)</f>
        <v>7</v>
      </c>
      <c r="C312" s="7" t="str">
        <f>IFERROR(__xludf.DUMMYFUNCTION("""COMPUTED_VALUE"""),"B_01_05")</f>
        <v>B_01_05</v>
      </c>
      <c r="D312" s="7" t="str">
        <f>IFERROR(__xludf.DUMMYFUNCTION("""COMPUTED_VALUE"""),"Q34")</f>
        <v>Q34</v>
      </c>
      <c r="E312" s="7" t="str">
        <f>IFERROR(__xludf.DUMMYFUNCTION("""COMPUTED_VALUE"""),"Q34. Presidential two term limit vs. no term limits")</f>
        <v>Q34. Presidential two term limit vs. no term limits</v>
      </c>
      <c r="F312" s="7" t="str">
        <f>IFERROR(__xludf.DUMMYFUNCTION("""COMPUTED_VALUE"""),"President/he")</f>
        <v>President/he</v>
      </c>
    </row>
    <row r="313">
      <c r="A313" s="7" t="str">
        <f>IFERROR(__xludf.DUMMYFUNCTION("""COMPUTED_VALUE"""),"CAMEROON")</f>
        <v>CAMEROON</v>
      </c>
      <c r="B313" s="7">
        <f>IFERROR(__xludf.DUMMYFUNCTION("""COMPUTED_VALUE"""),7.0)</f>
        <v>7</v>
      </c>
      <c r="C313" s="7" t="str">
        <f>IFERROR(__xludf.DUMMYFUNCTION("""COMPUTED_VALUE"""),"B_01_05")</f>
        <v>B_01_05</v>
      </c>
      <c r="D313" s="7" t="str">
        <f>IFERROR(__xludf.DUMMYFUNCTION("""COMPUTED_VALUE"""),"Q34")</f>
        <v>Q34</v>
      </c>
      <c r="E313" s="7" t="str">
        <f>IFERROR(__xludf.DUMMYFUNCTION("""COMPUTED_VALUE"""),"Q34. Presidential two term limit vs. no term limits")</f>
        <v>Q34. Presidential two term limit vs. no term limits</v>
      </c>
      <c r="F313" s="7" t="str">
        <f>IFERROR(__xludf.DUMMYFUNCTION("""COMPUTED_VALUE"""),"President/he")</f>
        <v>President/he</v>
      </c>
    </row>
    <row r="314">
      <c r="A314" s="7" t="str">
        <f>IFERROR(__xludf.DUMMYFUNCTION("""COMPUTED_VALUE"""),"COTE D'IVOIRE")</f>
        <v>COTE D'IVOIRE</v>
      </c>
      <c r="B314" s="7">
        <f>IFERROR(__xludf.DUMMYFUNCTION("""COMPUTED_VALUE"""),7.0)</f>
        <v>7</v>
      </c>
      <c r="C314" s="7" t="str">
        <f>IFERROR(__xludf.DUMMYFUNCTION("""COMPUTED_VALUE"""),"B_01_05")</f>
        <v>B_01_05</v>
      </c>
      <c r="D314" s="7" t="str">
        <f>IFERROR(__xludf.DUMMYFUNCTION("""COMPUTED_VALUE"""),"Q34")</f>
        <v>Q34</v>
      </c>
      <c r="E314" s="7" t="str">
        <f>IFERROR(__xludf.DUMMYFUNCTION("""COMPUTED_VALUE"""),"Q34. Presidential two term limit vs. no term limits")</f>
        <v>Q34. Presidential two term limit vs. no term limits</v>
      </c>
      <c r="F314" s="7" t="str">
        <f>IFERROR(__xludf.DUMMYFUNCTION("""COMPUTED_VALUE"""),"President/he")</f>
        <v>President/he</v>
      </c>
    </row>
    <row r="315">
      <c r="A315" s="7" t="str">
        <f>IFERROR(__xludf.DUMMYFUNCTION("""COMPUTED_VALUE"""),"ESWATINI")</f>
        <v>ESWATINI</v>
      </c>
      <c r="B315" s="7">
        <f>IFERROR(__xludf.DUMMYFUNCTION("""COMPUTED_VALUE"""),7.0)</f>
        <v>7</v>
      </c>
      <c r="C315" s="7" t="str">
        <f>IFERROR(__xludf.DUMMYFUNCTION("""COMPUTED_VALUE"""),"B_01_05")</f>
        <v>B_01_05</v>
      </c>
      <c r="D315" s="7" t="str">
        <f>IFERROR(__xludf.DUMMYFUNCTION("""COMPUTED_VALUE"""),"Q34")</f>
        <v>Q34</v>
      </c>
      <c r="E315" s="7" t="str">
        <f>IFERROR(__xludf.DUMMYFUNCTION("""COMPUTED_VALUE"""),"Q34. Presidential two term limit vs. no term limits")</f>
        <v>Q34. Presidential two term limit vs. no term limits</v>
      </c>
      <c r="F315" s="7" t="str">
        <f>IFERROR(__xludf.DUMMYFUNCTION("""COMPUTED_VALUE"""),"Prime Minister")</f>
        <v>Prime Minister</v>
      </c>
    </row>
    <row r="316">
      <c r="A316" s="7" t="str">
        <f>IFERROR(__xludf.DUMMYFUNCTION("""COMPUTED_VALUE"""),"GABON")</f>
        <v>GABON</v>
      </c>
      <c r="B316" s="7">
        <f>IFERROR(__xludf.DUMMYFUNCTION("""COMPUTED_VALUE"""),7.0)</f>
        <v>7</v>
      </c>
      <c r="C316" s="7" t="str">
        <f>IFERROR(__xludf.DUMMYFUNCTION("""COMPUTED_VALUE"""),"B_01_05")</f>
        <v>B_01_05</v>
      </c>
      <c r="D316" s="7" t="str">
        <f>IFERROR(__xludf.DUMMYFUNCTION("""COMPUTED_VALUE"""),"Q34")</f>
        <v>Q34</v>
      </c>
      <c r="E316" s="7" t="str">
        <f>IFERROR(__xludf.DUMMYFUNCTION("""COMPUTED_VALUE"""),"Q34. Presidential two term limit vs. no term limits")</f>
        <v>Q34. Presidential two term limit vs. no term limits</v>
      </c>
      <c r="F316" s="7" t="str">
        <f>IFERROR(__xludf.DUMMYFUNCTION("""COMPUTED_VALUE"""),"President/he")</f>
        <v>President/he</v>
      </c>
    </row>
    <row r="317">
      <c r="A317" s="7" t="str">
        <f>IFERROR(__xludf.DUMMYFUNCTION("""COMPUTED_VALUE"""),"GAMBIA")</f>
        <v>GAMBIA</v>
      </c>
      <c r="B317" s="7">
        <f>IFERROR(__xludf.DUMMYFUNCTION("""COMPUTED_VALUE"""),7.0)</f>
        <v>7</v>
      </c>
      <c r="C317" s="7" t="str">
        <f>IFERROR(__xludf.DUMMYFUNCTION("""COMPUTED_VALUE"""),"B_01_05")</f>
        <v>B_01_05</v>
      </c>
      <c r="D317" s="7" t="str">
        <f>IFERROR(__xludf.DUMMYFUNCTION("""COMPUTED_VALUE"""),"Q34")</f>
        <v>Q34</v>
      </c>
      <c r="E317" s="7" t="str">
        <f>IFERROR(__xludf.DUMMYFUNCTION("""COMPUTED_VALUE"""),"Q34. Presidential two term limit vs. no term limits")</f>
        <v>Q34. Presidential two term limit vs. no term limits</v>
      </c>
      <c r="F317" s="7" t="str">
        <f>IFERROR(__xludf.DUMMYFUNCTION("""COMPUTED_VALUE"""),"President/he")</f>
        <v>President/he</v>
      </c>
    </row>
    <row r="318">
      <c r="A318" s="7" t="str">
        <f>IFERROR(__xludf.DUMMYFUNCTION("""COMPUTED_VALUE"""),"GHANA")</f>
        <v>GHANA</v>
      </c>
      <c r="B318" s="7">
        <f>IFERROR(__xludf.DUMMYFUNCTION("""COMPUTED_VALUE"""),7.0)</f>
        <v>7</v>
      </c>
      <c r="C318" s="7" t="str">
        <f>IFERROR(__xludf.DUMMYFUNCTION("""COMPUTED_VALUE"""),"B_01_05")</f>
        <v>B_01_05</v>
      </c>
      <c r="D318" s="7" t="str">
        <f>IFERROR(__xludf.DUMMYFUNCTION("""COMPUTED_VALUE"""),"Q34")</f>
        <v>Q34</v>
      </c>
      <c r="E318" s="7" t="str">
        <f>IFERROR(__xludf.DUMMYFUNCTION("""COMPUTED_VALUE"""),"Q34. Presidential two term limit vs. no term limits")</f>
        <v>Q34. Presidential two term limit vs. no term limits</v>
      </c>
      <c r="F318" s="7" t="str">
        <f>IFERROR(__xludf.DUMMYFUNCTION("""COMPUTED_VALUE"""),"President/he")</f>
        <v>President/he</v>
      </c>
    </row>
    <row r="319">
      <c r="A319" s="7" t="str">
        <f>IFERROR(__xludf.DUMMYFUNCTION("""COMPUTED_VALUE"""),"GUINEA")</f>
        <v>GUINEA</v>
      </c>
      <c r="B319" s="7">
        <f>IFERROR(__xludf.DUMMYFUNCTION("""COMPUTED_VALUE"""),7.0)</f>
        <v>7</v>
      </c>
      <c r="C319" s="7" t="str">
        <f>IFERROR(__xludf.DUMMYFUNCTION("""COMPUTED_VALUE"""),"B_01_05")</f>
        <v>B_01_05</v>
      </c>
      <c r="D319" s="7" t="str">
        <f>IFERROR(__xludf.DUMMYFUNCTION("""COMPUTED_VALUE"""),"Q34")</f>
        <v>Q34</v>
      </c>
      <c r="E319" s="7" t="str">
        <f>IFERROR(__xludf.DUMMYFUNCTION("""COMPUTED_VALUE"""),"Q34. Presidential two term limit vs. no term limits")</f>
        <v>Q34. Presidential two term limit vs. no term limits</v>
      </c>
      <c r="F319" s="7" t="str">
        <f>IFERROR(__xludf.DUMMYFUNCTION("""COMPUTED_VALUE"""),"President/he")</f>
        <v>President/he</v>
      </c>
    </row>
    <row r="320">
      <c r="A320" s="7" t="str">
        <f>IFERROR(__xludf.DUMMYFUNCTION("""COMPUTED_VALUE"""),"KENYA")</f>
        <v>KENYA</v>
      </c>
      <c r="B320" s="7">
        <f>IFERROR(__xludf.DUMMYFUNCTION("""COMPUTED_VALUE"""),7.0)</f>
        <v>7</v>
      </c>
      <c r="C320" s="7" t="str">
        <f>IFERROR(__xludf.DUMMYFUNCTION("""COMPUTED_VALUE"""),"B_01_05")</f>
        <v>B_01_05</v>
      </c>
      <c r="D320" s="7" t="str">
        <f>IFERROR(__xludf.DUMMYFUNCTION("""COMPUTED_VALUE"""),"Q34")</f>
        <v>Q34</v>
      </c>
      <c r="E320" s="7" t="str">
        <f>IFERROR(__xludf.DUMMYFUNCTION("""COMPUTED_VALUE"""),"Q34. Presidential two term limit vs. no term limits")</f>
        <v>Q34. Presidential two term limit vs. no term limits</v>
      </c>
      <c r="F320" s="7" t="str">
        <f>IFERROR(__xludf.DUMMYFUNCTION("""COMPUTED_VALUE"""),"President/he")</f>
        <v>President/he</v>
      </c>
    </row>
    <row r="321">
      <c r="A321" s="7" t="str">
        <f>IFERROR(__xludf.DUMMYFUNCTION("""COMPUTED_VALUE"""),"LESOTHO")</f>
        <v>LESOTHO</v>
      </c>
      <c r="B321" s="7">
        <f>IFERROR(__xludf.DUMMYFUNCTION("""COMPUTED_VALUE"""),7.0)</f>
        <v>7</v>
      </c>
      <c r="C321" s="7" t="str">
        <f>IFERROR(__xludf.DUMMYFUNCTION("""COMPUTED_VALUE"""),"B_01_05")</f>
        <v>B_01_05</v>
      </c>
      <c r="D321" s="7" t="str">
        <f>IFERROR(__xludf.DUMMYFUNCTION("""COMPUTED_VALUE"""),"Q34")</f>
        <v>Q34</v>
      </c>
      <c r="E321" s="7" t="str">
        <f>IFERROR(__xludf.DUMMYFUNCTION("""COMPUTED_VALUE"""),"Q34. Presidential two term limit vs. no term limits")</f>
        <v>Q34. Presidential two term limit vs. no term limits</v>
      </c>
      <c r="F321" s="7" t="str">
        <f>IFERROR(__xludf.DUMMYFUNCTION("""COMPUTED_VALUE"""),"Prime Minister/he")</f>
        <v>Prime Minister/he</v>
      </c>
    </row>
    <row r="322">
      <c r="A322" s="7" t="str">
        <f>IFERROR(__xludf.DUMMYFUNCTION("""COMPUTED_VALUE"""),"LIBERIA")</f>
        <v>LIBERIA</v>
      </c>
      <c r="B322" s="7">
        <f>IFERROR(__xludf.DUMMYFUNCTION("""COMPUTED_VALUE"""),7.0)</f>
        <v>7</v>
      </c>
      <c r="C322" s="7" t="str">
        <f>IFERROR(__xludf.DUMMYFUNCTION("""COMPUTED_VALUE"""),"B_01_05")</f>
        <v>B_01_05</v>
      </c>
      <c r="D322" s="7" t="str">
        <f>IFERROR(__xludf.DUMMYFUNCTION("""COMPUTED_VALUE"""),"Q34")</f>
        <v>Q34</v>
      </c>
      <c r="E322" s="7" t="str">
        <f>IFERROR(__xludf.DUMMYFUNCTION("""COMPUTED_VALUE"""),"Q34. Presidential two term limit vs. no term limits")</f>
        <v>Q34. Presidential two term limit vs. no term limits</v>
      </c>
      <c r="F322" s="7" t="str">
        <f>IFERROR(__xludf.DUMMYFUNCTION("""COMPUTED_VALUE"""),"President/he")</f>
        <v>President/he</v>
      </c>
    </row>
    <row r="323">
      <c r="A323" s="7" t="str">
        <f>IFERROR(__xludf.DUMMYFUNCTION("""COMPUTED_VALUE"""),"MADAGASCAR")</f>
        <v>MADAGASCAR</v>
      </c>
      <c r="B323" s="7">
        <f>IFERROR(__xludf.DUMMYFUNCTION("""COMPUTED_VALUE"""),7.0)</f>
        <v>7</v>
      </c>
      <c r="C323" s="7" t="str">
        <f>IFERROR(__xludf.DUMMYFUNCTION("""COMPUTED_VALUE"""),"B_01_05")</f>
        <v>B_01_05</v>
      </c>
      <c r="D323" s="7" t="str">
        <f>IFERROR(__xludf.DUMMYFUNCTION("""COMPUTED_VALUE"""),"Q34")</f>
        <v>Q34</v>
      </c>
      <c r="E323" s="7" t="str">
        <f>IFERROR(__xludf.DUMMYFUNCTION("""COMPUTED_VALUE"""),"Q34. Presidential two term limit vs. no term limits")</f>
        <v>Q34. Presidential two term limit vs. no term limits</v>
      </c>
      <c r="F323" s="7" t="str">
        <f>IFERROR(__xludf.DUMMYFUNCTION("""COMPUTED_VALUE"""),"President/he")</f>
        <v>President/he</v>
      </c>
    </row>
    <row r="324">
      <c r="A324" s="7" t="str">
        <f>IFERROR(__xludf.DUMMYFUNCTION("""COMPUTED_VALUE"""),"MALAWI")</f>
        <v>MALAWI</v>
      </c>
      <c r="B324" s="7">
        <f>IFERROR(__xludf.DUMMYFUNCTION("""COMPUTED_VALUE"""),7.0)</f>
        <v>7</v>
      </c>
      <c r="C324" s="7" t="str">
        <f>IFERROR(__xludf.DUMMYFUNCTION("""COMPUTED_VALUE"""),"B_01_05")</f>
        <v>B_01_05</v>
      </c>
      <c r="D324" s="7" t="str">
        <f>IFERROR(__xludf.DUMMYFUNCTION("""COMPUTED_VALUE"""),"Q34")</f>
        <v>Q34</v>
      </c>
      <c r="E324" s="7" t="str">
        <f>IFERROR(__xludf.DUMMYFUNCTION("""COMPUTED_VALUE"""),"Q34. Presidential two term limit vs. no term limits")</f>
        <v>Q34. Presidential two term limit vs. no term limits</v>
      </c>
      <c r="F324" s="7" t="str">
        <f>IFERROR(__xludf.DUMMYFUNCTION("""COMPUTED_VALUE"""),"President/he")</f>
        <v>President/he</v>
      </c>
    </row>
    <row r="325">
      <c r="A325" s="7" t="str">
        <f>IFERROR(__xludf.DUMMYFUNCTION("""COMPUTED_VALUE"""),"MALI")</f>
        <v>MALI</v>
      </c>
      <c r="B325" s="7">
        <f>IFERROR(__xludf.DUMMYFUNCTION("""COMPUTED_VALUE"""),7.0)</f>
        <v>7</v>
      </c>
      <c r="C325" s="7" t="str">
        <f>IFERROR(__xludf.DUMMYFUNCTION("""COMPUTED_VALUE"""),"B_01_05")</f>
        <v>B_01_05</v>
      </c>
      <c r="D325" s="7" t="str">
        <f>IFERROR(__xludf.DUMMYFUNCTION("""COMPUTED_VALUE"""),"Q34")</f>
        <v>Q34</v>
      </c>
      <c r="E325" s="7" t="str">
        <f>IFERROR(__xludf.DUMMYFUNCTION("""COMPUTED_VALUE"""),"Q34. Presidential two term limit vs. no term limits")</f>
        <v>Q34. Presidential two term limit vs. no term limits</v>
      </c>
      <c r="F325" s="7" t="str">
        <f>IFERROR(__xludf.DUMMYFUNCTION("""COMPUTED_VALUE"""),"President/he")</f>
        <v>President/he</v>
      </c>
    </row>
    <row r="326">
      <c r="A326" s="7" t="str">
        <f>IFERROR(__xludf.DUMMYFUNCTION("""COMPUTED_VALUE"""),"MAURITIUS")</f>
        <v>MAURITIUS</v>
      </c>
      <c r="B326" s="7">
        <f>IFERROR(__xludf.DUMMYFUNCTION("""COMPUTED_VALUE"""),7.0)</f>
        <v>7</v>
      </c>
      <c r="C326" s="7" t="str">
        <f>IFERROR(__xludf.DUMMYFUNCTION("""COMPUTED_VALUE"""),"B_01_05")</f>
        <v>B_01_05</v>
      </c>
      <c r="D326" s="7" t="str">
        <f>IFERROR(__xludf.DUMMYFUNCTION("""COMPUTED_VALUE"""),"Q34")</f>
        <v>Q34</v>
      </c>
      <c r="E326" s="7" t="str">
        <f>IFERROR(__xludf.DUMMYFUNCTION("""COMPUTED_VALUE"""),"Q34. Presidential two term limit vs. no term limits")</f>
        <v>Q34. Presidential two term limit vs. no term limits</v>
      </c>
      <c r="F326" s="7" t="str">
        <f>IFERROR(__xludf.DUMMYFUNCTION("""COMPUTED_VALUE"""),"Prime Minister/he")</f>
        <v>Prime Minister/he</v>
      </c>
    </row>
    <row r="327">
      <c r="A327" s="7" t="str">
        <f>IFERROR(__xludf.DUMMYFUNCTION("""COMPUTED_VALUE"""),"MOROCCO")</f>
        <v>MOROCCO</v>
      </c>
      <c r="B327" s="7">
        <f>IFERROR(__xludf.DUMMYFUNCTION("""COMPUTED_VALUE"""),7.0)</f>
        <v>7</v>
      </c>
      <c r="C327" s="7" t="str">
        <f>IFERROR(__xludf.DUMMYFUNCTION("""COMPUTED_VALUE"""),"B_01_05")</f>
        <v>B_01_05</v>
      </c>
      <c r="D327" s="7" t="str">
        <f>IFERROR(__xludf.DUMMYFUNCTION("""COMPUTED_VALUE"""),"Q34")</f>
        <v>Q34</v>
      </c>
      <c r="E327" s="7" t="str">
        <f>IFERROR(__xludf.DUMMYFUNCTION("""COMPUTED_VALUE"""),"Q34. Presidential two term limit vs. no term limits")</f>
        <v>Q34. Presidential two term limit vs. no term limits</v>
      </c>
      <c r="F327" s="7" t="str">
        <f>IFERROR(__xludf.DUMMYFUNCTION("""COMPUTED_VALUE"""),"President/he")</f>
        <v>President/he</v>
      </c>
    </row>
    <row r="328">
      <c r="A328" s="7" t="str">
        <f>IFERROR(__xludf.DUMMYFUNCTION("""COMPUTED_VALUE"""),"MOZAMBIQUE")</f>
        <v>MOZAMBIQUE</v>
      </c>
      <c r="B328" s="7">
        <f>IFERROR(__xludf.DUMMYFUNCTION("""COMPUTED_VALUE"""),7.0)</f>
        <v>7</v>
      </c>
      <c r="C328" s="7" t="str">
        <f>IFERROR(__xludf.DUMMYFUNCTION("""COMPUTED_VALUE"""),"B_01_05")</f>
        <v>B_01_05</v>
      </c>
      <c r="D328" s="7" t="str">
        <f>IFERROR(__xludf.DUMMYFUNCTION("""COMPUTED_VALUE"""),"Q34")</f>
        <v>Q34</v>
      </c>
      <c r="E328" s="7" t="str">
        <f>IFERROR(__xludf.DUMMYFUNCTION("""COMPUTED_VALUE"""),"Q34. Presidential two term limit vs. no term limits")</f>
        <v>Q34. Presidential two term limit vs. no term limits</v>
      </c>
      <c r="F328" s="7" t="str">
        <f>IFERROR(__xludf.DUMMYFUNCTION("""COMPUTED_VALUE"""),"President/he")</f>
        <v>President/he</v>
      </c>
    </row>
    <row r="329">
      <c r="A329" s="7" t="str">
        <f>IFERROR(__xludf.DUMMYFUNCTION("""COMPUTED_VALUE"""),"NAMIBIA")</f>
        <v>NAMIBIA</v>
      </c>
      <c r="B329" s="7">
        <f>IFERROR(__xludf.DUMMYFUNCTION("""COMPUTED_VALUE"""),7.0)</f>
        <v>7</v>
      </c>
      <c r="C329" s="7" t="str">
        <f>IFERROR(__xludf.DUMMYFUNCTION("""COMPUTED_VALUE"""),"B_01_05")</f>
        <v>B_01_05</v>
      </c>
      <c r="D329" s="7" t="str">
        <f>IFERROR(__xludf.DUMMYFUNCTION("""COMPUTED_VALUE"""),"Q34")</f>
        <v>Q34</v>
      </c>
      <c r="E329" s="7" t="str">
        <f>IFERROR(__xludf.DUMMYFUNCTION("""COMPUTED_VALUE"""),"Q34. Presidential two term limit vs. no term limits")</f>
        <v>Q34. Presidential two term limit vs. no term limits</v>
      </c>
      <c r="F329" s="7" t="str">
        <f>IFERROR(__xludf.DUMMYFUNCTION("""COMPUTED_VALUE"""),"President/he")</f>
        <v>President/he</v>
      </c>
    </row>
    <row r="330">
      <c r="A330" s="7" t="str">
        <f>IFERROR(__xludf.DUMMYFUNCTION("""COMPUTED_VALUE"""),"NIGER")</f>
        <v>NIGER</v>
      </c>
      <c r="B330" s="7">
        <f>IFERROR(__xludf.DUMMYFUNCTION("""COMPUTED_VALUE"""),7.0)</f>
        <v>7</v>
      </c>
      <c r="C330" s="7" t="str">
        <f>IFERROR(__xludf.DUMMYFUNCTION("""COMPUTED_VALUE"""),"B_01_05")</f>
        <v>B_01_05</v>
      </c>
      <c r="D330" s="7" t="str">
        <f>IFERROR(__xludf.DUMMYFUNCTION("""COMPUTED_VALUE"""),"Q34")</f>
        <v>Q34</v>
      </c>
      <c r="E330" s="7" t="str">
        <f>IFERROR(__xludf.DUMMYFUNCTION("""COMPUTED_VALUE"""),"Q34. Presidential two term limit vs. no term limits")</f>
        <v>Q34. Presidential two term limit vs. no term limits</v>
      </c>
      <c r="F330" s="7" t="str">
        <f>IFERROR(__xludf.DUMMYFUNCTION("""COMPUTED_VALUE"""),"President/he")</f>
        <v>President/he</v>
      </c>
    </row>
    <row r="331">
      <c r="A331" s="7" t="str">
        <f>IFERROR(__xludf.DUMMYFUNCTION("""COMPUTED_VALUE"""),"NIGERIA")</f>
        <v>NIGERIA</v>
      </c>
      <c r="B331" s="7">
        <f>IFERROR(__xludf.DUMMYFUNCTION("""COMPUTED_VALUE"""),7.0)</f>
        <v>7</v>
      </c>
      <c r="C331" s="7" t="str">
        <f>IFERROR(__xludf.DUMMYFUNCTION("""COMPUTED_VALUE"""),"B_01_05")</f>
        <v>B_01_05</v>
      </c>
      <c r="D331" s="7" t="str">
        <f>IFERROR(__xludf.DUMMYFUNCTION("""COMPUTED_VALUE"""),"Q34")</f>
        <v>Q34</v>
      </c>
      <c r="E331" s="7" t="str">
        <f>IFERROR(__xludf.DUMMYFUNCTION("""COMPUTED_VALUE"""),"Q34. Presidential two term limit vs. no term limits")</f>
        <v>Q34. Presidential two term limit vs. no term limits</v>
      </c>
      <c r="F331" s="7" t="str">
        <f>IFERROR(__xludf.DUMMYFUNCTION("""COMPUTED_VALUE"""),"President/he")</f>
        <v>President/he</v>
      </c>
    </row>
    <row r="332">
      <c r="A332" s="7" t="str">
        <f>IFERROR(__xludf.DUMMYFUNCTION("""COMPUTED_VALUE"""),"SAO TOME AND PRINCIPE")</f>
        <v>SAO TOME AND PRINCIPE</v>
      </c>
      <c r="B332" s="7">
        <f>IFERROR(__xludf.DUMMYFUNCTION("""COMPUTED_VALUE"""),7.0)</f>
        <v>7</v>
      </c>
      <c r="C332" s="7" t="str">
        <f>IFERROR(__xludf.DUMMYFUNCTION("""COMPUTED_VALUE"""),"B_01_05")</f>
        <v>B_01_05</v>
      </c>
      <c r="D332" s="7" t="str">
        <f>IFERROR(__xludf.DUMMYFUNCTION("""COMPUTED_VALUE"""),"Q34")</f>
        <v>Q34</v>
      </c>
      <c r="E332" s="7" t="str">
        <f>IFERROR(__xludf.DUMMYFUNCTION("""COMPUTED_VALUE"""),"Q34. Presidential two term limit vs. no term limits")</f>
        <v>Q34. Presidential two term limit vs. no term limits</v>
      </c>
      <c r="F332" s="7" t="str">
        <f>IFERROR(__xludf.DUMMYFUNCTION("""COMPUTED_VALUE"""),"President/he")</f>
        <v>President/he</v>
      </c>
    </row>
    <row r="333">
      <c r="A333" s="7" t="str">
        <f>IFERROR(__xludf.DUMMYFUNCTION("""COMPUTED_VALUE"""),"SENEGAL")</f>
        <v>SENEGAL</v>
      </c>
      <c r="B333" s="7">
        <f>IFERROR(__xludf.DUMMYFUNCTION("""COMPUTED_VALUE"""),7.0)</f>
        <v>7</v>
      </c>
      <c r="C333" s="7" t="str">
        <f>IFERROR(__xludf.DUMMYFUNCTION("""COMPUTED_VALUE"""),"B_01_05")</f>
        <v>B_01_05</v>
      </c>
      <c r="D333" s="7" t="str">
        <f>IFERROR(__xludf.DUMMYFUNCTION("""COMPUTED_VALUE"""),"Q34")</f>
        <v>Q34</v>
      </c>
      <c r="E333" s="7" t="str">
        <f>IFERROR(__xludf.DUMMYFUNCTION("""COMPUTED_VALUE"""),"Q34. Presidential two term limit vs. no term limits")</f>
        <v>Q34. Presidential two term limit vs. no term limits</v>
      </c>
      <c r="F333" s="7" t="str">
        <f>IFERROR(__xludf.DUMMYFUNCTION("""COMPUTED_VALUE"""),"President/he")</f>
        <v>President/he</v>
      </c>
    </row>
    <row r="334">
      <c r="A334" s="7" t="str">
        <f>IFERROR(__xludf.DUMMYFUNCTION("""COMPUTED_VALUE"""),"SIERRA LEONE")</f>
        <v>SIERRA LEONE</v>
      </c>
      <c r="B334" s="7">
        <f>IFERROR(__xludf.DUMMYFUNCTION("""COMPUTED_VALUE"""),7.0)</f>
        <v>7</v>
      </c>
      <c r="C334" s="7" t="str">
        <f>IFERROR(__xludf.DUMMYFUNCTION("""COMPUTED_VALUE"""),"B_01_05")</f>
        <v>B_01_05</v>
      </c>
      <c r="D334" s="7" t="str">
        <f>IFERROR(__xludf.DUMMYFUNCTION("""COMPUTED_VALUE"""),"Q34")</f>
        <v>Q34</v>
      </c>
      <c r="E334" s="7" t="str">
        <f>IFERROR(__xludf.DUMMYFUNCTION("""COMPUTED_VALUE"""),"Q34. Presidential two term limit vs. no term limits")</f>
        <v>Q34. Presidential two term limit vs. no term limits</v>
      </c>
      <c r="F334" s="7" t="str">
        <f>IFERROR(__xludf.DUMMYFUNCTION("""COMPUTED_VALUE"""),"President/he")</f>
        <v>President/he</v>
      </c>
    </row>
    <row r="335">
      <c r="A335" s="7" t="str">
        <f>IFERROR(__xludf.DUMMYFUNCTION("""COMPUTED_VALUE"""),"SOUTH AFRICA")</f>
        <v>SOUTH AFRICA</v>
      </c>
      <c r="B335" s="7">
        <f>IFERROR(__xludf.DUMMYFUNCTION("""COMPUTED_VALUE"""),7.0)</f>
        <v>7</v>
      </c>
      <c r="C335" s="7" t="str">
        <f>IFERROR(__xludf.DUMMYFUNCTION("""COMPUTED_VALUE"""),"B_01_05")</f>
        <v>B_01_05</v>
      </c>
      <c r="D335" s="7" t="str">
        <f>IFERROR(__xludf.DUMMYFUNCTION("""COMPUTED_VALUE"""),"Q34")</f>
        <v>Q34</v>
      </c>
      <c r="E335" s="7" t="str">
        <f>IFERROR(__xludf.DUMMYFUNCTION("""COMPUTED_VALUE"""),"Q34. Presidential two term limit vs. no term limits")</f>
        <v>Q34. Presidential two term limit vs. no term limits</v>
      </c>
      <c r="F335" s="7" t="str">
        <f>IFERROR(__xludf.DUMMYFUNCTION("""COMPUTED_VALUE"""),"President/he")</f>
        <v>President/he</v>
      </c>
    </row>
    <row r="336">
      <c r="A336" s="7" t="str">
        <f>IFERROR(__xludf.DUMMYFUNCTION("""COMPUTED_VALUE"""),"SUDAN")</f>
        <v>SUDAN</v>
      </c>
      <c r="B336" s="7">
        <f>IFERROR(__xludf.DUMMYFUNCTION("""COMPUTED_VALUE"""),7.0)</f>
        <v>7</v>
      </c>
      <c r="C336" s="7" t="str">
        <f>IFERROR(__xludf.DUMMYFUNCTION("""COMPUTED_VALUE"""),"B_01_05")</f>
        <v>B_01_05</v>
      </c>
      <c r="D336" s="7" t="str">
        <f>IFERROR(__xludf.DUMMYFUNCTION("""COMPUTED_VALUE"""),"Q34")</f>
        <v>Q34</v>
      </c>
      <c r="E336" s="7" t="str">
        <f>IFERROR(__xludf.DUMMYFUNCTION("""COMPUTED_VALUE"""),"Q34. Presidential two term limit vs. no term limits")</f>
        <v>Q34. Presidential two term limit vs. no term limits</v>
      </c>
      <c r="F336" s="7" t="str">
        <f>IFERROR(__xludf.DUMMYFUNCTION("""COMPUTED_VALUE"""),"President/he")</f>
        <v>President/he</v>
      </c>
    </row>
    <row r="337">
      <c r="A337" s="7" t="str">
        <f>IFERROR(__xludf.DUMMYFUNCTION("""COMPUTED_VALUE"""),"TANZANIA")</f>
        <v>TANZANIA</v>
      </c>
      <c r="B337" s="7">
        <f>IFERROR(__xludf.DUMMYFUNCTION("""COMPUTED_VALUE"""),7.0)</f>
        <v>7</v>
      </c>
      <c r="C337" s="7" t="str">
        <f>IFERROR(__xludf.DUMMYFUNCTION("""COMPUTED_VALUE"""),"B_01_05")</f>
        <v>B_01_05</v>
      </c>
      <c r="D337" s="7" t="str">
        <f>IFERROR(__xludf.DUMMYFUNCTION("""COMPUTED_VALUE"""),"Q34")</f>
        <v>Q34</v>
      </c>
      <c r="E337" s="7" t="str">
        <f>IFERROR(__xludf.DUMMYFUNCTION("""COMPUTED_VALUE"""),"Q34. Presidential two term limit vs. no term limits")</f>
        <v>Q34. Presidential two term limit vs. no term limits</v>
      </c>
      <c r="F337" s="7" t="str">
        <f>IFERROR(__xludf.DUMMYFUNCTION("""COMPUTED_VALUE"""),"President/he")</f>
        <v>President/he</v>
      </c>
    </row>
    <row r="338">
      <c r="A338" s="7" t="str">
        <f>IFERROR(__xludf.DUMMYFUNCTION("""COMPUTED_VALUE"""),"TOGO")</f>
        <v>TOGO</v>
      </c>
      <c r="B338" s="7">
        <f>IFERROR(__xludf.DUMMYFUNCTION("""COMPUTED_VALUE"""),7.0)</f>
        <v>7</v>
      </c>
      <c r="C338" s="7" t="str">
        <f>IFERROR(__xludf.DUMMYFUNCTION("""COMPUTED_VALUE"""),"B_01_05")</f>
        <v>B_01_05</v>
      </c>
      <c r="D338" s="7" t="str">
        <f>IFERROR(__xludf.DUMMYFUNCTION("""COMPUTED_VALUE"""),"Q34")</f>
        <v>Q34</v>
      </c>
      <c r="E338" s="7" t="str">
        <f>IFERROR(__xludf.DUMMYFUNCTION("""COMPUTED_VALUE"""),"Q34. Presidential two term limit vs. no term limits")</f>
        <v>Q34. Presidential two term limit vs. no term limits</v>
      </c>
      <c r="F338" s="7" t="str">
        <f>IFERROR(__xludf.DUMMYFUNCTION("""COMPUTED_VALUE"""),"President/he")</f>
        <v>President/he</v>
      </c>
    </row>
    <row r="339">
      <c r="A339" s="7" t="str">
        <f>IFERROR(__xludf.DUMMYFUNCTION("""COMPUTED_VALUE"""),"TUNISIA")</f>
        <v>TUNISIA</v>
      </c>
      <c r="B339" s="7">
        <f>IFERROR(__xludf.DUMMYFUNCTION("""COMPUTED_VALUE"""),7.0)</f>
        <v>7</v>
      </c>
      <c r="C339" s="7" t="str">
        <f>IFERROR(__xludf.DUMMYFUNCTION("""COMPUTED_VALUE"""),"B_01_05")</f>
        <v>B_01_05</v>
      </c>
      <c r="D339" s="7" t="str">
        <f>IFERROR(__xludf.DUMMYFUNCTION("""COMPUTED_VALUE"""),"Q34")</f>
        <v>Q34</v>
      </c>
      <c r="E339" s="7" t="str">
        <f>IFERROR(__xludf.DUMMYFUNCTION("""COMPUTED_VALUE"""),"Q34. Presidential two term limit vs. no term limits")</f>
        <v>Q34. Presidential two term limit vs. no term limits</v>
      </c>
      <c r="F339" s="7" t="str">
        <f>IFERROR(__xludf.DUMMYFUNCTION("""COMPUTED_VALUE"""),"President/he")</f>
        <v>President/he</v>
      </c>
    </row>
    <row r="340">
      <c r="A340" s="7" t="str">
        <f>IFERROR(__xludf.DUMMYFUNCTION("""COMPUTED_VALUE"""),"UGANDA")</f>
        <v>UGANDA</v>
      </c>
      <c r="B340" s="7">
        <f>IFERROR(__xludf.DUMMYFUNCTION("""COMPUTED_VALUE"""),7.0)</f>
        <v>7</v>
      </c>
      <c r="C340" s="7" t="str">
        <f>IFERROR(__xludf.DUMMYFUNCTION("""COMPUTED_VALUE"""),"B_01_05")</f>
        <v>B_01_05</v>
      </c>
      <c r="D340" s="7" t="str">
        <f>IFERROR(__xludf.DUMMYFUNCTION("""COMPUTED_VALUE"""),"Q34")</f>
        <v>Q34</v>
      </c>
      <c r="E340" s="7" t="str">
        <f>IFERROR(__xludf.DUMMYFUNCTION("""COMPUTED_VALUE"""),"Q34. Presidential two term limit vs. no term limits")</f>
        <v>Q34. Presidential two term limit vs. no term limits</v>
      </c>
      <c r="F340" s="7" t="str">
        <f>IFERROR(__xludf.DUMMYFUNCTION("""COMPUTED_VALUE"""),"President/he")</f>
        <v>President/he</v>
      </c>
    </row>
    <row r="341">
      <c r="A341" s="7" t="str">
        <f>IFERROR(__xludf.DUMMYFUNCTION("""COMPUTED_VALUE"""),"ZAMBIA")</f>
        <v>ZAMBIA</v>
      </c>
      <c r="B341" s="7">
        <f>IFERROR(__xludf.DUMMYFUNCTION("""COMPUTED_VALUE"""),7.0)</f>
        <v>7</v>
      </c>
      <c r="C341" s="7" t="str">
        <f>IFERROR(__xludf.DUMMYFUNCTION("""COMPUTED_VALUE"""),"B_01_05")</f>
        <v>B_01_05</v>
      </c>
      <c r="D341" s="7" t="str">
        <f>IFERROR(__xludf.DUMMYFUNCTION("""COMPUTED_VALUE"""),"Q34")</f>
        <v>Q34</v>
      </c>
      <c r="E341" s="7" t="str">
        <f>IFERROR(__xludf.DUMMYFUNCTION("""COMPUTED_VALUE"""),"Q34. Presidential two term limit vs. no term limits")</f>
        <v>Q34. Presidential two term limit vs. no term limits</v>
      </c>
      <c r="F341" s="7" t="str">
        <f>IFERROR(__xludf.DUMMYFUNCTION("""COMPUTED_VALUE"""),"President/he")</f>
        <v>President/he</v>
      </c>
    </row>
    <row r="342">
      <c r="A342" s="7" t="str">
        <f>IFERROR(__xludf.DUMMYFUNCTION("""COMPUTED_VALUE"""),"ZIMBABWE")</f>
        <v>ZIMBABWE</v>
      </c>
      <c r="B342" s="7">
        <f>IFERROR(__xludf.DUMMYFUNCTION("""COMPUTED_VALUE"""),7.0)</f>
        <v>7</v>
      </c>
      <c r="C342" s="7" t="str">
        <f>IFERROR(__xludf.DUMMYFUNCTION("""COMPUTED_VALUE"""),"B_01_05")</f>
        <v>B_01_05</v>
      </c>
      <c r="D342" s="7" t="str">
        <f>IFERROR(__xludf.DUMMYFUNCTION("""COMPUTED_VALUE"""),"Q34")</f>
        <v>Q34</v>
      </c>
      <c r="E342" s="7" t="str">
        <f>IFERROR(__xludf.DUMMYFUNCTION("""COMPUTED_VALUE"""),"Q34. Presidential two term limit vs. no term limits")</f>
        <v>Q34. Presidential two term limit vs. no term limits</v>
      </c>
      <c r="F342" s="7" t="str">
        <f>IFERROR(__xludf.DUMMYFUNCTION("""COMPUTED_VALUE"""),"President/he")</f>
        <v>President/he</v>
      </c>
    </row>
    <row r="343">
      <c r="A343" s="7" t="str">
        <f>IFERROR(__xludf.DUMMYFUNCTION("""COMPUTED_VALUE"""),"BENIN")</f>
        <v>BENIN</v>
      </c>
      <c r="B343" s="7">
        <f>IFERROR(__xludf.DUMMYFUNCTION("""COMPUTED_VALUE"""),7.0)</f>
        <v>7</v>
      </c>
      <c r="C343" s="7" t="str">
        <f>IFERROR(__xludf.DUMMYFUNCTION("""COMPUTED_VALUE"""),"B_01_01")</f>
        <v>B_01_01</v>
      </c>
      <c r="D343" s="7" t="str">
        <f>IFERROR(__xludf.DUMMYFUNCTION("""COMPUTED_VALUE"""),"Q39B")</f>
        <v>Q39B</v>
      </c>
      <c r="E343" s="7" t="str">
        <f>IFERROR(__xludf.DUMMYFUNCTION("""COMPUTED_VALUE"""),"Q39b. How often president ignores laws")</f>
        <v>Q39b. How often president ignores laws</v>
      </c>
      <c r="F343" s="7" t="str">
        <f>IFERROR(__xludf.DUMMYFUNCTION("""COMPUTED_VALUE"""),"President/he")</f>
        <v>President/he</v>
      </c>
    </row>
    <row r="344">
      <c r="A344" s="7" t="str">
        <f>IFERROR(__xludf.DUMMYFUNCTION("""COMPUTED_VALUE"""),"BOTSWANA")</f>
        <v>BOTSWANA</v>
      </c>
      <c r="B344" s="7">
        <f>IFERROR(__xludf.DUMMYFUNCTION("""COMPUTED_VALUE"""),7.0)</f>
        <v>7</v>
      </c>
      <c r="C344" s="7" t="str">
        <f>IFERROR(__xludf.DUMMYFUNCTION("""COMPUTED_VALUE"""),"B_01_01")</f>
        <v>B_01_01</v>
      </c>
      <c r="D344" s="7" t="str">
        <f>IFERROR(__xludf.DUMMYFUNCTION("""COMPUTED_VALUE"""),"Q39B")</f>
        <v>Q39B</v>
      </c>
      <c r="E344" s="7" t="str">
        <f>IFERROR(__xludf.DUMMYFUNCTION("""COMPUTED_VALUE"""),"Q39b. How often president ignores laws")</f>
        <v>Q39b. How often president ignores laws</v>
      </c>
      <c r="F344" s="7" t="str">
        <f>IFERROR(__xludf.DUMMYFUNCTION("""COMPUTED_VALUE"""),"President/He")</f>
        <v>President/He</v>
      </c>
    </row>
    <row r="345">
      <c r="A345" s="7" t="str">
        <f>IFERROR(__xludf.DUMMYFUNCTION("""COMPUTED_VALUE"""),"BURKINA FASO")</f>
        <v>BURKINA FASO</v>
      </c>
      <c r="B345" s="7">
        <f>IFERROR(__xludf.DUMMYFUNCTION("""COMPUTED_VALUE"""),7.0)</f>
        <v>7</v>
      </c>
      <c r="C345" s="7" t="str">
        <f>IFERROR(__xludf.DUMMYFUNCTION("""COMPUTED_VALUE"""),"B_01_01")</f>
        <v>B_01_01</v>
      </c>
      <c r="D345" s="7" t="str">
        <f>IFERROR(__xludf.DUMMYFUNCTION("""COMPUTED_VALUE"""),"Q39B")</f>
        <v>Q39B</v>
      </c>
      <c r="E345" s="7" t="str">
        <f>IFERROR(__xludf.DUMMYFUNCTION("""COMPUTED_VALUE"""),"Q39b. How often president ignores laws")</f>
        <v>Q39b. How often president ignores laws</v>
      </c>
      <c r="F345" s="7" t="str">
        <f>IFERROR(__xludf.DUMMYFUNCTION("""COMPUTED_VALUE"""),"President/He")</f>
        <v>President/He</v>
      </c>
    </row>
    <row r="346">
      <c r="A346" s="7" t="str">
        <f>IFERROR(__xludf.DUMMYFUNCTION("""COMPUTED_VALUE"""),"CABO VERDE")</f>
        <v>CABO VERDE</v>
      </c>
      <c r="B346" s="7">
        <f>IFERROR(__xludf.DUMMYFUNCTION("""COMPUTED_VALUE"""),7.0)</f>
        <v>7</v>
      </c>
      <c r="C346" s="7" t="str">
        <f>IFERROR(__xludf.DUMMYFUNCTION("""COMPUTED_VALUE"""),"B_01_01")</f>
        <v>B_01_01</v>
      </c>
      <c r="D346" s="7" t="str">
        <f>IFERROR(__xludf.DUMMYFUNCTION("""COMPUTED_VALUE"""),"Q39B")</f>
        <v>Q39B</v>
      </c>
      <c r="E346" s="7" t="str">
        <f>IFERROR(__xludf.DUMMYFUNCTION("""COMPUTED_VALUE"""),"Q39b. How often president ignores laws")</f>
        <v>Q39b. How often president ignores laws</v>
      </c>
      <c r="F346" s="7" t="str">
        <f>IFERROR(__xludf.DUMMYFUNCTION("""COMPUTED_VALUE"""),"President/He")</f>
        <v>President/He</v>
      </c>
    </row>
    <row r="347">
      <c r="A347" s="7" t="str">
        <f>IFERROR(__xludf.DUMMYFUNCTION("""COMPUTED_VALUE"""),"CAMEROON")</f>
        <v>CAMEROON</v>
      </c>
      <c r="B347" s="7">
        <f>IFERROR(__xludf.DUMMYFUNCTION("""COMPUTED_VALUE"""),7.0)</f>
        <v>7</v>
      </c>
      <c r="C347" s="7" t="str">
        <f>IFERROR(__xludf.DUMMYFUNCTION("""COMPUTED_VALUE"""),"B_01_01")</f>
        <v>B_01_01</v>
      </c>
      <c r="D347" s="7" t="str">
        <f>IFERROR(__xludf.DUMMYFUNCTION("""COMPUTED_VALUE"""),"Q39B")</f>
        <v>Q39B</v>
      </c>
      <c r="E347" s="7" t="str">
        <f>IFERROR(__xludf.DUMMYFUNCTION("""COMPUTED_VALUE"""),"Q39b. How often president ignores laws")</f>
        <v>Q39b. How often president ignores laws</v>
      </c>
      <c r="F347" s="7" t="str">
        <f>IFERROR(__xludf.DUMMYFUNCTION("""COMPUTED_VALUE"""),"President/He")</f>
        <v>President/He</v>
      </c>
    </row>
    <row r="348">
      <c r="A348" s="7" t="str">
        <f>IFERROR(__xludf.DUMMYFUNCTION("""COMPUTED_VALUE"""),"COTE D'IVOIRE")</f>
        <v>COTE D'IVOIRE</v>
      </c>
      <c r="B348" s="7">
        <f>IFERROR(__xludf.DUMMYFUNCTION("""COMPUTED_VALUE"""),7.0)</f>
        <v>7</v>
      </c>
      <c r="C348" s="7" t="str">
        <f>IFERROR(__xludf.DUMMYFUNCTION("""COMPUTED_VALUE"""),"B_01_01")</f>
        <v>B_01_01</v>
      </c>
      <c r="D348" s="7" t="str">
        <f>IFERROR(__xludf.DUMMYFUNCTION("""COMPUTED_VALUE"""),"Q39B")</f>
        <v>Q39B</v>
      </c>
      <c r="E348" s="7" t="str">
        <f>IFERROR(__xludf.DUMMYFUNCTION("""COMPUTED_VALUE"""),"Q39b. How often president ignores laws")</f>
        <v>Q39b. How often president ignores laws</v>
      </c>
      <c r="F348" s="7" t="str">
        <f>IFERROR(__xludf.DUMMYFUNCTION("""COMPUTED_VALUE"""),"President/He")</f>
        <v>President/He</v>
      </c>
    </row>
    <row r="349">
      <c r="A349" s="7" t="str">
        <f>IFERROR(__xludf.DUMMYFUNCTION("""COMPUTED_VALUE"""),"ESWATINI")</f>
        <v>ESWATINI</v>
      </c>
      <c r="B349" s="7">
        <f>IFERROR(__xludf.DUMMYFUNCTION("""COMPUTED_VALUE"""),7.0)</f>
        <v>7</v>
      </c>
      <c r="C349" s="7" t="str">
        <f>IFERROR(__xludf.DUMMYFUNCTION("""COMPUTED_VALUE"""),"B_01_01")</f>
        <v>B_01_01</v>
      </c>
      <c r="D349" s="7" t="str">
        <f>IFERROR(__xludf.DUMMYFUNCTION("""COMPUTED_VALUE"""),"Q39B")</f>
        <v>Q39B</v>
      </c>
      <c r="E349" s="7" t="str">
        <f>IFERROR(__xludf.DUMMYFUNCTION("""COMPUTED_VALUE"""),"Q39b. How often president ignores laws")</f>
        <v>Q39b. How often president ignores laws</v>
      </c>
      <c r="F349" s="7" t="str">
        <f>IFERROR(__xludf.DUMMYFUNCTION("""COMPUTED_VALUE"""),"Prime Minister")</f>
        <v>Prime Minister</v>
      </c>
    </row>
    <row r="350">
      <c r="A350" s="7" t="str">
        <f>IFERROR(__xludf.DUMMYFUNCTION("""COMPUTED_VALUE"""),"GABON")</f>
        <v>GABON</v>
      </c>
      <c r="B350" s="7">
        <f>IFERROR(__xludf.DUMMYFUNCTION("""COMPUTED_VALUE"""),7.0)</f>
        <v>7</v>
      </c>
      <c r="C350" s="7" t="str">
        <f>IFERROR(__xludf.DUMMYFUNCTION("""COMPUTED_VALUE"""),"B_01_01")</f>
        <v>B_01_01</v>
      </c>
      <c r="D350" s="7" t="str">
        <f>IFERROR(__xludf.DUMMYFUNCTION("""COMPUTED_VALUE"""),"Q39B")</f>
        <v>Q39B</v>
      </c>
      <c r="E350" s="7" t="str">
        <f>IFERROR(__xludf.DUMMYFUNCTION("""COMPUTED_VALUE"""),"Q39b. How often president ignores laws")</f>
        <v>Q39b. How often president ignores laws</v>
      </c>
      <c r="F350" s="7" t="str">
        <f>IFERROR(__xludf.DUMMYFUNCTION("""COMPUTED_VALUE"""),"President/He")</f>
        <v>President/He</v>
      </c>
    </row>
    <row r="351">
      <c r="A351" s="7" t="str">
        <f>IFERROR(__xludf.DUMMYFUNCTION("""COMPUTED_VALUE"""),"GAMBIA")</f>
        <v>GAMBIA</v>
      </c>
      <c r="B351" s="7">
        <f>IFERROR(__xludf.DUMMYFUNCTION("""COMPUTED_VALUE"""),7.0)</f>
        <v>7</v>
      </c>
      <c r="C351" s="7" t="str">
        <f>IFERROR(__xludf.DUMMYFUNCTION("""COMPUTED_VALUE"""),"B_01_01")</f>
        <v>B_01_01</v>
      </c>
      <c r="D351" s="7" t="str">
        <f>IFERROR(__xludf.DUMMYFUNCTION("""COMPUTED_VALUE"""),"Q39B")</f>
        <v>Q39B</v>
      </c>
      <c r="E351" s="7" t="str">
        <f>IFERROR(__xludf.DUMMYFUNCTION("""COMPUTED_VALUE"""),"Q39b. How often president ignores laws")</f>
        <v>Q39b. How often president ignores laws</v>
      </c>
      <c r="F351" s="7" t="str">
        <f>IFERROR(__xludf.DUMMYFUNCTION("""COMPUTED_VALUE"""),"President/He")</f>
        <v>President/He</v>
      </c>
    </row>
    <row r="352">
      <c r="A352" s="7" t="str">
        <f>IFERROR(__xludf.DUMMYFUNCTION("""COMPUTED_VALUE"""),"GHANA")</f>
        <v>GHANA</v>
      </c>
      <c r="B352" s="7">
        <f>IFERROR(__xludf.DUMMYFUNCTION("""COMPUTED_VALUE"""),7.0)</f>
        <v>7</v>
      </c>
      <c r="C352" s="7" t="str">
        <f>IFERROR(__xludf.DUMMYFUNCTION("""COMPUTED_VALUE"""),"B_01_01")</f>
        <v>B_01_01</v>
      </c>
      <c r="D352" s="7" t="str">
        <f>IFERROR(__xludf.DUMMYFUNCTION("""COMPUTED_VALUE"""),"Q39B")</f>
        <v>Q39B</v>
      </c>
      <c r="E352" s="7" t="str">
        <f>IFERROR(__xludf.DUMMYFUNCTION("""COMPUTED_VALUE"""),"Q39b. How often president ignores laws")</f>
        <v>Q39b. How often president ignores laws</v>
      </c>
      <c r="F352" s="7" t="str">
        <f>IFERROR(__xludf.DUMMYFUNCTION("""COMPUTED_VALUE"""),"President/he")</f>
        <v>President/he</v>
      </c>
    </row>
    <row r="353">
      <c r="A353" s="7" t="str">
        <f>IFERROR(__xludf.DUMMYFUNCTION("""COMPUTED_VALUE"""),"GUINEA")</f>
        <v>GUINEA</v>
      </c>
      <c r="B353" s="7">
        <f>IFERROR(__xludf.DUMMYFUNCTION("""COMPUTED_VALUE"""),7.0)</f>
        <v>7</v>
      </c>
      <c r="C353" s="7" t="str">
        <f>IFERROR(__xludf.DUMMYFUNCTION("""COMPUTED_VALUE"""),"B_01_01")</f>
        <v>B_01_01</v>
      </c>
      <c r="D353" s="7" t="str">
        <f>IFERROR(__xludf.DUMMYFUNCTION("""COMPUTED_VALUE"""),"Q39B")</f>
        <v>Q39B</v>
      </c>
      <c r="E353" s="7" t="str">
        <f>IFERROR(__xludf.DUMMYFUNCTION("""COMPUTED_VALUE"""),"Q39b. How often president ignores laws")</f>
        <v>Q39b. How often president ignores laws</v>
      </c>
      <c r="F353" s="7" t="str">
        <f>IFERROR(__xludf.DUMMYFUNCTION("""COMPUTED_VALUE"""),"President/he")</f>
        <v>President/he</v>
      </c>
    </row>
    <row r="354">
      <c r="A354" s="7" t="str">
        <f>IFERROR(__xludf.DUMMYFUNCTION("""COMPUTED_VALUE"""),"KENYA")</f>
        <v>KENYA</v>
      </c>
      <c r="B354" s="7">
        <f>IFERROR(__xludf.DUMMYFUNCTION("""COMPUTED_VALUE"""),7.0)</f>
        <v>7</v>
      </c>
      <c r="C354" s="7" t="str">
        <f>IFERROR(__xludf.DUMMYFUNCTION("""COMPUTED_VALUE"""),"B_01_01")</f>
        <v>B_01_01</v>
      </c>
      <c r="D354" s="7" t="str">
        <f>IFERROR(__xludf.DUMMYFUNCTION("""COMPUTED_VALUE"""),"Q39B")</f>
        <v>Q39B</v>
      </c>
      <c r="E354" s="7" t="str">
        <f>IFERROR(__xludf.DUMMYFUNCTION("""COMPUTED_VALUE"""),"Q39b. How often president ignores laws")</f>
        <v>Q39b. How often president ignores laws</v>
      </c>
      <c r="F354" s="7" t="str">
        <f>IFERROR(__xludf.DUMMYFUNCTION("""COMPUTED_VALUE"""),"President/he")</f>
        <v>President/he</v>
      </c>
    </row>
    <row r="355">
      <c r="A355" s="7" t="str">
        <f>IFERROR(__xludf.DUMMYFUNCTION("""COMPUTED_VALUE"""),"LESOTHO")</f>
        <v>LESOTHO</v>
      </c>
      <c r="B355" s="7">
        <f>IFERROR(__xludf.DUMMYFUNCTION("""COMPUTED_VALUE"""),7.0)</f>
        <v>7</v>
      </c>
      <c r="C355" s="7" t="str">
        <f>IFERROR(__xludf.DUMMYFUNCTION("""COMPUTED_VALUE"""),"B_01_01")</f>
        <v>B_01_01</v>
      </c>
      <c r="D355" s="7" t="str">
        <f>IFERROR(__xludf.DUMMYFUNCTION("""COMPUTED_VALUE"""),"Q39B")</f>
        <v>Q39B</v>
      </c>
      <c r="E355" s="7" t="str">
        <f>IFERROR(__xludf.DUMMYFUNCTION("""COMPUTED_VALUE"""),"Q39b. How often president ignores laws")</f>
        <v>Q39b. How often president ignores laws</v>
      </c>
      <c r="F355" s="7" t="str">
        <f>IFERROR(__xludf.DUMMYFUNCTION("""COMPUTED_VALUE"""),"Prime Minister/he")</f>
        <v>Prime Minister/he</v>
      </c>
    </row>
    <row r="356">
      <c r="A356" s="7" t="str">
        <f>IFERROR(__xludf.DUMMYFUNCTION("""COMPUTED_VALUE"""),"LIBERIA")</f>
        <v>LIBERIA</v>
      </c>
      <c r="B356" s="7">
        <f>IFERROR(__xludf.DUMMYFUNCTION("""COMPUTED_VALUE"""),7.0)</f>
        <v>7</v>
      </c>
      <c r="C356" s="7" t="str">
        <f>IFERROR(__xludf.DUMMYFUNCTION("""COMPUTED_VALUE"""),"B_01_01")</f>
        <v>B_01_01</v>
      </c>
      <c r="D356" s="7" t="str">
        <f>IFERROR(__xludf.DUMMYFUNCTION("""COMPUTED_VALUE"""),"Q39B")</f>
        <v>Q39B</v>
      </c>
      <c r="E356" s="7" t="str">
        <f>IFERROR(__xludf.DUMMYFUNCTION("""COMPUTED_VALUE"""),"Q39b. How often president ignores laws")</f>
        <v>Q39b. How often president ignores laws</v>
      </c>
      <c r="F356" s="7" t="str">
        <f>IFERROR(__xludf.DUMMYFUNCTION("""COMPUTED_VALUE"""),"President/he")</f>
        <v>President/he</v>
      </c>
    </row>
    <row r="357">
      <c r="A357" s="7" t="str">
        <f>IFERROR(__xludf.DUMMYFUNCTION("""COMPUTED_VALUE"""),"MADAGASCAR")</f>
        <v>MADAGASCAR</v>
      </c>
      <c r="B357" s="7">
        <f>IFERROR(__xludf.DUMMYFUNCTION("""COMPUTED_VALUE"""),7.0)</f>
        <v>7</v>
      </c>
      <c r="C357" s="7" t="str">
        <f>IFERROR(__xludf.DUMMYFUNCTION("""COMPUTED_VALUE"""),"B_01_01")</f>
        <v>B_01_01</v>
      </c>
      <c r="D357" s="7" t="str">
        <f>IFERROR(__xludf.DUMMYFUNCTION("""COMPUTED_VALUE"""),"Q39B")</f>
        <v>Q39B</v>
      </c>
      <c r="E357" s="7" t="str">
        <f>IFERROR(__xludf.DUMMYFUNCTION("""COMPUTED_VALUE"""),"Q39b. How often president ignores laws")</f>
        <v>Q39b. How often president ignores laws</v>
      </c>
      <c r="F357" s="7" t="str">
        <f>IFERROR(__xludf.DUMMYFUNCTION("""COMPUTED_VALUE"""),"President/he")</f>
        <v>President/he</v>
      </c>
    </row>
    <row r="358">
      <c r="A358" s="7" t="str">
        <f>IFERROR(__xludf.DUMMYFUNCTION("""COMPUTED_VALUE"""),"MALAWI")</f>
        <v>MALAWI</v>
      </c>
      <c r="B358" s="7">
        <f>IFERROR(__xludf.DUMMYFUNCTION("""COMPUTED_VALUE"""),7.0)</f>
        <v>7</v>
      </c>
      <c r="C358" s="7" t="str">
        <f>IFERROR(__xludf.DUMMYFUNCTION("""COMPUTED_VALUE"""),"B_01_01")</f>
        <v>B_01_01</v>
      </c>
      <c r="D358" s="7" t="str">
        <f>IFERROR(__xludf.DUMMYFUNCTION("""COMPUTED_VALUE"""),"Q39B")</f>
        <v>Q39B</v>
      </c>
      <c r="E358" s="7" t="str">
        <f>IFERROR(__xludf.DUMMYFUNCTION("""COMPUTED_VALUE"""),"Q39b. How often president ignores laws")</f>
        <v>Q39b. How often president ignores laws</v>
      </c>
      <c r="F358" s="7" t="str">
        <f>IFERROR(__xludf.DUMMYFUNCTION("""COMPUTED_VALUE"""),"President/he")</f>
        <v>President/he</v>
      </c>
    </row>
    <row r="359">
      <c r="A359" s="7" t="str">
        <f>IFERROR(__xludf.DUMMYFUNCTION("""COMPUTED_VALUE"""),"MALI")</f>
        <v>MALI</v>
      </c>
      <c r="B359" s="7">
        <f>IFERROR(__xludf.DUMMYFUNCTION("""COMPUTED_VALUE"""),7.0)</f>
        <v>7</v>
      </c>
      <c r="C359" s="7" t="str">
        <f>IFERROR(__xludf.DUMMYFUNCTION("""COMPUTED_VALUE"""),"B_01_01")</f>
        <v>B_01_01</v>
      </c>
      <c r="D359" s="7" t="str">
        <f>IFERROR(__xludf.DUMMYFUNCTION("""COMPUTED_VALUE"""),"Q39B")</f>
        <v>Q39B</v>
      </c>
      <c r="E359" s="7" t="str">
        <f>IFERROR(__xludf.DUMMYFUNCTION("""COMPUTED_VALUE"""),"Q39b. How often president ignores laws")</f>
        <v>Q39b. How often president ignores laws</v>
      </c>
      <c r="F359" s="7" t="str">
        <f>IFERROR(__xludf.DUMMYFUNCTION("""COMPUTED_VALUE"""),"President/he")</f>
        <v>President/he</v>
      </c>
    </row>
    <row r="360">
      <c r="A360" s="7" t="str">
        <f>IFERROR(__xludf.DUMMYFUNCTION("""COMPUTED_VALUE"""),"MAURITIUS")</f>
        <v>MAURITIUS</v>
      </c>
      <c r="B360" s="7">
        <f>IFERROR(__xludf.DUMMYFUNCTION("""COMPUTED_VALUE"""),7.0)</f>
        <v>7</v>
      </c>
      <c r="C360" s="7" t="str">
        <f>IFERROR(__xludf.DUMMYFUNCTION("""COMPUTED_VALUE"""),"B_01_01")</f>
        <v>B_01_01</v>
      </c>
      <c r="D360" s="7" t="str">
        <f>IFERROR(__xludf.DUMMYFUNCTION("""COMPUTED_VALUE"""),"Q39B")</f>
        <v>Q39B</v>
      </c>
      <c r="E360" s="7" t="str">
        <f>IFERROR(__xludf.DUMMYFUNCTION("""COMPUTED_VALUE"""),"Q39b. How often president ignores laws")</f>
        <v>Q39b. How often president ignores laws</v>
      </c>
      <c r="F360" s="7" t="str">
        <f>IFERROR(__xludf.DUMMYFUNCTION("""COMPUTED_VALUE"""),"Prime Minister/he")</f>
        <v>Prime Minister/he</v>
      </c>
    </row>
    <row r="361">
      <c r="A361" s="7" t="str">
        <f>IFERROR(__xludf.DUMMYFUNCTION("""COMPUTED_VALUE"""),"MOROCCO")</f>
        <v>MOROCCO</v>
      </c>
      <c r="B361" s="7">
        <f>IFERROR(__xludf.DUMMYFUNCTION("""COMPUTED_VALUE"""),7.0)</f>
        <v>7</v>
      </c>
      <c r="C361" s="7" t="str">
        <f>IFERROR(__xludf.DUMMYFUNCTION("""COMPUTED_VALUE"""),"B_01_01")</f>
        <v>B_01_01</v>
      </c>
      <c r="D361" s="7" t="str">
        <f>IFERROR(__xludf.DUMMYFUNCTION("""COMPUTED_VALUE"""),"Q39B")</f>
        <v>Q39B</v>
      </c>
      <c r="E361" s="7" t="str">
        <f>IFERROR(__xludf.DUMMYFUNCTION("""COMPUTED_VALUE"""),"Q39b. How often president ignores laws")</f>
        <v>Q39b. How often president ignores laws</v>
      </c>
      <c r="F361" s="7" t="str">
        <f>IFERROR(__xludf.DUMMYFUNCTION("""COMPUTED_VALUE"""),"President/he")</f>
        <v>President/he</v>
      </c>
    </row>
    <row r="362">
      <c r="A362" s="7" t="str">
        <f>IFERROR(__xludf.DUMMYFUNCTION("""COMPUTED_VALUE"""),"MOZAMBIQUE")</f>
        <v>MOZAMBIQUE</v>
      </c>
      <c r="B362" s="7">
        <f>IFERROR(__xludf.DUMMYFUNCTION("""COMPUTED_VALUE"""),7.0)</f>
        <v>7</v>
      </c>
      <c r="C362" s="7" t="str">
        <f>IFERROR(__xludf.DUMMYFUNCTION("""COMPUTED_VALUE"""),"B_01_01")</f>
        <v>B_01_01</v>
      </c>
      <c r="D362" s="7" t="str">
        <f>IFERROR(__xludf.DUMMYFUNCTION("""COMPUTED_VALUE"""),"Q39B")</f>
        <v>Q39B</v>
      </c>
      <c r="E362" s="7" t="str">
        <f>IFERROR(__xludf.DUMMYFUNCTION("""COMPUTED_VALUE"""),"Q39b. How often president ignores laws")</f>
        <v>Q39b. How often president ignores laws</v>
      </c>
      <c r="F362" s="7" t="str">
        <f>IFERROR(__xludf.DUMMYFUNCTION("""COMPUTED_VALUE"""),"President/he")</f>
        <v>President/he</v>
      </c>
    </row>
    <row r="363">
      <c r="A363" s="7" t="str">
        <f>IFERROR(__xludf.DUMMYFUNCTION("""COMPUTED_VALUE"""),"NAMIBIA")</f>
        <v>NAMIBIA</v>
      </c>
      <c r="B363" s="7">
        <f>IFERROR(__xludf.DUMMYFUNCTION("""COMPUTED_VALUE"""),7.0)</f>
        <v>7</v>
      </c>
      <c r="C363" s="7" t="str">
        <f>IFERROR(__xludf.DUMMYFUNCTION("""COMPUTED_VALUE"""),"B_01_01")</f>
        <v>B_01_01</v>
      </c>
      <c r="D363" s="7" t="str">
        <f>IFERROR(__xludf.DUMMYFUNCTION("""COMPUTED_VALUE"""),"Q39B")</f>
        <v>Q39B</v>
      </c>
      <c r="E363" s="7" t="str">
        <f>IFERROR(__xludf.DUMMYFUNCTION("""COMPUTED_VALUE"""),"Q39b. How often president ignores laws")</f>
        <v>Q39b. How often president ignores laws</v>
      </c>
      <c r="F363" s="7" t="str">
        <f>IFERROR(__xludf.DUMMYFUNCTION("""COMPUTED_VALUE"""),"President/he")</f>
        <v>President/he</v>
      </c>
    </row>
    <row r="364">
      <c r="A364" s="7" t="str">
        <f>IFERROR(__xludf.DUMMYFUNCTION("""COMPUTED_VALUE"""),"NIGER")</f>
        <v>NIGER</v>
      </c>
      <c r="B364" s="7">
        <f>IFERROR(__xludf.DUMMYFUNCTION("""COMPUTED_VALUE"""),7.0)</f>
        <v>7</v>
      </c>
      <c r="C364" s="7" t="str">
        <f>IFERROR(__xludf.DUMMYFUNCTION("""COMPUTED_VALUE"""),"B_01_01")</f>
        <v>B_01_01</v>
      </c>
      <c r="D364" s="7" t="str">
        <f>IFERROR(__xludf.DUMMYFUNCTION("""COMPUTED_VALUE"""),"Q39B")</f>
        <v>Q39B</v>
      </c>
      <c r="E364" s="7" t="str">
        <f>IFERROR(__xludf.DUMMYFUNCTION("""COMPUTED_VALUE"""),"Q39b. How often president ignores laws")</f>
        <v>Q39b. How often president ignores laws</v>
      </c>
      <c r="F364" s="7" t="str">
        <f>IFERROR(__xludf.DUMMYFUNCTION("""COMPUTED_VALUE"""),"President/he")</f>
        <v>President/he</v>
      </c>
    </row>
    <row r="365">
      <c r="A365" s="7" t="str">
        <f>IFERROR(__xludf.DUMMYFUNCTION("""COMPUTED_VALUE"""),"NIGERIA")</f>
        <v>NIGERIA</v>
      </c>
      <c r="B365" s="7">
        <f>IFERROR(__xludf.DUMMYFUNCTION("""COMPUTED_VALUE"""),7.0)</f>
        <v>7</v>
      </c>
      <c r="C365" s="7" t="str">
        <f>IFERROR(__xludf.DUMMYFUNCTION("""COMPUTED_VALUE"""),"B_01_01")</f>
        <v>B_01_01</v>
      </c>
      <c r="D365" s="7" t="str">
        <f>IFERROR(__xludf.DUMMYFUNCTION("""COMPUTED_VALUE"""),"Q39B")</f>
        <v>Q39B</v>
      </c>
      <c r="E365" s="7" t="str">
        <f>IFERROR(__xludf.DUMMYFUNCTION("""COMPUTED_VALUE"""),"Q39b. How often president ignores laws")</f>
        <v>Q39b. How often president ignores laws</v>
      </c>
      <c r="F365" s="7" t="str">
        <f>IFERROR(__xludf.DUMMYFUNCTION("""COMPUTED_VALUE"""),"President/he")</f>
        <v>President/he</v>
      </c>
    </row>
    <row r="366">
      <c r="A366" s="7" t="str">
        <f>IFERROR(__xludf.DUMMYFUNCTION("""COMPUTED_VALUE"""),"SAO TOME AND PRINCIPE")</f>
        <v>SAO TOME AND PRINCIPE</v>
      </c>
      <c r="B366" s="7">
        <f>IFERROR(__xludf.DUMMYFUNCTION("""COMPUTED_VALUE"""),7.0)</f>
        <v>7</v>
      </c>
      <c r="C366" s="7" t="str">
        <f>IFERROR(__xludf.DUMMYFUNCTION("""COMPUTED_VALUE"""),"B_01_01")</f>
        <v>B_01_01</v>
      </c>
      <c r="D366" s="7" t="str">
        <f>IFERROR(__xludf.DUMMYFUNCTION("""COMPUTED_VALUE"""),"Q39B")</f>
        <v>Q39B</v>
      </c>
      <c r="E366" s="7" t="str">
        <f>IFERROR(__xludf.DUMMYFUNCTION("""COMPUTED_VALUE"""),"Q39b. How often president ignores laws")</f>
        <v>Q39b. How often president ignores laws</v>
      </c>
      <c r="F366" s="7" t="str">
        <f>IFERROR(__xludf.DUMMYFUNCTION("""COMPUTED_VALUE"""),"President/he
Prime Minister")</f>
        <v>President/he
Prime Minister</v>
      </c>
    </row>
    <row r="367">
      <c r="A367" s="7" t="str">
        <f>IFERROR(__xludf.DUMMYFUNCTION("""COMPUTED_VALUE"""),"SENEGAL")</f>
        <v>SENEGAL</v>
      </c>
      <c r="B367" s="7">
        <f>IFERROR(__xludf.DUMMYFUNCTION("""COMPUTED_VALUE"""),7.0)</f>
        <v>7</v>
      </c>
      <c r="C367" s="7" t="str">
        <f>IFERROR(__xludf.DUMMYFUNCTION("""COMPUTED_VALUE"""),"B_01_01")</f>
        <v>B_01_01</v>
      </c>
      <c r="D367" s="7" t="str">
        <f>IFERROR(__xludf.DUMMYFUNCTION("""COMPUTED_VALUE"""),"Q39B")</f>
        <v>Q39B</v>
      </c>
      <c r="E367" s="7" t="str">
        <f>IFERROR(__xludf.DUMMYFUNCTION("""COMPUTED_VALUE"""),"Q39b. How often president ignores laws")</f>
        <v>Q39b. How often president ignores laws</v>
      </c>
      <c r="F367" s="7" t="str">
        <f>IFERROR(__xludf.DUMMYFUNCTION("""COMPUTED_VALUE"""),"President/he")</f>
        <v>President/he</v>
      </c>
    </row>
    <row r="368">
      <c r="A368" s="7" t="str">
        <f>IFERROR(__xludf.DUMMYFUNCTION("""COMPUTED_VALUE"""),"SIERRA LEONE")</f>
        <v>SIERRA LEONE</v>
      </c>
      <c r="B368" s="7">
        <f>IFERROR(__xludf.DUMMYFUNCTION("""COMPUTED_VALUE"""),7.0)</f>
        <v>7</v>
      </c>
      <c r="C368" s="7" t="str">
        <f>IFERROR(__xludf.DUMMYFUNCTION("""COMPUTED_VALUE"""),"B_01_01")</f>
        <v>B_01_01</v>
      </c>
      <c r="D368" s="7" t="str">
        <f>IFERROR(__xludf.DUMMYFUNCTION("""COMPUTED_VALUE"""),"Q39B")</f>
        <v>Q39B</v>
      </c>
      <c r="E368" s="7" t="str">
        <f>IFERROR(__xludf.DUMMYFUNCTION("""COMPUTED_VALUE"""),"Q39b. How often president ignores laws")</f>
        <v>Q39b. How often president ignores laws</v>
      </c>
      <c r="F368" s="7" t="str">
        <f>IFERROR(__xludf.DUMMYFUNCTION("""COMPUTED_VALUE"""),"President/he")</f>
        <v>President/he</v>
      </c>
    </row>
    <row r="369">
      <c r="A369" s="7" t="str">
        <f>IFERROR(__xludf.DUMMYFUNCTION("""COMPUTED_VALUE"""),"SOUTH AFRICA")</f>
        <v>SOUTH AFRICA</v>
      </c>
      <c r="B369" s="7">
        <f>IFERROR(__xludf.DUMMYFUNCTION("""COMPUTED_VALUE"""),7.0)</f>
        <v>7</v>
      </c>
      <c r="C369" s="7" t="str">
        <f>IFERROR(__xludf.DUMMYFUNCTION("""COMPUTED_VALUE"""),"B_01_01")</f>
        <v>B_01_01</v>
      </c>
      <c r="D369" s="7" t="str">
        <f>IFERROR(__xludf.DUMMYFUNCTION("""COMPUTED_VALUE"""),"Q39B")</f>
        <v>Q39B</v>
      </c>
      <c r="E369" s="7" t="str">
        <f>IFERROR(__xludf.DUMMYFUNCTION("""COMPUTED_VALUE"""),"Q39b. How often president ignores laws")</f>
        <v>Q39b. How often president ignores laws</v>
      </c>
      <c r="F369" s="7" t="str">
        <f>IFERROR(__xludf.DUMMYFUNCTION("""COMPUTED_VALUE"""),"President/he")</f>
        <v>President/he</v>
      </c>
    </row>
    <row r="370">
      <c r="A370" s="7" t="str">
        <f>IFERROR(__xludf.DUMMYFUNCTION("""COMPUTED_VALUE"""),"SUDAN")</f>
        <v>SUDAN</v>
      </c>
      <c r="B370" s="7">
        <f>IFERROR(__xludf.DUMMYFUNCTION("""COMPUTED_VALUE"""),7.0)</f>
        <v>7</v>
      </c>
      <c r="C370" s="7" t="str">
        <f>IFERROR(__xludf.DUMMYFUNCTION("""COMPUTED_VALUE"""),"B_01_01")</f>
        <v>B_01_01</v>
      </c>
      <c r="D370" s="7" t="str">
        <f>IFERROR(__xludf.DUMMYFUNCTION("""COMPUTED_VALUE"""),"Q39B")</f>
        <v>Q39B</v>
      </c>
      <c r="E370" s="7" t="str">
        <f>IFERROR(__xludf.DUMMYFUNCTION("""COMPUTED_VALUE"""),"Q39b. How often president ignores laws")</f>
        <v>Q39b. How often president ignores laws</v>
      </c>
      <c r="F370" s="7" t="str">
        <f>IFERROR(__xludf.DUMMYFUNCTION("""COMPUTED_VALUE"""),"President/he")</f>
        <v>President/he</v>
      </c>
    </row>
    <row r="371">
      <c r="A371" s="7" t="str">
        <f>IFERROR(__xludf.DUMMYFUNCTION("""COMPUTED_VALUE"""),"TANZANIA")</f>
        <v>TANZANIA</v>
      </c>
      <c r="B371" s="7">
        <f>IFERROR(__xludf.DUMMYFUNCTION("""COMPUTED_VALUE"""),7.0)</f>
        <v>7</v>
      </c>
      <c r="C371" s="7" t="str">
        <f>IFERROR(__xludf.DUMMYFUNCTION("""COMPUTED_VALUE"""),"B_01_01")</f>
        <v>B_01_01</v>
      </c>
      <c r="D371" s="7" t="str">
        <f>IFERROR(__xludf.DUMMYFUNCTION("""COMPUTED_VALUE"""),"Q39B")</f>
        <v>Q39B</v>
      </c>
      <c r="E371" s="7" t="str">
        <f>IFERROR(__xludf.DUMMYFUNCTION("""COMPUTED_VALUE"""),"Q39b. How often president ignores laws")</f>
        <v>Q39b. How often president ignores laws</v>
      </c>
      <c r="F371" s="7" t="str">
        <f>IFERROR(__xludf.DUMMYFUNCTION("""COMPUTED_VALUE"""),"President/he")</f>
        <v>President/he</v>
      </c>
    </row>
    <row r="372">
      <c r="A372" s="7" t="str">
        <f>IFERROR(__xludf.DUMMYFUNCTION("""COMPUTED_VALUE"""),"TOGO")</f>
        <v>TOGO</v>
      </c>
      <c r="B372" s="7">
        <f>IFERROR(__xludf.DUMMYFUNCTION("""COMPUTED_VALUE"""),7.0)</f>
        <v>7</v>
      </c>
      <c r="C372" s="7" t="str">
        <f>IFERROR(__xludf.DUMMYFUNCTION("""COMPUTED_VALUE"""),"B_01_01")</f>
        <v>B_01_01</v>
      </c>
      <c r="D372" s="7" t="str">
        <f>IFERROR(__xludf.DUMMYFUNCTION("""COMPUTED_VALUE"""),"Q39B")</f>
        <v>Q39B</v>
      </c>
      <c r="E372" s="7" t="str">
        <f>IFERROR(__xludf.DUMMYFUNCTION("""COMPUTED_VALUE"""),"Q39b. How often president ignores laws")</f>
        <v>Q39b. How often president ignores laws</v>
      </c>
      <c r="F372" s="7" t="str">
        <f>IFERROR(__xludf.DUMMYFUNCTION("""COMPUTED_VALUE"""),"President/he")</f>
        <v>President/he</v>
      </c>
    </row>
    <row r="373">
      <c r="A373" s="7" t="str">
        <f>IFERROR(__xludf.DUMMYFUNCTION("""COMPUTED_VALUE"""),"TUNISIA")</f>
        <v>TUNISIA</v>
      </c>
      <c r="B373" s="7">
        <f>IFERROR(__xludf.DUMMYFUNCTION("""COMPUTED_VALUE"""),7.0)</f>
        <v>7</v>
      </c>
      <c r="C373" s="7" t="str">
        <f>IFERROR(__xludf.DUMMYFUNCTION("""COMPUTED_VALUE"""),"B_01_01")</f>
        <v>B_01_01</v>
      </c>
      <c r="D373" s="7" t="str">
        <f>IFERROR(__xludf.DUMMYFUNCTION("""COMPUTED_VALUE"""),"Q39B")</f>
        <v>Q39B</v>
      </c>
      <c r="E373" s="7" t="str">
        <f>IFERROR(__xludf.DUMMYFUNCTION("""COMPUTED_VALUE"""),"Q39b. How often president ignores laws")</f>
        <v>Q39b. How often president ignores laws</v>
      </c>
      <c r="F373" s="7" t="str">
        <f>IFERROR(__xludf.DUMMYFUNCTION("""COMPUTED_VALUE"""),"President/he")</f>
        <v>President/he</v>
      </c>
    </row>
    <row r="374">
      <c r="A374" s="7" t="str">
        <f>IFERROR(__xludf.DUMMYFUNCTION("""COMPUTED_VALUE"""),"UGANDA")</f>
        <v>UGANDA</v>
      </c>
      <c r="B374" s="7">
        <f>IFERROR(__xludf.DUMMYFUNCTION("""COMPUTED_VALUE"""),7.0)</f>
        <v>7</v>
      </c>
      <c r="C374" s="7" t="str">
        <f>IFERROR(__xludf.DUMMYFUNCTION("""COMPUTED_VALUE"""),"B_01_01")</f>
        <v>B_01_01</v>
      </c>
      <c r="D374" s="7" t="str">
        <f>IFERROR(__xludf.DUMMYFUNCTION("""COMPUTED_VALUE"""),"Q39B")</f>
        <v>Q39B</v>
      </c>
      <c r="E374" s="7" t="str">
        <f>IFERROR(__xludf.DUMMYFUNCTION("""COMPUTED_VALUE"""),"Q39b. How often president ignores laws")</f>
        <v>Q39b. How often president ignores laws</v>
      </c>
      <c r="F374" s="7" t="str">
        <f>IFERROR(__xludf.DUMMYFUNCTION("""COMPUTED_VALUE"""),"President/he")</f>
        <v>President/he</v>
      </c>
    </row>
    <row r="375">
      <c r="A375" s="7" t="str">
        <f>IFERROR(__xludf.DUMMYFUNCTION("""COMPUTED_VALUE"""),"ZAMBIA")</f>
        <v>ZAMBIA</v>
      </c>
      <c r="B375" s="7">
        <f>IFERROR(__xludf.DUMMYFUNCTION("""COMPUTED_VALUE"""),7.0)</f>
        <v>7</v>
      </c>
      <c r="C375" s="7" t="str">
        <f>IFERROR(__xludf.DUMMYFUNCTION("""COMPUTED_VALUE"""),"B_01_01")</f>
        <v>B_01_01</v>
      </c>
      <c r="D375" s="7" t="str">
        <f>IFERROR(__xludf.DUMMYFUNCTION("""COMPUTED_VALUE"""),"Q39B")</f>
        <v>Q39B</v>
      </c>
      <c r="E375" s="7" t="str">
        <f>IFERROR(__xludf.DUMMYFUNCTION("""COMPUTED_VALUE"""),"Q39b. How often president ignores laws")</f>
        <v>Q39b. How often president ignores laws</v>
      </c>
      <c r="F375" s="7" t="str">
        <f>IFERROR(__xludf.DUMMYFUNCTION("""COMPUTED_VALUE"""),"President/he")</f>
        <v>President/he</v>
      </c>
    </row>
    <row r="376">
      <c r="A376" s="7" t="str">
        <f>IFERROR(__xludf.DUMMYFUNCTION("""COMPUTED_VALUE"""),"ZIMBABWE")</f>
        <v>ZIMBABWE</v>
      </c>
      <c r="B376" s="7">
        <f>IFERROR(__xludf.DUMMYFUNCTION("""COMPUTED_VALUE"""),7.0)</f>
        <v>7</v>
      </c>
      <c r="C376" s="7" t="str">
        <f>IFERROR(__xludf.DUMMYFUNCTION("""COMPUTED_VALUE"""),"B_01_01")</f>
        <v>B_01_01</v>
      </c>
      <c r="D376" s="7" t="str">
        <f>IFERROR(__xludf.DUMMYFUNCTION("""COMPUTED_VALUE"""),"Q39B")</f>
        <v>Q39B</v>
      </c>
      <c r="E376" s="7" t="str">
        <f>IFERROR(__xludf.DUMMYFUNCTION("""COMPUTED_VALUE"""),"Q39b. How often president ignores laws")</f>
        <v>Q39b. How often president ignores laws</v>
      </c>
      <c r="F376" s="7" t="str">
        <f>IFERROR(__xludf.DUMMYFUNCTION("""COMPUTED_VALUE"""),"President/he")</f>
        <v>President/he</v>
      </c>
    </row>
    <row r="377">
      <c r="A377" s="7" t="str">
        <f>IFERROR(__xludf.DUMMYFUNCTION("""COMPUTED_VALUE"""),"BENIN")</f>
        <v>BENIN</v>
      </c>
      <c r="B377" s="7">
        <f>IFERROR(__xludf.DUMMYFUNCTION("""COMPUTED_VALUE"""),7.0)</f>
        <v>7</v>
      </c>
      <c r="C377" s="7" t="str">
        <f>IFERROR(__xludf.DUMMYFUNCTION("""COMPUTED_VALUE"""),"B_01_02")</f>
        <v>B_01_02</v>
      </c>
      <c r="D377" s="7" t="str">
        <f>IFERROR(__xludf.DUMMYFUNCTION("""COMPUTED_VALUE"""),"Q39C")</f>
        <v>Q39C</v>
      </c>
      <c r="E377" s="7" t="str">
        <f>IFERROR(__xludf.DUMMYFUNCTION("""COMPUTED_VALUE"""),"Q39c. How often president ignores parliament")</f>
        <v>Q39c. How often president ignores parliament</v>
      </c>
      <c r="F377" s="7" t="str">
        <f>IFERROR(__xludf.DUMMYFUNCTION("""COMPUTED_VALUE"""),"President/he")</f>
        <v>President/he</v>
      </c>
    </row>
    <row r="378">
      <c r="A378" s="7" t="str">
        <f>IFERROR(__xludf.DUMMYFUNCTION("""COMPUTED_VALUE"""),"BOTSWANA")</f>
        <v>BOTSWANA</v>
      </c>
      <c r="B378" s="7">
        <f>IFERROR(__xludf.DUMMYFUNCTION("""COMPUTED_VALUE"""),7.0)</f>
        <v>7</v>
      </c>
      <c r="C378" s="7" t="str">
        <f>IFERROR(__xludf.DUMMYFUNCTION("""COMPUTED_VALUE"""),"B_01_02")</f>
        <v>B_01_02</v>
      </c>
      <c r="D378" s="7" t="str">
        <f>IFERROR(__xludf.DUMMYFUNCTION("""COMPUTED_VALUE"""),"Q39C")</f>
        <v>Q39C</v>
      </c>
      <c r="E378" s="7" t="str">
        <f>IFERROR(__xludf.DUMMYFUNCTION("""COMPUTED_VALUE"""),"Q39c. How often president ignores parliament")</f>
        <v>Q39c. How often president ignores parliament</v>
      </c>
      <c r="F378" s="7" t="str">
        <f>IFERROR(__xludf.DUMMYFUNCTION("""COMPUTED_VALUE"""),"President/He")</f>
        <v>President/He</v>
      </c>
    </row>
    <row r="379">
      <c r="A379" s="7" t="str">
        <f>IFERROR(__xludf.DUMMYFUNCTION("""COMPUTED_VALUE"""),"BURKINA FASO")</f>
        <v>BURKINA FASO</v>
      </c>
      <c r="B379" s="7">
        <f>IFERROR(__xludf.DUMMYFUNCTION("""COMPUTED_VALUE"""),7.0)</f>
        <v>7</v>
      </c>
      <c r="C379" s="7" t="str">
        <f>IFERROR(__xludf.DUMMYFUNCTION("""COMPUTED_VALUE"""),"B_01_02")</f>
        <v>B_01_02</v>
      </c>
      <c r="D379" s="7" t="str">
        <f>IFERROR(__xludf.DUMMYFUNCTION("""COMPUTED_VALUE"""),"Q39C")</f>
        <v>Q39C</v>
      </c>
      <c r="E379" s="7" t="str">
        <f>IFERROR(__xludf.DUMMYFUNCTION("""COMPUTED_VALUE"""),"Q39c. How often president ignores parliament")</f>
        <v>Q39c. How often president ignores parliament</v>
      </c>
      <c r="F379" s="7" t="str">
        <f>IFERROR(__xludf.DUMMYFUNCTION("""COMPUTED_VALUE"""),"President/He")</f>
        <v>President/He</v>
      </c>
    </row>
    <row r="380">
      <c r="A380" s="7" t="str">
        <f>IFERROR(__xludf.DUMMYFUNCTION("""COMPUTED_VALUE"""),"CABO VERDE")</f>
        <v>CABO VERDE</v>
      </c>
      <c r="B380" s="7">
        <f>IFERROR(__xludf.DUMMYFUNCTION("""COMPUTED_VALUE"""),7.0)</f>
        <v>7</v>
      </c>
      <c r="C380" s="7" t="str">
        <f>IFERROR(__xludf.DUMMYFUNCTION("""COMPUTED_VALUE"""),"B_01_02")</f>
        <v>B_01_02</v>
      </c>
      <c r="D380" s="7" t="str">
        <f>IFERROR(__xludf.DUMMYFUNCTION("""COMPUTED_VALUE"""),"Q39C")</f>
        <v>Q39C</v>
      </c>
      <c r="E380" s="7" t="str">
        <f>IFERROR(__xludf.DUMMYFUNCTION("""COMPUTED_VALUE"""),"Q39c. How often president ignores parliament")</f>
        <v>Q39c. How often president ignores parliament</v>
      </c>
      <c r="F380" s="7" t="str">
        <f>IFERROR(__xludf.DUMMYFUNCTION("""COMPUTED_VALUE"""),"President/He")</f>
        <v>President/He</v>
      </c>
    </row>
    <row r="381">
      <c r="A381" s="7" t="str">
        <f>IFERROR(__xludf.DUMMYFUNCTION("""COMPUTED_VALUE"""),"CAMEROON")</f>
        <v>CAMEROON</v>
      </c>
      <c r="B381" s="7">
        <f>IFERROR(__xludf.DUMMYFUNCTION("""COMPUTED_VALUE"""),7.0)</f>
        <v>7</v>
      </c>
      <c r="C381" s="7" t="str">
        <f>IFERROR(__xludf.DUMMYFUNCTION("""COMPUTED_VALUE"""),"B_01_02")</f>
        <v>B_01_02</v>
      </c>
      <c r="D381" s="7" t="str">
        <f>IFERROR(__xludf.DUMMYFUNCTION("""COMPUTED_VALUE"""),"Q39C")</f>
        <v>Q39C</v>
      </c>
      <c r="E381" s="7" t="str">
        <f>IFERROR(__xludf.DUMMYFUNCTION("""COMPUTED_VALUE"""),"Q39c. How often president ignores parliament")</f>
        <v>Q39c. How often president ignores parliament</v>
      </c>
      <c r="F381" s="7" t="str">
        <f>IFERROR(__xludf.DUMMYFUNCTION("""COMPUTED_VALUE"""),"President/He")</f>
        <v>President/He</v>
      </c>
    </row>
    <row r="382">
      <c r="A382" s="7" t="str">
        <f>IFERROR(__xludf.DUMMYFUNCTION("""COMPUTED_VALUE"""),"COTE D'IVOIRE")</f>
        <v>COTE D'IVOIRE</v>
      </c>
      <c r="B382" s="7">
        <f>IFERROR(__xludf.DUMMYFUNCTION("""COMPUTED_VALUE"""),7.0)</f>
        <v>7</v>
      </c>
      <c r="C382" s="7" t="str">
        <f>IFERROR(__xludf.DUMMYFUNCTION("""COMPUTED_VALUE"""),"B_01_02")</f>
        <v>B_01_02</v>
      </c>
      <c r="D382" s="7" t="str">
        <f>IFERROR(__xludf.DUMMYFUNCTION("""COMPUTED_VALUE"""),"Q39C")</f>
        <v>Q39C</v>
      </c>
      <c r="E382" s="7" t="str">
        <f>IFERROR(__xludf.DUMMYFUNCTION("""COMPUTED_VALUE"""),"Q39c. How often president ignores parliament")</f>
        <v>Q39c. How often president ignores parliament</v>
      </c>
      <c r="F382" s="7" t="str">
        <f>IFERROR(__xludf.DUMMYFUNCTION("""COMPUTED_VALUE"""),"President/He")</f>
        <v>President/He</v>
      </c>
    </row>
    <row r="383">
      <c r="A383" s="7" t="str">
        <f>IFERROR(__xludf.DUMMYFUNCTION("""COMPUTED_VALUE"""),"ESWATINI")</f>
        <v>ESWATINI</v>
      </c>
      <c r="B383" s="7">
        <f>IFERROR(__xludf.DUMMYFUNCTION("""COMPUTED_VALUE"""),7.0)</f>
        <v>7</v>
      </c>
      <c r="C383" s="7" t="str">
        <f>IFERROR(__xludf.DUMMYFUNCTION("""COMPUTED_VALUE"""),"B_01_02")</f>
        <v>B_01_02</v>
      </c>
      <c r="D383" s="7" t="str">
        <f>IFERROR(__xludf.DUMMYFUNCTION("""COMPUTED_VALUE"""),"Q39C")</f>
        <v>Q39C</v>
      </c>
      <c r="E383" s="7" t="str">
        <f>IFERROR(__xludf.DUMMYFUNCTION("""COMPUTED_VALUE"""),"Q39c. How often president ignores parliament")</f>
        <v>Q39c. How often president ignores parliament</v>
      </c>
      <c r="F383" s="7" t="str">
        <f>IFERROR(__xludf.DUMMYFUNCTION("""COMPUTED_VALUE"""),"Prime Minister")</f>
        <v>Prime Minister</v>
      </c>
    </row>
    <row r="384">
      <c r="A384" s="7" t="str">
        <f>IFERROR(__xludf.DUMMYFUNCTION("""COMPUTED_VALUE"""),"GABON")</f>
        <v>GABON</v>
      </c>
      <c r="B384" s="7">
        <f>IFERROR(__xludf.DUMMYFUNCTION("""COMPUTED_VALUE"""),7.0)</f>
        <v>7</v>
      </c>
      <c r="C384" s="7" t="str">
        <f>IFERROR(__xludf.DUMMYFUNCTION("""COMPUTED_VALUE"""),"B_01_02")</f>
        <v>B_01_02</v>
      </c>
      <c r="D384" s="7" t="str">
        <f>IFERROR(__xludf.DUMMYFUNCTION("""COMPUTED_VALUE"""),"Q39C")</f>
        <v>Q39C</v>
      </c>
      <c r="E384" s="7" t="str">
        <f>IFERROR(__xludf.DUMMYFUNCTION("""COMPUTED_VALUE"""),"Q39c. How often president ignores parliament")</f>
        <v>Q39c. How often president ignores parliament</v>
      </c>
      <c r="F384" s="7" t="str">
        <f>IFERROR(__xludf.DUMMYFUNCTION("""COMPUTED_VALUE"""),"President/He")</f>
        <v>President/He</v>
      </c>
    </row>
    <row r="385">
      <c r="A385" s="7" t="str">
        <f>IFERROR(__xludf.DUMMYFUNCTION("""COMPUTED_VALUE"""),"GAMBIA")</f>
        <v>GAMBIA</v>
      </c>
      <c r="B385" s="7">
        <f>IFERROR(__xludf.DUMMYFUNCTION("""COMPUTED_VALUE"""),7.0)</f>
        <v>7</v>
      </c>
      <c r="C385" s="7" t="str">
        <f>IFERROR(__xludf.DUMMYFUNCTION("""COMPUTED_VALUE"""),"B_01_02")</f>
        <v>B_01_02</v>
      </c>
      <c r="D385" s="7" t="str">
        <f>IFERROR(__xludf.DUMMYFUNCTION("""COMPUTED_VALUE"""),"Q39C")</f>
        <v>Q39C</v>
      </c>
      <c r="E385" s="7" t="str">
        <f>IFERROR(__xludf.DUMMYFUNCTION("""COMPUTED_VALUE"""),"Q39c. How often president ignores parliament")</f>
        <v>Q39c. How often president ignores parliament</v>
      </c>
      <c r="F385" s="7" t="str">
        <f>IFERROR(__xludf.DUMMYFUNCTION("""COMPUTED_VALUE"""),"President/He")</f>
        <v>President/He</v>
      </c>
    </row>
    <row r="386">
      <c r="A386" s="7" t="str">
        <f>IFERROR(__xludf.DUMMYFUNCTION("""COMPUTED_VALUE"""),"GHANA")</f>
        <v>GHANA</v>
      </c>
      <c r="B386" s="7">
        <f>IFERROR(__xludf.DUMMYFUNCTION("""COMPUTED_VALUE"""),7.0)</f>
        <v>7</v>
      </c>
      <c r="C386" s="7" t="str">
        <f>IFERROR(__xludf.DUMMYFUNCTION("""COMPUTED_VALUE"""),"B_01_02")</f>
        <v>B_01_02</v>
      </c>
      <c r="D386" s="7" t="str">
        <f>IFERROR(__xludf.DUMMYFUNCTION("""COMPUTED_VALUE"""),"Q39C")</f>
        <v>Q39C</v>
      </c>
      <c r="E386" s="7" t="str">
        <f>IFERROR(__xludf.DUMMYFUNCTION("""COMPUTED_VALUE"""),"Q39c. How often president ignores parliament")</f>
        <v>Q39c. How often president ignores parliament</v>
      </c>
      <c r="F386" s="7" t="str">
        <f>IFERROR(__xludf.DUMMYFUNCTION("""COMPUTED_VALUE"""),"President/he")</f>
        <v>President/he</v>
      </c>
    </row>
    <row r="387">
      <c r="A387" s="7" t="str">
        <f>IFERROR(__xludf.DUMMYFUNCTION("""COMPUTED_VALUE"""),"GUINEA")</f>
        <v>GUINEA</v>
      </c>
      <c r="B387" s="7">
        <f>IFERROR(__xludf.DUMMYFUNCTION("""COMPUTED_VALUE"""),7.0)</f>
        <v>7</v>
      </c>
      <c r="C387" s="7" t="str">
        <f>IFERROR(__xludf.DUMMYFUNCTION("""COMPUTED_VALUE"""),"B_01_02")</f>
        <v>B_01_02</v>
      </c>
      <c r="D387" s="7" t="str">
        <f>IFERROR(__xludf.DUMMYFUNCTION("""COMPUTED_VALUE"""),"Q39C")</f>
        <v>Q39C</v>
      </c>
      <c r="E387" s="7" t="str">
        <f>IFERROR(__xludf.DUMMYFUNCTION("""COMPUTED_VALUE"""),"Q39c. How often president ignores parliament")</f>
        <v>Q39c. How often president ignores parliament</v>
      </c>
      <c r="F387" s="7" t="str">
        <f>IFERROR(__xludf.DUMMYFUNCTION("""COMPUTED_VALUE"""),"President/he")</f>
        <v>President/he</v>
      </c>
    </row>
    <row r="388">
      <c r="A388" s="7" t="str">
        <f>IFERROR(__xludf.DUMMYFUNCTION("""COMPUTED_VALUE"""),"KENYA")</f>
        <v>KENYA</v>
      </c>
      <c r="B388" s="7">
        <f>IFERROR(__xludf.DUMMYFUNCTION("""COMPUTED_VALUE"""),7.0)</f>
        <v>7</v>
      </c>
      <c r="C388" s="7" t="str">
        <f>IFERROR(__xludf.DUMMYFUNCTION("""COMPUTED_VALUE"""),"B_01_02")</f>
        <v>B_01_02</v>
      </c>
      <c r="D388" s="7" t="str">
        <f>IFERROR(__xludf.DUMMYFUNCTION("""COMPUTED_VALUE"""),"Q39C")</f>
        <v>Q39C</v>
      </c>
      <c r="E388" s="7" t="str">
        <f>IFERROR(__xludf.DUMMYFUNCTION("""COMPUTED_VALUE"""),"Q39c. How often president ignores parliament")</f>
        <v>Q39c. How often president ignores parliament</v>
      </c>
      <c r="F388" s="7" t="str">
        <f>IFERROR(__xludf.DUMMYFUNCTION("""COMPUTED_VALUE"""),"President/he")</f>
        <v>President/he</v>
      </c>
    </row>
    <row r="389">
      <c r="A389" s="7" t="str">
        <f>IFERROR(__xludf.DUMMYFUNCTION("""COMPUTED_VALUE"""),"LESOTHO")</f>
        <v>LESOTHO</v>
      </c>
      <c r="B389" s="7">
        <f>IFERROR(__xludf.DUMMYFUNCTION("""COMPUTED_VALUE"""),7.0)</f>
        <v>7</v>
      </c>
      <c r="C389" s="7" t="str">
        <f>IFERROR(__xludf.DUMMYFUNCTION("""COMPUTED_VALUE"""),"B_01_02")</f>
        <v>B_01_02</v>
      </c>
      <c r="D389" s="7" t="str">
        <f>IFERROR(__xludf.DUMMYFUNCTION("""COMPUTED_VALUE"""),"Q39C")</f>
        <v>Q39C</v>
      </c>
      <c r="E389" s="7" t="str">
        <f>IFERROR(__xludf.DUMMYFUNCTION("""COMPUTED_VALUE"""),"Q39c. How often president ignores parliament")</f>
        <v>Q39c. How often president ignores parliament</v>
      </c>
      <c r="F389" s="7" t="str">
        <f>IFERROR(__xludf.DUMMYFUNCTION("""COMPUTED_VALUE"""),"Prime Minister/he")</f>
        <v>Prime Minister/he</v>
      </c>
    </row>
    <row r="390">
      <c r="A390" s="7" t="str">
        <f>IFERROR(__xludf.DUMMYFUNCTION("""COMPUTED_VALUE"""),"LIBERIA")</f>
        <v>LIBERIA</v>
      </c>
      <c r="B390" s="7">
        <f>IFERROR(__xludf.DUMMYFUNCTION("""COMPUTED_VALUE"""),7.0)</f>
        <v>7</v>
      </c>
      <c r="C390" s="7" t="str">
        <f>IFERROR(__xludf.DUMMYFUNCTION("""COMPUTED_VALUE"""),"B_01_02")</f>
        <v>B_01_02</v>
      </c>
      <c r="D390" s="7" t="str">
        <f>IFERROR(__xludf.DUMMYFUNCTION("""COMPUTED_VALUE"""),"Q39C")</f>
        <v>Q39C</v>
      </c>
      <c r="E390" s="7" t="str">
        <f>IFERROR(__xludf.DUMMYFUNCTION("""COMPUTED_VALUE"""),"Q39c. How often president ignores parliament")</f>
        <v>Q39c. How often president ignores parliament</v>
      </c>
      <c r="F390" s="7" t="str">
        <f>IFERROR(__xludf.DUMMYFUNCTION("""COMPUTED_VALUE"""),"President/he")</f>
        <v>President/he</v>
      </c>
    </row>
    <row r="391">
      <c r="A391" s="7" t="str">
        <f>IFERROR(__xludf.DUMMYFUNCTION("""COMPUTED_VALUE"""),"MADAGASCAR")</f>
        <v>MADAGASCAR</v>
      </c>
      <c r="B391" s="7">
        <f>IFERROR(__xludf.DUMMYFUNCTION("""COMPUTED_VALUE"""),7.0)</f>
        <v>7</v>
      </c>
      <c r="C391" s="7" t="str">
        <f>IFERROR(__xludf.DUMMYFUNCTION("""COMPUTED_VALUE"""),"B_01_02")</f>
        <v>B_01_02</v>
      </c>
      <c r="D391" s="7" t="str">
        <f>IFERROR(__xludf.DUMMYFUNCTION("""COMPUTED_VALUE"""),"Q39C")</f>
        <v>Q39C</v>
      </c>
      <c r="E391" s="7" t="str">
        <f>IFERROR(__xludf.DUMMYFUNCTION("""COMPUTED_VALUE"""),"Q39c. How often president ignores parliament")</f>
        <v>Q39c. How often president ignores parliament</v>
      </c>
      <c r="F391" s="7" t="str">
        <f>IFERROR(__xludf.DUMMYFUNCTION("""COMPUTED_VALUE"""),"President/he")</f>
        <v>President/he</v>
      </c>
    </row>
    <row r="392">
      <c r="A392" s="7" t="str">
        <f>IFERROR(__xludf.DUMMYFUNCTION("""COMPUTED_VALUE"""),"MALAWI")</f>
        <v>MALAWI</v>
      </c>
      <c r="B392" s="7">
        <f>IFERROR(__xludf.DUMMYFUNCTION("""COMPUTED_VALUE"""),7.0)</f>
        <v>7</v>
      </c>
      <c r="C392" s="7" t="str">
        <f>IFERROR(__xludf.DUMMYFUNCTION("""COMPUTED_VALUE"""),"B_01_02")</f>
        <v>B_01_02</v>
      </c>
      <c r="D392" s="7" t="str">
        <f>IFERROR(__xludf.DUMMYFUNCTION("""COMPUTED_VALUE"""),"Q39C")</f>
        <v>Q39C</v>
      </c>
      <c r="E392" s="7" t="str">
        <f>IFERROR(__xludf.DUMMYFUNCTION("""COMPUTED_VALUE"""),"Q39c. How often president ignores parliament")</f>
        <v>Q39c. How often president ignores parliament</v>
      </c>
      <c r="F392" s="7" t="str">
        <f>IFERROR(__xludf.DUMMYFUNCTION("""COMPUTED_VALUE"""),"President/he")</f>
        <v>President/he</v>
      </c>
    </row>
    <row r="393">
      <c r="A393" s="7" t="str">
        <f>IFERROR(__xludf.DUMMYFUNCTION("""COMPUTED_VALUE"""),"MALI")</f>
        <v>MALI</v>
      </c>
      <c r="B393" s="7">
        <f>IFERROR(__xludf.DUMMYFUNCTION("""COMPUTED_VALUE"""),7.0)</f>
        <v>7</v>
      </c>
      <c r="C393" s="7" t="str">
        <f>IFERROR(__xludf.DUMMYFUNCTION("""COMPUTED_VALUE"""),"B_01_02")</f>
        <v>B_01_02</v>
      </c>
      <c r="D393" s="7" t="str">
        <f>IFERROR(__xludf.DUMMYFUNCTION("""COMPUTED_VALUE"""),"Q39C")</f>
        <v>Q39C</v>
      </c>
      <c r="E393" s="7" t="str">
        <f>IFERROR(__xludf.DUMMYFUNCTION("""COMPUTED_VALUE"""),"Q39c. How often president ignores parliament")</f>
        <v>Q39c. How often president ignores parliament</v>
      </c>
      <c r="F393" s="7" t="str">
        <f>IFERROR(__xludf.DUMMYFUNCTION("""COMPUTED_VALUE"""),"President/he")</f>
        <v>President/he</v>
      </c>
    </row>
    <row r="394">
      <c r="A394" s="7" t="str">
        <f>IFERROR(__xludf.DUMMYFUNCTION("""COMPUTED_VALUE"""),"MAURITIUS")</f>
        <v>MAURITIUS</v>
      </c>
      <c r="B394" s="7">
        <f>IFERROR(__xludf.DUMMYFUNCTION("""COMPUTED_VALUE"""),7.0)</f>
        <v>7</v>
      </c>
      <c r="C394" s="7" t="str">
        <f>IFERROR(__xludf.DUMMYFUNCTION("""COMPUTED_VALUE"""),"B_01_02")</f>
        <v>B_01_02</v>
      </c>
      <c r="D394" s="7" t="str">
        <f>IFERROR(__xludf.DUMMYFUNCTION("""COMPUTED_VALUE"""),"Q39C")</f>
        <v>Q39C</v>
      </c>
      <c r="E394" s="7" t="str">
        <f>IFERROR(__xludf.DUMMYFUNCTION("""COMPUTED_VALUE"""),"Q39c. How often president ignores parliament")</f>
        <v>Q39c. How often president ignores parliament</v>
      </c>
      <c r="F394" s="7" t="str">
        <f>IFERROR(__xludf.DUMMYFUNCTION("""COMPUTED_VALUE"""),"Prime Minister/he")</f>
        <v>Prime Minister/he</v>
      </c>
    </row>
    <row r="395">
      <c r="A395" s="7" t="str">
        <f>IFERROR(__xludf.DUMMYFUNCTION("""COMPUTED_VALUE"""),"MOROCCO")</f>
        <v>MOROCCO</v>
      </c>
      <c r="B395" s="7">
        <f>IFERROR(__xludf.DUMMYFUNCTION("""COMPUTED_VALUE"""),7.0)</f>
        <v>7</v>
      </c>
      <c r="C395" s="7" t="str">
        <f>IFERROR(__xludf.DUMMYFUNCTION("""COMPUTED_VALUE"""),"B_01_02")</f>
        <v>B_01_02</v>
      </c>
      <c r="D395" s="7" t="str">
        <f>IFERROR(__xludf.DUMMYFUNCTION("""COMPUTED_VALUE"""),"Q39C")</f>
        <v>Q39C</v>
      </c>
      <c r="E395" s="7" t="str">
        <f>IFERROR(__xludf.DUMMYFUNCTION("""COMPUTED_VALUE"""),"Q39c. How often president ignores parliament")</f>
        <v>Q39c. How often president ignores parliament</v>
      </c>
      <c r="F395" s="7" t="str">
        <f>IFERROR(__xludf.DUMMYFUNCTION("""COMPUTED_VALUE"""),"President/he")</f>
        <v>President/he</v>
      </c>
    </row>
    <row r="396">
      <c r="A396" s="7" t="str">
        <f>IFERROR(__xludf.DUMMYFUNCTION("""COMPUTED_VALUE"""),"MOZAMBIQUE")</f>
        <v>MOZAMBIQUE</v>
      </c>
      <c r="B396" s="7">
        <f>IFERROR(__xludf.DUMMYFUNCTION("""COMPUTED_VALUE"""),7.0)</f>
        <v>7</v>
      </c>
      <c r="C396" s="7" t="str">
        <f>IFERROR(__xludf.DUMMYFUNCTION("""COMPUTED_VALUE"""),"B_01_02")</f>
        <v>B_01_02</v>
      </c>
      <c r="D396" s="7" t="str">
        <f>IFERROR(__xludf.DUMMYFUNCTION("""COMPUTED_VALUE"""),"Q39C")</f>
        <v>Q39C</v>
      </c>
      <c r="E396" s="7" t="str">
        <f>IFERROR(__xludf.DUMMYFUNCTION("""COMPUTED_VALUE"""),"Q39c. How often president ignores parliament")</f>
        <v>Q39c. How often president ignores parliament</v>
      </c>
      <c r="F396" s="7" t="str">
        <f>IFERROR(__xludf.DUMMYFUNCTION("""COMPUTED_VALUE"""),"President/he")</f>
        <v>President/he</v>
      </c>
    </row>
    <row r="397">
      <c r="A397" s="7" t="str">
        <f>IFERROR(__xludf.DUMMYFUNCTION("""COMPUTED_VALUE"""),"NAMIBIA")</f>
        <v>NAMIBIA</v>
      </c>
      <c r="B397" s="7">
        <f>IFERROR(__xludf.DUMMYFUNCTION("""COMPUTED_VALUE"""),7.0)</f>
        <v>7</v>
      </c>
      <c r="C397" s="7" t="str">
        <f>IFERROR(__xludf.DUMMYFUNCTION("""COMPUTED_VALUE"""),"B_01_02")</f>
        <v>B_01_02</v>
      </c>
      <c r="D397" s="7" t="str">
        <f>IFERROR(__xludf.DUMMYFUNCTION("""COMPUTED_VALUE"""),"Q39C")</f>
        <v>Q39C</v>
      </c>
      <c r="E397" s="7" t="str">
        <f>IFERROR(__xludf.DUMMYFUNCTION("""COMPUTED_VALUE"""),"Q39c. How often president ignores parliament")</f>
        <v>Q39c. How often president ignores parliament</v>
      </c>
      <c r="F397" s="7" t="str">
        <f>IFERROR(__xludf.DUMMYFUNCTION("""COMPUTED_VALUE"""),"President/he")</f>
        <v>President/he</v>
      </c>
    </row>
    <row r="398">
      <c r="A398" s="7" t="str">
        <f>IFERROR(__xludf.DUMMYFUNCTION("""COMPUTED_VALUE"""),"NIGER")</f>
        <v>NIGER</v>
      </c>
      <c r="B398" s="7">
        <f>IFERROR(__xludf.DUMMYFUNCTION("""COMPUTED_VALUE"""),7.0)</f>
        <v>7</v>
      </c>
      <c r="C398" s="7" t="str">
        <f>IFERROR(__xludf.DUMMYFUNCTION("""COMPUTED_VALUE"""),"B_01_02")</f>
        <v>B_01_02</v>
      </c>
      <c r="D398" s="7" t="str">
        <f>IFERROR(__xludf.DUMMYFUNCTION("""COMPUTED_VALUE"""),"Q39C")</f>
        <v>Q39C</v>
      </c>
      <c r="E398" s="7" t="str">
        <f>IFERROR(__xludf.DUMMYFUNCTION("""COMPUTED_VALUE"""),"Q39c. How often president ignores parliament")</f>
        <v>Q39c. How often president ignores parliament</v>
      </c>
      <c r="F398" s="7" t="str">
        <f>IFERROR(__xludf.DUMMYFUNCTION("""COMPUTED_VALUE"""),"President/he")</f>
        <v>President/he</v>
      </c>
    </row>
    <row r="399">
      <c r="A399" s="7" t="str">
        <f>IFERROR(__xludf.DUMMYFUNCTION("""COMPUTED_VALUE"""),"NIGERIA")</f>
        <v>NIGERIA</v>
      </c>
      <c r="B399" s="7">
        <f>IFERROR(__xludf.DUMMYFUNCTION("""COMPUTED_VALUE"""),7.0)</f>
        <v>7</v>
      </c>
      <c r="C399" s="7" t="str">
        <f>IFERROR(__xludf.DUMMYFUNCTION("""COMPUTED_VALUE"""),"B_01_02")</f>
        <v>B_01_02</v>
      </c>
      <c r="D399" s="7" t="str">
        <f>IFERROR(__xludf.DUMMYFUNCTION("""COMPUTED_VALUE"""),"Q39C")</f>
        <v>Q39C</v>
      </c>
      <c r="E399" s="7" t="str">
        <f>IFERROR(__xludf.DUMMYFUNCTION("""COMPUTED_VALUE"""),"Q39c. How often president ignores parliament")</f>
        <v>Q39c. How often president ignores parliament</v>
      </c>
      <c r="F399" s="7" t="str">
        <f>IFERROR(__xludf.DUMMYFUNCTION("""COMPUTED_VALUE"""),"President/he")</f>
        <v>President/he</v>
      </c>
    </row>
    <row r="400">
      <c r="A400" s="7" t="str">
        <f>IFERROR(__xludf.DUMMYFUNCTION("""COMPUTED_VALUE"""),"SAO TOME AND PRINCIPE")</f>
        <v>SAO TOME AND PRINCIPE</v>
      </c>
      <c r="B400" s="7">
        <f>IFERROR(__xludf.DUMMYFUNCTION("""COMPUTED_VALUE"""),7.0)</f>
        <v>7</v>
      </c>
      <c r="C400" s="7" t="str">
        <f>IFERROR(__xludf.DUMMYFUNCTION("""COMPUTED_VALUE"""),"B_01_02")</f>
        <v>B_01_02</v>
      </c>
      <c r="D400" s="7" t="str">
        <f>IFERROR(__xludf.DUMMYFUNCTION("""COMPUTED_VALUE"""),"Q39C")</f>
        <v>Q39C</v>
      </c>
      <c r="E400" s="7" t="str">
        <f>IFERROR(__xludf.DUMMYFUNCTION("""COMPUTED_VALUE"""),"Q39c. How often president ignores parliament")</f>
        <v>Q39c. How often president ignores parliament</v>
      </c>
      <c r="F400" s="7" t="str">
        <f>IFERROR(__xludf.DUMMYFUNCTION("""COMPUTED_VALUE"""),"President/he
Prime Minister")</f>
        <v>President/he
Prime Minister</v>
      </c>
    </row>
    <row r="401">
      <c r="A401" s="7" t="str">
        <f>IFERROR(__xludf.DUMMYFUNCTION("""COMPUTED_VALUE"""),"SENEGAL")</f>
        <v>SENEGAL</v>
      </c>
      <c r="B401" s="7">
        <f>IFERROR(__xludf.DUMMYFUNCTION("""COMPUTED_VALUE"""),7.0)</f>
        <v>7</v>
      </c>
      <c r="C401" s="7" t="str">
        <f>IFERROR(__xludf.DUMMYFUNCTION("""COMPUTED_VALUE"""),"B_01_02")</f>
        <v>B_01_02</v>
      </c>
      <c r="D401" s="7" t="str">
        <f>IFERROR(__xludf.DUMMYFUNCTION("""COMPUTED_VALUE"""),"Q39C")</f>
        <v>Q39C</v>
      </c>
      <c r="E401" s="7" t="str">
        <f>IFERROR(__xludf.DUMMYFUNCTION("""COMPUTED_VALUE"""),"Q39c. How often president ignores parliament")</f>
        <v>Q39c. How often president ignores parliament</v>
      </c>
      <c r="F401" s="7" t="str">
        <f>IFERROR(__xludf.DUMMYFUNCTION("""COMPUTED_VALUE"""),"President/he")</f>
        <v>President/he</v>
      </c>
    </row>
    <row r="402">
      <c r="A402" s="7" t="str">
        <f>IFERROR(__xludf.DUMMYFUNCTION("""COMPUTED_VALUE"""),"SIERRA LEONE")</f>
        <v>SIERRA LEONE</v>
      </c>
      <c r="B402" s="7">
        <f>IFERROR(__xludf.DUMMYFUNCTION("""COMPUTED_VALUE"""),7.0)</f>
        <v>7</v>
      </c>
      <c r="C402" s="7" t="str">
        <f>IFERROR(__xludf.DUMMYFUNCTION("""COMPUTED_VALUE"""),"B_01_02")</f>
        <v>B_01_02</v>
      </c>
      <c r="D402" s="7" t="str">
        <f>IFERROR(__xludf.DUMMYFUNCTION("""COMPUTED_VALUE"""),"Q39C")</f>
        <v>Q39C</v>
      </c>
      <c r="E402" s="7" t="str">
        <f>IFERROR(__xludf.DUMMYFUNCTION("""COMPUTED_VALUE"""),"Q39c. How often president ignores parliament")</f>
        <v>Q39c. How often president ignores parliament</v>
      </c>
      <c r="F402" s="7" t="str">
        <f>IFERROR(__xludf.DUMMYFUNCTION("""COMPUTED_VALUE"""),"President/he")</f>
        <v>President/he</v>
      </c>
    </row>
    <row r="403">
      <c r="A403" s="7" t="str">
        <f>IFERROR(__xludf.DUMMYFUNCTION("""COMPUTED_VALUE"""),"SOUTH AFRICA")</f>
        <v>SOUTH AFRICA</v>
      </c>
      <c r="B403" s="7">
        <f>IFERROR(__xludf.DUMMYFUNCTION("""COMPUTED_VALUE"""),7.0)</f>
        <v>7</v>
      </c>
      <c r="C403" s="7" t="str">
        <f>IFERROR(__xludf.DUMMYFUNCTION("""COMPUTED_VALUE"""),"B_01_02")</f>
        <v>B_01_02</v>
      </c>
      <c r="D403" s="7" t="str">
        <f>IFERROR(__xludf.DUMMYFUNCTION("""COMPUTED_VALUE"""),"Q39C")</f>
        <v>Q39C</v>
      </c>
      <c r="E403" s="7" t="str">
        <f>IFERROR(__xludf.DUMMYFUNCTION("""COMPUTED_VALUE"""),"Q39c. How often president ignores parliament")</f>
        <v>Q39c. How often president ignores parliament</v>
      </c>
      <c r="F403" s="7" t="str">
        <f>IFERROR(__xludf.DUMMYFUNCTION("""COMPUTED_VALUE"""),"President/he")</f>
        <v>President/he</v>
      </c>
    </row>
    <row r="404">
      <c r="A404" s="7" t="str">
        <f>IFERROR(__xludf.DUMMYFUNCTION("""COMPUTED_VALUE"""),"SUDAN")</f>
        <v>SUDAN</v>
      </c>
      <c r="B404" s="7">
        <f>IFERROR(__xludf.DUMMYFUNCTION("""COMPUTED_VALUE"""),7.0)</f>
        <v>7</v>
      </c>
      <c r="C404" s="7" t="str">
        <f>IFERROR(__xludf.DUMMYFUNCTION("""COMPUTED_VALUE"""),"B_01_02")</f>
        <v>B_01_02</v>
      </c>
      <c r="D404" s="7" t="str">
        <f>IFERROR(__xludf.DUMMYFUNCTION("""COMPUTED_VALUE"""),"Q39C")</f>
        <v>Q39C</v>
      </c>
      <c r="E404" s="7" t="str">
        <f>IFERROR(__xludf.DUMMYFUNCTION("""COMPUTED_VALUE"""),"Q39c. How often president ignores parliament")</f>
        <v>Q39c. How often president ignores parliament</v>
      </c>
      <c r="F404" s="7" t="str">
        <f>IFERROR(__xludf.DUMMYFUNCTION("""COMPUTED_VALUE"""),"President/he")</f>
        <v>President/he</v>
      </c>
    </row>
    <row r="405">
      <c r="A405" s="7" t="str">
        <f>IFERROR(__xludf.DUMMYFUNCTION("""COMPUTED_VALUE"""),"TANZANIA")</f>
        <v>TANZANIA</v>
      </c>
      <c r="B405" s="7">
        <f>IFERROR(__xludf.DUMMYFUNCTION("""COMPUTED_VALUE"""),7.0)</f>
        <v>7</v>
      </c>
      <c r="C405" s="7" t="str">
        <f>IFERROR(__xludf.DUMMYFUNCTION("""COMPUTED_VALUE"""),"B_01_02")</f>
        <v>B_01_02</v>
      </c>
      <c r="D405" s="7" t="str">
        <f>IFERROR(__xludf.DUMMYFUNCTION("""COMPUTED_VALUE"""),"Q39C")</f>
        <v>Q39C</v>
      </c>
      <c r="E405" s="7" t="str">
        <f>IFERROR(__xludf.DUMMYFUNCTION("""COMPUTED_VALUE"""),"Q39c. How often president ignores parliament")</f>
        <v>Q39c. How often president ignores parliament</v>
      </c>
      <c r="F405" s="7" t="str">
        <f>IFERROR(__xludf.DUMMYFUNCTION("""COMPUTED_VALUE"""),"President/he")</f>
        <v>President/he</v>
      </c>
    </row>
    <row r="406">
      <c r="A406" s="7" t="str">
        <f>IFERROR(__xludf.DUMMYFUNCTION("""COMPUTED_VALUE"""),"TOGO")</f>
        <v>TOGO</v>
      </c>
      <c r="B406" s="7">
        <f>IFERROR(__xludf.DUMMYFUNCTION("""COMPUTED_VALUE"""),7.0)</f>
        <v>7</v>
      </c>
      <c r="C406" s="7" t="str">
        <f>IFERROR(__xludf.DUMMYFUNCTION("""COMPUTED_VALUE"""),"B_01_02")</f>
        <v>B_01_02</v>
      </c>
      <c r="D406" s="7" t="str">
        <f>IFERROR(__xludf.DUMMYFUNCTION("""COMPUTED_VALUE"""),"Q39C")</f>
        <v>Q39C</v>
      </c>
      <c r="E406" s="7" t="str">
        <f>IFERROR(__xludf.DUMMYFUNCTION("""COMPUTED_VALUE"""),"Q39c. How often president ignores parliament")</f>
        <v>Q39c. How often president ignores parliament</v>
      </c>
      <c r="F406" s="7" t="str">
        <f>IFERROR(__xludf.DUMMYFUNCTION("""COMPUTED_VALUE"""),"President/he")</f>
        <v>President/he</v>
      </c>
    </row>
    <row r="407">
      <c r="A407" s="7" t="str">
        <f>IFERROR(__xludf.DUMMYFUNCTION("""COMPUTED_VALUE"""),"TUNISIA")</f>
        <v>TUNISIA</v>
      </c>
      <c r="B407" s="7">
        <f>IFERROR(__xludf.DUMMYFUNCTION("""COMPUTED_VALUE"""),7.0)</f>
        <v>7</v>
      </c>
      <c r="C407" s="7" t="str">
        <f>IFERROR(__xludf.DUMMYFUNCTION("""COMPUTED_VALUE"""),"B_01_02")</f>
        <v>B_01_02</v>
      </c>
      <c r="D407" s="7" t="str">
        <f>IFERROR(__xludf.DUMMYFUNCTION("""COMPUTED_VALUE"""),"Q39C")</f>
        <v>Q39C</v>
      </c>
      <c r="E407" s="7" t="str">
        <f>IFERROR(__xludf.DUMMYFUNCTION("""COMPUTED_VALUE"""),"Q39c. How often president ignores parliament")</f>
        <v>Q39c. How often president ignores parliament</v>
      </c>
      <c r="F407" s="7" t="str">
        <f>IFERROR(__xludf.DUMMYFUNCTION("""COMPUTED_VALUE"""),"President/he")</f>
        <v>President/he</v>
      </c>
    </row>
    <row r="408">
      <c r="A408" s="7" t="str">
        <f>IFERROR(__xludf.DUMMYFUNCTION("""COMPUTED_VALUE"""),"UGANDA")</f>
        <v>UGANDA</v>
      </c>
      <c r="B408" s="7">
        <f>IFERROR(__xludf.DUMMYFUNCTION("""COMPUTED_VALUE"""),7.0)</f>
        <v>7</v>
      </c>
      <c r="C408" s="7" t="str">
        <f>IFERROR(__xludf.DUMMYFUNCTION("""COMPUTED_VALUE"""),"B_01_02")</f>
        <v>B_01_02</v>
      </c>
      <c r="D408" s="7" t="str">
        <f>IFERROR(__xludf.DUMMYFUNCTION("""COMPUTED_VALUE"""),"Q39C")</f>
        <v>Q39C</v>
      </c>
      <c r="E408" s="7" t="str">
        <f>IFERROR(__xludf.DUMMYFUNCTION("""COMPUTED_VALUE"""),"Q39c. How often president ignores parliament")</f>
        <v>Q39c. How often president ignores parliament</v>
      </c>
      <c r="F408" s="7" t="str">
        <f>IFERROR(__xludf.DUMMYFUNCTION("""COMPUTED_VALUE"""),"President/he")</f>
        <v>President/he</v>
      </c>
    </row>
    <row r="409">
      <c r="A409" s="7" t="str">
        <f>IFERROR(__xludf.DUMMYFUNCTION("""COMPUTED_VALUE"""),"ZAMBIA")</f>
        <v>ZAMBIA</v>
      </c>
      <c r="B409" s="7">
        <f>IFERROR(__xludf.DUMMYFUNCTION("""COMPUTED_VALUE"""),7.0)</f>
        <v>7</v>
      </c>
      <c r="C409" s="7" t="str">
        <f>IFERROR(__xludf.DUMMYFUNCTION("""COMPUTED_VALUE"""),"B_01_02")</f>
        <v>B_01_02</v>
      </c>
      <c r="D409" s="7" t="str">
        <f>IFERROR(__xludf.DUMMYFUNCTION("""COMPUTED_VALUE"""),"Q39C")</f>
        <v>Q39C</v>
      </c>
      <c r="E409" s="7" t="str">
        <f>IFERROR(__xludf.DUMMYFUNCTION("""COMPUTED_VALUE"""),"Q39c. How often president ignores parliament")</f>
        <v>Q39c. How often president ignores parliament</v>
      </c>
      <c r="F409" s="7" t="str">
        <f>IFERROR(__xludf.DUMMYFUNCTION("""COMPUTED_VALUE"""),"President/he")</f>
        <v>President/he</v>
      </c>
    </row>
    <row r="410">
      <c r="A410" s="7" t="str">
        <f>IFERROR(__xludf.DUMMYFUNCTION("""COMPUTED_VALUE"""),"ZIMBABWE")</f>
        <v>ZIMBABWE</v>
      </c>
      <c r="B410" s="7">
        <f>IFERROR(__xludf.DUMMYFUNCTION("""COMPUTED_VALUE"""),7.0)</f>
        <v>7</v>
      </c>
      <c r="C410" s="7" t="str">
        <f>IFERROR(__xludf.DUMMYFUNCTION("""COMPUTED_VALUE"""),"B_01_02")</f>
        <v>B_01_02</v>
      </c>
      <c r="D410" s="7" t="str">
        <f>IFERROR(__xludf.DUMMYFUNCTION("""COMPUTED_VALUE"""),"Q39C")</f>
        <v>Q39C</v>
      </c>
      <c r="E410" s="7" t="str">
        <f>IFERROR(__xludf.DUMMYFUNCTION("""COMPUTED_VALUE"""),"Q39c. How often president ignores parliament")</f>
        <v>Q39c. How often president ignores parliament</v>
      </c>
      <c r="F410" s="7" t="str">
        <f>IFERROR(__xludf.DUMMYFUNCTION("""COMPUTED_VALUE"""),"President/he")</f>
        <v>President/he</v>
      </c>
    </row>
    <row r="411">
      <c r="A411" s="7" t="str">
        <f>IFERROR(__xludf.DUMMYFUNCTION("""COMPUTED_VALUE"""),"BENIN")</f>
        <v>BENIN</v>
      </c>
      <c r="B411" s="7">
        <f>IFERROR(__xludf.DUMMYFUNCTION("""COMPUTED_VALUE"""),7.0)</f>
        <v>7</v>
      </c>
      <c r="C411" s="7" t="str">
        <f>IFERROR(__xludf.DUMMYFUNCTION("""COMPUTED_VALUE"""),"H_18")</f>
        <v>H_18</v>
      </c>
      <c r="D411" s="7" t="str">
        <f>IFERROR(__xludf.DUMMYFUNCTION("""COMPUTED_VALUE"""),"Q43A")</f>
        <v>Q43A</v>
      </c>
      <c r="E411" s="7" t="str">
        <f>IFERROR(__xludf.DUMMYFUNCTION("""COMPUTED_VALUE"""),"Q43a. Trust president")</f>
        <v>Q43a. Trust president</v>
      </c>
      <c r="F411" s="7" t="str">
        <f>IFERROR(__xludf.DUMMYFUNCTION("""COMPUTED_VALUE"""),"President/he")</f>
        <v>President/he</v>
      </c>
    </row>
    <row r="412">
      <c r="A412" s="7" t="str">
        <f>IFERROR(__xludf.DUMMYFUNCTION("""COMPUTED_VALUE"""),"BOTSWANA")</f>
        <v>BOTSWANA</v>
      </c>
      <c r="B412" s="7">
        <f>IFERROR(__xludf.DUMMYFUNCTION("""COMPUTED_VALUE"""),7.0)</f>
        <v>7</v>
      </c>
      <c r="C412" s="7" t="str">
        <f>IFERROR(__xludf.DUMMYFUNCTION("""COMPUTED_VALUE"""),"H_18")</f>
        <v>H_18</v>
      </c>
      <c r="D412" s="7" t="str">
        <f>IFERROR(__xludf.DUMMYFUNCTION("""COMPUTED_VALUE"""),"Q43A")</f>
        <v>Q43A</v>
      </c>
      <c r="E412" s="7" t="str">
        <f>IFERROR(__xludf.DUMMYFUNCTION("""COMPUTED_VALUE"""),"Q43a. Trust president")</f>
        <v>Q43a. Trust president</v>
      </c>
      <c r="F412" s="7" t="str">
        <f>IFERROR(__xludf.DUMMYFUNCTION("""COMPUTED_VALUE"""),"The President/he")</f>
        <v>The President/he</v>
      </c>
    </row>
    <row r="413">
      <c r="A413" s="7" t="str">
        <f>IFERROR(__xludf.DUMMYFUNCTION("""COMPUTED_VALUE"""),"BURKINA FASO")</f>
        <v>BURKINA FASO</v>
      </c>
      <c r="B413" s="7">
        <f>IFERROR(__xludf.DUMMYFUNCTION("""COMPUTED_VALUE"""),7.0)</f>
        <v>7</v>
      </c>
      <c r="C413" s="7" t="str">
        <f>IFERROR(__xludf.DUMMYFUNCTION("""COMPUTED_VALUE"""),"H_18")</f>
        <v>H_18</v>
      </c>
      <c r="D413" s="7" t="str">
        <f>IFERROR(__xludf.DUMMYFUNCTION("""COMPUTED_VALUE"""),"Q43A")</f>
        <v>Q43A</v>
      </c>
      <c r="E413" s="7" t="str">
        <f>IFERROR(__xludf.DUMMYFUNCTION("""COMPUTED_VALUE"""),"Q43a. Trust president")</f>
        <v>Q43a. Trust president</v>
      </c>
      <c r="F413" s="7" t="str">
        <f>IFERROR(__xludf.DUMMYFUNCTION("""COMPUTED_VALUE"""),"President/he")</f>
        <v>President/he</v>
      </c>
    </row>
    <row r="414">
      <c r="A414" s="7" t="str">
        <f>IFERROR(__xludf.DUMMYFUNCTION("""COMPUTED_VALUE"""),"CABO VERDE")</f>
        <v>CABO VERDE</v>
      </c>
      <c r="B414" s="7">
        <f>IFERROR(__xludf.DUMMYFUNCTION("""COMPUTED_VALUE"""),7.0)</f>
        <v>7</v>
      </c>
      <c r="C414" s="7" t="str">
        <f>IFERROR(__xludf.DUMMYFUNCTION("""COMPUTED_VALUE"""),"H_18")</f>
        <v>H_18</v>
      </c>
      <c r="D414" s="7" t="str">
        <f>IFERROR(__xludf.DUMMYFUNCTION("""COMPUTED_VALUE"""),"Q43A")</f>
        <v>Q43A</v>
      </c>
      <c r="E414" s="7" t="str">
        <f>IFERROR(__xludf.DUMMYFUNCTION("""COMPUTED_VALUE"""),"Q43a. Trust president")</f>
        <v>Q43a. Trust president</v>
      </c>
      <c r="F414" s="7" t="str">
        <f>IFERROR(__xludf.DUMMYFUNCTION("""COMPUTED_VALUE"""),"A. The President of the Republic
A1-CVE. The Prime Minister")</f>
        <v>A. The President of the Republic
A1-CVE. The Prime Minister</v>
      </c>
    </row>
    <row r="415">
      <c r="A415" s="7" t="str">
        <f>IFERROR(__xludf.DUMMYFUNCTION("""COMPUTED_VALUE"""),"CAMEROON")</f>
        <v>CAMEROON</v>
      </c>
      <c r="B415" s="7">
        <f>IFERROR(__xludf.DUMMYFUNCTION("""COMPUTED_VALUE"""),7.0)</f>
        <v>7</v>
      </c>
      <c r="C415" s="7" t="str">
        <f>IFERROR(__xludf.DUMMYFUNCTION("""COMPUTED_VALUE"""),"H_18")</f>
        <v>H_18</v>
      </c>
      <c r="D415" s="7" t="str">
        <f>IFERROR(__xludf.DUMMYFUNCTION("""COMPUTED_VALUE"""),"Q43A")</f>
        <v>Q43A</v>
      </c>
      <c r="E415" s="7" t="str">
        <f>IFERROR(__xludf.DUMMYFUNCTION("""COMPUTED_VALUE"""),"Q43a. Trust president")</f>
        <v>Q43a. Trust president</v>
      </c>
      <c r="F415" s="7" t="str">
        <f>IFERROR(__xludf.DUMMYFUNCTION("""COMPUTED_VALUE"""),"The President of the Republic")</f>
        <v>The President of the Republic</v>
      </c>
    </row>
    <row r="416">
      <c r="A416" s="7" t="str">
        <f>IFERROR(__xludf.DUMMYFUNCTION("""COMPUTED_VALUE"""),"COTE D'IVOIRE")</f>
        <v>COTE D'IVOIRE</v>
      </c>
      <c r="B416" s="7">
        <f>IFERROR(__xludf.DUMMYFUNCTION("""COMPUTED_VALUE"""),7.0)</f>
        <v>7</v>
      </c>
      <c r="C416" s="7" t="str">
        <f>IFERROR(__xludf.DUMMYFUNCTION("""COMPUTED_VALUE"""),"H_18")</f>
        <v>H_18</v>
      </c>
      <c r="D416" s="7" t="str">
        <f>IFERROR(__xludf.DUMMYFUNCTION("""COMPUTED_VALUE"""),"Q43A")</f>
        <v>Q43A</v>
      </c>
      <c r="E416" s="7" t="str">
        <f>IFERROR(__xludf.DUMMYFUNCTION("""COMPUTED_VALUE"""),"Q43a. Trust president")</f>
        <v>Q43a. Trust president</v>
      </c>
      <c r="F416" s="7" t="str">
        <f>IFERROR(__xludf.DUMMYFUNCTION("""COMPUTED_VALUE"""),"The President of the Republic")</f>
        <v>The President of the Republic</v>
      </c>
    </row>
    <row r="417">
      <c r="A417" s="7" t="str">
        <f>IFERROR(__xludf.DUMMYFUNCTION("""COMPUTED_VALUE"""),"ESWATINI")</f>
        <v>ESWATINI</v>
      </c>
      <c r="B417" s="7">
        <f>IFERROR(__xludf.DUMMYFUNCTION("""COMPUTED_VALUE"""),7.0)</f>
        <v>7</v>
      </c>
      <c r="C417" s="7" t="str">
        <f>IFERROR(__xludf.DUMMYFUNCTION("""COMPUTED_VALUE"""),"H_18")</f>
        <v>H_18</v>
      </c>
      <c r="D417" s="7" t="str">
        <f>IFERROR(__xludf.DUMMYFUNCTION("""COMPUTED_VALUE"""),"Q43A")</f>
        <v>Q43A</v>
      </c>
      <c r="E417" s="7" t="str">
        <f>IFERROR(__xludf.DUMMYFUNCTION("""COMPUTED_VALUE"""),"Q43a. Trust president")</f>
        <v>Q43a. Trust president</v>
      </c>
      <c r="F417" s="7" t="str">
        <f>IFERROR(__xludf.DUMMYFUNCTION("""COMPUTED_VALUE"""),"The King
The Prime Minister
")</f>
        <v>The King
The Prime Minister
</v>
      </c>
    </row>
    <row r="418">
      <c r="A418" s="7" t="str">
        <f>IFERROR(__xludf.DUMMYFUNCTION("""COMPUTED_VALUE"""),"GABON")</f>
        <v>GABON</v>
      </c>
      <c r="B418" s="7">
        <f>IFERROR(__xludf.DUMMYFUNCTION("""COMPUTED_VALUE"""),7.0)</f>
        <v>7</v>
      </c>
      <c r="C418" s="7" t="str">
        <f>IFERROR(__xludf.DUMMYFUNCTION("""COMPUTED_VALUE"""),"H_18")</f>
        <v>H_18</v>
      </c>
      <c r="D418" s="7" t="str">
        <f>IFERROR(__xludf.DUMMYFUNCTION("""COMPUTED_VALUE"""),"Q43A")</f>
        <v>Q43A</v>
      </c>
      <c r="E418" s="7" t="str">
        <f>IFERROR(__xludf.DUMMYFUNCTION("""COMPUTED_VALUE"""),"Q43a. Trust president")</f>
        <v>Q43a. Trust president</v>
      </c>
      <c r="F418" s="7" t="str">
        <f>IFERROR(__xludf.DUMMYFUNCTION("""COMPUTED_VALUE"""),"President/He")</f>
        <v>President/He</v>
      </c>
    </row>
    <row r="419">
      <c r="A419" s="7" t="str">
        <f>IFERROR(__xludf.DUMMYFUNCTION("""COMPUTED_VALUE"""),"GAMBIA")</f>
        <v>GAMBIA</v>
      </c>
      <c r="B419" s="7">
        <f>IFERROR(__xludf.DUMMYFUNCTION("""COMPUTED_VALUE"""),7.0)</f>
        <v>7</v>
      </c>
      <c r="C419" s="7" t="str">
        <f>IFERROR(__xludf.DUMMYFUNCTION("""COMPUTED_VALUE"""),"H_18")</f>
        <v>H_18</v>
      </c>
      <c r="D419" s="7" t="str">
        <f>IFERROR(__xludf.DUMMYFUNCTION("""COMPUTED_VALUE"""),"Q43A")</f>
        <v>Q43A</v>
      </c>
      <c r="E419" s="7" t="str">
        <f>IFERROR(__xludf.DUMMYFUNCTION("""COMPUTED_VALUE"""),"Q43a. Trust president")</f>
        <v>Q43a. Trust president</v>
      </c>
      <c r="F419" s="7" t="str">
        <f>IFERROR(__xludf.DUMMYFUNCTION("""COMPUTED_VALUE"""),"President/He")</f>
        <v>President/He</v>
      </c>
    </row>
    <row r="420">
      <c r="A420" s="7" t="str">
        <f>IFERROR(__xludf.DUMMYFUNCTION("""COMPUTED_VALUE"""),"GHANA")</f>
        <v>GHANA</v>
      </c>
      <c r="B420" s="7">
        <f>IFERROR(__xludf.DUMMYFUNCTION("""COMPUTED_VALUE"""),7.0)</f>
        <v>7</v>
      </c>
      <c r="C420" s="7" t="str">
        <f>IFERROR(__xludf.DUMMYFUNCTION("""COMPUTED_VALUE"""),"H_18")</f>
        <v>H_18</v>
      </c>
      <c r="D420" s="7" t="str">
        <f>IFERROR(__xludf.DUMMYFUNCTION("""COMPUTED_VALUE"""),"Q43A")</f>
        <v>Q43A</v>
      </c>
      <c r="E420" s="7" t="str">
        <f>IFERROR(__xludf.DUMMYFUNCTION("""COMPUTED_VALUE"""),"Q43a. Trust president")</f>
        <v>Q43a. Trust president</v>
      </c>
      <c r="F420" s="7" t="str">
        <f>IFERROR(__xludf.DUMMYFUNCTION("""COMPUTED_VALUE"""),"President/he")</f>
        <v>President/he</v>
      </c>
    </row>
    <row r="421">
      <c r="A421" s="7" t="str">
        <f>IFERROR(__xludf.DUMMYFUNCTION("""COMPUTED_VALUE"""),"GUINEA")</f>
        <v>GUINEA</v>
      </c>
      <c r="B421" s="7">
        <f>IFERROR(__xludf.DUMMYFUNCTION("""COMPUTED_VALUE"""),7.0)</f>
        <v>7</v>
      </c>
      <c r="C421" s="7" t="str">
        <f>IFERROR(__xludf.DUMMYFUNCTION("""COMPUTED_VALUE"""),"H_18")</f>
        <v>H_18</v>
      </c>
      <c r="D421" s="7" t="str">
        <f>IFERROR(__xludf.DUMMYFUNCTION("""COMPUTED_VALUE"""),"Q43A")</f>
        <v>Q43A</v>
      </c>
      <c r="E421" s="7" t="str">
        <f>IFERROR(__xludf.DUMMYFUNCTION("""COMPUTED_VALUE"""),"Q43a. Trust president")</f>
        <v>Q43a. Trust president</v>
      </c>
      <c r="F421" s="7" t="str">
        <f>IFERROR(__xludf.DUMMYFUNCTION("""COMPUTED_VALUE"""),"President/he")</f>
        <v>President/he</v>
      </c>
    </row>
    <row r="422">
      <c r="A422" s="7" t="str">
        <f>IFERROR(__xludf.DUMMYFUNCTION("""COMPUTED_VALUE"""),"KENYA")</f>
        <v>KENYA</v>
      </c>
      <c r="B422" s="7">
        <f>IFERROR(__xludf.DUMMYFUNCTION("""COMPUTED_VALUE"""),7.0)</f>
        <v>7</v>
      </c>
      <c r="C422" s="7" t="str">
        <f>IFERROR(__xludf.DUMMYFUNCTION("""COMPUTED_VALUE"""),"H_18")</f>
        <v>H_18</v>
      </c>
      <c r="D422" s="7" t="str">
        <f>IFERROR(__xludf.DUMMYFUNCTION("""COMPUTED_VALUE"""),"Q43A")</f>
        <v>Q43A</v>
      </c>
      <c r="E422" s="7" t="str">
        <f>IFERROR(__xludf.DUMMYFUNCTION("""COMPUTED_VALUE"""),"Q43a. Trust president")</f>
        <v>Q43a. Trust president</v>
      </c>
      <c r="F422" s="7" t="str">
        <f>IFERROR(__xludf.DUMMYFUNCTION("""COMPUTED_VALUE"""),"President/he")</f>
        <v>President/he</v>
      </c>
    </row>
    <row r="423">
      <c r="A423" s="7" t="str">
        <f>IFERROR(__xludf.DUMMYFUNCTION("""COMPUTED_VALUE"""),"LESOTHO")</f>
        <v>LESOTHO</v>
      </c>
      <c r="B423" s="7">
        <f>IFERROR(__xludf.DUMMYFUNCTION("""COMPUTED_VALUE"""),7.0)</f>
        <v>7</v>
      </c>
      <c r="C423" s="7" t="str">
        <f>IFERROR(__xludf.DUMMYFUNCTION("""COMPUTED_VALUE"""),"H_18")</f>
        <v>H_18</v>
      </c>
      <c r="D423" s="7" t="str">
        <f>IFERROR(__xludf.DUMMYFUNCTION("""COMPUTED_VALUE"""),"Q43A")</f>
        <v>Q43A</v>
      </c>
      <c r="E423" s="7" t="str">
        <f>IFERROR(__xludf.DUMMYFUNCTION("""COMPUTED_VALUE"""),"Q43a. Trust president")</f>
        <v>Q43a. Trust president</v>
      </c>
      <c r="F423" s="7" t="str">
        <f>IFERROR(__xludf.DUMMYFUNCTION("""COMPUTED_VALUE"""),"A1-LES. The King
A.  The Prime Minister
")</f>
        <v>A1-LES. The King
A.  The Prime Minister
</v>
      </c>
    </row>
    <row r="424">
      <c r="A424" s="7" t="str">
        <f>IFERROR(__xludf.DUMMYFUNCTION("""COMPUTED_VALUE"""),"LIBERIA")</f>
        <v>LIBERIA</v>
      </c>
      <c r="B424" s="7">
        <f>IFERROR(__xludf.DUMMYFUNCTION("""COMPUTED_VALUE"""),7.0)</f>
        <v>7</v>
      </c>
      <c r="C424" s="7" t="str">
        <f>IFERROR(__xludf.DUMMYFUNCTION("""COMPUTED_VALUE"""),"H_18")</f>
        <v>H_18</v>
      </c>
      <c r="D424" s="7" t="str">
        <f>IFERROR(__xludf.DUMMYFUNCTION("""COMPUTED_VALUE"""),"Q43A")</f>
        <v>Q43A</v>
      </c>
      <c r="E424" s="7" t="str">
        <f>IFERROR(__xludf.DUMMYFUNCTION("""COMPUTED_VALUE"""),"Q43a. Trust president")</f>
        <v>Q43a. Trust president</v>
      </c>
      <c r="F424" s="7" t="str">
        <f>IFERROR(__xludf.DUMMYFUNCTION("""COMPUTED_VALUE"""),"President/he")</f>
        <v>President/he</v>
      </c>
    </row>
    <row r="425">
      <c r="A425" s="7" t="str">
        <f>IFERROR(__xludf.DUMMYFUNCTION("""COMPUTED_VALUE"""),"MADAGASCAR")</f>
        <v>MADAGASCAR</v>
      </c>
      <c r="B425" s="7">
        <f>IFERROR(__xludf.DUMMYFUNCTION("""COMPUTED_VALUE"""),7.0)</f>
        <v>7</v>
      </c>
      <c r="C425" s="7" t="str">
        <f>IFERROR(__xludf.DUMMYFUNCTION("""COMPUTED_VALUE"""),"H_18")</f>
        <v>H_18</v>
      </c>
      <c r="D425" s="7" t="str">
        <f>IFERROR(__xludf.DUMMYFUNCTION("""COMPUTED_VALUE"""),"Q43A")</f>
        <v>Q43A</v>
      </c>
      <c r="E425" s="7" t="str">
        <f>IFERROR(__xludf.DUMMYFUNCTION("""COMPUTED_VALUE"""),"Q43a. Trust president")</f>
        <v>Q43a. Trust president</v>
      </c>
      <c r="F425" s="7" t="str">
        <f>IFERROR(__xludf.DUMMYFUNCTION("""COMPUTED_VALUE"""),"President/he")</f>
        <v>President/he</v>
      </c>
    </row>
    <row r="426">
      <c r="A426" s="7" t="str">
        <f>IFERROR(__xludf.DUMMYFUNCTION("""COMPUTED_VALUE"""),"MALAWI")</f>
        <v>MALAWI</v>
      </c>
      <c r="B426" s="7">
        <f>IFERROR(__xludf.DUMMYFUNCTION("""COMPUTED_VALUE"""),7.0)</f>
        <v>7</v>
      </c>
      <c r="C426" s="7" t="str">
        <f>IFERROR(__xludf.DUMMYFUNCTION("""COMPUTED_VALUE"""),"H_18")</f>
        <v>H_18</v>
      </c>
      <c r="D426" s="7" t="str">
        <f>IFERROR(__xludf.DUMMYFUNCTION("""COMPUTED_VALUE"""),"Q43A")</f>
        <v>Q43A</v>
      </c>
      <c r="E426" s="7" t="str">
        <f>IFERROR(__xludf.DUMMYFUNCTION("""COMPUTED_VALUE"""),"Q43a. Trust president")</f>
        <v>Q43a. Trust president</v>
      </c>
      <c r="F426" s="7" t="str">
        <f>IFERROR(__xludf.DUMMYFUNCTION("""COMPUTED_VALUE"""),"President/he")</f>
        <v>President/he</v>
      </c>
    </row>
    <row r="427">
      <c r="A427" s="7" t="str">
        <f>IFERROR(__xludf.DUMMYFUNCTION("""COMPUTED_VALUE"""),"MALI")</f>
        <v>MALI</v>
      </c>
      <c r="B427" s="7">
        <f>IFERROR(__xludf.DUMMYFUNCTION("""COMPUTED_VALUE"""),7.0)</f>
        <v>7</v>
      </c>
      <c r="C427" s="7" t="str">
        <f>IFERROR(__xludf.DUMMYFUNCTION("""COMPUTED_VALUE"""),"H_18")</f>
        <v>H_18</v>
      </c>
      <c r="D427" s="7" t="str">
        <f>IFERROR(__xludf.DUMMYFUNCTION("""COMPUTED_VALUE"""),"Q43A")</f>
        <v>Q43A</v>
      </c>
      <c r="E427" s="7" t="str">
        <f>IFERROR(__xludf.DUMMYFUNCTION("""COMPUTED_VALUE"""),"Q43a. Trust president")</f>
        <v>Q43a. Trust president</v>
      </c>
      <c r="F427" s="7" t="str">
        <f>IFERROR(__xludf.DUMMYFUNCTION("""COMPUTED_VALUE"""),"President/he")</f>
        <v>President/he</v>
      </c>
    </row>
    <row r="428">
      <c r="A428" s="7" t="str">
        <f>IFERROR(__xludf.DUMMYFUNCTION("""COMPUTED_VALUE"""),"MAURITIUS")</f>
        <v>MAURITIUS</v>
      </c>
      <c r="B428" s="7">
        <f>IFERROR(__xludf.DUMMYFUNCTION("""COMPUTED_VALUE"""),7.0)</f>
        <v>7</v>
      </c>
      <c r="C428" s="7" t="str">
        <f>IFERROR(__xludf.DUMMYFUNCTION("""COMPUTED_VALUE"""),"H_18")</f>
        <v>H_18</v>
      </c>
      <c r="D428" s="7" t="str">
        <f>IFERROR(__xludf.DUMMYFUNCTION("""COMPUTED_VALUE"""),"Q43A")</f>
        <v>Q43A</v>
      </c>
      <c r="E428" s="7" t="str">
        <f>IFERROR(__xludf.DUMMYFUNCTION("""COMPUTED_VALUE"""),"Q43a. Trust president")</f>
        <v>Q43a. Trust president</v>
      </c>
      <c r="F428" s="7" t="str">
        <f>IFERROR(__xludf.DUMMYFUNCTION("""COMPUTED_VALUE"""),"A. The Prime Minister
A1-MAU The President
")</f>
        <v>A. The Prime Minister
A1-MAU The President
</v>
      </c>
    </row>
    <row r="429">
      <c r="A429" s="7" t="str">
        <f>IFERROR(__xludf.DUMMYFUNCTION("""COMPUTED_VALUE"""),"MOROCCO")</f>
        <v>MOROCCO</v>
      </c>
      <c r="B429" s="7">
        <f>IFERROR(__xludf.DUMMYFUNCTION("""COMPUTED_VALUE"""),7.0)</f>
        <v>7</v>
      </c>
      <c r="C429" s="7" t="str">
        <f>IFERROR(__xludf.DUMMYFUNCTION("""COMPUTED_VALUE"""),"H_18")</f>
        <v>H_18</v>
      </c>
      <c r="D429" s="7" t="str">
        <f>IFERROR(__xludf.DUMMYFUNCTION("""COMPUTED_VALUE"""),"Q43A")</f>
        <v>Q43A</v>
      </c>
      <c r="E429" s="7" t="str">
        <f>IFERROR(__xludf.DUMMYFUNCTION("""COMPUTED_VALUE"""),"Q43a. Trust president")</f>
        <v>Q43a. Trust president</v>
      </c>
      <c r="F429" s="7" t="str">
        <f>IFERROR(__xludf.DUMMYFUNCTION("""COMPUTED_VALUE"""),"President/he")</f>
        <v>President/he</v>
      </c>
    </row>
    <row r="430">
      <c r="A430" s="7" t="str">
        <f>IFERROR(__xludf.DUMMYFUNCTION("""COMPUTED_VALUE"""),"MOZAMBIQUE")</f>
        <v>MOZAMBIQUE</v>
      </c>
      <c r="B430" s="7">
        <f>IFERROR(__xludf.DUMMYFUNCTION("""COMPUTED_VALUE"""),7.0)</f>
        <v>7</v>
      </c>
      <c r="C430" s="7" t="str">
        <f>IFERROR(__xludf.DUMMYFUNCTION("""COMPUTED_VALUE"""),"H_18")</f>
        <v>H_18</v>
      </c>
      <c r="D430" s="7" t="str">
        <f>IFERROR(__xludf.DUMMYFUNCTION("""COMPUTED_VALUE"""),"Q43A")</f>
        <v>Q43A</v>
      </c>
      <c r="E430" s="7" t="str">
        <f>IFERROR(__xludf.DUMMYFUNCTION("""COMPUTED_VALUE"""),"Q43a. Trust president")</f>
        <v>Q43a. Trust president</v>
      </c>
      <c r="F430" s="7" t="str">
        <f>IFERROR(__xludf.DUMMYFUNCTION("""COMPUTED_VALUE"""),"A. The President of the Republic
A1-MOZ.   The Prime Minister
")</f>
        <v>A. The President of the Republic
A1-MOZ.   The Prime Minister
</v>
      </c>
    </row>
    <row r="431">
      <c r="A431" s="7" t="str">
        <f>IFERROR(__xludf.DUMMYFUNCTION("""COMPUTED_VALUE"""),"NAMIBIA")</f>
        <v>NAMIBIA</v>
      </c>
      <c r="B431" s="7">
        <f>IFERROR(__xludf.DUMMYFUNCTION("""COMPUTED_VALUE"""),7.0)</f>
        <v>7</v>
      </c>
      <c r="C431" s="7" t="str">
        <f>IFERROR(__xludf.DUMMYFUNCTION("""COMPUTED_VALUE"""),"H_18")</f>
        <v>H_18</v>
      </c>
      <c r="D431" s="7" t="str">
        <f>IFERROR(__xludf.DUMMYFUNCTION("""COMPUTED_VALUE"""),"Q43A")</f>
        <v>Q43A</v>
      </c>
      <c r="E431" s="7" t="str">
        <f>IFERROR(__xludf.DUMMYFUNCTION("""COMPUTED_VALUE"""),"Q43a. Trust president")</f>
        <v>Q43a. Trust president</v>
      </c>
      <c r="F431" s="7" t="str">
        <f>IFERROR(__xludf.DUMMYFUNCTION("""COMPUTED_VALUE"""),"A. The President
A1-NAM. The Prime Minister
")</f>
        <v>A. The President
A1-NAM. The Prime Minister
</v>
      </c>
    </row>
    <row r="432">
      <c r="A432" s="7" t="str">
        <f>IFERROR(__xludf.DUMMYFUNCTION("""COMPUTED_VALUE"""),"NIGER")</f>
        <v>NIGER</v>
      </c>
      <c r="B432" s="7">
        <f>IFERROR(__xludf.DUMMYFUNCTION("""COMPUTED_VALUE"""),7.0)</f>
        <v>7</v>
      </c>
      <c r="C432" s="7" t="str">
        <f>IFERROR(__xludf.DUMMYFUNCTION("""COMPUTED_VALUE"""),"H_18")</f>
        <v>H_18</v>
      </c>
      <c r="D432" s="7" t="str">
        <f>IFERROR(__xludf.DUMMYFUNCTION("""COMPUTED_VALUE"""),"Q43A")</f>
        <v>Q43A</v>
      </c>
      <c r="E432" s="7" t="str">
        <f>IFERROR(__xludf.DUMMYFUNCTION("""COMPUTED_VALUE"""),"Q43a. Trust president")</f>
        <v>Q43a. Trust president</v>
      </c>
      <c r="F432" s="7" t="str">
        <f>IFERROR(__xludf.DUMMYFUNCTION("""COMPUTED_VALUE"""),"President/he")</f>
        <v>President/he</v>
      </c>
    </row>
    <row r="433">
      <c r="A433" s="7" t="str">
        <f>IFERROR(__xludf.DUMMYFUNCTION("""COMPUTED_VALUE"""),"NIGERIA")</f>
        <v>NIGERIA</v>
      </c>
      <c r="B433" s="7">
        <f>IFERROR(__xludf.DUMMYFUNCTION("""COMPUTED_VALUE"""),7.0)</f>
        <v>7</v>
      </c>
      <c r="C433" s="7" t="str">
        <f>IFERROR(__xludf.DUMMYFUNCTION("""COMPUTED_VALUE"""),"H_18")</f>
        <v>H_18</v>
      </c>
      <c r="D433" s="7" t="str">
        <f>IFERROR(__xludf.DUMMYFUNCTION("""COMPUTED_VALUE"""),"Q43A")</f>
        <v>Q43A</v>
      </c>
      <c r="E433" s="7" t="str">
        <f>IFERROR(__xludf.DUMMYFUNCTION("""COMPUTED_VALUE"""),"Q43a. Trust president")</f>
        <v>Q43a. Trust president</v>
      </c>
      <c r="F433" s="7" t="str">
        <f>IFERROR(__xludf.DUMMYFUNCTION("""COMPUTED_VALUE"""),"President/he")</f>
        <v>President/he</v>
      </c>
    </row>
    <row r="434">
      <c r="A434" s="7" t="str">
        <f>IFERROR(__xludf.DUMMYFUNCTION("""COMPUTED_VALUE"""),"SAO TOME AND PRINCIPE")</f>
        <v>SAO TOME AND PRINCIPE</v>
      </c>
      <c r="B434" s="7">
        <f>IFERROR(__xludf.DUMMYFUNCTION("""COMPUTED_VALUE"""),7.0)</f>
        <v>7</v>
      </c>
      <c r="C434" s="7" t="str">
        <f>IFERROR(__xludf.DUMMYFUNCTION("""COMPUTED_VALUE"""),"H_18")</f>
        <v>H_18</v>
      </c>
      <c r="D434" s="7" t="str">
        <f>IFERROR(__xludf.DUMMYFUNCTION("""COMPUTED_VALUE"""),"Q43A")</f>
        <v>Q43A</v>
      </c>
      <c r="E434" s="7" t="str">
        <f>IFERROR(__xludf.DUMMYFUNCTION("""COMPUTED_VALUE"""),"Q43a. Trust president")</f>
        <v>Q43a. Trust president</v>
      </c>
      <c r="F434" s="7" t="str">
        <f>IFERROR(__xludf.DUMMYFUNCTION("""COMPUTED_VALUE"""),"President/he
Prime Minister")</f>
        <v>President/he
Prime Minister</v>
      </c>
    </row>
    <row r="435">
      <c r="A435" s="7" t="str">
        <f>IFERROR(__xludf.DUMMYFUNCTION("""COMPUTED_VALUE"""),"SENEGAL")</f>
        <v>SENEGAL</v>
      </c>
      <c r="B435" s="7">
        <f>IFERROR(__xludf.DUMMYFUNCTION("""COMPUTED_VALUE"""),7.0)</f>
        <v>7</v>
      </c>
      <c r="C435" s="7" t="str">
        <f>IFERROR(__xludf.DUMMYFUNCTION("""COMPUTED_VALUE"""),"H_18")</f>
        <v>H_18</v>
      </c>
      <c r="D435" s="7" t="str">
        <f>IFERROR(__xludf.DUMMYFUNCTION("""COMPUTED_VALUE"""),"Q43A")</f>
        <v>Q43A</v>
      </c>
      <c r="E435" s="7" t="str">
        <f>IFERROR(__xludf.DUMMYFUNCTION("""COMPUTED_VALUE"""),"Q43a. Trust president")</f>
        <v>Q43a. Trust president</v>
      </c>
      <c r="F435" s="7" t="str">
        <f>IFERROR(__xludf.DUMMYFUNCTION("""COMPUTED_VALUE"""),"President/he")</f>
        <v>President/he</v>
      </c>
    </row>
    <row r="436">
      <c r="A436" s="7" t="str">
        <f>IFERROR(__xludf.DUMMYFUNCTION("""COMPUTED_VALUE"""),"SIERRA LEONE")</f>
        <v>SIERRA LEONE</v>
      </c>
      <c r="B436" s="7">
        <f>IFERROR(__xludf.DUMMYFUNCTION("""COMPUTED_VALUE"""),7.0)</f>
        <v>7</v>
      </c>
      <c r="C436" s="7" t="str">
        <f>IFERROR(__xludf.DUMMYFUNCTION("""COMPUTED_VALUE"""),"H_18")</f>
        <v>H_18</v>
      </c>
      <c r="D436" s="7" t="str">
        <f>IFERROR(__xludf.DUMMYFUNCTION("""COMPUTED_VALUE"""),"Q43A")</f>
        <v>Q43A</v>
      </c>
      <c r="E436" s="7" t="str">
        <f>IFERROR(__xludf.DUMMYFUNCTION("""COMPUTED_VALUE"""),"Q43a. Trust president")</f>
        <v>Q43a. Trust president</v>
      </c>
      <c r="F436" s="7" t="str">
        <f>IFERROR(__xludf.DUMMYFUNCTION("""COMPUTED_VALUE"""),"President/he")</f>
        <v>President/he</v>
      </c>
    </row>
    <row r="437">
      <c r="A437" s="7" t="str">
        <f>IFERROR(__xludf.DUMMYFUNCTION("""COMPUTED_VALUE"""),"SOUTH AFRICA")</f>
        <v>SOUTH AFRICA</v>
      </c>
      <c r="B437" s="7">
        <f>IFERROR(__xludf.DUMMYFUNCTION("""COMPUTED_VALUE"""),7.0)</f>
        <v>7</v>
      </c>
      <c r="C437" s="7" t="str">
        <f>IFERROR(__xludf.DUMMYFUNCTION("""COMPUTED_VALUE"""),"H_18")</f>
        <v>H_18</v>
      </c>
      <c r="D437" s="7" t="str">
        <f>IFERROR(__xludf.DUMMYFUNCTION("""COMPUTED_VALUE"""),"Q43A")</f>
        <v>Q43A</v>
      </c>
      <c r="E437" s="7" t="str">
        <f>IFERROR(__xludf.DUMMYFUNCTION("""COMPUTED_VALUE"""),"Q43a. Trust president")</f>
        <v>Q43a. Trust president</v>
      </c>
      <c r="F437" s="7" t="str">
        <f>IFERROR(__xludf.DUMMYFUNCTION("""COMPUTED_VALUE"""),"President/he")</f>
        <v>President/he</v>
      </c>
    </row>
    <row r="438">
      <c r="A438" s="7" t="str">
        <f>IFERROR(__xludf.DUMMYFUNCTION("""COMPUTED_VALUE"""),"SUDAN")</f>
        <v>SUDAN</v>
      </c>
      <c r="B438" s="7">
        <f>IFERROR(__xludf.DUMMYFUNCTION("""COMPUTED_VALUE"""),7.0)</f>
        <v>7</v>
      </c>
      <c r="C438" s="7" t="str">
        <f>IFERROR(__xludf.DUMMYFUNCTION("""COMPUTED_VALUE"""),"H_18")</f>
        <v>H_18</v>
      </c>
      <c r="D438" s="7" t="str">
        <f>IFERROR(__xludf.DUMMYFUNCTION("""COMPUTED_VALUE"""),"Q43A")</f>
        <v>Q43A</v>
      </c>
      <c r="E438" s="7" t="str">
        <f>IFERROR(__xludf.DUMMYFUNCTION("""COMPUTED_VALUE"""),"Q43a. Trust president")</f>
        <v>Q43a. Trust president</v>
      </c>
      <c r="F438" s="7" t="str">
        <f>IFERROR(__xludf.DUMMYFUNCTION("""COMPUTED_VALUE"""),"President/he")</f>
        <v>President/he</v>
      </c>
    </row>
    <row r="439">
      <c r="A439" s="7" t="str">
        <f>IFERROR(__xludf.DUMMYFUNCTION("""COMPUTED_VALUE"""),"TANZANIA")</f>
        <v>TANZANIA</v>
      </c>
      <c r="B439" s="7">
        <f>IFERROR(__xludf.DUMMYFUNCTION("""COMPUTED_VALUE"""),7.0)</f>
        <v>7</v>
      </c>
      <c r="C439" s="7" t="str">
        <f>IFERROR(__xludf.DUMMYFUNCTION("""COMPUTED_VALUE"""),"H_18")</f>
        <v>H_18</v>
      </c>
      <c r="D439" s="7" t="str">
        <f>IFERROR(__xludf.DUMMYFUNCTION("""COMPUTED_VALUE"""),"Q43A")</f>
        <v>Q43A</v>
      </c>
      <c r="E439" s="7" t="str">
        <f>IFERROR(__xludf.DUMMYFUNCTION("""COMPUTED_VALUE"""),"Q43a. Trust president")</f>
        <v>Q43a. Trust president</v>
      </c>
      <c r="F439" s="7" t="str">
        <f>IFERROR(__xludf.DUMMYFUNCTION("""COMPUTED_VALUE"""),"President/he")</f>
        <v>President/he</v>
      </c>
    </row>
    <row r="440">
      <c r="A440" s="7" t="str">
        <f>IFERROR(__xludf.DUMMYFUNCTION("""COMPUTED_VALUE"""),"TOGO")</f>
        <v>TOGO</v>
      </c>
      <c r="B440" s="7">
        <f>IFERROR(__xludf.DUMMYFUNCTION("""COMPUTED_VALUE"""),7.0)</f>
        <v>7</v>
      </c>
      <c r="C440" s="7" t="str">
        <f>IFERROR(__xludf.DUMMYFUNCTION("""COMPUTED_VALUE"""),"H_18")</f>
        <v>H_18</v>
      </c>
      <c r="D440" s="7" t="str">
        <f>IFERROR(__xludf.DUMMYFUNCTION("""COMPUTED_VALUE"""),"Q43A")</f>
        <v>Q43A</v>
      </c>
      <c r="E440" s="7" t="str">
        <f>IFERROR(__xludf.DUMMYFUNCTION("""COMPUTED_VALUE"""),"Q43a. Trust president")</f>
        <v>Q43a. Trust president</v>
      </c>
      <c r="F440" s="7" t="str">
        <f>IFERROR(__xludf.DUMMYFUNCTION("""COMPUTED_VALUE"""),"President/he")</f>
        <v>President/he</v>
      </c>
    </row>
    <row r="441">
      <c r="A441" s="7" t="str">
        <f>IFERROR(__xludf.DUMMYFUNCTION("""COMPUTED_VALUE"""),"TUNISIA")</f>
        <v>TUNISIA</v>
      </c>
      <c r="B441" s="7">
        <f>IFERROR(__xludf.DUMMYFUNCTION("""COMPUTED_VALUE"""),7.0)</f>
        <v>7</v>
      </c>
      <c r="C441" s="7" t="str">
        <f>IFERROR(__xludf.DUMMYFUNCTION("""COMPUTED_VALUE"""),"H_18")</f>
        <v>H_18</v>
      </c>
      <c r="D441" s="7" t="str">
        <f>IFERROR(__xludf.DUMMYFUNCTION("""COMPUTED_VALUE"""),"Q43A")</f>
        <v>Q43A</v>
      </c>
      <c r="E441" s="7" t="str">
        <f>IFERROR(__xludf.DUMMYFUNCTION("""COMPUTED_VALUE"""),"Q43a. Trust president")</f>
        <v>Q43a. Trust president</v>
      </c>
      <c r="F441" s="7" t="str">
        <f>IFERROR(__xludf.DUMMYFUNCTION("""COMPUTED_VALUE"""),"President/he")</f>
        <v>President/he</v>
      </c>
    </row>
    <row r="442">
      <c r="A442" s="7" t="str">
        <f>IFERROR(__xludf.DUMMYFUNCTION("""COMPUTED_VALUE"""),"UGANDA")</f>
        <v>UGANDA</v>
      </c>
      <c r="B442" s="7">
        <f>IFERROR(__xludf.DUMMYFUNCTION("""COMPUTED_VALUE"""),7.0)</f>
        <v>7</v>
      </c>
      <c r="C442" s="7" t="str">
        <f>IFERROR(__xludf.DUMMYFUNCTION("""COMPUTED_VALUE"""),"H_18")</f>
        <v>H_18</v>
      </c>
      <c r="D442" s="7" t="str">
        <f>IFERROR(__xludf.DUMMYFUNCTION("""COMPUTED_VALUE"""),"Q43A")</f>
        <v>Q43A</v>
      </c>
      <c r="E442" s="7" t="str">
        <f>IFERROR(__xludf.DUMMYFUNCTION("""COMPUTED_VALUE"""),"Q43a. Trust president")</f>
        <v>Q43a. Trust president</v>
      </c>
      <c r="F442" s="7" t="str">
        <f>IFERROR(__xludf.DUMMYFUNCTION("""COMPUTED_VALUE"""),"President/he")</f>
        <v>President/he</v>
      </c>
    </row>
    <row r="443">
      <c r="A443" s="7" t="str">
        <f>IFERROR(__xludf.DUMMYFUNCTION("""COMPUTED_VALUE"""),"ZAMBIA")</f>
        <v>ZAMBIA</v>
      </c>
      <c r="B443" s="7">
        <f>IFERROR(__xludf.DUMMYFUNCTION("""COMPUTED_VALUE"""),7.0)</f>
        <v>7</v>
      </c>
      <c r="C443" s="7" t="str">
        <f>IFERROR(__xludf.DUMMYFUNCTION("""COMPUTED_VALUE"""),"H_18")</f>
        <v>H_18</v>
      </c>
      <c r="D443" s="7" t="str">
        <f>IFERROR(__xludf.DUMMYFUNCTION("""COMPUTED_VALUE"""),"Q43A")</f>
        <v>Q43A</v>
      </c>
      <c r="E443" s="7" t="str">
        <f>IFERROR(__xludf.DUMMYFUNCTION("""COMPUTED_VALUE"""),"Q43a. Trust president")</f>
        <v>Q43a. Trust president</v>
      </c>
      <c r="F443" s="7" t="str">
        <f>IFERROR(__xludf.DUMMYFUNCTION("""COMPUTED_VALUE"""),"President/he")</f>
        <v>President/he</v>
      </c>
    </row>
    <row r="444">
      <c r="A444" s="7" t="str">
        <f>IFERROR(__xludf.DUMMYFUNCTION("""COMPUTED_VALUE"""),"ZIMBABWE")</f>
        <v>ZIMBABWE</v>
      </c>
      <c r="B444" s="7">
        <f>IFERROR(__xludf.DUMMYFUNCTION("""COMPUTED_VALUE"""),7.0)</f>
        <v>7</v>
      </c>
      <c r="C444" s="7" t="str">
        <f>IFERROR(__xludf.DUMMYFUNCTION("""COMPUTED_VALUE"""),"H_18")</f>
        <v>H_18</v>
      </c>
      <c r="D444" s="7" t="str">
        <f>IFERROR(__xludf.DUMMYFUNCTION("""COMPUTED_VALUE"""),"Q43A")</f>
        <v>Q43A</v>
      </c>
      <c r="E444" s="7" t="str">
        <f>IFERROR(__xludf.DUMMYFUNCTION("""COMPUTED_VALUE"""),"Q43a. Trust president")</f>
        <v>Q43a. Trust president</v>
      </c>
      <c r="F444" s="7" t="str">
        <f>IFERROR(__xludf.DUMMYFUNCTION("""COMPUTED_VALUE"""),"President/he")</f>
        <v>President/he</v>
      </c>
    </row>
    <row r="445">
      <c r="A445" s="7" t="str">
        <f>IFERROR(__xludf.DUMMYFUNCTION("""COMPUTED_VALUE"""),"BENIN")</f>
        <v>BENIN</v>
      </c>
      <c r="B445" s="7">
        <f>IFERROR(__xludf.DUMMYFUNCTION("""COMPUTED_VALUE"""),7.0)</f>
        <v>7</v>
      </c>
      <c r="C445" s="7" t="str">
        <f>IFERROR(__xludf.DUMMYFUNCTION("""COMPUTED_VALUE"""),"H_14")</f>
        <v>H_14</v>
      </c>
      <c r="D445" s="7" t="str">
        <f>IFERROR(__xludf.DUMMYFUNCTION("""COMPUTED_VALUE"""),"Q43B")</f>
        <v>Q43B</v>
      </c>
      <c r="E445" s="7" t="str">
        <f>IFERROR(__xludf.DUMMYFUNCTION("""COMPUTED_VALUE"""),"Q43b. Trust parliament/national assembly")</f>
        <v>Q43b. Trust parliament/national assembly</v>
      </c>
      <c r="F445" s="7" t="str">
        <f>IFERROR(__xludf.DUMMYFUNCTION("""COMPUTED_VALUE"""),"Members of national assemply")</f>
        <v>Members of national assemply</v>
      </c>
    </row>
    <row r="446">
      <c r="A446" s="7" t="str">
        <f>IFERROR(__xludf.DUMMYFUNCTION("""COMPUTED_VALUE"""),"BOTSWANA")</f>
        <v>BOTSWANA</v>
      </c>
      <c r="B446" s="7">
        <f>IFERROR(__xludf.DUMMYFUNCTION("""COMPUTED_VALUE"""),7.0)</f>
        <v>7</v>
      </c>
      <c r="C446" s="7" t="str">
        <f>IFERROR(__xludf.DUMMYFUNCTION("""COMPUTED_VALUE"""),"H_14")</f>
        <v>H_14</v>
      </c>
      <c r="D446" s="7" t="str">
        <f>IFERROR(__xludf.DUMMYFUNCTION("""COMPUTED_VALUE"""),"Q43B")</f>
        <v>Q43B</v>
      </c>
      <c r="E446" s="7" t="str">
        <f>IFERROR(__xludf.DUMMYFUNCTION("""COMPUTED_VALUE"""),"Q43b. Trust parliament/national assembly")</f>
        <v>Q43b. Trust parliament/national assembly</v>
      </c>
      <c r="F446" s="7" t="str">
        <f>IFERROR(__xludf.DUMMYFUNCTION("""COMPUTED_VALUE"""),"Members of Parliament")</f>
        <v>Members of Parliament</v>
      </c>
    </row>
    <row r="447">
      <c r="A447" s="7" t="str">
        <f>IFERROR(__xludf.DUMMYFUNCTION("""COMPUTED_VALUE"""),"BURKINA FASO")</f>
        <v>BURKINA FASO</v>
      </c>
      <c r="B447" s="7">
        <f>IFERROR(__xludf.DUMMYFUNCTION("""COMPUTED_VALUE"""),7.0)</f>
        <v>7</v>
      </c>
      <c r="C447" s="7" t="str">
        <f>IFERROR(__xludf.DUMMYFUNCTION("""COMPUTED_VALUE"""),"H_14")</f>
        <v>H_14</v>
      </c>
      <c r="D447" s="7" t="str">
        <f>IFERROR(__xludf.DUMMYFUNCTION("""COMPUTED_VALUE"""),"Q43B")</f>
        <v>Q43B</v>
      </c>
      <c r="E447" s="7" t="str">
        <f>IFERROR(__xludf.DUMMYFUNCTION("""COMPUTED_VALUE"""),"Q43b. Trust parliament/national assembly")</f>
        <v>Q43b. Trust parliament/national assembly</v>
      </c>
      <c r="F447" s="7" t="str">
        <f>IFERROR(__xludf.DUMMYFUNCTION("""COMPUTED_VALUE"""),"Members of national assemply")</f>
        <v>Members of national assemply</v>
      </c>
    </row>
    <row r="448">
      <c r="A448" s="7" t="str">
        <f>IFERROR(__xludf.DUMMYFUNCTION("""COMPUTED_VALUE"""),"CABO VERDE")</f>
        <v>CABO VERDE</v>
      </c>
      <c r="B448" s="7">
        <f>IFERROR(__xludf.DUMMYFUNCTION("""COMPUTED_VALUE"""),7.0)</f>
        <v>7</v>
      </c>
      <c r="C448" s="7" t="str">
        <f>IFERROR(__xludf.DUMMYFUNCTION("""COMPUTED_VALUE"""),"H_14")</f>
        <v>H_14</v>
      </c>
      <c r="D448" s="7" t="str">
        <f>IFERROR(__xludf.DUMMYFUNCTION("""COMPUTED_VALUE"""),"Q43B")</f>
        <v>Q43B</v>
      </c>
      <c r="E448" s="7" t="str">
        <f>IFERROR(__xludf.DUMMYFUNCTION("""COMPUTED_VALUE"""),"Q43b. Trust parliament/national assembly")</f>
        <v>Q43b. Trust parliament/national assembly</v>
      </c>
      <c r="F448" s="7" t="str">
        <f>IFERROR(__xludf.DUMMYFUNCTION("""COMPUTED_VALUE"""),"The National Assembly")</f>
        <v>The National Assembly</v>
      </c>
    </row>
    <row r="449">
      <c r="A449" s="7" t="str">
        <f>IFERROR(__xludf.DUMMYFUNCTION("""COMPUTED_VALUE"""),"CAMEROON")</f>
        <v>CAMEROON</v>
      </c>
      <c r="B449" s="7">
        <f>IFERROR(__xludf.DUMMYFUNCTION("""COMPUTED_VALUE"""),7.0)</f>
        <v>7</v>
      </c>
      <c r="C449" s="7" t="str">
        <f>IFERROR(__xludf.DUMMYFUNCTION("""COMPUTED_VALUE"""),"H_14")</f>
        <v>H_14</v>
      </c>
      <c r="D449" s="7" t="str">
        <f>IFERROR(__xludf.DUMMYFUNCTION("""COMPUTED_VALUE"""),"Q43B")</f>
        <v>Q43B</v>
      </c>
      <c r="E449" s="7" t="str">
        <f>IFERROR(__xludf.DUMMYFUNCTION("""COMPUTED_VALUE"""),"Q43b. Trust parliament/national assembly")</f>
        <v>Q43b. Trust parliament/national assembly</v>
      </c>
      <c r="F449" s="7" t="str">
        <f>IFERROR(__xludf.DUMMYFUNCTION("""COMPUTED_VALUE"""),"The parliament, i.e., the National Assembly and the Senate")</f>
        <v>The parliament, i.e., the National Assembly and the Senate</v>
      </c>
    </row>
    <row r="450">
      <c r="A450" s="7" t="str">
        <f>IFERROR(__xludf.DUMMYFUNCTION("""COMPUTED_VALUE"""),"COTE D'IVOIRE")</f>
        <v>COTE D'IVOIRE</v>
      </c>
      <c r="B450" s="7">
        <f>IFERROR(__xludf.DUMMYFUNCTION("""COMPUTED_VALUE"""),7.0)</f>
        <v>7</v>
      </c>
      <c r="C450" s="7" t="str">
        <f>IFERROR(__xludf.DUMMYFUNCTION("""COMPUTED_VALUE"""),"H_14")</f>
        <v>H_14</v>
      </c>
      <c r="D450" s="7" t="str">
        <f>IFERROR(__xludf.DUMMYFUNCTION("""COMPUTED_VALUE"""),"Q43B")</f>
        <v>Q43B</v>
      </c>
      <c r="E450" s="7" t="str">
        <f>IFERROR(__xludf.DUMMYFUNCTION("""COMPUTED_VALUE"""),"Q43b. Trust parliament/national assembly")</f>
        <v>Q43b. Trust parliament/national assembly</v>
      </c>
      <c r="F450" s="7" t="str">
        <f>IFERROR(__xludf.DUMMYFUNCTION("""COMPUTED_VALUE"""),"The National Assembly")</f>
        <v>The National Assembly</v>
      </c>
    </row>
    <row r="451">
      <c r="A451" s="7" t="str">
        <f>IFERROR(__xludf.DUMMYFUNCTION("""COMPUTED_VALUE"""),"ESWATINI")</f>
        <v>ESWATINI</v>
      </c>
      <c r="B451" s="7">
        <f>IFERROR(__xludf.DUMMYFUNCTION("""COMPUTED_VALUE"""),7.0)</f>
        <v>7</v>
      </c>
      <c r="C451" s="7" t="str">
        <f>IFERROR(__xludf.DUMMYFUNCTION("""COMPUTED_VALUE"""),"H_14")</f>
        <v>H_14</v>
      </c>
      <c r="D451" s="7" t="str">
        <f>IFERROR(__xludf.DUMMYFUNCTION("""COMPUTED_VALUE"""),"Q43B")</f>
        <v>Q43B</v>
      </c>
      <c r="E451" s="7" t="str">
        <f>IFERROR(__xludf.DUMMYFUNCTION("""COMPUTED_VALUE"""),"Q43b. Trust parliament/national assembly")</f>
        <v>Q43b. Trust parliament/national assembly</v>
      </c>
      <c r="F451" s="7" t="str">
        <f>IFERROR(__xludf.DUMMYFUNCTION("""COMPUTED_VALUE"""),"Parliament
The Queen Mother
")</f>
        <v>Parliament
The Queen Mother
</v>
      </c>
    </row>
    <row r="452">
      <c r="A452" s="7" t="str">
        <f>IFERROR(__xludf.DUMMYFUNCTION("""COMPUTED_VALUE"""),"GABON")</f>
        <v>GABON</v>
      </c>
      <c r="B452" s="7">
        <f>IFERROR(__xludf.DUMMYFUNCTION("""COMPUTED_VALUE"""),7.0)</f>
        <v>7</v>
      </c>
      <c r="C452" s="7" t="str">
        <f>IFERROR(__xludf.DUMMYFUNCTION("""COMPUTED_VALUE"""),"H_14")</f>
        <v>H_14</v>
      </c>
      <c r="D452" s="7" t="str">
        <f>IFERROR(__xludf.DUMMYFUNCTION("""COMPUTED_VALUE"""),"Q43B")</f>
        <v>Q43B</v>
      </c>
      <c r="E452" s="7" t="str">
        <f>IFERROR(__xludf.DUMMYFUNCTION("""COMPUTED_VALUE"""),"Q43b. Trust parliament/national assembly")</f>
        <v>Q43b. Trust parliament/national assembly</v>
      </c>
      <c r="F452" s="7" t="str">
        <f>IFERROR(__xludf.DUMMYFUNCTION("""COMPUTED_VALUE"""),"Parliament")</f>
        <v>Parliament</v>
      </c>
    </row>
    <row r="453">
      <c r="A453" s="7" t="str">
        <f>IFERROR(__xludf.DUMMYFUNCTION("""COMPUTED_VALUE"""),"GAMBIA")</f>
        <v>GAMBIA</v>
      </c>
      <c r="B453" s="7">
        <f>IFERROR(__xludf.DUMMYFUNCTION("""COMPUTED_VALUE"""),7.0)</f>
        <v>7</v>
      </c>
      <c r="C453" s="7" t="str">
        <f>IFERROR(__xludf.DUMMYFUNCTION("""COMPUTED_VALUE"""),"H_14")</f>
        <v>H_14</v>
      </c>
      <c r="D453" s="7" t="str">
        <f>IFERROR(__xludf.DUMMYFUNCTION("""COMPUTED_VALUE"""),"Q43B")</f>
        <v>Q43B</v>
      </c>
      <c r="E453" s="7" t="str">
        <f>IFERROR(__xludf.DUMMYFUNCTION("""COMPUTED_VALUE"""),"Q43b. Trust parliament/national assembly")</f>
        <v>Q43b. Trust parliament/national assembly</v>
      </c>
      <c r="F453" s="7" t="str">
        <f>IFERROR(__xludf.DUMMYFUNCTION("""COMPUTED_VALUE"""),"The National Assembly")</f>
        <v>The National Assembly</v>
      </c>
    </row>
    <row r="454">
      <c r="A454" s="7" t="str">
        <f>IFERROR(__xludf.DUMMYFUNCTION("""COMPUTED_VALUE"""),"GHANA")</f>
        <v>GHANA</v>
      </c>
      <c r="B454" s="7">
        <f>IFERROR(__xludf.DUMMYFUNCTION("""COMPUTED_VALUE"""),7.0)</f>
        <v>7</v>
      </c>
      <c r="C454" s="7" t="str">
        <f>IFERROR(__xludf.DUMMYFUNCTION("""COMPUTED_VALUE"""),"H_14")</f>
        <v>H_14</v>
      </c>
      <c r="D454" s="7" t="str">
        <f>IFERROR(__xludf.DUMMYFUNCTION("""COMPUTED_VALUE"""),"Q43B")</f>
        <v>Q43B</v>
      </c>
      <c r="E454" s="7" t="str">
        <f>IFERROR(__xludf.DUMMYFUNCTION("""COMPUTED_VALUE"""),"Q43b. Trust parliament/national assembly")</f>
        <v>Q43b. Trust parliament/national assembly</v>
      </c>
      <c r="F454" s="7" t="str">
        <f>IFERROR(__xludf.DUMMYFUNCTION("""COMPUTED_VALUE"""),"Parliament")</f>
        <v>Parliament</v>
      </c>
    </row>
    <row r="455">
      <c r="A455" s="7" t="str">
        <f>IFERROR(__xludf.DUMMYFUNCTION("""COMPUTED_VALUE"""),"GUINEA")</f>
        <v>GUINEA</v>
      </c>
      <c r="B455" s="7">
        <f>IFERROR(__xludf.DUMMYFUNCTION("""COMPUTED_VALUE"""),7.0)</f>
        <v>7</v>
      </c>
      <c r="C455" s="7" t="str">
        <f>IFERROR(__xludf.DUMMYFUNCTION("""COMPUTED_VALUE"""),"H_14")</f>
        <v>H_14</v>
      </c>
      <c r="D455" s="7" t="str">
        <f>IFERROR(__xludf.DUMMYFUNCTION("""COMPUTED_VALUE"""),"Q43B")</f>
        <v>Q43B</v>
      </c>
      <c r="E455" s="7" t="str">
        <f>IFERROR(__xludf.DUMMYFUNCTION("""COMPUTED_VALUE"""),"Q43b. Trust parliament/national assembly")</f>
        <v>Q43b. Trust parliament/national assembly</v>
      </c>
      <c r="F455" s="7" t="str">
        <f>IFERROR(__xludf.DUMMYFUNCTION("""COMPUTED_VALUE"""),"National Assembly")</f>
        <v>National Assembly</v>
      </c>
    </row>
    <row r="456">
      <c r="A456" s="7" t="str">
        <f>IFERROR(__xludf.DUMMYFUNCTION("""COMPUTED_VALUE"""),"KENYA")</f>
        <v>KENYA</v>
      </c>
      <c r="B456" s="7">
        <f>IFERROR(__xludf.DUMMYFUNCTION("""COMPUTED_VALUE"""),7.0)</f>
        <v>7</v>
      </c>
      <c r="C456" s="7" t="str">
        <f>IFERROR(__xludf.DUMMYFUNCTION("""COMPUTED_VALUE"""),"H_14")</f>
        <v>H_14</v>
      </c>
      <c r="D456" s="7" t="str">
        <f>IFERROR(__xludf.DUMMYFUNCTION("""COMPUTED_VALUE"""),"Q43B")</f>
        <v>Q43B</v>
      </c>
      <c r="E456" s="7" t="str">
        <f>IFERROR(__xludf.DUMMYFUNCTION("""COMPUTED_VALUE"""),"Q43b. Trust parliament/national assembly")</f>
        <v>Q43b. Trust parliament/national assembly</v>
      </c>
      <c r="F456" s="7" t="str">
        <f>IFERROR(__xludf.DUMMYFUNCTION("""COMPUTED_VALUE"""),"Parliament")</f>
        <v>Parliament</v>
      </c>
    </row>
    <row r="457">
      <c r="A457" s="7" t="str">
        <f>IFERROR(__xludf.DUMMYFUNCTION("""COMPUTED_VALUE"""),"LESOTHO")</f>
        <v>LESOTHO</v>
      </c>
      <c r="B457" s="7">
        <f>IFERROR(__xludf.DUMMYFUNCTION("""COMPUTED_VALUE"""),7.0)</f>
        <v>7</v>
      </c>
      <c r="C457" s="7" t="str">
        <f>IFERROR(__xludf.DUMMYFUNCTION("""COMPUTED_VALUE"""),"H_14")</f>
        <v>H_14</v>
      </c>
      <c r="D457" s="7" t="str">
        <f>IFERROR(__xludf.DUMMYFUNCTION("""COMPUTED_VALUE"""),"Q43B")</f>
        <v>Q43B</v>
      </c>
      <c r="E457" s="7" t="str">
        <f>IFERROR(__xludf.DUMMYFUNCTION("""COMPUTED_VALUE"""),"Q43b. Trust parliament/national assembly")</f>
        <v>Q43b. Trust parliament/national assembly</v>
      </c>
      <c r="F457" s="7" t="str">
        <f>IFERROR(__xludf.DUMMYFUNCTION("""COMPUTED_VALUE"""),"Parliament")</f>
        <v>Parliament</v>
      </c>
    </row>
    <row r="458">
      <c r="A458" s="7" t="str">
        <f>IFERROR(__xludf.DUMMYFUNCTION("""COMPUTED_VALUE"""),"LIBERIA")</f>
        <v>LIBERIA</v>
      </c>
      <c r="B458" s="7">
        <f>IFERROR(__xludf.DUMMYFUNCTION("""COMPUTED_VALUE"""),7.0)</f>
        <v>7</v>
      </c>
      <c r="C458" s="7" t="str">
        <f>IFERROR(__xludf.DUMMYFUNCTION("""COMPUTED_VALUE"""),"H_14")</f>
        <v>H_14</v>
      </c>
      <c r="D458" s="7" t="str">
        <f>IFERROR(__xludf.DUMMYFUNCTION("""COMPUTED_VALUE"""),"Q43B")</f>
        <v>Q43B</v>
      </c>
      <c r="E458" s="7" t="str">
        <f>IFERROR(__xludf.DUMMYFUNCTION("""COMPUTED_VALUE"""),"Q43b. Trust parliament/national assembly")</f>
        <v>Q43b. Trust parliament/national assembly</v>
      </c>
      <c r="F458" s="7" t="str">
        <f>IFERROR(__xludf.DUMMYFUNCTION("""COMPUTED_VALUE"""),"B. The House of Representatives
B1-LIB The Senate
")</f>
        <v>B. The House of Representatives
B1-LIB The Senate
</v>
      </c>
    </row>
    <row r="459">
      <c r="A459" s="7" t="str">
        <f>IFERROR(__xludf.DUMMYFUNCTION("""COMPUTED_VALUE"""),"MADAGASCAR")</f>
        <v>MADAGASCAR</v>
      </c>
      <c r="B459" s="7">
        <f>IFERROR(__xludf.DUMMYFUNCTION("""COMPUTED_VALUE"""),7.0)</f>
        <v>7</v>
      </c>
      <c r="C459" s="7" t="str">
        <f>IFERROR(__xludf.DUMMYFUNCTION("""COMPUTED_VALUE"""),"H_14")</f>
        <v>H_14</v>
      </c>
      <c r="D459" s="7" t="str">
        <f>IFERROR(__xludf.DUMMYFUNCTION("""COMPUTED_VALUE"""),"Q43B")</f>
        <v>Q43B</v>
      </c>
      <c r="E459" s="7" t="str">
        <f>IFERROR(__xludf.DUMMYFUNCTION("""COMPUTED_VALUE"""),"Q43b. Trust parliament/national assembly")</f>
        <v>Q43b. Trust parliament/national assembly</v>
      </c>
      <c r="F459" s="7" t="str">
        <f>IFERROR(__xludf.DUMMYFUNCTION("""COMPUTED_VALUE"""),"The National Assembly")</f>
        <v>The National Assembly</v>
      </c>
    </row>
    <row r="460">
      <c r="A460" s="7" t="str">
        <f>IFERROR(__xludf.DUMMYFUNCTION("""COMPUTED_VALUE"""),"MALAWI")</f>
        <v>MALAWI</v>
      </c>
      <c r="B460" s="7">
        <f>IFERROR(__xludf.DUMMYFUNCTION("""COMPUTED_VALUE"""),7.0)</f>
        <v>7</v>
      </c>
      <c r="C460" s="7" t="str">
        <f>IFERROR(__xludf.DUMMYFUNCTION("""COMPUTED_VALUE"""),"H_14")</f>
        <v>H_14</v>
      </c>
      <c r="D460" s="7" t="str">
        <f>IFERROR(__xludf.DUMMYFUNCTION("""COMPUTED_VALUE"""),"Q43B")</f>
        <v>Q43B</v>
      </c>
      <c r="E460" s="7" t="str">
        <f>IFERROR(__xludf.DUMMYFUNCTION("""COMPUTED_VALUE"""),"Q43b. Trust parliament/national assembly")</f>
        <v>Q43b. Trust parliament/national assembly</v>
      </c>
      <c r="F460" s="7" t="str">
        <f>IFERROR(__xludf.DUMMYFUNCTION("""COMPUTED_VALUE"""),"Parliament")</f>
        <v>Parliament</v>
      </c>
    </row>
    <row r="461">
      <c r="A461" s="7" t="str">
        <f>IFERROR(__xludf.DUMMYFUNCTION("""COMPUTED_VALUE"""),"MALI")</f>
        <v>MALI</v>
      </c>
      <c r="B461" s="7">
        <f>IFERROR(__xludf.DUMMYFUNCTION("""COMPUTED_VALUE"""),7.0)</f>
        <v>7</v>
      </c>
      <c r="C461" s="7" t="str">
        <f>IFERROR(__xludf.DUMMYFUNCTION("""COMPUTED_VALUE"""),"H_14")</f>
        <v>H_14</v>
      </c>
      <c r="D461" s="7" t="str">
        <f>IFERROR(__xludf.DUMMYFUNCTION("""COMPUTED_VALUE"""),"Q43B")</f>
        <v>Q43B</v>
      </c>
      <c r="E461" s="7" t="str">
        <f>IFERROR(__xludf.DUMMYFUNCTION("""COMPUTED_VALUE"""),"Q43b. Trust parliament/national assembly")</f>
        <v>Q43b. Trust parliament/national assembly</v>
      </c>
      <c r="F461" s="7" t="str">
        <f>IFERROR(__xludf.DUMMYFUNCTION("""COMPUTED_VALUE"""),"National Assembly")</f>
        <v>National Assembly</v>
      </c>
    </row>
    <row r="462">
      <c r="A462" s="7" t="str">
        <f>IFERROR(__xludf.DUMMYFUNCTION("""COMPUTED_VALUE"""),"MAURITIUS")</f>
        <v>MAURITIUS</v>
      </c>
      <c r="B462" s="7">
        <f>IFERROR(__xludf.DUMMYFUNCTION("""COMPUTED_VALUE"""),7.0)</f>
        <v>7</v>
      </c>
      <c r="C462" s="7" t="str">
        <f>IFERROR(__xludf.DUMMYFUNCTION("""COMPUTED_VALUE"""),"H_14")</f>
        <v>H_14</v>
      </c>
      <c r="D462" s="7" t="str">
        <f>IFERROR(__xludf.DUMMYFUNCTION("""COMPUTED_VALUE"""),"Q43B")</f>
        <v>Q43B</v>
      </c>
      <c r="E462" s="7" t="str">
        <f>IFERROR(__xludf.DUMMYFUNCTION("""COMPUTED_VALUE"""),"Q43b. Trust parliament/national assembly")</f>
        <v>Q43b. Trust parliament/national assembly</v>
      </c>
      <c r="F462" s="7" t="str">
        <f>IFERROR(__xludf.DUMMYFUNCTION("""COMPUTED_VALUE"""),"National Assembly")</f>
        <v>National Assembly</v>
      </c>
    </row>
    <row r="463">
      <c r="A463" s="7" t="str">
        <f>IFERROR(__xludf.DUMMYFUNCTION("""COMPUTED_VALUE"""),"MOROCCO")</f>
        <v>MOROCCO</v>
      </c>
      <c r="B463" s="7">
        <f>IFERROR(__xludf.DUMMYFUNCTION("""COMPUTED_VALUE"""),7.0)</f>
        <v>7</v>
      </c>
      <c r="C463" s="7" t="str">
        <f>IFERROR(__xludf.DUMMYFUNCTION("""COMPUTED_VALUE"""),"H_14")</f>
        <v>H_14</v>
      </c>
      <c r="D463" s="7" t="str">
        <f>IFERROR(__xludf.DUMMYFUNCTION("""COMPUTED_VALUE"""),"Q43B")</f>
        <v>Q43B</v>
      </c>
      <c r="E463" s="7" t="str">
        <f>IFERROR(__xludf.DUMMYFUNCTION("""COMPUTED_VALUE"""),"Q43b. Trust parliament/national assembly")</f>
        <v>Q43b. Trust parliament/national assembly</v>
      </c>
      <c r="F463" s="7" t="str">
        <f>IFERROR(__xludf.DUMMYFUNCTION("""COMPUTED_VALUE"""),"Parliament")</f>
        <v>Parliament</v>
      </c>
    </row>
    <row r="464">
      <c r="A464" s="7" t="str">
        <f>IFERROR(__xludf.DUMMYFUNCTION("""COMPUTED_VALUE"""),"MOZAMBIQUE")</f>
        <v>MOZAMBIQUE</v>
      </c>
      <c r="B464" s="7">
        <f>IFERROR(__xludf.DUMMYFUNCTION("""COMPUTED_VALUE"""),7.0)</f>
        <v>7</v>
      </c>
      <c r="C464" s="7" t="str">
        <f>IFERROR(__xludf.DUMMYFUNCTION("""COMPUTED_VALUE"""),"H_14")</f>
        <v>H_14</v>
      </c>
      <c r="D464" s="7" t="str">
        <f>IFERROR(__xludf.DUMMYFUNCTION("""COMPUTED_VALUE"""),"Q43B")</f>
        <v>Q43B</v>
      </c>
      <c r="E464" s="7" t="str">
        <f>IFERROR(__xludf.DUMMYFUNCTION("""COMPUTED_VALUE"""),"Q43b. Trust parliament/national assembly")</f>
        <v>Q43b. Trust parliament/national assembly</v>
      </c>
      <c r="F464" s="7" t="str">
        <f>IFERROR(__xludf.DUMMYFUNCTION("""COMPUTED_VALUE"""),"Parliament")</f>
        <v>Parliament</v>
      </c>
    </row>
    <row r="465">
      <c r="A465" s="7" t="str">
        <f>IFERROR(__xludf.DUMMYFUNCTION("""COMPUTED_VALUE"""),"NAMIBIA")</f>
        <v>NAMIBIA</v>
      </c>
      <c r="B465" s="7">
        <f>IFERROR(__xludf.DUMMYFUNCTION("""COMPUTED_VALUE"""),7.0)</f>
        <v>7</v>
      </c>
      <c r="C465" s="7" t="str">
        <f>IFERROR(__xludf.DUMMYFUNCTION("""COMPUTED_VALUE"""),"H_14")</f>
        <v>H_14</v>
      </c>
      <c r="D465" s="7" t="str">
        <f>IFERROR(__xludf.DUMMYFUNCTION("""COMPUTED_VALUE"""),"Q43B")</f>
        <v>Q43B</v>
      </c>
      <c r="E465" s="7" t="str">
        <f>IFERROR(__xludf.DUMMYFUNCTION("""COMPUTED_VALUE"""),"Q43b. Trust parliament/national assembly")</f>
        <v>Q43b. Trust parliament/national assembly</v>
      </c>
      <c r="F465" s="7" t="str">
        <f>IFERROR(__xludf.DUMMYFUNCTION("""COMPUTED_VALUE"""),"B. The National Assembly
B1-NAM. The National Council
")</f>
        <v>B. The National Assembly
B1-NAM. The National Council
</v>
      </c>
    </row>
    <row r="466">
      <c r="A466" s="7" t="str">
        <f>IFERROR(__xludf.DUMMYFUNCTION("""COMPUTED_VALUE"""),"NIGER")</f>
        <v>NIGER</v>
      </c>
      <c r="B466" s="7">
        <f>IFERROR(__xludf.DUMMYFUNCTION("""COMPUTED_VALUE"""),7.0)</f>
        <v>7</v>
      </c>
      <c r="C466" s="7" t="str">
        <f>IFERROR(__xludf.DUMMYFUNCTION("""COMPUTED_VALUE"""),"H_14")</f>
        <v>H_14</v>
      </c>
      <c r="D466" s="7" t="str">
        <f>IFERROR(__xludf.DUMMYFUNCTION("""COMPUTED_VALUE"""),"Q43B")</f>
        <v>Q43B</v>
      </c>
      <c r="E466" s="7" t="str">
        <f>IFERROR(__xludf.DUMMYFUNCTION("""COMPUTED_VALUE"""),"Q43b. Trust parliament/national assembly")</f>
        <v>Q43b. Trust parliament/national assembly</v>
      </c>
      <c r="F466" s="7" t="str">
        <f>IFERROR(__xludf.DUMMYFUNCTION("""COMPUTED_VALUE"""),"The National Assembly")</f>
        <v>The National Assembly</v>
      </c>
    </row>
    <row r="467">
      <c r="A467" s="7" t="str">
        <f>IFERROR(__xludf.DUMMYFUNCTION("""COMPUTED_VALUE"""),"NIGERIA")</f>
        <v>NIGERIA</v>
      </c>
      <c r="B467" s="7">
        <f>IFERROR(__xludf.DUMMYFUNCTION("""COMPUTED_VALUE"""),7.0)</f>
        <v>7</v>
      </c>
      <c r="C467" s="7" t="str">
        <f>IFERROR(__xludf.DUMMYFUNCTION("""COMPUTED_VALUE"""),"H_14")</f>
        <v>H_14</v>
      </c>
      <c r="D467" s="7" t="str">
        <f>IFERROR(__xludf.DUMMYFUNCTION("""COMPUTED_VALUE"""),"Q43B")</f>
        <v>Q43B</v>
      </c>
      <c r="E467" s="7" t="str">
        <f>IFERROR(__xludf.DUMMYFUNCTION("""COMPUTED_VALUE"""),"Q43b. Trust parliament/national assembly")</f>
        <v>Q43b. Trust parliament/national assembly</v>
      </c>
      <c r="F467" s="7" t="str">
        <f>IFERROR(__xludf.DUMMYFUNCTION("""COMPUTED_VALUE"""),"The National Assembly")</f>
        <v>The National Assembly</v>
      </c>
    </row>
    <row r="468">
      <c r="A468" s="7" t="str">
        <f>IFERROR(__xludf.DUMMYFUNCTION("""COMPUTED_VALUE"""),"SAO TOME AND PRINCIPE")</f>
        <v>SAO TOME AND PRINCIPE</v>
      </c>
      <c r="B468" s="7">
        <f>IFERROR(__xludf.DUMMYFUNCTION("""COMPUTED_VALUE"""),7.0)</f>
        <v>7</v>
      </c>
      <c r="C468" s="7" t="str">
        <f>IFERROR(__xludf.DUMMYFUNCTION("""COMPUTED_VALUE"""),"H_14")</f>
        <v>H_14</v>
      </c>
      <c r="D468" s="7" t="str">
        <f>IFERROR(__xludf.DUMMYFUNCTION("""COMPUTED_VALUE"""),"Q43B")</f>
        <v>Q43B</v>
      </c>
      <c r="E468" s="7" t="str">
        <f>IFERROR(__xludf.DUMMYFUNCTION("""COMPUTED_VALUE"""),"Q43b. Trust parliament/national assembly")</f>
        <v>Q43b. Trust parliament/national assembly</v>
      </c>
      <c r="F468" s="7" t="str">
        <f>IFERROR(__xludf.DUMMYFUNCTION("""COMPUTED_VALUE"""),"The National Assembly")</f>
        <v>The National Assembly</v>
      </c>
    </row>
    <row r="469">
      <c r="A469" s="7" t="str">
        <f>IFERROR(__xludf.DUMMYFUNCTION("""COMPUTED_VALUE"""),"SENEGAL")</f>
        <v>SENEGAL</v>
      </c>
      <c r="B469" s="7">
        <f>IFERROR(__xludf.DUMMYFUNCTION("""COMPUTED_VALUE"""),7.0)</f>
        <v>7</v>
      </c>
      <c r="C469" s="7" t="str">
        <f>IFERROR(__xludf.DUMMYFUNCTION("""COMPUTED_VALUE"""),"H_14")</f>
        <v>H_14</v>
      </c>
      <c r="D469" s="7" t="str">
        <f>IFERROR(__xludf.DUMMYFUNCTION("""COMPUTED_VALUE"""),"Q43B")</f>
        <v>Q43B</v>
      </c>
      <c r="E469" s="7" t="str">
        <f>IFERROR(__xludf.DUMMYFUNCTION("""COMPUTED_VALUE"""),"Q43b. Trust parliament/national assembly")</f>
        <v>Q43b. Trust parliament/national assembly</v>
      </c>
      <c r="F469" s="7" t="str">
        <f>IFERROR(__xludf.DUMMYFUNCTION("""COMPUTED_VALUE"""),"The National Assembly")</f>
        <v>The National Assembly</v>
      </c>
    </row>
    <row r="470">
      <c r="A470" s="7" t="str">
        <f>IFERROR(__xludf.DUMMYFUNCTION("""COMPUTED_VALUE"""),"SIERRA LEONE")</f>
        <v>SIERRA LEONE</v>
      </c>
      <c r="B470" s="7">
        <f>IFERROR(__xludf.DUMMYFUNCTION("""COMPUTED_VALUE"""),7.0)</f>
        <v>7</v>
      </c>
      <c r="C470" s="7" t="str">
        <f>IFERROR(__xludf.DUMMYFUNCTION("""COMPUTED_VALUE"""),"H_14")</f>
        <v>H_14</v>
      </c>
      <c r="D470" s="7" t="str">
        <f>IFERROR(__xludf.DUMMYFUNCTION("""COMPUTED_VALUE"""),"Q43B")</f>
        <v>Q43B</v>
      </c>
      <c r="E470" s="7" t="str">
        <f>IFERROR(__xludf.DUMMYFUNCTION("""COMPUTED_VALUE"""),"Q43b. Trust parliament/national assembly")</f>
        <v>Q43b. Trust parliament/national assembly</v>
      </c>
      <c r="F470" s="7" t="str">
        <f>IFERROR(__xludf.DUMMYFUNCTION("""COMPUTED_VALUE"""),"Parliament")</f>
        <v>Parliament</v>
      </c>
    </row>
    <row r="471">
      <c r="A471" s="7" t="str">
        <f>IFERROR(__xludf.DUMMYFUNCTION("""COMPUTED_VALUE"""),"SOUTH AFRICA")</f>
        <v>SOUTH AFRICA</v>
      </c>
      <c r="B471" s="7">
        <f>IFERROR(__xludf.DUMMYFUNCTION("""COMPUTED_VALUE"""),7.0)</f>
        <v>7</v>
      </c>
      <c r="C471" s="7" t="str">
        <f>IFERROR(__xludf.DUMMYFUNCTION("""COMPUTED_VALUE"""),"H_14")</f>
        <v>H_14</v>
      </c>
      <c r="D471" s="7" t="str">
        <f>IFERROR(__xludf.DUMMYFUNCTION("""COMPUTED_VALUE"""),"Q43B")</f>
        <v>Q43B</v>
      </c>
      <c r="E471" s="7" t="str">
        <f>IFERROR(__xludf.DUMMYFUNCTION("""COMPUTED_VALUE"""),"Q43b. Trust parliament/national assembly")</f>
        <v>Q43b. Trust parliament/national assembly</v>
      </c>
      <c r="F471" s="7" t="str">
        <f>IFERROR(__xludf.DUMMYFUNCTION("""COMPUTED_VALUE"""),"Parliament")</f>
        <v>Parliament</v>
      </c>
    </row>
    <row r="472">
      <c r="A472" s="7" t="str">
        <f>IFERROR(__xludf.DUMMYFUNCTION("""COMPUTED_VALUE"""),"SUDAN")</f>
        <v>SUDAN</v>
      </c>
      <c r="B472" s="7">
        <f>IFERROR(__xludf.DUMMYFUNCTION("""COMPUTED_VALUE"""),7.0)</f>
        <v>7</v>
      </c>
      <c r="C472" s="7" t="str">
        <f>IFERROR(__xludf.DUMMYFUNCTION("""COMPUTED_VALUE"""),"H_14")</f>
        <v>H_14</v>
      </c>
      <c r="D472" s="7" t="str">
        <f>IFERROR(__xludf.DUMMYFUNCTION("""COMPUTED_VALUE"""),"Q43B")</f>
        <v>Q43B</v>
      </c>
      <c r="E472" s="7" t="str">
        <f>IFERROR(__xludf.DUMMYFUNCTION("""COMPUTED_VALUE"""),"Q43b. Trust parliament/national assembly")</f>
        <v>Q43b. Trust parliament/national assembly</v>
      </c>
      <c r="F472" s="7" t="str">
        <f>IFERROR(__xludf.DUMMYFUNCTION("""COMPUTED_VALUE"""),"National Assembly")</f>
        <v>National Assembly</v>
      </c>
    </row>
    <row r="473">
      <c r="A473" s="7" t="str">
        <f>IFERROR(__xludf.DUMMYFUNCTION("""COMPUTED_VALUE"""),"TANZANIA")</f>
        <v>TANZANIA</v>
      </c>
      <c r="B473" s="7">
        <f>IFERROR(__xludf.DUMMYFUNCTION("""COMPUTED_VALUE"""),7.0)</f>
        <v>7</v>
      </c>
      <c r="C473" s="7" t="str">
        <f>IFERROR(__xludf.DUMMYFUNCTION("""COMPUTED_VALUE"""),"H_14")</f>
        <v>H_14</v>
      </c>
      <c r="D473" s="7" t="str">
        <f>IFERROR(__xludf.DUMMYFUNCTION("""COMPUTED_VALUE"""),"Q43B")</f>
        <v>Q43B</v>
      </c>
      <c r="E473" s="7" t="str">
        <f>IFERROR(__xludf.DUMMYFUNCTION("""COMPUTED_VALUE"""),"Q43b. Trust parliament/national assembly")</f>
        <v>Q43b. Trust parliament/national assembly</v>
      </c>
      <c r="F473" s="7" t="str">
        <f>IFERROR(__xludf.DUMMYFUNCTION("""COMPUTED_VALUE"""),"Parliament")</f>
        <v>Parliament</v>
      </c>
    </row>
    <row r="474">
      <c r="A474" s="7" t="str">
        <f>IFERROR(__xludf.DUMMYFUNCTION("""COMPUTED_VALUE"""),"TOGO")</f>
        <v>TOGO</v>
      </c>
      <c r="B474" s="7">
        <f>IFERROR(__xludf.DUMMYFUNCTION("""COMPUTED_VALUE"""),7.0)</f>
        <v>7</v>
      </c>
      <c r="C474" s="7" t="str">
        <f>IFERROR(__xludf.DUMMYFUNCTION("""COMPUTED_VALUE"""),"H_14")</f>
        <v>H_14</v>
      </c>
      <c r="D474" s="7" t="str">
        <f>IFERROR(__xludf.DUMMYFUNCTION("""COMPUTED_VALUE"""),"Q43B")</f>
        <v>Q43B</v>
      </c>
      <c r="E474" s="7" t="str">
        <f>IFERROR(__xludf.DUMMYFUNCTION("""COMPUTED_VALUE"""),"Q43b. Trust parliament/national assembly")</f>
        <v>Q43b. Trust parliament/national assembly</v>
      </c>
      <c r="F474" s="7" t="str">
        <f>IFERROR(__xludf.DUMMYFUNCTION("""COMPUTED_VALUE"""),"National Assembly")</f>
        <v>National Assembly</v>
      </c>
    </row>
    <row r="475">
      <c r="A475" s="7" t="str">
        <f>IFERROR(__xludf.DUMMYFUNCTION("""COMPUTED_VALUE"""),"TUNISIA")</f>
        <v>TUNISIA</v>
      </c>
      <c r="B475" s="7">
        <f>IFERROR(__xludf.DUMMYFUNCTION("""COMPUTED_VALUE"""),7.0)</f>
        <v>7</v>
      </c>
      <c r="C475" s="7" t="str">
        <f>IFERROR(__xludf.DUMMYFUNCTION("""COMPUTED_VALUE"""),"H_14")</f>
        <v>H_14</v>
      </c>
      <c r="D475" s="7" t="str">
        <f>IFERROR(__xludf.DUMMYFUNCTION("""COMPUTED_VALUE"""),"Q43B")</f>
        <v>Q43B</v>
      </c>
      <c r="E475" s="7" t="str">
        <f>IFERROR(__xludf.DUMMYFUNCTION("""COMPUTED_VALUE"""),"Q43b. Trust parliament/national assembly")</f>
        <v>Q43b. Trust parliament/national assembly</v>
      </c>
      <c r="F475" s="7" t="str">
        <f>IFERROR(__xludf.DUMMYFUNCTION("""COMPUTED_VALUE"""),"Parliament")</f>
        <v>Parliament</v>
      </c>
    </row>
    <row r="476">
      <c r="A476" s="7" t="str">
        <f>IFERROR(__xludf.DUMMYFUNCTION("""COMPUTED_VALUE"""),"UGANDA")</f>
        <v>UGANDA</v>
      </c>
      <c r="B476" s="7">
        <f>IFERROR(__xludf.DUMMYFUNCTION("""COMPUTED_VALUE"""),7.0)</f>
        <v>7</v>
      </c>
      <c r="C476" s="7" t="str">
        <f>IFERROR(__xludf.DUMMYFUNCTION("""COMPUTED_VALUE"""),"H_14")</f>
        <v>H_14</v>
      </c>
      <c r="D476" s="7" t="str">
        <f>IFERROR(__xludf.DUMMYFUNCTION("""COMPUTED_VALUE"""),"Q43B")</f>
        <v>Q43B</v>
      </c>
      <c r="E476" s="7" t="str">
        <f>IFERROR(__xludf.DUMMYFUNCTION("""COMPUTED_VALUE"""),"Q43b. Trust parliament/national assembly")</f>
        <v>Q43b. Trust parliament/national assembly</v>
      </c>
      <c r="F476" s="7" t="str">
        <f>IFERROR(__xludf.DUMMYFUNCTION("""COMPUTED_VALUE"""),"Parliament")</f>
        <v>Parliament</v>
      </c>
    </row>
    <row r="477">
      <c r="A477" s="7" t="str">
        <f>IFERROR(__xludf.DUMMYFUNCTION("""COMPUTED_VALUE"""),"ZAMBIA")</f>
        <v>ZAMBIA</v>
      </c>
      <c r="B477" s="7">
        <f>IFERROR(__xludf.DUMMYFUNCTION("""COMPUTED_VALUE"""),7.0)</f>
        <v>7</v>
      </c>
      <c r="C477" s="7" t="str">
        <f>IFERROR(__xludf.DUMMYFUNCTION("""COMPUTED_VALUE"""),"H_14")</f>
        <v>H_14</v>
      </c>
      <c r="D477" s="7" t="str">
        <f>IFERROR(__xludf.DUMMYFUNCTION("""COMPUTED_VALUE"""),"Q43B")</f>
        <v>Q43B</v>
      </c>
      <c r="E477" s="7" t="str">
        <f>IFERROR(__xludf.DUMMYFUNCTION("""COMPUTED_VALUE"""),"Q43b. Trust parliament/national assembly")</f>
        <v>Q43b. Trust parliament/national assembly</v>
      </c>
      <c r="F477" s="7" t="str">
        <f>IFERROR(__xludf.DUMMYFUNCTION("""COMPUTED_VALUE"""),"Parliament")</f>
        <v>Parliament</v>
      </c>
    </row>
    <row r="478">
      <c r="A478" s="7" t="str">
        <f>IFERROR(__xludf.DUMMYFUNCTION("""COMPUTED_VALUE"""),"ZIMBABWE")</f>
        <v>ZIMBABWE</v>
      </c>
      <c r="B478" s="7">
        <f>IFERROR(__xludf.DUMMYFUNCTION("""COMPUTED_VALUE"""),7.0)</f>
        <v>7</v>
      </c>
      <c r="C478" s="7" t="str">
        <f>IFERROR(__xludf.DUMMYFUNCTION("""COMPUTED_VALUE"""),"H_14")</f>
        <v>H_14</v>
      </c>
      <c r="D478" s="7" t="str">
        <f>IFERROR(__xludf.DUMMYFUNCTION("""COMPUTED_VALUE"""),"Q43B")</f>
        <v>Q43B</v>
      </c>
      <c r="E478" s="7" t="str">
        <f>IFERROR(__xludf.DUMMYFUNCTION("""COMPUTED_VALUE"""),"Q43b. Trust parliament/national assembly")</f>
        <v>Q43b. Trust parliament/national assembly</v>
      </c>
      <c r="F478" s="7" t="str">
        <f>IFERROR(__xludf.DUMMYFUNCTION("""COMPUTED_VALUE"""),"Parliament")</f>
        <v>Parliament</v>
      </c>
    </row>
    <row r="479">
      <c r="A479" s="7" t="str">
        <f>IFERROR(__xludf.DUMMYFUNCTION("""COMPUTED_VALUE"""),"BENIN")</f>
        <v>BENIN</v>
      </c>
      <c r="B479" s="7">
        <f>IFERROR(__xludf.DUMMYFUNCTION("""COMPUTED_VALUE"""),7.0)</f>
        <v>7</v>
      </c>
      <c r="C479" s="7" t="str">
        <f>IFERROR(__xludf.DUMMYFUNCTION("""COMPUTED_VALUE"""),"H_09")</f>
        <v>H_09</v>
      </c>
      <c r="D479" s="7" t="str">
        <f>IFERROR(__xludf.DUMMYFUNCTION("""COMPUTED_VALUE"""),"Q43C")</f>
        <v>Q43C</v>
      </c>
      <c r="E479" s="7" t="str">
        <f>IFERROR(__xludf.DUMMYFUNCTION("""COMPUTED_VALUE"""),"Q43c. Trust national electoral commission")</f>
        <v>Q43c. Trust national electoral commission</v>
      </c>
      <c r="F479" s="7" t="str">
        <f>IFERROR(__xludf.DUMMYFUNCTION("""COMPUTED_VALUE"""),"The Autonomous National Electoral Commission (CENA)")</f>
        <v>The Autonomous National Electoral Commission (CENA)</v>
      </c>
    </row>
    <row r="480">
      <c r="A480" s="7" t="str">
        <f>IFERROR(__xludf.DUMMYFUNCTION("""COMPUTED_VALUE"""),"BOTSWANA")</f>
        <v>BOTSWANA</v>
      </c>
      <c r="B480" s="7">
        <f>IFERROR(__xludf.DUMMYFUNCTION("""COMPUTED_VALUE"""),7.0)</f>
        <v>7</v>
      </c>
      <c r="C480" s="7" t="str">
        <f>IFERROR(__xludf.DUMMYFUNCTION("""COMPUTED_VALUE"""),"H_09")</f>
        <v>H_09</v>
      </c>
      <c r="D480" s="7" t="str">
        <f>IFERROR(__xludf.DUMMYFUNCTION("""COMPUTED_VALUE"""),"Q43C")</f>
        <v>Q43C</v>
      </c>
      <c r="E480" s="7" t="str">
        <f>IFERROR(__xludf.DUMMYFUNCTION("""COMPUTED_VALUE"""),"Q43c. Trust national electoral commission")</f>
        <v>Q43c. Trust national electoral commission</v>
      </c>
      <c r="F480" s="7" t="str">
        <f>IFERROR(__xludf.DUMMYFUNCTION("""COMPUTED_VALUE"""),"The Independent Electoral Commission")</f>
        <v>The Independent Electoral Commission</v>
      </c>
    </row>
    <row r="481">
      <c r="A481" s="7" t="str">
        <f>IFERROR(__xludf.DUMMYFUNCTION("""COMPUTED_VALUE"""),"BURKINA FASO")</f>
        <v>BURKINA FASO</v>
      </c>
      <c r="B481" s="7">
        <f>IFERROR(__xludf.DUMMYFUNCTION("""COMPUTED_VALUE"""),7.0)</f>
        <v>7</v>
      </c>
      <c r="C481" s="7" t="str">
        <f>IFERROR(__xludf.DUMMYFUNCTION("""COMPUTED_VALUE"""),"H_09")</f>
        <v>H_09</v>
      </c>
      <c r="D481" s="7" t="str">
        <f>IFERROR(__xludf.DUMMYFUNCTION("""COMPUTED_VALUE"""),"Q43C")</f>
        <v>Q43C</v>
      </c>
      <c r="E481" s="7" t="str">
        <f>IFERROR(__xludf.DUMMYFUNCTION("""COMPUTED_VALUE"""),"Q43c. Trust national electoral commission")</f>
        <v>Q43c. Trust national electoral commission</v>
      </c>
      <c r="F481" s="7" t="str">
        <f>IFERROR(__xludf.DUMMYFUNCTION("""COMPUTED_VALUE"""),"The Independent National Electoral Commission (CENI)")</f>
        <v>The Independent National Electoral Commission (CENI)</v>
      </c>
    </row>
    <row r="482">
      <c r="A482" s="7" t="str">
        <f>IFERROR(__xludf.DUMMYFUNCTION("""COMPUTED_VALUE"""),"CABO VERDE")</f>
        <v>CABO VERDE</v>
      </c>
      <c r="B482" s="7">
        <f>IFERROR(__xludf.DUMMYFUNCTION("""COMPUTED_VALUE"""),7.0)</f>
        <v>7</v>
      </c>
      <c r="C482" s="7" t="str">
        <f>IFERROR(__xludf.DUMMYFUNCTION("""COMPUTED_VALUE"""),"H_09")</f>
        <v>H_09</v>
      </c>
      <c r="D482" s="7" t="str">
        <f>IFERROR(__xludf.DUMMYFUNCTION("""COMPUTED_VALUE"""),"Q43C")</f>
        <v>Q43C</v>
      </c>
      <c r="E482" s="7" t="str">
        <f>IFERROR(__xludf.DUMMYFUNCTION("""COMPUTED_VALUE"""),"Q43c. Trust national electoral commission")</f>
        <v>Q43c. Trust national electoral commission</v>
      </c>
      <c r="F482" s="7" t="str">
        <f>IFERROR(__xludf.DUMMYFUNCTION("""COMPUTED_VALUE"""),"The National Electoral Commission")</f>
        <v>The National Electoral Commission</v>
      </c>
    </row>
    <row r="483">
      <c r="A483" s="7" t="str">
        <f>IFERROR(__xludf.DUMMYFUNCTION("""COMPUTED_VALUE"""),"CAMEROON")</f>
        <v>CAMEROON</v>
      </c>
      <c r="B483" s="7">
        <f>IFERROR(__xludf.DUMMYFUNCTION("""COMPUTED_VALUE"""),7.0)</f>
        <v>7</v>
      </c>
      <c r="C483" s="7" t="str">
        <f>IFERROR(__xludf.DUMMYFUNCTION("""COMPUTED_VALUE"""),"H_09")</f>
        <v>H_09</v>
      </c>
      <c r="D483" s="7" t="str">
        <f>IFERROR(__xludf.DUMMYFUNCTION("""COMPUTED_VALUE"""),"Q43C")</f>
        <v>Q43C</v>
      </c>
      <c r="E483" s="7" t="str">
        <f>IFERROR(__xludf.DUMMYFUNCTION("""COMPUTED_VALUE"""),"Q43c. Trust national electoral commission")</f>
        <v>Q43c. Trust national electoral commission</v>
      </c>
      <c r="F483" s="7" t="str">
        <f>IFERROR(__xludf.DUMMYFUNCTION("""COMPUTED_VALUE"""),"Elections Cameroon or ELECAM")</f>
        <v>Elections Cameroon or ELECAM</v>
      </c>
    </row>
    <row r="484">
      <c r="A484" s="7" t="str">
        <f>IFERROR(__xludf.DUMMYFUNCTION("""COMPUTED_VALUE"""),"COTE D'IVOIRE")</f>
        <v>COTE D'IVOIRE</v>
      </c>
      <c r="B484" s="7">
        <f>IFERROR(__xludf.DUMMYFUNCTION("""COMPUTED_VALUE"""),7.0)</f>
        <v>7</v>
      </c>
      <c r="C484" s="7" t="str">
        <f>IFERROR(__xludf.DUMMYFUNCTION("""COMPUTED_VALUE"""),"H_09")</f>
        <v>H_09</v>
      </c>
      <c r="D484" s="7" t="str">
        <f>IFERROR(__xludf.DUMMYFUNCTION("""COMPUTED_VALUE"""),"Q43C")</f>
        <v>Q43C</v>
      </c>
      <c r="E484" s="7" t="str">
        <f>IFERROR(__xludf.DUMMYFUNCTION("""COMPUTED_VALUE"""),"Q43c. Trust national electoral commission")</f>
        <v>Q43c. Trust national electoral commission</v>
      </c>
      <c r="F484" s="7" t="str">
        <f>IFERROR(__xludf.DUMMYFUNCTION("""COMPUTED_VALUE"""),"The Independent Electoral Commission")</f>
        <v>The Independent Electoral Commission</v>
      </c>
    </row>
    <row r="485">
      <c r="A485" s="7" t="str">
        <f>IFERROR(__xludf.DUMMYFUNCTION("""COMPUTED_VALUE"""),"ESWATINI")</f>
        <v>ESWATINI</v>
      </c>
      <c r="B485" s="7">
        <f>IFERROR(__xludf.DUMMYFUNCTION("""COMPUTED_VALUE"""),7.0)</f>
        <v>7</v>
      </c>
      <c r="C485" s="7" t="str">
        <f>IFERROR(__xludf.DUMMYFUNCTION("""COMPUTED_VALUE"""),"H_09")</f>
        <v>H_09</v>
      </c>
      <c r="D485" s="7" t="str">
        <f>IFERROR(__xludf.DUMMYFUNCTION("""COMPUTED_VALUE"""),"Q43C")</f>
        <v>Q43C</v>
      </c>
      <c r="E485" s="7" t="str">
        <f>IFERROR(__xludf.DUMMYFUNCTION("""COMPUTED_VALUE"""),"Q43c. Trust national electoral commission")</f>
        <v>Q43c. Trust national electoral commission</v>
      </c>
      <c r="F485" s="7" t="str">
        <f>IFERROR(__xludf.DUMMYFUNCTION("""COMPUTED_VALUE"""),"The Elections and Boundaries Commission")</f>
        <v>The Elections and Boundaries Commission</v>
      </c>
    </row>
    <row r="486">
      <c r="A486" s="7" t="str">
        <f>IFERROR(__xludf.DUMMYFUNCTION("""COMPUTED_VALUE"""),"GABON")</f>
        <v>GABON</v>
      </c>
      <c r="B486" s="7">
        <f>IFERROR(__xludf.DUMMYFUNCTION("""COMPUTED_VALUE"""),7.0)</f>
        <v>7</v>
      </c>
      <c r="C486" s="7" t="str">
        <f>IFERROR(__xludf.DUMMYFUNCTION("""COMPUTED_VALUE"""),"H_09")</f>
        <v>H_09</v>
      </c>
      <c r="D486" s="7" t="str">
        <f>IFERROR(__xludf.DUMMYFUNCTION("""COMPUTED_VALUE"""),"Q43C")</f>
        <v>Q43C</v>
      </c>
      <c r="E486" s="7" t="str">
        <f>IFERROR(__xludf.DUMMYFUNCTION("""COMPUTED_VALUE"""),"Q43c. Trust national electoral commission")</f>
        <v>Q43c. Trust national electoral commission</v>
      </c>
      <c r="F486" s="7" t="str">
        <f>IFERROR(__xludf.DUMMYFUNCTION("""COMPUTED_VALUE"""),"The Autonomous and Permanent National Electoral Commission")</f>
        <v>The Autonomous and Permanent National Electoral Commission</v>
      </c>
    </row>
    <row r="487">
      <c r="A487" s="7" t="str">
        <f>IFERROR(__xludf.DUMMYFUNCTION("""COMPUTED_VALUE"""),"GAMBIA")</f>
        <v>GAMBIA</v>
      </c>
      <c r="B487" s="7">
        <f>IFERROR(__xludf.DUMMYFUNCTION("""COMPUTED_VALUE"""),7.0)</f>
        <v>7</v>
      </c>
      <c r="C487" s="7" t="str">
        <f>IFERROR(__xludf.DUMMYFUNCTION("""COMPUTED_VALUE"""),"H_09")</f>
        <v>H_09</v>
      </c>
      <c r="D487" s="7" t="str">
        <f>IFERROR(__xludf.DUMMYFUNCTION("""COMPUTED_VALUE"""),"Q43C")</f>
        <v>Q43C</v>
      </c>
      <c r="E487" s="7" t="str">
        <f>IFERROR(__xludf.DUMMYFUNCTION("""COMPUTED_VALUE"""),"Q43c. Trust national electoral commission")</f>
        <v>Q43c. Trust national electoral commission</v>
      </c>
      <c r="F487" s="7" t="str">
        <f>IFERROR(__xludf.DUMMYFUNCTION("""COMPUTED_VALUE"""),"The Independent Electoral  Commission (IEC)")</f>
        <v>The Independent Electoral  Commission (IEC)</v>
      </c>
    </row>
    <row r="488">
      <c r="A488" s="7" t="str">
        <f>IFERROR(__xludf.DUMMYFUNCTION("""COMPUTED_VALUE"""),"GHANA")</f>
        <v>GHANA</v>
      </c>
      <c r="B488" s="7">
        <f>IFERROR(__xludf.DUMMYFUNCTION("""COMPUTED_VALUE"""),7.0)</f>
        <v>7</v>
      </c>
      <c r="C488" s="7" t="str">
        <f>IFERROR(__xludf.DUMMYFUNCTION("""COMPUTED_VALUE"""),"H_09")</f>
        <v>H_09</v>
      </c>
      <c r="D488" s="7" t="str">
        <f>IFERROR(__xludf.DUMMYFUNCTION("""COMPUTED_VALUE"""),"Q43C")</f>
        <v>Q43C</v>
      </c>
      <c r="E488" s="7" t="str">
        <f>IFERROR(__xludf.DUMMYFUNCTION("""COMPUTED_VALUE"""),"Q43c. Trust national electoral commission")</f>
        <v>Q43c. Trust national electoral commission</v>
      </c>
      <c r="F488" s="7" t="str">
        <f>IFERROR(__xludf.DUMMYFUNCTION("""COMPUTED_VALUE"""),"The Electoral Commission (EC)")</f>
        <v>The Electoral Commission (EC)</v>
      </c>
    </row>
    <row r="489">
      <c r="A489" s="7" t="str">
        <f>IFERROR(__xludf.DUMMYFUNCTION("""COMPUTED_VALUE"""),"GUINEA")</f>
        <v>GUINEA</v>
      </c>
      <c r="B489" s="7">
        <f>IFERROR(__xludf.DUMMYFUNCTION("""COMPUTED_VALUE"""),7.0)</f>
        <v>7</v>
      </c>
      <c r="C489" s="7" t="str">
        <f>IFERROR(__xludf.DUMMYFUNCTION("""COMPUTED_VALUE"""),"H_09")</f>
        <v>H_09</v>
      </c>
      <c r="D489" s="7" t="str">
        <f>IFERROR(__xludf.DUMMYFUNCTION("""COMPUTED_VALUE"""),"Q43C")</f>
        <v>Q43C</v>
      </c>
      <c r="E489" s="7" t="str">
        <f>IFERROR(__xludf.DUMMYFUNCTION("""COMPUTED_VALUE"""),"Q43c. Trust national electoral commission")</f>
        <v>Q43c. Trust national electoral commission</v>
      </c>
      <c r="F489" s="7" t="str">
        <f>IFERROR(__xludf.DUMMYFUNCTION("""COMPUTED_VALUE"""),"The National Independent Electoral Commission (CENI)")</f>
        <v>The National Independent Electoral Commission (CENI)</v>
      </c>
    </row>
    <row r="490">
      <c r="A490" s="7" t="str">
        <f>IFERROR(__xludf.DUMMYFUNCTION("""COMPUTED_VALUE"""),"KENYA")</f>
        <v>KENYA</v>
      </c>
      <c r="B490" s="7">
        <f>IFERROR(__xludf.DUMMYFUNCTION("""COMPUTED_VALUE"""),7.0)</f>
        <v>7</v>
      </c>
      <c r="C490" s="7" t="str">
        <f>IFERROR(__xludf.DUMMYFUNCTION("""COMPUTED_VALUE"""),"H_09")</f>
        <v>H_09</v>
      </c>
      <c r="D490" s="7" t="str">
        <f>IFERROR(__xludf.DUMMYFUNCTION("""COMPUTED_VALUE"""),"Q43C")</f>
        <v>Q43C</v>
      </c>
      <c r="E490" s="7" t="str">
        <f>IFERROR(__xludf.DUMMYFUNCTION("""COMPUTED_VALUE"""),"Q43c. Trust national electoral commission")</f>
        <v>Q43c. Trust national electoral commission</v>
      </c>
      <c r="F490" s="7" t="str">
        <f>IFERROR(__xludf.DUMMYFUNCTION("""COMPUTED_VALUE"""),"Independent Electoral and Boundaries Commission")</f>
        <v>Independent Electoral and Boundaries Commission</v>
      </c>
    </row>
    <row r="491">
      <c r="A491" s="7" t="str">
        <f>IFERROR(__xludf.DUMMYFUNCTION("""COMPUTED_VALUE"""),"LESOTHO")</f>
        <v>LESOTHO</v>
      </c>
      <c r="B491" s="7">
        <f>IFERROR(__xludf.DUMMYFUNCTION("""COMPUTED_VALUE"""),7.0)</f>
        <v>7</v>
      </c>
      <c r="C491" s="7" t="str">
        <f>IFERROR(__xludf.DUMMYFUNCTION("""COMPUTED_VALUE"""),"H_09")</f>
        <v>H_09</v>
      </c>
      <c r="D491" s="7" t="str">
        <f>IFERROR(__xludf.DUMMYFUNCTION("""COMPUTED_VALUE"""),"Q43C")</f>
        <v>Q43C</v>
      </c>
      <c r="E491" s="7" t="str">
        <f>IFERROR(__xludf.DUMMYFUNCTION("""COMPUTED_VALUE"""),"Q43c. Trust national electoral commission")</f>
        <v>Q43c. Trust national electoral commission</v>
      </c>
      <c r="F491" s="7" t="str">
        <f>IFERROR(__xludf.DUMMYFUNCTION("""COMPUTED_VALUE"""),"Independent Electoral Commission or IEC")</f>
        <v>Independent Electoral Commission or IEC</v>
      </c>
    </row>
    <row r="492">
      <c r="A492" s="7" t="str">
        <f>IFERROR(__xludf.DUMMYFUNCTION("""COMPUTED_VALUE"""),"LIBERIA")</f>
        <v>LIBERIA</v>
      </c>
      <c r="B492" s="7">
        <f>IFERROR(__xludf.DUMMYFUNCTION("""COMPUTED_VALUE"""),7.0)</f>
        <v>7</v>
      </c>
      <c r="C492" s="7" t="str">
        <f>IFERROR(__xludf.DUMMYFUNCTION("""COMPUTED_VALUE"""),"H_09")</f>
        <v>H_09</v>
      </c>
      <c r="D492" s="7" t="str">
        <f>IFERROR(__xludf.DUMMYFUNCTION("""COMPUTED_VALUE"""),"Q43C")</f>
        <v>Q43C</v>
      </c>
      <c r="E492" s="7" t="str">
        <f>IFERROR(__xludf.DUMMYFUNCTION("""COMPUTED_VALUE"""),"Q43c. Trust national electoral commission")</f>
        <v>Q43c. Trust national electoral commission</v>
      </c>
      <c r="F492" s="7" t="str">
        <f>IFERROR(__xludf.DUMMYFUNCTION("""COMPUTED_VALUE"""),"The National Electoral Commission")</f>
        <v>The National Electoral Commission</v>
      </c>
    </row>
    <row r="493">
      <c r="A493" s="7" t="str">
        <f>IFERROR(__xludf.DUMMYFUNCTION("""COMPUTED_VALUE"""),"MADAGASCAR")</f>
        <v>MADAGASCAR</v>
      </c>
      <c r="B493" s="7">
        <f>IFERROR(__xludf.DUMMYFUNCTION("""COMPUTED_VALUE"""),7.0)</f>
        <v>7</v>
      </c>
      <c r="C493" s="7" t="str">
        <f>IFERROR(__xludf.DUMMYFUNCTION("""COMPUTED_VALUE"""),"H_09")</f>
        <v>H_09</v>
      </c>
      <c r="D493" s="7" t="str">
        <f>IFERROR(__xludf.DUMMYFUNCTION("""COMPUTED_VALUE"""),"Q43C")</f>
        <v>Q43C</v>
      </c>
      <c r="E493" s="7" t="str">
        <f>IFERROR(__xludf.DUMMYFUNCTION("""COMPUTED_VALUE"""),"Q43c. Trust national electoral commission")</f>
        <v>Q43c. Trust national electoral commission</v>
      </c>
      <c r="F493" s="7" t="str">
        <f>IFERROR(__xludf.DUMMYFUNCTION("""COMPUTED_VALUE"""),"The Independent National Electoral Commission (CENI-T)")</f>
        <v>The Independent National Electoral Commission (CENI-T)</v>
      </c>
    </row>
    <row r="494">
      <c r="A494" s="7" t="str">
        <f>IFERROR(__xludf.DUMMYFUNCTION("""COMPUTED_VALUE"""),"MALAWI")</f>
        <v>MALAWI</v>
      </c>
      <c r="B494" s="7">
        <f>IFERROR(__xludf.DUMMYFUNCTION("""COMPUTED_VALUE"""),7.0)</f>
        <v>7</v>
      </c>
      <c r="C494" s="7" t="str">
        <f>IFERROR(__xludf.DUMMYFUNCTION("""COMPUTED_VALUE"""),"H_09")</f>
        <v>H_09</v>
      </c>
      <c r="D494" s="7" t="str">
        <f>IFERROR(__xludf.DUMMYFUNCTION("""COMPUTED_VALUE"""),"Q43C")</f>
        <v>Q43C</v>
      </c>
      <c r="E494" s="7" t="str">
        <f>IFERROR(__xludf.DUMMYFUNCTION("""COMPUTED_VALUE"""),"Q43c. Trust national electoral commission")</f>
        <v>Q43c. Trust national electoral commission</v>
      </c>
      <c r="F494" s="7" t="str">
        <f>IFERROR(__xludf.DUMMYFUNCTION("""COMPUTED_VALUE"""),"Malawi Electoral Commission")</f>
        <v>Malawi Electoral Commission</v>
      </c>
    </row>
    <row r="495">
      <c r="A495" s="7" t="str">
        <f>IFERROR(__xludf.DUMMYFUNCTION("""COMPUTED_VALUE"""),"MALI")</f>
        <v>MALI</v>
      </c>
      <c r="B495" s="7">
        <f>IFERROR(__xludf.DUMMYFUNCTION("""COMPUTED_VALUE"""),7.0)</f>
        <v>7</v>
      </c>
      <c r="C495" s="7" t="str">
        <f>IFERROR(__xludf.DUMMYFUNCTION("""COMPUTED_VALUE"""),"H_09")</f>
        <v>H_09</v>
      </c>
      <c r="D495" s="7" t="str">
        <f>IFERROR(__xludf.DUMMYFUNCTION("""COMPUTED_VALUE"""),"Q43C")</f>
        <v>Q43C</v>
      </c>
      <c r="E495" s="7" t="str">
        <f>IFERROR(__xludf.DUMMYFUNCTION("""COMPUTED_VALUE"""),"Q43c. Trust national electoral commission")</f>
        <v>Q43c. Trust national electoral commission</v>
      </c>
      <c r="F495" s="7" t="str">
        <f>IFERROR(__xludf.DUMMYFUNCTION("""COMPUTED_VALUE"""),"The Independent National Electoral Commission")</f>
        <v>The Independent National Electoral Commission</v>
      </c>
    </row>
    <row r="496">
      <c r="A496" s="7" t="str">
        <f>IFERROR(__xludf.DUMMYFUNCTION("""COMPUTED_VALUE"""),"MAURITIUS")</f>
        <v>MAURITIUS</v>
      </c>
      <c r="B496" s="7">
        <f>IFERROR(__xludf.DUMMYFUNCTION("""COMPUTED_VALUE"""),7.0)</f>
        <v>7</v>
      </c>
      <c r="C496" s="7" t="str">
        <f>IFERROR(__xludf.DUMMYFUNCTION("""COMPUTED_VALUE"""),"H_09")</f>
        <v>H_09</v>
      </c>
      <c r="D496" s="7" t="str">
        <f>IFERROR(__xludf.DUMMYFUNCTION("""COMPUTED_VALUE"""),"Q43C")</f>
        <v>Q43C</v>
      </c>
      <c r="E496" s="7" t="str">
        <f>IFERROR(__xludf.DUMMYFUNCTION("""COMPUTED_VALUE"""),"Q43c. Trust national electoral commission")</f>
        <v>Q43c. Trust national electoral commission</v>
      </c>
      <c r="F496" s="7" t="str">
        <f>IFERROR(__xludf.DUMMYFUNCTION("""COMPUTED_VALUE"""),"The Electoral Commission")</f>
        <v>The Electoral Commission</v>
      </c>
    </row>
    <row r="497">
      <c r="A497" s="7" t="str">
        <f>IFERROR(__xludf.DUMMYFUNCTION("""COMPUTED_VALUE"""),"MOROCCO")</f>
        <v>MOROCCO</v>
      </c>
      <c r="B497" s="7">
        <f>IFERROR(__xludf.DUMMYFUNCTION("""COMPUTED_VALUE"""),7.0)</f>
        <v>7</v>
      </c>
      <c r="C497" s="7" t="str">
        <f>IFERROR(__xludf.DUMMYFUNCTION("""COMPUTED_VALUE"""),"H_09")</f>
        <v>H_09</v>
      </c>
      <c r="D497" s="7" t="str">
        <f>IFERROR(__xludf.DUMMYFUNCTION("""COMPUTED_VALUE"""),"Q43C")</f>
        <v>Q43C</v>
      </c>
      <c r="E497" s="7" t="str">
        <f>IFERROR(__xludf.DUMMYFUNCTION("""COMPUTED_VALUE"""),"Q43c. Trust national electoral commission")</f>
        <v>Q43c. Trust national electoral commission</v>
      </c>
      <c r="F497" s="7" t="str">
        <f>IFERROR(__xludf.DUMMYFUNCTION("""COMPUTED_VALUE"""),"The Electoral Commission (EC)")</f>
        <v>The Electoral Commission (EC)</v>
      </c>
    </row>
    <row r="498">
      <c r="A498" s="7" t="str">
        <f>IFERROR(__xludf.DUMMYFUNCTION("""COMPUTED_VALUE"""),"MOZAMBIQUE")</f>
        <v>MOZAMBIQUE</v>
      </c>
      <c r="B498" s="7">
        <f>IFERROR(__xludf.DUMMYFUNCTION("""COMPUTED_VALUE"""),7.0)</f>
        <v>7</v>
      </c>
      <c r="C498" s="7" t="str">
        <f>IFERROR(__xludf.DUMMYFUNCTION("""COMPUTED_VALUE"""),"H_09")</f>
        <v>H_09</v>
      </c>
      <c r="D498" s="7" t="str">
        <f>IFERROR(__xludf.DUMMYFUNCTION("""COMPUTED_VALUE"""),"Q43C")</f>
        <v>Q43C</v>
      </c>
      <c r="E498" s="7" t="str">
        <f>IFERROR(__xludf.DUMMYFUNCTION("""COMPUTED_VALUE"""),"Q43c. Trust national electoral commission")</f>
        <v>Q43c. Trust national electoral commission</v>
      </c>
      <c r="F498" s="7" t="str">
        <f>IFERROR(__xludf.DUMMYFUNCTION("""COMPUTED_VALUE"""),"National Election Commission (CNE)")</f>
        <v>National Election Commission (CNE)</v>
      </c>
    </row>
    <row r="499">
      <c r="A499" s="7" t="str">
        <f>IFERROR(__xludf.DUMMYFUNCTION("""COMPUTED_VALUE"""),"NAMIBIA")</f>
        <v>NAMIBIA</v>
      </c>
      <c r="B499" s="7">
        <f>IFERROR(__xludf.DUMMYFUNCTION("""COMPUTED_VALUE"""),7.0)</f>
        <v>7</v>
      </c>
      <c r="C499" s="7" t="str">
        <f>IFERROR(__xludf.DUMMYFUNCTION("""COMPUTED_VALUE"""),"H_09")</f>
        <v>H_09</v>
      </c>
      <c r="D499" s="7" t="str">
        <f>IFERROR(__xludf.DUMMYFUNCTION("""COMPUTED_VALUE"""),"Q43C")</f>
        <v>Q43C</v>
      </c>
      <c r="E499" s="7" t="str">
        <f>IFERROR(__xludf.DUMMYFUNCTION("""COMPUTED_VALUE"""),"Q43c. Trust national electoral commission")</f>
        <v>Q43c. Trust national electoral commission</v>
      </c>
      <c r="F499" s="7" t="str">
        <f>IFERROR(__xludf.DUMMYFUNCTION("""COMPUTED_VALUE"""),"The Electoral Commission of Namibia")</f>
        <v>The Electoral Commission of Namibia</v>
      </c>
    </row>
    <row r="500">
      <c r="A500" s="7" t="str">
        <f>IFERROR(__xludf.DUMMYFUNCTION("""COMPUTED_VALUE"""),"NIGER")</f>
        <v>NIGER</v>
      </c>
      <c r="B500" s="7">
        <f>IFERROR(__xludf.DUMMYFUNCTION("""COMPUTED_VALUE"""),7.0)</f>
        <v>7</v>
      </c>
      <c r="C500" s="7" t="str">
        <f>IFERROR(__xludf.DUMMYFUNCTION("""COMPUTED_VALUE"""),"H_09")</f>
        <v>H_09</v>
      </c>
      <c r="D500" s="7" t="str">
        <f>IFERROR(__xludf.DUMMYFUNCTION("""COMPUTED_VALUE"""),"Q43C")</f>
        <v>Q43C</v>
      </c>
      <c r="E500" s="7" t="str">
        <f>IFERROR(__xludf.DUMMYFUNCTION("""COMPUTED_VALUE"""),"Q43c. Trust national electoral commission")</f>
        <v>Q43c. Trust national electoral commission</v>
      </c>
      <c r="F500" s="7" t="str">
        <f>IFERROR(__xludf.DUMMYFUNCTION("""COMPUTED_VALUE"""),"The Independent Electoral Commission")</f>
        <v>The Independent Electoral Commission</v>
      </c>
    </row>
    <row r="501">
      <c r="A501" s="7" t="str">
        <f>IFERROR(__xludf.DUMMYFUNCTION("""COMPUTED_VALUE"""),"NIGERIA")</f>
        <v>NIGERIA</v>
      </c>
      <c r="B501" s="7">
        <f>IFERROR(__xludf.DUMMYFUNCTION("""COMPUTED_VALUE"""),7.0)</f>
        <v>7</v>
      </c>
      <c r="C501" s="7" t="str">
        <f>IFERROR(__xludf.DUMMYFUNCTION("""COMPUTED_VALUE"""),"H_09")</f>
        <v>H_09</v>
      </c>
      <c r="D501" s="7" t="str">
        <f>IFERROR(__xludf.DUMMYFUNCTION("""COMPUTED_VALUE"""),"Q43C")</f>
        <v>Q43C</v>
      </c>
      <c r="E501" s="7" t="str">
        <f>IFERROR(__xludf.DUMMYFUNCTION("""COMPUTED_VALUE"""),"Q43c. Trust national electoral commission")</f>
        <v>Q43c. Trust national electoral commission</v>
      </c>
      <c r="F501" s="7" t="str">
        <f>IFERROR(__xludf.DUMMYFUNCTION("""COMPUTED_VALUE"""),"The Independent National Electoral Commission or INEC")</f>
        <v>The Independent National Electoral Commission or INEC</v>
      </c>
    </row>
    <row r="502">
      <c r="A502" s="7" t="str">
        <f>IFERROR(__xludf.DUMMYFUNCTION("""COMPUTED_VALUE"""),"SAO TOME AND PRINCIPE")</f>
        <v>SAO TOME AND PRINCIPE</v>
      </c>
      <c r="B502" s="7">
        <f>IFERROR(__xludf.DUMMYFUNCTION("""COMPUTED_VALUE"""),7.0)</f>
        <v>7</v>
      </c>
      <c r="C502" s="7" t="str">
        <f>IFERROR(__xludf.DUMMYFUNCTION("""COMPUTED_VALUE"""),"H_09")</f>
        <v>H_09</v>
      </c>
      <c r="D502" s="7" t="str">
        <f>IFERROR(__xludf.DUMMYFUNCTION("""COMPUTED_VALUE"""),"Q43C")</f>
        <v>Q43C</v>
      </c>
      <c r="E502" s="7" t="str">
        <f>IFERROR(__xludf.DUMMYFUNCTION("""COMPUTED_VALUE"""),"Q43c. Trust national electoral commission")</f>
        <v>Q43c. Trust national electoral commission</v>
      </c>
      <c r="F502" s="7" t="str">
        <f>IFERROR(__xludf.DUMMYFUNCTION("""COMPUTED_VALUE"""),"The Electoral Commission")</f>
        <v>The Electoral Commission</v>
      </c>
    </row>
    <row r="503">
      <c r="A503" s="7" t="str">
        <f>IFERROR(__xludf.DUMMYFUNCTION("""COMPUTED_VALUE"""),"SENEGAL")</f>
        <v>SENEGAL</v>
      </c>
      <c r="B503" s="7">
        <f>IFERROR(__xludf.DUMMYFUNCTION("""COMPUTED_VALUE"""),7.0)</f>
        <v>7</v>
      </c>
      <c r="C503" s="7" t="str">
        <f>IFERROR(__xludf.DUMMYFUNCTION("""COMPUTED_VALUE"""),"H_09")</f>
        <v>H_09</v>
      </c>
      <c r="D503" s="7" t="str">
        <f>IFERROR(__xludf.DUMMYFUNCTION("""COMPUTED_VALUE"""),"Q43C")</f>
        <v>Q43C</v>
      </c>
      <c r="E503" s="7" t="str">
        <f>IFERROR(__xludf.DUMMYFUNCTION("""COMPUTED_VALUE"""),"Q43c. Trust national electoral commission")</f>
        <v>Q43c. Trust national electoral commission</v>
      </c>
      <c r="F503" s="7" t="str">
        <f>IFERROR(__xludf.DUMMYFUNCTION("""COMPUTED_VALUE"""),"The Independent National Electoral Commission")</f>
        <v>The Independent National Electoral Commission</v>
      </c>
    </row>
    <row r="504">
      <c r="A504" s="7" t="str">
        <f>IFERROR(__xludf.DUMMYFUNCTION("""COMPUTED_VALUE"""),"SIERRA LEONE")</f>
        <v>SIERRA LEONE</v>
      </c>
      <c r="B504" s="7">
        <f>IFERROR(__xludf.DUMMYFUNCTION("""COMPUTED_VALUE"""),7.0)</f>
        <v>7</v>
      </c>
      <c r="C504" s="7" t="str">
        <f>IFERROR(__xludf.DUMMYFUNCTION("""COMPUTED_VALUE"""),"H_09")</f>
        <v>H_09</v>
      </c>
      <c r="D504" s="7" t="str">
        <f>IFERROR(__xludf.DUMMYFUNCTION("""COMPUTED_VALUE"""),"Q43C")</f>
        <v>Q43C</v>
      </c>
      <c r="E504" s="7" t="str">
        <f>IFERROR(__xludf.DUMMYFUNCTION("""COMPUTED_VALUE"""),"Q43c. Trust national electoral commission")</f>
        <v>Q43c. Trust national electoral commission</v>
      </c>
      <c r="F504" s="7" t="str">
        <f>IFERROR(__xludf.DUMMYFUNCTION("""COMPUTED_VALUE"""),"National Electoral Commission (NEC)")</f>
        <v>National Electoral Commission (NEC)</v>
      </c>
    </row>
    <row r="505">
      <c r="A505" s="7" t="str">
        <f>IFERROR(__xludf.DUMMYFUNCTION("""COMPUTED_VALUE"""),"SOUTH AFRICA")</f>
        <v>SOUTH AFRICA</v>
      </c>
      <c r="B505" s="7">
        <f>IFERROR(__xludf.DUMMYFUNCTION("""COMPUTED_VALUE"""),7.0)</f>
        <v>7</v>
      </c>
      <c r="C505" s="7" t="str">
        <f>IFERROR(__xludf.DUMMYFUNCTION("""COMPUTED_VALUE"""),"H_09")</f>
        <v>H_09</v>
      </c>
      <c r="D505" s="7" t="str">
        <f>IFERROR(__xludf.DUMMYFUNCTION("""COMPUTED_VALUE"""),"Q43C")</f>
        <v>Q43C</v>
      </c>
      <c r="E505" s="7" t="str">
        <f>IFERROR(__xludf.DUMMYFUNCTION("""COMPUTED_VALUE"""),"Q43c. Trust national electoral commission")</f>
        <v>Q43c. Trust national electoral commission</v>
      </c>
      <c r="F505" s="7" t="str">
        <f>IFERROR(__xludf.DUMMYFUNCTION("""COMPUTED_VALUE"""),"The Independent Electoral Commission (IEC)
The Premier of this province
")</f>
        <v>The Independent Electoral Commission (IEC)
The Premier of this province
</v>
      </c>
    </row>
    <row r="506">
      <c r="A506" s="7" t="str">
        <f>IFERROR(__xludf.DUMMYFUNCTION("""COMPUTED_VALUE"""),"SUDAN")</f>
        <v>SUDAN</v>
      </c>
      <c r="B506" s="7">
        <f>IFERROR(__xludf.DUMMYFUNCTION("""COMPUTED_VALUE"""),7.0)</f>
        <v>7</v>
      </c>
      <c r="C506" s="7" t="str">
        <f>IFERROR(__xludf.DUMMYFUNCTION("""COMPUTED_VALUE"""),"H_09")</f>
        <v>H_09</v>
      </c>
      <c r="D506" s="7" t="str">
        <f>IFERROR(__xludf.DUMMYFUNCTION("""COMPUTED_VALUE"""),"Q43C")</f>
        <v>Q43C</v>
      </c>
      <c r="E506" s="7" t="str">
        <f>IFERROR(__xludf.DUMMYFUNCTION("""COMPUTED_VALUE"""),"Q43c. Trust national electoral commission")</f>
        <v>Q43c. Trust national electoral commission</v>
      </c>
      <c r="F506" s="7" t="str">
        <f>IFERROR(__xludf.DUMMYFUNCTION("""COMPUTED_VALUE"""),"National Elections Commission (NEC)")</f>
        <v>National Elections Commission (NEC)</v>
      </c>
    </row>
    <row r="507">
      <c r="A507" s="7" t="str">
        <f>IFERROR(__xludf.DUMMYFUNCTION("""COMPUTED_VALUE"""),"TANZANIA")</f>
        <v>TANZANIA</v>
      </c>
      <c r="B507" s="7">
        <f>IFERROR(__xludf.DUMMYFUNCTION("""COMPUTED_VALUE"""),7.0)</f>
        <v>7</v>
      </c>
      <c r="C507" s="7" t="str">
        <f>IFERROR(__xludf.DUMMYFUNCTION("""COMPUTED_VALUE"""),"H_09")</f>
        <v>H_09</v>
      </c>
      <c r="D507" s="7" t="str">
        <f>IFERROR(__xludf.DUMMYFUNCTION("""COMPUTED_VALUE"""),"Q43C")</f>
        <v>Q43C</v>
      </c>
      <c r="E507" s="7" t="str">
        <f>IFERROR(__xludf.DUMMYFUNCTION("""COMPUTED_VALUE"""),"Q43c. Trust national electoral commission")</f>
        <v>Q43c. Trust national electoral commission</v>
      </c>
      <c r="F507" s="7" t="str">
        <f>IFERROR(__xludf.DUMMYFUNCTION("""COMPUTED_VALUE"""),"The National Electoral Commission (NEC)")</f>
        <v>The National Electoral Commission (NEC)</v>
      </c>
    </row>
    <row r="508">
      <c r="A508" s="7" t="str">
        <f>IFERROR(__xludf.DUMMYFUNCTION("""COMPUTED_VALUE"""),"TOGO")</f>
        <v>TOGO</v>
      </c>
      <c r="B508" s="7">
        <f>IFERROR(__xludf.DUMMYFUNCTION("""COMPUTED_VALUE"""),7.0)</f>
        <v>7</v>
      </c>
      <c r="C508" s="7" t="str">
        <f>IFERROR(__xludf.DUMMYFUNCTION("""COMPUTED_VALUE"""),"H_09")</f>
        <v>H_09</v>
      </c>
      <c r="D508" s="7" t="str">
        <f>IFERROR(__xludf.DUMMYFUNCTION("""COMPUTED_VALUE"""),"Q43C")</f>
        <v>Q43C</v>
      </c>
      <c r="E508" s="7" t="str">
        <f>IFERROR(__xludf.DUMMYFUNCTION("""COMPUTED_VALUE"""),"Q43c. Trust national electoral commission")</f>
        <v>Q43c. Trust national electoral commission</v>
      </c>
      <c r="F508" s="7" t="str">
        <f>IFERROR(__xludf.DUMMYFUNCTION("""COMPUTED_VALUE"""),"The Independent Electoral Commission")</f>
        <v>The Independent Electoral Commission</v>
      </c>
    </row>
    <row r="509">
      <c r="A509" s="7" t="str">
        <f>IFERROR(__xludf.DUMMYFUNCTION("""COMPUTED_VALUE"""),"TUNISIA")</f>
        <v>TUNISIA</v>
      </c>
      <c r="B509" s="7">
        <f>IFERROR(__xludf.DUMMYFUNCTION("""COMPUTED_VALUE"""),7.0)</f>
        <v>7</v>
      </c>
      <c r="C509" s="7" t="str">
        <f>IFERROR(__xludf.DUMMYFUNCTION("""COMPUTED_VALUE"""),"H_09")</f>
        <v>H_09</v>
      </c>
      <c r="D509" s="7" t="str">
        <f>IFERROR(__xludf.DUMMYFUNCTION("""COMPUTED_VALUE"""),"Q43C")</f>
        <v>Q43C</v>
      </c>
      <c r="E509" s="7" t="str">
        <f>IFERROR(__xludf.DUMMYFUNCTION("""COMPUTED_VALUE"""),"Q43c. Trust national electoral commission")</f>
        <v>Q43c. Trust national electoral commission</v>
      </c>
      <c r="F509" s="7" t="str">
        <f>IFERROR(__xludf.DUMMYFUNCTION("""COMPUTED_VALUE"""),"The Independent High Authority for the Elections (ISIE)")</f>
        <v>The Independent High Authority for the Elections (ISIE)</v>
      </c>
    </row>
    <row r="510">
      <c r="A510" s="7" t="str">
        <f>IFERROR(__xludf.DUMMYFUNCTION("""COMPUTED_VALUE"""),"UGANDA")</f>
        <v>UGANDA</v>
      </c>
      <c r="B510" s="7">
        <f>IFERROR(__xludf.DUMMYFUNCTION("""COMPUTED_VALUE"""),7.0)</f>
        <v>7</v>
      </c>
      <c r="C510" s="7" t="str">
        <f>IFERROR(__xludf.DUMMYFUNCTION("""COMPUTED_VALUE"""),"H_09")</f>
        <v>H_09</v>
      </c>
      <c r="D510" s="7" t="str">
        <f>IFERROR(__xludf.DUMMYFUNCTION("""COMPUTED_VALUE"""),"Q43C")</f>
        <v>Q43C</v>
      </c>
      <c r="E510" s="7" t="str">
        <f>IFERROR(__xludf.DUMMYFUNCTION("""COMPUTED_VALUE"""),"Q43c. Trust national electoral commission")</f>
        <v>Q43c. Trust national electoral commission</v>
      </c>
      <c r="F510" s="7" t="str">
        <f>IFERROR(__xludf.DUMMYFUNCTION("""COMPUTED_VALUE"""),"The Uganda Independent Electoral Commission")</f>
        <v>The Uganda Independent Electoral Commission</v>
      </c>
    </row>
    <row r="511">
      <c r="A511" s="7" t="str">
        <f>IFERROR(__xludf.DUMMYFUNCTION("""COMPUTED_VALUE"""),"ZAMBIA")</f>
        <v>ZAMBIA</v>
      </c>
      <c r="B511" s="7">
        <f>IFERROR(__xludf.DUMMYFUNCTION("""COMPUTED_VALUE"""),7.0)</f>
        <v>7</v>
      </c>
      <c r="C511" s="7" t="str">
        <f>IFERROR(__xludf.DUMMYFUNCTION("""COMPUTED_VALUE"""),"H_09")</f>
        <v>H_09</v>
      </c>
      <c r="D511" s="7" t="str">
        <f>IFERROR(__xludf.DUMMYFUNCTION("""COMPUTED_VALUE"""),"Q43C")</f>
        <v>Q43C</v>
      </c>
      <c r="E511" s="7" t="str">
        <f>IFERROR(__xludf.DUMMYFUNCTION("""COMPUTED_VALUE"""),"Q43c. Trust national electoral commission")</f>
        <v>Q43c. Trust national electoral commission</v>
      </c>
      <c r="F511" s="7" t="str">
        <f>IFERROR(__xludf.DUMMYFUNCTION("""COMPUTED_VALUE"""),"Electoral Commission of Zambia (ECZ)")</f>
        <v>Electoral Commission of Zambia (ECZ)</v>
      </c>
    </row>
    <row r="512">
      <c r="A512" s="7" t="str">
        <f>IFERROR(__xludf.DUMMYFUNCTION("""COMPUTED_VALUE"""),"ZIMBABWE")</f>
        <v>ZIMBABWE</v>
      </c>
      <c r="B512" s="7">
        <f>IFERROR(__xludf.DUMMYFUNCTION("""COMPUTED_VALUE"""),7.0)</f>
        <v>7</v>
      </c>
      <c r="C512" s="7" t="str">
        <f>IFERROR(__xludf.DUMMYFUNCTION("""COMPUTED_VALUE"""),"H_09")</f>
        <v>H_09</v>
      </c>
      <c r="D512" s="7" t="str">
        <f>IFERROR(__xludf.DUMMYFUNCTION("""COMPUTED_VALUE"""),"Q43C")</f>
        <v>Q43C</v>
      </c>
      <c r="E512" s="7" t="str">
        <f>IFERROR(__xludf.DUMMYFUNCTION("""COMPUTED_VALUE"""),"Q43c. Trust national electoral commission")</f>
        <v>Q43c. Trust national electoral commission</v>
      </c>
      <c r="F512" s="7" t="str">
        <f>IFERROR(__xludf.DUMMYFUNCTION("""COMPUTED_VALUE"""),"The Zimbabwe Electoral Commission")</f>
        <v>The Zimbabwe Electoral Commission</v>
      </c>
    </row>
    <row r="513">
      <c r="A513" s="7" t="str">
        <f>IFERROR(__xludf.DUMMYFUNCTION("""COMPUTED_VALUE"""),"BENIN")</f>
        <v>BENIN</v>
      </c>
      <c r="B513" s="7">
        <f>IFERROR(__xludf.DUMMYFUNCTION("""COMPUTED_VALUE"""),7.0)</f>
        <v>7</v>
      </c>
      <c r="C513" s="7" t="str">
        <f>IFERROR(__xludf.DUMMYFUNCTION("""COMPUTED_VALUE"""),"H_30")</f>
        <v>H_30</v>
      </c>
      <c r="D513" s="7" t="str">
        <f>IFERROR(__xludf.DUMMYFUNCTION("""COMPUTED_VALUE"""),"Q43D")</f>
        <v>Q43D</v>
      </c>
      <c r="E513" s="7" t="str">
        <f>IFERROR(__xludf.DUMMYFUNCTION("""COMPUTED_VALUE"""),"Q43d. Trust your elected local government council")</f>
        <v>Q43d. Trust your elected local government council</v>
      </c>
      <c r="F513" s="7" t="str">
        <f>IFERROR(__xludf.DUMMYFUNCTION("""COMPUTED_VALUE"""),"Your municipal / communal council")</f>
        <v>Your municipal / communal council</v>
      </c>
    </row>
    <row r="514">
      <c r="A514" s="7" t="str">
        <f>IFERROR(__xludf.DUMMYFUNCTION("""COMPUTED_VALUE"""),"BOTSWANA")</f>
        <v>BOTSWANA</v>
      </c>
      <c r="B514" s="7">
        <f>IFERROR(__xludf.DUMMYFUNCTION("""COMPUTED_VALUE"""),7.0)</f>
        <v>7</v>
      </c>
      <c r="C514" s="7" t="str">
        <f>IFERROR(__xludf.DUMMYFUNCTION("""COMPUTED_VALUE"""),"H_30")</f>
        <v>H_30</v>
      </c>
      <c r="D514" s="7" t="str">
        <f>IFERROR(__xludf.DUMMYFUNCTION("""COMPUTED_VALUE"""),"Q43D")</f>
        <v>Q43D</v>
      </c>
      <c r="E514" s="7" t="str">
        <f>IFERROR(__xludf.DUMMYFUNCTION("""COMPUTED_VALUE"""),"Q43d. Trust your elected local government council")</f>
        <v>Q43d. Trust your elected local government council</v>
      </c>
      <c r="F514" s="7" t="str">
        <f>IFERROR(__xludf.DUMMYFUNCTION("""COMPUTED_VALUE"""),"Your Local Government Council")</f>
        <v>Your Local Government Council</v>
      </c>
    </row>
    <row r="515">
      <c r="A515" s="7" t="str">
        <f>IFERROR(__xludf.DUMMYFUNCTION("""COMPUTED_VALUE"""),"BURKINA FASO")</f>
        <v>BURKINA FASO</v>
      </c>
      <c r="B515" s="7">
        <f>IFERROR(__xludf.DUMMYFUNCTION("""COMPUTED_VALUE"""),7.0)</f>
        <v>7</v>
      </c>
      <c r="C515" s="7" t="str">
        <f>IFERROR(__xludf.DUMMYFUNCTION("""COMPUTED_VALUE"""),"H_30")</f>
        <v>H_30</v>
      </c>
      <c r="D515" s="7" t="str">
        <f>IFERROR(__xludf.DUMMYFUNCTION("""COMPUTED_VALUE"""),"Q43D")</f>
        <v>Q43D</v>
      </c>
      <c r="E515" s="7" t="str">
        <f>IFERROR(__xludf.DUMMYFUNCTION("""COMPUTED_VALUE"""),"Q43d. Trust your elected local government council")</f>
        <v>Q43d. Trust your elected local government council</v>
      </c>
      <c r="F515" s="7" t="str">
        <f>IFERROR(__xludf.DUMMYFUNCTION("""COMPUTED_VALUE"""),"Your municipal / communal council")</f>
        <v>Your municipal / communal council</v>
      </c>
    </row>
    <row r="516">
      <c r="A516" s="7" t="str">
        <f>IFERROR(__xludf.DUMMYFUNCTION("""COMPUTED_VALUE"""),"CABO VERDE")</f>
        <v>CABO VERDE</v>
      </c>
      <c r="B516" s="7">
        <f>IFERROR(__xludf.DUMMYFUNCTION("""COMPUTED_VALUE"""),7.0)</f>
        <v>7</v>
      </c>
      <c r="C516" s="7" t="str">
        <f>IFERROR(__xludf.DUMMYFUNCTION("""COMPUTED_VALUE"""),"H_30")</f>
        <v>H_30</v>
      </c>
      <c r="D516" s="7" t="str">
        <f>IFERROR(__xludf.DUMMYFUNCTION("""COMPUTED_VALUE"""),"Q43D")</f>
        <v>Q43D</v>
      </c>
      <c r="E516" s="7" t="str">
        <f>IFERROR(__xludf.DUMMYFUNCTION("""COMPUTED_VALUE"""),"Q43d. Trust your elected local government council")</f>
        <v>Q43d. Trust your elected local government council</v>
      </c>
      <c r="F516" s="7" t="str">
        <f>IFERROR(__xludf.DUMMYFUNCTION("""COMPUTED_VALUE"""),"The Municipal Executive (Mayor and councilors)")</f>
        <v>The Municipal Executive (Mayor and councilors)</v>
      </c>
    </row>
    <row r="517">
      <c r="A517" s="7" t="str">
        <f>IFERROR(__xludf.DUMMYFUNCTION("""COMPUTED_VALUE"""),"CAMEROON")</f>
        <v>CAMEROON</v>
      </c>
      <c r="B517" s="7">
        <f>IFERROR(__xludf.DUMMYFUNCTION("""COMPUTED_VALUE"""),7.0)</f>
        <v>7</v>
      </c>
      <c r="C517" s="7" t="str">
        <f>IFERROR(__xludf.DUMMYFUNCTION("""COMPUTED_VALUE"""),"H_30")</f>
        <v>H_30</v>
      </c>
      <c r="D517" s="7" t="str">
        <f>IFERROR(__xludf.DUMMYFUNCTION("""COMPUTED_VALUE"""),"Q43D")</f>
        <v>Q43D</v>
      </c>
      <c r="E517" s="7" t="str">
        <f>IFERROR(__xludf.DUMMYFUNCTION("""COMPUTED_VALUE"""),"Q43d. Trust your elected local government council")</f>
        <v>Q43d. Trust your elected local government council</v>
      </c>
      <c r="F517" s="7" t="str">
        <f>IFERROR(__xludf.DUMMYFUNCTION("""COMPUTED_VALUE"""),"Your municipal/communal council")</f>
        <v>Your municipal/communal council</v>
      </c>
    </row>
    <row r="518">
      <c r="A518" s="7" t="str">
        <f>IFERROR(__xludf.DUMMYFUNCTION("""COMPUTED_VALUE"""),"COTE D'IVOIRE")</f>
        <v>COTE D'IVOIRE</v>
      </c>
      <c r="B518" s="7">
        <f>IFERROR(__xludf.DUMMYFUNCTION("""COMPUTED_VALUE"""),7.0)</f>
        <v>7</v>
      </c>
      <c r="C518" s="7" t="str">
        <f>IFERROR(__xludf.DUMMYFUNCTION("""COMPUTED_VALUE"""),"H_30")</f>
        <v>H_30</v>
      </c>
      <c r="D518" s="7" t="str">
        <f>IFERROR(__xludf.DUMMYFUNCTION("""COMPUTED_VALUE"""),"Q43D")</f>
        <v>Q43D</v>
      </c>
      <c r="E518" s="7" t="str">
        <f>IFERROR(__xludf.DUMMYFUNCTION("""COMPUTED_VALUE"""),"Q43d. Trust your elected local government council")</f>
        <v>Q43d. Trust your elected local government council</v>
      </c>
      <c r="F518" s="7" t="str">
        <f>IFERROR(__xludf.DUMMYFUNCTION("""COMPUTED_VALUE"""),"Your municipal council")</f>
        <v>Your municipal council</v>
      </c>
    </row>
    <row r="519">
      <c r="A519" s="7" t="str">
        <f>IFERROR(__xludf.DUMMYFUNCTION("""COMPUTED_VALUE"""),"ESWATINI")</f>
        <v>ESWATINI</v>
      </c>
      <c r="B519" s="7">
        <f>IFERROR(__xludf.DUMMYFUNCTION("""COMPUTED_VALUE"""),7.0)</f>
        <v>7</v>
      </c>
      <c r="C519" s="7" t="str">
        <f>IFERROR(__xludf.DUMMYFUNCTION("""COMPUTED_VALUE"""),"H_30")</f>
        <v>H_30</v>
      </c>
      <c r="D519" s="7" t="str">
        <f>IFERROR(__xludf.DUMMYFUNCTION("""COMPUTED_VALUE"""),"Q43D")</f>
        <v>Q43D</v>
      </c>
      <c r="E519" s="7" t="str">
        <f>IFERROR(__xludf.DUMMYFUNCTION("""COMPUTED_VALUE"""),"Q43d. Trust your elected local government council")</f>
        <v>Q43d. Trust your elected local government council</v>
      </c>
      <c r="F519" s="7" t="str">
        <f>IFERROR(__xludf.DUMMYFUNCTION("""COMPUTED_VALUE"""),"Your local government council")</f>
        <v>Your local government council</v>
      </c>
    </row>
    <row r="520">
      <c r="A520" s="7" t="str">
        <f>IFERROR(__xludf.DUMMYFUNCTION("""COMPUTED_VALUE"""),"GABON")</f>
        <v>GABON</v>
      </c>
      <c r="B520" s="7">
        <f>IFERROR(__xludf.DUMMYFUNCTION("""COMPUTED_VALUE"""),7.0)</f>
        <v>7</v>
      </c>
      <c r="C520" s="7" t="str">
        <f>IFERROR(__xludf.DUMMYFUNCTION("""COMPUTED_VALUE"""),"H_30")</f>
        <v>H_30</v>
      </c>
      <c r="D520" s="7" t="str">
        <f>IFERROR(__xludf.DUMMYFUNCTION("""COMPUTED_VALUE"""),"Q43D")</f>
        <v>Q43D</v>
      </c>
      <c r="E520" s="7" t="str">
        <f>IFERROR(__xludf.DUMMYFUNCTION("""COMPUTED_VALUE"""),"Q43d. Trust your elected local government council")</f>
        <v>Q43d. Trust your elected local government council</v>
      </c>
      <c r="F520" s="7" t="str">
        <f>IFERROR(__xludf.DUMMYFUNCTION("""COMPUTED_VALUE"""),"Municipal or departmental council")</f>
        <v>Municipal or departmental council</v>
      </c>
    </row>
    <row r="521">
      <c r="A521" s="7" t="str">
        <f>IFERROR(__xludf.DUMMYFUNCTION("""COMPUTED_VALUE"""),"GAMBIA")</f>
        <v>GAMBIA</v>
      </c>
      <c r="B521" s="7">
        <f>IFERROR(__xludf.DUMMYFUNCTION("""COMPUTED_VALUE"""),7.0)</f>
        <v>7</v>
      </c>
      <c r="C521" s="7" t="str">
        <f>IFERROR(__xludf.DUMMYFUNCTION("""COMPUTED_VALUE"""),"H_30")</f>
        <v>H_30</v>
      </c>
      <c r="D521" s="7" t="str">
        <f>IFERROR(__xludf.DUMMYFUNCTION("""COMPUTED_VALUE"""),"Q43D")</f>
        <v>Q43D</v>
      </c>
      <c r="E521" s="7" t="str">
        <f>IFERROR(__xludf.DUMMYFUNCTION("""COMPUTED_VALUE"""),"Q43d. Trust your elected local government council")</f>
        <v>Q43d. Trust your elected local government council</v>
      </c>
      <c r="F521" s="7" t="str">
        <f>IFERROR(__xludf.DUMMYFUNCTION("""COMPUTED_VALUE"""),"Your Local Government Council")</f>
        <v>Your Local Government Council</v>
      </c>
    </row>
    <row r="522">
      <c r="A522" s="7" t="str">
        <f>IFERROR(__xludf.DUMMYFUNCTION("""COMPUTED_VALUE"""),"GHANA")</f>
        <v>GHANA</v>
      </c>
      <c r="B522" s="7">
        <f>IFERROR(__xludf.DUMMYFUNCTION("""COMPUTED_VALUE"""),7.0)</f>
        <v>7</v>
      </c>
      <c r="C522" s="7" t="str">
        <f>IFERROR(__xludf.DUMMYFUNCTION("""COMPUTED_VALUE"""),"H_30")</f>
        <v>H_30</v>
      </c>
      <c r="D522" s="7" t="str">
        <f>IFERROR(__xludf.DUMMYFUNCTION("""COMPUTED_VALUE"""),"Q43D")</f>
        <v>Q43D</v>
      </c>
      <c r="E522" s="7" t="str">
        <f>IFERROR(__xludf.DUMMYFUNCTION("""COMPUTED_VALUE"""),"Q43d. Trust your elected local government council")</f>
        <v>Q43d. Trust your elected local government council</v>
      </c>
      <c r="F522" s="7" t="str">
        <f>IFERROR(__xludf.DUMMYFUNCTION("""COMPUTED_VALUE"""),"Your Local Government Council
Your Metropolitan, Municipal or District Chief Executive
")</f>
        <v>Your Local Government Council
Your Metropolitan, Municipal or District Chief Executive
</v>
      </c>
    </row>
    <row r="523">
      <c r="A523" s="7" t="str">
        <f>IFERROR(__xludf.DUMMYFUNCTION("""COMPUTED_VALUE"""),"GUINEA")</f>
        <v>GUINEA</v>
      </c>
      <c r="B523" s="7">
        <f>IFERROR(__xludf.DUMMYFUNCTION("""COMPUTED_VALUE"""),7.0)</f>
        <v>7</v>
      </c>
      <c r="C523" s="7" t="str">
        <f>IFERROR(__xludf.DUMMYFUNCTION("""COMPUTED_VALUE"""),"H_30")</f>
        <v>H_30</v>
      </c>
      <c r="D523" s="7" t="str">
        <f>IFERROR(__xludf.DUMMYFUNCTION("""COMPUTED_VALUE"""),"Q43D")</f>
        <v>Q43D</v>
      </c>
      <c r="E523" s="7" t="str">
        <f>IFERROR(__xludf.DUMMYFUNCTION("""COMPUTED_VALUE"""),"Q43d. Trust your elected local government council")</f>
        <v>Q43d. Trust your elected local government council</v>
      </c>
      <c r="F523" s="7" t="str">
        <f>IFERROR(__xludf.DUMMYFUNCTION("""COMPUTED_VALUE"""),"Local Council")</f>
        <v>Local Council</v>
      </c>
    </row>
    <row r="524">
      <c r="A524" s="7" t="str">
        <f>IFERROR(__xludf.DUMMYFUNCTION("""COMPUTED_VALUE"""),"KENYA")</f>
        <v>KENYA</v>
      </c>
      <c r="B524" s="7">
        <f>IFERROR(__xludf.DUMMYFUNCTION("""COMPUTED_VALUE"""),7.0)</f>
        <v>7</v>
      </c>
      <c r="C524" s="7" t="str">
        <f>IFERROR(__xludf.DUMMYFUNCTION("""COMPUTED_VALUE"""),"H_30")</f>
        <v>H_30</v>
      </c>
      <c r="D524" s="7" t="str">
        <f>IFERROR(__xludf.DUMMYFUNCTION("""COMPUTED_VALUE"""),"Q43D")</f>
        <v>Q43D</v>
      </c>
      <c r="E524" s="7" t="str">
        <f>IFERROR(__xludf.DUMMYFUNCTION("""COMPUTED_VALUE"""),"Q43d. Trust your elected local government council")</f>
        <v>Q43d. Trust your elected local government council</v>
      </c>
      <c r="F524" s="7" t="str">
        <f>IFERROR(__xludf.DUMMYFUNCTION("""COMPUTED_VALUE"""),"Your County Assembly 
Your County Governor 
")</f>
        <v>Your County Assembly 
Your County Governor 
</v>
      </c>
    </row>
    <row r="525">
      <c r="A525" s="7" t="str">
        <f>IFERROR(__xludf.DUMMYFUNCTION("""COMPUTED_VALUE"""),"LESOTHO")</f>
        <v>LESOTHO</v>
      </c>
      <c r="B525" s="7">
        <f>IFERROR(__xludf.DUMMYFUNCTION("""COMPUTED_VALUE"""),7.0)</f>
        <v>7</v>
      </c>
      <c r="C525" s="7" t="str">
        <f>IFERROR(__xludf.DUMMYFUNCTION("""COMPUTED_VALUE"""),"H_30")</f>
        <v>H_30</v>
      </c>
      <c r="D525" s="7" t="str">
        <f>IFERROR(__xludf.DUMMYFUNCTION("""COMPUTED_VALUE"""),"Q43D")</f>
        <v>Q43D</v>
      </c>
      <c r="E525" s="7" t="str">
        <f>IFERROR(__xludf.DUMMYFUNCTION("""COMPUTED_VALUE"""),"Q43d. Trust your elected local government council")</f>
        <v>Q43d. Trust your elected local government council</v>
      </c>
      <c r="F525" s="7" t="str">
        <f>IFERROR(__xludf.DUMMYFUNCTION("""COMPUTED_VALUE"""),"Community Council")</f>
        <v>Community Council</v>
      </c>
    </row>
    <row r="526">
      <c r="A526" s="7" t="str">
        <f>IFERROR(__xludf.DUMMYFUNCTION("""COMPUTED_VALUE"""),"LIBERIA")</f>
        <v>LIBERIA</v>
      </c>
      <c r="B526" s="7">
        <f>IFERROR(__xludf.DUMMYFUNCTION("""COMPUTED_VALUE"""),7.0)</f>
        <v>7</v>
      </c>
      <c r="C526" s="7" t="str">
        <f>IFERROR(__xludf.DUMMYFUNCTION("""COMPUTED_VALUE"""),"H_30")</f>
        <v>H_30</v>
      </c>
      <c r="D526" s="7" t="str">
        <f>IFERROR(__xludf.DUMMYFUNCTION("""COMPUTED_VALUE"""),"Q43D")</f>
        <v>Q43D</v>
      </c>
      <c r="E526" s="7" t="str">
        <f>IFERROR(__xludf.DUMMYFUNCTION("""COMPUTED_VALUE"""),"Q43d. Trust your elected local government council")</f>
        <v>Q43d. Trust your elected local government council</v>
      </c>
      <c r="F526" s="7" t="str">
        <f>IFERROR(__xludf.DUMMYFUNCTION("""COMPUTED_VALUE"""),"County Authority")</f>
        <v>County Authority</v>
      </c>
    </row>
    <row r="527">
      <c r="A527" s="7" t="str">
        <f>IFERROR(__xludf.DUMMYFUNCTION("""COMPUTED_VALUE"""),"MADAGASCAR")</f>
        <v>MADAGASCAR</v>
      </c>
      <c r="B527" s="7">
        <f>IFERROR(__xludf.DUMMYFUNCTION("""COMPUTED_VALUE"""),7.0)</f>
        <v>7</v>
      </c>
      <c r="C527" s="7" t="str">
        <f>IFERROR(__xludf.DUMMYFUNCTION("""COMPUTED_VALUE"""),"H_30")</f>
        <v>H_30</v>
      </c>
      <c r="D527" s="7" t="str">
        <f>IFERROR(__xludf.DUMMYFUNCTION("""COMPUTED_VALUE"""),"Q43D")</f>
        <v>Q43D</v>
      </c>
      <c r="E527" s="7" t="str">
        <f>IFERROR(__xludf.DUMMYFUNCTION("""COMPUTED_VALUE"""),"Q43d. Trust your elected local government council")</f>
        <v>Q43d. Trust your elected local government council</v>
      </c>
      <c r="F527" s="7" t="str">
        <f>IFERROR(__xludf.DUMMYFUNCTION("""COMPUTED_VALUE"""),"Your municipal / communal council")</f>
        <v>Your municipal / communal council</v>
      </c>
    </row>
    <row r="528">
      <c r="A528" s="7" t="str">
        <f>IFERROR(__xludf.DUMMYFUNCTION("""COMPUTED_VALUE"""),"MALAWI")</f>
        <v>MALAWI</v>
      </c>
      <c r="B528" s="7">
        <f>IFERROR(__xludf.DUMMYFUNCTION("""COMPUTED_VALUE"""),7.0)</f>
        <v>7</v>
      </c>
      <c r="C528" s="7" t="str">
        <f>IFERROR(__xludf.DUMMYFUNCTION("""COMPUTED_VALUE"""),"H_30")</f>
        <v>H_30</v>
      </c>
      <c r="D528" s="7" t="str">
        <f>IFERROR(__xludf.DUMMYFUNCTION("""COMPUTED_VALUE"""),"Q43D")</f>
        <v>Q43D</v>
      </c>
      <c r="E528" s="7" t="str">
        <f>IFERROR(__xludf.DUMMYFUNCTION("""COMPUTED_VALUE"""),"Q43d. Trust your elected local government council")</f>
        <v>Q43d. Trust your elected local government council</v>
      </c>
      <c r="F528" s="7" t="str">
        <f>IFERROR(__xludf.DUMMYFUNCTION("""COMPUTED_VALUE"""),"District Council")</f>
        <v>District Council</v>
      </c>
    </row>
    <row r="529">
      <c r="A529" s="7" t="str">
        <f>IFERROR(__xludf.DUMMYFUNCTION("""COMPUTED_VALUE"""),"MALI")</f>
        <v>MALI</v>
      </c>
      <c r="B529" s="7">
        <f>IFERROR(__xludf.DUMMYFUNCTION("""COMPUTED_VALUE"""),7.0)</f>
        <v>7</v>
      </c>
      <c r="C529" s="7" t="str">
        <f>IFERROR(__xludf.DUMMYFUNCTION("""COMPUTED_VALUE"""),"H_30")</f>
        <v>H_30</v>
      </c>
      <c r="D529" s="7" t="str">
        <f>IFERROR(__xludf.DUMMYFUNCTION("""COMPUTED_VALUE"""),"Q43D")</f>
        <v>Q43D</v>
      </c>
      <c r="E529" s="7" t="str">
        <f>IFERROR(__xludf.DUMMYFUNCTION("""COMPUTED_VALUE"""),"Q43d. Trust your elected local government council")</f>
        <v>Q43d. Trust your elected local government council</v>
      </c>
      <c r="F529" s="7" t="str">
        <f>IFERROR(__xludf.DUMMYFUNCTION("""COMPUTED_VALUE"""),"Local council")</f>
        <v>Local council</v>
      </c>
    </row>
    <row r="530">
      <c r="A530" s="7" t="str">
        <f>IFERROR(__xludf.DUMMYFUNCTION("""COMPUTED_VALUE"""),"MAURITIUS")</f>
        <v>MAURITIUS</v>
      </c>
      <c r="B530" s="7">
        <f>IFERROR(__xludf.DUMMYFUNCTION("""COMPUTED_VALUE"""),7.0)</f>
        <v>7</v>
      </c>
      <c r="C530" s="7" t="str">
        <f>IFERROR(__xludf.DUMMYFUNCTION("""COMPUTED_VALUE"""),"H_30")</f>
        <v>H_30</v>
      </c>
      <c r="D530" s="7" t="str">
        <f>IFERROR(__xludf.DUMMYFUNCTION("""COMPUTED_VALUE"""),"Q43D")</f>
        <v>Q43D</v>
      </c>
      <c r="E530" s="7" t="str">
        <f>IFERROR(__xludf.DUMMYFUNCTION("""COMPUTED_VALUE"""),"Q43d. Trust your elected local government council")</f>
        <v>Q43d. Trust your elected local government council</v>
      </c>
      <c r="F530" s="7" t="str">
        <f>IFERROR(__xludf.DUMMYFUNCTION("""COMPUTED_VALUE"""),"Municipal or District Council")</f>
        <v>Municipal or District Council</v>
      </c>
    </row>
    <row r="531">
      <c r="A531" s="7" t="str">
        <f>IFERROR(__xludf.DUMMYFUNCTION("""COMPUTED_VALUE"""),"MOROCCO")</f>
        <v>MOROCCO</v>
      </c>
      <c r="B531" s="7">
        <f>IFERROR(__xludf.DUMMYFUNCTION("""COMPUTED_VALUE"""),7.0)</f>
        <v>7</v>
      </c>
      <c r="C531" s="7" t="str">
        <f>IFERROR(__xludf.DUMMYFUNCTION("""COMPUTED_VALUE"""),"H_30")</f>
        <v>H_30</v>
      </c>
      <c r="D531" s="7" t="str">
        <f>IFERROR(__xludf.DUMMYFUNCTION("""COMPUTED_VALUE"""),"Q43D")</f>
        <v>Q43D</v>
      </c>
      <c r="E531" s="7" t="str">
        <f>IFERROR(__xludf.DUMMYFUNCTION("""COMPUTED_VALUE"""),"Q43d. Trust your elected local government council")</f>
        <v>Q43d. Trust your elected local government council</v>
      </c>
      <c r="F531" s="7" t="str">
        <f>IFERROR(__xludf.DUMMYFUNCTION("""COMPUTED_VALUE"""),"Your local council")</f>
        <v>Your local council</v>
      </c>
    </row>
    <row r="532">
      <c r="A532" s="7" t="str">
        <f>IFERROR(__xludf.DUMMYFUNCTION("""COMPUTED_VALUE"""),"MOZAMBIQUE")</f>
        <v>MOZAMBIQUE</v>
      </c>
      <c r="B532" s="7">
        <f>IFERROR(__xludf.DUMMYFUNCTION("""COMPUTED_VALUE"""),7.0)</f>
        <v>7</v>
      </c>
      <c r="C532" s="7" t="str">
        <f>IFERROR(__xludf.DUMMYFUNCTION("""COMPUTED_VALUE"""),"H_30")</f>
        <v>H_30</v>
      </c>
      <c r="D532" s="7" t="str">
        <f>IFERROR(__xludf.DUMMYFUNCTION("""COMPUTED_VALUE"""),"Q43D")</f>
        <v>Q43D</v>
      </c>
      <c r="E532" s="7" t="str">
        <f>IFERROR(__xludf.DUMMYFUNCTION("""COMPUTED_VALUE"""),"Q43d. Trust your elected local government council")</f>
        <v>Q43d. Trust your elected local government council</v>
      </c>
      <c r="F532" s="7" t="str">
        <f>IFERROR(__xludf.DUMMYFUNCTION("""COMPUTED_VALUE"""),"YourMunicipal Assembly
Your Provincial government
")</f>
        <v>YourMunicipal Assembly
Your Provincial government
</v>
      </c>
    </row>
    <row r="533">
      <c r="A533" s="7" t="str">
        <f>IFERROR(__xludf.DUMMYFUNCTION("""COMPUTED_VALUE"""),"NAMIBIA")</f>
        <v>NAMIBIA</v>
      </c>
      <c r="B533" s="7">
        <f>IFERROR(__xludf.DUMMYFUNCTION("""COMPUTED_VALUE"""),7.0)</f>
        <v>7</v>
      </c>
      <c r="C533" s="7" t="str">
        <f>IFERROR(__xludf.DUMMYFUNCTION("""COMPUTED_VALUE"""),"H_30")</f>
        <v>H_30</v>
      </c>
      <c r="D533" s="7" t="str">
        <f>IFERROR(__xludf.DUMMYFUNCTION("""COMPUTED_VALUE"""),"Q43D")</f>
        <v>Q43D</v>
      </c>
      <c r="E533" s="7" t="str">
        <f>IFERROR(__xludf.DUMMYFUNCTION("""COMPUTED_VALUE"""),"Q43d. Trust your elected local government council")</f>
        <v>Q43d. Trust your elected local government council</v>
      </c>
      <c r="F533" s="7" t="str">
        <f>IFERROR(__xludf.DUMMYFUNCTION("""COMPUTED_VALUE"""),"Your Local Authority Council
Your Regional Council
Your appointed Regional Governor
")</f>
        <v>Your Local Authority Council
Your Regional Council
Your appointed Regional Governor
</v>
      </c>
    </row>
    <row r="534">
      <c r="A534" s="7" t="str">
        <f>IFERROR(__xludf.DUMMYFUNCTION("""COMPUTED_VALUE"""),"NIGER")</f>
        <v>NIGER</v>
      </c>
      <c r="B534" s="7">
        <f>IFERROR(__xludf.DUMMYFUNCTION("""COMPUTED_VALUE"""),7.0)</f>
        <v>7</v>
      </c>
      <c r="C534" s="7" t="str">
        <f>IFERROR(__xludf.DUMMYFUNCTION("""COMPUTED_VALUE"""),"H_30")</f>
        <v>H_30</v>
      </c>
      <c r="D534" s="7" t="str">
        <f>IFERROR(__xludf.DUMMYFUNCTION("""COMPUTED_VALUE"""),"Q43D")</f>
        <v>Q43D</v>
      </c>
      <c r="E534" s="7" t="str">
        <f>IFERROR(__xludf.DUMMYFUNCTION("""COMPUTED_VALUE"""),"Q43d. Trust your elected local government council")</f>
        <v>Q43d. Trust your elected local government council</v>
      </c>
      <c r="F534" s="7" t="str">
        <f>IFERROR(__xludf.DUMMYFUNCTION("""COMPUTED_VALUE"""),"Municipal or communal council")</f>
        <v>Municipal or communal council</v>
      </c>
    </row>
    <row r="535">
      <c r="A535" s="7" t="str">
        <f>IFERROR(__xludf.DUMMYFUNCTION("""COMPUTED_VALUE"""),"NIGERIA")</f>
        <v>NIGERIA</v>
      </c>
      <c r="B535" s="7">
        <f>IFERROR(__xludf.DUMMYFUNCTION("""COMPUTED_VALUE"""),7.0)</f>
        <v>7</v>
      </c>
      <c r="C535" s="7" t="str">
        <f>IFERROR(__xludf.DUMMYFUNCTION("""COMPUTED_VALUE"""),"H_30")</f>
        <v>H_30</v>
      </c>
      <c r="D535" s="7" t="str">
        <f>IFERROR(__xludf.DUMMYFUNCTION("""COMPUTED_VALUE"""),"Q43D")</f>
        <v>Q43D</v>
      </c>
      <c r="E535" s="7" t="str">
        <f>IFERROR(__xludf.DUMMYFUNCTION("""COMPUTED_VALUE"""),"Q43d. Trust your elected local government council")</f>
        <v>Q43d. Trust your elected local government council</v>
      </c>
      <c r="F535" s="7" t="str">
        <f>IFERROR(__xludf.DUMMYFUNCTION("""COMPUTED_VALUE"""),"Local Government Council")</f>
        <v>Local Government Council</v>
      </c>
    </row>
    <row r="536">
      <c r="A536" s="7" t="str">
        <f>IFERROR(__xludf.DUMMYFUNCTION("""COMPUTED_VALUE"""),"SAO TOME AND PRINCIPE")</f>
        <v>SAO TOME AND PRINCIPE</v>
      </c>
      <c r="B536" s="7">
        <f>IFERROR(__xludf.DUMMYFUNCTION("""COMPUTED_VALUE"""),7.0)</f>
        <v>7</v>
      </c>
      <c r="C536" s="7" t="str">
        <f>IFERROR(__xludf.DUMMYFUNCTION("""COMPUTED_VALUE"""),"H_30")</f>
        <v>H_30</v>
      </c>
      <c r="D536" s="7" t="str">
        <f>IFERROR(__xludf.DUMMYFUNCTION("""COMPUTED_VALUE"""),"Q43D")</f>
        <v>Q43D</v>
      </c>
      <c r="E536" s="7" t="str">
        <f>IFERROR(__xludf.DUMMYFUNCTION("""COMPUTED_VALUE"""),"Q43d. Trust your elected local government council")</f>
        <v>Q43d. Trust your elected local government council</v>
      </c>
      <c r="F536" s="7" t="str">
        <f>IFERROR(__xludf.DUMMYFUNCTION("""COMPUTED_VALUE"""),"The District Executive (President and councilors)")</f>
        <v>The District Executive (President and councilors)</v>
      </c>
    </row>
    <row r="537">
      <c r="A537" s="7" t="str">
        <f>IFERROR(__xludf.DUMMYFUNCTION("""COMPUTED_VALUE"""),"SENEGAL")</f>
        <v>SENEGAL</v>
      </c>
      <c r="B537" s="7">
        <f>IFERROR(__xludf.DUMMYFUNCTION("""COMPUTED_VALUE"""),7.0)</f>
        <v>7</v>
      </c>
      <c r="C537" s="7" t="str">
        <f>IFERROR(__xludf.DUMMYFUNCTION("""COMPUTED_VALUE"""),"H_30")</f>
        <v>H_30</v>
      </c>
      <c r="D537" s="7" t="str">
        <f>IFERROR(__xludf.DUMMYFUNCTION("""COMPUTED_VALUE"""),"Q43D")</f>
        <v>Q43D</v>
      </c>
      <c r="E537" s="7" t="str">
        <f>IFERROR(__xludf.DUMMYFUNCTION("""COMPUTED_VALUE"""),"Q43d. Trust your elected local government council")</f>
        <v>Q43d. Trust your elected local government council</v>
      </c>
      <c r="F537" s="7" t="str">
        <f>IFERROR(__xludf.DUMMYFUNCTION("""COMPUTED_VALUE"""),"Municipal, communal, or departmental council")</f>
        <v>Municipal, communal, or departmental council</v>
      </c>
    </row>
    <row r="538">
      <c r="A538" s="7" t="str">
        <f>IFERROR(__xludf.DUMMYFUNCTION("""COMPUTED_VALUE"""),"SIERRA LEONE")</f>
        <v>SIERRA LEONE</v>
      </c>
      <c r="B538" s="7">
        <f>IFERROR(__xludf.DUMMYFUNCTION("""COMPUTED_VALUE"""),7.0)</f>
        <v>7</v>
      </c>
      <c r="C538" s="7" t="str">
        <f>IFERROR(__xludf.DUMMYFUNCTION("""COMPUTED_VALUE"""),"H_30")</f>
        <v>H_30</v>
      </c>
      <c r="D538" s="7" t="str">
        <f>IFERROR(__xludf.DUMMYFUNCTION("""COMPUTED_VALUE"""),"Q43D")</f>
        <v>Q43D</v>
      </c>
      <c r="E538" s="7" t="str">
        <f>IFERROR(__xludf.DUMMYFUNCTION("""COMPUTED_VALUE"""),"Q43d. Trust your elected local government council")</f>
        <v>Q43d. Trust your elected local government council</v>
      </c>
      <c r="F538" s="7" t="str">
        <f>IFERROR(__xludf.DUMMYFUNCTION("""COMPUTED_VALUE"""),"Local Council")</f>
        <v>Local Council</v>
      </c>
    </row>
    <row r="539">
      <c r="A539" s="7" t="str">
        <f>IFERROR(__xludf.DUMMYFUNCTION("""COMPUTED_VALUE"""),"SOUTH AFRICA")</f>
        <v>SOUTH AFRICA</v>
      </c>
      <c r="B539" s="7">
        <f>IFERROR(__xludf.DUMMYFUNCTION("""COMPUTED_VALUE"""),7.0)</f>
        <v>7</v>
      </c>
      <c r="C539" s="7" t="str">
        <f>IFERROR(__xludf.DUMMYFUNCTION("""COMPUTED_VALUE"""),"H_30")</f>
        <v>H_30</v>
      </c>
      <c r="D539" s="7" t="str">
        <f>IFERROR(__xludf.DUMMYFUNCTION("""COMPUTED_VALUE"""),"Q43D")</f>
        <v>Q43D</v>
      </c>
      <c r="E539" s="7" t="str">
        <f>IFERROR(__xludf.DUMMYFUNCTION("""COMPUTED_VALUE"""),"Q43d. Trust your elected local government council")</f>
        <v>Q43d. Trust your elected local government council</v>
      </c>
      <c r="F539" s="7" t="str">
        <f>IFERROR(__xludf.DUMMYFUNCTION("""COMPUTED_VALUE"""),"Local Government Council")</f>
        <v>Local Government Council</v>
      </c>
    </row>
    <row r="540">
      <c r="A540" s="7" t="str">
        <f>IFERROR(__xludf.DUMMYFUNCTION("""COMPUTED_VALUE"""),"SUDAN")</f>
        <v>SUDAN</v>
      </c>
      <c r="B540" s="7">
        <f>IFERROR(__xludf.DUMMYFUNCTION("""COMPUTED_VALUE"""),7.0)</f>
        <v>7</v>
      </c>
      <c r="C540" s="7" t="str">
        <f>IFERROR(__xludf.DUMMYFUNCTION("""COMPUTED_VALUE"""),"H_30")</f>
        <v>H_30</v>
      </c>
      <c r="D540" s="7" t="str">
        <f>IFERROR(__xludf.DUMMYFUNCTION("""COMPUTED_VALUE"""),"Q43D")</f>
        <v>Q43D</v>
      </c>
      <c r="E540" s="7" t="str">
        <f>IFERROR(__xludf.DUMMYFUNCTION("""COMPUTED_VALUE"""),"Q43d. Trust your elected local government council")</f>
        <v>Q43d. Trust your elected local government council</v>
      </c>
      <c r="F540" s="7" t="str">
        <f>IFERROR(__xludf.DUMMYFUNCTION("""COMPUTED_VALUE"""),"Council of State")</f>
        <v>Council of State</v>
      </c>
    </row>
    <row r="541">
      <c r="A541" s="7" t="str">
        <f>IFERROR(__xludf.DUMMYFUNCTION("""COMPUTED_VALUE"""),"TANZANIA")</f>
        <v>TANZANIA</v>
      </c>
      <c r="B541" s="7">
        <f>IFERROR(__xludf.DUMMYFUNCTION("""COMPUTED_VALUE"""),7.0)</f>
        <v>7</v>
      </c>
      <c r="C541" s="7" t="str">
        <f>IFERROR(__xludf.DUMMYFUNCTION("""COMPUTED_VALUE"""),"H_30")</f>
        <v>H_30</v>
      </c>
      <c r="D541" s="7" t="str">
        <f>IFERROR(__xludf.DUMMYFUNCTION("""COMPUTED_VALUE"""),"Q43D")</f>
        <v>Q43D</v>
      </c>
      <c r="E541" s="7" t="str">
        <f>IFERROR(__xludf.DUMMYFUNCTION("""COMPUTED_VALUE"""),"Q43d. Trust your elected local government council")</f>
        <v>Q43d. Trust your elected local government council</v>
      </c>
      <c r="F541" s="7" t="str">
        <f>IFERROR(__xludf.DUMMYFUNCTION("""COMPUTED_VALUE"""),"Local Government Council")</f>
        <v>Local Government Council</v>
      </c>
    </row>
    <row r="542">
      <c r="A542" s="7" t="str">
        <f>IFERROR(__xludf.DUMMYFUNCTION("""COMPUTED_VALUE"""),"TOGO")</f>
        <v>TOGO</v>
      </c>
      <c r="B542" s="7">
        <f>IFERROR(__xludf.DUMMYFUNCTION("""COMPUTED_VALUE"""),7.0)</f>
        <v>7</v>
      </c>
      <c r="C542" s="7" t="str">
        <f>IFERROR(__xludf.DUMMYFUNCTION("""COMPUTED_VALUE"""),"H_30")</f>
        <v>H_30</v>
      </c>
      <c r="D542" s="7" t="str">
        <f>IFERROR(__xludf.DUMMYFUNCTION("""COMPUTED_VALUE"""),"Q43D")</f>
        <v>Q43D</v>
      </c>
      <c r="E542" s="7" t="str">
        <f>IFERROR(__xludf.DUMMYFUNCTION("""COMPUTED_VALUE"""),"Q43d. Trust your elected local government council")</f>
        <v>Q43d. Trust your elected local government council</v>
      </c>
      <c r="F542" s="7" t="str">
        <f>IFERROR(__xludf.DUMMYFUNCTION("""COMPUTED_VALUE"""),"Municipal / communal council")</f>
        <v>Municipal / communal council</v>
      </c>
    </row>
    <row r="543">
      <c r="A543" s="7" t="str">
        <f>IFERROR(__xludf.DUMMYFUNCTION("""COMPUTED_VALUE"""),"TUNISIA")</f>
        <v>TUNISIA</v>
      </c>
      <c r="B543" s="7">
        <f>IFERROR(__xludf.DUMMYFUNCTION("""COMPUTED_VALUE"""),7.0)</f>
        <v>7</v>
      </c>
      <c r="C543" s="7" t="str">
        <f>IFERROR(__xludf.DUMMYFUNCTION("""COMPUTED_VALUE"""),"H_30")</f>
        <v>H_30</v>
      </c>
      <c r="D543" s="7" t="str">
        <f>IFERROR(__xludf.DUMMYFUNCTION("""COMPUTED_VALUE"""),"Q43D")</f>
        <v>Q43D</v>
      </c>
      <c r="E543" s="7" t="str">
        <f>IFERROR(__xludf.DUMMYFUNCTION("""COMPUTED_VALUE"""),"Q43d. Trust your elected local government council")</f>
        <v>Q43d. Trust your elected local government council</v>
      </c>
      <c r="F543" s="7" t="str">
        <f>IFERROR(__xludf.DUMMYFUNCTION("""COMPUTED_VALUE"""),"Local government council")</f>
        <v>Local government council</v>
      </c>
    </row>
    <row r="544">
      <c r="A544" s="7" t="str">
        <f>IFERROR(__xludf.DUMMYFUNCTION("""COMPUTED_VALUE"""),"UGANDA")</f>
        <v>UGANDA</v>
      </c>
      <c r="B544" s="7">
        <f>IFERROR(__xludf.DUMMYFUNCTION("""COMPUTED_VALUE"""),7.0)</f>
        <v>7</v>
      </c>
      <c r="C544" s="7" t="str">
        <f>IFERROR(__xludf.DUMMYFUNCTION("""COMPUTED_VALUE"""),"H_30")</f>
        <v>H_30</v>
      </c>
      <c r="D544" s="7" t="str">
        <f>IFERROR(__xludf.DUMMYFUNCTION("""COMPUTED_VALUE"""),"Q43D")</f>
        <v>Q43D</v>
      </c>
      <c r="E544" s="7" t="str">
        <f>IFERROR(__xludf.DUMMYFUNCTION("""COMPUTED_VALUE"""),"Q43d. Trust your elected local government council")</f>
        <v>Q43d. Trust your elected local government council</v>
      </c>
      <c r="F544" s="7" t="str">
        <f>IFERROR(__xludf.DUMMYFUNCTION("""COMPUTED_VALUE"""),"District Council")</f>
        <v>District Council</v>
      </c>
    </row>
    <row r="545">
      <c r="A545" s="7" t="str">
        <f>IFERROR(__xludf.DUMMYFUNCTION("""COMPUTED_VALUE"""),"ZAMBIA")</f>
        <v>ZAMBIA</v>
      </c>
      <c r="B545" s="7">
        <f>IFERROR(__xludf.DUMMYFUNCTION("""COMPUTED_VALUE"""),7.0)</f>
        <v>7</v>
      </c>
      <c r="C545" s="7" t="str">
        <f>IFERROR(__xludf.DUMMYFUNCTION("""COMPUTED_VALUE"""),"H_30")</f>
        <v>H_30</v>
      </c>
      <c r="D545" s="7" t="str">
        <f>IFERROR(__xludf.DUMMYFUNCTION("""COMPUTED_VALUE"""),"Q43D")</f>
        <v>Q43D</v>
      </c>
      <c r="E545" s="7" t="str">
        <f>IFERROR(__xludf.DUMMYFUNCTION("""COMPUTED_VALUE"""),"Q43d. Trust your elected local government council")</f>
        <v>Q43d. Trust your elected local government council</v>
      </c>
      <c r="F545" s="7" t="str">
        <f>IFERROR(__xludf.DUMMYFUNCTION("""COMPUTED_VALUE"""),"Local government Council")</f>
        <v>Local government Council</v>
      </c>
    </row>
    <row r="546">
      <c r="A546" s="7" t="str">
        <f>IFERROR(__xludf.DUMMYFUNCTION("""COMPUTED_VALUE"""),"ZIMBABWE")</f>
        <v>ZIMBABWE</v>
      </c>
      <c r="B546" s="7">
        <f>IFERROR(__xludf.DUMMYFUNCTION("""COMPUTED_VALUE"""),7.0)</f>
        <v>7</v>
      </c>
      <c r="C546" s="7" t="str">
        <f>IFERROR(__xludf.DUMMYFUNCTION("""COMPUTED_VALUE"""),"H_30")</f>
        <v>H_30</v>
      </c>
      <c r="D546" s="7" t="str">
        <f>IFERROR(__xludf.DUMMYFUNCTION("""COMPUTED_VALUE"""),"Q43D")</f>
        <v>Q43D</v>
      </c>
      <c r="E546" s="7" t="str">
        <f>IFERROR(__xludf.DUMMYFUNCTION("""COMPUTED_VALUE"""),"Q43d. Trust your elected local government council")</f>
        <v>Q43d. Trust your elected local government council</v>
      </c>
      <c r="F546" s="7" t="str">
        <f>IFERROR(__xludf.DUMMYFUNCTION("""COMPUTED_VALUE"""),"Local government Council")</f>
        <v>Local government Council</v>
      </c>
    </row>
    <row r="547">
      <c r="A547" s="7" t="str">
        <f>IFERROR(__xludf.DUMMYFUNCTION("""COMPUTED_VALUE"""),"BENIN")</f>
        <v>BENIN</v>
      </c>
      <c r="B547" s="7">
        <f>IFERROR(__xludf.DUMMYFUNCTION("""COMPUTED_VALUE"""),7.0)</f>
        <v>7</v>
      </c>
      <c r="C547" s="7" t="str">
        <f>IFERROR(__xludf.DUMMYFUNCTION("""COMPUTED_VALUE"""),"H_27")</f>
        <v>H_27</v>
      </c>
      <c r="D547" s="7" t="str">
        <f>IFERROR(__xludf.DUMMYFUNCTION("""COMPUTED_VALUE"""),"Q43E")</f>
        <v>Q43E</v>
      </c>
      <c r="E547" s="7" t="str">
        <f>IFERROR(__xludf.DUMMYFUNCTION("""COMPUTED_VALUE"""),"Q43e. Trust the ruling party")</f>
        <v>Q43e. Trust the ruling party</v>
      </c>
      <c r="F547" s="7" t="str">
        <f>IFERROR(__xludf.DUMMYFUNCTION("""COMPUTED_VALUE"""),"The parties of the presidential movement")</f>
        <v>The parties of the presidential movement</v>
      </c>
    </row>
    <row r="548">
      <c r="A548" s="7" t="str">
        <f>IFERROR(__xludf.DUMMYFUNCTION("""COMPUTED_VALUE"""),"BOTSWANA")</f>
        <v>BOTSWANA</v>
      </c>
      <c r="B548" s="7">
        <f>IFERROR(__xludf.DUMMYFUNCTION("""COMPUTED_VALUE"""),7.0)</f>
        <v>7</v>
      </c>
      <c r="C548" s="7" t="str">
        <f>IFERROR(__xludf.DUMMYFUNCTION("""COMPUTED_VALUE"""),"H_27")</f>
        <v>H_27</v>
      </c>
      <c r="D548" s="7" t="str">
        <f>IFERROR(__xludf.DUMMYFUNCTION("""COMPUTED_VALUE"""),"Q43E")</f>
        <v>Q43E</v>
      </c>
      <c r="E548" s="7" t="str">
        <f>IFERROR(__xludf.DUMMYFUNCTION("""COMPUTED_VALUE"""),"Q43e. Trust the ruling party")</f>
        <v>Q43e. Trust the ruling party</v>
      </c>
      <c r="F548" s="7" t="str">
        <f>IFERROR(__xludf.DUMMYFUNCTION("""COMPUTED_VALUE"""),"Ruling Party")</f>
        <v>Ruling Party</v>
      </c>
    </row>
    <row r="549">
      <c r="A549" s="7" t="str">
        <f>IFERROR(__xludf.DUMMYFUNCTION("""COMPUTED_VALUE"""),"BURKINA FASO")</f>
        <v>BURKINA FASO</v>
      </c>
      <c r="B549" s="7">
        <f>IFERROR(__xludf.DUMMYFUNCTION("""COMPUTED_VALUE"""),7.0)</f>
        <v>7</v>
      </c>
      <c r="C549" s="7" t="str">
        <f>IFERROR(__xludf.DUMMYFUNCTION("""COMPUTED_VALUE"""),"H_27")</f>
        <v>H_27</v>
      </c>
      <c r="D549" s="7" t="str">
        <f>IFERROR(__xludf.DUMMYFUNCTION("""COMPUTED_VALUE"""),"Q43E")</f>
        <v>Q43E</v>
      </c>
      <c r="E549" s="7" t="str">
        <f>IFERROR(__xludf.DUMMYFUNCTION("""COMPUTED_VALUE"""),"Q43e. Trust the ruling party")</f>
        <v>Q43e. Trust the ruling party</v>
      </c>
      <c r="F549" s="7" t="str">
        <f>IFERROR(__xludf.DUMMYFUNCTION("""COMPUTED_VALUE"""),"The parties of the presidential movement")</f>
        <v>The parties of the presidential movement</v>
      </c>
    </row>
    <row r="550">
      <c r="A550" s="7" t="str">
        <f>IFERROR(__xludf.DUMMYFUNCTION("""COMPUTED_VALUE"""),"CABO VERDE")</f>
        <v>CABO VERDE</v>
      </c>
      <c r="B550" s="7">
        <f>IFERROR(__xludf.DUMMYFUNCTION("""COMPUTED_VALUE"""),7.0)</f>
        <v>7</v>
      </c>
      <c r="C550" s="7" t="str">
        <f>IFERROR(__xludf.DUMMYFUNCTION("""COMPUTED_VALUE"""),"H_27")</f>
        <v>H_27</v>
      </c>
      <c r="D550" s="7" t="str">
        <f>IFERROR(__xludf.DUMMYFUNCTION("""COMPUTED_VALUE"""),"Q43E")</f>
        <v>Q43E</v>
      </c>
      <c r="E550" s="7" t="str">
        <f>IFERROR(__xludf.DUMMYFUNCTION("""COMPUTED_VALUE"""),"Q43e. Trust the ruling party")</f>
        <v>Q43e. Trust the ruling party</v>
      </c>
      <c r="F550" s="7" t="str">
        <f>IFERROR(__xludf.DUMMYFUNCTION("""COMPUTED_VALUE"""),"The Ruling Party")</f>
        <v>The Ruling Party</v>
      </c>
    </row>
    <row r="551">
      <c r="A551" s="7" t="str">
        <f>IFERROR(__xludf.DUMMYFUNCTION("""COMPUTED_VALUE"""),"CAMEROON")</f>
        <v>CAMEROON</v>
      </c>
      <c r="B551" s="7">
        <f>IFERROR(__xludf.DUMMYFUNCTION("""COMPUTED_VALUE"""),7.0)</f>
        <v>7</v>
      </c>
      <c r="C551" s="7" t="str">
        <f>IFERROR(__xludf.DUMMYFUNCTION("""COMPUTED_VALUE"""),"H_27")</f>
        <v>H_27</v>
      </c>
      <c r="D551" s="7" t="str">
        <f>IFERROR(__xludf.DUMMYFUNCTION("""COMPUTED_VALUE"""),"Q43E")</f>
        <v>Q43E</v>
      </c>
      <c r="E551" s="7" t="str">
        <f>IFERROR(__xludf.DUMMYFUNCTION("""COMPUTED_VALUE"""),"Q43e. Trust the ruling party")</f>
        <v>Q43e. Trust the ruling party</v>
      </c>
      <c r="F551" s="7" t="str">
        <f>IFERROR(__xludf.DUMMYFUNCTION("""COMPUTED_VALUE"""),"The parties of the presidential movement")</f>
        <v>The parties of the presidential movement</v>
      </c>
    </row>
    <row r="552">
      <c r="A552" s="7" t="str">
        <f>IFERROR(__xludf.DUMMYFUNCTION("""COMPUTED_VALUE"""),"COTE D'IVOIRE")</f>
        <v>COTE D'IVOIRE</v>
      </c>
      <c r="B552" s="7">
        <f>IFERROR(__xludf.DUMMYFUNCTION("""COMPUTED_VALUE"""),7.0)</f>
        <v>7</v>
      </c>
      <c r="C552" s="7" t="str">
        <f>IFERROR(__xludf.DUMMYFUNCTION("""COMPUTED_VALUE"""),"H_27")</f>
        <v>H_27</v>
      </c>
      <c r="D552" s="7" t="str">
        <f>IFERROR(__xludf.DUMMYFUNCTION("""COMPUTED_VALUE"""),"Q43E")</f>
        <v>Q43E</v>
      </c>
      <c r="E552" s="7" t="str">
        <f>IFERROR(__xludf.DUMMYFUNCTION("""COMPUTED_VALUE"""),"Q43e. Trust the ruling party")</f>
        <v>Q43e. Trust the ruling party</v>
      </c>
      <c r="F552" s="7" t="str">
        <f>IFERROR(__xludf.DUMMYFUNCTION("""COMPUTED_VALUE"""),"The parties of the presidential movement")</f>
        <v>The parties of the presidential movement</v>
      </c>
    </row>
    <row r="553">
      <c r="A553" s="7" t="str">
        <f>IFERROR(__xludf.DUMMYFUNCTION("""COMPUTED_VALUE"""),"GHANA")</f>
        <v>GHANA</v>
      </c>
      <c r="B553" s="7">
        <f>IFERROR(__xludf.DUMMYFUNCTION("""COMPUTED_VALUE"""),7.0)</f>
        <v>7</v>
      </c>
      <c r="C553" s="7" t="str">
        <f>IFERROR(__xludf.DUMMYFUNCTION("""COMPUTED_VALUE"""),"H_27")</f>
        <v>H_27</v>
      </c>
      <c r="D553" s="7" t="str">
        <f>IFERROR(__xludf.DUMMYFUNCTION("""COMPUTED_VALUE"""),"Q43E")</f>
        <v>Q43E</v>
      </c>
      <c r="E553" s="7" t="str">
        <f>IFERROR(__xludf.DUMMYFUNCTION("""COMPUTED_VALUE"""),"Q43e. Trust the ruling party")</f>
        <v>Q43e. Trust the ruling party</v>
      </c>
      <c r="F553" s="7" t="str">
        <f>IFERROR(__xludf.DUMMYFUNCTION("""COMPUTED_VALUE"""),"The Ruling New Patriotic Party (NPP)")</f>
        <v>The Ruling New Patriotic Party (NPP)</v>
      </c>
    </row>
    <row r="554">
      <c r="A554" s="7" t="str">
        <f>IFERROR(__xludf.DUMMYFUNCTION("""COMPUTED_VALUE"""),"GUINEA")</f>
        <v>GUINEA</v>
      </c>
      <c r="B554" s="7">
        <f>IFERROR(__xludf.DUMMYFUNCTION("""COMPUTED_VALUE"""),7.0)</f>
        <v>7</v>
      </c>
      <c r="C554" s="7" t="str">
        <f>IFERROR(__xludf.DUMMYFUNCTION("""COMPUTED_VALUE"""),"H_27")</f>
        <v>H_27</v>
      </c>
      <c r="D554" s="7" t="str">
        <f>IFERROR(__xludf.DUMMYFUNCTION("""COMPUTED_VALUE"""),"Q43E")</f>
        <v>Q43E</v>
      </c>
      <c r="E554" s="7" t="str">
        <f>IFERROR(__xludf.DUMMYFUNCTION("""COMPUTED_VALUE"""),"Q43e. Trust the ruling party")</f>
        <v>Q43e. Trust the ruling party</v>
      </c>
      <c r="F554" s="7" t="str">
        <f>IFERROR(__xludf.DUMMYFUNCTION("""COMPUTED_VALUE"""),"Parties of the presidential movement (RPG Arc-en-Ciel)")</f>
        <v>Parties of the presidential movement (RPG Arc-en-Ciel)</v>
      </c>
    </row>
    <row r="555">
      <c r="A555" s="7" t="str">
        <f>IFERROR(__xludf.DUMMYFUNCTION("""COMPUTED_VALUE"""),"KENYA")</f>
        <v>KENYA</v>
      </c>
      <c r="B555" s="7">
        <f>IFERROR(__xludf.DUMMYFUNCTION("""COMPUTED_VALUE"""),7.0)</f>
        <v>7</v>
      </c>
      <c r="C555" s="7" t="str">
        <f>IFERROR(__xludf.DUMMYFUNCTION("""COMPUTED_VALUE"""),"H_27")</f>
        <v>H_27</v>
      </c>
      <c r="D555" s="7" t="str">
        <f>IFERROR(__xludf.DUMMYFUNCTION("""COMPUTED_VALUE"""),"Q43E")</f>
        <v>Q43E</v>
      </c>
      <c r="E555" s="7" t="str">
        <f>IFERROR(__xludf.DUMMYFUNCTION("""COMPUTED_VALUE"""),"Q43e. Trust the ruling party")</f>
        <v>Q43e. Trust the ruling party</v>
      </c>
      <c r="F555" s="7" t="str">
        <f>IFERROR(__xludf.DUMMYFUNCTION("""COMPUTED_VALUE"""),"The Ruling Coalition (Jubilee)")</f>
        <v>The Ruling Coalition (Jubilee)</v>
      </c>
    </row>
    <row r="556">
      <c r="A556" s="7" t="str">
        <f>IFERROR(__xludf.DUMMYFUNCTION("""COMPUTED_VALUE"""),"LESOTHO")</f>
        <v>LESOTHO</v>
      </c>
      <c r="B556" s="7">
        <f>IFERROR(__xludf.DUMMYFUNCTION("""COMPUTED_VALUE"""),7.0)</f>
        <v>7</v>
      </c>
      <c r="C556" s="7" t="str">
        <f>IFERROR(__xludf.DUMMYFUNCTION("""COMPUTED_VALUE"""),"H_27")</f>
        <v>H_27</v>
      </c>
      <c r="D556" s="7" t="str">
        <f>IFERROR(__xludf.DUMMYFUNCTION("""COMPUTED_VALUE"""),"Q43E")</f>
        <v>Q43E</v>
      </c>
      <c r="E556" s="7" t="str">
        <f>IFERROR(__xludf.DUMMYFUNCTION("""COMPUTED_VALUE"""),"Q43e. Trust the ruling party")</f>
        <v>Q43e. Trust the ruling party</v>
      </c>
      <c r="F556" s="7" t="str">
        <f>IFERROR(__xludf.DUMMYFUNCTION("""COMPUTED_VALUE"""),"The Ruling Coalition Government")</f>
        <v>The Ruling Coalition Government</v>
      </c>
    </row>
    <row r="557">
      <c r="A557" s="7" t="str">
        <f>IFERROR(__xludf.DUMMYFUNCTION("""COMPUTED_VALUE"""),"LIBERIA")</f>
        <v>LIBERIA</v>
      </c>
      <c r="B557" s="7">
        <f>IFERROR(__xludf.DUMMYFUNCTION("""COMPUTED_VALUE"""),7.0)</f>
        <v>7</v>
      </c>
      <c r="C557" s="7" t="str">
        <f>IFERROR(__xludf.DUMMYFUNCTION("""COMPUTED_VALUE"""),"H_27")</f>
        <v>H_27</v>
      </c>
      <c r="D557" s="7" t="str">
        <f>IFERROR(__xludf.DUMMYFUNCTION("""COMPUTED_VALUE"""),"Q43E")</f>
        <v>Q43E</v>
      </c>
      <c r="E557" s="7" t="str">
        <f>IFERROR(__xludf.DUMMYFUNCTION("""COMPUTED_VALUE"""),"Q43e. Trust the ruling party")</f>
        <v>Q43e. Trust the ruling party</v>
      </c>
      <c r="F557" s="7" t="str">
        <f>IFERROR(__xludf.DUMMYFUNCTION("""COMPUTED_VALUE"""),"The ruling party")</f>
        <v>The ruling party</v>
      </c>
    </row>
    <row r="558">
      <c r="A558" s="7" t="str">
        <f>IFERROR(__xludf.DUMMYFUNCTION("""COMPUTED_VALUE"""),"MADAGASCAR")</f>
        <v>MADAGASCAR</v>
      </c>
      <c r="B558" s="7">
        <f>IFERROR(__xludf.DUMMYFUNCTION("""COMPUTED_VALUE"""),7.0)</f>
        <v>7</v>
      </c>
      <c r="C558" s="7" t="str">
        <f>IFERROR(__xludf.DUMMYFUNCTION("""COMPUTED_VALUE"""),"H_27")</f>
        <v>H_27</v>
      </c>
      <c r="D558" s="7" t="str">
        <f>IFERROR(__xludf.DUMMYFUNCTION("""COMPUTED_VALUE"""),"Q43E")</f>
        <v>Q43E</v>
      </c>
      <c r="E558" s="7" t="str">
        <f>IFERROR(__xludf.DUMMYFUNCTION("""COMPUTED_VALUE"""),"Q43e. Trust the ruling party")</f>
        <v>Q43e. Trust the ruling party</v>
      </c>
      <c r="F558" s="7" t="str">
        <f>IFERROR(__xludf.DUMMYFUNCTION("""COMPUTED_VALUE"""),"The parties of the presidential movement")</f>
        <v>The parties of the presidential movement</v>
      </c>
    </row>
    <row r="559">
      <c r="A559" s="7" t="str">
        <f>IFERROR(__xludf.DUMMYFUNCTION("""COMPUTED_VALUE"""),"MALAWI")</f>
        <v>MALAWI</v>
      </c>
      <c r="B559" s="7">
        <f>IFERROR(__xludf.DUMMYFUNCTION("""COMPUTED_VALUE"""),7.0)</f>
        <v>7</v>
      </c>
      <c r="C559" s="7" t="str">
        <f>IFERROR(__xludf.DUMMYFUNCTION("""COMPUTED_VALUE"""),"H_27")</f>
        <v>H_27</v>
      </c>
      <c r="D559" s="7" t="str">
        <f>IFERROR(__xludf.DUMMYFUNCTION("""COMPUTED_VALUE"""),"Q43E")</f>
        <v>Q43E</v>
      </c>
      <c r="E559" s="7" t="str">
        <f>IFERROR(__xludf.DUMMYFUNCTION("""COMPUTED_VALUE"""),"Q43e. Trust the ruling party")</f>
        <v>Q43e. Trust the ruling party</v>
      </c>
      <c r="F559" s="7" t="str">
        <f>IFERROR(__xludf.DUMMYFUNCTION("""COMPUTED_VALUE"""),"Ruling Democratic progressive Party or DPP")</f>
        <v>Ruling Democratic progressive Party or DPP</v>
      </c>
    </row>
    <row r="560">
      <c r="A560" s="7" t="str">
        <f>IFERROR(__xludf.DUMMYFUNCTION("""COMPUTED_VALUE"""),"MALI")</f>
        <v>MALI</v>
      </c>
      <c r="B560" s="7">
        <f>IFERROR(__xludf.DUMMYFUNCTION("""COMPUTED_VALUE"""),7.0)</f>
        <v>7</v>
      </c>
      <c r="C560" s="7" t="str">
        <f>IFERROR(__xludf.DUMMYFUNCTION("""COMPUTED_VALUE"""),"H_27")</f>
        <v>H_27</v>
      </c>
      <c r="D560" s="7" t="str">
        <f>IFERROR(__xludf.DUMMYFUNCTION("""COMPUTED_VALUE"""),"Q43E")</f>
        <v>Q43E</v>
      </c>
      <c r="E560" s="7" t="str">
        <f>IFERROR(__xludf.DUMMYFUNCTION("""COMPUTED_VALUE"""),"Q43e. Trust the ruling party")</f>
        <v>Q43e. Trust the ruling party</v>
      </c>
      <c r="F560" s="7" t="str">
        <f>IFERROR(__xludf.DUMMYFUNCTION("""COMPUTED_VALUE"""),"The ruling coalition (Coalition for the Presidential Majority – CMP)")</f>
        <v>The ruling coalition (Coalition for the Presidential Majority – CMP)</v>
      </c>
    </row>
    <row r="561">
      <c r="A561" s="7" t="str">
        <f>IFERROR(__xludf.DUMMYFUNCTION("""COMPUTED_VALUE"""),"MAURITIUS")</f>
        <v>MAURITIUS</v>
      </c>
      <c r="B561" s="7">
        <f>IFERROR(__xludf.DUMMYFUNCTION("""COMPUTED_VALUE"""),7.0)</f>
        <v>7</v>
      </c>
      <c r="C561" s="7" t="str">
        <f>IFERROR(__xludf.DUMMYFUNCTION("""COMPUTED_VALUE"""),"H_27")</f>
        <v>H_27</v>
      </c>
      <c r="D561" s="7" t="str">
        <f>IFERROR(__xludf.DUMMYFUNCTION("""COMPUTED_VALUE"""),"Q43E")</f>
        <v>Q43E</v>
      </c>
      <c r="E561" s="7" t="str">
        <f>IFERROR(__xludf.DUMMYFUNCTION("""COMPUTED_VALUE"""),"Q43e. Trust the ruling party")</f>
        <v>Q43e. Trust the ruling party</v>
      </c>
      <c r="F561" s="7" t="str">
        <f>IFERROR(__xludf.DUMMYFUNCTION("""COMPUTED_VALUE"""),"The Ruling Coalition (MSM/ML)")</f>
        <v>The Ruling Coalition (MSM/ML)</v>
      </c>
    </row>
    <row r="562">
      <c r="A562" s="7" t="str">
        <f>IFERROR(__xludf.DUMMYFUNCTION("""COMPUTED_VALUE"""),"MOROCCO")</f>
        <v>MOROCCO</v>
      </c>
      <c r="B562" s="7">
        <f>IFERROR(__xludf.DUMMYFUNCTION("""COMPUTED_VALUE"""),7.0)</f>
        <v>7</v>
      </c>
      <c r="C562" s="7" t="str">
        <f>IFERROR(__xludf.DUMMYFUNCTION("""COMPUTED_VALUE"""),"H_27")</f>
        <v>H_27</v>
      </c>
      <c r="D562" s="7" t="str">
        <f>IFERROR(__xludf.DUMMYFUNCTION("""COMPUTED_VALUE"""),"Q43E")</f>
        <v>Q43E</v>
      </c>
      <c r="E562" s="7" t="str">
        <f>IFERROR(__xludf.DUMMYFUNCTION("""COMPUTED_VALUE"""),"Q43e. Trust the ruling party")</f>
        <v>Q43e. Trust the ruling party</v>
      </c>
      <c r="F562" s="7" t="str">
        <f>IFERROR(__xludf.DUMMYFUNCTION("""COMPUTED_VALUE"""),"The Ruling Party")</f>
        <v>The Ruling Party</v>
      </c>
    </row>
    <row r="563">
      <c r="A563" s="7" t="str">
        <f>IFERROR(__xludf.DUMMYFUNCTION("""COMPUTED_VALUE"""),"MOZAMBIQUE")</f>
        <v>MOZAMBIQUE</v>
      </c>
      <c r="B563" s="7">
        <f>IFERROR(__xludf.DUMMYFUNCTION("""COMPUTED_VALUE"""),7.0)</f>
        <v>7</v>
      </c>
      <c r="C563" s="7" t="str">
        <f>IFERROR(__xludf.DUMMYFUNCTION("""COMPUTED_VALUE"""),"H_27")</f>
        <v>H_27</v>
      </c>
      <c r="D563" s="7" t="str">
        <f>IFERROR(__xludf.DUMMYFUNCTION("""COMPUTED_VALUE"""),"Q43E")</f>
        <v>Q43E</v>
      </c>
      <c r="E563" s="7" t="str">
        <f>IFERROR(__xludf.DUMMYFUNCTION("""COMPUTED_VALUE"""),"Q43e. Trust the ruling party")</f>
        <v>Q43e. Trust the ruling party</v>
      </c>
      <c r="F563" s="7" t="str">
        <f>IFERROR(__xludf.DUMMYFUNCTION("""COMPUTED_VALUE"""),"The ruling party")</f>
        <v>The ruling party</v>
      </c>
    </row>
    <row r="564">
      <c r="A564" s="7" t="str">
        <f>IFERROR(__xludf.DUMMYFUNCTION("""COMPUTED_VALUE"""),"NAMIBIA")</f>
        <v>NAMIBIA</v>
      </c>
      <c r="B564" s="7">
        <f>IFERROR(__xludf.DUMMYFUNCTION("""COMPUTED_VALUE"""),7.0)</f>
        <v>7</v>
      </c>
      <c r="C564" s="7" t="str">
        <f>IFERROR(__xludf.DUMMYFUNCTION("""COMPUTED_VALUE"""),"H_27")</f>
        <v>H_27</v>
      </c>
      <c r="D564" s="7" t="str">
        <f>IFERROR(__xludf.DUMMYFUNCTION("""COMPUTED_VALUE"""),"Q43E")</f>
        <v>Q43E</v>
      </c>
      <c r="E564" s="7" t="str">
        <f>IFERROR(__xludf.DUMMYFUNCTION("""COMPUTED_VALUE"""),"Q43e. Trust the ruling party")</f>
        <v>Q43e. Trust the ruling party</v>
      </c>
      <c r="F564" s="7" t="str">
        <f>IFERROR(__xludf.DUMMYFUNCTION("""COMPUTED_VALUE"""),"The ruling party")</f>
        <v>The ruling party</v>
      </c>
    </row>
    <row r="565">
      <c r="A565" s="7" t="str">
        <f>IFERROR(__xludf.DUMMYFUNCTION("""COMPUTED_VALUE"""),"NIGER")</f>
        <v>NIGER</v>
      </c>
      <c r="B565" s="7">
        <f>IFERROR(__xludf.DUMMYFUNCTION("""COMPUTED_VALUE"""),7.0)</f>
        <v>7</v>
      </c>
      <c r="C565" s="7" t="str">
        <f>IFERROR(__xludf.DUMMYFUNCTION("""COMPUTED_VALUE"""),"H_27")</f>
        <v>H_27</v>
      </c>
      <c r="D565" s="7" t="str">
        <f>IFERROR(__xludf.DUMMYFUNCTION("""COMPUTED_VALUE"""),"Q43E")</f>
        <v>Q43E</v>
      </c>
      <c r="E565" s="7" t="str">
        <f>IFERROR(__xludf.DUMMYFUNCTION("""COMPUTED_VALUE"""),"Q43e. Trust the ruling party")</f>
        <v>Q43e. Trust the ruling party</v>
      </c>
      <c r="F565" s="7" t="str">
        <f>IFERROR(__xludf.DUMMYFUNCTION("""COMPUTED_VALUE"""),"The parties of the presidential movement")</f>
        <v>The parties of the presidential movement</v>
      </c>
    </row>
    <row r="566">
      <c r="A566" s="7" t="str">
        <f>IFERROR(__xludf.DUMMYFUNCTION("""COMPUTED_VALUE"""),"NIGERIA")</f>
        <v>NIGERIA</v>
      </c>
      <c r="B566" s="7">
        <f>IFERROR(__xludf.DUMMYFUNCTION("""COMPUTED_VALUE"""),7.0)</f>
        <v>7</v>
      </c>
      <c r="C566" s="7" t="str">
        <f>IFERROR(__xludf.DUMMYFUNCTION("""COMPUTED_VALUE"""),"H_27")</f>
        <v>H_27</v>
      </c>
      <c r="D566" s="7" t="str">
        <f>IFERROR(__xludf.DUMMYFUNCTION("""COMPUTED_VALUE"""),"Q43E")</f>
        <v>Q43E</v>
      </c>
      <c r="E566" s="7" t="str">
        <f>IFERROR(__xludf.DUMMYFUNCTION("""COMPUTED_VALUE"""),"Q43e. Trust the ruling party")</f>
        <v>Q43e. Trust the ruling party</v>
      </c>
      <c r="F566" s="7" t="str">
        <f>IFERROR(__xludf.DUMMYFUNCTION("""COMPUTED_VALUE"""),"The Ruling APC Party")</f>
        <v>The Ruling APC Party</v>
      </c>
    </row>
    <row r="567">
      <c r="A567" s="7" t="str">
        <f>IFERROR(__xludf.DUMMYFUNCTION("""COMPUTED_VALUE"""),"SAO TOME AND PRINCIPE")</f>
        <v>SAO TOME AND PRINCIPE</v>
      </c>
      <c r="B567" s="7">
        <f>IFERROR(__xludf.DUMMYFUNCTION("""COMPUTED_VALUE"""),7.0)</f>
        <v>7</v>
      </c>
      <c r="C567" s="7" t="str">
        <f>IFERROR(__xludf.DUMMYFUNCTION("""COMPUTED_VALUE"""),"H_27")</f>
        <v>H_27</v>
      </c>
      <c r="D567" s="7" t="str">
        <f>IFERROR(__xludf.DUMMYFUNCTION("""COMPUTED_VALUE"""),"Q43E")</f>
        <v>Q43E</v>
      </c>
      <c r="E567" s="7" t="str">
        <f>IFERROR(__xludf.DUMMYFUNCTION("""COMPUTED_VALUE"""),"Q43e. Trust the ruling party")</f>
        <v>Q43e. Trust the ruling party</v>
      </c>
      <c r="F567" s="7" t="str">
        <f>IFERROR(__xludf.DUMMYFUNCTION("""COMPUTED_VALUE"""),"The Party in Power (ADI)")</f>
        <v>The Party in Power (ADI)</v>
      </c>
    </row>
    <row r="568">
      <c r="A568" s="7" t="str">
        <f>IFERROR(__xludf.DUMMYFUNCTION("""COMPUTED_VALUE"""),"SENEGAL")</f>
        <v>SENEGAL</v>
      </c>
      <c r="B568" s="7">
        <f>IFERROR(__xludf.DUMMYFUNCTION("""COMPUTED_VALUE"""),7.0)</f>
        <v>7</v>
      </c>
      <c r="C568" s="7" t="str">
        <f>IFERROR(__xludf.DUMMYFUNCTION("""COMPUTED_VALUE"""),"H_27")</f>
        <v>H_27</v>
      </c>
      <c r="D568" s="7" t="str">
        <f>IFERROR(__xludf.DUMMYFUNCTION("""COMPUTED_VALUE"""),"Q43E")</f>
        <v>Q43E</v>
      </c>
      <c r="E568" s="7" t="str">
        <f>IFERROR(__xludf.DUMMYFUNCTION("""COMPUTED_VALUE"""),"Q43e. Trust the ruling party")</f>
        <v>Q43e. Trust the ruling party</v>
      </c>
      <c r="F568" s="7" t="str">
        <f>IFERROR(__xludf.DUMMYFUNCTION("""COMPUTED_VALUE"""),"The parties of the presidential movement")</f>
        <v>The parties of the presidential movement</v>
      </c>
    </row>
    <row r="569">
      <c r="A569" s="7" t="str">
        <f>IFERROR(__xludf.DUMMYFUNCTION("""COMPUTED_VALUE"""),"SIERRA LEONE")</f>
        <v>SIERRA LEONE</v>
      </c>
      <c r="B569" s="7">
        <f>IFERROR(__xludf.DUMMYFUNCTION("""COMPUTED_VALUE"""),7.0)</f>
        <v>7</v>
      </c>
      <c r="C569" s="7" t="str">
        <f>IFERROR(__xludf.DUMMYFUNCTION("""COMPUTED_VALUE"""),"H_27")</f>
        <v>H_27</v>
      </c>
      <c r="D569" s="7" t="str">
        <f>IFERROR(__xludf.DUMMYFUNCTION("""COMPUTED_VALUE"""),"Q43E")</f>
        <v>Q43E</v>
      </c>
      <c r="E569" s="7" t="str">
        <f>IFERROR(__xludf.DUMMYFUNCTION("""COMPUTED_VALUE"""),"Q43e. Trust the ruling party")</f>
        <v>Q43e. Trust the ruling party</v>
      </c>
      <c r="F569" s="7" t="str">
        <f>IFERROR(__xludf.DUMMYFUNCTION("""COMPUTED_VALUE"""),"Ruling Party")</f>
        <v>Ruling Party</v>
      </c>
    </row>
    <row r="570">
      <c r="A570" s="7" t="str">
        <f>IFERROR(__xludf.DUMMYFUNCTION("""COMPUTED_VALUE"""),"SOUTH AFRICA")</f>
        <v>SOUTH AFRICA</v>
      </c>
      <c r="B570" s="7">
        <f>IFERROR(__xludf.DUMMYFUNCTION("""COMPUTED_VALUE"""),7.0)</f>
        <v>7</v>
      </c>
      <c r="C570" s="7" t="str">
        <f>IFERROR(__xludf.DUMMYFUNCTION("""COMPUTED_VALUE"""),"H_27")</f>
        <v>H_27</v>
      </c>
      <c r="D570" s="7" t="str">
        <f>IFERROR(__xludf.DUMMYFUNCTION("""COMPUTED_VALUE"""),"Q43E")</f>
        <v>Q43E</v>
      </c>
      <c r="E570" s="7" t="str">
        <f>IFERROR(__xludf.DUMMYFUNCTION("""COMPUTED_VALUE"""),"Q43e. Trust the ruling party")</f>
        <v>Q43e. Trust the ruling party</v>
      </c>
      <c r="F570" s="7" t="str">
        <f>IFERROR(__xludf.DUMMYFUNCTION("""COMPUTED_VALUE"""),"African National Congress (ANC) party")</f>
        <v>African National Congress (ANC) party</v>
      </c>
    </row>
    <row r="571">
      <c r="A571" s="7" t="str">
        <f>IFERROR(__xludf.DUMMYFUNCTION("""COMPUTED_VALUE"""),"SUDAN")</f>
        <v>SUDAN</v>
      </c>
      <c r="B571" s="7">
        <f>IFERROR(__xludf.DUMMYFUNCTION("""COMPUTED_VALUE"""),7.0)</f>
        <v>7</v>
      </c>
      <c r="C571" s="7" t="str">
        <f>IFERROR(__xludf.DUMMYFUNCTION("""COMPUTED_VALUE"""),"H_27")</f>
        <v>H_27</v>
      </c>
      <c r="D571" s="7" t="str">
        <f>IFERROR(__xludf.DUMMYFUNCTION("""COMPUTED_VALUE"""),"Q43E")</f>
        <v>Q43E</v>
      </c>
      <c r="E571" s="7" t="str">
        <f>IFERROR(__xludf.DUMMYFUNCTION("""COMPUTED_VALUE"""),"Q43e. Trust the ruling party")</f>
        <v>Q43e. Trust the ruling party</v>
      </c>
      <c r="F571" s="7" t="str">
        <f>IFERROR(__xludf.DUMMYFUNCTION("""COMPUTED_VALUE"""),"The ruling party")</f>
        <v>The ruling party</v>
      </c>
    </row>
    <row r="572">
      <c r="A572" s="7" t="str">
        <f>IFERROR(__xludf.DUMMYFUNCTION("""COMPUTED_VALUE"""),"TANZANIA")</f>
        <v>TANZANIA</v>
      </c>
      <c r="B572" s="7">
        <f>IFERROR(__xludf.DUMMYFUNCTION("""COMPUTED_VALUE"""),7.0)</f>
        <v>7</v>
      </c>
      <c r="C572" s="7" t="str">
        <f>IFERROR(__xludf.DUMMYFUNCTION("""COMPUTED_VALUE"""),"H_27")</f>
        <v>H_27</v>
      </c>
      <c r="D572" s="7" t="str">
        <f>IFERROR(__xludf.DUMMYFUNCTION("""COMPUTED_VALUE"""),"Q43E")</f>
        <v>Q43E</v>
      </c>
      <c r="E572" s="7" t="str">
        <f>IFERROR(__xludf.DUMMYFUNCTION("""COMPUTED_VALUE"""),"Q43e. Trust the ruling party")</f>
        <v>Q43e. Trust the ruling party</v>
      </c>
      <c r="F572" s="7" t="str">
        <f>IFERROR(__xludf.DUMMYFUNCTION("""COMPUTED_VALUE"""),"The Ruling Chama Cha Mapinduzi")</f>
        <v>The Ruling Chama Cha Mapinduzi</v>
      </c>
    </row>
    <row r="573">
      <c r="A573" s="7" t="str">
        <f>IFERROR(__xludf.DUMMYFUNCTION("""COMPUTED_VALUE"""),"TOGO")</f>
        <v>TOGO</v>
      </c>
      <c r="B573" s="7">
        <f>IFERROR(__xludf.DUMMYFUNCTION("""COMPUTED_VALUE"""),7.0)</f>
        <v>7</v>
      </c>
      <c r="C573" s="7" t="str">
        <f>IFERROR(__xludf.DUMMYFUNCTION("""COMPUTED_VALUE"""),"H_27")</f>
        <v>H_27</v>
      </c>
      <c r="D573" s="7" t="str">
        <f>IFERROR(__xludf.DUMMYFUNCTION("""COMPUTED_VALUE"""),"Q43E")</f>
        <v>Q43E</v>
      </c>
      <c r="E573" s="7" t="str">
        <f>IFERROR(__xludf.DUMMYFUNCTION("""COMPUTED_VALUE"""),"Q43e. Trust the ruling party")</f>
        <v>Q43e. Trust the ruling party</v>
      </c>
      <c r="F573" s="7" t="str">
        <f>IFERROR(__xludf.DUMMYFUNCTION("""COMPUTED_VALUE"""),"The ruling party (Unir)")</f>
        <v>The ruling party (Unir)</v>
      </c>
    </row>
    <row r="574">
      <c r="A574" s="7" t="str">
        <f>IFERROR(__xludf.DUMMYFUNCTION("""COMPUTED_VALUE"""),"TUNISIA")</f>
        <v>TUNISIA</v>
      </c>
      <c r="B574" s="7">
        <f>IFERROR(__xludf.DUMMYFUNCTION("""COMPUTED_VALUE"""),7.0)</f>
        <v>7</v>
      </c>
      <c r="C574" s="7" t="str">
        <f>IFERROR(__xludf.DUMMYFUNCTION("""COMPUTED_VALUE"""),"H_27")</f>
        <v>H_27</v>
      </c>
      <c r="D574" s="7" t="str">
        <f>IFERROR(__xludf.DUMMYFUNCTION("""COMPUTED_VALUE"""),"Q43E")</f>
        <v>Q43E</v>
      </c>
      <c r="E574" s="7" t="str">
        <f>IFERROR(__xludf.DUMMYFUNCTION("""COMPUTED_VALUE"""),"Q43e. Trust the ruling party")</f>
        <v>Q43e. Trust the ruling party</v>
      </c>
      <c r="F574" s="7" t="str">
        <f>IFERROR(__xludf.DUMMYFUNCTION("""COMPUTED_VALUE"""),"The ruling party")</f>
        <v>The ruling party</v>
      </c>
    </row>
    <row r="575">
      <c r="A575" s="7" t="str">
        <f>IFERROR(__xludf.DUMMYFUNCTION("""COMPUTED_VALUE"""),"UGANDA")</f>
        <v>UGANDA</v>
      </c>
      <c r="B575" s="7">
        <f>IFERROR(__xludf.DUMMYFUNCTION("""COMPUTED_VALUE"""),7.0)</f>
        <v>7</v>
      </c>
      <c r="C575" s="7" t="str">
        <f>IFERROR(__xludf.DUMMYFUNCTION("""COMPUTED_VALUE"""),"H_27")</f>
        <v>H_27</v>
      </c>
      <c r="D575" s="7" t="str">
        <f>IFERROR(__xludf.DUMMYFUNCTION("""COMPUTED_VALUE"""),"Q43E")</f>
        <v>Q43E</v>
      </c>
      <c r="E575" s="7" t="str">
        <f>IFERROR(__xludf.DUMMYFUNCTION("""COMPUTED_VALUE"""),"Q43e. Trust the ruling party")</f>
        <v>Q43e. Trust the ruling party</v>
      </c>
      <c r="F575" s="7" t="str">
        <f>IFERROR(__xludf.DUMMYFUNCTION("""COMPUTED_VALUE"""),"The ruling party")</f>
        <v>The ruling party</v>
      </c>
    </row>
    <row r="576">
      <c r="A576" s="7" t="str">
        <f>IFERROR(__xludf.DUMMYFUNCTION("""COMPUTED_VALUE"""),"ZAMBIA")</f>
        <v>ZAMBIA</v>
      </c>
      <c r="B576" s="7">
        <f>IFERROR(__xludf.DUMMYFUNCTION("""COMPUTED_VALUE"""),7.0)</f>
        <v>7</v>
      </c>
      <c r="C576" s="7" t="str">
        <f>IFERROR(__xludf.DUMMYFUNCTION("""COMPUTED_VALUE"""),"H_27")</f>
        <v>H_27</v>
      </c>
      <c r="D576" s="7" t="str">
        <f>IFERROR(__xludf.DUMMYFUNCTION("""COMPUTED_VALUE"""),"Q43E")</f>
        <v>Q43E</v>
      </c>
      <c r="E576" s="7" t="str">
        <f>IFERROR(__xludf.DUMMYFUNCTION("""COMPUTED_VALUE"""),"Q43e. Trust the ruling party")</f>
        <v>Q43e. Trust the ruling party</v>
      </c>
      <c r="F576" s="7" t="str">
        <f>IFERROR(__xludf.DUMMYFUNCTION("""COMPUTED_VALUE"""),"The Ruling Patriotic Front Party")</f>
        <v>The Ruling Patriotic Front Party</v>
      </c>
    </row>
    <row r="577">
      <c r="A577" s="7" t="str">
        <f>IFERROR(__xludf.DUMMYFUNCTION("""COMPUTED_VALUE"""),"ZIMBABWE")</f>
        <v>ZIMBABWE</v>
      </c>
      <c r="B577" s="7">
        <f>IFERROR(__xludf.DUMMYFUNCTION("""COMPUTED_VALUE"""),7.0)</f>
        <v>7</v>
      </c>
      <c r="C577" s="7" t="str">
        <f>IFERROR(__xludf.DUMMYFUNCTION("""COMPUTED_VALUE"""),"H_27")</f>
        <v>H_27</v>
      </c>
      <c r="D577" s="7" t="str">
        <f>IFERROR(__xludf.DUMMYFUNCTION("""COMPUTED_VALUE"""),"Q43E")</f>
        <v>Q43E</v>
      </c>
      <c r="E577" s="7" t="str">
        <f>IFERROR(__xludf.DUMMYFUNCTION("""COMPUTED_VALUE"""),"Q43e. Trust the ruling party")</f>
        <v>Q43e. Trust the ruling party</v>
      </c>
      <c r="F577" s="7" t="str">
        <f>IFERROR(__xludf.DUMMYFUNCTION("""COMPUTED_VALUE"""),"The Ruling Party")</f>
        <v>The Ruling Party</v>
      </c>
    </row>
    <row r="578">
      <c r="A578" s="7" t="str">
        <f>IFERROR(__xludf.DUMMYFUNCTION("""COMPUTED_VALUE"""),"CAMEROON")</f>
        <v>CAMEROON</v>
      </c>
      <c r="B578" s="7">
        <f>IFERROR(__xludf.DUMMYFUNCTION("""COMPUTED_VALUE"""),7.0)</f>
        <v>7</v>
      </c>
      <c r="C578" s="7" t="str">
        <f>IFERROR(__xludf.DUMMYFUNCTION("""COMPUTED_VALUE"""),"H_25")</f>
        <v>H_25</v>
      </c>
      <c r="D578" s="7" t="str">
        <f>IFERROR(__xludf.DUMMYFUNCTION("""COMPUTED_VALUE"""),"Q43H")</f>
        <v>Q43H</v>
      </c>
      <c r="E578" s="7" t="str">
        <f>IFERROR(__xludf.DUMMYFUNCTION("""COMPUTED_VALUE"""),"Q43h. Trust army")</f>
        <v>Q43h. Trust army</v>
      </c>
      <c r="F578" s="7" t="str">
        <f>IFERROR(__xludf.DUMMYFUNCTION("""COMPUTED_VALUE"""),"Cape Verde Armed Force (FA)")</f>
        <v>Cape Verde Armed Force (FA)</v>
      </c>
    </row>
    <row r="579">
      <c r="A579" s="7" t="str">
        <f>IFERROR(__xludf.DUMMYFUNCTION("""COMPUTED_VALUE"""),"COTE D'IVOIRE")</f>
        <v>COTE D'IVOIRE</v>
      </c>
      <c r="B579" s="7">
        <f>IFERROR(__xludf.DUMMYFUNCTION("""COMPUTED_VALUE"""),7.0)</f>
        <v>7</v>
      </c>
      <c r="C579" s="7" t="str">
        <f>IFERROR(__xludf.DUMMYFUNCTION("""COMPUTED_VALUE"""),"H_25")</f>
        <v>H_25</v>
      </c>
      <c r="D579" s="7" t="str">
        <f>IFERROR(__xludf.DUMMYFUNCTION("""COMPUTED_VALUE"""),"Q43H")</f>
        <v>Q43H</v>
      </c>
      <c r="E579" s="7" t="str">
        <f>IFERROR(__xludf.DUMMYFUNCTION("""COMPUTED_VALUE"""),"Q43h. Trust army")</f>
        <v>Q43h. Trust army</v>
      </c>
      <c r="F579" s="7" t="str">
        <f>IFERROR(__xludf.DUMMYFUNCTION("""COMPUTED_VALUE"""),"Armed Forces of Côte d’Ivoire (FACI)")</f>
        <v>Armed Forces of Côte d’Ivoire (FACI)</v>
      </c>
    </row>
    <row r="580">
      <c r="A580" s="7" t="str">
        <f>IFERROR(__xludf.DUMMYFUNCTION("""COMPUTED_VALUE"""),"ESWATINI")</f>
        <v>ESWATINI</v>
      </c>
      <c r="B580" s="7">
        <f>IFERROR(__xludf.DUMMYFUNCTION("""COMPUTED_VALUE"""),7.0)</f>
        <v>7</v>
      </c>
      <c r="C580" s="7" t="str">
        <f>IFERROR(__xludf.DUMMYFUNCTION("""COMPUTED_VALUE"""),"H_25")</f>
        <v>H_25</v>
      </c>
      <c r="D580" s="7" t="str">
        <f>IFERROR(__xludf.DUMMYFUNCTION("""COMPUTED_VALUE"""),"Q43H")</f>
        <v>Q43H</v>
      </c>
      <c r="E580" s="7" t="str">
        <f>IFERROR(__xludf.DUMMYFUNCTION("""COMPUTED_VALUE"""),"Q43h. Trust army")</f>
        <v>Q43h. Trust army</v>
      </c>
      <c r="F580" s="7" t="str">
        <f>IFERROR(__xludf.DUMMYFUNCTION("""COMPUTED_VALUE"""),"The Umbutfo Swaziland DefenceForce")</f>
        <v>The Umbutfo Swaziland DefenceForce</v>
      </c>
    </row>
    <row r="581">
      <c r="A581" s="7" t="str">
        <f>IFERROR(__xludf.DUMMYFUNCTION("""COMPUTED_VALUE"""),"GABON")</f>
        <v>GABON</v>
      </c>
      <c r="B581" s="7">
        <f>IFERROR(__xludf.DUMMYFUNCTION("""COMPUTED_VALUE"""),7.0)</f>
        <v>7</v>
      </c>
      <c r="C581" s="7" t="str">
        <f>IFERROR(__xludf.DUMMYFUNCTION("""COMPUTED_VALUE"""),"H_25")</f>
        <v>H_25</v>
      </c>
      <c r="D581" s="7" t="str">
        <f>IFERROR(__xludf.DUMMYFUNCTION("""COMPUTED_VALUE"""),"Q43H")</f>
        <v>Q43H</v>
      </c>
      <c r="E581" s="7" t="str">
        <f>IFERROR(__xludf.DUMMYFUNCTION("""COMPUTED_VALUE"""),"Q43h. Trust army")</f>
        <v>Q43h. Trust army</v>
      </c>
      <c r="F581" s="7" t="str">
        <f>IFERROR(__xludf.DUMMYFUNCTION("""COMPUTED_VALUE"""),"The defense forces of Gabon")</f>
        <v>The defense forces of Gabon</v>
      </c>
    </row>
    <row r="582">
      <c r="A582" s="7" t="str">
        <f>IFERROR(__xludf.DUMMYFUNCTION("""COMPUTED_VALUE"""),"GAMBIA")</f>
        <v>GAMBIA</v>
      </c>
      <c r="B582" s="7">
        <f>IFERROR(__xludf.DUMMYFUNCTION("""COMPUTED_VALUE"""),7.0)</f>
        <v>7</v>
      </c>
      <c r="C582" s="7" t="str">
        <f>IFERROR(__xludf.DUMMYFUNCTION("""COMPUTED_VALUE"""),"H_25")</f>
        <v>H_25</v>
      </c>
      <c r="D582" s="7" t="str">
        <f>IFERROR(__xludf.DUMMYFUNCTION("""COMPUTED_VALUE"""),"Q43H")</f>
        <v>Q43H</v>
      </c>
      <c r="E582" s="7" t="str">
        <f>IFERROR(__xludf.DUMMYFUNCTION("""COMPUTED_VALUE"""),"Q43h. Trust army")</f>
        <v>Q43h. Trust army</v>
      </c>
      <c r="F582" s="7" t="str">
        <f>IFERROR(__xludf.DUMMYFUNCTION("""COMPUTED_VALUE"""),"The army")</f>
        <v>The army</v>
      </c>
    </row>
    <row r="583">
      <c r="A583" s="7" t="str">
        <f>IFERROR(__xludf.DUMMYFUNCTION("""COMPUTED_VALUE"""),"GHANA")</f>
        <v>GHANA</v>
      </c>
      <c r="B583" s="7">
        <f>IFERROR(__xludf.DUMMYFUNCTION("""COMPUTED_VALUE"""),7.0)</f>
        <v>7</v>
      </c>
      <c r="C583" s="7" t="str">
        <f>IFERROR(__xludf.DUMMYFUNCTION("""COMPUTED_VALUE"""),"H_25")</f>
        <v>H_25</v>
      </c>
      <c r="D583" s="7" t="str">
        <f>IFERROR(__xludf.DUMMYFUNCTION("""COMPUTED_VALUE"""),"Q43H")</f>
        <v>Q43H</v>
      </c>
      <c r="E583" s="7" t="str">
        <f>IFERROR(__xludf.DUMMYFUNCTION("""COMPUTED_VALUE"""),"Q43h. Trust army")</f>
        <v>Q43h. Trust army</v>
      </c>
      <c r="F583" s="7" t="str">
        <f>IFERROR(__xludf.DUMMYFUNCTION("""COMPUTED_VALUE"""),"The Ghana Armed Forces")</f>
        <v>The Ghana Armed Forces</v>
      </c>
    </row>
    <row r="584">
      <c r="A584" s="7" t="str">
        <f>IFERROR(__xludf.DUMMYFUNCTION("""COMPUTED_VALUE"""),"GUINEA")</f>
        <v>GUINEA</v>
      </c>
      <c r="B584" s="7">
        <f>IFERROR(__xludf.DUMMYFUNCTION("""COMPUTED_VALUE"""),7.0)</f>
        <v>7</v>
      </c>
      <c r="C584" s="7" t="str">
        <f>IFERROR(__xludf.DUMMYFUNCTION("""COMPUTED_VALUE"""),"H_25")</f>
        <v>H_25</v>
      </c>
      <c r="D584" s="7" t="str">
        <f>IFERROR(__xludf.DUMMYFUNCTION("""COMPUTED_VALUE"""),"Q43H")</f>
        <v>Q43H</v>
      </c>
      <c r="E584" s="7" t="str">
        <f>IFERROR(__xludf.DUMMYFUNCTION("""COMPUTED_VALUE"""),"Q43h. Trust army")</f>
        <v>Q43h. Trust army</v>
      </c>
      <c r="F584" s="7" t="str">
        <f>IFERROR(__xludf.DUMMYFUNCTION("""COMPUTED_VALUE"""),"The defense forces of Guinea")</f>
        <v>The defense forces of Guinea</v>
      </c>
    </row>
    <row r="585">
      <c r="A585" s="7" t="str">
        <f>IFERROR(__xludf.DUMMYFUNCTION("""COMPUTED_VALUE"""),"KENYA")</f>
        <v>KENYA</v>
      </c>
      <c r="B585" s="7">
        <f>IFERROR(__xludf.DUMMYFUNCTION("""COMPUTED_VALUE"""),7.0)</f>
        <v>7</v>
      </c>
      <c r="C585" s="7" t="str">
        <f>IFERROR(__xludf.DUMMYFUNCTION("""COMPUTED_VALUE"""),"H_25")</f>
        <v>H_25</v>
      </c>
      <c r="D585" s="7" t="str">
        <f>IFERROR(__xludf.DUMMYFUNCTION("""COMPUTED_VALUE"""),"Q43H")</f>
        <v>Q43H</v>
      </c>
      <c r="E585" s="7" t="str">
        <f>IFERROR(__xludf.DUMMYFUNCTION("""COMPUTED_VALUE"""),"Q43h. Trust army")</f>
        <v>Q43h. Trust army</v>
      </c>
      <c r="F585" s="7" t="str">
        <f>IFERROR(__xludf.DUMMYFUNCTION("""COMPUTED_VALUE"""),"Kenya Defense Force (KDF)")</f>
        <v>Kenya Defense Force (KDF)</v>
      </c>
    </row>
    <row r="586">
      <c r="A586" s="7" t="str">
        <f>IFERROR(__xludf.DUMMYFUNCTION("""COMPUTED_VALUE"""),"LESOTHO")</f>
        <v>LESOTHO</v>
      </c>
      <c r="B586" s="7">
        <f>IFERROR(__xludf.DUMMYFUNCTION("""COMPUTED_VALUE"""),7.0)</f>
        <v>7</v>
      </c>
      <c r="C586" s="7" t="str">
        <f>IFERROR(__xludf.DUMMYFUNCTION("""COMPUTED_VALUE"""),"H_25")</f>
        <v>H_25</v>
      </c>
      <c r="D586" s="7" t="str">
        <f>IFERROR(__xludf.DUMMYFUNCTION("""COMPUTED_VALUE"""),"Q43H")</f>
        <v>Q43H</v>
      </c>
      <c r="E586" s="7" t="str">
        <f>IFERROR(__xludf.DUMMYFUNCTION("""COMPUTED_VALUE"""),"Q43h. Trust army")</f>
        <v>Q43h. Trust army</v>
      </c>
      <c r="F586" s="7" t="str">
        <f>IFERROR(__xludf.DUMMYFUNCTION("""COMPUTED_VALUE"""),"The Army")</f>
        <v>The Army</v>
      </c>
    </row>
    <row r="587">
      <c r="A587" s="7" t="str">
        <f>IFERROR(__xludf.DUMMYFUNCTION("""COMPUTED_VALUE"""),"LIBERIA")</f>
        <v>LIBERIA</v>
      </c>
      <c r="B587" s="7">
        <f>IFERROR(__xludf.DUMMYFUNCTION("""COMPUTED_VALUE"""),7.0)</f>
        <v>7</v>
      </c>
      <c r="C587" s="7" t="str">
        <f>IFERROR(__xludf.DUMMYFUNCTION("""COMPUTED_VALUE"""),"H_25")</f>
        <v>H_25</v>
      </c>
      <c r="D587" s="7" t="str">
        <f>IFERROR(__xludf.DUMMYFUNCTION("""COMPUTED_VALUE"""),"Q43H")</f>
        <v>Q43H</v>
      </c>
      <c r="E587" s="7" t="str">
        <f>IFERROR(__xludf.DUMMYFUNCTION("""COMPUTED_VALUE"""),"Q43h. Trust army")</f>
        <v>Q43h. Trust army</v>
      </c>
      <c r="F587" s="7" t="str">
        <f>IFERROR(__xludf.DUMMYFUNCTION("""COMPUTED_VALUE"""),"The Army")</f>
        <v>The Army</v>
      </c>
    </row>
    <row r="588">
      <c r="A588" s="7" t="str">
        <f>IFERROR(__xludf.DUMMYFUNCTION("""COMPUTED_VALUE"""),"MADAGASCAR")</f>
        <v>MADAGASCAR</v>
      </c>
      <c r="B588" s="7">
        <f>IFERROR(__xludf.DUMMYFUNCTION("""COMPUTED_VALUE"""),7.0)</f>
        <v>7</v>
      </c>
      <c r="C588" s="7" t="str">
        <f>IFERROR(__xludf.DUMMYFUNCTION("""COMPUTED_VALUE"""),"H_25")</f>
        <v>H_25</v>
      </c>
      <c r="D588" s="7" t="str">
        <f>IFERROR(__xludf.DUMMYFUNCTION("""COMPUTED_VALUE"""),"Q43H")</f>
        <v>Q43H</v>
      </c>
      <c r="E588" s="7" t="str">
        <f>IFERROR(__xludf.DUMMYFUNCTION("""COMPUTED_VALUE"""),"Q43h. Trust army")</f>
        <v>Q43h. Trust army</v>
      </c>
      <c r="F588" s="7" t="str">
        <f>IFERROR(__xludf.DUMMYFUNCTION("""COMPUTED_VALUE"""),"The Army")</f>
        <v>The Army</v>
      </c>
    </row>
    <row r="589">
      <c r="A589" s="7" t="str">
        <f>IFERROR(__xludf.DUMMYFUNCTION("""COMPUTED_VALUE"""),"MALAWI")</f>
        <v>MALAWI</v>
      </c>
      <c r="B589" s="7">
        <f>IFERROR(__xludf.DUMMYFUNCTION("""COMPUTED_VALUE"""),7.0)</f>
        <v>7</v>
      </c>
      <c r="C589" s="7" t="str">
        <f>IFERROR(__xludf.DUMMYFUNCTION("""COMPUTED_VALUE"""),"H_25")</f>
        <v>H_25</v>
      </c>
      <c r="D589" s="7" t="str">
        <f>IFERROR(__xludf.DUMMYFUNCTION("""COMPUTED_VALUE"""),"Q43H")</f>
        <v>Q43H</v>
      </c>
      <c r="E589" s="7" t="str">
        <f>IFERROR(__xludf.DUMMYFUNCTION("""COMPUTED_VALUE"""),"Q43h. Trust army")</f>
        <v>Q43h. Trust army</v>
      </c>
      <c r="F589" s="7" t="str">
        <f>IFERROR(__xludf.DUMMYFUNCTION("""COMPUTED_VALUE"""),"Malawi Defense Force")</f>
        <v>Malawi Defense Force</v>
      </c>
    </row>
    <row r="590">
      <c r="A590" s="7" t="str">
        <f>IFERROR(__xludf.DUMMYFUNCTION("""COMPUTED_VALUE"""),"MALI")</f>
        <v>MALI</v>
      </c>
      <c r="B590" s="7">
        <f>IFERROR(__xludf.DUMMYFUNCTION("""COMPUTED_VALUE"""),7.0)</f>
        <v>7</v>
      </c>
      <c r="C590" s="7" t="str">
        <f>IFERROR(__xludf.DUMMYFUNCTION("""COMPUTED_VALUE"""),"H_25")</f>
        <v>H_25</v>
      </c>
      <c r="D590" s="7" t="str">
        <f>IFERROR(__xludf.DUMMYFUNCTION("""COMPUTED_VALUE"""),"Q43H")</f>
        <v>Q43H</v>
      </c>
      <c r="E590" s="7" t="str">
        <f>IFERROR(__xludf.DUMMYFUNCTION("""COMPUTED_VALUE"""),"Q43h. Trust army")</f>
        <v>Q43h. Trust army</v>
      </c>
      <c r="F590" s="7" t="str">
        <f>IFERROR(__xludf.DUMMYFUNCTION("""COMPUTED_VALUE"""),"The defense forces of Mali")</f>
        <v>The defense forces of Mali</v>
      </c>
    </row>
    <row r="591">
      <c r="A591" s="7" t="str">
        <f>IFERROR(__xludf.DUMMYFUNCTION("""COMPUTED_VALUE"""),"MAURITIUS")</f>
        <v>MAURITIUS</v>
      </c>
      <c r="B591" s="7">
        <f>IFERROR(__xludf.DUMMYFUNCTION("""COMPUTED_VALUE"""),7.0)</f>
        <v>7</v>
      </c>
      <c r="C591" s="7" t="str">
        <f>IFERROR(__xludf.DUMMYFUNCTION("""COMPUTED_VALUE"""),"H_25")</f>
        <v>H_25</v>
      </c>
      <c r="D591" s="7" t="str">
        <f>IFERROR(__xludf.DUMMYFUNCTION("""COMPUTED_VALUE"""),"Q43H")</f>
        <v>Q43H</v>
      </c>
      <c r="E591" s="7" t="str">
        <f>IFERROR(__xludf.DUMMYFUNCTION("""COMPUTED_VALUE"""),"Q43h. Trust army")</f>
        <v>Q43h. Trust army</v>
      </c>
      <c r="F591" s="7" t="str">
        <f>IFERROR(__xludf.DUMMYFUNCTION("""COMPUTED_VALUE"""),"The Special Mobile Force")</f>
        <v>The Special Mobile Force</v>
      </c>
    </row>
    <row r="592">
      <c r="A592" s="7" t="str">
        <f>IFERROR(__xludf.DUMMYFUNCTION("""COMPUTED_VALUE"""),"MOROCCO")</f>
        <v>MOROCCO</v>
      </c>
      <c r="B592" s="7">
        <f>IFERROR(__xludf.DUMMYFUNCTION("""COMPUTED_VALUE"""),7.0)</f>
        <v>7</v>
      </c>
      <c r="C592" s="7" t="str">
        <f>IFERROR(__xludf.DUMMYFUNCTION("""COMPUTED_VALUE"""),"H_25")</f>
        <v>H_25</v>
      </c>
      <c r="D592" s="7" t="str">
        <f>IFERROR(__xludf.DUMMYFUNCTION("""COMPUTED_VALUE"""),"Q43H")</f>
        <v>Q43H</v>
      </c>
      <c r="E592" s="7" t="str">
        <f>IFERROR(__xludf.DUMMYFUNCTION("""COMPUTED_VALUE"""),"Q43h. Trust army")</f>
        <v>Q43h. Trust army</v>
      </c>
      <c r="F592" s="7" t="str">
        <f>IFERROR(__xludf.DUMMYFUNCTION("""COMPUTED_VALUE"""),"The Royal Army")</f>
        <v>The Royal Army</v>
      </c>
    </row>
    <row r="593">
      <c r="A593" s="7" t="str">
        <f>IFERROR(__xludf.DUMMYFUNCTION("""COMPUTED_VALUE"""),"MOZAMBIQUE")</f>
        <v>MOZAMBIQUE</v>
      </c>
      <c r="B593" s="7">
        <f>IFERROR(__xludf.DUMMYFUNCTION("""COMPUTED_VALUE"""),7.0)</f>
        <v>7</v>
      </c>
      <c r="C593" s="7" t="str">
        <f>IFERROR(__xludf.DUMMYFUNCTION("""COMPUTED_VALUE"""),"H_25")</f>
        <v>H_25</v>
      </c>
      <c r="D593" s="7" t="str">
        <f>IFERROR(__xludf.DUMMYFUNCTION("""COMPUTED_VALUE"""),"Q43H")</f>
        <v>Q43H</v>
      </c>
      <c r="E593" s="7" t="str">
        <f>IFERROR(__xludf.DUMMYFUNCTION("""COMPUTED_VALUE"""),"Q43h. Trust army")</f>
        <v>Q43h. Trust army</v>
      </c>
      <c r="F593" s="7" t="str">
        <f>IFERROR(__xludf.DUMMYFUNCTION("""COMPUTED_VALUE"""),"The army")</f>
        <v>The army</v>
      </c>
    </row>
    <row r="594">
      <c r="A594" s="7" t="str">
        <f>IFERROR(__xludf.DUMMYFUNCTION("""COMPUTED_VALUE"""),"NAMIBIA")</f>
        <v>NAMIBIA</v>
      </c>
      <c r="B594" s="7">
        <f>IFERROR(__xludf.DUMMYFUNCTION("""COMPUTED_VALUE"""),7.0)</f>
        <v>7</v>
      </c>
      <c r="C594" s="7" t="str">
        <f>IFERROR(__xludf.DUMMYFUNCTION("""COMPUTED_VALUE"""),"H_25")</f>
        <v>H_25</v>
      </c>
      <c r="D594" s="7" t="str">
        <f>IFERROR(__xludf.DUMMYFUNCTION("""COMPUTED_VALUE"""),"Q43H")</f>
        <v>Q43H</v>
      </c>
      <c r="E594" s="7" t="str">
        <f>IFERROR(__xludf.DUMMYFUNCTION("""COMPUTED_VALUE"""),"Q43h. Trust army")</f>
        <v>Q43h. Trust army</v>
      </c>
      <c r="F594" s="7" t="str">
        <f>IFERROR(__xludf.DUMMYFUNCTION("""COMPUTED_VALUE"""),"The army")</f>
        <v>The army</v>
      </c>
    </row>
    <row r="595">
      <c r="A595" s="7" t="str">
        <f>IFERROR(__xludf.DUMMYFUNCTION("""COMPUTED_VALUE"""),"NIGER")</f>
        <v>NIGER</v>
      </c>
      <c r="B595" s="7">
        <f>IFERROR(__xludf.DUMMYFUNCTION("""COMPUTED_VALUE"""),7.0)</f>
        <v>7</v>
      </c>
      <c r="C595" s="7" t="str">
        <f>IFERROR(__xludf.DUMMYFUNCTION("""COMPUTED_VALUE"""),"H_25")</f>
        <v>H_25</v>
      </c>
      <c r="D595" s="7" t="str">
        <f>IFERROR(__xludf.DUMMYFUNCTION("""COMPUTED_VALUE"""),"Q43H")</f>
        <v>Q43H</v>
      </c>
      <c r="E595" s="7" t="str">
        <f>IFERROR(__xludf.DUMMYFUNCTION("""COMPUTED_VALUE"""),"Q43h. Trust army")</f>
        <v>Q43h. Trust army</v>
      </c>
      <c r="F595" s="7" t="str">
        <f>IFERROR(__xludf.DUMMYFUNCTION("""COMPUTED_VALUE"""),"The defense forces of Niger")</f>
        <v>The defense forces of Niger</v>
      </c>
    </row>
    <row r="596">
      <c r="A596" s="7" t="str">
        <f>IFERROR(__xludf.DUMMYFUNCTION("""COMPUTED_VALUE"""),"NIGERIA")</f>
        <v>NIGERIA</v>
      </c>
      <c r="B596" s="7">
        <f>IFERROR(__xludf.DUMMYFUNCTION("""COMPUTED_VALUE"""),7.0)</f>
        <v>7</v>
      </c>
      <c r="C596" s="7" t="str">
        <f>IFERROR(__xludf.DUMMYFUNCTION("""COMPUTED_VALUE"""),"H_25")</f>
        <v>H_25</v>
      </c>
      <c r="D596" s="7" t="str">
        <f>IFERROR(__xludf.DUMMYFUNCTION("""COMPUTED_VALUE"""),"Q43H")</f>
        <v>Q43H</v>
      </c>
      <c r="E596" s="7" t="str">
        <f>IFERROR(__xludf.DUMMYFUNCTION("""COMPUTED_VALUE"""),"Q43h. Trust army")</f>
        <v>Q43h. Trust army</v>
      </c>
      <c r="F596" s="7" t="str">
        <f>IFERROR(__xludf.DUMMYFUNCTION("""COMPUTED_VALUE"""),"Nigeria Armed Forces")</f>
        <v>Nigeria Armed Forces</v>
      </c>
    </row>
    <row r="597">
      <c r="A597" s="7" t="str">
        <f>IFERROR(__xludf.DUMMYFUNCTION("""COMPUTED_VALUE"""),"SAO TOME AND PRINCIPE")</f>
        <v>SAO TOME AND PRINCIPE</v>
      </c>
      <c r="B597" s="7">
        <f>IFERROR(__xludf.DUMMYFUNCTION("""COMPUTED_VALUE"""),7.0)</f>
        <v>7</v>
      </c>
      <c r="C597" s="7" t="str">
        <f>IFERROR(__xludf.DUMMYFUNCTION("""COMPUTED_VALUE"""),"H_25")</f>
        <v>H_25</v>
      </c>
      <c r="D597" s="7" t="str">
        <f>IFERROR(__xludf.DUMMYFUNCTION("""COMPUTED_VALUE"""),"Q43H")</f>
        <v>Q43H</v>
      </c>
      <c r="E597" s="7" t="str">
        <f>IFERROR(__xludf.DUMMYFUNCTION("""COMPUTED_VALUE"""),"Q43h. Trust army")</f>
        <v>Q43h. Trust army</v>
      </c>
      <c r="F597" s="7" t="str">
        <f>IFERROR(__xludf.DUMMYFUNCTION("""COMPUTED_VALUE"""),"The Armed Forces (army)")</f>
        <v>The Armed Forces (army)</v>
      </c>
    </row>
    <row r="598">
      <c r="A598" s="7" t="str">
        <f>IFERROR(__xludf.DUMMYFUNCTION("""COMPUTED_VALUE"""),"SENEGAL")</f>
        <v>SENEGAL</v>
      </c>
      <c r="B598" s="7">
        <f>IFERROR(__xludf.DUMMYFUNCTION("""COMPUTED_VALUE"""),7.0)</f>
        <v>7</v>
      </c>
      <c r="C598" s="7" t="str">
        <f>IFERROR(__xludf.DUMMYFUNCTION("""COMPUTED_VALUE"""),"H_25")</f>
        <v>H_25</v>
      </c>
      <c r="D598" s="7" t="str">
        <f>IFERROR(__xludf.DUMMYFUNCTION("""COMPUTED_VALUE"""),"Q43H")</f>
        <v>Q43H</v>
      </c>
      <c r="E598" s="7" t="str">
        <f>IFERROR(__xludf.DUMMYFUNCTION("""COMPUTED_VALUE"""),"Q43h. Trust army")</f>
        <v>Q43h. Trust army</v>
      </c>
      <c r="F598" s="7" t="str">
        <f>IFERROR(__xludf.DUMMYFUNCTION("""COMPUTED_VALUE"""),"The Army")</f>
        <v>The Army</v>
      </c>
    </row>
    <row r="599">
      <c r="A599" s="7" t="str">
        <f>IFERROR(__xludf.DUMMYFUNCTION("""COMPUTED_VALUE"""),"SIERRA LEONE")</f>
        <v>SIERRA LEONE</v>
      </c>
      <c r="B599" s="7">
        <f>IFERROR(__xludf.DUMMYFUNCTION("""COMPUTED_VALUE"""),7.0)</f>
        <v>7</v>
      </c>
      <c r="C599" s="7" t="str">
        <f>IFERROR(__xludf.DUMMYFUNCTION("""COMPUTED_VALUE"""),"H_25")</f>
        <v>H_25</v>
      </c>
      <c r="D599" s="7" t="str">
        <f>IFERROR(__xludf.DUMMYFUNCTION("""COMPUTED_VALUE"""),"Q43H")</f>
        <v>Q43H</v>
      </c>
      <c r="E599" s="7" t="str">
        <f>IFERROR(__xludf.DUMMYFUNCTION("""COMPUTED_VALUE"""),"Q43h. Trust army")</f>
        <v>Q43h. Trust army</v>
      </c>
      <c r="F599" s="7" t="str">
        <f>IFERROR(__xludf.DUMMYFUNCTION("""COMPUTED_VALUE"""),"The Army")</f>
        <v>The Army</v>
      </c>
    </row>
    <row r="600">
      <c r="A600" s="7" t="str">
        <f>IFERROR(__xludf.DUMMYFUNCTION("""COMPUTED_VALUE"""),"SOUTH AFRICA")</f>
        <v>SOUTH AFRICA</v>
      </c>
      <c r="B600" s="7">
        <f>IFERROR(__xludf.DUMMYFUNCTION("""COMPUTED_VALUE"""),7.0)</f>
        <v>7</v>
      </c>
      <c r="C600" s="7" t="str">
        <f>IFERROR(__xludf.DUMMYFUNCTION("""COMPUTED_VALUE"""),"H_25")</f>
        <v>H_25</v>
      </c>
      <c r="D600" s="7" t="str">
        <f>IFERROR(__xludf.DUMMYFUNCTION("""COMPUTED_VALUE"""),"Q43H")</f>
        <v>Q43H</v>
      </c>
      <c r="E600" s="7" t="str">
        <f>IFERROR(__xludf.DUMMYFUNCTION("""COMPUTED_VALUE"""),"Q43h. Trust army")</f>
        <v>Q43h. Trust army</v>
      </c>
      <c r="F600" s="7" t="str">
        <f>IFERROR(__xludf.DUMMYFUNCTION("""COMPUTED_VALUE"""),"The Army")</f>
        <v>The Army</v>
      </c>
    </row>
    <row r="601">
      <c r="A601" s="7" t="str">
        <f>IFERROR(__xludf.DUMMYFUNCTION("""COMPUTED_VALUE"""),"SUDAN")</f>
        <v>SUDAN</v>
      </c>
      <c r="B601" s="7">
        <f>IFERROR(__xludf.DUMMYFUNCTION("""COMPUTED_VALUE"""),7.0)</f>
        <v>7</v>
      </c>
      <c r="C601" s="7" t="str">
        <f>IFERROR(__xludf.DUMMYFUNCTION("""COMPUTED_VALUE"""),"H_25")</f>
        <v>H_25</v>
      </c>
      <c r="D601" s="7" t="str">
        <f>IFERROR(__xludf.DUMMYFUNCTION("""COMPUTED_VALUE"""),"Q43H")</f>
        <v>Q43H</v>
      </c>
      <c r="E601" s="7" t="str">
        <f>IFERROR(__xludf.DUMMYFUNCTION("""COMPUTED_VALUE"""),"Q43h. Trust army")</f>
        <v>Q43h. Trust army</v>
      </c>
      <c r="F601" s="7" t="str">
        <f>IFERROR(__xludf.DUMMYFUNCTION("""COMPUTED_VALUE"""),"The Army")</f>
        <v>The Army</v>
      </c>
    </row>
    <row r="602">
      <c r="A602" s="7" t="str">
        <f>IFERROR(__xludf.DUMMYFUNCTION("""COMPUTED_VALUE"""),"TANZANIA")</f>
        <v>TANZANIA</v>
      </c>
      <c r="B602" s="7">
        <f>IFERROR(__xludf.DUMMYFUNCTION("""COMPUTED_VALUE"""),7.0)</f>
        <v>7</v>
      </c>
      <c r="C602" s="7" t="str">
        <f>IFERROR(__xludf.DUMMYFUNCTION("""COMPUTED_VALUE"""),"H_25")</f>
        <v>H_25</v>
      </c>
      <c r="D602" s="7" t="str">
        <f>IFERROR(__xludf.DUMMYFUNCTION("""COMPUTED_VALUE"""),"Q43H")</f>
        <v>Q43H</v>
      </c>
      <c r="E602" s="7" t="str">
        <f>IFERROR(__xludf.DUMMYFUNCTION("""COMPUTED_VALUE"""),"Q43h. Trust army")</f>
        <v>Q43h. Trust army</v>
      </c>
      <c r="F602" s="7" t="str">
        <f>IFERROR(__xludf.DUMMYFUNCTION("""COMPUTED_VALUE"""),"The Army")</f>
        <v>The Army</v>
      </c>
    </row>
    <row r="603">
      <c r="A603" s="7" t="str">
        <f>IFERROR(__xludf.DUMMYFUNCTION("""COMPUTED_VALUE"""),"TOGO")</f>
        <v>TOGO</v>
      </c>
      <c r="B603" s="7">
        <f>IFERROR(__xludf.DUMMYFUNCTION("""COMPUTED_VALUE"""),7.0)</f>
        <v>7</v>
      </c>
      <c r="C603" s="7" t="str">
        <f>IFERROR(__xludf.DUMMYFUNCTION("""COMPUTED_VALUE"""),"H_25")</f>
        <v>H_25</v>
      </c>
      <c r="D603" s="7" t="str">
        <f>IFERROR(__xludf.DUMMYFUNCTION("""COMPUTED_VALUE"""),"Q43H")</f>
        <v>Q43H</v>
      </c>
      <c r="E603" s="7" t="str">
        <f>IFERROR(__xludf.DUMMYFUNCTION("""COMPUTED_VALUE"""),"Q43h. Trust army")</f>
        <v>Q43h. Trust army</v>
      </c>
      <c r="F603" s="7" t="str">
        <f>IFERROR(__xludf.DUMMYFUNCTION("""COMPUTED_VALUE"""),"The Army")</f>
        <v>The Army</v>
      </c>
    </row>
    <row r="604">
      <c r="A604" s="7" t="str">
        <f>IFERROR(__xludf.DUMMYFUNCTION("""COMPUTED_VALUE"""),"TUNISIA")</f>
        <v>TUNISIA</v>
      </c>
      <c r="B604" s="7">
        <f>IFERROR(__xludf.DUMMYFUNCTION("""COMPUTED_VALUE"""),7.0)</f>
        <v>7</v>
      </c>
      <c r="C604" s="7" t="str">
        <f>IFERROR(__xludf.DUMMYFUNCTION("""COMPUTED_VALUE"""),"H_25")</f>
        <v>H_25</v>
      </c>
      <c r="D604" s="7" t="str">
        <f>IFERROR(__xludf.DUMMYFUNCTION("""COMPUTED_VALUE"""),"Q43H")</f>
        <v>Q43H</v>
      </c>
      <c r="E604" s="7" t="str">
        <f>IFERROR(__xludf.DUMMYFUNCTION("""COMPUTED_VALUE"""),"Q43h. Trust army")</f>
        <v>Q43h. Trust army</v>
      </c>
      <c r="F604" s="7" t="str">
        <f>IFERROR(__xludf.DUMMYFUNCTION("""COMPUTED_VALUE"""),"The Army")</f>
        <v>The Army</v>
      </c>
    </row>
    <row r="605">
      <c r="A605" s="7" t="str">
        <f>IFERROR(__xludf.DUMMYFUNCTION("""COMPUTED_VALUE"""),"UGANDA")</f>
        <v>UGANDA</v>
      </c>
      <c r="B605" s="7">
        <f>IFERROR(__xludf.DUMMYFUNCTION("""COMPUTED_VALUE"""),7.0)</f>
        <v>7</v>
      </c>
      <c r="C605" s="7" t="str">
        <f>IFERROR(__xludf.DUMMYFUNCTION("""COMPUTED_VALUE"""),"H_25")</f>
        <v>H_25</v>
      </c>
      <c r="D605" s="7" t="str">
        <f>IFERROR(__xludf.DUMMYFUNCTION("""COMPUTED_VALUE"""),"Q43H")</f>
        <v>Q43H</v>
      </c>
      <c r="E605" s="7" t="str">
        <f>IFERROR(__xludf.DUMMYFUNCTION("""COMPUTED_VALUE"""),"Q43h. Trust army")</f>
        <v>Q43h. Trust army</v>
      </c>
      <c r="F605" s="7" t="str">
        <f>IFERROR(__xludf.DUMMYFUNCTION("""COMPUTED_VALUE"""),"Uganda Peoples Defence Force (UPDF)")</f>
        <v>Uganda Peoples Defence Force (UPDF)</v>
      </c>
    </row>
    <row r="606">
      <c r="A606" s="7" t="str">
        <f>IFERROR(__xludf.DUMMYFUNCTION("""COMPUTED_VALUE"""),"ZAMBIA")</f>
        <v>ZAMBIA</v>
      </c>
      <c r="B606" s="7">
        <f>IFERROR(__xludf.DUMMYFUNCTION("""COMPUTED_VALUE"""),7.0)</f>
        <v>7</v>
      </c>
      <c r="C606" s="7" t="str">
        <f>IFERROR(__xludf.DUMMYFUNCTION("""COMPUTED_VALUE"""),"H_25")</f>
        <v>H_25</v>
      </c>
      <c r="D606" s="7" t="str">
        <f>IFERROR(__xludf.DUMMYFUNCTION("""COMPUTED_VALUE"""),"Q43H")</f>
        <v>Q43H</v>
      </c>
      <c r="E606" s="7" t="str">
        <f>IFERROR(__xludf.DUMMYFUNCTION("""COMPUTED_VALUE"""),"Q43h. Trust army")</f>
        <v>Q43h. Trust army</v>
      </c>
      <c r="F606" s="7" t="str">
        <f>IFERROR(__xludf.DUMMYFUNCTION("""COMPUTED_VALUE"""),"Zambia  Defense Forces")</f>
        <v>Zambia  Defense Forces</v>
      </c>
    </row>
    <row r="607">
      <c r="A607" s="7" t="str">
        <f>IFERROR(__xludf.DUMMYFUNCTION("""COMPUTED_VALUE"""),"ZIMBABWE")</f>
        <v>ZIMBABWE</v>
      </c>
      <c r="B607" s="7">
        <f>IFERROR(__xludf.DUMMYFUNCTION("""COMPUTED_VALUE"""),7.0)</f>
        <v>7</v>
      </c>
      <c r="C607" s="7" t="str">
        <f>IFERROR(__xludf.DUMMYFUNCTION("""COMPUTED_VALUE"""),"H_25")</f>
        <v>H_25</v>
      </c>
      <c r="D607" s="7" t="str">
        <f>IFERROR(__xludf.DUMMYFUNCTION("""COMPUTED_VALUE"""),"Q43H")</f>
        <v>Q43H</v>
      </c>
      <c r="E607" s="7" t="str">
        <f>IFERROR(__xludf.DUMMYFUNCTION("""COMPUTED_VALUE"""),"Q43h. Trust army")</f>
        <v>Q43h. Trust army</v>
      </c>
      <c r="F607" s="7" t="str">
        <f>IFERROR(__xludf.DUMMYFUNCTION("""COMPUTED_VALUE"""),"The Army")</f>
        <v>The Army</v>
      </c>
    </row>
    <row r="608">
      <c r="A608" s="7" t="str">
        <f>IFERROR(__xludf.DUMMYFUNCTION("""COMPUTED_VALUE"""),"ESWATINI")</f>
        <v>ESWATINI</v>
      </c>
      <c r="B608" s="7">
        <f>IFERROR(__xludf.DUMMYFUNCTION("""COMPUTED_VALUE"""),7.0)</f>
        <v>7</v>
      </c>
      <c r="C608" s="7" t="str">
        <f>IFERROR(__xludf.DUMMYFUNCTION("""COMPUTED_VALUE"""),"H_29")</f>
        <v>H_29</v>
      </c>
      <c r="D608" s="7" t="str">
        <f>IFERROR(__xludf.DUMMYFUNCTION("""COMPUTED_VALUE"""),"Q43J")</f>
        <v>Q43J</v>
      </c>
      <c r="E608" s="7" t="str">
        <f>IFERROR(__xludf.DUMMYFUNCTION("""COMPUTED_VALUE"""),"Q43j. Trust traditional leaders")</f>
        <v>Q43j. Trust traditional leaders</v>
      </c>
      <c r="F608" s="7" t="str">
        <f>IFERROR(__xludf.DUMMYFUNCTION("""COMPUTED_VALUE"""),"Traditional leaders, Chiefs.
Traditional Leaders (Bucopho)
")</f>
        <v>Traditional leaders, Chiefs.
Traditional Leaders (Bucopho)
</v>
      </c>
    </row>
    <row r="609">
      <c r="A609" s="7" t="str">
        <f>IFERROR(__xludf.DUMMYFUNCTION("""COMPUTED_VALUE"""),"MAURITIUS")</f>
        <v>MAURITIUS</v>
      </c>
      <c r="B609" s="7">
        <f>IFERROR(__xludf.DUMMYFUNCTION("""COMPUTED_VALUE"""),7.0)</f>
        <v>7</v>
      </c>
      <c r="C609" s="7" t="str">
        <f>IFERROR(__xludf.DUMMYFUNCTION("""COMPUTED_VALUE"""),"H_29")</f>
        <v>H_29</v>
      </c>
      <c r="D609" s="7" t="str">
        <f>IFERROR(__xludf.DUMMYFUNCTION("""COMPUTED_VALUE"""),"Q43J")</f>
        <v>Q43J</v>
      </c>
      <c r="E609" s="7" t="str">
        <f>IFERROR(__xludf.DUMMYFUNCTION("""COMPUTED_VALUE"""),"Q43j. Trust traditional leaders")</f>
        <v>Q43j. Trust traditional leaders</v>
      </c>
      <c r="F609" s="7" t="str">
        <f>IFERROR(__xludf.DUMMYFUNCTION("""COMPUTED_VALUE"""),"N/A")</f>
        <v>N/A</v>
      </c>
    </row>
    <row r="610">
      <c r="A610" s="7" t="str">
        <f>IFERROR(__xludf.DUMMYFUNCTION("""COMPUTED_VALUE"""),"BENIN")</f>
        <v>BENIN</v>
      </c>
      <c r="B610" s="7">
        <f>IFERROR(__xludf.DUMMYFUNCTION("""COMPUTED_VALUE"""),7.0)</f>
        <v>7</v>
      </c>
      <c r="C610" s="7" t="str">
        <f>IFERROR(__xludf.DUMMYFUNCTION("""COMPUTED_VALUE"""),"G_18")</f>
        <v>G_18</v>
      </c>
      <c r="D610" s="7" t="str">
        <f>IFERROR(__xludf.DUMMYFUNCTION("""COMPUTED_VALUE"""),"Q44A")</f>
        <v>Q44A</v>
      </c>
      <c r="E610" s="7" t="str">
        <f>IFERROR(__xludf.DUMMYFUNCTION("""COMPUTED_VALUE"""),"Q44a. Corruption: office of the Presidency")</f>
        <v>Q44a. Corruption: office of the Presidency</v>
      </c>
      <c r="F610" s="7" t="str">
        <f>IFERROR(__xludf.DUMMYFUNCTION("""COMPUTED_VALUE"""),"President/he")</f>
        <v>President/he</v>
      </c>
    </row>
    <row r="611">
      <c r="A611" s="7" t="str">
        <f>IFERROR(__xludf.DUMMYFUNCTION("""COMPUTED_VALUE"""),"BOTSWANA")</f>
        <v>BOTSWANA</v>
      </c>
      <c r="B611" s="7">
        <f>IFERROR(__xludf.DUMMYFUNCTION("""COMPUTED_VALUE"""),7.0)</f>
        <v>7</v>
      </c>
      <c r="C611" s="7" t="str">
        <f>IFERROR(__xludf.DUMMYFUNCTION("""COMPUTED_VALUE"""),"G_18")</f>
        <v>G_18</v>
      </c>
      <c r="D611" s="7" t="str">
        <f>IFERROR(__xludf.DUMMYFUNCTION("""COMPUTED_VALUE"""),"Q44A")</f>
        <v>Q44A</v>
      </c>
      <c r="E611" s="7" t="str">
        <f>IFERROR(__xludf.DUMMYFUNCTION("""COMPUTED_VALUE"""),"Q44a. Corruption: office of the Presidency")</f>
        <v>Q44a. Corruption: office of the Presidency</v>
      </c>
      <c r="F611" s="7" t="str">
        <f>IFERROR(__xludf.DUMMYFUNCTION("""COMPUTED_VALUE"""),"The President and Officials in his Office")</f>
        <v>The President and Officials in his Office</v>
      </c>
    </row>
    <row r="612">
      <c r="A612" s="7" t="str">
        <f>IFERROR(__xludf.DUMMYFUNCTION("""COMPUTED_VALUE"""),"BURKINA FASO")</f>
        <v>BURKINA FASO</v>
      </c>
      <c r="B612" s="7">
        <f>IFERROR(__xludf.DUMMYFUNCTION("""COMPUTED_VALUE"""),7.0)</f>
        <v>7</v>
      </c>
      <c r="C612" s="7" t="str">
        <f>IFERROR(__xludf.DUMMYFUNCTION("""COMPUTED_VALUE"""),"G_18")</f>
        <v>G_18</v>
      </c>
      <c r="D612" s="7" t="str">
        <f>IFERROR(__xludf.DUMMYFUNCTION("""COMPUTED_VALUE"""),"Q44A")</f>
        <v>Q44A</v>
      </c>
      <c r="E612" s="7" t="str">
        <f>IFERROR(__xludf.DUMMYFUNCTION("""COMPUTED_VALUE"""),"Q44a. Corruption: office of the Presidency")</f>
        <v>Q44a. Corruption: office of the Presidency</v>
      </c>
      <c r="F612" s="7" t="str">
        <f>IFERROR(__xludf.DUMMYFUNCTION("""COMPUTED_VALUE"""),"President of the Republic and officials of the Presidency")</f>
        <v>President of the Republic and officials of the Presidency</v>
      </c>
    </row>
    <row r="613">
      <c r="A613" s="7" t="str">
        <f>IFERROR(__xludf.DUMMYFUNCTION("""COMPUTED_VALUE"""),"CABO VERDE")</f>
        <v>CABO VERDE</v>
      </c>
      <c r="B613" s="7">
        <f>IFERROR(__xludf.DUMMYFUNCTION("""COMPUTED_VALUE"""),7.0)</f>
        <v>7</v>
      </c>
      <c r="C613" s="7" t="str">
        <f>IFERROR(__xludf.DUMMYFUNCTION("""COMPUTED_VALUE"""),"G_18")</f>
        <v>G_18</v>
      </c>
      <c r="D613" s="7" t="str">
        <f>IFERROR(__xludf.DUMMYFUNCTION("""COMPUTED_VALUE"""),"Q44A")</f>
        <v>Q44A</v>
      </c>
      <c r="E613" s="7" t="str">
        <f>IFERROR(__xludf.DUMMYFUNCTION("""COMPUTED_VALUE"""),"Q44a. Corruption: office of the Presidency")</f>
        <v>Q44a. Corruption: office of the Presidency</v>
      </c>
      <c r="F613" s="7" t="str">
        <f>IFERROR(__xludf.DUMMYFUNCTION("""COMPUTED_VALUE"""),"The President and Officials of his Cabinet
The Prime Minister and Officials of his Cabinet")</f>
        <v>The President and Officials of his Cabinet
The Prime Minister and Officials of his Cabinet</v>
      </c>
    </row>
    <row r="614">
      <c r="A614" s="7" t="str">
        <f>IFERROR(__xludf.DUMMYFUNCTION("""COMPUTED_VALUE"""),"CAMEROON")</f>
        <v>CAMEROON</v>
      </c>
      <c r="B614" s="7">
        <f>IFERROR(__xludf.DUMMYFUNCTION("""COMPUTED_VALUE"""),7.0)</f>
        <v>7</v>
      </c>
      <c r="C614" s="7" t="str">
        <f>IFERROR(__xludf.DUMMYFUNCTION("""COMPUTED_VALUE"""),"G_18")</f>
        <v>G_18</v>
      </c>
      <c r="D614" s="7" t="str">
        <f>IFERROR(__xludf.DUMMYFUNCTION("""COMPUTED_VALUE"""),"Q44A")</f>
        <v>Q44A</v>
      </c>
      <c r="E614" s="7" t="str">
        <f>IFERROR(__xludf.DUMMYFUNCTION("""COMPUTED_VALUE"""),"Q44a. Corruption: office of the Presidency")</f>
        <v>Q44a. Corruption: office of the Presidency</v>
      </c>
      <c r="F614" s="7" t="str">
        <f>IFERROR(__xludf.DUMMYFUNCTION("""COMPUTED_VALUE"""),"The President of the Republic and officials of the Presidency")</f>
        <v>The President of the Republic and officials of the Presidency</v>
      </c>
    </row>
    <row r="615">
      <c r="A615" s="7" t="str">
        <f>IFERROR(__xludf.DUMMYFUNCTION("""COMPUTED_VALUE"""),"COTE D'IVOIRE")</f>
        <v>COTE D'IVOIRE</v>
      </c>
      <c r="B615" s="7">
        <f>IFERROR(__xludf.DUMMYFUNCTION("""COMPUTED_VALUE"""),7.0)</f>
        <v>7</v>
      </c>
      <c r="C615" s="7" t="str">
        <f>IFERROR(__xludf.DUMMYFUNCTION("""COMPUTED_VALUE"""),"G_18")</f>
        <v>G_18</v>
      </c>
      <c r="D615" s="7" t="str">
        <f>IFERROR(__xludf.DUMMYFUNCTION("""COMPUTED_VALUE"""),"Q44A")</f>
        <v>Q44A</v>
      </c>
      <c r="E615" s="7" t="str">
        <f>IFERROR(__xludf.DUMMYFUNCTION("""COMPUTED_VALUE"""),"Q44a. Corruption: office of the Presidency")</f>
        <v>Q44a. Corruption: office of the Presidency</v>
      </c>
      <c r="F615" s="7" t="str">
        <f>IFERROR(__xludf.DUMMYFUNCTION("""COMPUTED_VALUE"""),"The President of the Republic and officials of the Presidency")</f>
        <v>The President of the Republic and officials of the Presidency</v>
      </c>
    </row>
    <row r="616">
      <c r="A616" s="7" t="str">
        <f>IFERROR(__xludf.DUMMYFUNCTION("""COMPUTED_VALUE"""),"ESWATINI")</f>
        <v>ESWATINI</v>
      </c>
      <c r="B616" s="7">
        <f>IFERROR(__xludf.DUMMYFUNCTION("""COMPUTED_VALUE"""),7.0)</f>
        <v>7</v>
      </c>
      <c r="C616" s="7" t="str">
        <f>IFERROR(__xludf.DUMMYFUNCTION("""COMPUTED_VALUE"""),"G_18")</f>
        <v>G_18</v>
      </c>
      <c r="D616" s="7" t="str">
        <f>IFERROR(__xludf.DUMMYFUNCTION("""COMPUTED_VALUE"""),"Q44A")</f>
        <v>Q44A</v>
      </c>
      <c r="E616" s="7" t="str">
        <f>IFERROR(__xludf.DUMMYFUNCTION("""COMPUTED_VALUE"""),"Q44a. Corruption: office of the Presidency")</f>
        <v>Q44a. Corruption: office of the Presidency</v>
      </c>
      <c r="F616" s="7" t="str">
        <f>IFERROR(__xludf.DUMMYFUNCTION("""COMPUTED_VALUE"""),"The Prime Minister and Officials in his Office")</f>
        <v>The Prime Minister and Officials in his Office</v>
      </c>
    </row>
    <row r="617">
      <c r="A617" s="7" t="str">
        <f>IFERROR(__xludf.DUMMYFUNCTION("""COMPUTED_VALUE"""),"GABON")</f>
        <v>GABON</v>
      </c>
      <c r="B617" s="7">
        <f>IFERROR(__xludf.DUMMYFUNCTION("""COMPUTED_VALUE"""),7.0)</f>
        <v>7</v>
      </c>
      <c r="C617" s="7" t="str">
        <f>IFERROR(__xludf.DUMMYFUNCTION("""COMPUTED_VALUE"""),"G_18")</f>
        <v>G_18</v>
      </c>
      <c r="D617" s="7" t="str">
        <f>IFERROR(__xludf.DUMMYFUNCTION("""COMPUTED_VALUE"""),"Q44A")</f>
        <v>Q44A</v>
      </c>
      <c r="E617" s="7" t="str">
        <f>IFERROR(__xludf.DUMMYFUNCTION("""COMPUTED_VALUE"""),"Q44a. Corruption: office of the Presidency")</f>
        <v>Q44a. Corruption: office of the Presidency</v>
      </c>
      <c r="F617" s="7" t="str">
        <f>IFERROR(__xludf.DUMMYFUNCTION("""COMPUTED_VALUE"""),"The President of the Republic and officials in the Presidency")</f>
        <v>The President of the Republic and officials in the Presidency</v>
      </c>
    </row>
    <row r="618">
      <c r="A618" s="7" t="str">
        <f>IFERROR(__xludf.DUMMYFUNCTION("""COMPUTED_VALUE"""),"GAMBIA")</f>
        <v>GAMBIA</v>
      </c>
      <c r="B618" s="7">
        <f>IFERROR(__xludf.DUMMYFUNCTION("""COMPUTED_VALUE"""),7.0)</f>
        <v>7</v>
      </c>
      <c r="C618" s="7" t="str">
        <f>IFERROR(__xludf.DUMMYFUNCTION("""COMPUTED_VALUE"""),"G_18")</f>
        <v>G_18</v>
      </c>
      <c r="D618" s="7" t="str">
        <f>IFERROR(__xludf.DUMMYFUNCTION("""COMPUTED_VALUE"""),"Q44A")</f>
        <v>Q44A</v>
      </c>
      <c r="E618" s="7" t="str">
        <f>IFERROR(__xludf.DUMMYFUNCTION("""COMPUTED_VALUE"""),"Q44a. Corruption: office of the Presidency")</f>
        <v>Q44a. Corruption: office of the Presidency</v>
      </c>
      <c r="F618" s="7" t="str">
        <f>IFERROR(__xludf.DUMMYFUNCTION("""COMPUTED_VALUE"""),"The president and officials in his office")</f>
        <v>The president and officials in his office</v>
      </c>
    </row>
    <row r="619">
      <c r="A619" s="7" t="str">
        <f>IFERROR(__xludf.DUMMYFUNCTION("""COMPUTED_VALUE"""),"GHANA")</f>
        <v>GHANA</v>
      </c>
      <c r="B619" s="7">
        <f>IFERROR(__xludf.DUMMYFUNCTION("""COMPUTED_VALUE"""),7.0)</f>
        <v>7</v>
      </c>
      <c r="C619" s="7" t="str">
        <f>IFERROR(__xludf.DUMMYFUNCTION("""COMPUTED_VALUE"""),"G_18")</f>
        <v>G_18</v>
      </c>
      <c r="D619" s="7" t="str">
        <f>IFERROR(__xludf.DUMMYFUNCTION("""COMPUTED_VALUE"""),"Q44A")</f>
        <v>Q44A</v>
      </c>
      <c r="E619" s="7" t="str">
        <f>IFERROR(__xludf.DUMMYFUNCTION("""COMPUTED_VALUE"""),"Q44a. Corruption: office of the Presidency")</f>
        <v>Q44a. Corruption: office of the Presidency</v>
      </c>
      <c r="F619" s="7" t="str">
        <f>IFERROR(__xludf.DUMMYFUNCTION("""COMPUTED_VALUE"""),"The President and Officials in his Office")</f>
        <v>The President and Officials in his Office</v>
      </c>
    </row>
    <row r="620">
      <c r="A620" s="7" t="str">
        <f>IFERROR(__xludf.DUMMYFUNCTION("""COMPUTED_VALUE"""),"GUINEA")</f>
        <v>GUINEA</v>
      </c>
      <c r="B620" s="7">
        <f>IFERROR(__xludf.DUMMYFUNCTION("""COMPUTED_VALUE"""),7.0)</f>
        <v>7</v>
      </c>
      <c r="C620" s="7" t="str">
        <f>IFERROR(__xludf.DUMMYFUNCTION("""COMPUTED_VALUE"""),"G_18")</f>
        <v>G_18</v>
      </c>
      <c r="D620" s="7" t="str">
        <f>IFERROR(__xludf.DUMMYFUNCTION("""COMPUTED_VALUE"""),"Q44A")</f>
        <v>Q44A</v>
      </c>
      <c r="E620" s="7" t="str">
        <f>IFERROR(__xludf.DUMMYFUNCTION("""COMPUTED_VALUE"""),"Q44a. Corruption: office of the Presidency")</f>
        <v>Q44a. Corruption: office of the Presidency</v>
      </c>
      <c r="F620" s="7" t="str">
        <f>IFERROR(__xludf.DUMMYFUNCTION("""COMPUTED_VALUE"""),"	The President of the Republic and officials of the Presidency")</f>
        <v>	The President of the Republic and officials of the Presidency</v>
      </c>
    </row>
    <row r="621">
      <c r="A621" s="7" t="str">
        <f>IFERROR(__xludf.DUMMYFUNCTION("""COMPUTED_VALUE"""),"KENYA")</f>
        <v>KENYA</v>
      </c>
      <c r="B621" s="7">
        <f>IFERROR(__xludf.DUMMYFUNCTION("""COMPUTED_VALUE"""),7.0)</f>
        <v>7</v>
      </c>
      <c r="C621" s="7" t="str">
        <f>IFERROR(__xludf.DUMMYFUNCTION("""COMPUTED_VALUE"""),"G_18")</f>
        <v>G_18</v>
      </c>
      <c r="D621" s="7" t="str">
        <f>IFERROR(__xludf.DUMMYFUNCTION("""COMPUTED_VALUE"""),"Q44A")</f>
        <v>Q44A</v>
      </c>
      <c r="E621" s="7" t="str">
        <f>IFERROR(__xludf.DUMMYFUNCTION("""COMPUTED_VALUE"""),"Q44a. Corruption: office of the Presidency")</f>
        <v>Q44a. Corruption: office of the Presidency</v>
      </c>
      <c r="F621" s="7" t="str">
        <f>IFERROR(__xludf.DUMMYFUNCTION("""COMPUTED_VALUE"""),"President and Officials in his Office")</f>
        <v>President and Officials in his Office</v>
      </c>
    </row>
    <row r="622">
      <c r="A622" s="7" t="str">
        <f>IFERROR(__xludf.DUMMYFUNCTION("""COMPUTED_VALUE"""),"LESOTHO")</f>
        <v>LESOTHO</v>
      </c>
      <c r="B622" s="7">
        <f>IFERROR(__xludf.DUMMYFUNCTION("""COMPUTED_VALUE"""),7.0)</f>
        <v>7</v>
      </c>
      <c r="C622" s="7" t="str">
        <f>IFERROR(__xludf.DUMMYFUNCTION("""COMPUTED_VALUE"""),"G_18")</f>
        <v>G_18</v>
      </c>
      <c r="D622" s="7" t="str">
        <f>IFERROR(__xludf.DUMMYFUNCTION("""COMPUTED_VALUE"""),"Q44A")</f>
        <v>Q44A</v>
      </c>
      <c r="E622" s="7" t="str">
        <f>IFERROR(__xludf.DUMMYFUNCTION("""COMPUTED_VALUE"""),"Q44a. Corruption: office of the Presidency")</f>
        <v>Q44a. Corruption: office of the Presidency</v>
      </c>
      <c r="F622" s="7" t="str">
        <f>IFERROR(__xludf.DUMMYFUNCTION("""COMPUTED_VALUE"""),"Prime Minister/He")</f>
        <v>Prime Minister/He</v>
      </c>
    </row>
    <row r="623">
      <c r="A623" s="7" t="str">
        <f>IFERROR(__xludf.DUMMYFUNCTION("""COMPUTED_VALUE"""),"LIBERIA")</f>
        <v>LIBERIA</v>
      </c>
      <c r="B623" s="7">
        <f>IFERROR(__xludf.DUMMYFUNCTION("""COMPUTED_VALUE"""),7.0)</f>
        <v>7</v>
      </c>
      <c r="C623" s="7" t="str">
        <f>IFERROR(__xludf.DUMMYFUNCTION("""COMPUTED_VALUE"""),"G_18")</f>
        <v>G_18</v>
      </c>
      <c r="D623" s="7" t="str">
        <f>IFERROR(__xludf.DUMMYFUNCTION("""COMPUTED_VALUE"""),"Q44A")</f>
        <v>Q44A</v>
      </c>
      <c r="E623" s="7" t="str">
        <f>IFERROR(__xludf.DUMMYFUNCTION("""COMPUTED_VALUE"""),"Q44a. Corruption: office of the Presidency")</f>
        <v>Q44a. Corruption: office of the Presidency</v>
      </c>
      <c r="F623" s="7" t="str">
        <f>IFERROR(__xludf.DUMMYFUNCTION("""COMPUTED_VALUE"""),"President/he")</f>
        <v>President/he</v>
      </c>
    </row>
    <row r="624">
      <c r="A624" s="7" t="str">
        <f>IFERROR(__xludf.DUMMYFUNCTION("""COMPUTED_VALUE"""),"MADAGASCAR")</f>
        <v>MADAGASCAR</v>
      </c>
      <c r="B624" s="7">
        <f>IFERROR(__xludf.DUMMYFUNCTION("""COMPUTED_VALUE"""),7.0)</f>
        <v>7</v>
      </c>
      <c r="C624" s="7" t="str">
        <f>IFERROR(__xludf.DUMMYFUNCTION("""COMPUTED_VALUE"""),"G_18")</f>
        <v>G_18</v>
      </c>
      <c r="D624" s="7" t="str">
        <f>IFERROR(__xludf.DUMMYFUNCTION("""COMPUTED_VALUE"""),"Q44A")</f>
        <v>Q44A</v>
      </c>
      <c r="E624" s="7" t="str">
        <f>IFERROR(__xludf.DUMMYFUNCTION("""COMPUTED_VALUE"""),"Q44a. Corruption: office of the Presidency")</f>
        <v>Q44a. Corruption: office of the Presidency</v>
      </c>
      <c r="F624" s="7" t="str">
        <f>IFERROR(__xludf.DUMMYFUNCTION("""COMPUTED_VALUE"""),"The President of the Republic and officials of the Presidency")</f>
        <v>The President of the Republic and officials of the Presidency</v>
      </c>
    </row>
    <row r="625">
      <c r="A625" s="7" t="str">
        <f>IFERROR(__xludf.DUMMYFUNCTION("""COMPUTED_VALUE"""),"MALAWI")</f>
        <v>MALAWI</v>
      </c>
      <c r="B625" s="7">
        <f>IFERROR(__xludf.DUMMYFUNCTION("""COMPUTED_VALUE"""),7.0)</f>
        <v>7</v>
      </c>
      <c r="C625" s="7" t="str">
        <f>IFERROR(__xludf.DUMMYFUNCTION("""COMPUTED_VALUE"""),"G_18")</f>
        <v>G_18</v>
      </c>
      <c r="D625" s="7" t="str">
        <f>IFERROR(__xludf.DUMMYFUNCTION("""COMPUTED_VALUE"""),"Q44A")</f>
        <v>Q44A</v>
      </c>
      <c r="E625" s="7" t="str">
        <f>IFERROR(__xludf.DUMMYFUNCTION("""COMPUTED_VALUE"""),"Q44a. Corruption: office of the Presidency")</f>
        <v>Q44a. Corruption: office of the Presidency</v>
      </c>
      <c r="F625" s="7" t="str">
        <f>IFERROR(__xludf.DUMMYFUNCTION("""COMPUTED_VALUE"""),"President and officials in his office")</f>
        <v>President and officials in his office</v>
      </c>
    </row>
    <row r="626">
      <c r="A626" s="7" t="str">
        <f>IFERROR(__xludf.DUMMYFUNCTION("""COMPUTED_VALUE"""),"MALI")</f>
        <v>MALI</v>
      </c>
      <c r="B626" s="7">
        <f>IFERROR(__xludf.DUMMYFUNCTION("""COMPUTED_VALUE"""),7.0)</f>
        <v>7</v>
      </c>
      <c r="C626" s="7" t="str">
        <f>IFERROR(__xludf.DUMMYFUNCTION("""COMPUTED_VALUE"""),"G_18")</f>
        <v>G_18</v>
      </c>
      <c r="D626" s="7" t="str">
        <f>IFERROR(__xludf.DUMMYFUNCTION("""COMPUTED_VALUE"""),"Q44A")</f>
        <v>Q44A</v>
      </c>
      <c r="E626" s="7" t="str">
        <f>IFERROR(__xludf.DUMMYFUNCTION("""COMPUTED_VALUE"""),"Q44a. Corruption: office of the Presidency")</f>
        <v>Q44a. Corruption: office of the Presidency</v>
      </c>
      <c r="F626" s="7" t="str">
        <f>IFERROR(__xludf.DUMMYFUNCTION("""COMPUTED_VALUE"""),"The President of the Republic and officials of the Presidency")</f>
        <v>The President of the Republic and officials of the Presidency</v>
      </c>
    </row>
    <row r="627">
      <c r="A627" s="7" t="str">
        <f>IFERROR(__xludf.DUMMYFUNCTION("""COMPUTED_VALUE"""),"MAURITIUS")</f>
        <v>MAURITIUS</v>
      </c>
      <c r="B627" s="7">
        <f>IFERROR(__xludf.DUMMYFUNCTION("""COMPUTED_VALUE"""),7.0)</f>
        <v>7</v>
      </c>
      <c r="C627" s="7" t="str">
        <f>IFERROR(__xludf.DUMMYFUNCTION("""COMPUTED_VALUE"""),"G_18")</f>
        <v>G_18</v>
      </c>
      <c r="D627" s="7" t="str">
        <f>IFERROR(__xludf.DUMMYFUNCTION("""COMPUTED_VALUE"""),"Q44A")</f>
        <v>Q44A</v>
      </c>
      <c r="E627" s="7" t="str">
        <f>IFERROR(__xludf.DUMMYFUNCTION("""COMPUTED_VALUE"""),"Q44a. Corruption: office of the Presidency")</f>
        <v>Q44a. Corruption: office of the Presidency</v>
      </c>
      <c r="F627" s="7" t="str">
        <f>IFERROR(__xludf.DUMMYFUNCTION("""COMPUTED_VALUE"""),"A. The Prime Minister and Officials in his Office 
A1-MAU. The President and Officials in his Office 
")</f>
        <v>A. The Prime Minister and Officials in his Office 
A1-MAU. The President and Officials in his Office 
</v>
      </c>
    </row>
    <row r="628">
      <c r="A628" s="7" t="str">
        <f>IFERROR(__xludf.DUMMYFUNCTION("""COMPUTED_VALUE"""),"MOROCCO")</f>
        <v>MOROCCO</v>
      </c>
      <c r="B628" s="7">
        <f>IFERROR(__xludf.DUMMYFUNCTION("""COMPUTED_VALUE"""),7.0)</f>
        <v>7</v>
      </c>
      <c r="C628" s="7" t="str">
        <f>IFERROR(__xludf.DUMMYFUNCTION("""COMPUTED_VALUE"""),"G_18")</f>
        <v>G_18</v>
      </c>
      <c r="D628" s="7" t="str">
        <f>IFERROR(__xludf.DUMMYFUNCTION("""COMPUTED_VALUE"""),"Q44A")</f>
        <v>Q44A</v>
      </c>
      <c r="E628" s="7" t="str">
        <f>IFERROR(__xludf.DUMMYFUNCTION("""COMPUTED_VALUE"""),"Q44a. Corruption: office of the Presidency")</f>
        <v>Q44a. Corruption: office of the Presidency</v>
      </c>
      <c r="F628" s="7" t="str">
        <f>IFERROR(__xludf.DUMMYFUNCTION("""COMPUTED_VALUE"""),"The President of the government and Officials in his Office")</f>
        <v>The President of the government and Officials in his Office</v>
      </c>
    </row>
    <row r="629">
      <c r="A629" s="7" t="str">
        <f>IFERROR(__xludf.DUMMYFUNCTION("""COMPUTED_VALUE"""),"MOZAMBIQUE")</f>
        <v>MOZAMBIQUE</v>
      </c>
      <c r="B629" s="7">
        <f>IFERROR(__xludf.DUMMYFUNCTION("""COMPUTED_VALUE"""),7.0)</f>
        <v>7</v>
      </c>
      <c r="C629" s="7" t="str">
        <f>IFERROR(__xludf.DUMMYFUNCTION("""COMPUTED_VALUE"""),"G_18")</f>
        <v>G_18</v>
      </c>
      <c r="D629" s="7" t="str">
        <f>IFERROR(__xludf.DUMMYFUNCTION("""COMPUTED_VALUE"""),"Q44A")</f>
        <v>Q44A</v>
      </c>
      <c r="E629" s="7" t="str">
        <f>IFERROR(__xludf.DUMMYFUNCTION("""COMPUTED_VALUE"""),"Q44a. Corruption: office of the Presidency")</f>
        <v>Q44a. Corruption: office of the Presidency</v>
      </c>
      <c r="F629" s="7" t="str">
        <f>IFERROR(__xludf.DUMMYFUNCTION("""COMPUTED_VALUE"""),"The President of the Republic and officials in his office")</f>
        <v>The President of the Republic and officials in his office</v>
      </c>
    </row>
    <row r="630">
      <c r="A630" s="7" t="str">
        <f>IFERROR(__xludf.DUMMYFUNCTION("""COMPUTED_VALUE"""),"NAMIBIA")</f>
        <v>NAMIBIA</v>
      </c>
      <c r="B630" s="7">
        <f>IFERROR(__xludf.DUMMYFUNCTION("""COMPUTED_VALUE"""),7.0)</f>
        <v>7</v>
      </c>
      <c r="C630" s="7" t="str">
        <f>IFERROR(__xludf.DUMMYFUNCTION("""COMPUTED_VALUE"""),"G_18")</f>
        <v>G_18</v>
      </c>
      <c r="D630" s="7" t="str">
        <f>IFERROR(__xludf.DUMMYFUNCTION("""COMPUTED_VALUE"""),"Q44A")</f>
        <v>Q44A</v>
      </c>
      <c r="E630" s="7" t="str">
        <f>IFERROR(__xludf.DUMMYFUNCTION("""COMPUTED_VALUE"""),"Q44a. Corruption: office of the Presidency")</f>
        <v>Q44a. Corruption: office of the Presidency</v>
      </c>
      <c r="F630" s="7" t="str">
        <f>IFERROR(__xludf.DUMMYFUNCTION("""COMPUTED_VALUE"""),"The President and Officials in his Office 
The Prime Minister
")</f>
        <v>The President and Officials in his Office 
The Prime Minister
</v>
      </c>
    </row>
    <row r="631">
      <c r="A631" s="7" t="str">
        <f>IFERROR(__xludf.DUMMYFUNCTION("""COMPUTED_VALUE"""),"NIGER")</f>
        <v>NIGER</v>
      </c>
      <c r="B631" s="7">
        <f>IFERROR(__xludf.DUMMYFUNCTION("""COMPUTED_VALUE"""),7.0)</f>
        <v>7</v>
      </c>
      <c r="C631" s="7" t="str">
        <f>IFERROR(__xludf.DUMMYFUNCTION("""COMPUTED_VALUE"""),"G_18")</f>
        <v>G_18</v>
      </c>
      <c r="D631" s="7" t="str">
        <f>IFERROR(__xludf.DUMMYFUNCTION("""COMPUTED_VALUE"""),"Q44A")</f>
        <v>Q44A</v>
      </c>
      <c r="E631" s="7" t="str">
        <f>IFERROR(__xludf.DUMMYFUNCTION("""COMPUTED_VALUE"""),"Q44a. Corruption: office of the Presidency")</f>
        <v>Q44a. Corruption: office of the Presidency</v>
      </c>
      <c r="F631" s="7" t="str">
        <f>IFERROR(__xludf.DUMMYFUNCTION("""COMPUTED_VALUE"""),"The President of the Republic and Presidency officials")</f>
        <v>The President of the Republic and Presidency officials</v>
      </c>
    </row>
    <row r="632">
      <c r="A632" s="7" t="str">
        <f>IFERROR(__xludf.DUMMYFUNCTION("""COMPUTED_VALUE"""),"NIGERIA")</f>
        <v>NIGERIA</v>
      </c>
      <c r="B632" s="7">
        <f>IFERROR(__xludf.DUMMYFUNCTION("""COMPUTED_VALUE"""),7.0)</f>
        <v>7</v>
      </c>
      <c r="C632" s="7" t="str">
        <f>IFERROR(__xludf.DUMMYFUNCTION("""COMPUTED_VALUE"""),"G_18")</f>
        <v>G_18</v>
      </c>
      <c r="D632" s="7" t="str">
        <f>IFERROR(__xludf.DUMMYFUNCTION("""COMPUTED_VALUE"""),"Q44A")</f>
        <v>Q44A</v>
      </c>
      <c r="E632" s="7" t="str">
        <f>IFERROR(__xludf.DUMMYFUNCTION("""COMPUTED_VALUE"""),"Q44a. Corruption: office of the Presidency")</f>
        <v>Q44a. Corruption: office of the Presidency</v>
      </c>
      <c r="F632" s="7" t="str">
        <f>IFERROR(__xludf.DUMMYFUNCTION("""COMPUTED_VALUE"""),"The President and Officials in his Office 
")</f>
        <v>The President and Officials in his Office 
</v>
      </c>
    </row>
    <row r="633">
      <c r="A633" s="7" t="str">
        <f>IFERROR(__xludf.DUMMYFUNCTION("""COMPUTED_VALUE"""),"SAO TOME AND PRINCIPE")</f>
        <v>SAO TOME AND PRINCIPE</v>
      </c>
      <c r="B633" s="7">
        <f>IFERROR(__xludf.DUMMYFUNCTION("""COMPUTED_VALUE"""),7.0)</f>
        <v>7</v>
      </c>
      <c r="C633" s="7" t="str">
        <f>IFERROR(__xludf.DUMMYFUNCTION("""COMPUTED_VALUE"""),"G_18")</f>
        <v>G_18</v>
      </c>
      <c r="D633" s="7" t="str">
        <f>IFERROR(__xludf.DUMMYFUNCTION("""COMPUTED_VALUE"""),"Q44A")</f>
        <v>Q44A</v>
      </c>
      <c r="E633" s="7" t="str">
        <f>IFERROR(__xludf.DUMMYFUNCTION("""COMPUTED_VALUE"""),"Q44a. Corruption: office of the Presidency")</f>
        <v>Q44a. Corruption: office of the Presidency</v>
      </c>
      <c r="F633" s="7" t="str">
        <f>IFERROR(__xludf.DUMMYFUNCTION("""COMPUTED_VALUE"""),"A. The President and Officials of his Cabinet
A1-STP. The Prime Minister and Officials of his Cabinet")</f>
        <v>A. The President and Officials of his Cabinet
A1-STP. The Prime Minister and Officials of his Cabinet</v>
      </c>
    </row>
    <row r="634">
      <c r="A634" s="7" t="str">
        <f>IFERROR(__xludf.DUMMYFUNCTION("""COMPUTED_VALUE"""),"SENEGAL")</f>
        <v>SENEGAL</v>
      </c>
      <c r="B634" s="7">
        <f>IFERROR(__xludf.DUMMYFUNCTION("""COMPUTED_VALUE"""),7.0)</f>
        <v>7</v>
      </c>
      <c r="C634" s="7" t="str">
        <f>IFERROR(__xludf.DUMMYFUNCTION("""COMPUTED_VALUE"""),"G_18")</f>
        <v>G_18</v>
      </c>
      <c r="D634" s="7" t="str">
        <f>IFERROR(__xludf.DUMMYFUNCTION("""COMPUTED_VALUE"""),"Q44A")</f>
        <v>Q44A</v>
      </c>
      <c r="E634" s="7" t="str">
        <f>IFERROR(__xludf.DUMMYFUNCTION("""COMPUTED_VALUE"""),"Q44a. Corruption: office of the Presidency")</f>
        <v>Q44a. Corruption: office of the Presidency</v>
      </c>
      <c r="F634" s="7" t="str">
        <f>IFERROR(__xludf.DUMMYFUNCTION("""COMPUTED_VALUE"""),"President/he")</f>
        <v>President/he</v>
      </c>
    </row>
    <row r="635">
      <c r="A635" s="7" t="str">
        <f>IFERROR(__xludf.DUMMYFUNCTION("""COMPUTED_VALUE"""),"SIERRA LEONE")</f>
        <v>SIERRA LEONE</v>
      </c>
      <c r="B635" s="7">
        <f>IFERROR(__xludf.DUMMYFUNCTION("""COMPUTED_VALUE"""),7.0)</f>
        <v>7</v>
      </c>
      <c r="C635" s="7" t="str">
        <f>IFERROR(__xludf.DUMMYFUNCTION("""COMPUTED_VALUE"""),"G_18")</f>
        <v>G_18</v>
      </c>
      <c r="D635" s="7" t="str">
        <f>IFERROR(__xludf.DUMMYFUNCTION("""COMPUTED_VALUE"""),"Q44A")</f>
        <v>Q44A</v>
      </c>
      <c r="E635" s="7" t="str">
        <f>IFERROR(__xludf.DUMMYFUNCTION("""COMPUTED_VALUE"""),"Q44a. Corruption: office of the Presidency")</f>
        <v>Q44a. Corruption: office of the Presidency</v>
      </c>
      <c r="F635" s="7" t="str">
        <f>IFERROR(__xludf.DUMMYFUNCTION("""COMPUTED_VALUE"""),"President/he")</f>
        <v>President/he</v>
      </c>
    </row>
    <row r="636">
      <c r="A636" s="7" t="str">
        <f>IFERROR(__xludf.DUMMYFUNCTION("""COMPUTED_VALUE"""),"SOUTH AFRICA")</f>
        <v>SOUTH AFRICA</v>
      </c>
      <c r="B636" s="7">
        <f>IFERROR(__xludf.DUMMYFUNCTION("""COMPUTED_VALUE"""),7.0)</f>
        <v>7</v>
      </c>
      <c r="C636" s="7" t="str">
        <f>IFERROR(__xludf.DUMMYFUNCTION("""COMPUTED_VALUE"""),"G_18")</f>
        <v>G_18</v>
      </c>
      <c r="D636" s="7" t="str">
        <f>IFERROR(__xludf.DUMMYFUNCTION("""COMPUTED_VALUE"""),"Q44A")</f>
        <v>Q44A</v>
      </c>
      <c r="E636" s="7" t="str">
        <f>IFERROR(__xludf.DUMMYFUNCTION("""COMPUTED_VALUE"""),"Q44a. Corruption: office of the Presidency")</f>
        <v>Q44a. Corruption: office of the Presidency</v>
      </c>
      <c r="F636" s="7" t="str">
        <f>IFERROR(__xludf.DUMMYFUNCTION("""COMPUTED_VALUE"""),"President/he")</f>
        <v>President/he</v>
      </c>
    </row>
    <row r="637">
      <c r="A637" s="7" t="str">
        <f>IFERROR(__xludf.DUMMYFUNCTION("""COMPUTED_VALUE"""),"SUDAN")</f>
        <v>SUDAN</v>
      </c>
      <c r="B637" s="7">
        <f>IFERROR(__xludf.DUMMYFUNCTION("""COMPUTED_VALUE"""),7.0)</f>
        <v>7</v>
      </c>
      <c r="C637" s="7" t="str">
        <f>IFERROR(__xludf.DUMMYFUNCTION("""COMPUTED_VALUE"""),"G_18")</f>
        <v>G_18</v>
      </c>
      <c r="D637" s="7" t="str">
        <f>IFERROR(__xludf.DUMMYFUNCTION("""COMPUTED_VALUE"""),"Q44A")</f>
        <v>Q44A</v>
      </c>
      <c r="E637" s="7" t="str">
        <f>IFERROR(__xludf.DUMMYFUNCTION("""COMPUTED_VALUE"""),"Q44a. Corruption: office of the Presidency")</f>
        <v>Q44a. Corruption: office of the Presidency</v>
      </c>
      <c r="F637" s="7" t="str">
        <f>IFERROR(__xludf.DUMMYFUNCTION("""COMPUTED_VALUE"""),"President/he")</f>
        <v>President/he</v>
      </c>
    </row>
    <row r="638">
      <c r="A638" s="7" t="str">
        <f>IFERROR(__xludf.DUMMYFUNCTION("""COMPUTED_VALUE"""),"TANZANIA")</f>
        <v>TANZANIA</v>
      </c>
      <c r="B638" s="7">
        <f>IFERROR(__xludf.DUMMYFUNCTION("""COMPUTED_VALUE"""),7.0)</f>
        <v>7</v>
      </c>
      <c r="C638" s="7" t="str">
        <f>IFERROR(__xludf.DUMMYFUNCTION("""COMPUTED_VALUE"""),"G_18")</f>
        <v>G_18</v>
      </c>
      <c r="D638" s="7" t="str">
        <f>IFERROR(__xludf.DUMMYFUNCTION("""COMPUTED_VALUE"""),"Q44A")</f>
        <v>Q44A</v>
      </c>
      <c r="E638" s="7" t="str">
        <f>IFERROR(__xludf.DUMMYFUNCTION("""COMPUTED_VALUE"""),"Q44a. Corruption: office of the Presidency")</f>
        <v>Q44a. Corruption: office of the Presidency</v>
      </c>
      <c r="F638" s="7" t="str">
        <f>IFERROR(__xludf.DUMMYFUNCTION("""COMPUTED_VALUE"""),"President/he")</f>
        <v>President/he</v>
      </c>
    </row>
    <row r="639">
      <c r="A639" s="7" t="str">
        <f>IFERROR(__xludf.DUMMYFUNCTION("""COMPUTED_VALUE"""),"TOGO")</f>
        <v>TOGO</v>
      </c>
      <c r="B639" s="7">
        <f>IFERROR(__xludf.DUMMYFUNCTION("""COMPUTED_VALUE"""),7.0)</f>
        <v>7</v>
      </c>
      <c r="C639" s="7" t="str">
        <f>IFERROR(__xludf.DUMMYFUNCTION("""COMPUTED_VALUE"""),"G_18")</f>
        <v>G_18</v>
      </c>
      <c r="D639" s="7" t="str">
        <f>IFERROR(__xludf.DUMMYFUNCTION("""COMPUTED_VALUE"""),"Q44A")</f>
        <v>Q44A</v>
      </c>
      <c r="E639" s="7" t="str">
        <f>IFERROR(__xludf.DUMMYFUNCTION("""COMPUTED_VALUE"""),"Q44a. Corruption: office of the Presidency")</f>
        <v>Q44a. Corruption: office of the Presidency</v>
      </c>
      <c r="F639" s="7" t="str">
        <f>IFERROR(__xludf.DUMMYFUNCTION("""COMPUTED_VALUE"""),"President/he")</f>
        <v>President/he</v>
      </c>
    </row>
    <row r="640">
      <c r="A640" s="7" t="str">
        <f>IFERROR(__xludf.DUMMYFUNCTION("""COMPUTED_VALUE"""),"TUNISIA")</f>
        <v>TUNISIA</v>
      </c>
      <c r="B640" s="7">
        <f>IFERROR(__xludf.DUMMYFUNCTION("""COMPUTED_VALUE"""),7.0)</f>
        <v>7</v>
      </c>
      <c r="C640" s="7" t="str">
        <f>IFERROR(__xludf.DUMMYFUNCTION("""COMPUTED_VALUE"""),"G_18")</f>
        <v>G_18</v>
      </c>
      <c r="D640" s="7" t="str">
        <f>IFERROR(__xludf.DUMMYFUNCTION("""COMPUTED_VALUE"""),"Q44A")</f>
        <v>Q44A</v>
      </c>
      <c r="E640" s="7" t="str">
        <f>IFERROR(__xludf.DUMMYFUNCTION("""COMPUTED_VALUE"""),"Q44a. Corruption: office of the Presidency")</f>
        <v>Q44a. Corruption: office of the Presidency</v>
      </c>
      <c r="F640" s="7" t="str">
        <f>IFERROR(__xludf.DUMMYFUNCTION("""COMPUTED_VALUE"""),"President/he")</f>
        <v>President/he</v>
      </c>
    </row>
    <row r="641">
      <c r="A641" s="7" t="str">
        <f>IFERROR(__xludf.DUMMYFUNCTION("""COMPUTED_VALUE"""),"UGANDA")</f>
        <v>UGANDA</v>
      </c>
      <c r="B641" s="7">
        <f>IFERROR(__xludf.DUMMYFUNCTION("""COMPUTED_VALUE"""),7.0)</f>
        <v>7</v>
      </c>
      <c r="C641" s="7" t="str">
        <f>IFERROR(__xludf.DUMMYFUNCTION("""COMPUTED_VALUE"""),"G_18")</f>
        <v>G_18</v>
      </c>
      <c r="D641" s="7" t="str">
        <f>IFERROR(__xludf.DUMMYFUNCTION("""COMPUTED_VALUE"""),"Q44A")</f>
        <v>Q44A</v>
      </c>
      <c r="E641" s="7" t="str">
        <f>IFERROR(__xludf.DUMMYFUNCTION("""COMPUTED_VALUE"""),"Q44a. Corruption: office of the Presidency")</f>
        <v>Q44a. Corruption: office of the Presidency</v>
      </c>
      <c r="F641" s="7" t="str">
        <f>IFERROR(__xludf.DUMMYFUNCTION("""COMPUTED_VALUE"""),"President/he")</f>
        <v>President/he</v>
      </c>
    </row>
    <row r="642">
      <c r="A642" s="7" t="str">
        <f>IFERROR(__xludf.DUMMYFUNCTION("""COMPUTED_VALUE"""),"ZAMBIA")</f>
        <v>ZAMBIA</v>
      </c>
      <c r="B642" s="7">
        <f>IFERROR(__xludf.DUMMYFUNCTION("""COMPUTED_VALUE"""),7.0)</f>
        <v>7</v>
      </c>
      <c r="C642" s="7" t="str">
        <f>IFERROR(__xludf.DUMMYFUNCTION("""COMPUTED_VALUE"""),"G_18")</f>
        <v>G_18</v>
      </c>
      <c r="D642" s="7" t="str">
        <f>IFERROR(__xludf.DUMMYFUNCTION("""COMPUTED_VALUE"""),"Q44A")</f>
        <v>Q44A</v>
      </c>
      <c r="E642" s="7" t="str">
        <f>IFERROR(__xludf.DUMMYFUNCTION("""COMPUTED_VALUE"""),"Q44a. Corruption: office of the Presidency")</f>
        <v>Q44a. Corruption: office of the Presidency</v>
      </c>
      <c r="F642" s="7" t="str">
        <f>IFERROR(__xludf.DUMMYFUNCTION("""COMPUTED_VALUE"""),"President/he")</f>
        <v>President/he</v>
      </c>
    </row>
    <row r="643">
      <c r="A643" s="7" t="str">
        <f>IFERROR(__xludf.DUMMYFUNCTION("""COMPUTED_VALUE"""),"ZIMBABWE")</f>
        <v>ZIMBABWE</v>
      </c>
      <c r="B643" s="7">
        <f>IFERROR(__xludf.DUMMYFUNCTION("""COMPUTED_VALUE"""),7.0)</f>
        <v>7</v>
      </c>
      <c r="C643" s="7" t="str">
        <f>IFERROR(__xludf.DUMMYFUNCTION("""COMPUTED_VALUE"""),"G_18")</f>
        <v>G_18</v>
      </c>
      <c r="D643" s="7" t="str">
        <f>IFERROR(__xludf.DUMMYFUNCTION("""COMPUTED_VALUE"""),"Q44A")</f>
        <v>Q44A</v>
      </c>
      <c r="E643" s="7" t="str">
        <f>IFERROR(__xludf.DUMMYFUNCTION("""COMPUTED_VALUE"""),"Q44a. Corruption: office of the Presidency")</f>
        <v>Q44a. Corruption: office of the Presidency</v>
      </c>
      <c r="F643" s="7" t="str">
        <f>IFERROR(__xludf.DUMMYFUNCTION("""COMPUTED_VALUE"""),"President/he")</f>
        <v>President/he</v>
      </c>
    </row>
    <row r="644">
      <c r="A644" s="7" t="str">
        <f>IFERROR(__xludf.DUMMYFUNCTION("""COMPUTED_VALUE"""),"BENIN")</f>
        <v>BENIN</v>
      </c>
      <c r="B644" s="7">
        <f>IFERROR(__xludf.DUMMYFUNCTION("""COMPUTED_VALUE"""),7.0)</f>
        <v>7</v>
      </c>
      <c r="C644" s="7" t="str">
        <f>IFERROR(__xludf.DUMMYFUNCTION("""COMPUTED_VALUE"""),"G_13")</f>
        <v>G_13</v>
      </c>
      <c r="D644" s="7" t="str">
        <f>IFERROR(__xludf.DUMMYFUNCTION("""COMPUTED_VALUE"""),"Q44B")</f>
        <v>Q44B</v>
      </c>
      <c r="E644" s="7" t="str">
        <f>IFERROR(__xludf.DUMMYFUNCTION("""COMPUTED_VALUE"""),"Q44b. Corruption: Members of Parliament")</f>
        <v>Q44b. Corruption: Members of Parliament</v>
      </c>
      <c r="F644" s="7" t="str">
        <f>IFERROR(__xludf.DUMMYFUNCTION("""COMPUTED_VALUE"""),"Members of national assemply")</f>
        <v>Members of national assemply</v>
      </c>
    </row>
    <row r="645">
      <c r="A645" s="7" t="str">
        <f>IFERROR(__xludf.DUMMYFUNCTION("""COMPUTED_VALUE"""),"BOTSWANA")</f>
        <v>BOTSWANA</v>
      </c>
      <c r="B645" s="7">
        <f>IFERROR(__xludf.DUMMYFUNCTION("""COMPUTED_VALUE"""),7.0)</f>
        <v>7</v>
      </c>
      <c r="C645" s="7" t="str">
        <f>IFERROR(__xludf.DUMMYFUNCTION("""COMPUTED_VALUE"""),"G_13")</f>
        <v>G_13</v>
      </c>
      <c r="D645" s="7" t="str">
        <f>IFERROR(__xludf.DUMMYFUNCTION("""COMPUTED_VALUE"""),"Q44B")</f>
        <v>Q44B</v>
      </c>
      <c r="E645" s="7" t="str">
        <f>IFERROR(__xludf.DUMMYFUNCTION("""COMPUTED_VALUE"""),"Q44b. Corruption: Members of Parliament")</f>
        <v>Q44b. Corruption: Members of Parliament</v>
      </c>
      <c r="F645" s="7" t="str">
        <f>IFERROR(__xludf.DUMMYFUNCTION("""COMPUTED_VALUE"""),"Members of Parliament")</f>
        <v>Members of Parliament</v>
      </c>
    </row>
    <row r="646">
      <c r="A646" s="7" t="str">
        <f>IFERROR(__xludf.DUMMYFUNCTION("""COMPUTED_VALUE"""),"BURKINA FASO")</f>
        <v>BURKINA FASO</v>
      </c>
      <c r="B646" s="7">
        <f>IFERROR(__xludf.DUMMYFUNCTION("""COMPUTED_VALUE"""),7.0)</f>
        <v>7</v>
      </c>
      <c r="C646" s="7" t="str">
        <f>IFERROR(__xludf.DUMMYFUNCTION("""COMPUTED_VALUE"""),"G_13")</f>
        <v>G_13</v>
      </c>
      <c r="D646" s="7" t="str">
        <f>IFERROR(__xludf.DUMMYFUNCTION("""COMPUTED_VALUE"""),"Q44B")</f>
        <v>Q44B</v>
      </c>
      <c r="E646" s="7" t="str">
        <f>IFERROR(__xludf.DUMMYFUNCTION("""COMPUTED_VALUE"""),"Q44b. Corruption: Members of Parliament")</f>
        <v>Q44b. Corruption: Members of Parliament</v>
      </c>
      <c r="F646" s="7" t="str">
        <f>IFERROR(__xludf.DUMMYFUNCTION("""COMPUTED_VALUE"""),"Members of national assemply")</f>
        <v>Members of national assemply</v>
      </c>
    </row>
    <row r="647">
      <c r="A647" s="7" t="str">
        <f>IFERROR(__xludf.DUMMYFUNCTION("""COMPUTED_VALUE"""),"CABO VERDE")</f>
        <v>CABO VERDE</v>
      </c>
      <c r="B647" s="7">
        <f>IFERROR(__xludf.DUMMYFUNCTION("""COMPUTED_VALUE"""),7.0)</f>
        <v>7</v>
      </c>
      <c r="C647" s="7" t="str">
        <f>IFERROR(__xludf.DUMMYFUNCTION("""COMPUTED_VALUE"""),"G_13")</f>
        <v>G_13</v>
      </c>
      <c r="D647" s="7" t="str">
        <f>IFERROR(__xludf.DUMMYFUNCTION("""COMPUTED_VALUE"""),"Q44B")</f>
        <v>Q44B</v>
      </c>
      <c r="E647" s="7" t="str">
        <f>IFERROR(__xludf.DUMMYFUNCTION("""COMPUTED_VALUE"""),"Q44b. Corruption: Members of Parliament")</f>
        <v>Q44b. Corruption: Members of Parliament</v>
      </c>
      <c r="F647" s="7" t="str">
        <f>IFERROR(__xludf.DUMMYFUNCTION("""COMPUTED_VALUE"""),"Members of the National Assembly")</f>
        <v>Members of the National Assembly</v>
      </c>
    </row>
    <row r="648">
      <c r="A648" s="7" t="str">
        <f>IFERROR(__xludf.DUMMYFUNCTION("""COMPUTED_VALUE"""),"CAMEROON")</f>
        <v>CAMEROON</v>
      </c>
      <c r="B648" s="7">
        <f>IFERROR(__xludf.DUMMYFUNCTION("""COMPUTED_VALUE"""),7.0)</f>
        <v>7</v>
      </c>
      <c r="C648" s="7" t="str">
        <f>IFERROR(__xludf.DUMMYFUNCTION("""COMPUTED_VALUE"""),"G_13")</f>
        <v>G_13</v>
      </c>
      <c r="D648" s="7" t="str">
        <f>IFERROR(__xludf.DUMMYFUNCTION("""COMPUTED_VALUE"""),"Q44B")</f>
        <v>Q44B</v>
      </c>
      <c r="E648" s="7" t="str">
        <f>IFERROR(__xludf.DUMMYFUNCTION("""COMPUTED_VALUE"""),"Q44b. Corruption: Members of Parliament")</f>
        <v>Q44b. Corruption: Members of Parliament</v>
      </c>
      <c r="F648" s="7" t="str">
        <f>IFERROR(__xludf.DUMMYFUNCTION("""COMPUTED_VALUE"""),"The deputies and senators of Parliament")</f>
        <v>The deputies and senators of Parliament</v>
      </c>
    </row>
    <row r="649">
      <c r="A649" s="7" t="str">
        <f>IFERROR(__xludf.DUMMYFUNCTION("""COMPUTED_VALUE"""),"COTE D'IVOIRE")</f>
        <v>COTE D'IVOIRE</v>
      </c>
      <c r="B649" s="7">
        <f>IFERROR(__xludf.DUMMYFUNCTION("""COMPUTED_VALUE"""),7.0)</f>
        <v>7</v>
      </c>
      <c r="C649" s="7" t="str">
        <f>IFERROR(__xludf.DUMMYFUNCTION("""COMPUTED_VALUE"""),"G_13")</f>
        <v>G_13</v>
      </c>
      <c r="D649" s="7" t="str">
        <f>IFERROR(__xludf.DUMMYFUNCTION("""COMPUTED_VALUE"""),"Q44B")</f>
        <v>Q44B</v>
      </c>
      <c r="E649" s="7" t="str">
        <f>IFERROR(__xludf.DUMMYFUNCTION("""COMPUTED_VALUE"""),"Q44b. Corruption: Members of Parliament")</f>
        <v>Q44b. Corruption: Members of Parliament</v>
      </c>
      <c r="F649" s="7" t="str">
        <f>IFERROR(__xludf.DUMMYFUNCTION("""COMPUTED_VALUE"""),"Members of the National Assembly")</f>
        <v>Members of the National Assembly</v>
      </c>
    </row>
    <row r="650">
      <c r="A650" s="7" t="str">
        <f>IFERROR(__xludf.DUMMYFUNCTION("""COMPUTED_VALUE"""),"ESWATINI")</f>
        <v>ESWATINI</v>
      </c>
      <c r="B650" s="7">
        <f>IFERROR(__xludf.DUMMYFUNCTION("""COMPUTED_VALUE"""),7.0)</f>
        <v>7</v>
      </c>
      <c r="C650" s="7" t="str">
        <f>IFERROR(__xludf.DUMMYFUNCTION("""COMPUTED_VALUE"""),"G_13")</f>
        <v>G_13</v>
      </c>
      <c r="D650" s="7" t="str">
        <f>IFERROR(__xludf.DUMMYFUNCTION("""COMPUTED_VALUE"""),"Q44B")</f>
        <v>Q44B</v>
      </c>
      <c r="E650" s="7" t="str">
        <f>IFERROR(__xludf.DUMMYFUNCTION("""COMPUTED_VALUE"""),"Q44b. Corruption: Members of Parliament")</f>
        <v>Q44b. Corruption: Members of Parliament</v>
      </c>
      <c r="F650" s="7" t="str">
        <f>IFERROR(__xludf.DUMMYFUNCTION("""COMPUTED_VALUE"""),"Members of Parliament")</f>
        <v>Members of Parliament</v>
      </c>
    </row>
    <row r="651">
      <c r="A651" s="7" t="str">
        <f>IFERROR(__xludf.DUMMYFUNCTION("""COMPUTED_VALUE"""),"GABON")</f>
        <v>GABON</v>
      </c>
      <c r="B651" s="7">
        <f>IFERROR(__xludf.DUMMYFUNCTION("""COMPUTED_VALUE"""),7.0)</f>
        <v>7</v>
      </c>
      <c r="C651" s="7" t="str">
        <f>IFERROR(__xludf.DUMMYFUNCTION("""COMPUTED_VALUE"""),"G_13")</f>
        <v>G_13</v>
      </c>
      <c r="D651" s="7" t="str">
        <f>IFERROR(__xludf.DUMMYFUNCTION("""COMPUTED_VALUE"""),"Q44B")</f>
        <v>Q44B</v>
      </c>
      <c r="E651" s="7" t="str">
        <f>IFERROR(__xludf.DUMMYFUNCTION("""COMPUTED_VALUE"""),"Q44b. Corruption: Members of Parliament")</f>
        <v>Q44b. Corruption: Members of Parliament</v>
      </c>
      <c r="F651" s="7" t="str">
        <f>IFERROR(__xludf.DUMMYFUNCTION("""COMPUTED_VALUE"""),"Members of Parliament")</f>
        <v>Members of Parliament</v>
      </c>
    </row>
    <row r="652">
      <c r="A652" s="7" t="str">
        <f>IFERROR(__xludf.DUMMYFUNCTION("""COMPUTED_VALUE"""),"GAMBIA")</f>
        <v>GAMBIA</v>
      </c>
      <c r="B652" s="7">
        <f>IFERROR(__xludf.DUMMYFUNCTION("""COMPUTED_VALUE"""),7.0)</f>
        <v>7</v>
      </c>
      <c r="C652" s="7" t="str">
        <f>IFERROR(__xludf.DUMMYFUNCTION("""COMPUTED_VALUE"""),"G_13")</f>
        <v>G_13</v>
      </c>
      <c r="D652" s="7" t="str">
        <f>IFERROR(__xludf.DUMMYFUNCTION("""COMPUTED_VALUE"""),"Q44B")</f>
        <v>Q44B</v>
      </c>
      <c r="E652" s="7" t="str">
        <f>IFERROR(__xludf.DUMMYFUNCTION("""COMPUTED_VALUE"""),"Q44b. Corruption: Members of Parliament")</f>
        <v>Q44b. Corruption: Members of Parliament</v>
      </c>
      <c r="F652" s="7" t="str">
        <f>IFERROR(__xludf.DUMMYFUNCTION("""COMPUTED_VALUE"""),"The National Assembly")</f>
        <v>The National Assembly</v>
      </c>
    </row>
    <row r="653">
      <c r="A653" s="7" t="str">
        <f>IFERROR(__xludf.DUMMYFUNCTION("""COMPUTED_VALUE"""),"GHANA")</f>
        <v>GHANA</v>
      </c>
      <c r="B653" s="7">
        <f>IFERROR(__xludf.DUMMYFUNCTION("""COMPUTED_VALUE"""),7.0)</f>
        <v>7</v>
      </c>
      <c r="C653" s="7" t="str">
        <f>IFERROR(__xludf.DUMMYFUNCTION("""COMPUTED_VALUE"""),"G_13")</f>
        <v>G_13</v>
      </c>
      <c r="D653" s="7" t="str">
        <f>IFERROR(__xludf.DUMMYFUNCTION("""COMPUTED_VALUE"""),"Q44B")</f>
        <v>Q44B</v>
      </c>
      <c r="E653" s="7" t="str">
        <f>IFERROR(__xludf.DUMMYFUNCTION("""COMPUTED_VALUE"""),"Q44b. Corruption: Members of Parliament")</f>
        <v>Q44b. Corruption: Members of Parliament</v>
      </c>
      <c r="F653" s="7" t="str">
        <f>IFERROR(__xludf.DUMMYFUNCTION("""COMPUTED_VALUE"""),"B. Members of Parliament
B1-GHA. Officials of the Electoral Commission (EC)
")</f>
        <v>B. Members of Parliament
B1-GHA. Officials of the Electoral Commission (EC)
</v>
      </c>
    </row>
    <row r="654">
      <c r="A654" s="7" t="str">
        <f>IFERROR(__xludf.DUMMYFUNCTION("""COMPUTED_VALUE"""),"GUINEA")</f>
        <v>GUINEA</v>
      </c>
      <c r="B654" s="7">
        <f>IFERROR(__xludf.DUMMYFUNCTION("""COMPUTED_VALUE"""),7.0)</f>
        <v>7</v>
      </c>
      <c r="C654" s="7" t="str">
        <f>IFERROR(__xludf.DUMMYFUNCTION("""COMPUTED_VALUE"""),"G_13")</f>
        <v>G_13</v>
      </c>
      <c r="D654" s="7" t="str">
        <f>IFERROR(__xludf.DUMMYFUNCTION("""COMPUTED_VALUE"""),"Q44B")</f>
        <v>Q44B</v>
      </c>
      <c r="E654" s="7" t="str">
        <f>IFERROR(__xludf.DUMMYFUNCTION("""COMPUTED_VALUE"""),"Q44b. Corruption: Members of Parliament")</f>
        <v>Q44b. Corruption: Members of Parliament</v>
      </c>
      <c r="F654" s="7" t="str">
        <f>IFERROR(__xludf.DUMMYFUNCTION("""COMPUTED_VALUE"""),"Members of the National Assembly")</f>
        <v>Members of the National Assembly</v>
      </c>
    </row>
    <row r="655">
      <c r="A655" s="7" t="str">
        <f>IFERROR(__xludf.DUMMYFUNCTION("""COMPUTED_VALUE"""),"KENYA")</f>
        <v>KENYA</v>
      </c>
      <c r="B655" s="7">
        <f>IFERROR(__xludf.DUMMYFUNCTION("""COMPUTED_VALUE"""),7.0)</f>
        <v>7</v>
      </c>
      <c r="C655" s="7" t="str">
        <f>IFERROR(__xludf.DUMMYFUNCTION("""COMPUTED_VALUE"""),"G_13")</f>
        <v>G_13</v>
      </c>
      <c r="D655" s="7" t="str">
        <f>IFERROR(__xludf.DUMMYFUNCTION("""COMPUTED_VALUE"""),"Q44B")</f>
        <v>Q44B</v>
      </c>
      <c r="E655" s="7" t="str">
        <f>IFERROR(__xludf.DUMMYFUNCTION("""COMPUTED_VALUE"""),"Q44b. Corruption: Members of Parliament")</f>
        <v>Q44b. Corruption: Members of Parliament</v>
      </c>
      <c r="F655" s="7" t="str">
        <f>IFERROR(__xludf.DUMMYFUNCTION("""COMPUTED_VALUE"""),"Members of Parliament
")</f>
        <v>Members of Parliament
</v>
      </c>
    </row>
    <row r="656">
      <c r="A656" s="7" t="str">
        <f>IFERROR(__xludf.DUMMYFUNCTION("""COMPUTED_VALUE"""),"LESOTHO")</f>
        <v>LESOTHO</v>
      </c>
      <c r="B656" s="7">
        <f>IFERROR(__xludf.DUMMYFUNCTION("""COMPUTED_VALUE"""),7.0)</f>
        <v>7</v>
      </c>
      <c r="C656" s="7" t="str">
        <f>IFERROR(__xludf.DUMMYFUNCTION("""COMPUTED_VALUE"""),"G_13")</f>
        <v>G_13</v>
      </c>
      <c r="D656" s="7" t="str">
        <f>IFERROR(__xludf.DUMMYFUNCTION("""COMPUTED_VALUE"""),"Q44B")</f>
        <v>Q44B</v>
      </c>
      <c r="E656" s="7" t="str">
        <f>IFERROR(__xludf.DUMMYFUNCTION("""COMPUTED_VALUE"""),"Q44b. Corruption: Members of Parliament")</f>
        <v>Q44b. Corruption: Members of Parliament</v>
      </c>
      <c r="F656" s="7" t="str">
        <f>IFERROR(__xludf.DUMMYFUNCTION("""COMPUTED_VALUE"""),"Members of Parliament")</f>
        <v>Members of Parliament</v>
      </c>
    </row>
    <row r="657">
      <c r="A657" s="7" t="str">
        <f>IFERROR(__xludf.DUMMYFUNCTION("""COMPUTED_VALUE"""),"LIBERIA")</f>
        <v>LIBERIA</v>
      </c>
      <c r="B657" s="7">
        <f>IFERROR(__xludf.DUMMYFUNCTION("""COMPUTED_VALUE"""),7.0)</f>
        <v>7</v>
      </c>
      <c r="C657" s="7" t="str">
        <f>IFERROR(__xludf.DUMMYFUNCTION("""COMPUTED_VALUE"""),"G_13")</f>
        <v>G_13</v>
      </c>
      <c r="D657" s="7" t="str">
        <f>IFERROR(__xludf.DUMMYFUNCTION("""COMPUTED_VALUE"""),"Q44B")</f>
        <v>Q44B</v>
      </c>
      <c r="E657" s="7" t="str">
        <f>IFERROR(__xludf.DUMMYFUNCTION("""COMPUTED_VALUE"""),"Q44b. Corruption: Members of Parliament")</f>
        <v>Q44b. Corruption: Members of Parliament</v>
      </c>
      <c r="F657" s="7" t="str">
        <f>IFERROR(__xludf.DUMMYFUNCTION("""COMPUTED_VALUE"""),"B. Members of the House of Representatives
B1-LIB Senators
")</f>
        <v>B. Members of the House of Representatives
B1-LIB Senators
</v>
      </c>
    </row>
    <row r="658">
      <c r="A658" s="7" t="str">
        <f>IFERROR(__xludf.DUMMYFUNCTION("""COMPUTED_VALUE"""),"MADAGASCAR")</f>
        <v>MADAGASCAR</v>
      </c>
      <c r="B658" s="7">
        <f>IFERROR(__xludf.DUMMYFUNCTION("""COMPUTED_VALUE"""),7.0)</f>
        <v>7</v>
      </c>
      <c r="C658" s="7" t="str">
        <f>IFERROR(__xludf.DUMMYFUNCTION("""COMPUTED_VALUE"""),"G_13")</f>
        <v>G_13</v>
      </c>
      <c r="D658" s="7" t="str">
        <f>IFERROR(__xludf.DUMMYFUNCTION("""COMPUTED_VALUE"""),"Q44B")</f>
        <v>Q44B</v>
      </c>
      <c r="E658" s="7" t="str">
        <f>IFERROR(__xludf.DUMMYFUNCTION("""COMPUTED_VALUE"""),"Q44b. Corruption: Members of Parliament")</f>
        <v>Q44b. Corruption: Members of Parliament</v>
      </c>
      <c r="F658" s="7" t="str">
        <f>IFERROR(__xludf.DUMMYFUNCTION("""COMPUTED_VALUE"""),"Members of the National Assembly")</f>
        <v>Members of the National Assembly</v>
      </c>
    </row>
    <row r="659">
      <c r="A659" s="7" t="str">
        <f>IFERROR(__xludf.DUMMYFUNCTION("""COMPUTED_VALUE"""),"MALAWI")</f>
        <v>MALAWI</v>
      </c>
      <c r="B659" s="7">
        <f>IFERROR(__xludf.DUMMYFUNCTION("""COMPUTED_VALUE"""),7.0)</f>
        <v>7</v>
      </c>
      <c r="C659" s="7" t="str">
        <f>IFERROR(__xludf.DUMMYFUNCTION("""COMPUTED_VALUE"""),"G_13")</f>
        <v>G_13</v>
      </c>
      <c r="D659" s="7" t="str">
        <f>IFERROR(__xludf.DUMMYFUNCTION("""COMPUTED_VALUE"""),"Q44B")</f>
        <v>Q44B</v>
      </c>
      <c r="E659" s="7" t="str">
        <f>IFERROR(__xludf.DUMMYFUNCTION("""COMPUTED_VALUE"""),"Q44b. Corruption: Members of Parliament")</f>
        <v>Q44b. Corruption: Members of Parliament</v>
      </c>
      <c r="F659" s="7" t="str">
        <f>IFERROR(__xludf.DUMMYFUNCTION("""COMPUTED_VALUE"""),"Members of Parliament")</f>
        <v>Members of Parliament</v>
      </c>
    </row>
    <row r="660">
      <c r="A660" s="7" t="str">
        <f>IFERROR(__xludf.DUMMYFUNCTION("""COMPUTED_VALUE"""),"MALI")</f>
        <v>MALI</v>
      </c>
      <c r="B660" s="7">
        <f>IFERROR(__xludf.DUMMYFUNCTION("""COMPUTED_VALUE"""),7.0)</f>
        <v>7</v>
      </c>
      <c r="C660" s="7" t="str">
        <f>IFERROR(__xludf.DUMMYFUNCTION("""COMPUTED_VALUE"""),"G_13")</f>
        <v>G_13</v>
      </c>
      <c r="D660" s="7" t="str">
        <f>IFERROR(__xludf.DUMMYFUNCTION("""COMPUTED_VALUE"""),"Q44B")</f>
        <v>Q44B</v>
      </c>
      <c r="E660" s="7" t="str">
        <f>IFERROR(__xludf.DUMMYFUNCTION("""COMPUTED_VALUE"""),"Q44b. Corruption: Members of Parliament")</f>
        <v>Q44b. Corruption: Members of Parliament</v>
      </c>
      <c r="F660" s="7" t="str">
        <f>IFERROR(__xludf.DUMMYFUNCTION("""COMPUTED_VALUE"""),"Members of the National Assembly")</f>
        <v>Members of the National Assembly</v>
      </c>
    </row>
    <row r="661">
      <c r="A661" s="7" t="str">
        <f>IFERROR(__xludf.DUMMYFUNCTION("""COMPUTED_VALUE"""),"MAURITIUS")</f>
        <v>MAURITIUS</v>
      </c>
      <c r="B661" s="7">
        <f>IFERROR(__xludf.DUMMYFUNCTION("""COMPUTED_VALUE"""),7.0)</f>
        <v>7</v>
      </c>
      <c r="C661" s="7" t="str">
        <f>IFERROR(__xludf.DUMMYFUNCTION("""COMPUTED_VALUE"""),"G_13")</f>
        <v>G_13</v>
      </c>
      <c r="D661" s="7" t="str">
        <f>IFERROR(__xludf.DUMMYFUNCTION("""COMPUTED_VALUE"""),"Q44B")</f>
        <v>Q44B</v>
      </c>
      <c r="E661" s="7" t="str">
        <f>IFERROR(__xludf.DUMMYFUNCTION("""COMPUTED_VALUE"""),"Q44b. Corruption: Members of Parliament")</f>
        <v>Q44b. Corruption: Members of Parliament</v>
      </c>
      <c r="F661" s="7" t="str">
        <f>IFERROR(__xludf.DUMMYFUNCTION("""COMPUTED_VALUE"""),"Members of the National Assembly")</f>
        <v>Members of the National Assembly</v>
      </c>
    </row>
    <row r="662">
      <c r="A662" s="7" t="str">
        <f>IFERROR(__xludf.DUMMYFUNCTION("""COMPUTED_VALUE"""),"MOROCCO")</f>
        <v>MOROCCO</v>
      </c>
      <c r="B662" s="7">
        <f>IFERROR(__xludf.DUMMYFUNCTION("""COMPUTED_VALUE"""),7.0)</f>
        <v>7</v>
      </c>
      <c r="C662" s="7" t="str">
        <f>IFERROR(__xludf.DUMMYFUNCTION("""COMPUTED_VALUE"""),"G_13")</f>
        <v>G_13</v>
      </c>
      <c r="D662" s="7" t="str">
        <f>IFERROR(__xludf.DUMMYFUNCTION("""COMPUTED_VALUE"""),"Q44B")</f>
        <v>Q44B</v>
      </c>
      <c r="E662" s="7" t="str">
        <f>IFERROR(__xludf.DUMMYFUNCTION("""COMPUTED_VALUE"""),"Q44b. Corruption: Members of Parliament")</f>
        <v>Q44b. Corruption: Members of Parliament</v>
      </c>
      <c r="F662" s="7" t="str">
        <f>IFERROR(__xludf.DUMMYFUNCTION("""COMPUTED_VALUE"""),"Members of Parliament")</f>
        <v>Members of Parliament</v>
      </c>
    </row>
    <row r="663">
      <c r="A663" s="7" t="str">
        <f>IFERROR(__xludf.DUMMYFUNCTION("""COMPUTED_VALUE"""),"MOZAMBIQUE")</f>
        <v>MOZAMBIQUE</v>
      </c>
      <c r="B663" s="7">
        <f>IFERROR(__xludf.DUMMYFUNCTION("""COMPUTED_VALUE"""),7.0)</f>
        <v>7</v>
      </c>
      <c r="C663" s="7" t="str">
        <f>IFERROR(__xludf.DUMMYFUNCTION("""COMPUTED_VALUE"""),"G_13")</f>
        <v>G_13</v>
      </c>
      <c r="D663" s="7" t="str">
        <f>IFERROR(__xludf.DUMMYFUNCTION("""COMPUTED_VALUE"""),"Q44B")</f>
        <v>Q44B</v>
      </c>
      <c r="E663" s="7" t="str">
        <f>IFERROR(__xludf.DUMMYFUNCTION("""COMPUTED_VALUE"""),"Q44b. Corruption: Members of Parliament")</f>
        <v>Q44b. Corruption: Members of Parliament</v>
      </c>
      <c r="F663" s="7" t="str">
        <f>IFERROR(__xludf.DUMMYFUNCTION("""COMPUTED_VALUE"""),"Members of Parliament")</f>
        <v>Members of Parliament</v>
      </c>
    </row>
    <row r="664">
      <c r="A664" s="7" t="str">
        <f>IFERROR(__xludf.DUMMYFUNCTION("""COMPUTED_VALUE"""),"NAMIBIA")</f>
        <v>NAMIBIA</v>
      </c>
      <c r="B664" s="7">
        <f>IFERROR(__xludf.DUMMYFUNCTION("""COMPUTED_VALUE"""),7.0)</f>
        <v>7</v>
      </c>
      <c r="C664" s="7" t="str">
        <f>IFERROR(__xludf.DUMMYFUNCTION("""COMPUTED_VALUE"""),"G_13")</f>
        <v>G_13</v>
      </c>
      <c r="D664" s="7" t="str">
        <f>IFERROR(__xludf.DUMMYFUNCTION("""COMPUTED_VALUE"""),"Q44B")</f>
        <v>Q44B</v>
      </c>
      <c r="E664" s="7" t="str">
        <f>IFERROR(__xludf.DUMMYFUNCTION("""COMPUTED_VALUE"""),"Q44b. Corruption: Members of Parliament")</f>
        <v>Q44b. Corruption: Members of Parliament</v>
      </c>
      <c r="F664" s="7" t="str">
        <f>IFERROR(__xludf.DUMMYFUNCTION("""COMPUTED_VALUE"""),"Members of the National Assembly
Representatives to the National Council
")</f>
        <v>Members of the National Assembly
Representatives to the National Council
</v>
      </c>
    </row>
    <row r="665">
      <c r="A665" s="7" t="str">
        <f>IFERROR(__xludf.DUMMYFUNCTION("""COMPUTED_VALUE"""),"NIGER")</f>
        <v>NIGER</v>
      </c>
      <c r="B665" s="7">
        <f>IFERROR(__xludf.DUMMYFUNCTION("""COMPUTED_VALUE"""),7.0)</f>
        <v>7</v>
      </c>
      <c r="C665" s="7" t="str">
        <f>IFERROR(__xludf.DUMMYFUNCTION("""COMPUTED_VALUE"""),"G_13")</f>
        <v>G_13</v>
      </c>
      <c r="D665" s="7" t="str">
        <f>IFERROR(__xludf.DUMMYFUNCTION("""COMPUTED_VALUE"""),"Q44B")</f>
        <v>Q44B</v>
      </c>
      <c r="E665" s="7" t="str">
        <f>IFERROR(__xludf.DUMMYFUNCTION("""COMPUTED_VALUE"""),"Q44b. Corruption: Members of Parliament")</f>
        <v>Q44b. Corruption: Members of Parliament</v>
      </c>
      <c r="F665" s="7" t="str">
        <f>IFERROR(__xludf.DUMMYFUNCTION("""COMPUTED_VALUE"""),"Members of the National Assembly")</f>
        <v>Members of the National Assembly</v>
      </c>
    </row>
    <row r="666">
      <c r="A666" s="7" t="str">
        <f>IFERROR(__xludf.DUMMYFUNCTION("""COMPUTED_VALUE"""),"NIGERIA")</f>
        <v>NIGERIA</v>
      </c>
      <c r="B666" s="7">
        <f>IFERROR(__xludf.DUMMYFUNCTION("""COMPUTED_VALUE"""),7.0)</f>
        <v>7</v>
      </c>
      <c r="C666" s="7" t="str">
        <f>IFERROR(__xludf.DUMMYFUNCTION("""COMPUTED_VALUE"""),"G_13")</f>
        <v>G_13</v>
      </c>
      <c r="D666" s="7" t="str">
        <f>IFERROR(__xludf.DUMMYFUNCTION("""COMPUTED_VALUE"""),"Q44B")</f>
        <v>Q44B</v>
      </c>
      <c r="E666" s="7" t="str">
        <f>IFERROR(__xludf.DUMMYFUNCTION("""COMPUTED_VALUE"""),"Q44b. Corruption: Members of Parliament")</f>
        <v>Q44b. Corruption: Members of Parliament</v>
      </c>
      <c r="F666" s="7" t="str">
        <f>IFERROR(__xludf.DUMMYFUNCTION("""COMPUTED_VALUE"""),"Members of the National Assembly")</f>
        <v>Members of the National Assembly</v>
      </c>
    </row>
    <row r="667">
      <c r="A667" s="7" t="str">
        <f>IFERROR(__xludf.DUMMYFUNCTION("""COMPUTED_VALUE"""),"SAO TOME AND PRINCIPE")</f>
        <v>SAO TOME AND PRINCIPE</v>
      </c>
      <c r="B667" s="7">
        <f>IFERROR(__xludf.DUMMYFUNCTION("""COMPUTED_VALUE"""),7.0)</f>
        <v>7</v>
      </c>
      <c r="C667" s="7" t="str">
        <f>IFERROR(__xludf.DUMMYFUNCTION("""COMPUTED_VALUE"""),"G_13")</f>
        <v>G_13</v>
      </c>
      <c r="D667" s="7" t="str">
        <f>IFERROR(__xludf.DUMMYFUNCTION("""COMPUTED_VALUE"""),"Q44B")</f>
        <v>Q44B</v>
      </c>
      <c r="E667" s="7" t="str">
        <f>IFERROR(__xludf.DUMMYFUNCTION("""COMPUTED_VALUE"""),"Q44b. Corruption: Members of Parliament")</f>
        <v>Q44b. Corruption: Members of Parliament</v>
      </c>
      <c r="F667" s="7" t="str">
        <f>IFERROR(__xludf.DUMMYFUNCTION("""COMPUTED_VALUE"""),"Members of the National Assembly")</f>
        <v>Members of the National Assembly</v>
      </c>
    </row>
    <row r="668">
      <c r="A668" s="7" t="str">
        <f>IFERROR(__xludf.DUMMYFUNCTION("""COMPUTED_VALUE"""),"SENEGAL")</f>
        <v>SENEGAL</v>
      </c>
      <c r="B668" s="7">
        <f>IFERROR(__xludf.DUMMYFUNCTION("""COMPUTED_VALUE"""),7.0)</f>
        <v>7</v>
      </c>
      <c r="C668" s="7" t="str">
        <f>IFERROR(__xludf.DUMMYFUNCTION("""COMPUTED_VALUE"""),"G_13")</f>
        <v>G_13</v>
      </c>
      <c r="D668" s="7" t="str">
        <f>IFERROR(__xludf.DUMMYFUNCTION("""COMPUTED_VALUE"""),"Q44B")</f>
        <v>Q44B</v>
      </c>
      <c r="E668" s="7" t="str">
        <f>IFERROR(__xludf.DUMMYFUNCTION("""COMPUTED_VALUE"""),"Q44b. Corruption: Members of Parliament")</f>
        <v>Q44b. Corruption: Members of Parliament</v>
      </c>
      <c r="F668" s="7" t="str">
        <f>IFERROR(__xludf.DUMMYFUNCTION("""COMPUTED_VALUE"""),"Members of the National Assembly")</f>
        <v>Members of the National Assembly</v>
      </c>
    </row>
    <row r="669">
      <c r="A669" s="7" t="str">
        <f>IFERROR(__xludf.DUMMYFUNCTION("""COMPUTED_VALUE"""),"SIERRA LEONE")</f>
        <v>SIERRA LEONE</v>
      </c>
      <c r="B669" s="7">
        <f>IFERROR(__xludf.DUMMYFUNCTION("""COMPUTED_VALUE"""),7.0)</f>
        <v>7</v>
      </c>
      <c r="C669" s="7" t="str">
        <f>IFERROR(__xludf.DUMMYFUNCTION("""COMPUTED_VALUE"""),"G_13")</f>
        <v>G_13</v>
      </c>
      <c r="D669" s="7" t="str">
        <f>IFERROR(__xludf.DUMMYFUNCTION("""COMPUTED_VALUE"""),"Q44B")</f>
        <v>Q44B</v>
      </c>
      <c r="E669" s="7" t="str">
        <f>IFERROR(__xludf.DUMMYFUNCTION("""COMPUTED_VALUE"""),"Q44b. Corruption: Members of Parliament")</f>
        <v>Q44b. Corruption: Members of Parliament</v>
      </c>
      <c r="F669" s="7" t="str">
        <f>IFERROR(__xludf.DUMMYFUNCTION("""COMPUTED_VALUE"""),"Members of Parliament")</f>
        <v>Members of Parliament</v>
      </c>
    </row>
    <row r="670">
      <c r="A670" s="7" t="str">
        <f>IFERROR(__xludf.DUMMYFUNCTION("""COMPUTED_VALUE"""),"SOUTH AFRICA")</f>
        <v>SOUTH AFRICA</v>
      </c>
      <c r="B670" s="7">
        <f>IFERROR(__xludf.DUMMYFUNCTION("""COMPUTED_VALUE"""),7.0)</f>
        <v>7</v>
      </c>
      <c r="C670" s="7" t="str">
        <f>IFERROR(__xludf.DUMMYFUNCTION("""COMPUTED_VALUE"""),"G_13")</f>
        <v>G_13</v>
      </c>
      <c r="D670" s="7" t="str">
        <f>IFERROR(__xludf.DUMMYFUNCTION("""COMPUTED_VALUE"""),"Q44B")</f>
        <v>Q44B</v>
      </c>
      <c r="E670" s="7" t="str">
        <f>IFERROR(__xludf.DUMMYFUNCTION("""COMPUTED_VALUE"""),"Q44b. Corruption: Members of Parliament")</f>
        <v>Q44b. Corruption: Members of Parliament</v>
      </c>
      <c r="F670" s="7" t="str">
        <f>IFERROR(__xludf.DUMMYFUNCTION("""COMPUTED_VALUE"""),"Members of Parliament")</f>
        <v>Members of Parliament</v>
      </c>
    </row>
    <row r="671">
      <c r="A671" s="7" t="str">
        <f>IFERROR(__xludf.DUMMYFUNCTION("""COMPUTED_VALUE"""),"SUDAN")</f>
        <v>SUDAN</v>
      </c>
      <c r="B671" s="7">
        <f>IFERROR(__xludf.DUMMYFUNCTION("""COMPUTED_VALUE"""),7.0)</f>
        <v>7</v>
      </c>
      <c r="C671" s="7" t="str">
        <f>IFERROR(__xludf.DUMMYFUNCTION("""COMPUTED_VALUE"""),"G_13")</f>
        <v>G_13</v>
      </c>
      <c r="D671" s="7" t="str">
        <f>IFERROR(__xludf.DUMMYFUNCTION("""COMPUTED_VALUE"""),"Q44B")</f>
        <v>Q44B</v>
      </c>
      <c r="E671" s="7" t="str">
        <f>IFERROR(__xludf.DUMMYFUNCTION("""COMPUTED_VALUE"""),"Q44b. Corruption: Members of Parliament")</f>
        <v>Q44b. Corruption: Members of Parliament</v>
      </c>
      <c r="F671" s="7" t="str">
        <f>IFERROR(__xludf.DUMMYFUNCTION("""COMPUTED_VALUE"""),"Members of National Assembly")</f>
        <v>Members of National Assembly</v>
      </c>
    </row>
    <row r="672">
      <c r="A672" s="7" t="str">
        <f>IFERROR(__xludf.DUMMYFUNCTION("""COMPUTED_VALUE"""),"TANZANIA")</f>
        <v>TANZANIA</v>
      </c>
      <c r="B672" s="7">
        <f>IFERROR(__xludf.DUMMYFUNCTION("""COMPUTED_VALUE"""),7.0)</f>
        <v>7</v>
      </c>
      <c r="C672" s="7" t="str">
        <f>IFERROR(__xludf.DUMMYFUNCTION("""COMPUTED_VALUE"""),"G_13")</f>
        <v>G_13</v>
      </c>
      <c r="D672" s="7" t="str">
        <f>IFERROR(__xludf.DUMMYFUNCTION("""COMPUTED_VALUE"""),"Q44B")</f>
        <v>Q44B</v>
      </c>
      <c r="E672" s="7" t="str">
        <f>IFERROR(__xludf.DUMMYFUNCTION("""COMPUTED_VALUE"""),"Q44b. Corruption: Members of Parliament")</f>
        <v>Q44b. Corruption: Members of Parliament</v>
      </c>
      <c r="F672" s="7" t="str">
        <f>IFERROR(__xludf.DUMMYFUNCTION("""COMPUTED_VALUE"""),"Members of Parliament")</f>
        <v>Members of Parliament</v>
      </c>
    </row>
    <row r="673">
      <c r="A673" s="7" t="str">
        <f>IFERROR(__xludf.DUMMYFUNCTION("""COMPUTED_VALUE"""),"TOGO")</f>
        <v>TOGO</v>
      </c>
      <c r="B673" s="7">
        <f>IFERROR(__xludf.DUMMYFUNCTION("""COMPUTED_VALUE"""),7.0)</f>
        <v>7</v>
      </c>
      <c r="C673" s="7" t="str">
        <f>IFERROR(__xludf.DUMMYFUNCTION("""COMPUTED_VALUE"""),"G_13")</f>
        <v>G_13</v>
      </c>
      <c r="D673" s="7" t="str">
        <f>IFERROR(__xludf.DUMMYFUNCTION("""COMPUTED_VALUE"""),"Q44B")</f>
        <v>Q44B</v>
      </c>
      <c r="E673" s="7" t="str">
        <f>IFERROR(__xludf.DUMMYFUNCTION("""COMPUTED_VALUE"""),"Q44b. Corruption: Members of Parliament")</f>
        <v>Q44b. Corruption: Members of Parliament</v>
      </c>
      <c r="F673" s="7" t="str">
        <f>IFERROR(__xludf.DUMMYFUNCTION("""COMPUTED_VALUE"""),"Members of National Assembly")</f>
        <v>Members of National Assembly</v>
      </c>
    </row>
    <row r="674">
      <c r="A674" s="7" t="str">
        <f>IFERROR(__xludf.DUMMYFUNCTION("""COMPUTED_VALUE"""),"TUNISIA")</f>
        <v>TUNISIA</v>
      </c>
      <c r="B674" s="7">
        <f>IFERROR(__xludf.DUMMYFUNCTION("""COMPUTED_VALUE"""),7.0)</f>
        <v>7</v>
      </c>
      <c r="C674" s="7" t="str">
        <f>IFERROR(__xludf.DUMMYFUNCTION("""COMPUTED_VALUE"""),"G_13")</f>
        <v>G_13</v>
      </c>
      <c r="D674" s="7" t="str">
        <f>IFERROR(__xludf.DUMMYFUNCTION("""COMPUTED_VALUE"""),"Q44B")</f>
        <v>Q44B</v>
      </c>
      <c r="E674" s="7" t="str">
        <f>IFERROR(__xludf.DUMMYFUNCTION("""COMPUTED_VALUE"""),"Q44b. Corruption: Members of Parliament")</f>
        <v>Q44b. Corruption: Members of Parliament</v>
      </c>
      <c r="F674" s="7" t="str">
        <f>IFERROR(__xludf.DUMMYFUNCTION("""COMPUTED_VALUE"""),"Members of Parliament")</f>
        <v>Members of Parliament</v>
      </c>
    </row>
    <row r="675">
      <c r="A675" s="7" t="str">
        <f>IFERROR(__xludf.DUMMYFUNCTION("""COMPUTED_VALUE"""),"UGANDA")</f>
        <v>UGANDA</v>
      </c>
      <c r="B675" s="7">
        <f>IFERROR(__xludf.DUMMYFUNCTION("""COMPUTED_VALUE"""),7.0)</f>
        <v>7</v>
      </c>
      <c r="C675" s="7" t="str">
        <f>IFERROR(__xludf.DUMMYFUNCTION("""COMPUTED_VALUE"""),"G_13")</f>
        <v>G_13</v>
      </c>
      <c r="D675" s="7" t="str">
        <f>IFERROR(__xludf.DUMMYFUNCTION("""COMPUTED_VALUE"""),"Q44B")</f>
        <v>Q44B</v>
      </c>
      <c r="E675" s="7" t="str">
        <f>IFERROR(__xludf.DUMMYFUNCTION("""COMPUTED_VALUE"""),"Q44b. Corruption: Members of Parliament")</f>
        <v>Q44b. Corruption: Members of Parliament</v>
      </c>
      <c r="F675" s="7" t="str">
        <f>IFERROR(__xludf.DUMMYFUNCTION("""COMPUTED_VALUE"""),"Members of Parliament")</f>
        <v>Members of Parliament</v>
      </c>
    </row>
    <row r="676">
      <c r="A676" s="7" t="str">
        <f>IFERROR(__xludf.DUMMYFUNCTION("""COMPUTED_VALUE"""),"ZAMBIA")</f>
        <v>ZAMBIA</v>
      </c>
      <c r="B676" s="7">
        <f>IFERROR(__xludf.DUMMYFUNCTION("""COMPUTED_VALUE"""),7.0)</f>
        <v>7</v>
      </c>
      <c r="C676" s="7" t="str">
        <f>IFERROR(__xludf.DUMMYFUNCTION("""COMPUTED_VALUE"""),"G_13")</f>
        <v>G_13</v>
      </c>
      <c r="D676" s="7" t="str">
        <f>IFERROR(__xludf.DUMMYFUNCTION("""COMPUTED_VALUE"""),"Q44B")</f>
        <v>Q44B</v>
      </c>
      <c r="E676" s="7" t="str">
        <f>IFERROR(__xludf.DUMMYFUNCTION("""COMPUTED_VALUE"""),"Q44b. Corruption: Members of Parliament")</f>
        <v>Q44b. Corruption: Members of Parliament</v>
      </c>
      <c r="F676" s="7" t="str">
        <f>IFERROR(__xludf.DUMMYFUNCTION("""COMPUTED_VALUE"""),"Members of Parliament")</f>
        <v>Members of Parliament</v>
      </c>
    </row>
    <row r="677">
      <c r="A677" s="7" t="str">
        <f>IFERROR(__xludf.DUMMYFUNCTION("""COMPUTED_VALUE"""),"ZIMBABWE")</f>
        <v>ZIMBABWE</v>
      </c>
      <c r="B677" s="7">
        <f>IFERROR(__xludf.DUMMYFUNCTION("""COMPUTED_VALUE"""),7.0)</f>
        <v>7</v>
      </c>
      <c r="C677" s="7" t="str">
        <f>IFERROR(__xludf.DUMMYFUNCTION("""COMPUTED_VALUE"""),"G_13")</f>
        <v>G_13</v>
      </c>
      <c r="D677" s="7" t="str">
        <f>IFERROR(__xludf.DUMMYFUNCTION("""COMPUTED_VALUE"""),"Q44B")</f>
        <v>Q44B</v>
      </c>
      <c r="E677" s="7" t="str">
        <f>IFERROR(__xludf.DUMMYFUNCTION("""COMPUTED_VALUE"""),"Q44b. Corruption: Members of Parliament")</f>
        <v>Q44b. Corruption: Members of Parliament</v>
      </c>
      <c r="F677" s="7" t="str">
        <f>IFERROR(__xludf.DUMMYFUNCTION("""COMPUTED_VALUE"""),"Members of Parliament")</f>
        <v>Members of Parliament</v>
      </c>
    </row>
    <row r="678">
      <c r="A678" s="7" t="str">
        <f>IFERROR(__xludf.DUMMYFUNCTION("""COMPUTED_VALUE"""),"BENIN")</f>
        <v>BENIN</v>
      </c>
      <c r="B678" s="7">
        <f>IFERROR(__xludf.DUMMYFUNCTION("""COMPUTED_VALUE"""),7.0)</f>
        <v>7</v>
      </c>
      <c r="C678" s="7" t="str">
        <f>IFERROR(__xludf.DUMMYFUNCTION("""COMPUTED_VALUE"""),"G_15")</f>
        <v>G_15</v>
      </c>
      <c r="D678" s="7" t="str">
        <f>IFERROR(__xludf.DUMMYFUNCTION("""COMPUTED_VALUE"""),"Q44C")</f>
        <v>Q44C</v>
      </c>
      <c r="E678" s="7" t="str">
        <f>IFERROR(__xludf.DUMMYFUNCTION("""COMPUTED_VALUE"""),"Q44c. Corruption: government officials")</f>
        <v>Q44c. Corruption: government officials</v>
      </c>
      <c r="F678" s="7" t="str">
        <f>IFERROR(__xludf.DUMMYFUNCTION("""COMPUTED_VALUE"""),"Government officials")</f>
        <v>Government officials</v>
      </c>
    </row>
    <row r="679">
      <c r="A679" s="7" t="str">
        <f>IFERROR(__xludf.DUMMYFUNCTION("""COMPUTED_VALUE"""),"BOTSWANA")</f>
        <v>BOTSWANA</v>
      </c>
      <c r="B679" s="7">
        <f>IFERROR(__xludf.DUMMYFUNCTION("""COMPUTED_VALUE"""),7.0)</f>
        <v>7</v>
      </c>
      <c r="C679" s="7" t="str">
        <f>IFERROR(__xludf.DUMMYFUNCTION("""COMPUTED_VALUE"""),"G_15")</f>
        <v>G_15</v>
      </c>
      <c r="D679" s="7" t="str">
        <f>IFERROR(__xludf.DUMMYFUNCTION("""COMPUTED_VALUE"""),"Q44C")</f>
        <v>Q44C</v>
      </c>
      <c r="E679" s="7" t="str">
        <f>IFERROR(__xludf.DUMMYFUNCTION("""COMPUTED_VALUE"""),"Q44c. Corruption: government officials")</f>
        <v>Q44c. Corruption: government officials</v>
      </c>
      <c r="F679" s="7" t="str">
        <f>IFERROR(__xludf.DUMMYFUNCTION("""COMPUTED_VALUE"""),"Government officials")</f>
        <v>Government officials</v>
      </c>
    </row>
    <row r="680">
      <c r="A680" s="7" t="str">
        <f>IFERROR(__xludf.DUMMYFUNCTION("""COMPUTED_VALUE"""),"BURKINA FASO")</f>
        <v>BURKINA FASO</v>
      </c>
      <c r="B680" s="7">
        <f>IFERROR(__xludf.DUMMYFUNCTION("""COMPUTED_VALUE"""),7.0)</f>
        <v>7</v>
      </c>
      <c r="C680" s="7" t="str">
        <f>IFERROR(__xludf.DUMMYFUNCTION("""COMPUTED_VALUE"""),"G_15")</f>
        <v>G_15</v>
      </c>
      <c r="D680" s="7" t="str">
        <f>IFERROR(__xludf.DUMMYFUNCTION("""COMPUTED_VALUE"""),"Q44C")</f>
        <v>Q44C</v>
      </c>
      <c r="E680" s="7" t="str">
        <f>IFERROR(__xludf.DUMMYFUNCTION("""COMPUTED_VALUE"""),"Q44c. Corruption: government officials")</f>
        <v>Q44c. Corruption: government officials</v>
      </c>
      <c r="F680" s="7" t="str">
        <f>IFERROR(__xludf.DUMMYFUNCTION("""COMPUTED_VALUE"""),"Members of the Government (Ministers)")</f>
        <v>Members of the Government (Ministers)</v>
      </c>
    </row>
    <row r="681">
      <c r="A681" s="7" t="str">
        <f>IFERROR(__xludf.DUMMYFUNCTION("""COMPUTED_VALUE"""),"CABO VERDE")</f>
        <v>CABO VERDE</v>
      </c>
      <c r="B681" s="7">
        <f>IFERROR(__xludf.DUMMYFUNCTION("""COMPUTED_VALUE"""),7.0)</f>
        <v>7</v>
      </c>
      <c r="C681" s="7" t="str">
        <f>IFERROR(__xludf.DUMMYFUNCTION("""COMPUTED_VALUE"""),"G_15")</f>
        <v>G_15</v>
      </c>
      <c r="D681" s="7" t="str">
        <f>IFERROR(__xludf.DUMMYFUNCTION("""COMPUTED_VALUE"""),"Q44C")</f>
        <v>Q44C</v>
      </c>
      <c r="E681" s="7" t="str">
        <f>IFERROR(__xludf.DUMMYFUNCTION("""COMPUTED_VALUE"""),"Q44c. Corruption: government officials")</f>
        <v>Q44c. Corruption: government officials</v>
      </c>
      <c r="F681" s="7" t="str">
        <f>IFERROR(__xludf.DUMMYFUNCTION("""COMPUTED_VALUE"""),"Public Officials")</f>
        <v>Public Officials</v>
      </c>
    </row>
    <row r="682">
      <c r="A682" s="7" t="str">
        <f>IFERROR(__xludf.DUMMYFUNCTION("""COMPUTED_VALUE"""),"CAMEROON")</f>
        <v>CAMEROON</v>
      </c>
      <c r="B682" s="7">
        <f>IFERROR(__xludf.DUMMYFUNCTION("""COMPUTED_VALUE"""),7.0)</f>
        <v>7</v>
      </c>
      <c r="C682" s="7" t="str">
        <f>IFERROR(__xludf.DUMMYFUNCTION("""COMPUTED_VALUE"""),"G_15")</f>
        <v>G_15</v>
      </c>
      <c r="D682" s="7" t="str">
        <f>IFERROR(__xludf.DUMMYFUNCTION("""COMPUTED_VALUE"""),"Q44C")</f>
        <v>Q44C</v>
      </c>
      <c r="E682" s="7" t="str">
        <f>IFERROR(__xludf.DUMMYFUNCTION("""COMPUTED_VALUE"""),"Q44c. Corruption: government officials")</f>
        <v>Q44c. Corruption: government officials</v>
      </c>
      <c r="F682" s="7" t="str">
        <f>IFERROR(__xludf.DUMMYFUNCTION("""COMPUTED_VALUE"""),"The members of the Government")</f>
        <v>The members of the Government</v>
      </c>
    </row>
    <row r="683">
      <c r="A683" s="7" t="str">
        <f>IFERROR(__xludf.DUMMYFUNCTION("""COMPUTED_VALUE"""),"COTE D'IVOIRE")</f>
        <v>COTE D'IVOIRE</v>
      </c>
      <c r="B683" s="7">
        <f>IFERROR(__xludf.DUMMYFUNCTION("""COMPUTED_VALUE"""),7.0)</f>
        <v>7</v>
      </c>
      <c r="C683" s="7" t="str">
        <f>IFERROR(__xludf.DUMMYFUNCTION("""COMPUTED_VALUE"""),"G_15")</f>
        <v>G_15</v>
      </c>
      <c r="D683" s="7" t="str">
        <f>IFERROR(__xludf.DUMMYFUNCTION("""COMPUTED_VALUE"""),"Q44C")</f>
        <v>Q44C</v>
      </c>
      <c r="E683" s="7" t="str">
        <f>IFERROR(__xludf.DUMMYFUNCTION("""COMPUTED_VALUE"""),"Q44c. Corruption: government officials")</f>
        <v>Q44c. Corruption: government officials</v>
      </c>
      <c r="F683" s="7" t="str">
        <f>IFERROR(__xludf.DUMMYFUNCTION("""COMPUTED_VALUE"""),"Members of the Government")</f>
        <v>Members of the Government</v>
      </c>
    </row>
    <row r="684">
      <c r="A684" s="7" t="str">
        <f>IFERROR(__xludf.DUMMYFUNCTION("""COMPUTED_VALUE"""),"ESWATINI")</f>
        <v>ESWATINI</v>
      </c>
      <c r="B684" s="7">
        <f>IFERROR(__xludf.DUMMYFUNCTION("""COMPUTED_VALUE"""),7.0)</f>
        <v>7</v>
      </c>
      <c r="C684" s="7" t="str">
        <f>IFERROR(__xludf.DUMMYFUNCTION("""COMPUTED_VALUE"""),"G_15")</f>
        <v>G_15</v>
      </c>
      <c r="D684" s="7" t="str">
        <f>IFERROR(__xludf.DUMMYFUNCTION("""COMPUTED_VALUE"""),"Q44C")</f>
        <v>Q44C</v>
      </c>
      <c r="E684" s="7" t="str">
        <f>IFERROR(__xludf.DUMMYFUNCTION("""COMPUTED_VALUE"""),"Q44c. Corruption: government officials")</f>
        <v>Q44c. Corruption: government officials</v>
      </c>
      <c r="F684" s="7" t="str">
        <f>IFERROR(__xludf.DUMMYFUNCTION("""COMPUTED_VALUE"""),"Government officials")</f>
        <v>Government officials</v>
      </c>
    </row>
    <row r="685">
      <c r="A685" s="7" t="str">
        <f>IFERROR(__xludf.DUMMYFUNCTION("""COMPUTED_VALUE"""),"GABON")</f>
        <v>GABON</v>
      </c>
      <c r="B685" s="7">
        <f>IFERROR(__xludf.DUMMYFUNCTION("""COMPUTED_VALUE"""),7.0)</f>
        <v>7</v>
      </c>
      <c r="C685" s="7" t="str">
        <f>IFERROR(__xludf.DUMMYFUNCTION("""COMPUTED_VALUE"""),"G_15")</f>
        <v>G_15</v>
      </c>
      <c r="D685" s="7" t="str">
        <f>IFERROR(__xludf.DUMMYFUNCTION("""COMPUTED_VALUE"""),"Q44C")</f>
        <v>Q44C</v>
      </c>
      <c r="E685" s="7" t="str">
        <f>IFERROR(__xludf.DUMMYFUNCTION("""COMPUTED_VALUE"""),"Q44c. Corruption: government officials")</f>
        <v>Q44c. Corruption: government officials</v>
      </c>
      <c r="F685" s="7" t="str">
        <f>IFERROR(__xludf.DUMMYFUNCTION("""COMPUTED_VALUE"""),"Members of the Government")</f>
        <v>Members of the Government</v>
      </c>
    </row>
    <row r="686">
      <c r="A686" s="7" t="str">
        <f>IFERROR(__xludf.DUMMYFUNCTION("""COMPUTED_VALUE"""),"GAMBIA")</f>
        <v>GAMBIA</v>
      </c>
      <c r="B686" s="7">
        <f>IFERROR(__xludf.DUMMYFUNCTION("""COMPUTED_VALUE"""),7.0)</f>
        <v>7</v>
      </c>
      <c r="C686" s="7" t="str">
        <f>IFERROR(__xludf.DUMMYFUNCTION("""COMPUTED_VALUE"""),"G_15")</f>
        <v>G_15</v>
      </c>
      <c r="D686" s="7" t="str">
        <f>IFERROR(__xludf.DUMMYFUNCTION("""COMPUTED_VALUE"""),"Q44C")</f>
        <v>Q44C</v>
      </c>
      <c r="E686" s="7" t="str">
        <f>IFERROR(__xludf.DUMMYFUNCTION("""COMPUTED_VALUE"""),"Q44c. Corruption: government officials")</f>
        <v>Q44c. Corruption: government officials</v>
      </c>
      <c r="F686" s="7" t="str">
        <f>IFERROR(__xludf.DUMMYFUNCTION("""COMPUTED_VALUE"""),"Government officials")</f>
        <v>Government officials</v>
      </c>
    </row>
    <row r="687">
      <c r="A687" s="7" t="str">
        <f>IFERROR(__xludf.DUMMYFUNCTION("""COMPUTED_VALUE"""),"GHANA")</f>
        <v>GHANA</v>
      </c>
      <c r="B687" s="7">
        <f>IFERROR(__xludf.DUMMYFUNCTION("""COMPUTED_VALUE"""),7.0)</f>
        <v>7</v>
      </c>
      <c r="C687" s="7" t="str">
        <f>IFERROR(__xludf.DUMMYFUNCTION("""COMPUTED_VALUE"""),"G_15")</f>
        <v>G_15</v>
      </c>
      <c r="D687" s="7" t="str">
        <f>IFERROR(__xludf.DUMMYFUNCTION("""COMPUTED_VALUE"""),"Q44C")</f>
        <v>Q44C</v>
      </c>
      <c r="E687" s="7" t="str">
        <f>IFERROR(__xludf.DUMMYFUNCTION("""COMPUTED_VALUE"""),"Q44c. Corruption: government officials")</f>
        <v>Q44c. Corruption: government officials</v>
      </c>
      <c r="F687" s="7" t="str">
        <f>IFERROR(__xludf.DUMMYFUNCTION("""COMPUTED_VALUE"""),"Government Offcials")</f>
        <v>Government Offcials</v>
      </c>
    </row>
    <row r="688">
      <c r="A688" s="7" t="str">
        <f>IFERROR(__xludf.DUMMYFUNCTION("""COMPUTED_VALUE"""),"GUINEA")</f>
        <v>GUINEA</v>
      </c>
      <c r="B688" s="7">
        <f>IFERROR(__xludf.DUMMYFUNCTION("""COMPUTED_VALUE"""),7.0)</f>
        <v>7</v>
      </c>
      <c r="C688" s="7" t="str">
        <f>IFERROR(__xludf.DUMMYFUNCTION("""COMPUTED_VALUE"""),"G_15")</f>
        <v>G_15</v>
      </c>
      <c r="D688" s="7" t="str">
        <f>IFERROR(__xludf.DUMMYFUNCTION("""COMPUTED_VALUE"""),"Q44C")</f>
        <v>Q44C</v>
      </c>
      <c r="E688" s="7" t="str">
        <f>IFERROR(__xludf.DUMMYFUNCTION("""COMPUTED_VALUE"""),"Q44c. Corruption: government officials")</f>
        <v>Q44c. Corruption: government officials</v>
      </c>
      <c r="F688" s="7" t="str">
        <f>IFERROR(__xludf.DUMMYFUNCTION("""COMPUTED_VALUE"""),"Members of the Government")</f>
        <v>Members of the Government</v>
      </c>
    </row>
    <row r="689">
      <c r="A689" s="7" t="str">
        <f>IFERROR(__xludf.DUMMYFUNCTION("""COMPUTED_VALUE"""),"KENYA")</f>
        <v>KENYA</v>
      </c>
      <c r="B689" s="7">
        <f>IFERROR(__xludf.DUMMYFUNCTION("""COMPUTED_VALUE"""),7.0)</f>
        <v>7</v>
      </c>
      <c r="C689" s="7" t="str">
        <f>IFERROR(__xludf.DUMMYFUNCTION("""COMPUTED_VALUE"""),"G_15")</f>
        <v>G_15</v>
      </c>
      <c r="D689" s="7" t="str">
        <f>IFERROR(__xludf.DUMMYFUNCTION("""COMPUTED_VALUE"""),"Q44C")</f>
        <v>Q44C</v>
      </c>
      <c r="E689" s="7" t="str">
        <f>IFERROR(__xludf.DUMMYFUNCTION("""COMPUTED_VALUE"""),"Q44c. Corruption: government officials")</f>
        <v>Q44c. Corruption: government officials</v>
      </c>
      <c r="F689" s="7" t="str">
        <f>IFERROR(__xludf.DUMMYFUNCTION("""COMPUTED_VALUE"""),"Government  workers")</f>
        <v>Government  workers</v>
      </c>
    </row>
    <row r="690">
      <c r="A690" s="7" t="str">
        <f>IFERROR(__xludf.DUMMYFUNCTION("""COMPUTED_VALUE"""),"LESOTHO")</f>
        <v>LESOTHO</v>
      </c>
      <c r="B690" s="7">
        <f>IFERROR(__xludf.DUMMYFUNCTION("""COMPUTED_VALUE"""),7.0)</f>
        <v>7</v>
      </c>
      <c r="C690" s="7" t="str">
        <f>IFERROR(__xludf.DUMMYFUNCTION("""COMPUTED_VALUE"""),"G_15")</f>
        <v>G_15</v>
      </c>
      <c r="D690" s="7" t="str">
        <f>IFERROR(__xludf.DUMMYFUNCTION("""COMPUTED_VALUE"""),"Q44C")</f>
        <v>Q44C</v>
      </c>
      <c r="E690" s="7" t="str">
        <f>IFERROR(__xludf.DUMMYFUNCTION("""COMPUTED_VALUE"""),"Q44c. Corruption: government officials")</f>
        <v>Q44c. Corruption: government officials</v>
      </c>
      <c r="F690" s="7" t="str">
        <f>IFERROR(__xludf.DUMMYFUNCTION("""COMPUTED_VALUE"""),"Government officials
")</f>
        <v>Government officials
</v>
      </c>
    </row>
    <row r="691">
      <c r="A691" s="7" t="str">
        <f>IFERROR(__xludf.DUMMYFUNCTION("""COMPUTED_VALUE"""),"LIBERIA")</f>
        <v>LIBERIA</v>
      </c>
      <c r="B691" s="7">
        <f>IFERROR(__xludf.DUMMYFUNCTION("""COMPUTED_VALUE"""),7.0)</f>
        <v>7</v>
      </c>
      <c r="C691" s="7" t="str">
        <f>IFERROR(__xludf.DUMMYFUNCTION("""COMPUTED_VALUE"""),"G_15")</f>
        <v>G_15</v>
      </c>
      <c r="D691" s="7" t="str">
        <f>IFERROR(__xludf.DUMMYFUNCTION("""COMPUTED_VALUE"""),"Q44C")</f>
        <v>Q44C</v>
      </c>
      <c r="E691" s="7" t="str">
        <f>IFERROR(__xludf.DUMMYFUNCTION("""COMPUTED_VALUE"""),"Q44c. Corruption: government officials")</f>
        <v>Q44c. Corruption: government officials</v>
      </c>
      <c r="F691" s="7" t="str">
        <f>IFERROR(__xludf.DUMMYFUNCTION("""COMPUTED_VALUE"""),"Government officials
")</f>
        <v>Government officials
</v>
      </c>
    </row>
    <row r="692">
      <c r="A692" s="7" t="str">
        <f>IFERROR(__xludf.DUMMYFUNCTION("""COMPUTED_VALUE"""),"MADAGASCAR")</f>
        <v>MADAGASCAR</v>
      </c>
      <c r="B692" s="7">
        <f>IFERROR(__xludf.DUMMYFUNCTION("""COMPUTED_VALUE"""),7.0)</f>
        <v>7</v>
      </c>
      <c r="C692" s="7" t="str">
        <f>IFERROR(__xludf.DUMMYFUNCTION("""COMPUTED_VALUE"""),"G_15")</f>
        <v>G_15</v>
      </c>
      <c r="D692" s="7" t="str">
        <f>IFERROR(__xludf.DUMMYFUNCTION("""COMPUTED_VALUE"""),"Q44C")</f>
        <v>Q44C</v>
      </c>
      <c r="E692" s="7" t="str">
        <f>IFERROR(__xludf.DUMMYFUNCTION("""COMPUTED_VALUE"""),"Q44c. Corruption: government officials")</f>
        <v>Q44c. Corruption: government officials</v>
      </c>
      <c r="F692" s="7" t="str">
        <f>IFERROR(__xludf.DUMMYFUNCTION("""COMPUTED_VALUE"""),"Members of the Government")</f>
        <v>Members of the Government</v>
      </c>
    </row>
    <row r="693">
      <c r="A693" s="7" t="str">
        <f>IFERROR(__xludf.DUMMYFUNCTION("""COMPUTED_VALUE"""),"MALAWI")</f>
        <v>MALAWI</v>
      </c>
      <c r="B693" s="7">
        <f>IFERROR(__xludf.DUMMYFUNCTION("""COMPUTED_VALUE"""),7.0)</f>
        <v>7</v>
      </c>
      <c r="C693" s="7" t="str">
        <f>IFERROR(__xludf.DUMMYFUNCTION("""COMPUTED_VALUE"""),"G_15")</f>
        <v>G_15</v>
      </c>
      <c r="D693" s="7" t="str">
        <f>IFERROR(__xludf.DUMMYFUNCTION("""COMPUTED_VALUE"""),"Q44C")</f>
        <v>Q44C</v>
      </c>
      <c r="E693" s="7" t="str">
        <f>IFERROR(__xludf.DUMMYFUNCTION("""COMPUTED_VALUE"""),"Q44c. Corruption: government officials")</f>
        <v>Q44c. Corruption: government officials</v>
      </c>
      <c r="F693" s="7" t="str">
        <f>IFERROR(__xludf.DUMMYFUNCTION("""COMPUTED_VALUE"""),"Government officials")</f>
        <v>Government officials</v>
      </c>
    </row>
    <row r="694">
      <c r="A694" s="7" t="str">
        <f>IFERROR(__xludf.DUMMYFUNCTION("""COMPUTED_VALUE"""),"MALI")</f>
        <v>MALI</v>
      </c>
      <c r="B694" s="7">
        <f>IFERROR(__xludf.DUMMYFUNCTION("""COMPUTED_VALUE"""),7.0)</f>
        <v>7</v>
      </c>
      <c r="C694" s="7" t="str">
        <f>IFERROR(__xludf.DUMMYFUNCTION("""COMPUTED_VALUE"""),"G_15")</f>
        <v>G_15</v>
      </c>
      <c r="D694" s="7" t="str">
        <f>IFERROR(__xludf.DUMMYFUNCTION("""COMPUTED_VALUE"""),"Q44C")</f>
        <v>Q44C</v>
      </c>
      <c r="E694" s="7" t="str">
        <f>IFERROR(__xludf.DUMMYFUNCTION("""COMPUTED_VALUE"""),"Q44c. Corruption: government officials")</f>
        <v>Q44c. Corruption: government officials</v>
      </c>
      <c r="F694" s="7" t="str">
        <f>IFERROR(__xludf.DUMMYFUNCTION("""COMPUTED_VALUE"""),"Government officials")</f>
        <v>Government officials</v>
      </c>
    </row>
    <row r="695">
      <c r="A695" s="7" t="str">
        <f>IFERROR(__xludf.DUMMYFUNCTION("""COMPUTED_VALUE"""),"MAURITIUS")</f>
        <v>MAURITIUS</v>
      </c>
      <c r="B695" s="7">
        <f>IFERROR(__xludf.DUMMYFUNCTION("""COMPUTED_VALUE"""),7.0)</f>
        <v>7</v>
      </c>
      <c r="C695" s="7" t="str">
        <f>IFERROR(__xludf.DUMMYFUNCTION("""COMPUTED_VALUE"""),"G_15")</f>
        <v>G_15</v>
      </c>
      <c r="D695" s="7" t="str">
        <f>IFERROR(__xludf.DUMMYFUNCTION("""COMPUTED_VALUE"""),"Q44C")</f>
        <v>Q44C</v>
      </c>
      <c r="E695" s="7" t="str">
        <f>IFERROR(__xludf.DUMMYFUNCTION("""COMPUTED_VALUE"""),"Q44c. Corruption: government officials")</f>
        <v>Q44c. Corruption: government officials</v>
      </c>
      <c r="F695" s="7" t="str">
        <f>IFERROR(__xludf.DUMMYFUNCTION("""COMPUTED_VALUE"""),"Government officials")</f>
        <v>Government officials</v>
      </c>
    </row>
    <row r="696">
      <c r="A696" s="7" t="str">
        <f>IFERROR(__xludf.DUMMYFUNCTION("""COMPUTED_VALUE"""),"MOROCCO")</f>
        <v>MOROCCO</v>
      </c>
      <c r="B696" s="7">
        <f>IFERROR(__xludf.DUMMYFUNCTION("""COMPUTED_VALUE"""),7.0)</f>
        <v>7</v>
      </c>
      <c r="C696" s="7" t="str">
        <f>IFERROR(__xludf.DUMMYFUNCTION("""COMPUTED_VALUE"""),"G_15")</f>
        <v>G_15</v>
      </c>
      <c r="D696" s="7" t="str">
        <f>IFERROR(__xludf.DUMMYFUNCTION("""COMPUTED_VALUE"""),"Q44C")</f>
        <v>Q44C</v>
      </c>
      <c r="E696" s="7" t="str">
        <f>IFERROR(__xludf.DUMMYFUNCTION("""COMPUTED_VALUE"""),"Q44c. Corruption: government officials")</f>
        <v>Q44c. Corruption: government officials</v>
      </c>
      <c r="F696" s="7" t="str">
        <f>IFERROR(__xludf.DUMMYFUNCTION("""COMPUTED_VALUE"""),"Government officials")</f>
        <v>Government officials</v>
      </c>
    </row>
    <row r="697">
      <c r="A697" s="7" t="str">
        <f>IFERROR(__xludf.DUMMYFUNCTION("""COMPUTED_VALUE"""),"MOZAMBIQUE")</f>
        <v>MOZAMBIQUE</v>
      </c>
      <c r="B697" s="7">
        <f>IFERROR(__xludf.DUMMYFUNCTION("""COMPUTED_VALUE"""),7.0)</f>
        <v>7</v>
      </c>
      <c r="C697" s="7" t="str">
        <f>IFERROR(__xludf.DUMMYFUNCTION("""COMPUTED_VALUE"""),"G_15")</f>
        <v>G_15</v>
      </c>
      <c r="D697" s="7" t="str">
        <f>IFERROR(__xludf.DUMMYFUNCTION("""COMPUTED_VALUE"""),"Q44C")</f>
        <v>Q44C</v>
      </c>
      <c r="E697" s="7" t="str">
        <f>IFERROR(__xludf.DUMMYFUNCTION("""COMPUTED_VALUE"""),"Q44c. Corruption: government officials")</f>
        <v>Q44c. Corruption: government officials</v>
      </c>
      <c r="F697" s="7" t="str">
        <f>IFERROR(__xludf.DUMMYFUNCTION("""COMPUTED_VALUE"""),"Government officials")</f>
        <v>Government officials</v>
      </c>
    </row>
    <row r="698">
      <c r="A698" s="7" t="str">
        <f>IFERROR(__xludf.DUMMYFUNCTION("""COMPUTED_VALUE"""),"NAMIBIA")</f>
        <v>NAMIBIA</v>
      </c>
      <c r="B698" s="7">
        <f>IFERROR(__xludf.DUMMYFUNCTION("""COMPUTED_VALUE"""),7.0)</f>
        <v>7</v>
      </c>
      <c r="C698" s="7" t="str">
        <f>IFERROR(__xludf.DUMMYFUNCTION("""COMPUTED_VALUE"""),"G_15")</f>
        <v>G_15</v>
      </c>
      <c r="D698" s="7" t="str">
        <f>IFERROR(__xludf.DUMMYFUNCTION("""COMPUTED_VALUE"""),"Q44C")</f>
        <v>Q44C</v>
      </c>
      <c r="E698" s="7" t="str">
        <f>IFERROR(__xludf.DUMMYFUNCTION("""COMPUTED_VALUE"""),"Q44c. Corruption: government officials")</f>
        <v>Q44c. Corruption: government officials</v>
      </c>
      <c r="F698" s="7" t="str">
        <f>IFERROR(__xludf.DUMMYFUNCTION("""COMPUTED_VALUE"""),"Government officials")</f>
        <v>Government officials</v>
      </c>
    </row>
    <row r="699">
      <c r="A699" s="7" t="str">
        <f>IFERROR(__xludf.DUMMYFUNCTION("""COMPUTED_VALUE"""),"NIGER")</f>
        <v>NIGER</v>
      </c>
      <c r="B699" s="7">
        <f>IFERROR(__xludf.DUMMYFUNCTION("""COMPUTED_VALUE"""),7.0)</f>
        <v>7</v>
      </c>
      <c r="C699" s="7" t="str">
        <f>IFERROR(__xludf.DUMMYFUNCTION("""COMPUTED_VALUE"""),"G_15")</f>
        <v>G_15</v>
      </c>
      <c r="D699" s="7" t="str">
        <f>IFERROR(__xludf.DUMMYFUNCTION("""COMPUTED_VALUE"""),"Q44C")</f>
        <v>Q44C</v>
      </c>
      <c r="E699" s="7" t="str">
        <f>IFERROR(__xludf.DUMMYFUNCTION("""COMPUTED_VALUE"""),"Q44c. Corruption: government officials")</f>
        <v>Q44c. Corruption: government officials</v>
      </c>
      <c r="F699" s="7" t="str">
        <f>IFERROR(__xludf.DUMMYFUNCTION("""COMPUTED_VALUE"""),"Government officials")</f>
        <v>Government officials</v>
      </c>
    </row>
    <row r="700">
      <c r="A700" s="7" t="str">
        <f>IFERROR(__xludf.DUMMYFUNCTION("""COMPUTED_VALUE"""),"NIGERIA")</f>
        <v>NIGERIA</v>
      </c>
      <c r="B700" s="7">
        <f>IFERROR(__xludf.DUMMYFUNCTION("""COMPUTED_VALUE"""),7.0)</f>
        <v>7</v>
      </c>
      <c r="C700" s="7" t="str">
        <f>IFERROR(__xludf.DUMMYFUNCTION("""COMPUTED_VALUE"""),"G_15")</f>
        <v>G_15</v>
      </c>
      <c r="D700" s="7" t="str">
        <f>IFERROR(__xludf.DUMMYFUNCTION("""COMPUTED_VALUE"""),"Q44C")</f>
        <v>Q44C</v>
      </c>
      <c r="E700" s="7" t="str">
        <f>IFERROR(__xludf.DUMMYFUNCTION("""COMPUTED_VALUE"""),"Q44c. Corruption: government officials")</f>
        <v>Q44c. Corruption: government officials</v>
      </c>
      <c r="F700" s="7" t="str">
        <f>IFERROR(__xludf.DUMMYFUNCTION("""COMPUTED_VALUE"""),"Government officials")</f>
        <v>Government officials</v>
      </c>
    </row>
    <row r="701">
      <c r="A701" s="7" t="str">
        <f>IFERROR(__xludf.DUMMYFUNCTION("""COMPUTED_VALUE"""),"SAO TOME AND PRINCIPE")</f>
        <v>SAO TOME AND PRINCIPE</v>
      </c>
      <c r="B701" s="7">
        <f>IFERROR(__xludf.DUMMYFUNCTION("""COMPUTED_VALUE"""),7.0)</f>
        <v>7</v>
      </c>
      <c r="C701" s="7" t="str">
        <f>IFERROR(__xludf.DUMMYFUNCTION("""COMPUTED_VALUE"""),"G_15")</f>
        <v>G_15</v>
      </c>
      <c r="D701" s="7" t="str">
        <f>IFERROR(__xludf.DUMMYFUNCTION("""COMPUTED_VALUE"""),"Q44C")</f>
        <v>Q44C</v>
      </c>
      <c r="E701" s="7" t="str">
        <f>IFERROR(__xludf.DUMMYFUNCTION("""COMPUTED_VALUE"""),"Q44c. Corruption: government officials")</f>
        <v>Q44c. Corruption: government officials</v>
      </c>
      <c r="F701" s="7" t="str">
        <f>IFERROR(__xludf.DUMMYFUNCTION("""COMPUTED_VALUE"""),"Public Officials (or Civil Servants)")</f>
        <v>Public Officials (or Civil Servants)</v>
      </c>
    </row>
    <row r="702">
      <c r="A702" s="7" t="str">
        <f>IFERROR(__xludf.DUMMYFUNCTION("""COMPUTED_VALUE"""),"SENEGAL")</f>
        <v>SENEGAL</v>
      </c>
      <c r="B702" s="7">
        <f>IFERROR(__xludf.DUMMYFUNCTION("""COMPUTED_VALUE"""),7.0)</f>
        <v>7</v>
      </c>
      <c r="C702" s="7" t="str">
        <f>IFERROR(__xludf.DUMMYFUNCTION("""COMPUTED_VALUE"""),"G_15")</f>
        <v>G_15</v>
      </c>
      <c r="D702" s="7" t="str">
        <f>IFERROR(__xludf.DUMMYFUNCTION("""COMPUTED_VALUE"""),"Q44C")</f>
        <v>Q44C</v>
      </c>
      <c r="E702" s="7" t="str">
        <f>IFERROR(__xludf.DUMMYFUNCTION("""COMPUTED_VALUE"""),"Q44c. Corruption: government officials")</f>
        <v>Q44c. Corruption: government officials</v>
      </c>
      <c r="F702" s="7" t="str">
        <f>IFERROR(__xludf.DUMMYFUNCTION("""COMPUTED_VALUE"""),"Members of the Government")</f>
        <v>Members of the Government</v>
      </c>
    </row>
    <row r="703">
      <c r="A703" s="7" t="str">
        <f>IFERROR(__xludf.DUMMYFUNCTION("""COMPUTED_VALUE"""),"SIERRA LEONE")</f>
        <v>SIERRA LEONE</v>
      </c>
      <c r="B703" s="7">
        <f>IFERROR(__xludf.DUMMYFUNCTION("""COMPUTED_VALUE"""),7.0)</f>
        <v>7</v>
      </c>
      <c r="C703" s="7" t="str">
        <f>IFERROR(__xludf.DUMMYFUNCTION("""COMPUTED_VALUE"""),"G_15")</f>
        <v>G_15</v>
      </c>
      <c r="D703" s="7" t="str">
        <f>IFERROR(__xludf.DUMMYFUNCTION("""COMPUTED_VALUE"""),"Q44C")</f>
        <v>Q44C</v>
      </c>
      <c r="E703" s="7" t="str">
        <f>IFERROR(__xludf.DUMMYFUNCTION("""COMPUTED_VALUE"""),"Q44c. Corruption: government officials")</f>
        <v>Q44c. Corruption: government officials</v>
      </c>
      <c r="F703" s="7" t="str">
        <f>IFERROR(__xludf.DUMMYFUNCTION("""COMPUTED_VALUE"""),"Government officials")</f>
        <v>Government officials</v>
      </c>
    </row>
    <row r="704">
      <c r="A704" s="7" t="str">
        <f>IFERROR(__xludf.DUMMYFUNCTION("""COMPUTED_VALUE"""),"SOUTH AFRICA")</f>
        <v>SOUTH AFRICA</v>
      </c>
      <c r="B704" s="7">
        <f>IFERROR(__xludf.DUMMYFUNCTION("""COMPUTED_VALUE"""),7.0)</f>
        <v>7</v>
      </c>
      <c r="C704" s="7" t="str">
        <f>IFERROR(__xludf.DUMMYFUNCTION("""COMPUTED_VALUE"""),"G_15")</f>
        <v>G_15</v>
      </c>
      <c r="D704" s="7" t="str">
        <f>IFERROR(__xludf.DUMMYFUNCTION("""COMPUTED_VALUE"""),"Q44C")</f>
        <v>Q44C</v>
      </c>
      <c r="E704" s="7" t="str">
        <f>IFERROR(__xludf.DUMMYFUNCTION("""COMPUTED_VALUE"""),"Q44c. Corruption: government officials")</f>
        <v>Q44c. Corruption: government officials</v>
      </c>
      <c r="F704" s="7" t="str">
        <f>IFERROR(__xludf.DUMMYFUNCTION("""COMPUTED_VALUE"""),"Government officials")</f>
        <v>Government officials</v>
      </c>
    </row>
    <row r="705">
      <c r="A705" s="7" t="str">
        <f>IFERROR(__xludf.DUMMYFUNCTION("""COMPUTED_VALUE"""),"SUDAN")</f>
        <v>SUDAN</v>
      </c>
      <c r="B705" s="7">
        <f>IFERROR(__xludf.DUMMYFUNCTION("""COMPUTED_VALUE"""),7.0)</f>
        <v>7</v>
      </c>
      <c r="C705" s="7" t="str">
        <f>IFERROR(__xludf.DUMMYFUNCTION("""COMPUTED_VALUE"""),"G_15")</f>
        <v>G_15</v>
      </c>
      <c r="D705" s="7" t="str">
        <f>IFERROR(__xludf.DUMMYFUNCTION("""COMPUTED_VALUE"""),"Q44C")</f>
        <v>Q44C</v>
      </c>
      <c r="E705" s="7" t="str">
        <f>IFERROR(__xludf.DUMMYFUNCTION("""COMPUTED_VALUE"""),"Q44c. Corruption: government officials")</f>
        <v>Q44c. Corruption: government officials</v>
      </c>
      <c r="F705" s="7" t="str">
        <f>IFERROR(__xludf.DUMMYFUNCTION("""COMPUTED_VALUE"""),"Government officials")</f>
        <v>Government officials</v>
      </c>
    </row>
    <row r="706">
      <c r="A706" s="7" t="str">
        <f>IFERROR(__xludf.DUMMYFUNCTION("""COMPUTED_VALUE"""),"TANZANIA")</f>
        <v>TANZANIA</v>
      </c>
      <c r="B706" s="7">
        <f>IFERROR(__xludf.DUMMYFUNCTION("""COMPUTED_VALUE"""),7.0)</f>
        <v>7</v>
      </c>
      <c r="C706" s="7" t="str">
        <f>IFERROR(__xludf.DUMMYFUNCTION("""COMPUTED_VALUE"""),"G_15")</f>
        <v>G_15</v>
      </c>
      <c r="D706" s="7" t="str">
        <f>IFERROR(__xludf.DUMMYFUNCTION("""COMPUTED_VALUE"""),"Q44C")</f>
        <v>Q44C</v>
      </c>
      <c r="E706" s="7" t="str">
        <f>IFERROR(__xludf.DUMMYFUNCTION("""COMPUTED_VALUE"""),"Q44c. Corruption: government officials")</f>
        <v>Q44c. Corruption: government officials</v>
      </c>
      <c r="F706" s="7" t="str">
        <f>IFERROR(__xludf.DUMMYFUNCTION("""COMPUTED_VALUE"""),"Government officials")</f>
        <v>Government officials</v>
      </c>
    </row>
    <row r="707">
      <c r="A707" s="7" t="str">
        <f>IFERROR(__xludf.DUMMYFUNCTION("""COMPUTED_VALUE"""),"TOGO")</f>
        <v>TOGO</v>
      </c>
      <c r="B707" s="7">
        <f>IFERROR(__xludf.DUMMYFUNCTION("""COMPUTED_VALUE"""),7.0)</f>
        <v>7</v>
      </c>
      <c r="C707" s="7" t="str">
        <f>IFERROR(__xludf.DUMMYFUNCTION("""COMPUTED_VALUE"""),"G_15")</f>
        <v>G_15</v>
      </c>
      <c r="D707" s="7" t="str">
        <f>IFERROR(__xludf.DUMMYFUNCTION("""COMPUTED_VALUE"""),"Q44C")</f>
        <v>Q44C</v>
      </c>
      <c r="E707" s="7" t="str">
        <f>IFERROR(__xludf.DUMMYFUNCTION("""COMPUTED_VALUE"""),"Q44c. Corruption: government officials")</f>
        <v>Q44c. Corruption: government officials</v>
      </c>
      <c r="F707" s="7" t="str">
        <f>IFERROR(__xludf.DUMMYFUNCTION("""COMPUTED_VALUE"""),"Government officials")</f>
        <v>Government officials</v>
      </c>
    </row>
    <row r="708">
      <c r="A708" s="7" t="str">
        <f>IFERROR(__xludf.DUMMYFUNCTION("""COMPUTED_VALUE"""),"TUNISIA")</f>
        <v>TUNISIA</v>
      </c>
      <c r="B708" s="7">
        <f>IFERROR(__xludf.DUMMYFUNCTION("""COMPUTED_VALUE"""),7.0)</f>
        <v>7</v>
      </c>
      <c r="C708" s="7" t="str">
        <f>IFERROR(__xludf.DUMMYFUNCTION("""COMPUTED_VALUE"""),"G_15")</f>
        <v>G_15</v>
      </c>
      <c r="D708" s="7" t="str">
        <f>IFERROR(__xludf.DUMMYFUNCTION("""COMPUTED_VALUE"""),"Q44C")</f>
        <v>Q44C</v>
      </c>
      <c r="E708" s="7" t="str">
        <f>IFERROR(__xludf.DUMMYFUNCTION("""COMPUTED_VALUE"""),"Q44c. Corruption: government officials")</f>
        <v>Q44c. Corruption: government officials</v>
      </c>
      <c r="F708" s="7" t="str">
        <f>IFERROR(__xludf.DUMMYFUNCTION("""COMPUTED_VALUE"""),"Government officials")</f>
        <v>Government officials</v>
      </c>
    </row>
    <row r="709">
      <c r="A709" s="7" t="str">
        <f>IFERROR(__xludf.DUMMYFUNCTION("""COMPUTED_VALUE"""),"UGANDA")</f>
        <v>UGANDA</v>
      </c>
      <c r="B709" s="7">
        <f>IFERROR(__xludf.DUMMYFUNCTION("""COMPUTED_VALUE"""),7.0)</f>
        <v>7</v>
      </c>
      <c r="C709" s="7" t="str">
        <f>IFERROR(__xludf.DUMMYFUNCTION("""COMPUTED_VALUE"""),"G_15")</f>
        <v>G_15</v>
      </c>
      <c r="D709" s="7" t="str">
        <f>IFERROR(__xludf.DUMMYFUNCTION("""COMPUTED_VALUE"""),"Q44C")</f>
        <v>Q44C</v>
      </c>
      <c r="E709" s="7" t="str">
        <f>IFERROR(__xludf.DUMMYFUNCTION("""COMPUTED_VALUE"""),"Q44c. Corruption: government officials")</f>
        <v>Q44c. Corruption: government officials</v>
      </c>
      <c r="F709" s="7" t="str">
        <f>IFERROR(__xludf.DUMMYFUNCTION("""COMPUTED_VALUE"""),"Government officials")</f>
        <v>Government officials</v>
      </c>
    </row>
    <row r="710">
      <c r="A710" s="7" t="str">
        <f>IFERROR(__xludf.DUMMYFUNCTION("""COMPUTED_VALUE"""),"ZAMBIA")</f>
        <v>ZAMBIA</v>
      </c>
      <c r="B710" s="7">
        <f>IFERROR(__xludf.DUMMYFUNCTION("""COMPUTED_VALUE"""),7.0)</f>
        <v>7</v>
      </c>
      <c r="C710" s="7" t="str">
        <f>IFERROR(__xludf.DUMMYFUNCTION("""COMPUTED_VALUE"""),"G_15")</f>
        <v>G_15</v>
      </c>
      <c r="D710" s="7" t="str">
        <f>IFERROR(__xludf.DUMMYFUNCTION("""COMPUTED_VALUE"""),"Q44C")</f>
        <v>Q44C</v>
      </c>
      <c r="E710" s="7" t="str">
        <f>IFERROR(__xludf.DUMMYFUNCTION("""COMPUTED_VALUE"""),"Q44c. Corruption: government officials")</f>
        <v>Q44c. Corruption: government officials</v>
      </c>
      <c r="F710" s="7" t="str">
        <f>IFERROR(__xludf.DUMMYFUNCTION("""COMPUTED_VALUE"""),"Government officials")</f>
        <v>Government officials</v>
      </c>
    </row>
    <row r="711">
      <c r="A711" s="7" t="str">
        <f>IFERROR(__xludf.DUMMYFUNCTION("""COMPUTED_VALUE"""),"ZIMBABWE")</f>
        <v>ZIMBABWE</v>
      </c>
      <c r="B711" s="7">
        <f>IFERROR(__xludf.DUMMYFUNCTION("""COMPUTED_VALUE"""),7.0)</f>
        <v>7</v>
      </c>
      <c r="C711" s="7" t="str">
        <f>IFERROR(__xludf.DUMMYFUNCTION("""COMPUTED_VALUE"""),"G_15")</f>
        <v>G_15</v>
      </c>
      <c r="D711" s="7" t="str">
        <f>IFERROR(__xludf.DUMMYFUNCTION("""COMPUTED_VALUE"""),"Q44C")</f>
        <v>Q44C</v>
      </c>
      <c r="E711" s="7" t="str">
        <f>IFERROR(__xludf.DUMMYFUNCTION("""COMPUTED_VALUE"""),"Q44c. Corruption: government officials")</f>
        <v>Q44c. Corruption: government officials</v>
      </c>
      <c r="F711" s="7" t="str">
        <f>IFERROR(__xludf.DUMMYFUNCTION("""COMPUTED_VALUE"""),"Government officials")</f>
        <v>Government officials</v>
      </c>
    </row>
    <row r="712">
      <c r="A712" s="7" t="str">
        <f>IFERROR(__xludf.DUMMYFUNCTION("""COMPUTED_VALUE"""),"BENIN")</f>
        <v>BENIN</v>
      </c>
      <c r="B712" s="7">
        <f>IFERROR(__xludf.DUMMYFUNCTION("""COMPUTED_VALUE"""),7.0)</f>
        <v>7</v>
      </c>
      <c r="C712" s="7" t="str">
        <f>IFERROR(__xludf.DUMMYFUNCTION("""COMPUTED_VALUE"""),"G_11")</f>
        <v>G_11</v>
      </c>
      <c r="D712" s="7" t="str">
        <f>IFERROR(__xludf.DUMMYFUNCTION("""COMPUTED_VALUE"""),"Q44D")</f>
        <v>Q44D</v>
      </c>
      <c r="E712" s="7" t="str">
        <f>IFERROR(__xludf.DUMMYFUNCTION("""COMPUTED_VALUE"""),"Q44d. Corruption: local government councillors")</f>
        <v>Q44d. Corruption: local government councillors</v>
      </c>
      <c r="F712" s="7" t="str">
        <f>IFERROR(__xludf.DUMMYFUNCTION("""COMPUTED_VALUE"""),"Municipal/communal councilors")</f>
        <v>Municipal/communal councilors</v>
      </c>
    </row>
    <row r="713">
      <c r="A713" s="7" t="str">
        <f>IFERROR(__xludf.DUMMYFUNCTION("""COMPUTED_VALUE"""),"BOTSWANA")</f>
        <v>BOTSWANA</v>
      </c>
      <c r="B713" s="7">
        <f>IFERROR(__xludf.DUMMYFUNCTION("""COMPUTED_VALUE"""),7.0)</f>
        <v>7</v>
      </c>
      <c r="C713" s="7" t="str">
        <f>IFERROR(__xludf.DUMMYFUNCTION("""COMPUTED_VALUE"""),"G_11")</f>
        <v>G_11</v>
      </c>
      <c r="D713" s="7" t="str">
        <f>IFERROR(__xludf.DUMMYFUNCTION("""COMPUTED_VALUE"""),"Q44D")</f>
        <v>Q44D</v>
      </c>
      <c r="E713" s="7" t="str">
        <f>IFERROR(__xludf.DUMMYFUNCTION("""COMPUTED_VALUE"""),"Q44d. Corruption: local government councillors")</f>
        <v>Q44d. Corruption: local government councillors</v>
      </c>
      <c r="F713" s="7" t="str">
        <f>IFERROR(__xludf.DUMMYFUNCTION("""COMPUTED_VALUE"""),"Local government councilors")</f>
        <v>Local government councilors</v>
      </c>
    </row>
    <row r="714">
      <c r="A714" s="7" t="str">
        <f>IFERROR(__xludf.DUMMYFUNCTION("""COMPUTED_VALUE"""),"BURKINA FASO")</f>
        <v>BURKINA FASO</v>
      </c>
      <c r="B714" s="7">
        <f>IFERROR(__xludf.DUMMYFUNCTION("""COMPUTED_VALUE"""),7.0)</f>
        <v>7</v>
      </c>
      <c r="C714" s="7" t="str">
        <f>IFERROR(__xludf.DUMMYFUNCTION("""COMPUTED_VALUE"""),"G_11")</f>
        <v>G_11</v>
      </c>
      <c r="D714" s="7" t="str">
        <f>IFERROR(__xludf.DUMMYFUNCTION("""COMPUTED_VALUE"""),"Q44D")</f>
        <v>Q44D</v>
      </c>
      <c r="E714" s="7" t="str">
        <f>IFERROR(__xludf.DUMMYFUNCTION("""COMPUTED_VALUE"""),"Q44d. Corruption: local government councillors")</f>
        <v>Q44d. Corruption: local government councillors</v>
      </c>
      <c r="F714" s="7" t="str">
        <f>IFERROR(__xludf.DUMMYFUNCTION("""COMPUTED_VALUE"""),"Municipal councilors")</f>
        <v>Municipal councilors</v>
      </c>
    </row>
    <row r="715">
      <c r="A715" s="7" t="str">
        <f>IFERROR(__xludf.DUMMYFUNCTION("""COMPUTED_VALUE"""),"CABO VERDE")</f>
        <v>CABO VERDE</v>
      </c>
      <c r="B715" s="7">
        <f>IFERROR(__xludf.DUMMYFUNCTION("""COMPUTED_VALUE"""),7.0)</f>
        <v>7</v>
      </c>
      <c r="C715" s="7" t="str">
        <f>IFERROR(__xludf.DUMMYFUNCTION("""COMPUTED_VALUE"""),"G_11")</f>
        <v>G_11</v>
      </c>
      <c r="D715" s="7" t="str">
        <f>IFERROR(__xludf.DUMMYFUNCTION("""COMPUTED_VALUE"""),"Q44D")</f>
        <v>Q44D</v>
      </c>
      <c r="E715" s="7" t="str">
        <f>IFERROR(__xludf.DUMMYFUNCTION("""COMPUTED_VALUE"""),"Q44d. Corruption: local government councillors")</f>
        <v>Q44d. Corruption: local government councillors</v>
      </c>
      <c r="F715" s="7" t="str">
        <f>IFERROR(__xludf.DUMMYFUNCTION("""COMPUTED_VALUE"""),"The Municipal Executive (Mayor and councilors)")</f>
        <v>The Municipal Executive (Mayor and councilors)</v>
      </c>
    </row>
    <row r="716">
      <c r="A716" s="7" t="str">
        <f>IFERROR(__xludf.DUMMYFUNCTION("""COMPUTED_VALUE"""),"CAMEROON")</f>
        <v>CAMEROON</v>
      </c>
      <c r="B716" s="7">
        <f>IFERROR(__xludf.DUMMYFUNCTION("""COMPUTED_VALUE"""),7.0)</f>
        <v>7</v>
      </c>
      <c r="C716" s="7" t="str">
        <f>IFERROR(__xludf.DUMMYFUNCTION("""COMPUTED_VALUE"""),"G_11")</f>
        <v>G_11</v>
      </c>
      <c r="D716" s="7" t="str">
        <f>IFERROR(__xludf.DUMMYFUNCTION("""COMPUTED_VALUE"""),"Q44D")</f>
        <v>Q44D</v>
      </c>
      <c r="E716" s="7" t="str">
        <f>IFERROR(__xludf.DUMMYFUNCTION("""COMPUTED_VALUE"""),"Q44d. Corruption: local government councillors")</f>
        <v>Q44d. Corruption: local government councillors</v>
      </c>
      <c r="F716" s="7" t="str">
        <f>IFERROR(__xludf.DUMMYFUNCTION("""COMPUTED_VALUE"""),"The municipal/communal councilors")</f>
        <v>The municipal/communal councilors</v>
      </c>
    </row>
    <row r="717">
      <c r="A717" s="7" t="str">
        <f>IFERROR(__xludf.DUMMYFUNCTION("""COMPUTED_VALUE"""),"COTE D'IVOIRE")</f>
        <v>COTE D'IVOIRE</v>
      </c>
      <c r="B717" s="7">
        <f>IFERROR(__xludf.DUMMYFUNCTION("""COMPUTED_VALUE"""),7.0)</f>
        <v>7</v>
      </c>
      <c r="C717" s="7" t="str">
        <f>IFERROR(__xludf.DUMMYFUNCTION("""COMPUTED_VALUE"""),"G_11")</f>
        <v>G_11</v>
      </c>
      <c r="D717" s="7" t="str">
        <f>IFERROR(__xludf.DUMMYFUNCTION("""COMPUTED_VALUE"""),"Q44D")</f>
        <v>Q44D</v>
      </c>
      <c r="E717" s="7" t="str">
        <f>IFERROR(__xludf.DUMMYFUNCTION("""COMPUTED_VALUE"""),"Q44d. Corruption: local government councillors")</f>
        <v>Q44d. Corruption: local government councillors</v>
      </c>
      <c r="F717" s="7" t="str">
        <f>IFERROR(__xludf.DUMMYFUNCTION("""COMPUTED_VALUE"""),"Municipal councilors")</f>
        <v>Municipal councilors</v>
      </c>
    </row>
    <row r="718">
      <c r="A718" s="7" t="str">
        <f>IFERROR(__xludf.DUMMYFUNCTION("""COMPUTED_VALUE"""),"ESWATINI")</f>
        <v>ESWATINI</v>
      </c>
      <c r="B718" s="7">
        <f>IFERROR(__xludf.DUMMYFUNCTION("""COMPUTED_VALUE"""),7.0)</f>
        <v>7</v>
      </c>
      <c r="C718" s="7" t="str">
        <f>IFERROR(__xludf.DUMMYFUNCTION("""COMPUTED_VALUE"""),"G_11")</f>
        <v>G_11</v>
      </c>
      <c r="D718" s="7" t="str">
        <f>IFERROR(__xludf.DUMMYFUNCTION("""COMPUTED_VALUE"""),"Q44D")</f>
        <v>Q44D</v>
      </c>
      <c r="E718" s="7" t="str">
        <f>IFERROR(__xludf.DUMMYFUNCTION("""COMPUTED_VALUE"""),"Q44d. Corruption: local government councillors")</f>
        <v>Q44d. Corruption: local government councillors</v>
      </c>
      <c r="F718" s="7" t="str">
        <f>IFERROR(__xludf.DUMMYFUNCTION("""COMPUTED_VALUE"""),"Local government councilors")</f>
        <v>Local government councilors</v>
      </c>
    </row>
    <row r="719">
      <c r="A719" s="7" t="str">
        <f>IFERROR(__xludf.DUMMYFUNCTION("""COMPUTED_VALUE"""),"GABON")</f>
        <v>GABON</v>
      </c>
      <c r="B719" s="7">
        <f>IFERROR(__xludf.DUMMYFUNCTION("""COMPUTED_VALUE"""),7.0)</f>
        <v>7</v>
      </c>
      <c r="C719" s="7" t="str">
        <f>IFERROR(__xludf.DUMMYFUNCTION("""COMPUTED_VALUE"""),"G_11")</f>
        <v>G_11</v>
      </c>
      <c r="D719" s="7" t="str">
        <f>IFERROR(__xludf.DUMMYFUNCTION("""COMPUTED_VALUE"""),"Q44D")</f>
        <v>Q44D</v>
      </c>
      <c r="E719" s="7" t="str">
        <f>IFERROR(__xludf.DUMMYFUNCTION("""COMPUTED_VALUE"""),"Q44d. Corruption: local government councillors")</f>
        <v>Q44d. Corruption: local government councillors</v>
      </c>
      <c r="F719" s="7" t="str">
        <f>IFERROR(__xludf.DUMMYFUNCTION("""COMPUTED_VALUE"""),"Municipal/Departmental Councilors")</f>
        <v>Municipal/Departmental Councilors</v>
      </c>
    </row>
    <row r="720">
      <c r="A720" s="7" t="str">
        <f>IFERROR(__xludf.DUMMYFUNCTION("""COMPUTED_VALUE"""),"GAMBIA")</f>
        <v>GAMBIA</v>
      </c>
      <c r="B720" s="7">
        <f>IFERROR(__xludf.DUMMYFUNCTION("""COMPUTED_VALUE"""),7.0)</f>
        <v>7</v>
      </c>
      <c r="C720" s="7" t="str">
        <f>IFERROR(__xludf.DUMMYFUNCTION("""COMPUTED_VALUE"""),"G_11")</f>
        <v>G_11</v>
      </c>
      <c r="D720" s="7" t="str">
        <f>IFERROR(__xludf.DUMMYFUNCTION("""COMPUTED_VALUE"""),"Q44D")</f>
        <v>Q44D</v>
      </c>
      <c r="E720" s="7" t="str">
        <f>IFERROR(__xludf.DUMMYFUNCTION("""COMPUTED_VALUE"""),"Q44d. Corruption: local government councillors")</f>
        <v>Q44d. Corruption: local government councillors</v>
      </c>
      <c r="F720" s="7" t="str">
        <f>IFERROR(__xludf.DUMMYFUNCTION("""COMPUTED_VALUE"""),"Local Government Councillors")</f>
        <v>Local Government Councillors</v>
      </c>
    </row>
    <row r="721">
      <c r="A721" s="7" t="str">
        <f>IFERROR(__xludf.DUMMYFUNCTION("""COMPUTED_VALUE"""),"GHANA")</f>
        <v>GHANA</v>
      </c>
      <c r="B721" s="7">
        <f>IFERROR(__xludf.DUMMYFUNCTION("""COMPUTED_VALUE"""),7.0)</f>
        <v>7</v>
      </c>
      <c r="C721" s="7" t="str">
        <f>IFERROR(__xludf.DUMMYFUNCTION("""COMPUTED_VALUE"""),"G_11")</f>
        <v>G_11</v>
      </c>
      <c r="D721" s="7" t="str">
        <f>IFERROR(__xludf.DUMMYFUNCTION("""COMPUTED_VALUE"""),"Q44D")</f>
        <v>Q44D</v>
      </c>
      <c r="E721" s="7" t="str">
        <f>IFERROR(__xludf.DUMMYFUNCTION("""COMPUTED_VALUE"""),"Q44d. Corruption: local government councillors")</f>
        <v>Q44d. Corruption: local government councillors</v>
      </c>
      <c r="F721" s="7" t="str">
        <f>IFERROR(__xludf.DUMMYFUNCTION("""COMPUTED_VALUE"""),"D. Assembly men and women
D1-GHA. Your Metropolitan, Municipal or District Chief Executive
")</f>
        <v>D. Assembly men and women
D1-GHA. Your Metropolitan, Municipal or District Chief Executive
</v>
      </c>
    </row>
    <row r="722">
      <c r="A722" s="7" t="str">
        <f>IFERROR(__xludf.DUMMYFUNCTION("""COMPUTED_VALUE"""),"GUINEA")</f>
        <v>GUINEA</v>
      </c>
      <c r="B722" s="7">
        <f>IFERROR(__xludf.DUMMYFUNCTION("""COMPUTED_VALUE"""),7.0)</f>
        <v>7</v>
      </c>
      <c r="C722" s="7" t="str">
        <f>IFERROR(__xludf.DUMMYFUNCTION("""COMPUTED_VALUE"""),"G_11")</f>
        <v>G_11</v>
      </c>
      <c r="D722" s="7" t="str">
        <f>IFERROR(__xludf.DUMMYFUNCTION("""COMPUTED_VALUE"""),"Q44D")</f>
        <v>Q44D</v>
      </c>
      <c r="E722" s="7" t="str">
        <f>IFERROR(__xludf.DUMMYFUNCTION("""COMPUTED_VALUE"""),"Q44d. Corruption: local government councillors")</f>
        <v>Q44d. Corruption: local government councillors</v>
      </c>
      <c r="F722" s="7" t="str">
        <f>IFERROR(__xludf.DUMMYFUNCTION("""COMPUTED_VALUE"""),"Communal councilors")</f>
        <v>Communal councilors</v>
      </c>
    </row>
    <row r="723">
      <c r="A723" s="7" t="str">
        <f>IFERROR(__xludf.DUMMYFUNCTION("""COMPUTED_VALUE"""),"KENYA")</f>
        <v>KENYA</v>
      </c>
      <c r="B723" s="7">
        <f>IFERROR(__xludf.DUMMYFUNCTION("""COMPUTED_VALUE"""),7.0)</f>
        <v>7</v>
      </c>
      <c r="C723" s="7" t="str">
        <f>IFERROR(__xludf.DUMMYFUNCTION("""COMPUTED_VALUE"""),"G_11")</f>
        <v>G_11</v>
      </c>
      <c r="D723" s="7" t="str">
        <f>IFERROR(__xludf.DUMMYFUNCTION("""COMPUTED_VALUE"""),"Q44D")</f>
        <v>Q44D</v>
      </c>
      <c r="E723" s="7" t="str">
        <f>IFERROR(__xludf.DUMMYFUNCTION("""COMPUTED_VALUE"""),"Q44d. Corruption: local government councillors")</f>
        <v>Q44d. Corruption: local government councillors</v>
      </c>
      <c r="F723" s="7" t="str">
        <f>IFERROR(__xludf.DUMMYFUNCTION("""COMPUTED_VALUE"""),"Members of your County Assembly
Your Governor and Officials in his Office
")</f>
        <v>Members of your County Assembly
Your Governor and Officials in his Office
</v>
      </c>
    </row>
    <row r="724">
      <c r="A724" s="7" t="str">
        <f>IFERROR(__xludf.DUMMYFUNCTION("""COMPUTED_VALUE"""),"LESOTHO")</f>
        <v>LESOTHO</v>
      </c>
      <c r="B724" s="7">
        <f>IFERROR(__xludf.DUMMYFUNCTION("""COMPUTED_VALUE"""),7.0)</f>
        <v>7</v>
      </c>
      <c r="C724" s="7" t="str">
        <f>IFERROR(__xludf.DUMMYFUNCTION("""COMPUTED_VALUE"""),"G_11")</f>
        <v>G_11</v>
      </c>
      <c r="D724" s="7" t="str">
        <f>IFERROR(__xludf.DUMMYFUNCTION("""COMPUTED_VALUE"""),"Q44D")</f>
        <v>Q44D</v>
      </c>
      <c r="E724" s="7" t="str">
        <f>IFERROR(__xludf.DUMMYFUNCTION("""COMPUTED_VALUE"""),"Q44d. Corruption: local government councillors")</f>
        <v>Q44d. Corruption: local government councillors</v>
      </c>
      <c r="F724" s="7" t="str">
        <f>IFERROR(__xludf.DUMMYFUNCTION("""COMPUTED_VALUE"""),"Community councillors")</f>
        <v>Community councillors</v>
      </c>
    </row>
    <row r="725">
      <c r="A725" s="7" t="str">
        <f>IFERROR(__xludf.DUMMYFUNCTION("""COMPUTED_VALUE"""),"LIBERIA")</f>
        <v>LIBERIA</v>
      </c>
      <c r="B725" s="7">
        <f>IFERROR(__xludf.DUMMYFUNCTION("""COMPUTED_VALUE"""),7.0)</f>
        <v>7</v>
      </c>
      <c r="C725" s="7" t="str">
        <f>IFERROR(__xludf.DUMMYFUNCTION("""COMPUTED_VALUE"""),"G_11")</f>
        <v>G_11</v>
      </c>
      <c r="D725" s="7" t="str">
        <f>IFERROR(__xludf.DUMMYFUNCTION("""COMPUTED_VALUE"""),"Q44D")</f>
        <v>Q44D</v>
      </c>
      <c r="E725" s="7" t="str">
        <f>IFERROR(__xludf.DUMMYFUNCTION("""COMPUTED_VALUE"""),"Q44d. Corruption: local government councillors")</f>
        <v>Q44d. Corruption: local government councillors</v>
      </c>
      <c r="F725" s="7" t="str">
        <f>IFERROR(__xludf.DUMMYFUNCTION("""COMPUTED_VALUE"""),"Members of your local authority council")</f>
        <v>Members of your local authority council</v>
      </c>
    </row>
    <row r="726">
      <c r="A726" s="7" t="str">
        <f>IFERROR(__xludf.DUMMYFUNCTION("""COMPUTED_VALUE"""),"MADAGASCAR")</f>
        <v>MADAGASCAR</v>
      </c>
      <c r="B726" s="7">
        <f>IFERROR(__xludf.DUMMYFUNCTION("""COMPUTED_VALUE"""),7.0)</f>
        <v>7</v>
      </c>
      <c r="C726" s="7" t="str">
        <f>IFERROR(__xludf.DUMMYFUNCTION("""COMPUTED_VALUE"""),"G_11")</f>
        <v>G_11</v>
      </c>
      <c r="D726" s="7" t="str">
        <f>IFERROR(__xludf.DUMMYFUNCTION("""COMPUTED_VALUE"""),"Q44D")</f>
        <v>Q44D</v>
      </c>
      <c r="E726" s="7" t="str">
        <f>IFERROR(__xludf.DUMMYFUNCTION("""COMPUTED_VALUE"""),"Q44d. Corruption: local government councillors")</f>
        <v>Q44d. Corruption: local government councillors</v>
      </c>
      <c r="F726" s="7" t="str">
        <f>IFERROR(__xludf.DUMMYFUNCTION("""COMPUTED_VALUE"""),"Municipal/communal councilors")</f>
        <v>Municipal/communal councilors</v>
      </c>
    </row>
    <row r="727">
      <c r="A727" s="7" t="str">
        <f>IFERROR(__xludf.DUMMYFUNCTION("""COMPUTED_VALUE"""),"MALAWI")</f>
        <v>MALAWI</v>
      </c>
      <c r="B727" s="7">
        <f>IFERROR(__xludf.DUMMYFUNCTION("""COMPUTED_VALUE"""),7.0)</f>
        <v>7</v>
      </c>
      <c r="C727" s="7" t="str">
        <f>IFERROR(__xludf.DUMMYFUNCTION("""COMPUTED_VALUE"""),"G_11")</f>
        <v>G_11</v>
      </c>
      <c r="D727" s="7" t="str">
        <f>IFERROR(__xludf.DUMMYFUNCTION("""COMPUTED_VALUE"""),"Q44D")</f>
        <v>Q44D</v>
      </c>
      <c r="E727" s="7" t="str">
        <f>IFERROR(__xludf.DUMMYFUNCTION("""COMPUTED_VALUE"""),"Q44d. Corruption: local government councillors")</f>
        <v>Q44d. Corruption: local government councillors</v>
      </c>
      <c r="F727" s="7" t="str">
        <f>IFERROR(__xludf.DUMMYFUNCTION("""COMPUTED_VALUE"""),"Ward councillors")</f>
        <v>Ward councillors</v>
      </c>
    </row>
    <row r="728">
      <c r="A728" s="7" t="str">
        <f>IFERROR(__xludf.DUMMYFUNCTION("""COMPUTED_VALUE"""),"MALI")</f>
        <v>MALI</v>
      </c>
      <c r="B728" s="7">
        <f>IFERROR(__xludf.DUMMYFUNCTION("""COMPUTED_VALUE"""),7.0)</f>
        <v>7</v>
      </c>
      <c r="C728" s="7" t="str">
        <f>IFERROR(__xludf.DUMMYFUNCTION("""COMPUTED_VALUE"""),"G_11")</f>
        <v>G_11</v>
      </c>
      <c r="D728" s="7" t="str">
        <f>IFERROR(__xludf.DUMMYFUNCTION("""COMPUTED_VALUE"""),"Q44D")</f>
        <v>Q44D</v>
      </c>
      <c r="E728" s="7" t="str">
        <f>IFERROR(__xludf.DUMMYFUNCTION("""COMPUTED_VALUE"""),"Q44d. Corruption: local government councillors")</f>
        <v>Q44d. Corruption: local government councillors</v>
      </c>
      <c r="F728" s="7" t="str">
        <f>IFERROR(__xludf.DUMMYFUNCTION("""COMPUTED_VALUE"""),"Local councilors")</f>
        <v>Local councilors</v>
      </c>
    </row>
    <row r="729">
      <c r="A729" s="7" t="str">
        <f>IFERROR(__xludf.DUMMYFUNCTION("""COMPUTED_VALUE"""),"MAURITIUS")</f>
        <v>MAURITIUS</v>
      </c>
      <c r="B729" s="7">
        <f>IFERROR(__xludf.DUMMYFUNCTION("""COMPUTED_VALUE"""),7.0)</f>
        <v>7</v>
      </c>
      <c r="C729" s="7" t="str">
        <f>IFERROR(__xludf.DUMMYFUNCTION("""COMPUTED_VALUE"""),"G_11")</f>
        <v>G_11</v>
      </c>
      <c r="D729" s="7" t="str">
        <f>IFERROR(__xludf.DUMMYFUNCTION("""COMPUTED_VALUE"""),"Q44D")</f>
        <v>Q44D</v>
      </c>
      <c r="E729" s="7" t="str">
        <f>IFERROR(__xludf.DUMMYFUNCTION("""COMPUTED_VALUE"""),"Q44d. Corruption: local government councillors")</f>
        <v>Q44d. Corruption: local government councillors</v>
      </c>
      <c r="F729" s="7" t="str">
        <f>IFERROR(__xludf.DUMMYFUNCTION("""COMPUTED_VALUE"""),"Members of Municipal or District Council")</f>
        <v>Members of Municipal or District Council</v>
      </c>
    </row>
    <row r="730">
      <c r="A730" s="7" t="str">
        <f>IFERROR(__xludf.DUMMYFUNCTION("""COMPUTED_VALUE"""),"MOROCCO")</f>
        <v>MOROCCO</v>
      </c>
      <c r="B730" s="7">
        <f>IFERROR(__xludf.DUMMYFUNCTION("""COMPUTED_VALUE"""),7.0)</f>
        <v>7</v>
      </c>
      <c r="C730" s="7" t="str">
        <f>IFERROR(__xludf.DUMMYFUNCTION("""COMPUTED_VALUE"""),"G_11")</f>
        <v>G_11</v>
      </c>
      <c r="D730" s="7" t="str">
        <f>IFERROR(__xludf.DUMMYFUNCTION("""COMPUTED_VALUE"""),"Q44D")</f>
        <v>Q44D</v>
      </c>
      <c r="E730" s="7" t="str">
        <f>IFERROR(__xludf.DUMMYFUNCTION("""COMPUTED_VALUE"""),"Q44d. Corruption: local government councillors")</f>
        <v>Q44d. Corruption: local government councillors</v>
      </c>
      <c r="F730" s="7" t="str">
        <f>IFERROR(__xludf.DUMMYFUNCTION("""COMPUTED_VALUE"""),"Members of the local council")</f>
        <v>Members of the local council</v>
      </c>
    </row>
    <row r="731">
      <c r="A731" s="7" t="str">
        <f>IFERROR(__xludf.DUMMYFUNCTION("""COMPUTED_VALUE"""),"MOZAMBIQUE")</f>
        <v>MOZAMBIQUE</v>
      </c>
      <c r="B731" s="7">
        <f>IFERROR(__xludf.DUMMYFUNCTION("""COMPUTED_VALUE"""),7.0)</f>
        <v>7</v>
      </c>
      <c r="C731" s="7" t="str">
        <f>IFERROR(__xludf.DUMMYFUNCTION("""COMPUTED_VALUE"""),"G_11")</f>
        <v>G_11</v>
      </c>
      <c r="D731" s="7" t="str">
        <f>IFERROR(__xludf.DUMMYFUNCTION("""COMPUTED_VALUE"""),"Q44D")</f>
        <v>Q44D</v>
      </c>
      <c r="E731" s="7" t="str">
        <f>IFERROR(__xludf.DUMMYFUNCTION("""COMPUTED_VALUE"""),"Q44d. Corruption: local government councillors")</f>
        <v>Q44d. Corruption: local government councillors</v>
      </c>
      <c r="F731" s="7" t="str">
        <f>IFERROR(__xludf.DUMMYFUNCTION("""COMPUTED_VALUE"""),"Members of the Municipal Assembly
Members of the Provincial government 
")</f>
        <v>Members of the Municipal Assembly
Members of the Provincial government 
</v>
      </c>
    </row>
    <row r="732">
      <c r="A732" s="7" t="str">
        <f>IFERROR(__xludf.DUMMYFUNCTION("""COMPUTED_VALUE"""),"NAMIBIA")</f>
        <v>NAMIBIA</v>
      </c>
      <c r="B732" s="7">
        <f>IFERROR(__xludf.DUMMYFUNCTION("""COMPUTED_VALUE"""),7.0)</f>
        <v>7</v>
      </c>
      <c r="C732" s="7" t="str">
        <f>IFERROR(__xludf.DUMMYFUNCTION("""COMPUTED_VALUE"""),"G_11")</f>
        <v>G_11</v>
      </c>
      <c r="D732" s="7" t="str">
        <f>IFERROR(__xludf.DUMMYFUNCTION("""COMPUTED_VALUE"""),"Q44D")</f>
        <v>Q44D</v>
      </c>
      <c r="E732" s="7" t="str">
        <f>IFERROR(__xludf.DUMMYFUNCTION("""COMPUTED_VALUE"""),"Q44d. Corruption: local government councillors")</f>
        <v>Q44d. Corruption: local government councillors</v>
      </c>
      <c r="F732" s="7" t="str">
        <f>IFERROR(__xludf.DUMMYFUNCTION("""COMPUTED_VALUE"""),"Local Authority Councilors
Regional Councilors
Regional Governors
")</f>
        <v>Local Authority Councilors
Regional Councilors
Regional Governors
</v>
      </c>
    </row>
    <row r="733">
      <c r="A733" s="7" t="str">
        <f>IFERROR(__xludf.DUMMYFUNCTION("""COMPUTED_VALUE"""),"NIGER")</f>
        <v>NIGER</v>
      </c>
      <c r="B733" s="7">
        <f>IFERROR(__xludf.DUMMYFUNCTION("""COMPUTED_VALUE"""),7.0)</f>
        <v>7</v>
      </c>
      <c r="C733" s="7" t="str">
        <f>IFERROR(__xludf.DUMMYFUNCTION("""COMPUTED_VALUE"""),"G_11")</f>
        <v>G_11</v>
      </c>
      <c r="D733" s="7" t="str">
        <f>IFERROR(__xludf.DUMMYFUNCTION("""COMPUTED_VALUE"""),"Q44D")</f>
        <v>Q44D</v>
      </c>
      <c r="E733" s="7" t="str">
        <f>IFERROR(__xludf.DUMMYFUNCTION("""COMPUTED_VALUE"""),"Q44d. Corruption: local government councillors")</f>
        <v>Q44d. Corruption: local government councillors</v>
      </c>
      <c r="F733" s="7" t="str">
        <f>IFERROR(__xludf.DUMMYFUNCTION("""COMPUTED_VALUE"""),"The municipal or communal councilors")</f>
        <v>The municipal or communal councilors</v>
      </c>
    </row>
    <row r="734">
      <c r="A734" s="7" t="str">
        <f>IFERROR(__xludf.DUMMYFUNCTION("""COMPUTED_VALUE"""),"NIGERIA")</f>
        <v>NIGERIA</v>
      </c>
      <c r="B734" s="7">
        <f>IFERROR(__xludf.DUMMYFUNCTION("""COMPUTED_VALUE"""),7.0)</f>
        <v>7</v>
      </c>
      <c r="C734" s="7" t="str">
        <f>IFERROR(__xludf.DUMMYFUNCTION("""COMPUTED_VALUE"""),"G_11")</f>
        <v>G_11</v>
      </c>
      <c r="D734" s="7" t="str">
        <f>IFERROR(__xludf.DUMMYFUNCTION("""COMPUTED_VALUE"""),"Q44D")</f>
        <v>Q44D</v>
      </c>
      <c r="E734" s="7" t="str">
        <f>IFERROR(__xludf.DUMMYFUNCTION("""COMPUTED_VALUE"""),"Q44d. Corruption: local government councillors")</f>
        <v>Q44d. Corruption: local government councillors</v>
      </c>
      <c r="F734" s="7" t="str">
        <f>IFERROR(__xludf.DUMMYFUNCTION("""COMPUTED_VALUE"""),"Local government councilors")</f>
        <v>Local government councilors</v>
      </c>
    </row>
    <row r="735">
      <c r="A735" s="7" t="str">
        <f>IFERROR(__xludf.DUMMYFUNCTION("""COMPUTED_VALUE"""),"SAO TOME AND PRINCIPE")</f>
        <v>SAO TOME AND PRINCIPE</v>
      </c>
      <c r="B735" s="7">
        <f>IFERROR(__xludf.DUMMYFUNCTION("""COMPUTED_VALUE"""),7.0)</f>
        <v>7</v>
      </c>
      <c r="C735" s="7" t="str">
        <f>IFERROR(__xludf.DUMMYFUNCTION("""COMPUTED_VALUE"""),"G_11")</f>
        <v>G_11</v>
      </c>
      <c r="D735" s="7" t="str">
        <f>IFERROR(__xludf.DUMMYFUNCTION("""COMPUTED_VALUE"""),"Q44D")</f>
        <v>Q44D</v>
      </c>
      <c r="E735" s="7" t="str">
        <f>IFERROR(__xludf.DUMMYFUNCTION("""COMPUTED_VALUE"""),"Q44d. Corruption: local government councillors")</f>
        <v>Q44d. Corruption: local government councillors</v>
      </c>
      <c r="F735" s="7" t="str">
        <f>IFERROR(__xludf.DUMMYFUNCTION("""COMPUTED_VALUE"""),"The District Executive (President and councilors)")</f>
        <v>The District Executive (President and councilors)</v>
      </c>
    </row>
    <row r="736">
      <c r="A736" s="7" t="str">
        <f>IFERROR(__xludf.DUMMYFUNCTION("""COMPUTED_VALUE"""),"SENEGAL")</f>
        <v>SENEGAL</v>
      </c>
      <c r="B736" s="7">
        <f>IFERROR(__xludf.DUMMYFUNCTION("""COMPUTED_VALUE"""),7.0)</f>
        <v>7</v>
      </c>
      <c r="C736" s="7" t="str">
        <f>IFERROR(__xludf.DUMMYFUNCTION("""COMPUTED_VALUE"""),"G_11")</f>
        <v>G_11</v>
      </c>
      <c r="D736" s="7" t="str">
        <f>IFERROR(__xludf.DUMMYFUNCTION("""COMPUTED_VALUE"""),"Q44D")</f>
        <v>Q44D</v>
      </c>
      <c r="E736" s="7" t="str">
        <f>IFERROR(__xludf.DUMMYFUNCTION("""COMPUTED_VALUE"""),"Q44d. Corruption: local government councillors")</f>
        <v>Q44d. Corruption: local government councillors</v>
      </c>
      <c r="F736" s="7" t="str">
        <f>IFERROR(__xludf.DUMMYFUNCTION("""COMPUTED_VALUE"""),"Municipal/communal councillors")</f>
        <v>Municipal/communal councillors</v>
      </c>
    </row>
    <row r="737">
      <c r="A737" s="7" t="str">
        <f>IFERROR(__xludf.DUMMYFUNCTION("""COMPUTED_VALUE"""),"SIERRA LEONE")</f>
        <v>SIERRA LEONE</v>
      </c>
      <c r="B737" s="7">
        <f>IFERROR(__xludf.DUMMYFUNCTION("""COMPUTED_VALUE"""),7.0)</f>
        <v>7</v>
      </c>
      <c r="C737" s="7" t="str">
        <f>IFERROR(__xludf.DUMMYFUNCTION("""COMPUTED_VALUE"""),"G_11")</f>
        <v>G_11</v>
      </c>
      <c r="D737" s="7" t="str">
        <f>IFERROR(__xludf.DUMMYFUNCTION("""COMPUTED_VALUE"""),"Q44D")</f>
        <v>Q44D</v>
      </c>
      <c r="E737" s="7" t="str">
        <f>IFERROR(__xludf.DUMMYFUNCTION("""COMPUTED_VALUE"""),"Q44d. Corruption: local government councillors")</f>
        <v>Q44d. Corruption: local government councillors</v>
      </c>
      <c r="F737" s="7" t="str">
        <f>IFERROR(__xludf.DUMMYFUNCTION("""COMPUTED_VALUE"""),"Councillors")</f>
        <v>Councillors</v>
      </c>
    </row>
    <row r="738">
      <c r="A738" s="7" t="str">
        <f>IFERROR(__xludf.DUMMYFUNCTION("""COMPUTED_VALUE"""),"SOUTH AFRICA")</f>
        <v>SOUTH AFRICA</v>
      </c>
      <c r="B738" s="7">
        <f>IFERROR(__xludf.DUMMYFUNCTION("""COMPUTED_VALUE"""),7.0)</f>
        <v>7</v>
      </c>
      <c r="C738" s="7" t="str">
        <f>IFERROR(__xludf.DUMMYFUNCTION("""COMPUTED_VALUE"""),"G_11")</f>
        <v>G_11</v>
      </c>
      <c r="D738" s="7" t="str">
        <f>IFERROR(__xludf.DUMMYFUNCTION("""COMPUTED_VALUE"""),"Q44D")</f>
        <v>Q44D</v>
      </c>
      <c r="E738" s="7" t="str">
        <f>IFERROR(__xludf.DUMMYFUNCTION("""COMPUTED_VALUE"""),"Q44d. Corruption: local government councillors")</f>
        <v>Q44d. Corruption: local government councillors</v>
      </c>
      <c r="F738" s="7" t="str">
        <f>IFERROR(__xludf.DUMMYFUNCTION("""COMPUTED_VALUE"""),"Local Government Councilors")</f>
        <v>Local Government Councilors</v>
      </c>
    </row>
    <row r="739">
      <c r="A739" s="7" t="str">
        <f>IFERROR(__xludf.DUMMYFUNCTION("""COMPUTED_VALUE"""),"SUDAN")</f>
        <v>SUDAN</v>
      </c>
      <c r="B739" s="7">
        <f>IFERROR(__xludf.DUMMYFUNCTION("""COMPUTED_VALUE"""),7.0)</f>
        <v>7</v>
      </c>
      <c r="C739" s="7" t="str">
        <f>IFERROR(__xludf.DUMMYFUNCTION("""COMPUTED_VALUE"""),"G_11")</f>
        <v>G_11</v>
      </c>
      <c r="D739" s="7" t="str">
        <f>IFERROR(__xludf.DUMMYFUNCTION("""COMPUTED_VALUE"""),"Q44D")</f>
        <v>Q44D</v>
      </c>
      <c r="E739" s="7" t="str">
        <f>IFERROR(__xludf.DUMMYFUNCTION("""COMPUTED_VALUE"""),"Q44d. Corruption: local government councillors")</f>
        <v>Q44d. Corruption: local government councillors</v>
      </c>
      <c r="F739" s="7" t="str">
        <f>IFERROR(__xludf.DUMMYFUNCTION("""COMPUTED_VALUE"""),"Local Government Councilors")</f>
        <v>Local Government Councilors</v>
      </c>
    </row>
    <row r="740">
      <c r="A740" s="7" t="str">
        <f>IFERROR(__xludf.DUMMYFUNCTION("""COMPUTED_VALUE"""),"TANZANIA")</f>
        <v>TANZANIA</v>
      </c>
      <c r="B740" s="7">
        <f>IFERROR(__xludf.DUMMYFUNCTION("""COMPUTED_VALUE"""),7.0)</f>
        <v>7</v>
      </c>
      <c r="C740" s="7" t="str">
        <f>IFERROR(__xludf.DUMMYFUNCTION("""COMPUTED_VALUE"""),"G_11")</f>
        <v>G_11</v>
      </c>
      <c r="D740" s="7" t="str">
        <f>IFERROR(__xludf.DUMMYFUNCTION("""COMPUTED_VALUE"""),"Q44D")</f>
        <v>Q44D</v>
      </c>
      <c r="E740" s="7" t="str">
        <f>IFERROR(__xludf.DUMMYFUNCTION("""COMPUTED_VALUE"""),"Q44d. Corruption: local government councillors")</f>
        <v>Q44d. Corruption: local government councillors</v>
      </c>
      <c r="F740" s="7" t="str">
        <f>IFERROR(__xludf.DUMMYFUNCTION("""COMPUTED_VALUE"""),"Local Government Councilors")</f>
        <v>Local Government Councilors</v>
      </c>
    </row>
    <row r="741">
      <c r="A741" s="7" t="str">
        <f>IFERROR(__xludf.DUMMYFUNCTION("""COMPUTED_VALUE"""),"TOGO")</f>
        <v>TOGO</v>
      </c>
      <c r="B741" s="7">
        <f>IFERROR(__xludf.DUMMYFUNCTION("""COMPUTED_VALUE"""),7.0)</f>
        <v>7</v>
      </c>
      <c r="C741" s="7" t="str">
        <f>IFERROR(__xludf.DUMMYFUNCTION("""COMPUTED_VALUE"""),"G_11")</f>
        <v>G_11</v>
      </c>
      <c r="D741" s="7" t="str">
        <f>IFERROR(__xludf.DUMMYFUNCTION("""COMPUTED_VALUE"""),"Q44D")</f>
        <v>Q44D</v>
      </c>
      <c r="E741" s="7" t="str">
        <f>IFERROR(__xludf.DUMMYFUNCTION("""COMPUTED_VALUE"""),"Q44d. Corruption: local government councillors")</f>
        <v>Q44d. Corruption: local government councillors</v>
      </c>
      <c r="F741" s="7" t="str">
        <f>IFERROR(__xludf.DUMMYFUNCTION("""COMPUTED_VALUE"""),"The municipal/communal councillors")</f>
        <v>The municipal/communal councillors</v>
      </c>
    </row>
    <row r="742">
      <c r="A742" s="7" t="str">
        <f>IFERROR(__xludf.DUMMYFUNCTION("""COMPUTED_VALUE"""),"TUNISIA")</f>
        <v>TUNISIA</v>
      </c>
      <c r="B742" s="7">
        <f>IFERROR(__xludf.DUMMYFUNCTION("""COMPUTED_VALUE"""),7.0)</f>
        <v>7</v>
      </c>
      <c r="C742" s="7" t="str">
        <f>IFERROR(__xludf.DUMMYFUNCTION("""COMPUTED_VALUE"""),"G_11")</f>
        <v>G_11</v>
      </c>
      <c r="D742" s="7" t="str">
        <f>IFERROR(__xludf.DUMMYFUNCTION("""COMPUTED_VALUE"""),"Q44D")</f>
        <v>Q44D</v>
      </c>
      <c r="E742" s="7" t="str">
        <f>IFERROR(__xludf.DUMMYFUNCTION("""COMPUTED_VALUE"""),"Q44d. Corruption: local government councillors")</f>
        <v>Q44d. Corruption: local government councillors</v>
      </c>
      <c r="F742" s="7" t="str">
        <f>IFERROR(__xludf.DUMMYFUNCTION("""COMPUTED_VALUE"""),"Local Government Councilors")</f>
        <v>Local Government Councilors</v>
      </c>
    </row>
    <row r="743">
      <c r="A743" s="7" t="str">
        <f>IFERROR(__xludf.DUMMYFUNCTION("""COMPUTED_VALUE"""),"UGANDA")</f>
        <v>UGANDA</v>
      </c>
      <c r="B743" s="7">
        <f>IFERROR(__xludf.DUMMYFUNCTION("""COMPUTED_VALUE"""),7.0)</f>
        <v>7</v>
      </c>
      <c r="C743" s="7" t="str">
        <f>IFERROR(__xludf.DUMMYFUNCTION("""COMPUTED_VALUE"""),"G_11")</f>
        <v>G_11</v>
      </c>
      <c r="D743" s="7" t="str">
        <f>IFERROR(__xludf.DUMMYFUNCTION("""COMPUTED_VALUE"""),"Q44D")</f>
        <v>Q44D</v>
      </c>
      <c r="E743" s="7" t="str">
        <f>IFERROR(__xludf.DUMMYFUNCTION("""COMPUTED_VALUE"""),"Q44d. Corruption: local government councillors")</f>
        <v>Q44d. Corruption: local government councillors</v>
      </c>
      <c r="F743" s="7" t="str">
        <f>IFERROR(__xludf.DUMMYFUNCTION("""COMPUTED_VALUE"""),"District Councillors")</f>
        <v>District Councillors</v>
      </c>
    </row>
    <row r="744">
      <c r="A744" s="7" t="str">
        <f>IFERROR(__xludf.DUMMYFUNCTION("""COMPUTED_VALUE"""),"ZAMBIA")</f>
        <v>ZAMBIA</v>
      </c>
      <c r="B744" s="7">
        <f>IFERROR(__xludf.DUMMYFUNCTION("""COMPUTED_VALUE"""),7.0)</f>
        <v>7</v>
      </c>
      <c r="C744" s="7" t="str">
        <f>IFERROR(__xludf.DUMMYFUNCTION("""COMPUTED_VALUE"""),"G_11")</f>
        <v>G_11</v>
      </c>
      <c r="D744" s="7" t="str">
        <f>IFERROR(__xludf.DUMMYFUNCTION("""COMPUTED_VALUE"""),"Q44D")</f>
        <v>Q44D</v>
      </c>
      <c r="E744" s="7" t="str">
        <f>IFERROR(__xludf.DUMMYFUNCTION("""COMPUTED_VALUE"""),"Q44d. Corruption: local government councillors")</f>
        <v>Q44d. Corruption: local government councillors</v>
      </c>
      <c r="F744" s="7" t="str">
        <f>IFERROR(__xludf.DUMMYFUNCTION("""COMPUTED_VALUE"""),"Local Government councilors")</f>
        <v>Local Government councilors</v>
      </c>
    </row>
    <row r="745">
      <c r="A745" s="7" t="str">
        <f>IFERROR(__xludf.DUMMYFUNCTION("""COMPUTED_VALUE"""),"ZIMBABWE")</f>
        <v>ZIMBABWE</v>
      </c>
      <c r="B745" s="7">
        <f>IFERROR(__xludf.DUMMYFUNCTION("""COMPUTED_VALUE"""),7.0)</f>
        <v>7</v>
      </c>
      <c r="C745" s="7" t="str">
        <f>IFERROR(__xludf.DUMMYFUNCTION("""COMPUTED_VALUE"""),"G_11")</f>
        <v>G_11</v>
      </c>
      <c r="D745" s="7" t="str">
        <f>IFERROR(__xludf.DUMMYFUNCTION("""COMPUTED_VALUE"""),"Q44D")</f>
        <v>Q44D</v>
      </c>
      <c r="E745" s="7" t="str">
        <f>IFERROR(__xludf.DUMMYFUNCTION("""COMPUTED_VALUE"""),"Q44d. Corruption: local government councillors")</f>
        <v>Q44d. Corruption: local government councillors</v>
      </c>
      <c r="F745" s="7" t="str">
        <f>IFERROR(__xludf.DUMMYFUNCTION("""COMPUTED_VALUE"""),"Local Government councilors")</f>
        <v>Local Government councilors</v>
      </c>
    </row>
    <row r="746">
      <c r="A746" s="7" t="str">
        <f>IFERROR(__xludf.DUMMYFUNCTION("""COMPUTED_VALUE"""),"CABO VERDE")</f>
        <v>CABO VERDE</v>
      </c>
      <c r="B746" s="7">
        <f>IFERROR(__xludf.DUMMYFUNCTION("""COMPUTED_VALUE"""),7.0)</f>
        <v>7</v>
      </c>
      <c r="C746" s="7" t="str">
        <f>IFERROR(__xludf.DUMMYFUNCTION("""COMPUTED_VALUE"""),"G_23")</f>
        <v>G_23</v>
      </c>
      <c r="D746" s="7" t="str">
        <f>IFERROR(__xludf.DUMMYFUNCTION("""COMPUTED_VALUE"""),"Q44G")</f>
        <v>Q44G</v>
      </c>
      <c r="E746" s="7" t="str">
        <f>IFERROR(__xludf.DUMMYFUNCTION("""COMPUTED_VALUE"""),"Q44g. Corruption: traditional leaders")</f>
        <v>Q44g. Corruption: traditional leaders</v>
      </c>
      <c r="F746" s="7" t="str">
        <f>IFERROR(__xludf.DUMMYFUNCTION("""COMPUTED_VALUE"""),"N/A")</f>
        <v>N/A</v>
      </c>
    </row>
    <row r="747">
      <c r="A747" s="7" t="str">
        <f>IFERROR(__xludf.DUMMYFUNCTION("""COMPUTED_VALUE"""),"ESWATINI")</f>
        <v>ESWATINI</v>
      </c>
      <c r="B747" s="7">
        <f>IFERROR(__xludf.DUMMYFUNCTION("""COMPUTED_VALUE"""),7.0)</f>
        <v>7</v>
      </c>
      <c r="C747" s="7" t="str">
        <f>IFERROR(__xludf.DUMMYFUNCTION("""COMPUTED_VALUE"""),"G_23")</f>
        <v>G_23</v>
      </c>
      <c r="D747" s="7" t="str">
        <f>IFERROR(__xludf.DUMMYFUNCTION("""COMPUTED_VALUE"""),"Q44G")</f>
        <v>Q44G</v>
      </c>
      <c r="E747" s="7" t="str">
        <f>IFERROR(__xludf.DUMMYFUNCTION("""COMPUTED_VALUE"""),"Q44g. Corruption: traditional leaders")</f>
        <v>Q44g. Corruption: traditional leaders</v>
      </c>
      <c r="F747" s="7" t="str">
        <f>IFERROR(__xludf.DUMMYFUNCTION("""COMPUTED_VALUE"""),"Traditional leaders (Chiefs)
Traditional leaders (Bucopho)
")</f>
        <v>Traditional leaders (Chiefs)
Traditional leaders (Bucopho)
</v>
      </c>
    </row>
    <row r="748">
      <c r="A748" s="7" t="str">
        <f>IFERROR(__xludf.DUMMYFUNCTION("""COMPUTED_VALUE"""),"BENIN")</f>
        <v>BENIN</v>
      </c>
      <c r="B748" s="7">
        <f>IFERROR(__xludf.DUMMYFUNCTION("""COMPUTED_VALUE"""),7.0)</f>
        <v>7</v>
      </c>
      <c r="C748" s="7" t="str">
        <f>IFERROR(__xludf.DUMMYFUNCTION("""COMPUTED_VALUE"""),"B_04_06")</f>
        <v>B_04_06</v>
      </c>
      <c r="D748" s="7" t="str">
        <f>IFERROR(__xludf.DUMMYFUNCTION("""COMPUTED_VALUE"""),"Q54A")</f>
        <v>Q54A</v>
      </c>
      <c r="E748" s="7" t="str">
        <f>IFERROR(__xludf.DUMMYFUNCTION("""COMPUTED_VALUE"""),"Q54a. MPs listen")</f>
        <v>Q54a. MPs listen</v>
      </c>
      <c r="F748" s="7" t="str">
        <f>IFERROR(__xludf.DUMMYFUNCTION("""COMPUTED_VALUE"""),"Members of national assemply")</f>
        <v>Members of national assemply</v>
      </c>
    </row>
    <row r="749">
      <c r="A749" s="7" t="str">
        <f>IFERROR(__xludf.DUMMYFUNCTION("""COMPUTED_VALUE"""),"BOTSWANA")</f>
        <v>BOTSWANA</v>
      </c>
      <c r="B749" s="7">
        <f>IFERROR(__xludf.DUMMYFUNCTION("""COMPUTED_VALUE"""),7.0)</f>
        <v>7</v>
      </c>
      <c r="C749" s="7" t="str">
        <f>IFERROR(__xludf.DUMMYFUNCTION("""COMPUTED_VALUE"""),"B_04_06")</f>
        <v>B_04_06</v>
      </c>
      <c r="D749" s="7" t="str">
        <f>IFERROR(__xludf.DUMMYFUNCTION("""COMPUTED_VALUE"""),"Q54A")</f>
        <v>Q54A</v>
      </c>
      <c r="E749" s="7" t="str">
        <f>IFERROR(__xludf.DUMMYFUNCTION("""COMPUTED_VALUE"""),"Q54a. MPs listen")</f>
        <v>Q54a. MPs listen</v>
      </c>
      <c r="F749" s="7" t="str">
        <f>IFERROR(__xludf.DUMMYFUNCTION("""COMPUTED_VALUE"""),"Members of Parliament")</f>
        <v>Members of Parliament</v>
      </c>
    </row>
    <row r="750">
      <c r="A750" s="7" t="str">
        <f>IFERROR(__xludf.DUMMYFUNCTION("""COMPUTED_VALUE"""),"BURKINA FASO")</f>
        <v>BURKINA FASO</v>
      </c>
      <c r="B750" s="7">
        <f>IFERROR(__xludf.DUMMYFUNCTION("""COMPUTED_VALUE"""),7.0)</f>
        <v>7</v>
      </c>
      <c r="C750" s="7" t="str">
        <f>IFERROR(__xludf.DUMMYFUNCTION("""COMPUTED_VALUE"""),"B_04_06")</f>
        <v>B_04_06</v>
      </c>
      <c r="D750" s="7" t="str">
        <f>IFERROR(__xludf.DUMMYFUNCTION("""COMPUTED_VALUE"""),"Q54A")</f>
        <v>Q54A</v>
      </c>
      <c r="E750" s="7" t="str">
        <f>IFERROR(__xludf.DUMMYFUNCTION("""COMPUTED_VALUE"""),"Q54a. MPs listen")</f>
        <v>Q54a. MPs listen</v>
      </c>
      <c r="F750" s="7" t="str">
        <f>IFERROR(__xludf.DUMMYFUNCTION("""COMPUTED_VALUE"""),"Members of national assembly")</f>
        <v>Members of national assembly</v>
      </c>
    </row>
    <row r="751">
      <c r="A751" s="7" t="str">
        <f>IFERROR(__xludf.DUMMYFUNCTION("""COMPUTED_VALUE"""),"CABO VERDE")</f>
        <v>CABO VERDE</v>
      </c>
      <c r="B751" s="7">
        <f>IFERROR(__xludf.DUMMYFUNCTION("""COMPUTED_VALUE"""),7.0)</f>
        <v>7</v>
      </c>
      <c r="C751" s="7" t="str">
        <f>IFERROR(__xludf.DUMMYFUNCTION("""COMPUTED_VALUE"""),"B_04_06")</f>
        <v>B_04_06</v>
      </c>
      <c r="D751" s="7" t="str">
        <f>IFERROR(__xludf.DUMMYFUNCTION("""COMPUTED_VALUE"""),"Q54A")</f>
        <v>Q54A</v>
      </c>
      <c r="E751" s="7" t="str">
        <f>IFERROR(__xludf.DUMMYFUNCTION("""COMPUTED_VALUE"""),"Q54a. MPs listen")</f>
        <v>Q54a. MPs listen</v>
      </c>
      <c r="F751" s="7" t="str">
        <f>IFERROR(__xludf.DUMMYFUNCTION("""COMPUTED_VALUE"""),"Members of the National Assembly")</f>
        <v>Members of the National Assembly</v>
      </c>
    </row>
    <row r="752">
      <c r="A752" s="7" t="str">
        <f>IFERROR(__xludf.DUMMYFUNCTION("""COMPUTED_VALUE"""),"CAMEROON")</f>
        <v>CAMEROON</v>
      </c>
      <c r="B752" s="7">
        <f>IFERROR(__xludf.DUMMYFUNCTION("""COMPUTED_VALUE"""),7.0)</f>
        <v>7</v>
      </c>
      <c r="C752" s="7" t="str">
        <f>IFERROR(__xludf.DUMMYFUNCTION("""COMPUTED_VALUE"""),"B_04_06")</f>
        <v>B_04_06</v>
      </c>
      <c r="D752" s="7" t="str">
        <f>IFERROR(__xludf.DUMMYFUNCTION("""COMPUTED_VALUE"""),"Q54A")</f>
        <v>Q54A</v>
      </c>
      <c r="E752" s="7" t="str">
        <f>IFERROR(__xludf.DUMMYFUNCTION("""COMPUTED_VALUE"""),"Q54a. MPs listen")</f>
        <v>Q54a. MPs listen</v>
      </c>
      <c r="F752" s="7" t="str">
        <f>IFERROR(__xludf.DUMMYFUNCTION("""COMPUTED_VALUE"""),"The deputies and senators of parliament")</f>
        <v>The deputies and senators of parliament</v>
      </c>
    </row>
    <row r="753">
      <c r="A753" s="7" t="str">
        <f>IFERROR(__xludf.DUMMYFUNCTION("""COMPUTED_VALUE"""),"COTE D'IVOIRE")</f>
        <v>COTE D'IVOIRE</v>
      </c>
      <c r="B753" s="7">
        <f>IFERROR(__xludf.DUMMYFUNCTION("""COMPUTED_VALUE"""),7.0)</f>
        <v>7</v>
      </c>
      <c r="C753" s="7" t="str">
        <f>IFERROR(__xludf.DUMMYFUNCTION("""COMPUTED_VALUE"""),"B_04_06")</f>
        <v>B_04_06</v>
      </c>
      <c r="D753" s="7" t="str">
        <f>IFERROR(__xludf.DUMMYFUNCTION("""COMPUTED_VALUE"""),"Q54A")</f>
        <v>Q54A</v>
      </c>
      <c r="E753" s="7" t="str">
        <f>IFERROR(__xludf.DUMMYFUNCTION("""COMPUTED_VALUE"""),"Q54a. MPs listen")</f>
        <v>Q54a. MPs listen</v>
      </c>
      <c r="F753" s="7" t="str">
        <f>IFERROR(__xludf.DUMMYFUNCTION("""COMPUTED_VALUE"""),"Members of the National Assembly")</f>
        <v>Members of the National Assembly</v>
      </c>
    </row>
    <row r="754">
      <c r="A754" s="7" t="str">
        <f>IFERROR(__xludf.DUMMYFUNCTION("""COMPUTED_VALUE"""),"ESWATINI")</f>
        <v>ESWATINI</v>
      </c>
      <c r="B754" s="7">
        <f>IFERROR(__xludf.DUMMYFUNCTION("""COMPUTED_VALUE"""),7.0)</f>
        <v>7</v>
      </c>
      <c r="C754" s="7" t="str">
        <f>IFERROR(__xludf.DUMMYFUNCTION("""COMPUTED_VALUE"""),"B_04_06")</f>
        <v>B_04_06</v>
      </c>
      <c r="D754" s="7" t="str">
        <f>IFERROR(__xludf.DUMMYFUNCTION("""COMPUTED_VALUE"""),"Q54A")</f>
        <v>Q54A</v>
      </c>
      <c r="E754" s="7" t="str">
        <f>IFERROR(__xludf.DUMMYFUNCTION("""COMPUTED_VALUE"""),"Q54a. MPs listen")</f>
        <v>Q54a. MPs listen</v>
      </c>
      <c r="F754" s="7" t="str">
        <f>IFERROR(__xludf.DUMMYFUNCTION("""COMPUTED_VALUE"""),"Members of Parliament")</f>
        <v>Members of Parliament</v>
      </c>
    </row>
    <row r="755">
      <c r="A755" s="7" t="str">
        <f>IFERROR(__xludf.DUMMYFUNCTION("""COMPUTED_VALUE"""),"GABON")</f>
        <v>GABON</v>
      </c>
      <c r="B755" s="7">
        <f>IFERROR(__xludf.DUMMYFUNCTION("""COMPUTED_VALUE"""),7.0)</f>
        <v>7</v>
      </c>
      <c r="C755" s="7" t="str">
        <f>IFERROR(__xludf.DUMMYFUNCTION("""COMPUTED_VALUE"""),"B_04_06")</f>
        <v>B_04_06</v>
      </c>
      <c r="D755" s="7" t="str">
        <f>IFERROR(__xludf.DUMMYFUNCTION("""COMPUTED_VALUE"""),"Q54A")</f>
        <v>Q54A</v>
      </c>
      <c r="E755" s="7" t="str">
        <f>IFERROR(__xludf.DUMMYFUNCTION("""COMPUTED_VALUE"""),"Q54a. MPs listen")</f>
        <v>Q54a. MPs listen</v>
      </c>
      <c r="F755" s="7" t="str">
        <f>IFERROR(__xludf.DUMMYFUNCTION("""COMPUTED_VALUE"""),"Members of Parliament / Parliamentarians")</f>
        <v>Members of Parliament / Parliamentarians</v>
      </c>
    </row>
    <row r="756">
      <c r="A756" s="7" t="str">
        <f>IFERROR(__xludf.DUMMYFUNCTION("""COMPUTED_VALUE"""),"GAMBIA")</f>
        <v>GAMBIA</v>
      </c>
      <c r="B756" s="7">
        <f>IFERROR(__xludf.DUMMYFUNCTION("""COMPUTED_VALUE"""),7.0)</f>
        <v>7</v>
      </c>
      <c r="C756" s="7" t="str">
        <f>IFERROR(__xludf.DUMMYFUNCTION("""COMPUTED_VALUE"""),"B_04_06")</f>
        <v>B_04_06</v>
      </c>
      <c r="D756" s="7" t="str">
        <f>IFERROR(__xludf.DUMMYFUNCTION("""COMPUTED_VALUE"""),"Q54A")</f>
        <v>Q54A</v>
      </c>
      <c r="E756" s="7" t="str">
        <f>IFERROR(__xludf.DUMMYFUNCTION("""COMPUTED_VALUE"""),"Q54a. MPs listen")</f>
        <v>Q54a. MPs listen</v>
      </c>
      <c r="F756" s="7" t="str">
        <f>IFERROR(__xludf.DUMMYFUNCTION("""COMPUTED_VALUE"""),"Members of the National Assembly")</f>
        <v>Members of the National Assembly</v>
      </c>
    </row>
    <row r="757">
      <c r="A757" s="7" t="str">
        <f>IFERROR(__xludf.DUMMYFUNCTION("""COMPUTED_VALUE"""),"GHANA")</f>
        <v>GHANA</v>
      </c>
      <c r="B757" s="7">
        <f>IFERROR(__xludf.DUMMYFUNCTION("""COMPUTED_VALUE"""),7.0)</f>
        <v>7</v>
      </c>
      <c r="C757" s="7" t="str">
        <f>IFERROR(__xludf.DUMMYFUNCTION("""COMPUTED_VALUE"""),"B_04_06")</f>
        <v>B_04_06</v>
      </c>
      <c r="D757" s="7" t="str">
        <f>IFERROR(__xludf.DUMMYFUNCTION("""COMPUTED_VALUE"""),"Q54A")</f>
        <v>Q54A</v>
      </c>
      <c r="E757" s="7" t="str">
        <f>IFERROR(__xludf.DUMMYFUNCTION("""COMPUTED_VALUE"""),"Q54a. MPs listen")</f>
        <v>Q54a. MPs listen</v>
      </c>
      <c r="F757" s="7" t="str">
        <f>IFERROR(__xludf.DUMMYFUNCTION("""COMPUTED_VALUE"""),"Members of Parliament")</f>
        <v>Members of Parliament</v>
      </c>
    </row>
    <row r="758">
      <c r="A758" s="7" t="str">
        <f>IFERROR(__xludf.DUMMYFUNCTION("""COMPUTED_VALUE"""),"GUINEA")</f>
        <v>GUINEA</v>
      </c>
      <c r="B758" s="7">
        <f>IFERROR(__xludf.DUMMYFUNCTION("""COMPUTED_VALUE"""),7.0)</f>
        <v>7</v>
      </c>
      <c r="C758" s="7" t="str">
        <f>IFERROR(__xludf.DUMMYFUNCTION("""COMPUTED_VALUE"""),"B_04_06")</f>
        <v>B_04_06</v>
      </c>
      <c r="D758" s="7" t="str">
        <f>IFERROR(__xludf.DUMMYFUNCTION("""COMPUTED_VALUE"""),"Q54A")</f>
        <v>Q54A</v>
      </c>
      <c r="E758" s="7" t="str">
        <f>IFERROR(__xludf.DUMMYFUNCTION("""COMPUTED_VALUE"""),"Q54a. MPs listen")</f>
        <v>Q54a. MPs listen</v>
      </c>
      <c r="F758" s="7" t="str">
        <f>IFERROR(__xludf.DUMMYFUNCTION("""COMPUTED_VALUE"""),"Members of the National Assembly")</f>
        <v>Members of the National Assembly</v>
      </c>
    </row>
    <row r="759">
      <c r="A759" s="7" t="str">
        <f>IFERROR(__xludf.DUMMYFUNCTION("""COMPUTED_VALUE"""),"KENYA")</f>
        <v>KENYA</v>
      </c>
      <c r="B759" s="7">
        <f>IFERROR(__xludf.DUMMYFUNCTION("""COMPUTED_VALUE"""),7.0)</f>
        <v>7</v>
      </c>
      <c r="C759" s="7" t="str">
        <f>IFERROR(__xludf.DUMMYFUNCTION("""COMPUTED_VALUE"""),"B_04_06")</f>
        <v>B_04_06</v>
      </c>
      <c r="D759" s="7" t="str">
        <f>IFERROR(__xludf.DUMMYFUNCTION("""COMPUTED_VALUE"""),"Q54A")</f>
        <v>Q54A</v>
      </c>
      <c r="E759" s="7" t="str">
        <f>IFERROR(__xludf.DUMMYFUNCTION("""COMPUTED_VALUE"""),"Q54a. MPs listen")</f>
        <v>Q54a. MPs listen</v>
      </c>
      <c r="F759" s="7" t="str">
        <f>IFERROR(__xludf.DUMMYFUNCTION("""COMPUTED_VALUE"""),"Members of Parliament")</f>
        <v>Members of Parliament</v>
      </c>
    </row>
    <row r="760">
      <c r="A760" s="7" t="str">
        <f>IFERROR(__xludf.DUMMYFUNCTION("""COMPUTED_VALUE"""),"LESOTHO")</f>
        <v>LESOTHO</v>
      </c>
      <c r="B760" s="7">
        <f>IFERROR(__xludf.DUMMYFUNCTION("""COMPUTED_VALUE"""),7.0)</f>
        <v>7</v>
      </c>
      <c r="C760" s="7" t="str">
        <f>IFERROR(__xludf.DUMMYFUNCTION("""COMPUTED_VALUE"""),"B_04_06")</f>
        <v>B_04_06</v>
      </c>
      <c r="D760" s="7" t="str">
        <f>IFERROR(__xludf.DUMMYFUNCTION("""COMPUTED_VALUE"""),"Q54A")</f>
        <v>Q54A</v>
      </c>
      <c r="E760" s="7" t="str">
        <f>IFERROR(__xludf.DUMMYFUNCTION("""COMPUTED_VALUE"""),"Q54a. MPs listen")</f>
        <v>Q54a. MPs listen</v>
      </c>
      <c r="F760" s="7" t="str">
        <f>IFERROR(__xludf.DUMMYFUNCTION("""COMPUTED_VALUE"""),"Members of Parliament")</f>
        <v>Members of Parliament</v>
      </c>
    </row>
    <row r="761">
      <c r="A761" s="7" t="str">
        <f>IFERROR(__xludf.DUMMYFUNCTION("""COMPUTED_VALUE"""),"LIBERIA")</f>
        <v>LIBERIA</v>
      </c>
      <c r="B761" s="7">
        <f>IFERROR(__xludf.DUMMYFUNCTION("""COMPUTED_VALUE"""),7.0)</f>
        <v>7</v>
      </c>
      <c r="C761" s="7" t="str">
        <f>IFERROR(__xludf.DUMMYFUNCTION("""COMPUTED_VALUE"""),"B_04_06")</f>
        <v>B_04_06</v>
      </c>
      <c r="D761" s="7" t="str">
        <f>IFERROR(__xludf.DUMMYFUNCTION("""COMPUTED_VALUE"""),"Q54A")</f>
        <v>Q54A</v>
      </c>
      <c r="E761" s="7" t="str">
        <f>IFERROR(__xludf.DUMMYFUNCTION("""COMPUTED_VALUE"""),"Q54a. MPs listen")</f>
        <v>Q54a. MPs listen</v>
      </c>
      <c r="F761" s="7" t="str">
        <f>IFERROR(__xludf.DUMMYFUNCTION("""COMPUTED_VALUE"""),"A. Members of the House of Representatives 
A1-LIB Senators
")</f>
        <v>A. Members of the House of Representatives 
A1-LIB Senators
</v>
      </c>
    </row>
    <row r="762">
      <c r="A762" s="7" t="str">
        <f>IFERROR(__xludf.DUMMYFUNCTION("""COMPUTED_VALUE"""),"MADAGASCAR")</f>
        <v>MADAGASCAR</v>
      </c>
      <c r="B762" s="7">
        <f>IFERROR(__xludf.DUMMYFUNCTION("""COMPUTED_VALUE"""),7.0)</f>
        <v>7</v>
      </c>
      <c r="C762" s="7" t="str">
        <f>IFERROR(__xludf.DUMMYFUNCTION("""COMPUTED_VALUE"""),"B_04_06")</f>
        <v>B_04_06</v>
      </c>
      <c r="D762" s="7" t="str">
        <f>IFERROR(__xludf.DUMMYFUNCTION("""COMPUTED_VALUE"""),"Q54A")</f>
        <v>Q54A</v>
      </c>
      <c r="E762" s="7" t="str">
        <f>IFERROR(__xludf.DUMMYFUNCTION("""COMPUTED_VALUE"""),"Q54a. MPs listen")</f>
        <v>Q54a. MPs listen</v>
      </c>
      <c r="F762" s="7" t="str">
        <f>IFERROR(__xludf.DUMMYFUNCTION("""COMPUTED_VALUE"""),"Members of the National Assembly")</f>
        <v>Members of the National Assembly</v>
      </c>
    </row>
    <row r="763">
      <c r="A763" s="7" t="str">
        <f>IFERROR(__xludf.DUMMYFUNCTION("""COMPUTED_VALUE"""),"MALAWI")</f>
        <v>MALAWI</v>
      </c>
      <c r="B763" s="7">
        <f>IFERROR(__xludf.DUMMYFUNCTION("""COMPUTED_VALUE"""),7.0)</f>
        <v>7</v>
      </c>
      <c r="C763" s="7" t="str">
        <f>IFERROR(__xludf.DUMMYFUNCTION("""COMPUTED_VALUE"""),"B_04_06")</f>
        <v>B_04_06</v>
      </c>
      <c r="D763" s="7" t="str">
        <f>IFERROR(__xludf.DUMMYFUNCTION("""COMPUTED_VALUE"""),"Q54A")</f>
        <v>Q54A</v>
      </c>
      <c r="E763" s="7" t="str">
        <f>IFERROR(__xludf.DUMMYFUNCTION("""COMPUTED_VALUE"""),"Q54a. MPs listen")</f>
        <v>Q54a. MPs listen</v>
      </c>
      <c r="F763" s="7" t="str">
        <f>IFERROR(__xludf.DUMMYFUNCTION("""COMPUTED_VALUE"""),"Members of Parliament")</f>
        <v>Members of Parliament</v>
      </c>
    </row>
    <row r="764">
      <c r="A764" s="7" t="str">
        <f>IFERROR(__xludf.DUMMYFUNCTION("""COMPUTED_VALUE"""),"MALI")</f>
        <v>MALI</v>
      </c>
      <c r="B764" s="7">
        <f>IFERROR(__xludf.DUMMYFUNCTION("""COMPUTED_VALUE"""),7.0)</f>
        <v>7</v>
      </c>
      <c r="C764" s="7" t="str">
        <f>IFERROR(__xludf.DUMMYFUNCTION("""COMPUTED_VALUE"""),"B_04_06")</f>
        <v>B_04_06</v>
      </c>
      <c r="D764" s="7" t="str">
        <f>IFERROR(__xludf.DUMMYFUNCTION("""COMPUTED_VALUE"""),"Q54A")</f>
        <v>Q54A</v>
      </c>
      <c r="E764" s="7" t="str">
        <f>IFERROR(__xludf.DUMMYFUNCTION("""COMPUTED_VALUE"""),"Q54a. MPs listen")</f>
        <v>Q54a. MPs listen</v>
      </c>
      <c r="F764" s="7" t="str">
        <f>IFERROR(__xludf.DUMMYFUNCTION("""COMPUTED_VALUE"""),"Members of the National Assembly")</f>
        <v>Members of the National Assembly</v>
      </c>
    </row>
    <row r="765">
      <c r="A765" s="7" t="str">
        <f>IFERROR(__xludf.DUMMYFUNCTION("""COMPUTED_VALUE"""),"MAURITIUS")</f>
        <v>MAURITIUS</v>
      </c>
      <c r="B765" s="7">
        <f>IFERROR(__xludf.DUMMYFUNCTION("""COMPUTED_VALUE"""),7.0)</f>
        <v>7</v>
      </c>
      <c r="C765" s="7" t="str">
        <f>IFERROR(__xludf.DUMMYFUNCTION("""COMPUTED_VALUE"""),"B_04_06")</f>
        <v>B_04_06</v>
      </c>
      <c r="D765" s="7" t="str">
        <f>IFERROR(__xludf.DUMMYFUNCTION("""COMPUTED_VALUE"""),"Q54A")</f>
        <v>Q54A</v>
      </c>
      <c r="E765" s="7" t="str">
        <f>IFERROR(__xludf.DUMMYFUNCTION("""COMPUTED_VALUE"""),"Q54a. MPs listen")</f>
        <v>Q54a. MPs listen</v>
      </c>
      <c r="F765" s="7" t="str">
        <f>IFERROR(__xludf.DUMMYFUNCTION("""COMPUTED_VALUE"""),"Members of the National Assembly")</f>
        <v>Members of the National Assembly</v>
      </c>
    </row>
    <row r="766">
      <c r="A766" s="7" t="str">
        <f>IFERROR(__xludf.DUMMYFUNCTION("""COMPUTED_VALUE"""),"MOROCCO")</f>
        <v>MOROCCO</v>
      </c>
      <c r="B766" s="7">
        <f>IFERROR(__xludf.DUMMYFUNCTION("""COMPUTED_VALUE"""),7.0)</f>
        <v>7</v>
      </c>
      <c r="C766" s="7" t="str">
        <f>IFERROR(__xludf.DUMMYFUNCTION("""COMPUTED_VALUE"""),"B_04_06")</f>
        <v>B_04_06</v>
      </c>
      <c r="D766" s="7" t="str">
        <f>IFERROR(__xludf.DUMMYFUNCTION("""COMPUTED_VALUE"""),"Q54A")</f>
        <v>Q54A</v>
      </c>
      <c r="E766" s="7" t="str">
        <f>IFERROR(__xludf.DUMMYFUNCTION("""COMPUTED_VALUE"""),"Q54a. MPs listen")</f>
        <v>Q54a. MPs listen</v>
      </c>
      <c r="F766" s="7" t="str">
        <f>IFERROR(__xludf.DUMMYFUNCTION("""COMPUTED_VALUE"""),"Members of Parliament")</f>
        <v>Members of Parliament</v>
      </c>
    </row>
    <row r="767">
      <c r="A767" s="7" t="str">
        <f>IFERROR(__xludf.DUMMYFUNCTION("""COMPUTED_VALUE"""),"MOZAMBIQUE")</f>
        <v>MOZAMBIQUE</v>
      </c>
      <c r="B767" s="7">
        <f>IFERROR(__xludf.DUMMYFUNCTION("""COMPUTED_VALUE"""),7.0)</f>
        <v>7</v>
      </c>
      <c r="C767" s="7" t="str">
        <f>IFERROR(__xludf.DUMMYFUNCTION("""COMPUTED_VALUE"""),"B_04_06")</f>
        <v>B_04_06</v>
      </c>
      <c r="D767" s="7" t="str">
        <f>IFERROR(__xludf.DUMMYFUNCTION("""COMPUTED_VALUE"""),"Q54A")</f>
        <v>Q54A</v>
      </c>
      <c r="E767" s="7" t="str">
        <f>IFERROR(__xludf.DUMMYFUNCTION("""COMPUTED_VALUE"""),"Q54a. MPs listen")</f>
        <v>Q54a. MPs listen</v>
      </c>
      <c r="F767" s="7" t="str">
        <f>IFERROR(__xludf.DUMMYFUNCTION("""COMPUTED_VALUE"""),"Members of Parliament 
Members of the Provincial Assembly
")</f>
        <v>Members of Parliament 
Members of the Provincial Assembly
</v>
      </c>
    </row>
    <row r="768">
      <c r="A768" s="7" t="str">
        <f>IFERROR(__xludf.DUMMYFUNCTION("""COMPUTED_VALUE"""),"NAMIBIA")</f>
        <v>NAMIBIA</v>
      </c>
      <c r="B768" s="7">
        <f>IFERROR(__xludf.DUMMYFUNCTION("""COMPUTED_VALUE"""),7.0)</f>
        <v>7</v>
      </c>
      <c r="C768" s="7" t="str">
        <f>IFERROR(__xludf.DUMMYFUNCTION("""COMPUTED_VALUE"""),"B_04_06")</f>
        <v>B_04_06</v>
      </c>
      <c r="D768" s="7" t="str">
        <f>IFERROR(__xludf.DUMMYFUNCTION("""COMPUTED_VALUE"""),"Q54A")</f>
        <v>Q54A</v>
      </c>
      <c r="E768" s="7" t="str">
        <f>IFERROR(__xludf.DUMMYFUNCTION("""COMPUTED_VALUE"""),"Q54a. MPs listen")</f>
        <v>Q54a. MPs listen</v>
      </c>
      <c r="F768" s="7" t="str">
        <f>IFERROR(__xludf.DUMMYFUNCTION("""COMPUTED_VALUE"""),"Members of the National Assembly 
Representatives to the National Council
")</f>
        <v>Members of the National Assembly 
Representatives to the National Council
</v>
      </c>
    </row>
    <row r="769">
      <c r="A769" s="7" t="str">
        <f>IFERROR(__xludf.DUMMYFUNCTION("""COMPUTED_VALUE"""),"NIGER")</f>
        <v>NIGER</v>
      </c>
      <c r="B769" s="7">
        <f>IFERROR(__xludf.DUMMYFUNCTION("""COMPUTED_VALUE"""),7.0)</f>
        <v>7</v>
      </c>
      <c r="C769" s="7" t="str">
        <f>IFERROR(__xludf.DUMMYFUNCTION("""COMPUTED_VALUE"""),"B_04_06")</f>
        <v>B_04_06</v>
      </c>
      <c r="D769" s="7" t="str">
        <f>IFERROR(__xludf.DUMMYFUNCTION("""COMPUTED_VALUE"""),"Q54A")</f>
        <v>Q54A</v>
      </c>
      <c r="E769" s="7" t="str">
        <f>IFERROR(__xludf.DUMMYFUNCTION("""COMPUTED_VALUE"""),"Q54a. MPs listen")</f>
        <v>Q54a. MPs listen</v>
      </c>
      <c r="F769" s="7" t="str">
        <f>IFERROR(__xludf.DUMMYFUNCTION("""COMPUTED_VALUE"""),"Members of the National Assembly")</f>
        <v>Members of the National Assembly</v>
      </c>
    </row>
    <row r="770">
      <c r="A770" s="7" t="str">
        <f>IFERROR(__xludf.DUMMYFUNCTION("""COMPUTED_VALUE"""),"NIGERIA")</f>
        <v>NIGERIA</v>
      </c>
      <c r="B770" s="7">
        <f>IFERROR(__xludf.DUMMYFUNCTION("""COMPUTED_VALUE"""),7.0)</f>
        <v>7</v>
      </c>
      <c r="C770" s="7" t="str">
        <f>IFERROR(__xludf.DUMMYFUNCTION("""COMPUTED_VALUE"""),"B_04_06")</f>
        <v>B_04_06</v>
      </c>
      <c r="D770" s="7" t="str">
        <f>IFERROR(__xludf.DUMMYFUNCTION("""COMPUTED_VALUE"""),"Q54A")</f>
        <v>Q54A</v>
      </c>
      <c r="E770" s="7" t="str">
        <f>IFERROR(__xludf.DUMMYFUNCTION("""COMPUTED_VALUE"""),"Q54a. MPs listen")</f>
        <v>Q54a. MPs listen</v>
      </c>
      <c r="F770" s="7" t="str">
        <f>IFERROR(__xludf.DUMMYFUNCTION("""COMPUTED_VALUE"""),"Members of the National Assembly")</f>
        <v>Members of the National Assembly</v>
      </c>
    </row>
    <row r="771">
      <c r="A771" s="7" t="str">
        <f>IFERROR(__xludf.DUMMYFUNCTION("""COMPUTED_VALUE"""),"SAO TOME AND PRINCIPE")</f>
        <v>SAO TOME AND PRINCIPE</v>
      </c>
      <c r="B771" s="7">
        <f>IFERROR(__xludf.DUMMYFUNCTION("""COMPUTED_VALUE"""),7.0)</f>
        <v>7</v>
      </c>
      <c r="C771" s="7" t="str">
        <f>IFERROR(__xludf.DUMMYFUNCTION("""COMPUTED_VALUE"""),"B_04_06")</f>
        <v>B_04_06</v>
      </c>
      <c r="D771" s="7" t="str">
        <f>IFERROR(__xludf.DUMMYFUNCTION("""COMPUTED_VALUE"""),"Q54A")</f>
        <v>Q54A</v>
      </c>
      <c r="E771" s="7" t="str">
        <f>IFERROR(__xludf.DUMMYFUNCTION("""COMPUTED_VALUE"""),"Q54a. MPs listen")</f>
        <v>Q54a. MPs listen</v>
      </c>
      <c r="F771" s="7" t="str">
        <f>IFERROR(__xludf.DUMMYFUNCTION("""COMPUTED_VALUE"""),"Members of the National Assembly")</f>
        <v>Members of the National Assembly</v>
      </c>
    </row>
    <row r="772">
      <c r="A772" s="7" t="str">
        <f>IFERROR(__xludf.DUMMYFUNCTION("""COMPUTED_VALUE"""),"SENEGAL")</f>
        <v>SENEGAL</v>
      </c>
      <c r="B772" s="7">
        <f>IFERROR(__xludf.DUMMYFUNCTION("""COMPUTED_VALUE"""),7.0)</f>
        <v>7</v>
      </c>
      <c r="C772" s="7" t="str">
        <f>IFERROR(__xludf.DUMMYFUNCTION("""COMPUTED_VALUE"""),"B_04_06")</f>
        <v>B_04_06</v>
      </c>
      <c r="D772" s="7" t="str">
        <f>IFERROR(__xludf.DUMMYFUNCTION("""COMPUTED_VALUE"""),"Q54A")</f>
        <v>Q54A</v>
      </c>
      <c r="E772" s="7" t="str">
        <f>IFERROR(__xludf.DUMMYFUNCTION("""COMPUTED_VALUE"""),"Q54a. MPs listen")</f>
        <v>Q54a. MPs listen</v>
      </c>
      <c r="F772" s="7" t="str">
        <f>IFERROR(__xludf.DUMMYFUNCTION("""COMPUTED_VALUE"""),"Members of the National Assembly")</f>
        <v>Members of the National Assembly</v>
      </c>
    </row>
    <row r="773">
      <c r="A773" s="7" t="str">
        <f>IFERROR(__xludf.DUMMYFUNCTION("""COMPUTED_VALUE"""),"SIERRA LEONE")</f>
        <v>SIERRA LEONE</v>
      </c>
      <c r="B773" s="7">
        <f>IFERROR(__xludf.DUMMYFUNCTION("""COMPUTED_VALUE"""),7.0)</f>
        <v>7</v>
      </c>
      <c r="C773" s="7" t="str">
        <f>IFERROR(__xludf.DUMMYFUNCTION("""COMPUTED_VALUE"""),"B_04_06")</f>
        <v>B_04_06</v>
      </c>
      <c r="D773" s="7" t="str">
        <f>IFERROR(__xludf.DUMMYFUNCTION("""COMPUTED_VALUE"""),"Q54A")</f>
        <v>Q54A</v>
      </c>
      <c r="E773" s="7" t="str">
        <f>IFERROR(__xludf.DUMMYFUNCTION("""COMPUTED_VALUE"""),"Q54a. MPs listen")</f>
        <v>Q54a. MPs listen</v>
      </c>
      <c r="F773" s="7" t="str">
        <f>IFERROR(__xludf.DUMMYFUNCTION("""COMPUTED_VALUE"""),"Members of Parliament")</f>
        <v>Members of Parliament</v>
      </c>
    </row>
    <row r="774">
      <c r="A774" s="7" t="str">
        <f>IFERROR(__xludf.DUMMYFUNCTION("""COMPUTED_VALUE"""),"SOUTH AFRICA")</f>
        <v>SOUTH AFRICA</v>
      </c>
      <c r="B774" s="7">
        <f>IFERROR(__xludf.DUMMYFUNCTION("""COMPUTED_VALUE"""),7.0)</f>
        <v>7</v>
      </c>
      <c r="C774" s="7" t="str">
        <f>IFERROR(__xludf.DUMMYFUNCTION("""COMPUTED_VALUE"""),"B_04_06")</f>
        <v>B_04_06</v>
      </c>
      <c r="D774" s="7" t="str">
        <f>IFERROR(__xludf.DUMMYFUNCTION("""COMPUTED_VALUE"""),"Q54A")</f>
        <v>Q54A</v>
      </c>
      <c r="E774" s="7" t="str">
        <f>IFERROR(__xludf.DUMMYFUNCTION("""COMPUTED_VALUE"""),"Q54a. MPs listen")</f>
        <v>Q54a. MPs listen</v>
      </c>
      <c r="F774" s="7" t="str">
        <f>IFERROR(__xludf.DUMMYFUNCTION("""COMPUTED_VALUE"""),"Members of Parliament")</f>
        <v>Members of Parliament</v>
      </c>
    </row>
    <row r="775">
      <c r="A775" s="7" t="str">
        <f>IFERROR(__xludf.DUMMYFUNCTION("""COMPUTED_VALUE"""),"SUDAN")</f>
        <v>SUDAN</v>
      </c>
      <c r="B775" s="7">
        <f>IFERROR(__xludf.DUMMYFUNCTION("""COMPUTED_VALUE"""),7.0)</f>
        <v>7</v>
      </c>
      <c r="C775" s="7" t="str">
        <f>IFERROR(__xludf.DUMMYFUNCTION("""COMPUTED_VALUE"""),"B_04_06")</f>
        <v>B_04_06</v>
      </c>
      <c r="D775" s="7" t="str">
        <f>IFERROR(__xludf.DUMMYFUNCTION("""COMPUTED_VALUE"""),"Q54A")</f>
        <v>Q54A</v>
      </c>
      <c r="E775" s="7" t="str">
        <f>IFERROR(__xludf.DUMMYFUNCTION("""COMPUTED_VALUE"""),"Q54a. MPs listen")</f>
        <v>Q54a. MPs listen</v>
      </c>
      <c r="F775" s="7" t="str">
        <f>IFERROR(__xludf.DUMMYFUNCTION("""COMPUTED_VALUE"""),"Members of National Assembly")</f>
        <v>Members of National Assembly</v>
      </c>
    </row>
    <row r="776">
      <c r="A776" s="7" t="str">
        <f>IFERROR(__xludf.DUMMYFUNCTION("""COMPUTED_VALUE"""),"TANZANIA")</f>
        <v>TANZANIA</v>
      </c>
      <c r="B776" s="7">
        <f>IFERROR(__xludf.DUMMYFUNCTION("""COMPUTED_VALUE"""),7.0)</f>
        <v>7</v>
      </c>
      <c r="C776" s="7" t="str">
        <f>IFERROR(__xludf.DUMMYFUNCTION("""COMPUTED_VALUE"""),"B_04_06")</f>
        <v>B_04_06</v>
      </c>
      <c r="D776" s="7" t="str">
        <f>IFERROR(__xludf.DUMMYFUNCTION("""COMPUTED_VALUE"""),"Q54A")</f>
        <v>Q54A</v>
      </c>
      <c r="E776" s="7" t="str">
        <f>IFERROR(__xludf.DUMMYFUNCTION("""COMPUTED_VALUE"""),"Q54a. MPs listen")</f>
        <v>Q54a. MPs listen</v>
      </c>
      <c r="F776" s="7" t="str">
        <f>IFERROR(__xludf.DUMMYFUNCTION("""COMPUTED_VALUE"""),"Members of Parliament")</f>
        <v>Members of Parliament</v>
      </c>
    </row>
    <row r="777">
      <c r="A777" s="7" t="str">
        <f>IFERROR(__xludf.DUMMYFUNCTION("""COMPUTED_VALUE"""),"TOGO")</f>
        <v>TOGO</v>
      </c>
      <c r="B777" s="7">
        <f>IFERROR(__xludf.DUMMYFUNCTION("""COMPUTED_VALUE"""),7.0)</f>
        <v>7</v>
      </c>
      <c r="C777" s="7" t="str">
        <f>IFERROR(__xludf.DUMMYFUNCTION("""COMPUTED_VALUE"""),"B_04_06")</f>
        <v>B_04_06</v>
      </c>
      <c r="D777" s="7" t="str">
        <f>IFERROR(__xludf.DUMMYFUNCTION("""COMPUTED_VALUE"""),"Q54A")</f>
        <v>Q54A</v>
      </c>
      <c r="E777" s="7" t="str">
        <f>IFERROR(__xludf.DUMMYFUNCTION("""COMPUTED_VALUE"""),"Q54a. MPs listen")</f>
        <v>Q54a. MPs listen</v>
      </c>
      <c r="F777" s="7" t="str">
        <f>IFERROR(__xludf.DUMMYFUNCTION("""COMPUTED_VALUE"""),"Members of National Assembly")</f>
        <v>Members of National Assembly</v>
      </c>
    </row>
    <row r="778">
      <c r="A778" s="7" t="str">
        <f>IFERROR(__xludf.DUMMYFUNCTION("""COMPUTED_VALUE"""),"TUNISIA")</f>
        <v>TUNISIA</v>
      </c>
      <c r="B778" s="7">
        <f>IFERROR(__xludf.DUMMYFUNCTION("""COMPUTED_VALUE"""),7.0)</f>
        <v>7</v>
      </c>
      <c r="C778" s="7" t="str">
        <f>IFERROR(__xludf.DUMMYFUNCTION("""COMPUTED_VALUE"""),"B_04_06")</f>
        <v>B_04_06</v>
      </c>
      <c r="D778" s="7" t="str">
        <f>IFERROR(__xludf.DUMMYFUNCTION("""COMPUTED_VALUE"""),"Q54A")</f>
        <v>Q54A</v>
      </c>
      <c r="E778" s="7" t="str">
        <f>IFERROR(__xludf.DUMMYFUNCTION("""COMPUTED_VALUE"""),"Q54a. MPs listen")</f>
        <v>Q54a. MPs listen</v>
      </c>
      <c r="F778" s="7" t="str">
        <f>IFERROR(__xludf.DUMMYFUNCTION("""COMPUTED_VALUE"""),"Members of Parliament")</f>
        <v>Members of Parliament</v>
      </c>
    </row>
    <row r="779">
      <c r="A779" s="7" t="str">
        <f>IFERROR(__xludf.DUMMYFUNCTION("""COMPUTED_VALUE"""),"UGANDA")</f>
        <v>UGANDA</v>
      </c>
      <c r="B779" s="7">
        <f>IFERROR(__xludf.DUMMYFUNCTION("""COMPUTED_VALUE"""),7.0)</f>
        <v>7</v>
      </c>
      <c r="C779" s="7" t="str">
        <f>IFERROR(__xludf.DUMMYFUNCTION("""COMPUTED_VALUE"""),"B_04_06")</f>
        <v>B_04_06</v>
      </c>
      <c r="D779" s="7" t="str">
        <f>IFERROR(__xludf.DUMMYFUNCTION("""COMPUTED_VALUE"""),"Q54A")</f>
        <v>Q54A</v>
      </c>
      <c r="E779" s="7" t="str">
        <f>IFERROR(__xludf.DUMMYFUNCTION("""COMPUTED_VALUE"""),"Q54a. MPs listen")</f>
        <v>Q54a. MPs listen</v>
      </c>
      <c r="F779" s="7" t="str">
        <f>IFERROR(__xludf.DUMMYFUNCTION("""COMPUTED_VALUE"""),"Members of Parliament")</f>
        <v>Members of Parliament</v>
      </c>
    </row>
    <row r="780">
      <c r="A780" s="7" t="str">
        <f>IFERROR(__xludf.DUMMYFUNCTION("""COMPUTED_VALUE"""),"ZAMBIA")</f>
        <v>ZAMBIA</v>
      </c>
      <c r="B780" s="7">
        <f>IFERROR(__xludf.DUMMYFUNCTION("""COMPUTED_VALUE"""),7.0)</f>
        <v>7</v>
      </c>
      <c r="C780" s="7" t="str">
        <f>IFERROR(__xludf.DUMMYFUNCTION("""COMPUTED_VALUE"""),"B_04_06")</f>
        <v>B_04_06</v>
      </c>
      <c r="D780" s="7" t="str">
        <f>IFERROR(__xludf.DUMMYFUNCTION("""COMPUTED_VALUE"""),"Q54A")</f>
        <v>Q54A</v>
      </c>
      <c r="E780" s="7" t="str">
        <f>IFERROR(__xludf.DUMMYFUNCTION("""COMPUTED_VALUE"""),"Q54a. MPs listen")</f>
        <v>Q54a. MPs listen</v>
      </c>
      <c r="F780" s="7" t="str">
        <f>IFERROR(__xludf.DUMMYFUNCTION("""COMPUTED_VALUE"""),"Members of Parliament")</f>
        <v>Members of Parliament</v>
      </c>
    </row>
    <row r="781">
      <c r="A781" s="7" t="str">
        <f>IFERROR(__xludf.DUMMYFUNCTION("""COMPUTED_VALUE"""),"ZIMBABWE")</f>
        <v>ZIMBABWE</v>
      </c>
      <c r="B781" s="7">
        <f>IFERROR(__xludf.DUMMYFUNCTION("""COMPUTED_VALUE"""),7.0)</f>
        <v>7</v>
      </c>
      <c r="C781" s="7" t="str">
        <f>IFERROR(__xludf.DUMMYFUNCTION("""COMPUTED_VALUE"""),"B_04_06")</f>
        <v>B_04_06</v>
      </c>
      <c r="D781" s="7" t="str">
        <f>IFERROR(__xludf.DUMMYFUNCTION("""COMPUTED_VALUE"""),"Q54A")</f>
        <v>Q54A</v>
      </c>
      <c r="E781" s="7" t="str">
        <f>IFERROR(__xludf.DUMMYFUNCTION("""COMPUTED_VALUE"""),"Q54a. MPs listen")</f>
        <v>Q54a. MPs listen</v>
      </c>
      <c r="F781" s="7" t="str">
        <f>IFERROR(__xludf.DUMMYFUNCTION("""COMPUTED_VALUE"""),"Members of Parliament")</f>
        <v>Members of Parliament</v>
      </c>
    </row>
    <row r="782">
      <c r="A782" s="7" t="str">
        <f>IFERROR(__xludf.DUMMYFUNCTION("""COMPUTED_VALUE"""),"BENIN")</f>
        <v>BENIN</v>
      </c>
      <c r="B782" s="7">
        <f>IFERROR(__xludf.DUMMYFUNCTION("""COMPUTED_VALUE"""),7.0)</f>
        <v>7</v>
      </c>
      <c r="C782" s="7" t="str">
        <f>IFERROR(__xludf.DUMMYFUNCTION("""COMPUTED_VALUE"""),"B_03_15")</f>
        <v>B_03_15</v>
      </c>
      <c r="D782" s="7" t="str">
        <f>IFERROR(__xludf.DUMMYFUNCTION("""COMPUTED_VALUE"""),"Q54B")</f>
        <v>Q54B</v>
      </c>
      <c r="E782" s="7" t="str">
        <f>IFERROR(__xludf.DUMMYFUNCTION("""COMPUTED_VALUE"""),"Q54b. Local government councillors listen")</f>
        <v>Q54b. Local government councillors listen</v>
      </c>
      <c r="F782" s="7" t="str">
        <f>IFERROR(__xludf.DUMMYFUNCTION("""COMPUTED_VALUE"""),"Municipal/communal councilors")</f>
        <v>Municipal/communal councilors</v>
      </c>
    </row>
    <row r="783">
      <c r="A783" s="7" t="str">
        <f>IFERROR(__xludf.DUMMYFUNCTION("""COMPUTED_VALUE"""),"BOTSWANA")</f>
        <v>BOTSWANA</v>
      </c>
      <c r="B783" s="7">
        <f>IFERROR(__xludf.DUMMYFUNCTION("""COMPUTED_VALUE"""),7.0)</f>
        <v>7</v>
      </c>
      <c r="C783" s="7" t="str">
        <f>IFERROR(__xludf.DUMMYFUNCTION("""COMPUTED_VALUE"""),"B_03_15")</f>
        <v>B_03_15</v>
      </c>
      <c r="D783" s="7" t="str">
        <f>IFERROR(__xludf.DUMMYFUNCTION("""COMPUTED_VALUE"""),"Q54B")</f>
        <v>Q54B</v>
      </c>
      <c r="E783" s="7" t="str">
        <f>IFERROR(__xludf.DUMMYFUNCTION("""COMPUTED_VALUE"""),"Q54b. Local government councillors listen")</f>
        <v>Q54b. Local government councillors listen</v>
      </c>
      <c r="F783" s="7" t="str">
        <f>IFERROR(__xludf.DUMMYFUNCTION("""COMPUTED_VALUE"""),"Local government councilors")</f>
        <v>Local government councilors</v>
      </c>
    </row>
    <row r="784">
      <c r="A784" s="7" t="str">
        <f>IFERROR(__xludf.DUMMYFUNCTION("""COMPUTED_VALUE"""),"BURKINA FASO")</f>
        <v>BURKINA FASO</v>
      </c>
      <c r="B784" s="7">
        <f>IFERROR(__xludf.DUMMYFUNCTION("""COMPUTED_VALUE"""),7.0)</f>
        <v>7</v>
      </c>
      <c r="C784" s="7" t="str">
        <f>IFERROR(__xludf.DUMMYFUNCTION("""COMPUTED_VALUE"""),"B_03_15")</f>
        <v>B_03_15</v>
      </c>
      <c r="D784" s="7" t="str">
        <f>IFERROR(__xludf.DUMMYFUNCTION("""COMPUTED_VALUE"""),"Q54B")</f>
        <v>Q54B</v>
      </c>
      <c r="E784" s="7" t="str">
        <f>IFERROR(__xludf.DUMMYFUNCTION("""COMPUTED_VALUE"""),"Q54b. Local government councillors listen")</f>
        <v>Q54b. Local government councillors listen</v>
      </c>
      <c r="F784" s="7" t="str">
        <f>IFERROR(__xludf.DUMMYFUNCTION("""COMPUTED_VALUE"""),"Municipal councilors")</f>
        <v>Municipal councilors</v>
      </c>
    </row>
    <row r="785">
      <c r="A785" s="7" t="str">
        <f>IFERROR(__xludf.DUMMYFUNCTION("""COMPUTED_VALUE"""),"CABO VERDE")</f>
        <v>CABO VERDE</v>
      </c>
      <c r="B785" s="7">
        <f>IFERROR(__xludf.DUMMYFUNCTION("""COMPUTED_VALUE"""),7.0)</f>
        <v>7</v>
      </c>
      <c r="C785" s="7" t="str">
        <f>IFERROR(__xludf.DUMMYFUNCTION("""COMPUTED_VALUE"""),"B_03_15")</f>
        <v>B_03_15</v>
      </c>
      <c r="D785" s="7" t="str">
        <f>IFERROR(__xludf.DUMMYFUNCTION("""COMPUTED_VALUE"""),"Q54B")</f>
        <v>Q54B</v>
      </c>
      <c r="E785" s="7" t="str">
        <f>IFERROR(__xludf.DUMMYFUNCTION("""COMPUTED_VALUE"""),"Q54b. Local government councillors listen")</f>
        <v>Q54b. Local government councillors listen</v>
      </c>
      <c r="F785" s="7" t="str">
        <f>IFERROR(__xludf.DUMMYFUNCTION("""COMPUTED_VALUE"""),"Elected councilors")</f>
        <v>Elected councilors</v>
      </c>
    </row>
    <row r="786">
      <c r="A786" s="7" t="str">
        <f>IFERROR(__xludf.DUMMYFUNCTION("""COMPUTED_VALUE"""),"CAMEROON")</f>
        <v>CAMEROON</v>
      </c>
      <c r="B786" s="7">
        <f>IFERROR(__xludf.DUMMYFUNCTION("""COMPUTED_VALUE"""),7.0)</f>
        <v>7</v>
      </c>
      <c r="C786" s="7" t="str">
        <f>IFERROR(__xludf.DUMMYFUNCTION("""COMPUTED_VALUE"""),"B_03_15")</f>
        <v>B_03_15</v>
      </c>
      <c r="D786" s="7" t="str">
        <f>IFERROR(__xludf.DUMMYFUNCTION("""COMPUTED_VALUE"""),"Q54B")</f>
        <v>Q54B</v>
      </c>
      <c r="E786" s="7" t="str">
        <f>IFERROR(__xludf.DUMMYFUNCTION("""COMPUTED_VALUE"""),"Q54b. Local government councillors listen")</f>
        <v>Q54b. Local government councillors listen</v>
      </c>
      <c r="F786" s="7" t="str">
        <f>IFERROR(__xludf.DUMMYFUNCTION("""COMPUTED_VALUE"""),"The municipal/communal councilors")</f>
        <v>The municipal/communal councilors</v>
      </c>
    </row>
    <row r="787">
      <c r="A787" s="7" t="str">
        <f>IFERROR(__xludf.DUMMYFUNCTION("""COMPUTED_VALUE"""),"COTE D'IVOIRE")</f>
        <v>COTE D'IVOIRE</v>
      </c>
      <c r="B787" s="7">
        <f>IFERROR(__xludf.DUMMYFUNCTION("""COMPUTED_VALUE"""),7.0)</f>
        <v>7</v>
      </c>
      <c r="C787" s="7" t="str">
        <f>IFERROR(__xludf.DUMMYFUNCTION("""COMPUTED_VALUE"""),"B_03_15")</f>
        <v>B_03_15</v>
      </c>
      <c r="D787" s="7" t="str">
        <f>IFERROR(__xludf.DUMMYFUNCTION("""COMPUTED_VALUE"""),"Q54B")</f>
        <v>Q54B</v>
      </c>
      <c r="E787" s="7" t="str">
        <f>IFERROR(__xludf.DUMMYFUNCTION("""COMPUTED_VALUE"""),"Q54b. Local government councillors listen")</f>
        <v>Q54b. Local government councillors listen</v>
      </c>
      <c r="F787" s="7" t="str">
        <f>IFERROR(__xludf.DUMMYFUNCTION("""COMPUTED_VALUE"""),"Municipal councilors")</f>
        <v>Municipal councilors</v>
      </c>
    </row>
    <row r="788">
      <c r="A788" s="7" t="str">
        <f>IFERROR(__xludf.DUMMYFUNCTION("""COMPUTED_VALUE"""),"ESWATINI")</f>
        <v>ESWATINI</v>
      </c>
      <c r="B788" s="7">
        <f>IFERROR(__xludf.DUMMYFUNCTION("""COMPUTED_VALUE"""),7.0)</f>
        <v>7</v>
      </c>
      <c r="C788" s="7" t="str">
        <f>IFERROR(__xludf.DUMMYFUNCTION("""COMPUTED_VALUE"""),"B_03_15")</f>
        <v>B_03_15</v>
      </c>
      <c r="D788" s="7" t="str">
        <f>IFERROR(__xludf.DUMMYFUNCTION("""COMPUTED_VALUE"""),"Q54B")</f>
        <v>Q54B</v>
      </c>
      <c r="E788" s="7" t="str">
        <f>IFERROR(__xludf.DUMMYFUNCTION("""COMPUTED_VALUE"""),"Q54b. Local government councillors listen")</f>
        <v>Q54b. Local government councillors listen</v>
      </c>
      <c r="F788" s="7" t="str">
        <f>IFERROR(__xludf.DUMMYFUNCTION("""COMPUTED_VALUE"""),"Local government councilors")</f>
        <v>Local government councilors</v>
      </c>
    </row>
    <row r="789">
      <c r="A789" s="7" t="str">
        <f>IFERROR(__xludf.DUMMYFUNCTION("""COMPUTED_VALUE"""),"GABON")</f>
        <v>GABON</v>
      </c>
      <c r="B789" s="7">
        <f>IFERROR(__xludf.DUMMYFUNCTION("""COMPUTED_VALUE"""),7.0)</f>
        <v>7</v>
      </c>
      <c r="C789" s="7" t="str">
        <f>IFERROR(__xludf.DUMMYFUNCTION("""COMPUTED_VALUE"""),"B_03_15")</f>
        <v>B_03_15</v>
      </c>
      <c r="D789" s="7" t="str">
        <f>IFERROR(__xludf.DUMMYFUNCTION("""COMPUTED_VALUE"""),"Q54B")</f>
        <v>Q54B</v>
      </c>
      <c r="E789" s="7" t="str">
        <f>IFERROR(__xludf.DUMMYFUNCTION("""COMPUTED_VALUE"""),"Q54b. Local government councillors listen")</f>
        <v>Q54b. Local government councillors listen</v>
      </c>
      <c r="F789" s="7" t="str">
        <f>IFERROR(__xludf.DUMMYFUNCTION("""COMPUTED_VALUE"""),"Municipal/departmental councilors / Local representatives")</f>
        <v>Municipal/departmental councilors / Local representatives</v>
      </c>
    </row>
    <row r="790">
      <c r="A790" s="7" t="str">
        <f>IFERROR(__xludf.DUMMYFUNCTION("""COMPUTED_VALUE"""),"GAMBIA")</f>
        <v>GAMBIA</v>
      </c>
      <c r="B790" s="7">
        <f>IFERROR(__xludf.DUMMYFUNCTION("""COMPUTED_VALUE"""),7.0)</f>
        <v>7</v>
      </c>
      <c r="C790" s="7" t="str">
        <f>IFERROR(__xludf.DUMMYFUNCTION("""COMPUTED_VALUE"""),"B_03_15")</f>
        <v>B_03_15</v>
      </c>
      <c r="D790" s="7" t="str">
        <f>IFERROR(__xludf.DUMMYFUNCTION("""COMPUTED_VALUE"""),"Q54B")</f>
        <v>Q54B</v>
      </c>
      <c r="E790" s="7" t="str">
        <f>IFERROR(__xludf.DUMMYFUNCTION("""COMPUTED_VALUE"""),"Q54b. Local government councillors listen")</f>
        <v>Q54b. Local government councillors listen</v>
      </c>
      <c r="F790" s="7" t="str">
        <f>IFERROR(__xludf.DUMMYFUNCTION("""COMPUTED_VALUE"""),"Local Government Councillors")</f>
        <v>Local Government Councillors</v>
      </c>
    </row>
    <row r="791">
      <c r="A791" s="7" t="str">
        <f>IFERROR(__xludf.DUMMYFUNCTION("""COMPUTED_VALUE"""),"GHANA")</f>
        <v>GHANA</v>
      </c>
      <c r="B791" s="7">
        <f>IFERROR(__xludf.DUMMYFUNCTION("""COMPUTED_VALUE"""),7.0)</f>
        <v>7</v>
      </c>
      <c r="C791" s="7" t="str">
        <f>IFERROR(__xludf.DUMMYFUNCTION("""COMPUTED_VALUE"""),"B_03_15")</f>
        <v>B_03_15</v>
      </c>
      <c r="D791" s="7" t="str">
        <f>IFERROR(__xludf.DUMMYFUNCTION("""COMPUTED_VALUE"""),"Q54B")</f>
        <v>Q54B</v>
      </c>
      <c r="E791" s="7" t="str">
        <f>IFERROR(__xludf.DUMMYFUNCTION("""COMPUTED_VALUE"""),"Q54b. Local government councillors listen")</f>
        <v>Q54b. Local government councillors listen</v>
      </c>
      <c r="F791" s="7" t="str">
        <f>IFERROR(__xludf.DUMMYFUNCTION("""COMPUTED_VALUE"""),"Assembly men or women")</f>
        <v>Assembly men or women</v>
      </c>
    </row>
    <row r="792">
      <c r="A792" s="7" t="str">
        <f>IFERROR(__xludf.DUMMYFUNCTION("""COMPUTED_VALUE"""),"GUINEA")</f>
        <v>GUINEA</v>
      </c>
      <c r="B792" s="7">
        <f>IFERROR(__xludf.DUMMYFUNCTION("""COMPUTED_VALUE"""),7.0)</f>
        <v>7</v>
      </c>
      <c r="C792" s="7" t="str">
        <f>IFERROR(__xludf.DUMMYFUNCTION("""COMPUTED_VALUE"""),"B_03_15")</f>
        <v>B_03_15</v>
      </c>
      <c r="D792" s="7" t="str">
        <f>IFERROR(__xludf.DUMMYFUNCTION("""COMPUTED_VALUE"""),"Q54B")</f>
        <v>Q54B</v>
      </c>
      <c r="E792" s="7" t="str">
        <f>IFERROR(__xludf.DUMMYFUNCTION("""COMPUTED_VALUE"""),"Q54b. Local government councillors listen")</f>
        <v>Q54b. Local government councillors listen</v>
      </c>
      <c r="F792" s="7" t="str">
        <f>IFERROR(__xludf.DUMMYFUNCTION("""COMPUTED_VALUE"""),"Communal councilors")</f>
        <v>Communal councilors</v>
      </c>
    </row>
    <row r="793">
      <c r="A793" s="7" t="str">
        <f>IFERROR(__xludf.DUMMYFUNCTION("""COMPUTED_VALUE"""),"KENYA")</f>
        <v>KENYA</v>
      </c>
      <c r="B793" s="7">
        <f>IFERROR(__xludf.DUMMYFUNCTION("""COMPUTED_VALUE"""),7.0)</f>
        <v>7</v>
      </c>
      <c r="C793" s="7" t="str">
        <f>IFERROR(__xludf.DUMMYFUNCTION("""COMPUTED_VALUE"""),"B_03_15")</f>
        <v>B_03_15</v>
      </c>
      <c r="D793" s="7" t="str">
        <f>IFERROR(__xludf.DUMMYFUNCTION("""COMPUTED_VALUE"""),"Q54B")</f>
        <v>Q54B</v>
      </c>
      <c r="E793" s="7" t="str">
        <f>IFERROR(__xludf.DUMMYFUNCTION("""COMPUTED_VALUE"""),"Q54b. Local government councillors listen")</f>
        <v>Q54b. Local government councillors listen</v>
      </c>
      <c r="F793" s="7" t="str">
        <f>IFERROR(__xludf.DUMMYFUNCTION("""COMPUTED_VALUE"""),"Members of County Assembly")</f>
        <v>Members of County Assembly</v>
      </c>
    </row>
    <row r="794">
      <c r="A794" s="7" t="str">
        <f>IFERROR(__xludf.DUMMYFUNCTION("""COMPUTED_VALUE"""),"LESOTHO")</f>
        <v>LESOTHO</v>
      </c>
      <c r="B794" s="7">
        <f>IFERROR(__xludf.DUMMYFUNCTION("""COMPUTED_VALUE"""),7.0)</f>
        <v>7</v>
      </c>
      <c r="C794" s="7" t="str">
        <f>IFERROR(__xludf.DUMMYFUNCTION("""COMPUTED_VALUE"""),"B_03_15")</f>
        <v>B_03_15</v>
      </c>
      <c r="D794" s="7" t="str">
        <f>IFERROR(__xludf.DUMMYFUNCTION("""COMPUTED_VALUE"""),"Q54B")</f>
        <v>Q54B</v>
      </c>
      <c r="E794" s="7" t="str">
        <f>IFERROR(__xludf.DUMMYFUNCTION("""COMPUTED_VALUE"""),"Q54b. Local government councillors listen")</f>
        <v>Q54b. Local government councillors listen</v>
      </c>
      <c r="F794" s="7" t="str">
        <f>IFERROR(__xludf.DUMMYFUNCTION("""COMPUTED_VALUE"""),"Community councillors")</f>
        <v>Community councillors</v>
      </c>
    </row>
    <row r="795">
      <c r="A795" s="7" t="str">
        <f>IFERROR(__xludf.DUMMYFUNCTION("""COMPUTED_VALUE"""),"LIBERIA")</f>
        <v>LIBERIA</v>
      </c>
      <c r="B795" s="7">
        <f>IFERROR(__xludf.DUMMYFUNCTION("""COMPUTED_VALUE"""),7.0)</f>
        <v>7</v>
      </c>
      <c r="C795" s="7" t="str">
        <f>IFERROR(__xludf.DUMMYFUNCTION("""COMPUTED_VALUE"""),"B_03_15")</f>
        <v>B_03_15</v>
      </c>
      <c r="D795" s="7" t="str">
        <f>IFERROR(__xludf.DUMMYFUNCTION("""COMPUTED_VALUE"""),"Q54B")</f>
        <v>Q54B</v>
      </c>
      <c r="E795" s="7" t="str">
        <f>IFERROR(__xludf.DUMMYFUNCTION("""COMPUTED_VALUE"""),"Q54b. Local government councillors listen")</f>
        <v>Q54b. Local government councillors listen</v>
      </c>
      <c r="F795" s="7" t="str">
        <f>IFERROR(__xludf.DUMMYFUNCTION("""COMPUTED_VALUE"""),"Members of local authority council")</f>
        <v>Members of local authority council</v>
      </c>
    </row>
    <row r="796">
      <c r="A796" s="7" t="str">
        <f>IFERROR(__xludf.DUMMYFUNCTION("""COMPUTED_VALUE"""),"MADAGASCAR")</f>
        <v>MADAGASCAR</v>
      </c>
      <c r="B796" s="7">
        <f>IFERROR(__xludf.DUMMYFUNCTION("""COMPUTED_VALUE"""),7.0)</f>
        <v>7</v>
      </c>
      <c r="C796" s="7" t="str">
        <f>IFERROR(__xludf.DUMMYFUNCTION("""COMPUTED_VALUE"""),"B_03_15")</f>
        <v>B_03_15</v>
      </c>
      <c r="D796" s="7" t="str">
        <f>IFERROR(__xludf.DUMMYFUNCTION("""COMPUTED_VALUE"""),"Q54B")</f>
        <v>Q54B</v>
      </c>
      <c r="E796" s="7" t="str">
        <f>IFERROR(__xludf.DUMMYFUNCTION("""COMPUTED_VALUE"""),"Q54b. Local government councillors listen")</f>
        <v>Q54b. Local government councillors listen</v>
      </c>
      <c r="F796" s="7" t="str">
        <f>IFERROR(__xludf.DUMMYFUNCTION("""COMPUTED_VALUE"""),"Municipal/communal councilors")</f>
        <v>Municipal/communal councilors</v>
      </c>
    </row>
    <row r="797">
      <c r="A797" s="7" t="str">
        <f>IFERROR(__xludf.DUMMYFUNCTION("""COMPUTED_VALUE"""),"MALAWI")</f>
        <v>MALAWI</v>
      </c>
      <c r="B797" s="7">
        <f>IFERROR(__xludf.DUMMYFUNCTION("""COMPUTED_VALUE"""),7.0)</f>
        <v>7</v>
      </c>
      <c r="C797" s="7" t="str">
        <f>IFERROR(__xludf.DUMMYFUNCTION("""COMPUTED_VALUE"""),"B_03_15")</f>
        <v>B_03_15</v>
      </c>
      <c r="D797" s="7" t="str">
        <f>IFERROR(__xludf.DUMMYFUNCTION("""COMPUTED_VALUE"""),"Q54B")</f>
        <v>Q54B</v>
      </c>
      <c r="E797" s="7" t="str">
        <f>IFERROR(__xludf.DUMMYFUNCTION("""COMPUTED_VALUE"""),"Q54b. Local government councillors listen")</f>
        <v>Q54b. Local government councillors listen</v>
      </c>
      <c r="F797" s="7" t="str">
        <f>IFERROR(__xludf.DUMMYFUNCTION("""COMPUTED_VALUE"""),"Ward councillors")</f>
        <v>Ward councillors</v>
      </c>
    </row>
    <row r="798">
      <c r="A798" s="7" t="str">
        <f>IFERROR(__xludf.DUMMYFUNCTION("""COMPUTED_VALUE"""),"MALI")</f>
        <v>MALI</v>
      </c>
      <c r="B798" s="7">
        <f>IFERROR(__xludf.DUMMYFUNCTION("""COMPUTED_VALUE"""),7.0)</f>
        <v>7</v>
      </c>
      <c r="C798" s="7" t="str">
        <f>IFERROR(__xludf.DUMMYFUNCTION("""COMPUTED_VALUE"""),"B_03_15")</f>
        <v>B_03_15</v>
      </c>
      <c r="D798" s="7" t="str">
        <f>IFERROR(__xludf.DUMMYFUNCTION("""COMPUTED_VALUE"""),"Q54B")</f>
        <v>Q54B</v>
      </c>
      <c r="E798" s="7" t="str">
        <f>IFERROR(__xludf.DUMMYFUNCTION("""COMPUTED_VALUE"""),"Q54b. Local government councillors listen")</f>
        <v>Q54b. Local government councillors listen</v>
      </c>
      <c r="F798" s="7" t="str">
        <f>IFERROR(__xludf.DUMMYFUNCTION("""COMPUTED_VALUE"""),"Local councilors")</f>
        <v>Local councilors</v>
      </c>
    </row>
    <row r="799">
      <c r="A799" s="7" t="str">
        <f>IFERROR(__xludf.DUMMYFUNCTION("""COMPUTED_VALUE"""),"MAURITIUS")</f>
        <v>MAURITIUS</v>
      </c>
      <c r="B799" s="7">
        <f>IFERROR(__xludf.DUMMYFUNCTION("""COMPUTED_VALUE"""),7.0)</f>
        <v>7</v>
      </c>
      <c r="C799" s="7" t="str">
        <f>IFERROR(__xludf.DUMMYFUNCTION("""COMPUTED_VALUE"""),"B_03_15")</f>
        <v>B_03_15</v>
      </c>
      <c r="D799" s="7" t="str">
        <f>IFERROR(__xludf.DUMMYFUNCTION("""COMPUTED_VALUE"""),"Q54B")</f>
        <v>Q54B</v>
      </c>
      <c r="E799" s="7" t="str">
        <f>IFERROR(__xludf.DUMMYFUNCTION("""COMPUTED_VALUE"""),"Q54b. Local government councillors listen")</f>
        <v>Q54b. Local government councillors listen</v>
      </c>
      <c r="F799" s="7" t="str">
        <f>IFERROR(__xludf.DUMMYFUNCTION("""COMPUTED_VALUE"""),"Members of Municipal or District Council")</f>
        <v>Members of Municipal or District Council</v>
      </c>
    </row>
    <row r="800">
      <c r="A800" s="7" t="str">
        <f>IFERROR(__xludf.DUMMYFUNCTION("""COMPUTED_VALUE"""),"MOROCCO")</f>
        <v>MOROCCO</v>
      </c>
      <c r="B800" s="7">
        <f>IFERROR(__xludf.DUMMYFUNCTION("""COMPUTED_VALUE"""),7.0)</f>
        <v>7</v>
      </c>
      <c r="C800" s="7" t="str">
        <f>IFERROR(__xludf.DUMMYFUNCTION("""COMPUTED_VALUE"""),"B_03_15")</f>
        <v>B_03_15</v>
      </c>
      <c r="D800" s="7" t="str">
        <f>IFERROR(__xludf.DUMMYFUNCTION("""COMPUTED_VALUE"""),"Q54B")</f>
        <v>Q54B</v>
      </c>
      <c r="E800" s="7" t="str">
        <f>IFERROR(__xludf.DUMMYFUNCTION("""COMPUTED_VALUE"""),"Q54b. Local government councillors listen")</f>
        <v>Q54b. Local government councillors listen</v>
      </c>
      <c r="F800" s="7" t="str">
        <f>IFERROR(__xludf.DUMMYFUNCTION("""COMPUTED_VALUE"""),"Members of the local council")</f>
        <v>Members of the local council</v>
      </c>
    </row>
    <row r="801">
      <c r="A801" s="7" t="str">
        <f>IFERROR(__xludf.DUMMYFUNCTION("""COMPUTED_VALUE"""),"MOZAMBIQUE")</f>
        <v>MOZAMBIQUE</v>
      </c>
      <c r="B801" s="7">
        <f>IFERROR(__xludf.DUMMYFUNCTION("""COMPUTED_VALUE"""),7.0)</f>
        <v>7</v>
      </c>
      <c r="C801" s="7" t="str">
        <f>IFERROR(__xludf.DUMMYFUNCTION("""COMPUTED_VALUE"""),"B_03_15")</f>
        <v>B_03_15</v>
      </c>
      <c r="D801" s="7" t="str">
        <f>IFERROR(__xludf.DUMMYFUNCTION("""COMPUTED_VALUE"""),"Q54B")</f>
        <v>Q54B</v>
      </c>
      <c r="E801" s="7" t="str">
        <f>IFERROR(__xludf.DUMMYFUNCTION("""COMPUTED_VALUE"""),"Q54b. Local government councillors listen")</f>
        <v>Q54b. Local government councillors listen</v>
      </c>
      <c r="F801" s="7" t="str">
        <f>IFERROR(__xludf.DUMMYFUNCTION("""COMPUTED_VALUE"""),"Members of the Municipal Assembly")</f>
        <v>Members of the Municipal Assembly</v>
      </c>
    </row>
    <row r="802">
      <c r="A802" s="7" t="str">
        <f>IFERROR(__xludf.DUMMYFUNCTION("""COMPUTED_VALUE"""),"NAMIBIA")</f>
        <v>NAMIBIA</v>
      </c>
      <c r="B802" s="7">
        <f>IFERROR(__xludf.DUMMYFUNCTION("""COMPUTED_VALUE"""),7.0)</f>
        <v>7</v>
      </c>
      <c r="C802" s="7" t="str">
        <f>IFERROR(__xludf.DUMMYFUNCTION("""COMPUTED_VALUE"""),"B_03_15")</f>
        <v>B_03_15</v>
      </c>
      <c r="D802" s="7" t="str">
        <f>IFERROR(__xludf.DUMMYFUNCTION("""COMPUTED_VALUE"""),"Q54B")</f>
        <v>Q54B</v>
      </c>
      <c r="E802" s="7" t="str">
        <f>IFERROR(__xludf.DUMMYFUNCTION("""COMPUTED_VALUE"""),"Q54b. Local government councillors listen")</f>
        <v>Q54b. Local government councillors listen</v>
      </c>
      <c r="F802" s="7" t="str">
        <f>IFERROR(__xludf.DUMMYFUNCTION("""COMPUTED_VALUE"""),"Local Authority Councilors
Regional Councilors
")</f>
        <v>Local Authority Councilors
Regional Councilors
</v>
      </c>
    </row>
    <row r="803">
      <c r="A803" s="7" t="str">
        <f>IFERROR(__xludf.DUMMYFUNCTION("""COMPUTED_VALUE"""),"NIGER")</f>
        <v>NIGER</v>
      </c>
      <c r="B803" s="7">
        <f>IFERROR(__xludf.DUMMYFUNCTION("""COMPUTED_VALUE"""),7.0)</f>
        <v>7</v>
      </c>
      <c r="C803" s="7" t="str">
        <f>IFERROR(__xludf.DUMMYFUNCTION("""COMPUTED_VALUE"""),"B_03_15")</f>
        <v>B_03_15</v>
      </c>
      <c r="D803" s="7" t="str">
        <f>IFERROR(__xludf.DUMMYFUNCTION("""COMPUTED_VALUE"""),"Q54B")</f>
        <v>Q54B</v>
      </c>
      <c r="E803" s="7" t="str">
        <f>IFERROR(__xludf.DUMMYFUNCTION("""COMPUTED_VALUE"""),"Q54b. Local government councillors listen")</f>
        <v>Q54b. Local government councillors listen</v>
      </c>
      <c r="F803" s="7" t="str">
        <f>IFERROR(__xludf.DUMMYFUNCTION("""COMPUTED_VALUE"""),"The municipal or communal councilors")</f>
        <v>The municipal or communal councilors</v>
      </c>
    </row>
    <row r="804">
      <c r="A804" s="7" t="str">
        <f>IFERROR(__xludf.DUMMYFUNCTION("""COMPUTED_VALUE"""),"NIGERIA")</f>
        <v>NIGERIA</v>
      </c>
      <c r="B804" s="7">
        <f>IFERROR(__xludf.DUMMYFUNCTION("""COMPUTED_VALUE"""),7.0)</f>
        <v>7</v>
      </c>
      <c r="C804" s="7" t="str">
        <f>IFERROR(__xludf.DUMMYFUNCTION("""COMPUTED_VALUE"""),"B_03_15")</f>
        <v>B_03_15</v>
      </c>
      <c r="D804" s="7" t="str">
        <f>IFERROR(__xludf.DUMMYFUNCTION("""COMPUTED_VALUE"""),"Q54B")</f>
        <v>Q54B</v>
      </c>
      <c r="E804" s="7" t="str">
        <f>IFERROR(__xludf.DUMMYFUNCTION("""COMPUTED_VALUE"""),"Q54b. Local government councillors listen")</f>
        <v>Q54b. Local government councillors listen</v>
      </c>
      <c r="F804" s="7" t="str">
        <f>IFERROR(__xludf.DUMMYFUNCTION("""COMPUTED_VALUE"""),"Local government councilors")</f>
        <v>Local government councilors</v>
      </c>
    </row>
    <row r="805">
      <c r="A805" s="7" t="str">
        <f>IFERROR(__xludf.DUMMYFUNCTION("""COMPUTED_VALUE"""),"SAO TOME AND PRINCIPE")</f>
        <v>SAO TOME AND PRINCIPE</v>
      </c>
      <c r="B805" s="7">
        <f>IFERROR(__xludf.DUMMYFUNCTION("""COMPUTED_VALUE"""),7.0)</f>
        <v>7</v>
      </c>
      <c r="C805" s="7" t="str">
        <f>IFERROR(__xludf.DUMMYFUNCTION("""COMPUTED_VALUE"""),"B_03_15")</f>
        <v>B_03_15</v>
      </c>
      <c r="D805" s="7" t="str">
        <f>IFERROR(__xludf.DUMMYFUNCTION("""COMPUTED_VALUE"""),"Q54B")</f>
        <v>Q54B</v>
      </c>
      <c r="E805" s="7" t="str">
        <f>IFERROR(__xludf.DUMMYFUNCTION("""COMPUTED_VALUE"""),"Q54b. Local government councillors listen")</f>
        <v>Q54b. Local government councillors listen</v>
      </c>
      <c r="F805" s="7" t="str">
        <f>IFERROR(__xludf.DUMMYFUNCTION("""COMPUTED_VALUE"""),"The District Executive (President and councilors)")</f>
        <v>The District Executive (President and councilors)</v>
      </c>
    </row>
    <row r="806">
      <c r="A806" s="7" t="str">
        <f>IFERROR(__xludf.DUMMYFUNCTION("""COMPUTED_VALUE"""),"SENEGAL")</f>
        <v>SENEGAL</v>
      </c>
      <c r="B806" s="7">
        <f>IFERROR(__xludf.DUMMYFUNCTION("""COMPUTED_VALUE"""),7.0)</f>
        <v>7</v>
      </c>
      <c r="C806" s="7" t="str">
        <f>IFERROR(__xludf.DUMMYFUNCTION("""COMPUTED_VALUE"""),"B_03_15")</f>
        <v>B_03_15</v>
      </c>
      <c r="D806" s="7" t="str">
        <f>IFERROR(__xludf.DUMMYFUNCTION("""COMPUTED_VALUE"""),"Q54B")</f>
        <v>Q54B</v>
      </c>
      <c r="E806" s="7" t="str">
        <f>IFERROR(__xludf.DUMMYFUNCTION("""COMPUTED_VALUE"""),"Q54b. Local government councillors listen")</f>
        <v>Q54b. Local government councillors listen</v>
      </c>
      <c r="F806" s="7" t="str">
        <f>IFERROR(__xludf.DUMMYFUNCTION("""COMPUTED_VALUE"""),"Municipal/communal councillors")</f>
        <v>Municipal/communal councillors</v>
      </c>
    </row>
    <row r="807">
      <c r="A807" s="7" t="str">
        <f>IFERROR(__xludf.DUMMYFUNCTION("""COMPUTED_VALUE"""),"SIERRA LEONE")</f>
        <v>SIERRA LEONE</v>
      </c>
      <c r="B807" s="7">
        <f>IFERROR(__xludf.DUMMYFUNCTION("""COMPUTED_VALUE"""),7.0)</f>
        <v>7</v>
      </c>
      <c r="C807" s="7" t="str">
        <f>IFERROR(__xludf.DUMMYFUNCTION("""COMPUTED_VALUE"""),"B_03_15")</f>
        <v>B_03_15</v>
      </c>
      <c r="D807" s="7" t="str">
        <f>IFERROR(__xludf.DUMMYFUNCTION("""COMPUTED_VALUE"""),"Q54B")</f>
        <v>Q54B</v>
      </c>
      <c r="E807" s="7" t="str">
        <f>IFERROR(__xludf.DUMMYFUNCTION("""COMPUTED_VALUE"""),"Q54b. Local government councillors listen")</f>
        <v>Q54b. Local government councillors listen</v>
      </c>
      <c r="F807" s="7" t="str">
        <f>IFERROR(__xludf.DUMMYFUNCTION("""COMPUTED_VALUE"""),"Councillors")</f>
        <v>Councillors</v>
      </c>
    </row>
    <row r="808">
      <c r="A808" s="7" t="str">
        <f>IFERROR(__xludf.DUMMYFUNCTION("""COMPUTED_VALUE"""),"SOUTH AFRICA")</f>
        <v>SOUTH AFRICA</v>
      </c>
      <c r="B808" s="7">
        <f>IFERROR(__xludf.DUMMYFUNCTION("""COMPUTED_VALUE"""),7.0)</f>
        <v>7</v>
      </c>
      <c r="C808" s="7" t="str">
        <f>IFERROR(__xludf.DUMMYFUNCTION("""COMPUTED_VALUE"""),"B_03_15")</f>
        <v>B_03_15</v>
      </c>
      <c r="D808" s="7" t="str">
        <f>IFERROR(__xludf.DUMMYFUNCTION("""COMPUTED_VALUE"""),"Q54B")</f>
        <v>Q54B</v>
      </c>
      <c r="E808" s="7" t="str">
        <f>IFERROR(__xludf.DUMMYFUNCTION("""COMPUTED_VALUE"""),"Q54b. Local government councillors listen")</f>
        <v>Q54b. Local government councillors listen</v>
      </c>
      <c r="F808" s="7" t="str">
        <f>IFERROR(__xludf.DUMMYFUNCTION("""COMPUTED_VALUE"""),"Local Government Councilors")</f>
        <v>Local Government Councilors</v>
      </c>
    </row>
    <row r="809">
      <c r="A809" s="7" t="str">
        <f>IFERROR(__xludf.DUMMYFUNCTION("""COMPUTED_VALUE"""),"SUDAN")</f>
        <v>SUDAN</v>
      </c>
      <c r="B809" s="7">
        <f>IFERROR(__xludf.DUMMYFUNCTION("""COMPUTED_VALUE"""),7.0)</f>
        <v>7</v>
      </c>
      <c r="C809" s="7" t="str">
        <f>IFERROR(__xludf.DUMMYFUNCTION("""COMPUTED_VALUE"""),"B_03_15")</f>
        <v>B_03_15</v>
      </c>
      <c r="D809" s="7" t="str">
        <f>IFERROR(__xludf.DUMMYFUNCTION("""COMPUTED_VALUE"""),"Q54B")</f>
        <v>Q54B</v>
      </c>
      <c r="E809" s="7" t="str">
        <f>IFERROR(__xludf.DUMMYFUNCTION("""COMPUTED_VALUE"""),"Q54b. Local government councillors listen")</f>
        <v>Q54b. Local government councillors listen</v>
      </c>
      <c r="F809" s="7" t="str">
        <f>IFERROR(__xludf.DUMMYFUNCTION("""COMPUTED_VALUE"""),"Local Government Councilors")</f>
        <v>Local Government Councilors</v>
      </c>
    </row>
    <row r="810">
      <c r="A810" s="7" t="str">
        <f>IFERROR(__xludf.DUMMYFUNCTION("""COMPUTED_VALUE"""),"TANZANIA")</f>
        <v>TANZANIA</v>
      </c>
      <c r="B810" s="7">
        <f>IFERROR(__xludf.DUMMYFUNCTION("""COMPUTED_VALUE"""),7.0)</f>
        <v>7</v>
      </c>
      <c r="C810" s="7" t="str">
        <f>IFERROR(__xludf.DUMMYFUNCTION("""COMPUTED_VALUE"""),"B_03_15")</f>
        <v>B_03_15</v>
      </c>
      <c r="D810" s="7" t="str">
        <f>IFERROR(__xludf.DUMMYFUNCTION("""COMPUTED_VALUE"""),"Q54B")</f>
        <v>Q54B</v>
      </c>
      <c r="E810" s="7" t="str">
        <f>IFERROR(__xludf.DUMMYFUNCTION("""COMPUTED_VALUE"""),"Q54b. Local government councillors listen")</f>
        <v>Q54b. Local government councillors listen</v>
      </c>
      <c r="F810" s="7" t="str">
        <f>IFERROR(__xludf.DUMMYFUNCTION("""COMPUTED_VALUE"""),"Local Government Councilors")</f>
        <v>Local Government Councilors</v>
      </c>
    </row>
    <row r="811">
      <c r="A811" s="7" t="str">
        <f>IFERROR(__xludf.DUMMYFUNCTION("""COMPUTED_VALUE"""),"TOGO")</f>
        <v>TOGO</v>
      </c>
      <c r="B811" s="7">
        <f>IFERROR(__xludf.DUMMYFUNCTION("""COMPUTED_VALUE"""),7.0)</f>
        <v>7</v>
      </c>
      <c r="C811" s="7" t="str">
        <f>IFERROR(__xludf.DUMMYFUNCTION("""COMPUTED_VALUE"""),"B_03_15")</f>
        <v>B_03_15</v>
      </c>
      <c r="D811" s="7" t="str">
        <f>IFERROR(__xludf.DUMMYFUNCTION("""COMPUTED_VALUE"""),"Q54B")</f>
        <v>Q54B</v>
      </c>
      <c r="E811" s="7" t="str">
        <f>IFERROR(__xludf.DUMMYFUNCTION("""COMPUTED_VALUE"""),"Q54b. Local government councillors listen")</f>
        <v>Q54b. Local government councillors listen</v>
      </c>
      <c r="F811" s="7" t="str">
        <f>IFERROR(__xludf.DUMMYFUNCTION("""COMPUTED_VALUE"""),"Municipal/communal councillors")</f>
        <v>Municipal/communal councillors</v>
      </c>
    </row>
    <row r="812">
      <c r="A812" s="7" t="str">
        <f>IFERROR(__xludf.DUMMYFUNCTION("""COMPUTED_VALUE"""),"TUNISIA")</f>
        <v>TUNISIA</v>
      </c>
      <c r="B812" s="7">
        <f>IFERROR(__xludf.DUMMYFUNCTION("""COMPUTED_VALUE"""),7.0)</f>
        <v>7</v>
      </c>
      <c r="C812" s="7" t="str">
        <f>IFERROR(__xludf.DUMMYFUNCTION("""COMPUTED_VALUE"""),"B_03_15")</f>
        <v>B_03_15</v>
      </c>
      <c r="D812" s="7" t="str">
        <f>IFERROR(__xludf.DUMMYFUNCTION("""COMPUTED_VALUE"""),"Q54B")</f>
        <v>Q54B</v>
      </c>
      <c r="E812" s="7" t="str">
        <f>IFERROR(__xludf.DUMMYFUNCTION("""COMPUTED_VALUE"""),"Q54b. Local government councillors listen")</f>
        <v>Q54b. Local government councillors listen</v>
      </c>
      <c r="F812" s="7" t="str">
        <f>IFERROR(__xludf.DUMMYFUNCTION("""COMPUTED_VALUE"""),"Local Government Councilors")</f>
        <v>Local Government Councilors</v>
      </c>
    </row>
    <row r="813">
      <c r="A813" s="7" t="str">
        <f>IFERROR(__xludf.DUMMYFUNCTION("""COMPUTED_VALUE"""),"UGANDA")</f>
        <v>UGANDA</v>
      </c>
      <c r="B813" s="7">
        <f>IFERROR(__xludf.DUMMYFUNCTION("""COMPUTED_VALUE"""),7.0)</f>
        <v>7</v>
      </c>
      <c r="C813" s="7" t="str">
        <f>IFERROR(__xludf.DUMMYFUNCTION("""COMPUTED_VALUE"""),"B_03_15")</f>
        <v>B_03_15</v>
      </c>
      <c r="D813" s="7" t="str">
        <f>IFERROR(__xludf.DUMMYFUNCTION("""COMPUTED_VALUE"""),"Q54B")</f>
        <v>Q54B</v>
      </c>
      <c r="E813" s="7" t="str">
        <f>IFERROR(__xludf.DUMMYFUNCTION("""COMPUTED_VALUE"""),"Q54b. Local government councillors listen")</f>
        <v>Q54b. Local government councillors listen</v>
      </c>
      <c r="F813" s="7" t="str">
        <f>IFERROR(__xludf.DUMMYFUNCTION("""COMPUTED_VALUE"""),"District Councillors")</f>
        <v>District Councillors</v>
      </c>
    </row>
    <row r="814">
      <c r="A814" s="7" t="str">
        <f>IFERROR(__xludf.DUMMYFUNCTION("""COMPUTED_VALUE"""),"ZAMBIA")</f>
        <v>ZAMBIA</v>
      </c>
      <c r="B814" s="7">
        <f>IFERROR(__xludf.DUMMYFUNCTION("""COMPUTED_VALUE"""),7.0)</f>
        <v>7</v>
      </c>
      <c r="C814" s="7" t="str">
        <f>IFERROR(__xludf.DUMMYFUNCTION("""COMPUTED_VALUE"""),"B_03_15")</f>
        <v>B_03_15</v>
      </c>
      <c r="D814" s="7" t="str">
        <f>IFERROR(__xludf.DUMMYFUNCTION("""COMPUTED_VALUE"""),"Q54B")</f>
        <v>Q54B</v>
      </c>
      <c r="E814" s="7" t="str">
        <f>IFERROR(__xludf.DUMMYFUNCTION("""COMPUTED_VALUE"""),"Q54b. Local government councillors listen")</f>
        <v>Q54b. Local government councillors listen</v>
      </c>
      <c r="F814" s="7" t="str">
        <f>IFERROR(__xludf.DUMMYFUNCTION("""COMPUTED_VALUE"""),"Local Government councilors")</f>
        <v>Local Government councilors</v>
      </c>
    </row>
    <row r="815">
      <c r="A815" s="7" t="str">
        <f>IFERROR(__xludf.DUMMYFUNCTION("""COMPUTED_VALUE"""),"ZIMBABWE")</f>
        <v>ZIMBABWE</v>
      </c>
      <c r="B815" s="7">
        <f>IFERROR(__xludf.DUMMYFUNCTION("""COMPUTED_VALUE"""),7.0)</f>
        <v>7</v>
      </c>
      <c r="C815" s="7" t="str">
        <f>IFERROR(__xludf.DUMMYFUNCTION("""COMPUTED_VALUE"""),"B_03_15")</f>
        <v>B_03_15</v>
      </c>
      <c r="D815" s="7" t="str">
        <f>IFERROR(__xludf.DUMMYFUNCTION("""COMPUTED_VALUE"""),"Q54B")</f>
        <v>Q54B</v>
      </c>
      <c r="E815" s="7" t="str">
        <f>IFERROR(__xludf.DUMMYFUNCTION("""COMPUTED_VALUE"""),"Q54b. Local government councillors listen")</f>
        <v>Q54b. Local government councillors listen</v>
      </c>
      <c r="F815" s="7" t="str">
        <f>IFERROR(__xludf.DUMMYFUNCTION("""COMPUTED_VALUE"""),"Local Government councilors")</f>
        <v>Local Government councilors</v>
      </c>
    </row>
    <row r="816">
      <c r="A816" s="7" t="str">
        <f>IFERROR(__xludf.DUMMYFUNCTION("""COMPUTED_VALUE"""),"BENIN")</f>
        <v>BENIN</v>
      </c>
      <c r="B816" s="7">
        <f>IFERROR(__xludf.DUMMYFUNCTION("""COMPUTED_VALUE"""),7.0)</f>
        <v>7</v>
      </c>
      <c r="C816" s="7" t="str">
        <f>IFERROR(__xludf.DUMMYFUNCTION("""COMPUTED_VALUE"""),"B_04_01")</f>
        <v>B_04_01</v>
      </c>
      <c r="D816" s="7" t="str">
        <f>IFERROR(__xludf.DUMMYFUNCTION("""COMPUTED_VALUE"""),"Q57F")</f>
        <v>Q57F</v>
      </c>
      <c r="E816" s="7" t="str">
        <f>IFERROR(__xludf.DUMMYFUNCTION("""COMPUTED_VALUE"""),"Q57f. Better or worse: MPs listen")</f>
        <v>Q57f. Better or worse: MPs listen</v>
      </c>
      <c r="F816" s="7" t="str">
        <f>IFERROR(__xludf.DUMMYFUNCTION("""COMPUTED_VALUE"""),"Members of national assemply")</f>
        <v>Members of national assemply</v>
      </c>
    </row>
    <row r="817">
      <c r="A817" s="7" t="str">
        <f>IFERROR(__xludf.DUMMYFUNCTION("""COMPUTED_VALUE"""),"BOTSWANA")</f>
        <v>BOTSWANA</v>
      </c>
      <c r="B817" s="7">
        <f>IFERROR(__xludf.DUMMYFUNCTION("""COMPUTED_VALUE"""),7.0)</f>
        <v>7</v>
      </c>
      <c r="C817" s="7" t="str">
        <f>IFERROR(__xludf.DUMMYFUNCTION("""COMPUTED_VALUE"""),"B_04_01")</f>
        <v>B_04_01</v>
      </c>
      <c r="D817" s="7" t="str">
        <f>IFERROR(__xludf.DUMMYFUNCTION("""COMPUTED_VALUE"""),"Q57F")</f>
        <v>Q57F</v>
      </c>
      <c r="E817" s="7" t="str">
        <f>IFERROR(__xludf.DUMMYFUNCTION("""COMPUTED_VALUE"""),"Q57f. Better or worse: MPs listen")</f>
        <v>Q57f. Better or worse: MPs listen</v>
      </c>
      <c r="F817" s="7" t="str">
        <f>IFERROR(__xludf.DUMMYFUNCTION("""COMPUTED_VALUE"""),"Members of Parliament")</f>
        <v>Members of Parliament</v>
      </c>
    </row>
    <row r="818">
      <c r="A818" s="7" t="str">
        <f>IFERROR(__xludf.DUMMYFUNCTION("""COMPUTED_VALUE"""),"BURKINA FASO")</f>
        <v>BURKINA FASO</v>
      </c>
      <c r="B818" s="7">
        <f>IFERROR(__xludf.DUMMYFUNCTION("""COMPUTED_VALUE"""),7.0)</f>
        <v>7</v>
      </c>
      <c r="C818" s="7" t="str">
        <f>IFERROR(__xludf.DUMMYFUNCTION("""COMPUTED_VALUE"""),"B_04_01")</f>
        <v>B_04_01</v>
      </c>
      <c r="D818" s="7" t="str">
        <f>IFERROR(__xludf.DUMMYFUNCTION("""COMPUTED_VALUE"""),"Q57F")</f>
        <v>Q57F</v>
      </c>
      <c r="E818" s="7" t="str">
        <f>IFERROR(__xludf.DUMMYFUNCTION("""COMPUTED_VALUE"""),"Q57f. Better or worse: MPs listen")</f>
        <v>Q57f. Better or worse: MPs listen</v>
      </c>
      <c r="F818" s="7" t="str">
        <f>IFERROR(__xludf.DUMMYFUNCTION("""COMPUTED_VALUE"""),"Members of national assembly")</f>
        <v>Members of national assembly</v>
      </c>
    </row>
    <row r="819">
      <c r="A819" s="7" t="str">
        <f>IFERROR(__xludf.DUMMYFUNCTION("""COMPUTED_VALUE"""),"CABO VERDE")</f>
        <v>CABO VERDE</v>
      </c>
      <c r="B819" s="7">
        <f>IFERROR(__xludf.DUMMYFUNCTION("""COMPUTED_VALUE"""),7.0)</f>
        <v>7</v>
      </c>
      <c r="C819" s="7" t="str">
        <f>IFERROR(__xludf.DUMMYFUNCTION("""COMPUTED_VALUE"""),"B_04_01")</f>
        <v>B_04_01</v>
      </c>
      <c r="D819" s="7" t="str">
        <f>IFERROR(__xludf.DUMMYFUNCTION("""COMPUTED_VALUE"""),"Q57F")</f>
        <v>Q57F</v>
      </c>
      <c r="E819" s="7" t="str">
        <f>IFERROR(__xludf.DUMMYFUNCTION("""COMPUTED_VALUE"""),"Q57f. Better or worse: MPs listen")</f>
        <v>Q57f. Better or worse: MPs listen</v>
      </c>
      <c r="F819" s="7" t="str">
        <f>IFERROR(__xludf.DUMMYFUNCTION("""COMPUTED_VALUE"""),"Members of the National Assembly")</f>
        <v>Members of the National Assembly</v>
      </c>
    </row>
    <row r="820">
      <c r="A820" s="7" t="str">
        <f>IFERROR(__xludf.DUMMYFUNCTION("""COMPUTED_VALUE"""),"CAMEROON")</f>
        <v>CAMEROON</v>
      </c>
      <c r="B820" s="7">
        <f>IFERROR(__xludf.DUMMYFUNCTION("""COMPUTED_VALUE"""),7.0)</f>
        <v>7</v>
      </c>
      <c r="C820" s="7" t="str">
        <f>IFERROR(__xludf.DUMMYFUNCTION("""COMPUTED_VALUE"""),"B_04_01")</f>
        <v>B_04_01</v>
      </c>
      <c r="D820" s="7" t="str">
        <f>IFERROR(__xludf.DUMMYFUNCTION("""COMPUTED_VALUE"""),"Q57F")</f>
        <v>Q57F</v>
      </c>
      <c r="E820" s="7" t="str">
        <f>IFERROR(__xludf.DUMMYFUNCTION("""COMPUTED_VALUE"""),"Q57f. Better or worse: MPs listen")</f>
        <v>Q57f. Better or worse: MPs listen</v>
      </c>
      <c r="F820" s="7" t="str">
        <f>IFERROR(__xludf.DUMMYFUNCTION("""COMPUTED_VALUE"""),"The deputies and senators of parliament")</f>
        <v>The deputies and senators of parliament</v>
      </c>
    </row>
    <row r="821">
      <c r="A821" s="7" t="str">
        <f>IFERROR(__xludf.DUMMYFUNCTION("""COMPUTED_VALUE"""),"COTE D'IVOIRE")</f>
        <v>COTE D'IVOIRE</v>
      </c>
      <c r="B821" s="7">
        <f>IFERROR(__xludf.DUMMYFUNCTION("""COMPUTED_VALUE"""),7.0)</f>
        <v>7</v>
      </c>
      <c r="C821" s="7" t="str">
        <f>IFERROR(__xludf.DUMMYFUNCTION("""COMPUTED_VALUE"""),"B_04_01")</f>
        <v>B_04_01</v>
      </c>
      <c r="D821" s="7" t="str">
        <f>IFERROR(__xludf.DUMMYFUNCTION("""COMPUTED_VALUE"""),"Q57F")</f>
        <v>Q57F</v>
      </c>
      <c r="E821" s="7" t="str">
        <f>IFERROR(__xludf.DUMMYFUNCTION("""COMPUTED_VALUE"""),"Q57f. Better or worse: MPs listen")</f>
        <v>Q57f. Better or worse: MPs listen</v>
      </c>
      <c r="F821" s="7" t="str">
        <f>IFERROR(__xludf.DUMMYFUNCTION("""COMPUTED_VALUE"""),"Members of the National Assembly")</f>
        <v>Members of the National Assembly</v>
      </c>
    </row>
    <row r="822">
      <c r="A822" s="7" t="str">
        <f>IFERROR(__xludf.DUMMYFUNCTION("""COMPUTED_VALUE"""),"ESWATINI")</f>
        <v>ESWATINI</v>
      </c>
      <c r="B822" s="7">
        <f>IFERROR(__xludf.DUMMYFUNCTION("""COMPUTED_VALUE"""),7.0)</f>
        <v>7</v>
      </c>
      <c r="C822" s="7" t="str">
        <f>IFERROR(__xludf.DUMMYFUNCTION("""COMPUTED_VALUE"""),"B_04_01")</f>
        <v>B_04_01</v>
      </c>
      <c r="D822" s="7" t="str">
        <f>IFERROR(__xludf.DUMMYFUNCTION("""COMPUTED_VALUE"""),"Q57F")</f>
        <v>Q57F</v>
      </c>
      <c r="E822" s="7" t="str">
        <f>IFERROR(__xludf.DUMMYFUNCTION("""COMPUTED_VALUE"""),"Q57f. Better or worse: MPs listen")</f>
        <v>Q57f. Better or worse: MPs listen</v>
      </c>
      <c r="F822" s="7" t="str">
        <f>IFERROR(__xludf.DUMMYFUNCTION("""COMPUTED_VALUE"""),"Members of Parliament")</f>
        <v>Members of Parliament</v>
      </c>
    </row>
    <row r="823">
      <c r="A823" s="7" t="str">
        <f>IFERROR(__xludf.DUMMYFUNCTION("""COMPUTED_VALUE"""),"GABON")</f>
        <v>GABON</v>
      </c>
      <c r="B823" s="7">
        <f>IFERROR(__xludf.DUMMYFUNCTION("""COMPUTED_VALUE"""),7.0)</f>
        <v>7</v>
      </c>
      <c r="C823" s="7" t="str">
        <f>IFERROR(__xludf.DUMMYFUNCTION("""COMPUTED_VALUE"""),"B_04_01")</f>
        <v>B_04_01</v>
      </c>
      <c r="D823" s="7" t="str">
        <f>IFERROR(__xludf.DUMMYFUNCTION("""COMPUTED_VALUE"""),"Q57F")</f>
        <v>Q57F</v>
      </c>
      <c r="E823" s="7" t="str">
        <f>IFERROR(__xludf.DUMMYFUNCTION("""COMPUTED_VALUE"""),"Q57f. Better or worse: MPs listen")</f>
        <v>Q57f. Better or worse: MPs listen</v>
      </c>
      <c r="F823" s="7" t="str">
        <f>IFERROR(__xludf.DUMMYFUNCTION("""COMPUTED_VALUE"""),"Members of Parliament / Parliamentarians")</f>
        <v>Members of Parliament / Parliamentarians</v>
      </c>
    </row>
    <row r="824">
      <c r="A824" s="7" t="str">
        <f>IFERROR(__xludf.DUMMYFUNCTION("""COMPUTED_VALUE"""),"GAMBIA")</f>
        <v>GAMBIA</v>
      </c>
      <c r="B824" s="7">
        <f>IFERROR(__xludf.DUMMYFUNCTION("""COMPUTED_VALUE"""),7.0)</f>
        <v>7</v>
      </c>
      <c r="C824" s="7" t="str">
        <f>IFERROR(__xludf.DUMMYFUNCTION("""COMPUTED_VALUE"""),"B_04_01")</f>
        <v>B_04_01</v>
      </c>
      <c r="D824" s="7" t="str">
        <f>IFERROR(__xludf.DUMMYFUNCTION("""COMPUTED_VALUE"""),"Q57F")</f>
        <v>Q57F</v>
      </c>
      <c r="E824" s="7" t="str">
        <f>IFERROR(__xludf.DUMMYFUNCTION("""COMPUTED_VALUE"""),"Q57f. Better or worse: MPs listen")</f>
        <v>Q57f. Better or worse: MPs listen</v>
      </c>
      <c r="F824" s="7" t="str">
        <f>IFERROR(__xludf.DUMMYFUNCTION("""COMPUTED_VALUE"""),"Members of the National Assembly")</f>
        <v>Members of the National Assembly</v>
      </c>
    </row>
    <row r="825">
      <c r="A825" s="7" t="str">
        <f>IFERROR(__xludf.DUMMYFUNCTION("""COMPUTED_VALUE"""),"GHANA")</f>
        <v>GHANA</v>
      </c>
      <c r="B825" s="7">
        <f>IFERROR(__xludf.DUMMYFUNCTION("""COMPUTED_VALUE"""),7.0)</f>
        <v>7</v>
      </c>
      <c r="C825" s="7" t="str">
        <f>IFERROR(__xludf.DUMMYFUNCTION("""COMPUTED_VALUE"""),"B_04_01")</f>
        <v>B_04_01</v>
      </c>
      <c r="D825" s="7" t="str">
        <f>IFERROR(__xludf.DUMMYFUNCTION("""COMPUTED_VALUE"""),"Q57F")</f>
        <v>Q57F</v>
      </c>
      <c r="E825" s="7" t="str">
        <f>IFERROR(__xludf.DUMMYFUNCTION("""COMPUTED_VALUE"""),"Q57f. Better or worse: MPs listen")</f>
        <v>Q57f. Better or worse: MPs listen</v>
      </c>
      <c r="F825" s="7" t="str">
        <f>IFERROR(__xludf.DUMMYFUNCTION("""COMPUTED_VALUE"""),"Members of Parliament")</f>
        <v>Members of Parliament</v>
      </c>
    </row>
    <row r="826">
      <c r="A826" s="7" t="str">
        <f>IFERROR(__xludf.DUMMYFUNCTION("""COMPUTED_VALUE"""),"GUINEA")</f>
        <v>GUINEA</v>
      </c>
      <c r="B826" s="7">
        <f>IFERROR(__xludf.DUMMYFUNCTION("""COMPUTED_VALUE"""),7.0)</f>
        <v>7</v>
      </c>
      <c r="C826" s="7" t="str">
        <f>IFERROR(__xludf.DUMMYFUNCTION("""COMPUTED_VALUE"""),"B_04_01")</f>
        <v>B_04_01</v>
      </c>
      <c r="D826" s="7" t="str">
        <f>IFERROR(__xludf.DUMMYFUNCTION("""COMPUTED_VALUE"""),"Q57F")</f>
        <v>Q57F</v>
      </c>
      <c r="E826" s="7" t="str">
        <f>IFERROR(__xludf.DUMMYFUNCTION("""COMPUTED_VALUE"""),"Q57f. Better or worse: MPs listen")</f>
        <v>Q57f. Better or worse: MPs listen</v>
      </c>
      <c r="F826" s="7" t="str">
        <f>IFERROR(__xludf.DUMMYFUNCTION("""COMPUTED_VALUE"""),"Members of the National Assembly")</f>
        <v>Members of the National Assembly</v>
      </c>
    </row>
    <row r="827">
      <c r="A827" s="7" t="str">
        <f>IFERROR(__xludf.DUMMYFUNCTION("""COMPUTED_VALUE"""),"KENYA")</f>
        <v>KENYA</v>
      </c>
      <c r="B827" s="7">
        <f>IFERROR(__xludf.DUMMYFUNCTION("""COMPUTED_VALUE"""),7.0)</f>
        <v>7</v>
      </c>
      <c r="C827" s="7" t="str">
        <f>IFERROR(__xludf.DUMMYFUNCTION("""COMPUTED_VALUE"""),"B_04_01")</f>
        <v>B_04_01</v>
      </c>
      <c r="D827" s="7" t="str">
        <f>IFERROR(__xludf.DUMMYFUNCTION("""COMPUTED_VALUE"""),"Q57F")</f>
        <v>Q57F</v>
      </c>
      <c r="E827" s="7" t="str">
        <f>IFERROR(__xludf.DUMMYFUNCTION("""COMPUTED_VALUE"""),"Q57f. Better or worse: MPs listen")</f>
        <v>Q57f. Better or worse: MPs listen</v>
      </c>
      <c r="F827" s="7" t="str">
        <f>IFERROR(__xludf.DUMMYFUNCTION("""COMPUTED_VALUE"""),"Members of Parliament")</f>
        <v>Members of Parliament</v>
      </c>
    </row>
    <row r="828">
      <c r="A828" s="7" t="str">
        <f>IFERROR(__xludf.DUMMYFUNCTION("""COMPUTED_VALUE"""),"LESOTHO")</f>
        <v>LESOTHO</v>
      </c>
      <c r="B828" s="7">
        <f>IFERROR(__xludf.DUMMYFUNCTION("""COMPUTED_VALUE"""),7.0)</f>
        <v>7</v>
      </c>
      <c r="C828" s="7" t="str">
        <f>IFERROR(__xludf.DUMMYFUNCTION("""COMPUTED_VALUE"""),"B_04_01")</f>
        <v>B_04_01</v>
      </c>
      <c r="D828" s="7" t="str">
        <f>IFERROR(__xludf.DUMMYFUNCTION("""COMPUTED_VALUE"""),"Q57F")</f>
        <v>Q57F</v>
      </c>
      <c r="E828" s="7" t="str">
        <f>IFERROR(__xludf.DUMMYFUNCTION("""COMPUTED_VALUE"""),"Q57f. Better or worse: MPs listen")</f>
        <v>Q57f. Better or worse: MPs listen</v>
      </c>
      <c r="F828" s="7" t="str">
        <f>IFERROR(__xludf.DUMMYFUNCTION("""COMPUTED_VALUE"""),"Members of Parliament")</f>
        <v>Members of Parliament</v>
      </c>
    </row>
    <row r="829">
      <c r="A829" s="7" t="str">
        <f>IFERROR(__xludf.DUMMYFUNCTION("""COMPUTED_VALUE"""),"LIBERIA")</f>
        <v>LIBERIA</v>
      </c>
      <c r="B829" s="7">
        <f>IFERROR(__xludf.DUMMYFUNCTION("""COMPUTED_VALUE"""),7.0)</f>
        <v>7</v>
      </c>
      <c r="C829" s="7" t="str">
        <f>IFERROR(__xludf.DUMMYFUNCTION("""COMPUTED_VALUE"""),"B_04_01")</f>
        <v>B_04_01</v>
      </c>
      <c r="D829" s="7" t="str">
        <f>IFERROR(__xludf.DUMMYFUNCTION("""COMPUTED_VALUE"""),"Q57F")</f>
        <v>Q57F</v>
      </c>
      <c r="E829" s="7" t="str">
        <f>IFERROR(__xludf.DUMMYFUNCTION("""COMPUTED_VALUE"""),"Q57f. Better or worse: MPs listen")</f>
        <v>Q57f. Better or worse: MPs listen</v>
      </c>
      <c r="F829" s="7" t="str">
        <f>IFERROR(__xludf.DUMMYFUNCTION("""COMPUTED_VALUE"""),"Members of Legislature")</f>
        <v>Members of Legislature</v>
      </c>
    </row>
    <row r="830">
      <c r="A830" s="7" t="str">
        <f>IFERROR(__xludf.DUMMYFUNCTION("""COMPUTED_VALUE"""),"MADAGASCAR")</f>
        <v>MADAGASCAR</v>
      </c>
      <c r="B830" s="7">
        <f>IFERROR(__xludf.DUMMYFUNCTION("""COMPUTED_VALUE"""),7.0)</f>
        <v>7</v>
      </c>
      <c r="C830" s="7" t="str">
        <f>IFERROR(__xludf.DUMMYFUNCTION("""COMPUTED_VALUE"""),"B_04_01")</f>
        <v>B_04_01</v>
      </c>
      <c r="D830" s="7" t="str">
        <f>IFERROR(__xludf.DUMMYFUNCTION("""COMPUTED_VALUE"""),"Q57F")</f>
        <v>Q57F</v>
      </c>
      <c r="E830" s="7" t="str">
        <f>IFERROR(__xludf.DUMMYFUNCTION("""COMPUTED_VALUE"""),"Q57f. Better or worse: MPs listen")</f>
        <v>Q57f. Better or worse: MPs listen</v>
      </c>
      <c r="F830" s="7" t="str">
        <f>IFERROR(__xludf.DUMMYFUNCTION("""COMPUTED_VALUE"""),"Members of the National Assembly")</f>
        <v>Members of the National Assembly</v>
      </c>
    </row>
    <row r="831">
      <c r="A831" s="7" t="str">
        <f>IFERROR(__xludf.DUMMYFUNCTION("""COMPUTED_VALUE"""),"MALAWI")</f>
        <v>MALAWI</v>
      </c>
      <c r="B831" s="7">
        <f>IFERROR(__xludf.DUMMYFUNCTION("""COMPUTED_VALUE"""),7.0)</f>
        <v>7</v>
      </c>
      <c r="C831" s="7" t="str">
        <f>IFERROR(__xludf.DUMMYFUNCTION("""COMPUTED_VALUE"""),"B_04_01")</f>
        <v>B_04_01</v>
      </c>
      <c r="D831" s="7" t="str">
        <f>IFERROR(__xludf.DUMMYFUNCTION("""COMPUTED_VALUE"""),"Q57F")</f>
        <v>Q57F</v>
      </c>
      <c r="E831" s="7" t="str">
        <f>IFERROR(__xludf.DUMMYFUNCTION("""COMPUTED_VALUE"""),"Q57f. Better or worse: MPs listen")</f>
        <v>Q57f. Better or worse: MPs listen</v>
      </c>
      <c r="F831" s="7" t="str">
        <f>IFERROR(__xludf.DUMMYFUNCTION("""COMPUTED_VALUE"""),"Members of Parliament")</f>
        <v>Members of Parliament</v>
      </c>
    </row>
    <row r="832">
      <c r="A832" s="7" t="str">
        <f>IFERROR(__xludf.DUMMYFUNCTION("""COMPUTED_VALUE"""),"MALI")</f>
        <v>MALI</v>
      </c>
      <c r="B832" s="7">
        <f>IFERROR(__xludf.DUMMYFUNCTION("""COMPUTED_VALUE"""),7.0)</f>
        <v>7</v>
      </c>
      <c r="C832" s="7" t="str">
        <f>IFERROR(__xludf.DUMMYFUNCTION("""COMPUTED_VALUE"""),"B_04_01")</f>
        <v>B_04_01</v>
      </c>
      <c r="D832" s="7" t="str">
        <f>IFERROR(__xludf.DUMMYFUNCTION("""COMPUTED_VALUE"""),"Q57F")</f>
        <v>Q57F</v>
      </c>
      <c r="E832" s="7" t="str">
        <f>IFERROR(__xludf.DUMMYFUNCTION("""COMPUTED_VALUE"""),"Q57f. Better or worse: MPs listen")</f>
        <v>Q57f. Better or worse: MPs listen</v>
      </c>
      <c r="F832" s="7" t="str">
        <f>IFERROR(__xludf.DUMMYFUNCTION("""COMPUTED_VALUE"""),"Members of the National Assembly")</f>
        <v>Members of the National Assembly</v>
      </c>
    </row>
    <row r="833">
      <c r="A833" s="7" t="str">
        <f>IFERROR(__xludf.DUMMYFUNCTION("""COMPUTED_VALUE"""),"MAURITIUS")</f>
        <v>MAURITIUS</v>
      </c>
      <c r="B833" s="7">
        <f>IFERROR(__xludf.DUMMYFUNCTION("""COMPUTED_VALUE"""),7.0)</f>
        <v>7</v>
      </c>
      <c r="C833" s="7" t="str">
        <f>IFERROR(__xludf.DUMMYFUNCTION("""COMPUTED_VALUE"""),"B_04_01")</f>
        <v>B_04_01</v>
      </c>
      <c r="D833" s="7" t="str">
        <f>IFERROR(__xludf.DUMMYFUNCTION("""COMPUTED_VALUE"""),"Q57F")</f>
        <v>Q57F</v>
      </c>
      <c r="E833" s="7" t="str">
        <f>IFERROR(__xludf.DUMMYFUNCTION("""COMPUTED_VALUE"""),"Q57f. Better or worse: MPs listen")</f>
        <v>Q57f. Better or worse: MPs listen</v>
      </c>
      <c r="F833" s="7" t="str">
        <f>IFERROR(__xludf.DUMMYFUNCTION("""COMPUTED_VALUE"""),"Members of the National Assembly")</f>
        <v>Members of the National Assembly</v>
      </c>
    </row>
    <row r="834">
      <c r="A834" s="7" t="str">
        <f>IFERROR(__xludf.DUMMYFUNCTION("""COMPUTED_VALUE"""),"MOROCCO")</f>
        <v>MOROCCO</v>
      </c>
      <c r="B834" s="7">
        <f>IFERROR(__xludf.DUMMYFUNCTION("""COMPUTED_VALUE"""),7.0)</f>
        <v>7</v>
      </c>
      <c r="C834" s="7" t="str">
        <f>IFERROR(__xludf.DUMMYFUNCTION("""COMPUTED_VALUE"""),"B_04_01")</f>
        <v>B_04_01</v>
      </c>
      <c r="D834" s="7" t="str">
        <f>IFERROR(__xludf.DUMMYFUNCTION("""COMPUTED_VALUE"""),"Q57F")</f>
        <v>Q57F</v>
      </c>
      <c r="E834" s="7" t="str">
        <f>IFERROR(__xludf.DUMMYFUNCTION("""COMPUTED_VALUE"""),"Q57f. Better or worse: MPs listen")</f>
        <v>Q57f. Better or worse: MPs listen</v>
      </c>
      <c r="F834" s="7" t="str">
        <f>IFERROR(__xludf.DUMMYFUNCTION("""COMPUTED_VALUE"""),"Members of Parliament")</f>
        <v>Members of Parliament</v>
      </c>
    </row>
    <row r="835">
      <c r="A835" s="7" t="str">
        <f>IFERROR(__xludf.DUMMYFUNCTION("""COMPUTED_VALUE"""),"MOZAMBIQUE")</f>
        <v>MOZAMBIQUE</v>
      </c>
      <c r="B835" s="7">
        <f>IFERROR(__xludf.DUMMYFUNCTION("""COMPUTED_VALUE"""),7.0)</f>
        <v>7</v>
      </c>
      <c r="C835" s="7" t="str">
        <f>IFERROR(__xludf.DUMMYFUNCTION("""COMPUTED_VALUE"""),"B_04_01")</f>
        <v>B_04_01</v>
      </c>
      <c r="D835" s="7" t="str">
        <f>IFERROR(__xludf.DUMMYFUNCTION("""COMPUTED_VALUE"""),"Q57F")</f>
        <v>Q57F</v>
      </c>
      <c r="E835" s="7" t="str">
        <f>IFERROR(__xludf.DUMMYFUNCTION("""COMPUTED_VALUE"""),"Q57f. Better or worse: MPs listen")</f>
        <v>Q57f. Better or worse: MPs listen</v>
      </c>
      <c r="F835" s="7" t="str">
        <f>IFERROR(__xludf.DUMMYFUNCTION("""COMPUTED_VALUE"""),"Members of Parliament")</f>
        <v>Members of Parliament</v>
      </c>
    </row>
    <row r="836">
      <c r="A836" s="7" t="str">
        <f>IFERROR(__xludf.DUMMYFUNCTION("""COMPUTED_VALUE"""),"NAMIBIA")</f>
        <v>NAMIBIA</v>
      </c>
      <c r="B836" s="7">
        <f>IFERROR(__xludf.DUMMYFUNCTION("""COMPUTED_VALUE"""),7.0)</f>
        <v>7</v>
      </c>
      <c r="C836" s="7" t="str">
        <f>IFERROR(__xludf.DUMMYFUNCTION("""COMPUTED_VALUE"""),"B_04_01")</f>
        <v>B_04_01</v>
      </c>
      <c r="D836" s="7" t="str">
        <f>IFERROR(__xludf.DUMMYFUNCTION("""COMPUTED_VALUE"""),"Q57F")</f>
        <v>Q57F</v>
      </c>
      <c r="E836" s="7" t="str">
        <f>IFERROR(__xludf.DUMMYFUNCTION("""COMPUTED_VALUE"""),"Q57f. Better or worse: MPs listen")</f>
        <v>Q57f. Better or worse: MPs listen</v>
      </c>
      <c r="F836" s="7" t="str">
        <f>IFERROR(__xludf.DUMMYFUNCTION("""COMPUTED_VALUE"""),"Members of the National Assembly")</f>
        <v>Members of the National Assembly</v>
      </c>
    </row>
    <row r="837">
      <c r="A837" s="7" t="str">
        <f>IFERROR(__xludf.DUMMYFUNCTION("""COMPUTED_VALUE"""),"NIGER")</f>
        <v>NIGER</v>
      </c>
      <c r="B837" s="7">
        <f>IFERROR(__xludf.DUMMYFUNCTION("""COMPUTED_VALUE"""),7.0)</f>
        <v>7</v>
      </c>
      <c r="C837" s="7" t="str">
        <f>IFERROR(__xludf.DUMMYFUNCTION("""COMPUTED_VALUE"""),"B_04_01")</f>
        <v>B_04_01</v>
      </c>
      <c r="D837" s="7" t="str">
        <f>IFERROR(__xludf.DUMMYFUNCTION("""COMPUTED_VALUE"""),"Q57F")</f>
        <v>Q57F</v>
      </c>
      <c r="E837" s="7" t="str">
        <f>IFERROR(__xludf.DUMMYFUNCTION("""COMPUTED_VALUE"""),"Q57f. Better or worse: MPs listen")</f>
        <v>Q57f. Better or worse: MPs listen</v>
      </c>
      <c r="F837" s="7" t="str">
        <f>IFERROR(__xludf.DUMMYFUNCTION("""COMPUTED_VALUE"""),"Members of the National Assembly")</f>
        <v>Members of the National Assembly</v>
      </c>
    </row>
    <row r="838">
      <c r="A838" s="7" t="str">
        <f>IFERROR(__xludf.DUMMYFUNCTION("""COMPUTED_VALUE"""),"NIGERIA")</f>
        <v>NIGERIA</v>
      </c>
      <c r="B838" s="7">
        <f>IFERROR(__xludf.DUMMYFUNCTION("""COMPUTED_VALUE"""),7.0)</f>
        <v>7</v>
      </c>
      <c r="C838" s="7" t="str">
        <f>IFERROR(__xludf.DUMMYFUNCTION("""COMPUTED_VALUE"""),"B_04_01")</f>
        <v>B_04_01</v>
      </c>
      <c r="D838" s="7" t="str">
        <f>IFERROR(__xludf.DUMMYFUNCTION("""COMPUTED_VALUE"""),"Q57F")</f>
        <v>Q57F</v>
      </c>
      <c r="E838" s="7" t="str">
        <f>IFERROR(__xludf.DUMMYFUNCTION("""COMPUTED_VALUE"""),"Q57f. Better or worse: MPs listen")</f>
        <v>Q57f. Better or worse: MPs listen</v>
      </c>
      <c r="F838" s="7" t="str">
        <f>IFERROR(__xludf.DUMMYFUNCTION("""COMPUTED_VALUE"""),"Members of the National Assembly")</f>
        <v>Members of the National Assembly</v>
      </c>
    </row>
    <row r="839">
      <c r="A839" s="7" t="str">
        <f>IFERROR(__xludf.DUMMYFUNCTION("""COMPUTED_VALUE"""),"SAO TOME AND PRINCIPE")</f>
        <v>SAO TOME AND PRINCIPE</v>
      </c>
      <c r="B839" s="7">
        <f>IFERROR(__xludf.DUMMYFUNCTION("""COMPUTED_VALUE"""),7.0)</f>
        <v>7</v>
      </c>
      <c r="C839" s="7" t="str">
        <f>IFERROR(__xludf.DUMMYFUNCTION("""COMPUTED_VALUE"""),"B_04_01")</f>
        <v>B_04_01</v>
      </c>
      <c r="D839" s="7" t="str">
        <f>IFERROR(__xludf.DUMMYFUNCTION("""COMPUTED_VALUE"""),"Q57F")</f>
        <v>Q57F</v>
      </c>
      <c r="E839" s="7" t="str">
        <f>IFERROR(__xludf.DUMMYFUNCTION("""COMPUTED_VALUE"""),"Q57f. Better or worse: MPs listen")</f>
        <v>Q57f. Better or worse: MPs listen</v>
      </c>
      <c r="F839" s="7" t="str">
        <f>IFERROR(__xludf.DUMMYFUNCTION("""COMPUTED_VALUE"""),"Members of the National Assembly")</f>
        <v>Members of the National Assembly</v>
      </c>
    </row>
    <row r="840">
      <c r="A840" s="7" t="str">
        <f>IFERROR(__xludf.DUMMYFUNCTION("""COMPUTED_VALUE"""),"SENEGAL")</f>
        <v>SENEGAL</v>
      </c>
      <c r="B840" s="7">
        <f>IFERROR(__xludf.DUMMYFUNCTION("""COMPUTED_VALUE"""),7.0)</f>
        <v>7</v>
      </c>
      <c r="C840" s="7" t="str">
        <f>IFERROR(__xludf.DUMMYFUNCTION("""COMPUTED_VALUE"""),"B_04_01")</f>
        <v>B_04_01</v>
      </c>
      <c r="D840" s="7" t="str">
        <f>IFERROR(__xludf.DUMMYFUNCTION("""COMPUTED_VALUE"""),"Q57F")</f>
        <v>Q57F</v>
      </c>
      <c r="E840" s="7" t="str">
        <f>IFERROR(__xludf.DUMMYFUNCTION("""COMPUTED_VALUE"""),"Q57f. Better or worse: MPs listen")</f>
        <v>Q57f. Better or worse: MPs listen</v>
      </c>
      <c r="F840" s="7" t="str">
        <f>IFERROR(__xludf.DUMMYFUNCTION("""COMPUTED_VALUE"""),"Members of the National Assembly")</f>
        <v>Members of the National Assembly</v>
      </c>
    </row>
    <row r="841">
      <c r="A841" s="7" t="str">
        <f>IFERROR(__xludf.DUMMYFUNCTION("""COMPUTED_VALUE"""),"SIERRA LEONE")</f>
        <v>SIERRA LEONE</v>
      </c>
      <c r="B841" s="7">
        <f>IFERROR(__xludf.DUMMYFUNCTION("""COMPUTED_VALUE"""),7.0)</f>
        <v>7</v>
      </c>
      <c r="C841" s="7" t="str">
        <f>IFERROR(__xludf.DUMMYFUNCTION("""COMPUTED_VALUE"""),"B_04_01")</f>
        <v>B_04_01</v>
      </c>
      <c r="D841" s="7" t="str">
        <f>IFERROR(__xludf.DUMMYFUNCTION("""COMPUTED_VALUE"""),"Q57F")</f>
        <v>Q57F</v>
      </c>
      <c r="E841" s="7" t="str">
        <f>IFERROR(__xludf.DUMMYFUNCTION("""COMPUTED_VALUE"""),"Q57f. Better or worse: MPs listen")</f>
        <v>Q57f. Better or worse: MPs listen</v>
      </c>
      <c r="F841" s="7" t="str">
        <f>IFERROR(__xludf.DUMMYFUNCTION("""COMPUTED_VALUE"""),"Members of Parliament")</f>
        <v>Members of Parliament</v>
      </c>
    </row>
    <row r="842">
      <c r="A842" s="7" t="str">
        <f>IFERROR(__xludf.DUMMYFUNCTION("""COMPUTED_VALUE"""),"SOUTH AFRICA")</f>
        <v>SOUTH AFRICA</v>
      </c>
      <c r="B842" s="7">
        <f>IFERROR(__xludf.DUMMYFUNCTION("""COMPUTED_VALUE"""),7.0)</f>
        <v>7</v>
      </c>
      <c r="C842" s="7" t="str">
        <f>IFERROR(__xludf.DUMMYFUNCTION("""COMPUTED_VALUE"""),"B_04_01")</f>
        <v>B_04_01</v>
      </c>
      <c r="D842" s="7" t="str">
        <f>IFERROR(__xludf.DUMMYFUNCTION("""COMPUTED_VALUE"""),"Q57F")</f>
        <v>Q57F</v>
      </c>
      <c r="E842" s="7" t="str">
        <f>IFERROR(__xludf.DUMMYFUNCTION("""COMPUTED_VALUE"""),"Q57f. Better or worse: MPs listen")</f>
        <v>Q57f. Better or worse: MPs listen</v>
      </c>
      <c r="F842" s="7" t="str">
        <f>IFERROR(__xludf.DUMMYFUNCTION("""COMPUTED_VALUE"""),"Members of Parliament")</f>
        <v>Members of Parliament</v>
      </c>
    </row>
    <row r="843">
      <c r="A843" s="7" t="str">
        <f>IFERROR(__xludf.DUMMYFUNCTION("""COMPUTED_VALUE"""),"SUDAN")</f>
        <v>SUDAN</v>
      </c>
      <c r="B843" s="7">
        <f>IFERROR(__xludf.DUMMYFUNCTION("""COMPUTED_VALUE"""),7.0)</f>
        <v>7</v>
      </c>
      <c r="C843" s="7" t="str">
        <f>IFERROR(__xludf.DUMMYFUNCTION("""COMPUTED_VALUE"""),"B_04_01")</f>
        <v>B_04_01</v>
      </c>
      <c r="D843" s="7" t="str">
        <f>IFERROR(__xludf.DUMMYFUNCTION("""COMPUTED_VALUE"""),"Q57F")</f>
        <v>Q57F</v>
      </c>
      <c r="E843" s="7" t="str">
        <f>IFERROR(__xludf.DUMMYFUNCTION("""COMPUTED_VALUE"""),"Q57f. Better or worse: MPs listen")</f>
        <v>Q57f. Better or worse: MPs listen</v>
      </c>
      <c r="F843" s="7" t="str">
        <f>IFERROR(__xludf.DUMMYFUNCTION("""COMPUTED_VALUE"""),"Members of National Assembly")</f>
        <v>Members of National Assembly</v>
      </c>
    </row>
    <row r="844">
      <c r="A844" s="7" t="str">
        <f>IFERROR(__xludf.DUMMYFUNCTION("""COMPUTED_VALUE"""),"TANZANIA")</f>
        <v>TANZANIA</v>
      </c>
      <c r="B844" s="7">
        <f>IFERROR(__xludf.DUMMYFUNCTION("""COMPUTED_VALUE"""),7.0)</f>
        <v>7</v>
      </c>
      <c r="C844" s="7" t="str">
        <f>IFERROR(__xludf.DUMMYFUNCTION("""COMPUTED_VALUE"""),"B_04_01")</f>
        <v>B_04_01</v>
      </c>
      <c r="D844" s="7" t="str">
        <f>IFERROR(__xludf.DUMMYFUNCTION("""COMPUTED_VALUE"""),"Q57F")</f>
        <v>Q57F</v>
      </c>
      <c r="E844" s="7" t="str">
        <f>IFERROR(__xludf.DUMMYFUNCTION("""COMPUTED_VALUE"""),"Q57f. Better or worse: MPs listen")</f>
        <v>Q57f. Better or worse: MPs listen</v>
      </c>
      <c r="F844" s="7" t="str">
        <f>IFERROR(__xludf.DUMMYFUNCTION("""COMPUTED_VALUE"""),"Members of Parliament")</f>
        <v>Members of Parliament</v>
      </c>
    </row>
    <row r="845">
      <c r="A845" s="7" t="str">
        <f>IFERROR(__xludf.DUMMYFUNCTION("""COMPUTED_VALUE"""),"TOGO")</f>
        <v>TOGO</v>
      </c>
      <c r="B845" s="7">
        <f>IFERROR(__xludf.DUMMYFUNCTION("""COMPUTED_VALUE"""),7.0)</f>
        <v>7</v>
      </c>
      <c r="C845" s="7" t="str">
        <f>IFERROR(__xludf.DUMMYFUNCTION("""COMPUTED_VALUE"""),"B_04_01")</f>
        <v>B_04_01</v>
      </c>
      <c r="D845" s="7" t="str">
        <f>IFERROR(__xludf.DUMMYFUNCTION("""COMPUTED_VALUE"""),"Q57F")</f>
        <v>Q57F</v>
      </c>
      <c r="E845" s="7" t="str">
        <f>IFERROR(__xludf.DUMMYFUNCTION("""COMPUTED_VALUE"""),"Q57f. Better or worse: MPs listen")</f>
        <v>Q57f. Better or worse: MPs listen</v>
      </c>
      <c r="F845" s="7" t="str">
        <f>IFERROR(__xludf.DUMMYFUNCTION("""COMPUTED_VALUE"""),"Members of National Assembly")</f>
        <v>Members of National Assembly</v>
      </c>
    </row>
    <row r="846">
      <c r="A846" s="7" t="str">
        <f>IFERROR(__xludf.DUMMYFUNCTION("""COMPUTED_VALUE"""),"TUNISIA")</f>
        <v>TUNISIA</v>
      </c>
      <c r="B846" s="7">
        <f>IFERROR(__xludf.DUMMYFUNCTION("""COMPUTED_VALUE"""),7.0)</f>
        <v>7</v>
      </c>
      <c r="C846" s="7" t="str">
        <f>IFERROR(__xludf.DUMMYFUNCTION("""COMPUTED_VALUE"""),"B_04_01")</f>
        <v>B_04_01</v>
      </c>
      <c r="D846" s="7" t="str">
        <f>IFERROR(__xludf.DUMMYFUNCTION("""COMPUTED_VALUE"""),"Q57F")</f>
        <v>Q57F</v>
      </c>
      <c r="E846" s="7" t="str">
        <f>IFERROR(__xludf.DUMMYFUNCTION("""COMPUTED_VALUE"""),"Q57f. Better or worse: MPs listen")</f>
        <v>Q57f. Better or worse: MPs listen</v>
      </c>
      <c r="F846" s="7" t="str">
        <f>IFERROR(__xludf.DUMMYFUNCTION("""COMPUTED_VALUE"""),"Members of Parliament")</f>
        <v>Members of Parliament</v>
      </c>
    </row>
    <row r="847">
      <c r="A847" s="7" t="str">
        <f>IFERROR(__xludf.DUMMYFUNCTION("""COMPUTED_VALUE"""),"UGANDA")</f>
        <v>UGANDA</v>
      </c>
      <c r="B847" s="7">
        <f>IFERROR(__xludf.DUMMYFUNCTION("""COMPUTED_VALUE"""),7.0)</f>
        <v>7</v>
      </c>
      <c r="C847" s="7" t="str">
        <f>IFERROR(__xludf.DUMMYFUNCTION("""COMPUTED_VALUE"""),"B_04_01")</f>
        <v>B_04_01</v>
      </c>
      <c r="D847" s="7" t="str">
        <f>IFERROR(__xludf.DUMMYFUNCTION("""COMPUTED_VALUE"""),"Q57F")</f>
        <v>Q57F</v>
      </c>
      <c r="E847" s="7" t="str">
        <f>IFERROR(__xludf.DUMMYFUNCTION("""COMPUTED_VALUE"""),"Q57f. Better or worse: MPs listen")</f>
        <v>Q57f. Better or worse: MPs listen</v>
      </c>
      <c r="F847" s="7" t="str">
        <f>IFERROR(__xludf.DUMMYFUNCTION("""COMPUTED_VALUE"""),"Members of Parliament")</f>
        <v>Members of Parliament</v>
      </c>
    </row>
    <row r="848">
      <c r="A848" s="7" t="str">
        <f>IFERROR(__xludf.DUMMYFUNCTION("""COMPUTED_VALUE"""),"ZAMBIA")</f>
        <v>ZAMBIA</v>
      </c>
      <c r="B848" s="7">
        <f>IFERROR(__xludf.DUMMYFUNCTION("""COMPUTED_VALUE"""),7.0)</f>
        <v>7</v>
      </c>
      <c r="C848" s="7" t="str">
        <f>IFERROR(__xludf.DUMMYFUNCTION("""COMPUTED_VALUE"""),"B_04_01")</f>
        <v>B_04_01</v>
      </c>
      <c r="D848" s="7" t="str">
        <f>IFERROR(__xludf.DUMMYFUNCTION("""COMPUTED_VALUE"""),"Q57F")</f>
        <v>Q57F</v>
      </c>
      <c r="E848" s="7" t="str">
        <f>IFERROR(__xludf.DUMMYFUNCTION("""COMPUTED_VALUE"""),"Q57f. Better or worse: MPs listen")</f>
        <v>Q57f. Better or worse: MPs listen</v>
      </c>
      <c r="F848" s="7" t="str">
        <f>IFERROR(__xludf.DUMMYFUNCTION("""COMPUTED_VALUE"""),"Members of Parliament")</f>
        <v>Members of Parliament</v>
      </c>
    </row>
    <row r="849">
      <c r="A849" s="7" t="str">
        <f>IFERROR(__xludf.DUMMYFUNCTION("""COMPUTED_VALUE"""),"ZIMBABWE")</f>
        <v>ZIMBABWE</v>
      </c>
      <c r="B849" s="7">
        <f>IFERROR(__xludf.DUMMYFUNCTION("""COMPUTED_VALUE"""),7.0)</f>
        <v>7</v>
      </c>
      <c r="C849" s="7" t="str">
        <f>IFERROR(__xludf.DUMMYFUNCTION("""COMPUTED_VALUE"""),"B_04_01")</f>
        <v>B_04_01</v>
      </c>
      <c r="D849" s="7" t="str">
        <f>IFERROR(__xludf.DUMMYFUNCTION("""COMPUTED_VALUE"""),"Q57F")</f>
        <v>Q57F</v>
      </c>
      <c r="E849" s="7" t="str">
        <f>IFERROR(__xludf.DUMMYFUNCTION("""COMPUTED_VALUE"""),"Q57f. Better or worse: MPs listen")</f>
        <v>Q57f. Better or worse: MPs listen</v>
      </c>
      <c r="F849" s="7" t="str">
        <f>IFERROR(__xludf.DUMMYFUNCTION("""COMPUTED_VALUE"""),"Members of Parliament")</f>
        <v>Members of Parliament</v>
      </c>
    </row>
    <row r="850">
      <c r="A850" s="7" t="str">
        <f>IFERROR(__xludf.DUMMYFUNCTION("""COMPUTED_VALUE"""),"BENIN")</f>
        <v>BENIN</v>
      </c>
      <c r="B850" s="7">
        <f>IFERROR(__xludf.DUMMYFUNCTION("""COMPUTED_VALUE"""),7.0)</f>
        <v>7</v>
      </c>
      <c r="C850" s="7" t="str">
        <f>IFERROR(__xludf.DUMMYFUNCTION("""COMPUTED_VALUE"""),"B_01_07")</f>
        <v>B_01_07</v>
      </c>
      <c r="D850" s="7" t="str">
        <f>IFERROR(__xludf.DUMMYFUNCTION("""COMPUTED_VALUE"""),"Q58A")</f>
        <v>Q58A</v>
      </c>
      <c r="E850" s="7" t="str">
        <f>IFERROR(__xludf.DUMMYFUNCTION("""COMPUTED_VALUE"""),"Q58a. Performance: President")</f>
        <v>Q58a. Performance: President</v>
      </c>
      <c r="F850" s="7" t="str">
        <f>IFERROR(__xludf.DUMMYFUNCTION("""COMPUTED_VALUE"""),"President Patrice Talon")</f>
        <v>President Patrice Talon</v>
      </c>
    </row>
    <row r="851">
      <c r="A851" s="7" t="str">
        <f>IFERROR(__xludf.DUMMYFUNCTION("""COMPUTED_VALUE"""),"BOTSWANA")</f>
        <v>BOTSWANA</v>
      </c>
      <c r="B851" s="7">
        <f>IFERROR(__xludf.DUMMYFUNCTION("""COMPUTED_VALUE"""),7.0)</f>
        <v>7</v>
      </c>
      <c r="C851" s="7" t="str">
        <f>IFERROR(__xludf.DUMMYFUNCTION("""COMPUTED_VALUE"""),"B_01_07")</f>
        <v>B_01_07</v>
      </c>
      <c r="D851" s="7" t="str">
        <f>IFERROR(__xludf.DUMMYFUNCTION("""COMPUTED_VALUE"""),"Q58A")</f>
        <v>Q58A</v>
      </c>
      <c r="E851" s="7" t="str">
        <f>IFERROR(__xludf.DUMMYFUNCTION("""COMPUTED_VALUE"""),"Q58a. Performance: President")</f>
        <v>Q58a. Performance: President</v>
      </c>
      <c r="F851" s="7" t="str">
        <f>IFERROR(__xludf.DUMMYFUNCTION("""COMPUTED_VALUE"""),"President Ian Khama")</f>
        <v>President Ian Khama</v>
      </c>
    </row>
    <row r="852">
      <c r="A852" s="7" t="str">
        <f>IFERROR(__xludf.DUMMYFUNCTION("""COMPUTED_VALUE"""),"BURKINA FASO")</f>
        <v>BURKINA FASO</v>
      </c>
      <c r="B852" s="7">
        <f>IFERROR(__xludf.DUMMYFUNCTION("""COMPUTED_VALUE"""),7.0)</f>
        <v>7</v>
      </c>
      <c r="C852" s="7" t="str">
        <f>IFERROR(__xludf.DUMMYFUNCTION("""COMPUTED_VALUE"""),"B_01_07")</f>
        <v>B_01_07</v>
      </c>
      <c r="D852" s="7" t="str">
        <f>IFERROR(__xludf.DUMMYFUNCTION("""COMPUTED_VALUE"""),"Q58A")</f>
        <v>Q58A</v>
      </c>
      <c r="E852" s="7" t="str">
        <f>IFERROR(__xludf.DUMMYFUNCTION("""COMPUTED_VALUE"""),"Q58a. Performance: President")</f>
        <v>Q58a. Performance: President</v>
      </c>
      <c r="F852" s="7" t="str">
        <f>IFERROR(__xludf.DUMMYFUNCTION("""COMPUTED_VALUE"""),"President Roch Marc Christian KABORE")</f>
        <v>President Roch Marc Christian KABORE</v>
      </c>
    </row>
    <row r="853">
      <c r="A853" s="7" t="str">
        <f>IFERROR(__xludf.DUMMYFUNCTION("""COMPUTED_VALUE"""),"CABO VERDE")</f>
        <v>CABO VERDE</v>
      </c>
      <c r="B853" s="7">
        <f>IFERROR(__xludf.DUMMYFUNCTION("""COMPUTED_VALUE"""),7.0)</f>
        <v>7</v>
      </c>
      <c r="C853" s="7" t="str">
        <f>IFERROR(__xludf.DUMMYFUNCTION("""COMPUTED_VALUE"""),"B_01_07")</f>
        <v>B_01_07</v>
      </c>
      <c r="D853" s="7" t="str">
        <f>IFERROR(__xludf.DUMMYFUNCTION("""COMPUTED_VALUE"""),"Q58A")</f>
        <v>Q58A</v>
      </c>
      <c r="E853" s="7" t="str">
        <f>IFERROR(__xludf.DUMMYFUNCTION("""COMPUTED_VALUE"""),"Q58a. Performance: President")</f>
        <v>Q58a. Performance: President</v>
      </c>
      <c r="F853" s="7" t="str">
        <f>IFERROR(__xludf.DUMMYFUNCTION("""COMPUTED_VALUE"""),"A. President Jorge Carlos Fonseca
A1-CVE. The Prime Minister –  Ulisses Correia e Silva")</f>
        <v>A. President Jorge Carlos Fonseca
A1-CVE. The Prime Minister –  Ulisses Correia e Silva</v>
      </c>
    </row>
    <row r="854">
      <c r="A854" s="7" t="str">
        <f>IFERROR(__xludf.DUMMYFUNCTION("""COMPUTED_VALUE"""),"CAMEROON")</f>
        <v>CAMEROON</v>
      </c>
      <c r="B854" s="7">
        <f>IFERROR(__xludf.DUMMYFUNCTION("""COMPUTED_VALUE"""),7.0)</f>
        <v>7</v>
      </c>
      <c r="C854" s="7" t="str">
        <f>IFERROR(__xludf.DUMMYFUNCTION("""COMPUTED_VALUE"""),"B_01_07")</f>
        <v>B_01_07</v>
      </c>
      <c r="D854" s="7" t="str">
        <f>IFERROR(__xludf.DUMMYFUNCTION("""COMPUTED_VALUE"""),"Q58A")</f>
        <v>Q58A</v>
      </c>
      <c r="E854" s="7" t="str">
        <f>IFERROR(__xludf.DUMMYFUNCTION("""COMPUTED_VALUE"""),"Q58a. Performance: President")</f>
        <v>Q58a. Performance: President</v>
      </c>
      <c r="F854" s="7" t="str">
        <f>IFERROR(__xludf.DUMMYFUNCTION("""COMPUTED_VALUE"""),"President Paul BIYA")</f>
        <v>President Paul BIYA</v>
      </c>
    </row>
    <row r="855">
      <c r="A855" s="7" t="str">
        <f>IFERROR(__xludf.DUMMYFUNCTION("""COMPUTED_VALUE"""),"COTE D'IVOIRE")</f>
        <v>COTE D'IVOIRE</v>
      </c>
      <c r="B855" s="7">
        <f>IFERROR(__xludf.DUMMYFUNCTION("""COMPUTED_VALUE"""),7.0)</f>
        <v>7</v>
      </c>
      <c r="C855" s="7" t="str">
        <f>IFERROR(__xludf.DUMMYFUNCTION("""COMPUTED_VALUE"""),"B_01_07")</f>
        <v>B_01_07</v>
      </c>
      <c r="D855" s="7" t="str">
        <f>IFERROR(__xludf.DUMMYFUNCTION("""COMPUTED_VALUE"""),"Q58A")</f>
        <v>Q58A</v>
      </c>
      <c r="E855" s="7" t="str">
        <f>IFERROR(__xludf.DUMMYFUNCTION("""COMPUTED_VALUE"""),"Q58a. Performance: President")</f>
        <v>Q58a. Performance: President</v>
      </c>
      <c r="F855" s="7" t="str">
        <f>IFERROR(__xludf.DUMMYFUNCTION("""COMPUTED_VALUE"""),"President Alassane Ouattara")</f>
        <v>President Alassane Ouattara</v>
      </c>
    </row>
    <row r="856">
      <c r="A856" s="7" t="str">
        <f>IFERROR(__xludf.DUMMYFUNCTION("""COMPUTED_VALUE"""),"ESWATINI")</f>
        <v>ESWATINI</v>
      </c>
      <c r="B856" s="7">
        <f>IFERROR(__xludf.DUMMYFUNCTION("""COMPUTED_VALUE"""),7.0)</f>
        <v>7</v>
      </c>
      <c r="C856" s="7" t="str">
        <f>IFERROR(__xludf.DUMMYFUNCTION("""COMPUTED_VALUE"""),"B_01_07")</f>
        <v>B_01_07</v>
      </c>
      <c r="D856" s="7" t="str">
        <f>IFERROR(__xludf.DUMMYFUNCTION("""COMPUTED_VALUE"""),"Q58A")</f>
        <v>Q58A</v>
      </c>
      <c r="E856" s="7" t="str">
        <f>IFERROR(__xludf.DUMMYFUNCTION("""COMPUTED_VALUE"""),"Q58a. Performance: President")</f>
        <v>Q58a. Performance: President</v>
      </c>
      <c r="F856" s="7" t="str">
        <f>IFERROR(__xludf.DUMMYFUNCTION("""COMPUTED_VALUE"""),"Prime Minister Sibusiso Dlamini")</f>
        <v>Prime Minister Sibusiso Dlamini</v>
      </c>
    </row>
    <row r="857">
      <c r="A857" s="7" t="str">
        <f>IFERROR(__xludf.DUMMYFUNCTION("""COMPUTED_VALUE"""),"GABON")</f>
        <v>GABON</v>
      </c>
      <c r="B857" s="7">
        <f>IFERROR(__xludf.DUMMYFUNCTION("""COMPUTED_VALUE"""),7.0)</f>
        <v>7</v>
      </c>
      <c r="C857" s="7" t="str">
        <f>IFERROR(__xludf.DUMMYFUNCTION("""COMPUTED_VALUE"""),"B_01_07")</f>
        <v>B_01_07</v>
      </c>
      <c r="D857" s="7" t="str">
        <f>IFERROR(__xludf.DUMMYFUNCTION("""COMPUTED_VALUE"""),"Q58A")</f>
        <v>Q58A</v>
      </c>
      <c r="E857" s="7" t="str">
        <f>IFERROR(__xludf.DUMMYFUNCTION("""COMPUTED_VALUE"""),"Q58a. Performance: President")</f>
        <v>Q58a. Performance: President</v>
      </c>
      <c r="F857" s="7" t="str">
        <f>IFERROR(__xludf.DUMMYFUNCTION("""COMPUTED_VALUE"""),"President Ali BONGO ONDIMBA")</f>
        <v>President Ali BONGO ONDIMBA</v>
      </c>
    </row>
    <row r="858">
      <c r="A858" s="7" t="str">
        <f>IFERROR(__xludf.DUMMYFUNCTION("""COMPUTED_VALUE"""),"GAMBIA")</f>
        <v>GAMBIA</v>
      </c>
      <c r="B858" s="7">
        <f>IFERROR(__xludf.DUMMYFUNCTION("""COMPUTED_VALUE"""),7.0)</f>
        <v>7</v>
      </c>
      <c r="C858" s="7" t="str">
        <f>IFERROR(__xludf.DUMMYFUNCTION("""COMPUTED_VALUE"""),"B_01_07")</f>
        <v>B_01_07</v>
      </c>
      <c r="D858" s="7" t="str">
        <f>IFERROR(__xludf.DUMMYFUNCTION("""COMPUTED_VALUE"""),"Q58A")</f>
        <v>Q58A</v>
      </c>
      <c r="E858" s="7" t="str">
        <f>IFERROR(__xludf.DUMMYFUNCTION("""COMPUTED_VALUE"""),"Q58a. Performance: President")</f>
        <v>Q58a. Performance: President</v>
      </c>
      <c r="F858" s="7" t="str">
        <f>IFERROR(__xludf.DUMMYFUNCTION("""COMPUTED_VALUE"""),"President Adama Barrow")</f>
        <v>President Adama Barrow</v>
      </c>
    </row>
    <row r="859">
      <c r="A859" s="7" t="str">
        <f>IFERROR(__xludf.DUMMYFUNCTION("""COMPUTED_VALUE"""),"GHANA")</f>
        <v>GHANA</v>
      </c>
      <c r="B859" s="7">
        <f>IFERROR(__xludf.DUMMYFUNCTION("""COMPUTED_VALUE"""),7.0)</f>
        <v>7</v>
      </c>
      <c r="C859" s="7" t="str">
        <f>IFERROR(__xludf.DUMMYFUNCTION("""COMPUTED_VALUE"""),"B_01_07")</f>
        <v>B_01_07</v>
      </c>
      <c r="D859" s="7" t="str">
        <f>IFERROR(__xludf.DUMMYFUNCTION("""COMPUTED_VALUE"""),"Q58A")</f>
        <v>Q58A</v>
      </c>
      <c r="E859" s="7" t="str">
        <f>IFERROR(__xludf.DUMMYFUNCTION("""COMPUTED_VALUE"""),"Q58a. Performance: President")</f>
        <v>Q58a. Performance: President</v>
      </c>
      <c r="F859" s="7" t="str">
        <f>IFERROR(__xludf.DUMMYFUNCTION("""COMPUTED_VALUE"""),"President Nana Akuffo Addo")</f>
        <v>President Nana Akuffo Addo</v>
      </c>
    </row>
    <row r="860">
      <c r="A860" s="7" t="str">
        <f>IFERROR(__xludf.DUMMYFUNCTION("""COMPUTED_VALUE"""),"GUINEA")</f>
        <v>GUINEA</v>
      </c>
      <c r="B860" s="7">
        <f>IFERROR(__xludf.DUMMYFUNCTION("""COMPUTED_VALUE"""),7.0)</f>
        <v>7</v>
      </c>
      <c r="C860" s="7" t="str">
        <f>IFERROR(__xludf.DUMMYFUNCTION("""COMPUTED_VALUE"""),"B_01_07")</f>
        <v>B_01_07</v>
      </c>
      <c r="D860" s="7" t="str">
        <f>IFERROR(__xludf.DUMMYFUNCTION("""COMPUTED_VALUE"""),"Q58A")</f>
        <v>Q58A</v>
      </c>
      <c r="E860" s="7" t="str">
        <f>IFERROR(__xludf.DUMMYFUNCTION("""COMPUTED_VALUE"""),"Q58a. Performance: President")</f>
        <v>Q58a. Performance: President</v>
      </c>
      <c r="F860" s="7" t="str">
        <f>IFERROR(__xludf.DUMMYFUNCTION("""COMPUTED_VALUE"""),"President Alpha Condé")</f>
        <v>President Alpha Condé</v>
      </c>
    </row>
    <row r="861">
      <c r="A861" s="7" t="str">
        <f>IFERROR(__xludf.DUMMYFUNCTION("""COMPUTED_VALUE"""),"KENYA")</f>
        <v>KENYA</v>
      </c>
      <c r="B861" s="7">
        <f>IFERROR(__xludf.DUMMYFUNCTION("""COMPUTED_VALUE"""),7.0)</f>
        <v>7</v>
      </c>
      <c r="C861" s="7" t="str">
        <f>IFERROR(__xludf.DUMMYFUNCTION("""COMPUTED_VALUE"""),"B_01_07")</f>
        <v>B_01_07</v>
      </c>
      <c r="D861" s="7" t="str">
        <f>IFERROR(__xludf.DUMMYFUNCTION("""COMPUTED_VALUE"""),"Q58A")</f>
        <v>Q58A</v>
      </c>
      <c r="E861" s="7" t="str">
        <f>IFERROR(__xludf.DUMMYFUNCTION("""COMPUTED_VALUE"""),"Q58a. Performance: President")</f>
        <v>Q58a. Performance: President</v>
      </c>
      <c r="F861" s="7" t="str">
        <f>IFERROR(__xludf.DUMMYFUNCTION("""COMPUTED_VALUE"""),"President Uhuru Kenyatta")</f>
        <v>President Uhuru Kenyatta</v>
      </c>
    </row>
    <row r="862">
      <c r="A862" s="7" t="str">
        <f>IFERROR(__xludf.DUMMYFUNCTION("""COMPUTED_VALUE"""),"LESOTHO")</f>
        <v>LESOTHO</v>
      </c>
      <c r="B862" s="7">
        <f>IFERROR(__xludf.DUMMYFUNCTION("""COMPUTED_VALUE"""),7.0)</f>
        <v>7</v>
      </c>
      <c r="C862" s="7" t="str">
        <f>IFERROR(__xludf.DUMMYFUNCTION("""COMPUTED_VALUE"""),"B_01_07")</f>
        <v>B_01_07</v>
      </c>
      <c r="D862" s="7" t="str">
        <f>IFERROR(__xludf.DUMMYFUNCTION("""COMPUTED_VALUE"""),"Q58A")</f>
        <v>Q58A</v>
      </c>
      <c r="E862" s="7" t="str">
        <f>IFERROR(__xludf.DUMMYFUNCTION("""COMPUTED_VALUE"""),"Q58a. Performance: President")</f>
        <v>Q58a. Performance: President</v>
      </c>
      <c r="F862" s="7" t="str">
        <f>IFERROR(__xludf.DUMMYFUNCTION("""COMPUTED_VALUE"""),"Prime Minister Thomas Thabane")</f>
        <v>Prime Minister Thomas Thabane</v>
      </c>
    </row>
    <row r="863">
      <c r="A863" s="7" t="str">
        <f>IFERROR(__xludf.DUMMYFUNCTION("""COMPUTED_VALUE"""),"LIBERIA")</f>
        <v>LIBERIA</v>
      </c>
      <c r="B863" s="7">
        <f>IFERROR(__xludf.DUMMYFUNCTION("""COMPUTED_VALUE"""),7.0)</f>
        <v>7</v>
      </c>
      <c r="C863" s="7" t="str">
        <f>IFERROR(__xludf.DUMMYFUNCTION("""COMPUTED_VALUE"""),"B_01_07")</f>
        <v>B_01_07</v>
      </c>
      <c r="D863" s="7" t="str">
        <f>IFERROR(__xludf.DUMMYFUNCTION("""COMPUTED_VALUE"""),"Q58A")</f>
        <v>Q58A</v>
      </c>
      <c r="E863" s="7" t="str">
        <f>IFERROR(__xludf.DUMMYFUNCTION("""COMPUTED_VALUE"""),"Q58a. Performance: President")</f>
        <v>Q58a. Performance: President</v>
      </c>
      <c r="F863" s="7" t="str">
        <f>IFERROR(__xludf.DUMMYFUNCTION("""COMPUTED_VALUE"""),"President George Weah")</f>
        <v>President George Weah</v>
      </c>
    </row>
    <row r="864">
      <c r="A864" s="7" t="str">
        <f>IFERROR(__xludf.DUMMYFUNCTION("""COMPUTED_VALUE"""),"MADAGASCAR")</f>
        <v>MADAGASCAR</v>
      </c>
      <c r="B864" s="7">
        <f>IFERROR(__xludf.DUMMYFUNCTION("""COMPUTED_VALUE"""),7.0)</f>
        <v>7</v>
      </c>
      <c r="C864" s="7" t="str">
        <f>IFERROR(__xludf.DUMMYFUNCTION("""COMPUTED_VALUE"""),"B_01_07")</f>
        <v>B_01_07</v>
      </c>
      <c r="D864" s="7" t="str">
        <f>IFERROR(__xludf.DUMMYFUNCTION("""COMPUTED_VALUE"""),"Q58A")</f>
        <v>Q58A</v>
      </c>
      <c r="E864" s="7" t="str">
        <f>IFERROR(__xludf.DUMMYFUNCTION("""COMPUTED_VALUE"""),"Q58a. Performance: President")</f>
        <v>Q58a. Performance: President</v>
      </c>
      <c r="F864" s="7" t="str">
        <f>IFERROR(__xludf.DUMMYFUNCTION("""COMPUTED_VALUE"""),"President Hery RAJAONARIMAMPIANINA")</f>
        <v>President Hery RAJAONARIMAMPIANINA</v>
      </c>
    </row>
    <row r="865">
      <c r="A865" s="7" t="str">
        <f>IFERROR(__xludf.DUMMYFUNCTION("""COMPUTED_VALUE"""),"MALAWI")</f>
        <v>MALAWI</v>
      </c>
      <c r="B865" s="7">
        <f>IFERROR(__xludf.DUMMYFUNCTION("""COMPUTED_VALUE"""),7.0)</f>
        <v>7</v>
      </c>
      <c r="C865" s="7" t="str">
        <f>IFERROR(__xludf.DUMMYFUNCTION("""COMPUTED_VALUE"""),"B_01_07")</f>
        <v>B_01_07</v>
      </c>
      <c r="D865" s="7" t="str">
        <f>IFERROR(__xludf.DUMMYFUNCTION("""COMPUTED_VALUE"""),"Q58A")</f>
        <v>Q58A</v>
      </c>
      <c r="E865" s="7" t="str">
        <f>IFERROR(__xludf.DUMMYFUNCTION("""COMPUTED_VALUE"""),"Q58a. Performance: President")</f>
        <v>Q58a. Performance: President</v>
      </c>
      <c r="F865" s="7" t="str">
        <f>IFERROR(__xludf.DUMMYFUNCTION("""COMPUTED_VALUE"""),"President Peter Mutharika")</f>
        <v>President Peter Mutharika</v>
      </c>
    </row>
    <row r="866">
      <c r="A866" s="7" t="str">
        <f>IFERROR(__xludf.DUMMYFUNCTION("""COMPUTED_VALUE"""),"MALI")</f>
        <v>MALI</v>
      </c>
      <c r="B866" s="7">
        <f>IFERROR(__xludf.DUMMYFUNCTION("""COMPUTED_VALUE"""),7.0)</f>
        <v>7</v>
      </c>
      <c r="C866" s="7" t="str">
        <f>IFERROR(__xludf.DUMMYFUNCTION("""COMPUTED_VALUE"""),"B_01_07")</f>
        <v>B_01_07</v>
      </c>
      <c r="D866" s="7" t="str">
        <f>IFERROR(__xludf.DUMMYFUNCTION("""COMPUTED_VALUE"""),"Q58A")</f>
        <v>Q58A</v>
      </c>
      <c r="E866" s="7" t="str">
        <f>IFERROR(__xludf.DUMMYFUNCTION("""COMPUTED_VALUE"""),"Q58a. Performance: President")</f>
        <v>Q58a. Performance: President</v>
      </c>
      <c r="F866" s="7" t="str">
        <f>IFERROR(__xludf.DUMMYFUNCTION("""COMPUTED_VALUE"""),"President Ibrahim Boubacar Keita")</f>
        <v>President Ibrahim Boubacar Keita</v>
      </c>
    </row>
    <row r="867">
      <c r="A867" s="7" t="str">
        <f>IFERROR(__xludf.DUMMYFUNCTION("""COMPUTED_VALUE"""),"MAURITIUS")</f>
        <v>MAURITIUS</v>
      </c>
      <c r="B867" s="7">
        <f>IFERROR(__xludf.DUMMYFUNCTION("""COMPUTED_VALUE"""),7.0)</f>
        <v>7</v>
      </c>
      <c r="C867" s="7" t="str">
        <f>IFERROR(__xludf.DUMMYFUNCTION("""COMPUTED_VALUE"""),"B_01_07")</f>
        <v>B_01_07</v>
      </c>
      <c r="D867" s="7" t="str">
        <f>IFERROR(__xludf.DUMMYFUNCTION("""COMPUTED_VALUE"""),"Q58A")</f>
        <v>Q58A</v>
      </c>
      <c r="E867" s="7" t="str">
        <f>IFERROR(__xludf.DUMMYFUNCTION("""COMPUTED_VALUE"""),"Q58a. Performance: President")</f>
        <v>Q58a. Performance: President</v>
      </c>
      <c r="F867" s="7" t="str">
        <f>IFERROR(__xludf.DUMMYFUNCTION("""COMPUTED_VALUE"""),"A. Prime Minister Pravind Jugnauth
A1-MAU President Amina Gurib-Fakim
")</f>
        <v>A. Prime Minister Pravind Jugnauth
A1-MAU President Amina Gurib-Fakim
</v>
      </c>
    </row>
    <row r="868">
      <c r="A868" s="7" t="str">
        <f>IFERROR(__xludf.DUMMYFUNCTION("""COMPUTED_VALUE"""),"MOROCCO")</f>
        <v>MOROCCO</v>
      </c>
      <c r="B868" s="7">
        <f>IFERROR(__xludf.DUMMYFUNCTION("""COMPUTED_VALUE"""),7.0)</f>
        <v>7</v>
      </c>
      <c r="C868" s="7" t="str">
        <f>IFERROR(__xludf.DUMMYFUNCTION("""COMPUTED_VALUE"""),"B_01_07")</f>
        <v>B_01_07</v>
      </c>
      <c r="D868" s="7" t="str">
        <f>IFERROR(__xludf.DUMMYFUNCTION("""COMPUTED_VALUE"""),"Q58A")</f>
        <v>Q58A</v>
      </c>
      <c r="E868" s="7" t="str">
        <f>IFERROR(__xludf.DUMMYFUNCTION("""COMPUTED_VALUE"""),"Q58a. Performance: President")</f>
        <v>Q58a. Performance: President</v>
      </c>
      <c r="F868" s="7" t="str">
        <f>IFERROR(__xludf.DUMMYFUNCTION("""COMPUTED_VALUE"""),"President of the government, Saadeddine Othmani")</f>
        <v>President of the government, Saadeddine Othmani</v>
      </c>
    </row>
    <row r="869">
      <c r="A869" s="7" t="str">
        <f>IFERROR(__xludf.DUMMYFUNCTION("""COMPUTED_VALUE"""),"MOZAMBIQUE")</f>
        <v>MOZAMBIQUE</v>
      </c>
      <c r="B869" s="7">
        <f>IFERROR(__xludf.DUMMYFUNCTION("""COMPUTED_VALUE"""),7.0)</f>
        <v>7</v>
      </c>
      <c r="C869" s="7" t="str">
        <f>IFERROR(__xludf.DUMMYFUNCTION("""COMPUTED_VALUE"""),"B_01_07")</f>
        <v>B_01_07</v>
      </c>
      <c r="D869" s="7" t="str">
        <f>IFERROR(__xludf.DUMMYFUNCTION("""COMPUTED_VALUE"""),"Q58A")</f>
        <v>Q58A</v>
      </c>
      <c r="E869" s="7" t="str">
        <f>IFERROR(__xludf.DUMMYFUNCTION("""COMPUTED_VALUE"""),"Q58a. Performance: President")</f>
        <v>Q58a. Performance: President</v>
      </c>
      <c r="F869" s="7" t="str">
        <f>IFERROR(__xludf.DUMMYFUNCTION("""COMPUTED_VALUE"""),"President Filipe Nyusi
Prime-Minister Carlos Agostinho do Rosário
")</f>
        <v>President Filipe Nyusi
Prime-Minister Carlos Agostinho do Rosário
</v>
      </c>
    </row>
    <row r="870">
      <c r="A870" s="7" t="str">
        <f>IFERROR(__xludf.DUMMYFUNCTION("""COMPUTED_VALUE"""),"NAMIBIA")</f>
        <v>NAMIBIA</v>
      </c>
      <c r="B870" s="7">
        <f>IFERROR(__xludf.DUMMYFUNCTION("""COMPUTED_VALUE"""),7.0)</f>
        <v>7</v>
      </c>
      <c r="C870" s="7" t="str">
        <f>IFERROR(__xludf.DUMMYFUNCTION("""COMPUTED_VALUE"""),"B_01_07")</f>
        <v>B_01_07</v>
      </c>
      <c r="D870" s="7" t="str">
        <f>IFERROR(__xludf.DUMMYFUNCTION("""COMPUTED_VALUE"""),"Q58A")</f>
        <v>Q58A</v>
      </c>
      <c r="E870" s="7" t="str">
        <f>IFERROR(__xludf.DUMMYFUNCTION("""COMPUTED_VALUE"""),"Q58a. Performance: President")</f>
        <v>Q58a. Performance: President</v>
      </c>
      <c r="F870" s="7" t="str">
        <f>IFERROR(__xludf.DUMMYFUNCTION("""COMPUTED_VALUE"""),"President Hage Geingob
Prime Minister, Saara Kuugongelwa
")</f>
        <v>President Hage Geingob
Prime Minister, Saara Kuugongelwa
</v>
      </c>
    </row>
    <row r="871">
      <c r="A871" s="7" t="str">
        <f>IFERROR(__xludf.DUMMYFUNCTION("""COMPUTED_VALUE"""),"NIGER")</f>
        <v>NIGER</v>
      </c>
      <c r="B871" s="7">
        <f>IFERROR(__xludf.DUMMYFUNCTION("""COMPUTED_VALUE"""),7.0)</f>
        <v>7</v>
      </c>
      <c r="C871" s="7" t="str">
        <f>IFERROR(__xludf.DUMMYFUNCTION("""COMPUTED_VALUE"""),"B_01_07")</f>
        <v>B_01_07</v>
      </c>
      <c r="D871" s="7" t="str">
        <f>IFERROR(__xludf.DUMMYFUNCTION("""COMPUTED_VALUE"""),"Q58A")</f>
        <v>Q58A</v>
      </c>
      <c r="E871" s="7" t="str">
        <f>IFERROR(__xludf.DUMMYFUNCTION("""COMPUTED_VALUE"""),"Q58a. Performance: President")</f>
        <v>Q58a. Performance: President</v>
      </c>
      <c r="F871" s="7" t="str">
        <f>IFERROR(__xludf.DUMMYFUNCTION("""COMPUTED_VALUE"""),"President Mahamadou Issoufou")</f>
        <v>President Mahamadou Issoufou</v>
      </c>
    </row>
    <row r="872">
      <c r="A872" s="7" t="str">
        <f>IFERROR(__xludf.DUMMYFUNCTION("""COMPUTED_VALUE"""),"NIGERIA")</f>
        <v>NIGERIA</v>
      </c>
      <c r="B872" s="7">
        <f>IFERROR(__xludf.DUMMYFUNCTION("""COMPUTED_VALUE"""),7.0)</f>
        <v>7</v>
      </c>
      <c r="C872" s="7" t="str">
        <f>IFERROR(__xludf.DUMMYFUNCTION("""COMPUTED_VALUE"""),"B_01_07")</f>
        <v>B_01_07</v>
      </c>
      <c r="D872" s="7" t="str">
        <f>IFERROR(__xludf.DUMMYFUNCTION("""COMPUTED_VALUE"""),"Q58A")</f>
        <v>Q58A</v>
      </c>
      <c r="E872" s="7" t="str">
        <f>IFERROR(__xludf.DUMMYFUNCTION("""COMPUTED_VALUE"""),"Q58a. Performance: President")</f>
        <v>Q58a. Performance: President</v>
      </c>
      <c r="F872" s="7" t="str">
        <f>IFERROR(__xludf.DUMMYFUNCTION("""COMPUTED_VALUE"""),"President Muhammadu Buhari")</f>
        <v>President Muhammadu Buhari</v>
      </c>
    </row>
    <row r="873">
      <c r="A873" s="7" t="str">
        <f>IFERROR(__xludf.DUMMYFUNCTION("""COMPUTED_VALUE"""),"SAO TOME AND PRINCIPE")</f>
        <v>SAO TOME AND PRINCIPE</v>
      </c>
      <c r="B873" s="7">
        <f>IFERROR(__xludf.DUMMYFUNCTION("""COMPUTED_VALUE"""),7.0)</f>
        <v>7</v>
      </c>
      <c r="C873" s="7" t="str">
        <f>IFERROR(__xludf.DUMMYFUNCTION("""COMPUTED_VALUE"""),"B_01_07")</f>
        <v>B_01_07</v>
      </c>
      <c r="D873" s="7" t="str">
        <f>IFERROR(__xludf.DUMMYFUNCTION("""COMPUTED_VALUE"""),"Q58A")</f>
        <v>Q58A</v>
      </c>
      <c r="E873" s="7" t="str">
        <f>IFERROR(__xludf.DUMMYFUNCTION("""COMPUTED_VALUE"""),"Q58a. Performance: President")</f>
        <v>Q58a. Performance: President</v>
      </c>
      <c r="F873" s="7" t="str">
        <f>IFERROR(__xludf.DUMMYFUNCTION("""COMPUTED_VALUE"""),"President Evaristo Carvalho
Prime Minister – Patrice Trovoda")</f>
        <v>President Evaristo Carvalho
Prime Minister – Patrice Trovoda</v>
      </c>
    </row>
    <row r="874">
      <c r="A874" s="7" t="str">
        <f>IFERROR(__xludf.DUMMYFUNCTION("""COMPUTED_VALUE"""),"SENEGAL")</f>
        <v>SENEGAL</v>
      </c>
      <c r="B874" s="7">
        <f>IFERROR(__xludf.DUMMYFUNCTION("""COMPUTED_VALUE"""),7.0)</f>
        <v>7</v>
      </c>
      <c r="C874" s="7" t="str">
        <f>IFERROR(__xludf.DUMMYFUNCTION("""COMPUTED_VALUE"""),"B_01_07")</f>
        <v>B_01_07</v>
      </c>
      <c r="D874" s="7" t="str">
        <f>IFERROR(__xludf.DUMMYFUNCTION("""COMPUTED_VALUE"""),"Q58A")</f>
        <v>Q58A</v>
      </c>
      <c r="E874" s="7" t="str">
        <f>IFERROR(__xludf.DUMMYFUNCTION("""COMPUTED_VALUE"""),"Q58a. Performance: President")</f>
        <v>Q58a. Performance: President</v>
      </c>
      <c r="F874" s="7" t="str">
        <f>IFERROR(__xludf.DUMMYFUNCTION("""COMPUTED_VALUE"""),"President Macky SALL")</f>
        <v>President Macky SALL</v>
      </c>
    </row>
    <row r="875">
      <c r="A875" s="7" t="str">
        <f>IFERROR(__xludf.DUMMYFUNCTION("""COMPUTED_VALUE"""),"SIERRA LEONE")</f>
        <v>SIERRA LEONE</v>
      </c>
      <c r="B875" s="7">
        <f>IFERROR(__xludf.DUMMYFUNCTION("""COMPUTED_VALUE"""),7.0)</f>
        <v>7</v>
      </c>
      <c r="C875" s="7" t="str">
        <f>IFERROR(__xludf.DUMMYFUNCTION("""COMPUTED_VALUE"""),"B_01_07")</f>
        <v>B_01_07</v>
      </c>
      <c r="D875" s="7" t="str">
        <f>IFERROR(__xludf.DUMMYFUNCTION("""COMPUTED_VALUE"""),"Q58A")</f>
        <v>Q58A</v>
      </c>
      <c r="E875" s="7" t="str">
        <f>IFERROR(__xludf.DUMMYFUNCTION("""COMPUTED_VALUE"""),"Q58a. Performance: President")</f>
        <v>Q58a. Performance: President</v>
      </c>
      <c r="F875" s="7" t="str">
        <f>IFERROR(__xludf.DUMMYFUNCTION("""COMPUTED_VALUE"""),"President Bio")</f>
        <v>President Bio</v>
      </c>
    </row>
    <row r="876">
      <c r="A876" s="7" t="str">
        <f>IFERROR(__xludf.DUMMYFUNCTION("""COMPUTED_VALUE"""),"SOUTH AFRICA")</f>
        <v>SOUTH AFRICA</v>
      </c>
      <c r="B876" s="7">
        <f>IFERROR(__xludf.DUMMYFUNCTION("""COMPUTED_VALUE"""),7.0)</f>
        <v>7</v>
      </c>
      <c r="C876" s="7" t="str">
        <f>IFERROR(__xludf.DUMMYFUNCTION("""COMPUTED_VALUE"""),"B_01_07")</f>
        <v>B_01_07</v>
      </c>
      <c r="D876" s="7" t="str">
        <f>IFERROR(__xludf.DUMMYFUNCTION("""COMPUTED_VALUE"""),"Q58A")</f>
        <v>Q58A</v>
      </c>
      <c r="E876" s="7" t="str">
        <f>IFERROR(__xludf.DUMMYFUNCTION("""COMPUTED_VALUE"""),"Q58a. Performance: President")</f>
        <v>Q58a. Performance: President</v>
      </c>
      <c r="F876" s="7" t="str">
        <f>IFERROR(__xludf.DUMMYFUNCTION("""COMPUTED_VALUE"""),"President Cyril Ramaphosa
Former President Jacob Zuma
")</f>
        <v>President Cyril Ramaphosa
Former President Jacob Zuma
</v>
      </c>
    </row>
    <row r="877">
      <c r="A877" s="7" t="str">
        <f>IFERROR(__xludf.DUMMYFUNCTION("""COMPUTED_VALUE"""),"SUDAN")</f>
        <v>SUDAN</v>
      </c>
      <c r="B877" s="7">
        <f>IFERROR(__xludf.DUMMYFUNCTION("""COMPUTED_VALUE"""),7.0)</f>
        <v>7</v>
      </c>
      <c r="C877" s="7" t="str">
        <f>IFERROR(__xludf.DUMMYFUNCTION("""COMPUTED_VALUE"""),"B_01_07")</f>
        <v>B_01_07</v>
      </c>
      <c r="D877" s="7" t="str">
        <f>IFERROR(__xludf.DUMMYFUNCTION("""COMPUTED_VALUE"""),"Q58A")</f>
        <v>Q58A</v>
      </c>
      <c r="E877" s="7" t="str">
        <f>IFERROR(__xludf.DUMMYFUNCTION("""COMPUTED_VALUE"""),"Q58a. Performance: President")</f>
        <v>Q58a. Performance: President</v>
      </c>
      <c r="F877" s="7" t="str">
        <f>IFERROR(__xludf.DUMMYFUNCTION("""COMPUTED_VALUE"""),"President Omar El Bechir")</f>
        <v>President Omar El Bechir</v>
      </c>
    </row>
    <row r="878">
      <c r="A878" s="7" t="str">
        <f>IFERROR(__xludf.DUMMYFUNCTION("""COMPUTED_VALUE"""),"TANZANIA")</f>
        <v>TANZANIA</v>
      </c>
      <c r="B878" s="7">
        <f>IFERROR(__xludf.DUMMYFUNCTION("""COMPUTED_VALUE"""),7.0)</f>
        <v>7</v>
      </c>
      <c r="C878" s="7" t="str">
        <f>IFERROR(__xludf.DUMMYFUNCTION("""COMPUTED_VALUE"""),"B_01_07")</f>
        <v>B_01_07</v>
      </c>
      <c r="D878" s="7" t="str">
        <f>IFERROR(__xludf.DUMMYFUNCTION("""COMPUTED_VALUE"""),"Q58A")</f>
        <v>Q58A</v>
      </c>
      <c r="E878" s="7" t="str">
        <f>IFERROR(__xludf.DUMMYFUNCTION("""COMPUTED_VALUE"""),"Q58a. Performance: President")</f>
        <v>Q58a. Performance: President</v>
      </c>
      <c r="F878" s="7" t="str">
        <f>IFERROR(__xludf.DUMMYFUNCTION("""COMPUTED_VALUE"""),"President John Magufuli")</f>
        <v>President John Magufuli</v>
      </c>
    </row>
    <row r="879">
      <c r="A879" s="7" t="str">
        <f>IFERROR(__xludf.DUMMYFUNCTION("""COMPUTED_VALUE"""),"TOGO")</f>
        <v>TOGO</v>
      </c>
      <c r="B879" s="7">
        <f>IFERROR(__xludf.DUMMYFUNCTION("""COMPUTED_VALUE"""),7.0)</f>
        <v>7</v>
      </c>
      <c r="C879" s="7" t="str">
        <f>IFERROR(__xludf.DUMMYFUNCTION("""COMPUTED_VALUE"""),"B_01_07")</f>
        <v>B_01_07</v>
      </c>
      <c r="D879" s="7" t="str">
        <f>IFERROR(__xludf.DUMMYFUNCTION("""COMPUTED_VALUE"""),"Q58A")</f>
        <v>Q58A</v>
      </c>
      <c r="E879" s="7" t="str">
        <f>IFERROR(__xludf.DUMMYFUNCTION("""COMPUTED_VALUE"""),"Q58a. Performance: President")</f>
        <v>Q58a. Performance: President</v>
      </c>
      <c r="F879" s="7" t="str">
        <f>IFERROR(__xludf.DUMMYFUNCTION("""COMPUTED_VALUE"""),"President Faure Essozimna Gnassingbé")</f>
        <v>President Faure Essozimna Gnassingbé</v>
      </c>
    </row>
    <row r="880">
      <c r="A880" s="7" t="str">
        <f>IFERROR(__xludf.DUMMYFUNCTION("""COMPUTED_VALUE"""),"TUNISIA")</f>
        <v>TUNISIA</v>
      </c>
      <c r="B880" s="7">
        <f>IFERROR(__xludf.DUMMYFUNCTION("""COMPUTED_VALUE"""),7.0)</f>
        <v>7</v>
      </c>
      <c r="C880" s="7" t="str">
        <f>IFERROR(__xludf.DUMMYFUNCTION("""COMPUTED_VALUE"""),"B_01_07")</f>
        <v>B_01_07</v>
      </c>
      <c r="D880" s="7" t="str">
        <f>IFERROR(__xludf.DUMMYFUNCTION("""COMPUTED_VALUE"""),"Q58A")</f>
        <v>Q58A</v>
      </c>
      <c r="E880" s="7" t="str">
        <f>IFERROR(__xludf.DUMMYFUNCTION("""COMPUTED_VALUE"""),"Q58a. Performance: President")</f>
        <v>Q58a. Performance: President</v>
      </c>
      <c r="F880" s="7" t="str">
        <f>IFERROR(__xludf.DUMMYFUNCTION("""COMPUTED_VALUE"""),"President Béji Caïd Essebsi")</f>
        <v>President Béji Caïd Essebsi</v>
      </c>
    </row>
    <row r="881">
      <c r="A881" s="7" t="str">
        <f>IFERROR(__xludf.DUMMYFUNCTION("""COMPUTED_VALUE"""),"UGANDA")</f>
        <v>UGANDA</v>
      </c>
      <c r="B881" s="7">
        <f>IFERROR(__xludf.DUMMYFUNCTION("""COMPUTED_VALUE"""),7.0)</f>
        <v>7</v>
      </c>
      <c r="C881" s="7" t="str">
        <f>IFERROR(__xludf.DUMMYFUNCTION("""COMPUTED_VALUE"""),"B_01_07")</f>
        <v>B_01_07</v>
      </c>
      <c r="D881" s="7" t="str">
        <f>IFERROR(__xludf.DUMMYFUNCTION("""COMPUTED_VALUE"""),"Q58A")</f>
        <v>Q58A</v>
      </c>
      <c r="E881" s="7" t="str">
        <f>IFERROR(__xludf.DUMMYFUNCTION("""COMPUTED_VALUE"""),"Q58a. Performance: President")</f>
        <v>Q58a. Performance: President</v>
      </c>
      <c r="F881" s="7" t="str">
        <f>IFERROR(__xludf.DUMMYFUNCTION("""COMPUTED_VALUE"""),"President Yoweri Kaguta Museveni")</f>
        <v>President Yoweri Kaguta Museveni</v>
      </c>
    </row>
    <row r="882">
      <c r="A882" s="7" t="str">
        <f>IFERROR(__xludf.DUMMYFUNCTION("""COMPUTED_VALUE"""),"ZAMBIA")</f>
        <v>ZAMBIA</v>
      </c>
      <c r="B882" s="7">
        <f>IFERROR(__xludf.DUMMYFUNCTION("""COMPUTED_VALUE"""),7.0)</f>
        <v>7</v>
      </c>
      <c r="C882" s="7" t="str">
        <f>IFERROR(__xludf.DUMMYFUNCTION("""COMPUTED_VALUE"""),"B_01_07")</f>
        <v>B_01_07</v>
      </c>
      <c r="D882" s="7" t="str">
        <f>IFERROR(__xludf.DUMMYFUNCTION("""COMPUTED_VALUE"""),"Q58A")</f>
        <v>Q58A</v>
      </c>
      <c r="E882" s="7" t="str">
        <f>IFERROR(__xludf.DUMMYFUNCTION("""COMPUTED_VALUE"""),"Q58a. Performance: President")</f>
        <v>Q58a. Performance: President</v>
      </c>
      <c r="F882" s="7" t="str">
        <f>IFERROR(__xludf.DUMMYFUNCTION("""COMPUTED_VALUE"""),"President Edgar Chagwa Lungu")</f>
        <v>President Edgar Chagwa Lungu</v>
      </c>
    </row>
    <row r="883">
      <c r="A883" s="7" t="str">
        <f>IFERROR(__xludf.DUMMYFUNCTION("""COMPUTED_VALUE"""),"ZIMBABWE")</f>
        <v>ZIMBABWE</v>
      </c>
      <c r="B883" s="7">
        <f>IFERROR(__xludf.DUMMYFUNCTION("""COMPUTED_VALUE"""),7.0)</f>
        <v>7</v>
      </c>
      <c r="C883" s="7" t="str">
        <f>IFERROR(__xludf.DUMMYFUNCTION("""COMPUTED_VALUE"""),"B_01_07")</f>
        <v>B_01_07</v>
      </c>
      <c r="D883" s="7" t="str">
        <f>IFERROR(__xludf.DUMMYFUNCTION("""COMPUTED_VALUE"""),"Q58A")</f>
        <v>Q58A</v>
      </c>
      <c r="E883" s="7" t="str">
        <f>IFERROR(__xludf.DUMMYFUNCTION("""COMPUTED_VALUE"""),"Q58a. Performance: President")</f>
        <v>Q58a. Performance: President</v>
      </c>
      <c r="F883" s="7" t="str">
        <f>IFERROR(__xludf.DUMMYFUNCTION("""COMPUTED_VALUE"""),"President Robert Mugabe")</f>
        <v>President Robert Mugabe</v>
      </c>
    </row>
    <row r="884">
      <c r="A884" s="7" t="str">
        <f>IFERROR(__xludf.DUMMYFUNCTION("""COMPUTED_VALUE"""),"BENIN")</f>
        <v>BENIN</v>
      </c>
      <c r="B884" s="7">
        <f>IFERROR(__xludf.DUMMYFUNCTION("""COMPUTED_VALUE"""),7.0)</f>
        <v>7</v>
      </c>
      <c r="C884" s="7" t="str">
        <f>IFERROR(__xludf.DUMMYFUNCTION("""COMPUTED_VALUE"""),"B_04_07")</f>
        <v>B_04_07</v>
      </c>
      <c r="D884" s="7" t="str">
        <f>IFERROR(__xludf.DUMMYFUNCTION("""COMPUTED_VALUE"""),"Q58B")</f>
        <v>Q58B</v>
      </c>
      <c r="E884" s="7" t="str">
        <f>IFERROR(__xludf.DUMMYFUNCTION("""COMPUTED_VALUE"""),"Q58b. Performance: MP/National Assembly rep")</f>
        <v>Q58b. Performance: MP/National Assembly rep</v>
      </c>
      <c r="F884" s="7" t="str">
        <f>IFERROR(__xludf.DUMMYFUNCTION("""COMPUTED_VALUE"""),"Your Member of the National Assembly")</f>
        <v>Your Member of the National Assembly</v>
      </c>
    </row>
    <row r="885">
      <c r="A885" s="7" t="str">
        <f>IFERROR(__xludf.DUMMYFUNCTION("""COMPUTED_VALUE"""),"BOTSWANA")</f>
        <v>BOTSWANA</v>
      </c>
      <c r="B885" s="7">
        <f>IFERROR(__xludf.DUMMYFUNCTION("""COMPUTED_VALUE"""),7.0)</f>
        <v>7</v>
      </c>
      <c r="C885" s="7" t="str">
        <f>IFERROR(__xludf.DUMMYFUNCTION("""COMPUTED_VALUE"""),"B_04_07")</f>
        <v>B_04_07</v>
      </c>
      <c r="D885" s="7" t="str">
        <f>IFERROR(__xludf.DUMMYFUNCTION("""COMPUTED_VALUE"""),"Q58B")</f>
        <v>Q58B</v>
      </c>
      <c r="E885" s="7" t="str">
        <f>IFERROR(__xludf.DUMMYFUNCTION("""COMPUTED_VALUE"""),"Q58b. Performance: MP/National Assembly rep")</f>
        <v>Q58b. Performance: MP/National Assembly rep</v>
      </c>
      <c r="F885" s="7" t="str">
        <f>IFERROR(__xludf.DUMMYFUNCTION("""COMPUTED_VALUE"""),"Member of Parliament")</f>
        <v>Member of Parliament</v>
      </c>
    </row>
    <row r="886">
      <c r="A886" s="7" t="str">
        <f>IFERROR(__xludf.DUMMYFUNCTION("""COMPUTED_VALUE"""),"BURKINA FASO")</f>
        <v>BURKINA FASO</v>
      </c>
      <c r="B886" s="7">
        <f>IFERROR(__xludf.DUMMYFUNCTION("""COMPUTED_VALUE"""),7.0)</f>
        <v>7</v>
      </c>
      <c r="C886" s="7" t="str">
        <f>IFERROR(__xludf.DUMMYFUNCTION("""COMPUTED_VALUE"""),"B_04_07")</f>
        <v>B_04_07</v>
      </c>
      <c r="D886" s="7" t="str">
        <f>IFERROR(__xludf.DUMMYFUNCTION("""COMPUTED_VALUE"""),"Q58B")</f>
        <v>Q58B</v>
      </c>
      <c r="E886" s="7" t="str">
        <f>IFERROR(__xludf.DUMMYFUNCTION("""COMPUTED_VALUE"""),"Q58b. Performance: MP/National Assembly rep")</f>
        <v>Q58b. Performance: MP/National Assembly rep</v>
      </c>
      <c r="F886" s="7" t="str">
        <f>IFERROR(__xludf.DUMMYFUNCTION("""COMPUTED_VALUE"""),"Your Member of the National Assembly")</f>
        <v>Your Member of the National Assembly</v>
      </c>
    </row>
    <row r="887">
      <c r="A887" s="7" t="str">
        <f>IFERROR(__xludf.DUMMYFUNCTION("""COMPUTED_VALUE"""),"CABO VERDE")</f>
        <v>CABO VERDE</v>
      </c>
      <c r="B887" s="7">
        <f>IFERROR(__xludf.DUMMYFUNCTION("""COMPUTED_VALUE"""),7.0)</f>
        <v>7</v>
      </c>
      <c r="C887" s="7" t="str">
        <f>IFERROR(__xludf.DUMMYFUNCTION("""COMPUTED_VALUE"""),"B_04_07")</f>
        <v>B_04_07</v>
      </c>
      <c r="D887" s="7" t="str">
        <f>IFERROR(__xludf.DUMMYFUNCTION("""COMPUTED_VALUE"""),"Q58B")</f>
        <v>Q58B</v>
      </c>
      <c r="E887" s="7" t="str">
        <f>IFERROR(__xludf.DUMMYFUNCTION("""COMPUTED_VALUE"""),"Q58b. Performance: MP/National Assembly rep")</f>
        <v>Q58b. Performance: MP/National Assembly rep</v>
      </c>
      <c r="F887" s="7" t="str">
        <f>IFERROR(__xludf.DUMMYFUNCTION("""COMPUTED_VALUE"""),"B. Your Member of the National Assembly
B1-CVE. The Mayor (President of the Municipal Chamber)")</f>
        <v>B. Your Member of the National Assembly
B1-CVE. The Mayor (President of the Municipal Chamber)</v>
      </c>
    </row>
    <row r="888">
      <c r="A888" s="7" t="str">
        <f>IFERROR(__xludf.DUMMYFUNCTION("""COMPUTED_VALUE"""),"CAMEROON")</f>
        <v>CAMEROON</v>
      </c>
      <c r="B888" s="7">
        <f>IFERROR(__xludf.DUMMYFUNCTION("""COMPUTED_VALUE"""),7.0)</f>
        <v>7</v>
      </c>
      <c r="C888" s="7" t="str">
        <f>IFERROR(__xludf.DUMMYFUNCTION("""COMPUTED_VALUE"""),"B_04_07")</f>
        <v>B_04_07</v>
      </c>
      <c r="D888" s="7" t="str">
        <f>IFERROR(__xludf.DUMMYFUNCTION("""COMPUTED_VALUE"""),"Q58B")</f>
        <v>Q58B</v>
      </c>
      <c r="E888" s="7" t="str">
        <f>IFERROR(__xludf.DUMMYFUNCTION("""COMPUTED_VALUE"""),"Q58b. Performance: MP/National Assembly rep")</f>
        <v>Q58b. Performance: MP/National Assembly rep</v>
      </c>
      <c r="F888" s="7" t="str">
        <f>IFERROR(__xludf.DUMMYFUNCTION("""COMPUTED_VALUE"""),"The representatives of parliament (Deputy or Senator)")</f>
        <v>The representatives of parliament (Deputy or Senator)</v>
      </c>
    </row>
    <row r="889">
      <c r="A889" s="7" t="str">
        <f>IFERROR(__xludf.DUMMYFUNCTION("""COMPUTED_VALUE"""),"COTE D'IVOIRE")</f>
        <v>COTE D'IVOIRE</v>
      </c>
      <c r="B889" s="7">
        <f>IFERROR(__xludf.DUMMYFUNCTION("""COMPUTED_VALUE"""),7.0)</f>
        <v>7</v>
      </c>
      <c r="C889" s="7" t="str">
        <f>IFERROR(__xludf.DUMMYFUNCTION("""COMPUTED_VALUE"""),"B_04_07")</f>
        <v>B_04_07</v>
      </c>
      <c r="D889" s="7" t="str">
        <f>IFERROR(__xludf.DUMMYFUNCTION("""COMPUTED_VALUE"""),"Q58B")</f>
        <v>Q58B</v>
      </c>
      <c r="E889" s="7" t="str">
        <f>IFERROR(__xludf.DUMMYFUNCTION("""COMPUTED_VALUE"""),"Q58b. Performance: MP/National Assembly rep")</f>
        <v>Q58b. Performance: MP/National Assembly rep</v>
      </c>
      <c r="F889" s="7" t="str">
        <f>IFERROR(__xludf.DUMMYFUNCTION("""COMPUTED_VALUE"""),"Your member of the National Assembly")</f>
        <v>Your member of the National Assembly</v>
      </c>
    </row>
    <row r="890">
      <c r="A890" s="7" t="str">
        <f>IFERROR(__xludf.DUMMYFUNCTION("""COMPUTED_VALUE"""),"ESWATINI")</f>
        <v>ESWATINI</v>
      </c>
      <c r="B890" s="7">
        <f>IFERROR(__xludf.DUMMYFUNCTION("""COMPUTED_VALUE"""),7.0)</f>
        <v>7</v>
      </c>
      <c r="C890" s="7" t="str">
        <f>IFERROR(__xludf.DUMMYFUNCTION("""COMPUTED_VALUE"""),"B_04_07")</f>
        <v>B_04_07</v>
      </c>
      <c r="D890" s="7" t="str">
        <f>IFERROR(__xludf.DUMMYFUNCTION("""COMPUTED_VALUE"""),"Q58B")</f>
        <v>Q58B</v>
      </c>
      <c r="E890" s="7" t="str">
        <f>IFERROR(__xludf.DUMMYFUNCTION("""COMPUTED_VALUE"""),"Q58b. Performance: MP/National Assembly rep")</f>
        <v>Q58b. Performance: MP/National Assembly rep</v>
      </c>
      <c r="F890" s="7" t="str">
        <f>IFERROR(__xludf.DUMMYFUNCTION("""COMPUTED_VALUE"""),"Your Member of Parliament")</f>
        <v>Your Member of Parliament</v>
      </c>
    </row>
    <row r="891">
      <c r="A891" s="7" t="str">
        <f>IFERROR(__xludf.DUMMYFUNCTION("""COMPUTED_VALUE"""),"GABON")</f>
        <v>GABON</v>
      </c>
      <c r="B891" s="7">
        <f>IFERROR(__xludf.DUMMYFUNCTION("""COMPUTED_VALUE"""),7.0)</f>
        <v>7</v>
      </c>
      <c r="C891" s="7" t="str">
        <f>IFERROR(__xludf.DUMMYFUNCTION("""COMPUTED_VALUE"""),"B_04_07")</f>
        <v>B_04_07</v>
      </c>
      <c r="D891" s="7" t="str">
        <f>IFERROR(__xludf.DUMMYFUNCTION("""COMPUTED_VALUE"""),"Q58B")</f>
        <v>Q58B</v>
      </c>
      <c r="E891" s="7" t="str">
        <f>IFERROR(__xludf.DUMMYFUNCTION("""COMPUTED_VALUE"""),"Q58b. Performance: MP/National Assembly rep")</f>
        <v>Q58b. Performance: MP/National Assembly rep</v>
      </c>
      <c r="F891" s="7" t="str">
        <f>IFERROR(__xludf.DUMMYFUNCTION("""COMPUTED_VALUE"""),"Your Member of Parliament (MP)
Your Senator in Parliament")</f>
        <v>Your Member of Parliament (MP)
Your Senator in Parliament</v>
      </c>
    </row>
    <row r="892">
      <c r="A892" s="7" t="str">
        <f>IFERROR(__xludf.DUMMYFUNCTION("""COMPUTED_VALUE"""),"GAMBIA")</f>
        <v>GAMBIA</v>
      </c>
      <c r="B892" s="7">
        <f>IFERROR(__xludf.DUMMYFUNCTION("""COMPUTED_VALUE"""),7.0)</f>
        <v>7</v>
      </c>
      <c r="C892" s="7" t="str">
        <f>IFERROR(__xludf.DUMMYFUNCTION("""COMPUTED_VALUE"""),"B_04_07")</f>
        <v>B_04_07</v>
      </c>
      <c r="D892" s="7" t="str">
        <f>IFERROR(__xludf.DUMMYFUNCTION("""COMPUTED_VALUE"""),"Q58B")</f>
        <v>Q58B</v>
      </c>
      <c r="E892" s="7" t="str">
        <f>IFERROR(__xludf.DUMMYFUNCTION("""COMPUTED_VALUE"""),"Q58b. Performance: MP/National Assembly rep")</f>
        <v>Q58b. Performance: MP/National Assembly rep</v>
      </c>
      <c r="F892" s="7" t="str">
        <f>IFERROR(__xludf.DUMMYFUNCTION("""COMPUTED_VALUE"""),"National Assembly Representative")</f>
        <v>National Assembly Representative</v>
      </c>
    </row>
    <row r="893">
      <c r="A893" s="7" t="str">
        <f>IFERROR(__xludf.DUMMYFUNCTION("""COMPUTED_VALUE"""),"GHANA")</f>
        <v>GHANA</v>
      </c>
      <c r="B893" s="7">
        <f>IFERROR(__xludf.DUMMYFUNCTION("""COMPUTED_VALUE"""),7.0)</f>
        <v>7</v>
      </c>
      <c r="C893" s="7" t="str">
        <f>IFERROR(__xludf.DUMMYFUNCTION("""COMPUTED_VALUE"""),"B_04_07")</f>
        <v>B_04_07</v>
      </c>
      <c r="D893" s="7" t="str">
        <f>IFERROR(__xludf.DUMMYFUNCTION("""COMPUTED_VALUE"""),"Q58B")</f>
        <v>Q58B</v>
      </c>
      <c r="E893" s="7" t="str">
        <f>IFERROR(__xludf.DUMMYFUNCTION("""COMPUTED_VALUE"""),"Q58b. Performance: MP/National Assembly rep")</f>
        <v>Q58b. Performance: MP/National Assembly rep</v>
      </c>
      <c r="F893" s="7" t="str">
        <f>IFERROR(__xludf.DUMMYFUNCTION("""COMPUTED_VALUE"""),"Member of Parliament")</f>
        <v>Member of Parliament</v>
      </c>
    </row>
    <row r="894">
      <c r="A894" s="7" t="str">
        <f>IFERROR(__xludf.DUMMYFUNCTION("""COMPUTED_VALUE"""),"GUINEA")</f>
        <v>GUINEA</v>
      </c>
      <c r="B894" s="7">
        <f>IFERROR(__xludf.DUMMYFUNCTION("""COMPUTED_VALUE"""),7.0)</f>
        <v>7</v>
      </c>
      <c r="C894" s="7" t="str">
        <f>IFERROR(__xludf.DUMMYFUNCTION("""COMPUTED_VALUE"""),"B_04_07")</f>
        <v>B_04_07</v>
      </c>
      <c r="D894" s="7" t="str">
        <f>IFERROR(__xludf.DUMMYFUNCTION("""COMPUTED_VALUE"""),"Q58B")</f>
        <v>Q58B</v>
      </c>
      <c r="E894" s="7" t="str">
        <f>IFERROR(__xludf.DUMMYFUNCTION("""COMPUTED_VALUE"""),"Q58b. Performance: MP/National Assembly rep")</f>
        <v>Q58b. Performance: MP/National Assembly rep</v>
      </c>
      <c r="F894" s="7" t="str">
        <f>IFERROR(__xludf.DUMMYFUNCTION("""COMPUTED_VALUE"""),"Member of the National Assembly")</f>
        <v>Member of the National Assembly</v>
      </c>
    </row>
    <row r="895">
      <c r="A895" s="7" t="str">
        <f>IFERROR(__xludf.DUMMYFUNCTION("""COMPUTED_VALUE"""),"KENYA")</f>
        <v>KENYA</v>
      </c>
      <c r="B895" s="7">
        <f>IFERROR(__xludf.DUMMYFUNCTION("""COMPUTED_VALUE"""),7.0)</f>
        <v>7</v>
      </c>
      <c r="C895" s="7" t="str">
        <f>IFERROR(__xludf.DUMMYFUNCTION("""COMPUTED_VALUE"""),"B_04_07")</f>
        <v>B_04_07</v>
      </c>
      <c r="D895" s="7" t="str">
        <f>IFERROR(__xludf.DUMMYFUNCTION("""COMPUTED_VALUE"""),"Q58B")</f>
        <v>Q58B</v>
      </c>
      <c r="E895" s="7" t="str">
        <f>IFERROR(__xludf.DUMMYFUNCTION("""COMPUTED_VALUE"""),"Q58b. Performance: MP/National Assembly rep")</f>
        <v>Q58b. Performance: MP/National Assembly rep</v>
      </c>
      <c r="F895" s="7" t="str">
        <f>IFERROR(__xludf.DUMMYFUNCTION("""COMPUTED_VALUE"""),"Members of Parliament")</f>
        <v>Members of Parliament</v>
      </c>
    </row>
    <row r="896">
      <c r="A896" s="7" t="str">
        <f>IFERROR(__xludf.DUMMYFUNCTION("""COMPUTED_VALUE"""),"LESOTHO")</f>
        <v>LESOTHO</v>
      </c>
      <c r="B896" s="7">
        <f>IFERROR(__xludf.DUMMYFUNCTION("""COMPUTED_VALUE"""),7.0)</f>
        <v>7</v>
      </c>
      <c r="C896" s="7" t="str">
        <f>IFERROR(__xludf.DUMMYFUNCTION("""COMPUTED_VALUE"""),"B_04_07")</f>
        <v>B_04_07</v>
      </c>
      <c r="D896" s="7" t="str">
        <f>IFERROR(__xludf.DUMMYFUNCTION("""COMPUTED_VALUE"""),"Q58B")</f>
        <v>Q58B</v>
      </c>
      <c r="E896" s="7" t="str">
        <f>IFERROR(__xludf.DUMMYFUNCTION("""COMPUTED_VALUE"""),"Q58b. Performance: MP/National Assembly rep")</f>
        <v>Q58b. Performance: MP/National Assembly rep</v>
      </c>
      <c r="F896" s="7" t="str">
        <f>IFERROR(__xludf.DUMMYFUNCTION("""COMPUTED_VALUE"""),"Members of Parliament")</f>
        <v>Members of Parliament</v>
      </c>
    </row>
    <row r="897">
      <c r="A897" s="7" t="str">
        <f>IFERROR(__xludf.DUMMYFUNCTION("""COMPUTED_VALUE"""),"LIBERIA")</f>
        <v>LIBERIA</v>
      </c>
      <c r="B897" s="7">
        <f>IFERROR(__xludf.DUMMYFUNCTION("""COMPUTED_VALUE"""),7.0)</f>
        <v>7</v>
      </c>
      <c r="C897" s="7" t="str">
        <f>IFERROR(__xludf.DUMMYFUNCTION("""COMPUTED_VALUE"""),"B_04_07")</f>
        <v>B_04_07</v>
      </c>
      <c r="D897" s="7" t="str">
        <f>IFERROR(__xludf.DUMMYFUNCTION("""COMPUTED_VALUE"""),"Q58B")</f>
        <v>Q58B</v>
      </c>
      <c r="E897" s="7" t="str">
        <f>IFERROR(__xludf.DUMMYFUNCTION("""COMPUTED_VALUE"""),"Q58b. Performance: MP/National Assembly rep")</f>
        <v>Q58b. Performance: MP/National Assembly rep</v>
      </c>
      <c r="F897" s="7" t="str">
        <f>IFERROR(__xludf.DUMMYFUNCTION("""COMPUTED_VALUE"""),"Your Representative")</f>
        <v>Your Representative</v>
      </c>
    </row>
    <row r="898">
      <c r="A898" s="7" t="str">
        <f>IFERROR(__xludf.DUMMYFUNCTION("""COMPUTED_VALUE"""),"MADAGASCAR")</f>
        <v>MADAGASCAR</v>
      </c>
      <c r="B898" s="7">
        <f>IFERROR(__xludf.DUMMYFUNCTION("""COMPUTED_VALUE"""),7.0)</f>
        <v>7</v>
      </c>
      <c r="C898" s="7" t="str">
        <f>IFERROR(__xludf.DUMMYFUNCTION("""COMPUTED_VALUE"""),"B_04_07")</f>
        <v>B_04_07</v>
      </c>
      <c r="D898" s="7" t="str">
        <f>IFERROR(__xludf.DUMMYFUNCTION("""COMPUTED_VALUE"""),"Q58B")</f>
        <v>Q58B</v>
      </c>
      <c r="E898" s="7" t="str">
        <f>IFERROR(__xludf.DUMMYFUNCTION("""COMPUTED_VALUE"""),"Q58b. Performance: MP/National Assembly rep")</f>
        <v>Q58b. Performance: MP/National Assembly rep</v>
      </c>
      <c r="F898" s="7" t="str">
        <f>IFERROR(__xludf.DUMMYFUNCTION("""COMPUTED_VALUE"""),"Your Member of the National Assembly")</f>
        <v>Your Member of the National Assembly</v>
      </c>
    </row>
    <row r="899">
      <c r="A899" s="7" t="str">
        <f>IFERROR(__xludf.DUMMYFUNCTION("""COMPUTED_VALUE"""),"MALAWI")</f>
        <v>MALAWI</v>
      </c>
      <c r="B899" s="7">
        <f>IFERROR(__xludf.DUMMYFUNCTION("""COMPUTED_VALUE"""),7.0)</f>
        <v>7</v>
      </c>
      <c r="C899" s="7" t="str">
        <f>IFERROR(__xludf.DUMMYFUNCTION("""COMPUTED_VALUE"""),"B_04_07")</f>
        <v>B_04_07</v>
      </c>
      <c r="D899" s="7" t="str">
        <f>IFERROR(__xludf.DUMMYFUNCTION("""COMPUTED_VALUE"""),"Q58B")</f>
        <v>Q58B</v>
      </c>
      <c r="E899" s="7" t="str">
        <f>IFERROR(__xludf.DUMMYFUNCTION("""COMPUTED_VALUE"""),"Q58b. Performance: MP/National Assembly rep")</f>
        <v>Q58b. Performance: MP/National Assembly rep</v>
      </c>
      <c r="F899" s="7" t="str">
        <f>IFERROR(__xludf.DUMMYFUNCTION("""COMPUTED_VALUE"""),"Your Member of Parliament")</f>
        <v>Your Member of Parliament</v>
      </c>
    </row>
    <row r="900">
      <c r="A900" s="7" t="str">
        <f>IFERROR(__xludf.DUMMYFUNCTION("""COMPUTED_VALUE"""),"MALI")</f>
        <v>MALI</v>
      </c>
      <c r="B900" s="7">
        <f>IFERROR(__xludf.DUMMYFUNCTION("""COMPUTED_VALUE"""),7.0)</f>
        <v>7</v>
      </c>
      <c r="C900" s="7" t="str">
        <f>IFERROR(__xludf.DUMMYFUNCTION("""COMPUTED_VALUE"""),"B_04_07")</f>
        <v>B_04_07</v>
      </c>
      <c r="D900" s="7" t="str">
        <f>IFERROR(__xludf.DUMMYFUNCTION("""COMPUTED_VALUE"""),"Q58B")</f>
        <v>Q58B</v>
      </c>
      <c r="E900" s="7" t="str">
        <f>IFERROR(__xludf.DUMMYFUNCTION("""COMPUTED_VALUE"""),"Q58b. Performance: MP/National Assembly rep")</f>
        <v>Q58b. Performance: MP/National Assembly rep</v>
      </c>
      <c r="F900" s="7" t="str">
        <f>IFERROR(__xludf.DUMMYFUNCTION("""COMPUTED_VALUE"""),"Member of the National Assembly")</f>
        <v>Member of the National Assembly</v>
      </c>
    </row>
    <row r="901">
      <c r="A901" s="7" t="str">
        <f>IFERROR(__xludf.DUMMYFUNCTION("""COMPUTED_VALUE"""),"MAURITIUS")</f>
        <v>MAURITIUS</v>
      </c>
      <c r="B901" s="7">
        <f>IFERROR(__xludf.DUMMYFUNCTION("""COMPUTED_VALUE"""),7.0)</f>
        <v>7</v>
      </c>
      <c r="C901" s="7" t="str">
        <f>IFERROR(__xludf.DUMMYFUNCTION("""COMPUTED_VALUE"""),"B_04_07")</f>
        <v>B_04_07</v>
      </c>
      <c r="D901" s="7" t="str">
        <f>IFERROR(__xludf.DUMMYFUNCTION("""COMPUTED_VALUE"""),"Q58B")</f>
        <v>Q58B</v>
      </c>
      <c r="E901" s="7" t="str">
        <f>IFERROR(__xludf.DUMMYFUNCTION("""COMPUTED_VALUE"""),"Q58b. Performance: MP/National Assembly rep")</f>
        <v>Q58b. Performance: MP/National Assembly rep</v>
      </c>
      <c r="F901" s="7" t="str">
        <f>IFERROR(__xludf.DUMMYFUNCTION("""COMPUTED_VALUE"""),"Member of the National Assembly")</f>
        <v>Member of the National Assembly</v>
      </c>
    </row>
    <row r="902">
      <c r="A902" s="7" t="str">
        <f>IFERROR(__xludf.DUMMYFUNCTION("""COMPUTED_VALUE"""),"MOROCCO")</f>
        <v>MOROCCO</v>
      </c>
      <c r="B902" s="7">
        <f>IFERROR(__xludf.DUMMYFUNCTION("""COMPUTED_VALUE"""),7.0)</f>
        <v>7</v>
      </c>
      <c r="C902" s="7" t="str">
        <f>IFERROR(__xludf.DUMMYFUNCTION("""COMPUTED_VALUE"""),"B_04_07")</f>
        <v>B_04_07</v>
      </c>
      <c r="D902" s="7" t="str">
        <f>IFERROR(__xludf.DUMMYFUNCTION("""COMPUTED_VALUE"""),"Q58B")</f>
        <v>Q58B</v>
      </c>
      <c r="E902" s="7" t="str">
        <f>IFERROR(__xludf.DUMMYFUNCTION("""COMPUTED_VALUE"""),"Q58b. Performance: MP/National Assembly rep")</f>
        <v>Q58b. Performance: MP/National Assembly rep</v>
      </c>
      <c r="F902" s="7" t="str">
        <f>IFERROR(__xludf.DUMMYFUNCTION("""COMPUTED_VALUE"""),"Members of Parliament")</f>
        <v>Members of Parliament</v>
      </c>
    </row>
    <row r="903">
      <c r="A903" s="7" t="str">
        <f>IFERROR(__xludf.DUMMYFUNCTION("""COMPUTED_VALUE"""),"MOZAMBIQUE")</f>
        <v>MOZAMBIQUE</v>
      </c>
      <c r="B903" s="7">
        <f>IFERROR(__xludf.DUMMYFUNCTION("""COMPUTED_VALUE"""),7.0)</f>
        <v>7</v>
      </c>
      <c r="C903" s="7" t="str">
        <f>IFERROR(__xludf.DUMMYFUNCTION("""COMPUTED_VALUE"""),"B_04_07")</f>
        <v>B_04_07</v>
      </c>
      <c r="D903" s="7" t="str">
        <f>IFERROR(__xludf.DUMMYFUNCTION("""COMPUTED_VALUE"""),"Q58B")</f>
        <v>Q58B</v>
      </c>
      <c r="E903" s="7" t="str">
        <f>IFERROR(__xludf.DUMMYFUNCTION("""COMPUTED_VALUE"""),"Q58b. Performance: MP/National Assembly rep")</f>
        <v>Q58b. Performance: MP/National Assembly rep</v>
      </c>
      <c r="F903" s="7" t="str">
        <f>IFERROR(__xludf.DUMMYFUNCTION("""COMPUTED_VALUE"""),"Members of Parliament")</f>
        <v>Members of Parliament</v>
      </c>
    </row>
    <row r="904">
      <c r="A904" s="7" t="str">
        <f>IFERROR(__xludf.DUMMYFUNCTION("""COMPUTED_VALUE"""),"NAMIBIA")</f>
        <v>NAMIBIA</v>
      </c>
      <c r="B904" s="7">
        <f>IFERROR(__xludf.DUMMYFUNCTION("""COMPUTED_VALUE"""),7.0)</f>
        <v>7</v>
      </c>
      <c r="C904" s="7" t="str">
        <f>IFERROR(__xludf.DUMMYFUNCTION("""COMPUTED_VALUE"""),"B_04_07")</f>
        <v>B_04_07</v>
      </c>
      <c r="D904" s="7" t="str">
        <f>IFERROR(__xludf.DUMMYFUNCTION("""COMPUTED_VALUE"""),"Q58B")</f>
        <v>Q58B</v>
      </c>
      <c r="E904" s="7" t="str">
        <f>IFERROR(__xludf.DUMMYFUNCTION("""COMPUTED_VALUE"""),"Q58b. Performance: MP/National Assembly rep")</f>
        <v>Q58b. Performance: MP/National Assembly rep</v>
      </c>
      <c r="F904" s="7" t="str">
        <f>IFERROR(__xludf.DUMMYFUNCTION("""COMPUTED_VALUE"""),"Members of the National Assembly
Representatives to the National Council
Your elected Regional Councilor
")</f>
        <v>Members of the National Assembly
Representatives to the National Council
Your elected Regional Councilor
</v>
      </c>
    </row>
    <row r="905">
      <c r="A905" s="7" t="str">
        <f>IFERROR(__xludf.DUMMYFUNCTION("""COMPUTED_VALUE"""),"NIGER")</f>
        <v>NIGER</v>
      </c>
      <c r="B905" s="7">
        <f>IFERROR(__xludf.DUMMYFUNCTION("""COMPUTED_VALUE"""),7.0)</f>
        <v>7</v>
      </c>
      <c r="C905" s="7" t="str">
        <f>IFERROR(__xludf.DUMMYFUNCTION("""COMPUTED_VALUE"""),"B_04_07")</f>
        <v>B_04_07</v>
      </c>
      <c r="D905" s="7" t="str">
        <f>IFERROR(__xludf.DUMMYFUNCTION("""COMPUTED_VALUE"""),"Q58B")</f>
        <v>Q58B</v>
      </c>
      <c r="E905" s="7" t="str">
        <f>IFERROR(__xludf.DUMMYFUNCTION("""COMPUTED_VALUE"""),"Q58b. Performance: MP/National Assembly rep")</f>
        <v>Q58b. Performance: MP/National Assembly rep</v>
      </c>
      <c r="F905" s="7" t="str">
        <f>IFERROR(__xludf.DUMMYFUNCTION("""COMPUTED_VALUE"""),"Members of the National Assembly")</f>
        <v>Members of the National Assembly</v>
      </c>
    </row>
    <row r="906">
      <c r="A906" s="7" t="str">
        <f>IFERROR(__xludf.DUMMYFUNCTION("""COMPUTED_VALUE"""),"NIGERIA")</f>
        <v>NIGERIA</v>
      </c>
      <c r="B906" s="7">
        <f>IFERROR(__xludf.DUMMYFUNCTION("""COMPUTED_VALUE"""),7.0)</f>
        <v>7</v>
      </c>
      <c r="C906" s="7" t="str">
        <f>IFERROR(__xludf.DUMMYFUNCTION("""COMPUTED_VALUE"""),"B_04_07")</f>
        <v>B_04_07</v>
      </c>
      <c r="D906" s="7" t="str">
        <f>IFERROR(__xludf.DUMMYFUNCTION("""COMPUTED_VALUE"""),"Q58B")</f>
        <v>Q58B</v>
      </c>
      <c r="E906" s="7" t="str">
        <f>IFERROR(__xludf.DUMMYFUNCTION("""COMPUTED_VALUE"""),"Q58b. Performance: MP/National Assembly rep")</f>
        <v>Q58b. Performance: MP/National Assembly rep</v>
      </c>
      <c r="F906" s="7" t="str">
        <f>IFERROR(__xludf.DUMMYFUNCTION("""COMPUTED_VALUE"""),"Members of the National Assembly")</f>
        <v>Members of the National Assembly</v>
      </c>
    </row>
    <row r="907">
      <c r="A907" s="7" t="str">
        <f>IFERROR(__xludf.DUMMYFUNCTION("""COMPUTED_VALUE"""),"SAO TOME AND PRINCIPE")</f>
        <v>SAO TOME AND PRINCIPE</v>
      </c>
      <c r="B907" s="7">
        <f>IFERROR(__xludf.DUMMYFUNCTION("""COMPUTED_VALUE"""),7.0)</f>
        <v>7</v>
      </c>
      <c r="C907" s="7" t="str">
        <f>IFERROR(__xludf.DUMMYFUNCTION("""COMPUTED_VALUE"""),"B_04_07")</f>
        <v>B_04_07</v>
      </c>
      <c r="D907" s="7" t="str">
        <f>IFERROR(__xludf.DUMMYFUNCTION("""COMPUTED_VALUE"""),"Q58B")</f>
        <v>Q58B</v>
      </c>
      <c r="E907" s="7" t="str">
        <f>IFERROR(__xludf.DUMMYFUNCTION("""COMPUTED_VALUE"""),"Q58b. Performance: MP/National Assembly rep")</f>
        <v>Q58b. Performance: MP/National Assembly rep</v>
      </c>
      <c r="F907" s="7" t="str">
        <f>IFERROR(__xludf.DUMMYFUNCTION("""COMPUTED_VALUE"""),"Members of the National Assembly")</f>
        <v>Members of the National Assembly</v>
      </c>
    </row>
    <row r="908">
      <c r="A908" s="7" t="str">
        <f>IFERROR(__xludf.DUMMYFUNCTION("""COMPUTED_VALUE"""),"SENEGAL")</f>
        <v>SENEGAL</v>
      </c>
      <c r="B908" s="7">
        <f>IFERROR(__xludf.DUMMYFUNCTION("""COMPUTED_VALUE"""),7.0)</f>
        <v>7</v>
      </c>
      <c r="C908" s="7" t="str">
        <f>IFERROR(__xludf.DUMMYFUNCTION("""COMPUTED_VALUE"""),"B_04_07")</f>
        <v>B_04_07</v>
      </c>
      <c r="D908" s="7" t="str">
        <f>IFERROR(__xludf.DUMMYFUNCTION("""COMPUTED_VALUE"""),"Q58B")</f>
        <v>Q58B</v>
      </c>
      <c r="E908" s="7" t="str">
        <f>IFERROR(__xludf.DUMMYFUNCTION("""COMPUTED_VALUE"""),"Q58b. Performance: MP/National Assembly rep")</f>
        <v>Q58b. Performance: MP/National Assembly rep</v>
      </c>
      <c r="F908" s="7" t="str">
        <f>IFERROR(__xludf.DUMMYFUNCTION("""COMPUTED_VALUE"""),"Member of the National Assembly")</f>
        <v>Member of the National Assembly</v>
      </c>
    </row>
    <row r="909">
      <c r="A909" s="7" t="str">
        <f>IFERROR(__xludf.DUMMYFUNCTION("""COMPUTED_VALUE"""),"SIERRA LEONE")</f>
        <v>SIERRA LEONE</v>
      </c>
      <c r="B909" s="7">
        <f>IFERROR(__xludf.DUMMYFUNCTION("""COMPUTED_VALUE"""),7.0)</f>
        <v>7</v>
      </c>
      <c r="C909" s="7" t="str">
        <f>IFERROR(__xludf.DUMMYFUNCTION("""COMPUTED_VALUE"""),"B_04_07")</f>
        <v>B_04_07</v>
      </c>
      <c r="D909" s="7" t="str">
        <f>IFERROR(__xludf.DUMMYFUNCTION("""COMPUTED_VALUE"""),"Q58B")</f>
        <v>Q58B</v>
      </c>
      <c r="E909" s="7" t="str">
        <f>IFERROR(__xludf.DUMMYFUNCTION("""COMPUTED_VALUE"""),"Q58b. Performance: MP/National Assembly rep")</f>
        <v>Q58b. Performance: MP/National Assembly rep</v>
      </c>
      <c r="F909" s="7" t="str">
        <f>IFERROR(__xludf.DUMMYFUNCTION("""COMPUTED_VALUE"""),"Member of Parliament (MP)")</f>
        <v>Member of Parliament (MP)</v>
      </c>
    </row>
    <row r="910">
      <c r="A910" s="7" t="str">
        <f>IFERROR(__xludf.DUMMYFUNCTION("""COMPUTED_VALUE"""),"SOUTH AFRICA")</f>
        <v>SOUTH AFRICA</v>
      </c>
      <c r="B910" s="7">
        <f>IFERROR(__xludf.DUMMYFUNCTION("""COMPUTED_VALUE"""),7.0)</f>
        <v>7</v>
      </c>
      <c r="C910" s="7" t="str">
        <f>IFERROR(__xludf.DUMMYFUNCTION("""COMPUTED_VALUE"""),"B_04_07")</f>
        <v>B_04_07</v>
      </c>
      <c r="D910" s="7" t="str">
        <f>IFERROR(__xludf.DUMMYFUNCTION("""COMPUTED_VALUE"""),"Q58B")</f>
        <v>Q58B</v>
      </c>
      <c r="E910" s="7" t="str">
        <f>IFERROR(__xludf.DUMMYFUNCTION("""COMPUTED_VALUE"""),"Q58b. Performance: MP/National Assembly rep")</f>
        <v>Q58b. Performance: MP/National Assembly rep</v>
      </c>
      <c r="F910" s="7" t="str">
        <f>IFERROR(__xludf.DUMMYFUNCTION("""COMPUTED_VALUE"""),"Your member of Parliament
The Premier of this province")</f>
        <v>Your member of Parliament
The Premier of this province</v>
      </c>
    </row>
    <row r="911">
      <c r="A911" s="7" t="str">
        <f>IFERROR(__xludf.DUMMYFUNCTION("""COMPUTED_VALUE"""),"SUDAN")</f>
        <v>SUDAN</v>
      </c>
      <c r="B911" s="7">
        <f>IFERROR(__xludf.DUMMYFUNCTION("""COMPUTED_VALUE"""),7.0)</f>
        <v>7</v>
      </c>
      <c r="C911" s="7" t="str">
        <f>IFERROR(__xludf.DUMMYFUNCTION("""COMPUTED_VALUE"""),"B_04_07")</f>
        <v>B_04_07</v>
      </c>
      <c r="D911" s="7" t="str">
        <f>IFERROR(__xludf.DUMMYFUNCTION("""COMPUTED_VALUE"""),"Q58B")</f>
        <v>Q58B</v>
      </c>
      <c r="E911" s="7" t="str">
        <f>IFERROR(__xludf.DUMMYFUNCTION("""COMPUTED_VALUE"""),"Q58b. Performance: MP/National Assembly rep")</f>
        <v>Q58b. Performance: MP/National Assembly rep</v>
      </c>
      <c r="F911" s="7" t="str">
        <f>IFERROR(__xludf.DUMMYFUNCTION("""COMPUTED_VALUE"""),"Members of National Assembly")</f>
        <v>Members of National Assembly</v>
      </c>
    </row>
    <row r="912">
      <c r="A912" s="7" t="str">
        <f>IFERROR(__xludf.DUMMYFUNCTION("""COMPUTED_VALUE"""),"TANZANIA")</f>
        <v>TANZANIA</v>
      </c>
      <c r="B912" s="7">
        <f>IFERROR(__xludf.DUMMYFUNCTION("""COMPUTED_VALUE"""),7.0)</f>
        <v>7</v>
      </c>
      <c r="C912" s="7" t="str">
        <f>IFERROR(__xludf.DUMMYFUNCTION("""COMPUTED_VALUE"""),"B_04_07")</f>
        <v>B_04_07</v>
      </c>
      <c r="D912" s="7" t="str">
        <f>IFERROR(__xludf.DUMMYFUNCTION("""COMPUTED_VALUE"""),"Q58B")</f>
        <v>Q58B</v>
      </c>
      <c r="E912" s="7" t="str">
        <f>IFERROR(__xludf.DUMMYFUNCTION("""COMPUTED_VALUE"""),"Q58b. Performance: MP/National Assembly rep")</f>
        <v>Q58b. Performance: MP/National Assembly rep</v>
      </c>
      <c r="F912" s="7" t="str">
        <f>IFERROR(__xludf.DUMMYFUNCTION("""COMPUTED_VALUE"""),"Your member of Parliament")</f>
        <v>Your member of Parliament</v>
      </c>
    </row>
    <row r="913">
      <c r="A913" s="7" t="str">
        <f>IFERROR(__xludf.DUMMYFUNCTION("""COMPUTED_VALUE"""),"TOGO")</f>
        <v>TOGO</v>
      </c>
      <c r="B913" s="7">
        <f>IFERROR(__xludf.DUMMYFUNCTION("""COMPUTED_VALUE"""),7.0)</f>
        <v>7</v>
      </c>
      <c r="C913" s="7" t="str">
        <f>IFERROR(__xludf.DUMMYFUNCTION("""COMPUTED_VALUE"""),"B_04_07")</f>
        <v>B_04_07</v>
      </c>
      <c r="D913" s="7" t="str">
        <f>IFERROR(__xludf.DUMMYFUNCTION("""COMPUTED_VALUE"""),"Q58B")</f>
        <v>Q58B</v>
      </c>
      <c r="E913" s="7" t="str">
        <f>IFERROR(__xludf.DUMMYFUNCTION("""COMPUTED_VALUE"""),"Q58b. Performance: MP/National Assembly rep")</f>
        <v>Q58b. Performance: MP/National Assembly rep</v>
      </c>
      <c r="F913" s="7" t="str">
        <f>IFERROR(__xludf.DUMMYFUNCTION("""COMPUTED_VALUE"""),"Member of the National Assembly")</f>
        <v>Member of the National Assembly</v>
      </c>
    </row>
    <row r="914">
      <c r="A914" s="7" t="str">
        <f>IFERROR(__xludf.DUMMYFUNCTION("""COMPUTED_VALUE"""),"TUNISIA")</f>
        <v>TUNISIA</v>
      </c>
      <c r="B914" s="7">
        <f>IFERROR(__xludf.DUMMYFUNCTION("""COMPUTED_VALUE"""),7.0)</f>
        <v>7</v>
      </c>
      <c r="C914" s="7" t="str">
        <f>IFERROR(__xludf.DUMMYFUNCTION("""COMPUTED_VALUE"""),"B_04_07")</f>
        <v>B_04_07</v>
      </c>
      <c r="D914" s="7" t="str">
        <f>IFERROR(__xludf.DUMMYFUNCTION("""COMPUTED_VALUE"""),"Q58B")</f>
        <v>Q58B</v>
      </c>
      <c r="E914" s="7" t="str">
        <f>IFERROR(__xludf.DUMMYFUNCTION("""COMPUTED_VALUE"""),"Q58b. Performance: MP/National Assembly rep")</f>
        <v>Q58b. Performance: MP/National Assembly rep</v>
      </c>
      <c r="F914" s="7" t="str">
        <f>IFERROR(__xludf.DUMMYFUNCTION("""COMPUTED_VALUE"""),"Your member of Parliament")</f>
        <v>Your member of Parliament</v>
      </c>
    </row>
    <row r="915">
      <c r="A915" s="7" t="str">
        <f>IFERROR(__xludf.DUMMYFUNCTION("""COMPUTED_VALUE"""),"UGANDA")</f>
        <v>UGANDA</v>
      </c>
      <c r="B915" s="7">
        <f>IFERROR(__xludf.DUMMYFUNCTION("""COMPUTED_VALUE"""),7.0)</f>
        <v>7</v>
      </c>
      <c r="C915" s="7" t="str">
        <f>IFERROR(__xludf.DUMMYFUNCTION("""COMPUTED_VALUE"""),"B_04_07")</f>
        <v>B_04_07</v>
      </c>
      <c r="D915" s="7" t="str">
        <f>IFERROR(__xludf.DUMMYFUNCTION("""COMPUTED_VALUE"""),"Q58B")</f>
        <v>Q58B</v>
      </c>
      <c r="E915" s="7" t="str">
        <f>IFERROR(__xludf.DUMMYFUNCTION("""COMPUTED_VALUE"""),"Q58b. Performance: MP/National Assembly rep")</f>
        <v>Q58b. Performance: MP/National Assembly rep</v>
      </c>
      <c r="F915" s="7" t="str">
        <f>IFERROR(__xludf.DUMMYFUNCTION("""COMPUTED_VALUE"""),"Your member of Parliament")</f>
        <v>Your member of Parliament</v>
      </c>
    </row>
    <row r="916">
      <c r="A916" s="7" t="str">
        <f>IFERROR(__xludf.DUMMYFUNCTION("""COMPUTED_VALUE"""),"ZAMBIA")</f>
        <v>ZAMBIA</v>
      </c>
      <c r="B916" s="7">
        <f>IFERROR(__xludf.DUMMYFUNCTION("""COMPUTED_VALUE"""),7.0)</f>
        <v>7</v>
      </c>
      <c r="C916" s="7" t="str">
        <f>IFERROR(__xludf.DUMMYFUNCTION("""COMPUTED_VALUE"""),"B_04_07")</f>
        <v>B_04_07</v>
      </c>
      <c r="D916" s="7" t="str">
        <f>IFERROR(__xludf.DUMMYFUNCTION("""COMPUTED_VALUE"""),"Q58B")</f>
        <v>Q58B</v>
      </c>
      <c r="E916" s="7" t="str">
        <f>IFERROR(__xludf.DUMMYFUNCTION("""COMPUTED_VALUE"""),"Q58b. Performance: MP/National Assembly rep")</f>
        <v>Q58b. Performance: MP/National Assembly rep</v>
      </c>
      <c r="F916" s="7" t="str">
        <f>IFERROR(__xludf.DUMMYFUNCTION("""COMPUTED_VALUE"""),"Your member of Parliament")</f>
        <v>Your member of Parliament</v>
      </c>
    </row>
    <row r="917">
      <c r="A917" s="7" t="str">
        <f>IFERROR(__xludf.DUMMYFUNCTION("""COMPUTED_VALUE"""),"ZIMBABWE")</f>
        <v>ZIMBABWE</v>
      </c>
      <c r="B917" s="7">
        <f>IFERROR(__xludf.DUMMYFUNCTION("""COMPUTED_VALUE"""),7.0)</f>
        <v>7</v>
      </c>
      <c r="C917" s="7" t="str">
        <f>IFERROR(__xludf.DUMMYFUNCTION("""COMPUTED_VALUE"""),"B_04_07")</f>
        <v>B_04_07</v>
      </c>
      <c r="D917" s="7" t="str">
        <f>IFERROR(__xludf.DUMMYFUNCTION("""COMPUTED_VALUE"""),"Q58B")</f>
        <v>Q58B</v>
      </c>
      <c r="E917" s="7" t="str">
        <f>IFERROR(__xludf.DUMMYFUNCTION("""COMPUTED_VALUE"""),"Q58b. Performance: MP/National Assembly rep")</f>
        <v>Q58b. Performance: MP/National Assembly rep</v>
      </c>
      <c r="F917" s="7" t="str">
        <f>IFERROR(__xludf.DUMMYFUNCTION("""COMPUTED_VALUE"""),"Your member of Parliament")</f>
        <v>Your member of Parliament</v>
      </c>
    </row>
    <row r="918">
      <c r="A918" s="7" t="str">
        <f>IFERROR(__xludf.DUMMYFUNCTION("""COMPUTED_VALUE"""),"BENIN")</f>
        <v>BENIN</v>
      </c>
      <c r="B918" s="7">
        <f>IFERROR(__xludf.DUMMYFUNCTION("""COMPUTED_VALUE"""),7.0)</f>
        <v>7</v>
      </c>
      <c r="C918" s="7" t="str">
        <f>IFERROR(__xludf.DUMMYFUNCTION("""COMPUTED_VALUE"""),"B_03_29")</f>
        <v>B_03_29</v>
      </c>
      <c r="D918" s="7" t="str">
        <f>IFERROR(__xludf.DUMMYFUNCTION("""COMPUTED_VALUE"""),"Q58C")</f>
        <v>Q58C</v>
      </c>
      <c r="E918" s="7" t="str">
        <f>IFERROR(__xludf.DUMMYFUNCTION("""COMPUTED_VALUE"""),"Q58c. Performance: local government councillor")</f>
        <v>Q58c. Performance: local government councillor</v>
      </c>
      <c r="F918" s="7" t="str">
        <f>IFERROR(__xludf.DUMMYFUNCTION("""COMPUTED_VALUE"""),"Your municipal / communal councilor")</f>
        <v>Your municipal / communal councilor</v>
      </c>
    </row>
    <row r="919">
      <c r="A919" s="7" t="str">
        <f>IFERROR(__xludf.DUMMYFUNCTION("""COMPUTED_VALUE"""),"BOTSWANA")</f>
        <v>BOTSWANA</v>
      </c>
      <c r="B919" s="7">
        <f>IFERROR(__xludf.DUMMYFUNCTION("""COMPUTED_VALUE"""),7.0)</f>
        <v>7</v>
      </c>
      <c r="C919" s="7" t="str">
        <f>IFERROR(__xludf.DUMMYFUNCTION("""COMPUTED_VALUE"""),"B_03_29")</f>
        <v>B_03_29</v>
      </c>
      <c r="D919" s="7" t="str">
        <f>IFERROR(__xludf.DUMMYFUNCTION("""COMPUTED_VALUE"""),"Q58C")</f>
        <v>Q58C</v>
      </c>
      <c r="E919" s="7" t="str">
        <f>IFERROR(__xludf.DUMMYFUNCTION("""COMPUTED_VALUE"""),"Q58c. Performance: local government councillor")</f>
        <v>Q58c. Performance: local government councillor</v>
      </c>
      <c r="F919" s="7" t="str">
        <f>IFERROR(__xludf.DUMMYFUNCTION("""COMPUTED_VALUE"""),"Local government councilor")</f>
        <v>Local government councilor</v>
      </c>
    </row>
    <row r="920">
      <c r="A920" s="7" t="str">
        <f>IFERROR(__xludf.DUMMYFUNCTION("""COMPUTED_VALUE"""),"BURKINA FASO")</f>
        <v>BURKINA FASO</v>
      </c>
      <c r="B920" s="7">
        <f>IFERROR(__xludf.DUMMYFUNCTION("""COMPUTED_VALUE"""),7.0)</f>
        <v>7</v>
      </c>
      <c r="C920" s="7" t="str">
        <f>IFERROR(__xludf.DUMMYFUNCTION("""COMPUTED_VALUE"""),"B_03_29")</f>
        <v>B_03_29</v>
      </c>
      <c r="D920" s="7" t="str">
        <f>IFERROR(__xludf.DUMMYFUNCTION("""COMPUTED_VALUE"""),"Q58C")</f>
        <v>Q58C</v>
      </c>
      <c r="E920" s="7" t="str">
        <f>IFERROR(__xludf.DUMMYFUNCTION("""COMPUTED_VALUE"""),"Q58c. Performance: local government councillor")</f>
        <v>Q58c. Performance: local government councillor</v>
      </c>
      <c r="F920" s="7" t="str">
        <f>IFERROR(__xludf.DUMMYFUNCTION("""COMPUTED_VALUE"""),"Your Municipal Councilor")</f>
        <v>Your Municipal Councilor</v>
      </c>
    </row>
    <row r="921">
      <c r="A921" s="7" t="str">
        <f>IFERROR(__xludf.DUMMYFUNCTION("""COMPUTED_VALUE"""),"CABO VERDE")</f>
        <v>CABO VERDE</v>
      </c>
      <c r="B921" s="7">
        <f>IFERROR(__xludf.DUMMYFUNCTION("""COMPUTED_VALUE"""),7.0)</f>
        <v>7</v>
      </c>
      <c r="C921" s="7" t="str">
        <f>IFERROR(__xludf.DUMMYFUNCTION("""COMPUTED_VALUE"""),"B_03_29")</f>
        <v>B_03_29</v>
      </c>
      <c r="D921" s="7" t="str">
        <f>IFERROR(__xludf.DUMMYFUNCTION("""COMPUTED_VALUE"""),"Q58C")</f>
        <v>Q58C</v>
      </c>
      <c r="E921" s="7" t="str">
        <f>IFERROR(__xludf.DUMMYFUNCTION("""COMPUTED_VALUE"""),"Q58c. Performance: local government councillor")</f>
        <v>Q58c. Performance: local government councillor</v>
      </c>
      <c r="F921" s="7" t="str">
        <f>IFERROR(__xludf.DUMMYFUNCTION("""COMPUTED_VALUE"""),"The Municipal Councilors")</f>
        <v>The Municipal Councilors</v>
      </c>
    </row>
    <row r="922">
      <c r="A922" s="7" t="str">
        <f>IFERROR(__xludf.DUMMYFUNCTION("""COMPUTED_VALUE"""),"CAMEROON")</f>
        <v>CAMEROON</v>
      </c>
      <c r="B922" s="7">
        <f>IFERROR(__xludf.DUMMYFUNCTION("""COMPUTED_VALUE"""),7.0)</f>
        <v>7</v>
      </c>
      <c r="C922" s="7" t="str">
        <f>IFERROR(__xludf.DUMMYFUNCTION("""COMPUTED_VALUE"""),"B_03_29")</f>
        <v>B_03_29</v>
      </c>
      <c r="D922" s="7" t="str">
        <f>IFERROR(__xludf.DUMMYFUNCTION("""COMPUTED_VALUE"""),"Q58C")</f>
        <v>Q58C</v>
      </c>
      <c r="E922" s="7" t="str">
        <f>IFERROR(__xludf.DUMMYFUNCTION("""COMPUTED_VALUE"""),"Q58c. Performance: local government councillor")</f>
        <v>Q58c. Performance: local government councillor</v>
      </c>
      <c r="F922" s="7" t="str">
        <f>IFERROR(__xludf.DUMMYFUNCTION("""COMPUTED_VALUE"""),"Municipal/communal councilor")</f>
        <v>Municipal/communal councilor</v>
      </c>
    </row>
    <row r="923">
      <c r="A923" s="7" t="str">
        <f>IFERROR(__xludf.DUMMYFUNCTION("""COMPUTED_VALUE"""),"COTE D'IVOIRE")</f>
        <v>COTE D'IVOIRE</v>
      </c>
      <c r="B923" s="7">
        <f>IFERROR(__xludf.DUMMYFUNCTION("""COMPUTED_VALUE"""),7.0)</f>
        <v>7</v>
      </c>
      <c r="C923" s="7" t="str">
        <f>IFERROR(__xludf.DUMMYFUNCTION("""COMPUTED_VALUE"""),"B_03_29")</f>
        <v>B_03_29</v>
      </c>
      <c r="D923" s="7" t="str">
        <f>IFERROR(__xludf.DUMMYFUNCTION("""COMPUTED_VALUE"""),"Q58C")</f>
        <v>Q58C</v>
      </c>
      <c r="E923" s="7" t="str">
        <f>IFERROR(__xludf.DUMMYFUNCTION("""COMPUTED_VALUE"""),"Q58c. Performance: local government councillor")</f>
        <v>Q58c. Performance: local government councillor</v>
      </c>
      <c r="F923" s="7" t="str">
        <f>IFERROR(__xludf.DUMMYFUNCTION("""COMPUTED_VALUE"""),"Your municipal councilor")</f>
        <v>Your municipal councilor</v>
      </c>
    </row>
    <row r="924">
      <c r="A924" s="7" t="str">
        <f>IFERROR(__xludf.DUMMYFUNCTION("""COMPUTED_VALUE"""),"ESWATINI")</f>
        <v>ESWATINI</v>
      </c>
      <c r="B924" s="7">
        <f>IFERROR(__xludf.DUMMYFUNCTION("""COMPUTED_VALUE"""),7.0)</f>
        <v>7</v>
      </c>
      <c r="C924" s="7" t="str">
        <f>IFERROR(__xludf.DUMMYFUNCTION("""COMPUTED_VALUE"""),"B_03_29")</f>
        <v>B_03_29</v>
      </c>
      <c r="D924" s="7" t="str">
        <f>IFERROR(__xludf.DUMMYFUNCTION("""COMPUTED_VALUE"""),"Q58C")</f>
        <v>Q58C</v>
      </c>
      <c r="E924" s="7" t="str">
        <f>IFERROR(__xludf.DUMMYFUNCTION("""COMPUTED_VALUE"""),"Q58c. Performance: local government councillor")</f>
        <v>Q58c. Performance: local government councillor</v>
      </c>
      <c r="F924" s="7" t="str">
        <f>IFERROR(__xludf.DUMMYFUNCTION("""COMPUTED_VALUE"""),"Your elected local government councilo")</f>
        <v>Your elected local government councilo</v>
      </c>
    </row>
    <row r="925">
      <c r="A925" s="7" t="str">
        <f>IFERROR(__xludf.DUMMYFUNCTION("""COMPUTED_VALUE"""),"GABON")</f>
        <v>GABON</v>
      </c>
      <c r="B925" s="7">
        <f>IFERROR(__xludf.DUMMYFUNCTION("""COMPUTED_VALUE"""),7.0)</f>
        <v>7</v>
      </c>
      <c r="C925" s="7" t="str">
        <f>IFERROR(__xludf.DUMMYFUNCTION("""COMPUTED_VALUE"""),"B_03_29")</f>
        <v>B_03_29</v>
      </c>
      <c r="D925" s="7" t="str">
        <f>IFERROR(__xludf.DUMMYFUNCTION("""COMPUTED_VALUE"""),"Q58C")</f>
        <v>Q58C</v>
      </c>
      <c r="E925" s="7" t="str">
        <f>IFERROR(__xludf.DUMMYFUNCTION("""COMPUTED_VALUE"""),"Q58c. Performance: local government councillor")</f>
        <v>Q58c. Performance: local government councillor</v>
      </c>
      <c r="F925" s="7" t="str">
        <f>IFERROR(__xludf.DUMMYFUNCTION("""COMPUTED_VALUE"""),"Your municipal/departmental councilor")</f>
        <v>Your municipal/departmental councilor</v>
      </c>
    </row>
    <row r="926">
      <c r="A926" s="7" t="str">
        <f>IFERROR(__xludf.DUMMYFUNCTION("""COMPUTED_VALUE"""),"GAMBIA")</f>
        <v>GAMBIA</v>
      </c>
      <c r="B926" s="7">
        <f>IFERROR(__xludf.DUMMYFUNCTION("""COMPUTED_VALUE"""),7.0)</f>
        <v>7</v>
      </c>
      <c r="C926" s="7" t="str">
        <f>IFERROR(__xludf.DUMMYFUNCTION("""COMPUTED_VALUE"""),"B_03_29")</f>
        <v>B_03_29</v>
      </c>
      <c r="D926" s="7" t="str">
        <f>IFERROR(__xludf.DUMMYFUNCTION("""COMPUTED_VALUE"""),"Q58C")</f>
        <v>Q58C</v>
      </c>
      <c r="E926" s="7" t="str">
        <f>IFERROR(__xludf.DUMMYFUNCTION("""COMPUTED_VALUE"""),"Q58c. Performance: local government councillor")</f>
        <v>Q58c. Performance: local government councillor</v>
      </c>
      <c r="F926" s="7" t="str">
        <f>IFERROR(__xludf.DUMMYFUNCTION("""COMPUTED_VALUE"""),"Local government councillor")</f>
        <v>Local government councillor</v>
      </c>
    </row>
    <row r="927">
      <c r="A927" s="7" t="str">
        <f>IFERROR(__xludf.DUMMYFUNCTION("""COMPUTED_VALUE"""),"GHANA")</f>
        <v>GHANA</v>
      </c>
      <c r="B927" s="7">
        <f>IFERROR(__xludf.DUMMYFUNCTION("""COMPUTED_VALUE"""),7.0)</f>
        <v>7</v>
      </c>
      <c r="C927" s="7" t="str">
        <f>IFERROR(__xludf.DUMMYFUNCTION("""COMPUTED_VALUE"""),"B_03_29")</f>
        <v>B_03_29</v>
      </c>
      <c r="D927" s="7" t="str">
        <f>IFERROR(__xludf.DUMMYFUNCTION("""COMPUTED_VALUE"""),"Q58C")</f>
        <v>Q58C</v>
      </c>
      <c r="E927" s="7" t="str">
        <f>IFERROR(__xludf.DUMMYFUNCTION("""COMPUTED_VALUE"""),"Q58c. Performance: local government councillor")</f>
        <v>Q58c. Performance: local government councillor</v>
      </c>
      <c r="F927" s="7" t="str">
        <f>IFERROR(__xludf.DUMMYFUNCTION("""COMPUTED_VALUE"""),"Assembly man or woman")</f>
        <v>Assembly man or woman</v>
      </c>
    </row>
    <row r="928">
      <c r="A928" s="7" t="str">
        <f>IFERROR(__xludf.DUMMYFUNCTION("""COMPUTED_VALUE"""),"GUINEA")</f>
        <v>GUINEA</v>
      </c>
      <c r="B928" s="7">
        <f>IFERROR(__xludf.DUMMYFUNCTION("""COMPUTED_VALUE"""),7.0)</f>
        <v>7</v>
      </c>
      <c r="C928" s="7" t="str">
        <f>IFERROR(__xludf.DUMMYFUNCTION("""COMPUTED_VALUE"""),"B_03_29")</f>
        <v>B_03_29</v>
      </c>
      <c r="D928" s="7" t="str">
        <f>IFERROR(__xludf.DUMMYFUNCTION("""COMPUTED_VALUE"""),"Q58C")</f>
        <v>Q58C</v>
      </c>
      <c r="E928" s="7" t="str">
        <f>IFERROR(__xludf.DUMMYFUNCTION("""COMPUTED_VALUE"""),"Q58c. Performance: local government councillor")</f>
        <v>Q58c. Performance: local government councillor</v>
      </c>
      <c r="F928" s="7" t="str">
        <f>IFERROR(__xludf.DUMMYFUNCTION("""COMPUTED_VALUE"""),"Communal/Municipal Councilor")</f>
        <v>Communal/Municipal Councilor</v>
      </c>
    </row>
    <row r="929">
      <c r="A929" s="7" t="str">
        <f>IFERROR(__xludf.DUMMYFUNCTION("""COMPUTED_VALUE"""),"KENYA")</f>
        <v>KENYA</v>
      </c>
      <c r="B929" s="7">
        <f>IFERROR(__xludf.DUMMYFUNCTION("""COMPUTED_VALUE"""),7.0)</f>
        <v>7</v>
      </c>
      <c r="C929" s="7" t="str">
        <f>IFERROR(__xludf.DUMMYFUNCTION("""COMPUTED_VALUE"""),"B_03_29")</f>
        <v>B_03_29</v>
      </c>
      <c r="D929" s="7" t="str">
        <f>IFERROR(__xludf.DUMMYFUNCTION("""COMPUTED_VALUE"""),"Q58C")</f>
        <v>Q58C</v>
      </c>
      <c r="E929" s="7" t="str">
        <f>IFERROR(__xludf.DUMMYFUNCTION("""COMPUTED_VALUE"""),"Q58c. Performance: local government councillor")</f>
        <v>Q58c. Performance: local government councillor</v>
      </c>
      <c r="F929" s="7" t="str">
        <f>IFERROR(__xludf.DUMMYFUNCTION("""COMPUTED_VALUE"""),"Members of County Assembly")</f>
        <v>Members of County Assembly</v>
      </c>
    </row>
    <row r="930">
      <c r="A930" s="7" t="str">
        <f>IFERROR(__xludf.DUMMYFUNCTION("""COMPUTED_VALUE"""),"LESOTHO")</f>
        <v>LESOTHO</v>
      </c>
      <c r="B930" s="7">
        <f>IFERROR(__xludf.DUMMYFUNCTION("""COMPUTED_VALUE"""),7.0)</f>
        <v>7</v>
      </c>
      <c r="C930" s="7" t="str">
        <f>IFERROR(__xludf.DUMMYFUNCTION("""COMPUTED_VALUE"""),"B_03_29")</f>
        <v>B_03_29</v>
      </c>
      <c r="D930" s="7" t="str">
        <f>IFERROR(__xludf.DUMMYFUNCTION("""COMPUTED_VALUE"""),"Q58C")</f>
        <v>Q58C</v>
      </c>
      <c r="E930" s="7" t="str">
        <f>IFERROR(__xludf.DUMMYFUNCTION("""COMPUTED_VALUE"""),"Q58c. Performance: local government councillor")</f>
        <v>Q58c. Performance: local government councillor</v>
      </c>
      <c r="F930" s="7" t="str">
        <f>IFERROR(__xludf.DUMMYFUNCTION("""COMPUTED_VALUE"""),"Community councillors")</f>
        <v>Community councillors</v>
      </c>
    </row>
    <row r="931">
      <c r="A931" s="7" t="str">
        <f>IFERROR(__xludf.DUMMYFUNCTION("""COMPUTED_VALUE"""),"LIBERIA")</f>
        <v>LIBERIA</v>
      </c>
      <c r="B931" s="7">
        <f>IFERROR(__xludf.DUMMYFUNCTION("""COMPUTED_VALUE"""),7.0)</f>
        <v>7</v>
      </c>
      <c r="C931" s="7" t="str">
        <f>IFERROR(__xludf.DUMMYFUNCTION("""COMPUTED_VALUE"""),"B_03_29")</f>
        <v>B_03_29</v>
      </c>
      <c r="D931" s="7" t="str">
        <f>IFERROR(__xludf.DUMMYFUNCTION("""COMPUTED_VALUE"""),"Q58C")</f>
        <v>Q58C</v>
      </c>
      <c r="E931" s="7" t="str">
        <f>IFERROR(__xludf.DUMMYFUNCTION("""COMPUTED_VALUE"""),"Q58c. Performance: local government councillor")</f>
        <v>Q58c. Performance: local government councillor</v>
      </c>
      <c r="F931" s="7" t="str">
        <f>IFERROR(__xludf.DUMMYFUNCTION("""COMPUTED_VALUE"""),"Your local government councillor")</f>
        <v>Your local government councillor</v>
      </c>
    </row>
    <row r="932">
      <c r="A932" s="7" t="str">
        <f>IFERROR(__xludf.DUMMYFUNCTION("""COMPUTED_VALUE"""),"MADAGASCAR")</f>
        <v>MADAGASCAR</v>
      </c>
      <c r="B932" s="7">
        <f>IFERROR(__xludf.DUMMYFUNCTION("""COMPUTED_VALUE"""),7.0)</f>
        <v>7</v>
      </c>
      <c r="C932" s="7" t="str">
        <f>IFERROR(__xludf.DUMMYFUNCTION("""COMPUTED_VALUE"""),"B_03_29")</f>
        <v>B_03_29</v>
      </c>
      <c r="D932" s="7" t="str">
        <f>IFERROR(__xludf.DUMMYFUNCTION("""COMPUTED_VALUE"""),"Q58C")</f>
        <v>Q58C</v>
      </c>
      <c r="E932" s="7" t="str">
        <f>IFERROR(__xludf.DUMMYFUNCTION("""COMPUTED_VALUE"""),"Q58c. Performance: local government councillor")</f>
        <v>Q58c. Performance: local government councillor</v>
      </c>
      <c r="F932" s="7" t="str">
        <f>IFERROR(__xludf.DUMMYFUNCTION("""COMPUTED_VALUE"""),"Your Municipal/Communal Councilor")</f>
        <v>Your Municipal/Communal Councilor</v>
      </c>
    </row>
    <row r="933">
      <c r="A933" s="7" t="str">
        <f>IFERROR(__xludf.DUMMYFUNCTION("""COMPUTED_VALUE"""),"MALAWI")</f>
        <v>MALAWI</v>
      </c>
      <c r="B933" s="7">
        <f>IFERROR(__xludf.DUMMYFUNCTION("""COMPUTED_VALUE"""),7.0)</f>
        <v>7</v>
      </c>
      <c r="C933" s="7" t="str">
        <f>IFERROR(__xludf.DUMMYFUNCTION("""COMPUTED_VALUE"""),"B_03_29")</f>
        <v>B_03_29</v>
      </c>
      <c r="D933" s="7" t="str">
        <f>IFERROR(__xludf.DUMMYFUNCTION("""COMPUTED_VALUE"""),"Q58C")</f>
        <v>Q58C</v>
      </c>
      <c r="E933" s="7" t="str">
        <f>IFERROR(__xludf.DUMMYFUNCTION("""COMPUTED_VALUE"""),"Q58c. Performance: local government councillor")</f>
        <v>Q58c. Performance: local government councillor</v>
      </c>
      <c r="F933" s="7" t="str">
        <f>IFERROR(__xludf.DUMMYFUNCTION("""COMPUTED_VALUE"""),"Local government councillor")</f>
        <v>Local government councillor</v>
      </c>
    </row>
    <row r="934">
      <c r="A934" s="7" t="str">
        <f>IFERROR(__xludf.DUMMYFUNCTION("""COMPUTED_VALUE"""),"MALI")</f>
        <v>MALI</v>
      </c>
      <c r="B934" s="7">
        <f>IFERROR(__xludf.DUMMYFUNCTION("""COMPUTED_VALUE"""),7.0)</f>
        <v>7</v>
      </c>
      <c r="C934" s="7" t="str">
        <f>IFERROR(__xludf.DUMMYFUNCTION("""COMPUTED_VALUE"""),"B_03_29")</f>
        <v>B_03_29</v>
      </c>
      <c r="D934" s="7" t="str">
        <f>IFERROR(__xludf.DUMMYFUNCTION("""COMPUTED_VALUE"""),"Q58C")</f>
        <v>Q58C</v>
      </c>
      <c r="E934" s="7" t="str">
        <f>IFERROR(__xludf.DUMMYFUNCTION("""COMPUTED_VALUE"""),"Q58c. Performance: local government councillor")</f>
        <v>Q58c. Performance: local government councillor</v>
      </c>
      <c r="F934" s="7" t="str">
        <f>IFERROR(__xludf.DUMMYFUNCTION("""COMPUTED_VALUE"""),"Local councilors")</f>
        <v>Local councilors</v>
      </c>
    </row>
    <row r="935">
      <c r="A935" s="7" t="str">
        <f>IFERROR(__xludf.DUMMYFUNCTION("""COMPUTED_VALUE"""),"MAURITIUS")</f>
        <v>MAURITIUS</v>
      </c>
      <c r="B935" s="7">
        <f>IFERROR(__xludf.DUMMYFUNCTION("""COMPUTED_VALUE"""),7.0)</f>
        <v>7</v>
      </c>
      <c r="C935" s="7" t="str">
        <f>IFERROR(__xludf.DUMMYFUNCTION("""COMPUTED_VALUE"""),"B_03_29")</f>
        <v>B_03_29</v>
      </c>
      <c r="D935" s="7" t="str">
        <f>IFERROR(__xludf.DUMMYFUNCTION("""COMPUTED_VALUE"""),"Q58C")</f>
        <v>Q58C</v>
      </c>
      <c r="E935" s="7" t="str">
        <f>IFERROR(__xludf.DUMMYFUNCTION("""COMPUTED_VALUE"""),"Q58c. Performance: local government councillor")</f>
        <v>Q58c. Performance: local government councillor</v>
      </c>
      <c r="F935" s="7" t="str">
        <f>IFERROR(__xludf.DUMMYFUNCTION("""COMPUTED_VALUE"""),"Municipal/district councilor")</f>
        <v>Municipal/district councilor</v>
      </c>
    </row>
    <row r="936">
      <c r="A936" s="7" t="str">
        <f>IFERROR(__xludf.DUMMYFUNCTION("""COMPUTED_VALUE"""),"MOROCCO")</f>
        <v>MOROCCO</v>
      </c>
      <c r="B936" s="7">
        <f>IFERROR(__xludf.DUMMYFUNCTION("""COMPUTED_VALUE"""),7.0)</f>
        <v>7</v>
      </c>
      <c r="C936" s="7" t="str">
        <f>IFERROR(__xludf.DUMMYFUNCTION("""COMPUTED_VALUE"""),"B_03_29")</f>
        <v>B_03_29</v>
      </c>
      <c r="D936" s="7" t="str">
        <f>IFERROR(__xludf.DUMMYFUNCTION("""COMPUTED_VALUE"""),"Q58C")</f>
        <v>Q58C</v>
      </c>
      <c r="E936" s="7" t="str">
        <f>IFERROR(__xludf.DUMMYFUNCTION("""COMPUTED_VALUE"""),"Q58c. Performance: local government councillor")</f>
        <v>Q58c. Performance: local government councillor</v>
      </c>
      <c r="F936" s="7" t="str">
        <f>IFERROR(__xludf.DUMMYFUNCTION("""COMPUTED_VALUE"""),"local councilor")</f>
        <v>local councilor</v>
      </c>
    </row>
    <row r="937">
      <c r="A937" s="7" t="str">
        <f>IFERROR(__xludf.DUMMYFUNCTION("""COMPUTED_VALUE"""),"MOZAMBIQUE")</f>
        <v>MOZAMBIQUE</v>
      </c>
      <c r="B937" s="7">
        <f>IFERROR(__xludf.DUMMYFUNCTION("""COMPUTED_VALUE"""),7.0)</f>
        <v>7</v>
      </c>
      <c r="C937" s="7" t="str">
        <f>IFERROR(__xludf.DUMMYFUNCTION("""COMPUTED_VALUE"""),"B_03_29")</f>
        <v>B_03_29</v>
      </c>
      <c r="D937" s="7" t="str">
        <f>IFERROR(__xludf.DUMMYFUNCTION("""COMPUTED_VALUE"""),"Q58C")</f>
        <v>Q58C</v>
      </c>
      <c r="E937" s="7" t="str">
        <f>IFERROR(__xludf.DUMMYFUNCTION("""COMPUTED_VALUE"""),"Q58c. Performance: local government councillor")</f>
        <v>Q58c. Performance: local government councillor</v>
      </c>
      <c r="F937" s="7" t="str">
        <f>IFERROR(__xludf.DUMMYFUNCTION("""COMPUTED_VALUE"""),"Member of the Municipal Assembly")</f>
        <v>Member of the Municipal Assembly</v>
      </c>
    </row>
    <row r="938">
      <c r="A938" s="7" t="str">
        <f>IFERROR(__xludf.DUMMYFUNCTION("""COMPUTED_VALUE"""),"NAMIBIA")</f>
        <v>NAMIBIA</v>
      </c>
      <c r="B938" s="7">
        <f>IFERROR(__xludf.DUMMYFUNCTION("""COMPUTED_VALUE"""),7.0)</f>
        <v>7</v>
      </c>
      <c r="C938" s="7" t="str">
        <f>IFERROR(__xludf.DUMMYFUNCTION("""COMPUTED_VALUE"""),"B_03_29")</f>
        <v>B_03_29</v>
      </c>
      <c r="D938" s="7" t="str">
        <f>IFERROR(__xludf.DUMMYFUNCTION("""COMPUTED_VALUE"""),"Q58C")</f>
        <v>Q58C</v>
      </c>
      <c r="E938" s="7" t="str">
        <f>IFERROR(__xludf.DUMMYFUNCTION("""COMPUTED_VALUE"""),"Q58c. Performance: local government councillor")</f>
        <v>Q58c. Performance: local government councillor</v>
      </c>
      <c r="F938" s="7" t="str">
        <f>IFERROR(__xludf.DUMMYFUNCTION("""COMPUTED_VALUE"""),"Your elected Local Authority Councilor
Your appointed Regional Governor
")</f>
        <v>Your elected Local Authority Councilor
Your appointed Regional Governor
</v>
      </c>
    </row>
    <row r="939">
      <c r="A939" s="7" t="str">
        <f>IFERROR(__xludf.DUMMYFUNCTION("""COMPUTED_VALUE"""),"NIGER")</f>
        <v>NIGER</v>
      </c>
      <c r="B939" s="7">
        <f>IFERROR(__xludf.DUMMYFUNCTION("""COMPUTED_VALUE"""),7.0)</f>
        <v>7</v>
      </c>
      <c r="C939" s="7" t="str">
        <f>IFERROR(__xludf.DUMMYFUNCTION("""COMPUTED_VALUE"""),"B_03_29")</f>
        <v>B_03_29</v>
      </c>
      <c r="D939" s="7" t="str">
        <f>IFERROR(__xludf.DUMMYFUNCTION("""COMPUTED_VALUE"""),"Q58C")</f>
        <v>Q58C</v>
      </c>
      <c r="E939" s="7" t="str">
        <f>IFERROR(__xludf.DUMMYFUNCTION("""COMPUTED_VALUE"""),"Q58c. Performance: local government councillor")</f>
        <v>Q58c. Performance: local government councillor</v>
      </c>
      <c r="F939" s="7" t="str">
        <f>IFERROR(__xludf.DUMMYFUNCTION("""COMPUTED_VALUE"""),"The municipal or communal councilors")</f>
        <v>The municipal or communal councilors</v>
      </c>
    </row>
    <row r="940">
      <c r="A940" s="7" t="str">
        <f>IFERROR(__xludf.DUMMYFUNCTION("""COMPUTED_VALUE"""),"NIGERIA")</f>
        <v>NIGERIA</v>
      </c>
      <c r="B940" s="7">
        <f>IFERROR(__xludf.DUMMYFUNCTION("""COMPUTED_VALUE"""),7.0)</f>
        <v>7</v>
      </c>
      <c r="C940" s="7" t="str">
        <f>IFERROR(__xludf.DUMMYFUNCTION("""COMPUTED_VALUE"""),"B_03_29")</f>
        <v>B_03_29</v>
      </c>
      <c r="D940" s="7" t="str">
        <f>IFERROR(__xludf.DUMMYFUNCTION("""COMPUTED_VALUE"""),"Q58C")</f>
        <v>Q58C</v>
      </c>
      <c r="E940" s="7" t="str">
        <f>IFERROR(__xludf.DUMMYFUNCTION("""COMPUTED_VALUE"""),"Q58c. Performance: local government councillor")</f>
        <v>Q58c. Performance: local government councillor</v>
      </c>
      <c r="F940" s="7" t="str">
        <f>IFERROR(__xludf.DUMMYFUNCTION("""COMPUTED_VALUE"""),"Local government councilors")</f>
        <v>Local government councilors</v>
      </c>
    </row>
    <row r="941">
      <c r="A941" s="7" t="str">
        <f>IFERROR(__xludf.DUMMYFUNCTION("""COMPUTED_VALUE"""),"SAO TOME AND PRINCIPE")</f>
        <v>SAO TOME AND PRINCIPE</v>
      </c>
      <c r="B941" s="7">
        <f>IFERROR(__xludf.DUMMYFUNCTION("""COMPUTED_VALUE"""),7.0)</f>
        <v>7</v>
      </c>
      <c r="C941" s="7" t="str">
        <f>IFERROR(__xludf.DUMMYFUNCTION("""COMPUTED_VALUE"""),"B_03_29")</f>
        <v>B_03_29</v>
      </c>
      <c r="D941" s="7" t="str">
        <f>IFERROR(__xludf.DUMMYFUNCTION("""COMPUTED_VALUE"""),"Q58C")</f>
        <v>Q58C</v>
      </c>
      <c r="E941" s="7" t="str">
        <f>IFERROR(__xludf.DUMMYFUNCTION("""COMPUTED_VALUE"""),"Q58c. Performance: local government councillor")</f>
        <v>Q58c. Performance: local government councillor</v>
      </c>
      <c r="F941" s="7" t="str">
        <f>IFERROR(__xludf.DUMMYFUNCTION("""COMPUTED_VALUE"""),"The District Executive (President and councilors)")</f>
        <v>The District Executive (President and councilors)</v>
      </c>
    </row>
    <row r="942">
      <c r="A942" s="7" t="str">
        <f>IFERROR(__xludf.DUMMYFUNCTION("""COMPUTED_VALUE"""),"SENEGAL")</f>
        <v>SENEGAL</v>
      </c>
      <c r="B942" s="7">
        <f>IFERROR(__xludf.DUMMYFUNCTION("""COMPUTED_VALUE"""),7.0)</f>
        <v>7</v>
      </c>
      <c r="C942" s="7" t="str">
        <f>IFERROR(__xludf.DUMMYFUNCTION("""COMPUTED_VALUE"""),"B_03_29")</f>
        <v>B_03_29</v>
      </c>
      <c r="D942" s="7" t="str">
        <f>IFERROR(__xludf.DUMMYFUNCTION("""COMPUTED_VALUE"""),"Q58C")</f>
        <v>Q58C</v>
      </c>
      <c r="E942" s="7" t="str">
        <f>IFERROR(__xludf.DUMMYFUNCTION("""COMPUTED_VALUE"""),"Q58c. Performance: local government councillor")</f>
        <v>Q58c. Performance: local government councillor</v>
      </c>
      <c r="F942" s="7" t="str">
        <f>IFERROR(__xludf.DUMMYFUNCTION("""COMPUTED_VALUE"""),"Municipal/Communal Councillor")</f>
        <v>Municipal/Communal Councillor</v>
      </c>
    </row>
    <row r="943">
      <c r="A943" s="7" t="str">
        <f>IFERROR(__xludf.DUMMYFUNCTION("""COMPUTED_VALUE"""),"SIERRA LEONE")</f>
        <v>SIERRA LEONE</v>
      </c>
      <c r="B943" s="7">
        <f>IFERROR(__xludf.DUMMYFUNCTION("""COMPUTED_VALUE"""),7.0)</f>
        <v>7</v>
      </c>
      <c r="C943" s="7" t="str">
        <f>IFERROR(__xludf.DUMMYFUNCTION("""COMPUTED_VALUE"""),"B_03_29")</f>
        <v>B_03_29</v>
      </c>
      <c r="D943" s="7" t="str">
        <f>IFERROR(__xludf.DUMMYFUNCTION("""COMPUTED_VALUE"""),"Q58C")</f>
        <v>Q58C</v>
      </c>
      <c r="E943" s="7" t="str">
        <f>IFERROR(__xludf.DUMMYFUNCTION("""COMPUTED_VALUE"""),"Q58c. Performance: local government councillor")</f>
        <v>Q58c. Performance: local government councillor</v>
      </c>
      <c r="F943" s="7" t="str">
        <f>IFERROR(__xludf.DUMMYFUNCTION("""COMPUTED_VALUE"""),"Local government councillor")</f>
        <v>Local government councillor</v>
      </c>
    </row>
    <row r="944">
      <c r="A944" s="7" t="str">
        <f>IFERROR(__xludf.DUMMYFUNCTION("""COMPUTED_VALUE"""),"SOUTH AFRICA")</f>
        <v>SOUTH AFRICA</v>
      </c>
      <c r="B944" s="7">
        <f>IFERROR(__xludf.DUMMYFUNCTION("""COMPUTED_VALUE"""),7.0)</f>
        <v>7</v>
      </c>
      <c r="C944" s="7" t="str">
        <f>IFERROR(__xludf.DUMMYFUNCTION("""COMPUTED_VALUE"""),"B_03_29")</f>
        <v>B_03_29</v>
      </c>
      <c r="D944" s="7" t="str">
        <f>IFERROR(__xludf.DUMMYFUNCTION("""COMPUTED_VALUE"""),"Q58C")</f>
        <v>Q58C</v>
      </c>
      <c r="E944" s="7" t="str">
        <f>IFERROR(__xludf.DUMMYFUNCTION("""COMPUTED_VALUE"""),"Q58c. Performance: local government councillor")</f>
        <v>Q58c. Performance: local government councillor</v>
      </c>
      <c r="F944" s="7" t="str">
        <f>IFERROR(__xludf.DUMMYFUNCTION("""COMPUTED_VALUE"""),"Local government councillor")</f>
        <v>Local government councillor</v>
      </c>
    </row>
    <row r="945">
      <c r="A945" s="7" t="str">
        <f>IFERROR(__xludf.DUMMYFUNCTION("""COMPUTED_VALUE"""),"SUDAN")</f>
        <v>SUDAN</v>
      </c>
      <c r="B945" s="7">
        <f>IFERROR(__xludf.DUMMYFUNCTION("""COMPUTED_VALUE"""),7.0)</f>
        <v>7</v>
      </c>
      <c r="C945" s="7" t="str">
        <f>IFERROR(__xludf.DUMMYFUNCTION("""COMPUTED_VALUE"""),"B_03_29")</f>
        <v>B_03_29</v>
      </c>
      <c r="D945" s="7" t="str">
        <f>IFERROR(__xludf.DUMMYFUNCTION("""COMPUTED_VALUE"""),"Q58C")</f>
        <v>Q58C</v>
      </c>
      <c r="E945" s="7" t="str">
        <f>IFERROR(__xludf.DUMMYFUNCTION("""COMPUTED_VALUE"""),"Q58c. Performance: local government councillor")</f>
        <v>Q58c. Performance: local government councillor</v>
      </c>
      <c r="F945" s="7" t="str">
        <f>IFERROR(__xludf.DUMMYFUNCTION("""COMPUTED_VALUE"""),"N/A")</f>
        <v>N/A</v>
      </c>
    </row>
    <row r="946">
      <c r="A946" s="7" t="str">
        <f>IFERROR(__xludf.DUMMYFUNCTION("""COMPUTED_VALUE"""),"TANZANIA")</f>
        <v>TANZANIA</v>
      </c>
      <c r="B946" s="7">
        <f>IFERROR(__xludf.DUMMYFUNCTION("""COMPUTED_VALUE"""),7.0)</f>
        <v>7</v>
      </c>
      <c r="C946" s="7" t="str">
        <f>IFERROR(__xludf.DUMMYFUNCTION("""COMPUTED_VALUE"""),"B_03_29")</f>
        <v>B_03_29</v>
      </c>
      <c r="D946" s="7" t="str">
        <f>IFERROR(__xludf.DUMMYFUNCTION("""COMPUTED_VALUE"""),"Q58C")</f>
        <v>Q58C</v>
      </c>
      <c r="E946" s="7" t="str">
        <f>IFERROR(__xludf.DUMMYFUNCTION("""COMPUTED_VALUE"""),"Q58c. Performance: local government councillor")</f>
        <v>Q58c. Performance: local government councillor</v>
      </c>
      <c r="F946" s="7" t="str">
        <f>IFERROR(__xludf.DUMMYFUNCTION("""COMPUTED_VALUE"""),"Local government councillor")</f>
        <v>Local government councillor</v>
      </c>
    </row>
    <row r="947">
      <c r="A947" s="7" t="str">
        <f>IFERROR(__xludf.DUMMYFUNCTION("""COMPUTED_VALUE"""),"TOGO")</f>
        <v>TOGO</v>
      </c>
      <c r="B947" s="7">
        <f>IFERROR(__xludf.DUMMYFUNCTION("""COMPUTED_VALUE"""),7.0)</f>
        <v>7</v>
      </c>
      <c r="C947" s="7" t="str">
        <f>IFERROR(__xludf.DUMMYFUNCTION("""COMPUTED_VALUE"""),"B_03_29")</f>
        <v>B_03_29</v>
      </c>
      <c r="D947" s="7" t="str">
        <f>IFERROR(__xludf.DUMMYFUNCTION("""COMPUTED_VALUE"""),"Q58C")</f>
        <v>Q58C</v>
      </c>
      <c r="E947" s="7" t="str">
        <f>IFERROR(__xludf.DUMMYFUNCTION("""COMPUTED_VALUE"""),"Q58c. Performance: local government councillor")</f>
        <v>Q58c. Performance: local government councillor</v>
      </c>
      <c r="F947" s="7" t="str">
        <f>IFERROR(__xludf.DUMMYFUNCTION("""COMPUTED_VALUE"""),"Your Prefectoral / Municipal Councillor")</f>
        <v>Your Prefectoral / Municipal Councillor</v>
      </c>
    </row>
    <row r="948">
      <c r="A948" s="7" t="str">
        <f>IFERROR(__xludf.DUMMYFUNCTION("""COMPUTED_VALUE"""),"TUNISIA")</f>
        <v>TUNISIA</v>
      </c>
      <c r="B948" s="7">
        <f>IFERROR(__xludf.DUMMYFUNCTION("""COMPUTED_VALUE"""),7.0)</f>
        <v>7</v>
      </c>
      <c r="C948" s="7" t="str">
        <f>IFERROR(__xludf.DUMMYFUNCTION("""COMPUTED_VALUE"""),"B_03_29")</f>
        <v>B_03_29</v>
      </c>
      <c r="D948" s="7" t="str">
        <f>IFERROR(__xludf.DUMMYFUNCTION("""COMPUTED_VALUE"""),"Q58C")</f>
        <v>Q58C</v>
      </c>
      <c r="E948" s="7" t="str">
        <f>IFERROR(__xludf.DUMMYFUNCTION("""COMPUTED_VALUE"""),"Q58c. Performance: local government councillor")</f>
        <v>Q58c. Performance: local government councillor</v>
      </c>
      <c r="F948" s="7" t="str">
        <f>IFERROR(__xludf.DUMMYFUNCTION("""COMPUTED_VALUE"""),"Local government councillor")</f>
        <v>Local government councillor</v>
      </c>
    </row>
    <row r="949">
      <c r="A949" s="7" t="str">
        <f>IFERROR(__xludf.DUMMYFUNCTION("""COMPUTED_VALUE"""),"UGANDA")</f>
        <v>UGANDA</v>
      </c>
      <c r="B949" s="7">
        <f>IFERROR(__xludf.DUMMYFUNCTION("""COMPUTED_VALUE"""),7.0)</f>
        <v>7</v>
      </c>
      <c r="C949" s="7" t="str">
        <f>IFERROR(__xludf.DUMMYFUNCTION("""COMPUTED_VALUE"""),"B_03_29")</f>
        <v>B_03_29</v>
      </c>
      <c r="D949" s="7" t="str">
        <f>IFERROR(__xludf.DUMMYFUNCTION("""COMPUTED_VALUE"""),"Q58C")</f>
        <v>Q58C</v>
      </c>
      <c r="E949" s="7" t="str">
        <f>IFERROR(__xludf.DUMMYFUNCTION("""COMPUTED_VALUE"""),"Q58c. Performance: local government councillor")</f>
        <v>Q58c. Performance: local government councillor</v>
      </c>
      <c r="F949" s="7" t="str">
        <f>IFERROR(__xludf.DUMMYFUNCTION("""COMPUTED_VALUE"""),"Elected District Councillor")</f>
        <v>Elected District Councillor</v>
      </c>
    </row>
    <row r="950">
      <c r="A950" s="7" t="str">
        <f>IFERROR(__xludf.DUMMYFUNCTION("""COMPUTED_VALUE"""),"ZAMBIA")</f>
        <v>ZAMBIA</v>
      </c>
      <c r="B950" s="7">
        <f>IFERROR(__xludf.DUMMYFUNCTION("""COMPUTED_VALUE"""),7.0)</f>
        <v>7</v>
      </c>
      <c r="C950" s="7" t="str">
        <f>IFERROR(__xludf.DUMMYFUNCTION("""COMPUTED_VALUE"""),"B_03_29")</f>
        <v>B_03_29</v>
      </c>
      <c r="D950" s="7" t="str">
        <f>IFERROR(__xludf.DUMMYFUNCTION("""COMPUTED_VALUE"""),"Q58C")</f>
        <v>Q58C</v>
      </c>
      <c r="E950" s="7" t="str">
        <f>IFERROR(__xludf.DUMMYFUNCTION("""COMPUTED_VALUE"""),"Q58c. Performance: local government councillor")</f>
        <v>Q58c. Performance: local government councillor</v>
      </c>
      <c r="F950" s="7" t="str">
        <f>IFERROR(__xludf.DUMMYFUNCTION("""COMPUTED_VALUE"""),"Local Government councilors")</f>
        <v>Local Government councilors</v>
      </c>
    </row>
    <row r="951">
      <c r="A951" s="7" t="str">
        <f>IFERROR(__xludf.DUMMYFUNCTION("""COMPUTED_VALUE"""),"ZIMBABWE")</f>
        <v>ZIMBABWE</v>
      </c>
      <c r="B951" s="7">
        <f>IFERROR(__xludf.DUMMYFUNCTION("""COMPUTED_VALUE"""),7.0)</f>
        <v>7</v>
      </c>
      <c r="C951" s="7" t="str">
        <f>IFERROR(__xludf.DUMMYFUNCTION("""COMPUTED_VALUE"""),"B_03_29")</f>
        <v>B_03_29</v>
      </c>
      <c r="D951" s="7" t="str">
        <f>IFERROR(__xludf.DUMMYFUNCTION("""COMPUTED_VALUE"""),"Q58C")</f>
        <v>Q58C</v>
      </c>
      <c r="E951" s="7" t="str">
        <f>IFERROR(__xludf.DUMMYFUNCTION("""COMPUTED_VALUE"""),"Q58c. Performance: local government councillor")</f>
        <v>Q58c. Performance: local government councillor</v>
      </c>
      <c r="F951" s="7" t="str">
        <f>IFERROR(__xludf.DUMMYFUNCTION("""COMPUTED_VALUE"""),"Local Government councilors")</f>
        <v>Local Government councilors</v>
      </c>
    </row>
    <row r="952">
      <c r="A952" s="7" t="str">
        <f>IFERROR(__xludf.DUMMYFUNCTION("""COMPUTED_VALUE"""),"CABO VERDE")</f>
        <v>CABO VERDE</v>
      </c>
      <c r="B952" s="7">
        <f>IFERROR(__xludf.DUMMYFUNCTION("""COMPUTED_VALUE"""),7.0)</f>
        <v>7</v>
      </c>
      <c r="C952" s="7" t="str">
        <f>IFERROR(__xludf.DUMMYFUNCTION("""COMPUTED_VALUE"""),"B_07_02")</f>
        <v>B_07_02</v>
      </c>
      <c r="D952" s="7" t="str">
        <f>IFERROR(__xludf.DUMMYFUNCTION("""COMPUTED_VALUE"""),"Q58D")</f>
        <v>Q58D</v>
      </c>
      <c r="E952" s="7" t="str">
        <f>IFERROR(__xludf.DUMMYFUNCTION("""COMPUTED_VALUE"""),"Q58d. Performance: traditional leader")</f>
        <v>Q58d. Performance: traditional leader</v>
      </c>
      <c r="F952" s="7" t="str">
        <f>IFERROR(__xludf.DUMMYFUNCTION("""COMPUTED_VALUE"""),"N/A")</f>
        <v>N/A</v>
      </c>
    </row>
    <row r="953">
      <c r="A953" s="7" t="str">
        <f>IFERROR(__xludf.DUMMYFUNCTION("""COMPUTED_VALUE"""),"ESWATINI")</f>
        <v>ESWATINI</v>
      </c>
      <c r="B953" s="7">
        <f>IFERROR(__xludf.DUMMYFUNCTION("""COMPUTED_VALUE"""),7.0)</f>
        <v>7</v>
      </c>
      <c r="C953" s="7" t="str">
        <f>IFERROR(__xludf.DUMMYFUNCTION("""COMPUTED_VALUE"""),"B_07_02")</f>
        <v>B_07_02</v>
      </c>
      <c r="D953" s="7" t="str">
        <f>IFERROR(__xludf.DUMMYFUNCTION("""COMPUTED_VALUE"""),"Q58D")</f>
        <v>Q58D</v>
      </c>
      <c r="E953" s="7" t="str">
        <f>IFERROR(__xludf.DUMMYFUNCTION("""COMPUTED_VALUE"""),"Q58d. Performance: traditional leader")</f>
        <v>Q58d. Performance: traditional leader</v>
      </c>
      <c r="F953" s="7" t="str">
        <f>IFERROR(__xludf.DUMMYFUNCTION("""COMPUTED_VALUE"""),"Your traditional leader (Bucopho)")</f>
        <v>Your traditional leader (Bucopho)</v>
      </c>
    </row>
    <row r="954">
      <c r="A954" s="7" t="str">
        <f>IFERROR(__xludf.DUMMYFUNCTION("""COMPUTED_VALUE"""),"BENIN")</f>
        <v>BENIN</v>
      </c>
      <c r="B954" s="7">
        <f>IFERROR(__xludf.DUMMYFUNCTION("""COMPUTED_VALUE"""),7.0)</f>
        <v>7</v>
      </c>
      <c r="C954" s="7" t="str">
        <f>IFERROR(__xludf.DUMMYFUNCTION("""COMPUTED_VALUE"""),"B_03_30")</f>
        <v>B_03_30</v>
      </c>
      <c r="D954" s="7" t="str">
        <f>IFERROR(__xludf.DUMMYFUNCTION("""COMPUTED_VALUE"""),"Q58E")</f>
        <v>Q58E</v>
      </c>
      <c r="E954" s="7" t="str">
        <f>IFERROR(__xludf.DUMMYFUNCTION("""COMPUTED_VALUE"""),"Q58e. Performance: your Mayor")</f>
        <v>Q58e. Performance: your Mayor</v>
      </c>
      <c r="F954" s="7" t="str">
        <f>IFERROR(__xludf.DUMMYFUNCTION("""COMPUTED_VALUE"""),"Mayor")</f>
        <v>Mayor</v>
      </c>
    </row>
    <row r="955">
      <c r="A955" s="7" t="str">
        <f>IFERROR(__xludf.DUMMYFUNCTION("""COMPUTED_VALUE"""),"BURKINA FASO")</f>
        <v>BURKINA FASO</v>
      </c>
      <c r="B955" s="7">
        <f>IFERROR(__xludf.DUMMYFUNCTION("""COMPUTED_VALUE"""),7.0)</f>
        <v>7</v>
      </c>
      <c r="C955" s="7" t="str">
        <f>IFERROR(__xludf.DUMMYFUNCTION("""COMPUTED_VALUE"""),"B_03_30")</f>
        <v>B_03_30</v>
      </c>
      <c r="D955" s="7" t="str">
        <f>IFERROR(__xludf.DUMMYFUNCTION("""COMPUTED_VALUE"""),"Q58E")</f>
        <v>Q58E</v>
      </c>
      <c r="E955" s="7" t="str">
        <f>IFERROR(__xludf.DUMMYFUNCTION("""COMPUTED_VALUE"""),"Q58e. Performance: your Mayor")</f>
        <v>Q58e. Performance: your Mayor</v>
      </c>
      <c r="F955" s="7" t="str">
        <f>IFERROR(__xludf.DUMMYFUNCTION("""COMPUTED_VALUE"""),"Mayor")</f>
        <v>Mayor</v>
      </c>
    </row>
    <row r="956">
      <c r="A956" s="7" t="str">
        <f>IFERROR(__xludf.DUMMYFUNCTION("""COMPUTED_VALUE"""),"GAMBIA")</f>
        <v>GAMBIA</v>
      </c>
      <c r="B956" s="7">
        <f>IFERROR(__xludf.DUMMYFUNCTION("""COMPUTED_VALUE"""),7.0)</f>
        <v>7</v>
      </c>
      <c r="C956" s="7" t="str">
        <f>IFERROR(__xludf.DUMMYFUNCTION("""COMPUTED_VALUE"""),"B_03_30")</f>
        <v>B_03_30</v>
      </c>
      <c r="D956" s="7" t="str">
        <f>IFERROR(__xludf.DUMMYFUNCTION("""COMPUTED_VALUE"""),"Q58E")</f>
        <v>Q58E</v>
      </c>
      <c r="E956" s="7" t="str">
        <f>IFERROR(__xludf.DUMMYFUNCTION("""COMPUTED_VALUE"""),"Q58e. Performance: your Mayor")</f>
        <v>Q58e. Performance: your Mayor</v>
      </c>
      <c r="F956" s="7" t="str">
        <f>IFERROR(__xludf.DUMMYFUNCTION("""COMPUTED_VALUE"""),"Mayor or chairperson")</f>
        <v>Mayor or chairperson</v>
      </c>
    </row>
    <row r="957">
      <c r="A957" s="7" t="str">
        <f>IFERROR(__xludf.DUMMYFUNCTION("""COMPUTED_VALUE"""),"GHANA")</f>
        <v>GHANA</v>
      </c>
      <c r="B957" s="7">
        <f>IFERROR(__xludf.DUMMYFUNCTION("""COMPUTED_VALUE"""),7.0)</f>
        <v>7</v>
      </c>
      <c r="C957" s="7" t="str">
        <f>IFERROR(__xludf.DUMMYFUNCTION("""COMPUTED_VALUE"""),"B_03_30")</f>
        <v>B_03_30</v>
      </c>
      <c r="D957" s="7" t="str">
        <f>IFERROR(__xludf.DUMMYFUNCTION("""COMPUTED_VALUE"""),"Q58E")</f>
        <v>Q58E</v>
      </c>
      <c r="E957" s="7" t="str">
        <f>IFERROR(__xludf.DUMMYFUNCTION("""COMPUTED_VALUE"""),"Q58e. Performance: your Mayor")</f>
        <v>Q58e. Performance: your Mayor</v>
      </c>
      <c r="F957" s="7" t="str">
        <f>IFERROR(__xludf.DUMMYFUNCTION("""COMPUTED_VALUE"""),"Metropolitan, Municipal or District Chief Executive")</f>
        <v>Metropolitan, Municipal or District Chief Executive</v>
      </c>
    </row>
    <row r="958">
      <c r="A958" s="7" t="str">
        <f>IFERROR(__xludf.DUMMYFUNCTION("""COMPUTED_VALUE"""),"GUINEA")</f>
        <v>GUINEA</v>
      </c>
      <c r="B958" s="7">
        <f>IFERROR(__xludf.DUMMYFUNCTION("""COMPUTED_VALUE"""),7.0)</f>
        <v>7</v>
      </c>
      <c r="C958" s="7" t="str">
        <f>IFERROR(__xludf.DUMMYFUNCTION("""COMPUTED_VALUE"""),"B_03_30")</f>
        <v>B_03_30</v>
      </c>
      <c r="D958" s="7" t="str">
        <f>IFERROR(__xludf.DUMMYFUNCTION("""COMPUTED_VALUE"""),"Q58E")</f>
        <v>Q58E</v>
      </c>
      <c r="E958" s="7" t="str">
        <f>IFERROR(__xludf.DUMMYFUNCTION("""COMPUTED_VALUE"""),"Q58e. Performance: your Mayor")</f>
        <v>Q58e. Performance: your Mayor</v>
      </c>
      <c r="F958" s="7" t="str">
        <f>IFERROR(__xludf.DUMMYFUNCTION("""COMPUTED_VALUE"""),"Mayor or President of the Special Delegation")</f>
        <v>Mayor or President of the Special Delegation</v>
      </c>
    </row>
    <row r="959">
      <c r="A959" s="7" t="str">
        <f>IFERROR(__xludf.DUMMYFUNCTION("""COMPUTED_VALUE"""),"KENYA")</f>
        <v>KENYA</v>
      </c>
      <c r="B959" s="7">
        <f>IFERROR(__xludf.DUMMYFUNCTION("""COMPUTED_VALUE"""),7.0)</f>
        <v>7</v>
      </c>
      <c r="C959" s="7" t="str">
        <f>IFERROR(__xludf.DUMMYFUNCTION("""COMPUTED_VALUE"""),"B_03_30")</f>
        <v>B_03_30</v>
      </c>
      <c r="D959" s="7" t="str">
        <f>IFERROR(__xludf.DUMMYFUNCTION("""COMPUTED_VALUE"""),"Q58E")</f>
        <v>Q58E</v>
      </c>
      <c r="E959" s="7" t="str">
        <f>IFERROR(__xludf.DUMMYFUNCTION("""COMPUTED_VALUE"""),"Q58e. Performance: your Mayor")</f>
        <v>Q58e. Performance: your Mayor</v>
      </c>
      <c r="F959" s="7" t="str">
        <f>IFERROR(__xludf.DUMMYFUNCTION("""COMPUTED_VALUE"""),"County Governor")</f>
        <v>County Governor</v>
      </c>
    </row>
    <row r="960">
      <c r="A960" s="7" t="str">
        <f>IFERROR(__xludf.DUMMYFUNCTION("""COMPUTED_VALUE"""),"LESOTHO")</f>
        <v>LESOTHO</v>
      </c>
      <c r="B960" s="7">
        <f>IFERROR(__xludf.DUMMYFUNCTION("""COMPUTED_VALUE"""),7.0)</f>
        <v>7</v>
      </c>
      <c r="C960" s="7" t="str">
        <f>IFERROR(__xludf.DUMMYFUNCTION("""COMPUTED_VALUE"""),"B_03_30")</f>
        <v>B_03_30</v>
      </c>
      <c r="D960" s="7" t="str">
        <f>IFERROR(__xludf.DUMMYFUNCTION("""COMPUTED_VALUE"""),"Q58E")</f>
        <v>Q58E</v>
      </c>
      <c r="E960" s="7" t="str">
        <f>IFERROR(__xludf.DUMMYFUNCTION("""COMPUTED_VALUE"""),"Q58e. Performance: your Mayor")</f>
        <v>Q58e. Performance: your Mayor</v>
      </c>
      <c r="F960" s="7" t="str">
        <f>IFERROR(__xludf.DUMMYFUNCTION("""COMPUTED_VALUE"""),"Your Mayor  or Community Council Chairperson")</f>
        <v>Your Mayor  or Community Council Chairperson</v>
      </c>
    </row>
    <row r="961">
      <c r="A961" s="7" t="str">
        <f>IFERROR(__xludf.DUMMYFUNCTION("""COMPUTED_VALUE"""),"MADAGASCAR")</f>
        <v>MADAGASCAR</v>
      </c>
      <c r="B961" s="7">
        <f>IFERROR(__xludf.DUMMYFUNCTION("""COMPUTED_VALUE"""),7.0)</f>
        <v>7</v>
      </c>
      <c r="C961" s="7" t="str">
        <f>IFERROR(__xludf.DUMMYFUNCTION("""COMPUTED_VALUE"""),"B_03_30")</f>
        <v>B_03_30</v>
      </c>
      <c r="D961" s="7" t="str">
        <f>IFERROR(__xludf.DUMMYFUNCTION("""COMPUTED_VALUE"""),"Q58E")</f>
        <v>Q58E</v>
      </c>
      <c r="E961" s="7" t="str">
        <f>IFERROR(__xludf.DUMMYFUNCTION("""COMPUTED_VALUE"""),"Q58e. Performance: your Mayor")</f>
        <v>Q58e. Performance: your Mayor</v>
      </c>
      <c r="F961" s="7" t="str">
        <f>IFERROR(__xludf.DUMMYFUNCTION("""COMPUTED_VALUE"""),"Mayor")</f>
        <v>Mayor</v>
      </c>
    </row>
    <row r="962">
      <c r="A962" s="7" t="str">
        <f>IFERROR(__xludf.DUMMYFUNCTION("""COMPUTED_VALUE"""),"MALAWI")</f>
        <v>MALAWI</v>
      </c>
      <c r="B962" s="7">
        <f>IFERROR(__xludf.DUMMYFUNCTION("""COMPUTED_VALUE"""),7.0)</f>
        <v>7</v>
      </c>
      <c r="C962" s="7" t="str">
        <f>IFERROR(__xludf.DUMMYFUNCTION("""COMPUTED_VALUE"""),"B_03_30")</f>
        <v>B_03_30</v>
      </c>
      <c r="D962" s="7" t="str">
        <f>IFERROR(__xludf.DUMMYFUNCTION("""COMPUTED_VALUE"""),"Q58E")</f>
        <v>Q58E</v>
      </c>
      <c r="E962" s="7" t="str">
        <f>IFERROR(__xludf.DUMMYFUNCTION("""COMPUTED_VALUE"""),"Q58e. Performance: your Mayor")</f>
        <v>Q58e. Performance: your Mayor</v>
      </c>
      <c r="F962" s="7" t="str">
        <f>IFERROR(__xludf.DUMMYFUNCTION("""COMPUTED_VALUE"""),"Your mayor  or Chairperson of the District Council")</f>
        <v>Your mayor  or Chairperson of the District Council</v>
      </c>
    </row>
    <row r="963">
      <c r="A963" s="7" t="str">
        <f>IFERROR(__xludf.DUMMYFUNCTION("""COMPUTED_VALUE"""),"MALI")</f>
        <v>MALI</v>
      </c>
      <c r="B963" s="7">
        <f>IFERROR(__xludf.DUMMYFUNCTION("""COMPUTED_VALUE"""),7.0)</f>
        <v>7</v>
      </c>
      <c r="C963" s="7" t="str">
        <f>IFERROR(__xludf.DUMMYFUNCTION("""COMPUTED_VALUE"""),"B_03_30")</f>
        <v>B_03_30</v>
      </c>
      <c r="D963" s="7" t="str">
        <f>IFERROR(__xludf.DUMMYFUNCTION("""COMPUTED_VALUE"""),"Q58E")</f>
        <v>Q58E</v>
      </c>
      <c r="E963" s="7" t="str">
        <f>IFERROR(__xludf.DUMMYFUNCTION("""COMPUTED_VALUE"""),"Q58e. Performance: your Mayor")</f>
        <v>Q58e. Performance: your Mayor</v>
      </c>
      <c r="F963" s="7" t="str">
        <f>IFERROR(__xludf.DUMMYFUNCTION("""COMPUTED_VALUE"""),"Your Mayor")</f>
        <v>Your Mayor</v>
      </c>
    </row>
    <row r="964">
      <c r="A964" s="7" t="str">
        <f>IFERROR(__xludf.DUMMYFUNCTION("""COMPUTED_VALUE"""),"MAURITIUS")</f>
        <v>MAURITIUS</v>
      </c>
      <c r="B964" s="7">
        <f>IFERROR(__xludf.DUMMYFUNCTION("""COMPUTED_VALUE"""),7.0)</f>
        <v>7</v>
      </c>
      <c r="C964" s="7" t="str">
        <f>IFERROR(__xludf.DUMMYFUNCTION("""COMPUTED_VALUE"""),"B_03_30")</f>
        <v>B_03_30</v>
      </c>
      <c r="D964" s="7" t="str">
        <f>IFERROR(__xludf.DUMMYFUNCTION("""COMPUTED_VALUE"""),"Q58E")</f>
        <v>Q58E</v>
      </c>
      <c r="E964" s="7" t="str">
        <f>IFERROR(__xludf.DUMMYFUNCTION("""COMPUTED_VALUE"""),"Q58e. Performance: your Mayor")</f>
        <v>Q58e. Performance: your Mayor</v>
      </c>
      <c r="F964" s="7" t="str">
        <f>IFERROR(__xludf.DUMMYFUNCTION("""COMPUTED_VALUE"""),"Mayor or Chairperson of the District Council")</f>
        <v>Mayor or Chairperson of the District Council</v>
      </c>
    </row>
    <row r="965">
      <c r="A965" s="7" t="str">
        <f>IFERROR(__xludf.DUMMYFUNCTION("""COMPUTED_VALUE"""),"MOROCCO")</f>
        <v>MOROCCO</v>
      </c>
      <c r="B965" s="7">
        <f>IFERROR(__xludf.DUMMYFUNCTION("""COMPUTED_VALUE"""),7.0)</f>
        <v>7</v>
      </c>
      <c r="C965" s="7" t="str">
        <f>IFERROR(__xludf.DUMMYFUNCTION("""COMPUTED_VALUE"""),"B_03_30")</f>
        <v>B_03_30</v>
      </c>
      <c r="D965" s="7" t="str">
        <f>IFERROR(__xludf.DUMMYFUNCTION("""COMPUTED_VALUE"""),"Q58E")</f>
        <v>Q58E</v>
      </c>
      <c r="E965" s="7" t="str">
        <f>IFERROR(__xludf.DUMMYFUNCTION("""COMPUTED_VALUE"""),"Q58e. Performance: your Mayor")</f>
        <v>Q58e. Performance: your Mayor</v>
      </c>
      <c r="F965" s="7" t="str">
        <f>IFERROR(__xludf.DUMMYFUNCTION("""COMPUTED_VALUE"""),"President of the local council")</f>
        <v>President of the local council</v>
      </c>
    </row>
    <row r="966">
      <c r="A966" s="7" t="str">
        <f>IFERROR(__xludf.DUMMYFUNCTION("""COMPUTED_VALUE"""),"MOZAMBIQUE")</f>
        <v>MOZAMBIQUE</v>
      </c>
      <c r="B966" s="7">
        <f>IFERROR(__xludf.DUMMYFUNCTION("""COMPUTED_VALUE"""),7.0)</f>
        <v>7</v>
      </c>
      <c r="C966" s="7" t="str">
        <f>IFERROR(__xludf.DUMMYFUNCTION("""COMPUTED_VALUE"""),"B_03_30")</f>
        <v>B_03_30</v>
      </c>
      <c r="D966" s="7" t="str">
        <f>IFERROR(__xludf.DUMMYFUNCTION("""COMPUTED_VALUE"""),"Q58E")</f>
        <v>Q58E</v>
      </c>
      <c r="E966" s="7" t="str">
        <f>IFERROR(__xludf.DUMMYFUNCTION("""COMPUTED_VALUE"""),"Q58e. Performance: your Mayor")</f>
        <v>Q58e. Performance: your Mayor</v>
      </c>
      <c r="F966" s="7" t="str">
        <f>IFERROR(__xludf.DUMMYFUNCTION("""COMPUTED_VALUE"""),"Your mayor")</f>
        <v>Your mayor</v>
      </c>
    </row>
    <row r="967">
      <c r="A967" s="7" t="str">
        <f>IFERROR(__xludf.DUMMYFUNCTION("""COMPUTED_VALUE"""),"NAMIBIA")</f>
        <v>NAMIBIA</v>
      </c>
      <c r="B967" s="7">
        <f>IFERROR(__xludf.DUMMYFUNCTION("""COMPUTED_VALUE"""),7.0)</f>
        <v>7</v>
      </c>
      <c r="C967" s="7" t="str">
        <f>IFERROR(__xludf.DUMMYFUNCTION("""COMPUTED_VALUE"""),"B_03_30")</f>
        <v>B_03_30</v>
      </c>
      <c r="D967" s="7" t="str">
        <f>IFERROR(__xludf.DUMMYFUNCTION("""COMPUTED_VALUE"""),"Q58E")</f>
        <v>Q58E</v>
      </c>
      <c r="E967" s="7" t="str">
        <f>IFERROR(__xludf.DUMMYFUNCTION("""COMPUTED_VALUE"""),"Q58e. Performance: your Mayor")</f>
        <v>Q58e. Performance: your Mayor</v>
      </c>
      <c r="F967" s="7" t="str">
        <f>IFERROR(__xludf.DUMMYFUNCTION("""COMPUTED_VALUE"""),"Your mayor")</f>
        <v>Your mayor</v>
      </c>
    </row>
    <row r="968">
      <c r="A968" s="7" t="str">
        <f>IFERROR(__xludf.DUMMYFUNCTION("""COMPUTED_VALUE"""),"NIGER")</f>
        <v>NIGER</v>
      </c>
      <c r="B968" s="7">
        <f>IFERROR(__xludf.DUMMYFUNCTION("""COMPUTED_VALUE"""),7.0)</f>
        <v>7</v>
      </c>
      <c r="C968" s="7" t="str">
        <f>IFERROR(__xludf.DUMMYFUNCTION("""COMPUTED_VALUE"""),"B_03_30")</f>
        <v>B_03_30</v>
      </c>
      <c r="D968" s="7" t="str">
        <f>IFERROR(__xludf.DUMMYFUNCTION("""COMPUTED_VALUE"""),"Q58E")</f>
        <v>Q58E</v>
      </c>
      <c r="E968" s="7" t="str">
        <f>IFERROR(__xludf.DUMMYFUNCTION("""COMPUTED_VALUE"""),"Q58e. Performance: your Mayor")</f>
        <v>Q58e. Performance: your Mayor</v>
      </c>
      <c r="F968" s="7" t="str">
        <f>IFERROR(__xludf.DUMMYFUNCTION("""COMPUTED_VALUE"""),"Your mayor")</f>
        <v>Your mayor</v>
      </c>
    </row>
    <row r="969">
      <c r="A969" s="7" t="str">
        <f>IFERROR(__xludf.DUMMYFUNCTION("""COMPUTED_VALUE"""),"NIGERIA")</f>
        <v>NIGERIA</v>
      </c>
      <c r="B969" s="7">
        <f>IFERROR(__xludf.DUMMYFUNCTION("""COMPUTED_VALUE"""),7.0)</f>
        <v>7</v>
      </c>
      <c r="C969" s="7" t="str">
        <f>IFERROR(__xludf.DUMMYFUNCTION("""COMPUTED_VALUE"""),"B_03_30")</f>
        <v>B_03_30</v>
      </c>
      <c r="D969" s="7" t="str">
        <f>IFERROR(__xludf.DUMMYFUNCTION("""COMPUTED_VALUE"""),"Q58E")</f>
        <v>Q58E</v>
      </c>
      <c r="E969" s="7" t="str">
        <f>IFERROR(__xludf.DUMMYFUNCTION("""COMPUTED_VALUE"""),"Q58e. Performance: your Mayor")</f>
        <v>Q58e. Performance: your Mayor</v>
      </c>
      <c r="F969" s="7" t="str">
        <f>IFERROR(__xludf.DUMMYFUNCTION("""COMPUTED_VALUE"""),"Local government Chairperson")</f>
        <v>Local government Chairperson</v>
      </c>
    </row>
    <row r="970">
      <c r="A970" s="7" t="str">
        <f>IFERROR(__xludf.DUMMYFUNCTION("""COMPUTED_VALUE"""),"SAO TOME AND PRINCIPE")</f>
        <v>SAO TOME AND PRINCIPE</v>
      </c>
      <c r="B970" s="7">
        <f>IFERROR(__xludf.DUMMYFUNCTION("""COMPUTED_VALUE"""),7.0)</f>
        <v>7</v>
      </c>
      <c r="C970" s="7" t="str">
        <f>IFERROR(__xludf.DUMMYFUNCTION("""COMPUTED_VALUE"""),"B_03_30")</f>
        <v>B_03_30</v>
      </c>
      <c r="D970" s="7" t="str">
        <f>IFERROR(__xludf.DUMMYFUNCTION("""COMPUTED_VALUE"""),"Q58E")</f>
        <v>Q58E</v>
      </c>
      <c r="E970" s="7" t="str">
        <f>IFERROR(__xludf.DUMMYFUNCTION("""COMPUTED_VALUE"""),"Q58e. Performance: your Mayor")</f>
        <v>Q58e. Performance: your Mayor</v>
      </c>
      <c r="F970" s="7" t="str">
        <f>IFERROR(__xludf.DUMMYFUNCTION("""COMPUTED_VALUE"""),"Elected District Mayor (or President of the District Chamber)")</f>
        <v>Elected District Mayor (or President of the District Chamber)</v>
      </c>
    </row>
    <row r="971">
      <c r="A971" s="7" t="str">
        <f>IFERROR(__xludf.DUMMYFUNCTION("""COMPUTED_VALUE"""),"SENEGAL")</f>
        <v>SENEGAL</v>
      </c>
      <c r="B971" s="7">
        <f>IFERROR(__xludf.DUMMYFUNCTION("""COMPUTED_VALUE"""),7.0)</f>
        <v>7</v>
      </c>
      <c r="C971" s="7" t="str">
        <f>IFERROR(__xludf.DUMMYFUNCTION("""COMPUTED_VALUE"""),"B_03_30")</f>
        <v>B_03_30</v>
      </c>
      <c r="D971" s="7" t="str">
        <f>IFERROR(__xludf.DUMMYFUNCTION("""COMPUTED_VALUE"""),"Q58E")</f>
        <v>Q58E</v>
      </c>
      <c r="E971" s="7" t="str">
        <f>IFERROR(__xludf.DUMMYFUNCTION("""COMPUTED_VALUE"""),"Q58e. Performance: your Mayor")</f>
        <v>Q58e. Performance: your Mayor</v>
      </c>
      <c r="F971" s="7" t="str">
        <f>IFERROR(__xludf.DUMMYFUNCTION("""COMPUTED_VALUE"""),"Your Mayor")</f>
        <v>Your Mayor</v>
      </c>
    </row>
    <row r="972">
      <c r="A972" s="7" t="str">
        <f>IFERROR(__xludf.DUMMYFUNCTION("""COMPUTED_VALUE"""),"SIERRA LEONE")</f>
        <v>SIERRA LEONE</v>
      </c>
      <c r="B972" s="7">
        <f>IFERROR(__xludf.DUMMYFUNCTION("""COMPUTED_VALUE"""),7.0)</f>
        <v>7</v>
      </c>
      <c r="C972" s="7" t="str">
        <f>IFERROR(__xludf.DUMMYFUNCTION("""COMPUTED_VALUE"""),"B_03_30")</f>
        <v>B_03_30</v>
      </c>
      <c r="D972" s="7" t="str">
        <f>IFERROR(__xludf.DUMMYFUNCTION("""COMPUTED_VALUE"""),"Q58E")</f>
        <v>Q58E</v>
      </c>
      <c r="E972" s="7" t="str">
        <f>IFERROR(__xludf.DUMMYFUNCTION("""COMPUTED_VALUE"""),"Q58e. Performance: your Mayor")</f>
        <v>Q58e. Performance: your Mayor</v>
      </c>
      <c r="F972" s="7" t="str">
        <f>IFERROR(__xludf.DUMMYFUNCTION("""COMPUTED_VALUE"""),"Your Mayor")</f>
        <v>Your Mayor</v>
      </c>
    </row>
    <row r="973">
      <c r="A973" s="7" t="str">
        <f>IFERROR(__xludf.DUMMYFUNCTION("""COMPUTED_VALUE"""),"SOUTH AFRICA")</f>
        <v>SOUTH AFRICA</v>
      </c>
      <c r="B973" s="7">
        <f>IFERROR(__xludf.DUMMYFUNCTION("""COMPUTED_VALUE"""),7.0)</f>
        <v>7</v>
      </c>
      <c r="C973" s="7" t="str">
        <f>IFERROR(__xludf.DUMMYFUNCTION("""COMPUTED_VALUE"""),"B_03_30")</f>
        <v>B_03_30</v>
      </c>
      <c r="D973" s="7" t="str">
        <f>IFERROR(__xludf.DUMMYFUNCTION("""COMPUTED_VALUE"""),"Q58E")</f>
        <v>Q58E</v>
      </c>
      <c r="E973" s="7" t="str">
        <f>IFERROR(__xludf.DUMMYFUNCTION("""COMPUTED_VALUE"""),"Q58e. Performance: your Mayor")</f>
        <v>Q58e. Performance: your Mayor</v>
      </c>
      <c r="F973" s="7" t="str">
        <f>IFERROR(__xludf.DUMMYFUNCTION("""COMPUTED_VALUE"""),"Your Mayor")</f>
        <v>Your Mayor</v>
      </c>
    </row>
    <row r="974">
      <c r="A974" s="7" t="str">
        <f>IFERROR(__xludf.DUMMYFUNCTION("""COMPUTED_VALUE"""),"SUDAN")</f>
        <v>SUDAN</v>
      </c>
      <c r="B974" s="7">
        <f>IFERROR(__xludf.DUMMYFUNCTION("""COMPUTED_VALUE"""),7.0)</f>
        <v>7</v>
      </c>
      <c r="C974" s="7" t="str">
        <f>IFERROR(__xludf.DUMMYFUNCTION("""COMPUTED_VALUE"""),"B_03_30")</f>
        <v>B_03_30</v>
      </c>
      <c r="D974" s="7" t="str">
        <f>IFERROR(__xludf.DUMMYFUNCTION("""COMPUTED_VALUE"""),"Q58E")</f>
        <v>Q58E</v>
      </c>
      <c r="E974" s="7" t="str">
        <f>IFERROR(__xludf.DUMMYFUNCTION("""COMPUTED_VALUE"""),"Q58e. Performance: your Mayor")</f>
        <v>Q58e. Performance: your Mayor</v>
      </c>
      <c r="F974" s="7" t="str">
        <f>IFERROR(__xludf.DUMMYFUNCTION("""COMPUTED_VALUE"""),"Your Mayor")</f>
        <v>Your Mayor</v>
      </c>
    </row>
    <row r="975">
      <c r="A975" s="7" t="str">
        <f>IFERROR(__xludf.DUMMYFUNCTION("""COMPUTED_VALUE"""),"TANZANIA")</f>
        <v>TANZANIA</v>
      </c>
      <c r="B975" s="7">
        <f>IFERROR(__xludf.DUMMYFUNCTION("""COMPUTED_VALUE"""),7.0)</f>
        <v>7</v>
      </c>
      <c r="C975" s="7" t="str">
        <f>IFERROR(__xludf.DUMMYFUNCTION("""COMPUTED_VALUE"""),"B_03_30")</f>
        <v>B_03_30</v>
      </c>
      <c r="D975" s="7" t="str">
        <f>IFERROR(__xludf.DUMMYFUNCTION("""COMPUTED_VALUE"""),"Q58E")</f>
        <v>Q58E</v>
      </c>
      <c r="E975" s="7" t="str">
        <f>IFERROR(__xludf.DUMMYFUNCTION("""COMPUTED_VALUE"""),"Q58e. Performance: your Mayor")</f>
        <v>Q58e. Performance: your Mayor</v>
      </c>
      <c r="F975" s="7" t="str">
        <f>IFERROR(__xludf.DUMMYFUNCTION("""COMPUTED_VALUE"""),"Mayor or Local Council Chairperson")</f>
        <v>Mayor or Local Council Chairperson</v>
      </c>
    </row>
    <row r="976">
      <c r="A976" s="7" t="str">
        <f>IFERROR(__xludf.DUMMYFUNCTION("""COMPUTED_VALUE"""),"TOGO")</f>
        <v>TOGO</v>
      </c>
      <c r="B976" s="7">
        <f>IFERROR(__xludf.DUMMYFUNCTION("""COMPUTED_VALUE"""),7.0)</f>
        <v>7</v>
      </c>
      <c r="C976" s="7" t="str">
        <f>IFERROR(__xludf.DUMMYFUNCTION("""COMPUTED_VALUE"""),"B_03_30")</f>
        <v>B_03_30</v>
      </c>
      <c r="D976" s="7" t="str">
        <f>IFERROR(__xludf.DUMMYFUNCTION("""COMPUTED_VALUE"""),"Q58E")</f>
        <v>Q58E</v>
      </c>
      <c r="E976" s="7" t="str">
        <f>IFERROR(__xludf.DUMMYFUNCTION("""COMPUTED_VALUE"""),"Q58e. Performance: your Mayor")</f>
        <v>Q58e. Performance: your Mayor</v>
      </c>
      <c r="F976" s="7" t="str">
        <f>IFERROR(__xludf.DUMMYFUNCTION("""COMPUTED_VALUE"""),"Your Prefect or Mayor")</f>
        <v>Your Prefect or Mayor</v>
      </c>
    </row>
    <row r="977">
      <c r="A977" s="7" t="str">
        <f>IFERROR(__xludf.DUMMYFUNCTION("""COMPUTED_VALUE"""),"TUNISIA")</f>
        <v>TUNISIA</v>
      </c>
      <c r="B977" s="7">
        <f>IFERROR(__xludf.DUMMYFUNCTION("""COMPUTED_VALUE"""),7.0)</f>
        <v>7</v>
      </c>
      <c r="C977" s="7" t="str">
        <f>IFERROR(__xludf.DUMMYFUNCTION("""COMPUTED_VALUE"""),"B_03_30")</f>
        <v>B_03_30</v>
      </c>
      <c r="D977" s="7" t="str">
        <f>IFERROR(__xludf.DUMMYFUNCTION("""COMPUTED_VALUE"""),"Q58E")</f>
        <v>Q58E</v>
      </c>
      <c r="E977" s="7" t="str">
        <f>IFERROR(__xludf.DUMMYFUNCTION("""COMPUTED_VALUE"""),"Q58e. Performance: your Mayor")</f>
        <v>Q58e. Performance: your Mayor</v>
      </c>
      <c r="F977" s="7" t="str">
        <f>IFERROR(__xludf.DUMMYFUNCTION("""COMPUTED_VALUE"""),"Your leader of the delegation")</f>
        <v>Your leader of the delegation</v>
      </c>
    </row>
    <row r="978">
      <c r="A978" s="7" t="str">
        <f>IFERROR(__xludf.DUMMYFUNCTION("""COMPUTED_VALUE"""),"UGANDA")</f>
        <v>UGANDA</v>
      </c>
      <c r="B978" s="7">
        <f>IFERROR(__xludf.DUMMYFUNCTION("""COMPUTED_VALUE"""),7.0)</f>
        <v>7</v>
      </c>
      <c r="C978" s="7" t="str">
        <f>IFERROR(__xludf.DUMMYFUNCTION("""COMPUTED_VALUE"""),"B_03_30")</f>
        <v>B_03_30</v>
      </c>
      <c r="D978" s="7" t="str">
        <f>IFERROR(__xludf.DUMMYFUNCTION("""COMPUTED_VALUE"""),"Q58E")</f>
        <v>Q58E</v>
      </c>
      <c r="E978" s="7" t="str">
        <f>IFERROR(__xludf.DUMMYFUNCTION("""COMPUTED_VALUE"""),"Q58e. Performance: your Mayor")</f>
        <v>Q58e. Performance: your Mayor</v>
      </c>
      <c r="F978" s="7" t="str">
        <f>IFERROR(__xludf.DUMMYFUNCTION("""COMPUTED_VALUE"""),"Mayor or LCV (Local Council 5) Chairperson")</f>
        <v>Mayor or LCV (Local Council 5) Chairperson</v>
      </c>
    </row>
    <row r="979">
      <c r="A979" s="7" t="str">
        <f>IFERROR(__xludf.DUMMYFUNCTION("""COMPUTED_VALUE"""),"ZAMBIA")</f>
        <v>ZAMBIA</v>
      </c>
      <c r="B979" s="7">
        <f>IFERROR(__xludf.DUMMYFUNCTION("""COMPUTED_VALUE"""),7.0)</f>
        <v>7</v>
      </c>
      <c r="C979" s="7" t="str">
        <f>IFERROR(__xludf.DUMMYFUNCTION("""COMPUTED_VALUE"""),"B_03_30")</f>
        <v>B_03_30</v>
      </c>
      <c r="D979" s="7" t="str">
        <f>IFERROR(__xludf.DUMMYFUNCTION("""COMPUTED_VALUE"""),"Q58E")</f>
        <v>Q58E</v>
      </c>
      <c r="E979" s="7" t="str">
        <f>IFERROR(__xludf.DUMMYFUNCTION("""COMPUTED_VALUE"""),"Q58e. Performance: your Mayor")</f>
        <v>Q58e. Performance: your Mayor</v>
      </c>
      <c r="F979" s="7" t="str">
        <f>IFERROR(__xludf.DUMMYFUNCTION("""COMPUTED_VALUE"""),"Mayor or district Council Chairman")</f>
        <v>Mayor or district Council Chairman</v>
      </c>
    </row>
    <row r="980">
      <c r="A980" s="7" t="str">
        <f>IFERROR(__xludf.DUMMYFUNCTION("""COMPUTED_VALUE"""),"ZIMBABWE")</f>
        <v>ZIMBABWE</v>
      </c>
      <c r="B980" s="7">
        <f>IFERROR(__xludf.DUMMYFUNCTION("""COMPUTED_VALUE"""),7.0)</f>
        <v>7</v>
      </c>
      <c r="C980" s="7" t="str">
        <f>IFERROR(__xludf.DUMMYFUNCTION("""COMPUTED_VALUE"""),"B_03_30")</f>
        <v>B_03_30</v>
      </c>
      <c r="D980" s="7" t="str">
        <f>IFERROR(__xludf.DUMMYFUNCTION("""COMPUTED_VALUE"""),"Q58E")</f>
        <v>Q58E</v>
      </c>
      <c r="E980" s="7" t="str">
        <f>IFERROR(__xludf.DUMMYFUNCTION("""COMPUTED_VALUE"""),"Q58e. Performance: your Mayor")</f>
        <v>Q58e. Performance: your Mayor</v>
      </c>
      <c r="F980" s="7" t="str">
        <f>IFERROR(__xludf.DUMMYFUNCTION("""COMPUTED_VALUE"""),"Mayor or district Council Chairman")</f>
        <v>Mayor or district Council Chairman</v>
      </c>
    </row>
    <row r="981">
      <c r="A981" s="7" t="str">
        <f>IFERROR(__xludf.DUMMYFUNCTION("""COMPUTED_VALUE"""),"BENIN")</f>
        <v>BENIN</v>
      </c>
      <c r="B981" s="7">
        <f>IFERROR(__xludf.DUMMYFUNCTION("""COMPUTED_VALUE"""),7.0)</f>
        <v>7</v>
      </c>
      <c r="C981" s="7" t="str">
        <f>IFERROR(__xludf.DUMMYFUNCTION("""COMPUTED_VALUE"""),"B_04_14")</f>
        <v>B_04_14</v>
      </c>
      <c r="D981" s="7" t="str">
        <f>IFERROR(__xludf.DUMMYFUNCTION("""COMPUTED_VALUE"""),"Q59A")</f>
        <v>Q59A</v>
      </c>
      <c r="E981" s="7" t="str">
        <f>IFERROR(__xludf.DUMMYFUNCTION("""COMPUTED_VALUE"""),"Q59a. Who responsible: MPs do jobs")</f>
        <v>Q59a. Who responsible: MPs do jobs</v>
      </c>
      <c r="F981" s="7" t="str">
        <f>IFERROR(__xludf.DUMMYFUNCTION("""COMPUTED_VALUE"""),"Your Member of the National Assembly")</f>
        <v>Your Member of the National Assembly</v>
      </c>
    </row>
    <row r="982">
      <c r="A982" s="7" t="str">
        <f>IFERROR(__xludf.DUMMYFUNCTION("""COMPUTED_VALUE"""),"BOTSWANA")</f>
        <v>BOTSWANA</v>
      </c>
      <c r="B982" s="7">
        <f>IFERROR(__xludf.DUMMYFUNCTION("""COMPUTED_VALUE"""),7.0)</f>
        <v>7</v>
      </c>
      <c r="C982" s="7" t="str">
        <f>IFERROR(__xludf.DUMMYFUNCTION("""COMPUTED_VALUE"""),"B_04_14")</f>
        <v>B_04_14</v>
      </c>
      <c r="D982" s="7" t="str">
        <f>IFERROR(__xludf.DUMMYFUNCTION("""COMPUTED_VALUE"""),"Q59A")</f>
        <v>Q59A</v>
      </c>
      <c r="E982" s="7" t="str">
        <f>IFERROR(__xludf.DUMMYFUNCTION("""COMPUTED_VALUE"""),"Q59a. Who responsible: MPs do jobs")</f>
        <v>Q59a. Who responsible: MPs do jobs</v>
      </c>
      <c r="F982" s="7" t="str">
        <f>IFERROR(__xludf.DUMMYFUNCTION("""COMPUTED_VALUE"""),"Member of Parliament")</f>
        <v>Member of Parliament</v>
      </c>
    </row>
    <row r="983">
      <c r="A983" s="7" t="str">
        <f>IFERROR(__xludf.DUMMYFUNCTION("""COMPUTED_VALUE"""),"BURKINA FASO")</f>
        <v>BURKINA FASO</v>
      </c>
      <c r="B983" s="7">
        <f>IFERROR(__xludf.DUMMYFUNCTION("""COMPUTED_VALUE"""),7.0)</f>
        <v>7</v>
      </c>
      <c r="C983" s="7" t="str">
        <f>IFERROR(__xludf.DUMMYFUNCTION("""COMPUTED_VALUE"""),"B_04_14")</f>
        <v>B_04_14</v>
      </c>
      <c r="D983" s="7" t="str">
        <f>IFERROR(__xludf.DUMMYFUNCTION("""COMPUTED_VALUE"""),"Q59A")</f>
        <v>Q59A</v>
      </c>
      <c r="E983" s="7" t="str">
        <f>IFERROR(__xludf.DUMMYFUNCTION("""COMPUTED_VALUE"""),"Q59a. Who responsible: MPs do jobs")</f>
        <v>Q59a. Who responsible: MPs do jobs</v>
      </c>
      <c r="F983" s="7" t="str">
        <f>IFERROR(__xludf.DUMMYFUNCTION("""COMPUTED_VALUE"""),"The National Assembly")</f>
        <v>The National Assembly</v>
      </c>
    </row>
    <row r="984">
      <c r="A984" s="7" t="str">
        <f>IFERROR(__xludf.DUMMYFUNCTION("""COMPUTED_VALUE"""),"CABO VERDE")</f>
        <v>CABO VERDE</v>
      </c>
      <c r="B984" s="7">
        <f>IFERROR(__xludf.DUMMYFUNCTION("""COMPUTED_VALUE"""),7.0)</f>
        <v>7</v>
      </c>
      <c r="C984" s="7" t="str">
        <f>IFERROR(__xludf.DUMMYFUNCTION("""COMPUTED_VALUE"""),"B_04_14")</f>
        <v>B_04_14</v>
      </c>
      <c r="D984" s="7" t="str">
        <f>IFERROR(__xludf.DUMMYFUNCTION("""COMPUTED_VALUE"""),"Q59A")</f>
        <v>Q59A</v>
      </c>
      <c r="E984" s="7" t="str">
        <f>IFERROR(__xludf.DUMMYFUNCTION("""COMPUTED_VALUE"""),"Q59a. Who responsible: MPs do jobs")</f>
        <v>Q59a. Who responsible: MPs do jobs</v>
      </c>
      <c r="F984" s="7" t="str">
        <f>IFERROR(__xludf.DUMMYFUNCTION("""COMPUTED_VALUE"""),"Member of the National Assembly")</f>
        <v>Member of the National Assembly</v>
      </c>
    </row>
    <row r="985">
      <c r="A985" s="7" t="str">
        <f>IFERROR(__xludf.DUMMYFUNCTION("""COMPUTED_VALUE"""),"CAMEROON")</f>
        <v>CAMEROON</v>
      </c>
      <c r="B985" s="7">
        <f>IFERROR(__xludf.DUMMYFUNCTION("""COMPUTED_VALUE"""),7.0)</f>
        <v>7</v>
      </c>
      <c r="C985" s="7" t="str">
        <f>IFERROR(__xludf.DUMMYFUNCTION("""COMPUTED_VALUE"""),"B_04_14")</f>
        <v>B_04_14</v>
      </c>
      <c r="D985" s="7" t="str">
        <f>IFERROR(__xludf.DUMMYFUNCTION("""COMPUTED_VALUE"""),"Q59A")</f>
        <v>Q59A</v>
      </c>
      <c r="E985" s="7" t="str">
        <f>IFERROR(__xludf.DUMMYFUNCTION("""COMPUTED_VALUE"""),"Q59a. Who responsible: MPs do jobs")</f>
        <v>Q59a. Who responsible: MPs do jobs</v>
      </c>
      <c r="F985" s="7" t="str">
        <f>IFERROR(__xludf.DUMMYFUNCTION("""COMPUTED_VALUE"""),"The representatives of parliament (Deputy or Senator)")</f>
        <v>The representatives of parliament (Deputy or Senator)</v>
      </c>
    </row>
    <row r="986">
      <c r="A986" s="7" t="str">
        <f>IFERROR(__xludf.DUMMYFUNCTION("""COMPUTED_VALUE"""),"COTE D'IVOIRE")</f>
        <v>COTE D'IVOIRE</v>
      </c>
      <c r="B986" s="7">
        <f>IFERROR(__xludf.DUMMYFUNCTION("""COMPUTED_VALUE"""),7.0)</f>
        <v>7</v>
      </c>
      <c r="C986" s="7" t="str">
        <f>IFERROR(__xludf.DUMMYFUNCTION("""COMPUTED_VALUE"""),"B_04_14")</f>
        <v>B_04_14</v>
      </c>
      <c r="D986" s="7" t="str">
        <f>IFERROR(__xludf.DUMMYFUNCTION("""COMPUTED_VALUE"""),"Q59A")</f>
        <v>Q59A</v>
      </c>
      <c r="E986" s="7" t="str">
        <f>IFERROR(__xludf.DUMMYFUNCTION("""COMPUTED_VALUE"""),"Q59a. Who responsible: MPs do jobs")</f>
        <v>Q59a. Who responsible: MPs do jobs</v>
      </c>
      <c r="F986" s="7" t="str">
        <f>IFERROR(__xludf.DUMMYFUNCTION("""COMPUTED_VALUE"""),"Member of the National Assembly")</f>
        <v>Member of the National Assembly</v>
      </c>
    </row>
    <row r="987">
      <c r="A987" s="7" t="str">
        <f>IFERROR(__xludf.DUMMYFUNCTION("""COMPUTED_VALUE"""),"ESWATINI")</f>
        <v>ESWATINI</v>
      </c>
      <c r="B987" s="7">
        <f>IFERROR(__xludf.DUMMYFUNCTION("""COMPUTED_VALUE"""),7.0)</f>
        <v>7</v>
      </c>
      <c r="C987" s="7" t="str">
        <f>IFERROR(__xludf.DUMMYFUNCTION("""COMPUTED_VALUE"""),"B_04_14")</f>
        <v>B_04_14</v>
      </c>
      <c r="D987" s="7" t="str">
        <f>IFERROR(__xludf.DUMMYFUNCTION("""COMPUTED_VALUE"""),"Q59A")</f>
        <v>Q59A</v>
      </c>
      <c r="E987" s="7" t="str">
        <f>IFERROR(__xludf.DUMMYFUNCTION("""COMPUTED_VALUE"""),"Q59a. Who responsible: MPs do jobs")</f>
        <v>Q59a. Who responsible: MPs do jobs</v>
      </c>
      <c r="F987" s="7" t="str">
        <f>IFERROR(__xludf.DUMMYFUNCTION("""COMPUTED_VALUE"""),"Members of Parliament")</f>
        <v>Members of Parliament</v>
      </c>
    </row>
    <row r="988">
      <c r="A988" s="7" t="str">
        <f>IFERROR(__xludf.DUMMYFUNCTION("""COMPUTED_VALUE"""),"GABON")</f>
        <v>GABON</v>
      </c>
      <c r="B988" s="7">
        <f>IFERROR(__xludf.DUMMYFUNCTION("""COMPUTED_VALUE"""),7.0)</f>
        <v>7</v>
      </c>
      <c r="C988" s="7" t="str">
        <f>IFERROR(__xludf.DUMMYFUNCTION("""COMPUTED_VALUE"""),"B_04_14")</f>
        <v>B_04_14</v>
      </c>
      <c r="D988" s="7" t="str">
        <f>IFERROR(__xludf.DUMMYFUNCTION("""COMPUTED_VALUE"""),"Q59A")</f>
        <v>Q59A</v>
      </c>
      <c r="E988" s="7" t="str">
        <f>IFERROR(__xludf.DUMMYFUNCTION("""COMPUTED_VALUE"""),"Q59a. Who responsible: MPs do jobs")</f>
        <v>Q59a. Who responsible: MPs do jobs</v>
      </c>
      <c r="F988" s="7" t="str">
        <f>IFERROR(__xludf.DUMMYFUNCTION("""COMPUTED_VALUE"""),"Members of Parliament
Parliamentary Senators ")</f>
        <v>Members of Parliament
Parliamentary Senators </v>
      </c>
    </row>
    <row r="989">
      <c r="A989" s="7" t="str">
        <f>IFERROR(__xludf.DUMMYFUNCTION("""COMPUTED_VALUE"""),"GAMBIA")</f>
        <v>GAMBIA</v>
      </c>
      <c r="B989" s="7">
        <f>IFERROR(__xludf.DUMMYFUNCTION("""COMPUTED_VALUE"""),7.0)</f>
        <v>7</v>
      </c>
      <c r="C989" s="7" t="str">
        <f>IFERROR(__xludf.DUMMYFUNCTION("""COMPUTED_VALUE"""),"B_04_14")</f>
        <v>B_04_14</v>
      </c>
      <c r="D989" s="7" t="str">
        <f>IFERROR(__xludf.DUMMYFUNCTION("""COMPUTED_VALUE"""),"Q59A")</f>
        <v>Q59A</v>
      </c>
      <c r="E989" s="7" t="str">
        <f>IFERROR(__xludf.DUMMYFUNCTION("""COMPUTED_VALUE"""),"Q59a. Who responsible: MPs do jobs")</f>
        <v>Q59a. Who responsible: MPs do jobs</v>
      </c>
      <c r="F989" s="7" t="str">
        <f>IFERROR(__xludf.DUMMYFUNCTION("""COMPUTED_VALUE"""),"Members of the National Assembly")</f>
        <v>Members of the National Assembly</v>
      </c>
    </row>
    <row r="990">
      <c r="A990" s="7" t="str">
        <f>IFERROR(__xludf.DUMMYFUNCTION("""COMPUTED_VALUE"""),"GHANA")</f>
        <v>GHANA</v>
      </c>
      <c r="B990" s="7">
        <f>IFERROR(__xludf.DUMMYFUNCTION("""COMPUTED_VALUE"""),7.0)</f>
        <v>7</v>
      </c>
      <c r="C990" s="7" t="str">
        <f>IFERROR(__xludf.DUMMYFUNCTION("""COMPUTED_VALUE"""),"B_04_14")</f>
        <v>B_04_14</v>
      </c>
      <c r="D990" s="7" t="str">
        <f>IFERROR(__xludf.DUMMYFUNCTION("""COMPUTED_VALUE"""),"Q59A")</f>
        <v>Q59A</v>
      </c>
      <c r="E990" s="7" t="str">
        <f>IFERROR(__xludf.DUMMYFUNCTION("""COMPUTED_VALUE"""),"Q59a. Who responsible: MPs do jobs")</f>
        <v>Q59a. Who responsible: MPs do jobs</v>
      </c>
      <c r="F990" s="7" t="str">
        <f>IFERROR(__xludf.DUMMYFUNCTION("""COMPUTED_VALUE"""),"Member of Parliament")</f>
        <v>Member of Parliament</v>
      </c>
    </row>
    <row r="991">
      <c r="A991" s="7" t="str">
        <f>IFERROR(__xludf.DUMMYFUNCTION("""COMPUTED_VALUE"""),"GUINEA")</f>
        <v>GUINEA</v>
      </c>
      <c r="B991" s="7">
        <f>IFERROR(__xludf.DUMMYFUNCTION("""COMPUTED_VALUE"""),7.0)</f>
        <v>7</v>
      </c>
      <c r="C991" s="7" t="str">
        <f>IFERROR(__xludf.DUMMYFUNCTION("""COMPUTED_VALUE"""),"B_04_14")</f>
        <v>B_04_14</v>
      </c>
      <c r="D991" s="7" t="str">
        <f>IFERROR(__xludf.DUMMYFUNCTION("""COMPUTED_VALUE"""),"Q59A")</f>
        <v>Q59A</v>
      </c>
      <c r="E991" s="7" t="str">
        <f>IFERROR(__xludf.DUMMYFUNCTION("""COMPUTED_VALUE"""),"Q59a. Who responsible: MPs do jobs")</f>
        <v>Q59a. Who responsible: MPs do jobs</v>
      </c>
      <c r="F991" s="7" t="str">
        <f>IFERROR(__xludf.DUMMYFUNCTION("""COMPUTED_VALUE"""),"Member of the National Assembly")</f>
        <v>Member of the National Assembly</v>
      </c>
    </row>
    <row r="992">
      <c r="A992" s="7" t="str">
        <f>IFERROR(__xludf.DUMMYFUNCTION("""COMPUTED_VALUE"""),"KENYA")</f>
        <v>KENYA</v>
      </c>
      <c r="B992" s="7">
        <f>IFERROR(__xludf.DUMMYFUNCTION("""COMPUTED_VALUE"""),7.0)</f>
        <v>7</v>
      </c>
      <c r="C992" s="7" t="str">
        <f>IFERROR(__xludf.DUMMYFUNCTION("""COMPUTED_VALUE"""),"B_04_14")</f>
        <v>B_04_14</v>
      </c>
      <c r="D992" s="7" t="str">
        <f>IFERROR(__xludf.DUMMYFUNCTION("""COMPUTED_VALUE"""),"Q59A")</f>
        <v>Q59A</v>
      </c>
      <c r="E992" s="7" t="str">
        <f>IFERROR(__xludf.DUMMYFUNCTION("""COMPUTED_VALUE"""),"Q59a. Who responsible: MPs do jobs")</f>
        <v>Q59a. Who responsible: MPs do jobs</v>
      </c>
      <c r="F992" s="7" t="str">
        <f>IFERROR(__xludf.DUMMYFUNCTION("""COMPUTED_VALUE"""),"Members of Parliament")</f>
        <v>Members of Parliament</v>
      </c>
    </row>
    <row r="993">
      <c r="A993" s="7" t="str">
        <f>IFERROR(__xludf.DUMMYFUNCTION("""COMPUTED_VALUE"""),"LESOTHO")</f>
        <v>LESOTHO</v>
      </c>
      <c r="B993" s="7">
        <f>IFERROR(__xludf.DUMMYFUNCTION("""COMPUTED_VALUE"""),7.0)</f>
        <v>7</v>
      </c>
      <c r="C993" s="7" t="str">
        <f>IFERROR(__xludf.DUMMYFUNCTION("""COMPUTED_VALUE"""),"B_04_14")</f>
        <v>B_04_14</v>
      </c>
      <c r="D993" s="7" t="str">
        <f>IFERROR(__xludf.DUMMYFUNCTION("""COMPUTED_VALUE"""),"Q59A")</f>
        <v>Q59A</v>
      </c>
      <c r="E993" s="7" t="str">
        <f>IFERROR(__xludf.DUMMYFUNCTION("""COMPUTED_VALUE"""),"Q59a. Who responsible: MPs do jobs")</f>
        <v>Q59a. Who responsible: MPs do jobs</v>
      </c>
      <c r="F993" s="7" t="str">
        <f>IFERROR(__xludf.DUMMYFUNCTION("""COMPUTED_VALUE"""),"Members of Parliament")</f>
        <v>Members of Parliament</v>
      </c>
    </row>
    <row r="994">
      <c r="A994" s="7" t="str">
        <f>IFERROR(__xludf.DUMMYFUNCTION("""COMPUTED_VALUE"""),"LIBERIA")</f>
        <v>LIBERIA</v>
      </c>
      <c r="B994" s="7">
        <f>IFERROR(__xludf.DUMMYFUNCTION("""COMPUTED_VALUE"""),7.0)</f>
        <v>7</v>
      </c>
      <c r="C994" s="7" t="str">
        <f>IFERROR(__xludf.DUMMYFUNCTION("""COMPUTED_VALUE"""),"B_04_14")</f>
        <v>B_04_14</v>
      </c>
      <c r="D994" s="7" t="str">
        <f>IFERROR(__xludf.DUMMYFUNCTION("""COMPUTED_VALUE"""),"Q59A")</f>
        <v>Q59A</v>
      </c>
      <c r="E994" s="7" t="str">
        <f>IFERROR(__xludf.DUMMYFUNCTION("""COMPUTED_VALUE"""),"Q59a. Who responsible: MPs do jobs")</f>
        <v>Q59a. Who responsible: MPs do jobs</v>
      </c>
      <c r="F994" s="7" t="str">
        <f>IFERROR(__xludf.DUMMYFUNCTION("""COMPUTED_VALUE"""),"Members of the House of Representatives
Senator")</f>
        <v>Members of the House of Representatives
Senator</v>
      </c>
    </row>
    <row r="995">
      <c r="A995" s="7" t="str">
        <f>IFERROR(__xludf.DUMMYFUNCTION("""COMPUTED_VALUE"""),"MADAGASCAR")</f>
        <v>MADAGASCAR</v>
      </c>
      <c r="B995" s="7">
        <f>IFERROR(__xludf.DUMMYFUNCTION("""COMPUTED_VALUE"""),7.0)</f>
        <v>7</v>
      </c>
      <c r="C995" s="7" t="str">
        <f>IFERROR(__xludf.DUMMYFUNCTION("""COMPUTED_VALUE"""),"B_04_14")</f>
        <v>B_04_14</v>
      </c>
      <c r="D995" s="7" t="str">
        <f>IFERROR(__xludf.DUMMYFUNCTION("""COMPUTED_VALUE"""),"Q59A")</f>
        <v>Q59A</v>
      </c>
      <c r="E995" s="7" t="str">
        <f>IFERROR(__xludf.DUMMYFUNCTION("""COMPUTED_VALUE"""),"Q59a. Who responsible: MPs do jobs")</f>
        <v>Q59a. Who responsible: MPs do jobs</v>
      </c>
      <c r="F995" s="7" t="str">
        <f>IFERROR(__xludf.DUMMYFUNCTION("""COMPUTED_VALUE"""),"Members of the National Assembly")</f>
        <v>Members of the National Assembly</v>
      </c>
    </row>
    <row r="996">
      <c r="A996" s="7" t="str">
        <f>IFERROR(__xludf.DUMMYFUNCTION("""COMPUTED_VALUE"""),"MALAWI")</f>
        <v>MALAWI</v>
      </c>
      <c r="B996" s="7">
        <f>IFERROR(__xludf.DUMMYFUNCTION("""COMPUTED_VALUE"""),7.0)</f>
        <v>7</v>
      </c>
      <c r="C996" s="7" t="str">
        <f>IFERROR(__xludf.DUMMYFUNCTION("""COMPUTED_VALUE"""),"B_04_14")</f>
        <v>B_04_14</v>
      </c>
      <c r="D996" s="7" t="str">
        <f>IFERROR(__xludf.DUMMYFUNCTION("""COMPUTED_VALUE"""),"Q59A")</f>
        <v>Q59A</v>
      </c>
      <c r="E996" s="7" t="str">
        <f>IFERROR(__xludf.DUMMYFUNCTION("""COMPUTED_VALUE"""),"Q59a. Who responsible: MPs do jobs")</f>
        <v>Q59a. Who responsible: MPs do jobs</v>
      </c>
      <c r="F996" s="7" t="str">
        <f>IFERROR(__xludf.DUMMYFUNCTION("""COMPUTED_VALUE"""),"Members of Parliament")</f>
        <v>Members of Parliament</v>
      </c>
    </row>
    <row r="997">
      <c r="A997" s="7" t="str">
        <f>IFERROR(__xludf.DUMMYFUNCTION("""COMPUTED_VALUE"""),"MALI")</f>
        <v>MALI</v>
      </c>
      <c r="B997" s="7">
        <f>IFERROR(__xludf.DUMMYFUNCTION("""COMPUTED_VALUE"""),7.0)</f>
        <v>7</v>
      </c>
      <c r="C997" s="7" t="str">
        <f>IFERROR(__xludf.DUMMYFUNCTION("""COMPUTED_VALUE"""),"B_04_14")</f>
        <v>B_04_14</v>
      </c>
      <c r="D997" s="7" t="str">
        <f>IFERROR(__xludf.DUMMYFUNCTION("""COMPUTED_VALUE"""),"Q59A")</f>
        <v>Q59A</v>
      </c>
      <c r="E997" s="7" t="str">
        <f>IFERROR(__xludf.DUMMYFUNCTION("""COMPUTED_VALUE"""),"Q59a. Who responsible: MPs do jobs")</f>
        <v>Q59a. Who responsible: MPs do jobs</v>
      </c>
      <c r="F997" s="7" t="str">
        <f>IFERROR(__xludf.DUMMYFUNCTION("""COMPUTED_VALUE"""),"Members of the National Assembly")</f>
        <v>Members of the National Assembly</v>
      </c>
    </row>
    <row r="998">
      <c r="A998" s="7" t="str">
        <f>IFERROR(__xludf.DUMMYFUNCTION("""COMPUTED_VALUE"""),"MAURITIUS")</f>
        <v>MAURITIUS</v>
      </c>
      <c r="B998" s="7">
        <f>IFERROR(__xludf.DUMMYFUNCTION("""COMPUTED_VALUE"""),7.0)</f>
        <v>7</v>
      </c>
      <c r="C998" s="7" t="str">
        <f>IFERROR(__xludf.DUMMYFUNCTION("""COMPUTED_VALUE"""),"B_04_14")</f>
        <v>B_04_14</v>
      </c>
      <c r="D998" s="7" t="str">
        <f>IFERROR(__xludf.DUMMYFUNCTION("""COMPUTED_VALUE"""),"Q59A")</f>
        <v>Q59A</v>
      </c>
      <c r="E998" s="7" t="str">
        <f>IFERROR(__xludf.DUMMYFUNCTION("""COMPUTED_VALUE"""),"Q59a. Who responsible: MPs do jobs")</f>
        <v>Q59a. Who responsible: MPs do jobs</v>
      </c>
      <c r="F998" s="7" t="str">
        <f>IFERROR(__xludf.DUMMYFUNCTION("""COMPUTED_VALUE"""),"Members of the National Assembly")</f>
        <v>Members of the National Assembly</v>
      </c>
    </row>
    <row r="999">
      <c r="A999" s="7" t="str">
        <f>IFERROR(__xludf.DUMMYFUNCTION("""COMPUTED_VALUE"""),"MOROCCO")</f>
        <v>MOROCCO</v>
      </c>
      <c r="B999" s="7">
        <f>IFERROR(__xludf.DUMMYFUNCTION("""COMPUTED_VALUE"""),7.0)</f>
        <v>7</v>
      </c>
      <c r="C999" s="7" t="str">
        <f>IFERROR(__xludf.DUMMYFUNCTION("""COMPUTED_VALUE"""),"B_04_14")</f>
        <v>B_04_14</v>
      </c>
      <c r="D999" s="7" t="str">
        <f>IFERROR(__xludf.DUMMYFUNCTION("""COMPUTED_VALUE"""),"Q59A")</f>
        <v>Q59A</v>
      </c>
      <c r="E999" s="7" t="str">
        <f>IFERROR(__xludf.DUMMYFUNCTION("""COMPUTED_VALUE"""),"Q59a. Who responsible: MPs do jobs")</f>
        <v>Q59a. Who responsible: MPs do jobs</v>
      </c>
      <c r="F999" s="7" t="str">
        <f>IFERROR(__xludf.DUMMYFUNCTION("""COMPUTED_VALUE"""),"Members of Parliament")</f>
        <v>Members of Parliament</v>
      </c>
    </row>
    <row r="1000">
      <c r="A1000" s="7" t="str">
        <f>IFERROR(__xludf.DUMMYFUNCTION("""COMPUTED_VALUE"""),"MOZAMBIQUE")</f>
        <v>MOZAMBIQUE</v>
      </c>
      <c r="B1000" s="7">
        <f>IFERROR(__xludf.DUMMYFUNCTION("""COMPUTED_VALUE"""),7.0)</f>
        <v>7</v>
      </c>
      <c r="C1000" s="7" t="str">
        <f>IFERROR(__xludf.DUMMYFUNCTION("""COMPUTED_VALUE"""),"B_04_14")</f>
        <v>B_04_14</v>
      </c>
      <c r="D1000" s="7" t="str">
        <f>IFERROR(__xludf.DUMMYFUNCTION("""COMPUTED_VALUE"""),"Q59A")</f>
        <v>Q59A</v>
      </c>
      <c r="E1000" s="7" t="str">
        <f>IFERROR(__xludf.DUMMYFUNCTION("""COMPUTED_VALUE"""),"Q59a. Who responsible: MPs do jobs")</f>
        <v>Q59a. Who responsible: MPs do jobs</v>
      </c>
      <c r="F1000" s="7" t="str">
        <f>IFERROR(__xludf.DUMMYFUNCTION("""COMPUTED_VALUE"""),"Members of Parliament")</f>
        <v>Members of Parliament</v>
      </c>
    </row>
    <row r="1001">
      <c r="A1001" s="7" t="str">
        <f>IFERROR(__xludf.DUMMYFUNCTION("""COMPUTED_VALUE"""),"NAMIBIA")</f>
        <v>NAMIBIA</v>
      </c>
      <c r="B1001" s="7">
        <f>IFERROR(__xludf.DUMMYFUNCTION("""COMPUTED_VALUE"""),7.0)</f>
        <v>7</v>
      </c>
      <c r="C1001" s="7" t="str">
        <f>IFERROR(__xludf.DUMMYFUNCTION("""COMPUTED_VALUE"""),"B_04_14")</f>
        <v>B_04_14</v>
      </c>
      <c r="D1001" s="7" t="str">
        <f>IFERROR(__xludf.DUMMYFUNCTION("""COMPUTED_VALUE"""),"Q59A")</f>
        <v>Q59A</v>
      </c>
      <c r="E1001" s="7" t="str">
        <f>IFERROR(__xludf.DUMMYFUNCTION("""COMPUTED_VALUE"""),"Q59a. Who responsible: MPs do jobs")</f>
        <v>Q59a. Who responsible: MPs do jobs</v>
      </c>
      <c r="F1001" s="7" t="str">
        <f>IFERROR(__xludf.DUMMYFUNCTION("""COMPUTED_VALUE"""),"Members of the National Assembly")</f>
        <v>Members of the National Assembly</v>
      </c>
    </row>
    <row r="1002">
      <c r="A1002" s="7" t="str">
        <f>IFERROR(__xludf.DUMMYFUNCTION("""COMPUTED_VALUE"""),"NIGER")</f>
        <v>NIGER</v>
      </c>
      <c r="B1002" s="7">
        <f>IFERROR(__xludf.DUMMYFUNCTION("""COMPUTED_VALUE"""),7.0)</f>
        <v>7</v>
      </c>
      <c r="C1002" s="7" t="str">
        <f>IFERROR(__xludf.DUMMYFUNCTION("""COMPUTED_VALUE"""),"B_04_14")</f>
        <v>B_04_14</v>
      </c>
      <c r="D1002" s="7" t="str">
        <f>IFERROR(__xludf.DUMMYFUNCTION("""COMPUTED_VALUE"""),"Q59A")</f>
        <v>Q59A</v>
      </c>
      <c r="E1002" s="7" t="str">
        <f>IFERROR(__xludf.DUMMYFUNCTION("""COMPUTED_VALUE"""),"Q59a. Who responsible: MPs do jobs")</f>
        <v>Q59a. Who responsible: MPs do jobs</v>
      </c>
      <c r="F1002" s="7" t="str">
        <f>IFERROR(__xludf.DUMMYFUNCTION("""COMPUTED_VALUE"""),"Members of the National Assembly")</f>
        <v>Members of the National Assembly</v>
      </c>
    </row>
    <row r="1003">
      <c r="A1003" s="7" t="str">
        <f>IFERROR(__xludf.DUMMYFUNCTION("""COMPUTED_VALUE"""),"NIGERIA")</f>
        <v>NIGERIA</v>
      </c>
      <c r="B1003" s="7">
        <f>IFERROR(__xludf.DUMMYFUNCTION("""COMPUTED_VALUE"""),7.0)</f>
        <v>7</v>
      </c>
      <c r="C1003" s="7" t="str">
        <f>IFERROR(__xludf.DUMMYFUNCTION("""COMPUTED_VALUE"""),"B_04_14")</f>
        <v>B_04_14</v>
      </c>
      <c r="D1003" s="7" t="str">
        <f>IFERROR(__xludf.DUMMYFUNCTION("""COMPUTED_VALUE"""),"Q59A")</f>
        <v>Q59A</v>
      </c>
      <c r="E1003" s="7" t="str">
        <f>IFERROR(__xludf.DUMMYFUNCTION("""COMPUTED_VALUE"""),"Q59a. Who responsible: MPs do jobs")</f>
        <v>Q59a. Who responsible: MPs do jobs</v>
      </c>
      <c r="F1003" s="7" t="str">
        <f>IFERROR(__xludf.DUMMYFUNCTION("""COMPUTED_VALUE"""),"Members of the National Assembly")</f>
        <v>Members of the National Assembly</v>
      </c>
    </row>
    <row r="1004">
      <c r="A1004" s="7" t="str">
        <f>IFERROR(__xludf.DUMMYFUNCTION("""COMPUTED_VALUE"""),"SAO TOME AND PRINCIPE")</f>
        <v>SAO TOME AND PRINCIPE</v>
      </c>
      <c r="B1004" s="7">
        <f>IFERROR(__xludf.DUMMYFUNCTION("""COMPUTED_VALUE"""),7.0)</f>
        <v>7</v>
      </c>
      <c r="C1004" s="7" t="str">
        <f>IFERROR(__xludf.DUMMYFUNCTION("""COMPUTED_VALUE"""),"B_04_14")</f>
        <v>B_04_14</v>
      </c>
      <c r="D1004" s="7" t="str">
        <f>IFERROR(__xludf.DUMMYFUNCTION("""COMPUTED_VALUE"""),"Q59A")</f>
        <v>Q59A</v>
      </c>
      <c r="E1004" s="7" t="str">
        <f>IFERROR(__xludf.DUMMYFUNCTION("""COMPUTED_VALUE"""),"Q59a. Who responsible: MPs do jobs")</f>
        <v>Q59a. Who responsible: MPs do jobs</v>
      </c>
      <c r="F1004" s="7" t="str">
        <f>IFERROR(__xludf.DUMMYFUNCTION("""COMPUTED_VALUE"""),"Members of the National Assembly")</f>
        <v>Members of the National Assembly</v>
      </c>
    </row>
    <row r="1005">
      <c r="A1005" s="7" t="str">
        <f>IFERROR(__xludf.DUMMYFUNCTION("""COMPUTED_VALUE"""),"SENEGAL")</f>
        <v>SENEGAL</v>
      </c>
      <c r="B1005" s="7">
        <f>IFERROR(__xludf.DUMMYFUNCTION("""COMPUTED_VALUE"""),7.0)</f>
        <v>7</v>
      </c>
      <c r="C1005" s="7" t="str">
        <f>IFERROR(__xludf.DUMMYFUNCTION("""COMPUTED_VALUE"""),"B_04_14")</f>
        <v>B_04_14</v>
      </c>
      <c r="D1005" s="7" t="str">
        <f>IFERROR(__xludf.DUMMYFUNCTION("""COMPUTED_VALUE"""),"Q59A")</f>
        <v>Q59A</v>
      </c>
      <c r="E1005" s="7" t="str">
        <f>IFERROR(__xludf.DUMMYFUNCTION("""COMPUTED_VALUE"""),"Q59a. Who responsible: MPs do jobs")</f>
        <v>Q59a. Who responsible: MPs do jobs</v>
      </c>
      <c r="F1005" s="7" t="str">
        <f>IFERROR(__xludf.DUMMYFUNCTION("""COMPUTED_VALUE"""),"Members of the National Assembly")</f>
        <v>Members of the National Assembly</v>
      </c>
    </row>
    <row r="1006">
      <c r="A1006" s="7" t="str">
        <f>IFERROR(__xludf.DUMMYFUNCTION("""COMPUTED_VALUE"""),"SIERRA LEONE")</f>
        <v>SIERRA LEONE</v>
      </c>
      <c r="B1006" s="7">
        <f>IFERROR(__xludf.DUMMYFUNCTION("""COMPUTED_VALUE"""),7.0)</f>
        <v>7</v>
      </c>
      <c r="C1006" s="7" t="str">
        <f>IFERROR(__xludf.DUMMYFUNCTION("""COMPUTED_VALUE"""),"B_04_14")</f>
        <v>B_04_14</v>
      </c>
      <c r="D1006" s="7" t="str">
        <f>IFERROR(__xludf.DUMMYFUNCTION("""COMPUTED_VALUE"""),"Q59A")</f>
        <v>Q59A</v>
      </c>
      <c r="E1006" s="7" t="str">
        <f>IFERROR(__xludf.DUMMYFUNCTION("""COMPUTED_VALUE"""),"Q59a. Who responsible: MPs do jobs")</f>
        <v>Q59a. Who responsible: MPs do jobs</v>
      </c>
      <c r="F1006" s="7" t="str">
        <f>IFERROR(__xludf.DUMMYFUNCTION("""COMPUTED_VALUE"""),"Members of Parliament")</f>
        <v>Members of Parliament</v>
      </c>
    </row>
    <row r="1007">
      <c r="A1007" s="7" t="str">
        <f>IFERROR(__xludf.DUMMYFUNCTION("""COMPUTED_VALUE"""),"SOUTH AFRICA")</f>
        <v>SOUTH AFRICA</v>
      </c>
      <c r="B1007" s="7">
        <f>IFERROR(__xludf.DUMMYFUNCTION("""COMPUTED_VALUE"""),7.0)</f>
        <v>7</v>
      </c>
      <c r="C1007" s="7" t="str">
        <f>IFERROR(__xludf.DUMMYFUNCTION("""COMPUTED_VALUE"""),"B_04_14")</f>
        <v>B_04_14</v>
      </c>
      <c r="D1007" s="7" t="str">
        <f>IFERROR(__xludf.DUMMYFUNCTION("""COMPUTED_VALUE"""),"Q59A")</f>
        <v>Q59A</v>
      </c>
      <c r="E1007" s="7" t="str">
        <f>IFERROR(__xludf.DUMMYFUNCTION("""COMPUTED_VALUE"""),"Q59a. Who responsible: MPs do jobs")</f>
        <v>Q59a. Who responsible: MPs do jobs</v>
      </c>
      <c r="F1007" s="7" t="str">
        <f>IFERROR(__xludf.DUMMYFUNCTION("""COMPUTED_VALUE"""),"Members of Parliament")</f>
        <v>Members of Parliament</v>
      </c>
    </row>
    <row r="1008">
      <c r="A1008" s="7" t="str">
        <f>IFERROR(__xludf.DUMMYFUNCTION("""COMPUTED_VALUE"""),"SUDAN")</f>
        <v>SUDAN</v>
      </c>
      <c r="B1008" s="7">
        <f>IFERROR(__xludf.DUMMYFUNCTION("""COMPUTED_VALUE"""),7.0)</f>
        <v>7</v>
      </c>
      <c r="C1008" s="7" t="str">
        <f>IFERROR(__xludf.DUMMYFUNCTION("""COMPUTED_VALUE"""),"B_04_14")</f>
        <v>B_04_14</v>
      </c>
      <c r="D1008" s="7" t="str">
        <f>IFERROR(__xludf.DUMMYFUNCTION("""COMPUTED_VALUE"""),"Q59A")</f>
        <v>Q59A</v>
      </c>
      <c r="E1008" s="7" t="str">
        <f>IFERROR(__xludf.DUMMYFUNCTION("""COMPUTED_VALUE"""),"Q59a. Who responsible: MPs do jobs")</f>
        <v>Q59a. Who responsible: MPs do jobs</v>
      </c>
      <c r="F1008" s="7" t="str">
        <f>IFERROR(__xludf.DUMMYFUNCTION("""COMPUTED_VALUE"""),"Members of National Assembly")</f>
        <v>Members of National Assembly</v>
      </c>
    </row>
    <row r="1009">
      <c r="A1009" s="7" t="str">
        <f>IFERROR(__xludf.DUMMYFUNCTION("""COMPUTED_VALUE"""),"TANZANIA")</f>
        <v>TANZANIA</v>
      </c>
      <c r="B1009" s="7">
        <f>IFERROR(__xludf.DUMMYFUNCTION("""COMPUTED_VALUE"""),7.0)</f>
        <v>7</v>
      </c>
      <c r="C1009" s="7" t="str">
        <f>IFERROR(__xludf.DUMMYFUNCTION("""COMPUTED_VALUE"""),"B_04_14")</f>
        <v>B_04_14</v>
      </c>
      <c r="D1009" s="7" t="str">
        <f>IFERROR(__xludf.DUMMYFUNCTION("""COMPUTED_VALUE"""),"Q59A")</f>
        <v>Q59A</v>
      </c>
      <c r="E1009" s="7" t="str">
        <f>IFERROR(__xludf.DUMMYFUNCTION("""COMPUTED_VALUE"""),"Q59a. Who responsible: MPs do jobs")</f>
        <v>Q59a. Who responsible: MPs do jobs</v>
      </c>
      <c r="F1009" s="7" t="str">
        <f>IFERROR(__xludf.DUMMYFUNCTION("""COMPUTED_VALUE"""),"Members of Parliament")</f>
        <v>Members of Parliament</v>
      </c>
    </row>
    <row r="1010">
      <c r="A1010" s="7" t="str">
        <f>IFERROR(__xludf.DUMMYFUNCTION("""COMPUTED_VALUE"""),"TOGO")</f>
        <v>TOGO</v>
      </c>
      <c r="B1010" s="7">
        <f>IFERROR(__xludf.DUMMYFUNCTION("""COMPUTED_VALUE"""),7.0)</f>
        <v>7</v>
      </c>
      <c r="C1010" s="7" t="str">
        <f>IFERROR(__xludf.DUMMYFUNCTION("""COMPUTED_VALUE"""),"B_04_14")</f>
        <v>B_04_14</v>
      </c>
      <c r="D1010" s="7" t="str">
        <f>IFERROR(__xludf.DUMMYFUNCTION("""COMPUTED_VALUE"""),"Q59A")</f>
        <v>Q59A</v>
      </c>
      <c r="E1010" s="7" t="str">
        <f>IFERROR(__xludf.DUMMYFUNCTION("""COMPUTED_VALUE"""),"Q59a. Who responsible: MPs do jobs")</f>
        <v>Q59a. Who responsible: MPs do jobs</v>
      </c>
      <c r="F1010" s="7" t="str">
        <f>IFERROR(__xludf.DUMMYFUNCTION("""COMPUTED_VALUE"""),"Members of National Assembly")</f>
        <v>Members of National Assembly</v>
      </c>
    </row>
    <row r="1011">
      <c r="A1011" s="7" t="str">
        <f>IFERROR(__xludf.DUMMYFUNCTION("""COMPUTED_VALUE"""),"TUNISIA")</f>
        <v>TUNISIA</v>
      </c>
      <c r="B1011" s="7">
        <f>IFERROR(__xludf.DUMMYFUNCTION("""COMPUTED_VALUE"""),7.0)</f>
        <v>7</v>
      </c>
      <c r="C1011" s="7" t="str">
        <f>IFERROR(__xludf.DUMMYFUNCTION("""COMPUTED_VALUE"""),"B_04_14")</f>
        <v>B_04_14</v>
      </c>
      <c r="D1011" s="7" t="str">
        <f>IFERROR(__xludf.DUMMYFUNCTION("""COMPUTED_VALUE"""),"Q59A")</f>
        <v>Q59A</v>
      </c>
      <c r="E1011" s="7" t="str">
        <f>IFERROR(__xludf.DUMMYFUNCTION("""COMPUTED_VALUE"""),"Q59a. Who responsible: MPs do jobs")</f>
        <v>Q59a. Who responsible: MPs do jobs</v>
      </c>
      <c r="F1011" s="7" t="str">
        <f>IFERROR(__xludf.DUMMYFUNCTION("""COMPUTED_VALUE"""),"Members of Parliament")</f>
        <v>Members of Parliament</v>
      </c>
    </row>
    <row r="1012">
      <c r="A1012" s="7" t="str">
        <f>IFERROR(__xludf.DUMMYFUNCTION("""COMPUTED_VALUE"""),"UGANDA")</f>
        <v>UGANDA</v>
      </c>
      <c r="B1012" s="7">
        <f>IFERROR(__xludf.DUMMYFUNCTION("""COMPUTED_VALUE"""),7.0)</f>
        <v>7</v>
      </c>
      <c r="C1012" s="7" t="str">
        <f>IFERROR(__xludf.DUMMYFUNCTION("""COMPUTED_VALUE"""),"B_04_14")</f>
        <v>B_04_14</v>
      </c>
      <c r="D1012" s="7" t="str">
        <f>IFERROR(__xludf.DUMMYFUNCTION("""COMPUTED_VALUE"""),"Q59A")</f>
        <v>Q59A</v>
      </c>
      <c r="E1012" s="7" t="str">
        <f>IFERROR(__xludf.DUMMYFUNCTION("""COMPUTED_VALUE"""),"Q59a. Who responsible: MPs do jobs")</f>
        <v>Q59a. Who responsible: MPs do jobs</v>
      </c>
      <c r="F1012" s="7" t="str">
        <f>IFERROR(__xludf.DUMMYFUNCTION("""COMPUTED_VALUE"""),"Members of Parliament")</f>
        <v>Members of Parliament</v>
      </c>
    </row>
    <row r="1013">
      <c r="A1013" s="7" t="str">
        <f>IFERROR(__xludf.DUMMYFUNCTION("""COMPUTED_VALUE"""),"ZAMBIA")</f>
        <v>ZAMBIA</v>
      </c>
      <c r="B1013" s="7">
        <f>IFERROR(__xludf.DUMMYFUNCTION("""COMPUTED_VALUE"""),7.0)</f>
        <v>7</v>
      </c>
      <c r="C1013" s="7" t="str">
        <f>IFERROR(__xludf.DUMMYFUNCTION("""COMPUTED_VALUE"""),"B_04_14")</f>
        <v>B_04_14</v>
      </c>
      <c r="D1013" s="7" t="str">
        <f>IFERROR(__xludf.DUMMYFUNCTION("""COMPUTED_VALUE"""),"Q59A")</f>
        <v>Q59A</v>
      </c>
      <c r="E1013" s="7" t="str">
        <f>IFERROR(__xludf.DUMMYFUNCTION("""COMPUTED_VALUE"""),"Q59a. Who responsible: MPs do jobs")</f>
        <v>Q59a. Who responsible: MPs do jobs</v>
      </c>
      <c r="F1013" s="7" t="str">
        <f>IFERROR(__xludf.DUMMYFUNCTION("""COMPUTED_VALUE"""),"Members of Parliament")</f>
        <v>Members of Parliament</v>
      </c>
    </row>
    <row r="1014">
      <c r="A1014" s="7" t="str">
        <f>IFERROR(__xludf.DUMMYFUNCTION("""COMPUTED_VALUE"""),"ZIMBABWE")</f>
        <v>ZIMBABWE</v>
      </c>
      <c r="B1014" s="7">
        <f>IFERROR(__xludf.DUMMYFUNCTION("""COMPUTED_VALUE"""),7.0)</f>
        <v>7</v>
      </c>
      <c r="C1014" s="7" t="str">
        <f>IFERROR(__xludf.DUMMYFUNCTION("""COMPUTED_VALUE"""),"B_04_14")</f>
        <v>B_04_14</v>
      </c>
      <c r="D1014" s="7" t="str">
        <f>IFERROR(__xludf.DUMMYFUNCTION("""COMPUTED_VALUE"""),"Q59A")</f>
        <v>Q59A</v>
      </c>
      <c r="E1014" s="7" t="str">
        <f>IFERROR(__xludf.DUMMYFUNCTION("""COMPUTED_VALUE"""),"Q59a. Who responsible: MPs do jobs")</f>
        <v>Q59a. Who responsible: MPs do jobs</v>
      </c>
      <c r="F1014" s="7" t="str">
        <f>IFERROR(__xludf.DUMMYFUNCTION("""COMPUTED_VALUE"""),"Members of Parliament")</f>
        <v>Members of Parliament</v>
      </c>
    </row>
    <row r="1015">
      <c r="A1015" s="7" t="str">
        <f>IFERROR(__xludf.DUMMYFUNCTION("""COMPUTED_VALUE"""),"BENIN")</f>
        <v>BENIN</v>
      </c>
      <c r="B1015" s="7">
        <f>IFERROR(__xludf.DUMMYFUNCTION("""COMPUTED_VALUE"""),7.0)</f>
        <v>7</v>
      </c>
      <c r="C1015" s="7" t="str">
        <f>IFERROR(__xludf.DUMMYFUNCTION("""COMPUTED_VALUE"""),"B_03_32")</f>
        <v>B_03_32</v>
      </c>
      <c r="D1015" s="7" t="str">
        <f>IFERROR(__xludf.DUMMYFUNCTION("""COMPUTED_VALUE"""),"Q59B")</f>
        <v>Q59B</v>
      </c>
      <c r="E1015" s="7" t="str">
        <f>IFERROR(__xludf.DUMMYFUNCTION("""COMPUTED_VALUE"""),"Q59b. Who responsible: local councillors do jobs")</f>
        <v>Q59b. Who responsible: local councillors do jobs</v>
      </c>
      <c r="F1015" s="7" t="str">
        <f>IFERROR(__xludf.DUMMYFUNCTION("""COMPUTED_VALUE"""),"Your municipal / communal councilor")</f>
        <v>Your municipal / communal councilor</v>
      </c>
    </row>
    <row r="1016">
      <c r="A1016" s="7" t="str">
        <f>IFERROR(__xludf.DUMMYFUNCTION("""COMPUTED_VALUE"""),"BOTSWANA")</f>
        <v>BOTSWANA</v>
      </c>
      <c r="B1016" s="7">
        <f>IFERROR(__xludf.DUMMYFUNCTION("""COMPUTED_VALUE"""),7.0)</f>
        <v>7</v>
      </c>
      <c r="C1016" s="7" t="str">
        <f>IFERROR(__xludf.DUMMYFUNCTION("""COMPUTED_VALUE"""),"B_03_32")</f>
        <v>B_03_32</v>
      </c>
      <c r="D1016" s="7" t="str">
        <f>IFERROR(__xludf.DUMMYFUNCTION("""COMPUTED_VALUE"""),"Q59B")</f>
        <v>Q59B</v>
      </c>
      <c r="E1016" s="7" t="str">
        <f>IFERROR(__xludf.DUMMYFUNCTION("""COMPUTED_VALUE"""),"Q59b. Who responsible: local councillors do jobs")</f>
        <v>Q59b. Who responsible: local councillors do jobs</v>
      </c>
      <c r="F1016" s="7" t="str">
        <f>IFERROR(__xludf.DUMMYFUNCTION("""COMPUTED_VALUE"""),"Local government councilor")</f>
        <v>Local government councilor</v>
      </c>
    </row>
    <row r="1017">
      <c r="A1017" s="7" t="str">
        <f>IFERROR(__xludf.DUMMYFUNCTION("""COMPUTED_VALUE"""),"BURKINA FASO")</f>
        <v>BURKINA FASO</v>
      </c>
      <c r="B1017" s="7">
        <f>IFERROR(__xludf.DUMMYFUNCTION("""COMPUTED_VALUE"""),7.0)</f>
        <v>7</v>
      </c>
      <c r="C1017" s="7" t="str">
        <f>IFERROR(__xludf.DUMMYFUNCTION("""COMPUTED_VALUE"""),"B_03_32")</f>
        <v>B_03_32</v>
      </c>
      <c r="D1017" s="7" t="str">
        <f>IFERROR(__xludf.DUMMYFUNCTION("""COMPUTED_VALUE"""),"Q59B")</f>
        <v>Q59B</v>
      </c>
      <c r="E1017" s="7" t="str">
        <f>IFERROR(__xludf.DUMMYFUNCTION("""COMPUTED_VALUE"""),"Q59b. Who responsible: local councillors do jobs")</f>
        <v>Q59b. Who responsible: local councillors do jobs</v>
      </c>
      <c r="F1017" s="7" t="str">
        <f>IFERROR(__xludf.DUMMYFUNCTION("""COMPUTED_VALUE"""),"The municipality (or local council)")</f>
        <v>The municipality (or local council)</v>
      </c>
    </row>
    <row r="1018">
      <c r="A1018" s="7" t="str">
        <f>IFERROR(__xludf.DUMMYFUNCTION("""COMPUTED_VALUE"""),"CABO VERDE")</f>
        <v>CABO VERDE</v>
      </c>
      <c r="B1018" s="7">
        <f>IFERROR(__xludf.DUMMYFUNCTION("""COMPUTED_VALUE"""),7.0)</f>
        <v>7</v>
      </c>
      <c r="C1018" s="7" t="str">
        <f>IFERROR(__xludf.DUMMYFUNCTION("""COMPUTED_VALUE"""),"B_03_32")</f>
        <v>B_03_32</v>
      </c>
      <c r="D1018" s="7" t="str">
        <f>IFERROR(__xludf.DUMMYFUNCTION("""COMPUTED_VALUE"""),"Q59B")</f>
        <v>Q59B</v>
      </c>
      <c r="E1018" s="7" t="str">
        <f>IFERROR(__xludf.DUMMYFUNCTION("""COMPUTED_VALUE"""),"Q59b. Who responsible: local councillors do jobs")</f>
        <v>Q59b. Who responsible: local councillors do jobs</v>
      </c>
      <c r="F1018" s="7" t="str">
        <f>IFERROR(__xludf.DUMMYFUNCTION("""COMPUTED_VALUE"""),"The Municipal Councilors")</f>
        <v>The Municipal Councilors</v>
      </c>
    </row>
    <row r="1019">
      <c r="A1019" s="7" t="str">
        <f>IFERROR(__xludf.DUMMYFUNCTION("""COMPUTED_VALUE"""),"CAMEROON")</f>
        <v>CAMEROON</v>
      </c>
      <c r="B1019" s="7">
        <f>IFERROR(__xludf.DUMMYFUNCTION("""COMPUTED_VALUE"""),7.0)</f>
        <v>7</v>
      </c>
      <c r="C1019" s="7" t="str">
        <f>IFERROR(__xludf.DUMMYFUNCTION("""COMPUTED_VALUE"""),"B_03_32")</f>
        <v>B_03_32</v>
      </c>
      <c r="D1019" s="7" t="str">
        <f>IFERROR(__xludf.DUMMYFUNCTION("""COMPUTED_VALUE"""),"Q59B")</f>
        <v>Q59B</v>
      </c>
      <c r="E1019" s="7" t="str">
        <f>IFERROR(__xludf.DUMMYFUNCTION("""COMPUTED_VALUE"""),"Q59b. Who responsible: local councillors do jobs")</f>
        <v>Q59b. Who responsible: local councillors do jobs</v>
      </c>
      <c r="F1019" s="7" t="str">
        <f>IFERROR(__xludf.DUMMYFUNCTION("""COMPUTED_VALUE"""),"Municipal/communal councilor")</f>
        <v>Municipal/communal councilor</v>
      </c>
    </row>
    <row r="1020">
      <c r="A1020" s="7" t="str">
        <f>IFERROR(__xludf.DUMMYFUNCTION("""COMPUTED_VALUE"""),"COTE D'IVOIRE")</f>
        <v>COTE D'IVOIRE</v>
      </c>
      <c r="B1020" s="7">
        <f>IFERROR(__xludf.DUMMYFUNCTION("""COMPUTED_VALUE"""),7.0)</f>
        <v>7</v>
      </c>
      <c r="C1020" s="7" t="str">
        <f>IFERROR(__xludf.DUMMYFUNCTION("""COMPUTED_VALUE"""),"B_03_32")</f>
        <v>B_03_32</v>
      </c>
      <c r="D1020" s="7" t="str">
        <f>IFERROR(__xludf.DUMMYFUNCTION("""COMPUTED_VALUE"""),"Q59B")</f>
        <v>Q59B</v>
      </c>
      <c r="E1020" s="7" t="str">
        <f>IFERROR(__xludf.DUMMYFUNCTION("""COMPUTED_VALUE"""),"Q59b. Who responsible: local councillors do jobs")</f>
        <v>Q59b. Who responsible: local councillors do jobs</v>
      </c>
      <c r="F1020" s="7" t="str">
        <f>IFERROR(__xludf.DUMMYFUNCTION("""COMPUTED_VALUE"""),"Municipal councilor")</f>
        <v>Municipal councilor</v>
      </c>
    </row>
    <row r="1021">
      <c r="A1021" s="7" t="str">
        <f>IFERROR(__xludf.DUMMYFUNCTION("""COMPUTED_VALUE"""),"ESWATINI")</f>
        <v>ESWATINI</v>
      </c>
      <c r="B1021" s="7">
        <f>IFERROR(__xludf.DUMMYFUNCTION("""COMPUTED_VALUE"""),7.0)</f>
        <v>7</v>
      </c>
      <c r="C1021" s="7" t="str">
        <f>IFERROR(__xludf.DUMMYFUNCTION("""COMPUTED_VALUE"""),"B_03_32")</f>
        <v>B_03_32</v>
      </c>
      <c r="D1021" s="7" t="str">
        <f>IFERROR(__xludf.DUMMYFUNCTION("""COMPUTED_VALUE"""),"Q59B")</f>
        <v>Q59B</v>
      </c>
      <c r="E1021" s="7" t="str">
        <f>IFERROR(__xludf.DUMMYFUNCTION("""COMPUTED_VALUE"""),"Q59b. Who responsible: local councillors do jobs")</f>
        <v>Q59b. Who responsible: local councillors do jobs</v>
      </c>
      <c r="F1021" s="7" t="str">
        <f>IFERROR(__xludf.DUMMYFUNCTION("""COMPUTED_VALUE"""),"local government councilors/ local inkhundla councilors")</f>
        <v>local government councilors/ local inkhundla councilors</v>
      </c>
    </row>
    <row r="1022">
      <c r="A1022" s="7" t="str">
        <f>IFERROR(__xludf.DUMMYFUNCTION("""COMPUTED_VALUE"""),"GABON")</f>
        <v>GABON</v>
      </c>
      <c r="B1022" s="7">
        <f>IFERROR(__xludf.DUMMYFUNCTION("""COMPUTED_VALUE"""),7.0)</f>
        <v>7</v>
      </c>
      <c r="C1022" s="7" t="str">
        <f>IFERROR(__xludf.DUMMYFUNCTION("""COMPUTED_VALUE"""),"B_03_32")</f>
        <v>B_03_32</v>
      </c>
      <c r="D1022" s="7" t="str">
        <f>IFERROR(__xludf.DUMMYFUNCTION("""COMPUTED_VALUE"""),"Q59B")</f>
        <v>Q59B</v>
      </c>
      <c r="E1022" s="7" t="str">
        <f>IFERROR(__xludf.DUMMYFUNCTION("""COMPUTED_VALUE"""),"Q59b. Who responsible: local councillors do jobs")</f>
        <v>Q59b. Who responsible: local councillors do jobs</v>
      </c>
      <c r="F1022" s="7" t="str">
        <f>IFERROR(__xludf.DUMMYFUNCTION("""COMPUTED_VALUE"""),"Municipal/Departmental councilors")</f>
        <v>Municipal/Departmental councilors</v>
      </c>
    </row>
    <row r="1023">
      <c r="A1023" s="7" t="str">
        <f>IFERROR(__xludf.DUMMYFUNCTION("""COMPUTED_VALUE"""),"GAMBIA")</f>
        <v>GAMBIA</v>
      </c>
      <c r="B1023" s="7">
        <f>IFERROR(__xludf.DUMMYFUNCTION("""COMPUTED_VALUE"""),7.0)</f>
        <v>7</v>
      </c>
      <c r="C1023" s="7" t="str">
        <f>IFERROR(__xludf.DUMMYFUNCTION("""COMPUTED_VALUE"""),"B_03_32")</f>
        <v>B_03_32</v>
      </c>
      <c r="D1023" s="7" t="str">
        <f>IFERROR(__xludf.DUMMYFUNCTION("""COMPUTED_VALUE"""),"Q59B")</f>
        <v>Q59B</v>
      </c>
      <c r="E1023" s="7" t="str">
        <f>IFERROR(__xludf.DUMMYFUNCTION("""COMPUTED_VALUE"""),"Q59b. Who responsible: local councillors do jobs")</f>
        <v>Q59b. Who responsible: local councillors do jobs</v>
      </c>
      <c r="F1023" s="7" t="str">
        <f>IFERROR(__xludf.DUMMYFUNCTION("""COMPUTED_VALUE"""),"Local Government Councillors")</f>
        <v>Local Government Councillors</v>
      </c>
    </row>
    <row r="1024">
      <c r="A1024" s="7" t="str">
        <f>IFERROR(__xludf.DUMMYFUNCTION("""COMPUTED_VALUE"""),"GHANA")</f>
        <v>GHANA</v>
      </c>
      <c r="B1024" s="7">
        <f>IFERROR(__xludf.DUMMYFUNCTION("""COMPUTED_VALUE"""),7.0)</f>
        <v>7</v>
      </c>
      <c r="C1024" s="7" t="str">
        <f>IFERROR(__xludf.DUMMYFUNCTION("""COMPUTED_VALUE"""),"B_03_32")</f>
        <v>B_03_32</v>
      </c>
      <c r="D1024" s="7" t="str">
        <f>IFERROR(__xludf.DUMMYFUNCTION("""COMPUTED_VALUE"""),"Q59B")</f>
        <v>Q59B</v>
      </c>
      <c r="E1024" s="7" t="str">
        <f>IFERROR(__xludf.DUMMYFUNCTION("""COMPUTED_VALUE"""),"Q59b. Who responsible: local councillors do jobs")</f>
        <v>Q59b. Who responsible: local councillors do jobs</v>
      </c>
      <c r="F1024" s="7" t="str">
        <f>IFERROR(__xludf.DUMMYFUNCTION("""COMPUTED_VALUE"""),"Assembly men and women")</f>
        <v>Assembly men and women</v>
      </c>
    </row>
    <row r="1025">
      <c r="A1025" s="7" t="str">
        <f>IFERROR(__xludf.DUMMYFUNCTION("""COMPUTED_VALUE"""),"GUINEA")</f>
        <v>GUINEA</v>
      </c>
      <c r="B1025" s="7">
        <f>IFERROR(__xludf.DUMMYFUNCTION("""COMPUTED_VALUE"""),7.0)</f>
        <v>7</v>
      </c>
      <c r="C1025" s="7" t="str">
        <f>IFERROR(__xludf.DUMMYFUNCTION("""COMPUTED_VALUE"""),"B_03_32")</f>
        <v>B_03_32</v>
      </c>
      <c r="D1025" s="7" t="str">
        <f>IFERROR(__xludf.DUMMYFUNCTION("""COMPUTED_VALUE"""),"Q59B")</f>
        <v>Q59B</v>
      </c>
      <c r="E1025" s="7" t="str">
        <f>IFERROR(__xludf.DUMMYFUNCTION("""COMPUTED_VALUE"""),"Q59b. Who responsible: local councillors do jobs")</f>
        <v>Q59b. Who responsible: local councillors do jobs</v>
      </c>
      <c r="F1025" s="7" t="str">
        <f>IFERROR(__xludf.DUMMYFUNCTION("""COMPUTED_VALUE"""),"Municipal/communal councillors")</f>
        <v>Municipal/communal councillors</v>
      </c>
    </row>
    <row r="1026">
      <c r="A1026" s="7" t="str">
        <f>IFERROR(__xludf.DUMMYFUNCTION("""COMPUTED_VALUE"""),"KENYA")</f>
        <v>KENYA</v>
      </c>
      <c r="B1026" s="7">
        <f>IFERROR(__xludf.DUMMYFUNCTION("""COMPUTED_VALUE"""),7.0)</f>
        <v>7</v>
      </c>
      <c r="C1026" s="7" t="str">
        <f>IFERROR(__xludf.DUMMYFUNCTION("""COMPUTED_VALUE"""),"B_03_32")</f>
        <v>B_03_32</v>
      </c>
      <c r="D1026" s="7" t="str">
        <f>IFERROR(__xludf.DUMMYFUNCTION("""COMPUTED_VALUE"""),"Q59B")</f>
        <v>Q59B</v>
      </c>
      <c r="E1026" s="7" t="str">
        <f>IFERROR(__xludf.DUMMYFUNCTION("""COMPUTED_VALUE"""),"Q59b. Who responsible: local councillors do jobs")</f>
        <v>Q59b. Who responsible: local councillors do jobs</v>
      </c>
      <c r="F1026" s="7" t="str">
        <f>IFERROR(__xludf.DUMMYFUNCTION("""COMPUTED_VALUE"""),"Members of County Assembly")</f>
        <v>Members of County Assembly</v>
      </c>
    </row>
    <row r="1027">
      <c r="A1027" s="7" t="str">
        <f>IFERROR(__xludf.DUMMYFUNCTION("""COMPUTED_VALUE"""),"LESOTHO")</f>
        <v>LESOTHO</v>
      </c>
      <c r="B1027" s="7">
        <f>IFERROR(__xludf.DUMMYFUNCTION("""COMPUTED_VALUE"""),7.0)</f>
        <v>7</v>
      </c>
      <c r="C1027" s="7" t="str">
        <f>IFERROR(__xludf.DUMMYFUNCTION("""COMPUTED_VALUE"""),"B_03_32")</f>
        <v>B_03_32</v>
      </c>
      <c r="D1027" s="7" t="str">
        <f>IFERROR(__xludf.DUMMYFUNCTION("""COMPUTED_VALUE"""),"Q59B")</f>
        <v>Q59B</v>
      </c>
      <c r="E1027" s="7" t="str">
        <f>IFERROR(__xludf.DUMMYFUNCTION("""COMPUTED_VALUE"""),"Q59b. Who responsible: local councillors do jobs")</f>
        <v>Q59b. Who responsible: local councillors do jobs</v>
      </c>
      <c r="F1027" s="7" t="str">
        <f>IFERROR(__xludf.DUMMYFUNCTION("""COMPUTED_VALUE"""),"Community councillors")</f>
        <v>Community councillors</v>
      </c>
    </row>
    <row r="1028">
      <c r="A1028" s="7" t="str">
        <f>IFERROR(__xludf.DUMMYFUNCTION("""COMPUTED_VALUE"""),"LIBERIA")</f>
        <v>LIBERIA</v>
      </c>
      <c r="B1028" s="7">
        <f>IFERROR(__xludf.DUMMYFUNCTION("""COMPUTED_VALUE"""),7.0)</f>
        <v>7</v>
      </c>
      <c r="C1028" s="7" t="str">
        <f>IFERROR(__xludf.DUMMYFUNCTION("""COMPUTED_VALUE"""),"B_03_32")</f>
        <v>B_03_32</v>
      </c>
      <c r="D1028" s="7" t="str">
        <f>IFERROR(__xludf.DUMMYFUNCTION("""COMPUTED_VALUE"""),"Q59B")</f>
        <v>Q59B</v>
      </c>
      <c r="E1028" s="7" t="str">
        <f>IFERROR(__xludf.DUMMYFUNCTION("""COMPUTED_VALUE"""),"Q59b. Who responsible: local councillors do jobs")</f>
        <v>Q59b. Who responsible: local councillors do jobs</v>
      </c>
      <c r="F1028" s="7" t="str">
        <f>IFERROR(__xludf.DUMMYFUNCTION("""COMPUTED_VALUE"""),"Members of local authority council")</f>
        <v>Members of local authority council</v>
      </c>
    </row>
    <row r="1029">
      <c r="A1029" s="7" t="str">
        <f>IFERROR(__xludf.DUMMYFUNCTION("""COMPUTED_VALUE"""),"MADAGASCAR")</f>
        <v>MADAGASCAR</v>
      </c>
      <c r="B1029" s="7">
        <f>IFERROR(__xludf.DUMMYFUNCTION("""COMPUTED_VALUE"""),7.0)</f>
        <v>7</v>
      </c>
      <c r="C1029" s="7" t="str">
        <f>IFERROR(__xludf.DUMMYFUNCTION("""COMPUTED_VALUE"""),"B_03_32")</f>
        <v>B_03_32</v>
      </c>
      <c r="D1029" s="7" t="str">
        <f>IFERROR(__xludf.DUMMYFUNCTION("""COMPUTED_VALUE"""),"Q59B")</f>
        <v>Q59B</v>
      </c>
      <c r="E1029" s="7" t="str">
        <f>IFERROR(__xludf.DUMMYFUNCTION("""COMPUTED_VALUE"""),"Q59b. Who responsible: local councillors do jobs")</f>
        <v>Q59b. Who responsible: local councillors do jobs</v>
      </c>
      <c r="F1029" s="7" t="str">
        <f>IFERROR(__xludf.DUMMYFUNCTION("""COMPUTED_VALUE"""),"Municipal/communal councilors")</f>
        <v>Municipal/communal councilors</v>
      </c>
    </row>
    <row r="1030">
      <c r="A1030" s="7" t="str">
        <f>IFERROR(__xludf.DUMMYFUNCTION("""COMPUTED_VALUE"""),"MALAWI")</f>
        <v>MALAWI</v>
      </c>
      <c r="B1030" s="7">
        <f>IFERROR(__xludf.DUMMYFUNCTION("""COMPUTED_VALUE"""),7.0)</f>
        <v>7</v>
      </c>
      <c r="C1030" s="7" t="str">
        <f>IFERROR(__xludf.DUMMYFUNCTION("""COMPUTED_VALUE"""),"B_03_32")</f>
        <v>B_03_32</v>
      </c>
      <c r="D1030" s="7" t="str">
        <f>IFERROR(__xludf.DUMMYFUNCTION("""COMPUTED_VALUE"""),"Q59B")</f>
        <v>Q59B</v>
      </c>
      <c r="E1030" s="7" t="str">
        <f>IFERROR(__xludf.DUMMYFUNCTION("""COMPUTED_VALUE"""),"Q59b. Who responsible: local councillors do jobs")</f>
        <v>Q59b. Who responsible: local councillors do jobs</v>
      </c>
      <c r="F1030" s="7" t="str">
        <f>IFERROR(__xludf.DUMMYFUNCTION("""COMPUTED_VALUE"""),"Local government councilors")</f>
        <v>Local government councilors</v>
      </c>
    </row>
    <row r="1031">
      <c r="A1031" s="7" t="str">
        <f>IFERROR(__xludf.DUMMYFUNCTION("""COMPUTED_VALUE"""),"MALI")</f>
        <v>MALI</v>
      </c>
      <c r="B1031" s="7">
        <f>IFERROR(__xludf.DUMMYFUNCTION("""COMPUTED_VALUE"""),7.0)</f>
        <v>7</v>
      </c>
      <c r="C1031" s="7" t="str">
        <f>IFERROR(__xludf.DUMMYFUNCTION("""COMPUTED_VALUE"""),"B_03_32")</f>
        <v>B_03_32</v>
      </c>
      <c r="D1031" s="7" t="str">
        <f>IFERROR(__xludf.DUMMYFUNCTION("""COMPUTED_VALUE"""),"Q59B")</f>
        <v>Q59B</v>
      </c>
      <c r="E1031" s="7" t="str">
        <f>IFERROR(__xludf.DUMMYFUNCTION("""COMPUTED_VALUE"""),"Q59b. Who responsible: local councillors do jobs")</f>
        <v>Q59b. Who responsible: local councillors do jobs</v>
      </c>
      <c r="F1031" s="7" t="str">
        <f>IFERROR(__xludf.DUMMYFUNCTION("""COMPUTED_VALUE"""),"Local councilors")</f>
        <v>Local councilors</v>
      </c>
    </row>
    <row r="1032">
      <c r="A1032" s="7" t="str">
        <f>IFERROR(__xludf.DUMMYFUNCTION("""COMPUTED_VALUE"""),"MAURITIUS")</f>
        <v>MAURITIUS</v>
      </c>
      <c r="B1032" s="7">
        <f>IFERROR(__xludf.DUMMYFUNCTION("""COMPUTED_VALUE"""),7.0)</f>
        <v>7</v>
      </c>
      <c r="C1032" s="7" t="str">
        <f>IFERROR(__xludf.DUMMYFUNCTION("""COMPUTED_VALUE"""),"B_03_32")</f>
        <v>B_03_32</v>
      </c>
      <c r="D1032" s="7" t="str">
        <f>IFERROR(__xludf.DUMMYFUNCTION("""COMPUTED_VALUE"""),"Q59B")</f>
        <v>Q59B</v>
      </c>
      <c r="E1032" s="7" t="str">
        <f>IFERROR(__xludf.DUMMYFUNCTION("""COMPUTED_VALUE"""),"Q59b. Who responsible: local councillors do jobs")</f>
        <v>Q59b. Who responsible: local councillors do jobs</v>
      </c>
      <c r="F1032" s="7" t="str">
        <f>IFERROR(__xludf.DUMMYFUNCTION("""COMPUTED_VALUE"""),"Municipal/district councilor")</f>
        <v>Municipal/district councilor</v>
      </c>
    </row>
    <row r="1033">
      <c r="A1033" s="7" t="str">
        <f>IFERROR(__xludf.DUMMYFUNCTION("""COMPUTED_VALUE"""),"MOROCCO")</f>
        <v>MOROCCO</v>
      </c>
      <c r="B1033" s="7">
        <f>IFERROR(__xludf.DUMMYFUNCTION("""COMPUTED_VALUE"""),7.0)</f>
        <v>7</v>
      </c>
      <c r="C1033" s="7" t="str">
        <f>IFERROR(__xludf.DUMMYFUNCTION("""COMPUTED_VALUE"""),"B_03_32")</f>
        <v>B_03_32</v>
      </c>
      <c r="D1033" s="7" t="str">
        <f>IFERROR(__xludf.DUMMYFUNCTION("""COMPUTED_VALUE"""),"Q59B")</f>
        <v>Q59B</v>
      </c>
      <c r="E1033" s="7" t="str">
        <f>IFERROR(__xludf.DUMMYFUNCTION("""COMPUTED_VALUE"""),"Q59b. Who responsible: local councillors do jobs")</f>
        <v>Q59b. Who responsible: local councillors do jobs</v>
      </c>
      <c r="F1033" s="7" t="str">
        <f>IFERROR(__xludf.DUMMYFUNCTION("""COMPUTED_VALUE"""),"Local government councilors")</f>
        <v>Local government councilors</v>
      </c>
    </row>
    <row r="1034">
      <c r="A1034" s="7" t="str">
        <f>IFERROR(__xludf.DUMMYFUNCTION("""COMPUTED_VALUE"""),"MOZAMBIQUE")</f>
        <v>MOZAMBIQUE</v>
      </c>
      <c r="B1034" s="7">
        <f>IFERROR(__xludf.DUMMYFUNCTION("""COMPUTED_VALUE"""),7.0)</f>
        <v>7</v>
      </c>
      <c r="C1034" s="7" t="str">
        <f>IFERROR(__xludf.DUMMYFUNCTION("""COMPUTED_VALUE"""),"B_03_32")</f>
        <v>B_03_32</v>
      </c>
      <c r="D1034" s="7" t="str">
        <f>IFERROR(__xludf.DUMMYFUNCTION("""COMPUTED_VALUE"""),"Q59B")</f>
        <v>Q59B</v>
      </c>
      <c r="E1034" s="7" t="str">
        <f>IFERROR(__xludf.DUMMYFUNCTION("""COMPUTED_VALUE"""),"Q59b. Who responsible: local councillors do jobs")</f>
        <v>Q59b. Who responsible: local councillors do jobs</v>
      </c>
      <c r="F1034" s="7" t="str">
        <f>IFERROR(__xludf.DUMMYFUNCTION("""COMPUTED_VALUE"""),"Members of the Municipal Assembly
Members of the Provincial Assembly")</f>
        <v>Members of the Municipal Assembly
Members of the Provincial Assembly</v>
      </c>
    </row>
    <row r="1035">
      <c r="A1035" s="7" t="str">
        <f>IFERROR(__xludf.DUMMYFUNCTION("""COMPUTED_VALUE"""),"NAMIBIA")</f>
        <v>NAMIBIA</v>
      </c>
      <c r="B1035" s="7">
        <f>IFERROR(__xludf.DUMMYFUNCTION("""COMPUTED_VALUE"""),7.0)</f>
        <v>7</v>
      </c>
      <c r="C1035" s="7" t="str">
        <f>IFERROR(__xludf.DUMMYFUNCTION("""COMPUTED_VALUE"""),"B_03_32")</f>
        <v>B_03_32</v>
      </c>
      <c r="D1035" s="7" t="str">
        <f>IFERROR(__xludf.DUMMYFUNCTION("""COMPUTED_VALUE"""),"Q59B")</f>
        <v>Q59B</v>
      </c>
      <c r="E1035" s="7" t="str">
        <f>IFERROR(__xludf.DUMMYFUNCTION("""COMPUTED_VALUE"""),"Q59b. Who responsible: local councillors do jobs")</f>
        <v>Q59b. Who responsible: local councillors do jobs</v>
      </c>
      <c r="F1035" s="7" t="str">
        <f>IFERROR(__xludf.DUMMYFUNCTION("""COMPUTED_VALUE"""),"Local Authority Councilors
Regional Councilors
Regional Governors")</f>
        <v>Local Authority Councilors
Regional Councilors
Regional Governors</v>
      </c>
    </row>
    <row r="1036">
      <c r="A1036" s="7" t="str">
        <f>IFERROR(__xludf.DUMMYFUNCTION("""COMPUTED_VALUE"""),"NIGER")</f>
        <v>NIGER</v>
      </c>
      <c r="B1036" s="7">
        <f>IFERROR(__xludf.DUMMYFUNCTION("""COMPUTED_VALUE"""),7.0)</f>
        <v>7</v>
      </c>
      <c r="C1036" s="7" t="str">
        <f>IFERROR(__xludf.DUMMYFUNCTION("""COMPUTED_VALUE"""),"B_03_32")</f>
        <v>B_03_32</v>
      </c>
      <c r="D1036" s="7" t="str">
        <f>IFERROR(__xludf.DUMMYFUNCTION("""COMPUTED_VALUE"""),"Q59B")</f>
        <v>Q59B</v>
      </c>
      <c r="E1036" s="7" t="str">
        <f>IFERROR(__xludf.DUMMYFUNCTION("""COMPUTED_VALUE"""),"Q59b. Who responsible: local councillors do jobs")</f>
        <v>Q59b. Who responsible: local councillors do jobs</v>
      </c>
      <c r="F1036" s="7" t="str">
        <f>IFERROR(__xludf.DUMMYFUNCTION("""COMPUTED_VALUE"""),"The municipal or communal councilors")</f>
        <v>The municipal or communal councilors</v>
      </c>
    </row>
    <row r="1037">
      <c r="A1037" s="7" t="str">
        <f>IFERROR(__xludf.DUMMYFUNCTION("""COMPUTED_VALUE"""),"NIGERIA")</f>
        <v>NIGERIA</v>
      </c>
      <c r="B1037" s="7">
        <f>IFERROR(__xludf.DUMMYFUNCTION("""COMPUTED_VALUE"""),7.0)</f>
        <v>7</v>
      </c>
      <c r="C1037" s="7" t="str">
        <f>IFERROR(__xludf.DUMMYFUNCTION("""COMPUTED_VALUE"""),"B_03_32")</f>
        <v>B_03_32</v>
      </c>
      <c r="D1037" s="7" t="str">
        <f>IFERROR(__xludf.DUMMYFUNCTION("""COMPUTED_VALUE"""),"Q59B")</f>
        <v>Q59B</v>
      </c>
      <c r="E1037" s="7" t="str">
        <f>IFERROR(__xludf.DUMMYFUNCTION("""COMPUTED_VALUE"""),"Q59b. Who responsible: local councillors do jobs")</f>
        <v>Q59b. Who responsible: local councillors do jobs</v>
      </c>
      <c r="F1037" s="7" t="str">
        <f>IFERROR(__xludf.DUMMYFUNCTION("""COMPUTED_VALUE"""),"Local government councilors")</f>
        <v>Local government councilors</v>
      </c>
    </row>
    <row r="1038">
      <c r="A1038" s="7" t="str">
        <f>IFERROR(__xludf.DUMMYFUNCTION("""COMPUTED_VALUE"""),"SAO TOME AND PRINCIPE")</f>
        <v>SAO TOME AND PRINCIPE</v>
      </c>
      <c r="B1038" s="7">
        <f>IFERROR(__xludf.DUMMYFUNCTION("""COMPUTED_VALUE"""),7.0)</f>
        <v>7</v>
      </c>
      <c r="C1038" s="7" t="str">
        <f>IFERROR(__xludf.DUMMYFUNCTION("""COMPUTED_VALUE"""),"B_03_32")</f>
        <v>B_03_32</v>
      </c>
      <c r="D1038" s="7" t="str">
        <f>IFERROR(__xludf.DUMMYFUNCTION("""COMPUTED_VALUE"""),"Q59B")</f>
        <v>Q59B</v>
      </c>
      <c r="E1038" s="7" t="str">
        <f>IFERROR(__xludf.DUMMYFUNCTION("""COMPUTED_VALUE"""),"Q59b. Who responsible: local councillors do jobs")</f>
        <v>Q59b. Who responsible: local councillors do jobs</v>
      </c>
      <c r="F1038" s="7" t="str">
        <f>IFERROR(__xludf.DUMMYFUNCTION("""COMPUTED_VALUE"""),"The District Executive (President and councilors)")</f>
        <v>The District Executive (President and councilors)</v>
      </c>
    </row>
    <row r="1039">
      <c r="A1039" s="7" t="str">
        <f>IFERROR(__xludf.DUMMYFUNCTION("""COMPUTED_VALUE"""),"SENEGAL")</f>
        <v>SENEGAL</v>
      </c>
      <c r="B1039" s="7">
        <f>IFERROR(__xludf.DUMMYFUNCTION("""COMPUTED_VALUE"""),7.0)</f>
        <v>7</v>
      </c>
      <c r="C1039" s="7" t="str">
        <f>IFERROR(__xludf.DUMMYFUNCTION("""COMPUTED_VALUE"""),"B_03_32")</f>
        <v>B_03_32</v>
      </c>
      <c r="D1039" s="7" t="str">
        <f>IFERROR(__xludf.DUMMYFUNCTION("""COMPUTED_VALUE"""),"Q59B")</f>
        <v>Q59B</v>
      </c>
      <c r="E1039" s="7" t="str">
        <f>IFERROR(__xludf.DUMMYFUNCTION("""COMPUTED_VALUE"""),"Q59b. Who responsible: local councillors do jobs")</f>
        <v>Q59b. Who responsible: local councillors do jobs</v>
      </c>
      <c r="F1039" s="7" t="str">
        <f>IFERROR(__xludf.DUMMYFUNCTION("""COMPUTED_VALUE"""),"Municipal/communal councillors")</f>
        <v>Municipal/communal councillors</v>
      </c>
    </row>
    <row r="1040">
      <c r="A1040" s="7" t="str">
        <f>IFERROR(__xludf.DUMMYFUNCTION("""COMPUTED_VALUE"""),"SIERRA LEONE")</f>
        <v>SIERRA LEONE</v>
      </c>
      <c r="B1040" s="7">
        <f>IFERROR(__xludf.DUMMYFUNCTION("""COMPUTED_VALUE"""),7.0)</f>
        <v>7</v>
      </c>
      <c r="C1040" s="7" t="str">
        <f>IFERROR(__xludf.DUMMYFUNCTION("""COMPUTED_VALUE"""),"B_03_32")</f>
        <v>B_03_32</v>
      </c>
      <c r="D1040" s="7" t="str">
        <f>IFERROR(__xludf.DUMMYFUNCTION("""COMPUTED_VALUE"""),"Q59B")</f>
        <v>Q59B</v>
      </c>
      <c r="E1040" s="7" t="str">
        <f>IFERROR(__xludf.DUMMYFUNCTION("""COMPUTED_VALUE"""),"Q59b. Who responsible: local councillors do jobs")</f>
        <v>Q59b. Who responsible: local councillors do jobs</v>
      </c>
      <c r="F1040" s="7" t="str">
        <f>IFERROR(__xludf.DUMMYFUNCTION("""COMPUTED_VALUE"""),"Local government councillor")</f>
        <v>Local government councillor</v>
      </c>
    </row>
    <row r="1041">
      <c r="A1041" s="7" t="str">
        <f>IFERROR(__xludf.DUMMYFUNCTION("""COMPUTED_VALUE"""),"SOUTH AFRICA")</f>
        <v>SOUTH AFRICA</v>
      </c>
      <c r="B1041" s="7">
        <f>IFERROR(__xludf.DUMMYFUNCTION("""COMPUTED_VALUE"""),7.0)</f>
        <v>7</v>
      </c>
      <c r="C1041" s="7" t="str">
        <f>IFERROR(__xludf.DUMMYFUNCTION("""COMPUTED_VALUE"""),"B_03_32")</f>
        <v>B_03_32</v>
      </c>
      <c r="D1041" s="7" t="str">
        <f>IFERROR(__xludf.DUMMYFUNCTION("""COMPUTED_VALUE"""),"Q59B")</f>
        <v>Q59B</v>
      </c>
      <c r="E1041" s="7" t="str">
        <f>IFERROR(__xludf.DUMMYFUNCTION("""COMPUTED_VALUE"""),"Q59b. Who responsible: local councillors do jobs")</f>
        <v>Q59b. Who responsible: local councillors do jobs</v>
      </c>
      <c r="F1041" s="7" t="str">
        <f>IFERROR(__xludf.DUMMYFUNCTION("""COMPUTED_VALUE"""),"Local government councillor")</f>
        <v>Local government councillor</v>
      </c>
    </row>
    <row r="1042">
      <c r="A1042" s="7" t="str">
        <f>IFERROR(__xludf.DUMMYFUNCTION("""COMPUTED_VALUE"""),"SUDAN")</f>
        <v>SUDAN</v>
      </c>
      <c r="B1042" s="7">
        <f>IFERROR(__xludf.DUMMYFUNCTION("""COMPUTED_VALUE"""),7.0)</f>
        <v>7</v>
      </c>
      <c r="C1042" s="7" t="str">
        <f>IFERROR(__xludf.DUMMYFUNCTION("""COMPUTED_VALUE"""),"B_03_32")</f>
        <v>B_03_32</v>
      </c>
      <c r="D1042" s="7" t="str">
        <f>IFERROR(__xludf.DUMMYFUNCTION("""COMPUTED_VALUE"""),"Q59B")</f>
        <v>Q59B</v>
      </c>
      <c r="E1042" s="7" t="str">
        <f>IFERROR(__xludf.DUMMYFUNCTION("""COMPUTED_VALUE"""),"Q59b. Who responsible: local councillors do jobs")</f>
        <v>Q59b. Who responsible: local councillors do jobs</v>
      </c>
      <c r="F1042" s="7" t="str">
        <f>IFERROR(__xludf.DUMMYFUNCTION("""COMPUTED_VALUE"""),"Local government councillor")</f>
        <v>Local government councillor</v>
      </c>
    </row>
    <row r="1043">
      <c r="A1043" s="7" t="str">
        <f>IFERROR(__xludf.DUMMYFUNCTION("""COMPUTED_VALUE"""),"TANZANIA")</f>
        <v>TANZANIA</v>
      </c>
      <c r="B1043" s="7">
        <f>IFERROR(__xludf.DUMMYFUNCTION("""COMPUTED_VALUE"""),7.0)</f>
        <v>7</v>
      </c>
      <c r="C1043" s="7" t="str">
        <f>IFERROR(__xludf.DUMMYFUNCTION("""COMPUTED_VALUE"""),"B_03_32")</f>
        <v>B_03_32</v>
      </c>
      <c r="D1043" s="7" t="str">
        <f>IFERROR(__xludf.DUMMYFUNCTION("""COMPUTED_VALUE"""),"Q59B")</f>
        <v>Q59B</v>
      </c>
      <c r="E1043" s="7" t="str">
        <f>IFERROR(__xludf.DUMMYFUNCTION("""COMPUTED_VALUE"""),"Q59b. Who responsible: local councillors do jobs")</f>
        <v>Q59b. Who responsible: local councillors do jobs</v>
      </c>
      <c r="F1043" s="7" t="str">
        <f>IFERROR(__xludf.DUMMYFUNCTION("""COMPUTED_VALUE"""),"Local government councillor")</f>
        <v>Local government councillor</v>
      </c>
    </row>
    <row r="1044">
      <c r="A1044" s="7" t="str">
        <f>IFERROR(__xludf.DUMMYFUNCTION("""COMPUTED_VALUE"""),"TOGO")</f>
        <v>TOGO</v>
      </c>
      <c r="B1044" s="7">
        <f>IFERROR(__xludf.DUMMYFUNCTION("""COMPUTED_VALUE"""),7.0)</f>
        <v>7</v>
      </c>
      <c r="C1044" s="7" t="str">
        <f>IFERROR(__xludf.DUMMYFUNCTION("""COMPUTED_VALUE"""),"B_03_32")</f>
        <v>B_03_32</v>
      </c>
      <c r="D1044" s="7" t="str">
        <f>IFERROR(__xludf.DUMMYFUNCTION("""COMPUTED_VALUE"""),"Q59B")</f>
        <v>Q59B</v>
      </c>
      <c r="E1044" s="7" t="str">
        <f>IFERROR(__xludf.DUMMYFUNCTION("""COMPUTED_VALUE"""),"Q59b. Who responsible: local councillors do jobs")</f>
        <v>Q59b. Who responsible: local councillors do jobs</v>
      </c>
      <c r="F1044" s="7" t="str">
        <f>IFERROR(__xludf.DUMMYFUNCTION("""COMPUTED_VALUE"""),"Your Prefectoral / Municipal Councillor")</f>
        <v>Your Prefectoral / Municipal Councillor</v>
      </c>
    </row>
    <row r="1045">
      <c r="A1045" s="7" t="str">
        <f>IFERROR(__xludf.DUMMYFUNCTION("""COMPUTED_VALUE"""),"TUNISIA")</f>
        <v>TUNISIA</v>
      </c>
      <c r="B1045" s="7">
        <f>IFERROR(__xludf.DUMMYFUNCTION("""COMPUTED_VALUE"""),7.0)</f>
        <v>7</v>
      </c>
      <c r="C1045" s="7" t="str">
        <f>IFERROR(__xludf.DUMMYFUNCTION("""COMPUTED_VALUE"""),"B_03_32")</f>
        <v>B_03_32</v>
      </c>
      <c r="D1045" s="7" t="str">
        <f>IFERROR(__xludf.DUMMYFUNCTION("""COMPUTED_VALUE"""),"Q59B")</f>
        <v>Q59B</v>
      </c>
      <c r="E1045" s="7" t="str">
        <f>IFERROR(__xludf.DUMMYFUNCTION("""COMPUTED_VALUE"""),"Q59b. Who responsible: local councillors do jobs")</f>
        <v>Q59b. Who responsible: local councillors do jobs</v>
      </c>
      <c r="F1045" s="7" t="str">
        <f>IFERROR(__xludf.DUMMYFUNCTION("""COMPUTED_VALUE"""),"Local government councillor")</f>
        <v>Local government councillor</v>
      </c>
    </row>
    <row r="1046">
      <c r="A1046" s="7" t="str">
        <f>IFERROR(__xludf.DUMMYFUNCTION("""COMPUTED_VALUE"""),"UGANDA")</f>
        <v>UGANDA</v>
      </c>
      <c r="B1046" s="7">
        <f>IFERROR(__xludf.DUMMYFUNCTION("""COMPUTED_VALUE"""),7.0)</f>
        <v>7</v>
      </c>
      <c r="C1046" s="7" t="str">
        <f>IFERROR(__xludf.DUMMYFUNCTION("""COMPUTED_VALUE"""),"B_03_32")</f>
        <v>B_03_32</v>
      </c>
      <c r="D1046" s="7" t="str">
        <f>IFERROR(__xludf.DUMMYFUNCTION("""COMPUTED_VALUE"""),"Q59B")</f>
        <v>Q59B</v>
      </c>
      <c r="E1046" s="7" t="str">
        <f>IFERROR(__xludf.DUMMYFUNCTION("""COMPUTED_VALUE"""),"Q59b. Who responsible: local councillors do jobs")</f>
        <v>Q59b. Who responsible: local councillors do jobs</v>
      </c>
      <c r="F1046" s="7" t="str">
        <f>IFERROR(__xludf.DUMMYFUNCTION("""COMPUTED_VALUE"""),"District Councillors")</f>
        <v>District Councillors</v>
      </c>
    </row>
    <row r="1047">
      <c r="A1047" s="7" t="str">
        <f>IFERROR(__xludf.DUMMYFUNCTION("""COMPUTED_VALUE"""),"ZAMBIA")</f>
        <v>ZAMBIA</v>
      </c>
      <c r="B1047" s="7">
        <f>IFERROR(__xludf.DUMMYFUNCTION("""COMPUTED_VALUE"""),7.0)</f>
        <v>7</v>
      </c>
      <c r="C1047" s="7" t="str">
        <f>IFERROR(__xludf.DUMMYFUNCTION("""COMPUTED_VALUE"""),"B_03_32")</f>
        <v>B_03_32</v>
      </c>
      <c r="D1047" s="7" t="str">
        <f>IFERROR(__xludf.DUMMYFUNCTION("""COMPUTED_VALUE"""),"Q59B")</f>
        <v>Q59B</v>
      </c>
      <c r="E1047" s="7" t="str">
        <f>IFERROR(__xludf.DUMMYFUNCTION("""COMPUTED_VALUE"""),"Q59b. Who responsible: local councillors do jobs")</f>
        <v>Q59b. Who responsible: local councillors do jobs</v>
      </c>
      <c r="F1047" s="7" t="str">
        <f>IFERROR(__xludf.DUMMYFUNCTION("""COMPUTED_VALUE"""),"Local Government councilors")</f>
        <v>Local Government councilors</v>
      </c>
    </row>
    <row r="1048">
      <c r="A1048" s="7" t="str">
        <f>IFERROR(__xludf.DUMMYFUNCTION("""COMPUTED_VALUE"""),"ZIMBABWE")</f>
        <v>ZIMBABWE</v>
      </c>
      <c r="B1048" s="7">
        <f>IFERROR(__xludf.DUMMYFUNCTION("""COMPUTED_VALUE"""),7.0)</f>
        <v>7</v>
      </c>
      <c r="C1048" s="7" t="str">
        <f>IFERROR(__xludf.DUMMYFUNCTION("""COMPUTED_VALUE"""),"B_03_32")</f>
        <v>B_03_32</v>
      </c>
      <c r="D1048" s="7" t="str">
        <f>IFERROR(__xludf.DUMMYFUNCTION("""COMPUTED_VALUE"""),"Q59B")</f>
        <v>Q59B</v>
      </c>
      <c r="E1048" s="7" t="str">
        <f>IFERROR(__xludf.DUMMYFUNCTION("""COMPUTED_VALUE"""),"Q59b. Who responsible: local councillors do jobs")</f>
        <v>Q59b. Who responsible: local councillors do jobs</v>
      </c>
      <c r="F1048" s="7" t="str">
        <f>IFERROR(__xludf.DUMMYFUNCTION("""COMPUTED_VALUE"""),"Local Government councilors")</f>
        <v>Local Government councilors</v>
      </c>
    </row>
    <row r="1049">
      <c r="A1049" s="7" t="str">
        <f>IFERROR(__xludf.DUMMYFUNCTION("""COMPUTED_VALUE"""),"BENIN")</f>
        <v>BENIN</v>
      </c>
      <c r="B1049" s="7">
        <f>IFERROR(__xludf.DUMMYFUNCTION("""COMPUTED_VALUE"""),7.0)</f>
        <v>7</v>
      </c>
      <c r="C1049" s="7" t="str">
        <f>IFERROR(__xludf.DUMMYFUNCTION("""COMPUTED_VALUE"""),"B_01_11")</f>
        <v>B_01_11</v>
      </c>
      <c r="D1049" s="7" t="str">
        <f>IFERROR(__xludf.DUMMYFUNCTION("""COMPUTED_VALUE"""),"Q59C")</f>
        <v>Q59C</v>
      </c>
      <c r="E1049" s="7" t="str">
        <f>IFERROR(__xludf.DUMMYFUNCTION("""COMPUTED_VALUE"""),"Q59c. Who responsible: president does job")</f>
        <v>Q59c. Who responsible: president does job</v>
      </c>
      <c r="F1049" s="7" t="str">
        <f>IFERROR(__xludf.DUMMYFUNCTION("""COMPUTED_VALUE"""),"President/he")</f>
        <v>President/he</v>
      </c>
    </row>
    <row r="1050">
      <c r="A1050" s="7" t="str">
        <f>IFERROR(__xludf.DUMMYFUNCTION("""COMPUTED_VALUE"""),"BOTSWANA")</f>
        <v>BOTSWANA</v>
      </c>
      <c r="B1050" s="7">
        <f>IFERROR(__xludf.DUMMYFUNCTION("""COMPUTED_VALUE"""),7.0)</f>
        <v>7</v>
      </c>
      <c r="C1050" s="7" t="str">
        <f>IFERROR(__xludf.DUMMYFUNCTION("""COMPUTED_VALUE"""),"B_01_11")</f>
        <v>B_01_11</v>
      </c>
      <c r="D1050" s="7" t="str">
        <f>IFERROR(__xludf.DUMMYFUNCTION("""COMPUTED_VALUE"""),"Q59C")</f>
        <v>Q59C</v>
      </c>
      <c r="E1050" s="7" t="str">
        <f>IFERROR(__xludf.DUMMYFUNCTION("""COMPUTED_VALUE"""),"Q59c. Who responsible: president does job")</f>
        <v>Q59c. Who responsible: president does job</v>
      </c>
      <c r="F1050" s="7" t="str">
        <f>IFERROR(__xludf.DUMMYFUNCTION("""COMPUTED_VALUE"""),"President/he")</f>
        <v>President/he</v>
      </c>
    </row>
    <row r="1051">
      <c r="A1051" s="7" t="str">
        <f>IFERROR(__xludf.DUMMYFUNCTION("""COMPUTED_VALUE"""),"BURKINA FASO")</f>
        <v>BURKINA FASO</v>
      </c>
      <c r="B1051" s="7">
        <f>IFERROR(__xludf.DUMMYFUNCTION("""COMPUTED_VALUE"""),7.0)</f>
        <v>7</v>
      </c>
      <c r="C1051" s="7" t="str">
        <f>IFERROR(__xludf.DUMMYFUNCTION("""COMPUTED_VALUE"""),"B_01_11")</f>
        <v>B_01_11</v>
      </c>
      <c r="D1051" s="7" t="str">
        <f>IFERROR(__xludf.DUMMYFUNCTION("""COMPUTED_VALUE"""),"Q59C")</f>
        <v>Q59C</v>
      </c>
      <c r="E1051" s="7" t="str">
        <f>IFERROR(__xludf.DUMMYFUNCTION("""COMPUTED_VALUE"""),"Q59c. Who responsible: president does job")</f>
        <v>Q59c. Who responsible: president does job</v>
      </c>
      <c r="F1051" s="7" t="str">
        <f>IFERROR(__xludf.DUMMYFUNCTION("""COMPUTED_VALUE"""),"President/he")</f>
        <v>President/he</v>
      </c>
    </row>
    <row r="1052">
      <c r="A1052" s="7" t="str">
        <f>IFERROR(__xludf.DUMMYFUNCTION("""COMPUTED_VALUE"""),"CABO VERDE")</f>
        <v>CABO VERDE</v>
      </c>
      <c r="B1052" s="7">
        <f>IFERROR(__xludf.DUMMYFUNCTION("""COMPUTED_VALUE"""),7.0)</f>
        <v>7</v>
      </c>
      <c r="C1052" s="7" t="str">
        <f>IFERROR(__xludf.DUMMYFUNCTION("""COMPUTED_VALUE"""),"B_01_11")</f>
        <v>B_01_11</v>
      </c>
      <c r="D1052" s="7" t="str">
        <f>IFERROR(__xludf.DUMMYFUNCTION("""COMPUTED_VALUE"""),"Q59C")</f>
        <v>Q59C</v>
      </c>
      <c r="E1052" s="7" t="str">
        <f>IFERROR(__xludf.DUMMYFUNCTION("""COMPUTED_VALUE"""),"Q59c. Who responsible: president does job")</f>
        <v>Q59c. Who responsible: president does job</v>
      </c>
      <c r="F1052" s="7" t="str">
        <f>IFERROR(__xludf.DUMMYFUNCTION("""COMPUTED_VALUE"""),"President/he")</f>
        <v>President/he</v>
      </c>
    </row>
    <row r="1053">
      <c r="A1053" s="7" t="str">
        <f>IFERROR(__xludf.DUMMYFUNCTION("""COMPUTED_VALUE"""),"CAMEROON")</f>
        <v>CAMEROON</v>
      </c>
      <c r="B1053" s="7">
        <f>IFERROR(__xludf.DUMMYFUNCTION("""COMPUTED_VALUE"""),7.0)</f>
        <v>7</v>
      </c>
      <c r="C1053" s="7" t="str">
        <f>IFERROR(__xludf.DUMMYFUNCTION("""COMPUTED_VALUE"""),"B_01_11")</f>
        <v>B_01_11</v>
      </c>
      <c r="D1053" s="7" t="str">
        <f>IFERROR(__xludf.DUMMYFUNCTION("""COMPUTED_VALUE"""),"Q59C")</f>
        <v>Q59C</v>
      </c>
      <c r="E1053" s="7" t="str">
        <f>IFERROR(__xludf.DUMMYFUNCTION("""COMPUTED_VALUE"""),"Q59c. Who responsible: president does job")</f>
        <v>Q59c. Who responsible: president does job</v>
      </c>
      <c r="F1053" s="7" t="str">
        <f>IFERROR(__xludf.DUMMYFUNCTION("""COMPUTED_VALUE"""),"President/he")</f>
        <v>President/he</v>
      </c>
    </row>
    <row r="1054">
      <c r="A1054" s="7" t="str">
        <f>IFERROR(__xludf.DUMMYFUNCTION("""COMPUTED_VALUE"""),"COTE D'IVOIRE")</f>
        <v>COTE D'IVOIRE</v>
      </c>
      <c r="B1054" s="7">
        <f>IFERROR(__xludf.DUMMYFUNCTION("""COMPUTED_VALUE"""),7.0)</f>
        <v>7</v>
      </c>
      <c r="C1054" s="7" t="str">
        <f>IFERROR(__xludf.DUMMYFUNCTION("""COMPUTED_VALUE"""),"B_01_11")</f>
        <v>B_01_11</v>
      </c>
      <c r="D1054" s="7" t="str">
        <f>IFERROR(__xludf.DUMMYFUNCTION("""COMPUTED_VALUE"""),"Q59C")</f>
        <v>Q59C</v>
      </c>
      <c r="E1054" s="7" t="str">
        <f>IFERROR(__xludf.DUMMYFUNCTION("""COMPUTED_VALUE"""),"Q59c. Who responsible: president does job")</f>
        <v>Q59c. Who responsible: president does job</v>
      </c>
      <c r="F1054" s="7" t="str">
        <f>IFERROR(__xludf.DUMMYFUNCTION("""COMPUTED_VALUE"""),"President/he")</f>
        <v>President/he</v>
      </c>
    </row>
    <row r="1055">
      <c r="A1055" s="7" t="str">
        <f>IFERROR(__xludf.DUMMYFUNCTION("""COMPUTED_VALUE"""),"ESWATINI")</f>
        <v>ESWATINI</v>
      </c>
      <c r="B1055" s="7">
        <f>IFERROR(__xludf.DUMMYFUNCTION("""COMPUTED_VALUE"""),7.0)</f>
        <v>7</v>
      </c>
      <c r="C1055" s="7" t="str">
        <f>IFERROR(__xludf.DUMMYFUNCTION("""COMPUTED_VALUE"""),"B_01_11")</f>
        <v>B_01_11</v>
      </c>
      <c r="D1055" s="7" t="str">
        <f>IFERROR(__xludf.DUMMYFUNCTION("""COMPUTED_VALUE"""),"Q59C")</f>
        <v>Q59C</v>
      </c>
      <c r="E1055" s="7" t="str">
        <f>IFERROR(__xludf.DUMMYFUNCTION("""COMPUTED_VALUE"""),"Q59c. Who responsible: president does job")</f>
        <v>Q59c. Who responsible: president does job</v>
      </c>
      <c r="F1055" s="7" t="str">
        <f>IFERROR(__xludf.DUMMYFUNCTION("""COMPUTED_VALUE"""),"Prime Minister")</f>
        <v>Prime Minister</v>
      </c>
    </row>
    <row r="1056">
      <c r="A1056" s="7" t="str">
        <f>IFERROR(__xludf.DUMMYFUNCTION("""COMPUTED_VALUE"""),"GABON")</f>
        <v>GABON</v>
      </c>
      <c r="B1056" s="7">
        <f>IFERROR(__xludf.DUMMYFUNCTION("""COMPUTED_VALUE"""),7.0)</f>
        <v>7</v>
      </c>
      <c r="C1056" s="7" t="str">
        <f>IFERROR(__xludf.DUMMYFUNCTION("""COMPUTED_VALUE"""),"B_01_11")</f>
        <v>B_01_11</v>
      </c>
      <c r="D1056" s="7" t="str">
        <f>IFERROR(__xludf.DUMMYFUNCTION("""COMPUTED_VALUE"""),"Q59C")</f>
        <v>Q59C</v>
      </c>
      <c r="E1056" s="7" t="str">
        <f>IFERROR(__xludf.DUMMYFUNCTION("""COMPUTED_VALUE"""),"Q59c. Who responsible: president does job")</f>
        <v>Q59c. Who responsible: president does job</v>
      </c>
      <c r="F1056" s="7" t="str">
        <f>IFERROR(__xludf.DUMMYFUNCTION("""COMPUTED_VALUE"""),"President/he")</f>
        <v>President/he</v>
      </c>
    </row>
    <row r="1057">
      <c r="A1057" s="7" t="str">
        <f>IFERROR(__xludf.DUMMYFUNCTION("""COMPUTED_VALUE"""),"GAMBIA")</f>
        <v>GAMBIA</v>
      </c>
      <c r="B1057" s="7">
        <f>IFERROR(__xludf.DUMMYFUNCTION("""COMPUTED_VALUE"""),7.0)</f>
        <v>7</v>
      </c>
      <c r="C1057" s="7" t="str">
        <f>IFERROR(__xludf.DUMMYFUNCTION("""COMPUTED_VALUE"""),"B_01_11")</f>
        <v>B_01_11</v>
      </c>
      <c r="D1057" s="7" t="str">
        <f>IFERROR(__xludf.DUMMYFUNCTION("""COMPUTED_VALUE"""),"Q59C")</f>
        <v>Q59C</v>
      </c>
      <c r="E1057" s="7" t="str">
        <f>IFERROR(__xludf.DUMMYFUNCTION("""COMPUTED_VALUE"""),"Q59c. Who responsible: president does job")</f>
        <v>Q59c. Who responsible: president does job</v>
      </c>
      <c r="F1057" s="7" t="str">
        <f>IFERROR(__xludf.DUMMYFUNCTION("""COMPUTED_VALUE"""),"President/he")</f>
        <v>President/he</v>
      </c>
    </row>
    <row r="1058">
      <c r="A1058" s="7" t="str">
        <f>IFERROR(__xludf.DUMMYFUNCTION("""COMPUTED_VALUE"""),"GHANA")</f>
        <v>GHANA</v>
      </c>
      <c r="B1058" s="7">
        <f>IFERROR(__xludf.DUMMYFUNCTION("""COMPUTED_VALUE"""),7.0)</f>
        <v>7</v>
      </c>
      <c r="C1058" s="7" t="str">
        <f>IFERROR(__xludf.DUMMYFUNCTION("""COMPUTED_VALUE"""),"B_01_11")</f>
        <v>B_01_11</v>
      </c>
      <c r="D1058" s="7" t="str">
        <f>IFERROR(__xludf.DUMMYFUNCTION("""COMPUTED_VALUE"""),"Q59C")</f>
        <v>Q59C</v>
      </c>
      <c r="E1058" s="7" t="str">
        <f>IFERROR(__xludf.DUMMYFUNCTION("""COMPUTED_VALUE"""),"Q59c. Who responsible: president does job")</f>
        <v>Q59c. Who responsible: president does job</v>
      </c>
      <c r="F1058" s="7" t="str">
        <f>IFERROR(__xludf.DUMMYFUNCTION("""COMPUTED_VALUE"""),"President/he")</f>
        <v>President/he</v>
      </c>
    </row>
    <row r="1059">
      <c r="A1059" s="7" t="str">
        <f>IFERROR(__xludf.DUMMYFUNCTION("""COMPUTED_VALUE"""),"GUINEA")</f>
        <v>GUINEA</v>
      </c>
      <c r="B1059" s="7">
        <f>IFERROR(__xludf.DUMMYFUNCTION("""COMPUTED_VALUE"""),7.0)</f>
        <v>7</v>
      </c>
      <c r="C1059" s="7" t="str">
        <f>IFERROR(__xludf.DUMMYFUNCTION("""COMPUTED_VALUE"""),"B_01_11")</f>
        <v>B_01_11</v>
      </c>
      <c r="D1059" s="7" t="str">
        <f>IFERROR(__xludf.DUMMYFUNCTION("""COMPUTED_VALUE"""),"Q59C")</f>
        <v>Q59C</v>
      </c>
      <c r="E1059" s="7" t="str">
        <f>IFERROR(__xludf.DUMMYFUNCTION("""COMPUTED_VALUE"""),"Q59c. Who responsible: president does job")</f>
        <v>Q59c. Who responsible: president does job</v>
      </c>
      <c r="F1059" s="7" t="str">
        <f>IFERROR(__xludf.DUMMYFUNCTION("""COMPUTED_VALUE"""),"President/he")</f>
        <v>President/he</v>
      </c>
    </row>
    <row r="1060">
      <c r="A1060" s="7" t="str">
        <f>IFERROR(__xludf.DUMMYFUNCTION("""COMPUTED_VALUE"""),"KENYA")</f>
        <v>KENYA</v>
      </c>
      <c r="B1060" s="7">
        <f>IFERROR(__xludf.DUMMYFUNCTION("""COMPUTED_VALUE"""),7.0)</f>
        <v>7</v>
      </c>
      <c r="C1060" s="7" t="str">
        <f>IFERROR(__xludf.DUMMYFUNCTION("""COMPUTED_VALUE"""),"B_01_11")</f>
        <v>B_01_11</v>
      </c>
      <c r="D1060" s="7" t="str">
        <f>IFERROR(__xludf.DUMMYFUNCTION("""COMPUTED_VALUE"""),"Q59C")</f>
        <v>Q59C</v>
      </c>
      <c r="E1060" s="7" t="str">
        <f>IFERROR(__xludf.DUMMYFUNCTION("""COMPUTED_VALUE"""),"Q59c. Who responsible: president does job")</f>
        <v>Q59c. Who responsible: president does job</v>
      </c>
      <c r="F1060" s="7" t="str">
        <f>IFERROR(__xludf.DUMMYFUNCTION("""COMPUTED_VALUE"""),"President/he")</f>
        <v>President/he</v>
      </c>
    </row>
    <row r="1061">
      <c r="A1061" s="7" t="str">
        <f>IFERROR(__xludf.DUMMYFUNCTION("""COMPUTED_VALUE"""),"LESOTHO")</f>
        <v>LESOTHO</v>
      </c>
      <c r="B1061" s="7">
        <f>IFERROR(__xludf.DUMMYFUNCTION("""COMPUTED_VALUE"""),7.0)</f>
        <v>7</v>
      </c>
      <c r="C1061" s="7" t="str">
        <f>IFERROR(__xludf.DUMMYFUNCTION("""COMPUTED_VALUE"""),"B_01_11")</f>
        <v>B_01_11</v>
      </c>
      <c r="D1061" s="7" t="str">
        <f>IFERROR(__xludf.DUMMYFUNCTION("""COMPUTED_VALUE"""),"Q59C")</f>
        <v>Q59C</v>
      </c>
      <c r="E1061" s="7" t="str">
        <f>IFERROR(__xludf.DUMMYFUNCTION("""COMPUTED_VALUE"""),"Q59c. Who responsible: president does job")</f>
        <v>Q59c. Who responsible: president does job</v>
      </c>
      <c r="F1061" s="7" t="str">
        <f>IFERROR(__xludf.DUMMYFUNCTION("""COMPUTED_VALUE"""),"Prime Minister/He")</f>
        <v>Prime Minister/He</v>
      </c>
    </row>
    <row r="1062">
      <c r="A1062" s="7" t="str">
        <f>IFERROR(__xludf.DUMMYFUNCTION("""COMPUTED_VALUE"""),"LIBERIA")</f>
        <v>LIBERIA</v>
      </c>
      <c r="B1062" s="7">
        <f>IFERROR(__xludf.DUMMYFUNCTION("""COMPUTED_VALUE"""),7.0)</f>
        <v>7</v>
      </c>
      <c r="C1062" s="7" t="str">
        <f>IFERROR(__xludf.DUMMYFUNCTION("""COMPUTED_VALUE"""),"B_01_11")</f>
        <v>B_01_11</v>
      </c>
      <c r="D1062" s="7" t="str">
        <f>IFERROR(__xludf.DUMMYFUNCTION("""COMPUTED_VALUE"""),"Q59C")</f>
        <v>Q59C</v>
      </c>
      <c r="E1062" s="7" t="str">
        <f>IFERROR(__xludf.DUMMYFUNCTION("""COMPUTED_VALUE"""),"Q59c. Who responsible: president does job")</f>
        <v>Q59c. Who responsible: president does job</v>
      </c>
      <c r="F1062" s="7" t="str">
        <f>IFERROR(__xludf.DUMMYFUNCTION("""COMPUTED_VALUE"""),"President/he")</f>
        <v>President/he</v>
      </c>
    </row>
    <row r="1063">
      <c r="A1063" s="7" t="str">
        <f>IFERROR(__xludf.DUMMYFUNCTION("""COMPUTED_VALUE"""),"MADAGASCAR")</f>
        <v>MADAGASCAR</v>
      </c>
      <c r="B1063" s="7">
        <f>IFERROR(__xludf.DUMMYFUNCTION("""COMPUTED_VALUE"""),7.0)</f>
        <v>7</v>
      </c>
      <c r="C1063" s="7" t="str">
        <f>IFERROR(__xludf.DUMMYFUNCTION("""COMPUTED_VALUE"""),"B_01_11")</f>
        <v>B_01_11</v>
      </c>
      <c r="D1063" s="7" t="str">
        <f>IFERROR(__xludf.DUMMYFUNCTION("""COMPUTED_VALUE"""),"Q59C")</f>
        <v>Q59C</v>
      </c>
      <c r="E1063" s="7" t="str">
        <f>IFERROR(__xludf.DUMMYFUNCTION("""COMPUTED_VALUE"""),"Q59c. Who responsible: president does job")</f>
        <v>Q59c. Who responsible: president does job</v>
      </c>
      <c r="F1063" s="7" t="str">
        <f>IFERROR(__xludf.DUMMYFUNCTION("""COMPUTED_VALUE"""),"President/he")</f>
        <v>President/he</v>
      </c>
    </row>
    <row r="1064">
      <c r="A1064" s="7" t="str">
        <f>IFERROR(__xludf.DUMMYFUNCTION("""COMPUTED_VALUE"""),"MALAWI")</f>
        <v>MALAWI</v>
      </c>
      <c r="B1064" s="7">
        <f>IFERROR(__xludf.DUMMYFUNCTION("""COMPUTED_VALUE"""),7.0)</f>
        <v>7</v>
      </c>
      <c r="C1064" s="7" t="str">
        <f>IFERROR(__xludf.DUMMYFUNCTION("""COMPUTED_VALUE"""),"B_01_11")</f>
        <v>B_01_11</v>
      </c>
      <c r="D1064" s="7" t="str">
        <f>IFERROR(__xludf.DUMMYFUNCTION("""COMPUTED_VALUE"""),"Q59C")</f>
        <v>Q59C</v>
      </c>
      <c r="E1064" s="7" t="str">
        <f>IFERROR(__xludf.DUMMYFUNCTION("""COMPUTED_VALUE"""),"Q59c. Who responsible: president does job")</f>
        <v>Q59c. Who responsible: president does job</v>
      </c>
      <c r="F1064" s="7" t="str">
        <f>IFERROR(__xludf.DUMMYFUNCTION("""COMPUTED_VALUE"""),"President/he")</f>
        <v>President/he</v>
      </c>
    </row>
    <row r="1065">
      <c r="A1065" s="7" t="str">
        <f>IFERROR(__xludf.DUMMYFUNCTION("""COMPUTED_VALUE"""),"MALI")</f>
        <v>MALI</v>
      </c>
      <c r="B1065" s="7">
        <f>IFERROR(__xludf.DUMMYFUNCTION("""COMPUTED_VALUE"""),7.0)</f>
        <v>7</v>
      </c>
      <c r="C1065" s="7" t="str">
        <f>IFERROR(__xludf.DUMMYFUNCTION("""COMPUTED_VALUE"""),"B_01_11")</f>
        <v>B_01_11</v>
      </c>
      <c r="D1065" s="7" t="str">
        <f>IFERROR(__xludf.DUMMYFUNCTION("""COMPUTED_VALUE"""),"Q59C")</f>
        <v>Q59C</v>
      </c>
      <c r="E1065" s="7" t="str">
        <f>IFERROR(__xludf.DUMMYFUNCTION("""COMPUTED_VALUE"""),"Q59c. Who responsible: president does job")</f>
        <v>Q59c. Who responsible: president does job</v>
      </c>
      <c r="F1065" s="7" t="str">
        <f>IFERROR(__xludf.DUMMYFUNCTION("""COMPUTED_VALUE"""),"President/he")</f>
        <v>President/he</v>
      </c>
    </row>
    <row r="1066">
      <c r="A1066" s="7" t="str">
        <f>IFERROR(__xludf.DUMMYFUNCTION("""COMPUTED_VALUE"""),"MAURITIUS")</f>
        <v>MAURITIUS</v>
      </c>
      <c r="B1066" s="7">
        <f>IFERROR(__xludf.DUMMYFUNCTION("""COMPUTED_VALUE"""),7.0)</f>
        <v>7</v>
      </c>
      <c r="C1066" s="7" t="str">
        <f>IFERROR(__xludf.DUMMYFUNCTION("""COMPUTED_VALUE"""),"B_01_11")</f>
        <v>B_01_11</v>
      </c>
      <c r="D1066" s="7" t="str">
        <f>IFERROR(__xludf.DUMMYFUNCTION("""COMPUTED_VALUE"""),"Q59C")</f>
        <v>Q59C</v>
      </c>
      <c r="E1066" s="7" t="str">
        <f>IFERROR(__xludf.DUMMYFUNCTION("""COMPUTED_VALUE"""),"Q59c. Who responsible: president does job")</f>
        <v>Q59c. Who responsible: president does job</v>
      </c>
      <c r="F1066" s="7" t="str">
        <f>IFERROR(__xludf.DUMMYFUNCTION("""COMPUTED_VALUE"""),"Prime Minister/he")</f>
        <v>Prime Minister/he</v>
      </c>
    </row>
    <row r="1067">
      <c r="A1067" s="7" t="str">
        <f>IFERROR(__xludf.DUMMYFUNCTION("""COMPUTED_VALUE"""),"MOROCCO")</f>
        <v>MOROCCO</v>
      </c>
      <c r="B1067" s="7">
        <f>IFERROR(__xludf.DUMMYFUNCTION("""COMPUTED_VALUE"""),7.0)</f>
        <v>7</v>
      </c>
      <c r="C1067" s="7" t="str">
        <f>IFERROR(__xludf.DUMMYFUNCTION("""COMPUTED_VALUE"""),"B_01_11")</f>
        <v>B_01_11</v>
      </c>
      <c r="D1067" s="7" t="str">
        <f>IFERROR(__xludf.DUMMYFUNCTION("""COMPUTED_VALUE"""),"Q59C")</f>
        <v>Q59C</v>
      </c>
      <c r="E1067" s="7" t="str">
        <f>IFERROR(__xludf.DUMMYFUNCTION("""COMPUTED_VALUE"""),"Q59c. Who responsible: president does job")</f>
        <v>Q59c. Who responsible: president does job</v>
      </c>
      <c r="F1067" s="7" t="str">
        <f>IFERROR(__xludf.DUMMYFUNCTION("""COMPUTED_VALUE"""),"President/he")</f>
        <v>President/he</v>
      </c>
    </row>
    <row r="1068">
      <c r="A1068" s="7" t="str">
        <f>IFERROR(__xludf.DUMMYFUNCTION("""COMPUTED_VALUE"""),"MOZAMBIQUE")</f>
        <v>MOZAMBIQUE</v>
      </c>
      <c r="B1068" s="7">
        <f>IFERROR(__xludf.DUMMYFUNCTION("""COMPUTED_VALUE"""),7.0)</f>
        <v>7</v>
      </c>
      <c r="C1068" s="7" t="str">
        <f>IFERROR(__xludf.DUMMYFUNCTION("""COMPUTED_VALUE"""),"B_01_11")</f>
        <v>B_01_11</v>
      </c>
      <c r="D1068" s="7" t="str">
        <f>IFERROR(__xludf.DUMMYFUNCTION("""COMPUTED_VALUE"""),"Q59C")</f>
        <v>Q59C</v>
      </c>
      <c r="E1068" s="7" t="str">
        <f>IFERROR(__xludf.DUMMYFUNCTION("""COMPUTED_VALUE"""),"Q59c. Who responsible: president does job")</f>
        <v>Q59c. Who responsible: president does job</v>
      </c>
      <c r="F1068" s="7" t="str">
        <f>IFERROR(__xludf.DUMMYFUNCTION("""COMPUTED_VALUE"""),"President/he")</f>
        <v>President/he</v>
      </c>
    </row>
    <row r="1069">
      <c r="A1069" s="7" t="str">
        <f>IFERROR(__xludf.DUMMYFUNCTION("""COMPUTED_VALUE"""),"NAMIBIA")</f>
        <v>NAMIBIA</v>
      </c>
      <c r="B1069" s="7">
        <f>IFERROR(__xludf.DUMMYFUNCTION("""COMPUTED_VALUE"""),7.0)</f>
        <v>7</v>
      </c>
      <c r="C1069" s="7" t="str">
        <f>IFERROR(__xludf.DUMMYFUNCTION("""COMPUTED_VALUE"""),"B_01_11")</f>
        <v>B_01_11</v>
      </c>
      <c r="D1069" s="7" t="str">
        <f>IFERROR(__xludf.DUMMYFUNCTION("""COMPUTED_VALUE"""),"Q59C")</f>
        <v>Q59C</v>
      </c>
      <c r="E1069" s="7" t="str">
        <f>IFERROR(__xludf.DUMMYFUNCTION("""COMPUTED_VALUE"""),"Q59c. Who responsible: president does job")</f>
        <v>Q59c. Who responsible: president does job</v>
      </c>
      <c r="F1069" s="7" t="str">
        <f>IFERROR(__xludf.DUMMYFUNCTION("""COMPUTED_VALUE"""),"President/he")</f>
        <v>President/he</v>
      </c>
    </row>
    <row r="1070">
      <c r="A1070" s="7" t="str">
        <f>IFERROR(__xludf.DUMMYFUNCTION("""COMPUTED_VALUE"""),"NIGER")</f>
        <v>NIGER</v>
      </c>
      <c r="B1070" s="7">
        <f>IFERROR(__xludf.DUMMYFUNCTION("""COMPUTED_VALUE"""),7.0)</f>
        <v>7</v>
      </c>
      <c r="C1070" s="7" t="str">
        <f>IFERROR(__xludf.DUMMYFUNCTION("""COMPUTED_VALUE"""),"B_01_11")</f>
        <v>B_01_11</v>
      </c>
      <c r="D1070" s="7" t="str">
        <f>IFERROR(__xludf.DUMMYFUNCTION("""COMPUTED_VALUE"""),"Q59C")</f>
        <v>Q59C</v>
      </c>
      <c r="E1070" s="7" t="str">
        <f>IFERROR(__xludf.DUMMYFUNCTION("""COMPUTED_VALUE"""),"Q59c. Who responsible: president does job")</f>
        <v>Q59c. Who responsible: president does job</v>
      </c>
      <c r="F1070" s="7" t="str">
        <f>IFERROR(__xludf.DUMMYFUNCTION("""COMPUTED_VALUE"""),"President/he")</f>
        <v>President/he</v>
      </c>
    </row>
    <row r="1071">
      <c r="A1071" s="7" t="str">
        <f>IFERROR(__xludf.DUMMYFUNCTION("""COMPUTED_VALUE"""),"NIGERIA")</f>
        <v>NIGERIA</v>
      </c>
      <c r="B1071" s="7">
        <f>IFERROR(__xludf.DUMMYFUNCTION("""COMPUTED_VALUE"""),7.0)</f>
        <v>7</v>
      </c>
      <c r="C1071" s="7" t="str">
        <f>IFERROR(__xludf.DUMMYFUNCTION("""COMPUTED_VALUE"""),"B_01_11")</f>
        <v>B_01_11</v>
      </c>
      <c r="D1071" s="7" t="str">
        <f>IFERROR(__xludf.DUMMYFUNCTION("""COMPUTED_VALUE"""),"Q59C")</f>
        <v>Q59C</v>
      </c>
      <c r="E1071" s="7" t="str">
        <f>IFERROR(__xludf.DUMMYFUNCTION("""COMPUTED_VALUE"""),"Q59c. Who responsible: president does job")</f>
        <v>Q59c. Who responsible: president does job</v>
      </c>
      <c r="F1071" s="7" t="str">
        <f>IFERROR(__xludf.DUMMYFUNCTION("""COMPUTED_VALUE"""),"President/he")</f>
        <v>President/he</v>
      </c>
    </row>
    <row r="1072">
      <c r="A1072" s="7" t="str">
        <f>IFERROR(__xludf.DUMMYFUNCTION("""COMPUTED_VALUE"""),"SAO TOME AND PRINCIPE")</f>
        <v>SAO TOME AND PRINCIPE</v>
      </c>
      <c r="B1072" s="7">
        <f>IFERROR(__xludf.DUMMYFUNCTION("""COMPUTED_VALUE"""),7.0)</f>
        <v>7</v>
      </c>
      <c r="C1072" s="7" t="str">
        <f>IFERROR(__xludf.DUMMYFUNCTION("""COMPUTED_VALUE"""),"B_01_11")</f>
        <v>B_01_11</v>
      </c>
      <c r="D1072" s="7" t="str">
        <f>IFERROR(__xludf.DUMMYFUNCTION("""COMPUTED_VALUE"""),"Q59C")</f>
        <v>Q59C</v>
      </c>
      <c r="E1072" s="7" t="str">
        <f>IFERROR(__xludf.DUMMYFUNCTION("""COMPUTED_VALUE"""),"Q59c. Who responsible: president does job")</f>
        <v>Q59c. Who responsible: president does job</v>
      </c>
      <c r="F1072" s="7" t="str">
        <f>IFERROR(__xludf.DUMMYFUNCTION("""COMPUTED_VALUE"""),"President/he
Prime Minister")</f>
        <v>President/he
Prime Minister</v>
      </c>
    </row>
    <row r="1073">
      <c r="A1073" s="7" t="str">
        <f>IFERROR(__xludf.DUMMYFUNCTION("""COMPUTED_VALUE"""),"SENEGAL")</f>
        <v>SENEGAL</v>
      </c>
      <c r="B1073" s="7">
        <f>IFERROR(__xludf.DUMMYFUNCTION("""COMPUTED_VALUE"""),7.0)</f>
        <v>7</v>
      </c>
      <c r="C1073" s="7" t="str">
        <f>IFERROR(__xludf.DUMMYFUNCTION("""COMPUTED_VALUE"""),"B_01_11")</f>
        <v>B_01_11</v>
      </c>
      <c r="D1073" s="7" t="str">
        <f>IFERROR(__xludf.DUMMYFUNCTION("""COMPUTED_VALUE"""),"Q59C")</f>
        <v>Q59C</v>
      </c>
      <c r="E1073" s="7" t="str">
        <f>IFERROR(__xludf.DUMMYFUNCTION("""COMPUTED_VALUE"""),"Q59c. Who responsible: president does job")</f>
        <v>Q59c. Who responsible: president does job</v>
      </c>
      <c r="F1073" s="7" t="str">
        <f>IFERROR(__xludf.DUMMYFUNCTION("""COMPUTED_VALUE"""),"President/he")</f>
        <v>President/he</v>
      </c>
    </row>
    <row r="1074">
      <c r="A1074" s="7" t="str">
        <f>IFERROR(__xludf.DUMMYFUNCTION("""COMPUTED_VALUE"""),"SIERRA LEONE")</f>
        <v>SIERRA LEONE</v>
      </c>
      <c r="B1074" s="7">
        <f>IFERROR(__xludf.DUMMYFUNCTION("""COMPUTED_VALUE"""),7.0)</f>
        <v>7</v>
      </c>
      <c r="C1074" s="7" t="str">
        <f>IFERROR(__xludf.DUMMYFUNCTION("""COMPUTED_VALUE"""),"B_01_11")</f>
        <v>B_01_11</v>
      </c>
      <c r="D1074" s="7" t="str">
        <f>IFERROR(__xludf.DUMMYFUNCTION("""COMPUTED_VALUE"""),"Q59C")</f>
        <v>Q59C</v>
      </c>
      <c r="E1074" s="7" t="str">
        <f>IFERROR(__xludf.DUMMYFUNCTION("""COMPUTED_VALUE"""),"Q59c. Who responsible: president does job")</f>
        <v>Q59c. Who responsible: president does job</v>
      </c>
      <c r="F1074" s="7" t="str">
        <f>IFERROR(__xludf.DUMMYFUNCTION("""COMPUTED_VALUE"""),"President/he")</f>
        <v>President/he</v>
      </c>
    </row>
    <row r="1075">
      <c r="A1075" s="7" t="str">
        <f>IFERROR(__xludf.DUMMYFUNCTION("""COMPUTED_VALUE"""),"SOUTH AFRICA")</f>
        <v>SOUTH AFRICA</v>
      </c>
      <c r="B1075" s="7">
        <f>IFERROR(__xludf.DUMMYFUNCTION("""COMPUTED_VALUE"""),7.0)</f>
        <v>7</v>
      </c>
      <c r="C1075" s="7" t="str">
        <f>IFERROR(__xludf.DUMMYFUNCTION("""COMPUTED_VALUE"""),"B_01_11")</f>
        <v>B_01_11</v>
      </c>
      <c r="D1075" s="7" t="str">
        <f>IFERROR(__xludf.DUMMYFUNCTION("""COMPUTED_VALUE"""),"Q59C")</f>
        <v>Q59C</v>
      </c>
      <c r="E1075" s="7" t="str">
        <f>IFERROR(__xludf.DUMMYFUNCTION("""COMPUTED_VALUE"""),"Q59c. Who responsible: president does job")</f>
        <v>Q59c. Who responsible: president does job</v>
      </c>
      <c r="F1075" s="7" t="str">
        <f>IFERROR(__xludf.DUMMYFUNCTION("""COMPUTED_VALUE"""),"President/he")</f>
        <v>President/he</v>
      </c>
    </row>
    <row r="1076">
      <c r="A1076" s="7" t="str">
        <f>IFERROR(__xludf.DUMMYFUNCTION("""COMPUTED_VALUE"""),"SUDAN")</f>
        <v>SUDAN</v>
      </c>
      <c r="B1076" s="7">
        <f>IFERROR(__xludf.DUMMYFUNCTION("""COMPUTED_VALUE"""),7.0)</f>
        <v>7</v>
      </c>
      <c r="C1076" s="7" t="str">
        <f>IFERROR(__xludf.DUMMYFUNCTION("""COMPUTED_VALUE"""),"B_01_11")</f>
        <v>B_01_11</v>
      </c>
      <c r="D1076" s="7" t="str">
        <f>IFERROR(__xludf.DUMMYFUNCTION("""COMPUTED_VALUE"""),"Q59C")</f>
        <v>Q59C</v>
      </c>
      <c r="E1076" s="7" t="str">
        <f>IFERROR(__xludf.DUMMYFUNCTION("""COMPUTED_VALUE"""),"Q59c. Who responsible: president does job")</f>
        <v>Q59c. Who responsible: president does job</v>
      </c>
      <c r="F1076" s="7" t="str">
        <f>IFERROR(__xludf.DUMMYFUNCTION("""COMPUTED_VALUE"""),"President/he")</f>
        <v>President/he</v>
      </c>
    </row>
    <row r="1077">
      <c r="A1077" s="7" t="str">
        <f>IFERROR(__xludf.DUMMYFUNCTION("""COMPUTED_VALUE"""),"TANZANIA")</f>
        <v>TANZANIA</v>
      </c>
      <c r="B1077" s="7">
        <f>IFERROR(__xludf.DUMMYFUNCTION("""COMPUTED_VALUE"""),7.0)</f>
        <v>7</v>
      </c>
      <c r="C1077" s="7" t="str">
        <f>IFERROR(__xludf.DUMMYFUNCTION("""COMPUTED_VALUE"""),"B_01_11")</f>
        <v>B_01_11</v>
      </c>
      <c r="D1077" s="7" t="str">
        <f>IFERROR(__xludf.DUMMYFUNCTION("""COMPUTED_VALUE"""),"Q59C")</f>
        <v>Q59C</v>
      </c>
      <c r="E1077" s="7" t="str">
        <f>IFERROR(__xludf.DUMMYFUNCTION("""COMPUTED_VALUE"""),"Q59c. Who responsible: president does job")</f>
        <v>Q59c. Who responsible: president does job</v>
      </c>
      <c r="F1077" s="7" t="str">
        <f>IFERROR(__xludf.DUMMYFUNCTION("""COMPUTED_VALUE"""),"President/he")</f>
        <v>President/he</v>
      </c>
    </row>
    <row r="1078">
      <c r="A1078" s="7" t="str">
        <f>IFERROR(__xludf.DUMMYFUNCTION("""COMPUTED_VALUE"""),"TOGO")</f>
        <v>TOGO</v>
      </c>
      <c r="B1078" s="7">
        <f>IFERROR(__xludf.DUMMYFUNCTION("""COMPUTED_VALUE"""),7.0)</f>
        <v>7</v>
      </c>
      <c r="C1078" s="7" t="str">
        <f>IFERROR(__xludf.DUMMYFUNCTION("""COMPUTED_VALUE"""),"B_01_11")</f>
        <v>B_01_11</v>
      </c>
      <c r="D1078" s="7" t="str">
        <f>IFERROR(__xludf.DUMMYFUNCTION("""COMPUTED_VALUE"""),"Q59C")</f>
        <v>Q59C</v>
      </c>
      <c r="E1078" s="7" t="str">
        <f>IFERROR(__xludf.DUMMYFUNCTION("""COMPUTED_VALUE"""),"Q59c. Who responsible: president does job")</f>
        <v>Q59c. Who responsible: president does job</v>
      </c>
      <c r="F1078" s="7" t="str">
        <f>IFERROR(__xludf.DUMMYFUNCTION("""COMPUTED_VALUE"""),"President/he")</f>
        <v>President/he</v>
      </c>
    </row>
    <row r="1079">
      <c r="A1079" s="7" t="str">
        <f>IFERROR(__xludf.DUMMYFUNCTION("""COMPUTED_VALUE"""),"TUNISIA")</f>
        <v>TUNISIA</v>
      </c>
      <c r="B1079" s="7">
        <f>IFERROR(__xludf.DUMMYFUNCTION("""COMPUTED_VALUE"""),7.0)</f>
        <v>7</v>
      </c>
      <c r="C1079" s="7" t="str">
        <f>IFERROR(__xludf.DUMMYFUNCTION("""COMPUTED_VALUE"""),"B_01_11")</f>
        <v>B_01_11</v>
      </c>
      <c r="D1079" s="7" t="str">
        <f>IFERROR(__xludf.DUMMYFUNCTION("""COMPUTED_VALUE"""),"Q59C")</f>
        <v>Q59C</v>
      </c>
      <c r="E1079" s="7" t="str">
        <f>IFERROR(__xludf.DUMMYFUNCTION("""COMPUTED_VALUE"""),"Q59c. Who responsible: president does job")</f>
        <v>Q59c. Who responsible: president does job</v>
      </c>
      <c r="F1079" s="7" t="str">
        <f>IFERROR(__xludf.DUMMYFUNCTION("""COMPUTED_VALUE"""),"President/he")</f>
        <v>President/he</v>
      </c>
    </row>
    <row r="1080">
      <c r="A1080" s="7" t="str">
        <f>IFERROR(__xludf.DUMMYFUNCTION("""COMPUTED_VALUE"""),"UGANDA")</f>
        <v>UGANDA</v>
      </c>
      <c r="B1080" s="7">
        <f>IFERROR(__xludf.DUMMYFUNCTION("""COMPUTED_VALUE"""),7.0)</f>
        <v>7</v>
      </c>
      <c r="C1080" s="7" t="str">
        <f>IFERROR(__xludf.DUMMYFUNCTION("""COMPUTED_VALUE"""),"B_01_11")</f>
        <v>B_01_11</v>
      </c>
      <c r="D1080" s="7" t="str">
        <f>IFERROR(__xludf.DUMMYFUNCTION("""COMPUTED_VALUE"""),"Q59C")</f>
        <v>Q59C</v>
      </c>
      <c r="E1080" s="7" t="str">
        <f>IFERROR(__xludf.DUMMYFUNCTION("""COMPUTED_VALUE"""),"Q59c. Who responsible: president does job")</f>
        <v>Q59c. Who responsible: president does job</v>
      </c>
      <c r="F1080" s="7" t="str">
        <f>IFERROR(__xludf.DUMMYFUNCTION("""COMPUTED_VALUE"""),"President/he")</f>
        <v>President/he</v>
      </c>
    </row>
    <row r="1081">
      <c r="A1081" s="7" t="str">
        <f>IFERROR(__xludf.DUMMYFUNCTION("""COMPUTED_VALUE"""),"ZAMBIA")</f>
        <v>ZAMBIA</v>
      </c>
      <c r="B1081" s="7">
        <f>IFERROR(__xludf.DUMMYFUNCTION("""COMPUTED_VALUE"""),7.0)</f>
        <v>7</v>
      </c>
      <c r="C1081" s="7" t="str">
        <f>IFERROR(__xludf.DUMMYFUNCTION("""COMPUTED_VALUE"""),"B_01_11")</f>
        <v>B_01_11</v>
      </c>
      <c r="D1081" s="7" t="str">
        <f>IFERROR(__xludf.DUMMYFUNCTION("""COMPUTED_VALUE"""),"Q59C")</f>
        <v>Q59C</v>
      </c>
      <c r="E1081" s="7" t="str">
        <f>IFERROR(__xludf.DUMMYFUNCTION("""COMPUTED_VALUE"""),"Q59c. Who responsible: president does job")</f>
        <v>Q59c. Who responsible: president does job</v>
      </c>
      <c r="F1081" s="7" t="str">
        <f>IFERROR(__xludf.DUMMYFUNCTION("""COMPUTED_VALUE"""),"President/he")</f>
        <v>President/he</v>
      </c>
    </row>
    <row r="1082">
      <c r="A1082" s="7" t="str">
        <f>IFERROR(__xludf.DUMMYFUNCTION("""COMPUTED_VALUE"""),"ZIMBABWE")</f>
        <v>ZIMBABWE</v>
      </c>
      <c r="B1082" s="7">
        <f>IFERROR(__xludf.DUMMYFUNCTION("""COMPUTED_VALUE"""),7.0)</f>
        <v>7</v>
      </c>
      <c r="C1082" s="7" t="str">
        <f>IFERROR(__xludf.DUMMYFUNCTION("""COMPUTED_VALUE"""),"B_01_11")</f>
        <v>B_01_11</v>
      </c>
      <c r="D1082" s="7" t="str">
        <f>IFERROR(__xludf.DUMMYFUNCTION("""COMPUTED_VALUE"""),"Q59C")</f>
        <v>Q59C</v>
      </c>
      <c r="E1082" s="7" t="str">
        <f>IFERROR(__xludf.DUMMYFUNCTION("""COMPUTED_VALUE"""),"Q59c. Who responsible: president does job")</f>
        <v>Q59c. Who responsible: president does job</v>
      </c>
      <c r="F1082" s="7" t="str">
        <f>IFERROR(__xludf.DUMMYFUNCTION("""COMPUTED_VALUE"""),"President/he")</f>
        <v>President/he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0.63"/>
    <col customWidth="1" min="4" max="4" width="59.13"/>
    <col customWidth="1" min="5" max="5" width="20.63"/>
    <col customWidth="1" min="6" max="6" width="18.88"/>
    <col customWidth="1" min="7" max="7" width="17.38"/>
    <col customWidth="1" min="8" max="8" width="16.75"/>
    <col customWidth="1" min="9" max="9" width="16.0"/>
    <col customWidth="1" min="10" max="10" width="32.5"/>
    <col customWidth="1" min="11" max="11" width="20.88"/>
    <col customWidth="1" min="12" max="12" width="11.13"/>
    <col customWidth="1" min="13" max="13" width="21.13"/>
    <col customWidth="1" min="14" max="14" width="17.0"/>
    <col customWidth="1" min="15" max="15" width="20.88"/>
    <col customWidth="1" min="16" max="16" width="17.63"/>
    <col customWidth="1" min="17" max="17" width="15.88"/>
    <col customWidth="1" min="18" max="18" width="16.13"/>
    <col customWidth="1" min="19" max="19" width="15.38"/>
    <col customWidth="1" min="20" max="20" width="12.38"/>
    <col customWidth="1" min="21" max="21" width="15.13"/>
    <col customWidth="1" min="22" max="22" width="18.88"/>
    <col customWidth="1" min="23" max="23" width="15.88"/>
    <col customWidth="1" min="24" max="24" width="15.38"/>
    <col customWidth="1" min="25" max="25" width="16.13"/>
    <col customWidth="1" min="26" max="26" width="14.63"/>
    <col customWidth="1" min="27" max="27" width="15.0"/>
    <col customWidth="1" min="28" max="28" width="14.13"/>
  </cols>
  <sheetData>
    <row r="1" ht="20.25" customHeight="1">
      <c r="A1" s="11" t="s">
        <v>0</v>
      </c>
      <c r="B1" s="11" t="s">
        <v>1</v>
      </c>
      <c r="C1" s="11" t="s">
        <v>2</v>
      </c>
      <c r="D1" s="11" t="s">
        <v>3</v>
      </c>
      <c r="E1" s="15" t="s">
        <v>597</v>
      </c>
      <c r="F1" s="13" t="s">
        <v>598</v>
      </c>
      <c r="G1" s="15" t="s">
        <v>867</v>
      </c>
      <c r="H1" s="13" t="s">
        <v>869</v>
      </c>
      <c r="I1" s="13" t="s">
        <v>600</v>
      </c>
      <c r="J1" s="13" t="s">
        <v>1293</v>
      </c>
      <c r="K1" s="13" t="s">
        <v>601</v>
      </c>
      <c r="L1" s="15" t="s">
        <v>871</v>
      </c>
      <c r="M1" s="13" t="s">
        <v>602</v>
      </c>
      <c r="N1" s="13" t="s">
        <v>603</v>
      </c>
      <c r="O1" s="13" t="s">
        <v>604</v>
      </c>
      <c r="P1" s="13" t="s">
        <v>605</v>
      </c>
      <c r="Q1" s="13" t="s">
        <v>606</v>
      </c>
      <c r="R1" s="13" t="s">
        <v>11</v>
      </c>
      <c r="S1" s="13" t="s">
        <v>607</v>
      </c>
      <c r="T1" s="13" t="s">
        <v>608</v>
      </c>
      <c r="U1" s="13" t="s">
        <v>609</v>
      </c>
      <c r="V1" s="13" t="s">
        <v>15</v>
      </c>
      <c r="W1" s="13" t="s">
        <v>610</v>
      </c>
      <c r="X1" s="13" t="s">
        <v>16</v>
      </c>
      <c r="Y1" s="13" t="s">
        <v>611</v>
      </c>
      <c r="Z1" s="13" t="s">
        <v>612</v>
      </c>
      <c r="AA1" s="13" t="s">
        <v>18</v>
      </c>
      <c r="AB1" s="13" t="s">
        <v>19</v>
      </c>
    </row>
    <row r="2" ht="15.75" customHeight="1">
      <c r="A2" s="27">
        <v>8.0</v>
      </c>
      <c r="B2" s="28" t="s">
        <v>20</v>
      </c>
      <c r="C2" s="27" t="s">
        <v>1530</v>
      </c>
      <c r="D2" s="4" t="s">
        <v>1531</v>
      </c>
      <c r="E2" s="29" t="s">
        <v>417</v>
      </c>
      <c r="F2" s="29" t="s">
        <v>417</v>
      </c>
      <c r="G2" s="29" t="s">
        <v>417</v>
      </c>
      <c r="H2" s="29" t="s">
        <v>417</v>
      </c>
      <c r="I2" s="30" t="s">
        <v>1532</v>
      </c>
      <c r="J2" s="29" t="s">
        <v>417</v>
      </c>
      <c r="K2" s="31" t="s">
        <v>897</v>
      </c>
      <c r="L2" s="32"/>
      <c r="M2" s="29" t="s">
        <v>1533</v>
      </c>
      <c r="N2" s="29" t="s">
        <v>1534</v>
      </c>
      <c r="O2" s="33"/>
      <c r="P2" s="33"/>
      <c r="Q2" s="33"/>
      <c r="R2" s="29" t="s">
        <v>1535</v>
      </c>
      <c r="S2" s="30" t="s">
        <v>1536</v>
      </c>
      <c r="T2" s="29" t="s">
        <v>894</v>
      </c>
      <c r="U2" s="29" t="s">
        <v>417</v>
      </c>
      <c r="V2" s="29" t="s">
        <v>417</v>
      </c>
      <c r="W2" s="29"/>
      <c r="X2" s="29" t="s">
        <v>1537</v>
      </c>
      <c r="Y2" s="29" t="s">
        <v>26</v>
      </c>
      <c r="Z2" s="29" t="s">
        <v>417</v>
      </c>
      <c r="AA2" s="29" t="s">
        <v>1538</v>
      </c>
      <c r="AB2" s="29" t="s">
        <v>1539</v>
      </c>
    </row>
    <row r="3" ht="15.75" customHeight="1">
      <c r="A3" s="27">
        <v>8.0</v>
      </c>
      <c r="B3" s="28" t="s">
        <v>35</v>
      </c>
      <c r="C3" s="27" t="s">
        <v>1540</v>
      </c>
      <c r="D3" s="4" t="s">
        <v>1541</v>
      </c>
      <c r="E3" s="29" t="s">
        <v>1542</v>
      </c>
      <c r="F3" s="29" t="s">
        <v>1543</v>
      </c>
      <c r="G3" s="29" t="s">
        <v>1542</v>
      </c>
      <c r="H3" s="29" t="s">
        <v>1542</v>
      </c>
      <c r="I3" s="30" t="s">
        <v>1544</v>
      </c>
      <c r="J3" s="29" t="s">
        <v>208</v>
      </c>
      <c r="K3" s="31" t="s">
        <v>38</v>
      </c>
      <c r="L3" s="32"/>
      <c r="M3" s="29" t="s">
        <v>427</v>
      </c>
      <c r="N3" s="29" t="s">
        <v>1542</v>
      </c>
      <c r="O3" s="30" t="s">
        <v>1545</v>
      </c>
      <c r="P3" s="29" t="s">
        <v>1546</v>
      </c>
      <c r="Q3" s="29" t="s">
        <v>1542</v>
      </c>
      <c r="R3" s="29" t="s">
        <v>1542</v>
      </c>
      <c r="S3" s="29" t="s">
        <v>208</v>
      </c>
      <c r="T3" s="29" t="s">
        <v>427</v>
      </c>
      <c r="U3" s="29" t="s">
        <v>1542</v>
      </c>
      <c r="V3" s="29" t="s">
        <v>1542</v>
      </c>
      <c r="W3" s="29"/>
      <c r="X3" s="29" t="s">
        <v>1542</v>
      </c>
      <c r="Y3" s="29" t="s">
        <v>1547</v>
      </c>
      <c r="Z3" s="29" t="s">
        <v>1542</v>
      </c>
      <c r="AA3" s="29" t="s">
        <v>1542</v>
      </c>
      <c r="AB3" s="29" t="s">
        <v>38</v>
      </c>
    </row>
    <row r="4" ht="15.75" customHeight="1">
      <c r="A4" s="27">
        <v>8.0</v>
      </c>
      <c r="B4" s="28" t="s">
        <v>925</v>
      </c>
      <c r="C4" s="27" t="s">
        <v>1548</v>
      </c>
      <c r="D4" s="4" t="s">
        <v>1549</v>
      </c>
      <c r="E4" s="29" t="s">
        <v>928</v>
      </c>
      <c r="F4" s="29" t="s">
        <v>928</v>
      </c>
      <c r="G4" s="29" t="s">
        <v>928</v>
      </c>
      <c r="H4" s="34"/>
      <c r="I4" s="29" t="s">
        <v>928</v>
      </c>
      <c r="J4" s="29" t="s">
        <v>928</v>
      </c>
      <c r="K4" s="29" t="s">
        <v>928</v>
      </c>
      <c r="L4" s="32"/>
      <c r="M4" s="29" t="s">
        <v>928</v>
      </c>
      <c r="N4" s="29" t="s">
        <v>928</v>
      </c>
      <c r="O4" s="30" t="s">
        <v>928</v>
      </c>
      <c r="P4" s="29" t="s">
        <v>928</v>
      </c>
      <c r="Q4" s="29" t="s">
        <v>928</v>
      </c>
      <c r="R4" s="30" t="s">
        <v>928</v>
      </c>
      <c r="S4" s="29" t="s">
        <v>928</v>
      </c>
      <c r="T4" s="30" t="s">
        <v>928</v>
      </c>
      <c r="U4" s="29" t="s">
        <v>928</v>
      </c>
      <c r="V4" s="29" t="s">
        <v>928</v>
      </c>
      <c r="W4" s="29" t="s">
        <v>928</v>
      </c>
      <c r="X4" s="29" t="s">
        <v>928</v>
      </c>
      <c r="Y4" s="29" t="s">
        <v>928</v>
      </c>
      <c r="Z4" s="29" t="s">
        <v>928</v>
      </c>
      <c r="AA4" s="29" t="s">
        <v>928</v>
      </c>
      <c r="AB4" s="29" t="s">
        <v>928</v>
      </c>
    </row>
    <row r="5" ht="15.75" customHeight="1">
      <c r="A5" s="27">
        <v>8.0</v>
      </c>
      <c r="B5" s="28" t="s">
        <v>930</v>
      </c>
      <c r="C5" s="27" t="s">
        <v>1550</v>
      </c>
      <c r="D5" s="4" t="s">
        <v>1551</v>
      </c>
      <c r="E5" s="29"/>
      <c r="F5" s="33"/>
      <c r="G5" s="29"/>
      <c r="H5" s="30" t="s">
        <v>1552</v>
      </c>
      <c r="I5" s="29" t="s">
        <v>934</v>
      </c>
      <c r="J5" s="29" t="s">
        <v>934</v>
      </c>
      <c r="K5" s="29" t="s">
        <v>934</v>
      </c>
      <c r="L5" s="32"/>
      <c r="M5" s="29" t="s">
        <v>934</v>
      </c>
      <c r="N5" s="29" t="s">
        <v>934</v>
      </c>
      <c r="O5" s="30" t="s">
        <v>934</v>
      </c>
      <c r="P5" s="29" t="s">
        <v>934</v>
      </c>
      <c r="Q5" s="30" t="s">
        <v>934</v>
      </c>
      <c r="R5" s="30" t="s">
        <v>934</v>
      </c>
      <c r="S5" s="30" t="s">
        <v>934</v>
      </c>
      <c r="T5" s="30" t="s">
        <v>934</v>
      </c>
      <c r="U5" s="29" t="s">
        <v>934</v>
      </c>
      <c r="V5" s="29" t="s">
        <v>934</v>
      </c>
      <c r="W5" s="29" t="s">
        <v>934</v>
      </c>
      <c r="X5" s="29" t="s">
        <v>934</v>
      </c>
      <c r="Y5" s="35"/>
      <c r="Z5" s="29" t="s">
        <v>934</v>
      </c>
      <c r="AA5" s="29" t="s">
        <v>934</v>
      </c>
      <c r="AB5" s="29" t="s">
        <v>934</v>
      </c>
    </row>
    <row r="6" ht="15.75" customHeight="1">
      <c r="A6" s="27">
        <v>8.0</v>
      </c>
      <c r="B6" s="28" t="s">
        <v>193</v>
      </c>
      <c r="C6" s="27" t="s">
        <v>1553</v>
      </c>
      <c r="D6" s="4" t="s">
        <v>614</v>
      </c>
      <c r="E6" s="27">
        <v>2014.0</v>
      </c>
      <c r="F6" s="34">
        <v>2016.0</v>
      </c>
      <c r="G6" s="27">
        <v>2020.0</v>
      </c>
      <c r="H6" s="34">
        <v>2018.0</v>
      </c>
      <c r="I6" s="34">
        <v>2015.0</v>
      </c>
      <c r="J6" s="34">
        <v>2017.0</v>
      </c>
      <c r="K6" s="34">
        <v>2016.0</v>
      </c>
      <c r="L6" s="32"/>
      <c r="M6" s="34">
        <v>2017.0</v>
      </c>
      <c r="N6" s="34">
        <v>2017.0</v>
      </c>
      <c r="O6" s="34">
        <v>2017.0</v>
      </c>
      <c r="P6" s="34">
        <v>2019.0</v>
      </c>
      <c r="Q6" s="34">
        <v>2016.0</v>
      </c>
      <c r="R6" s="34">
        <v>2019.0</v>
      </c>
      <c r="S6" s="34">
        <v>2014.0</v>
      </c>
      <c r="T6" s="34">
        <v>2019.0</v>
      </c>
      <c r="U6" s="34">
        <v>2018.0</v>
      </c>
      <c r="V6" s="34">
        <v>2019.0</v>
      </c>
      <c r="W6" s="34">
        <v>2015.0</v>
      </c>
      <c r="X6" s="34">
        <v>2015.0</v>
      </c>
      <c r="Y6" s="34">
        <v>2019.0</v>
      </c>
      <c r="Z6" s="34">
        <v>2016.0</v>
      </c>
      <c r="AA6" s="34">
        <v>2016.0</v>
      </c>
      <c r="AB6" s="34">
        <v>2018.0</v>
      </c>
    </row>
    <row r="7" ht="15.75" customHeight="1">
      <c r="A7" s="27">
        <v>8.0</v>
      </c>
      <c r="B7" s="28" t="s">
        <v>227</v>
      </c>
      <c r="C7" s="27" t="s">
        <v>1554</v>
      </c>
      <c r="D7" s="4" t="s">
        <v>1555</v>
      </c>
      <c r="E7" s="27">
        <v>2014.0</v>
      </c>
      <c r="F7" s="34">
        <v>2016.0</v>
      </c>
      <c r="G7" s="27">
        <v>2020.0</v>
      </c>
      <c r="H7" s="34">
        <v>2018.0</v>
      </c>
      <c r="I7" s="34">
        <v>2015.0</v>
      </c>
      <c r="J7" s="34">
        <v>2017.0</v>
      </c>
      <c r="K7" s="34">
        <v>2016.0</v>
      </c>
      <c r="L7" s="32"/>
      <c r="M7" s="34">
        <v>2017.0</v>
      </c>
      <c r="N7" s="34">
        <v>2017.0</v>
      </c>
      <c r="O7" s="34">
        <v>2017.0</v>
      </c>
      <c r="P7" s="34">
        <v>2019.0</v>
      </c>
      <c r="Q7" s="34">
        <v>2016.0</v>
      </c>
      <c r="R7" s="34">
        <v>2019.0</v>
      </c>
      <c r="S7" s="34">
        <v>2014.0</v>
      </c>
      <c r="T7" s="34">
        <v>2019.0</v>
      </c>
      <c r="U7" s="34">
        <v>2018.0</v>
      </c>
      <c r="V7" s="34">
        <v>2019.0</v>
      </c>
      <c r="W7" s="34">
        <v>2015.0</v>
      </c>
      <c r="X7" s="34">
        <v>2015.0</v>
      </c>
      <c r="Y7" s="34">
        <v>2019.0</v>
      </c>
      <c r="Z7" s="34">
        <v>2016.0</v>
      </c>
      <c r="AA7" s="34">
        <v>2016.0</v>
      </c>
      <c r="AB7" s="34">
        <v>2018.0</v>
      </c>
    </row>
    <row r="8" ht="15.75" customHeight="1">
      <c r="A8" s="27">
        <v>8.0</v>
      </c>
      <c r="B8" s="28" t="s">
        <v>882</v>
      </c>
      <c r="C8" s="27" t="s">
        <v>1556</v>
      </c>
      <c r="D8" s="4" t="s">
        <v>1557</v>
      </c>
      <c r="E8" s="27">
        <v>2014.0</v>
      </c>
      <c r="F8" s="34">
        <v>2016.0</v>
      </c>
      <c r="G8" s="27">
        <v>2020.0</v>
      </c>
      <c r="H8" s="34">
        <v>2018.0</v>
      </c>
      <c r="I8" s="34">
        <v>2015.0</v>
      </c>
      <c r="J8" s="34">
        <v>2017.0</v>
      </c>
      <c r="K8" s="34">
        <v>2016.0</v>
      </c>
      <c r="L8" s="32"/>
      <c r="M8" s="34">
        <v>2017.0</v>
      </c>
      <c r="N8" s="34">
        <v>2017.0</v>
      </c>
      <c r="O8" s="34">
        <v>2017.0</v>
      </c>
      <c r="P8" s="34">
        <v>2019.0</v>
      </c>
      <c r="Q8" s="34">
        <v>2016.0</v>
      </c>
      <c r="R8" s="34">
        <v>2019.0</v>
      </c>
      <c r="S8" s="34">
        <v>2014.0</v>
      </c>
      <c r="T8" s="34">
        <v>2019.0</v>
      </c>
      <c r="U8" s="34">
        <v>2018.0</v>
      </c>
      <c r="V8" s="34">
        <v>2019.0</v>
      </c>
      <c r="W8" s="34">
        <v>2015.0</v>
      </c>
      <c r="X8" s="34">
        <v>2015.0</v>
      </c>
      <c r="Y8" s="34">
        <v>2019.0</v>
      </c>
      <c r="Z8" s="34">
        <v>2016.0</v>
      </c>
      <c r="AA8" s="34">
        <v>2016.0</v>
      </c>
      <c r="AB8" s="34">
        <v>2018.0</v>
      </c>
    </row>
    <row r="9" ht="15.75" customHeight="1">
      <c r="A9" s="27">
        <v>8.0</v>
      </c>
      <c r="B9" s="28" t="s">
        <v>621</v>
      </c>
      <c r="C9" s="27" t="s">
        <v>1558</v>
      </c>
      <c r="D9" s="4" t="s">
        <v>1559</v>
      </c>
      <c r="E9" s="27">
        <v>2014.0</v>
      </c>
      <c r="F9" s="34">
        <v>2016.0</v>
      </c>
      <c r="G9" s="27">
        <v>2020.0</v>
      </c>
      <c r="H9" s="34">
        <v>2018.0</v>
      </c>
      <c r="I9" s="34">
        <v>2015.0</v>
      </c>
      <c r="J9" s="34">
        <v>2017.0</v>
      </c>
      <c r="K9" s="34">
        <v>2016.0</v>
      </c>
      <c r="L9" s="32"/>
      <c r="M9" s="34">
        <v>2017.0</v>
      </c>
      <c r="N9" s="34">
        <v>2017.0</v>
      </c>
      <c r="O9" s="34">
        <v>2017.0</v>
      </c>
      <c r="P9" s="34">
        <v>2019.0</v>
      </c>
      <c r="Q9" s="34">
        <v>2016.0</v>
      </c>
      <c r="R9" s="34">
        <v>2019.0</v>
      </c>
      <c r="S9" s="34">
        <v>2014.0</v>
      </c>
      <c r="T9" s="34">
        <v>2019.0</v>
      </c>
      <c r="U9" s="34">
        <v>2018.0</v>
      </c>
      <c r="V9" s="34">
        <v>2019.0</v>
      </c>
      <c r="W9" s="34">
        <v>2015.0</v>
      </c>
      <c r="X9" s="34">
        <v>2015.0</v>
      </c>
      <c r="Y9" s="34">
        <v>2019.0</v>
      </c>
      <c r="Z9" s="34">
        <v>2016.0</v>
      </c>
      <c r="AA9" s="34">
        <v>2016.0</v>
      </c>
      <c r="AB9" s="34">
        <v>2018.0</v>
      </c>
    </row>
    <row r="10" ht="15.75" customHeight="1">
      <c r="A10" s="27">
        <v>8.0</v>
      </c>
      <c r="B10" s="28" t="s">
        <v>1560</v>
      </c>
      <c r="C10" s="27" t="s">
        <v>1561</v>
      </c>
      <c r="D10" s="4" t="s">
        <v>1562</v>
      </c>
      <c r="E10" s="27">
        <v>2014.0</v>
      </c>
      <c r="F10" s="34">
        <v>2016.0</v>
      </c>
      <c r="G10" s="27">
        <v>2020.0</v>
      </c>
      <c r="H10" s="34">
        <v>2018.0</v>
      </c>
      <c r="I10" s="34">
        <v>2015.0</v>
      </c>
      <c r="J10" s="34">
        <v>2017.0</v>
      </c>
      <c r="K10" s="34">
        <v>2016.0</v>
      </c>
      <c r="L10" s="32"/>
      <c r="M10" s="34">
        <v>2017.0</v>
      </c>
      <c r="N10" s="34">
        <v>2017.0</v>
      </c>
      <c r="O10" s="34">
        <v>2017.0</v>
      </c>
      <c r="P10" s="34">
        <v>2019.0</v>
      </c>
      <c r="Q10" s="34">
        <v>2016.0</v>
      </c>
      <c r="R10" s="34">
        <v>2019.0</v>
      </c>
      <c r="S10" s="34">
        <v>2014.0</v>
      </c>
      <c r="T10" s="34">
        <v>2019.0</v>
      </c>
      <c r="U10" s="34">
        <v>2018.0</v>
      </c>
      <c r="V10" s="34">
        <v>2019.0</v>
      </c>
      <c r="W10" s="34">
        <v>2015.0</v>
      </c>
      <c r="X10" s="34">
        <v>2015.0</v>
      </c>
      <c r="Y10" s="34">
        <v>2019.0</v>
      </c>
      <c r="Z10" s="34">
        <v>2016.0</v>
      </c>
      <c r="AA10" s="34">
        <v>2016.0</v>
      </c>
      <c r="AB10" s="34">
        <v>2018.0</v>
      </c>
    </row>
    <row r="11" ht="15.75" customHeight="1">
      <c r="A11" s="27">
        <v>8.0</v>
      </c>
      <c r="B11" s="28"/>
      <c r="C11" s="27" t="s">
        <v>1563</v>
      </c>
      <c r="D11" s="4" t="s">
        <v>1564</v>
      </c>
      <c r="E11" s="27">
        <v>2014.0</v>
      </c>
      <c r="F11" s="34">
        <v>2016.0</v>
      </c>
      <c r="G11" s="27">
        <v>2020.0</v>
      </c>
      <c r="H11" s="34">
        <v>2018.0</v>
      </c>
      <c r="I11" s="34">
        <v>2015.0</v>
      </c>
      <c r="J11" s="34">
        <v>2017.0</v>
      </c>
      <c r="K11" s="34">
        <v>2016.0</v>
      </c>
      <c r="L11" s="32"/>
      <c r="M11" s="34">
        <v>2017.0</v>
      </c>
      <c r="N11" s="34">
        <v>2017.0</v>
      </c>
      <c r="O11" s="34">
        <v>2017.0</v>
      </c>
      <c r="P11" s="34">
        <v>2019.0</v>
      </c>
      <c r="Q11" s="34">
        <v>2016.0</v>
      </c>
      <c r="R11" s="34">
        <v>2019.0</v>
      </c>
      <c r="S11" s="34">
        <v>2014.0</v>
      </c>
      <c r="T11" s="34">
        <v>2019.0</v>
      </c>
      <c r="U11" s="34">
        <v>2018.0</v>
      </c>
      <c r="V11" s="34">
        <v>2019.0</v>
      </c>
      <c r="W11" s="34">
        <v>2015.0</v>
      </c>
      <c r="X11" s="34">
        <v>2015.0</v>
      </c>
      <c r="Y11" s="34">
        <v>2019.0</v>
      </c>
      <c r="Z11" s="34">
        <v>2016.0</v>
      </c>
      <c r="AA11" s="34">
        <v>2016.0</v>
      </c>
      <c r="AB11" s="34">
        <v>2018.0</v>
      </c>
    </row>
    <row r="12" ht="15.75" customHeight="1">
      <c r="A12" s="27">
        <v>8.0</v>
      </c>
      <c r="B12" s="28"/>
      <c r="C12" s="27" t="s">
        <v>1565</v>
      </c>
      <c r="D12" s="4" t="s">
        <v>1566</v>
      </c>
      <c r="E12" s="27">
        <v>2014.0</v>
      </c>
      <c r="F12" s="34">
        <v>2016.0</v>
      </c>
      <c r="G12" s="27">
        <v>2020.0</v>
      </c>
      <c r="H12" s="30" t="s">
        <v>1567</v>
      </c>
      <c r="I12" s="34" t="s">
        <v>1568</v>
      </c>
      <c r="J12" s="34" t="s">
        <v>1569</v>
      </c>
      <c r="K12" s="34" t="s">
        <v>1570</v>
      </c>
      <c r="L12" s="32"/>
      <c r="M12" s="34" t="s">
        <v>1571</v>
      </c>
      <c r="N12" s="34" t="s">
        <v>1572</v>
      </c>
      <c r="O12" s="34" t="s">
        <v>1573</v>
      </c>
      <c r="P12" s="34" t="s">
        <v>1574</v>
      </c>
      <c r="Q12" s="34" t="s">
        <v>1575</v>
      </c>
      <c r="R12" s="34" t="s">
        <v>1576</v>
      </c>
      <c r="S12" s="34" t="s">
        <v>1577</v>
      </c>
      <c r="T12" s="34" t="s">
        <v>1578</v>
      </c>
      <c r="U12" s="34" t="s">
        <v>1579</v>
      </c>
      <c r="V12" s="34" t="s">
        <v>1578</v>
      </c>
      <c r="W12" s="34" t="s">
        <v>1580</v>
      </c>
      <c r="X12" s="34" t="s">
        <v>1581</v>
      </c>
      <c r="Y12" s="34" t="s">
        <v>1582</v>
      </c>
      <c r="Z12" s="34" t="s">
        <v>1570</v>
      </c>
      <c r="AA12" s="34" t="s">
        <v>1583</v>
      </c>
      <c r="AB12" s="34" t="s">
        <v>1584</v>
      </c>
    </row>
    <row r="13" ht="15.75" customHeight="1">
      <c r="A13" s="27">
        <v>8.0</v>
      </c>
      <c r="B13" s="28" t="s">
        <v>59</v>
      </c>
      <c r="C13" s="36" t="s">
        <v>1585</v>
      </c>
      <c r="D13" s="4" t="s">
        <v>1586</v>
      </c>
      <c r="E13" s="32"/>
      <c r="F13" s="33"/>
      <c r="G13" s="32"/>
      <c r="H13" s="33"/>
      <c r="I13" s="33"/>
      <c r="J13" s="33"/>
      <c r="K13" s="34" t="s">
        <v>1587</v>
      </c>
      <c r="L13" s="32"/>
      <c r="M13" s="34" t="s">
        <v>1587</v>
      </c>
      <c r="N13" s="34" t="s">
        <v>1588</v>
      </c>
      <c r="O13" s="34" t="s">
        <v>1589</v>
      </c>
      <c r="P13" s="34" t="s">
        <v>1587</v>
      </c>
      <c r="Q13" s="34" t="s">
        <v>1587</v>
      </c>
      <c r="R13" s="34" t="s">
        <v>1587</v>
      </c>
      <c r="S13" s="34" t="s">
        <v>1590</v>
      </c>
      <c r="T13" s="34" t="s">
        <v>1590</v>
      </c>
      <c r="U13" s="34" t="s">
        <v>1587</v>
      </c>
      <c r="V13" s="34" t="s">
        <v>1587</v>
      </c>
      <c r="W13" s="34" t="s">
        <v>1587</v>
      </c>
      <c r="X13" s="34" t="s">
        <v>1587</v>
      </c>
      <c r="Y13" s="34" t="s">
        <v>1591</v>
      </c>
      <c r="Z13" s="34" t="s">
        <v>1587</v>
      </c>
      <c r="AA13" s="34" t="s">
        <v>1587</v>
      </c>
      <c r="AB13" s="34" t="s">
        <v>1587</v>
      </c>
    </row>
    <row r="14" ht="15.75" customHeight="1">
      <c r="A14" s="27">
        <v>8.0</v>
      </c>
      <c r="B14" s="28" t="s">
        <v>1592</v>
      </c>
      <c r="C14" s="27" t="s">
        <v>1593</v>
      </c>
      <c r="D14" s="4" t="s">
        <v>1594</v>
      </c>
      <c r="E14" s="32"/>
      <c r="F14" s="33"/>
      <c r="G14" s="32"/>
      <c r="H14" s="33"/>
      <c r="I14" s="33"/>
      <c r="J14" s="33"/>
      <c r="K14" s="34" t="s">
        <v>1595</v>
      </c>
      <c r="L14" s="32"/>
      <c r="M14" s="34" t="s">
        <v>1596</v>
      </c>
      <c r="N14" s="30" t="s">
        <v>1597</v>
      </c>
      <c r="O14" s="34" t="s">
        <v>1598</v>
      </c>
      <c r="P14" s="30" t="s">
        <v>1599</v>
      </c>
      <c r="Q14" s="30" t="s">
        <v>1600</v>
      </c>
      <c r="R14" s="34" t="s">
        <v>1601</v>
      </c>
      <c r="S14" s="34" t="s">
        <v>1602</v>
      </c>
      <c r="T14" s="34" t="s">
        <v>1603</v>
      </c>
      <c r="U14" s="34" t="s">
        <v>1604</v>
      </c>
      <c r="V14" s="34" t="s">
        <v>1605</v>
      </c>
      <c r="W14" s="34" t="s">
        <v>1606</v>
      </c>
      <c r="X14" s="34" t="s">
        <v>1607</v>
      </c>
      <c r="Y14" s="34" t="s">
        <v>1608</v>
      </c>
      <c r="Z14" s="34" t="s">
        <v>1609</v>
      </c>
      <c r="AA14" s="34" t="s">
        <v>1610</v>
      </c>
      <c r="AB14" s="34" t="s">
        <v>1611</v>
      </c>
    </row>
    <row r="15" ht="15.75" customHeight="1">
      <c r="A15" s="27">
        <v>8.0</v>
      </c>
      <c r="B15" s="28" t="s">
        <v>437</v>
      </c>
      <c r="C15" s="27" t="s">
        <v>191</v>
      </c>
      <c r="D15" s="4" t="s">
        <v>1612</v>
      </c>
      <c r="E15" s="32"/>
      <c r="F15" s="33"/>
      <c r="G15" s="32"/>
      <c r="H15" s="33"/>
      <c r="I15" s="33"/>
      <c r="J15" s="33"/>
      <c r="K15" s="30" t="s">
        <v>1587</v>
      </c>
      <c r="L15" s="32"/>
      <c r="M15" s="34" t="s">
        <v>1587</v>
      </c>
      <c r="N15" s="34" t="s">
        <v>1613</v>
      </c>
      <c r="O15" s="34" t="s">
        <v>1589</v>
      </c>
      <c r="P15" s="34" t="s">
        <v>1587</v>
      </c>
      <c r="Q15" s="34" t="s">
        <v>1587</v>
      </c>
      <c r="R15" s="34" t="s">
        <v>1587</v>
      </c>
      <c r="S15" s="34" t="s">
        <v>1614</v>
      </c>
      <c r="T15" s="34" t="s">
        <v>1614</v>
      </c>
      <c r="U15" s="34" t="s">
        <v>1587</v>
      </c>
      <c r="V15" s="34" t="s">
        <v>1587</v>
      </c>
      <c r="W15" s="34" t="s">
        <v>1587</v>
      </c>
      <c r="X15" s="34" t="s">
        <v>1587</v>
      </c>
      <c r="Y15" s="34" t="s">
        <v>1615</v>
      </c>
      <c r="Z15" s="34" t="s">
        <v>1587</v>
      </c>
      <c r="AA15" s="34" t="s">
        <v>1587</v>
      </c>
      <c r="AB15" s="34" t="s">
        <v>1587</v>
      </c>
    </row>
    <row r="16" ht="15.75" customHeight="1">
      <c r="A16" s="27">
        <v>8.0</v>
      </c>
      <c r="B16" s="28" t="s">
        <v>223</v>
      </c>
      <c r="C16" s="27" t="s">
        <v>194</v>
      </c>
      <c r="D16" s="4" t="s">
        <v>1616</v>
      </c>
      <c r="E16" s="32"/>
      <c r="F16" s="33"/>
      <c r="G16" s="32"/>
      <c r="H16" s="33"/>
      <c r="I16" s="33"/>
      <c r="J16" s="33"/>
      <c r="K16" s="34" t="s">
        <v>232</v>
      </c>
      <c r="L16" s="32"/>
      <c r="M16" s="34" t="s">
        <v>232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5.75" customHeight="1">
      <c r="A17" s="27">
        <v>8.0</v>
      </c>
      <c r="B17" s="28" t="s">
        <v>43</v>
      </c>
      <c r="C17" s="27" t="s">
        <v>1315</v>
      </c>
      <c r="D17" s="4" t="s">
        <v>1617</v>
      </c>
      <c r="E17" s="27" t="s">
        <v>1618</v>
      </c>
      <c r="F17" s="34" t="s">
        <v>1618</v>
      </c>
      <c r="G17" s="27" t="s">
        <v>65</v>
      </c>
      <c r="H17" s="37" t="s">
        <v>448</v>
      </c>
      <c r="I17" s="37" t="s">
        <v>66</v>
      </c>
      <c r="J17" s="34" t="s">
        <v>232</v>
      </c>
      <c r="K17" s="33"/>
      <c r="L17" s="32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5.75" customHeight="1">
      <c r="A18" s="27">
        <v>8.0</v>
      </c>
      <c r="B18" s="28"/>
      <c r="C18" s="27" t="s">
        <v>1619</v>
      </c>
      <c r="D18" s="4" t="s">
        <v>1620</v>
      </c>
      <c r="E18" s="32"/>
      <c r="F18" s="33"/>
      <c r="G18" s="27" t="s">
        <v>65</v>
      </c>
      <c r="H18" s="37" t="s">
        <v>448</v>
      </c>
      <c r="I18" s="37" t="s">
        <v>66</v>
      </c>
      <c r="J18" s="34" t="s">
        <v>232</v>
      </c>
      <c r="K18" s="33"/>
      <c r="L18" s="32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15.75" customHeight="1">
      <c r="A19" s="27">
        <v>8.0</v>
      </c>
      <c r="B19" s="28"/>
      <c r="C19" s="27" t="s">
        <v>1621</v>
      </c>
      <c r="D19" s="4" t="s">
        <v>1622</v>
      </c>
      <c r="E19" s="32"/>
      <c r="F19" s="33"/>
      <c r="G19" s="27" t="s">
        <v>65</v>
      </c>
      <c r="H19" s="37" t="s">
        <v>448</v>
      </c>
      <c r="I19" s="37" t="s">
        <v>66</v>
      </c>
      <c r="J19" s="34" t="s">
        <v>232</v>
      </c>
      <c r="K19" s="33"/>
      <c r="L19" s="32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15.75" customHeight="1">
      <c r="A20" s="27">
        <v>8.0</v>
      </c>
      <c r="B20" s="28"/>
      <c r="C20" s="27" t="s">
        <v>1623</v>
      </c>
      <c r="D20" s="4" t="s">
        <v>1624</v>
      </c>
      <c r="E20" s="32"/>
      <c r="F20" s="33"/>
      <c r="G20" s="27" t="s">
        <v>65</v>
      </c>
      <c r="H20" s="37" t="s">
        <v>448</v>
      </c>
      <c r="I20" s="37" t="s">
        <v>66</v>
      </c>
      <c r="J20" s="34" t="s">
        <v>232</v>
      </c>
      <c r="K20" s="33"/>
      <c r="L20" s="32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15.75" customHeight="1">
      <c r="A21" s="27">
        <v>8.0</v>
      </c>
      <c r="B21" s="28"/>
      <c r="C21" s="27" t="s">
        <v>60</v>
      </c>
      <c r="D21" s="4" t="s">
        <v>1625</v>
      </c>
      <c r="E21" s="32"/>
      <c r="F21" s="33"/>
      <c r="G21" s="27" t="s">
        <v>65</v>
      </c>
      <c r="H21" s="37" t="s">
        <v>448</v>
      </c>
      <c r="I21" s="37" t="s">
        <v>66</v>
      </c>
      <c r="J21" s="34" t="s">
        <v>232</v>
      </c>
      <c r="K21" s="33"/>
      <c r="L21" s="3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5.75" customHeight="1">
      <c r="A22" s="27">
        <v>8.0</v>
      </c>
      <c r="B22" s="28" t="s">
        <v>1626</v>
      </c>
      <c r="C22" s="27" t="s">
        <v>439</v>
      </c>
      <c r="D22" s="4" t="s">
        <v>1627</v>
      </c>
      <c r="E22" s="27" t="s">
        <v>1628</v>
      </c>
      <c r="F22" s="30" t="s">
        <v>1629</v>
      </c>
      <c r="G22" s="37" t="s">
        <v>1630</v>
      </c>
      <c r="H22" s="34" t="s">
        <v>1631</v>
      </c>
      <c r="I22" s="34" t="s">
        <v>1632</v>
      </c>
      <c r="J22" s="34" t="s">
        <v>1633</v>
      </c>
      <c r="K22" s="34" t="s">
        <v>1634</v>
      </c>
      <c r="L22" s="32"/>
      <c r="M22" s="34" t="s">
        <v>1635</v>
      </c>
      <c r="N22" s="34" t="s">
        <v>1636</v>
      </c>
      <c r="O22" s="34" t="s">
        <v>1637</v>
      </c>
      <c r="P22" s="34" t="s">
        <v>1638</v>
      </c>
      <c r="Q22" s="34" t="s">
        <v>1639</v>
      </c>
      <c r="R22" s="38" t="s">
        <v>1640</v>
      </c>
      <c r="S22" s="34" t="s">
        <v>1641</v>
      </c>
      <c r="T22" s="34" t="s">
        <v>1642</v>
      </c>
      <c r="U22" s="30" t="s">
        <v>1643</v>
      </c>
      <c r="V22" s="34" t="s">
        <v>1644</v>
      </c>
      <c r="W22" s="34" t="s">
        <v>1645</v>
      </c>
      <c r="X22" s="34" t="s">
        <v>1646</v>
      </c>
      <c r="Y22" s="34" t="s">
        <v>1647</v>
      </c>
      <c r="Z22" s="34" t="s">
        <v>1648</v>
      </c>
      <c r="AA22" s="34" t="s">
        <v>1649</v>
      </c>
      <c r="AB22" s="34" t="s">
        <v>1650</v>
      </c>
    </row>
    <row r="23" ht="15.75" customHeight="1">
      <c r="A23" s="27">
        <v>8.0</v>
      </c>
      <c r="B23" s="28" t="s">
        <v>1651</v>
      </c>
      <c r="C23" s="27" t="s">
        <v>441</v>
      </c>
      <c r="D23" s="4" t="s">
        <v>1652</v>
      </c>
      <c r="E23" s="27" t="s">
        <v>1628</v>
      </c>
      <c r="F23" s="30" t="s">
        <v>1629</v>
      </c>
      <c r="G23" s="37" t="s">
        <v>1653</v>
      </c>
      <c r="H23" s="34" t="s">
        <v>1631</v>
      </c>
      <c r="I23" s="34" t="s">
        <v>1632</v>
      </c>
      <c r="J23" s="34" t="s">
        <v>1633</v>
      </c>
      <c r="K23" s="34" t="s">
        <v>1634</v>
      </c>
      <c r="L23" s="32"/>
      <c r="M23" s="34" t="s">
        <v>1635</v>
      </c>
      <c r="N23" s="34" t="s">
        <v>1636</v>
      </c>
      <c r="O23" s="34" t="s">
        <v>1637</v>
      </c>
      <c r="P23" s="34" t="s">
        <v>1638</v>
      </c>
      <c r="Q23" s="34" t="s">
        <v>1639</v>
      </c>
      <c r="R23" s="38" t="s">
        <v>1640</v>
      </c>
      <c r="S23" s="34" t="s">
        <v>1641</v>
      </c>
      <c r="T23" s="34" t="s">
        <v>1642</v>
      </c>
      <c r="U23" s="30" t="s">
        <v>1643</v>
      </c>
      <c r="V23" s="34" t="s">
        <v>1644</v>
      </c>
      <c r="W23" s="34" t="s">
        <v>1645</v>
      </c>
      <c r="X23" s="34" t="s">
        <v>1646</v>
      </c>
      <c r="Y23" s="34" t="s">
        <v>1647</v>
      </c>
      <c r="Z23" s="34" t="s">
        <v>1648</v>
      </c>
      <c r="AA23" s="34" t="s">
        <v>1649</v>
      </c>
      <c r="AB23" s="34" t="s">
        <v>1650</v>
      </c>
    </row>
    <row r="24" ht="15.75" customHeight="1">
      <c r="A24" s="27">
        <v>8.0</v>
      </c>
      <c r="B24" s="28" t="s">
        <v>309</v>
      </c>
      <c r="C24" s="27" t="s">
        <v>1654</v>
      </c>
      <c r="D24" s="4" t="s">
        <v>1655</v>
      </c>
      <c r="E24" s="32"/>
      <c r="F24" s="33"/>
      <c r="G24" s="32"/>
      <c r="H24" s="29" t="s">
        <v>238</v>
      </c>
      <c r="I24" s="29" t="s">
        <v>1656</v>
      </c>
      <c r="J24" s="29" t="s">
        <v>271</v>
      </c>
      <c r="K24" s="29" t="s">
        <v>238</v>
      </c>
      <c r="L24" s="32"/>
      <c r="M24" s="29" t="s">
        <v>238</v>
      </c>
      <c r="N24" s="29" t="s">
        <v>238</v>
      </c>
      <c r="O24" s="30" t="s">
        <v>770</v>
      </c>
      <c r="P24" s="29" t="s">
        <v>238</v>
      </c>
      <c r="Q24" s="29" t="s">
        <v>238</v>
      </c>
      <c r="R24" s="30" t="s">
        <v>238</v>
      </c>
      <c r="S24" s="30" t="s">
        <v>271</v>
      </c>
      <c r="T24" s="29" t="s">
        <v>273</v>
      </c>
      <c r="U24" s="29" t="s">
        <v>238</v>
      </c>
      <c r="V24" s="29" t="s">
        <v>238</v>
      </c>
      <c r="W24" s="29"/>
      <c r="X24" s="29" t="s">
        <v>238</v>
      </c>
      <c r="Y24" s="30" t="s">
        <v>1657</v>
      </c>
      <c r="Z24" s="29" t="s">
        <v>238</v>
      </c>
      <c r="AA24" s="29" t="s">
        <v>238</v>
      </c>
      <c r="AB24" s="29" t="s">
        <v>238</v>
      </c>
    </row>
    <row r="25" ht="15.75" customHeight="1">
      <c r="A25" s="27">
        <v>8.0</v>
      </c>
      <c r="B25" s="28" t="s">
        <v>314</v>
      </c>
      <c r="C25" s="27" t="s">
        <v>1658</v>
      </c>
      <c r="D25" s="4" t="s">
        <v>822</v>
      </c>
      <c r="E25" s="32"/>
      <c r="F25" s="33"/>
      <c r="G25" s="32"/>
      <c r="H25" s="29" t="s">
        <v>1659</v>
      </c>
      <c r="I25" s="29" t="s">
        <v>1660</v>
      </c>
      <c r="J25" s="29" t="s">
        <v>1659</v>
      </c>
      <c r="K25" s="31" t="s">
        <v>1449</v>
      </c>
      <c r="L25" s="32"/>
      <c r="M25" s="29" t="s">
        <v>1661</v>
      </c>
      <c r="N25" s="29" t="s">
        <v>1662</v>
      </c>
      <c r="O25" s="30" t="s">
        <v>1450</v>
      </c>
      <c r="P25" s="29" t="s">
        <v>1659</v>
      </c>
      <c r="Q25" s="29" t="s">
        <v>782</v>
      </c>
      <c r="R25" s="30" t="s">
        <v>1451</v>
      </c>
      <c r="S25" s="30" t="s">
        <v>1663</v>
      </c>
      <c r="T25" s="29" t="s">
        <v>1664</v>
      </c>
      <c r="U25" s="29" t="s">
        <v>1659</v>
      </c>
      <c r="V25" s="29" t="s">
        <v>1659</v>
      </c>
      <c r="W25" s="29"/>
      <c r="X25" s="29" t="s">
        <v>1436</v>
      </c>
      <c r="Y25" s="30" t="s">
        <v>1665</v>
      </c>
      <c r="Z25" s="29" t="s">
        <v>1659</v>
      </c>
      <c r="AA25" s="29" t="s">
        <v>1666</v>
      </c>
      <c r="AB25" s="29" t="s">
        <v>780</v>
      </c>
    </row>
    <row r="26" ht="15.75" customHeight="1">
      <c r="A26" s="27">
        <v>8.0</v>
      </c>
      <c r="B26" s="28"/>
      <c r="C26" s="27" t="s">
        <v>1667</v>
      </c>
      <c r="D26" s="4" t="s">
        <v>1668</v>
      </c>
      <c r="E26" s="32"/>
      <c r="F26" s="33"/>
      <c r="G26" s="32"/>
      <c r="H26" s="29" t="s">
        <v>1669</v>
      </c>
      <c r="I26" s="29" t="s">
        <v>532</v>
      </c>
      <c r="J26" s="29" t="s">
        <v>532</v>
      </c>
      <c r="K26" s="33"/>
      <c r="L26" s="32"/>
      <c r="M26" s="29"/>
      <c r="N26" s="29"/>
      <c r="O26" s="33"/>
      <c r="P26" s="33"/>
      <c r="Q26" s="33"/>
      <c r="R26" s="33"/>
      <c r="S26" s="33"/>
      <c r="T26" s="29"/>
      <c r="U26" s="33"/>
      <c r="V26" s="29"/>
      <c r="W26" s="29"/>
      <c r="X26" s="29"/>
      <c r="Y26" s="33"/>
      <c r="Z26" s="29"/>
      <c r="AA26" s="29"/>
      <c r="AB26" s="29"/>
    </row>
    <row r="27" ht="15.75" customHeight="1">
      <c r="A27" s="27">
        <v>8.0</v>
      </c>
      <c r="B27" s="28" t="s">
        <v>67</v>
      </c>
      <c r="C27" s="27" t="s">
        <v>1670</v>
      </c>
      <c r="D27" s="4" t="s">
        <v>1671</v>
      </c>
      <c r="E27" s="29" t="s">
        <v>1672</v>
      </c>
      <c r="F27" s="30" t="s">
        <v>1673</v>
      </c>
      <c r="G27" s="29" t="s">
        <v>1672</v>
      </c>
      <c r="H27" s="29" t="s">
        <v>1674</v>
      </c>
      <c r="I27" s="29" t="s">
        <v>71</v>
      </c>
      <c r="J27" s="29" t="s">
        <v>1672</v>
      </c>
      <c r="K27" s="29" t="s">
        <v>1672</v>
      </c>
      <c r="L27" s="32"/>
      <c r="M27" s="29" t="s">
        <v>1672</v>
      </c>
      <c r="N27" s="30" t="s">
        <v>71</v>
      </c>
      <c r="O27" s="30" t="s">
        <v>70</v>
      </c>
      <c r="P27" s="29" t="s">
        <v>1672</v>
      </c>
      <c r="Q27" s="29" t="s">
        <v>1675</v>
      </c>
      <c r="R27" s="30" t="s">
        <v>1672</v>
      </c>
      <c r="S27" s="30" t="s">
        <v>70</v>
      </c>
      <c r="T27" s="29" t="s">
        <v>70</v>
      </c>
      <c r="U27" s="29" t="s">
        <v>1672</v>
      </c>
      <c r="V27" s="29" t="s">
        <v>1672</v>
      </c>
      <c r="W27" s="30" t="s">
        <v>1676</v>
      </c>
      <c r="X27" s="29" t="s">
        <v>70</v>
      </c>
      <c r="Y27" s="29" t="s">
        <v>70</v>
      </c>
      <c r="Z27" s="29" t="s">
        <v>1672</v>
      </c>
      <c r="AA27" s="29" t="s">
        <v>70</v>
      </c>
      <c r="AB27" s="29" t="s">
        <v>1672</v>
      </c>
    </row>
    <row r="28" ht="15.75" customHeight="1">
      <c r="A28" s="27">
        <v>8.0</v>
      </c>
      <c r="B28" s="28" t="s">
        <v>72</v>
      </c>
      <c r="C28" s="27" t="s">
        <v>1677</v>
      </c>
      <c r="D28" s="4" t="s">
        <v>683</v>
      </c>
      <c r="E28" s="29" t="s">
        <v>77</v>
      </c>
      <c r="F28" s="29" t="s">
        <v>76</v>
      </c>
      <c r="G28" s="29" t="s">
        <v>77</v>
      </c>
      <c r="H28" s="29" t="s">
        <v>77</v>
      </c>
      <c r="I28" s="29" t="s">
        <v>685</v>
      </c>
      <c r="J28" s="29" t="s">
        <v>76</v>
      </c>
      <c r="K28" s="39" t="s">
        <v>77</v>
      </c>
      <c r="L28" s="32"/>
      <c r="M28" s="29" t="s">
        <v>77</v>
      </c>
      <c r="N28" s="29" t="s">
        <v>77</v>
      </c>
      <c r="O28" s="30" t="s">
        <v>983</v>
      </c>
      <c r="P28" s="29" t="s">
        <v>77</v>
      </c>
      <c r="Q28" s="29" t="s">
        <v>77</v>
      </c>
      <c r="R28" s="29" t="s">
        <v>77</v>
      </c>
      <c r="S28" s="30" t="s">
        <v>76</v>
      </c>
      <c r="T28" s="29" t="s">
        <v>76</v>
      </c>
      <c r="U28" s="29" t="s">
        <v>77</v>
      </c>
      <c r="V28" s="29" t="s">
        <v>77</v>
      </c>
      <c r="W28" s="30"/>
      <c r="X28" s="29" t="s">
        <v>77</v>
      </c>
      <c r="Y28" s="29" t="s">
        <v>1678</v>
      </c>
      <c r="Z28" s="29" t="s">
        <v>77</v>
      </c>
      <c r="AA28" s="29" t="s">
        <v>77</v>
      </c>
      <c r="AB28" s="29" t="s">
        <v>77</v>
      </c>
    </row>
    <row r="29" ht="15.75" customHeight="1">
      <c r="A29" s="27">
        <v>8.0</v>
      </c>
      <c r="B29" s="28" t="s">
        <v>78</v>
      </c>
      <c r="C29" s="27" t="s">
        <v>63</v>
      </c>
      <c r="D29" s="4" t="s">
        <v>690</v>
      </c>
      <c r="E29" s="29" t="s">
        <v>1339</v>
      </c>
      <c r="F29" s="29" t="s">
        <v>1679</v>
      </c>
      <c r="G29" s="29" t="s">
        <v>989</v>
      </c>
      <c r="H29" s="29" t="s">
        <v>990</v>
      </c>
      <c r="I29" s="29" t="s">
        <v>1680</v>
      </c>
      <c r="J29" s="29" t="s">
        <v>1339</v>
      </c>
      <c r="K29" s="39" t="s">
        <v>1681</v>
      </c>
      <c r="L29" s="32"/>
      <c r="M29" s="29" t="s">
        <v>1682</v>
      </c>
      <c r="N29" s="29" t="s">
        <v>1339</v>
      </c>
      <c r="O29" s="29" t="s">
        <v>1683</v>
      </c>
      <c r="P29" s="29" t="s">
        <v>1340</v>
      </c>
      <c r="Q29" s="29" t="s">
        <v>1684</v>
      </c>
      <c r="R29" s="29" t="s">
        <v>1341</v>
      </c>
      <c r="S29" s="29" t="s">
        <v>1685</v>
      </c>
      <c r="T29" s="29" t="s">
        <v>1686</v>
      </c>
      <c r="U29" s="29" t="s">
        <v>1687</v>
      </c>
      <c r="V29" s="29" t="s">
        <v>1339</v>
      </c>
      <c r="W29" s="30" t="s">
        <v>1688</v>
      </c>
      <c r="X29" s="29" t="s">
        <v>1689</v>
      </c>
      <c r="Y29" s="29" t="s">
        <v>1345</v>
      </c>
      <c r="Z29" s="29" t="s">
        <v>1690</v>
      </c>
      <c r="AA29" s="29" t="s">
        <v>1691</v>
      </c>
      <c r="AB29" s="29" t="s">
        <v>1692</v>
      </c>
    </row>
    <row r="30" ht="15.75" customHeight="1">
      <c r="A30" s="27">
        <v>8.0</v>
      </c>
      <c r="B30" s="28" t="s">
        <v>101</v>
      </c>
      <c r="C30" s="27" t="s">
        <v>1693</v>
      </c>
      <c r="D30" s="4" t="s">
        <v>721</v>
      </c>
      <c r="E30" s="29" t="s">
        <v>1350</v>
      </c>
      <c r="F30" s="29" t="s">
        <v>1694</v>
      </c>
      <c r="G30" s="29" t="s">
        <v>1350</v>
      </c>
      <c r="H30" s="29" t="s">
        <v>1350</v>
      </c>
      <c r="I30" s="29" t="s">
        <v>1350</v>
      </c>
      <c r="J30" s="29" t="s">
        <v>1350</v>
      </c>
      <c r="K30" s="33"/>
      <c r="L30" s="32"/>
      <c r="M30" s="29" t="s">
        <v>1695</v>
      </c>
      <c r="N30" s="29" t="s">
        <v>1696</v>
      </c>
      <c r="O30" s="29" t="s">
        <v>1697</v>
      </c>
      <c r="P30" s="29" t="s">
        <v>1350</v>
      </c>
      <c r="Q30" s="29" t="s">
        <v>1698</v>
      </c>
      <c r="R30" s="29" t="s">
        <v>1699</v>
      </c>
      <c r="S30" s="29" t="s">
        <v>105</v>
      </c>
      <c r="T30" s="29" t="s">
        <v>109</v>
      </c>
      <c r="U30" s="29" t="s">
        <v>1350</v>
      </c>
      <c r="V30" s="29" t="s">
        <v>1350</v>
      </c>
      <c r="W30" s="30"/>
      <c r="X30" s="29" t="s">
        <v>109</v>
      </c>
      <c r="Y30" s="29" t="s">
        <v>251</v>
      </c>
      <c r="Z30" s="29" t="s">
        <v>1350</v>
      </c>
      <c r="AA30" s="29" t="s">
        <v>109</v>
      </c>
      <c r="AB30" s="29" t="s">
        <v>1350</v>
      </c>
    </row>
    <row r="31" ht="15.75" customHeight="1">
      <c r="A31" s="27">
        <v>8.0</v>
      </c>
      <c r="B31" s="28" t="s">
        <v>112</v>
      </c>
      <c r="C31" s="27" t="s">
        <v>1700</v>
      </c>
      <c r="D31" s="4" t="s">
        <v>727</v>
      </c>
      <c r="E31" s="29" t="s">
        <v>1371</v>
      </c>
      <c r="F31" s="29" t="s">
        <v>1701</v>
      </c>
      <c r="G31" s="29" t="s">
        <v>1371</v>
      </c>
      <c r="H31" s="34"/>
      <c r="I31" s="29" t="s">
        <v>1371</v>
      </c>
      <c r="J31" s="29" t="s">
        <v>1371</v>
      </c>
      <c r="K31" s="29" t="s">
        <v>1702</v>
      </c>
      <c r="L31" s="32"/>
      <c r="M31" s="29" t="s">
        <v>1371</v>
      </c>
      <c r="N31" s="29" t="s">
        <v>1703</v>
      </c>
      <c r="O31" s="29" t="s">
        <v>1371</v>
      </c>
      <c r="P31" s="29" t="s">
        <v>1371</v>
      </c>
      <c r="Q31" s="29" t="s">
        <v>1371</v>
      </c>
      <c r="R31" s="29" t="s">
        <v>1371</v>
      </c>
      <c r="S31" s="29" t="s">
        <v>1371</v>
      </c>
      <c r="T31" s="29" t="s">
        <v>1704</v>
      </c>
      <c r="U31" s="29" t="s">
        <v>1371</v>
      </c>
      <c r="V31" s="29" t="s">
        <v>1371</v>
      </c>
      <c r="W31" s="29"/>
      <c r="X31" s="29" t="s">
        <v>1705</v>
      </c>
      <c r="Y31" s="29" t="s">
        <v>1371</v>
      </c>
      <c r="Z31" s="29" t="s">
        <v>1371</v>
      </c>
      <c r="AA31" s="29" t="s">
        <v>1380</v>
      </c>
      <c r="AB31" s="29" t="s">
        <v>1371</v>
      </c>
    </row>
    <row r="32" ht="15.75" customHeight="1">
      <c r="A32" s="27">
        <v>8.0</v>
      </c>
      <c r="B32" s="28" t="s">
        <v>734</v>
      </c>
      <c r="C32" s="27" t="s">
        <v>1706</v>
      </c>
      <c r="D32" s="4" t="s">
        <v>736</v>
      </c>
      <c r="E32" s="29" t="s">
        <v>1707</v>
      </c>
      <c r="F32" s="29" t="s">
        <v>1707</v>
      </c>
      <c r="G32" s="29" t="s">
        <v>1707</v>
      </c>
      <c r="H32" s="34"/>
      <c r="I32" s="29" t="s">
        <v>1707</v>
      </c>
      <c r="J32" s="29" t="s">
        <v>1707</v>
      </c>
      <c r="K32" s="29" t="s">
        <v>1707</v>
      </c>
      <c r="L32" s="32"/>
      <c r="M32" s="29" t="s">
        <v>1707</v>
      </c>
      <c r="N32" s="29" t="s">
        <v>1707</v>
      </c>
      <c r="O32" s="29" t="s">
        <v>1707</v>
      </c>
      <c r="P32" s="29" t="s">
        <v>1707</v>
      </c>
      <c r="Q32" s="29" t="s">
        <v>1707</v>
      </c>
      <c r="R32" s="29" t="s">
        <v>1707</v>
      </c>
      <c r="S32" s="29" t="s">
        <v>1707</v>
      </c>
      <c r="T32" s="29" t="s">
        <v>737</v>
      </c>
      <c r="U32" s="29" t="s">
        <v>1707</v>
      </c>
      <c r="V32" s="29" t="s">
        <v>1707</v>
      </c>
      <c r="W32" s="29" t="s">
        <v>1707</v>
      </c>
      <c r="X32" s="29" t="s">
        <v>1707</v>
      </c>
      <c r="Y32" s="29" t="s">
        <v>1707</v>
      </c>
      <c r="Z32" s="29" t="s">
        <v>1707</v>
      </c>
      <c r="AA32" s="29" t="s">
        <v>1707</v>
      </c>
      <c r="AB32" s="29" t="s">
        <v>1707</v>
      </c>
    </row>
    <row r="33" ht="15.75" customHeight="1">
      <c r="A33" s="27">
        <v>8.0</v>
      </c>
      <c r="B33" s="28" t="s">
        <v>741</v>
      </c>
      <c r="C33" s="27" t="s">
        <v>1708</v>
      </c>
      <c r="D33" s="4" t="s">
        <v>743</v>
      </c>
      <c r="E33" s="29" t="s">
        <v>1709</v>
      </c>
      <c r="F33" s="29" t="s">
        <v>1709</v>
      </c>
      <c r="G33" s="29" t="s">
        <v>1710</v>
      </c>
      <c r="H33" s="37" t="s">
        <v>1709</v>
      </c>
      <c r="I33" s="29" t="s">
        <v>1709</v>
      </c>
      <c r="J33" s="29" t="s">
        <v>1709</v>
      </c>
      <c r="K33" s="29" t="s">
        <v>1709</v>
      </c>
      <c r="L33" s="32"/>
      <c r="M33" s="29" t="s">
        <v>1709</v>
      </c>
      <c r="N33" s="29" t="s">
        <v>1709</v>
      </c>
      <c r="O33" s="29" t="s">
        <v>1709</v>
      </c>
      <c r="P33" s="29" t="s">
        <v>1709</v>
      </c>
      <c r="Q33" s="29" t="s">
        <v>1709</v>
      </c>
      <c r="R33" s="29" t="s">
        <v>1709</v>
      </c>
      <c r="S33" s="29" t="s">
        <v>1709</v>
      </c>
      <c r="T33" s="29" t="s">
        <v>744</v>
      </c>
      <c r="U33" s="29" t="s">
        <v>1709</v>
      </c>
      <c r="V33" s="29" t="s">
        <v>1709</v>
      </c>
      <c r="W33" s="29" t="s">
        <v>744</v>
      </c>
      <c r="X33" s="29" t="s">
        <v>744</v>
      </c>
      <c r="Y33" s="29" t="s">
        <v>1709</v>
      </c>
      <c r="Z33" s="29" t="s">
        <v>1709</v>
      </c>
      <c r="AA33" s="29" t="s">
        <v>744</v>
      </c>
      <c r="AB33" s="29" t="s">
        <v>1709</v>
      </c>
    </row>
    <row r="34" ht="15.75" customHeight="1">
      <c r="A34" s="27">
        <v>8.0</v>
      </c>
      <c r="B34" s="28" t="s">
        <v>746</v>
      </c>
      <c r="C34" s="27" t="s">
        <v>1711</v>
      </c>
      <c r="D34" s="4" t="s">
        <v>748</v>
      </c>
      <c r="E34" s="29" t="s">
        <v>1712</v>
      </c>
      <c r="F34" s="29" t="s">
        <v>1713</v>
      </c>
      <c r="G34" s="29" t="s">
        <v>1714</v>
      </c>
      <c r="H34" s="29" t="s">
        <v>1715</v>
      </c>
      <c r="I34" s="29" t="s">
        <v>1716</v>
      </c>
      <c r="J34" s="29" t="s">
        <v>1717</v>
      </c>
      <c r="K34" s="29" t="s">
        <v>1718</v>
      </c>
      <c r="L34" s="32"/>
      <c r="M34" s="29" t="s">
        <v>1719</v>
      </c>
      <c r="N34" s="29" t="s">
        <v>1720</v>
      </c>
      <c r="O34" s="29" t="s">
        <v>1721</v>
      </c>
      <c r="P34" s="29" t="s">
        <v>1722</v>
      </c>
      <c r="Q34" s="29" t="s">
        <v>1393</v>
      </c>
      <c r="R34" s="29" t="s">
        <v>1723</v>
      </c>
      <c r="S34" s="29" t="s">
        <v>1724</v>
      </c>
      <c r="T34" s="29" t="s">
        <v>1395</v>
      </c>
      <c r="U34" s="29" t="s">
        <v>1725</v>
      </c>
      <c r="V34" s="29" t="s">
        <v>1726</v>
      </c>
      <c r="W34" s="29" t="s">
        <v>1727</v>
      </c>
      <c r="X34" s="29" t="s">
        <v>1728</v>
      </c>
      <c r="Y34" s="29" t="s">
        <v>749</v>
      </c>
      <c r="Z34" s="29" t="s">
        <v>1729</v>
      </c>
      <c r="AA34" s="29" t="s">
        <v>1730</v>
      </c>
      <c r="AB34" s="29" t="s">
        <v>749</v>
      </c>
    </row>
    <row r="35" ht="15.75" customHeight="1">
      <c r="A35" s="27">
        <v>8.0</v>
      </c>
      <c r="B35" s="28" t="s">
        <v>752</v>
      </c>
      <c r="C35" s="27" t="s">
        <v>1731</v>
      </c>
      <c r="D35" s="4" t="s">
        <v>1732</v>
      </c>
      <c r="E35" s="29" t="s">
        <v>755</v>
      </c>
      <c r="F35" s="29" t="s">
        <v>755</v>
      </c>
      <c r="G35" s="29" t="s">
        <v>755</v>
      </c>
      <c r="H35" s="29" t="s">
        <v>755</v>
      </c>
      <c r="I35" s="29" t="s">
        <v>755</v>
      </c>
      <c r="J35" s="29" t="s">
        <v>755</v>
      </c>
      <c r="K35" s="29" t="s">
        <v>755</v>
      </c>
      <c r="L35" s="32"/>
      <c r="M35" s="29" t="s">
        <v>755</v>
      </c>
      <c r="N35" s="29" t="s">
        <v>755</v>
      </c>
      <c r="O35" s="29" t="s">
        <v>755</v>
      </c>
      <c r="P35" s="29" t="s">
        <v>755</v>
      </c>
      <c r="Q35" s="29" t="s">
        <v>755</v>
      </c>
      <c r="R35" s="29" t="s">
        <v>755</v>
      </c>
      <c r="S35" s="29" t="s">
        <v>755</v>
      </c>
      <c r="T35" s="29" t="s">
        <v>755</v>
      </c>
      <c r="U35" s="29" t="s">
        <v>755</v>
      </c>
      <c r="V35" s="29" t="s">
        <v>755</v>
      </c>
      <c r="W35" s="29" t="s">
        <v>755</v>
      </c>
      <c r="X35" s="29" t="s">
        <v>755</v>
      </c>
      <c r="Y35" s="29" t="s">
        <v>755</v>
      </c>
      <c r="Z35" s="29" t="s">
        <v>755</v>
      </c>
      <c r="AA35" s="29" t="s">
        <v>755</v>
      </c>
      <c r="AB35" s="29" t="s">
        <v>755</v>
      </c>
    </row>
    <row r="36" ht="15.75" customHeight="1">
      <c r="A36" s="27">
        <v>8.0</v>
      </c>
      <c r="B36" s="28"/>
      <c r="C36" s="27" t="s">
        <v>1733</v>
      </c>
      <c r="D36" s="4" t="s">
        <v>1734</v>
      </c>
      <c r="E36" s="29" t="s">
        <v>1735</v>
      </c>
      <c r="F36" s="29" t="s">
        <v>1736</v>
      </c>
      <c r="G36" s="29" t="s">
        <v>702</v>
      </c>
      <c r="H36" s="29" t="s">
        <v>1737</v>
      </c>
      <c r="I36" s="29" t="s">
        <v>1738</v>
      </c>
      <c r="J36" s="29" t="s">
        <v>1739</v>
      </c>
      <c r="K36" s="29" t="s">
        <v>1740</v>
      </c>
      <c r="L36" s="32"/>
      <c r="M36" s="29" t="s">
        <v>1741</v>
      </c>
      <c r="N36" s="29" t="s">
        <v>1742</v>
      </c>
      <c r="O36" s="29" t="s">
        <v>1743</v>
      </c>
      <c r="P36" s="29" t="s">
        <v>710</v>
      </c>
      <c r="Q36" s="29" t="s">
        <v>1744</v>
      </c>
      <c r="R36" s="29" t="s">
        <v>1745</v>
      </c>
      <c r="S36" s="29" t="s">
        <v>712</v>
      </c>
      <c r="T36" s="29" t="s">
        <v>1746</v>
      </c>
      <c r="U36" s="29" t="s">
        <v>1018</v>
      </c>
      <c r="V36" s="29" t="s">
        <v>1747</v>
      </c>
      <c r="W36" s="29" t="s">
        <v>1748</v>
      </c>
      <c r="X36" s="29" t="s">
        <v>1749</v>
      </c>
      <c r="Y36" s="29" t="s">
        <v>702</v>
      </c>
      <c r="Z36" s="29" t="s">
        <v>1750</v>
      </c>
      <c r="AA36" s="29" t="s">
        <v>1751</v>
      </c>
      <c r="AB36" s="29" t="s">
        <v>1752</v>
      </c>
    </row>
    <row r="37" ht="15.75" customHeight="1">
      <c r="A37" s="27">
        <v>8.0</v>
      </c>
      <c r="B37" s="28" t="s">
        <v>1058</v>
      </c>
      <c r="C37" s="27" t="s">
        <v>1753</v>
      </c>
      <c r="D37" s="4" t="s">
        <v>1754</v>
      </c>
      <c r="E37" s="29" t="s">
        <v>532</v>
      </c>
      <c r="F37" s="34"/>
      <c r="G37" s="29" t="s">
        <v>532</v>
      </c>
      <c r="H37" s="29" t="s">
        <v>1755</v>
      </c>
      <c r="I37" s="29" t="s">
        <v>532</v>
      </c>
      <c r="J37" s="29" t="s">
        <v>532</v>
      </c>
      <c r="K37" s="33"/>
      <c r="L37" s="32"/>
      <c r="M37" s="33"/>
      <c r="N37" s="29"/>
      <c r="O37" s="33"/>
      <c r="P37" s="29"/>
      <c r="Q37" s="29"/>
      <c r="R37" s="33"/>
      <c r="S37" s="33"/>
      <c r="T37" s="29"/>
      <c r="U37" s="29"/>
      <c r="V37" s="29"/>
      <c r="X37" s="33"/>
      <c r="Y37" s="33"/>
      <c r="Z37" s="33"/>
      <c r="AA37" s="29"/>
      <c r="AB37" s="29"/>
    </row>
    <row r="38" ht="15.75" customHeight="1">
      <c r="A38" s="27">
        <v>8.0</v>
      </c>
      <c r="B38" s="28" t="s">
        <v>1756</v>
      </c>
      <c r="C38" s="27" t="s">
        <v>1757</v>
      </c>
      <c r="D38" s="4" t="s">
        <v>1758</v>
      </c>
      <c r="E38" s="29" t="s">
        <v>1759</v>
      </c>
      <c r="F38" s="30" t="s">
        <v>1759</v>
      </c>
      <c r="G38" s="29" t="s">
        <v>1759</v>
      </c>
      <c r="H38" s="29" t="s">
        <v>1759</v>
      </c>
      <c r="I38" s="29" t="s">
        <v>1759</v>
      </c>
      <c r="J38" s="29" t="s">
        <v>1759</v>
      </c>
      <c r="K38" s="33"/>
      <c r="L38" s="32"/>
      <c r="M38" s="33"/>
      <c r="N38" s="29"/>
      <c r="O38" s="33"/>
      <c r="P38" s="29"/>
      <c r="Q38" s="29"/>
      <c r="R38" s="33"/>
      <c r="S38" s="33"/>
      <c r="T38" s="29"/>
      <c r="U38" s="29"/>
      <c r="V38" s="29"/>
      <c r="X38" s="33"/>
      <c r="Y38" s="33"/>
      <c r="Z38" s="33"/>
      <c r="AA38" s="29"/>
      <c r="AB38" s="29"/>
    </row>
    <row r="39" ht="15.75" customHeight="1">
      <c r="A39" s="27">
        <v>8.0</v>
      </c>
      <c r="B39" s="28" t="s">
        <v>172</v>
      </c>
      <c r="C39" s="27" t="s">
        <v>1760</v>
      </c>
      <c r="D39" s="4" t="s">
        <v>1761</v>
      </c>
      <c r="E39" s="29" t="s">
        <v>1405</v>
      </c>
      <c r="F39" s="30" t="s">
        <v>1762</v>
      </c>
      <c r="G39" s="29" t="s">
        <v>1405</v>
      </c>
      <c r="H39" s="29" t="s">
        <v>1763</v>
      </c>
      <c r="I39" s="29" t="s">
        <v>1676</v>
      </c>
      <c r="J39" s="29" t="s">
        <v>1405</v>
      </c>
      <c r="K39" s="29" t="s">
        <v>1405</v>
      </c>
      <c r="L39" s="32"/>
      <c r="M39" s="29" t="s">
        <v>1405</v>
      </c>
      <c r="N39" s="29" t="s">
        <v>1676</v>
      </c>
      <c r="O39" s="29" t="s">
        <v>1762</v>
      </c>
      <c r="P39" s="29" t="s">
        <v>1405</v>
      </c>
      <c r="Q39" s="29" t="s">
        <v>1764</v>
      </c>
      <c r="R39" s="29" t="s">
        <v>1405</v>
      </c>
      <c r="S39" s="30" t="s">
        <v>1405</v>
      </c>
      <c r="T39" s="29" t="s">
        <v>760</v>
      </c>
      <c r="U39" s="29" t="s">
        <v>1405</v>
      </c>
      <c r="V39" s="29" t="s">
        <v>1405</v>
      </c>
      <c r="W39" s="30" t="s">
        <v>1676</v>
      </c>
      <c r="X39" s="29" t="s">
        <v>1405</v>
      </c>
      <c r="Y39" s="29" t="s">
        <v>1762</v>
      </c>
      <c r="Z39" s="29" t="s">
        <v>1405</v>
      </c>
      <c r="AA39" s="29" t="s">
        <v>1405</v>
      </c>
      <c r="AB39" s="29" t="s">
        <v>1405</v>
      </c>
    </row>
    <row r="40" ht="15.75" customHeight="1">
      <c r="A40" s="27">
        <v>8.0</v>
      </c>
      <c r="B40" s="28" t="s">
        <v>267</v>
      </c>
      <c r="C40" s="27" t="s">
        <v>1765</v>
      </c>
      <c r="D40" s="4" t="s">
        <v>767</v>
      </c>
      <c r="E40" s="29" t="s">
        <v>238</v>
      </c>
      <c r="F40" s="29" t="s">
        <v>271</v>
      </c>
      <c r="G40" s="29" t="s">
        <v>1766</v>
      </c>
      <c r="H40" s="29" t="s">
        <v>238</v>
      </c>
      <c r="I40" s="29" t="s">
        <v>1656</v>
      </c>
      <c r="J40" s="29" t="s">
        <v>271</v>
      </c>
      <c r="K40" s="29" t="s">
        <v>238</v>
      </c>
      <c r="L40" s="32"/>
      <c r="M40" s="29" t="s">
        <v>238</v>
      </c>
      <c r="N40" s="29" t="s">
        <v>238</v>
      </c>
      <c r="O40" s="29" t="s">
        <v>770</v>
      </c>
      <c r="P40" s="29" t="s">
        <v>238</v>
      </c>
      <c r="Q40" s="29" t="s">
        <v>238</v>
      </c>
      <c r="R40" s="29" t="s">
        <v>238</v>
      </c>
      <c r="S40" s="30" t="s">
        <v>271</v>
      </c>
      <c r="T40" s="29" t="s">
        <v>271</v>
      </c>
      <c r="U40" s="29" t="s">
        <v>238</v>
      </c>
      <c r="V40" s="29" t="s">
        <v>238</v>
      </c>
      <c r="W40" s="30"/>
      <c r="X40" s="29" t="s">
        <v>238</v>
      </c>
      <c r="Y40" s="29" t="s">
        <v>1657</v>
      </c>
      <c r="Z40" s="29" t="s">
        <v>238</v>
      </c>
      <c r="AA40" s="29" t="s">
        <v>238</v>
      </c>
      <c r="AB40" s="29" t="s">
        <v>238</v>
      </c>
    </row>
    <row r="41" ht="15.75" customHeight="1">
      <c r="A41" s="27">
        <v>8.0</v>
      </c>
      <c r="B41" s="28" t="s">
        <v>1767</v>
      </c>
      <c r="C41" s="27" t="s">
        <v>1768</v>
      </c>
      <c r="D41" s="4" t="s">
        <v>1769</v>
      </c>
      <c r="E41" s="29" t="s">
        <v>1688</v>
      </c>
      <c r="F41" s="29" t="s">
        <v>1688</v>
      </c>
      <c r="G41" s="29" t="s">
        <v>1688</v>
      </c>
      <c r="H41" s="29" t="s">
        <v>1688</v>
      </c>
      <c r="I41" s="29" t="s">
        <v>1688</v>
      </c>
      <c r="J41" s="29" t="s">
        <v>1688</v>
      </c>
      <c r="K41" s="33"/>
      <c r="L41" s="32"/>
      <c r="M41" s="29" t="s">
        <v>1688</v>
      </c>
      <c r="N41" s="29" t="s">
        <v>1688</v>
      </c>
      <c r="O41" s="29" t="s">
        <v>1688</v>
      </c>
      <c r="P41" s="29" t="s">
        <v>1688</v>
      </c>
      <c r="Q41" s="29" t="s">
        <v>1688</v>
      </c>
      <c r="R41" s="29" t="s">
        <v>1688</v>
      </c>
      <c r="S41" s="29" t="s">
        <v>1688</v>
      </c>
      <c r="T41" s="29" t="s">
        <v>1688</v>
      </c>
      <c r="U41" s="29" t="s">
        <v>1688</v>
      </c>
      <c r="V41" s="29" t="s">
        <v>1688</v>
      </c>
      <c r="W41" s="29" t="s">
        <v>1688</v>
      </c>
      <c r="X41" s="29" t="s">
        <v>1688</v>
      </c>
      <c r="Y41" s="29" t="s">
        <v>1688</v>
      </c>
      <c r="Z41" s="29" t="s">
        <v>1688</v>
      </c>
      <c r="AA41" s="29" t="s">
        <v>1688</v>
      </c>
      <c r="AB41" s="29" t="s">
        <v>1688</v>
      </c>
    </row>
    <row r="42" ht="15.75" customHeight="1">
      <c r="A42" s="27">
        <v>8.0</v>
      </c>
      <c r="B42" s="28" t="s">
        <v>274</v>
      </c>
      <c r="C42" s="27" t="s">
        <v>1770</v>
      </c>
      <c r="D42" s="40" t="s">
        <v>779</v>
      </c>
      <c r="E42" s="29" t="s">
        <v>1771</v>
      </c>
      <c r="F42" s="29" t="s">
        <v>1772</v>
      </c>
      <c r="G42" s="29" t="s">
        <v>1771</v>
      </c>
      <c r="H42" s="29" t="s">
        <v>1771</v>
      </c>
      <c r="I42" s="29" t="s">
        <v>1771</v>
      </c>
      <c r="J42" s="29" t="s">
        <v>1771</v>
      </c>
      <c r="K42" s="41" t="s">
        <v>824</v>
      </c>
      <c r="L42" s="32"/>
      <c r="M42" s="29" t="s">
        <v>1773</v>
      </c>
      <c r="N42" s="29" t="s">
        <v>1774</v>
      </c>
      <c r="O42" s="29" t="s">
        <v>1429</v>
      </c>
      <c r="P42" s="29" t="s">
        <v>1771</v>
      </c>
      <c r="Q42" s="29" t="s">
        <v>1775</v>
      </c>
      <c r="R42" s="29" t="s">
        <v>1776</v>
      </c>
      <c r="S42" s="29" t="s">
        <v>1777</v>
      </c>
      <c r="T42" s="29" t="s">
        <v>1771</v>
      </c>
      <c r="U42" s="29" t="s">
        <v>1771</v>
      </c>
      <c r="V42" s="29" t="s">
        <v>1778</v>
      </c>
      <c r="W42" s="29"/>
      <c r="X42" s="29" t="s">
        <v>1436</v>
      </c>
      <c r="Y42" s="29" t="s">
        <v>1779</v>
      </c>
      <c r="Z42" s="29" t="s">
        <v>1771</v>
      </c>
      <c r="AA42" s="29" t="s">
        <v>1780</v>
      </c>
      <c r="AB42" s="29" t="s">
        <v>1781</v>
      </c>
    </row>
    <row r="43" ht="15.75" customHeight="1">
      <c r="A43" s="27">
        <v>8.0</v>
      </c>
      <c r="B43" s="28" t="s">
        <v>788</v>
      </c>
      <c r="C43" s="27" t="s">
        <v>1782</v>
      </c>
      <c r="D43" s="4" t="s">
        <v>1783</v>
      </c>
      <c r="E43" s="29" t="s">
        <v>792</v>
      </c>
      <c r="F43" s="29" t="s">
        <v>792</v>
      </c>
      <c r="G43" s="29" t="s">
        <v>792</v>
      </c>
      <c r="H43" s="29" t="s">
        <v>792</v>
      </c>
      <c r="I43" s="29" t="s">
        <v>792</v>
      </c>
      <c r="J43" s="29" t="s">
        <v>792</v>
      </c>
      <c r="K43" s="33"/>
      <c r="L43" s="32"/>
      <c r="M43" s="29" t="s">
        <v>792</v>
      </c>
      <c r="N43" s="29" t="s">
        <v>792</v>
      </c>
      <c r="O43" s="29" t="s">
        <v>792</v>
      </c>
      <c r="P43" s="29" t="s">
        <v>792</v>
      </c>
      <c r="Q43" s="29" t="s">
        <v>792</v>
      </c>
      <c r="R43" s="29" t="s">
        <v>792</v>
      </c>
      <c r="S43" s="29" t="s">
        <v>792</v>
      </c>
      <c r="T43" s="29" t="s">
        <v>792</v>
      </c>
      <c r="U43" s="29" t="s">
        <v>792</v>
      </c>
      <c r="V43" s="29" t="s">
        <v>792</v>
      </c>
      <c r="W43" s="29" t="s">
        <v>792</v>
      </c>
      <c r="X43" s="29" t="s">
        <v>792</v>
      </c>
      <c r="Y43" s="29" t="s">
        <v>792</v>
      </c>
      <c r="Z43" s="29" t="s">
        <v>792</v>
      </c>
      <c r="AA43" s="29" t="s">
        <v>792</v>
      </c>
      <c r="AB43" s="29" t="s">
        <v>792</v>
      </c>
    </row>
    <row r="44" ht="15.75" customHeight="1">
      <c r="A44" s="27">
        <v>8.0</v>
      </c>
      <c r="B44" s="28" t="s">
        <v>813</v>
      </c>
      <c r="C44" s="27" t="s">
        <v>1784</v>
      </c>
      <c r="D44" s="4" t="s">
        <v>1785</v>
      </c>
      <c r="E44" s="29" t="s">
        <v>1786</v>
      </c>
      <c r="F44" s="29" t="s">
        <v>1786</v>
      </c>
      <c r="G44" s="29" t="s">
        <v>1786</v>
      </c>
      <c r="H44" s="29" t="s">
        <v>1786</v>
      </c>
      <c r="I44" s="29" t="s">
        <v>1786</v>
      </c>
      <c r="J44" s="29" t="s">
        <v>1786</v>
      </c>
      <c r="K44" s="33"/>
      <c r="L44" s="32"/>
      <c r="M44" s="29" t="s">
        <v>1786</v>
      </c>
      <c r="N44" s="29" t="s">
        <v>1786</v>
      </c>
      <c r="O44" s="29" t="s">
        <v>1786</v>
      </c>
      <c r="P44" s="29" t="s">
        <v>1786</v>
      </c>
      <c r="Q44" s="29" t="s">
        <v>1786</v>
      </c>
      <c r="R44" s="29" t="s">
        <v>1786</v>
      </c>
      <c r="S44" s="29" t="s">
        <v>1786</v>
      </c>
      <c r="T44" s="29" t="s">
        <v>816</v>
      </c>
      <c r="U44" s="29" t="s">
        <v>1786</v>
      </c>
      <c r="V44" s="29" t="s">
        <v>1786</v>
      </c>
      <c r="W44" s="29" t="s">
        <v>1786</v>
      </c>
      <c r="X44" s="29" t="s">
        <v>1786</v>
      </c>
      <c r="Y44" s="29" t="s">
        <v>1786</v>
      </c>
      <c r="Z44" s="29" t="s">
        <v>1786</v>
      </c>
      <c r="AA44" s="29" t="s">
        <v>1786</v>
      </c>
      <c r="AB44" s="29" t="s">
        <v>1786</v>
      </c>
    </row>
    <row r="45" ht="15.75" customHeight="1">
      <c r="A45" s="27">
        <v>8.0</v>
      </c>
      <c r="B45" s="28" t="s">
        <v>794</v>
      </c>
      <c r="C45" s="27" t="s">
        <v>1787</v>
      </c>
      <c r="D45" s="4" t="s">
        <v>1788</v>
      </c>
      <c r="E45" s="29" t="s">
        <v>1789</v>
      </c>
      <c r="F45" s="29" t="s">
        <v>1790</v>
      </c>
      <c r="G45" s="29" t="s">
        <v>1791</v>
      </c>
      <c r="H45" s="29" t="s">
        <v>1792</v>
      </c>
      <c r="I45" s="29" t="s">
        <v>1793</v>
      </c>
      <c r="J45" s="29" t="s">
        <v>1794</v>
      </c>
      <c r="K45" s="41" t="s">
        <v>1795</v>
      </c>
      <c r="L45" s="32"/>
      <c r="M45" s="29" t="s">
        <v>1796</v>
      </c>
      <c r="N45" s="29" t="s">
        <v>1797</v>
      </c>
      <c r="O45" s="29" t="s">
        <v>1798</v>
      </c>
      <c r="P45" s="29" t="s">
        <v>1799</v>
      </c>
      <c r="Q45" s="29" t="s">
        <v>1800</v>
      </c>
      <c r="R45" s="29" t="s">
        <v>1801</v>
      </c>
      <c r="S45" s="29" t="s">
        <v>1802</v>
      </c>
      <c r="T45" s="29" t="s">
        <v>1803</v>
      </c>
      <c r="U45" s="29" t="s">
        <v>1804</v>
      </c>
      <c r="V45" s="29" t="s">
        <v>1805</v>
      </c>
      <c r="W45" s="29" t="s">
        <v>1806</v>
      </c>
      <c r="X45" s="29" t="s">
        <v>1807</v>
      </c>
      <c r="Y45" s="29" t="s">
        <v>1808</v>
      </c>
      <c r="Z45" s="29" t="s">
        <v>1809</v>
      </c>
      <c r="AA45" s="29" t="s">
        <v>1810</v>
      </c>
      <c r="AB45" s="29" t="s">
        <v>1811</v>
      </c>
    </row>
    <row r="46" ht="15.75" customHeight="1">
      <c r="A46" s="27">
        <v>8.0</v>
      </c>
      <c r="B46" s="28" t="s">
        <v>1146</v>
      </c>
      <c r="C46" s="27" t="s">
        <v>1812</v>
      </c>
      <c r="D46" s="4" t="s">
        <v>1813</v>
      </c>
      <c r="E46" s="29" t="s">
        <v>532</v>
      </c>
      <c r="F46" s="34"/>
      <c r="G46" s="29" t="s">
        <v>532</v>
      </c>
      <c r="H46" s="29" t="s">
        <v>1755</v>
      </c>
      <c r="I46" s="29" t="s">
        <v>532</v>
      </c>
      <c r="J46" s="29" t="s">
        <v>532</v>
      </c>
      <c r="K46" s="33"/>
      <c r="L46" s="32"/>
      <c r="M46" s="29"/>
      <c r="N46" s="29"/>
      <c r="O46" s="29"/>
      <c r="P46" s="29"/>
      <c r="Q46" s="29"/>
      <c r="R46" s="33"/>
      <c r="S46" s="33"/>
      <c r="T46" s="33"/>
      <c r="U46" s="33"/>
      <c r="V46" s="33"/>
      <c r="W46" s="33"/>
      <c r="X46" s="33"/>
      <c r="Y46" s="33"/>
      <c r="Z46" s="33"/>
      <c r="AA46" s="29"/>
      <c r="AB46" s="33"/>
    </row>
    <row r="47" ht="15.75" customHeight="1">
      <c r="A47" s="27">
        <v>8.0</v>
      </c>
      <c r="B47" s="28" t="s">
        <v>1814</v>
      </c>
      <c r="C47" s="27" t="s">
        <v>1815</v>
      </c>
      <c r="D47" s="4" t="s">
        <v>1816</v>
      </c>
      <c r="E47" s="29" t="s">
        <v>1759</v>
      </c>
      <c r="F47" s="30" t="s">
        <v>1759</v>
      </c>
      <c r="G47" s="29" t="s">
        <v>1759</v>
      </c>
      <c r="H47" s="29" t="s">
        <v>1759</v>
      </c>
      <c r="I47" s="29" t="s">
        <v>1759</v>
      </c>
      <c r="J47" s="29" t="s">
        <v>1759</v>
      </c>
      <c r="K47" s="33"/>
      <c r="L47" s="32"/>
      <c r="M47" s="29"/>
      <c r="N47" s="29"/>
      <c r="O47" s="29"/>
      <c r="P47" s="29"/>
      <c r="Q47" s="29"/>
      <c r="R47" s="33"/>
      <c r="S47" s="33"/>
      <c r="T47" s="33"/>
      <c r="U47" s="33"/>
      <c r="V47" s="33"/>
      <c r="W47" s="33"/>
      <c r="X47" s="33"/>
      <c r="Y47" s="33"/>
      <c r="Z47" s="33"/>
      <c r="AA47" s="29"/>
      <c r="AB47" s="33"/>
    </row>
    <row r="48" ht="15.75" customHeight="1">
      <c r="A48" s="27">
        <v>8.0</v>
      </c>
      <c r="B48" s="28"/>
      <c r="C48" s="27" t="s">
        <v>645</v>
      </c>
      <c r="D48" s="4" t="s">
        <v>1817</v>
      </c>
      <c r="E48" s="27" t="s">
        <v>1628</v>
      </c>
      <c r="F48" s="30" t="s">
        <v>1629</v>
      </c>
      <c r="G48" s="27" t="s">
        <v>1653</v>
      </c>
      <c r="H48" s="37" t="s">
        <v>1631</v>
      </c>
      <c r="I48" s="34" t="s">
        <v>1632</v>
      </c>
      <c r="J48" s="34" t="s">
        <v>1633</v>
      </c>
      <c r="K48" s="34" t="s">
        <v>1634</v>
      </c>
      <c r="L48" s="32"/>
      <c r="M48" s="34" t="s">
        <v>1635</v>
      </c>
      <c r="N48" s="34" t="s">
        <v>1636</v>
      </c>
      <c r="O48" s="34" t="s">
        <v>1637</v>
      </c>
      <c r="P48" s="34" t="s">
        <v>1638</v>
      </c>
      <c r="Q48" s="34" t="s">
        <v>1639</v>
      </c>
      <c r="R48" s="34" t="s">
        <v>1640</v>
      </c>
      <c r="S48" s="34" t="s">
        <v>1641</v>
      </c>
      <c r="T48" s="34" t="s">
        <v>1642</v>
      </c>
      <c r="U48" s="34" t="s">
        <v>1643</v>
      </c>
      <c r="V48" s="34" t="s">
        <v>1644</v>
      </c>
      <c r="W48" s="34" t="s">
        <v>1645</v>
      </c>
      <c r="X48" s="34" t="s">
        <v>1646</v>
      </c>
      <c r="Y48" s="34" t="s">
        <v>1647</v>
      </c>
      <c r="Z48" s="34" t="s">
        <v>1648</v>
      </c>
      <c r="AA48" s="34" t="s">
        <v>1649</v>
      </c>
      <c r="AB48" s="34" t="s">
        <v>1650</v>
      </c>
    </row>
    <row r="49" ht="15.75" customHeight="1">
      <c r="A49" s="27">
        <v>8.0</v>
      </c>
      <c r="B49" s="28"/>
      <c r="C49" s="27" t="s">
        <v>669</v>
      </c>
      <c r="D49" s="4" t="s">
        <v>1818</v>
      </c>
      <c r="E49" s="27" t="s">
        <v>1628</v>
      </c>
      <c r="F49" s="30" t="s">
        <v>1629</v>
      </c>
      <c r="G49" s="27" t="s">
        <v>1653</v>
      </c>
      <c r="H49" s="37" t="s">
        <v>1631</v>
      </c>
      <c r="I49" s="34" t="s">
        <v>1632</v>
      </c>
      <c r="J49" s="34" t="s">
        <v>1633</v>
      </c>
      <c r="K49" s="34" t="s">
        <v>1634</v>
      </c>
      <c r="L49" s="32"/>
      <c r="M49" s="34" t="s">
        <v>1635</v>
      </c>
      <c r="N49" s="34" t="s">
        <v>1636</v>
      </c>
      <c r="O49" s="34" t="s">
        <v>1637</v>
      </c>
      <c r="P49" s="34" t="s">
        <v>1638</v>
      </c>
      <c r="Q49" s="34" t="s">
        <v>1639</v>
      </c>
      <c r="R49" s="34" t="s">
        <v>1640</v>
      </c>
      <c r="S49" s="34" t="s">
        <v>1641</v>
      </c>
      <c r="T49" s="34" t="s">
        <v>1642</v>
      </c>
      <c r="U49" s="34" t="s">
        <v>1643</v>
      </c>
      <c r="V49" s="34" t="s">
        <v>1644</v>
      </c>
      <c r="W49" s="34" t="s">
        <v>1645</v>
      </c>
      <c r="X49" s="34" t="s">
        <v>1646</v>
      </c>
      <c r="Y49" s="34" t="s">
        <v>1647</v>
      </c>
      <c r="Z49" s="34" t="s">
        <v>1648</v>
      </c>
      <c r="AA49" s="34" t="s">
        <v>1649</v>
      </c>
      <c r="AB49" s="34" t="s">
        <v>1650</v>
      </c>
    </row>
    <row r="50" ht="15.75" customHeight="1">
      <c r="A50" s="27">
        <v>8.0</v>
      </c>
      <c r="B50" s="28" t="s">
        <v>122</v>
      </c>
      <c r="C50" s="27" t="s">
        <v>173</v>
      </c>
      <c r="D50" s="4" t="s">
        <v>1819</v>
      </c>
      <c r="E50" s="29" t="s">
        <v>1820</v>
      </c>
      <c r="F50" s="30" t="s">
        <v>1821</v>
      </c>
      <c r="G50" s="29" t="s">
        <v>1822</v>
      </c>
      <c r="H50" s="29" t="s">
        <v>1823</v>
      </c>
      <c r="I50" s="29" t="s">
        <v>1824</v>
      </c>
      <c r="J50" s="29" t="s">
        <v>1463</v>
      </c>
      <c r="K50" s="29" t="s">
        <v>1464</v>
      </c>
      <c r="L50" s="32"/>
      <c r="M50" s="29" t="s">
        <v>1177</v>
      </c>
      <c r="N50" s="29" t="s">
        <v>1466</v>
      </c>
      <c r="O50" s="29" t="s">
        <v>1467</v>
      </c>
      <c r="P50" s="29" t="s">
        <v>1468</v>
      </c>
      <c r="Q50" s="29" t="s">
        <v>1825</v>
      </c>
      <c r="R50" s="30" t="s">
        <v>1826</v>
      </c>
      <c r="S50" s="30" t="s">
        <v>1827</v>
      </c>
      <c r="T50" s="29" t="s">
        <v>1475</v>
      </c>
      <c r="U50" s="29" t="s">
        <v>1828</v>
      </c>
      <c r="V50" s="29" t="s">
        <v>1829</v>
      </c>
      <c r="W50" s="29" t="s">
        <v>1830</v>
      </c>
      <c r="X50" s="29" t="s">
        <v>1479</v>
      </c>
      <c r="Y50" s="29" t="s">
        <v>1831</v>
      </c>
      <c r="Z50" s="29" t="s">
        <v>1195</v>
      </c>
      <c r="AA50" s="29" t="s">
        <v>1481</v>
      </c>
      <c r="AB50" s="29" t="s">
        <v>1832</v>
      </c>
    </row>
    <row r="51" ht="15.75" customHeight="1">
      <c r="A51" s="27">
        <v>8.0</v>
      </c>
      <c r="B51" s="28" t="s">
        <v>139</v>
      </c>
      <c r="C51" s="27" t="s">
        <v>178</v>
      </c>
      <c r="D51" s="4" t="s">
        <v>840</v>
      </c>
      <c r="E51" s="29" t="s">
        <v>1203</v>
      </c>
      <c r="F51" s="29" t="s">
        <v>561</v>
      </c>
      <c r="G51" s="29" t="s">
        <v>1833</v>
      </c>
      <c r="H51" s="29" t="s">
        <v>1203</v>
      </c>
      <c r="I51" s="29" t="s">
        <v>1834</v>
      </c>
      <c r="J51" s="29" t="s">
        <v>561</v>
      </c>
      <c r="K51" s="29" t="s">
        <v>142</v>
      </c>
      <c r="L51" s="32"/>
      <c r="M51" s="29" t="s">
        <v>142</v>
      </c>
      <c r="N51" s="29" t="s">
        <v>1203</v>
      </c>
      <c r="O51" s="29" t="s">
        <v>1835</v>
      </c>
      <c r="P51" s="29" t="s">
        <v>1203</v>
      </c>
      <c r="Q51" s="29" t="s">
        <v>1203</v>
      </c>
      <c r="R51" s="30" t="s">
        <v>1203</v>
      </c>
      <c r="S51" s="30"/>
      <c r="T51" s="29" t="s">
        <v>841</v>
      </c>
      <c r="U51" s="29" t="s">
        <v>1203</v>
      </c>
      <c r="V51" s="29" t="s">
        <v>1203</v>
      </c>
      <c r="W51" s="29"/>
      <c r="X51" s="29" t="s">
        <v>1203</v>
      </c>
      <c r="Y51" s="29" t="s">
        <v>1836</v>
      </c>
      <c r="Z51" s="29" t="s">
        <v>1203</v>
      </c>
      <c r="AA51" s="29" t="s">
        <v>1203</v>
      </c>
      <c r="AB51" s="29" t="s">
        <v>142</v>
      </c>
    </row>
    <row r="52" ht="15.75" customHeight="1">
      <c r="A52" s="27">
        <v>8.0</v>
      </c>
      <c r="B52" s="28" t="s">
        <v>162</v>
      </c>
      <c r="C52" s="27" t="s">
        <v>1837</v>
      </c>
      <c r="D52" s="4" t="s">
        <v>843</v>
      </c>
      <c r="E52" s="36" t="s">
        <v>1838</v>
      </c>
      <c r="F52" s="29" t="s">
        <v>1839</v>
      </c>
      <c r="G52" s="29" t="s">
        <v>1840</v>
      </c>
      <c r="H52" s="29" t="s">
        <v>1221</v>
      </c>
      <c r="I52" s="29" t="s">
        <v>1221</v>
      </c>
      <c r="J52" s="29" t="s">
        <v>1221</v>
      </c>
      <c r="K52" s="42" t="s">
        <v>1841</v>
      </c>
      <c r="L52" s="32"/>
      <c r="M52" s="29" t="s">
        <v>1842</v>
      </c>
      <c r="N52" s="29" t="s">
        <v>1843</v>
      </c>
      <c r="O52" s="34"/>
      <c r="P52" s="29" t="s">
        <v>1221</v>
      </c>
      <c r="Q52" s="29" t="s">
        <v>1844</v>
      </c>
      <c r="R52" s="29" t="s">
        <v>1845</v>
      </c>
      <c r="S52" s="30" t="s">
        <v>1846</v>
      </c>
      <c r="T52" s="29" t="s">
        <v>1847</v>
      </c>
      <c r="U52" s="29" t="s">
        <v>1221</v>
      </c>
      <c r="V52" s="29" t="s">
        <v>1221</v>
      </c>
      <c r="W52" s="29"/>
      <c r="X52" s="29" t="s">
        <v>1848</v>
      </c>
      <c r="Y52" s="29" t="s">
        <v>1849</v>
      </c>
      <c r="Z52" s="29" t="s">
        <v>1221</v>
      </c>
      <c r="AA52" s="29" t="s">
        <v>1221</v>
      </c>
      <c r="AB52" s="29" t="s">
        <v>1221</v>
      </c>
    </row>
    <row r="53" ht="15.75" customHeight="1">
      <c r="A53" s="27">
        <v>8.0</v>
      </c>
      <c r="B53" s="28" t="s">
        <v>1229</v>
      </c>
      <c r="C53" s="27" t="s">
        <v>1850</v>
      </c>
      <c r="D53" s="4" t="s">
        <v>1851</v>
      </c>
      <c r="E53" s="32"/>
      <c r="F53" s="33"/>
      <c r="G53" s="32"/>
      <c r="H53" s="29" t="s">
        <v>1852</v>
      </c>
      <c r="I53" s="29" t="s">
        <v>1236</v>
      </c>
      <c r="J53" s="29" t="s">
        <v>1236</v>
      </c>
      <c r="K53" s="29"/>
      <c r="L53" s="32"/>
      <c r="M53" s="29" t="s">
        <v>1236</v>
      </c>
      <c r="N53" s="29" t="s">
        <v>1236</v>
      </c>
      <c r="O53" s="37" t="s">
        <v>1236</v>
      </c>
      <c r="P53" s="29" t="s">
        <v>1236</v>
      </c>
      <c r="Q53" s="30" t="s">
        <v>1236</v>
      </c>
      <c r="R53" s="29" t="s">
        <v>1236</v>
      </c>
      <c r="S53" s="30" t="s">
        <v>1236</v>
      </c>
      <c r="T53" s="29" t="s">
        <v>1236</v>
      </c>
      <c r="U53" s="29" t="s">
        <v>1236</v>
      </c>
      <c r="V53" s="29" t="s">
        <v>1236</v>
      </c>
      <c r="W53" s="29" t="s">
        <v>1236</v>
      </c>
      <c r="X53" s="29" t="s">
        <v>1236</v>
      </c>
      <c r="Y53" s="34"/>
      <c r="Z53" s="29" t="s">
        <v>1236</v>
      </c>
      <c r="AA53" s="29" t="s">
        <v>1236</v>
      </c>
      <c r="AB53" s="29" t="s">
        <v>1236</v>
      </c>
    </row>
    <row r="54" ht="15.75" customHeight="1">
      <c r="A54" s="27">
        <v>8.0</v>
      </c>
      <c r="B54" s="28" t="s">
        <v>347</v>
      </c>
      <c r="C54" s="27" t="s">
        <v>1853</v>
      </c>
      <c r="D54" s="4" t="s">
        <v>848</v>
      </c>
      <c r="E54" s="32"/>
      <c r="F54" s="33"/>
      <c r="G54" s="32"/>
      <c r="H54" s="33"/>
      <c r="I54" s="33"/>
      <c r="J54" s="33"/>
      <c r="K54" s="34" t="s">
        <v>77</v>
      </c>
      <c r="L54" s="32"/>
      <c r="M54" s="30" t="s">
        <v>238</v>
      </c>
      <c r="N54" s="30" t="s">
        <v>350</v>
      </c>
      <c r="O54" s="37" t="s">
        <v>1854</v>
      </c>
      <c r="P54" s="29" t="s">
        <v>1855</v>
      </c>
      <c r="Q54" s="34" t="s">
        <v>77</v>
      </c>
      <c r="R54" s="30" t="s">
        <v>350</v>
      </c>
      <c r="S54" s="30" t="s">
        <v>337</v>
      </c>
      <c r="T54" s="30" t="s">
        <v>365</v>
      </c>
      <c r="U54" s="30" t="s">
        <v>350</v>
      </c>
      <c r="V54" s="30" t="s">
        <v>350</v>
      </c>
      <c r="W54" s="30" t="s">
        <v>350</v>
      </c>
      <c r="X54" s="30" t="s">
        <v>350</v>
      </c>
      <c r="Y54" s="30" t="s">
        <v>1856</v>
      </c>
      <c r="Z54" s="34" t="s">
        <v>350</v>
      </c>
      <c r="AA54" s="30" t="s">
        <v>350</v>
      </c>
      <c r="AB54" s="34" t="s">
        <v>238</v>
      </c>
    </row>
    <row r="55" ht="15.75" customHeight="1">
      <c r="A55" s="27">
        <v>8.0</v>
      </c>
      <c r="B55" s="28" t="s">
        <v>590</v>
      </c>
      <c r="C55" s="27" t="s">
        <v>1857</v>
      </c>
      <c r="D55" s="4" t="s">
        <v>1858</v>
      </c>
      <c r="E55" s="32"/>
      <c r="F55" s="33"/>
      <c r="G55" s="32"/>
      <c r="H55" s="34"/>
      <c r="I55" s="33"/>
      <c r="J55" s="33"/>
      <c r="K55" s="34" t="s">
        <v>65</v>
      </c>
      <c r="L55" s="32"/>
      <c r="M55" s="30" t="s">
        <v>65</v>
      </c>
      <c r="N55" s="30" t="s">
        <v>66</v>
      </c>
      <c r="O55" s="34" t="s">
        <v>1859</v>
      </c>
      <c r="P55" s="29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5.75" customHeight="1">
      <c r="A56" s="27">
        <v>8.0</v>
      </c>
      <c r="B56" s="28"/>
      <c r="C56" s="27" t="s">
        <v>512</v>
      </c>
      <c r="D56" s="4" t="s">
        <v>1860</v>
      </c>
      <c r="E56" s="37" t="s">
        <v>77</v>
      </c>
      <c r="F56" s="37" t="s">
        <v>365</v>
      </c>
      <c r="G56" s="32"/>
      <c r="H56" s="33"/>
      <c r="I56" s="33"/>
      <c r="J56" s="33"/>
      <c r="K56" s="34" t="s">
        <v>77</v>
      </c>
      <c r="L56" s="32"/>
      <c r="M56" s="30" t="s">
        <v>77</v>
      </c>
      <c r="N56" s="34" t="s">
        <v>77</v>
      </c>
      <c r="O56" s="34" t="s">
        <v>1859</v>
      </c>
      <c r="P56" s="29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5.75" customHeight="1">
      <c r="A57" s="27">
        <v>8.0</v>
      </c>
      <c r="B57" s="28"/>
      <c r="C57" s="27" t="s">
        <v>1861</v>
      </c>
      <c r="D57" s="4" t="s">
        <v>1862</v>
      </c>
      <c r="E57" s="32"/>
      <c r="F57" s="33"/>
      <c r="G57" s="32"/>
      <c r="H57" s="33"/>
      <c r="I57" s="33"/>
      <c r="J57" s="33"/>
      <c r="K57" s="34" t="s">
        <v>65</v>
      </c>
      <c r="L57" s="32"/>
      <c r="M57" s="34" t="s">
        <v>232</v>
      </c>
      <c r="N57" s="34" t="s">
        <v>66</v>
      </c>
      <c r="O57" s="34" t="s">
        <v>65</v>
      </c>
      <c r="P57" s="34" t="s">
        <v>65</v>
      </c>
      <c r="Q57" s="34" t="s">
        <v>65</v>
      </c>
      <c r="R57" s="34" t="s">
        <v>65</v>
      </c>
      <c r="S57" s="34" t="s">
        <v>65</v>
      </c>
      <c r="T57" s="30" t="s">
        <v>232</v>
      </c>
      <c r="U57" s="30" t="s">
        <v>232</v>
      </c>
      <c r="V57" s="34" t="s">
        <v>232</v>
      </c>
      <c r="W57" s="34" t="s">
        <v>232</v>
      </c>
      <c r="X57" s="34" t="s">
        <v>232</v>
      </c>
      <c r="Y57" s="34" t="s">
        <v>65</v>
      </c>
      <c r="Z57" s="34" t="s">
        <v>232</v>
      </c>
      <c r="AA57" s="34" t="s">
        <v>232</v>
      </c>
      <c r="AB57" s="34" t="s">
        <v>232</v>
      </c>
    </row>
    <row r="58" ht="15.75" customHeight="1">
      <c r="A58" s="27">
        <v>8.0</v>
      </c>
      <c r="B58" s="28"/>
      <c r="C58" s="27" t="s">
        <v>299</v>
      </c>
      <c r="D58" s="4" t="s">
        <v>1863</v>
      </c>
      <c r="E58" s="32"/>
      <c r="F58" s="33"/>
      <c r="G58" s="32"/>
      <c r="H58" s="33"/>
      <c r="I58" s="33"/>
      <c r="J58" s="33"/>
      <c r="K58" s="34" t="s">
        <v>1634</v>
      </c>
      <c r="L58" s="32"/>
      <c r="M58" s="34" t="s">
        <v>1635</v>
      </c>
      <c r="N58" s="34" t="s">
        <v>1864</v>
      </c>
      <c r="O58" s="37" t="s">
        <v>1865</v>
      </c>
      <c r="P58" s="34" t="s">
        <v>1866</v>
      </c>
      <c r="Q58" s="34" t="s">
        <v>1867</v>
      </c>
      <c r="R58" s="30" t="s">
        <v>1868</v>
      </c>
      <c r="S58" s="30" t="s">
        <v>1641</v>
      </c>
      <c r="T58" s="34" t="s">
        <v>1642</v>
      </c>
      <c r="U58" s="30" t="s">
        <v>1869</v>
      </c>
      <c r="V58" s="30" t="s">
        <v>1870</v>
      </c>
      <c r="W58" s="30" t="s">
        <v>1871</v>
      </c>
      <c r="X58" s="34" t="s">
        <v>1872</v>
      </c>
      <c r="Y58" s="34" t="s">
        <v>1873</v>
      </c>
      <c r="Z58" s="34" t="s">
        <v>1874</v>
      </c>
      <c r="AA58" s="34" t="s">
        <v>1875</v>
      </c>
      <c r="AB58" s="30" t="s">
        <v>1876</v>
      </c>
    </row>
    <row r="59" ht="15.75" customHeight="1">
      <c r="A59" s="27">
        <v>8.0</v>
      </c>
      <c r="B59" s="28"/>
      <c r="C59" s="27" t="s">
        <v>307</v>
      </c>
      <c r="D59" s="4" t="s">
        <v>1877</v>
      </c>
      <c r="E59" s="32"/>
      <c r="F59" s="33"/>
      <c r="G59" s="32"/>
      <c r="H59" s="33"/>
      <c r="I59" s="33"/>
      <c r="J59" s="43" t="s">
        <v>1262</v>
      </c>
      <c r="K59" s="44" t="s">
        <v>1262</v>
      </c>
      <c r="L59" s="32"/>
      <c r="M59" s="30" t="s">
        <v>1264</v>
      </c>
      <c r="N59" s="30" t="s">
        <v>1263</v>
      </c>
      <c r="O59" s="37" t="s">
        <v>1262</v>
      </c>
      <c r="P59" s="30" t="s">
        <v>1263</v>
      </c>
      <c r="Q59" s="30" t="s">
        <v>1261</v>
      </c>
      <c r="R59" s="30" t="s">
        <v>1263</v>
      </c>
      <c r="S59" s="30" t="s">
        <v>1263</v>
      </c>
      <c r="T59" s="34" t="s">
        <v>1262</v>
      </c>
      <c r="U59" s="30" t="s">
        <v>1262</v>
      </c>
      <c r="V59" s="30" t="s">
        <v>1263</v>
      </c>
      <c r="W59" s="30" t="s">
        <v>1261</v>
      </c>
      <c r="X59" s="34" t="s">
        <v>1264</v>
      </c>
      <c r="Y59" s="34" t="s">
        <v>1261</v>
      </c>
      <c r="Z59" s="34" t="s">
        <v>1264</v>
      </c>
      <c r="AA59" s="34" t="s">
        <v>1263</v>
      </c>
      <c r="AB59" s="30" t="s">
        <v>1263</v>
      </c>
    </row>
    <row r="60" ht="15.75" customHeight="1">
      <c r="A60" s="27">
        <v>8.0</v>
      </c>
      <c r="B60" s="28" t="s">
        <v>1878</v>
      </c>
      <c r="C60" s="27" t="s">
        <v>1879</v>
      </c>
      <c r="D60" s="4" t="s">
        <v>1880</v>
      </c>
      <c r="E60" s="37" t="s">
        <v>1263</v>
      </c>
      <c r="F60" s="37" t="s">
        <v>1262</v>
      </c>
      <c r="G60" s="37" t="s">
        <v>1265</v>
      </c>
      <c r="H60" s="37" t="s">
        <v>1263</v>
      </c>
      <c r="I60" s="37" t="s">
        <v>1881</v>
      </c>
      <c r="J60" s="30" t="s">
        <v>1262</v>
      </c>
      <c r="K60" s="44" t="s">
        <v>1262</v>
      </c>
      <c r="L60" s="32"/>
      <c r="M60" s="30" t="s">
        <v>1264</v>
      </c>
      <c r="N60" s="30" t="s">
        <v>1263</v>
      </c>
      <c r="O60" s="37" t="s">
        <v>1262</v>
      </c>
      <c r="P60" s="30" t="s">
        <v>1263</v>
      </c>
      <c r="Q60" s="30" t="s">
        <v>1261</v>
      </c>
      <c r="R60" s="30" t="s">
        <v>1263</v>
      </c>
      <c r="S60" s="30" t="s">
        <v>1263</v>
      </c>
      <c r="T60" s="34" t="s">
        <v>1262</v>
      </c>
      <c r="U60" s="30" t="s">
        <v>1262</v>
      </c>
      <c r="V60" s="30" t="s">
        <v>1263</v>
      </c>
      <c r="W60" s="30" t="s">
        <v>1261</v>
      </c>
      <c r="X60" s="34" t="s">
        <v>1264</v>
      </c>
      <c r="Y60" s="34" t="s">
        <v>1261</v>
      </c>
      <c r="Z60" s="34" t="s">
        <v>1264</v>
      </c>
      <c r="AA60" s="34" t="s">
        <v>1263</v>
      </c>
      <c r="AB60" s="30" t="s">
        <v>1263</v>
      </c>
    </row>
    <row r="61" ht="15.75" customHeight="1">
      <c r="A61" s="27">
        <v>8.0</v>
      </c>
      <c r="B61" s="28"/>
      <c r="C61" s="27" t="s">
        <v>1882</v>
      </c>
      <c r="D61" s="4" t="s">
        <v>1883</v>
      </c>
      <c r="E61" s="27" t="s">
        <v>1628</v>
      </c>
      <c r="F61" s="34" t="s">
        <v>1629</v>
      </c>
      <c r="G61" s="27" t="s">
        <v>1653</v>
      </c>
      <c r="H61" s="34" t="s">
        <v>1631</v>
      </c>
      <c r="I61" s="34" t="s">
        <v>1632</v>
      </c>
      <c r="J61" s="34" t="s">
        <v>1633</v>
      </c>
      <c r="K61" s="34" t="s">
        <v>1634</v>
      </c>
      <c r="L61" s="32"/>
      <c r="M61" s="34" t="s">
        <v>1635</v>
      </c>
      <c r="N61" s="34" t="s">
        <v>1636</v>
      </c>
      <c r="O61" s="34" t="s">
        <v>1637</v>
      </c>
      <c r="P61" s="34" t="s">
        <v>1638</v>
      </c>
      <c r="Q61" s="34" t="s">
        <v>1639</v>
      </c>
      <c r="R61" s="30" t="s">
        <v>1640</v>
      </c>
      <c r="S61" s="34" t="s">
        <v>1641</v>
      </c>
      <c r="T61" s="34" t="s">
        <v>1642</v>
      </c>
      <c r="U61" s="34" t="s">
        <v>1643</v>
      </c>
      <c r="V61" s="34" t="s">
        <v>1644</v>
      </c>
      <c r="W61" s="30" t="s">
        <v>1645</v>
      </c>
      <c r="X61" s="34" t="s">
        <v>1646</v>
      </c>
      <c r="Y61" s="34" t="s">
        <v>1647</v>
      </c>
      <c r="Z61" s="34" t="s">
        <v>1648</v>
      </c>
      <c r="AA61" s="34" t="s">
        <v>1649</v>
      </c>
      <c r="AB61" s="34" t="s">
        <v>1650</v>
      </c>
    </row>
    <row r="62" ht="15.75" customHeight="1">
      <c r="A62" s="27">
        <v>8.0</v>
      </c>
      <c r="B62" s="28"/>
      <c r="C62" s="27" t="s">
        <v>1884</v>
      </c>
      <c r="D62" s="4" t="s">
        <v>1885</v>
      </c>
      <c r="E62" s="27" t="s">
        <v>1628</v>
      </c>
      <c r="F62" s="34" t="s">
        <v>1629</v>
      </c>
      <c r="G62" s="27" t="s">
        <v>1653</v>
      </c>
      <c r="H62" s="34" t="s">
        <v>1631</v>
      </c>
      <c r="I62" s="34" t="s">
        <v>1632</v>
      </c>
      <c r="J62" s="34" t="s">
        <v>1633</v>
      </c>
      <c r="K62" s="34" t="s">
        <v>1634</v>
      </c>
      <c r="L62" s="32"/>
      <c r="M62" s="34" t="s">
        <v>1635</v>
      </c>
      <c r="N62" s="34" t="s">
        <v>1636</v>
      </c>
      <c r="O62" s="34" t="s">
        <v>1637</v>
      </c>
      <c r="P62" s="34" t="s">
        <v>1638</v>
      </c>
      <c r="Q62" s="34" t="s">
        <v>1639</v>
      </c>
      <c r="R62" s="30" t="s">
        <v>1640</v>
      </c>
      <c r="S62" s="34" t="s">
        <v>1641</v>
      </c>
      <c r="T62" s="34" t="s">
        <v>1642</v>
      </c>
      <c r="U62" s="34" t="s">
        <v>1643</v>
      </c>
      <c r="V62" s="34" t="s">
        <v>1644</v>
      </c>
      <c r="W62" s="30" t="s">
        <v>1645</v>
      </c>
      <c r="X62" s="34" t="s">
        <v>1646</v>
      </c>
      <c r="Y62" s="34" t="s">
        <v>1647</v>
      </c>
      <c r="Z62" s="34" t="s">
        <v>1648</v>
      </c>
      <c r="AA62" s="34" t="s">
        <v>1649</v>
      </c>
      <c r="AB62" s="34" t="s">
        <v>1650</v>
      </c>
    </row>
    <row r="63" ht="15.75" customHeight="1">
      <c r="A63" s="27">
        <v>8.0</v>
      </c>
      <c r="B63" s="28"/>
      <c r="C63" s="27" t="s">
        <v>1886</v>
      </c>
      <c r="D63" s="4" t="s">
        <v>1887</v>
      </c>
      <c r="E63" s="32"/>
      <c r="F63" s="33"/>
      <c r="G63" s="32"/>
      <c r="H63" s="33"/>
      <c r="I63" s="33"/>
      <c r="J63" s="33"/>
      <c r="K63" s="34" t="s">
        <v>1634</v>
      </c>
      <c r="L63" s="32"/>
      <c r="M63" s="34" t="s">
        <v>1635</v>
      </c>
      <c r="N63" s="34" t="s">
        <v>1636</v>
      </c>
      <c r="O63" s="34" t="s">
        <v>1637</v>
      </c>
      <c r="P63" s="34" t="s">
        <v>1638</v>
      </c>
      <c r="Q63" s="34" t="s">
        <v>1639</v>
      </c>
      <c r="R63" s="30" t="s">
        <v>1640</v>
      </c>
      <c r="S63" s="34" t="s">
        <v>1641</v>
      </c>
      <c r="T63" s="34" t="s">
        <v>1642</v>
      </c>
      <c r="U63" s="34" t="s">
        <v>1643</v>
      </c>
      <c r="V63" s="34" t="s">
        <v>1644</v>
      </c>
      <c r="W63" s="30" t="s">
        <v>1645</v>
      </c>
      <c r="X63" s="34" t="s">
        <v>1646</v>
      </c>
      <c r="Y63" s="34" t="s">
        <v>1647</v>
      </c>
      <c r="Z63" s="34" t="s">
        <v>1648</v>
      </c>
      <c r="AA63" s="34" t="s">
        <v>1649</v>
      </c>
      <c r="AB63" s="34" t="s">
        <v>1650</v>
      </c>
    </row>
    <row r="64" ht="15.75" customHeight="1">
      <c r="A64" s="27">
        <v>8.0</v>
      </c>
      <c r="B64" s="28"/>
      <c r="C64" s="27" t="s">
        <v>559</v>
      </c>
      <c r="D64" s="4" t="s">
        <v>1888</v>
      </c>
      <c r="E64" s="32"/>
      <c r="F64" s="33"/>
      <c r="G64" s="32"/>
      <c r="H64" s="33"/>
      <c r="I64" s="33"/>
      <c r="J64" s="33"/>
      <c r="K64" s="44" t="s">
        <v>1889</v>
      </c>
      <c r="L64" s="32"/>
      <c r="M64" s="30" t="s">
        <v>1890</v>
      </c>
      <c r="N64" s="30" t="s">
        <v>1279</v>
      </c>
      <c r="O64" s="37" t="s">
        <v>1272</v>
      </c>
      <c r="P64" s="30" t="s">
        <v>1279</v>
      </c>
      <c r="Q64" s="30" t="s">
        <v>1891</v>
      </c>
      <c r="R64" s="30" t="s">
        <v>1892</v>
      </c>
      <c r="S64" s="30" t="s">
        <v>1279</v>
      </c>
      <c r="T64" s="30" t="s">
        <v>1272</v>
      </c>
      <c r="U64" s="30" t="s">
        <v>1272</v>
      </c>
      <c r="V64" s="30" t="s">
        <v>1279</v>
      </c>
      <c r="W64" s="30" t="s">
        <v>1893</v>
      </c>
      <c r="X64" s="30" t="s">
        <v>1894</v>
      </c>
      <c r="Y64" s="30" t="s">
        <v>1895</v>
      </c>
      <c r="Z64" s="30" t="s">
        <v>1894</v>
      </c>
      <c r="AA64" s="34" t="s">
        <v>1896</v>
      </c>
      <c r="AB64" s="30" t="s">
        <v>1897</v>
      </c>
    </row>
    <row r="65" ht="15.75" customHeight="1">
      <c r="A65" s="27">
        <v>8.0</v>
      </c>
      <c r="B65" s="28"/>
      <c r="C65" s="27" t="s">
        <v>564</v>
      </c>
      <c r="D65" s="4" t="s">
        <v>1898</v>
      </c>
      <c r="E65" s="32"/>
      <c r="F65" s="33"/>
      <c r="G65" s="32"/>
      <c r="H65" s="33"/>
      <c r="I65" s="33"/>
      <c r="J65" s="33"/>
      <c r="K65" s="33"/>
      <c r="L65" s="32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75" customHeight="1">
      <c r="A66" s="27">
        <v>8.0</v>
      </c>
      <c r="B66" s="28"/>
      <c r="C66" s="27" t="s">
        <v>1899</v>
      </c>
      <c r="D66" s="4" t="s">
        <v>1900</v>
      </c>
      <c r="E66" s="32"/>
      <c r="F66" s="33"/>
      <c r="G66" s="32"/>
      <c r="H66" s="33"/>
      <c r="I66" s="33"/>
      <c r="J66" s="33"/>
      <c r="K66" s="41" t="s">
        <v>1901</v>
      </c>
      <c r="L66" s="32"/>
      <c r="M66" s="30" t="s">
        <v>1901</v>
      </c>
      <c r="N66" s="30" t="s">
        <v>1901</v>
      </c>
      <c r="O66" s="37" t="s">
        <v>1902</v>
      </c>
      <c r="P66" s="30" t="s">
        <v>1901</v>
      </c>
      <c r="Q66" s="30" t="s">
        <v>1903</v>
      </c>
      <c r="R66" s="30" t="s">
        <v>1904</v>
      </c>
      <c r="S66" s="30" t="s">
        <v>1905</v>
      </c>
      <c r="T66" s="30" t="s">
        <v>1901</v>
      </c>
      <c r="U66" s="37" t="s">
        <v>1279</v>
      </c>
      <c r="V66" s="30" t="s">
        <v>1279</v>
      </c>
      <c r="W66" s="30" t="s">
        <v>1901</v>
      </c>
      <c r="X66" s="30" t="s">
        <v>1901</v>
      </c>
      <c r="Y66" s="30" t="s">
        <v>1903</v>
      </c>
      <c r="Z66" s="30" t="s">
        <v>1901</v>
      </c>
      <c r="AA66" s="30" t="s">
        <v>1901</v>
      </c>
      <c r="AB66" s="30" t="s">
        <v>1901</v>
      </c>
    </row>
    <row r="67" ht="15.75" customHeight="1">
      <c r="A67" s="27">
        <v>8.0</v>
      </c>
      <c r="B67" s="28"/>
      <c r="C67" s="27" t="s">
        <v>1906</v>
      </c>
      <c r="D67" s="4" t="s">
        <v>1907</v>
      </c>
      <c r="E67" s="32"/>
      <c r="F67" s="33"/>
      <c r="G67" s="32"/>
      <c r="H67" s="33"/>
      <c r="I67" s="33"/>
      <c r="J67" s="33"/>
      <c r="K67" s="41" t="s">
        <v>1642</v>
      </c>
      <c r="L67" s="32"/>
      <c r="M67" s="33"/>
      <c r="N67" s="30" t="s">
        <v>1644</v>
      </c>
      <c r="O67" s="37" t="s">
        <v>1642</v>
      </c>
      <c r="P67" s="30" t="s">
        <v>1644</v>
      </c>
      <c r="Q67" s="30" t="s">
        <v>1908</v>
      </c>
      <c r="R67" s="30" t="s">
        <v>1644</v>
      </c>
      <c r="S67" s="30" t="s">
        <v>1644</v>
      </c>
      <c r="T67" s="30" t="s">
        <v>1634</v>
      </c>
      <c r="U67" s="30" t="s">
        <v>1642</v>
      </c>
      <c r="V67" s="30" t="s">
        <v>1650</v>
      </c>
      <c r="W67" s="30" t="s">
        <v>1908</v>
      </c>
      <c r="X67" s="30" t="s">
        <v>1635</v>
      </c>
      <c r="Y67" s="30" t="s">
        <v>1909</v>
      </c>
      <c r="Z67" s="30" t="s">
        <v>1635</v>
      </c>
      <c r="AA67" s="30" t="s">
        <v>1644</v>
      </c>
      <c r="AB67" s="30" t="s">
        <v>1644</v>
      </c>
    </row>
    <row r="68" ht="15.75" customHeight="1">
      <c r="A68" s="27">
        <v>8.0</v>
      </c>
      <c r="B68" s="28" t="s">
        <v>1910</v>
      </c>
      <c r="C68" s="27" t="s">
        <v>850</v>
      </c>
      <c r="D68" s="4" t="s">
        <v>1911</v>
      </c>
      <c r="E68" s="32"/>
      <c r="F68" s="33"/>
      <c r="G68" s="32"/>
      <c r="H68" s="33"/>
      <c r="I68" s="33"/>
      <c r="J68" s="33"/>
      <c r="K68" s="34" t="s">
        <v>1634</v>
      </c>
      <c r="L68" s="32"/>
      <c r="M68" s="34" t="s">
        <v>1635</v>
      </c>
      <c r="N68" s="34" t="s">
        <v>1636</v>
      </c>
      <c r="O68" s="34" t="s">
        <v>1637</v>
      </c>
      <c r="P68" s="34" t="s">
        <v>1638</v>
      </c>
      <c r="Q68" s="34" t="s">
        <v>1639</v>
      </c>
      <c r="R68" s="30" t="s">
        <v>1640</v>
      </c>
      <c r="S68" s="34" t="s">
        <v>1641</v>
      </c>
      <c r="T68" s="34" t="s">
        <v>1642</v>
      </c>
      <c r="U68" s="34" t="s">
        <v>1643</v>
      </c>
      <c r="V68" s="34" t="s">
        <v>1644</v>
      </c>
      <c r="W68" s="34" t="s">
        <v>1645</v>
      </c>
      <c r="X68" s="34" t="s">
        <v>1646</v>
      </c>
      <c r="Y68" s="34" t="s">
        <v>1647</v>
      </c>
      <c r="Z68" s="34" t="s">
        <v>1648</v>
      </c>
      <c r="AA68" s="34" t="s">
        <v>1649</v>
      </c>
      <c r="AB68" s="34" t="s">
        <v>1650</v>
      </c>
    </row>
    <row r="69" ht="15.75" customHeight="1">
      <c r="A69" s="27">
        <v>8.0</v>
      </c>
      <c r="B69" s="28" t="s">
        <v>1912</v>
      </c>
      <c r="C69" s="27" t="s">
        <v>1913</v>
      </c>
      <c r="D69" s="4" t="s">
        <v>1914</v>
      </c>
      <c r="E69" s="32"/>
      <c r="F69" s="33"/>
      <c r="G69" s="32"/>
      <c r="H69" s="33"/>
      <c r="I69" s="33"/>
      <c r="J69" s="33"/>
      <c r="K69" s="44" t="s">
        <v>1915</v>
      </c>
      <c r="L69" s="32"/>
      <c r="M69" s="34" t="s">
        <v>1916</v>
      </c>
      <c r="N69" s="34" t="s">
        <v>1917</v>
      </c>
      <c r="O69" s="37" t="s">
        <v>1918</v>
      </c>
      <c r="P69" s="34" t="s">
        <v>1919</v>
      </c>
      <c r="Q69" s="34" t="s">
        <v>1920</v>
      </c>
      <c r="R69" s="30" t="s">
        <v>1921</v>
      </c>
      <c r="S69" s="34" t="s">
        <v>1922</v>
      </c>
      <c r="T69" s="30" t="s">
        <v>1923</v>
      </c>
      <c r="U69" s="30" t="s">
        <v>1924</v>
      </c>
      <c r="V69" s="30" t="s">
        <v>1925</v>
      </c>
      <c r="W69" s="30"/>
      <c r="X69" s="34" t="s">
        <v>1872</v>
      </c>
      <c r="Y69" s="34" t="s">
        <v>1873</v>
      </c>
      <c r="Z69" s="34" t="s">
        <v>1926</v>
      </c>
      <c r="AA69" s="34" t="s">
        <v>1927</v>
      </c>
      <c r="AB69" s="34" t="s">
        <v>1928</v>
      </c>
    </row>
    <row r="70" ht="15.75" customHeight="1">
      <c r="A70" s="27">
        <v>8.0</v>
      </c>
      <c r="B70" s="28"/>
      <c r="C70" s="27" t="s">
        <v>1929</v>
      </c>
      <c r="D70" s="4" t="s">
        <v>1930</v>
      </c>
      <c r="E70" s="27" t="s">
        <v>1931</v>
      </c>
      <c r="F70" s="37" t="s">
        <v>1932</v>
      </c>
      <c r="G70" s="37" t="s">
        <v>1933</v>
      </c>
      <c r="H70" s="37" t="s">
        <v>1934</v>
      </c>
      <c r="I70" s="37" t="s">
        <v>1935</v>
      </c>
      <c r="J70" s="30" t="s">
        <v>1936</v>
      </c>
      <c r="K70" s="44" t="s">
        <v>1915</v>
      </c>
      <c r="L70" s="32"/>
      <c r="M70" s="34" t="s">
        <v>1916</v>
      </c>
      <c r="N70" s="34" t="s">
        <v>1864</v>
      </c>
      <c r="O70" s="37" t="s">
        <v>1865</v>
      </c>
      <c r="P70" s="34" t="s">
        <v>1937</v>
      </c>
      <c r="Q70" s="34" t="s">
        <v>1867</v>
      </c>
      <c r="R70" s="30" t="s">
        <v>1868</v>
      </c>
      <c r="S70" s="34" t="s">
        <v>1938</v>
      </c>
      <c r="T70" s="30" t="s">
        <v>1939</v>
      </c>
      <c r="U70" s="30" t="s">
        <v>1869</v>
      </c>
      <c r="V70" s="30" t="s">
        <v>1870</v>
      </c>
      <c r="W70" s="30" t="s">
        <v>1871</v>
      </c>
      <c r="X70" s="34" t="s">
        <v>1940</v>
      </c>
      <c r="Y70" s="34" t="s">
        <v>1873</v>
      </c>
      <c r="Z70" s="34" t="s">
        <v>1874</v>
      </c>
      <c r="AA70" s="34" t="s">
        <v>1875</v>
      </c>
      <c r="AB70" s="34" t="s">
        <v>1941</v>
      </c>
    </row>
    <row r="71" ht="15.75" customHeight="1">
      <c r="A71" s="27">
        <v>8.0</v>
      </c>
      <c r="B71" s="28" t="s">
        <v>1942</v>
      </c>
      <c r="C71" s="27" t="s">
        <v>1943</v>
      </c>
      <c r="D71" s="4" t="s">
        <v>1944</v>
      </c>
      <c r="E71" s="37" t="s">
        <v>1945</v>
      </c>
      <c r="F71" s="37" t="s">
        <v>1946</v>
      </c>
      <c r="G71" s="37" t="s">
        <v>1947</v>
      </c>
      <c r="H71" s="37" t="s">
        <v>1948</v>
      </c>
      <c r="I71" s="37" t="s">
        <v>1949</v>
      </c>
      <c r="J71" s="30" t="s">
        <v>1950</v>
      </c>
      <c r="K71" s="30" t="s">
        <v>1949</v>
      </c>
      <c r="L71" s="32"/>
      <c r="M71" s="30" t="s">
        <v>1951</v>
      </c>
      <c r="N71" s="30" t="s">
        <v>1952</v>
      </c>
      <c r="O71" s="37" t="s">
        <v>1953</v>
      </c>
      <c r="P71" s="34" t="s">
        <v>1949</v>
      </c>
      <c r="Q71" s="30" t="s">
        <v>1954</v>
      </c>
      <c r="R71" s="30" t="s">
        <v>1955</v>
      </c>
      <c r="S71" s="30" t="s">
        <v>1956</v>
      </c>
      <c r="T71" s="34" t="s">
        <v>1949</v>
      </c>
      <c r="U71" s="30" t="s">
        <v>1957</v>
      </c>
      <c r="V71" s="30" t="s">
        <v>1958</v>
      </c>
      <c r="W71" s="30" t="s">
        <v>1959</v>
      </c>
      <c r="X71" s="30" t="s">
        <v>1960</v>
      </c>
      <c r="Y71" s="30" t="s">
        <v>1961</v>
      </c>
      <c r="Z71" s="30" t="s">
        <v>1949</v>
      </c>
      <c r="AA71" s="30" t="s">
        <v>1962</v>
      </c>
      <c r="AB71" s="30" t="s">
        <v>1963</v>
      </c>
    </row>
    <row r="72" ht="15.75" customHeight="1">
      <c r="A72" s="27">
        <v>8.0</v>
      </c>
      <c r="B72" s="28"/>
      <c r="C72" s="27" t="s">
        <v>1964</v>
      </c>
      <c r="D72" s="4" t="s">
        <v>1965</v>
      </c>
      <c r="E72" s="37" t="s">
        <v>1945</v>
      </c>
      <c r="F72" s="37" t="s">
        <v>1946</v>
      </c>
      <c r="G72" s="37" t="s">
        <v>1947</v>
      </c>
      <c r="H72" s="37" t="s">
        <v>1948</v>
      </c>
      <c r="I72" s="37" t="s">
        <v>1949</v>
      </c>
      <c r="J72" s="30" t="s">
        <v>1950</v>
      </c>
      <c r="K72" s="30" t="s">
        <v>1949</v>
      </c>
      <c r="L72" s="32"/>
      <c r="M72" s="30" t="s">
        <v>1951</v>
      </c>
      <c r="N72" s="30" t="s">
        <v>1952</v>
      </c>
      <c r="O72" s="37" t="s">
        <v>1953</v>
      </c>
      <c r="P72" s="34" t="s">
        <v>1949</v>
      </c>
      <c r="Q72" s="30" t="s">
        <v>1954</v>
      </c>
      <c r="R72" s="30" t="s">
        <v>1955</v>
      </c>
      <c r="S72" s="30" t="s">
        <v>1956</v>
      </c>
      <c r="T72" s="34" t="s">
        <v>1949</v>
      </c>
      <c r="U72" s="30" t="s">
        <v>1957</v>
      </c>
      <c r="V72" s="30" t="s">
        <v>1958</v>
      </c>
      <c r="W72" s="30" t="s">
        <v>1959</v>
      </c>
      <c r="X72" s="34" t="s">
        <v>1960</v>
      </c>
      <c r="Y72" s="30" t="s">
        <v>1961</v>
      </c>
      <c r="Z72" s="30" t="s">
        <v>1949</v>
      </c>
      <c r="AA72" s="30" t="s">
        <v>1962</v>
      </c>
      <c r="AB72" s="30" t="s">
        <v>1963</v>
      </c>
    </row>
    <row r="73" ht="48.75" customHeight="1">
      <c r="A73" s="27">
        <v>8.0</v>
      </c>
      <c r="B73" s="28" t="s">
        <v>367</v>
      </c>
      <c r="C73" s="36" t="s">
        <v>1966</v>
      </c>
      <c r="D73" s="4" t="s">
        <v>1967</v>
      </c>
      <c r="E73" s="37" t="s">
        <v>1968</v>
      </c>
      <c r="F73" s="37" t="s">
        <v>1969</v>
      </c>
      <c r="G73" s="37" t="s">
        <v>1970</v>
      </c>
      <c r="H73" s="34"/>
      <c r="I73" s="37" t="s">
        <v>1971</v>
      </c>
      <c r="J73" s="30" t="s">
        <v>1972</v>
      </c>
      <c r="K73" s="30" t="s">
        <v>1973</v>
      </c>
      <c r="L73" s="32"/>
      <c r="M73" s="30" t="s">
        <v>1974</v>
      </c>
      <c r="N73" s="30" t="s">
        <v>1975</v>
      </c>
      <c r="O73" s="34" t="s">
        <v>1976</v>
      </c>
      <c r="P73" s="34" t="s">
        <v>1977</v>
      </c>
      <c r="Q73" s="34" t="s">
        <v>1978</v>
      </c>
      <c r="R73" s="34" t="s">
        <v>1979</v>
      </c>
      <c r="S73" s="34" t="s">
        <v>1980</v>
      </c>
      <c r="T73" s="34" t="s">
        <v>1981</v>
      </c>
      <c r="U73" s="34" t="s">
        <v>1981</v>
      </c>
      <c r="V73" s="34" t="s">
        <v>1982</v>
      </c>
      <c r="W73" s="34" t="s">
        <v>1979</v>
      </c>
      <c r="X73" s="34" t="s">
        <v>1979</v>
      </c>
      <c r="Y73" s="34" t="s">
        <v>1983</v>
      </c>
      <c r="Z73" s="34" t="s">
        <v>1984</v>
      </c>
      <c r="AA73" s="34" t="s">
        <v>1985</v>
      </c>
      <c r="AB73" s="34" t="s">
        <v>1985</v>
      </c>
    </row>
    <row r="74" ht="15.75" customHeight="1">
      <c r="A74" s="32"/>
      <c r="B74" s="32"/>
      <c r="C74" s="32"/>
      <c r="E74" s="32"/>
      <c r="F74" s="33"/>
      <c r="G74" s="32"/>
      <c r="H74" s="33"/>
      <c r="I74" s="33"/>
      <c r="J74" s="33"/>
      <c r="K74" s="33"/>
      <c r="L74" s="32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5.75" customHeight="1">
      <c r="A75" s="32"/>
      <c r="B75" s="32"/>
      <c r="C75" s="32"/>
      <c r="E75" s="32"/>
      <c r="F75" s="33"/>
      <c r="G75" s="32"/>
      <c r="H75" s="33"/>
      <c r="I75" s="33"/>
      <c r="J75" s="33"/>
      <c r="K75" s="33"/>
      <c r="L75" s="32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ht="15.75" customHeight="1">
      <c r="A76" s="32"/>
      <c r="B76" s="32"/>
      <c r="C76" s="32"/>
      <c r="E76" s="32"/>
      <c r="F76" s="33"/>
      <c r="G76" s="32"/>
      <c r="H76" s="33"/>
      <c r="I76" s="33"/>
      <c r="J76" s="33"/>
      <c r="K76" s="33"/>
      <c r="L76" s="32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ht="15.75" customHeight="1">
      <c r="A77" s="32"/>
      <c r="B77" s="32"/>
      <c r="C77" s="32"/>
      <c r="E77" s="32"/>
      <c r="F77" s="33"/>
      <c r="G77" s="32"/>
      <c r="H77" s="33"/>
      <c r="I77" s="33"/>
      <c r="J77" s="33"/>
      <c r="K77" s="33"/>
      <c r="L77" s="32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ht="15.75" customHeight="1">
      <c r="A78" s="32"/>
      <c r="B78" s="32"/>
      <c r="C78" s="32"/>
      <c r="E78" s="32"/>
      <c r="F78" s="33"/>
      <c r="G78" s="32"/>
      <c r="H78" s="33"/>
      <c r="I78" s="33"/>
      <c r="J78" s="33"/>
      <c r="K78" s="33"/>
      <c r="L78" s="32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ht="15.75" customHeight="1">
      <c r="A79" s="32"/>
      <c r="B79" s="32"/>
      <c r="C79" s="32"/>
      <c r="E79" s="32"/>
      <c r="F79" s="33"/>
      <c r="G79" s="32"/>
      <c r="H79" s="33"/>
      <c r="I79" s="33"/>
      <c r="J79" s="33"/>
      <c r="K79" s="33"/>
      <c r="L79" s="32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ht="15.75" customHeight="1">
      <c r="A80" s="32"/>
      <c r="B80" s="32"/>
      <c r="C80" s="32"/>
      <c r="E80" s="32"/>
      <c r="F80" s="33"/>
      <c r="G80" s="32"/>
      <c r="H80" s="33"/>
      <c r="I80" s="33"/>
      <c r="J80" s="33"/>
      <c r="K80" s="33"/>
      <c r="L80" s="32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ht="15.75" customHeight="1">
      <c r="A81" s="32"/>
      <c r="B81" s="32"/>
      <c r="C81" s="32"/>
      <c r="E81" s="32"/>
      <c r="F81" s="33"/>
      <c r="G81" s="32"/>
      <c r="H81" s="33"/>
      <c r="I81" s="33"/>
      <c r="J81" s="33"/>
      <c r="K81" s="33"/>
      <c r="L81" s="32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ht="15.75" customHeight="1">
      <c r="A82" s="32"/>
      <c r="B82" s="32"/>
      <c r="C82" s="32"/>
      <c r="E82" s="32"/>
      <c r="F82" s="33"/>
      <c r="G82" s="32"/>
      <c r="H82" s="33"/>
      <c r="I82" s="33"/>
      <c r="J82" s="33"/>
      <c r="K82" s="33"/>
      <c r="L82" s="32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ht="15.75" customHeight="1">
      <c r="A83" s="32"/>
      <c r="B83" s="32"/>
      <c r="C83" s="32"/>
      <c r="E83" s="32"/>
      <c r="F83" s="33"/>
      <c r="G83" s="32"/>
      <c r="H83" s="33"/>
      <c r="I83" s="33"/>
      <c r="J83" s="33"/>
      <c r="K83" s="33"/>
      <c r="L83" s="32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ht="15.75" customHeight="1">
      <c r="A84" s="32"/>
      <c r="B84" s="32"/>
      <c r="C84" s="32"/>
      <c r="E84" s="32"/>
      <c r="F84" s="33"/>
      <c r="G84" s="32"/>
      <c r="H84" s="33"/>
      <c r="I84" s="33"/>
      <c r="J84" s="33"/>
      <c r="K84" s="33"/>
      <c r="L84" s="32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ht="15.75" customHeight="1">
      <c r="A85" s="32"/>
      <c r="B85" s="32"/>
      <c r="C85" s="32"/>
      <c r="E85" s="32"/>
      <c r="F85" s="33"/>
      <c r="G85" s="32"/>
      <c r="H85" s="33"/>
      <c r="I85" s="33"/>
      <c r="J85" s="33"/>
      <c r="K85" s="33"/>
      <c r="L85" s="32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ht="15.75" customHeight="1">
      <c r="A86" s="32"/>
      <c r="B86" s="32"/>
      <c r="C86" s="32"/>
      <c r="E86" s="32"/>
      <c r="F86" s="33"/>
      <c r="G86" s="32"/>
      <c r="H86" s="33"/>
      <c r="I86" s="33"/>
      <c r="J86" s="33"/>
      <c r="K86" s="33"/>
      <c r="L86" s="32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ht="15.75" customHeight="1">
      <c r="A87" s="32"/>
      <c r="B87" s="32"/>
      <c r="C87" s="32"/>
      <c r="E87" s="32"/>
      <c r="F87" s="33"/>
      <c r="G87" s="32"/>
      <c r="H87" s="33"/>
      <c r="I87" s="33"/>
      <c r="J87" s="33"/>
      <c r="K87" s="33"/>
      <c r="L87" s="32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ht="15.75" customHeight="1">
      <c r="A88" s="32"/>
      <c r="B88" s="32"/>
      <c r="C88" s="32"/>
      <c r="E88" s="32"/>
      <c r="F88" s="33"/>
      <c r="G88" s="32"/>
      <c r="H88" s="33"/>
      <c r="I88" s="33"/>
      <c r="J88" s="33"/>
      <c r="K88" s="33"/>
      <c r="L88" s="32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ht="15.75" customHeight="1">
      <c r="A89" s="32"/>
      <c r="B89" s="32"/>
      <c r="C89" s="32"/>
      <c r="E89" s="32"/>
      <c r="F89" s="33"/>
      <c r="G89" s="32"/>
      <c r="H89" s="33"/>
      <c r="I89" s="33"/>
      <c r="J89" s="33"/>
      <c r="K89" s="33"/>
      <c r="L89" s="32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ht="15.75" customHeight="1">
      <c r="A90" s="32"/>
      <c r="B90" s="32"/>
      <c r="C90" s="32"/>
      <c r="E90" s="32"/>
      <c r="F90" s="33"/>
      <c r="G90" s="32"/>
      <c r="H90" s="33"/>
      <c r="I90" s="33"/>
      <c r="J90" s="33"/>
      <c r="K90" s="33"/>
      <c r="L90" s="32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ht="15.75" customHeight="1">
      <c r="A91" s="32"/>
      <c r="B91" s="32"/>
      <c r="C91" s="32"/>
      <c r="E91" s="32"/>
      <c r="F91" s="33"/>
      <c r="G91" s="32"/>
      <c r="H91" s="33"/>
      <c r="I91" s="33"/>
      <c r="J91" s="33"/>
      <c r="K91" s="33"/>
      <c r="L91" s="32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ht="15.75" customHeight="1">
      <c r="A92" s="32"/>
      <c r="B92" s="32"/>
      <c r="C92" s="32"/>
      <c r="E92" s="32"/>
      <c r="F92" s="33"/>
      <c r="G92" s="32"/>
      <c r="H92" s="33"/>
      <c r="I92" s="33"/>
      <c r="J92" s="33"/>
      <c r="K92" s="33"/>
      <c r="L92" s="32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ht="15.75" customHeight="1">
      <c r="A93" s="32"/>
      <c r="B93" s="32"/>
      <c r="C93" s="32"/>
      <c r="E93" s="32"/>
      <c r="F93" s="33"/>
      <c r="G93" s="32"/>
      <c r="H93" s="33"/>
      <c r="I93" s="33"/>
      <c r="J93" s="33"/>
      <c r="K93" s="33"/>
      <c r="L93" s="32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ht="15.75" customHeight="1">
      <c r="A94" s="32"/>
      <c r="B94" s="32"/>
      <c r="C94" s="32"/>
      <c r="E94" s="32"/>
      <c r="F94" s="33"/>
      <c r="G94" s="32"/>
      <c r="H94" s="33"/>
      <c r="I94" s="33"/>
      <c r="J94" s="33"/>
      <c r="K94" s="33"/>
      <c r="L94" s="32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ht="15.75" customHeight="1">
      <c r="A95" s="32"/>
      <c r="B95" s="32"/>
      <c r="C95" s="32"/>
      <c r="E95" s="32"/>
      <c r="F95" s="33"/>
      <c r="G95" s="32"/>
      <c r="H95" s="33"/>
      <c r="I95" s="33"/>
      <c r="J95" s="33"/>
      <c r="K95" s="33"/>
      <c r="L95" s="32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ht="15.75" customHeight="1">
      <c r="A96" s="32"/>
      <c r="B96" s="32"/>
      <c r="C96" s="32"/>
      <c r="E96" s="32"/>
      <c r="F96" s="33"/>
      <c r="G96" s="32"/>
      <c r="H96" s="33"/>
      <c r="I96" s="33"/>
      <c r="J96" s="33"/>
      <c r="K96" s="33"/>
      <c r="L96" s="32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ht="15.75" customHeight="1">
      <c r="A97" s="32"/>
      <c r="B97" s="32"/>
      <c r="C97" s="32"/>
      <c r="E97" s="32"/>
      <c r="F97" s="33"/>
      <c r="G97" s="32"/>
      <c r="H97" s="33"/>
      <c r="I97" s="33"/>
      <c r="J97" s="33"/>
      <c r="K97" s="33"/>
      <c r="L97" s="32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ht="15.75" customHeight="1">
      <c r="A98" s="32"/>
      <c r="B98" s="32"/>
      <c r="C98" s="32"/>
      <c r="E98" s="32"/>
      <c r="F98" s="33"/>
      <c r="G98" s="32"/>
      <c r="H98" s="33"/>
      <c r="I98" s="33"/>
      <c r="J98" s="33"/>
      <c r="K98" s="33"/>
      <c r="L98" s="32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ht="15.75" customHeight="1">
      <c r="A99" s="32"/>
      <c r="B99" s="32"/>
      <c r="C99" s="32"/>
      <c r="E99" s="32"/>
      <c r="F99" s="33"/>
      <c r="G99" s="32"/>
      <c r="H99" s="33"/>
      <c r="I99" s="33"/>
      <c r="J99" s="33"/>
      <c r="K99" s="33"/>
      <c r="L99" s="32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ht="15.75" customHeight="1">
      <c r="A100" s="32"/>
      <c r="B100" s="32"/>
      <c r="C100" s="32"/>
      <c r="E100" s="32"/>
      <c r="F100" s="33"/>
      <c r="G100" s="32"/>
      <c r="H100" s="33"/>
      <c r="I100" s="33"/>
      <c r="J100" s="33"/>
      <c r="K100" s="33"/>
      <c r="L100" s="32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ht="15.75" customHeight="1">
      <c r="A101" s="32"/>
      <c r="B101" s="32"/>
      <c r="C101" s="32"/>
      <c r="E101" s="32"/>
      <c r="F101" s="33"/>
      <c r="G101" s="32"/>
      <c r="H101" s="33"/>
      <c r="I101" s="33"/>
      <c r="J101" s="33"/>
      <c r="K101" s="33"/>
      <c r="L101" s="32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ht="15.75" customHeight="1">
      <c r="A102" s="32"/>
      <c r="B102" s="32"/>
      <c r="C102" s="32"/>
      <c r="E102" s="32"/>
      <c r="F102" s="33"/>
      <c r="G102" s="32"/>
      <c r="H102" s="33"/>
      <c r="I102" s="33"/>
      <c r="J102" s="33"/>
      <c r="K102" s="33"/>
      <c r="L102" s="32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ht="15.75" customHeight="1">
      <c r="A103" s="32"/>
      <c r="B103" s="32"/>
      <c r="C103" s="32"/>
      <c r="E103" s="32"/>
      <c r="F103" s="33"/>
      <c r="G103" s="32"/>
      <c r="H103" s="33"/>
      <c r="I103" s="33"/>
      <c r="J103" s="33"/>
      <c r="K103" s="33"/>
      <c r="L103" s="32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ht="15.75" customHeight="1">
      <c r="A104" s="32"/>
      <c r="B104" s="32"/>
      <c r="C104" s="32"/>
      <c r="E104" s="32"/>
      <c r="F104" s="33"/>
      <c r="G104" s="32"/>
      <c r="H104" s="33"/>
      <c r="I104" s="33"/>
      <c r="J104" s="33"/>
      <c r="K104" s="33"/>
      <c r="L104" s="32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ht="15.75" customHeight="1">
      <c r="A105" s="32"/>
      <c r="B105" s="32"/>
      <c r="C105" s="32"/>
      <c r="E105" s="32"/>
      <c r="F105" s="33"/>
      <c r="G105" s="32"/>
      <c r="H105" s="33"/>
      <c r="I105" s="33"/>
      <c r="J105" s="33"/>
      <c r="K105" s="33"/>
      <c r="L105" s="32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ht="15.75" customHeight="1">
      <c r="A106" s="32"/>
      <c r="B106" s="32"/>
      <c r="C106" s="32"/>
      <c r="E106" s="32"/>
      <c r="F106" s="33"/>
      <c r="G106" s="32"/>
      <c r="H106" s="33"/>
      <c r="I106" s="33"/>
      <c r="J106" s="33"/>
      <c r="K106" s="33"/>
      <c r="L106" s="32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ht="15.75" customHeight="1">
      <c r="A107" s="32"/>
      <c r="B107" s="32"/>
      <c r="C107" s="32"/>
      <c r="E107" s="32"/>
      <c r="F107" s="33"/>
      <c r="G107" s="32"/>
      <c r="H107" s="33"/>
      <c r="I107" s="33"/>
      <c r="J107" s="33"/>
      <c r="K107" s="33"/>
      <c r="L107" s="32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ht="15.75" customHeight="1">
      <c r="A108" s="32"/>
      <c r="B108" s="32"/>
      <c r="C108" s="32"/>
      <c r="E108" s="32"/>
      <c r="F108" s="33"/>
      <c r="G108" s="32"/>
      <c r="H108" s="33"/>
      <c r="I108" s="33"/>
      <c r="J108" s="33"/>
      <c r="K108" s="33"/>
      <c r="L108" s="32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ht="15.75" customHeight="1">
      <c r="A109" s="32"/>
      <c r="B109" s="32"/>
      <c r="C109" s="32"/>
      <c r="E109" s="32"/>
      <c r="F109" s="33"/>
      <c r="G109" s="32"/>
      <c r="H109" s="33"/>
      <c r="I109" s="33"/>
      <c r="J109" s="33"/>
      <c r="K109" s="33"/>
      <c r="L109" s="32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ht="15.75" customHeight="1">
      <c r="A110" s="32"/>
      <c r="B110" s="32"/>
      <c r="C110" s="32"/>
      <c r="E110" s="32"/>
      <c r="F110" s="33"/>
      <c r="G110" s="32"/>
      <c r="H110" s="33"/>
      <c r="I110" s="33"/>
      <c r="J110" s="33"/>
      <c r="K110" s="33"/>
      <c r="L110" s="32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ht="15.75" customHeight="1">
      <c r="A111" s="32"/>
      <c r="B111" s="32"/>
      <c r="C111" s="32"/>
      <c r="E111" s="32"/>
      <c r="F111" s="33"/>
      <c r="G111" s="32"/>
      <c r="H111" s="33"/>
      <c r="I111" s="33"/>
      <c r="J111" s="33"/>
      <c r="K111" s="33"/>
      <c r="L111" s="32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ht="15.75" customHeight="1">
      <c r="A112" s="32"/>
      <c r="B112" s="32"/>
      <c r="C112" s="32"/>
      <c r="E112" s="32"/>
      <c r="F112" s="33"/>
      <c r="G112" s="32"/>
      <c r="H112" s="33"/>
      <c r="I112" s="33"/>
      <c r="J112" s="33"/>
      <c r="K112" s="33"/>
      <c r="L112" s="32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5.75" customHeight="1">
      <c r="A113" s="32"/>
      <c r="B113" s="32"/>
      <c r="C113" s="32"/>
      <c r="E113" s="32"/>
      <c r="F113" s="33"/>
      <c r="G113" s="32"/>
      <c r="H113" s="33"/>
      <c r="I113" s="33"/>
      <c r="J113" s="33"/>
      <c r="K113" s="33"/>
      <c r="L113" s="32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ht="15.75" customHeight="1">
      <c r="A114" s="32"/>
      <c r="B114" s="32"/>
      <c r="C114" s="32"/>
      <c r="E114" s="32"/>
      <c r="F114" s="33"/>
      <c r="G114" s="32"/>
      <c r="H114" s="33"/>
      <c r="I114" s="33"/>
      <c r="J114" s="33"/>
      <c r="K114" s="33"/>
      <c r="L114" s="32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ht="15.75" customHeight="1">
      <c r="A115" s="32"/>
      <c r="B115" s="32"/>
      <c r="C115" s="32"/>
      <c r="E115" s="32"/>
      <c r="F115" s="33"/>
      <c r="G115" s="32"/>
      <c r="H115" s="33"/>
      <c r="I115" s="33"/>
      <c r="J115" s="33"/>
      <c r="K115" s="33"/>
      <c r="L115" s="32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ht="15.75" customHeight="1">
      <c r="A116" s="32"/>
      <c r="B116" s="32"/>
      <c r="C116" s="32"/>
      <c r="E116" s="32"/>
      <c r="F116" s="33"/>
      <c r="G116" s="32"/>
      <c r="H116" s="33"/>
      <c r="I116" s="33"/>
      <c r="J116" s="33"/>
      <c r="K116" s="33"/>
      <c r="L116" s="32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ht="15.75" customHeight="1">
      <c r="A117" s="32"/>
      <c r="B117" s="32"/>
      <c r="C117" s="32"/>
      <c r="E117" s="32"/>
      <c r="F117" s="33"/>
      <c r="G117" s="32"/>
      <c r="H117" s="33"/>
      <c r="I117" s="33"/>
      <c r="J117" s="33"/>
      <c r="K117" s="33"/>
      <c r="L117" s="32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ht="15.75" customHeight="1">
      <c r="A118" s="32"/>
      <c r="B118" s="32"/>
      <c r="C118" s="32"/>
      <c r="E118" s="32"/>
      <c r="F118" s="33"/>
      <c r="G118" s="32"/>
      <c r="H118" s="33"/>
      <c r="I118" s="33"/>
      <c r="J118" s="33"/>
      <c r="K118" s="33"/>
      <c r="L118" s="32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ht="15.75" customHeight="1">
      <c r="A119" s="32"/>
      <c r="B119" s="32"/>
      <c r="C119" s="32"/>
      <c r="E119" s="32"/>
      <c r="F119" s="33"/>
      <c r="G119" s="32"/>
      <c r="H119" s="33"/>
      <c r="I119" s="33"/>
      <c r="J119" s="33"/>
      <c r="K119" s="33"/>
      <c r="L119" s="32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ht="15.75" customHeight="1">
      <c r="A120" s="32"/>
      <c r="B120" s="32"/>
      <c r="C120" s="32"/>
      <c r="E120" s="32"/>
      <c r="F120" s="33"/>
      <c r="G120" s="32"/>
      <c r="H120" s="33"/>
      <c r="I120" s="33"/>
      <c r="J120" s="33"/>
      <c r="K120" s="33"/>
      <c r="L120" s="32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ht="15.75" customHeight="1">
      <c r="A121" s="32"/>
      <c r="B121" s="32"/>
      <c r="C121" s="32"/>
      <c r="E121" s="32"/>
      <c r="F121" s="33"/>
      <c r="G121" s="32"/>
      <c r="H121" s="33"/>
      <c r="I121" s="33"/>
      <c r="J121" s="33"/>
      <c r="K121" s="33"/>
      <c r="L121" s="32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ht="15.75" customHeight="1">
      <c r="A122" s="32"/>
      <c r="B122" s="32"/>
      <c r="C122" s="32"/>
      <c r="E122" s="32"/>
      <c r="F122" s="33"/>
      <c r="G122" s="32"/>
      <c r="H122" s="33"/>
      <c r="I122" s="33"/>
      <c r="J122" s="33"/>
      <c r="K122" s="33"/>
      <c r="L122" s="32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ht="15.75" customHeight="1">
      <c r="A123" s="32"/>
      <c r="B123" s="32"/>
      <c r="C123" s="32"/>
      <c r="E123" s="32"/>
      <c r="F123" s="33"/>
      <c r="G123" s="32"/>
      <c r="H123" s="33"/>
      <c r="I123" s="33"/>
      <c r="J123" s="33"/>
      <c r="K123" s="33"/>
      <c r="L123" s="32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ht="15.75" customHeight="1">
      <c r="A124" s="32"/>
      <c r="B124" s="32"/>
      <c r="C124" s="32"/>
      <c r="E124" s="32"/>
      <c r="F124" s="33"/>
      <c r="G124" s="32"/>
      <c r="H124" s="33"/>
      <c r="I124" s="33"/>
      <c r="J124" s="33"/>
      <c r="K124" s="33"/>
      <c r="L124" s="32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ht="15.75" customHeight="1">
      <c r="A125" s="32"/>
      <c r="B125" s="32"/>
      <c r="C125" s="32"/>
      <c r="E125" s="32"/>
      <c r="F125" s="33"/>
      <c r="G125" s="32"/>
      <c r="H125" s="33"/>
      <c r="I125" s="33"/>
      <c r="J125" s="33"/>
      <c r="K125" s="33"/>
      <c r="L125" s="32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ht="15.75" customHeight="1">
      <c r="A126" s="32"/>
      <c r="B126" s="32"/>
      <c r="C126" s="32"/>
      <c r="E126" s="32"/>
      <c r="F126" s="33"/>
      <c r="G126" s="32"/>
      <c r="H126" s="33"/>
      <c r="I126" s="33"/>
      <c r="J126" s="33"/>
      <c r="K126" s="33"/>
      <c r="L126" s="32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ht="15.75" customHeight="1">
      <c r="A127" s="32"/>
      <c r="B127" s="32"/>
      <c r="C127" s="32"/>
      <c r="E127" s="32"/>
      <c r="F127" s="33"/>
      <c r="G127" s="32"/>
      <c r="H127" s="33"/>
      <c r="I127" s="33"/>
      <c r="J127" s="33"/>
      <c r="K127" s="33"/>
      <c r="L127" s="32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ht="15.75" customHeight="1">
      <c r="A128" s="32"/>
      <c r="B128" s="32"/>
      <c r="C128" s="32"/>
      <c r="E128" s="32"/>
      <c r="F128" s="33"/>
      <c r="G128" s="32"/>
      <c r="H128" s="33"/>
      <c r="I128" s="33"/>
      <c r="J128" s="33"/>
      <c r="K128" s="33"/>
      <c r="L128" s="32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ht="15.75" customHeight="1">
      <c r="A129" s="32"/>
      <c r="B129" s="32"/>
      <c r="C129" s="32"/>
      <c r="E129" s="32"/>
      <c r="F129" s="33"/>
      <c r="G129" s="32"/>
      <c r="H129" s="33"/>
      <c r="I129" s="33"/>
      <c r="J129" s="33"/>
      <c r="K129" s="33"/>
      <c r="L129" s="32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ht="15.75" customHeight="1">
      <c r="A130" s="32"/>
      <c r="B130" s="32"/>
      <c r="C130" s="32"/>
      <c r="E130" s="32"/>
      <c r="F130" s="33"/>
      <c r="G130" s="32"/>
      <c r="H130" s="33"/>
      <c r="I130" s="33"/>
      <c r="J130" s="33"/>
      <c r="K130" s="33"/>
      <c r="L130" s="32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ht="15.75" customHeight="1">
      <c r="A131" s="32"/>
      <c r="B131" s="32"/>
      <c r="C131" s="32"/>
      <c r="E131" s="32"/>
      <c r="F131" s="33"/>
      <c r="G131" s="32"/>
      <c r="H131" s="33"/>
      <c r="I131" s="33"/>
      <c r="J131" s="33"/>
      <c r="K131" s="33"/>
      <c r="L131" s="32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ht="15.75" customHeight="1">
      <c r="A132" s="32"/>
      <c r="B132" s="32"/>
      <c r="C132" s="32"/>
      <c r="E132" s="32"/>
      <c r="F132" s="33"/>
      <c r="G132" s="32"/>
      <c r="H132" s="33"/>
      <c r="I132" s="33"/>
      <c r="J132" s="33"/>
      <c r="K132" s="33"/>
      <c r="L132" s="32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ht="15.75" customHeight="1">
      <c r="A133" s="32"/>
      <c r="B133" s="32"/>
      <c r="C133" s="32"/>
      <c r="E133" s="32"/>
      <c r="F133" s="33"/>
      <c r="G133" s="32"/>
      <c r="H133" s="33"/>
      <c r="I133" s="33"/>
      <c r="J133" s="33"/>
      <c r="K133" s="33"/>
      <c r="L133" s="32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ht="15.75" customHeight="1">
      <c r="A134" s="32"/>
      <c r="B134" s="32"/>
      <c r="C134" s="32"/>
      <c r="E134" s="32"/>
      <c r="F134" s="33"/>
      <c r="G134" s="32"/>
      <c r="H134" s="33"/>
      <c r="I134" s="33"/>
      <c r="J134" s="33"/>
      <c r="K134" s="33"/>
      <c r="L134" s="32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ht="15.75" customHeight="1">
      <c r="A135" s="32"/>
      <c r="B135" s="32"/>
      <c r="C135" s="32"/>
      <c r="E135" s="32"/>
      <c r="F135" s="33"/>
      <c r="G135" s="32"/>
      <c r="H135" s="33"/>
      <c r="I135" s="33"/>
      <c r="J135" s="33"/>
      <c r="K135" s="33"/>
      <c r="L135" s="32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ht="15.75" customHeight="1">
      <c r="A136" s="32"/>
      <c r="B136" s="32"/>
      <c r="C136" s="32"/>
      <c r="E136" s="32"/>
      <c r="F136" s="33"/>
      <c r="G136" s="32"/>
      <c r="H136" s="33"/>
      <c r="I136" s="33"/>
      <c r="J136" s="33"/>
      <c r="K136" s="33"/>
      <c r="L136" s="32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ht="15.75" customHeight="1">
      <c r="A137" s="32"/>
      <c r="B137" s="32"/>
      <c r="C137" s="32"/>
      <c r="E137" s="32"/>
      <c r="F137" s="33"/>
      <c r="G137" s="32"/>
      <c r="H137" s="33"/>
      <c r="I137" s="33"/>
      <c r="J137" s="33"/>
      <c r="K137" s="33"/>
      <c r="L137" s="32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ht="15.75" customHeight="1">
      <c r="A138" s="32"/>
      <c r="B138" s="32"/>
      <c r="C138" s="32"/>
      <c r="E138" s="32"/>
      <c r="F138" s="33"/>
      <c r="G138" s="32"/>
      <c r="H138" s="33"/>
      <c r="I138" s="33"/>
      <c r="J138" s="33"/>
      <c r="K138" s="33"/>
      <c r="L138" s="32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ht="15.75" customHeight="1">
      <c r="A139" s="32"/>
      <c r="B139" s="32"/>
      <c r="C139" s="32"/>
      <c r="E139" s="32"/>
      <c r="F139" s="33"/>
      <c r="G139" s="32"/>
      <c r="H139" s="33"/>
      <c r="I139" s="33"/>
      <c r="J139" s="33"/>
      <c r="K139" s="33"/>
      <c r="L139" s="32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ht="15.75" customHeight="1">
      <c r="A140" s="32"/>
      <c r="B140" s="32"/>
      <c r="C140" s="32"/>
      <c r="E140" s="32"/>
      <c r="F140" s="33"/>
      <c r="G140" s="32"/>
      <c r="H140" s="33"/>
      <c r="I140" s="33"/>
      <c r="J140" s="33"/>
      <c r="K140" s="33"/>
      <c r="L140" s="32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ht="15.75" customHeight="1">
      <c r="A141" s="32"/>
      <c r="B141" s="32"/>
      <c r="C141" s="32"/>
      <c r="E141" s="32"/>
      <c r="F141" s="33"/>
      <c r="G141" s="32"/>
      <c r="H141" s="33"/>
      <c r="I141" s="33"/>
      <c r="J141" s="33"/>
      <c r="K141" s="33"/>
      <c r="L141" s="32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ht="15.75" customHeight="1">
      <c r="A142" s="32"/>
      <c r="B142" s="32"/>
      <c r="C142" s="32"/>
      <c r="E142" s="32"/>
      <c r="F142" s="33"/>
      <c r="G142" s="32"/>
      <c r="H142" s="33"/>
      <c r="I142" s="33"/>
      <c r="J142" s="33"/>
      <c r="K142" s="33"/>
      <c r="L142" s="32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ht="15.75" customHeight="1">
      <c r="A143" s="32"/>
      <c r="B143" s="32"/>
      <c r="C143" s="32"/>
      <c r="E143" s="32"/>
      <c r="F143" s="33"/>
      <c r="G143" s="32"/>
      <c r="H143" s="33"/>
      <c r="I143" s="33"/>
      <c r="J143" s="33"/>
      <c r="K143" s="33"/>
      <c r="L143" s="32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ht="15.75" customHeight="1">
      <c r="A144" s="32"/>
      <c r="B144" s="32"/>
      <c r="C144" s="32"/>
      <c r="E144" s="32"/>
      <c r="F144" s="33"/>
      <c r="G144" s="32"/>
      <c r="H144" s="33"/>
      <c r="I144" s="33"/>
      <c r="J144" s="33"/>
      <c r="K144" s="33"/>
      <c r="L144" s="32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ht="15.75" customHeight="1">
      <c r="A145" s="32"/>
      <c r="B145" s="32"/>
      <c r="C145" s="32"/>
      <c r="E145" s="32"/>
      <c r="F145" s="33"/>
      <c r="G145" s="32"/>
      <c r="H145" s="33"/>
      <c r="I145" s="33"/>
      <c r="J145" s="33"/>
      <c r="K145" s="33"/>
      <c r="L145" s="32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ht="15.75" customHeight="1">
      <c r="A146" s="32"/>
      <c r="B146" s="32"/>
      <c r="C146" s="32"/>
      <c r="E146" s="32"/>
      <c r="F146" s="33"/>
      <c r="G146" s="32"/>
      <c r="H146" s="33"/>
      <c r="I146" s="33"/>
      <c r="J146" s="33"/>
      <c r="K146" s="33"/>
      <c r="L146" s="32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ht="15.75" customHeight="1">
      <c r="A147" s="32"/>
      <c r="B147" s="32"/>
      <c r="C147" s="32"/>
      <c r="E147" s="32"/>
      <c r="F147" s="33"/>
      <c r="G147" s="32"/>
      <c r="H147" s="33"/>
      <c r="I147" s="33"/>
      <c r="J147" s="33"/>
      <c r="K147" s="33"/>
      <c r="L147" s="32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ht="15.75" customHeight="1">
      <c r="A148" s="32"/>
      <c r="B148" s="32"/>
      <c r="C148" s="32"/>
      <c r="E148" s="32"/>
      <c r="F148" s="33"/>
      <c r="G148" s="32"/>
      <c r="H148" s="33"/>
      <c r="I148" s="33"/>
      <c r="J148" s="33"/>
      <c r="K148" s="33"/>
      <c r="L148" s="32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ht="15.75" customHeight="1">
      <c r="A149" s="32"/>
      <c r="B149" s="32"/>
      <c r="C149" s="32"/>
      <c r="E149" s="32"/>
      <c r="F149" s="33"/>
      <c r="G149" s="32"/>
      <c r="H149" s="33"/>
      <c r="I149" s="33"/>
      <c r="J149" s="33"/>
      <c r="K149" s="33"/>
      <c r="L149" s="32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ht="15.75" customHeight="1">
      <c r="A150" s="32"/>
      <c r="B150" s="32"/>
      <c r="C150" s="32"/>
      <c r="E150" s="32"/>
      <c r="F150" s="33"/>
      <c r="G150" s="32"/>
      <c r="H150" s="33"/>
      <c r="I150" s="33"/>
      <c r="J150" s="33"/>
      <c r="K150" s="33"/>
      <c r="L150" s="32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ht="15.75" customHeight="1">
      <c r="A151" s="32"/>
      <c r="B151" s="32"/>
      <c r="C151" s="32"/>
      <c r="E151" s="32"/>
      <c r="F151" s="33"/>
      <c r="G151" s="32"/>
      <c r="H151" s="33"/>
      <c r="I151" s="33"/>
      <c r="J151" s="33"/>
      <c r="K151" s="33"/>
      <c r="L151" s="32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ht="15.75" customHeight="1">
      <c r="A152" s="32"/>
      <c r="B152" s="32"/>
      <c r="C152" s="32"/>
      <c r="E152" s="32"/>
      <c r="F152" s="33"/>
      <c r="G152" s="32"/>
      <c r="H152" s="33"/>
      <c r="I152" s="33"/>
      <c r="J152" s="33"/>
      <c r="K152" s="33"/>
      <c r="L152" s="32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ht="15.75" customHeight="1">
      <c r="A153" s="32"/>
      <c r="B153" s="32"/>
      <c r="C153" s="32"/>
      <c r="E153" s="32"/>
      <c r="F153" s="33"/>
      <c r="G153" s="32"/>
      <c r="H153" s="33"/>
      <c r="I153" s="33"/>
      <c r="J153" s="33"/>
      <c r="K153" s="33"/>
      <c r="L153" s="32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ht="15.75" customHeight="1">
      <c r="A154" s="32"/>
      <c r="B154" s="32"/>
      <c r="C154" s="32"/>
      <c r="E154" s="32"/>
      <c r="F154" s="33"/>
      <c r="G154" s="32"/>
      <c r="H154" s="33"/>
      <c r="I154" s="33"/>
      <c r="J154" s="33"/>
      <c r="K154" s="33"/>
      <c r="L154" s="32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ht="15.75" customHeight="1">
      <c r="A155" s="32"/>
      <c r="B155" s="32"/>
      <c r="C155" s="32"/>
      <c r="E155" s="32"/>
      <c r="F155" s="33"/>
      <c r="G155" s="32"/>
      <c r="H155" s="33"/>
      <c r="I155" s="33"/>
      <c r="J155" s="33"/>
      <c r="K155" s="33"/>
      <c r="L155" s="32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ht="15.75" customHeight="1">
      <c r="A156" s="32"/>
      <c r="B156" s="32"/>
      <c r="C156" s="32"/>
      <c r="E156" s="32"/>
      <c r="F156" s="33"/>
      <c r="G156" s="32"/>
      <c r="H156" s="33"/>
      <c r="I156" s="33"/>
      <c r="J156" s="33"/>
      <c r="K156" s="33"/>
      <c r="L156" s="32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ht="15.75" customHeight="1">
      <c r="A157" s="32"/>
      <c r="B157" s="32"/>
      <c r="C157" s="32"/>
      <c r="E157" s="32"/>
      <c r="F157" s="33"/>
      <c r="G157" s="32"/>
      <c r="H157" s="33"/>
      <c r="I157" s="33"/>
      <c r="J157" s="33"/>
      <c r="K157" s="33"/>
      <c r="L157" s="32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ht="15.75" customHeight="1">
      <c r="A158" s="32"/>
      <c r="B158" s="32"/>
      <c r="C158" s="32"/>
      <c r="E158" s="32"/>
      <c r="F158" s="33"/>
      <c r="G158" s="32"/>
      <c r="H158" s="33"/>
      <c r="I158" s="33"/>
      <c r="J158" s="33"/>
      <c r="K158" s="33"/>
      <c r="L158" s="32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ht="15.75" customHeight="1">
      <c r="A159" s="32"/>
      <c r="B159" s="32"/>
      <c r="C159" s="32"/>
      <c r="E159" s="32"/>
      <c r="F159" s="33"/>
      <c r="G159" s="32"/>
      <c r="H159" s="33"/>
      <c r="I159" s="33"/>
      <c r="J159" s="33"/>
      <c r="K159" s="33"/>
      <c r="L159" s="32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ht="15.75" customHeight="1">
      <c r="A160" s="32"/>
      <c r="B160" s="32"/>
      <c r="C160" s="32"/>
      <c r="E160" s="32"/>
      <c r="F160" s="33"/>
      <c r="G160" s="32"/>
      <c r="H160" s="33"/>
      <c r="I160" s="33"/>
      <c r="J160" s="33"/>
      <c r="K160" s="33"/>
      <c r="L160" s="32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ht="15.75" customHeight="1">
      <c r="A161" s="32"/>
      <c r="B161" s="32"/>
      <c r="C161" s="32"/>
      <c r="E161" s="32"/>
      <c r="F161" s="33"/>
      <c r="G161" s="32"/>
      <c r="H161" s="33"/>
      <c r="I161" s="33"/>
      <c r="J161" s="33"/>
      <c r="K161" s="33"/>
      <c r="L161" s="32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ht="15.75" customHeight="1">
      <c r="A162" s="32"/>
      <c r="B162" s="32"/>
      <c r="C162" s="32"/>
      <c r="E162" s="32"/>
      <c r="F162" s="33"/>
      <c r="G162" s="32"/>
      <c r="H162" s="33"/>
      <c r="I162" s="33"/>
      <c r="J162" s="33"/>
      <c r="K162" s="33"/>
      <c r="L162" s="32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ht="15.75" customHeight="1">
      <c r="A163" s="32"/>
      <c r="B163" s="32"/>
      <c r="C163" s="32"/>
      <c r="E163" s="32"/>
      <c r="F163" s="33"/>
      <c r="G163" s="32"/>
      <c r="H163" s="33"/>
      <c r="I163" s="33"/>
      <c r="J163" s="33"/>
      <c r="K163" s="33"/>
      <c r="L163" s="32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ht="15.75" customHeight="1">
      <c r="A164" s="32"/>
      <c r="B164" s="32"/>
      <c r="C164" s="32"/>
      <c r="E164" s="32"/>
      <c r="F164" s="33"/>
      <c r="G164" s="32"/>
      <c r="H164" s="33"/>
      <c r="I164" s="33"/>
      <c r="J164" s="33"/>
      <c r="K164" s="33"/>
      <c r="L164" s="32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5.75" customHeight="1">
      <c r="A165" s="32"/>
      <c r="B165" s="32"/>
      <c r="C165" s="32"/>
      <c r="E165" s="32"/>
      <c r="F165" s="33"/>
      <c r="G165" s="32"/>
      <c r="H165" s="33"/>
      <c r="I165" s="33"/>
      <c r="J165" s="33"/>
      <c r="K165" s="33"/>
      <c r="L165" s="32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ht="15.75" customHeight="1">
      <c r="A166" s="32"/>
      <c r="B166" s="32"/>
      <c r="C166" s="32"/>
      <c r="E166" s="32"/>
      <c r="F166" s="33"/>
      <c r="G166" s="32"/>
      <c r="H166" s="33"/>
      <c r="I166" s="33"/>
      <c r="J166" s="33"/>
      <c r="K166" s="33"/>
      <c r="L166" s="32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ht="15.75" customHeight="1">
      <c r="A167" s="32"/>
      <c r="B167" s="32"/>
      <c r="C167" s="32"/>
      <c r="E167" s="32"/>
      <c r="F167" s="33"/>
      <c r="G167" s="32"/>
      <c r="H167" s="33"/>
      <c r="I167" s="33"/>
      <c r="J167" s="33"/>
      <c r="K167" s="33"/>
      <c r="L167" s="32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ht="15.75" customHeight="1">
      <c r="A168" s="32"/>
      <c r="B168" s="32"/>
      <c r="C168" s="32"/>
      <c r="E168" s="32"/>
      <c r="F168" s="33"/>
      <c r="G168" s="32"/>
      <c r="H168" s="33"/>
      <c r="I168" s="33"/>
      <c r="J168" s="33"/>
      <c r="K168" s="33"/>
      <c r="L168" s="32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5.75" customHeight="1">
      <c r="A169" s="32"/>
      <c r="B169" s="32"/>
      <c r="C169" s="32"/>
      <c r="E169" s="32"/>
      <c r="F169" s="33"/>
      <c r="G169" s="32"/>
      <c r="H169" s="33"/>
      <c r="I169" s="33"/>
      <c r="J169" s="33"/>
      <c r="K169" s="33"/>
      <c r="L169" s="32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ht="15.75" customHeight="1">
      <c r="A170" s="32"/>
      <c r="B170" s="32"/>
      <c r="C170" s="32"/>
      <c r="E170" s="32"/>
      <c r="F170" s="33"/>
      <c r="G170" s="32"/>
      <c r="H170" s="33"/>
      <c r="I170" s="33"/>
      <c r="J170" s="33"/>
      <c r="K170" s="33"/>
      <c r="L170" s="32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ht="15.75" customHeight="1">
      <c r="A171" s="32"/>
      <c r="B171" s="32"/>
      <c r="C171" s="32"/>
      <c r="E171" s="32"/>
      <c r="F171" s="33"/>
      <c r="G171" s="32"/>
      <c r="H171" s="33"/>
      <c r="I171" s="33"/>
      <c r="J171" s="33"/>
      <c r="K171" s="33"/>
      <c r="L171" s="32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ht="15.75" customHeight="1">
      <c r="A172" s="32"/>
      <c r="B172" s="32"/>
      <c r="C172" s="32"/>
      <c r="E172" s="32"/>
      <c r="F172" s="33"/>
      <c r="G172" s="32"/>
      <c r="H172" s="33"/>
      <c r="I172" s="33"/>
      <c r="J172" s="33"/>
      <c r="K172" s="33"/>
      <c r="L172" s="32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ht="15.75" customHeight="1">
      <c r="A173" s="32"/>
      <c r="B173" s="32"/>
      <c r="C173" s="32"/>
      <c r="E173" s="32"/>
      <c r="F173" s="33"/>
      <c r="G173" s="32"/>
      <c r="H173" s="33"/>
      <c r="I173" s="33"/>
      <c r="J173" s="33"/>
      <c r="K173" s="33"/>
      <c r="L173" s="32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ht="15.75" customHeight="1">
      <c r="A174" s="32"/>
      <c r="B174" s="32"/>
      <c r="C174" s="32"/>
      <c r="E174" s="32"/>
      <c r="F174" s="33"/>
      <c r="G174" s="32"/>
      <c r="H174" s="33"/>
      <c r="I174" s="33"/>
      <c r="J174" s="33"/>
      <c r="K174" s="33"/>
      <c r="L174" s="32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ht="15.75" customHeight="1">
      <c r="A175" s="32"/>
      <c r="B175" s="32"/>
      <c r="C175" s="32"/>
      <c r="E175" s="32"/>
      <c r="F175" s="33"/>
      <c r="G175" s="32"/>
      <c r="H175" s="33"/>
      <c r="I175" s="33"/>
      <c r="J175" s="33"/>
      <c r="K175" s="33"/>
      <c r="L175" s="32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ht="15.75" customHeight="1">
      <c r="A176" s="32"/>
      <c r="B176" s="32"/>
      <c r="C176" s="32"/>
      <c r="E176" s="32"/>
      <c r="F176" s="33"/>
      <c r="G176" s="32"/>
      <c r="H176" s="33"/>
      <c r="I176" s="33"/>
      <c r="J176" s="33"/>
      <c r="K176" s="33"/>
      <c r="L176" s="32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ht="15.75" customHeight="1">
      <c r="A177" s="32"/>
      <c r="B177" s="32"/>
      <c r="C177" s="32"/>
      <c r="E177" s="32"/>
      <c r="F177" s="33"/>
      <c r="G177" s="32"/>
      <c r="H177" s="33"/>
      <c r="I177" s="33"/>
      <c r="J177" s="33"/>
      <c r="K177" s="33"/>
      <c r="L177" s="32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ht="15.75" customHeight="1">
      <c r="A178" s="32"/>
      <c r="B178" s="32"/>
      <c r="C178" s="32"/>
      <c r="E178" s="32"/>
      <c r="F178" s="33"/>
      <c r="G178" s="32"/>
      <c r="H178" s="33"/>
      <c r="I178" s="33"/>
      <c r="J178" s="33"/>
      <c r="K178" s="33"/>
      <c r="L178" s="32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ht="15.75" customHeight="1">
      <c r="A179" s="32"/>
      <c r="B179" s="32"/>
      <c r="C179" s="32"/>
      <c r="E179" s="32"/>
      <c r="F179" s="33"/>
      <c r="G179" s="32"/>
      <c r="H179" s="33"/>
      <c r="I179" s="33"/>
      <c r="J179" s="33"/>
      <c r="K179" s="33"/>
      <c r="L179" s="32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ht="15.75" customHeight="1">
      <c r="A180" s="32"/>
      <c r="B180" s="32"/>
      <c r="C180" s="32"/>
      <c r="E180" s="32"/>
      <c r="F180" s="33"/>
      <c r="G180" s="32"/>
      <c r="H180" s="33"/>
      <c r="I180" s="33"/>
      <c r="J180" s="33"/>
      <c r="K180" s="33"/>
      <c r="L180" s="32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ht="15.75" customHeight="1">
      <c r="A181" s="32"/>
      <c r="B181" s="32"/>
      <c r="C181" s="32"/>
      <c r="E181" s="32"/>
      <c r="F181" s="33"/>
      <c r="G181" s="32"/>
      <c r="H181" s="33"/>
      <c r="I181" s="33"/>
      <c r="J181" s="33"/>
      <c r="K181" s="33"/>
      <c r="L181" s="32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ht="15.75" customHeight="1">
      <c r="A182" s="32"/>
      <c r="B182" s="32"/>
      <c r="C182" s="32"/>
      <c r="E182" s="32"/>
      <c r="F182" s="33"/>
      <c r="G182" s="32"/>
      <c r="H182" s="33"/>
      <c r="I182" s="33"/>
      <c r="J182" s="33"/>
      <c r="K182" s="33"/>
      <c r="L182" s="32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ht="15.75" customHeight="1">
      <c r="A183" s="32"/>
      <c r="B183" s="32"/>
      <c r="C183" s="32"/>
      <c r="E183" s="32"/>
      <c r="F183" s="33"/>
      <c r="G183" s="32"/>
      <c r="H183" s="33"/>
      <c r="I183" s="33"/>
      <c r="J183" s="33"/>
      <c r="K183" s="33"/>
      <c r="L183" s="32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ht="15.75" customHeight="1">
      <c r="A184" s="32"/>
      <c r="B184" s="32"/>
      <c r="C184" s="32"/>
      <c r="E184" s="32"/>
      <c r="F184" s="33"/>
      <c r="G184" s="32"/>
      <c r="H184" s="33"/>
      <c r="I184" s="33"/>
      <c r="J184" s="33"/>
      <c r="K184" s="33"/>
      <c r="L184" s="32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ht="15.75" customHeight="1">
      <c r="A185" s="32"/>
      <c r="B185" s="32"/>
      <c r="C185" s="32"/>
      <c r="E185" s="32"/>
      <c r="F185" s="33"/>
      <c r="G185" s="32"/>
      <c r="H185" s="33"/>
      <c r="I185" s="33"/>
      <c r="J185" s="33"/>
      <c r="K185" s="33"/>
      <c r="L185" s="32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ht="15.75" customHeight="1">
      <c r="A186" s="32"/>
      <c r="B186" s="32"/>
      <c r="C186" s="32"/>
      <c r="E186" s="32"/>
      <c r="F186" s="33"/>
      <c r="G186" s="32"/>
      <c r="H186" s="33"/>
      <c r="I186" s="33"/>
      <c r="J186" s="33"/>
      <c r="K186" s="33"/>
      <c r="L186" s="32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ht="15.75" customHeight="1">
      <c r="A187" s="32"/>
      <c r="B187" s="32"/>
      <c r="C187" s="32"/>
      <c r="E187" s="32"/>
      <c r="F187" s="33"/>
      <c r="G187" s="32"/>
      <c r="H187" s="33"/>
      <c r="I187" s="33"/>
      <c r="J187" s="33"/>
      <c r="K187" s="33"/>
      <c r="L187" s="32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ht="15.75" customHeight="1">
      <c r="A188" s="32"/>
      <c r="B188" s="32"/>
      <c r="C188" s="32"/>
      <c r="E188" s="32"/>
      <c r="F188" s="33"/>
      <c r="G188" s="32"/>
      <c r="H188" s="33"/>
      <c r="I188" s="33"/>
      <c r="J188" s="33"/>
      <c r="K188" s="33"/>
      <c r="L188" s="32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ht="15.75" customHeight="1">
      <c r="A189" s="32"/>
      <c r="B189" s="32"/>
      <c r="C189" s="32"/>
      <c r="E189" s="32"/>
      <c r="F189" s="33"/>
      <c r="G189" s="32"/>
      <c r="H189" s="33"/>
      <c r="I189" s="33"/>
      <c r="J189" s="33"/>
      <c r="K189" s="33"/>
      <c r="L189" s="32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ht="15.75" customHeight="1">
      <c r="A190" s="32"/>
      <c r="B190" s="32"/>
      <c r="C190" s="32"/>
      <c r="E190" s="32"/>
      <c r="F190" s="33"/>
      <c r="G190" s="32"/>
      <c r="H190" s="33"/>
      <c r="I190" s="33"/>
      <c r="J190" s="33"/>
      <c r="K190" s="33"/>
      <c r="L190" s="32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ht="15.75" customHeight="1">
      <c r="A191" s="32"/>
      <c r="B191" s="32"/>
      <c r="C191" s="32"/>
      <c r="E191" s="32"/>
      <c r="F191" s="33"/>
      <c r="G191" s="32"/>
      <c r="H191" s="33"/>
      <c r="I191" s="33"/>
      <c r="J191" s="33"/>
      <c r="K191" s="33"/>
      <c r="L191" s="32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ht="15.75" customHeight="1">
      <c r="A192" s="32"/>
      <c r="B192" s="32"/>
      <c r="C192" s="32"/>
      <c r="E192" s="32"/>
      <c r="F192" s="33"/>
      <c r="G192" s="32"/>
      <c r="H192" s="33"/>
      <c r="I192" s="33"/>
      <c r="J192" s="33"/>
      <c r="K192" s="33"/>
      <c r="L192" s="32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ht="15.75" customHeight="1">
      <c r="A193" s="32"/>
      <c r="B193" s="32"/>
      <c r="C193" s="32"/>
      <c r="E193" s="32"/>
      <c r="F193" s="33"/>
      <c r="G193" s="32"/>
      <c r="H193" s="33"/>
      <c r="I193" s="33"/>
      <c r="J193" s="33"/>
      <c r="K193" s="33"/>
      <c r="L193" s="32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ht="15.75" customHeight="1">
      <c r="A194" s="32"/>
      <c r="B194" s="32"/>
      <c r="C194" s="32"/>
      <c r="E194" s="32"/>
      <c r="F194" s="33"/>
      <c r="G194" s="32"/>
      <c r="H194" s="33"/>
      <c r="I194" s="33"/>
      <c r="J194" s="33"/>
      <c r="K194" s="33"/>
      <c r="L194" s="32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ht="15.75" customHeight="1">
      <c r="A195" s="32"/>
      <c r="B195" s="32"/>
      <c r="C195" s="32"/>
      <c r="E195" s="32"/>
      <c r="F195" s="33"/>
      <c r="G195" s="32"/>
      <c r="H195" s="33"/>
      <c r="I195" s="33"/>
      <c r="J195" s="33"/>
      <c r="K195" s="33"/>
      <c r="L195" s="32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ht="15.75" customHeight="1">
      <c r="A196" s="32"/>
      <c r="B196" s="32"/>
      <c r="C196" s="32"/>
      <c r="E196" s="32"/>
      <c r="F196" s="33"/>
      <c r="G196" s="32"/>
      <c r="H196" s="33"/>
      <c r="I196" s="33"/>
      <c r="J196" s="33"/>
      <c r="K196" s="33"/>
      <c r="L196" s="32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ht="15.75" customHeight="1">
      <c r="A197" s="32"/>
      <c r="B197" s="32"/>
      <c r="C197" s="32"/>
      <c r="E197" s="32"/>
      <c r="F197" s="33"/>
      <c r="G197" s="32"/>
      <c r="H197" s="33"/>
      <c r="I197" s="33"/>
      <c r="J197" s="33"/>
      <c r="K197" s="33"/>
      <c r="L197" s="32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ht="15.75" customHeight="1">
      <c r="A198" s="32"/>
      <c r="B198" s="32"/>
      <c r="C198" s="32"/>
      <c r="E198" s="32"/>
      <c r="F198" s="33"/>
      <c r="G198" s="32"/>
      <c r="H198" s="33"/>
      <c r="I198" s="33"/>
      <c r="J198" s="33"/>
      <c r="K198" s="33"/>
      <c r="L198" s="32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ht="15.75" customHeight="1">
      <c r="A199" s="32"/>
      <c r="B199" s="32"/>
      <c r="C199" s="32"/>
      <c r="E199" s="32"/>
      <c r="F199" s="33"/>
      <c r="G199" s="32"/>
      <c r="H199" s="33"/>
      <c r="I199" s="33"/>
      <c r="J199" s="33"/>
      <c r="K199" s="33"/>
      <c r="L199" s="32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ht="15.75" customHeight="1">
      <c r="A200" s="32"/>
      <c r="B200" s="32"/>
      <c r="C200" s="32"/>
      <c r="E200" s="32"/>
      <c r="F200" s="33"/>
      <c r="G200" s="32"/>
      <c r="H200" s="33"/>
      <c r="I200" s="33"/>
      <c r="J200" s="33"/>
      <c r="K200" s="33"/>
      <c r="L200" s="32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ht="15.75" customHeight="1">
      <c r="A201" s="32"/>
      <c r="B201" s="32"/>
      <c r="C201" s="32"/>
      <c r="E201" s="32"/>
      <c r="F201" s="33"/>
      <c r="G201" s="32"/>
      <c r="H201" s="33"/>
      <c r="I201" s="33"/>
      <c r="J201" s="33"/>
      <c r="K201" s="33"/>
      <c r="L201" s="32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ht="15.75" customHeight="1">
      <c r="A202" s="32"/>
      <c r="B202" s="32"/>
      <c r="C202" s="32"/>
      <c r="E202" s="32"/>
      <c r="F202" s="33"/>
      <c r="G202" s="32"/>
      <c r="H202" s="33"/>
      <c r="I202" s="33"/>
      <c r="J202" s="33"/>
      <c r="K202" s="33"/>
      <c r="L202" s="32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ht="15.75" customHeight="1">
      <c r="A203" s="32"/>
      <c r="B203" s="32"/>
      <c r="C203" s="32"/>
      <c r="E203" s="32"/>
      <c r="F203" s="33"/>
      <c r="G203" s="32"/>
      <c r="H203" s="33"/>
      <c r="I203" s="33"/>
      <c r="J203" s="33"/>
      <c r="K203" s="33"/>
      <c r="L203" s="32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ht="15.75" customHeight="1">
      <c r="A204" s="32"/>
      <c r="B204" s="32"/>
      <c r="C204" s="32"/>
      <c r="E204" s="32"/>
      <c r="F204" s="33"/>
      <c r="G204" s="32"/>
      <c r="H204" s="33"/>
      <c r="I204" s="33"/>
      <c r="J204" s="33"/>
      <c r="K204" s="33"/>
      <c r="L204" s="32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ht="15.75" customHeight="1">
      <c r="A205" s="32"/>
      <c r="B205" s="32"/>
      <c r="C205" s="32"/>
      <c r="E205" s="32"/>
      <c r="F205" s="33"/>
      <c r="G205" s="32"/>
      <c r="H205" s="33"/>
      <c r="I205" s="33"/>
      <c r="J205" s="33"/>
      <c r="K205" s="33"/>
      <c r="L205" s="32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ht="15.75" customHeight="1">
      <c r="A206" s="32"/>
      <c r="B206" s="32"/>
      <c r="C206" s="32"/>
      <c r="E206" s="32"/>
      <c r="F206" s="33"/>
      <c r="G206" s="32"/>
      <c r="H206" s="33"/>
      <c r="I206" s="33"/>
      <c r="J206" s="33"/>
      <c r="K206" s="33"/>
      <c r="L206" s="32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ht="15.75" customHeight="1">
      <c r="A207" s="32"/>
      <c r="B207" s="32"/>
      <c r="C207" s="32"/>
      <c r="E207" s="32"/>
      <c r="F207" s="33"/>
      <c r="G207" s="32"/>
      <c r="H207" s="33"/>
      <c r="I207" s="33"/>
      <c r="J207" s="33"/>
      <c r="K207" s="33"/>
      <c r="L207" s="32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ht="15.75" customHeight="1">
      <c r="A208" s="32"/>
      <c r="B208" s="32"/>
      <c r="C208" s="32"/>
      <c r="E208" s="32"/>
      <c r="F208" s="33"/>
      <c r="G208" s="32"/>
      <c r="H208" s="33"/>
      <c r="I208" s="33"/>
      <c r="J208" s="33"/>
      <c r="K208" s="33"/>
      <c r="L208" s="32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ht="15.75" customHeight="1">
      <c r="A209" s="32"/>
      <c r="B209" s="32"/>
      <c r="C209" s="32"/>
      <c r="E209" s="32"/>
      <c r="F209" s="33"/>
      <c r="G209" s="32"/>
      <c r="H209" s="33"/>
      <c r="I209" s="33"/>
      <c r="J209" s="33"/>
      <c r="K209" s="33"/>
      <c r="L209" s="32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ht="15.75" customHeight="1">
      <c r="A210" s="32"/>
      <c r="B210" s="32"/>
      <c r="C210" s="32"/>
      <c r="E210" s="32"/>
      <c r="F210" s="33"/>
      <c r="G210" s="32"/>
      <c r="H210" s="33"/>
      <c r="I210" s="33"/>
      <c r="J210" s="33"/>
      <c r="K210" s="33"/>
      <c r="L210" s="32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ht="15.75" customHeight="1">
      <c r="A211" s="32"/>
      <c r="B211" s="32"/>
      <c r="C211" s="32"/>
      <c r="E211" s="32"/>
      <c r="F211" s="33"/>
      <c r="G211" s="32"/>
      <c r="H211" s="33"/>
      <c r="I211" s="33"/>
      <c r="J211" s="33"/>
      <c r="K211" s="33"/>
      <c r="L211" s="32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ht="15.75" customHeight="1">
      <c r="A212" s="32"/>
      <c r="B212" s="32"/>
      <c r="C212" s="32"/>
      <c r="E212" s="32"/>
      <c r="F212" s="33"/>
      <c r="G212" s="32"/>
      <c r="H212" s="33"/>
      <c r="I212" s="33"/>
      <c r="J212" s="33"/>
      <c r="K212" s="33"/>
      <c r="L212" s="32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ht="15.75" customHeight="1">
      <c r="A213" s="32"/>
      <c r="B213" s="32"/>
      <c r="C213" s="32"/>
      <c r="E213" s="32"/>
      <c r="F213" s="33"/>
      <c r="G213" s="32"/>
      <c r="H213" s="33"/>
      <c r="I213" s="33"/>
      <c r="J213" s="33"/>
      <c r="K213" s="33"/>
      <c r="L213" s="32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ht="15.75" customHeight="1">
      <c r="A214" s="32"/>
      <c r="B214" s="32"/>
      <c r="C214" s="32"/>
      <c r="E214" s="32"/>
      <c r="F214" s="33"/>
      <c r="G214" s="32"/>
      <c r="H214" s="33"/>
      <c r="I214" s="33"/>
      <c r="J214" s="33"/>
      <c r="K214" s="33"/>
      <c r="L214" s="32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ht="15.75" customHeight="1">
      <c r="A215" s="32"/>
      <c r="B215" s="32"/>
      <c r="C215" s="32"/>
      <c r="E215" s="32"/>
      <c r="F215" s="33"/>
      <c r="G215" s="32"/>
      <c r="H215" s="33"/>
      <c r="I215" s="33"/>
      <c r="J215" s="33"/>
      <c r="K215" s="33"/>
      <c r="L215" s="32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ht="15.75" customHeight="1">
      <c r="A216" s="32"/>
      <c r="B216" s="32"/>
      <c r="C216" s="32"/>
      <c r="E216" s="32"/>
      <c r="F216" s="33"/>
      <c r="G216" s="32"/>
      <c r="H216" s="33"/>
      <c r="I216" s="33"/>
      <c r="J216" s="33"/>
      <c r="K216" s="33"/>
      <c r="L216" s="32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ht="15.75" customHeight="1">
      <c r="A217" s="32"/>
      <c r="B217" s="32"/>
      <c r="C217" s="32"/>
      <c r="E217" s="32"/>
      <c r="F217" s="33"/>
      <c r="G217" s="32"/>
      <c r="H217" s="33"/>
      <c r="I217" s="33"/>
      <c r="J217" s="33"/>
      <c r="K217" s="33"/>
      <c r="L217" s="32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ht="15.75" customHeight="1">
      <c r="A218" s="32"/>
      <c r="B218" s="32"/>
      <c r="C218" s="32"/>
      <c r="E218" s="32"/>
      <c r="F218" s="33"/>
      <c r="G218" s="32"/>
      <c r="H218" s="33"/>
      <c r="I218" s="33"/>
      <c r="J218" s="33"/>
      <c r="K218" s="33"/>
      <c r="L218" s="32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ht="15.75" customHeight="1">
      <c r="A219" s="32"/>
      <c r="B219" s="32"/>
      <c r="C219" s="32"/>
      <c r="E219" s="32"/>
      <c r="F219" s="33"/>
      <c r="G219" s="32"/>
      <c r="H219" s="33"/>
      <c r="I219" s="33"/>
      <c r="J219" s="33"/>
      <c r="K219" s="33"/>
      <c r="L219" s="32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ht="15.75" customHeight="1">
      <c r="A220" s="32"/>
      <c r="B220" s="32"/>
      <c r="C220" s="32"/>
      <c r="E220" s="32"/>
      <c r="F220" s="33"/>
      <c r="G220" s="32"/>
      <c r="H220" s="33"/>
      <c r="I220" s="33"/>
      <c r="J220" s="33"/>
      <c r="K220" s="33"/>
      <c r="L220" s="32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ht="15.75" customHeight="1">
      <c r="A221" s="32"/>
      <c r="B221" s="32"/>
      <c r="C221" s="32"/>
      <c r="E221" s="32"/>
      <c r="F221" s="33"/>
      <c r="G221" s="32"/>
      <c r="H221" s="33"/>
      <c r="I221" s="33"/>
      <c r="J221" s="33"/>
      <c r="K221" s="33"/>
      <c r="L221" s="32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ht="15.75" customHeight="1">
      <c r="A222" s="32"/>
      <c r="B222" s="32"/>
      <c r="C222" s="32"/>
      <c r="E222" s="32"/>
      <c r="F222" s="33"/>
      <c r="G222" s="32"/>
      <c r="H222" s="33"/>
      <c r="I222" s="33"/>
      <c r="J222" s="33"/>
      <c r="K222" s="33"/>
      <c r="L222" s="32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ht="15.75" customHeight="1">
      <c r="A223" s="32"/>
      <c r="B223" s="32"/>
      <c r="C223" s="32"/>
      <c r="E223" s="32"/>
      <c r="F223" s="33"/>
      <c r="G223" s="32"/>
      <c r="H223" s="33"/>
      <c r="I223" s="33"/>
      <c r="J223" s="33"/>
      <c r="K223" s="33"/>
      <c r="L223" s="32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ht="15.75" customHeight="1">
      <c r="A224" s="32"/>
      <c r="B224" s="32"/>
      <c r="C224" s="32"/>
      <c r="E224" s="32"/>
      <c r="F224" s="33"/>
      <c r="G224" s="32"/>
      <c r="H224" s="33"/>
      <c r="I224" s="33"/>
      <c r="J224" s="33"/>
      <c r="K224" s="33"/>
      <c r="L224" s="32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ht="15.75" customHeight="1">
      <c r="A225" s="32"/>
      <c r="B225" s="32"/>
      <c r="C225" s="32"/>
      <c r="E225" s="32"/>
      <c r="F225" s="33"/>
      <c r="G225" s="32"/>
      <c r="H225" s="33"/>
      <c r="I225" s="33"/>
      <c r="J225" s="33"/>
      <c r="K225" s="33"/>
      <c r="L225" s="32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ht="15.75" customHeight="1">
      <c r="A226" s="32"/>
      <c r="B226" s="32"/>
      <c r="C226" s="32"/>
      <c r="E226" s="32"/>
      <c r="F226" s="33"/>
      <c r="G226" s="32"/>
      <c r="H226" s="33"/>
      <c r="I226" s="33"/>
      <c r="J226" s="33"/>
      <c r="K226" s="33"/>
      <c r="L226" s="32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ht="15.75" customHeight="1">
      <c r="A227" s="32"/>
      <c r="B227" s="32"/>
      <c r="C227" s="32"/>
      <c r="E227" s="32"/>
      <c r="F227" s="33"/>
      <c r="G227" s="32"/>
      <c r="H227" s="33"/>
      <c r="I227" s="33"/>
      <c r="J227" s="33"/>
      <c r="K227" s="33"/>
      <c r="L227" s="32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ht="15.75" customHeight="1">
      <c r="A228" s="32"/>
      <c r="B228" s="32"/>
      <c r="C228" s="32"/>
      <c r="E228" s="32"/>
      <c r="F228" s="33"/>
      <c r="G228" s="32"/>
      <c r="H228" s="33"/>
      <c r="I228" s="33"/>
      <c r="J228" s="33"/>
      <c r="K228" s="33"/>
      <c r="L228" s="32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ht="15.75" customHeight="1">
      <c r="A229" s="32"/>
      <c r="B229" s="32"/>
      <c r="C229" s="32"/>
      <c r="E229" s="32"/>
      <c r="F229" s="33"/>
      <c r="G229" s="32"/>
      <c r="H229" s="33"/>
      <c r="I229" s="33"/>
      <c r="J229" s="33"/>
      <c r="K229" s="33"/>
      <c r="L229" s="32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ht="15.75" customHeight="1">
      <c r="A230" s="32"/>
      <c r="B230" s="32"/>
      <c r="C230" s="32"/>
      <c r="E230" s="32"/>
      <c r="F230" s="33"/>
      <c r="G230" s="32"/>
      <c r="H230" s="33"/>
      <c r="I230" s="33"/>
      <c r="J230" s="33"/>
      <c r="K230" s="33"/>
      <c r="L230" s="32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ht="15.75" customHeight="1">
      <c r="A231" s="32"/>
      <c r="B231" s="32"/>
      <c r="C231" s="32"/>
      <c r="E231" s="32"/>
      <c r="F231" s="33"/>
      <c r="G231" s="32"/>
      <c r="H231" s="33"/>
      <c r="I231" s="33"/>
      <c r="J231" s="33"/>
      <c r="K231" s="33"/>
      <c r="L231" s="32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ht="15.75" customHeight="1">
      <c r="A232" s="32"/>
      <c r="B232" s="32"/>
      <c r="C232" s="32"/>
      <c r="E232" s="32"/>
      <c r="F232" s="33"/>
      <c r="G232" s="32"/>
      <c r="H232" s="33"/>
      <c r="I232" s="33"/>
      <c r="J232" s="33"/>
      <c r="K232" s="33"/>
      <c r="L232" s="32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ht="15.75" customHeight="1">
      <c r="A233" s="32"/>
      <c r="B233" s="32"/>
      <c r="C233" s="32"/>
      <c r="E233" s="32"/>
      <c r="F233" s="33"/>
      <c r="G233" s="32"/>
      <c r="H233" s="33"/>
      <c r="I233" s="33"/>
      <c r="J233" s="33"/>
      <c r="K233" s="33"/>
      <c r="L233" s="32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ht="15.75" customHeight="1">
      <c r="A234" s="32"/>
      <c r="B234" s="32"/>
      <c r="C234" s="32"/>
      <c r="E234" s="32"/>
      <c r="F234" s="33"/>
      <c r="G234" s="32"/>
      <c r="H234" s="33"/>
      <c r="I234" s="33"/>
      <c r="J234" s="33"/>
      <c r="K234" s="33"/>
      <c r="L234" s="32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ht="15.75" customHeight="1">
      <c r="A235" s="32"/>
      <c r="B235" s="32"/>
      <c r="C235" s="32"/>
      <c r="E235" s="32"/>
      <c r="F235" s="33"/>
      <c r="G235" s="32"/>
      <c r="H235" s="33"/>
      <c r="I235" s="33"/>
      <c r="J235" s="33"/>
      <c r="K235" s="33"/>
      <c r="L235" s="32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ht="15.75" customHeight="1">
      <c r="A236" s="32"/>
      <c r="B236" s="32"/>
      <c r="C236" s="32"/>
      <c r="E236" s="32"/>
      <c r="F236" s="33"/>
      <c r="G236" s="32"/>
      <c r="H236" s="33"/>
      <c r="I236" s="33"/>
      <c r="J236" s="33"/>
      <c r="K236" s="33"/>
      <c r="L236" s="32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ht="15.75" customHeight="1">
      <c r="A237" s="32"/>
      <c r="B237" s="32"/>
      <c r="C237" s="32"/>
      <c r="E237" s="32"/>
      <c r="F237" s="33"/>
      <c r="G237" s="32"/>
      <c r="H237" s="33"/>
      <c r="I237" s="33"/>
      <c r="J237" s="33"/>
      <c r="K237" s="33"/>
      <c r="L237" s="32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ht="15.75" customHeight="1">
      <c r="A238" s="32"/>
      <c r="B238" s="32"/>
      <c r="C238" s="32"/>
      <c r="E238" s="32"/>
      <c r="F238" s="33"/>
      <c r="G238" s="32"/>
      <c r="H238" s="33"/>
      <c r="I238" s="33"/>
      <c r="J238" s="33"/>
      <c r="K238" s="33"/>
      <c r="L238" s="32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ht="15.75" customHeight="1">
      <c r="A239" s="32"/>
      <c r="B239" s="32"/>
      <c r="C239" s="32"/>
      <c r="E239" s="32"/>
      <c r="F239" s="33"/>
      <c r="G239" s="32"/>
      <c r="H239" s="33"/>
      <c r="I239" s="33"/>
      <c r="J239" s="33"/>
      <c r="K239" s="33"/>
      <c r="L239" s="32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ht="15.75" customHeight="1">
      <c r="A240" s="32"/>
      <c r="B240" s="32"/>
      <c r="C240" s="32"/>
      <c r="E240" s="32"/>
      <c r="F240" s="33"/>
      <c r="G240" s="32"/>
      <c r="H240" s="33"/>
      <c r="I240" s="33"/>
      <c r="J240" s="33"/>
      <c r="K240" s="33"/>
      <c r="L240" s="32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ht="15.75" customHeight="1">
      <c r="A241" s="32"/>
      <c r="B241" s="32"/>
      <c r="C241" s="32"/>
      <c r="E241" s="32"/>
      <c r="F241" s="33"/>
      <c r="G241" s="32"/>
      <c r="H241" s="33"/>
      <c r="I241" s="33"/>
      <c r="J241" s="33"/>
      <c r="K241" s="33"/>
      <c r="L241" s="32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ht="15.75" customHeight="1">
      <c r="A242" s="32"/>
      <c r="B242" s="32"/>
      <c r="C242" s="32"/>
      <c r="E242" s="32"/>
      <c r="F242" s="33"/>
      <c r="G242" s="32"/>
      <c r="H242" s="33"/>
      <c r="I242" s="33"/>
      <c r="J242" s="33"/>
      <c r="K242" s="33"/>
      <c r="L242" s="32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ht="15.75" customHeight="1">
      <c r="A243" s="32"/>
      <c r="B243" s="32"/>
      <c r="C243" s="32"/>
      <c r="E243" s="32"/>
      <c r="F243" s="33"/>
      <c r="G243" s="32"/>
      <c r="H243" s="33"/>
      <c r="I243" s="33"/>
      <c r="J243" s="33"/>
      <c r="K243" s="33"/>
      <c r="L243" s="32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ht="15.75" customHeight="1">
      <c r="A244" s="32"/>
      <c r="B244" s="32"/>
      <c r="C244" s="32"/>
      <c r="E244" s="32"/>
      <c r="F244" s="33"/>
      <c r="G244" s="32"/>
      <c r="H244" s="33"/>
      <c r="I244" s="33"/>
      <c r="J244" s="33"/>
      <c r="K244" s="33"/>
      <c r="L244" s="32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ht="15.75" customHeight="1">
      <c r="A245" s="32"/>
      <c r="B245" s="32"/>
      <c r="C245" s="32"/>
      <c r="E245" s="32"/>
      <c r="F245" s="33"/>
      <c r="G245" s="32"/>
      <c r="H245" s="33"/>
      <c r="I245" s="33"/>
      <c r="J245" s="33"/>
      <c r="K245" s="33"/>
      <c r="L245" s="32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ht="15.75" customHeight="1">
      <c r="A246" s="32"/>
      <c r="B246" s="32"/>
      <c r="C246" s="32"/>
      <c r="E246" s="32"/>
      <c r="F246" s="33"/>
      <c r="G246" s="32"/>
      <c r="H246" s="33"/>
      <c r="I246" s="33"/>
      <c r="J246" s="33"/>
      <c r="K246" s="33"/>
      <c r="L246" s="32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ht="15.75" customHeight="1">
      <c r="A247" s="32"/>
      <c r="B247" s="32"/>
      <c r="C247" s="32"/>
      <c r="E247" s="32"/>
      <c r="F247" s="33"/>
      <c r="G247" s="32"/>
      <c r="H247" s="33"/>
      <c r="I247" s="33"/>
      <c r="J247" s="33"/>
      <c r="K247" s="33"/>
      <c r="L247" s="32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ht="15.75" customHeight="1">
      <c r="A248" s="32"/>
      <c r="B248" s="32"/>
      <c r="C248" s="32"/>
      <c r="E248" s="32"/>
      <c r="F248" s="33"/>
      <c r="G248" s="32"/>
      <c r="H248" s="33"/>
      <c r="I248" s="33"/>
      <c r="J248" s="33"/>
      <c r="K248" s="33"/>
      <c r="L248" s="32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ht="15.75" customHeight="1">
      <c r="A249" s="32"/>
      <c r="B249" s="32"/>
      <c r="C249" s="32"/>
      <c r="E249" s="32"/>
      <c r="F249" s="33"/>
      <c r="G249" s="32"/>
      <c r="H249" s="33"/>
      <c r="I249" s="33"/>
      <c r="J249" s="33"/>
      <c r="K249" s="33"/>
      <c r="L249" s="32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ht="15.75" customHeight="1">
      <c r="A250" s="32"/>
      <c r="B250" s="32"/>
      <c r="C250" s="32"/>
      <c r="E250" s="32"/>
      <c r="F250" s="33"/>
      <c r="G250" s="32"/>
      <c r="H250" s="33"/>
      <c r="I250" s="33"/>
      <c r="J250" s="33"/>
      <c r="K250" s="33"/>
      <c r="L250" s="32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ht="15.75" customHeight="1">
      <c r="A251" s="32"/>
      <c r="B251" s="32"/>
      <c r="C251" s="32"/>
      <c r="E251" s="32"/>
      <c r="F251" s="33"/>
      <c r="G251" s="32"/>
      <c r="H251" s="33"/>
      <c r="I251" s="33"/>
      <c r="J251" s="33"/>
      <c r="K251" s="33"/>
      <c r="L251" s="32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ht="15.75" customHeight="1">
      <c r="A252" s="32"/>
      <c r="B252" s="32"/>
      <c r="C252" s="32"/>
      <c r="E252" s="32"/>
      <c r="F252" s="33"/>
      <c r="G252" s="32"/>
      <c r="H252" s="33"/>
      <c r="I252" s="33"/>
      <c r="J252" s="33"/>
      <c r="K252" s="33"/>
      <c r="L252" s="32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ht="15.75" customHeight="1">
      <c r="A253" s="32"/>
      <c r="B253" s="32"/>
      <c r="C253" s="32"/>
      <c r="E253" s="32"/>
      <c r="F253" s="33"/>
      <c r="G253" s="32"/>
      <c r="H253" s="33"/>
      <c r="I253" s="33"/>
      <c r="J253" s="33"/>
      <c r="K253" s="33"/>
      <c r="L253" s="32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ht="15.75" customHeight="1">
      <c r="A254" s="32"/>
      <c r="B254" s="32"/>
      <c r="C254" s="32"/>
      <c r="E254" s="32"/>
      <c r="F254" s="33"/>
      <c r="G254" s="32"/>
      <c r="H254" s="33"/>
      <c r="I254" s="33"/>
      <c r="J254" s="33"/>
      <c r="K254" s="33"/>
      <c r="L254" s="32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ht="15.75" customHeight="1">
      <c r="A255" s="32"/>
      <c r="B255" s="32"/>
      <c r="C255" s="32"/>
      <c r="E255" s="32"/>
      <c r="F255" s="33"/>
      <c r="G255" s="32"/>
      <c r="H255" s="33"/>
      <c r="I255" s="33"/>
      <c r="J255" s="33"/>
      <c r="K255" s="33"/>
      <c r="L255" s="32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ht="15.75" customHeight="1">
      <c r="A256" s="32"/>
      <c r="B256" s="32"/>
      <c r="C256" s="32"/>
      <c r="E256" s="32"/>
      <c r="F256" s="33"/>
      <c r="G256" s="32"/>
      <c r="H256" s="33"/>
      <c r="I256" s="33"/>
      <c r="J256" s="33"/>
      <c r="K256" s="33"/>
      <c r="L256" s="32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ht="15.75" customHeight="1">
      <c r="A257" s="32"/>
      <c r="B257" s="32"/>
      <c r="C257" s="32"/>
      <c r="E257" s="32"/>
      <c r="F257" s="33"/>
      <c r="G257" s="32"/>
      <c r="H257" s="33"/>
      <c r="I257" s="33"/>
      <c r="J257" s="33"/>
      <c r="K257" s="33"/>
      <c r="L257" s="32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ht="15.75" customHeight="1">
      <c r="A258" s="32"/>
      <c r="B258" s="32"/>
      <c r="C258" s="32"/>
      <c r="E258" s="32"/>
      <c r="F258" s="33"/>
      <c r="G258" s="32"/>
      <c r="H258" s="33"/>
      <c r="I258" s="33"/>
      <c r="J258" s="33"/>
      <c r="K258" s="33"/>
      <c r="L258" s="32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ht="15.75" customHeight="1">
      <c r="A259" s="32"/>
      <c r="B259" s="32"/>
      <c r="C259" s="32"/>
      <c r="E259" s="32"/>
      <c r="F259" s="33"/>
      <c r="G259" s="32"/>
      <c r="H259" s="33"/>
      <c r="I259" s="33"/>
      <c r="J259" s="33"/>
      <c r="K259" s="33"/>
      <c r="L259" s="32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ht="15.75" customHeight="1">
      <c r="A260" s="32"/>
      <c r="B260" s="32"/>
      <c r="C260" s="32"/>
      <c r="E260" s="32"/>
      <c r="F260" s="33"/>
      <c r="G260" s="32"/>
      <c r="H260" s="33"/>
      <c r="I260" s="33"/>
      <c r="J260" s="33"/>
      <c r="K260" s="33"/>
      <c r="L260" s="32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ht="15.75" customHeight="1">
      <c r="A261" s="32"/>
      <c r="B261" s="32"/>
      <c r="C261" s="32"/>
      <c r="E261" s="32"/>
      <c r="F261" s="33"/>
      <c r="G261" s="32"/>
      <c r="H261" s="33"/>
      <c r="I261" s="33"/>
      <c r="J261" s="33"/>
      <c r="K261" s="33"/>
      <c r="L261" s="32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ht="15.75" customHeight="1">
      <c r="A262" s="32"/>
      <c r="B262" s="32"/>
      <c r="C262" s="32"/>
      <c r="E262" s="32"/>
      <c r="F262" s="33"/>
      <c r="G262" s="32"/>
      <c r="H262" s="33"/>
      <c r="I262" s="33"/>
      <c r="J262" s="33"/>
      <c r="K262" s="33"/>
      <c r="L262" s="32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ht="15.75" customHeight="1">
      <c r="A263" s="32"/>
      <c r="B263" s="32"/>
      <c r="C263" s="32"/>
      <c r="E263" s="32"/>
      <c r="F263" s="33"/>
      <c r="G263" s="32"/>
      <c r="H263" s="33"/>
      <c r="I263" s="33"/>
      <c r="J263" s="33"/>
      <c r="K263" s="33"/>
      <c r="L263" s="32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ht="15.75" customHeight="1">
      <c r="A264" s="32"/>
      <c r="B264" s="32"/>
      <c r="C264" s="32"/>
      <c r="E264" s="32"/>
      <c r="F264" s="33"/>
      <c r="G264" s="32"/>
      <c r="H264" s="33"/>
      <c r="I264" s="33"/>
      <c r="J264" s="33"/>
      <c r="K264" s="33"/>
      <c r="L264" s="32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ht="15.75" customHeight="1">
      <c r="A265" s="32"/>
      <c r="B265" s="32"/>
      <c r="C265" s="32"/>
      <c r="E265" s="32"/>
      <c r="F265" s="33"/>
      <c r="G265" s="32"/>
      <c r="H265" s="33"/>
      <c r="I265" s="33"/>
      <c r="J265" s="33"/>
      <c r="K265" s="33"/>
      <c r="L265" s="32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ht="15.75" customHeight="1">
      <c r="A266" s="32"/>
      <c r="B266" s="32"/>
      <c r="C266" s="32"/>
      <c r="E266" s="32"/>
      <c r="F266" s="33"/>
      <c r="G266" s="32"/>
      <c r="H266" s="33"/>
      <c r="I266" s="33"/>
      <c r="J266" s="33"/>
      <c r="K266" s="33"/>
      <c r="L266" s="32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ht="15.75" customHeight="1">
      <c r="A267" s="32"/>
      <c r="B267" s="32"/>
      <c r="C267" s="32"/>
      <c r="E267" s="32"/>
      <c r="F267" s="33"/>
      <c r="G267" s="32"/>
      <c r="H267" s="33"/>
      <c r="I267" s="33"/>
      <c r="J267" s="33"/>
      <c r="K267" s="33"/>
      <c r="L267" s="32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ht="15.75" customHeight="1">
      <c r="A268" s="32"/>
      <c r="B268" s="32"/>
      <c r="C268" s="32"/>
      <c r="E268" s="32"/>
      <c r="F268" s="33"/>
      <c r="G268" s="32"/>
      <c r="H268" s="33"/>
      <c r="I268" s="33"/>
      <c r="J268" s="33"/>
      <c r="K268" s="33"/>
      <c r="L268" s="32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ht="15.75" customHeight="1">
      <c r="A269" s="32"/>
      <c r="B269" s="32"/>
      <c r="C269" s="32"/>
      <c r="E269" s="32"/>
      <c r="F269" s="33"/>
      <c r="G269" s="32"/>
      <c r="H269" s="33"/>
      <c r="I269" s="33"/>
      <c r="J269" s="33"/>
      <c r="K269" s="33"/>
      <c r="L269" s="32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ht="15.75" customHeight="1">
      <c r="A270" s="32"/>
      <c r="B270" s="32"/>
      <c r="C270" s="32"/>
      <c r="E270" s="32"/>
      <c r="F270" s="33"/>
      <c r="G270" s="32"/>
      <c r="H270" s="33"/>
      <c r="I270" s="33"/>
      <c r="J270" s="33"/>
      <c r="K270" s="33"/>
      <c r="L270" s="32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ht="15.75" customHeight="1">
      <c r="A271" s="32"/>
      <c r="B271" s="32"/>
      <c r="C271" s="32"/>
      <c r="E271" s="32"/>
      <c r="F271" s="33"/>
      <c r="G271" s="32"/>
      <c r="H271" s="33"/>
      <c r="I271" s="33"/>
      <c r="J271" s="33"/>
      <c r="K271" s="33"/>
      <c r="L271" s="32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ht="15.75" customHeight="1">
      <c r="A272" s="32"/>
      <c r="B272" s="32"/>
      <c r="C272" s="32"/>
      <c r="E272" s="32"/>
      <c r="F272" s="33"/>
      <c r="G272" s="32"/>
      <c r="H272" s="33"/>
      <c r="I272" s="33"/>
      <c r="J272" s="33"/>
      <c r="K272" s="33"/>
      <c r="L272" s="32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ht="15.75" customHeight="1">
      <c r="A273" s="32"/>
      <c r="B273" s="32"/>
      <c r="C273" s="32"/>
      <c r="E273" s="32"/>
      <c r="F273" s="33"/>
      <c r="G273" s="32"/>
      <c r="H273" s="33"/>
      <c r="I273" s="33"/>
      <c r="J273" s="33"/>
      <c r="K273" s="33"/>
      <c r="L273" s="32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ht="15.75" customHeight="1">
      <c r="A274" s="32"/>
      <c r="B274" s="32"/>
      <c r="C274" s="32"/>
      <c r="E274" s="32"/>
      <c r="F274" s="33"/>
      <c r="G274" s="32"/>
      <c r="H274" s="33"/>
      <c r="I274" s="33"/>
      <c r="J274" s="33"/>
      <c r="K274" s="33"/>
      <c r="L274" s="32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ht="15.75" customHeight="1">
      <c r="A275" s="32"/>
      <c r="B275" s="32"/>
      <c r="C275" s="32"/>
      <c r="E275" s="32"/>
      <c r="F275" s="33"/>
      <c r="G275" s="32"/>
      <c r="H275" s="33"/>
      <c r="I275" s="33"/>
      <c r="J275" s="33"/>
      <c r="K275" s="33"/>
      <c r="L275" s="32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ht="15.75" customHeight="1">
      <c r="A276" s="32"/>
      <c r="B276" s="32"/>
      <c r="C276" s="32"/>
      <c r="E276" s="32"/>
      <c r="F276" s="33"/>
      <c r="G276" s="32"/>
      <c r="H276" s="33"/>
      <c r="I276" s="33"/>
      <c r="J276" s="33"/>
      <c r="K276" s="33"/>
      <c r="L276" s="32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ht="15.75" customHeight="1">
      <c r="A277" s="32"/>
      <c r="B277" s="32"/>
      <c r="C277" s="32"/>
      <c r="E277" s="32"/>
      <c r="F277" s="33"/>
      <c r="G277" s="32"/>
      <c r="H277" s="33"/>
      <c r="I277" s="33"/>
      <c r="J277" s="33"/>
      <c r="K277" s="33"/>
      <c r="L277" s="32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ht="15.75" customHeight="1">
      <c r="A278" s="32"/>
      <c r="B278" s="32"/>
      <c r="C278" s="32"/>
      <c r="E278" s="32"/>
      <c r="F278" s="33"/>
      <c r="G278" s="32"/>
      <c r="H278" s="33"/>
      <c r="I278" s="33"/>
      <c r="J278" s="33"/>
      <c r="K278" s="33"/>
      <c r="L278" s="32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ht="15.75" customHeight="1">
      <c r="A279" s="32"/>
      <c r="B279" s="32"/>
      <c r="C279" s="32"/>
      <c r="E279" s="32"/>
      <c r="F279" s="33"/>
      <c r="G279" s="32"/>
      <c r="H279" s="33"/>
      <c r="I279" s="33"/>
      <c r="J279" s="33"/>
      <c r="K279" s="33"/>
      <c r="L279" s="32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ht="15.75" customHeight="1">
      <c r="A280" s="32"/>
      <c r="B280" s="32"/>
      <c r="C280" s="32"/>
      <c r="E280" s="32"/>
      <c r="F280" s="33"/>
      <c r="G280" s="32"/>
      <c r="H280" s="33"/>
      <c r="I280" s="33"/>
      <c r="J280" s="33"/>
      <c r="K280" s="33"/>
      <c r="L280" s="32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ht="15.75" customHeight="1">
      <c r="A281" s="32"/>
      <c r="B281" s="32"/>
      <c r="C281" s="32"/>
      <c r="E281" s="32"/>
      <c r="F281" s="33"/>
      <c r="G281" s="32"/>
      <c r="H281" s="33"/>
      <c r="I281" s="33"/>
      <c r="J281" s="33"/>
      <c r="K281" s="33"/>
      <c r="L281" s="32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ht="15.75" customHeight="1">
      <c r="A282" s="32"/>
      <c r="B282" s="32"/>
      <c r="C282" s="32"/>
      <c r="E282" s="32"/>
      <c r="F282" s="33"/>
      <c r="G282" s="32"/>
      <c r="H282" s="33"/>
      <c r="I282" s="33"/>
      <c r="J282" s="33"/>
      <c r="K282" s="33"/>
      <c r="L282" s="32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ht="15.75" customHeight="1">
      <c r="A283" s="32"/>
      <c r="B283" s="32"/>
      <c r="C283" s="32"/>
      <c r="E283" s="32"/>
      <c r="F283" s="33"/>
      <c r="G283" s="32"/>
      <c r="H283" s="33"/>
      <c r="I283" s="33"/>
      <c r="J283" s="33"/>
      <c r="K283" s="33"/>
      <c r="L283" s="32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ht="15.75" customHeight="1">
      <c r="A284" s="32"/>
      <c r="B284" s="32"/>
      <c r="C284" s="32"/>
      <c r="E284" s="32"/>
      <c r="F284" s="33"/>
      <c r="G284" s="32"/>
      <c r="H284" s="33"/>
      <c r="I284" s="33"/>
      <c r="J284" s="33"/>
      <c r="K284" s="33"/>
      <c r="L284" s="32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ht="15.75" customHeight="1">
      <c r="A285" s="32"/>
      <c r="B285" s="32"/>
      <c r="C285" s="32"/>
      <c r="E285" s="32"/>
      <c r="F285" s="33"/>
      <c r="G285" s="32"/>
      <c r="H285" s="33"/>
      <c r="I285" s="33"/>
      <c r="J285" s="33"/>
      <c r="K285" s="33"/>
      <c r="L285" s="32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ht="15.75" customHeight="1">
      <c r="A286" s="32"/>
      <c r="B286" s="32"/>
      <c r="C286" s="32"/>
      <c r="E286" s="32"/>
      <c r="F286" s="33"/>
      <c r="G286" s="32"/>
      <c r="H286" s="33"/>
      <c r="I286" s="33"/>
      <c r="J286" s="33"/>
      <c r="K286" s="33"/>
      <c r="L286" s="32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ht="15.75" customHeight="1">
      <c r="A287" s="32"/>
      <c r="B287" s="32"/>
      <c r="C287" s="32"/>
      <c r="E287" s="32"/>
      <c r="F287" s="33"/>
      <c r="G287" s="32"/>
      <c r="H287" s="33"/>
      <c r="I287" s="33"/>
      <c r="J287" s="33"/>
      <c r="K287" s="33"/>
      <c r="L287" s="32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ht="15.75" customHeight="1">
      <c r="A288" s="32"/>
      <c r="B288" s="32"/>
      <c r="C288" s="32"/>
      <c r="E288" s="32"/>
      <c r="F288" s="33"/>
      <c r="G288" s="32"/>
      <c r="H288" s="33"/>
      <c r="I288" s="33"/>
      <c r="J288" s="33"/>
      <c r="K288" s="33"/>
      <c r="L288" s="32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ht="15.75" customHeight="1">
      <c r="A289" s="32"/>
      <c r="B289" s="32"/>
      <c r="C289" s="32"/>
      <c r="E289" s="32"/>
      <c r="F289" s="33"/>
      <c r="G289" s="32"/>
      <c r="H289" s="33"/>
      <c r="I289" s="33"/>
      <c r="J289" s="33"/>
      <c r="K289" s="33"/>
      <c r="L289" s="32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ht="15.75" customHeight="1">
      <c r="A290" s="32"/>
      <c r="B290" s="32"/>
      <c r="C290" s="32"/>
      <c r="E290" s="32"/>
      <c r="F290" s="33"/>
      <c r="G290" s="32"/>
      <c r="H290" s="33"/>
      <c r="I290" s="33"/>
      <c r="J290" s="33"/>
      <c r="K290" s="33"/>
      <c r="L290" s="32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ht="15.75" customHeight="1">
      <c r="A291" s="32"/>
      <c r="B291" s="32"/>
      <c r="C291" s="32"/>
      <c r="E291" s="32"/>
      <c r="F291" s="33"/>
      <c r="G291" s="32"/>
      <c r="H291" s="33"/>
      <c r="I291" s="33"/>
      <c r="J291" s="33"/>
      <c r="K291" s="33"/>
      <c r="L291" s="32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ht="15.75" customHeight="1">
      <c r="A292" s="32"/>
      <c r="B292" s="32"/>
      <c r="C292" s="32"/>
      <c r="E292" s="32"/>
      <c r="F292" s="33"/>
      <c r="G292" s="32"/>
      <c r="H292" s="33"/>
      <c r="I292" s="33"/>
      <c r="J292" s="33"/>
      <c r="K292" s="33"/>
      <c r="L292" s="32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ht="15.75" customHeight="1">
      <c r="A293" s="32"/>
      <c r="B293" s="32"/>
      <c r="C293" s="32"/>
      <c r="E293" s="32"/>
      <c r="F293" s="33"/>
      <c r="G293" s="32"/>
      <c r="H293" s="33"/>
      <c r="I293" s="33"/>
      <c r="J293" s="33"/>
      <c r="K293" s="33"/>
      <c r="L293" s="32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ht="15.75" customHeight="1">
      <c r="A294" s="32"/>
      <c r="B294" s="32"/>
      <c r="C294" s="32"/>
      <c r="E294" s="32"/>
      <c r="F294" s="33"/>
      <c r="G294" s="32"/>
      <c r="H294" s="33"/>
      <c r="I294" s="33"/>
      <c r="J294" s="33"/>
      <c r="K294" s="33"/>
      <c r="L294" s="32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ht="15.75" customHeight="1">
      <c r="A295" s="32"/>
      <c r="B295" s="32"/>
      <c r="C295" s="32"/>
      <c r="E295" s="32"/>
      <c r="F295" s="33"/>
      <c r="G295" s="32"/>
      <c r="H295" s="33"/>
      <c r="I295" s="33"/>
      <c r="J295" s="33"/>
      <c r="K295" s="33"/>
      <c r="L295" s="32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ht="15.75" customHeight="1">
      <c r="A296" s="32"/>
      <c r="B296" s="32"/>
      <c r="C296" s="32"/>
      <c r="E296" s="32"/>
      <c r="F296" s="33"/>
      <c r="G296" s="32"/>
      <c r="H296" s="33"/>
      <c r="I296" s="33"/>
      <c r="J296" s="33"/>
      <c r="K296" s="33"/>
      <c r="L296" s="32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ht="15.75" customHeight="1">
      <c r="A297" s="32"/>
      <c r="B297" s="32"/>
      <c r="C297" s="32"/>
      <c r="E297" s="32"/>
      <c r="F297" s="33"/>
      <c r="G297" s="32"/>
      <c r="H297" s="33"/>
      <c r="I297" s="33"/>
      <c r="J297" s="33"/>
      <c r="K297" s="33"/>
      <c r="L297" s="32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ht="15.75" customHeight="1">
      <c r="A298" s="32"/>
      <c r="B298" s="32"/>
      <c r="C298" s="32"/>
      <c r="E298" s="32"/>
      <c r="F298" s="33"/>
      <c r="G298" s="32"/>
      <c r="H298" s="33"/>
      <c r="I298" s="33"/>
      <c r="J298" s="33"/>
      <c r="K298" s="33"/>
      <c r="L298" s="32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ht="15.75" customHeight="1">
      <c r="A299" s="32"/>
      <c r="B299" s="32"/>
      <c r="C299" s="32"/>
      <c r="E299" s="32"/>
      <c r="F299" s="33"/>
      <c r="G299" s="32"/>
      <c r="H299" s="33"/>
      <c r="I299" s="33"/>
      <c r="J299" s="33"/>
      <c r="K299" s="33"/>
      <c r="L299" s="32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ht="15.75" customHeight="1">
      <c r="A300" s="32"/>
      <c r="B300" s="32"/>
      <c r="C300" s="32"/>
      <c r="E300" s="32"/>
      <c r="F300" s="33"/>
      <c r="G300" s="32"/>
      <c r="H300" s="33"/>
      <c r="I300" s="33"/>
      <c r="J300" s="33"/>
      <c r="K300" s="33"/>
      <c r="L300" s="32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ht="15.75" customHeight="1">
      <c r="A301" s="32"/>
      <c r="B301" s="32"/>
      <c r="C301" s="32"/>
      <c r="E301" s="32"/>
      <c r="F301" s="33"/>
      <c r="G301" s="32"/>
      <c r="H301" s="33"/>
      <c r="I301" s="33"/>
      <c r="J301" s="33"/>
      <c r="K301" s="33"/>
      <c r="L301" s="32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ht="15.75" customHeight="1">
      <c r="A302" s="32"/>
      <c r="B302" s="32"/>
      <c r="C302" s="32"/>
      <c r="E302" s="32"/>
      <c r="F302" s="33"/>
      <c r="G302" s="32"/>
      <c r="H302" s="33"/>
      <c r="I302" s="33"/>
      <c r="J302" s="33"/>
      <c r="K302" s="33"/>
      <c r="L302" s="32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ht="15.75" customHeight="1">
      <c r="A303" s="32"/>
      <c r="B303" s="32"/>
      <c r="C303" s="32"/>
      <c r="E303" s="32"/>
      <c r="F303" s="33"/>
      <c r="G303" s="32"/>
      <c r="H303" s="33"/>
      <c r="I303" s="33"/>
      <c r="J303" s="33"/>
      <c r="K303" s="33"/>
      <c r="L303" s="32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ht="15.75" customHeight="1">
      <c r="A304" s="32"/>
      <c r="B304" s="32"/>
      <c r="C304" s="32"/>
      <c r="E304" s="32"/>
      <c r="F304" s="33"/>
      <c r="G304" s="32"/>
      <c r="H304" s="33"/>
      <c r="I304" s="33"/>
      <c r="J304" s="33"/>
      <c r="K304" s="33"/>
      <c r="L304" s="32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ht="15.75" customHeight="1">
      <c r="A305" s="32"/>
      <c r="B305" s="32"/>
      <c r="C305" s="32"/>
      <c r="E305" s="32"/>
      <c r="F305" s="33"/>
      <c r="G305" s="32"/>
      <c r="H305" s="33"/>
      <c r="I305" s="33"/>
      <c r="J305" s="33"/>
      <c r="K305" s="33"/>
      <c r="L305" s="32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ht="15.75" customHeight="1">
      <c r="A306" s="32"/>
      <c r="B306" s="32"/>
      <c r="C306" s="32"/>
      <c r="E306" s="32"/>
      <c r="F306" s="33"/>
      <c r="G306" s="32"/>
      <c r="H306" s="33"/>
      <c r="I306" s="33"/>
      <c r="J306" s="33"/>
      <c r="K306" s="33"/>
      <c r="L306" s="32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ht="15.75" customHeight="1">
      <c r="A307" s="32"/>
      <c r="B307" s="32"/>
      <c r="C307" s="32"/>
      <c r="E307" s="32"/>
      <c r="F307" s="33"/>
      <c r="G307" s="32"/>
      <c r="H307" s="33"/>
      <c r="I307" s="33"/>
      <c r="J307" s="33"/>
      <c r="K307" s="33"/>
      <c r="L307" s="32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ht="15.75" customHeight="1">
      <c r="A308" s="32"/>
      <c r="B308" s="32"/>
      <c r="C308" s="32"/>
      <c r="E308" s="32"/>
      <c r="F308" s="33"/>
      <c r="G308" s="32"/>
      <c r="H308" s="33"/>
      <c r="I308" s="33"/>
      <c r="J308" s="33"/>
      <c r="K308" s="33"/>
      <c r="L308" s="32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ht="15.75" customHeight="1">
      <c r="A309" s="32"/>
      <c r="B309" s="32"/>
      <c r="C309" s="32"/>
      <c r="E309" s="32"/>
      <c r="F309" s="33"/>
      <c r="G309" s="32"/>
      <c r="H309" s="33"/>
      <c r="I309" s="33"/>
      <c r="J309" s="33"/>
      <c r="K309" s="33"/>
      <c r="L309" s="32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ht="15.75" customHeight="1">
      <c r="A310" s="32"/>
      <c r="B310" s="32"/>
      <c r="C310" s="32"/>
      <c r="E310" s="32"/>
      <c r="F310" s="33"/>
      <c r="G310" s="32"/>
      <c r="H310" s="33"/>
      <c r="I310" s="33"/>
      <c r="J310" s="33"/>
      <c r="K310" s="33"/>
      <c r="L310" s="32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ht="15.75" customHeight="1">
      <c r="A311" s="32"/>
      <c r="B311" s="32"/>
      <c r="C311" s="32"/>
      <c r="E311" s="32"/>
      <c r="F311" s="33"/>
      <c r="G311" s="32"/>
      <c r="H311" s="33"/>
      <c r="I311" s="33"/>
      <c r="J311" s="33"/>
      <c r="K311" s="33"/>
      <c r="L311" s="32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ht="15.75" customHeight="1">
      <c r="A312" s="32"/>
      <c r="B312" s="32"/>
      <c r="C312" s="32"/>
      <c r="E312" s="32"/>
      <c r="F312" s="33"/>
      <c r="G312" s="32"/>
      <c r="H312" s="33"/>
      <c r="I312" s="33"/>
      <c r="J312" s="33"/>
      <c r="K312" s="33"/>
      <c r="L312" s="32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ht="15.75" customHeight="1">
      <c r="A313" s="32"/>
      <c r="B313" s="32"/>
      <c r="C313" s="32"/>
      <c r="E313" s="32"/>
      <c r="F313" s="33"/>
      <c r="G313" s="32"/>
      <c r="H313" s="33"/>
      <c r="I313" s="33"/>
      <c r="J313" s="33"/>
      <c r="K313" s="33"/>
      <c r="L313" s="32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ht="15.75" customHeight="1">
      <c r="A314" s="32"/>
      <c r="B314" s="32"/>
      <c r="C314" s="32"/>
      <c r="E314" s="32"/>
      <c r="F314" s="33"/>
      <c r="G314" s="32"/>
      <c r="H314" s="33"/>
      <c r="I314" s="33"/>
      <c r="J314" s="33"/>
      <c r="K314" s="33"/>
      <c r="L314" s="32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ht="15.75" customHeight="1">
      <c r="A315" s="32"/>
      <c r="B315" s="32"/>
      <c r="C315" s="32"/>
      <c r="E315" s="32"/>
      <c r="F315" s="33"/>
      <c r="G315" s="32"/>
      <c r="H315" s="33"/>
      <c r="I315" s="33"/>
      <c r="J315" s="33"/>
      <c r="K315" s="33"/>
      <c r="L315" s="32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ht="15.75" customHeight="1">
      <c r="A316" s="32"/>
      <c r="B316" s="32"/>
      <c r="C316" s="32"/>
      <c r="E316" s="32"/>
      <c r="F316" s="33"/>
      <c r="G316" s="32"/>
      <c r="H316" s="33"/>
      <c r="I316" s="33"/>
      <c r="J316" s="33"/>
      <c r="K316" s="33"/>
      <c r="L316" s="32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ht="15.75" customHeight="1">
      <c r="A317" s="32"/>
      <c r="B317" s="32"/>
      <c r="C317" s="32"/>
      <c r="E317" s="32"/>
      <c r="F317" s="33"/>
      <c r="G317" s="32"/>
      <c r="H317" s="33"/>
      <c r="I317" s="33"/>
      <c r="J317" s="33"/>
      <c r="K317" s="33"/>
      <c r="L317" s="32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ht="15.75" customHeight="1">
      <c r="A318" s="32"/>
      <c r="B318" s="32"/>
      <c r="C318" s="32"/>
      <c r="E318" s="32"/>
      <c r="F318" s="33"/>
      <c r="G318" s="32"/>
      <c r="H318" s="33"/>
      <c r="I318" s="33"/>
      <c r="J318" s="33"/>
      <c r="K318" s="33"/>
      <c r="L318" s="32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ht="15.75" customHeight="1">
      <c r="A319" s="32"/>
      <c r="B319" s="32"/>
      <c r="C319" s="32"/>
      <c r="E319" s="32"/>
      <c r="F319" s="33"/>
      <c r="G319" s="32"/>
      <c r="H319" s="33"/>
      <c r="I319" s="33"/>
      <c r="J319" s="33"/>
      <c r="K319" s="33"/>
      <c r="L319" s="32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ht="15.75" customHeight="1">
      <c r="A320" s="32"/>
      <c r="B320" s="32"/>
      <c r="C320" s="32"/>
      <c r="E320" s="32"/>
      <c r="F320" s="33"/>
      <c r="G320" s="32"/>
      <c r="H320" s="33"/>
      <c r="I320" s="33"/>
      <c r="J320" s="33"/>
      <c r="K320" s="33"/>
      <c r="L320" s="32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ht="15.75" customHeight="1">
      <c r="A321" s="32"/>
      <c r="B321" s="32"/>
      <c r="C321" s="32"/>
      <c r="E321" s="32"/>
      <c r="F321" s="33"/>
      <c r="G321" s="32"/>
      <c r="H321" s="33"/>
      <c r="I321" s="33"/>
      <c r="J321" s="33"/>
      <c r="K321" s="33"/>
      <c r="L321" s="32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ht="15.75" customHeight="1">
      <c r="A322" s="32"/>
      <c r="B322" s="32"/>
      <c r="C322" s="32"/>
      <c r="E322" s="32"/>
      <c r="F322" s="33"/>
      <c r="G322" s="32"/>
      <c r="H322" s="33"/>
      <c r="I322" s="33"/>
      <c r="J322" s="33"/>
      <c r="K322" s="33"/>
      <c r="L322" s="32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ht="15.75" customHeight="1">
      <c r="A323" s="32"/>
      <c r="B323" s="32"/>
      <c r="C323" s="32"/>
      <c r="E323" s="32"/>
      <c r="F323" s="33"/>
      <c r="G323" s="32"/>
      <c r="H323" s="33"/>
      <c r="I323" s="33"/>
      <c r="J323" s="33"/>
      <c r="K323" s="33"/>
      <c r="L323" s="32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ht="15.75" customHeight="1">
      <c r="A324" s="32"/>
      <c r="B324" s="32"/>
      <c r="C324" s="32"/>
      <c r="E324" s="32"/>
      <c r="F324" s="33"/>
      <c r="G324" s="32"/>
      <c r="H324" s="33"/>
      <c r="I324" s="33"/>
      <c r="J324" s="33"/>
      <c r="K324" s="33"/>
      <c r="L324" s="32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ht="15.75" customHeight="1">
      <c r="A325" s="32"/>
      <c r="B325" s="32"/>
      <c r="C325" s="32"/>
      <c r="E325" s="32"/>
      <c r="F325" s="33"/>
      <c r="G325" s="32"/>
      <c r="H325" s="33"/>
      <c r="I325" s="33"/>
      <c r="J325" s="33"/>
      <c r="K325" s="33"/>
      <c r="L325" s="32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ht="15.75" customHeight="1">
      <c r="A326" s="32"/>
      <c r="B326" s="32"/>
      <c r="C326" s="32"/>
      <c r="E326" s="32"/>
      <c r="F326" s="33"/>
      <c r="G326" s="32"/>
      <c r="H326" s="33"/>
      <c r="I326" s="33"/>
      <c r="J326" s="33"/>
      <c r="K326" s="33"/>
      <c r="L326" s="32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ht="15.75" customHeight="1">
      <c r="A327" s="32"/>
      <c r="B327" s="32"/>
      <c r="C327" s="32"/>
      <c r="E327" s="32"/>
      <c r="F327" s="33"/>
      <c r="G327" s="32"/>
      <c r="H327" s="33"/>
      <c r="I327" s="33"/>
      <c r="J327" s="33"/>
      <c r="K327" s="33"/>
      <c r="L327" s="32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ht="15.75" customHeight="1">
      <c r="A328" s="32"/>
      <c r="B328" s="32"/>
      <c r="C328" s="32"/>
      <c r="E328" s="32"/>
      <c r="F328" s="33"/>
      <c r="G328" s="32"/>
      <c r="H328" s="33"/>
      <c r="I328" s="33"/>
      <c r="J328" s="33"/>
      <c r="K328" s="33"/>
      <c r="L328" s="32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ht="15.75" customHeight="1">
      <c r="A329" s="32"/>
      <c r="B329" s="32"/>
      <c r="C329" s="32"/>
      <c r="E329" s="32"/>
      <c r="F329" s="33"/>
      <c r="G329" s="32"/>
      <c r="H329" s="33"/>
      <c r="I329" s="33"/>
      <c r="J329" s="33"/>
      <c r="K329" s="33"/>
      <c r="L329" s="32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ht="15.75" customHeight="1">
      <c r="A330" s="32"/>
      <c r="B330" s="32"/>
      <c r="C330" s="32"/>
      <c r="E330" s="32"/>
      <c r="F330" s="33"/>
      <c r="G330" s="32"/>
      <c r="H330" s="33"/>
      <c r="I330" s="33"/>
      <c r="J330" s="33"/>
      <c r="K330" s="33"/>
      <c r="L330" s="32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ht="15.75" customHeight="1">
      <c r="A331" s="32"/>
      <c r="B331" s="32"/>
      <c r="C331" s="32"/>
      <c r="E331" s="32"/>
      <c r="F331" s="33"/>
      <c r="G331" s="32"/>
      <c r="H331" s="33"/>
      <c r="I331" s="33"/>
      <c r="J331" s="33"/>
      <c r="K331" s="33"/>
      <c r="L331" s="32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ht="15.75" customHeight="1">
      <c r="A332" s="32"/>
      <c r="B332" s="32"/>
      <c r="C332" s="32"/>
      <c r="E332" s="32"/>
      <c r="F332" s="33"/>
      <c r="G332" s="32"/>
      <c r="H332" s="33"/>
      <c r="I332" s="33"/>
      <c r="J332" s="33"/>
      <c r="K332" s="33"/>
      <c r="L332" s="32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ht="15.75" customHeight="1">
      <c r="A333" s="32"/>
      <c r="B333" s="32"/>
      <c r="C333" s="32"/>
      <c r="E333" s="32"/>
      <c r="F333" s="33"/>
      <c r="G333" s="32"/>
      <c r="H333" s="33"/>
      <c r="I333" s="33"/>
      <c r="J333" s="33"/>
      <c r="K333" s="33"/>
      <c r="L333" s="32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ht="15.75" customHeight="1">
      <c r="A334" s="32"/>
      <c r="B334" s="32"/>
      <c r="C334" s="32"/>
      <c r="E334" s="32"/>
      <c r="F334" s="33"/>
      <c r="G334" s="32"/>
      <c r="H334" s="33"/>
      <c r="I334" s="33"/>
      <c r="J334" s="33"/>
      <c r="K334" s="33"/>
      <c r="L334" s="32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ht="15.75" customHeight="1">
      <c r="A335" s="32"/>
      <c r="B335" s="32"/>
      <c r="C335" s="32"/>
      <c r="E335" s="32"/>
      <c r="F335" s="33"/>
      <c r="G335" s="32"/>
      <c r="H335" s="33"/>
      <c r="I335" s="33"/>
      <c r="J335" s="33"/>
      <c r="K335" s="33"/>
      <c r="L335" s="32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ht="15.75" customHeight="1">
      <c r="A336" s="32"/>
      <c r="B336" s="32"/>
      <c r="C336" s="32"/>
      <c r="E336" s="32"/>
      <c r="F336" s="33"/>
      <c r="G336" s="32"/>
      <c r="H336" s="33"/>
      <c r="I336" s="33"/>
      <c r="J336" s="33"/>
      <c r="K336" s="33"/>
      <c r="L336" s="32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ht="15.75" customHeight="1">
      <c r="A337" s="32"/>
      <c r="B337" s="32"/>
      <c r="C337" s="32"/>
      <c r="E337" s="32"/>
      <c r="F337" s="33"/>
      <c r="G337" s="32"/>
      <c r="H337" s="33"/>
      <c r="I337" s="33"/>
      <c r="J337" s="33"/>
      <c r="K337" s="33"/>
      <c r="L337" s="32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ht="15.75" customHeight="1">
      <c r="A338" s="32"/>
      <c r="B338" s="32"/>
      <c r="C338" s="32"/>
      <c r="E338" s="32"/>
      <c r="F338" s="33"/>
      <c r="G338" s="32"/>
      <c r="H338" s="33"/>
      <c r="I338" s="33"/>
      <c r="J338" s="33"/>
      <c r="K338" s="33"/>
      <c r="L338" s="32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ht="15.75" customHeight="1">
      <c r="A339" s="32"/>
      <c r="B339" s="32"/>
      <c r="C339" s="32"/>
      <c r="E339" s="32"/>
      <c r="F339" s="33"/>
      <c r="G339" s="32"/>
      <c r="H339" s="33"/>
      <c r="I339" s="33"/>
      <c r="J339" s="33"/>
      <c r="K339" s="33"/>
      <c r="L339" s="32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ht="15.75" customHeight="1">
      <c r="A340" s="32"/>
      <c r="B340" s="32"/>
      <c r="C340" s="32"/>
      <c r="E340" s="32"/>
      <c r="F340" s="33"/>
      <c r="G340" s="32"/>
      <c r="H340" s="33"/>
      <c r="I340" s="33"/>
      <c r="J340" s="33"/>
      <c r="K340" s="33"/>
      <c r="L340" s="32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ht="15.75" customHeight="1">
      <c r="A341" s="32"/>
      <c r="B341" s="32"/>
      <c r="C341" s="32"/>
      <c r="E341" s="32"/>
      <c r="F341" s="33"/>
      <c r="G341" s="32"/>
      <c r="H341" s="33"/>
      <c r="I341" s="33"/>
      <c r="J341" s="33"/>
      <c r="K341" s="33"/>
      <c r="L341" s="32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ht="15.75" customHeight="1">
      <c r="A342" s="32"/>
      <c r="B342" s="32"/>
      <c r="C342" s="32"/>
      <c r="E342" s="32"/>
      <c r="F342" s="33"/>
      <c r="G342" s="32"/>
      <c r="H342" s="33"/>
      <c r="I342" s="33"/>
      <c r="J342" s="33"/>
      <c r="K342" s="33"/>
      <c r="L342" s="32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ht="15.75" customHeight="1">
      <c r="A343" s="32"/>
      <c r="B343" s="32"/>
      <c r="C343" s="32"/>
      <c r="E343" s="32"/>
      <c r="F343" s="33"/>
      <c r="G343" s="32"/>
      <c r="H343" s="33"/>
      <c r="I343" s="33"/>
      <c r="J343" s="33"/>
      <c r="K343" s="33"/>
      <c r="L343" s="32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ht="15.75" customHeight="1">
      <c r="A344" s="32"/>
      <c r="B344" s="32"/>
      <c r="C344" s="32"/>
      <c r="E344" s="32"/>
      <c r="F344" s="33"/>
      <c r="G344" s="32"/>
      <c r="H344" s="33"/>
      <c r="I344" s="33"/>
      <c r="J344" s="33"/>
      <c r="K344" s="33"/>
      <c r="L344" s="32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ht="15.75" customHeight="1">
      <c r="A345" s="32"/>
      <c r="B345" s="32"/>
      <c r="C345" s="32"/>
      <c r="E345" s="32"/>
      <c r="F345" s="33"/>
      <c r="G345" s="32"/>
      <c r="H345" s="33"/>
      <c r="I345" s="33"/>
      <c r="J345" s="33"/>
      <c r="K345" s="33"/>
      <c r="L345" s="32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ht="15.75" customHeight="1">
      <c r="A346" s="32"/>
      <c r="B346" s="32"/>
      <c r="C346" s="32"/>
      <c r="E346" s="32"/>
      <c r="F346" s="33"/>
      <c r="G346" s="32"/>
      <c r="H346" s="33"/>
      <c r="I346" s="33"/>
      <c r="J346" s="33"/>
      <c r="K346" s="33"/>
      <c r="L346" s="32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ht="15.75" customHeight="1">
      <c r="A347" s="32"/>
      <c r="B347" s="32"/>
      <c r="C347" s="32"/>
      <c r="E347" s="32"/>
      <c r="F347" s="33"/>
      <c r="G347" s="32"/>
      <c r="H347" s="33"/>
      <c r="I347" s="33"/>
      <c r="J347" s="33"/>
      <c r="K347" s="33"/>
      <c r="L347" s="32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ht="15.75" customHeight="1">
      <c r="A348" s="32"/>
      <c r="B348" s="32"/>
      <c r="C348" s="32"/>
      <c r="E348" s="32"/>
      <c r="F348" s="33"/>
      <c r="G348" s="32"/>
      <c r="H348" s="33"/>
      <c r="I348" s="33"/>
      <c r="J348" s="33"/>
      <c r="K348" s="33"/>
      <c r="L348" s="32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ht="15.75" customHeight="1">
      <c r="A349" s="32"/>
      <c r="B349" s="32"/>
      <c r="C349" s="32"/>
      <c r="E349" s="32"/>
      <c r="F349" s="33"/>
      <c r="G349" s="32"/>
      <c r="H349" s="33"/>
      <c r="I349" s="33"/>
      <c r="J349" s="33"/>
      <c r="K349" s="33"/>
      <c r="L349" s="32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ht="15.75" customHeight="1">
      <c r="A350" s="32"/>
      <c r="B350" s="32"/>
      <c r="C350" s="32"/>
      <c r="E350" s="32"/>
      <c r="F350" s="33"/>
      <c r="G350" s="32"/>
      <c r="H350" s="33"/>
      <c r="I350" s="33"/>
      <c r="J350" s="33"/>
      <c r="K350" s="33"/>
      <c r="L350" s="32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ht="15.75" customHeight="1">
      <c r="A351" s="32"/>
      <c r="B351" s="32"/>
      <c r="C351" s="32"/>
      <c r="E351" s="32"/>
      <c r="F351" s="33"/>
      <c r="G351" s="32"/>
      <c r="H351" s="33"/>
      <c r="I351" s="33"/>
      <c r="J351" s="33"/>
      <c r="K351" s="33"/>
      <c r="L351" s="32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ht="15.75" customHeight="1">
      <c r="A352" s="32"/>
      <c r="B352" s="32"/>
      <c r="C352" s="32"/>
      <c r="E352" s="32"/>
      <c r="F352" s="33"/>
      <c r="G352" s="32"/>
      <c r="H352" s="33"/>
      <c r="I352" s="33"/>
      <c r="J352" s="33"/>
      <c r="K352" s="33"/>
      <c r="L352" s="32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ht="15.75" customHeight="1">
      <c r="A353" s="32"/>
      <c r="B353" s="32"/>
      <c r="C353" s="32"/>
      <c r="E353" s="32"/>
      <c r="F353" s="33"/>
      <c r="G353" s="32"/>
      <c r="H353" s="33"/>
      <c r="I353" s="33"/>
      <c r="J353" s="33"/>
      <c r="K353" s="33"/>
      <c r="L353" s="32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ht="15.75" customHeight="1">
      <c r="A354" s="32"/>
      <c r="B354" s="32"/>
      <c r="C354" s="32"/>
      <c r="E354" s="32"/>
      <c r="F354" s="33"/>
      <c r="G354" s="32"/>
      <c r="H354" s="33"/>
      <c r="I354" s="33"/>
      <c r="J354" s="33"/>
      <c r="K354" s="33"/>
      <c r="L354" s="32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ht="15.75" customHeight="1">
      <c r="A355" s="32"/>
      <c r="B355" s="32"/>
      <c r="C355" s="32"/>
      <c r="E355" s="32"/>
      <c r="F355" s="33"/>
      <c r="G355" s="32"/>
      <c r="H355" s="33"/>
      <c r="I355" s="33"/>
      <c r="J355" s="33"/>
      <c r="K355" s="33"/>
      <c r="L355" s="32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ht="15.75" customHeight="1">
      <c r="A356" s="32"/>
      <c r="B356" s="32"/>
      <c r="C356" s="32"/>
      <c r="E356" s="32"/>
      <c r="F356" s="33"/>
      <c r="G356" s="32"/>
      <c r="H356" s="33"/>
      <c r="I356" s="33"/>
      <c r="J356" s="33"/>
      <c r="K356" s="33"/>
      <c r="L356" s="32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ht="15.75" customHeight="1">
      <c r="A357" s="32"/>
      <c r="B357" s="32"/>
      <c r="C357" s="32"/>
      <c r="E357" s="32"/>
      <c r="F357" s="33"/>
      <c r="G357" s="32"/>
      <c r="H357" s="33"/>
      <c r="I357" s="33"/>
      <c r="J357" s="33"/>
      <c r="K357" s="33"/>
      <c r="L357" s="32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ht="15.75" customHeight="1">
      <c r="A358" s="32"/>
      <c r="B358" s="32"/>
      <c r="C358" s="32"/>
      <c r="E358" s="32"/>
      <c r="F358" s="33"/>
      <c r="G358" s="32"/>
      <c r="H358" s="33"/>
      <c r="I358" s="33"/>
      <c r="J358" s="33"/>
      <c r="K358" s="33"/>
      <c r="L358" s="32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ht="15.75" customHeight="1">
      <c r="A359" s="32"/>
      <c r="B359" s="32"/>
      <c r="C359" s="32"/>
      <c r="E359" s="32"/>
      <c r="F359" s="33"/>
      <c r="G359" s="32"/>
      <c r="H359" s="33"/>
      <c r="I359" s="33"/>
      <c r="J359" s="33"/>
      <c r="K359" s="33"/>
      <c r="L359" s="32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ht="15.75" customHeight="1">
      <c r="A360" s="32"/>
      <c r="B360" s="32"/>
      <c r="C360" s="32"/>
      <c r="E360" s="32"/>
      <c r="F360" s="33"/>
      <c r="G360" s="32"/>
      <c r="H360" s="33"/>
      <c r="I360" s="33"/>
      <c r="J360" s="33"/>
      <c r="K360" s="33"/>
      <c r="L360" s="32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ht="15.75" customHeight="1">
      <c r="A361" s="32"/>
      <c r="B361" s="32"/>
      <c r="C361" s="32"/>
      <c r="E361" s="32"/>
      <c r="F361" s="33"/>
      <c r="G361" s="32"/>
      <c r="H361" s="33"/>
      <c r="I361" s="33"/>
      <c r="J361" s="33"/>
      <c r="K361" s="33"/>
      <c r="L361" s="32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ht="15.75" customHeight="1">
      <c r="A362" s="32"/>
      <c r="B362" s="32"/>
      <c r="C362" s="32"/>
      <c r="E362" s="32"/>
      <c r="F362" s="33"/>
      <c r="G362" s="32"/>
      <c r="H362" s="33"/>
      <c r="I362" s="33"/>
      <c r="J362" s="33"/>
      <c r="K362" s="33"/>
      <c r="L362" s="32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ht="15.75" customHeight="1">
      <c r="A363" s="32"/>
      <c r="B363" s="32"/>
      <c r="C363" s="32"/>
      <c r="E363" s="32"/>
      <c r="F363" s="33"/>
      <c r="G363" s="32"/>
      <c r="H363" s="33"/>
      <c r="I363" s="33"/>
      <c r="J363" s="33"/>
      <c r="K363" s="33"/>
      <c r="L363" s="32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ht="15.75" customHeight="1">
      <c r="A364" s="32"/>
      <c r="B364" s="32"/>
      <c r="C364" s="32"/>
      <c r="E364" s="32"/>
      <c r="F364" s="33"/>
      <c r="G364" s="32"/>
      <c r="H364" s="33"/>
      <c r="I364" s="33"/>
      <c r="J364" s="33"/>
      <c r="K364" s="33"/>
      <c r="L364" s="32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ht="15.75" customHeight="1">
      <c r="A365" s="32"/>
      <c r="B365" s="32"/>
      <c r="C365" s="32"/>
      <c r="E365" s="32"/>
      <c r="F365" s="33"/>
      <c r="G365" s="32"/>
      <c r="H365" s="33"/>
      <c r="I365" s="33"/>
      <c r="J365" s="33"/>
      <c r="K365" s="33"/>
      <c r="L365" s="32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ht="15.75" customHeight="1">
      <c r="A366" s="32"/>
      <c r="B366" s="32"/>
      <c r="C366" s="32"/>
      <c r="E366" s="32"/>
      <c r="F366" s="33"/>
      <c r="G366" s="32"/>
      <c r="H366" s="33"/>
      <c r="I366" s="33"/>
      <c r="J366" s="33"/>
      <c r="K366" s="33"/>
      <c r="L366" s="32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ht="15.75" customHeight="1">
      <c r="A367" s="32"/>
      <c r="B367" s="32"/>
      <c r="C367" s="32"/>
      <c r="E367" s="32"/>
      <c r="F367" s="33"/>
      <c r="G367" s="32"/>
      <c r="H367" s="33"/>
      <c r="I367" s="33"/>
      <c r="J367" s="33"/>
      <c r="K367" s="33"/>
      <c r="L367" s="32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ht="15.75" customHeight="1">
      <c r="A368" s="32"/>
      <c r="B368" s="32"/>
      <c r="C368" s="32"/>
      <c r="E368" s="32"/>
      <c r="F368" s="33"/>
      <c r="G368" s="32"/>
      <c r="H368" s="33"/>
      <c r="I368" s="33"/>
      <c r="J368" s="33"/>
      <c r="K368" s="33"/>
      <c r="L368" s="32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ht="15.75" customHeight="1">
      <c r="A369" s="32"/>
      <c r="B369" s="32"/>
      <c r="C369" s="32"/>
      <c r="E369" s="32"/>
      <c r="F369" s="33"/>
      <c r="G369" s="32"/>
      <c r="H369" s="33"/>
      <c r="I369" s="33"/>
      <c r="J369" s="33"/>
      <c r="K369" s="33"/>
      <c r="L369" s="32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ht="15.75" customHeight="1">
      <c r="A370" s="32"/>
      <c r="B370" s="32"/>
      <c r="C370" s="32"/>
      <c r="E370" s="32"/>
      <c r="F370" s="33"/>
      <c r="G370" s="32"/>
      <c r="H370" s="33"/>
      <c r="I370" s="33"/>
      <c r="J370" s="33"/>
      <c r="K370" s="33"/>
      <c r="L370" s="32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ht="15.75" customHeight="1">
      <c r="A371" s="32"/>
      <c r="B371" s="32"/>
      <c r="C371" s="32"/>
      <c r="E371" s="32"/>
      <c r="F371" s="33"/>
      <c r="G371" s="32"/>
      <c r="H371" s="33"/>
      <c r="I371" s="33"/>
      <c r="J371" s="33"/>
      <c r="K371" s="33"/>
      <c r="L371" s="32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ht="15.75" customHeight="1">
      <c r="A372" s="32"/>
      <c r="B372" s="32"/>
      <c r="C372" s="32"/>
      <c r="E372" s="32"/>
      <c r="F372" s="33"/>
      <c r="G372" s="32"/>
      <c r="H372" s="33"/>
      <c r="I372" s="33"/>
      <c r="J372" s="33"/>
      <c r="K372" s="33"/>
      <c r="L372" s="32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ht="15.75" customHeight="1">
      <c r="A373" s="32"/>
      <c r="B373" s="32"/>
      <c r="C373" s="32"/>
      <c r="E373" s="32"/>
      <c r="F373" s="33"/>
      <c r="G373" s="32"/>
      <c r="H373" s="33"/>
      <c r="I373" s="33"/>
      <c r="J373" s="33"/>
      <c r="K373" s="33"/>
      <c r="L373" s="32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ht="15.75" customHeight="1">
      <c r="A374" s="32"/>
      <c r="B374" s="32"/>
      <c r="C374" s="32"/>
      <c r="E374" s="32"/>
      <c r="F374" s="33"/>
      <c r="G374" s="32"/>
      <c r="H374" s="33"/>
      <c r="I374" s="33"/>
      <c r="J374" s="33"/>
      <c r="K374" s="33"/>
      <c r="L374" s="32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ht="15.75" customHeight="1">
      <c r="A375" s="32"/>
      <c r="B375" s="32"/>
      <c r="C375" s="32"/>
      <c r="E375" s="32"/>
      <c r="F375" s="33"/>
      <c r="G375" s="32"/>
      <c r="H375" s="33"/>
      <c r="I375" s="33"/>
      <c r="J375" s="33"/>
      <c r="K375" s="33"/>
      <c r="L375" s="32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ht="15.75" customHeight="1">
      <c r="A376" s="32"/>
      <c r="B376" s="32"/>
      <c r="C376" s="32"/>
      <c r="E376" s="32"/>
      <c r="F376" s="33"/>
      <c r="G376" s="32"/>
      <c r="H376" s="33"/>
      <c r="I376" s="33"/>
      <c r="J376" s="33"/>
      <c r="K376" s="33"/>
      <c r="L376" s="32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ht="15.75" customHeight="1">
      <c r="A377" s="32"/>
      <c r="B377" s="32"/>
      <c r="C377" s="32"/>
      <c r="E377" s="32"/>
      <c r="F377" s="33"/>
      <c r="G377" s="32"/>
      <c r="H377" s="33"/>
      <c r="I377" s="33"/>
      <c r="J377" s="33"/>
      <c r="K377" s="33"/>
      <c r="L377" s="32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ht="15.75" customHeight="1">
      <c r="A378" s="32"/>
      <c r="B378" s="32"/>
      <c r="C378" s="32"/>
      <c r="E378" s="32"/>
      <c r="F378" s="33"/>
      <c r="G378" s="32"/>
      <c r="H378" s="33"/>
      <c r="I378" s="33"/>
      <c r="J378" s="33"/>
      <c r="K378" s="33"/>
      <c r="L378" s="32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ht="15.75" customHeight="1">
      <c r="A379" s="32"/>
      <c r="B379" s="32"/>
      <c r="C379" s="32"/>
      <c r="E379" s="32"/>
      <c r="F379" s="33"/>
      <c r="G379" s="32"/>
      <c r="H379" s="33"/>
      <c r="I379" s="33"/>
      <c r="J379" s="33"/>
      <c r="K379" s="33"/>
      <c r="L379" s="32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ht="15.75" customHeight="1">
      <c r="A380" s="32"/>
      <c r="B380" s="32"/>
      <c r="C380" s="32"/>
      <c r="E380" s="32"/>
      <c r="F380" s="33"/>
      <c r="G380" s="32"/>
      <c r="H380" s="33"/>
      <c r="I380" s="33"/>
      <c r="J380" s="33"/>
      <c r="K380" s="33"/>
      <c r="L380" s="32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ht="15.75" customHeight="1">
      <c r="A381" s="32"/>
      <c r="B381" s="32"/>
      <c r="C381" s="32"/>
      <c r="E381" s="32"/>
      <c r="F381" s="33"/>
      <c r="G381" s="32"/>
      <c r="H381" s="33"/>
      <c r="I381" s="33"/>
      <c r="J381" s="33"/>
      <c r="K381" s="33"/>
      <c r="L381" s="32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ht="15.75" customHeight="1">
      <c r="A382" s="32"/>
      <c r="B382" s="32"/>
      <c r="C382" s="32"/>
      <c r="E382" s="32"/>
      <c r="F382" s="33"/>
      <c r="G382" s="32"/>
      <c r="H382" s="33"/>
      <c r="I382" s="33"/>
      <c r="J382" s="33"/>
      <c r="K382" s="33"/>
      <c r="L382" s="32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ht="15.75" customHeight="1">
      <c r="A383" s="32"/>
      <c r="B383" s="32"/>
      <c r="C383" s="32"/>
      <c r="E383" s="32"/>
      <c r="F383" s="33"/>
      <c r="G383" s="32"/>
      <c r="H383" s="33"/>
      <c r="I383" s="33"/>
      <c r="J383" s="33"/>
      <c r="K383" s="33"/>
      <c r="L383" s="32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ht="15.75" customHeight="1">
      <c r="A384" s="32"/>
      <c r="B384" s="32"/>
      <c r="C384" s="32"/>
      <c r="E384" s="32"/>
      <c r="F384" s="33"/>
      <c r="G384" s="32"/>
      <c r="H384" s="33"/>
      <c r="I384" s="33"/>
      <c r="J384" s="33"/>
      <c r="K384" s="33"/>
      <c r="L384" s="32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ht="15.75" customHeight="1">
      <c r="A385" s="32"/>
      <c r="B385" s="32"/>
      <c r="C385" s="32"/>
      <c r="E385" s="32"/>
      <c r="F385" s="33"/>
      <c r="G385" s="32"/>
      <c r="H385" s="33"/>
      <c r="I385" s="33"/>
      <c r="J385" s="33"/>
      <c r="K385" s="33"/>
      <c r="L385" s="32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ht="15.75" customHeight="1">
      <c r="A386" s="32"/>
      <c r="B386" s="32"/>
      <c r="C386" s="32"/>
      <c r="E386" s="32"/>
      <c r="F386" s="33"/>
      <c r="G386" s="32"/>
      <c r="H386" s="33"/>
      <c r="I386" s="33"/>
      <c r="J386" s="33"/>
      <c r="K386" s="33"/>
      <c r="L386" s="32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ht="15.75" customHeight="1">
      <c r="A387" s="32"/>
      <c r="B387" s="32"/>
      <c r="C387" s="32"/>
      <c r="E387" s="32"/>
      <c r="F387" s="33"/>
      <c r="G387" s="32"/>
      <c r="H387" s="33"/>
      <c r="I387" s="33"/>
      <c r="J387" s="33"/>
      <c r="K387" s="33"/>
      <c r="L387" s="32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ht="15.75" customHeight="1">
      <c r="A388" s="32"/>
      <c r="B388" s="32"/>
      <c r="C388" s="32"/>
      <c r="E388" s="32"/>
      <c r="F388" s="33"/>
      <c r="G388" s="32"/>
      <c r="H388" s="33"/>
      <c r="I388" s="33"/>
      <c r="J388" s="33"/>
      <c r="K388" s="33"/>
      <c r="L388" s="32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ht="15.75" customHeight="1">
      <c r="A389" s="32"/>
      <c r="B389" s="32"/>
      <c r="C389" s="32"/>
      <c r="E389" s="32"/>
      <c r="F389" s="33"/>
      <c r="G389" s="32"/>
      <c r="H389" s="33"/>
      <c r="I389" s="33"/>
      <c r="J389" s="33"/>
      <c r="K389" s="33"/>
      <c r="L389" s="32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ht="15.75" customHeight="1">
      <c r="A390" s="32"/>
      <c r="B390" s="32"/>
      <c r="C390" s="32"/>
      <c r="E390" s="32"/>
      <c r="F390" s="33"/>
      <c r="G390" s="32"/>
      <c r="H390" s="33"/>
      <c r="I390" s="33"/>
      <c r="J390" s="33"/>
      <c r="K390" s="33"/>
      <c r="L390" s="32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ht="15.75" customHeight="1">
      <c r="A391" s="32"/>
      <c r="B391" s="32"/>
      <c r="C391" s="32"/>
      <c r="E391" s="32"/>
      <c r="F391" s="33"/>
      <c r="G391" s="32"/>
      <c r="H391" s="33"/>
      <c r="I391" s="33"/>
      <c r="J391" s="33"/>
      <c r="K391" s="33"/>
      <c r="L391" s="32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ht="15.75" customHeight="1">
      <c r="A392" s="32"/>
      <c r="B392" s="32"/>
      <c r="C392" s="32"/>
      <c r="E392" s="32"/>
      <c r="F392" s="33"/>
      <c r="G392" s="32"/>
      <c r="H392" s="33"/>
      <c r="I392" s="33"/>
      <c r="J392" s="33"/>
      <c r="K392" s="33"/>
      <c r="L392" s="32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ht="15.75" customHeight="1">
      <c r="A393" s="32"/>
      <c r="B393" s="32"/>
      <c r="C393" s="32"/>
      <c r="E393" s="32"/>
      <c r="F393" s="33"/>
      <c r="G393" s="32"/>
      <c r="H393" s="33"/>
      <c r="I393" s="33"/>
      <c r="J393" s="33"/>
      <c r="K393" s="33"/>
      <c r="L393" s="32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ht="15.75" customHeight="1">
      <c r="A394" s="32"/>
      <c r="B394" s="32"/>
      <c r="C394" s="32"/>
      <c r="E394" s="32"/>
      <c r="F394" s="33"/>
      <c r="G394" s="32"/>
      <c r="H394" s="33"/>
      <c r="I394" s="33"/>
      <c r="J394" s="33"/>
      <c r="K394" s="33"/>
      <c r="L394" s="32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ht="15.75" customHeight="1">
      <c r="A395" s="32"/>
      <c r="B395" s="32"/>
      <c r="C395" s="32"/>
      <c r="E395" s="32"/>
      <c r="F395" s="33"/>
      <c r="G395" s="32"/>
      <c r="H395" s="33"/>
      <c r="I395" s="33"/>
      <c r="J395" s="33"/>
      <c r="K395" s="33"/>
      <c r="L395" s="32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ht="15.75" customHeight="1">
      <c r="A396" s="32"/>
      <c r="B396" s="32"/>
      <c r="C396" s="32"/>
      <c r="E396" s="32"/>
      <c r="F396" s="33"/>
      <c r="G396" s="32"/>
      <c r="H396" s="33"/>
      <c r="I396" s="33"/>
      <c r="J396" s="33"/>
      <c r="K396" s="33"/>
      <c r="L396" s="32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ht="15.75" customHeight="1">
      <c r="A397" s="32"/>
      <c r="B397" s="32"/>
      <c r="C397" s="32"/>
      <c r="E397" s="32"/>
      <c r="F397" s="33"/>
      <c r="G397" s="32"/>
      <c r="H397" s="33"/>
      <c r="I397" s="33"/>
      <c r="J397" s="33"/>
      <c r="K397" s="33"/>
      <c r="L397" s="32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ht="15.75" customHeight="1">
      <c r="A398" s="32"/>
      <c r="B398" s="32"/>
      <c r="C398" s="32"/>
      <c r="E398" s="32"/>
      <c r="F398" s="33"/>
      <c r="G398" s="32"/>
      <c r="H398" s="33"/>
      <c r="I398" s="33"/>
      <c r="J398" s="33"/>
      <c r="K398" s="33"/>
      <c r="L398" s="32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ht="15.75" customHeight="1">
      <c r="A399" s="32"/>
      <c r="B399" s="32"/>
      <c r="C399" s="32"/>
      <c r="E399" s="32"/>
      <c r="F399" s="33"/>
      <c r="G399" s="32"/>
      <c r="H399" s="33"/>
      <c r="I399" s="33"/>
      <c r="J399" s="33"/>
      <c r="K399" s="33"/>
      <c r="L399" s="32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ht="15.75" customHeight="1">
      <c r="A400" s="32"/>
      <c r="B400" s="32"/>
      <c r="C400" s="32"/>
      <c r="E400" s="32"/>
      <c r="F400" s="33"/>
      <c r="G400" s="32"/>
      <c r="H400" s="33"/>
      <c r="I400" s="33"/>
      <c r="J400" s="33"/>
      <c r="K400" s="33"/>
      <c r="L400" s="32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ht="15.75" customHeight="1">
      <c r="A401" s="32"/>
      <c r="B401" s="32"/>
      <c r="C401" s="32"/>
      <c r="E401" s="32"/>
      <c r="F401" s="33"/>
      <c r="G401" s="32"/>
      <c r="H401" s="33"/>
      <c r="I401" s="33"/>
      <c r="J401" s="33"/>
      <c r="K401" s="33"/>
      <c r="L401" s="32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ht="15.75" customHeight="1">
      <c r="A402" s="32"/>
      <c r="B402" s="32"/>
      <c r="C402" s="32"/>
      <c r="E402" s="32"/>
      <c r="F402" s="33"/>
      <c r="G402" s="32"/>
      <c r="H402" s="33"/>
      <c r="I402" s="33"/>
      <c r="J402" s="33"/>
      <c r="K402" s="33"/>
      <c r="L402" s="32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ht="15.75" customHeight="1">
      <c r="A403" s="32"/>
      <c r="B403" s="32"/>
      <c r="C403" s="32"/>
      <c r="E403" s="32"/>
      <c r="F403" s="33"/>
      <c r="G403" s="32"/>
      <c r="H403" s="33"/>
      <c r="I403" s="33"/>
      <c r="J403" s="33"/>
      <c r="K403" s="33"/>
      <c r="L403" s="32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ht="15.75" customHeight="1">
      <c r="A404" s="32"/>
      <c r="B404" s="32"/>
      <c r="C404" s="32"/>
      <c r="E404" s="32"/>
      <c r="F404" s="33"/>
      <c r="G404" s="32"/>
      <c r="H404" s="33"/>
      <c r="I404" s="33"/>
      <c r="J404" s="33"/>
      <c r="K404" s="33"/>
      <c r="L404" s="32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ht="15.75" customHeight="1">
      <c r="A405" s="32"/>
      <c r="B405" s="32"/>
      <c r="C405" s="32"/>
      <c r="E405" s="32"/>
      <c r="F405" s="33"/>
      <c r="G405" s="32"/>
      <c r="H405" s="33"/>
      <c r="I405" s="33"/>
      <c r="J405" s="33"/>
      <c r="K405" s="33"/>
      <c r="L405" s="32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ht="15.75" customHeight="1">
      <c r="A406" s="32"/>
      <c r="B406" s="32"/>
      <c r="C406" s="32"/>
      <c r="E406" s="32"/>
      <c r="F406" s="33"/>
      <c r="G406" s="32"/>
      <c r="H406" s="33"/>
      <c r="I406" s="33"/>
      <c r="J406" s="33"/>
      <c r="K406" s="33"/>
      <c r="L406" s="32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ht="15.75" customHeight="1">
      <c r="A407" s="32"/>
      <c r="B407" s="32"/>
      <c r="C407" s="32"/>
      <c r="E407" s="32"/>
      <c r="F407" s="33"/>
      <c r="G407" s="32"/>
      <c r="H407" s="33"/>
      <c r="I407" s="33"/>
      <c r="J407" s="33"/>
      <c r="K407" s="33"/>
      <c r="L407" s="32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ht="15.75" customHeight="1">
      <c r="A408" s="32"/>
      <c r="B408" s="32"/>
      <c r="C408" s="32"/>
      <c r="E408" s="32"/>
      <c r="F408" s="33"/>
      <c r="G408" s="32"/>
      <c r="H408" s="33"/>
      <c r="I408" s="33"/>
      <c r="J408" s="33"/>
      <c r="K408" s="33"/>
      <c r="L408" s="32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ht="15.75" customHeight="1">
      <c r="A409" s="32"/>
      <c r="B409" s="32"/>
      <c r="C409" s="32"/>
      <c r="E409" s="32"/>
      <c r="F409" s="33"/>
      <c r="G409" s="32"/>
      <c r="H409" s="33"/>
      <c r="I409" s="33"/>
      <c r="J409" s="33"/>
      <c r="K409" s="33"/>
      <c r="L409" s="32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ht="15.75" customHeight="1">
      <c r="A410" s="32"/>
      <c r="B410" s="32"/>
      <c r="C410" s="32"/>
      <c r="E410" s="32"/>
      <c r="F410" s="33"/>
      <c r="G410" s="32"/>
      <c r="H410" s="33"/>
      <c r="I410" s="33"/>
      <c r="J410" s="33"/>
      <c r="K410" s="33"/>
      <c r="L410" s="32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ht="15.75" customHeight="1">
      <c r="A411" s="32"/>
      <c r="B411" s="32"/>
      <c r="C411" s="32"/>
      <c r="E411" s="32"/>
      <c r="F411" s="33"/>
      <c r="G411" s="32"/>
      <c r="H411" s="33"/>
      <c r="I411" s="33"/>
      <c r="J411" s="33"/>
      <c r="K411" s="33"/>
      <c r="L411" s="32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ht="15.75" customHeight="1">
      <c r="A412" s="32"/>
      <c r="B412" s="32"/>
      <c r="C412" s="32"/>
      <c r="E412" s="32"/>
      <c r="F412" s="33"/>
      <c r="G412" s="32"/>
      <c r="H412" s="33"/>
      <c r="I412" s="33"/>
      <c r="J412" s="33"/>
      <c r="K412" s="33"/>
      <c r="L412" s="32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ht="15.75" customHeight="1">
      <c r="A413" s="32"/>
      <c r="B413" s="32"/>
      <c r="C413" s="32"/>
      <c r="E413" s="32"/>
      <c r="F413" s="33"/>
      <c r="G413" s="32"/>
      <c r="H413" s="33"/>
      <c r="I413" s="33"/>
      <c r="J413" s="33"/>
      <c r="K413" s="33"/>
      <c r="L413" s="32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ht="15.75" customHeight="1">
      <c r="A414" s="32"/>
      <c r="B414" s="32"/>
      <c r="C414" s="32"/>
      <c r="E414" s="32"/>
      <c r="F414" s="33"/>
      <c r="G414" s="32"/>
      <c r="H414" s="33"/>
      <c r="I414" s="33"/>
      <c r="J414" s="33"/>
      <c r="K414" s="33"/>
      <c r="L414" s="32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ht="15.75" customHeight="1">
      <c r="A415" s="32"/>
      <c r="B415" s="32"/>
      <c r="C415" s="32"/>
      <c r="E415" s="32"/>
      <c r="F415" s="33"/>
      <c r="G415" s="32"/>
      <c r="H415" s="33"/>
      <c r="I415" s="33"/>
      <c r="J415" s="33"/>
      <c r="K415" s="33"/>
      <c r="L415" s="32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ht="15.75" customHeight="1">
      <c r="A416" s="32"/>
      <c r="B416" s="32"/>
      <c r="C416" s="32"/>
      <c r="E416" s="32"/>
      <c r="F416" s="33"/>
      <c r="G416" s="32"/>
      <c r="H416" s="33"/>
      <c r="I416" s="33"/>
      <c r="J416" s="33"/>
      <c r="K416" s="33"/>
      <c r="L416" s="32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ht="15.75" customHeight="1">
      <c r="A417" s="32"/>
      <c r="B417" s="32"/>
      <c r="C417" s="32"/>
      <c r="E417" s="32"/>
      <c r="F417" s="33"/>
      <c r="G417" s="32"/>
      <c r="H417" s="33"/>
      <c r="I417" s="33"/>
      <c r="J417" s="33"/>
      <c r="K417" s="33"/>
      <c r="L417" s="32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ht="15.75" customHeight="1">
      <c r="A418" s="32"/>
      <c r="B418" s="32"/>
      <c r="C418" s="32"/>
      <c r="E418" s="32"/>
      <c r="F418" s="33"/>
      <c r="G418" s="32"/>
      <c r="H418" s="33"/>
      <c r="I418" s="33"/>
      <c r="J418" s="33"/>
      <c r="K418" s="33"/>
      <c r="L418" s="32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ht="15.75" customHeight="1">
      <c r="A419" s="32"/>
      <c r="B419" s="32"/>
      <c r="C419" s="32"/>
      <c r="E419" s="32"/>
      <c r="F419" s="33"/>
      <c r="G419" s="32"/>
      <c r="H419" s="33"/>
      <c r="I419" s="33"/>
      <c r="J419" s="33"/>
      <c r="K419" s="33"/>
      <c r="L419" s="32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ht="15.75" customHeight="1">
      <c r="A420" s="32"/>
      <c r="B420" s="32"/>
      <c r="C420" s="32"/>
      <c r="E420" s="32"/>
      <c r="F420" s="33"/>
      <c r="G420" s="32"/>
      <c r="H420" s="33"/>
      <c r="I420" s="33"/>
      <c r="J420" s="33"/>
      <c r="K420" s="33"/>
      <c r="L420" s="32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ht="15.75" customHeight="1">
      <c r="A421" s="32"/>
      <c r="B421" s="32"/>
      <c r="C421" s="32"/>
      <c r="E421" s="32"/>
      <c r="F421" s="33"/>
      <c r="G421" s="32"/>
      <c r="H421" s="33"/>
      <c r="I421" s="33"/>
      <c r="J421" s="33"/>
      <c r="K421" s="33"/>
      <c r="L421" s="32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ht="15.75" customHeight="1">
      <c r="A422" s="32"/>
      <c r="B422" s="32"/>
      <c r="C422" s="32"/>
      <c r="E422" s="32"/>
      <c r="F422" s="33"/>
      <c r="G422" s="32"/>
      <c r="H422" s="33"/>
      <c r="I422" s="33"/>
      <c r="J422" s="33"/>
      <c r="K422" s="33"/>
      <c r="L422" s="32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ht="15.75" customHeight="1">
      <c r="A423" s="32"/>
      <c r="B423" s="32"/>
      <c r="C423" s="32"/>
      <c r="E423" s="32"/>
      <c r="F423" s="33"/>
      <c r="G423" s="32"/>
      <c r="H423" s="33"/>
      <c r="I423" s="33"/>
      <c r="J423" s="33"/>
      <c r="K423" s="33"/>
      <c r="L423" s="32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ht="15.75" customHeight="1">
      <c r="A424" s="32"/>
      <c r="B424" s="32"/>
      <c r="C424" s="32"/>
      <c r="E424" s="32"/>
      <c r="F424" s="33"/>
      <c r="G424" s="32"/>
      <c r="H424" s="33"/>
      <c r="I424" s="33"/>
      <c r="J424" s="33"/>
      <c r="K424" s="33"/>
      <c r="L424" s="32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ht="15.75" customHeight="1">
      <c r="A425" s="32"/>
      <c r="B425" s="32"/>
      <c r="C425" s="32"/>
      <c r="E425" s="32"/>
      <c r="F425" s="33"/>
      <c r="G425" s="32"/>
      <c r="H425" s="33"/>
      <c r="I425" s="33"/>
      <c r="J425" s="33"/>
      <c r="K425" s="33"/>
      <c r="L425" s="32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ht="15.75" customHeight="1">
      <c r="A426" s="32"/>
      <c r="B426" s="32"/>
      <c r="C426" s="32"/>
      <c r="E426" s="32"/>
      <c r="F426" s="33"/>
      <c r="G426" s="32"/>
      <c r="H426" s="33"/>
      <c r="I426" s="33"/>
      <c r="J426" s="33"/>
      <c r="K426" s="33"/>
      <c r="L426" s="32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ht="15.75" customHeight="1">
      <c r="A427" s="32"/>
      <c r="B427" s="32"/>
      <c r="C427" s="32"/>
      <c r="E427" s="32"/>
      <c r="F427" s="33"/>
      <c r="G427" s="32"/>
      <c r="H427" s="33"/>
      <c r="I427" s="33"/>
      <c r="J427" s="33"/>
      <c r="K427" s="33"/>
      <c r="L427" s="32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ht="15.75" customHeight="1">
      <c r="A428" s="32"/>
      <c r="B428" s="32"/>
      <c r="C428" s="32"/>
      <c r="E428" s="32"/>
      <c r="F428" s="33"/>
      <c r="G428" s="32"/>
      <c r="H428" s="33"/>
      <c r="I428" s="33"/>
      <c r="J428" s="33"/>
      <c r="K428" s="33"/>
      <c r="L428" s="32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ht="15.75" customHeight="1">
      <c r="A429" s="32"/>
      <c r="B429" s="32"/>
      <c r="C429" s="32"/>
      <c r="E429" s="32"/>
      <c r="F429" s="33"/>
      <c r="G429" s="32"/>
      <c r="H429" s="33"/>
      <c r="I429" s="33"/>
      <c r="J429" s="33"/>
      <c r="K429" s="33"/>
      <c r="L429" s="32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ht="15.75" customHeight="1">
      <c r="A430" s="32"/>
      <c r="B430" s="32"/>
      <c r="C430" s="32"/>
      <c r="E430" s="32"/>
      <c r="F430" s="33"/>
      <c r="G430" s="32"/>
      <c r="H430" s="33"/>
      <c r="I430" s="33"/>
      <c r="J430" s="33"/>
      <c r="K430" s="33"/>
      <c r="L430" s="32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ht="15.75" customHeight="1">
      <c r="A431" s="32"/>
      <c r="B431" s="32"/>
      <c r="C431" s="32"/>
      <c r="E431" s="32"/>
      <c r="F431" s="33"/>
      <c r="G431" s="32"/>
      <c r="H431" s="33"/>
      <c r="I431" s="33"/>
      <c r="J431" s="33"/>
      <c r="K431" s="33"/>
      <c r="L431" s="32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ht="15.75" customHeight="1">
      <c r="A432" s="32"/>
      <c r="B432" s="32"/>
      <c r="C432" s="32"/>
      <c r="E432" s="32"/>
      <c r="F432" s="33"/>
      <c r="G432" s="32"/>
      <c r="H432" s="33"/>
      <c r="I432" s="33"/>
      <c r="J432" s="33"/>
      <c r="K432" s="33"/>
      <c r="L432" s="32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ht="15.75" customHeight="1">
      <c r="A433" s="32"/>
      <c r="B433" s="32"/>
      <c r="C433" s="32"/>
      <c r="E433" s="32"/>
      <c r="F433" s="33"/>
      <c r="G433" s="32"/>
      <c r="H433" s="33"/>
      <c r="I433" s="33"/>
      <c r="J433" s="33"/>
      <c r="K433" s="33"/>
      <c r="L433" s="32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ht="15.75" customHeight="1">
      <c r="A434" s="32"/>
      <c r="B434" s="32"/>
      <c r="C434" s="32"/>
      <c r="E434" s="32"/>
      <c r="F434" s="33"/>
      <c r="G434" s="32"/>
      <c r="H434" s="33"/>
      <c r="I434" s="33"/>
      <c r="J434" s="33"/>
      <c r="K434" s="33"/>
      <c r="L434" s="32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ht="15.75" customHeight="1">
      <c r="A435" s="32"/>
      <c r="B435" s="32"/>
      <c r="C435" s="32"/>
      <c r="E435" s="32"/>
      <c r="F435" s="33"/>
      <c r="G435" s="32"/>
      <c r="H435" s="33"/>
      <c r="I435" s="33"/>
      <c r="J435" s="33"/>
      <c r="K435" s="33"/>
      <c r="L435" s="32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ht="15.75" customHeight="1">
      <c r="A436" s="32"/>
      <c r="B436" s="32"/>
      <c r="C436" s="32"/>
      <c r="E436" s="32"/>
      <c r="F436" s="33"/>
      <c r="G436" s="32"/>
      <c r="H436" s="33"/>
      <c r="I436" s="33"/>
      <c r="J436" s="33"/>
      <c r="K436" s="33"/>
      <c r="L436" s="32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ht="15.75" customHeight="1">
      <c r="A437" s="32"/>
      <c r="B437" s="32"/>
      <c r="C437" s="32"/>
      <c r="E437" s="32"/>
      <c r="F437" s="33"/>
      <c r="G437" s="32"/>
      <c r="H437" s="33"/>
      <c r="I437" s="33"/>
      <c r="J437" s="33"/>
      <c r="K437" s="33"/>
      <c r="L437" s="32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ht="15.75" customHeight="1">
      <c r="A438" s="32"/>
      <c r="B438" s="32"/>
      <c r="C438" s="32"/>
      <c r="E438" s="32"/>
      <c r="F438" s="33"/>
      <c r="G438" s="32"/>
      <c r="H438" s="33"/>
      <c r="I438" s="33"/>
      <c r="J438" s="33"/>
      <c r="K438" s="33"/>
      <c r="L438" s="32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ht="15.75" customHeight="1">
      <c r="A439" s="32"/>
      <c r="B439" s="32"/>
      <c r="C439" s="32"/>
      <c r="E439" s="32"/>
      <c r="F439" s="33"/>
      <c r="G439" s="32"/>
      <c r="H439" s="33"/>
      <c r="I439" s="33"/>
      <c r="J439" s="33"/>
      <c r="K439" s="33"/>
      <c r="L439" s="32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ht="15.75" customHeight="1">
      <c r="A440" s="32"/>
      <c r="B440" s="32"/>
      <c r="C440" s="32"/>
      <c r="E440" s="32"/>
      <c r="F440" s="33"/>
      <c r="G440" s="32"/>
      <c r="H440" s="33"/>
      <c r="I440" s="33"/>
      <c r="J440" s="33"/>
      <c r="K440" s="33"/>
      <c r="L440" s="32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ht="15.75" customHeight="1">
      <c r="A441" s="32"/>
      <c r="B441" s="32"/>
      <c r="C441" s="32"/>
      <c r="E441" s="32"/>
      <c r="F441" s="33"/>
      <c r="G441" s="32"/>
      <c r="H441" s="33"/>
      <c r="I441" s="33"/>
      <c r="J441" s="33"/>
      <c r="K441" s="33"/>
      <c r="L441" s="32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ht="15.75" customHeight="1">
      <c r="A442" s="32"/>
      <c r="B442" s="32"/>
      <c r="C442" s="32"/>
      <c r="E442" s="32"/>
      <c r="F442" s="33"/>
      <c r="G442" s="32"/>
      <c r="H442" s="33"/>
      <c r="I442" s="33"/>
      <c r="J442" s="33"/>
      <c r="K442" s="33"/>
      <c r="L442" s="32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ht="15.75" customHeight="1">
      <c r="A443" s="32"/>
      <c r="B443" s="32"/>
      <c r="C443" s="32"/>
      <c r="E443" s="32"/>
      <c r="F443" s="33"/>
      <c r="G443" s="32"/>
      <c r="H443" s="33"/>
      <c r="I443" s="33"/>
      <c r="J443" s="33"/>
      <c r="K443" s="33"/>
      <c r="L443" s="32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ht="15.75" customHeight="1">
      <c r="A444" s="32"/>
      <c r="B444" s="32"/>
      <c r="C444" s="32"/>
      <c r="E444" s="32"/>
      <c r="F444" s="33"/>
      <c r="G444" s="32"/>
      <c r="H444" s="33"/>
      <c r="I444" s="33"/>
      <c r="J444" s="33"/>
      <c r="K444" s="33"/>
      <c r="L444" s="32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ht="15.75" customHeight="1">
      <c r="A445" s="32"/>
      <c r="B445" s="32"/>
      <c r="C445" s="32"/>
      <c r="E445" s="32"/>
      <c r="F445" s="33"/>
      <c r="G445" s="32"/>
      <c r="H445" s="33"/>
      <c r="I445" s="33"/>
      <c r="J445" s="33"/>
      <c r="K445" s="33"/>
      <c r="L445" s="32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ht="15.75" customHeight="1">
      <c r="A446" s="32"/>
      <c r="B446" s="32"/>
      <c r="C446" s="32"/>
      <c r="E446" s="32"/>
      <c r="F446" s="33"/>
      <c r="G446" s="32"/>
      <c r="H446" s="33"/>
      <c r="I446" s="33"/>
      <c r="J446" s="33"/>
      <c r="K446" s="33"/>
      <c r="L446" s="32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ht="15.75" customHeight="1">
      <c r="A447" s="32"/>
      <c r="B447" s="32"/>
      <c r="C447" s="32"/>
      <c r="E447" s="32"/>
      <c r="F447" s="33"/>
      <c r="G447" s="32"/>
      <c r="H447" s="33"/>
      <c r="I447" s="33"/>
      <c r="J447" s="33"/>
      <c r="K447" s="33"/>
      <c r="L447" s="32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ht="15.75" customHeight="1">
      <c r="A448" s="32"/>
      <c r="B448" s="32"/>
      <c r="C448" s="32"/>
      <c r="E448" s="32"/>
      <c r="F448" s="33"/>
      <c r="G448" s="32"/>
      <c r="H448" s="33"/>
      <c r="I448" s="33"/>
      <c r="J448" s="33"/>
      <c r="K448" s="33"/>
      <c r="L448" s="32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ht="15.75" customHeight="1">
      <c r="A449" s="32"/>
      <c r="B449" s="32"/>
      <c r="C449" s="32"/>
      <c r="E449" s="32"/>
      <c r="F449" s="33"/>
      <c r="G449" s="32"/>
      <c r="H449" s="33"/>
      <c r="I449" s="33"/>
      <c r="J449" s="33"/>
      <c r="K449" s="33"/>
      <c r="L449" s="32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ht="15.75" customHeight="1">
      <c r="A450" s="32"/>
      <c r="B450" s="32"/>
      <c r="C450" s="32"/>
      <c r="E450" s="32"/>
      <c r="F450" s="33"/>
      <c r="G450" s="32"/>
      <c r="H450" s="33"/>
      <c r="I450" s="33"/>
      <c r="J450" s="33"/>
      <c r="K450" s="33"/>
      <c r="L450" s="32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ht="15.75" customHeight="1">
      <c r="A451" s="32"/>
      <c r="B451" s="32"/>
      <c r="C451" s="32"/>
      <c r="E451" s="32"/>
      <c r="F451" s="33"/>
      <c r="G451" s="32"/>
      <c r="H451" s="33"/>
      <c r="I451" s="33"/>
      <c r="J451" s="33"/>
      <c r="K451" s="33"/>
      <c r="L451" s="32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ht="15.75" customHeight="1">
      <c r="A452" s="32"/>
      <c r="B452" s="32"/>
      <c r="C452" s="32"/>
      <c r="E452" s="32"/>
      <c r="F452" s="33"/>
      <c r="G452" s="32"/>
      <c r="H452" s="33"/>
      <c r="I452" s="33"/>
      <c r="J452" s="33"/>
      <c r="K452" s="33"/>
      <c r="L452" s="32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ht="15.75" customHeight="1">
      <c r="A453" s="32"/>
      <c r="B453" s="32"/>
      <c r="C453" s="32"/>
      <c r="E453" s="32"/>
      <c r="F453" s="33"/>
      <c r="G453" s="32"/>
      <c r="H453" s="33"/>
      <c r="I453" s="33"/>
      <c r="J453" s="33"/>
      <c r="K453" s="33"/>
      <c r="L453" s="32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ht="15.75" customHeight="1">
      <c r="A454" s="32"/>
      <c r="B454" s="32"/>
      <c r="C454" s="32"/>
      <c r="E454" s="32"/>
      <c r="F454" s="33"/>
      <c r="G454" s="32"/>
      <c r="H454" s="33"/>
      <c r="I454" s="33"/>
      <c r="J454" s="33"/>
      <c r="K454" s="33"/>
      <c r="L454" s="32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ht="15.75" customHeight="1">
      <c r="A455" s="32"/>
      <c r="B455" s="32"/>
      <c r="C455" s="32"/>
      <c r="E455" s="32"/>
      <c r="F455" s="33"/>
      <c r="G455" s="32"/>
      <c r="H455" s="33"/>
      <c r="I455" s="33"/>
      <c r="J455" s="33"/>
      <c r="K455" s="33"/>
      <c r="L455" s="32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ht="15.75" customHeight="1">
      <c r="A456" s="32"/>
      <c r="B456" s="32"/>
      <c r="C456" s="32"/>
      <c r="E456" s="32"/>
      <c r="F456" s="33"/>
      <c r="G456" s="32"/>
      <c r="H456" s="33"/>
      <c r="I456" s="33"/>
      <c r="J456" s="33"/>
      <c r="K456" s="33"/>
      <c r="L456" s="32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ht="15.75" customHeight="1">
      <c r="A457" s="32"/>
      <c r="B457" s="32"/>
      <c r="C457" s="32"/>
      <c r="E457" s="32"/>
      <c r="F457" s="33"/>
      <c r="G457" s="32"/>
      <c r="H457" s="33"/>
      <c r="I457" s="33"/>
      <c r="J457" s="33"/>
      <c r="K457" s="33"/>
      <c r="L457" s="32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ht="15.75" customHeight="1">
      <c r="A458" s="32"/>
      <c r="B458" s="32"/>
      <c r="C458" s="32"/>
      <c r="E458" s="32"/>
      <c r="F458" s="33"/>
      <c r="G458" s="32"/>
      <c r="H458" s="33"/>
      <c r="I458" s="33"/>
      <c r="J458" s="33"/>
      <c r="K458" s="33"/>
      <c r="L458" s="32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ht="15.75" customHeight="1">
      <c r="A459" s="32"/>
      <c r="B459" s="32"/>
      <c r="C459" s="32"/>
      <c r="E459" s="32"/>
      <c r="F459" s="33"/>
      <c r="G459" s="32"/>
      <c r="H459" s="33"/>
      <c r="I459" s="33"/>
      <c r="J459" s="33"/>
      <c r="K459" s="33"/>
      <c r="L459" s="32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ht="15.75" customHeight="1">
      <c r="A460" s="32"/>
      <c r="B460" s="32"/>
      <c r="C460" s="32"/>
      <c r="E460" s="32"/>
      <c r="F460" s="33"/>
      <c r="G460" s="32"/>
      <c r="H460" s="33"/>
      <c r="I460" s="33"/>
      <c r="J460" s="33"/>
      <c r="K460" s="33"/>
      <c r="L460" s="32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ht="15.75" customHeight="1">
      <c r="A461" s="32"/>
      <c r="B461" s="32"/>
      <c r="C461" s="32"/>
      <c r="E461" s="32"/>
      <c r="F461" s="33"/>
      <c r="G461" s="32"/>
      <c r="H461" s="33"/>
      <c r="I461" s="33"/>
      <c r="J461" s="33"/>
      <c r="K461" s="33"/>
      <c r="L461" s="32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ht="15.75" customHeight="1">
      <c r="A462" s="32"/>
      <c r="B462" s="32"/>
      <c r="C462" s="32"/>
      <c r="E462" s="32"/>
      <c r="F462" s="33"/>
      <c r="G462" s="32"/>
      <c r="H462" s="33"/>
      <c r="I462" s="33"/>
      <c r="J462" s="33"/>
      <c r="K462" s="33"/>
      <c r="L462" s="32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ht="15.75" customHeight="1">
      <c r="A463" s="32"/>
      <c r="B463" s="32"/>
      <c r="C463" s="32"/>
      <c r="E463" s="32"/>
      <c r="F463" s="33"/>
      <c r="G463" s="32"/>
      <c r="H463" s="33"/>
      <c r="I463" s="33"/>
      <c r="J463" s="33"/>
      <c r="K463" s="33"/>
      <c r="L463" s="32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ht="15.75" customHeight="1">
      <c r="A464" s="32"/>
      <c r="B464" s="32"/>
      <c r="C464" s="32"/>
      <c r="E464" s="32"/>
      <c r="F464" s="33"/>
      <c r="G464" s="32"/>
      <c r="H464" s="33"/>
      <c r="I464" s="33"/>
      <c r="J464" s="33"/>
      <c r="K464" s="33"/>
      <c r="L464" s="32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ht="15.75" customHeight="1">
      <c r="A465" s="32"/>
      <c r="B465" s="32"/>
      <c r="C465" s="32"/>
      <c r="E465" s="32"/>
      <c r="F465" s="33"/>
      <c r="G465" s="32"/>
      <c r="H465" s="33"/>
      <c r="I465" s="33"/>
      <c r="J465" s="33"/>
      <c r="K465" s="33"/>
      <c r="L465" s="32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ht="15.75" customHeight="1">
      <c r="A466" s="32"/>
      <c r="B466" s="32"/>
      <c r="C466" s="32"/>
      <c r="E466" s="32"/>
      <c r="F466" s="33"/>
      <c r="G466" s="32"/>
      <c r="H466" s="33"/>
      <c r="I466" s="33"/>
      <c r="J466" s="33"/>
      <c r="K466" s="33"/>
      <c r="L466" s="32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ht="15.75" customHeight="1">
      <c r="A467" s="32"/>
      <c r="B467" s="32"/>
      <c r="C467" s="32"/>
      <c r="E467" s="32"/>
      <c r="F467" s="33"/>
      <c r="G467" s="32"/>
      <c r="H467" s="33"/>
      <c r="I467" s="33"/>
      <c r="J467" s="33"/>
      <c r="K467" s="33"/>
      <c r="L467" s="32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ht="15.75" customHeight="1">
      <c r="A468" s="32"/>
      <c r="B468" s="32"/>
      <c r="C468" s="32"/>
      <c r="E468" s="32"/>
      <c r="F468" s="33"/>
      <c r="G468" s="32"/>
      <c r="H468" s="33"/>
      <c r="I468" s="33"/>
      <c r="J468" s="33"/>
      <c r="K468" s="33"/>
      <c r="L468" s="32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ht="15.75" customHeight="1">
      <c r="A469" s="32"/>
      <c r="B469" s="32"/>
      <c r="C469" s="32"/>
      <c r="E469" s="32"/>
      <c r="F469" s="33"/>
      <c r="G469" s="32"/>
      <c r="H469" s="33"/>
      <c r="I469" s="33"/>
      <c r="J469" s="33"/>
      <c r="K469" s="33"/>
      <c r="L469" s="32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ht="15.75" customHeight="1">
      <c r="A470" s="32"/>
      <c r="B470" s="32"/>
      <c r="C470" s="32"/>
      <c r="E470" s="32"/>
      <c r="F470" s="33"/>
      <c r="G470" s="32"/>
      <c r="H470" s="33"/>
      <c r="I470" s="33"/>
      <c r="J470" s="33"/>
      <c r="K470" s="33"/>
      <c r="L470" s="32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ht="15.75" customHeight="1">
      <c r="A471" s="32"/>
      <c r="B471" s="32"/>
      <c r="C471" s="32"/>
      <c r="E471" s="32"/>
      <c r="F471" s="33"/>
      <c r="G471" s="32"/>
      <c r="H471" s="33"/>
      <c r="I471" s="33"/>
      <c r="J471" s="33"/>
      <c r="K471" s="33"/>
      <c r="L471" s="32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ht="15.75" customHeight="1">
      <c r="A472" s="32"/>
      <c r="B472" s="32"/>
      <c r="C472" s="32"/>
      <c r="E472" s="32"/>
      <c r="F472" s="33"/>
      <c r="G472" s="32"/>
      <c r="H472" s="33"/>
      <c r="I472" s="33"/>
      <c r="J472" s="33"/>
      <c r="K472" s="33"/>
      <c r="L472" s="32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ht="15.75" customHeight="1">
      <c r="A473" s="32"/>
      <c r="B473" s="32"/>
      <c r="C473" s="32"/>
      <c r="E473" s="32"/>
      <c r="F473" s="33"/>
      <c r="G473" s="32"/>
      <c r="H473" s="33"/>
      <c r="I473" s="33"/>
      <c r="J473" s="33"/>
      <c r="K473" s="33"/>
      <c r="L473" s="32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ht="15.75" customHeight="1">
      <c r="A474" s="32"/>
      <c r="B474" s="32"/>
      <c r="C474" s="32"/>
      <c r="E474" s="32"/>
      <c r="F474" s="33"/>
      <c r="G474" s="32"/>
      <c r="H474" s="33"/>
      <c r="I474" s="33"/>
      <c r="J474" s="33"/>
      <c r="K474" s="33"/>
      <c r="L474" s="32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ht="15.75" customHeight="1">
      <c r="A475" s="32"/>
      <c r="B475" s="32"/>
      <c r="C475" s="32"/>
      <c r="E475" s="32"/>
      <c r="F475" s="33"/>
      <c r="G475" s="32"/>
      <c r="H475" s="33"/>
      <c r="I475" s="33"/>
      <c r="J475" s="33"/>
      <c r="K475" s="33"/>
      <c r="L475" s="32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ht="15.75" customHeight="1">
      <c r="A476" s="32"/>
      <c r="B476" s="32"/>
      <c r="C476" s="32"/>
      <c r="E476" s="32"/>
      <c r="F476" s="33"/>
      <c r="G476" s="32"/>
      <c r="H476" s="33"/>
      <c r="I476" s="33"/>
      <c r="J476" s="33"/>
      <c r="K476" s="33"/>
      <c r="L476" s="32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ht="15.75" customHeight="1">
      <c r="A477" s="32"/>
      <c r="B477" s="32"/>
      <c r="C477" s="32"/>
      <c r="E477" s="32"/>
      <c r="F477" s="33"/>
      <c r="G477" s="32"/>
      <c r="H477" s="33"/>
      <c r="I477" s="33"/>
      <c r="J477" s="33"/>
      <c r="K477" s="33"/>
      <c r="L477" s="32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ht="15.75" customHeight="1">
      <c r="A478" s="32"/>
      <c r="B478" s="32"/>
      <c r="C478" s="32"/>
      <c r="E478" s="32"/>
      <c r="F478" s="33"/>
      <c r="G478" s="32"/>
      <c r="H478" s="33"/>
      <c r="I478" s="33"/>
      <c r="J478" s="33"/>
      <c r="K478" s="33"/>
      <c r="L478" s="32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ht="15.75" customHeight="1">
      <c r="A479" s="32"/>
      <c r="B479" s="32"/>
      <c r="C479" s="32"/>
      <c r="E479" s="32"/>
      <c r="F479" s="33"/>
      <c r="G479" s="32"/>
      <c r="H479" s="33"/>
      <c r="I479" s="33"/>
      <c r="J479" s="33"/>
      <c r="K479" s="33"/>
      <c r="L479" s="32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ht="15.75" customHeight="1">
      <c r="A480" s="32"/>
      <c r="B480" s="32"/>
      <c r="C480" s="32"/>
      <c r="E480" s="32"/>
      <c r="F480" s="33"/>
      <c r="G480" s="32"/>
      <c r="H480" s="33"/>
      <c r="I480" s="33"/>
      <c r="J480" s="33"/>
      <c r="K480" s="33"/>
      <c r="L480" s="32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ht="15.75" customHeight="1">
      <c r="A481" s="32"/>
      <c r="B481" s="32"/>
      <c r="C481" s="32"/>
      <c r="E481" s="32"/>
      <c r="F481" s="33"/>
      <c r="G481" s="32"/>
      <c r="H481" s="33"/>
      <c r="I481" s="33"/>
      <c r="J481" s="33"/>
      <c r="K481" s="33"/>
      <c r="L481" s="32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ht="15.75" customHeight="1">
      <c r="A482" s="32"/>
      <c r="B482" s="32"/>
      <c r="C482" s="32"/>
      <c r="E482" s="32"/>
      <c r="F482" s="33"/>
      <c r="G482" s="32"/>
      <c r="H482" s="33"/>
      <c r="I482" s="33"/>
      <c r="J482" s="33"/>
      <c r="K482" s="33"/>
      <c r="L482" s="32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ht="15.75" customHeight="1">
      <c r="A483" s="32"/>
      <c r="B483" s="32"/>
      <c r="C483" s="32"/>
      <c r="E483" s="32"/>
      <c r="F483" s="33"/>
      <c r="G483" s="32"/>
      <c r="H483" s="33"/>
      <c r="I483" s="33"/>
      <c r="J483" s="33"/>
      <c r="K483" s="33"/>
      <c r="L483" s="32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ht="15.75" customHeight="1">
      <c r="A484" s="32"/>
      <c r="B484" s="32"/>
      <c r="C484" s="32"/>
      <c r="E484" s="32"/>
      <c r="F484" s="33"/>
      <c r="G484" s="32"/>
      <c r="H484" s="33"/>
      <c r="I484" s="33"/>
      <c r="J484" s="33"/>
      <c r="K484" s="33"/>
      <c r="L484" s="32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ht="15.75" customHeight="1">
      <c r="A485" s="32"/>
      <c r="B485" s="32"/>
      <c r="C485" s="32"/>
      <c r="E485" s="32"/>
      <c r="F485" s="33"/>
      <c r="G485" s="32"/>
      <c r="H485" s="33"/>
      <c r="I485" s="33"/>
      <c r="J485" s="33"/>
      <c r="K485" s="33"/>
      <c r="L485" s="32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ht="15.75" customHeight="1">
      <c r="A486" s="32"/>
      <c r="B486" s="32"/>
      <c r="C486" s="32"/>
      <c r="E486" s="32"/>
      <c r="F486" s="33"/>
      <c r="G486" s="32"/>
      <c r="H486" s="33"/>
      <c r="I486" s="33"/>
      <c r="J486" s="33"/>
      <c r="K486" s="33"/>
      <c r="L486" s="32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ht="15.75" customHeight="1">
      <c r="A487" s="32"/>
      <c r="B487" s="32"/>
      <c r="C487" s="32"/>
      <c r="E487" s="32"/>
      <c r="F487" s="33"/>
      <c r="G487" s="32"/>
      <c r="H487" s="33"/>
      <c r="I487" s="33"/>
      <c r="J487" s="33"/>
      <c r="K487" s="33"/>
      <c r="L487" s="32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ht="15.75" customHeight="1">
      <c r="A488" s="32"/>
      <c r="B488" s="32"/>
      <c r="C488" s="32"/>
      <c r="E488" s="32"/>
      <c r="F488" s="33"/>
      <c r="G488" s="32"/>
      <c r="H488" s="33"/>
      <c r="I488" s="33"/>
      <c r="J488" s="33"/>
      <c r="K488" s="33"/>
      <c r="L488" s="32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ht="15.75" customHeight="1">
      <c r="A489" s="32"/>
      <c r="B489" s="32"/>
      <c r="C489" s="32"/>
      <c r="E489" s="32"/>
      <c r="F489" s="33"/>
      <c r="G489" s="32"/>
      <c r="H489" s="33"/>
      <c r="I489" s="33"/>
      <c r="J489" s="33"/>
      <c r="K489" s="33"/>
      <c r="L489" s="32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ht="15.75" customHeight="1">
      <c r="A490" s="32"/>
      <c r="B490" s="32"/>
      <c r="C490" s="32"/>
      <c r="E490" s="32"/>
      <c r="F490" s="33"/>
      <c r="G490" s="32"/>
      <c r="H490" s="33"/>
      <c r="I490" s="33"/>
      <c r="J490" s="33"/>
      <c r="K490" s="33"/>
      <c r="L490" s="32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ht="15.75" customHeight="1">
      <c r="A491" s="32"/>
      <c r="B491" s="32"/>
      <c r="C491" s="32"/>
      <c r="E491" s="32"/>
      <c r="F491" s="33"/>
      <c r="G491" s="32"/>
      <c r="H491" s="33"/>
      <c r="I491" s="33"/>
      <c r="J491" s="33"/>
      <c r="K491" s="33"/>
      <c r="L491" s="32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ht="15.75" customHeight="1">
      <c r="A492" s="32"/>
      <c r="B492" s="32"/>
      <c r="C492" s="32"/>
      <c r="E492" s="32"/>
      <c r="F492" s="33"/>
      <c r="G492" s="32"/>
      <c r="H492" s="33"/>
      <c r="I492" s="33"/>
      <c r="J492" s="33"/>
      <c r="K492" s="33"/>
      <c r="L492" s="32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ht="15.75" customHeight="1">
      <c r="A493" s="32"/>
      <c r="B493" s="32"/>
      <c r="C493" s="32"/>
      <c r="E493" s="32"/>
      <c r="F493" s="33"/>
      <c r="G493" s="32"/>
      <c r="H493" s="33"/>
      <c r="I493" s="33"/>
      <c r="J493" s="33"/>
      <c r="K493" s="33"/>
      <c r="L493" s="32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ht="15.75" customHeight="1">
      <c r="A494" s="32"/>
      <c r="B494" s="32"/>
      <c r="C494" s="32"/>
      <c r="E494" s="32"/>
      <c r="F494" s="33"/>
      <c r="G494" s="32"/>
      <c r="H494" s="33"/>
      <c r="I494" s="33"/>
      <c r="J494" s="33"/>
      <c r="K494" s="33"/>
      <c r="L494" s="32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ht="15.75" customHeight="1">
      <c r="A495" s="32"/>
      <c r="B495" s="32"/>
      <c r="C495" s="32"/>
      <c r="E495" s="32"/>
      <c r="F495" s="33"/>
      <c r="G495" s="32"/>
      <c r="H495" s="33"/>
      <c r="I495" s="33"/>
      <c r="J495" s="33"/>
      <c r="K495" s="33"/>
      <c r="L495" s="32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ht="15.75" customHeight="1">
      <c r="A496" s="32"/>
      <c r="B496" s="32"/>
      <c r="C496" s="32"/>
      <c r="E496" s="32"/>
      <c r="F496" s="33"/>
      <c r="G496" s="32"/>
      <c r="H496" s="33"/>
      <c r="I496" s="33"/>
      <c r="J496" s="33"/>
      <c r="K496" s="33"/>
      <c r="L496" s="32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ht="15.75" customHeight="1">
      <c r="A497" s="32"/>
      <c r="B497" s="32"/>
      <c r="C497" s="32"/>
      <c r="E497" s="32"/>
      <c r="F497" s="33"/>
      <c r="G497" s="32"/>
      <c r="H497" s="33"/>
      <c r="I497" s="33"/>
      <c r="J497" s="33"/>
      <c r="K497" s="33"/>
      <c r="L497" s="32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ht="15.75" customHeight="1">
      <c r="A498" s="32"/>
      <c r="B498" s="32"/>
      <c r="C498" s="32"/>
      <c r="E498" s="32"/>
      <c r="F498" s="33"/>
      <c r="G498" s="32"/>
      <c r="H498" s="33"/>
      <c r="I498" s="33"/>
      <c r="J498" s="33"/>
      <c r="K498" s="33"/>
      <c r="L498" s="32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ht="15.75" customHeight="1">
      <c r="A499" s="32"/>
      <c r="B499" s="32"/>
      <c r="C499" s="32"/>
      <c r="E499" s="32"/>
      <c r="F499" s="33"/>
      <c r="G499" s="32"/>
      <c r="H499" s="33"/>
      <c r="I499" s="33"/>
      <c r="J499" s="33"/>
      <c r="K499" s="33"/>
      <c r="L499" s="32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ht="15.75" customHeight="1">
      <c r="A500" s="32"/>
      <c r="B500" s="32"/>
      <c r="C500" s="32"/>
      <c r="E500" s="32"/>
      <c r="F500" s="33"/>
      <c r="G500" s="32"/>
      <c r="H500" s="33"/>
      <c r="I500" s="33"/>
      <c r="J500" s="33"/>
      <c r="K500" s="33"/>
      <c r="L500" s="32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ht="15.75" customHeight="1">
      <c r="A501" s="32"/>
      <c r="B501" s="32"/>
      <c r="C501" s="32"/>
      <c r="E501" s="32"/>
      <c r="F501" s="33"/>
      <c r="G501" s="32"/>
      <c r="H501" s="33"/>
      <c r="I501" s="33"/>
      <c r="J501" s="33"/>
      <c r="K501" s="33"/>
      <c r="L501" s="32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ht="15.75" customHeight="1">
      <c r="A502" s="32"/>
      <c r="B502" s="32"/>
      <c r="C502" s="32"/>
      <c r="E502" s="32"/>
      <c r="F502" s="33"/>
      <c r="G502" s="32"/>
      <c r="H502" s="33"/>
      <c r="I502" s="33"/>
      <c r="J502" s="33"/>
      <c r="K502" s="33"/>
      <c r="L502" s="32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ht="15.75" customHeight="1">
      <c r="A503" s="32"/>
      <c r="B503" s="32"/>
      <c r="C503" s="32"/>
      <c r="E503" s="32"/>
      <c r="F503" s="33"/>
      <c r="G503" s="32"/>
      <c r="H503" s="33"/>
      <c r="I503" s="33"/>
      <c r="J503" s="33"/>
      <c r="K503" s="33"/>
      <c r="L503" s="32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ht="15.75" customHeight="1">
      <c r="A504" s="32"/>
      <c r="B504" s="32"/>
      <c r="C504" s="32"/>
      <c r="E504" s="32"/>
      <c r="F504" s="33"/>
      <c r="G504" s="32"/>
      <c r="H504" s="33"/>
      <c r="I504" s="33"/>
      <c r="J504" s="33"/>
      <c r="K504" s="33"/>
      <c r="L504" s="32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ht="15.75" customHeight="1">
      <c r="A505" s="32"/>
      <c r="B505" s="32"/>
      <c r="C505" s="32"/>
      <c r="E505" s="32"/>
      <c r="F505" s="33"/>
      <c r="G505" s="32"/>
      <c r="H505" s="33"/>
      <c r="I505" s="33"/>
      <c r="J505" s="33"/>
      <c r="K505" s="33"/>
      <c r="L505" s="32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ht="15.75" customHeight="1">
      <c r="A506" s="32"/>
      <c r="B506" s="32"/>
      <c r="C506" s="32"/>
      <c r="E506" s="32"/>
      <c r="F506" s="33"/>
      <c r="G506" s="32"/>
      <c r="H506" s="33"/>
      <c r="I506" s="33"/>
      <c r="J506" s="33"/>
      <c r="K506" s="33"/>
      <c r="L506" s="32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ht="15.75" customHeight="1">
      <c r="A507" s="32"/>
      <c r="B507" s="32"/>
      <c r="C507" s="32"/>
      <c r="E507" s="32"/>
      <c r="F507" s="33"/>
      <c r="G507" s="32"/>
      <c r="H507" s="33"/>
      <c r="I507" s="33"/>
      <c r="J507" s="33"/>
      <c r="K507" s="33"/>
      <c r="L507" s="32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ht="15.75" customHeight="1">
      <c r="A508" s="32"/>
      <c r="B508" s="32"/>
      <c r="C508" s="32"/>
      <c r="E508" s="32"/>
      <c r="F508" s="33"/>
      <c r="G508" s="32"/>
      <c r="H508" s="33"/>
      <c r="I508" s="33"/>
      <c r="J508" s="33"/>
      <c r="K508" s="33"/>
      <c r="L508" s="32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ht="15.75" customHeight="1">
      <c r="A509" s="32"/>
      <c r="B509" s="32"/>
      <c r="C509" s="32"/>
      <c r="E509" s="32"/>
      <c r="F509" s="33"/>
      <c r="G509" s="32"/>
      <c r="H509" s="33"/>
      <c r="I509" s="33"/>
      <c r="J509" s="33"/>
      <c r="K509" s="33"/>
      <c r="L509" s="32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ht="15.75" customHeight="1">
      <c r="A510" s="32"/>
      <c r="B510" s="32"/>
      <c r="C510" s="32"/>
      <c r="E510" s="32"/>
      <c r="F510" s="33"/>
      <c r="G510" s="32"/>
      <c r="H510" s="33"/>
      <c r="I510" s="33"/>
      <c r="J510" s="33"/>
      <c r="K510" s="33"/>
      <c r="L510" s="32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ht="15.75" customHeight="1">
      <c r="A511" s="32"/>
      <c r="B511" s="32"/>
      <c r="C511" s="32"/>
      <c r="E511" s="32"/>
      <c r="F511" s="33"/>
      <c r="G511" s="32"/>
      <c r="H511" s="33"/>
      <c r="I511" s="33"/>
      <c r="J511" s="33"/>
      <c r="K511" s="33"/>
      <c r="L511" s="32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ht="15.75" customHeight="1">
      <c r="A512" s="32"/>
      <c r="B512" s="32"/>
      <c r="C512" s="32"/>
      <c r="E512" s="32"/>
      <c r="F512" s="33"/>
      <c r="G512" s="32"/>
      <c r="H512" s="33"/>
      <c r="I512" s="33"/>
      <c r="J512" s="33"/>
      <c r="K512" s="33"/>
      <c r="L512" s="32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ht="15.75" customHeight="1">
      <c r="A513" s="32"/>
      <c r="B513" s="32"/>
      <c r="C513" s="32"/>
      <c r="E513" s="32"/>
      <c r="F513" s="33"/>
      <c r="G513" s="32"/>
      <c r="H513" s="33"/>
      <c r="I513" s="33"/>
      <c r="J513" s="33"/>
      <c r="K513" s="33"/>
      <c r="L513" s="32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ht="15.75" customHeight="1">
      <c r="A514" s="32"/>
      <c r="B514" s="32"/>
      <c r="C514" s="32"/>
      <c r="E514" s="32"/>
      <c r="F514" s="33"/>
      <c r="G514" s="32"/>
      <c r="H514" s="33"/>
      <c r="I514" s="33"/>
      <c r="J514" s="33"/>
      <c r="K514" s="33"/>
      <c r="L514" s="32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ht="15.75" customHeight="1">
      <c r="A515" s="32"/>
      <c r="B515" s="32"/>
      <c r="C515" s="32"/>
      <c r="E515" s="32"/>
      <c r="F515" s="33"/>
      <c r="G515" s="32"/>
      <c r="H515" s="33"/>
      <c r="I515" s="33"/>
      <c r="J515" s="33"/>
      <c r="K515" s="33"/>
      <c r="L515" s="32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ht="15.75" customHeight="1">
      <c r="A516" s="32"/>
      <c r="B516" s="32"/>
      <c r="C516" s="32"/>
      <c r="E516" s="32"/>
      <c r="F516" s="33"/>
      <c r="G516" s="32"/>
      <c r="H516" s="33"/>
      <c r="I516" s="33"/>
      <c r="J516" s="33"/>
      <c r="K516" s="33"/>
      <c r="L516" s="32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ht="15.75" customHeight="1">
      <c r="A517" s="32"/>
      <c r="B517" s="32"/>
      <c r="C517" s="32"/>
      <c r="E517" s="32"/>
      <c r="F517" s="33"/>
      <c r="G517" s="32"/>
      <c r="H517" s="33"/>
      <c r="I517" s="33"/>
      <c r="J517" s="33"/>
      <c r="K517" s="33"/>
      <c r="L517" s="32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ht="15.75" customHeight="1">
      <c r="A518" s="32"/>
      <c r="B518" s="32"/>
      <c r="C518" s="32"/>
      <c r="E518" s="32"/>
      <c r="F518" s="33"/>
      <c r="G518" s="32"/>
      <c r="H518" s="33"/>
      <c r="I518" s="33"/>
      <c r="J518" s="33"/>
      <c r="K518" s="33"/>
      <c r="L518" s="32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ht="15.75" customHeight="1">
      <c r="A519" s="32"/>
      <c r="B519" s="32"/>
      <c r="C519" s="32"/>
      <c r="E519" s="32"/>
      <c r="F519" s="33"/>
      <c r="G519" s="32"/>
      <c r="H519" s="33"/>
      <c r="I519" s="33"/>
      <c r="J519" s="33"/>
      <c r="K519" s="33"/>
      <c r="L519" s="32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ht="15.75" customHeight="1">
      <c r="A520" s="32"/>
      <c r="B520" s="32"/>
      <c r="C520" s="32"/>
      <c r="E520" s="32"/>
      <c r="F520" s="33"/>
      <c r="G520" s="32"/>
      <c r="H520" s="33"/>
      <c r="I520" s="33"/>
      <c r="J520" s="33"/>
      <c r="K520" s="33"/>
      <c r="L520" s="32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ht="15.75" customHeight="1">
      <c r="A521" s="32"/>
      <c r="B521" s="32"/>
      <c r="C521" s="32"/>
      <c r="E521" s="32"/>
      <c r="F521" s="33"/>
      <c r="G521" s="32"/>
      <c r="H521" s="33"/>
      <c r="I521" s="33"/>
      <c r="J521" s="33"/>
      <c r="K521" s="33"/>
      <c r="L521" s="32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ht="15.75" customHeight="1">
      <c r="A522" s="32"/>
      <c r="B522" s="32"/>
      <c r="C522" s="32"/>
      <c r="E522" s="32"/>
      <c r="F522" s="33"/>
      <c r="G522" s="32"/>
      <c r="H522" s="33"/>
      <c r="I522" s="33"/>
      <c r="J522" s="33"/>
      <c r="K522" s="33"/>
      <c r="L522" s="32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ht="15.75" customHeight="1">
      <c r="A523" s="32"/>
      <c r="B523" s="32"/>
      <c r="C523" s="32"/>
      <c r="E523" s="32"/>
      <c r="F523" s="33"/>
      <c r="G523" s="32"/>
      <c r="H523" s="33"/>
      <c r="I523" s="33"/>
      <c r="J523" s="33"/>
      <c r="K523" s="33"/>
      <c r="L523" s="32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ht="15.75" customHeight="1">
      <c r="A524" s="32"/>
      <c r="B524" s="32"/>
      <c r="C524" s="32"/>
      <c r="E524" s="32"/>
      <c r="F524" s="33"/>
      <c r="G524" s="32"/>
      <c r="H524" s="33"/>
      <c r="I524" s="33"/>
      <c r="J524" s="33"/>
      <c r="K524" s="33"/>
      <c r="L524" s="32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ht="15.75" customHeight="1">
      <c r="A525" s="32"/>
      <c r="B525" s="32"/>
      <c r="C525" s="32"/>
      <c r="E525" s="32"/>
      <c r="F525" s="33"/>
      <c r="G525" s="32"/>
      <c r="H525" s="33"/>
      <c r="I525" s="33"/>
      <c r="J525" s="33"/>
      <c r="K525" s="33"/>
      <c r="L525" s="32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ht="15.75" customHeight="1">
      <c r="A526" s="32"/>
      <c r="B526" s="32"/>
      <c r="C526" s="32"/>
      <c r="E526" s="32"/>
      <c r="F526" s="33"/>
      <c r="G526" s="32"/>
      <c r="H526" s="33"/>
      <c r="I526" s="33"/>
      <c r="J526" s="33"/>
      <c r="K526" s="33"/>
      <c r="L526" s="32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ht="15.75" customHeight="1">
      <c r="A527" s="32"/>
      <c r="B527" s="32"/>
      <c r="C527" s="32"/>
      <c r="E527" s="32"/>
      <c r="F527" s="33"/>
      <c r="G527" s="32"/>
      <c r="H527" s="33"/>
      <c r="I527" s="33"/>
      <c r="J527" s="33"/>
      <c r="K527" s="33"/>
      <c r="L527" s="32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ht="15.75" customHeight="1">
      <c r="A528" s="32"/>
      <c r="B528" s="32"/>
      <c r="C528" s="32"/>
      <c r="E528" s="32"/>
      <c r="F528" s="33"/>
      <c r="G528" s="32"/>
      <c r="H528" s="33"/>
      <c r="I528" s="33"/>
      <c r="J528" s="33"/>
      <c r="K528" s="33"/>
      <c r="L528" s="32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ht="15.75" customHeight="1">
      <c r="A529" s="32"/>
      <c r="B529" s="32"/>
      <c r="C529" s="32"/>
      <c r="E529" s="32"/>
      <c r="F529" s="33"/>
      <c r="G529" s="32"/>
      <c r="H529" s="33"/>
      <c r="I529" s="33"/>
      <c r="J529" s="33"/>
      <c r="K529" s="33"/>
      <c r="L529" s="32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ht="15.75" customHeight="1">
      <c r="A530" s="32"/>
      <c r="B530" s="32"/>
      <c r="C530" s="32"/>
      <c r="E530" s="32"/>
      <c r="F530" s="33"/>
      <c r="G530" s="32"/>
      <c r="H530" s="33"/>
      <c r="I530" s="33"/>
      <c r="J530" s="33"/>
      <c r="K530" s="33"/>
      <c r="L530" s="32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ht="15.75" customHeight="1">
      <c r="A531" s="32"/>
      <c r="B531" s="32"/>
      <c r="C531" s="32"/>
      <c r="E531" s="32"/>
      <c r="F531" s="33"/>
      <c r="G531" s="32"/>
      <c r="H531" s="33"/>
      <c r="I531" s="33"/>
      <c r="J531" s="33"/>
      <c r="K531" s="33"/>
      <c r="L531" s="32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ht="15.75" customHeight="1">
      <c r="A532" s="32"/>
      <c r="B532" s="32"/>
      <c r="C532" s="32"/>
      <c r="E532" s="32"/>
      <c r="F532" s="33"/>
      <c r="G532" s="32"/>
      <c r="H532" s="33"/>
      <c r="I532" s="33"/>
      <c r="J532" s="33"/>
      <c r="K532" s="33"/>
      <c r="L532" s="32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ht="15.75" customHeight="1">
      <c r="A533" s="32"/>
      <c r="B533" s="32"/>
      <c r="C533" s="32"/>
      <c r="E533" s="32"/>
      <c r="F533" s="33"/>
      <c r="G533" s="32"/>
      <c r="H533" s="33"/>
      <c r="I533" s="33"/>
      <c r="J533" s="33"/>
      <c r="K533" s="33"/>
      <c r="L533" s="32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ht="15.75" customHeight="1">
      <c r="A534" s="32"/>
      <c r="B534" s="32"/>
      <c r="C534" s="32"/>
      <c r="E534" s="32"/>
      <c r="F534" s="33"/>
      <c r="G534" s="32"/>
      <c r="H534" s="33"/>
      <c r="I534" s="33"/>
      <c r="J534" s="33"/>
      <c r="K534" s="33"/>
      <c r="L534" s="32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ht="15.75" customHeight="1">
      <c r="A535" s="32"/>
      <c r="B535" s="32"/>
      <c r="C535" s="32"/>
      <c r="E535" s="32"/>
      <c r="F535" s="33"/>
      <c r="G535" s="32"/>
      <c r="H535" s="33"/>
      <c r="I535" s="33"/>
      <c r="J535" s="33"/>
      <c r="K535" s="33"/>
      <c r="L535" s="32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ht="15.75" customHeight="1">
      <c r="A536" s="32"/>
      <c r="B536" s="32"/>
      <c r="C536" s="32"/>
      <c r="E536" s="32"/>
      <c r="F536" s="33"/>
      <c r="G536" s="32"/>
      <c r="H536" s="33"/>
      <c r="I536" s="33"/>
      <c r="J536" s="33"/>
      <c r="K536" s="33"/>
      <c r="L536" s="32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ht="15.75" customHeight="1">
      <c r="A537" s="32"/>
      <c r="B537" s="32"/>
      <c r="C537" s="32"/>
      <c r="E537" s="32"/>
      <c r="F537" s="33"/>
      <c r="G537" s="32"/>
      <c r="H537" s="33"/>
      <c r="I537" s="33"/>
      <c r="J537" s="33"/>
      <c r="K537" s="33"/>
      <c r="L537" s="32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ht="15.75" customHeight="1">
      <c r="A538" s="32"/>
      <c r="B538" s="32"/>
      <c r="C538" s="32"/>
      <c r="E538" s="32"/>
      <c r="F538" s="33"/>
      <c r="G538" s="32"/>
      <c r="H538" s="33"/>
      <c r="I538" s="33"/>
      <c r="J538" s="33"/>
      <c r="K538" s="33"/>
      <c r="L538" s="32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ht="15.75" customHeight="1">
      <c r="A539" s="32"/>
      <c r="B539" s="32"/>
      <c r="C539" s="32"/>
      <c r="E539" s="32"/>
      <c r="F539" s="33"/>
      <c r="G539" s="32"/>
      <c r="H539" s="33"/>
      <c r="I539" s="33"/>
      <c r="J539" s="33"/>
      <c r="K539" s="33"/>
      <c r="L539" s="32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ht="15.75" customHeight="1">
      <c r="A540" s="32"/>
      <c r="B540" s="32"/>
      <c r="C540" s="32"/>
      <c r="E540" s="32"/>
      <c r="F540" s="33"/>
      <c r="G540" s="32"/>
      <c r="H540" s="33"/>
      <c r="I540" s="33"/>
      <c r="J540" s="33"/>
      <c r="K540" s="33"/>
      <c r="L540" s="32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ht="15.75" customHeight="1">
      <c r="A541" s="32"/>
      <c r="B541" s="32"/>
      <c r="C541" s="32"/>
      <c r="E541" s="32"/>
      <c r="F541" s="33"/>
      <c r="G541" s="32"/>
      <c r="H541" s="33"/>
      <c r="I541" s="33"/>
      <c r="J541" s="33"/>
      <c r="K541" s="33"/>
      <c r="L541" s="32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ht="15.75" customHeight="1">
      <c r="A542" s="32"/>
      <c r="B542" s="32"/>
      <c r="C542" s="32"/>
      <c r="E542" s="32"/>
      <c r="F542" s="33"/>
      <c r="G542" s="32"/>
      <c r="H542" s="33"/>
      <c r="I542" s="33"/>
      <c r="J542" s="33"/>
      <c r="K542" s="33"/>
      <c r="L542" s="32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ht="15.75" customHeight="1">
      <c r="A543" s="32"/>
      <c r="B543" s="32"/>
      <c r="C543" s="32"/>
      <c r="E543" s="32"/>
      <c r="F543" s="33"/>
      <c r="G543" s="32"/>
      <c r="H543" s="33"/>
      <c r="I543" s="33"/>
      <c r="J543" s="33"/>
      <c r="K543" s="33"/>
      <c r="L543" s="32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ht="15.75" customHeight="1">
      <c r="A544" s="32"/>
      <c r="B544" s="32"/>
      <c r="C544" s="32"/>
      <c r="E544" s="32"/>
      <c r="F544" s="33"/>
      <c r="G544" s="32"/>
      <c r="H544" s="33"/>
      <c r="I544" s="33"/>
      <c r="J544" s="33"/>
      <c r="K544" s="33"/>
      <c r="L544" s="32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ht="15.75" customHeight="1">
      <c r="A545" s="32"/>
      <c r="B545" s="32"/>
      <c r="C545" s="32"/>
      <c r="E545" s="32"/>
      <c r="F545" s="33"/>
      <c r="G545" s="32"/>
      <c r="H545" s="33"/>
      <c r="I545" s="33"/>
      <c r="J545" s="33"/>
      <c r="K545" s="33"/>
      <c r="L545" s="32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ht="15.75" customHeight="1">
      <c r="A546" s="32"/>
      <c r="B546" s="32"/>
      <c r="C546" s="32"/>
      <c r="E546" s="32"/>
      <c r="F546" s="33"/>
      <c r="G546" s="32"/>
      <c r="H546" s="33"/>
      <c r="I546" s="33"/>
      <c r="J546" s="33"/>
      <c r="K546" s="33"/>
      <c r="L546" s="32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ht="15.75" customHeight="1">
      <c r="A547" s="32"/>
      <c r="B547" s="32"/>
      <c r="C547" s="32"/>
      <c r="E547" s="32"/>
      <c r="F547" s="33"/>
      <c r="G547" s="32"/>
      <c r="H547" s="33"/>
      <c r="I547" s="33"/>
      <c r="J547" s="33"/>
      <c r="K547" s="33"/>
      <c r="L547" s="32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ht="15.75" customHeight="1">
      <c r="A548" s="32"/>
      <c r="B548" s="32"/>
      <c r="C548" s="32"/>
      <c r="E548" s="32"/>
      <c r="F548" s="33"/>
      <c r="G548" s="32"/>
      <c r="H548" s="33"/>
      <c r="I548" s="33"/>
      <c r="J548" s="33"/>
      <c r="K548" s="33"/>
      <c r="L548" s="32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ht="15.75" customHeight="1">
      <c r="A549" s="32"/>
      <c r="B549" s="32"/>
      <c r="C549" s="32"/>
      <c r="E549" s="32"/>
      <c r="F549" s="33"/>
      <c r="G549" s="32"/>
      <c r="H549" s="33"/>
      <c r="I549" s="33"/>
      <c r="J549" s="33"/>
      <c r="K549" s="33"/>
      <c r="L549" s="32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ht="15.75" customHeight="1">
      <c r="A550" s="32"/>
      <c r="B550" s="32"/>
      <c r="C550" s="32"/>
      <c r="E550" s="32"/>
      <c r="F550" s="33"/>
      <c r="G550" s="32"/>
      <c r="H550" s="33"/>
      <c r="I550" s="33"/>
      <c r="J550" s="33"/>
      <c r="K550" s="33"/>
      <c r="L550" s="32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ht="15.75" customHeight="1">
      <c r="A551" s="32"/>
      <c r="B551" s="32"/>
      <c r="C551" s="32"/>
      <c r="E551" s="32"/>
      <c r="F551" s="33"/>
      <c r="G551" s="32"/>
      <c r="H551" s="33"/>
      <c r="I551" s="33"/>
      <c r="J551" s="33"/>
      <c r="K551" s="33"/>
      <c r="L551" s="32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ht="15.75" customHeight="1">
      <c r="A552" s="32"/>
      <c r="B552" s="32"/>
      <c r="C552" s="32"/>
      <c r="E552" s="32"/>
      <c r="F552" s="33"/>
      <c r="G552" s="32"/>
      <c r="H552" s="33"/>
      <c r="I552" s="33"/>
      <c r="J552" s="33"/>
      <c r="K552" s="33"/>
      <c r="L552" s="32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ht="15.75" customHeight="1">
      <c r="A553" s="32"/>
      <c r="B553" s="32"/>
      <c r="C553" s="32"/>
      <c r="E553" s="32"/>
      <c r="F553" s="33"/>
      <c r="G553" s="32"/>
      <c r="H553" s="33"/>
      <c r="I553" s="33"/>
      <c r="J553" s="33"/>
      <c r="K553" s="33"/>
      <c r="L553" s="32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ht="15.75" customHeight="1">
      <c r="A554" s="32"/>
      <c r="B554" s="32"/>
      <c r="C554" s="32"/>
      <c r="E554" s="32"/>
      <c r="F554" s="33"/>
      <c r="G554" s="32"/>
      <c r="H554" s="33"/>
      <c r="I554" s="33"/>
      <c r="J554" s="33"/>
      <c r="K554" s="33"/>
      <c r="L554" s="32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ht="15.75" customHeight="1">
      <c r="A555" s="32"/>
      <c r="B555" s="32"/>
      <c r="C555" s="32"/>
      <c r="E555" s="32"/>
      <c r="F555" s="33"/>
      <c r="G555" s="32"/>
      <c r="H555" s="33"/>
      <c r="I555" s="33"/>
      <c r="J555" s="33"/>
      <c r="K555" s="33"/>
      <c r="L555" s="32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ht="15.75" customHeight="1">
      <c r="A556" s="32"/>
      <c r="B556" s="32"/>
      <c r="C556" s="32"/>
      <c r="E556" s="32"/>
      <c r="F556" s="33"/>
      <c r="G556" s="32"/>
      <c r="H556" s="33"/>
      <c r="I556" s="33"/>
      <c r="J556" s="33"/>
      <c r="K556" s="33"/>
      <c r="L556" s="32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ht="15.75" customHeight="1">
      <c r="A557" s="32"/>
      <c r="B557" s="32"/>
      <c r="C557" s="32"/>
      <c r="E557" s="32"/>
      <c r="F557" s="33"/>
      <c r="G557" s="32"/>
      <c r="H557" s="33"/>
      <c r="I557" s="33"/>
      <c r="J557" s="33"/>
      <c r="K557" s="33"/>
      <c r="L557" s="32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ht="15.75" customHeight="1">
      <c r="A558" s="32"/>
      <c r="B558" s="32"/>
      <c r="C558" s="32"/>
      <c r="E558" s="32"/>
      <c r="F558" s="33"/>
      <c r="G558" s="32"/>
      <c r="H558" s="33"/>
      <c r="I558" s="33"/>
      <c r="J558" s="33"/>
      <c r="K558" s="33"/>
      <c r="L558" s="32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ht="15.75" customHeight="1">
      <c r="A559" s="32"/>
      <c r="B559" s="32"/>
      <c r="C559" s="32"/>
      <c r="E559" s="32"/>
      <c r="F559" s="33"/>
      <c r="G559" s="32"/>
      <c r="H559" s="33"/>
      <c r="I559" s="33"/>
      <c r="J559" s="33"/>
      <c r="K559" s="33"/>
      <c r="L559" s="32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ht="15.75" customHeight="1">
      <c r="A560" s="32"/>
      <c r="B560" s="32"/>
      <c r="C560" s="32"/>
      <c r="E560" s="32"/>
      <c r="F560" s="33"/>
      <c r="G560" s="32"/>
      <c r="H560" s="33"/>
      <c r="I560" s="33"/>
      <c r="J560" s="33"/>
      <c r="K560" s="33"/>
      <c r="L560" s="32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ht="15.75" customHeight="1">
      <c r="A561" s="32"/>
      <c r="B561" s="32"/>
      <c r="C561" s="32"/>
      <c r="E561" s="32"/>
      <c r="F561" s="33"/>
      <c r="G561" s="32"/>
      <c r="H561" s="33"/>
      <c r="I561" s="33"/>
      <c r="J561" s="33"/>
      <c r="K561" s="33"/>
      <c r="L561" s="32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ht="15.75" customHeight="1">
      <c r="A562" s="32"/>
      <c r="B562" s="32"/>
      <c r="C562" s="32"/>
      <c r="E562" s="32"/>
      <c r="F562" s="33"/>
      <c r="G562" s="32"/>
      <c r="H562" s="33"/>
      <c r="I562" s="33"/>
      <c r="J562" s="33"/>
      <c r="K562" s="33"/>
      <c r="L562" s="32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ht="15.75" customHeight="1">
      <c r="A563" s="32"/>
      <c r="B563" s="32"/>
      <c r="C563" s="32"/>
      <c r="E563" s="32"/>
      <c r="F563" s="33"/>
      <c r="G563" s="32"/>
      <c r="H563" s="33"/>
      <c r="I563" s="33"/>
      <c r="J563" s="33"/>
      <c r="K563" s="33"/>
      <c r="L563" s="32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ht="15.75" customHeight="1">
      <c r="A564" s="32"/>
      <c r="B564" s="32"/>
      <c r="C564" s="32"/>
      <c r="E564" s="32"/>
      <c r="F564" s="33"/>
      <c r="G564" s="32"/>
      <c r="H564" s="33"/>
      <c r="I564" s="33"/>
      <c r="J564" s="33"/>
      <c r="K564" s="33"/>
      <c r="L564" s="32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ht="15.75" customHeight="1">
      <c r="A565" s="32"/>
      <c r="B565" s="32"/>
      <c r="C565" s="32"/>
      <c r="E565" s="32"/>
      <c r="F565" s="33"/>
      <c r="G565" s="32"/>
      <c r="H565" s="33"/>
      <c r="I565" s="33"/>
      <c r="J565" s="33"/>
      <c r="K565" s="33"/>
      <c r="L565" s="32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ht="15.75" customHeight="1">
      <c r="A566" s="32"/>
      <c r="B566" s="32"/>
      <c r="C566" s="32"/>
      <c r="E566" s="32"/>
      <c r="F566" s="33"/>
      <c r="G566" s="32"/>
      <c r="H566" s="33"/>
      <c r="I566" s="33"/>
      <c r="J566" s="33"/>
      <c r="K566" s="33"/>
      <c r="L566" s="32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ht="15.75" customHeight="1">
      <c r="A567" s="32"/>
      <c r="B567" s="32"/>
      <c r="C567" s="32"/>
      <c r="E567" s="32"/>
      <c r="F567" s="33"/>
      <c r="G567" s="32"/>
      <c r="H567" s="33"/>
      <c r="I567" s="33"/>
      <c r="J567" s="33"/>
      <c r="K567" s="33"/>
      <c r="L567" s="32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ht="15.75" customHeight="1">
      <c r="A568" s="32"/>
      <c r="B568" s="32"/>
      <c r="C568" s="32"/>
      <c r="E568" s="32"/>
      <c r="F568" s="33"/>
      <c r="G568" s="32"/>
      <c r="H568" s="33"/>
      <c r="I568" s="33"/>
      <c r="J568" s="33"/>
      <c r="K568" s="33"/>
      <c r="L568" s="32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ht="15.75" customHeight="1">
      <c r="A569" s="32"/>
      <c r="B569" s="32"/>
      <c r="C569" s="32"/>
      <c r="E569" s="32"/>
      <c r="F569" s="33"/>
      <c r="G569" s="32"/>
      <c r="H569" s="33"/>
      <c r="I569" s="33"/>
      <c r="J569" s="33"/>
      <c r="K569" s="33"/>
      <c r="L569" s="32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ht="15.75" customHeight="1">
      <c r="A570" s="32"/>
      <c r="B570" s="32"/>
      <c r="C570" s="32"/>
      <c r="E570" s="32"/>
      <c r="F570" s="33"/>
      <c r="G570" s="32"/>
      <c r="H570" s="33"/>
      <c r="I570" s="33"/>
      <c r="J570" s="33"/>
      <c r="K570" s="33"/>
      <c r="L570" s="32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ht="15.75" customHeight="1">
      <c r="A571" s="32"/>
      <c r="B571" s="32"/>
      <c r="C571" s="32"/>
      <c r="E571" s="32"/>
      <c r="F571" s="33"/>
      <c r="G571" s="32"/>
      <c r="H571" s="33"/>
      <c r="I571" s="33"/>
      <c r="J571" s="33"/>
      <c r="K571" s="33"/>
      <c r="L571" s="32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ht="15.75" customHeight="1">
      <c r="A572" s="32"/>
      <c r="B572" s="32"/>
      <c r="C572" s="32"/>
      <c r="E572" s="32"/>
      <c r="F572" s="33"/>
      <c r="G572" s="32"/>
      <c r="H572" s="33"/>
      <c r="I572" s="33"/>
      <c r="J572" s="33"/>
      <c r="K572" s="33"/>
      <c r="L572" s="32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ht="15.75" customHeight="1">
      <c r="A573" s="32"/>
      <c r="B573" s="32"/>
      <c r="C573" s="32"/>
      <c r="E573" s="32"/>
      <c r="F573" s="33"/>
      <c r="G573" s="32"/>
      <c r="H573" s="33"/>
      <c r="I573" s="33"/>
      <c r="J573" s="33"/>
      <c r="K573" s="33"/>
      <c r="L573" s="32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ht="15.75" customHeight="1">
      <c r="A574" s="32"/>
      <c r="B574" s="32"/>
      <c r="C574" s="32"/>
      <c r="E574" s="32"/>
      <c r="F574" s="33"/>
      <c r="G574" s="32"/>
      <c r="H574" s="33"/>
      <c r="I574" s="33"/>
      <c r="J574" s="33"/>
      <c r="K574" s="33"/>
      <c r="L574" s="32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ht="15.75" customHeight="1">
      <c r="A575" s="32"/>
      <c r="B575" s="32"/>
      <c r="C575" s="32"/>
      <c r="E575" s="32"/>
      <c r="F575" s="33"/>
      <c r="G575" s="32"/>
      <c r="H575" s="33"/>
      <c r="I575" s="33"/>
      <c r="J575" s="33"/>
      <c r="K575" s="33"/>
      <c r="L575" s="32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ht="15.75" customHeight="1">
      <c r="A576" s="32"/>
      <c r="B576" s="32"/>
      <c r="C576" s="32"/>
      <c r="E576" s="32"/>
      <c r="F576" s="33"/>
      <c r="G576" s="32"/>
      <c r="H576" s="33"/>
      <c r="I576" s="33"/>
      <c r="J576" s="33"/>
      <c r="K576" s="33"/>
      <c r="L576" s="32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ht="15.75" customHeight="1">
      <c r="A577" s="32"/>
      <c r="B577" s="32"/>
      <c r="C577" s="32"/>
      <c r="E577" s="32"/>
      <c r="F577" s="33"/>
      <c r="G577" s="32"/>
      <c r="H577" s="33"/>
      <c r="I577" s="33"/>
      <c r="J577" s="33"/>
      <c r="K577" s="33"/>
      <c r="L577" s="32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ht="15.75" customHeight="1">
      <c r="A578" s="32"/>
      <c r="B578" s="32"/>
      <c r="C578" s="32"/>
      <c r="E578" s="32"/>
      <c r="F578" s="33"/>
      <c r="G578" s="32"/>
      <c r="H578" s="33"/>
      <c r="I578" s="33"/>
      <c r="J578" s="33"/>
      <c r="K578" s="33"/>
      <c r="L578" s="32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ht="15.75" customHeight="1">
      <c r="A579" s="32"/>
      <c r="B579" s="32"/>
      <c r="C579" s="32"/>
      <c r="E579" s="32"/>
      <c r="F579" s="33"/>
      <c r="G579" s="32"/>
      <c r="H579" s="33"/>
      <c r="I579" s="33"/>
      <c r="J579" s="33"/>
      <c r="K579" s="33"/>
      <c r="L579" s="32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ht="15.75" customHeight="1">
      <c r="A580" s="32"/>
      <c r="B580" s="32"/>
      <c r="C580" s="32"/>
      <c r="E580" s="32"/>
      <c r="F580" s="33"/>
      <c r="G580" s="32"/>
      <c r="H580" s="33"/>
      <c r="I580" s="33"/>
      <c r="J580" s="33"/>
      <c r="K580" s="33"/>
      <c r="L580" s="32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ht="15.75" customHeight="1">
      <c r="A581" s="32"/>
      <c r="B581" s="32"/>
      <c r="C581" s="32"/>
      <c r="E581" s="32"/>
      <c r="F581" s="33"/>
      <c r="G581" s="32"/>
      <c r="H581" s="33"/>
      <c r="I581" s="33"/>
      <c r="J581" s="33"/>
      <c r="K581" s="33"/>
      <c r="L581" s="32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ht="15.75" customHeight="1">
      <c r="A582" s="32"/>
      <c r="B582" s="32"/>
      <c r="C582" s="32"/>
      <c r="E582" s="32"/>
      <c r="F582" s="33"/>
      <c r="G582" s="32"/>
      <c r="H582" s="33"/>
      <c r="I582" s="33"/>
      <c r="J582" s="33"/>
      <c r="K582" s="33"/>
      <c r="L582" s="32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ht="15.75" customHeight="1">
      <c r="A583" s="32"/>
      <c r="B583" s="32"/>
      <c r="C583" s="32"/>
      <c r="E583" s="32"/>
      <c r="F583" s="33"/>
      <c r="G583" s="32"/>
      <c r="H583" s="33"/>
      <c r="I583" s="33"/>
      <c r="J583" s="33"/>
      <c r="K583" s="33"/>
      <c r="L583" s="32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ht="15.75" customHeight="1">
      <c r="A584" s="32"/>
      <c r="B584" s="32"/>
      <c r="C584" s="32"/>
      <c r="E584" s="32"/>
      <c r="F584" s="33"/>
      <c r="G584" s="32"/>
      <c r="H584" s="33"/>
      <c r="I584" s="33"/>
      <c r="J584" s="33"/>
      <c r="K584" s="33"/>
      <c r="L584" s="32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ht="15.75" customHeight="1">
      <c r="A585" s="32"/>
      <c r="B585" s="32"/>
      <c r="C585" s="32"/>
      <c r="E585" s="32"/>
      <c r="F585" s="33"/>
      <c r="G585" s="32"/>
      <c r="H585" s="33"/>
      <c r="I585" s="33"/>
      <c r="J585" s="33"/>
      <c r="K585" s="33"/>
      <c r="L585" s="32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ht="15.75" customHeight="1">
      <c r="A586" s="32"/>
      <c r="B586" s="32"/>
      <c r="C586" s="32"/>
      <c r="E586" s="32"/>
      <c r="F586" s="33"/>
      <c r="G586" s="32"/>
      <c r="H586" s="33"/>
      <c r="I586" s="33"/>
      <c r="J586" s="33"/>
      <c r="K586" s="33"/>
      <c r="L586" s="32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ht="15.75" customHeight="1">
      <c r="A587" s="32"/>
      <c r="B587" s="32"/>
      <c r="C587" s="32"/>
      <c r="E587" s="32"/>
      <c r="F587" s="33"/>
      <c r="G587" s="32"/>
      <c r="H587" s="33"/>
      <c r="I587" s="33"/>
      <c r="J587" s="33"/>
      <c r="K587" s="33"/>
      <c r="L587" s="32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ht="15.75" customHeight="1">
      <c r="A588" s="32"/>
      <c r="B588" s="32"/>
      <c r="C588" s="32"/>
      <c r="E588" s="32"/>
      <c r="F588" s="33"/>
      <c r="G588" s="32"/>
      <c r="H588" s="33"/>
      <c r="I588" s="33"/>
      <c r="J588" s="33"/>
      <c r="K588" s="33"/>
      <c r="L588" s="32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ht="15.75" customHeight="1">
      <c r="A589" s="32"/>
      <c r="B589" s="32"/>
      <c r="C589" s="32"/>
      <c r="E589" s="32"/>
      <c r="F589" s="33"/>
      <c r="G589" s="32"/>
      <c r="H589" s="33"/>
      <c r="I589" s="33"/>
      <c r="J589" s="33"/>
      <c r="K589" s="33"/>
      <c r="L589" s="32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ht="15.75" customHeight="1">
      <c r="A590" s="32"/>
      <c r="B590" s="32"/>
      <c r="C590" s="32"/>
      <c r="E590" s="32"/>
      <c r="F590" s="33"/>
      <c r="G590" s="32"/>
      <c r="H590" s="33"/>
      <c r="I590" s="33"/>
      <c r="J590" s="33"/>
      <c r="K590" s="33"/>
      <c r="L590" s="32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ht="15.75" customHeight="1">
      <c r="A591" s="32"/>
      <c r="B591" s="32"/>
      <c r="C591" s="32"/>
      <c r="E591" s="32"/>
      <c r="F591" s="33"/>
      <c r="G591" s="32"/>
      <c r="H591" s="33"/>
      <c r="I591" s="33"/>
      <c r="J591" s="33"/>
      <c r="K591" s="33"/>
      <c r="L591" s="32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ht="15.75" customHeight="1">
      <c r="A592" s="32"/>
      <c r="B592" s="32"/>
      <c r="C592" s="32"/>
      <c r="E592" s="32"/>
      <c r="F592" s="33"/>
      <c r="G592" s="32"/>
      <c r="H592" s="33"/>
      <c r="I592" s="33"/>
      <c r="J592" s="33"/>
      <c r="K592" s="33"/>
      <c r="L592" s="32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ht="15.75" customHeight="1">
      <c r="A593" s="32"/>
      <c r="B593" s="32"/>
      <c r="C593" s="32"/>
      <c r="E593" s="32"/>
      <c r="F593" s="33"/>
      <c r="G593" s="32"/>
      <c r="H593" s="33"/>
      <c r="I593" s="33"/>
      <c r="J593" s="33"/>
      <c r="K593" s="33"/>
      <c r="L593" s="32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ht="15.75" customHeight="1">
      <c r="A594" s="32"/>
      <c r="B594" s="32"/>
      <c r="C594" s="32"/>
      <c r="E594" s="32"/>
      <c r="F594" s="33"/>
      <c r="G594" s="32"/>
      <c r="H594" s="33"/>
      <c r="I594" s="33"/>
      <c r="J594" s="33"/>
      <c r="K594" s="33"/>
      <c r="L594" s="32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ht="15.75" customHeight="1">
      <c r="A595" s="32"/>
      <c r="B595" s="32"/>
      <c r="C595" s="32"/>
      <c r="E595" s="32"/>
      <c r="F595" s="33"/>
      <c r="G595" s="32"/>
      <c r="H595" s="33"/>
      <c r="I595" s="33"/>
      <c r="J595" s="33"/>
      <c r="K595" s="33"/>
      <c r="L595" s="32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ht="15.75" customHeight="1">
      <c r="A596" s="32"/>
      <c r="B596" s="32"/>
      <c r="C596" s="32"/>
      <c r="E596" s="32"/>
      <c r="F596" s="33"/>
      <c r="G596" s="32"/>
      <c r="H596" s="33"/>
      <c r="I596" s="33"/>
      <c r="J596" s="33"/>
      <c r="K596" s="33"/>
      <c r="L596" s="32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ht="15.75" customHeight="1">
      <c r="A597" s="32"/>
      <c r="B597" s="32"/>
      <c r="C597" s="32"/>
      <c r="E597" s="32"/>
      <c r="F597" s="33"/>
      <c r="G597" s="32"/>
      <c r="H597" s="33"/>
      <c r="I597" s="33"/>
      <c r="J597" s="33"/>
      <c r="K597" s="33"/>
      <c r="L597" s="32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ht="15.75" customHeight="1">
      <c r="A598" s="32"/>
      <c r="B598" s="32"/>
      <c r="C598" s="32"/>
      <c r="E598" s="32"/>
      <c r="F598" s="33"/>
      <c r="G598" s="32"/>
      <c r="H598" s="33"/>
      <c r="I598" s="33"/>
      <c r="J598" s="33"/>
      <c r="K598" s="33"/>
      <c r="L598" s="32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ht="15.75" customHeight="1">
      <c r="A599" s="32"/>
      <c r="B599" s="32"/>
      <c r="C599" s="32"/>
      <c r="E599" s="32"/>
      <c r="F599" s="33"/>
      <c r="G599" s="32"/>
      <c r="H599" s="33"/>
      <c r="I599" s="33"/>
      <c r="J599" s="33"/>
      <c r="K599" s="33"/>
      <c r="L599" s="32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ht="15.75" customHeight="1">
      <c r="A600" s="32"/>
      <c r="B600" s="32"/>
      <c r="C600" s="32"/>
      <c r="E600" s="32"/>
      <c r="F600" s="33"/>
      <c r="G600" s="32"/>
      <c r="H600" s="33"/>
      <c r="I600" s="33"/>
      <c r="J600" s="33"/>
      <c r="K600" s="33"/>
      <c r="L600" s="32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ht="15.75" customHeight="1">
      <c r="A601" s="32"/>
      <c r="B601" s="32"/>
      <c r="C601" s="32"/>
      <c r="E601" s="32"/>
      <c r="F601" s="33"/>
      <c r="G601" s="32"/>
      <c r="H601" s="33"/>
      <c r="I601" s="33"/>
      <c r="J601" s="33"/>
      <c r="K601" s="33"/>
      <c r="L601" s="32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ht="15.75" customHeight="1">
      <c r="A602" s="32"/>
      <c r="B602" s="32"/>
      <c r="C602" s="32"/>
      <c r="E602" s="32"/>
      <c r="F602" s="33"/>
      <c r="G602" s="32"/>
      <c r="H602" s="33"/>
      <c r="I602" s="33"/>
      <c r="J602" s="33"/>
      <c r="K602" s="33"/>
      <c r="L602" s="32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ht="15.75" customHeight="1">
      <c r="A603" s="32"/>
      <c r="B603" s="32"/>
      <c r="C603" s="32"/>
      <c r="E603" s="32"/>
      <c r="F603" s="33"/>
      <c r="G603" s="32"/>
      <c r="H603" s="33"/>
      <c r="I603" s="33"/>
      <c r="J603" s="33"/>
      <c r="K603" s="33"/>
      <c r="L603" s="32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ht="15.75" customHeight="1">
      <c r="A604" s="32"/>
      <c r="B604" s="32"/>
      <c r="C604" s="32"/>
      <c r="E604" s="32"/>
      <c r="F604" s="33"/>
      <c r="G604" s="32"/>
      <c r="H604" s="33"/>
      <c r="I604" s="33"/>
      <c r="J604" s="33"/>
      <c r="K604" s="33"/>
      <c r="L604" s="32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ht="15.75" customHeight="1">
      <c r="A605" s="32"/>
      <c r="B605" s="32"/>
      <c r="C605" s="32"/>
      <c r="E605" s="32"/>
      <c r="F605" s="33"/>
      <c r="G605" s="32"/>
      <c r="H605" s="33"/>
      <c r="I605" s="33"/>
      <c r="J605" s="33"/>
      <c r="K605" s="33"/>
      <c r="L605" s="32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ht="15.75" customHeight="1">
      <c r="A606" s="32"/>
      <c r="B606" s="32"/>
      <c r="C606" s="32"/>
      <c r="E606" s="32"/>
      <c r="F606" s="33"/>
      <c r="G606" s="32"/>
      <c r="H606" s="33"/>
      <c r="I606" s="33"/>
      <c r="J606" s="33"/>
      <c r="K606" s="33"/>
      <c r="L606" s="32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ht="15.75" customHeight="1">
      <c r="A607" s="32"/>
      <c r="B607" s="32"/>
      <c r="C607" s="32"/>
      <c r="E607" s="32"/>
      <c r="F607" s="33"/>
      <c r="G607" s="32"/>
      <c r="H607" s="33"/>
      <c r="I607" s="33"/>
      <c r="J607" s="33"/>
      <c r="K607" s="33"/>
      <c r="L607" s="32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ht="15.75" customHeight="1">
      <c r="A608" s="32"/>
      <c r="B608" s="32"/>
      <c r="C608" s="32"/>
      <c r="E608" s="32"/>
      <c r="F608" s="33"/>
      <c r="G608" s="32"/>
      <c r="H608" s="33"/>
      <c r="I608" s="33"/>
      <c r="J608" s="33"/>
      <c r="K608" s="33"/>
      <c r="L608" s="32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ht="15.75" customHeight="1">
      <c r="A609" s="32"/>
      <c r="B609" s="32"/>
      <c r="C609" s="32"/>
      <c r="E609" s="32"/>
      <c r="F609" s="33"/>
      <c r="G609" s="32"/>
      <c r="H609" s="33"/>
      <c r="I609" s="33"/>
      <c r="J609" s="33"/>
      <c r="K609" s="33"/>
      <c r="L609" s="32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ht="15.75" customHeight="1">
      <c r="A610" s="32"/>
      <c r="B610" s="32"/>
      <c r="C610" s="32"/>
      <c r="E610" s="32"/>
      <c r="F610" s="33"/>
      <c r="G610" s="32"/>
      <c r="H610" s="33"/>
      <c r="I610" s="33"/>
      <c r="J610" s="33"/>
      <c r="K610" s="33"/>
      <c r="L610" s="32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ht="15.75" customHeight="1">
      <c r="A611" s="32"/>
      <c r="B611" s="32"/>
      <c r="C611" s="32"/>
      <c r="E611" s="32"/>
      <c r="F611" s="33"/>
      <c r="G611" s="32"/>
      <c r="H611" s="33"/>
      <c r="I611" s="33"/>
      <c r="J611" s="33"/>
      <c r="K611" s="33"/>
      <c r="L611" s="32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ht="15.75" customHeight="1">
      <c r="A612" s="32"/>
      <c r="B612" s="32"/>
      <c r="C612" s="32"/>
      <c r="E612" s="32"/>
      <c r="F612" s="33"/>
      <c r="G612" s="32"/>
      <c r="H612" s="33"/>
      <c r="I612" s="33"/>
      <c r="J612" s="33"/>
      <c r="K612" s="33"/>
      <c r="L612" s="32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ht="15.75" customHeight="1">
      <c r="A613" s="32"/>
      <c r="B613" s="32"/>
      <c r="C613" s="32"/>
      <c r="E613" s="32"/>
      <c r="F613" s="33"/>
      <c r="G613" s="32"/>
      <c r="H613" s="33"/>
      <c r="I613" s="33"/>
      <c r="J613" s="33"/>
      <c r="K613" s="33"/>
      <c r="L613" s="32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ht="15.75" customHeight="1">
      <c r="A614" s="32"/>
      <c r="B614" s="32"/>
      <c r="C614" s="32"/>
      <c r="E614" s="32"/>
      <c r="F614" s="33"/>
      <c r="G614" s="32"/>
      <c r="H614" s="33"/>
      <c r="I614" s="33"/>
      <c r="J614" s="33"/>
      <c r="K614" s="33"/>
      <c r="L614" s="32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ht="15.75" customHeight="1">
      <c r="A615" s="32"/>
      <c r="B615" s="32"/>
      <c r="C615" s="32"/>
      <c r="E615" s="32"/>
      <c r="F615" s="33"/>
      <c r="G615" s="32"/>
      <c r="H615" s="33"/>
      <c r="I615" s="33"/>
      <c r="J615" s="33"/>
      <c r="K615" s="33"/>
      <c r="L615" s="32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ht="15.75" customHeight="1">
      <c r="A616" s="32"/>
      <c r="B616" s="32"/>
      <c r="C616" s="32"/>
      <c r="E616" s="32"/>
      <c r="F616" s="33"/>
      <c r="G616" s="32"/>
      <c r="H616" s="33"/>
      <c r="I616" s="33"/>
      <c r="J616" s="33"/>
      <c r="K616" s="33"/>
      <c r="L616" s="32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ht="15.75" customHeight="1">
      <c r="A617" s="32"/>
      <c r="B617" s="32"/>
      <c r="C617" s="32"/>
      <c r="E617" s="32"/>
      <c r="F617" s="33"/>
      <c r="G617" s="32"/>
      <c r="H617" s="33"/>
      <c r="I617" s="33"/>
      <c r="J617" s="33"/>
      <c r="K617" s="33"/>
      <c r="L617" s="32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ht="15.75" customHeight="1">
      <c r="A618" s="32"/>
      <c r="B618" s="32"/>
      <c r="C618" s="32"/>
      <c r="E618" s="32"/>
      <c r="F618" s="33"/>
      <c r="G618" s="32"/>
      <c r="H618" s="33"/>
      <c r="I618" s="33"/>
      <c r="J618" s="33"/>
      <c r="K618" s="33"/>
      <c r="L618" s="32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ht="15.75" customHeight="1">
      <c r="A619" s="32"/>
      <c r="B619" s="32"/>
      <c r="C619" s="32"/>
      <c r="E619" s="32"/>
      <c r="F619" s="33"/>
      <c r="G619" s="32"/>
      <c r="H619" s="33"/>
      <c r="I619" s="33"/>
      <c r="J619" s="33"/>
      <c r="K619" s="33"/>
      <c r="L619" s="32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ht="15.75" customHeight="1">
      <c r="A620" s="32"/>
      <c r="B620" s="32"/>
      <c r="C620" s="32"/>
      <c r="E620" s="32"/>
      <c r="F620" s="33"/>
      <c r="G620" s="32"/>
      <c r="H620" s="33"/>
      <c r="I620" s="33"/>
      <c r="J620" s="33"/>
      <c r="K620" s="33"/>
      <c r="L620" s="32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ht="15.75" customHeight="1">
      <c r="A621" s="32"/>
      <c r="B621" s="32"/>
      <c r="C621" s="32"/>
      <c r="E621" s="32"/>
      <c r="F621" s="33"/>
      <c r="G621" s="32"/>
      <c r="H621" s="33"/>
      <c r="I621" s="33"/>
      <c r="J621" s="33"/>
      <c r="K621" s="33"/>
      <c r="L621" s="32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ht="15.75" customHeight="1">
      <c r="A622" s="32"/>
      <c r="B622" s="32"/>
      <c r="C622" s="32"/>
      <c r="E622" s="32"/>
      <c r="F622" s="33"/>
      <c r="G622" s="32"/>
      <c r="H622" s="33"/>
      <c r="I622" s="33"/>
      <c r="J622" s="33"/>
      <c r="K622" s="33"/>
      <c r="L622" s="32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ht="15.75" customHeight="1">
      <c r="A623" s="32"/>
      <c r="B623" s="32"/>
      <c r="C623" s="32"/>
      <c r="E623" s="32"/>
      <c r="F623" s="33"/>
      <c r="G623" s="32"/>
      <c r="H623" s="33"/>
      <c r="I623" s="33"/>
      <c r="J623" s="33"/>
      <c r="K623" s="33"/>
      <c r="L623" s="32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ht="15.75" customHeight="1">
      <c r="A624" s="32"/>
      <c r="B624" s="32"/>
      <c r="C624" s="32"/>
      <c r="E624" s="32"/>
      <c r="F624" s="33"/>
      <c r="G624" s="32"/>
      <c r="H624" s="33"/>
      <c r="I624" s="33"/>
      <c r="J624" s="33"/>
      <c r="K624" s="33"/>
      <c r="L624" s="32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ht="15.75" customHeight="1">
      <c r="A625" s="32"/>
      <c r="B625" s="32"/>
      <c r="C625" s="32"/>
      <c r="E625" s="32"/>
      <c r="F625" s="33"/>
      <c r="G625" s="32"/>
      <c r="H625" s="33"/>
      <c r="I625" s="33"/>
      <c r="J625" s="33"/>
      <c r="K625" s="33"/>
      <c r="L625" s="32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ht="15.75" customHeight="1">
      <c r="A626" s="32"/>
      <c r="B626" s="32"/>
      <c r="C626" s="32"/>
      <c r="E626" s="32"/>
      <c r="F626" s="33"/>
      <c r="G626" s="32"/>
      <c r="H626" s="33"/>
      <c r="I626" s="33"/>
      <c r="J626" s="33"/>
      <c r="K626" s="33"/>
      <c r="L626" s="32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ht="15.75" customHeight="1">
      <c r="A627" s="32"/>
      <c r="B627" s="32"/>
      <c r="C627" s="32"/>
      <c r="E627" s="32"/>
      <c r="F627" s="33"/>
      <c r="G627" s="32"/>
      <c r="H627" s="33"/>
      <c r="I627" s="33"/>
      <c r="J627" s="33"/>
      <c r="K627" s="33"/>
      <c r="L627" s="32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ht="15.75" customHeight="1">
      <c r="A628" s="32"/>
      <c r="B628" s="32"/>
      <c r="C628" s="32"/>
      <c r="E628" s="32"/>
      <c r="F628" s="33"/>
      <c r="G628" s="32"/>
      <c r="H628" s="33"/>
      <c r="I628" s="33"/>
      <c r="J628" s="33"/>
      <c r="K628" s="33"/>
      <c r="L628" s="32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ht="15.75" customHeight="1">
      <c r="A629" s="32"/>
      <c r="B629" s="32"/>
      <c r="C629" s="32"/>
      <c r="E629" s="32"/>
      <c r="F629" s="33"/>
      <c r="G629" s="32"/>
      <c r="H629" s="33"/>
      <c r="I629" s="33"/>
      <c r="J629" s="33"/>
      <c r="K629" s="33"/>
      <c r="L629" s="32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ht="15.75" customHeight="1">
      <c r="A630" s="32"/>
      <c r="B630" s="32"/>
      <c r="C630" s="32"/>
      <c r="E630" s="32"/>
      <c r="F630" s="33"/>
      <c r="G630" s="32"/>
      <c r="H630" s="33"/>
      <c r="I630" s="33"/>
      <c r="J630" s="33"/>
      <c r="K630" s="33"/>
      <c r="L630" s="32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ht="15.75" customHeight="1">
      <c r="A631" s="32"/>
      <c r="B631" s="32"/>
      <c r="C631" s="32"/>
      <c r="E631" s="32"/>
      <c r="F631" s="33"/>
      <c r="G631" s="32"/>
      <c r="H631" s="33"/>
      <c r="I631" s="33"/>
      <c r="J631" s="33"/>
      <c r="K631" s="33"/>
      <c r="L631" s="32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ht="15.75" customHeight="1">
      <c r="A632" s="32"/>
      <c r="B632" s="32"/>
      <c r="C632" s="32"/>
      <c r="E632" s="32"/>
      <c r="F632" s="33"/>
      <c r="G632" s="32"/>
      <c r="H632" s="33"/>
      <c r="I632" s="33"/>
      <c r="J632" s="33"/>
      <c r="K632" s="33"/>
      <c r="L632" s="32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ht="15.75" customHeight="1">
      <c r="A633" s="32"/>
      <c r="B633" s="32"/>
      <c r="C633" s="32"/>
      <c r="E633" s="32"/>
      <c r="F633" s="33"/>
      <c r="G633" s="32"/>
      <c r="H633" s="33"/>
      <c r="I633" s="33"/>
      <c r="J633" s="33"/>
      <c r="K633" s="33"/>
      <c r="L633" s="32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ht="15.75" customHeight="1">
      <c r="A634" s="32"/>
      <c r="B634" s="32"/>
      <c r="C634" s="32"/>
      <c r="E634" s="32"/>
      <c r="F634" s="33"/>
      <c r="G634" s="32"/>
      <c r="H634" s="33"/>
      <c r="I634" s="33"/>
      <c r="J634" s="33"/>
      <c r="K634" s="33"/>
      <c r="L634" s="32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ht="15.75" customHeight="1">
      <c r="A635" s="32"/>
      <c r="B635" s="32"/>
      <c r="C635" s="32"/>
      <c r="E635" s="32"/>
      <c r="F635" s="33"/>
      <c r="G635" s="32"/>
      <c r="H635" s="33"/>
      <c r="I635" s="33"/>
      <c r="J635" s="33"/>
      <c r="K635" s="33"/>
      <c r="L635" s="32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ht="15.75" customHeight="1">
      <c r="A636" s="32"/>
      <c r="B636" s="32"/>
      <c r="C636" s="32"/>
      <c r="E636" s="32"/>
      <c r="F636" s="33"/>
      <c r="G636" s="32"/>
      <c r="H636" s="33"/>
      <c r="I636" s="33"/>
      <c r="J636" s="33"/>
      <c r="K636" s="33"/>
      <c r="L636" s="32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ht="15.75" customHeight="1">
      <c r="A637" s="32"/>
      <c r="B637" s="32"/>
      <c r="C637" s="32"/>
      <c r="E637" s="32"/>
      <c r="F637" s="33"/>
      <c r="G637" s="32"/>
      <c r="H637" s="33"/>
      <c r="I637" s="33"/>
      <c r="J637" s="33"/>
      <c r="K637" s="33"/>
      <c r="L637" s="32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ht="15.75" customHeight="1">
      <c r="A638" s="32"/>
      <c r="B638" s="32"/>
      <c r="C638" s="32"/>
      <c r="E638" s="32"/>
      <c r="F638" s="33"/>
      <c r="G638" s="32"/>
      <c r="H638" s="33"/>
      <c r="I638" s="33"/>
      <c r="J638" s="33"/>
      <c r="K638" s="33"/>
      <c r="L638" s="32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ht="15.75" customHeight="1">
      <c r="A639" s="32"/>
      <c r="B639" s="32"/>
      <c r="C639" s="32"/>
      <c r="E639" s="32"/>
      <c r="F639" s="33"/>
      <c r="G639" s="32"/>
      <c r="H639" s="33"/>
      <c r="I639" s="33"/>
      <c r="J639" s="33"/>
      <c r="K639" s="33"/>
      <c r="L639" s="32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ht="15.75" customHeight="1">
      <c r="A640" s="32"/>
      <c r="B640" s="32"/>
      <c r="C640" s="32"/>
      <c r="E640" s="32"/>
      <c r="F640" s="33"/>
      <c r="G640" s="32"/>
      <c r="H640" s="33"/>
      <c r="I640" s="33"/>
      <c r="J640" s="33"/>
      <c r="K640" s="33"/>
      <c r="L640" s="32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ht="15.75" customHeight="1">
      <c r="A641" s="32"/>
      <c r="B641" s="32"/>
      <c r="C641" s="32"/>
      <c r="E641" s="32"/>
      <c r="F641" s="33"/>
      <c r="G641" s="32"/>
      <c r="H641" s="33"/>
      <c r="I641" s="33"/>
      <c r="J641" s="33"/>
      <c r="K641" s="33"/>
      <c r="L641" s="32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ht="15.75" customHeight="1">
      <c r="A642" s="32"/>
      <c r="B642" s="32"/>
      <c r="C642" s="32"/>
      <c r="E642" s="32"/>
      <c r="F642" s="33"/>
      <c r="G642" s="32"/>
      <c r="H642" s="33"/>
      <c r="I642" s="33"/>
      <c r="J642" s="33"/>
      <c r="K642" s="33"/>
      <c r="L642" s="32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ht="15.75" customHeight="1">
      <c r="A643" s="32"/>
      <c r="B643" s="32"/>
      <c r="C643" s="32"/>
      <c r="E643" s="32"/>
      <c r="F643" s="33"/>
      <c r="G643" s="32"/>
      <c r="H643" s="33"/>
      <c r="I643" s="33"/>
      <c r="J643" s="33"/>
      <c r="K643" s="33"/>
      <c r="L643" s="32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ht="15.75" customHeight="1">
      <c r="A644" s="32"/>
      <c r="B644" s="32"/>
      <c r="C644" s="32"/>
      <c r="E644" s="32"/>
      <c r="F644" s="33"/>
      <c r="G644" s="32"/>
      <c r="H644" s="33"/>
      <c r="I644" s="33"/>
      <c r="J644" s="33"/>
      <c r="K644" s="33"/>
      <c r="L644" s="32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ht="15.75" customHeight="1">
      <c r="A645" s="32"/>
      <c r="B645" s="32"/>
      <c r="C645" s="32"/>
      <c r="E645" s="32"/>
      <c r="F645" s="33"/>
      <c r="G645" s="32"/>
      <c r="H645" s="33"/>
      <c r="I645" s="33"/>
      <c r="J645" s="33"/>
      <c r="K645" s="33"/>
      <c r="L645" s="32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ht="15.75" customHeight="1">
      <c r="A646" s="32"/>
      <c r="B646" s="32"/>
      <c r="C646" s="32"/>
      <c r="E646" s="32"/>
      <c r="F646" s="33"/>
      <c r="G646" s="32"/>
      <c r="H646" s="33"/>
      <c r="I646" s="33"/>
      <c r="J646" s="33"/>
      <c r="K646" s="33"/>
      <c r="L646" s="32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ht="15.75" customHeight="1">
      <c r="A647" s="32"/>
      <c r="B647" s="32"/>
      <c r="C647" s="32"/>
      <c r="E647" s="32"/>
      <c r="F647" s="33"/>
      <c r="G647" s="32"/>
      <c r="H647" s="33"/>
      <c r="I647" s="33"/>
      <c r="J647" s="33"/>
      <c r="K647" s="33"/>
      <c r="L647" s="32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ht="15.75" customHeight="1">
      <c r="A648" s="32"/>
      <c r="B648" s="32"/>
      <c r="C648" s="32"/>
      <c r="E648" s="32"/>
      <c r="F648" s="33"/>
      <c r="G648" s="32"/>
      <c r="H648" s="33"/>
      <c r="I648" s="33"/>
      <c r="J648" s="33"/>
      <c r="K648" s="33"/>
      <c r="L648" s="32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ht="15.75" customHeight="1">
      <c r="A649" s="32"/>
      <c r="B649" s="32"/>
      <c r="C649" s="32"/>
      <c r="E649" s="32"/>
      <c r="F649" s="33"/>
      <c r="G649" s="32"/>
      <c r="H649" s="33"/>
      <c r="I649" s="33"/>
      <c r="J649" s="33"/>
      <c r="K649" s="33"/>
      <c r="L649" s="32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ht="15.75" customHeight="1">
      <c r="A650" s="32"/>
      <c r="B650" s="32"/>
      <c r="C650" s="32"/>
      <c r="E650" s="32"/>
      <c r="F650" s="33"/>
      <c r="G650" s="32"/>
      <c r="H650" s="33"/>
      <c r="I650" s="33"/>
      <c r="J650" s="33"/>
      <c r="K650" s="33"/>
      <c r="L650" s="32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ht="15.75" customHeight="1">
      <c r="A651" s="32"/>
      <c r="B651" s="32"/>
      <c r="C651" s="32"/>
      <c r="E651" s="32"/>
      <c r="F651" s="33"/>
      <c r="G651" s="32"/>
      <c r="H651" s="33"/>
      <c r="I651" s="33"/>
      <c r="J651" s="33"/>
      <c r="K651" s="33"/>
      <c r="L651" s="32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ht="15.75" customHeight="1">
      <c r="A652" s="32"/>
      <c r="B652" s="32"/>
      <c r="C652" s="32"/>
      <c r="E652" s="32"/>
      <c r="F652" s="33"/>
      <c r="G652" s="32"/>
      <c r="H652" s="33"/>
      <c r="I652" s="33"/>
      <c r="J652" s="33"/>
      <c r="K652" s="33"/>
      <c r="L652" s="32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ht="15.75" customHeight="1">
      <c r="A653" s="32"/>
      <c r="B653" s="32"/>
      <c r="C653" s="32"/>
      <c r="E653" s="32"/>
      <c r="F653" s="33"/>
      <c r="G653" s="32"/>
      <c r="H653" s="33"/>
      <c r="I653" s="33"/>
      <c r="J653" s="33"/>
      <c r="K653" s="33"/>
      <c r="L653" s="32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ht="15.75" customHeight="1">
      <c r="A654" s="32"/>
      <c r="B654" s="32"/>
      <c r="C654" s="32"/>
      <c r="E654" s="32"/>
      <c r="F654" s="33"/>
      <c r="G654" s="32"/>
      <c r="H654" s="33"/>
      <c r="I654" s="33"/>
      <c r="J654" s="33"/>
      <c r="K654" s="33"/>
      <c r="L654" s="32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ht="15.75" customHeight="1">
      <c r="A655" s="32"/>
      <c r="B655" s="32"/>
      <c r="C655" s="32"/>
      <c r="E655" s="32"/>
      <c r="F655" s="33"/>
      <c r="G655" s="32"/>
      <c r="H655" s="33"/>
      <c r="I655" s="33"/>
      <c r="J655" s="33"/>
      <c r="K655" s="33"/>
      <c r="L655" s="32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ht="15.75" customHeight="1">
      <c r="A656" s="32"/>
      <c r="B656" s="32"/>
      <c r="C656" s="32"/>
      <c r="E656" s="32"/>
      <c r="F656" s="33"/>
      <c r="G656" s="32"/>
      <c r="H656" s="33"/>
      <c r="I656" s="33"/>
      <c r="J656" s="33"/>
      <c r="K656" s="33"/>
      <c r="L656" s="32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ht="15.75" customHeight="1">
      <c r="A657" s="32"/>
      <c r="B657" s="32"/>
      <c r="C657" s="32"/>
      <c r="E657" s="32"/>
      <c r="F657" s="33"/>
      <c r="G657" s="32"/>
      <c r="H657" s="33"/>
      <c r="I657" s="33"/>
      <c r="J657" s="33"/>
      <c r="K657" s="33"/>
      <c r="L657" s="32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ht="15.75" customHeight="1">
      <c r="A658" s="32"/>
      <c r="B658" s="32"/>
      <c r="C658" s="32"/>
      <c r="E658" s="32"/>
      <c r="F658" s="33"/>
      <c r="G658" s="32"/>
      <c r="H658" s="33"/>
      <c r="I658" s="33"/>
      <c r="J658" s="33"/>
      <c r="K658" s="33"/>
      <c r="L658" s="32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ht="15.75" customHeight="1">
      <c r="A659" s="32"/>
      <c r="B659" s="32"/>
      <c r="C659" s="32"/>
      <c r="E659" s="32"/>
      <c r="F659" s="33"/>
      <c r="G659" s="32"/>
      <c r="H659" s="33"/>
      <c r="I659" s="33"/>
      <c r="J659" s="33"/>
      <c r="K659" s="33"/>
      <c r="L659" s="32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ht="15.75" customHeight="1">
      <c r="A660" s="32"/>
      <c r="B660" s="32"/>
      <c r="C660" s="32"/>
      <c r="E660" s="32"/>
      <c r="F660" s="33"/>
      <c r="G660" s="32"/>
      <c r="H660" s="33"/>
      <c r="I660" s="33"/>
      <c r="J660" s="33"/>
      <c r="K660" s="33"/>
      <c r="L660" s="32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ht="15.75" customHeight="1">
      <c r="A661" s="32"/>
      <c r="B661" s="32"/>
      <c r="C661" s="32"/>
      <c r="E661" s="32"/>
      <c r="F661" s="33"/>
      <c r="G661" s="32"/>
      <c r="H661" s="33"/>
      <c r="I661" s="33"/>
      <c r="J661" s="33"/>
      <c r="K661" s="33"/>
      <c r="L661" s="32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ht="15.75" customHeight="1">
      <c r="A662" s="32"/>
      <c r="B662" s="32"/>
      <c r="C662" s="32"/>
      <c r="E662" s="32"/>
      <c r="F662" s="33"/>
      <c r="G662" s="32"/>
      <c r="H662" s="33"/>
      <c r="I662" s="33"/>
      <c r="J662" s="33"/>
      <c r="K662" s="33"/>
      <c r="L662" s="32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ht="15.75" customHeight="1">
      <c r="A663" s="32"/>
      <c r="B663" s="32"/>
      <c r="C663" s="32"/>
      <c r="E663" s="32"/>
      <c r="F663" s="33"/>
      <c r="G663" s="32"/>
      <c r="H663" s="33"/>
      <c r="I663" s="33"/>
      <c r="J663" s="33"/>
      <c r="K663" s="33"/>
      <c r="L663" s="32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ht="15.75" customHeight="1">
      <c r="A664" s="32"/>
      <c r="B664" s="32"/>
      <c r="C664" s="32"/>
      <c r="E664" s="32"/>
      <c r="F664" s="33"/>
      <c r="G664" s="32"/>
      <c r="H664" s="33"/>
      <c r="I664" s="33"/>
      <c r="J664" s="33"/>
      <c r="K664" s="33"/>
      <c r="L664" s="32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ht="15.75" customHeight="1">
      <c r="A665" s="32"/>
      <c r="B665" s="32"/>
      <c r="C665" s="32"/>
      <c r="E665" s="32"/>
      <c r="F665" s="33"/>
      <c r="G665" s="32"/>
      <c r="H665" s="33"/>
      <c r="I665" s="33"/>
      <c r="J665" s="33"/>
      <c r="K665" s="33"/>
      <c r="L665" s="32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ht="15.75" customHeight="1">
      <c r="A666" s="32"/>
      <c r="B666" s="32"/>
      <c r="C666" s="32"/>
      <c r="E666" s="32"/>
      <c r="F666" s="33"/>
      <c r="G666" s="32"/>
      <c r="H666" s="33"/>
      <c r="I666" s="33"/>
      <c r="J666" s="33"/>
      <c r="K666" s="33"/>
      <c r="L666" s="32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ht="15.75" customHeight="1">
      <c r="A667" s="32"/>
      <c r="B667" s="32"/>
      <c r="C667" s="32"/>
      <c r="E667" s="32"/>
      <c r="F667" s="33"/>
      <c r="G667" s="32"/>
      <c r="H667" s="33"/>
      <c r="I667" s="33"/>
      <c r="J667" s="33"/>
      <c r="K667" s="33"/>
      <c r="L667" s="32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ht="15.75" customHeight="1">
      <c r="A668" s="32"/>
      <c r="B668" s="32"/>
      <c r="C668" s="32"/>
      <c r="E668" s="32"/>
      <c r="F668" s="33"/>
      <c r="G668" s="32"/>
      <c r="H668" s="33"/>
      <c r="I668" s="33"/>
      <c r="J668" s="33"/>
      <c r="K668" s="33"/>
      <c r="L668" s="32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ht="15.75" customHeight="1">
      <c r="A669" s="32"/>
      <c r="B669" s="32"/>
      <c r="C669" s="32"/>
      <c r="E669" s="32"/>
      <c r="F669" s="33"/>
      <c r="G669" s="32"/>
      <c r="H669" s="33"/>
      <c r="I669" s="33"/>
      <c r="J669" s="33"/>
      <c r="K669" s="33"/>
      <c r="L669" s="32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ht="15.75" customHeight="1">
      <c r="A670" s="32"/>
      <c r="B670" s="32"/>
      <c r="C670" s="32"/>
      <c r="E670" s="32"/>
      <c r="F670" s="33"/>
      <c r="G670" s="32"/>
      <c r="H670" s="33"/>
      <c r="I670" s="33"/>
      <c r="J670" s="33"/>
      <c r="K670" s="33"/>
      <c r="L670" s="32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ht="15.75" customHeight="1">
      <c r="A671" s="32"/>
      <c r="B671" s="32"/>
      <c r="C671" s="32"/>
      <c r="E671" s="32"/>
      <c r="F671" s="33"/>
      <c r="G671" s="32"/>
      <c r="H671" s="33"/>
      <c r="I671" s="33"/>
      <c r="J671" s="33"/>
      <c r="K671" s="33"/>
      <c r="L671" s="32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ht="15.75" customHeight="1">
      <c r="A672" s="32"/>
      <c r="B672" s="32"/>
      <c r="C672" s="32"/>
      <c r="E672" s="32"/>
      <c r="F672" s="33"/>
      <c r="G672" s="32"/>
      <c r="H672" s="33"/>
      <c r="I672" s="33"/>
      <c r="J672" s="33"/>
      <c r="K672" s="33"/>
      <c r="L672" s="32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ht="15.75" customHeight="1">
      <c r="A673" s="32"/>
      <c r="B673" s="32"/>
      <c r="C673" s="32"/>
      <c r="E673" s="32"/>
      <c r="F673" s="33"/>
      <c r="G673" s="32"/>
      <c r="H673" s="33"/>
      <c r="I673" s="33"/>
      <c r="J673" s="33"/>
      <c r="K673" s="33"/>
      <c r="L673" s="32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ht="15.75" customHeight="1">
      <c r="A674" s="32"/>
      <c r="B674" s="32"/>
      <c r="C674" s="32"/>
      <c r="E674" s="32"/>
      <c r="F674" s="33"/>
      <c r="G674" s="32"/>
      <c r="H674" s="33"/>
      <c r="I674" s="33"/>
      <c r="J674" s="33"/>
      <c r="K674" s="33"/>
      <c r="L674" s="32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ht="15.75" customHeight="1">
      <c r="A675" s="32"/>
      <c r="B675" s="32"/>
      <c r="C675" s="32"/>
      <c r="E675" s="32"/>
      <c r="F675" s="33"/>
      <c r="G675" s="32"/>
      <c r="H675" s="33"/>
      <c r="I675" s="33"/>
      <c r="J675" s="33"/>
      <c r="K675" s="33"/>
      <c r="L675" s="32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ht="15.75" customHeight="1">
      <c r="A676" s="32"/>
      <c r="B676" s="32"/>
      <c r="C676" s="32"/>
      <c r="E676" s="32"/>
      <c r="F676" s="33"/>
      <c r="G676" s="32"/>
      <c r="H676" s="33"/>
      <c r="I676" s="33"/>
      <c r="J676" s="33"/>
      <c r="K676" s="33"/>
      <c r="L676" s="32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ht="15.75" customHeight="1">
      <c r="A677" s="32"/>
      <c r="B677" s="32"/>
      <c r="C677" s="32"/>
      <c r="E677" s="32"/>
      <c r="F677" s="33"/>
      <c r="G677" s="32"/>
      <c r="H677" s="33"/>
      <c r="I677" s="33"/>
      <c r="J677" s="33"/>
      <c r="K677" s="33"/>
      <c r="L677" s="32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ht="15.75" customHeight="1">
      <c r="A678" s="32"/>
      <c r="B678" s="32"/>
      <c r="C678" s="32"/>
      <c r="E678" s="32"/>
      <c r="F678" s="33"/>
      <c r="G678" s="32"/>
      <c r="H678" s="33"/>
      <c r="I678" s="33"/>
      <c r="J678" s="33"/>
      <c r="K678" s="33"/>
      <c r="L678" s="32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ht="15.75" customHeight="1">
      <c r="A679" s="32"/>
      <c r="B679" s="32"/>
      <c r="C679" s="32"/>
      <c r="E679" s="32"/>
      <c r="F679" s="33"/>
      <c r="G679" s="32"/>
      <c r="H679" s="33"/>
      <c r="I679" s="33"/>
      <c r="J679" s="33"/>
      <c r="K679" s="33"/>
      <c r="L679" s="32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ht="15.75" customHeight="1">
      <c r="A680" s="32"/>
      <c r="B680" s="32"/>
      <c r="C680" s="32"/>
      <c r="E680" s="32"/>
      <c r="F680" s="33"/>
      <c r="G680" s="32"/>
      <c r="H680" s="33"/>
      <c r="I680" s="33"/>
      <c r="J680" s="33"/>
      <c r="K680" s="33"/>
      <c r="L680" s="32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ht="15.75" customHeight="1">
      <c r="A681" s="32"/>
      <c r="B681" s="32"/>
      <c r="C681" s="32"/>
      <c r="E681" s="32"/>
      <c r="F681" s="33"/>
      <c r="G681" s="32"/>
      <c r="H681" s="33"/>
      <c r="I681" s="33"/>
      <c r="J681" s="33"/>
      <c r="K681" s="33"/>
      <c r="L681" s="32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ht="15.75" customHeight="1">
      <c r="A682" s="32"/>
      <c r="B682" s="32"/>
      <c r="C682" s="32"/>
      <c r="E682" s="32"/>
      <c r="F682" s="33"/>
      <c r="G682" s="32"/>
      <c r="H682" s="33"/>
      <c r="I682" s="33"/>
      <c r="J682" s="33"/>
      <c r="K682" s="33"/>
      <c r="L682" s="32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ht="15.75" customHeight="1">
      <c r="A683" s="32"/>
      <c r="B683" s="32"/>
      <c r="C683" s="32"/>
      <c r="E683" s="32"/>
      <c r="F683" s="33"/>
      <c r="G683" s="32"/>
      <c r="H683" s="33"/>
      <c r="I683" s="33"/>
      <c r="J683" s="33"/>
      <c r="K683" s="33"/>
      <c r="L683" s="32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ht="15.75" customHeight="1">
      <c r="A684" s="32"/>
      <c r="B684" s="32"/>
      <c r="C684" s="32"/>
      <c r="E684" s="32"/>
      <c r="F684" s="33"/>
      <c r="G684" s="32"/>
      <c r="H684" s="33"/>
      <c r="I684" s="33"/>
      <c r="J684" s="33"/>
      <c r="K684" s="33"/>
      <c r="L684" s="32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ht="15.75" customHeight="1">
      <c r="A685" s="32"/>
      <c r="B685" s="32"/>
      <c r="C685" s="32"/>
      <c r="E685" s="32"/>
      <c r="F685" s="33"/>
      <c r="G685" s="32"/>
      <c r="H685" s="33"/>
      <c r="I685" s="33"/>
      <c r="J685" s="33"/>
      <c r="K685" s="33"/>
      <c r="L685" s="32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ht="15.75" customHeight="1">
      <c r="A686" s="32"/>
      <c r="B686" s="32"/>
      <c r="C686" s="32"/>
      <c r="E686" s="32"/>
      <c r="F686" s="33"/>
      <c r="G686" s="32"/>
      <c r="H686" s="33"/>
      <c r="I686" s="33"/>
      <c r="J686" s="33"/>
      <c r="K686" s="33"/>
      <c r="L686" s="32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ht="15.75" customHeight="1">
      <c r="A687" s="32"/>
      <c r="B687" s="32"/>
      <c r="C687" s="32"/>
      <c r="E687" s="32"/>
      <c r="F687" s="33"/>
      <c r="G687" s="32"/>
      <c r="H687" s="33"/>
      <c r="I687" s="33"/>
      <c r="J687" s="33"/>
      <c r="K687" s="33"/>
      <c r="L687" s="32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ht="15.75" customHeight="1">
      <c r="A688" s="32"/>
      <c r="B688" s="32"/>
      <c r="C688" s="32"/>
      <c r="E688" s="32"/>
      <c r="F688" s="33"/>
      <c r="G688" s="32"/>
      <c r="H688" s="33"/>
      <c r="I688" s="33"/>
      <c r="J688" s="33"/>
      <c r="K688" s="33"/>
      <c r="L688" s="32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ht="15.75" customHeight="1">
      <c r="A689" s="32"/>
      <c r="B689" s="32"/>
      <c r="C689" s="32"/>
      <c r="E689" s="32"/>
      <c r="F689" s="33"/>
      <c r="G689" s="32"/>
      <c r="H689" s="33"/>
      <c r="I689" s="33"/>
      <c r="J689" s="33"/>
      <c r="K689" s="33"/>
      <c r="L689" s="32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ht="15.75" customHeight="1">
      <c r="A690" s="32"/>
      <c r="B690" s="32"/>
      <c r="C690" s="32"/>
      <c r="E690" s="32"/>
      <c r="F690" s="33"/>
      <c r="G690" s="32"/>
      <c r="H690" s="33"/>
      <c r="I690" s="33"/>
      <c r="J690" s="33"/>
      <c r="K690" s="33"/>
      <c r="L690" s="32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ht="15.75" customHeight="1">
      <c r="A691" s="32"/>
      <c r="B691" s="32"/>
      <c r="C691" s="32"/>
      <c r="E691" s="32"/>
      <c r="F691" s="33"/>
      <c r="G691" s="32"/>
      <c r="H691" s="33"/>
      <c r="I691" s="33"/>
      <c r="J691" s="33"/>
      <c r="K691" s="33"/>
      <c r="L691" s="32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ht="15.75" customHeight="1">
      <c r="A692" s="32"/>
      <c r="B692" s="32"/>
      <c r="C692" s="32"/>
      <c r="E692" s="32"/>
      <c r="F692" s="33"/>
      <c r="G692" s="32"/>
      <c r="H692" s="33"/>
      <c r="I692" s="33"/>
      <c r="J692" s="33"/>
      <c r="K692" s="33"/>
      <c r="L692" s="32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ht="15.75" customHeight="1">
      <c r="A693" s="32"/>
      <c r="B693" s="32"/>
      <c r="C693" s="32"/>
      <c r="E693" s="32"/>
      <c r="F693" s="33"/>
      <c r="G693" s="32"/>
      <c r="H693" s="33"/>
      <c r="I693" s="33"/>
      <c r="J693" s="33"/>
      <c r="K693" s="33"/>
      <c r="L693" s="32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ht="15.75" customHeight="1">
      <c r="A694" s="32"/>
      <c r="B694" s="32"/>
      <c r="C694" s="32"/>
      <c r="E694" s="32"/>
      <c r="F694" s="33"/>
      <c r="G694" s="32"/>
      <c r="H694" s="33"/>
      <c r="I694" s="33"/>
      <c r="J694" s="33"/>
      <c r="K694" s="33"/>
      <c r="L694" s="32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ht="15.75" customHeight="1">
      <c r="A695" s="32"/>
      <c r="B695" s="32"/>
      <c r="C695" s="32"/>
      <c r="E695" s="32"/>
      <c r="F695" s="33"/>
      <c r="G695" s="32"/>
      <c r="H695" s="33"/>
      <c r="I695" s="33"/>
      <c r="J695" s="33"/>
      <c r="K695" s="33"/>
      <c r="L695" s="32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ht="15.75" customHeight="1">
      <c r="A696" s="32"/>
      <c r="B696" s="32"/>
      <c r="C696" s="32"/>
      <c r="E696" s="32"/>
      <c r="F696" s="33"/>
      <c r="G696" s="32"/>
      <c r="H696" s="33"/>
      <c r="I696" s="33"/>
      <c r="J696" s="33"/>
      <c r="K696" s="33"/>
      <c r="L696" s="32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ht="15.75" customHeight="1">
      <c r="A697" s="32"/>
      <c r="B697" s="32"/>
      <c r="C697" s="32"/>
      <c r="E697" s="32"/>
      <c r="F697" s="33"/>
      <c r="G697" s="32"/>
      <c r="H697" s="33"/>
      <c r="I697" s="33"/>
      <c r="J697" s="33"/>
      <c r="K697" s="33"/>
      <c r="L697" s="32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ht="15.75" customHeight="1">
      <c r="A698" s="32"/>
      <c r="B698" s="32"/>
      <c r="C698" s="32"/>
      <c r="E698" s="32"/>
      <c r="F698" s="33"/>
      <c r="G698" s="32"/>
      <c r="H698" s="33"/>
      <c r="I698" s="33"/>
      <c r="J698" s="33"/>
      <c r="K698" s="33"/>
      <c r="L698" s="32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ht="15.75" customHeight="1">
      <c r="A699" s="32"/>
      <c r="B699" s="32"/>
      <c r="C699" s="32"/>
      <c r="E699" s="32"/>
      <c r="F699" s="33"/>
      <c r="G699" s="32"/>
      <c r="H699" s="33"/>
      <c r="I699" s="33"/>
      <c r="J699" s="33"/>
      <c r="K699" s="33"/>
      <c r="L699" s="32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ht="15.75" customHeight="1">
      <c r="A700" s="32"/>
      <c r="B700" s="32"/>
      <c r="C700" s="32"/>
      <c r="E700" s="32"/>
      <c r="F700" s="33"/>
      <c r="G700" s="32"/>
      <c r="H700" s="33"/>
      <c r="I700" s="33"/>
      <c r="J700" s="33"/>
      <c r="K700" s="33"/>
      <c r="L700" s="32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ht="15.75" customHeight="1">
      <c r="A701" s="32"/>
      <c r="B701" s="32"/>
      <c r="C701" s="32"/>
      <c r="E701" s="32"/>
      <c r="F701" s="33"/>
      <c r="G701" s="32"/>
      <c r="H701" s="33"/>
      <c r="I701" s="33"/>
      <c r="J701" s="33"/>
      <c r="K701" s="33"/>
      <c r="L701" s="32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ht="15.75" customHeight="1">
      <c r="A702" s="32"/>
      <c r="B702" s="32"/>
      <c r="C702" s="32"/>
      <c r="E702" s="32"/>
      <c r="F702" s="33"/>
      <c r="G702" s="32"/>
      <c r="H702" s="33"/>
      <c r="I702" s="33"/>
      <c r="J702" s="33"/>
      <c r="K702" s="33"/>
      <c r="L702" s="32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ht="15.75" customHeight="1">
      <c r="A703" s="32"/>
      <c r="B703" s="32"/>
      <c r="C703" s="32"/>
      <c r="E703" s="32"/>
      <c r="F703" s="33"/>
      <c r="G703" s="32"/>
      <c r="H703" s="33"/>
      <c r="I703" s="33"/>
      <c r="J703" s="33"/>
      <c r="K703" s="33"/>
      <c r="L703" s="32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ht="15.75" customHeight="1">
      <c r="A704" s="32"/>
      <c r="B704" s="32"/>
      <c r="C704" s="32"/>
      <c r="E704" s="32"/>
      <c r="F704" s="33"/>
      <c r="G704" s="32"/>
      <c r="H704" s="33"/>
      <c r="I704" s="33"/>
      <c r="J704" s="33"/>
      <c r="K704" s="33"/>
      <c r="L704" s="32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ht="15.75" customHeight="1">
      <c r="A705" s="32"/>
      <c r="B705" s="32"/>
      <c r="C705" s="32"/>
      <c r="E705" s="32"/>
      <c r="F705" s="33"/>
      <c r="G705" s="32"/>
      <c r="H705" s="33"/>
      <c r="I705" s="33"/>
      <c r="J705" s="33"/>
      <c r="K705" s="33"/>
      <c r="L705" s="32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ht="15.75" customHeight="1">
      <c r="A706" s="32"/>
      <c r="B706" s="32"/>
      <c r="C706" s="32"/>
      <c r="E706" s="32"/>
      <c r="F706" s="33"/>
      <c r="G706" s="32"/>
      <c r="H706" s="33"/>
      <c r="I706" s="33"/>
      <c r="J706" s="33"/>
      <c r="K706" s="33"/>
      <c r="L706" s="32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ht="15.75" customHeight="1">
      <c r="A707" s="32"/>
      <c r="B707" s="32"/>
      <c r="C707" s="32"/>
      <c r="E707" s="32"/>
      <c r="F707" s="33"/>
      <c r="G707" s="32"/>
      <c r="H707" s="33"/>
      <c r="I707" s="33"/>
      <c r="J707" s="33"/>
      <c r="K707" s="33"/>
      <c r="L707" s="32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ht="15.75" customHeight="1">
      <c r="A708" s="32"/>
      <c r="B708" s="32"/>
      <c r="C708" s="32"/>
      <c r="E708" s="32"/>
      <c r="F708" s="33"/>
      <c r="G708" s="32"/>
      <c r="H708" s="33"/>
      <c r="I708" s="33"/>
      <c r="J708" s="33"/>
      <c r="K708" s="33"/>
      <c r="L708" s="32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ht="15.75" customHeight="1">
      <c r="A709" s="32"/>
      <c r="B709" s="32"/>
      <c r="C709" s="32"/>
      <c r="E709" s="32"/>
      <c r="F709" s="33"/>
      <c r="G709" s="32"/>
      <c r="H709" s="33"/>
      <c r="I709" s="33"/>
      <c r="J709" s="33"/>
      <c r="K709" s="33"/>
      <c r="L709" s="32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ht="15.75" customHeight="1">
      <c r="A710" s="32"/>
      <c r="B710" s="32"/>
      <c r="C710" s="32"/>
      <c r="E710" s="32"/>
      <c r="F710" s="33"/>
      <c r="G710" s="32"/>
      <c r="H710" s="33"/>
      <c r="I710" s="33"/>
      <c r="J710" s="33"/>
      <c r="K710" s="33"/>
      <c r="L710" s="32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ht="15.75" customHeight="1">
      <c r="A711" s="32"/>
      <c r="B711" s="32"/>
      <c r="C711" s="32"/>
      <c r="E711" s="32"/>
      <c r="F711" s="33"/>
      <c r="G711" s="32"/>
      <c r="H711" s="33"/>
      <c r="I711" s="33"/>
      <c r="J711" s="33"/>
      <c r="K711" s="33"/>
      <c r="L711" s="32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ht="15.75" customHeight="1">
      <c r="A712" s="32"/>
      <c r="B712" s="32"/>
      <c r="C712" s="32"/>
      <c r="E712" s="32"/>
      <c r="F712" s="33"/>
      <c r="G712" s="32"/>
      <c r="H712" s="33"/>
      <c r="I712" s="33"/>
      <c r="J712" s="33"/>
      <c r="K712" s="33"/>
      <c r="L712" s="32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ht="15.75" customHeight="1">
      <c r="A713" s="32"/>
      <c r="B713" s="32"/>
      <c r="C713" s="32"/>
      <c r="E713" s="32"/>
      <c r="F713" s="33"/>
      <c r="G713" s="32"/>
      <c r="H713" s="33"/>
      <c r="I713" s="33"/>
      <c r="J713" s="33"/>
      <c r="K713" s="33"/>
      <c r="L713" s="32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ht="15.75" customHeight="1">
      <c r="A714" s="32"/>
      <c r="B714" s="32"/>
      <c r="C714" s="32"/>
      <c r="E714" s="32"/>
      <c r="F714" s="33"/>
      <c r="G714" s="32"/>
      <c r="H714" s="33"/>
      <c r="I714" s="33"/>
      <c r="J714" s="33"/>
      <c r="K714" s="33"/>
      <c r="L714" s="32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ht="15.75" customHeight="1">
      <c r="A715" s="32"/>
      <c r="B715" s="32"/>
      <c r="C715" s="32"/>
      <c r="E715" s="32"/>
      <c r="F715" s="33"/>
      <c r="G715" s="32"/>
      <c r="H715" s="33"/>
      <c r="I715" s="33"/>
      <c r="J715" s="33"/>
      <c r="K715" s="33"/>
      <c r="L715" s="32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ht="15.75" customHeight="1">
      <c r="A716" s="32"/>
      <c r="B716" s="32"/>
      <c r="C716" s="32"/>
      <c r="E716" s="32"/>
      <c r="F716" s="33"/>
      <c r="G716" s="32"/>
      <c r="H716" s="33"/>
      <c r="I716" s="33"/>
      <c r="J716" s="33"/>
      <c r="K716" s="33"/>
      <c r="L716" s="32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</sheetData>
  <mergeCells count="2">
    <mergeCell ref="V37:W37"/>
    <mergeCell ref="V38:W3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5.38"/>
    <col customWidth="1" min="6" max="6" width="40.5"/>
  </cols>
  <sheetData>
    <row r="1">
      <c r="B1" s="8"/>
    </row>
    <row r="2">
      <c r="B2" s="8"/>
    </row>
    <row r="3">
      <c r="A3" s="7" t="str">
        <f>IFERROR(__xludf.DUMMYFUNCTION("ARRAYFORMULA(
  QUERY(
    SPLIT(
      FLATTEN(
        'R8_indigenization'!E1:AB1 &amp; ""♦"" &amp; 
        'R8_indigenization'!A2:A1000 &amp; ""♦"" &amp; 
        'R8_indigenization'!B2:B1000 &amp; ""♦"" &amp; 
        'R8_indigenization'!C2:C1000 &amp; ""♦"" &amp; 
        'R8_indi"&amp;"genization'!D2:D1000 &amp; ""♦"" &amp; 
        'R8_indigenization'!E2:AB1000
      ),
      ""♦""
    ),
    ""SELECT * WHERE Col6 IS NOT NULL"",
    1
  )
)"),"BOTSWANA ")</f>
        <v>BOTSWANA </v>
      </c>
      <c r="B3" s="8" t="str">
        <f>IFERROR(__xludf.DUMMYFUNCTION("""COMPUTED_VALUE"""),"8")</f>
        <v>8</v>
      </c>
      <c r="C3" s="7" t="str">
        <f>IFERROR(__xludf.DUMMYFUNCTION("""COMPUTED_VALUE"""),"A_05_07")</f>
        <v>A_05_07</v>
      </c>
      <c r="D3" s="7" t="str">
        <f>IFERROR(__xludf.DUMMYFUNCTION("""COMPUTED_VALUE"""),"Q12a")</f>
        <v>Q12a</v>
      </c>
      <c r="E3" s="7" t="str">
        <f>IFERROR(__xludf.DUMMYFUNCTION("""COMPUTED_VALUE"""),"Contact local government councillor")</f>
        <v>Contact local government councillor</v>
      </c>
      <c r="F3" s="7" t="str">
        <f>IFERROR(__xludf.DUMMYFUNCTION("""COMPUTED_VALUE"""),"A local government councillor")</f>
        <v>A local government councillor</v>
      </c>
    </row>
    <row r="4">
      <c r="A4" s="7" t="str">
        <f>IFERROR(__xludf.DUMMYFUNCTION("""COMPUTED_VALUE"""),"CABO VERDE ")</f>
        <v>CABO VERDE </v>
      </c>
      <c r="B4" s="8">
        <f>IFERROR(__xludf.DUMMYFUNCTION("""COMPUTED_VALUE"""),8.0)</f>
        <v>8</v>
      </c>
      <c r="C4" s="7" t="str">
        <f>IFERROR(__xludf.DUMMYFUNCTION("""COMPUTED_VALUE"""),"A_05_07")</f>
        <v>A_05_07</v>
      </c>
      <c r="D4" s="7" t="str">
        <f>IFERROR(__xludf.DUMMYFUNCTION("""COMPUTED_VALUE"""),"Q12a")</f>
        <v>Q12a</v>
      </c>
      <c r="E4" s="7" t="str">
        <f>IFERROR(__xludf.DUMMYFUNCTION("""COMPUTED_VALUE"""),"Contact local government councillor")</f>
        <v>Contact local government councillor</v>
      </c>
      <c r="F4" s="7" t="str">
        <f>IFERROR(__xludf.DUMMYFUNCTION("""COMPUTED_VALUE"""),"A local government councillor")</f>
        <v>A local government councillor</v>
      </c>
    </row>
    <row r="5">
      <c r="A5" s="7" t="str">
        <f>IFERROR(__xludf.DUMMYFUNCTION("""COMPUTED_VALUE"""),"CAMEROON")</f>
        <v>CAMEROON</v>
      </c>
      <c r="B5" s="8">
        <f>IFERROR(__xludf.DUMMYFUNCTION("""COMPUTED_VALUE"""),8.0)</f>
        <v>8</v>
      </c>
      <c r="C5" s="7" t="str">
        <f>IFERROR(__xludf.DUMMYFUNCTION("""COMPUTED_VALUE"""),"A_05_07")</f>
        <v>A_05_07</v>
      </c>
      <c r="D5" s="7" t="str">
        <f>IFERROR(__xludf.DUMMYFUNCTION("""COMPUTED_VALUE"""),"Q12a")</f>
        <v>Q12a</v>
      </c>
      <c r="E5" s="7" t="str">
        <f>IFERROR(__xludf.DUMMYFUNCTION("""COMPUTED_VALUE"""),"Contact local government councillor")</f>
        <v>Contact local government councillor</v>
      </c>
      <c r="F5" s="7" t="str">
        <f>IFERROR(__xludf.DUMMYFUNCTION("""COMPUTED_VALUE"""),"A local government councillor")</f>
        <v>A local government councillor</v>
      </c>
    </row>
    <row r="6">
      <c r="A6" s="7" t="str">
        <f>IFERROR(__xludf.DUMMYFUNCTION("""COMPUTED_VALUE"""),"ESWATINI")</f>
        <v>ESWATINI</v>
      </c>
      <c r="B6" s="8">
        <f>IFERROR(__xludf.DUMMYFUNCTION("""COMPUTED_VALUE"""),8.0)</f>
        <v>8</v>
      </c>
      <c r="C6" s="7" t="str">
        <f>IFERROR(__xludf.DUMMYFUNCTION("""COMPUTED_VALUE"""),"A_05_07")</f>
        <v>A_05_07</v>
      </c>
      <c r="D6" s="7" t="str">
        <f>IFERROR(__xludf.DUMMYFUNCTION("""COMPUTED_VALUE"""),"Q12a")</f>
        <v>Q12a</v>
      </c>
      <c r="E6" s="7" t="str">
        <f>IFERROR(__xludf.DUMMYFUNCTION("""COMPUTED_VALUE"""),"Contact local government councillor")</f>
        <v>Contact local government councillor</v>
      </c>
      <c r="F6" s="7" t="str">
        <f>IFERROR(__xludf.DUMMYFUNCTION("""COMPUTED_VALUE"""),"A local government councillor")</f>
        <v>A local government councillor</v>
      </c>
    </row>
    <row r="7">
      <c r="A7" s="7" t="str">
        <f>IFERROR(__xludf.DUMMYFUNCTION("""COMPUTED_VALUE"""),"ETHIOPIA")</f>
        <v>ETHIOPIA</v>
      </c>
      <c r="B7" s="8">
        <f>IFERROR(__xludf.DUMMYFUNCTION("""COMPUTED_VALUE"""),8.0)</f>
        <v>8</v>
      </c>
      <c r="C7" s="7" t="str">
        <f>IFERROR(__xludf.DUMMYFUNCTION("""COMPUTED_VALUE"""),"A_05_07")</f>
        <v>A_05_07</v>
      </c>
      <c r="D7" s="7" t="str">
        <f>IFERROR(__xludf.DUMMYFUNCTION("""COMPUTED_VALUE"""),"Q12a")</f>
        <v>Q12a</v>
      </c>
      <c r="E7" s="7" t="str">
        <f>IFERROR(__xludf.DUMMYFUNCTION("""COMPUTED_VALUE"""),"Contact local government councillor")</f>
        <v>Contact local government councillor</v>
      </c>
      <c r="F7" s="7" t="str">
        <f>IFERROR(__xludf.DUMMYFUNCTION("""COMPUTED_VALUE"""),"local council member")</f>
        <v>local council member</v>
      </c>
    </row>
    <row r="8">
      <c r="A8" s="7" t="str">
        <f>IFERROR(__xludf.DUMMYFUNCTION("""COMPUTED_VALUE"""),"GAMBIA")</f>
        <v>GAMBIA</v>
      </c>
      <c r="B8" s="8">
        <f>IFERROR(__xludf.DUMMYFUNCTION("""COMPUTED_VALUE"""),8.0)</f>
        <v>8</v>
      </c>
      <c r="C8" s="7" t="str">
        <f>IFERROR(__xludf.DUMMYFUNCTION("""COMPUTED_VALUE"""),"A_05_07")</f>
        <v>A_05_07</v>
      </c>
      <c r="D8" s="7" t="str">
        <f>IFERROR(__xludf.DUMMYFUNCTION("""COMPUTED_VALUE"""),"Q12a")</f>
        <v>Q12a</v>
      </c>
      <c r="E8" s="7" t="str">
        <f>IFERROR(__xludf.DUMMYFUNCTION("""COMPUTED_VALUE"""),"Contact local government councillor")</f>
        <v>Contact local government councillor</v>
      </c>
      <c r="F8" s="7" t="str">
        <f>IFERROR(__xludf.DUMMYFUNCTION("""COMPUTED_VALUE"""),"A local government councillor")</f>
        <v>A local government councillor</v>
      </c>
    </row>
    <row r="9">
      <c r="A9" s="7" t="str">
        <f>IFERROR(__xludf.DUMMYFUNCTION("""COMPUTED_VALUE"""),"GHANA ")</f>
        <v>GHANA </v>
      </c>
      <c r="B9" s="8">
        <f>IFERROR(__xludf.DUMMYFUNCTION("""COMPUTED_VALUE"""),8.0)</f>
        <v>8</v>
      </c>
      <c r="C9" s="7" t="str">
        <f>IFERROR(__xludf.DUMMYFUNCTION("""COMPUTED_VALUE"""),"A_05_07")</f>
        <v>A_05_07</v>
      </c>
      <c r="D9" s="7" t="str">
        <f>IFERROR(__xludf.DUMMYFUNCTION("""COMPUTED_VALUE"""),"Q12a")</f>
        <v>Q12a</v>
      </c>
      <c r="E9" s="7" t="str">
        <f>IFERROR(__xludf.DUMMYFUNCTION("""COMPUTED_VALUE"""),"Contact local government councillor")</f>
        <v>Contact local government councillor</v>
      </c>
      <c r="F9" s="7" t="str">
        <f>IFERROR(__xludf.DUMMYFUNCTION("""COMPUTED_VALUE"""),"An Assembly man or woman")</f>
        <v>An Assembly man or woman</v>
      </c>
    </row>
    <row r="10">
      <c r="A10" s="7" t="str">
        <f>IFERROR(__xludf.DUMMYFUNCTION("""COMPUTED_VALUE"""),"KENYA  ")</f>
        <v>KENYA  </v>
      </c>
      <c r="B10" s="8">
        <f>IFERROR(__xludf.DUMMYFUNCTION("""COMPUTED_VALUE"""),8.0)</f>
        <v>8</v>
      </c>
      <c r="C10" s="7" t="str">
        <f>IFERROR(__xludf.DUMMYFUNCTION("""COMPUTED_VALUE"""),"A_05_07")</f>
        <v>A_05_07</v>
      </c>
      <c r="D10" s="7" t="str">
        <f>IFERROR(__xludf.DUMMYFUNCTION("""COMPUTED_VALUE"""),"Q12a")</f>
        <v>Q12a</v>
      </c>
      <c r="E10" s="7" t="str">
        <f>IFERROR(__xludf.DUMMYFUNCTION("""COMPUTED_VALUE"""),"Contact local government councillor")</f>
        <v>Contact local government councillor</v>
      </c>
      <c r="F10" s="7" t="str">
        <f>IFERROR(__xludf.DUMMYFUNCTION("""COMPUTED_VALUE"""),"A Member of the County Assembly, MCA")</f>
        <v>A Member of the County Assembly, MCA</v>
      </c>
    </row>
    <row r="11">
      <c r="A11" s="7" t="str">
        <f>IFERROR(__xludf.DUMMYFUNCTION("""COMPUTED_VALUE"""),"LESOTHO ")</f>
        <v>LESOTHO </v>
      </c>
      <c r="B11" s="8">
        <f>IFERROR(__xludf.DUMMYFUNCTION("""COMPUTED_VALUE"""),8.0)</f>
        <v>8</v>
      </c>
      <c r="C11" s="7" t="str">
        <f>IFERROR(__xludf.DUMMYFUNCTION("""COMPUTED_VALUE"""),"A_05_07")</f>
        <v>A_05_07</v>
      </c>
      <c r="D11" s="7" t="str">
        <f>IFERROR(__xludf.DUMMYFUNCTION("""COMPUTED_VALUE"""),"Q12a")</f>
        <v>Q12a</v>
      </c>
      <c r="E11" s="7" t="str">
        <f>IFERROR(__xludf.DUMMYFUNCTION("""COMPUTED_VALUE"""),"Contact local government councillor")</f>
        <v>Contact local government councillor</v>
      </c>
      <c r="F11" s="7" t="str">
        <f>IFERROR(__xludf.DUMMYFUNCTION("""COMPUTED_VALUE"""),"A community councillor")</f>
        <v>A community councillor</v>
      </c>
    </row>
    <row r="12">
      <c r="A12" s="7" t="str">
        <f>IFERROR(__xludf.DUMMYFUNCTION("""COMPUTED_VALUE"""),"MOZAMBIQUE")</f>
        <v>MOZAMBIQUE</v>
      </c>
      <c r="B12" s="8">
        <f>IFERROR(__xludf.DUMMYFUNCTION("""COMPUTED_VALUE"""),8.0)</f>
        <v>8</v>
      </c>
      <c r="C12" s="7" t="str">
        <f>IFERROR(__xludf.DUMMYFUNCTION("""COMPUTED_VALUE"""),"A_05_07")</f>
        <v>A_05_07</v>
      </c>
      <c r="D12" s="7" t="str">
        <f>IFERROR(__xludf.DUMMYFUNCTION("""COMPUTED_VALUE"""),"Q12a")</f>
        <v>Q12a</v>
      </c>
      <c r="E12" s="7" t="str">
        <f>IFERROR(__xludf.DUMMYFUNCTION("""COMPUTED_VALUE"""),"Contact local government councillor")</f>
        <v>Contact local government councillor</v>
      </c>
      <c r="F12" s="7" t="str">
        <f>IFERROR(__xludf.DUMMYFUNCTION("""COMPUTED_VALUE"""),"A Member of Municipal Assembly")</f>
        <v>A Member of Municipal Assembly</v>
      </c>
    </row>
    <row r="13">
      <c r="A13" s="7" t="str">
        <f>IFERROR(__xludf.DUMMYFUNCTION("""COMPUTED_VALUE"""),"NAMIBIA ")</f>
        <v>NAMIBIA </v>
      </c>
      <c r="B13" s="8">
        <f>IFERROR(__xludf.DUMMYFUNCTION("""COMPUTED_VALUE"""),8.0)</f>
        <v>8</v>
      </c>
      <c r="C13" s="7" t="str">
        <f>IFERROR(__xludf.DUMMYFUNCTION("""COMPUTED_VALUE"""),"A_05_07")</f>
        <v>A_05_07</v>
      </c>
      <c r="D13" s="7" t="str">
        <f>IFERROR(__xludf.DUMMYFUNCTION("""COMPUTED_VALUE"""),"Q12a")</f>
        <v>Q12a</v>
      </c>
      <c r="E13" s="7" t="str">
        <f>IFERROR(__xludf.DUMMYFUNCTION("""COMPUTED_VALUE"""),"Contact local government councillor")</f>
        <v>Contact local government councillor</v>
      </c>
      <c r="F13" s="7" t="str">
        <f>IFERROR(__xludf.DUMMYFUNCTION("""COMPUTED_VALUE"""),"party’s candidate")</f>
        <v>party’s candidate</v>
      </c>
    </row>
    <row r="14">
      <c r="A14" s="7" t="str">
        <f>IFERROR(__xludf.DUMMYFUNCTION("""COMPUTED_VALUE"""),"NIGERIA ")</f>
        <v>NIGERIA </v>
      </c>
      <c r="B14" s="8">
        <f>IFERROR(__xludf.DUMMYFUNCTION("""COMPUTED_VALUE"""),8.0)</f>
        <v>8</v>
      </c>
      <c r="C14" s="7" t="str">
        <f>IFERROR(__xludf.DUMMYFUNCTION("""COMPUTED_VALUE"""),"A_05_07")</f>
        <v>A_05_07</v>
      </c>
      <c r="D14" s="7" t="str">
        <f>IFERROR(__xludf.DUMMYFUNCTION("""COMPUTED_VALUE"""),"Q12a")</f>
        <v>Q12a</v>
      </c>
      <c r="E14" s="7" t="str">
        <f>IFERROR(__xludf.DUMMYFUNCTION("""COMPUTED_VALUE"""),"Contact local government councillor")</f>
        <v>Contact local government councillor</v>
      </c>
      <c r="F14" s="7" t="str">
        <f>IFERROR(__xludf.DUMMYFUNCTION("""COMPUTED_VALUE"""),"A local government councilor")</f>
        <v>A local government councilor</v>
      </c>
    </row>
    <row r="15">
      <c r="A15" s="7" t="str">
        <f>IFERROR(__xludf.DUMMYFUNCTION("""COMPUTED_VALUE"""),"SIERRA LEONE")</f>
        <v>SIERRA LEONE</v>
      </c>
      <c r="B15" s="8">
        <f>IFERROR(__xludf.DUMMYFUNCTION("""COMPUTED_VALUE"""),8.0)</f>
        <v>8</v>
      </c>
      <c r="C15" s="7" t="str">
        <f>IFERROR(__xludf.DUMMYFUNCTION("""COMPUTED_VALUE"""),"A_05_07")</f>
        <v>A_05_07</v>
      </c>
      <c r="D15" s="7" t="str">
        <f>IFERROR(__xludf.DUMMYFUNCTION("""COMPUTED_VALUE"""),"Q12a")</f>
        <v>Q12a</v>
      </c>
      <c r="E15" s="7" t="str">
        <f>IFERROR(__xludf.DUMMYFUNCTION("""COMPUTED_VALUE"""),"Contact local government councillor")</f>
        <v>Contact local government councillor</v>
      </c>
      <c r="F15" s="7" t="str">
        <f>IFERROR(__xludf.DUMMYFUNCTION("""COMPUTED_VALUE"""),"A local government councillor")</f>
        <v>A local government councillor</v>
      </c>
    </row>
    <row r="16">
      <c r="A16" s="7" t="str">
        <f>IFERROR(__xludf.DUMMYFUNCTION("""COMPUTED_VALUE"""),"SOUTH AFRICA")</f>
        <v>SOUTH AFRICA</v>
      </c>
      <c r="B16" s="8">
        <f>IFERROR(__xludf.DUMMYFUNCTION("""COMPUTED_VALUE"""),8.0)</f>
        <v>8</v>
      </c>
      <c r="C16" s="7" t="str">
        <f>IFERROR(__xludf.DUMMYFUNCTION("""COMPUTED_VALUE"""),"A_05_07")</f>
        <v>A_05_07</v>
      </c>
      <c r="D16" s="7" t="str">
        <f>IFERROR(__xludf.DUMMYFUNCTION("""COMPUTED_VALUE"""),"Q12a")</f>
        <v>Q12a</v>
      </c>
      <c r="E16" s="7" t="str">
        <f>IFERROR(__xludf.DUMMYFUNCTION("""COMPUTED_VALUE"""),"Contact local government councillor")</f>
        <v>Contact local government councillor</v>
      </c>
      <c r="F16" s="7" t="str">
        <f>IFERROR(__xludf.DUMMYFUNCTION("""COMPUTED_VALUE"""),"A local government councillor")</f>
        <v>A local government councillor</v>
      </c>
    </row>
    <row r="17">
      <c r="A17" s="7" t="str">
        <f>IFERROR(__xludf.DUMMYFUNCTION("""COMPUTED_VALUE"""),"TANZANIA")</f>
        <v>TANZANIA</v>
      </c>
      <c r="B17" s="8">
        <f>IFERROR(__xludf.DUMMYFUNCTION("""COMPUTED_VALUE"""),8.0)</f>
        <v>8</v>
      </c>
      <c r="C17" s="7" t="str">
        <f>IFERROR(__xludf.DUMMYFUNCTION("""COMPUTED_VALUE"""),"A_05_07")</f>
        <v>A_05_07</v>
      </c>
      <c r="D17" s="7" t="str">
        <f>IFERROR(__xludf.DUMMYFUNCTION("""COMPUTED_VALUE"""),"Q12a")</f>
        <v>Q12a</v>
      </c>
      <c r="E17" s="7" t="str">
        <f>IFERROR(__xludf.DUMMYFUNCTION("""COMPUTED_VALUE"""),"Contact local government councillor")</f>
        <v>Contact local government councillor</v>
      </c>
      <c r="F17" s="7" t="str">
        <f>IFERROR(__xludf.DUMMYFUNCTION("""COMPUTED_VALUE"""),"A councillor")</f>
        <v>A councillor</v>
      </c>
    </row>
    <row r="18">
      <c r="A18" s="7" t="str">
        <f>IFERROR(__xludf.DUMMYFUNCTION("""COMPUTED_VALUE"""),"TUNISIA ")</f>
        <v>TUNISIA </v>
      </c>
      <c r="B18" s="8">
        <f>IFERROR(__xludf.DUMMYFUNCTION("""COMPUTED_VALUE"""),8.0)</f>
        <v>8</v>
      </c>
      <c r="C18" s="7" t="str">
        <f>IFERROR(__xludf.DUMMYFUNCTION("""COMPUTED_VALUE"""),"A_05_07")</f>
        <v>A_05_07</v>
      </c>
      <c r="D18" s="7" t="str">
        <f>IFERROR(__xludf.DUMMYFUNCTION("""COMPUTED_VALUE"""),"Q12a")</f>
        <v>Q12a</v>
      </c>
      <c r="E18" s="7" t="str">
        <f>IFERROR(__xludf.DUMMYFUNCTION("""COMPUTED_VALUE"""),"Contact local government councillor")</f>
        <v>Contact local government councillor</v>
      </c>
      <c r="F18" s="7" t="str">
        <f>IFERROR(__xludf.DUMMYFUNCTION("""COMPUTED_VALUE"""),"A municipal councilor")</f>
        <v>A municipal councilor</v>
      </c>
    </row>
    <row r="19">
      <c r="A19" s="7" t="str">
        <f>IFERROR(__xludf.DUMMYFUNCTION("""COMPUTED_VALUE"""),"UGANDA  ")</f>
        <v>UGANDA  </v>
      </c>
      <c r="B19" s="8">
        <f>IFERROR(__xludf.DUMMYFUNCTION("""COMPUTED_VALUE"""),8.0)</f>
        <v>8</v>
      </c>
      <c r="C19" s="7" t="str">
        <f>IFERROR(__xludf.DUMMYFUNCTION("""COMPUTED_VALUE"""),"A_05_07")</f>
        <v>A_05_07</v>
      </c>
      <c r="D19" s="7" t="str">
        <f>IFERROR(__xludf.DUMMYFUNCTION("""COMPUTED_VALUE"""),"Q12a")</f>
        <v>Q12a</v>
      </c>
      <c r="E19" s="7" t="str">
        <f>IFERROR(__xludf.DUMMYFUNCTION("""COMPUTED_VALUE"""),"Contact local government councillor")</f>
        <v>Contact local government councillor</v>
      </c>
      <c r="F19" s="7" t="str">
        <f>IFERROR(__xludf.DUMMYFUNCTION("""COMPUTED_VALUE"""),"A local government councillor")</f>
        <v>A local government councillor</v>
      </c>
    </row>
    <row r="20">
      <c r="A20" s="7" t="str">
        <f>IFERROR(__xludf.DUMMYFUNCTION("""COMPUTED_VALUE"""),"ZAMBIA")</f>
        <v>ZAMBIA</v>
      </c>
      <c r="B20" s="8">
        <f>IFERROR(__xludf.DUMMYFUNCTION("""COMPUTED_VALUE"""),8.0)</f>
        <v>8</v>
      </c>
      <c r="C20" s="7" t="str">
        <f>IFERROR(__xludf.DUMMYFUNCTION("""COMPUTED_VALUE"""),"A_05_07")</f>
        <v>A_05_07</v>
      </c>
      <c r="D20" s="7" t="str">
        <f>IFERROR(__xludf.DUMMYFUNCTION("""COMPUTED_VALUE"""),"Q12a")</f>
        <v>Q12a</v>
      </c>
      <c r="E20" s="7" t="str">
        <f>IFERROR(__xludf.DUMMYFUNCTION("""COMPUTED_VALUE"""),"Contact local government councillor")</f>
        <v>Contact local government councillor</v>
      </c>
      <c r="F20" s="7" t="str">
        <f>IFERROR(__xludf.DUMMYFUNCTION("""COMPUTED_VALUE"""),"Alocal government councillor")</f>
        <v>Alocal government councillor</v>
      </c>
    </row>
    <row r="21">
      <c r="A21" s="7" t="str">
        <f>IFERROR(__xludf.DUMMYFUNCTION("""COMPUTED_VALUE"""),"ZIMBABWE")</f>
        <v>ZIMBABWE</v>
      </c>
      <c r="B21" s="8">
        <f>IFERROR(__xludf.DUMMYFUNCTION("""COMPUTED_VALUE"""),8.0)</f>
        <v>8</v>
      </c>
      <c r="C21" s="7" t="str">
        <f>IFERROR(__xludf.DUMMYFUNCTION("""COMPUTED_VALUE"""),"A_05_07")</f>
        <v>A_05_07</v>
      </c>
      <c r="D21" s="7" t="str">
        <f>IFERROR(__xludf.DUMMYFUNCTION("""COMPUTED_VALUE"""),"Q12a")</f>
        <v>Q12a</v>
      </c>
      <c r="E21" s="7" t="str">
        <f>IFERROR(__xludf.DUMMYFUNCTION("""COMPUTED_VALUE"""),"Contact local government councillor")</f>
        <v>Contact local government councillor</v>
      </c>
      <c r="F21" s="7" t="str">
        <f>IFERROR(__xludf.DUMMYFUNCTION("""COMPUTED_VALUE"""),"A local governement councillor")</f>
        <v>A local governement councillor</v>
      </c>
    </row>
    <row r="22">
      <c r="A22" s="7" t="str">
        <f>IFERROR(__xludf.DUMMYFUNCTION("""COMPUTED_VALUE"""),"BOTSWANA ")</f>
        <v>BOTSWANA </v>
      </c>
      <c r="B22" s="8">
        <f>IFERROR(__xludf.DUMMYFUNCTION("""COMPUTED_VALUE"""),8.0)</f>
        <v>8</v>
      </c>
      <c r="C22" s="7" t="str">
        <f>IFERROR(__xludf.DUMMYFUNCTION("""COMPUTED_VALUE"""),"A_05_09")</f>
        <v>A_05_09</v>
      </c>
      <c r="D22" s="7" t="str">
        <f>IFERROR(__xludf.DUMMYFUNCTION("""COMPUTED_VALUE"""),"Q12b")</f>
        <v>Q12b</v>
      </c>
      <c r="E22" s="7" t="str">
        <f>IFERROR(__xludf.DUMMYFUNCTION("""COMPUTED_VALUE"""),"Contact MP")</f>
        <v>Contact MP</v>
      </c>
      <c r="F22" s="7" t="str">
        <f>IFERROR(__xludf.DUMMYFUNCTION("""COMPUTED_VALUE"""),"A member of Parliament")</f>
        <v>A member of Parliament</v>
      </c>
    </row>
    <row r="23">
      <c r="A23" s="7" t="str">
        <f>IFERROR(__xludf.DUMMYFUNCTION("""COMPUTED_VALUE"""),"CABO VERDE ")</f>
        <v>CABO VERDE </v>
      </c>
      <c r="B23" s="8">
        <f>IFERROR(__xludf.DUMMYFUNCTION("""COMPUTED_VALUE"""),8.0)</f>
        <v>8</v>
      </c>
      <c r="C23" s="7" t="str">
        <f>IFERROR(__xludf.DUMMYFUNCTION("""COMPUTED_VALUE"""),"A_05_09")</f>
        <v>A_05_09</v>
      </c>
      <c r="D23" s="7" t="str">
        <f>IFERROR(__xludf.DUMMYFUNCTION("""COMPUTED_VALUE"""),"Q12b")</f>
        <v>Q12b</v>
      </c>
      <c r="E23" s="7" t="str">
        <f>IFERROR(__xludf.DUMMYFUNCTION("""COMPUTED_VALUE"""),"Contact MP")</f>
        <v>Contact MP</v>
      </c>
      <c r="F23" s="7" t="str">
        <f>IFERROR(__xludf.DUMMYFUNCTION("""COMPUTED_VALUE"""),"A member of National Assembly")</f>
        <v>A member of National Assembly</v>
      </c>
    </row>
    <row r="24">
      <c r="A24" s="7" t="str">
        <f>IFERROR(__xludf.DUMMYFUNCTION("""COMPUTED_VALUE"""),"CAMEROON")</f>
        <v>CAMEROON</v>
      </c>
      <c r="B24" s="8">
        <f>IFERROR(__xludf.DUMMYFUNCTION("""COMPUTED_VALUE"""),8.0)</f>
        <v>8</v>
      </c>
      <c r="C24" s="7" t="str">
        <f>IFERROR(__xludf.DUMMYFUNCTION("""COMPUTED_VALUE"""),"A_05_09")</f>
        <v>A_05_09</v>
      </c>
      <c r="D24" s="7" t="str">
        <f>IFERROR(__xludf.DUMMYFUNCTION("""COMPUTED_VALUE"""),"Q12b")</f>
        <v>Q12b</v>
      </c>
      <c r="E24" s="7" t="str">
        <f>IFERROR(__xludf.DUMMYFUNCTION("""COMPUTED_VALUE"""),"Contact MP")</f>
        <v>Contact MP</v>
      </c>
      <c r="F24" s="7" t="str">
        <f>IFERROR(__xludf.DUMMYFUNCTION("""COMPUTED_VALUE"""),"A member of Parliament")</f>
        <v>A member of Parliament</v>
      </c>
    </row>
    <row r="25">
      <c r="A25" s="7" t="str">
        <f>IFERROR(__xludf.DUMMYFUNCTION("""COMPUTED_VALUE"""),"ESWATINI")</f>
        <v>ESWATINI</v>
      </c>
      <c r="B25" s="8">
        <f>IFERROR(__xludf.DUMMYFUNCTION("""COMPUTED_VALUE"""),8.0)</f>
        <v>8</v>
      </c>
      <c r="C25" s="7" t="str">
        <f>IFERROR(__xludf.DUMMYFUNCTION("""COMPUTED_VALUE"""),"A_05_09")</f>
        <v>A_05_09</v>
      </c>
      <c r="D25" s="7" t="str">
        <f>IFERROR(__xludf.DUMMYFUNCTION("""COMPUTED_VALUE"""),"Q12b")</f>
        <v>Q12b</v>
      </c>
      <c r="E25" s="7" t="str">
        <f>IFERROR(__xludf.DUMMYFUNCTION("""COMPUTED_VALUE"""),"Contact MP")</f>
        <v>Contact MP</v>
      </c>
      <c r="F25" s="7" t="str">
        <f>IFERROR(__xludf.DUMMYFUNCTION("""COMPUTED_VALUE"""),"A member of Parliament")</f>
        <v>A member of Parliament</v>
      </c>
    </row>
    <row r="26">
      <c r="A26" s="7" t="str">
        <f>IFERROR(__xludf.DUMMYFUNCTION("""COMPUTED_VALUE"""),"ETHIOPIA")</f>
        <v>ETHIOPIA</v>
      </c>
      <c r="B26" s="8">
        <f>IFERROR(__xludf.DUMMYFUNCTION("""COMPUTED_VALUE"""),8.0)</f>
        <v>8</v>
      </c>
      <c r="C26" s="7" t="str">
        <f>IFERROR(__xludf.DUMMYFUNCTION("""COMPUTED_VALUE"""),"A_05_09")</f>
        <v>A_05_09</v>
      </c>
      <c r="D26" s="7" t="str">
        <f>IFERROR(__xludf.DUMMYFUNCTION("""COMPUTED_VALUE"""),"Q12b")</f>
        <v>Q12b</v>
      </c>
      <c r="E26" s="7" t="str">
        <f>IFERROR(__xludf.DUMMYFUNCTION("""COMPUTED_VALUE"""),"Contact MP")</f>
        <v>Contact MP</v>
      </c>
      <c r="F26" s="7" t="str">
        <f>IFERROR(__xludf.DUMMYFUNCTION("""COMPUTED_VALUE"""),"House of Peoples’ Representative")</f>
        <v>House of Peoples’ Representative</v>
      </c>
    </row>
    <row r="27">
      <c r="A27" s="7" t="str">
        <f>IFERROR(__xludf.DUMMYFUNCTION("""COMPUTED_VALUE"""),"GAMBIA")</f>
        <v>GAMBIA</v>
      </c>
      <c r="B27" s="8">
        <f>IFERROR(__xludf.DUMMYFUNCTION("""COMPUTED_VALUE"""),8.0)</f>
        <v>8</v>
      </c>
      <c r="C27" s="7" t="str">
        <f>IFERROR(__xludf.DUMMYFUNCTION("""COMPUTED_VALUE"""),"A_05_09")</f>
        <v>A_05_09</v>
      </c>
      <c r="D27" s="7" t="str">
        <f>IFERROR(__xludf.DUMMYFUNCTION("""COMPUTED_VALUE"""),"Q12b")</f>
        <v>Q12b</v>
      </c>
      <c r="E27" s="7" t="str">
        <f>IFERROR(__xludf.DUMMYFUNCTION("""COMPUTED_VALUE"""),"Contact MP")</f>
        <v>Contact MP</v>
      </c>
      <c r="F27" s="7" t="str">
        <f>IFERROR(__xludf.DUMMYFUNCTION("""COMPUTED_VALUE"""),"A member of the National Assembly")</f>
        <v>A member of the National Assembly</v>
      </c>
    </row>
    <row r="28">
      <c r="A28" s="7" t="str">
        <f>IFERROR(__xludf.DUMMYFUNCTION("""COMPUTED_VALUE"""),"GHANA ")</f>
        <v>GHANA </v>
      </c>
      <c r="B28" s="8">
        <f>IFERROR(__xludf.DUMMYFUNCTION("""COMPUTED_VALUE"""),8.0)</f>
        <v>8</v>
      </c>
      <c r="C28" s="7" t="str">
        <f>IFERROR(__xludf.DUMMYFUNCTION("""COMPUTED_VALUE"""),"A_05_09")</f>
        <v>A_05_09</v>
      </c>
      <c r="D28" s="7" t="str">
        <f>IFERROR(__xludf.DUMMYFUNCTION("""COMPUTED_VALUE"""),"Q12b")</f>
        <v>Q12b</v>
      </c>
      <c r="E28" s="7" t="str">
        <f>IFERROR(__xludf.DUMMYFUNCTION("""COMPUTED_VALUE"""),"Contact MP")</f>
        <v>Contact MP</v>
      </c>
      <c r="F28" s="7" t="str">
        <f>IFERROR(__xludf.DUMMYFUNCTION("""COMPUTED_VALUE"""),"A Member of Parliament")</f>
        <v>A Member of Parliament</v>
      </c>
    </row>
    <row r="29">
      <c r="A29" s="7" t="str">
        <f>IFERROR(__xludf.DUMMYFUNCTION("""COMPUTED_VALUE"""),"KENYA  ")</f>
        <v>KENYA  </v>
      </c>
      <c r="B29" s="8">
        <f>IFERROR(__xludf.DUMMYFUNCTION("""COMPUTED_VALUE"""),8.0)</f>
        <v>8</v>
      </c>
      <c r="C29" s="7" t="str">
        <f>IFERROR(__xludf.DUMMYFUNCTION("""COMPUTED_VALUE"""),"A_05_09")</f>
        <v>A_05_09</v>
      </c>
      <c r="D29" s="7" t="str">
        <f>IFERROR(__xludf.DUMMYFUNCTION("""COMPUTED_VALUE"""),"Q12b")</f>
        <v>Q12b</v>
      </c>
      <c r="E29" s="7" t="str">
        <f>IFERROR(__xludf.DUMMYFUNCTION("""COMPUTED_VALUE"""),"Contact MP")</f>
        <v>Contact MP</v>
      </c>
      <c r="F29" s="7" t="str">
        <f>IFERROR(__xludf.DUMMYFUNCTION("""COMPUTED_VALUE"""),"A Member of the National Assembly")</f>
        <v>A Member of the National Assembly</v>
      </c>
    </row>
    <row r="30">
      <c r="A30" s="7" t="str">
        <f>IFERROR(__xludf.DUMMYFUNCTION("""COMPUTED_VALUE"""),"LESOTHO ")</f>
        <v>LESOTHO </v>
      </c>
      <c r="B30" s="8">
        <f>IFERROR(__xludf.DUMMYFUNCTION("""COMPUTED_VALUE"""),8.0)</f>
        <v>8</v>
      </c>
      <c r="C30" s="7" t="str">
        <f>IFERROR(__xludf.DUMMYFUNCTION("""COMPUTED_VALUE"""),"A_05_09")</f>
        <v>A_05_09</v>
      </c>
      <c r="D30" s="7" t="str">
        <f>IFERROR(__xludf.DUMMYFUNCTION("""COMPUTED_VALUE"""),"Q12b")</f>
        <v>Q12b</v>
      </c>
      <c r="E30" s="7" t="str">
        <f>IFERROR(__xludf.DUMMYFUNCTION("""COMPUTED_VALUE"""),"Contact MP")</f>
        <v>Contact MP</v>
      </c>
      <c r="F30" s="7" t="str">
        <f>IFERROR(__xludf.DUMMYFUNCTION("""COMPUTED_VALUE"""),"A member of Parliament")</f>
        <v>A member of Parliament</v>
      </c>
    </row>
    <row r="31">
      <c r="A31" s="7" t="str">
        <f>IFERROR(__xludf.DUMMYFUNCTION("""COMPUTED_VALUE"""),"LIBERIA  ")</f>
        <v>LIBERIA  </v>
      </c>
      <c r="B31" s="8">
        <f>IFERROR(__xludf.DUMMYFUNCTION("""COMPUTED_VALUE"""),8.0)</f>
        <v>8</v>
      </c>
      <c r="C31" s="7" t="str">
        <f>IFERROR(__xludf.DUMMYFUNCTION("""COMPUTED_VALUE"""),"A_05_09")</f>
        <v>A_05_09</v>
      </c>
      <c r="D31" s="7" t="str">
        <f>IFERROR(__xludf.DUMMYFUNCTION("""COMPUTED_VALUE"""),"Q12b")</f>
        <v>Q12b</v>
      </c>
      <c r="E31" s="7" t="str">
        <f>IFERROR(__xludf.DUMMYFUNCTION("""COMPUTED_VALUE"""),"Contact MP")</f>
        <v>Contact MP</v>
      </c>
      <c r="F31" s="7" t="str">
        <f>IFERROR(__xludf.DUMMYFUNCTION("""COMPUTED_VALUE"""),"A member of the House of Representatives")</f>
        <v>A member of the House of Representatives</v>
      </c>
    </row>
    <row r="32">
      <c r="A32" s="7" t="str">
        <f>IFERROR(__xludf.DUMMYFUNCTION("""COMPUTED_VALUE"""),"MALAWI ")</f>
        <v>MALAWI </v>
      </c>
      <c r="B32" s="8">
        <f>IFERROR(__xludf.DUMMYFUNCTION("""COMPUTED_VALUE"""),8.0)</f>
        <v>8</v>
      </c>
      <c r="C32" s="7" t="str">
        <f>IFERROR(__xludf.DUMMYFUNCTION("""COMPUTED_VALUE"""),"A_05_09")</f>
        <v>A_05_09</v>
      </c>
      <c r="D32" s="7" t="str">
        <f>IFERROR(__xludf.DUMMYFUNCTION("""COMPUTED_VALUE"""),"Q12b")</f>
        <v>Q12b</v>
      </c>
      <c r="E32" s="7" t="str">
        <f>IFERROR(__xludf.DUMMYFUNCTION("""COMPUTED_VALUE"""),"Contact MP")</f>
        <v>Contact MP</v>
      </c>
      <c r="F32" s="7" t="str">
        <f>IFERROR(__xludf.DUMMYFUNCTION("""COMPUTED_VALUE"""),"A member of [Parliament]")</f>
        <v>A member of [Parliament]</v>
      </c>
    </row>
    <row r="33">
      <c r="A33" s="7" t="str">
        <f>IFERROR(__xludf.DUMMYFUNCTION("""COMPUTED_VALUE"""),"MOROCCO ")</f>
        <v>MOROCCO </v>
      </c>
      <c r="B33" s="8">
        <f>IFERROR(__xludf.DUMMYFUNCTION("""COMPUTED_VALUE"""),8.0)</f>
        <v>8</v>
      </c>
      <c r="C33" s="7" t="str">
        <f>IFERROR(__xludf.DUMMYFUNCTION("""COMPUTED_VALUE"""),"A_05_09")</f>
        <v>A_05_09</v>
      </c>
      <c r="D33" s="7" t="str">
        <f>IFERROR(__xludf.DUMMYFUNCTION("""COMPUTED_VALUE"""),"Q12b")</f>
        <v>Q12b</v>
      </c>
      <c r="E33" s="7" t="str">
        <f>IFERROR(__xludf.DUMMYFUNCTION("""COMPUTED_VALUE"""),"Contact MP")</f>
        <v>Contact MP</v>
      </c>
      <c r="F33" s="7" t="str">
        <f>IFERROR(__xludf.DUMMYFUNCTION("""COMPUTED_VALUE"""),"A member of Parliament")</f>
        <v>A member of Parliament</v>
      </c>
    </row>
    <row r="34">
      <c r="A34" s="7" t="str">
        <f>IFERROR(__xludf.DUMMYFUNCTION("""COMPUTED_VALUE"""),"MOZAMBIQUE")</f>
        <v>MOZAMBIQUE</v>
      </c>
      <c r="B34" s="8">
        <f>IFERROR(__xludf.DUMMYFUNCTION("""COMPUTED_VALUE"""),8.0)</f>
        <v>8</v>
      </c>
      <c r="C34" s="7" t="str">
        <f>IFERROR(__xludf.DUMMYFUNCTION("""COMPUTED_VALUE"""),"A_05_09")</f>
        <v>A_05_09</v>
      </c>
      <c r="D34" s="7" t="str">
        <f>IFERROR(__xludf.DUMMYFUNCTION("""COMPUTED_VALUE"""),"Q12b")</f>
        <v>Q12b</v>
      </c>
      <c r="E34" s="7" t="str">
        <f>IFERROR(__xludf.DUMMYFUNCTION("""COMPUTED_VALUE"""),"Contact MP")</f>
        <v>Contact MP</v>
      </c>
      <c r="F34" s="7" t="str">
        <f>IFERROR(__xludf.DUMMYFUNCTION("""COMPUTED_VALUE"""),"A member of Parliament")</f>
        <v>A member of Parliament</v>
      </c>
    </row>
    <row r="35">
      <c r="A35" s="7" t="str">
        <f>IFERROR(__xludf.DUMMYFUNCTION("""COMPUTED_VALUE"""),"NAMIBIA ")</f>
        <v>NAMIBIA </v>
      </c>
      <c r="B35" s="8">
        <f>IFERROR(__xludf.DUMMYFUNCTION("""COMPUTED_VALUE"""),8.0)</f>
        <v>8</v>
      </c>
      <c r="C35" s="7" t="str">
        <f>IFERROR(__xludf.DUMMYFUNCTION("""COMPUTED_VALUE"""),"A_05_09")</f>
        <v>A_05_09</v>
      </c>
      <c r="D35" s="7" t="str">
        <f>IFERROR(__xludf.DUMMYFUNCTION("""COMPUTED_VALUE"""),"Q12b")</f>
        <v>Q12b</v>
      </c>
      <c r="E35" s="7" t="str">
        <f>IFERROR(__xludf.DUMMYFUNCTION("""COMPUTED_VALUE"""),"Contact MP")</f>
        <v>Contact MP</v>
      </c>
      <c r="F35" s="7" t="str">
        <f>IFERROR(__xludf.DUMMYFUNCTION("""COMPUTED_VALUE"""),"A member of the National Assembly")</f>
        <v>A member of the National Assembly</v>
      </c>
    </row>
    <row r="36">
      <c r="A36" s="7" t="str">
        <f>IFERROR(__xludf.DUMMYFUNCTION("""COMPUTED_VALUE"""),"NIGERIA ")</f>
        <v>NIGERIA </v>
      </c>
      <c r="B36" s="8">
        <f>IFERROR(__xludf.DUMMYFUNCTION("""COMPUTED_VALUE"""),8.0)</f>
        <v>8</v>
      </c>
      <c r="C36" s="7" t="str">
        <f>IFERROR(__xludf.DUMMYFUNCTION("""COMPUTED_VALUE"""),"A_05_09")</f>
        <v>A_05_09</v>
      </c>
      <c r="D36" s="7" t="str">
        <f>IFERROR(__xludf.DUMMYFUNCTION("""COMPUTED_VALUE"""),"Q12b")</f>
        <v>Q12b</v>
      </c>
      <c r="E36" s="7" t="str">
        <f>IFERROR(__xludf.DUMMYFUNCTION("""COMPUTED_VALUE"""),"Contact MP")</f>
        <v>Contact MP</v>
      </c>
      <c r="F36" s="7" t="str">
        <f>IFERROR(__xludf.DUMMYFUNCTION("""COMPUTED_VALUE"""),"A Member of the National Assembly")</f>
        <v>A Member of the National Assembly</v>
      </c>
    </row>
    <row r="37">
      <c r="A37" s="7" t="str">
        <f>IFERROR(__xludf.DUMMYFUNCTION("""COMPUTED_VALUE"""),"SIERRA LEONE")</f>
        <v>SIERRA LEONE</v>
      </c>
      <c r="B37" s="8">
        <f>IFERROR(__xludf.DUMMYFUNCTION("""COMPUTED_VALUE"""),8.0)</f>
        <v>8</v>
      </c>
      <c r="C37" s="7" t="str">
        <f>IFERROR(__xludf.DUMMYFUNCTION("""COMPUTED_VALUE"""),"A_05_09")</f>
        <v>A_05_09</v>
      </c>
      <c r="D37" s="7" t="str">
        <f>IFERROR(__xludf.DUMMYFUNCTION("""COMPUTED_VALUE"""),"Q12b")</f>
        <v>Q12b</v>
      </c>
      <c r="E37" s="7" t="str">
        <f>IFERROR(__xludf.DUMMYFUNCTION("""COMPUTED_VALUE"""),"Contact MP")</f>
        <v>Contact MP</v>
      </c>
      <c r="F37" s="7" t="str">
        <f>IFERROR(__xludf.DUMMYFUNCTION("""COMPUTED_VALUE"""),"A member of Parliament")</f>
        <v>A member of Parliament</v>
      </c>
    </row>
    <row r="38">
      <c r="A38" s="7" t="str">
        <f>IFERROR(__xludf.DUMMYFUNCTION("""COMPUTED_VALUE"""),"SOUTH AFRICA")</f>
        <v>SOUTH AFRICA</v>
      </c>
      <c r="B38" s="8">
        <f>IFERROR(__xludf.DUMMYFUNCTION("""COMPUTED_VALUE"""),8.0)</f>
        <v>8</v>
      </c>
      <c r="C38" s="7" t="str">
        <f>IFERROR(__xludf.DUMMYFUNCTION("""COMPUTED_VALUE"""),"A_05_09")</f>
        <v>A_05_09</v>
      </c>
      <c r="D38" s="7" t="str">
        <f>IFERROR(__xludf.DUMMYFUNCTION("""COMPUTED_VALUE"""),"Q12b")</f>
        <v>Q12b</v>
      </c>
      <c r="E38" s="7" t="str">
        <f>IFERROR(__xludf.DUMMYFUNCTION("""COMPUTED_VALUE"""),"Contact MP")</f>
        <v>Contact MP</v>
      </c>
      <c r="F38" s="7" t="str">
        <f>IFERROR(__xludf.DUMMYFUNCTION("""COMPUTED_VALUE"""),"A member of Parliament")</f>
        <v>A member of Parliament</v>
      </c>
    </row>
    <row r="39">
      <c r="A39" s="7" t="str">
        <f>IFERROR(__xludf.DUMMYFUNCTION("""COMPUTED_VALUE"""),"TANZANIA")</f>
        <v>TANZANIA</v>
      </c>
      <c r="B39" s="8">
        <f>IFERROR(__xludf.DUMMYFUNCTION("""COMPUTED_VALUE"""),8.0)</f>
        <v>8</v>
      </c>
      <c r="C39" s="7" t="str">
        <f>IFERROR(__xludf.DUMMYFUNCTION("""COMPUTED_VALUE"""),"A_05_09")</f>
        <v>A_05_09</v>
      </c>
      <c r="D39" s="7" t="str">
        <f>IFERROR(__xludf.DUMMYFUNCTION("""COMPUTED_VALUE"""),"Q12b")</f>
        <v>Q12b</v>
      </c>
      <c r="E39" s="7" t="str">
        <f>IFERROR(__xludf.DUMMYFUNCTION("""COMPUTED_VALUE"""),"Contact MP")</f>
        <v>Contact MP</v>
      </c>
      <c r="F39" s="7" t="str">
        <f>IFERROR(__xludf.DUMMYFUNCTION("""COMPUTED_VALUE"""),"A member of Parliament")</f>
        <v>A member of Parliament</v>
      </c>
    </row>
    <row r="40">
      <c r="A40" s="7" t="str">
        <f>IFERROR(__xludf.DUMMYFUNCTION("""COMPUTED_VALUE"""),"TUNISIA ")</f>
        <v>TUNISIA </v>
      </c>
      <c r="B40" s="8">
        <f>IFERROR(__xludf.DUMMYFUNCTION("""COMPUTED_VALUE"""),8.0)</f>
        <v>8</v>
      </c>
      <c r="C40" s="7" t="str">
        <f>IFERROR(__xludf.DUMMYFUNCTION("""COMPUTED_VALUE"""),"A_05_09")</f>
        <v>A_05_09</v>
      </c>
      <c r="D40" s="7" t="str">
        <f>IFERROR(__xludf.DUMMYFUNCTION("""COMPUTED_VALUE"""),"Q12b")</f>
        <v>Q12b</v>
      </c>
      <c r="E40" s="7" t="str">
        <f>IFERROR(__xludf.DUMMYFUNCTION("""COMPUTED_VALUE"""),"Contact MP")</f>
        <v>Contact MP</v>
      </c>
      <c r="F40" s="7" t="str">
        <f>IFERROR(__xludf.DUMMYFUNCTION("""COMPUTED_VALUE"""),"A member of Representative Assembly of the People")</f>
        <v>A member of Representative Assembly of the People</v>
      </c>
    </row>
    <row r="41">
      <c r="A41" s="7" t="str">
        <f>IFERROR(__xludf.DUMMYFUNCTION("""COMPUTED_VALUE"""),"UGANDA  ")</f>
        <v>UGANDA  </v>
      </c>
      <c r="B41" s="8">
        <f>IFERROR(__xludf.DUMMYFUNCTION("""COMPUTED_VALUE"""),8.0)</f>
        <v>8</v>
      </c>
      <c r="C41" s="7" t="str">
        <f>IFERROR(__xludf.DUMMYFUNCTION("""COMPUTED_VALUE"""),"A_05_09")</f>
        <v>A_05_09</v>
      </c>
      <c r="D41" s="7" t="str">
        <f>IFERROR(__xludf.DUMMYFUNCTION("""COMPUTED_VALUE"""),"Q12b")</f>
        <v>Q12b</v>
      </c>
      <c r="E41" s="7" t="str">
        <f>IFERROR(__xludf.DUMMYFUNCTION("""COMPUTED_VALUE"""),"Contact MP")</f>
        <v>Contact MP</v>
      </c>
      <c r="F41" s="7" t="str">
        <f>IFERROR(__xludf.DUMMYFUNCTION("""COMPUTED_VALUE"""),"A member of Parliament")</f>
        <v>A member of Parliament</v>
      </c>
    </row>
    <row r="42">
      <c r="A42" s="7" t="str">
        <f>IFERROR(__xludf.DUMMYFUNCTION("""COMPUTED_VALUE"""),"ZAMBIA")</f>
        <v>ZAMBIA</v>
      </c>
      <c r="B42" s="8">
        <f>IFERROR(__xludf.DUMMYFUNCTION("""COMPUTED_VALUE"""),8.0)</f>
        <v>8</v>
      </c>
      <c r="C42" s="7" t="str">
        <f>IFERROR(__xludf.DUMMYFUNCTION("""COMPUTED_VALUE"""),"A_05_09")</f>
        <v>A_05_09</v>
      </c>
      <c r="D42" s="7" t="str">
        <f>IFERROR(__xludf.DUMMYFUNCTION("""COMPUTED_VALUE"""),"Q12b")</f>
        <v>Q12b</v>
      </c>
      <c r="E42" s="7" t="str">
        <f>IFERROR(__xludf.DUMMYFUNCTION("""COMPUTED_VALUE"""),"Contact MP")</f>
        <v>Contact MP</v>
      </c>
      <c r="F42" s="7" t="str">
        <f>IFERROR(__xludf.DUMMYFUNCTION("""COMPUTED_VALUE"""),"A member of Parliament")</f>
        <v>A member of Parliament</v>
      </c>
    </row>
    <row r="43">
      <c r="A43" s="7" t="str">
        <f>IFERROR(__xludf.DUMMYFUNCTION("""COMPUTED_VALUE"""),"ZIMBABWE")</f>
        <v>ZIMBABWE</v>
      </c>
      <c r="B43" s="8">
        <f>IFERROR(__xludf.DUMMYFUNCTION("""COMPUTED_VALUE"""),8.0)</f>
        <v>8</v>
      </c>
      <c r="C43" s="7" t="str">
        <f>IFERROR(__xludf.DUMMYFUNCTION("""COMPUTED_VALUE"""),"A_05_09")</f>
        <v>A_05_09</v>
      </c>
      <c r="D43" s="7" t="str">
        <f>IFERROR(__xludf.DUMMYFUNCTION("""COMPUTED_VALUE"""),"Q12b")</f>
        <v>Q12b</v>
      </c>
      <c r="E43" s="7" t="str">
        <f>IFERROR(__xludf.DUMMYFUNCTION("""COMPUTED_VALUE"""),"Contact MP")</f>
        <v>Contact MP</v>
      </c>
      <c r="F43" s="7" t="str">
        <f>IFERROR(__xludf.DUMMYFUNCTION("""COMPUTED_VALUE"""),"A Member of Parliament")</f>
        <v>A Member of Parliament</v>
      </c>
    </row>
    <row r="44">
      <c r="A44" s="7" t="str">
        <f>IFERROR(__xludf.DUMMYFUNCTION("""COMPUTED_VALUE"""),"BOTSWANA ")</f>
        <v>BOTSWANA </v>
      </c>
      <c r="B44" s="8">
        <f>IFERROR(__xludf.DUMMYFUNCTION("""COMPUTED_VALUE"""),8.0)</f>
        <v>8</v>
      </c>
      <c r="C44" s="7" t="str">
        <f>IFERROR(__xludf.DUMMYFUNCTION("""COMPUTED_VALUE"""),"A_05_11")</f>
        <v>A_05_11</v>
      </c>
      <c r="D44" s="7" t="str">
        <f>IFERROR(__xludf.DUMMYFUNCTION("""COMPUTED_VALUE"""),"Q12c")</f>
        <v>Q12c</v>
      </c>
      <c r="E44" s="7" t="str">
        <f>IFERROR(__xludf.DUMMYFUNCTION("""COMPUTED_VALUE"""),"Contact political party official")</f>
        <v>Contact political party official</v>
      </c>
      <c r="F44" s="7" t="str">
        <f>IFERROR(__xludf.DUMMYFUNCTION("""COMPUTED_VALUE"""),"A political party official")</f>
        <v>A political party official</v>
      </c>
    </row>
    <row r="45">
      <c r="A45" s="7" t="str">
        <f>IFERROR(__xludf.DUMMYFUNCTION("""COMPUTED_VALUE"""),"CABO VERDE ")</f>
        <v>CABO VERDE </v>
      </c>
      <c r="B45" s="8">
        <f>IFERROR(__xludf.DUMMYFUNCTION("""COMPUTED_VALUE"""),8.0)</f>
        <v>8</v>
      </c>
      <c r="C45" s="7" t="str">
        <f>IFERROR(__xludf.DUMMYFUNCTION("""COMPUTED_VALUE"""),"A_05_11")</f>
        <v>A_05_11</v>
      </c>
      <c r="D45" s="7" t="str">
        <f>IFERROR(__xludf.DUMMYFUNCTION("""COMPUTED_VALUE"""),"Q12c")</f>
        <v>Q12c</v>
      </c>
      <c r="E45" s="7" t="str">
        <f>IFERROR(__xludf.DUMMYFUNCTION("""COMPUTED_VALUE"""),"Contact political party official")</f>
        <v>Contact political party official</v>
      </c>
      <c r="F45" s="7" t="str">
        <f>IFERROR(__xludf.DUMMYFUNCTION("""COMPUTED_VALUE"""),"A political party official")</f>
        <v>A political party official</v>
      </c>
    </row>
    <row r="46">
      <c r="A46" s="7" t="str">
        <f>IFERROR(__xludf.DUMMYFUNCTION("""COMPUTED_VALUE"""),"CAMEROON")</f>
        <v>CAMEROON</v>
      </c>
      <c r="B46" s="8">
        <f>IFERROR(__xludf.DUMMYFUNCTION("""COMPUTED_VALUE"""),8.0)</f>
        <v>8</v>
      </c>
      <c r="C46" s="7" t="str">
        <f>IFERROR(__xludf.DUMMYFUNCTION("""COMPUTED_VALUE"""),"A_05_11")</f>
        <v>A_05_11</v>
      </c>
      <c r="D46" s="7" t="str">
        <f>IFERROR(__xludf.DUMMYFUNCTION("""COMPUTED_VALUE"""),"Q12c")</f>
        <v>Q12c</v>
      </c>
      <c r="E46" s="7" t="str">
        <f>IFERROR(__xludf.DUMMYFUNCTION("""COMPUTED_VALUE"""),"Contact political party official")</f>
        <v>Contact political party official</v>
      </c>
      <c r="F46" s="7" t="str">
        <f>IFERROR(__xludf.DUMMYFUNCTION("""COMPUTED_VALUE"""),"A political party official")</f>
        <v>A political party official</v>
      </c>
    </row>
    <row r="47">
      <c r="A47" s="7" t="str">
        <f>IFERROR(__xludf.DUMMYFUNCTION("""COMPUTED_VALUE"""),"ETHIOPIA")</f>
        <v>ETHIOPIA</v>
      </c>
      <c r="B47" s="8">
        <f>IFERROR(__xludf.DUMMYFUNCTION("""COMPUTED_VALUE"""),8.0)</f>
        <v>8</v>
      </c>
      <c r="C47" s="7" t="str">
        <f>IFERROR(__xludf.DUMMYFUNCTION("""COMPUTED_VALUE"""),"A_05_11")</f>
        <v>A_05_11</v>
      </c>
      <c r="D47" s="7" t="str">
        <f>IFERROR(__xludf.DUMMYFUNCTION("""COMPUTED_VALUE"""),"Q12c")</f>
        <v>Q12c</v>
      </c>
      <c r="E47" s="7" t="str">
        <f>IFERROR(__xludf.DUMMYFUNCTION("""COMPUTED_VALUE"""),"Contact political party official")</f>
        <v>Contact political party official</v>
      </c>
      <c r="F47" s="7" t="str">
        <f>IFERROR(__xludf.DUMMYFUNCTION("""COMPUTED_VALUE"""),"A political party official")</f>
        <v>A political party official</v>
      </c>
    </row>
    <row r="48">
      <c r="A48" s="7" t="str">
        <f>IFERROR(__xludf.DUMMYFUNCTION("""COMPUTED_VALUE"""),"GAMBIA")</f>
        <v>GAMBIA</v>
      </c>
      <c r="B48" s="8">
        <f>IFERROR(__xludf.DUMMYFUNCTION("""COMPUTED_VALUE"""),8.0)</f>
        <v>8</v>
      </c>
      <c r="C48" s="7" t="str">
        <f>IFERROR(__xludf.DUMMYFUNCTION("""COMPUTED_VALUE"""),"A_05_11")</f>
        <v>A_05_11</v>
      </c>
      <c r="D48" s="7" t="str">
        <f>IFERROR(__xludf.DUMMYFUNCTION("""COMPUTED_VALUE"""),"Q12c")</f>
        <v>Q12c</v>
      </c>
      <c r="E48" s="7" t="str">
        <f>IFERROR(__xludf.DUMMYFUNCTION("""COMPUTED_VALUE"""),"Contact political party official")</f>
        <v>Contact political party official</v>
      </c>
      <c r="F48" s="7" t="str">
        <f>IFERROR(__xludf.DUMMYFUNCTION("""COMPUTED_VALUE"""),"A political party official")</f>
        <v>A political party official</v>
      </c>
    </row>
    <row r="49">
      <c r="A49" s="7" t="str">
        <f>IFERROR(__xludf.DUMMYFUNCTION("""COMPUTED_VALUE"""),"GHANA ")</f>
        <v>GHANA </v>
      </c>
      <c r="B49" s="8">
        <f>IFERROR(__xludf.DUMMYFUNCTION("""COMPUTED_VALUE"""),8.0)</f>
        <v>8</v>
      </c>
      <c r="C49" s="7" t="str">
        <f>IFERROR(__xludf.DUMMYFUNCTION("""COMPUTED_VALUE"""),"A_05_11")</f>
        <v>A_05_11</v>
      </c>
      <c r="D49" s="7" t="str">
        <f>IFERROR(__xludf.DUMMYFUNCTION("""COMPUTED_VALUE"""),"Q12c")</f>
        <v>Q12c</v>
      </c>
      <c r="E49" s="7" t="str">
        <f>IFERROR(__xludf.DUMMYFUNCTION("""COMPUTED_VALUE"""),"Contact political party official")</f>
        <v>Contact political party official</v>
      </c>
      <c r="F49" s="7" t="str">
        <f>IFERROR(__xludf.DUMMYFUNCTION("""COMPUTED_VALUE"""),"A political party official")</f>
        <v>A political party official</v>
      </c>
    </row>
    <row r="50">
      <c r="A50" s="7" t="str">
        <f>IFERROR(__xludf.DUMMYFUNCTION("""COMPUTED_VALUE"""),"KENYA  ")</f>
        <v>KENYA  </v>
      </c>
      <c r="B50" s="8">
        <f>IFERROR(__xludf.DUMMYFUNCTION("""COMPUTED_VALUE"""),8.0)</f>
        <v>8</v>
      </c>
      <c r="C50" s="7" t="str">
        <f>IFERROR(__xludf.DUMMYFUNCTION("""COMPUTED_VALUE"""),"A_05_11")</f>
        <v>A_05_11</v>
      </c>
      <c r="D50" s="7" t="str">
        <f>IFERROR(__xludf.DUMMYFUNCTION("""COMPUTED_VALUE"""),"Q12c")</f>
        <v>Q12c</v>
      </c>
      <c r="E50" s="7" t="str">
        <f>IFERROR(__xludf.DUMMYFUNCTION("""COMPUTED_VALUE"""),"Contact political party official")</f>
        <v>Contact political party official</v>
      </c>
      <c r="F50" s="7" t="str">
        <f>IFERROR(__xludf.DUMMYFUNCTION("""COMPUTED_VALUE"""),"A political party official")</f>
        <v>A political party official</v>
      </c>
    </row>
    <row r="51">
      <c r="A51" s="7" t="str">
        <f>IFERROR(__xludf.DUMMYFUNCTION("""COMPUTED_VALUE"""),"LESOTHO ")</f>
        <v>LESOTHO </v>
      </c>
      <c r="B51" s="8">
        <f>IFERROR(__xludf.DUMMYFUNCTION("""COMPUTED_VALUE"""),8.0)</f>
        <v>8</v>
      </c>
      <c r="C51" s="7" t="str">
        <f>IFERROR(__xludf.DUMMYFUNCTION("""COMPUTED_VALUE"""),"A_05_11")</f>
        <v>A_05_11</v>
      </c>
      <c r="D51" s="7" t="str">
        <f>IFERROR(__xludf.DUMMYFUNCTION("""COMPUTED_VALUE"""),"Q12c")</f>
        <v>Q12c</v>
      </c>
      <c r="E51" s="7" t="str">
        <f>IFERROR(__xludf.DUMMYFUNCTION("""COMPUTED_VALUE"""),"Contact political party official")</f>
        <v>Contact political party official</v>
      </c>
      <c r="F51" s="7" t="str">
        <f>IFERROR(__xludf.DUMMYFUNCTION("""COMPUTED_VALUE"""),"A political party official")</f>
        <v>A political party official</v>
      </c>
    </row>
    <row r="52">
      <c r="A52" s="7" t="str">
        <f>IFERROR(__xludf.DUMMYFUNCTION("""COMPUTED_VALUE"""),"LIBERIA  ")</f>
        <v>LIBERIA  </v>
      </c>
      <c r="B52" s="8">
        <f>IFERROR(__xludf.DUMMYFUNCTION("""COMPUTED_VALUE"""),8.0)</f>
        <v>8</v>
      </c>
      <c r="C52" s="7" t="str">
        <f>IFERROR(__xludf.DUMMYFUNCTION("""COMPUTED_VALUE"""),"A_05_11")</f>
        <v>A_05_11</v>
      </c>
      <c r="D52" s="7" t="str">
        <f>IFERROR(__xludf.DUMMYFUNCTION("""COMPUTED_VALUE"""),"Q12c")</f>
        <v>Q12c</v>
      </c>
      <c r="E52" s="7" t="str">
        <f>IFERROR(__xludf.DUMMYFUNCTION("""COMPUTED_VALUE"""),"Contact political party official")</f>
        <v>Contact political party official</v>
      </c>
      <c r="F52" s="7" t="str">
        <f>IFERROR(__xludf.DUMMYFUNCTION("""COMPUTED_VALUE"""),"A political party official")</f>
        <v>A political party official</v>
      </c>
    </row>
    <row r="53">
      <c r="A53" s="7" t="str">
        <f>IFERROR(__xludf.DUMMYFUNCTION("""COMPUTED_VALUE"""),"MALAWI ")</f>
        <v>MALAWI </v>
      </c>
      <c r="B53" s="8">
        <f>IFERROR(__xludf.DUMMYFUNCTION("""COMPUTED_VALUE"""),8.0)</f>
        <v>8</v>
      </c>
      <c r="C53" s="7" t="str">
        <f>IFERROR(__xludf.DUMMYFUNCTION("""COMPUTED_VALUE"""),"A_05_11")</f>
        <v>A_05_11</v>
      </c>
      <c r="D53" s="7" t="str">
        <f>IFERROR(__xludf.DUMMYFUNCTION("""COMPUTED_VALUE"""),"Q12c")</f>
        <v>Q12c</v>
      </c>
      <c r="E53" s="7" t="str">
        <f>IFERROR(__xludf.DUMMYFUNCTION("""COMPUTED_VALUE"""),"Contact political party official")</f>
        <v>Contact political party official</v>
      </c>
      <c r="F53" s="7" t="str">
        <f>IFERROR(__xludf.DUMMYFUNCTION("""COMPUTED_VALUE"""),"A political party official")</f>
        <v>A political party official</v>
      </c>
    </row>
    <row r="54">
      <c r="A54" s="7" t="str">
        <f>IFERROR(__xludf.DUMMYFUNCTION("""COMPUTED_VALUE"""),"MOROCCO ")</f>
        <v>MOROCCO </v>
      </c>
      <c r="B54" s="8">
        <f>IFERROR(__xludf.DUMMYFUNCTION("""COMPUTED_VALUE"""),8.0)</f>
        <v>8</v>
      </c>
      <c r="C54" s="7" t="str">
        <f>IFERROR(__xludf.DUMMYFUNCTION("""COMPUTED_VALUE"""),"A_05_11")</f>
        <v>A_05_11</v>
      </c>
      <c r="D54" s="7" t="str">
        <f>IFERROR(__xludf.DUMMYFUNCTION("""COMPUTED_VALUE"""),"Q12c")</f>
        <v>Q12c</v>
      </c>
      <c r="E54" s="7" t="str">
        <f>IFERROR(__xludf.DUMMYFUNCTION("""COMPUTED_VALUE"""),"Contact political party official")</f>
        <v>Contact political party official</v>
      </c>
      <c r="F54" s="7" t="str">
        <f>IFERROR(__xludf.DUMMYFUNCTION("""COMPUTED_VALUE"""),"A political party official")</f>
        <v>A political party official</v>
      </c>
    </row>
    <row r="55">
      <c r="A55" s="7" t="str">
        <f>IFERROR(__xludf.DUMMYFUNCTION("""COMPUTED_VALUE"""),"MOZAMBIQUE")</f>
        <v>MOZAMBIQUE</v>
      </c>
      <c r="B55" s="8">
        <f>IFERROR(__xludf.DUMMYFUNCTION("""COMPUTED_VALUE"""),8.0)</f>
        <v>8</v>
      </c>
      <c r="C55" s="7" t="str">
        <f>IFERROR(__xludf.DUMMYFUNCTION("""COMPUTED_VALUE"""),"A_05_11")</f>
        <v>A_05_11</v>
      </c>
      <c r="D55" s="7" t="str">
        <f>IFERROR(__xludf.DUMMYFUNCTION("""COMPUTED_VALUE"""),"Q12c")</f>
        <v>Q12c</v>
      </c>
      <c r="E55" s="7" t="str">
        <f>IFERROR(__xludf.DUMMYFUNCTION("""COMPUTED_VALUE"""),"Contact political party official")</f>
        <v>Contact political party official</v>
      </c>
      <c r="F55" s="7" t="str">
        <f>IFERROR(__xludf.DUMMYFUNCTION("""COMPUTED_VALUE"""),"A political party official")</f>
        <v>A political party official</v>
      </c>
    </row>
    <row r="56">
      <c r="A56" s="7" t="str">
        <f>IFERROR(__xludf.DUMMYFUNCTION("""COMPUTED_VALUE"""),"NAMIBIA ")</f>
        <v>NAMIBIA </v>
      </c>
      <c r="B56" s="8">
        <f>IFERROR(__xludf.DUMMYFUNCTION("""COMPUTED_VALUE"""),8.0)</f>
        <v>8</v>
      </c>
      <c r="C56" s="7" t="str">
        <f>IFERROR(__xludf.DUMMYFUNCTION("""COMPUTED_VALUE"""),"A_05_11")</f>
        <v>A_05_11</v>
      </c>
      <c r="D56" s="7" t="str">
        <f>IFERROR(__xludf.DUMMYFUNCTION("""COMPUTED_VALUE"""),"Q12c")</f>
        <v>Q12c</v>
      </c>
      <c r="E56" s="7" t="str">
        <f>IFERROR(__xludf.DUMMYFUNCTION("""COMPUTED_VALUE"""),"Contact political party official")</f>
        <v>Contact political party official</v>
      </c>
      <c r="F56" s="7" t="str">
        <f>IFERROR(__xludf.DUMMYFUNCTION("""COMPUTED_VALUE"""),"A political party official")</f>
        <v>A political party official</v>
      </c>
    </row>
    <row r="57">
      <c r="A57" s="7" t="str">
        <f>IFERROR(__xludf.DUMMYFUNCTION("""COMPUTED_VALUE"""),"NIGERIA ")</f>
        <v>NIGERIA </v>
      </c>
      <c r="B57" s="8">
        <f>IFERROR(__xludf.DUMMYFUNCTION("""COMPUTED_VALUE"""),8.0)</f>
        <v>8</v>
      </c>
      <c r="C57" s="7" t="str">
        <f>IFERROR(__xludf.DUMMYFUNCTION("""COMPUTED_VALUE"""),"A_05_11")</f>
        <v>A_05_11</v>
      </c>
      <c r="D57" s="7" t="str">
        <f>IFERROR(__xludf.DUMMYFUNCTION("""COMPUTED_VALUE"""),"Q12c")</f>
        <v>Q12c</v>
      </c>
      <c r="E57" s="7" t="str">
        <f>IFERROR(__xludf.DUMMYFUNCTION("""COMPUTED_VALUE"""),"Contact political party official")</f>
        <v>Contact political party official</v>
      </c>
      <c r="F57" s="7" t="str">
        <f>IFERROR(__xludf.DUMMYFUNCTION("""COMPUTED_VALUE"""),"A political party official")</f>
        <v>A political party official</v>
      </c>
    </row>
    <row r="58">
      <c r="A58" s="7" t="str">
        <f>IFERROR(__xludf.DUMMYFUNCTION("""COMPUTED_VALUE"""),"SIERRA LEONE")</f>
        <v>SIERRA LEONE</v>
      </c>
      <c r="B58" s="8">
        <f>IFERROR(__xludf.DUMMYFUNCTION("""COMPUTED_VALUE"""),8.0)</f>
        <v>8</v>
      </c>
      <c r="C58" s="7" t="str">
        <f>IFERROR(__xludf.DUMMYFUNCTION("""COMPUTED_VALUE"""),"A_05_11")</f>
        <v>A_05_11</v>
      </c>
      <c r="D58" s="7" t="str">
        <f>IFERROR(__xludf.DUMMYFUNCTION("""COMPUTED_VALUE"""),"Q12c")</f>
        <v>Q12c</v>
      </c>
      <c r="E58" s="7" t="str">
        <f>IFERROR(__xludf.DUMMYFUNCTION("""COMPUTED_VALUE"""),"Contact political party official")</f>
        <v>Contact political party official</v>
      </c>
      <c r="F58" s="7" t="str">
        <f>IFERROR(__xludf.DUMMYFUNCTION("""COMPUTED_VALUE"""),"A political party official")</f>
        <v>A political party official</v>
      </c>
    </row>
    <row r="59">
      <c r="A59" s="7" t="str">
        <f>IFERROR(__xludf.DUMMYFUNCTION("""COMPUTED_VALUE"""),"SOUTH AFRICA")</f>
        <v>SOUTH AFRICA</v>
      </c>
      <c r="B59" s="8">
        <f>IFERROR(__xludf.DUMMYFUNCTION("""COMPUTED_VALUE"""),8.0)</f>
        <v>8</v>
      </c>
      <c r="C59" s="7" t="str">
        <f>IFERROR(__xludf.DUMMYFUNCTION("""COMPUTED_VALUE"""),"A_05_11")</f>
        <v>A_05_11</v>
      </c>
      <c r="D59" s="7" t="str">
        <f>IFERROR(__xludf.DUMMYFUNCTION("""COMPUTED_VALUE"""),"Q12c")</f>
        <v>Q12c</v>
      </c>
      <c r="E59" s="7" t="str">
        <f>IFERROR(__xludf.DUMMYFUNCTION("""COMPUTED_VALUE"""),"Contact political party official")</f>
        <v>Contact political party official</v>
      </c>
      <c r="F59" s="7" t="str">
        <f>IFERROR(__xludf.DUMMYFUNCTION("""COMPUTED_VALUE"""),"A political party official")</f>
        <v>A political party official</v>
      </c>
    </row>
    <row r="60">
      <c r="A60" s="7" t="str">
        <f>IFERROR(__xludf.DUMMYFUNCTION("""COMPUTED_VALUE"""),"SUDAN")</f>
        <v>SUDAN</v>
      </c>
      <c r="B60" s="8">
        <f>IFERROR(__xludf.DUMMYFUNCTION("""COMPUTED_VALUE"""),8.0)</f>
        <v>8</v>
      </c>
      <c r="C60" s="7" t="str">
        <f>IFERROR(__xludf.DUMMYFUNCTION("""COMPUTED_VALUE"""),"A_05_11")</f>
        <v>A_05_11</v>
      </c>
      <c r="D60" s="7" t="str">
        <f>IFERROR(__xludf.DUMMYFUNCTION("""COMPUTED_VALUE"""),"Q12c")</f>
        <v>Q12c</v>
      </c>
      <c r="E60" s="7" t="str">
        <f>IFERROR(__xludf.DUMMYFUNCTION("""COMPUTED_VALUE"""),"Contact political party official")</f>
        <v>Contact political party official</v>
      </c>
      <c r="F60" s="7" t="str">
        <f>IFERROR(__xludf.DUMMYFUNCTION("""COMPUTED_VALUE"""),"A political party official")</f>
        <v>A political party official</v>
      </c>
    </row>
    <row r="61">
      <c r="A61" s="7" t="str">
        <f>IFERROR(__xludf.DUMMYFUNCTION("""COMPUTED_VALUE"""),"TANZANIA")</f>
        <v>TANZANIA</v>
      </c>
      <c r="B61" s="8">
        <f>IFERROR(__xludf.DUMMYFUNCTION("""COMPUTED_VALUE"""),8.0)</f>
        <v>8</v>
      </c>
      <c r="C61" s="7" t="str">
        <f>IFERROR(__xludf.DUMMYFUNCTION("""COMPUTED_VALUE"""),"A_05_11")</f>
        <v>A_05_11</v>
      </c>
      <c r="D61" s="7" t="str">
        <f>IFERROR(__xludf.DUMMYFUNCTION("""COMPUTED_VALUE"""),"Q12c")</f>
        <v>Q12c</v>
      </c>
      <c r="E61" s="7" t="str">
        <f>IFERROR(__xludf.DUMMYFUNCTION("""COMPUTED_VALUE"""),"Contact political party official")</f>
        <v>Contact political party official</v>
      </c>
      <c r="F61" s="7" t="str">
        <f>IFERROR(__xludf.DUMMYFUNCTION("""COMPUTED_VALUE"""),"A political party official")</f>
        <v>A political party official</v>
      </c>
    </row>
    <row r="62">
      <c r="A62" s="7" t="str">
        <f>IFERROR(__xludf.DUMMYFUNCTION("""COMPUTED_VALUE"""),"TUNISIA ")</f>
        <v>TUNISIA </v>
      </c>
      <c r="B62" s="8">
        <f>IFERROR(__xludf.DUMMYFUNCTION("""COMPUTED_VALUE"""),8.0)</f>
        <v>8</v>
      </c>
      <c r="C62" s="7" t="str">
        <f>IFERROR(__xludf.DUMMYFUNCTION("""COMPUTED_VALUE"""),"A_05_11")</f>
        <v>A_05_11</v>
      </c>
      <c r="D62" s="7" t="str">
        <f>IFERROR(__xludf.DUMMYFUNCTION("""COMPUTED_VALUE"""),"Q12c")</f>
        <v>Q12c</v>
      </c>
      <c r="E62" s="7" t="str">
        <f>IFERROR(__xludf.DUMMYFUNCTION("""COMPUTED_VALUE"""),"Contact political party official")</f>
        <v>Contact political party official</v>
      </c>
      <c r="F62" s="7" t="str">
        <f>IFERROR(__xludf.DUMMYFUNCTION("""COMPUTED_VALUE"""),"A political party official")</f>
        <v>A political party official</v>
      </c>
    </row>
    <row r="63">
      <c r="A63" s="7" t="str">
        <f>IFERROR(__xludf.DUMMYFUNCTION("""COMPUTED_VALUE"""),"UGANDA  ")</f>
        <v>UGANDA  </v>
      </c>
      <c r="B63" s="8">
        <f>IFERROR(__xludf.DUMMYFUNCTION("""COMPUTED_VALUE"""),8.0)</f>
        <v>8</v>
      </c>
      <c r="C63" s="7" t="str">
        <f>IFERROR(__xludf.DUMMYFUNCTION("""COMPUTED_VALUE"""),"A_05_11")</f>
        <v>A_05_11</v>
      </c>
      <c r="D63" s="7" t="str">
        <f>IFERROR(__xludf.DUMMYFUNCTION("""COMPUTED_VALUE"""),"Q12c")</f>
        <v>Q12c</v>
      </c>
      <c r="E63" s="7" t="str">
        <f>IFERROR(__xludf.DUMMYFUNCTION("""COMPUTED_VALUE"""),"Contact political party official")</f>
        <v>Contact political party official</v>
      </c>
      <c r="F63" s="7" t="str">
        <f>IFERROR(__xludf.DUMMYFUNCTION("""COMPUTED_VALUE"""),"A political party official")</f>
        <v>A political party official</v>
      </c>
    </row>
    <row r="64">
      <c r="A64" s="7" t="str">
        <f>IFERROR(__xludf.DUMMYFUNCTION("""COMPUTED_VALUE"""),"ZAMBIA")</f>
        <v>ZAMBIA</v>
      </c>
      <c r="B64" s="8">
        <f>IFERROR(__xludf.DUMMYFUNCTION("""COMPUTED_VALUE"""),8.0)</f>
        <v>8</v>
      </c>
      <c r="C64" s="7" t="str">
        <f>IFERROR(__xludf.DUMMYFUNCTION("""COMPUTED_VALUE"""),"A_05_11")</f>
        <v>A_05_11</v>
      </c>
      <c r="D64" s="7" t="str">
        <f>IFERROR(__xludf.DUMMYFUNCTION("""COMPUTED_VALUE"""),"Q12c")</f>
        <v>Q12c</v>
      </c>
      <c r="E64" s="7" t="str">
        <f>IFERROR(__xludf.DUMMYFUNCTION("""COMPUTED_VALUE"""),"Contact political party official")</f>
        <v>Contact political party official</v>
      </c>
      <c r="F64" s="7" t="str">
        <f>IFERROR(__xludf.DUMMYFUNCTION("""COMPUTED_VALUE"""),"A political party official")</f>
        <v>A political party official</v>
      </c>
    </row>
    <row r="65">
      <c r="A65" s="7" t="str">
        <f>IFERROR(__xludf.DUMMYFUNCTION("""COMPUTED_VALUE"""),"ZIMBABWE")</f>
        <v>ZIMBABWE</v>
      </c>
      <c r="B65" s="8">
        <f>IFERROR(__xludf.DUMMYFUNCTION("""COMPUTED_VALUE"""),8.0)</f>
        <v>8</v>
      </c>
      <c r="C65" s="7" t="str">
        <f>IFERROR(__xludf.DUMMYFUNCTION("""COMPUTED_VALUE"""),"A_05_11")</f>
        <v>A_05_11</v>
      </c>
      <c r="D65" s="7" t="str">
        <f>IFERROR(__xludf.DUMMYFUNCTION("""COMPUTED_VALUE"""),"Q12c")</f>
        <v>Q12c</v>
      </c>
      <c r="E65" s="7" t="str">
        <f>IFERROR(__xludf.DUMMYFUNCTION("""COMPUTED_VALUE"""),"Contact political party official")</f>
        <v>Contact political party official</v>
      </c>
      <c r="F65" s="7" t="str">
        <f>IFERROR(__xludf.DUMMYFUNCTION("""COMPUTED_VALUE"""),"A political party official")</f>
        <v>A political party official</v>
      </c>
    </row>
    <row r="66">
      <c r="A66" s="7" t="str">
        <f>IFERROR(__xludf.DUMMYFUNCTION("""COMPUTED_VALUE"""),"ESWATINI")</f>
        <v>ESWATINI</v>
      </c>
      <c r="B66" s="8">
        <f>IFERROR(__xludf.DUMMYFUNCTION("""COMPUTED_VALUE"""),8.0)</f>
        <v>8</v>
      </c>
      <c r="C66" s="7" t="str">
        <f>IFERROR(__xludf.DUMMYFUNCTION("""COMPUTED_VALUE"""),"A_05_15")</f>
        <v>A_05_15</v>
      </c>
      <c r="D66" s="7" t="str">
        <f>IFERROR(__xludf.DUMMYFUNCTION("""COMPUTED_VALUE"""),"Q12d")</f>
        <v>Q12d</v>
      </c>
      <c r="E66" s="7" t="str">
        <f>IFERROR(__xludf.DUMMYFUNCTION("""COMPUTED_VALUE"""),"Contact traditional leader")</f>
        <v>Contact traditional leader</v>
      </c>
      <c r="F66" s="7" t="str">
        <f>IFERROR(__xludf.DUMMYFUNCTION("""COMPUTED_VALUE"""),"Traditional leaders, you know, Buchopho")</f>
        <v>Traditional leaders, you know, Buchopho</v>
      </c>
    </row>
    <row r="67">
      <c r="A67" s="7" t="str">
        <f>IFERROR(__xludf.DUMMYFUNCTION("""COMPUTED_VALUE"""),"ETHIOPIA")</f>
        <v>ETHIOPIA</v>
      </c>
      <c r="B67" s="8">
        <f>IFERROR(__xludf.DUMMYFUNCTION("""COMPUTED_VALUE"""),8.0)</f>
        <v>8</v>
      </c>
      <c r="C67" s="7" t="str">
        <f>IFERROR(__xludf.DUMMYFUNCTION("""COMPUTED_VALUE"""),"A_05_15")</f>
        <v>A_05_15</v>
      </c>
      <c r="D67" s="7" t="str">
        <f>IFERROR(__xludf.DUMMYFUNCTION("""COMPUTED_VALUE"""),"Q12d")</f>
        <v>Q12d</v>
      </c>
      <c r="E67" s="7" t="str">
        <f>IFERROR(__xludf.DUMMYFUNCTION("""COMPUTED_VALUE"""),"Contact traditional leader")</f>
        <v>Contact traditional leader</v>
      </c>
      <c r="F67" s="7" t="str">
        <f>IFERROR(__xludf.DUMMYFUNCTION("""COMPUTED_VALUE"""),"A traditional leader")</f>
        <v>A traditional leader</v>
      </c>
    </row>
    <row r="68">
      <c r="A68" s="7" t="str">
        <f>IFERROR(__xludf.DUMMYFUNCTION("""COMPUTED_VALUE"""),"GAMBIA")</f>
        <v>GAMBIA</v>
      </c>
      <c r="B68" s="8">
        <f>IFERROR(__xludf.DUMMYFUNCTION("""COMPUTED_VALUE"""),8.0)</f>
        <v>8</v>
      </c>
      <c r="C68" s="7" t="str">
        <f>IFERROR(__xludf.DUMMYFUNCTION("""COMPUTED_VALUE"""),"A_05_15")</f>
        <v>A_05_15</v>
      </c>
      <c r="D68" s="7" t="str">
        <f>IFERROR(__xludf.DUMMYFUNCTION("""COMPUTED_VALUE"""),"Q12d")</f>
        <v>Q12d</v>
      </c>
      <c r="E68" s="7" t="str">
        <f>IFERROR(__xludf.DUMMYFUNCTION("""COMPUTED_VALUE"""),"Contact traditional leader")</f>
        <v>Contact traditional leader</v>
      </c>
      <c r="F68" s="7" t="str">
        <f>IFERROR(__xludf.DUMMYFUNCTION("""COMPUTED_VALUE"""),"A traditional leader")</f>
        <v>A traditional leader</v>
      </c>
    </row>
    <row r="69">
      <c r="A69" s="7" t="str">
        <f>IFERROR(__xludf.DUMMYFUNCTION("""COMPUTED_VALUE"""),"GHANA ")</f>
        <v>GHANA </v>
      </c>
      <c r="B69" s="8">
        <f>IFERROR(__xludf.DUMMYFUNCTION("""COMPUTED_VALUE"""),8.0)</f>
        <v>8</v>
      </c>
      <c r="C69" s="7" t="str">
        <f>IFERROR(__xludf.DUMMYFUNCTION("""COMPUTED_VALUE"""),"A_05_15")</f>
        <v>A_05_15</v>
      </c>
      <c r="D69" s="7" t="str">
        <f>IFERROR(__xludf.DUMMYFUNCTION("""COMPUTED_VALUE"""),"Q12d")</f>
        <v>Q12d</v>
      </c>
      <c r="E69" s="7" t="str">
        <f>IFERROR(__xludf.DUMMYFUNCTION("""COMPUTED_VALUE"""),"Contact traditional leader")</f>
        <v>Contact traditional leader</v>
      </c>
      <c r="F69" s="7" t="str">
        <f>IFERROR(__xludf.DUMMYFUNCTION("""COMPUTED_VALUE"""),"A traditional leader")</f>
        <v>A traditional leader</v>
      </c>
    </row>
    <row r="70">
      <c r="A70" s="7" t="str">
        <f>IFERROR(__xludf.DUMMYFUNCTION("""COMPUTED_VALUE"""),"KENYA  ")</f>
        <v>KENYA  </v>
      </c>
      <c r="B70" s="8">
        <f>IFERROR(__xludf.DUMMYFUNCTION("""COMPUTED_VALUE"""),8.0)</f>
        <v>8</v>
      </c>
      <c r="C70" s="7" t="str">
        <f>IFERROR(__xludf.DUMMYFUNCTION("""COMPUTED_VALUE"""),"A_05_15")</f>
        <v>A_05_15</v>
      </c>
      <c r="D70" s="7" t="str">
        <f>IFERROR(__xludf.DUMMYFUNCTION("""COMPUTED_VALUE"""),"Q12d")</f>
        <v>Q12d</v>
      </c>
      <c r="E70" s="7" t="str">
        <f>IFERROR(__xludf.DUMMYFUNCTION("""COMPUTED_VALUE"""),"Contact traditional leader")</f>
        <v>Contact traditional leader</v>
      </c>
      <c r="F70" s="7" t="str">
        <f>IFERROR(__xludf.DUMMYFUNCTION("""COMPUTED_VALUE"""),"A traditional leader")</f>
        <v>A traditional leader</v>
      </c>
    </row>
    <row r="71">
      <c r="A71" s="7" t="str">
        <f>IFERROR(__xludf.DUMMYFUNCTION("""COMPUTED_VALUE"""),"LESOTHO ")</f>
        <v>LESOTHO </v>
      </c>
      <c r="B71" s="8">
        <f>IFERROR(__xludf.DUMMYFUNCTION("""COMPUTED_VALUE"""),8.0)</f>
        <v>8</v>
      </c>
      <c r="C71" s="7" t="str">
        <f>IFERROR(__xludf.DUMMYFUNCTION("""COMPUTED_VALUE"""),"A_05_15")</f>
        <v>A_05_15</v>
      </c>
      <c r="D71" s="7" t="str">
        <f>IFERROR(__xludf.DUMMYFUNCTION("""COMPUTED_VALUE"""),"Q12d")</f>
        <v>Q12d</v>
      </c>
      <c r="E71" s="7" t="str">
        <f>IFERROR(__xludf.DUMMYFUNCTION("""COMPUTED_VALUE"""),"Contact traditional leader")</f>
        <v>Contact traditional leader</v>
      </c>
      <c r="F71" s="7" t="str">
        <f>IFERROR(__xludf.DUMMYFUNCTION("""COMPUTED_VALUE"""),"A traditional leader")</f>
        <v>A traditional leader</v>
      </c>
    </row>
    <row r="72">
      <c r="A72" s="7" t="str">
        <f>IFERROR(__xludf.DUMMYFUNCTION("""COMPUTED_VALUE"""),"LIBERIA  ")</f>
        <v>LIBERIA  </v>
      </c>
      <c r="B72" s="8">
        <f>IFERROR(__xludf.DUMMYFUNCTION("""COMPUTED_VALUE"""),8.0)</f>
        <v>8</v>
      </c>
      <c r="C72" s="7" t="str">
        <f>IFERROR(__xludf.DUMMYFUNCTION("""COMPUTED_VALUE"""),"A_05_15")</f>
        <v>A_05_15</v>
      </c>
      <c r="D72" s="7" t="str">
        <f>IFERROR(__xludf.DUMMYFUNCTION("""COMPUTED_VALUE"""),"Q12d")</f>
        <v>Q12d</v>
      </c>
      <c r="E72" s="7" t="str">
        <f>IFERROR(__xludf.DUMMYFUNCTION("""COMPUTED_VALUE"""),"Contact traditional leader")</f>
        <v>Contact traditional leader</v>
      </c>
      <c r="F72" s="7" t="str">
        <f>IFERROR(__xludf.DUMMYFUNCTION("""COMPUTED_VALUE"""),"A traditional leader")</f>
        <v>A traditional leader</v>
      </c>
    </row>
    <row r="73">
      <c r="A73" s="7" t="str">
        <f>IFERROR(__xludf.DUMMYFUNCTION("""COMPUTED_VALUE"""),"MALAWI ")</f>
        <v>MALAWI </v>
      </c>
      <c r="B73" s="8">
        <f>IFERROR(__xludf.DUMMYFUNCTION("""COMPUTED_VALUE"""),8.0)</f>
        <v>8</v>
      </c>
      <c r="C73" s="7" t="str">
        <f>IFERROR(__xludf.DUMMYFUNCTION("""COMPUTED_VALUE"""),"A_05_15")</f>
        <v>A_05_15</v>
      </c>
      <c r="D73" s="7" t="str">
        <f>IFERROR(__xludf.DUMMYFUNCTION("""COMPUTED_VALUE"""),"Q12d")</f>
        <v>Q12d</v>
      </c>
      <c r="E73" s="7" t="str">
        <f>IFERROR(__xludf.DUMMYFUNCTION("""COMPUTED_VALUE"""),"Contact traditional leader")</f>
        <v>Contact traditional leader</v>
      </c>
      <c r="F73" s="7" t="str">
        <f>IFERROR(__xludf.DUMMYFUNCTION("""COMPUTED_VALUE"""),"A traditional leader")</f>
        <v>A traditional leader</v>
      </c>
    </row>
    <row r="74">
      <c r="A74" s="7" t="str">
        <f>IFERROR(__xludf.DUMMYFUNCTION("""COMPUTED_VALUE"""),"MOROCCO ")</f>
        <v>MOROCCO </v>
      </c>
      <c r="B74" s="8">
        <f>IFERROR(__xludf.DUMMYFUNCTION("""COMPUTED_VALUE"""),8.0)</f>
        <v>8</v>
      </c>
      <c r="C74" s="7" t="str">
        <f>IFERROR(__xludf.DUMMYFUNCTION("""COMPUTED_VALUE"""),"A_05_15")</f>
        <v>A_05_15</v>
      </c>
      <c r="D74" s="7" t="str">
        <f>IFERROR(__xludf.DUMMYFUNCTION("""COMPUTED_VALUE"""),"Q12d")</f>
        <v>Q12d</v>
      </c>
      <c r="E74" s="7" t="str">
        <f>IFERROR(__xludf.DUMMYFUNCTION("""COMPUTED_VALUE"""),"Contact traditional leader")</f>
        <v>Contact traditional leader</v>
      </c>
      <c r="F74" s="7" t="str">
        <f>IFERROR(__xludf.DUMMYFUNCTION("""COMPUTED_VALUE"""),"A traditional leader")</f>
        <v>A traditional leader</v>
      </c>
    </row>
    <row r="75">
      <c r="A75" s="7" t="str">
        <f>IFERROR(__xludf.DUMMYFUNCTION("""COMPUTED_VALUE"""),"MOZAMBIQUE")</f>
        <v>MOZAMBIQUE</v>
      </c>
      <c r="B75" s="8">
        <f>IFERROR(__xludf.DUMMYFUNCTION("""COMPUTED_VALUE"""),8.0)</f>
        <v>8</v>
      </c>
      <c r="C75" s="7" t="str">
        <f>IFERROR(__xludf.DUMMYFUNCTION("""COMPUTED_VALUE"""),"A_05_15")</f>
        <v>A_05_15</v>
      </c>
      <c r="D75" s="7" t="str">
        <f>IFERROR(__xludf.DUMMYFUNCTION("""COMPUTED_VALUE"""),"Q12d")</f>
        <v>Q12d</v>
      </c>
      <c r="E75" s="7" t="str">
        <f>IFERROR(__xludf.DUMMYFUNCTION("""COMPUTED_VALUE"""),"Contact traditional leader")</f>
        <v>Contact traditional leader</v>
      </c>
      <c r="F75" s="7" t="str">
        <f>IFERROR(__xludf.DUMMYFUNCTION("""COMPUTED_VALUE"""),"A traditional leader")</f>
        <v>A traditional leader</v>
      </c>
    </row>
    <row r="76">
      <c r="A76" s="7" t="str">
        <f>IFERROR(__xludf.DUMMYFUNCTION("""COMPUTED_VALUE"""),"NAMIBIA ")</f>
        <v>NAMIBIA </v>
      </c>
      <c r="B76" s="8">
        <f>IFERROR(__xludf.DUMMYFUNCTION("""COMPUTED_VALUE"""),8.0)</f>
        <v>8</v>
      </c>
      <c r="C76" s="7" t="str">
        <f>IFERROR(__xludf.DUMMYFUNCTION("""COMPUTED_VALUE"""),"A_05_15")</f>
        <v>A_05_15</v>
      </c>
      <c r="D76" s="7" t="str">
        <f>IFERROR(__xludf.DUMMYFUNCTION("""COMPUTED_VALUE"""),"Q12d")</f>
        <v>Q12d</v>
      </c>
      <c r="E76" s="7" t="str">
        <f>IFERROR(__xludf.DUMMYFUNCTION("""COMPUTED_VALUE"""),"Contact traditional leader")</f>
        <v>Contact traditional leader</v>
      </c>
      <c r="F76" s="7" t="str">
        <f>IFERROR(__xludf.DUMMYFUNCTION("""COMPUTED_VALUE"""),"A traditional leader")</f>
        <v>A traditional leader</v>
      </c>
    </row>
    <row r="77">
      <c r="A77" s="7" t="str">
        <f>IFERROR(__xludf.DUMMYFUNCTION("""COMPUTED_VALUE"""),"NIGERIA ")</f>
        <v>NIGERIA </v>
      </c>
      <c r="B77" s="8">
        <f>IFERROR(__xludf.DUMMYFUNCTION("""COMPUTED_VALUE"""),8.0)</f>
        <v>8</v>
      </c>
      <c r="C77" s="7" t="str">
        <f>IFERROR(__xludf.DUMMYFUNCTION("""COMPUTED_VALUE"""),"A_05_15")</f>
        <v>A_05_15</v>
      </c>
      <c r="D77" s="7" t="str">
        <f>IFERROR(__xludf.DUMMYFUNCTION("""COMPUTED_VALUE"""),"Q12d")</f>
        <v>Q12d</v>
      </c>
      <c r="E77" s="7" t="str">
        <f>IFERROR(__xludf.DUMMYFUNCTION("""COMPUTED_VALUE"""),"Contact traditional leader")</f>
        <v>Contact traditional leader</v>
      </c>
      <c r="F77" s="7" t="str">
        <f>IFERROR(__xludf.DUMMYFUNCTION("""COMPUTED_VALUE"""),"A traditional leader")</f>
        <v>A traditional leader</v>
      </c>
    </row>
    <row r="78">
      <c r="A78" s="7" t="str">
        <f>IFERROR(__xludf.DUMMYFUNCTION("""COMPUTED_VALUE"""),"SIERRA LEONE")</f>
        <v>SIERRA LEONE</v>
      </c>
      <c r="B78" s="8">
        <f>IFERROR(__xludf.DUMMYFUNCTION("""COMPUTED_VALUE"""),8.0)</f>
        <v>8</v>
      </c>
      <c r="C78" s="7" t="str">
        <f>IFERROR(__xludf.DUMMYFUNCTION("""COMPUTED_VALUE"""),"A_05_15")</f>
        <v>A_05_15</v>
      </c>
      <c r="D78" s="7" t="str">
        <f>IFERROR(__xludf.DUMMYFUNCTION("""COMPUTED_VALUE"""),"Q12d")</f>
        <v>Q12d</v>
      </c>
      <c r="E78" s="7" t="str">
        <f>IFERROR(__xludf.DUMMYFUNCTION("""COMPUTED_VALUE"""),"Contact traditional leader")</f>
        <v>Contact traditional leader</v>
      </c>
      <c r="F78" s="7" t="str">
        <f>IFERROR(__xludf.DUMMYFUNCTION("""COMPUTED_VALUE"""),"A traditional leader")</f>
        <v>A traditional leader</v>
      </c>
    </row>
    <row r="79">
      <c r="A79" s="7" t="str">
        <f>IFERROR(__xludf.DUMMYFUNCTION("""COMPUTED_VALUE"""),"SOUTH AFRICA")</f>
        <v>SOUTH AFRICA</v>
      </c>
      <c r="B79" s="8">
        <f>IFERROR(__xludf.DUMMYFUNCTION("""COMPUTED_VALUE"""),8.0)</f>
        <v>8</v>
      </c>
      <c r="C79" s="7" t="str">
        <f>IFERROR(__xludf.DUMMYFUNCTION("""COMPUTED_VALUE"""),"A_05_15")</f>
        <v>A_05_15</v>
      </c>
      <c r="D79" s="7" t="str">
        <f>IFERROR(__xludf.DUMMYFUNCTION("""COMPUTED_VALUE"""),"Q12d")</f>
        <v>Q12d</v>
      </c>
      <c r="E79" s="7" t="str">
        <f>IFERROR(__xludf.DUMMYFUNCTION("""COMPUTED_VALUE"""),"Contact traditional leader")</f>
        <v>Contact traditional leader</v>
      </c>
      <c r="F79" s="7" t="str">
        <f>IFERROR(__xludf.DUMMYFUNCTION("""COMPUTED_VALUE"""),"A traditional leader")</f>
        <v>A traditional leader</v>
      </c>
    </row>
    <row r="80">
      <c r="A80" s="7" t="str">
        <f>IFERROR(__xludf.DUMMYFUNCTION("""COMPUTED_VALUE"""),"SUDAN")</f>
        <v>SUDAN</v>
      </c>
      <c r="B80" s="8">
        <f>IFERROR(__xludf.DUMMYFUNCTION("""COMPUTED_VALUE"""),8.0)</f>
        <v>8</v>
      </c>
      <c r="C80" s="7" t="str">
        <f>IFERROR(__xludf.DUMMYFUNCTION("""COMPUTED_VALUE"""),"A_05_15")</f>
        <v>A_05_15</v>
      </c>
      <c r="D80" s="7" t="str">
        <f>IFERROR(__xludf.DUMMYFUNCTION("""COMPUTED_VALUE"""),"Q12d")</f>
        <v>Q12d</v>
      </c>
      <c r="E80" s="7" t="str">
        <f>IFERROR(__xludf.DUMMYFUNCTION("""COMPUTED_VALUE"""),"Contact traditional leader")</f>
        <v>Contact traditional leader</v>
      </c>
      <c r="F80" s="7" t="str">
        <f>IFERROR(__xludf.DUMMYFUNCTION("""COMPUTED_VALUE"""),"A traditional leader")</f>
        <v>A traditional leader</v>
      </c>
    </row>
    <row r="81">
      <c r="A81" s="7" t="str">
        <f>IFERROR(__xludf.DUMMYFUNCTION("""COMPUTED_VALUE"""),"TANZANIA")</f>
        <v>TANZANIA</v>
      </c>
      <c r="B81" s="8">
        <f>IFERROR(__xludf.DUMMYFUNCTION("""COMPUTED_VALUE"""),8.0)</f>
        <v>8</v>
      </c>
      <c r="C81" s="7" t="str">
        <f>IFERROR(__xludf.DUMMYFUNCTION("""COMPUTED_VALUE"""),"A_05_15")</f>
        <v>A_05_15</v>
      </c>
      <c r="D81" s="7" t="str">
        <f>IFERROR(__xludf.DUMMYFUNCTION("""COMPUTED_VALUE"""),"Q12d")</f>
        <v>Q12d</v>
      </c>
      <c r="E81" s="7" t="str">
        <f>IFERROR(__xludf.DUMMYFUNCTION("""COMPUTED_VALUE"""),"Contact traditional leader")</f>
        <v>Contact traditional leader</v>
      </c>
      <c r="F81" s="7" t="str">
        <f>IFERROR(__xludf.DUMMYFUNCTION("""COMPUTED_VALUE"""),"A traditional leader")</f>
        <v>A traditional leader</v>
      </c>
    </row>
    <row r="82">
      <c r="A82" s="7" t="str">
        <f>IFERROR(__xludf.DUMMYFUNCTION("""COMPUTED_VALUE"""),"UGANDA  ")</f>
        <v>UGANDA  </v>
      </c>
      <c r="B82" s="8">
        <f>IFERROR(__xludf.DUMMYFUNCTION("""COMPUTED_VALUE"""),8.0)</f>
        <v>8</v>
      </c>
      <c r="C82" s="7" t="str">
        <f>IFERROR(__xludf.DUMMYFUNCTION("""COMPUTED_VALUE"""),"A_05_15")</f>
        <v>A_05_15</v>
      </c>
      <c r="D82" s="7" t="str">
        <f>IFERROR(__xludf.DUMMYFUNCTION("""COMPUTED_VALUE"""),"Q12d")</f>
        <v>Q12d</v>
      </c>
      <c r="E82" s="7" t="str">
        <f>IFERROR(__xludf.DUMMYFUNCTION("""COMPUTED_VALUE"""),"Contact traditional leader")</f>
        <v>Contact traditional leader</v>
      </c>
      <c r="F82" s="7" t="str">
        <f>IFERROR(__xludf.DUMMYFUNCTION("""COMPUTED_VALUE"""),"A traditional leader")</f>
        <v>A traditional leader</v>
      </c>
    </row>
    <row r="83">
      <c r="A83" s="7" t="str">
        <f>IFERROR(__xludf.DUMMYFUNCTION("""COMPUTED_VALUE"""),"ZAMBIA")</f>
        <v>ZAMBIA</v>
      </c>
      <c r="B83" s="8">
        <f>IFERROR(__xludf.DUMMYFUNCTION("""COMPUTED_VALUE"""),8.0)</f>
        <v>8</v>
      </c>
      <c r="C83" s="7" t="str">
        <f>IFERROR(__xludf.DUMMYFUNCTION("""COMPUTED_VALUE"""),"A_05_15")</f>
        <v>A_05_15</v>
      </c>
      <c r="D83" s="7" t="str">
        <f>IFERROR(__xludf.DUMMYFUNCTION("""COMPUTED_VALUE"""),"Q12d")</f>
        <v>Q12d</v>
      </c>
      <c r="E83" s="7" t="str">
        <f>IFERROR(__xludf.DUMMYFUNCTION("""COMPUTED_VALUE"""),"Contact traditional leader")</f>
        <v>Contact traditional leader</v>
      </c>
      <c r="F83" s="7" t="str">
        <f>IFERROR(__xludf.DUMMYFUNCTION("""COMPUTED_VALUE"""),"A traditional leader")</f>
        <v>A traditional leader</v>
      </c>
    </row>
    <row r="84">
      <c r="A84" s="7" t="str">
        <f>IFERROR(__xludf.DUMMYFUNCTION("""COMPUTED_VALUE"""),"ZIMBABWE")</f>
        <v>ZIMBABWE</v>
      </c>
      <c r="B84" s="8">
        <f>IFERROR(__xludf.DUMMYFUNCTION("""COMPUTED_VALUE"""),8.0)</f>
        <v>8</v>
      </c>
      <c r="C84" s="7" t="str">
        <f>IFERROR(__xludf.DUMMYFUNCTION("""COMPUTED_VALUE"""),"A_05_15")</f>
        <v>A_05_15</v>
      </c>
      <c r="D84" s="7" t="str">
        <f>IFERROR(__xludf.DUMMYFUNCTION("""COMPUTED_VALUE"""),"Q12d")</f>
        <v>Q12d</v>
      </c>
      <c r="E84" s="7" t="str">
        <f>IFERROR(__xludf.DUMMYFUNCTION("""COMPUTED_VALUE"""),"Contact traditional leader")</f>
        <v>Contact traditional leader</v>
      </c>
      <c r="F84" s="7" t="str">
        <f>IFERROR(__xludf.DUMMYFUNCTION("""COMPUTED_VALUE"""),"A traditional leader")</f>
        <v>A traditional leader</v>
      </c>
    </row>
    <row r="85">
      <c r="A85" s="7" t="str">
        <f>IFERROR(__xludf.DUMMYFUNCTION("""COMPUTED_VALUE"""),"BOTSWANA ")</f>
        <v>BOTSWANA </v>
      </c>
      <c r="B85" s="8">
        <f>IFERROR(__xludf.DUMMYFUNCTION("""COMPUTED_VALUE"""),8.0)</f>
        <v>8</v>
      </c>
      <c r="C85" s="7" t="str">
        <f>IFERROR(__xludf.DUMMYFUNCTION("""COMPUTED_VALUE"""),"A_10_33")</f>
        <v>A_10_33</v>
      </c>
      <c r="D85" s="7" t="str">
        <f>IFERROR(__xludf.DUMMYFUNCTION("""COMPUTED_VALUE"""),"Q13")</f>
        <v>Q13</v>
      </c>
      <c r="E85" s="7" t="str">
        <f>IFERROR(__xludf.DUMMYFUNCTION("""COMPUTED_VALUE"""),"Voting in the most recent national election")</f>
        <v>Voting in the most recent national election</v>
      </c>
      <c r="F85" s="7" t="str">
        <f>IFERROR(__xludf.DUMMYFUNCTION("""COMPUTED_VALUE"""),"2014")</f>
        <v>2014</v>
      </c>
    </row>
    <row r="86">
      <c r="A86" s="7" t="str">
        <f>IFERROR(__xludf.DUMMYFUNCTION("""COMPUTED_VALUE"""),"CABO VERDE ")</f>
        <v>CABO VERDE </v>
      </c>
      <c r="B86" s="8">
        <f>IFERROR(__xludf.DUMMYFUNCTION("""COMPUTED_VALUE"""),8.0)</f>
        <v>8</v>
      </c>
      <c r="C86" s="7" t="str">
        <f>IFERROR(__xludf.DUMMYFUNCTION("""COMPUTED_VALUE"""),"A_10_33")</f>
        <v>A_10_33</v>
      </c>
      <c r="D86" s="7" t="str">
        <f>IFERROR(__xludf.DUMMYFUNCTION("""COMPUTED_VALUE"""),"Q13")</f>
        <v>Q13</v>
      </c>
      <c r="E86" s="7" t="str">
        <f>IFERROR(__xludf.DUMMYFUNCTION("""COMPUTED_VALUE"""),"Voting in the most recent national election")</f>
        <v>Voting in the most recent national election</v>
      </c>
      <c r="F86" s="7" t="str">
        <f>IFERROR(__xludf.DUMMYFUNCTION("""COMPUTED_VALUE"""),"2016")</f>
        <v>2016</v>
      </c>
    </row>
    <row r="87">
      <c r="A87" s="7" t="str">
        <f>IFERROR(__xludf.DUMMYFUNCTION("""COMPUTED_VALUE"""),"CAMEROON")</f>
        <v>CAMEROON</v>
      </c>
      <c r="B87" s="8">
        <f>IFERROR(__xludf.DUMMYFUNCTION("""COMPUTED_VALUE"""),8.0)</f>
        <v>8</v>
      </c>
      <c r="C87" s="7" t="str">
        <f>IFERROR(__xludf.DUMMYFUNCTION("""COMPUTED_VALUE"""),"A_10_33")</f>
        <v>A_10_33</v>
      </c>
      <c r="D87" s="7" t="str">
        <f>IFERROR(__xludf.DUMMYFUNCTION("""COMPUTED_VALUE"""),"Q13")</f>
        <v>Q13</v>
      </c>
      <c r="E87" s="7" t="str">
        <f>IFERROR(__xludf.DUMMYFUNCTION("""COMPUTED_VALUE"""),"Voting in the most recent national election")</f>
        <v>Voting in the most recent national election</v>
      </c>
      <c r="F87" s="7" t="str">
        <f>IFERROR(__xludf.DUMMYFUNCTION("""COMPUTED_VALUE"""),"2020")</f>
        <v>2020</v>
      </c>
    </row>
    <row r="88">
      <c r="A88" s="7" t="str">
        <f>IFERROR(__xludf.DUMMYFUNCTION("""COMPUTED_VALUE"""),"ESWATINI")</f>
        <v>ESWATINI</v>
      </c>
      <c r="B88" s="8">
        <f>IFERROR(__xludf.DUMMYFUNCTION("""COMPUTED_VALUE"""),8.0)</f>
        <v>8</v>
      </c>
      <c r="C88" s="7" t="str">
        <f>IFERROR(__xludf.DUMMYFUNCTION("""COMPUTED_VALUE"""),"A_10_33")</f>
        <v>A_10_33</v>
      </c>
      <c r="D88" s="7" t="str">
        <f>IFERROR(__xludf.DUMMYFUNCTION("""COMPUTED_VALUE"""),"Q13")</f>
        <v>Q13</v>
      </c>
      <c r="E88" s="7" t="str">
        <f>IFERROR(__xludf.DUMMYFUNCTION("""COMPUTED_VALUE"""),"Voting in the most recent national election")</f>
        <v>Voting in the most recent national election</v>
      </c>
      <c r="F88" s="7" t="str">
        <f>IFERROR(__xludf.DUMMYFUNCTION("""COMPUTED_VALUE"""),"2018")</f>
        <v>2018</v>
      </c>
    </row>
    <row r="89">
      <c r="A89" s="7" t="str">
        <f>IFERROR(__xludf.DUMMYFUNCTION("""COMPUTED_VALUE"""),"ETHIOPIA")</f>
        <v>ETHIOPIA</v>
      </c>
      <c r="B89" s="8">
        <f>IFERROR(__xludf.DUMMYFUNCTION("""COMPUTED_VALUE"""),8.0)</f>
        <v>8</v>
      </c>
      <c r="C89" s="7" t="str">
        <f>IFERROR(__xludf.DUMMYFUNCTION("""COMPUTED_VALUE"""),"A_10_33")</f>
        <v>A_10_33</v>
      </c>
      <c r="D89" s="7" t="str">
        <f>IFERROR(__xludf.DUMMYFUNCTION("""COMPUTED_VALUE"""),"Q13")</f>
        <v>Q13</v>
      </c>
      <c r="E89" s="7" t="str">
        <f>IFERROR(__xludf.DUMMYFUNCTION("""COMPUTED_VALUE"""),"Voting in the most recent national election")</f>
        <v>Voting in the most recent national election</v>
      </c>
      <c r="F89" s="7" t="str">
        <f>IFERROR(__xludf.DUMMYFUNCTION("""COMPUTED_VALUE"""),"2015")</f>
        <v>2015</v>
      </c>
    </row>
    <row r="90">
      <c r="A90" s="7" t="str">
        <f>IFERROR(__xludf.DUMMYFUNCTION("""COMPUTED_VALUE"""),"GAMBIA")</f>
        <v>GAMBIA</v>
      </c>
      <c r="B90" s="8">
        <f>IFERROR(__xludf.DUMMYFUNCTION("""COMPUTED_VALUE"""),8.0)</f>
        <v>8</v>
      </c>
      <c r="C90" s="7" t="str">
        <f>IFERROR(__xludf.DUMMYFUNCTION("""COMPUTED_VALUE"""),"A_10_33")</f>
        <v>A_10_33</v>
      </c>
      <c r="D90" s="7" t="str">
        <f>IFERROR(__xludf.DUMMYFUNCTION("""COMPUTED_VALUE"""),"Q13")</f>
        <v>Q13</v>
      </c>
      <c r="E90" s="7" t="str">
        <f>IFERROR(__xludf.DUMMYFUNCTION("""COMPUTED_VALUE"""),"Voting in the most recent national election")</f>
        <v>Voting in the most recent national election</v>
      </c>
      <c r="F90" s="7" t="str">
        <f>IFERROR(__xludf.DUMMYFUNCTION("""COMPUTED_VALUE"""),"2017")</f>
        <v>2017</v>
      </c>
    </row>
    <row r="91">
      <c r="A91" s="7" t="str">
        <f>IFERROR(__xludf.DUMMYFUNCTION("""COMPUTED_VALUE"""),"GHANA ")</f>
        <v>GHANA </v>
      </c>
      <c r="B91" s="8">
        <f>IFERROR(__xludf.DUMMYFUNCTION("""COMPUTED_VALUE"""),8.0)</f>
        <v>8</v>
      </c>
      <c r="C91" s="7" t="str">
        <f>IFERROR(__xludf.DUMMYFUNCTION("""COMPUTED_VALUE"""),"A_10_33")</f>
        <v>A_10_33</v>
      </c>
      <c r="D91" s="7" t="str">
        <f>IFERROR(__xludf.DUMMYFUNCTION("""COMPUTED_VALUE"""),"Q13")</f>
        <v>Q13</v>
      </c>
      <c r="E91" s="7" t="str">
        <f>IFERROR(__xludf.DUMMYFUNCTION("""COMPUTED_VALUE"""),"Voting in the most recent national election")</f>
        <v>Voting in the most recent national election</v>
      </c>
      <c r="F91" s="7" t="str">
        <f>IFERROR(__xludf.DUMMYFUNCTION("""COMPUTED_VALUE"""),"2016")</f>
        <v>2016</v>
      </c>
    </row>
    <row r="92">
      <c r="A92" s="7" t="str">
        <f>IFERROR(__xludf.DUMMYFUNCTION("""COMPUTED_VALUE"""),"KENYA  ")</f>
        <v>KENYA  </v>
      </c>
      <c r="B92" s="8">
        <f>IFERROR(__xludf.DUMMYFUNCTION("""COMPUTED_VALUE"""),8.0)</f>
        <v>8</v>
      </c>
      <c r="C92" s="7" t="str">
        <f>IFERROR(__xludf.DUMMYFUNCTION("""COMPUTED_VALUE"""),"A_10_33")</f>
        <v>A_10_33</v>
      </c>
      <c r="D92" s="7" t="str">
        <f>IFERROR(__xludf.DUMMYFUNCTION("""COMPUTED_VALUE"""),"Q13")</f>
        <v>Q13</v>
      </c>
      <c r="E92" s="7" t="str">
        <f>IFERROR(__xludf.DUMMYFUNCTION("""COMPUTED_VALUE"""),"Voting in the most recent national election")</f>
        <v>Voting in the most recent national election</v>
      </c>
      <c r="F92" s="7" t="str">
        <f>IFERROR(__xludf.DUMMYFUNCTION("""COMPUTED_VALUE"""),"2017")</f>
        <v>2017</v>
      </c>
    </row>
    <row r="93">
      <c r="A93" s="7" t="str">
        <f>IFERROR(__xludf.DUMMYFUNCTION("""COMPUTED_VALUE"""),"LESOTHO ")</f>
        <v>LESOTHO </v>
      </c>
      <c r="B93" s="8">
        <f>IFERROR(__xludf.DUMMYFUNCTION("""COMPUTED_VALUE"""),8.0)</f>
        <v>8</v>
      </c>
      <c r="C93" s="7" t="str">
        <f>IFERROR(__xludf.DUMMYFUNCTION("""COMPUTED_VALUE"""),"A_10_33")</f>
        <v>A_10_33</v>
      </c>
      <c r="D93" s="7" t="str">
        <f>IFERROR(__xludf.DUMMYFUNCTION("""COMPUTED_VALUE"""),"Q13")</f>
        <v>Q13</v>
      </c>
      <c r="E93" s="7" t="str">
        <f>IFERROR(__xludf.DUMMYFUNCTION("""COMPUTED_VALUE"""),"Voting in the most recent national election")</f>
        <v>Voting in the most recent national election</v>
      </c>
      <c r="F93" s="7" t="str">
        <f>IFERROR(__xludf.DUMMYFUNCTION("""COMPUTED_VALUE"""),"2017")</f>
        <v>2017</v>
      </c>
    </row>
    <row r="94">
      <c r="A94" s="7" t="str">
        <f>IFERROR(__xludf.DUMMYFUNCTION("""COMPUTED_VALUE"""),"LIBERIA  ")</f>
        <v>LIBERIA  </v>
      </c>
      <c r="B94" s="8">
        <f>IFERROR(__xludf.DUMMYFUNCTION("""COMPUTED_VALUE"""),8.0)</f>
        <v>8</v>
      </c>
      <c r="C94" s="7" t="str">
        <f>IFERROR(__xludf.DUMMYFUNCTION("""COMPUTED_VALUE"""),"A_10_33")</f>
        <v>A_10_33</v>
      </c>
      <c r="D94" s="7" t="str">
        <f>IFERROR(__xludf.DUMMYFUNCTION("""COMPUTED_VALUE"""),"Q13")</f>
        <v>Q13</v>
      </c>
      <c r="E94" s="7" t="str">
        <f>IFERROR(__xludf.DUMMYFUNCTION("""COMPUTED_VALUE"""),"Voting in the most recent national election")</f>
        <v>Voting in the most recent national election</v>
      </c>
      <c r="F94" s="7" t="str">
        <f>IFERROR(__xludf.DUMMYFUNCTION("""COMPUTED_VALUE"""),"2017")</f>
        <v>2017</v>
      </c>
    </row>
    <row r="95">
      <c r="A95" s="7" t="str">
        <f>IFERROR(__xludf.DUMMYFUNCTION("""COMPUTED_VALUE"""),"MALAWI ")</f>
        <v>MALAWI </v>
      </c>
      <c r="B95" s="8">
        <f>IFERROR(__xludf.DUMMYFUNCTION("""COMPUTED_VALUE"""),8.0)</f>
        <v>8</v>
      </c>
      <c r="C95" s="7" t="str">
        <f>IFERROR(__xludf.DUMMYFUNCTION("""COMPUTED_VALUE"""),"A_10_33")</f>
        <v>A_10_33</v>
      </c>
      <c r="D95" s="7" t="str">
        <f>IFERROR(__xludf.DUMMYFUNCTION("""COMPUTED_VALUE"""),"Q13")</f>
        <v>Q13</v>
      </c>
      <c r="E95" s="7" t="str">
        <f>IFERROR(__xludf.DUMMYFUNCTION("""COMPUTED_VALUE"""),"Voting in the most recent national election")</f>
        <v>Voting in the most recent national election</v>
      </c>
      <c r="F95" s="7" t="str">
        <f>IFERROR(__xludf.DUMMYFUNCTION("""COMPUTED_VALUE"""),"2019")</f>
        <v>2019</v>
      </c>
    </row>
    <row r="96">
      <c r="A96" s="7" t="str">
        <f>IFERROR(__xludf.DUMMYFUNCTION("""COMPUTED_VALUE"""),"MOROCCO ")</f>
        <v>MOROCCO </v>
      </c>
      <c r="B96" s="8">
        <f>IFERROR(__xludf.DUMMYFUNCTION("""COMPUTED_VALUE"""),8.0)</f>
        <v>8</v>
      </c>
      <c r="C96" s="7" t="str">
        <f>IFERROR(__xludf.DUMMYFUNCTION("""COMPUTED_VALUE"""),"A_10_33")</f>
        <v>A_10_33</v>
      </c>
      <c r="D96" s="7" t="str">
        <f>IFERROR(__xludf.DUMMYFUNCTION("""COMPUTED_VALUE"""),"Q13")</f>
        <v>Q13</v>
      </c>
      <c r="E96" s="7" t="str">
        <f>IFERROR(__xludf.DUMMYFUNCTION("""COMPUTED_VALUE"""),"Voting in the most recent national election")</f>
        <v>Voting in the most recent national election</v>
      </c>
      <c r="F96" s="7" t="str">
        <f>IFERROR(__xludf.DUMMYFUNCTION("""COMPUTED_VALUE"""),"2016")</f>
        <v>2016</v>
      </c>
    </row>
    <row r="97">
      <c r="A97" s="7" t="str">
        <f>IFERROR(__xludf.DUMMYFUNCTION("""COMPUTED_VALUE"""),"MOZAMBIQUE")</f>
        <v>MOZAMBIQUE</v>
      </c>
      <c r="B97" s="8">
        <f>IFERROR(__xludf.DUMMYFUNCTION("""COMPUTED_VALUE"""),8.0)</f>
        <v>8</v>
      </c>
      <c r="C97" s="7" t="str">
        <f>IFERROR(__xludf.DUMMYFUNCTION("""COMPUTED_VALUE"""),"A_10_33")</f>
        <v>A_10_33</v>
      </c>
      <c r="D97" s="7" t="str">
        <f>IFERROR(__xludf.DUMMYFUNCTION("""COMPUTED_VALUE"""),"Q13")</f>
        <v>Q13</v>
      </c>
      <c r="E97" s="7" t="str">
        <f>IFERROR(__xludf.DUMMYFUNCTION("""COMPUTED_VALUE"""),"Voting in the most recent national election")</f>
        <v>Voting in the most recent national election</v>
      </c>
      <c r="F97" s="7" t="str">
        <f>IFERROR(__xludf.DUMMYFUNCTION("""COMPUTED_VALUE"""),"2019")</f>
        <v>2019</v>
      </c>
    </row>
    <row r="98">
      <c r="A98" s="7" t="str">
        <f>IFERROR(__xludf.DUMMYFUNCTION("""COMPUTED_VALUE"""),"NAMIBIA ")</f>
        <v>NAMIBIA </v>
      </c>
      <c r="B98" s="8">
        <f>IFERROR(__xludf.DUMMYFUNCTION("""COMPUTED_VALUE"""),8.0)</f>
        <v>8</v>
      </c>
      <c r="C98" s="7" t="str">
        <f>IFERROR(__xludf.DUMMYFUNCTION("""COMPUTED_VALUE"""),"A_10_33")</f>
        <v>A_10_33</v>
      </c>
      <c r="D98" s="7" t="str">
        <f>IFERROR(__xludf.DUMMYFUNCTION("""COMPUTED_VALUE"""),"Q13")</f>
        <v>Q13</v>
      </c>
      <c r="E98" s="7" t="str">
        <f>IFERROR(__xludf.DUMMYFUNCTION("""COMPUTED_VALUE"""),"Voting in the most recent national election")</f>
        <v>Voting in the most recent national election</v>
      </c>
      <c r="F98" s="7" t="str">
        <f>IFERROR(__xludf.DUMMYFUNCTION("""COMPUTED_VALUE"""),"2014")</f>
        <v>2014</v>
      </c>
    </row>
    <row r="99">
      <c r="A99" s="7" t="str">
        <f>IFERROR(__xludf.DUMMYFUNCTION("""COMPUTED_VALUE"""),"NIGERIA ")</f>
        <v>NIGERIA </v>
      </c>
      <c r="B99" s="8">
        <f>IFERROR(__xludf.DUMMYFUNCTION("""COMPUTED_VALUE"""),8.0)</f>
        <v>8</v>
      </c>
      <c r="C99" s="7" t="str">
        <f>IFERROR(__xludf.DUMMYFUNCTION("""COMPUTED_VALUE"""),"A_10_33")</f>
        <v>A_10_33</v>
      </c>
      <c r="D99" s="7" t="str">
        <f>IFERROR(__xludf.DUMMYFUNCTION("""COMPUTED_VALUE"""),"Q13")</f>
        <v>Q13</v>
      </c>
      <c r="E99" s="7" t="str">
        <f>IFERROR(__xludf.DUMMYFUNCTION("""COMPUTED_VALUE"""),"Voting in the most recent national election")</f>
        <v>Voting in the most recent national election</v>
      </c>
      <c r="F99" s="7" t="str">
        <f>IFERROR(__xludf.DUMMYFUNCTION("""COMPUTED_VALUE"""),"2019")</f>
        <v>2019</v>
      </c>
    </row>
    <row r="100">
      <c r="A100" s="7" t="str">
        <f>IFERROR(__xludf.DUMMYFUNCTION("""COMPUTED_VALUE"""),"SIERRA LEONE")</f>
        <v>SIERRA LEONE</v>
      </c>
      <c r="B100" s="8">
        <f>IFERROR(__xludf.DUMMYFUNCTION("""COMPUTED_VALUE"""),8.0)</f>
        <v>8</v>
      </c>
      <c r="C100" s="7" t="str">
        <f>IFERROR(__xludf.DUMMYFUNCTION("""COMPUTED_VALUE"""),"A_10_33")</f>
        <v>A_10_33</v>
      </c>
      <c r="D100" s="7" t="str">
        <f>IFERROR(__xludf.DUMMYFUNCTION("""COMPUTED_VALUE"""),"Q13")</f>
        <v>Q13</v>
      </c>
      <c r="E100" s="7" t="str">
        <f>IFERROR(__xludf.DUMMYFUNCTION("""COMPUTED_VALUE"""),"Voting in the most recent national election")</f>
        <v>Voting in the most recent national election</v>
      </c>
      <c r="F100" s="7" t="str">
        <f>IFERROR(__xludf.DUMMYFUNCTION("""COMPUTED_VALUE"""),"2018")</f>
        <v>2018</v>
      </c>
    </row>
    <row r="101">
      <c r="A101" s="7" t="str">
        <f>IFERROR(__xludf.DUMMYFUNCTION("""COMPUTED_VALUE"""),"SOUTH AFRICA")</f>
        <v>SOUTH AFRICA</v>
      </c>
      <c r="B101" s="8">
        <f>IFERROR(__xludf.DUMMYFUNCTION("""COMPUTED_VALUE"""),8.0)</f>
        <v>8</v>
      </c>
      <c r="C101" s="7" t="str">
        <f>IFERROR(__xludf.DUMMYFUNCTION("""COMPUTED_VALUE"""),"A_10_33")</f>
        <v>A_10_33</v>
      </c>
      <c r="D101" s="7" t="str">
        <f>IFERROR(__xludf.DUMMYFUNCTION("""COMPUTED_VALUE"""),"Q13")</f>
        <v>Q13</v>
      </c>
      <c r="E101" s="7" t="str">
        <f>IFERROR(__xludf.DUMMYFUNCTION("""COMPUTED_VALUE"""),"Voting in the most recent national election")</f>
        <v>Voting in the most recent national election</v>
      </c>
      <c r="F101" s="7" t="str">
        <f>IFERROR(__xludf.DUMMYFUNCTION("""COMPUTED_VALUE"""),"2019")</f>
        <v>2019</v>
      </c>
    </row>
    <row r="102">
      <c r="A102" s="7" t="str">
        <f>IFERROR(__xludf.DUMMYFUNCTION("""COMPUTED_VALUE"""),"SUDAN")</f>
        <v>SUDAN</v>
      </c>
      <c r="B102" s="8">
        <f>IFERROR(__xludf.DUMMYFUNCTION("""COMPUTED_VALUE"""),8.0)</f>
        <v>8</v>
      </c>
      <c r="C102" s="7" t="str">
        <f>IFERROR(__xludf.DUMMYFUNCTION("""COMPUTED_VALUE"""),"A_10_33")</f>
        <v>A_10_33</v>
      </c>
      <c r="D102" s="7" t="str">
        <f>IFERROR(__xludf.DUMMYFUNCTION("""COMPUTED_VALUE"""),"Q13")</f>
        <v>Q13</v>
      </c>
      <c r="E102" s="7" t="str">
        <f>IFERROR(__xludf.DUMMYFUNCTION("""COMPUTED_VALUE"""),"Voting in the most recent national election")</f>
        <v>Voting in the most recent national election</v>
      </c>
      <c r="F102" s="7" t="str">
        <f>IFERROR(__xludf.DUMMYFUNCTION("""COMPUTED_VALUE"""),"2015")</f>
        <v>2015</v>
      </c>
    </row>
    <row r="103">
      <c r="A103" s="7" t="str">
        <f>IFERROR(__xludf.DUMMYFUNCTION("""COMPUTED_VALUE"""),"TANZANIA")</f>
        <v>TANZANIA</v>
      </c>
      <c r="B103" s="8">
        <f>IFERROR(__xludf.DUMMYFUNCTION("""COMPUTED_VALUE"""),8.0)</f>
        <v>8</v>
      </c>
      <c r="C103" s="7" t="str">
        <f>IFERROR(__xludf.DUMMYFUNCTION("""COMPUTED_VALUE"""),"A_10_33")</f>
        <v>A_10_33</v>
      </c>
      <c r="D103" s="7" t="str">
        <f>IFERROR(__xludf.DUMMYFUNCTION("""COMPUTED_VALUE"""),"Q13")</f>
        <v>Q13</v>
      </c>
      <c r="E103" s="7" t="str">
        <f>IFERROR(__xludf.DUMMYFUNCTION("""COMPUTED_VALUE"""),"Voting in the most recent national election")</f>
        <v>Voting in the most recent national election</v>
      </c>
      <c r="F103" s="7" t="str">
        <f>IFERROR(__xludf.DUMMYFUNCTION("""COMPUTED_VALUE"""),"2015")</f>
        <v>2015</v>
      </c>
    </row>
    <row r="104">
      <c r="A104" s="7" t="str">
        <f>IFERROR(__xludf.DUMMYFUNCTION("""COMPUTED_VALUE"""),"TUNISIA ")</f>
        <v>TUNISIA </v>
      </c>
      <c r="B104" s="8">
        <f>IFERROR(__xludf.DUMMYFUNCTION("""COMPUTED_VALUE"""),8.0)</f>
        <v>8</v>
      </c>
      <c r="C104" s="7" t="str">
        <f>IFERROR(__xludf.DUMMYFUNCTION("""COMPUTED_VALUE"""),"A_10_33")</f>
        <v>A_10_33</v>
      </c>
      <c r="D104" s="7" t="str">
        <f>IFERROR(__xludf.DUMMYFUNCTION("""COMPUTED_VALUE"""),"Q13")</f>
        <v>Q13</v>
      </c>
      <c r="E104" s="7" t="str">
        <f>IFERROR(__xludf.DUMMYFUNCTION("""COMPUTED_VALUE"""),"Voting in the most recent national election")</f>
        <v>Voting in the most recent national election</v>
      </c>
      <c r="F104" s="7" t="str">
        <f>IFERROR(__xludf.DUMMYFUNCTION("""COMPUTED_VALUE"""),"2019")</f>
        <v>2019</v>
      </c>
    </row>
    <row r="105">
      <c r="A105" s="7" t="str">
        <f>IFERROR(__xludf.DUMMYFUNCTION("""COMPUTED_VALUE"""),"UGANDA  ")</f>
        <v>UGANDA  </v>
      </c>
      <c r="B105" s="8">
        <f>IFERROR(__xludf.DUMMYFUNCTION("""COMPUTED_VALUE"""),8.0)</f>
        <v>8</v>
      </c>
      <c r="C105" s="7" t="str">
        <f>IFERROR(__xludf.DUMMYFUNCTION("""COMPUTED_VALUE"""),"A_10_33")</f>
        <v>A_10_33</v>
      </c>
      <c r="D105" s="7" t="str">
        <f>IFERROR(__xludf.DUMMYFUNCTION("""COMPUTED_VALUE"""),"Q13")</f>
        <v>Q13</v>
      </c>
      <c r="E105" s="7" t="str">
        <f>IFERROR(__xludf.DUMMYFUNCTION("""COMPUTED_VALUE"""),"Voting in the most recent national election")</f>
        <v>Voting in the most recent national election</v>
      </c>
      <c r="F105" s="7" t="str">
        <f>IFERROR(__xludf.DUMMYFUNCTION("""COMPUTED_VALUE"""),"2016")</f>
        <v>2016</v>
      </c>
    </row>
    <row r="106">
      <c r="A106" s="7" t="str">
        <f>IFERROR(__xludf.DUMMYFUNCTION("""COMPUTED_VALUE"""),"ZAMBIA")</f>
        <v>ZAMBIA</v>
      </c>
      <c r="B106" s="8">
        <f>IFERROR(__xludf.DUMMYFUNCTION("""COMPUTED_VALUE"""),8.0)</f>
        <v>8</v>
      </c>
      <c r="C106" s="7" t="str">
        <f>IFERROR(__xludf.DUMMYFUNCTION("""COMPUTED_VALUE"""),"A_10_33")</f>
        <v>A_10_33</v>
      </c>
      <c r="D106" s="7" t="str">
        <f>IFERROR(__xludf.DUMMYFUNCTION("""COMPUTED_VALUE"""),"Q13")</f>
        <v>Q13</v>
      </c>
      <c r="E106" s="7" t="str">
        <f>IFERROR(__xludf.DUMMYFUNCTION("""COMPUTED_VALUE"""),"Voting in the most recent national election")</f>
        <v>Voting in the most recent national election</v>
      </c>
      <c r="F106" s="7" t="str">
        <f>IFERROR(__xludf.DUMMYFUNCTION("""COMPUTED_VALUE"""),"2016")</f>
        <v>2016</v>
      </c>
    </row>
    <row r="107">
      <c r="A107" s="7" t="str">
        <f>IFERROR(__xludf.DUMMYFUNCTION("""COMPUTED_VALUE"""),"ZIMBABWE")</f>
        <v>ZIMBABWE</v>
      </c>
      <c r="B107" s="8">
        <f>IFERROR(__xludf.DUMMYFUNCTION("""COMPUTED_VALUE"""),8.0)</f>
        <v>8</v>
      </c>
      <c r="C107" s="7" t="str">
        <f>IFERROR(__xludf.DUMMYFUNCTION("""COMPUTED_VALUE"""),"A_10_33")</f>
        <v>A_10_33</v>
      </c>
      <c r="D107" s="7" t="str">
        <f>IFERROR(__xludf.DUMMYFUNCTION("""COMPUTED_VALUE"""),"Q13")</f>
        <v>Q13</v>
      </c>
      <c r="E107" s="7" t="str">
        <f>IFERROR(__xludf.DUMMYFUNCTION("""COMPUTED_VALUE"""),"Voting in the most recent national election")</f>
        <v>Voting in the most recent national election</v>
      </c>
      <c r="F107" s="7" t="str">
        <f>IFERROR(__xludf.DUMMYFUNCTION("""COMPUTED_VALUE"""),"2018")</f>
        <v>2018</v>
      </c>
    </row>
    <row r="108">
      <c r="A108" s="7" t="str">
        <f>IFERROR(__xludf.DUMMYFUNCTION("""COMPUTED_VALUE"""),"BOTSWANA ")</f>
        <v>BOTSWANA </v>
      </c>
      <c r="B108" s="8">
        <f>IFERROR(__xludf.DUMMYFUNCTION("""COMPUTED_VALUE"""),8.0)</f>
        <v>8</v>
      </c>
      <c r="C108" s="7" t="str">
        <f>IFERROR(__xludf.DUMMYFUNCTION("""COMPUTED_VALUE"""),"A_10_10")</f>
        <v>A_10_10</v>
      </c>
      <c r="D108" s="7" t="str">
        <f>IFERROR(__xludf.DUMMYFUNCTION("""COMPUTED_VALUE"""),"Q14")</f>
        <v>Q14</v>
      </c>
      <c r="E108" s="7" t="str">
        <f>IFERROR(__xludf.DUMMYFUNCTION("""COMPUTED_VALUE""")," Freeness and fairness of the last national election")</f>
        <v> Freeness and fairness of the last national election</v>
      </c>
      <c r="F108" s="7" t="str">
        <f>IFERROR(__xludf.DUMMYFUNCTION("""COMPUTED_VALUE"""),"2014")</f>
        <v>2014</v>
      </c>
    </row>
    <row r="109">
      <c r="A109" s="7" t="str">
        <f>IFERROR(__xludf.DUMMYFUNCTION("""COMPUTED_VALUE"""),"CABO VERDE ")</f>
        <v>CABO VERDE </v>
      </c>
      <c r="B109" s="8">
        <f>IFERROR(__xludf.DUMMYFUNCTION("""COMPUTED_VALUE"""),8.0)</f>
        <v>8</v>
      </c>
      <c r="C109" s="7" t="str">
        <f>IFERROR(__xludf.DUMMYFUNCTION("""COMPUTED_VALUE"""),"A_10_10")</f>
        <v>A_10_10</v>
      </c>
      <c r="D109" s="7" t="str">
        <f>IFERROR(__xludf.DUMMYFUNCTION("""COMPUTED_VALUE"""),"Q14")</f>
        <v>Q14</v>
      </c>
      <c r="E109" s="7" t="str">
        <f>IFERROR(__xludf.DUMMYFUNCTION("""COMPUTED_VALUE""")," Freeness and fairness of the last national election")</f>
        <v> Freeness and fairness of the last national election</v>
      </c>
      <c r="F109" s="7" t="str">
        <f>IFERROR(__xludf.DUMMYFUNCTION("""COMPUTED_VALUE"""),"2016")</f>
        <v>2016</v>
      </c>
    </row>
    <row r="110">
      <c r="A110" s="7" t="str">
        <f>IFERROR(__xludf.DUMMYFUNCTION("""COMPUTED_VALUE"""),"CAMEROON")</f>
        <v>CAMEROON</v>
      </c>
      <c r="B110" s="8">
        <f>IFERROR(__xludf.DUMMYFUNCTION("""COMPUTED_VALUE"""),8.0)</f>
        <v>8</v>
      </c>
      <c r="C110" s="7" t="str">
        <f>IFERROR(__xludf.DUMMYFUNCTION("""COMPUTED_VALUE"""),"A_10_10")</f>
        <v>A_10_10</v>
      </c>
      <c r="D110" s="7" t="str">
        <f>IFERROR(__xludf.DUMMYFUNCTION("""COMPUTED_VALUE"""),"Q14")</f>
        <v>Q14</v>
      </c>
      <c r="E110" s="7" t="str">
        <f>IFERROR(__xludf.DUMMYFUNCTION("""COMPUTED_VALUE""")," Freeness and fairness of the last national election")</f>
        <v> Freeness and fairness of the last national election</v>
      </c>
      <c r="F110" s="7" t="str">
        <f>IFERROR(__xludf.DUMMYFUNCTION("""COMPUTED_VALUE"""),"2020")</f>
        <v>2020</v>
      </c>
    </row>
    <row r="111">
      <c r="A111" s="7" t="str">
        <f>IFERROR(__xludf.DUMMYFUNCTION("""COMPUTED_VALUE"""),"ESWATINI")</f>
        <v>ESWATINI</v>
      </c>
      <c r="B111" s="8">
        <f>IFERROR(__xludf.DUMMYFUNCTION("""COMPUTED_VALUE"""),8.0)</f>
        <v>8</v>
      </c>
      <c r="C111" s="7" t="str">
        <f>IFERROR(__xludf.DUMMYFUNCTION("""COMPUTED_VALUE"""),"A_10_10")</f>
        <v>A_10_10</v>
      </c>
      <c r="D111" s="7" t="str">
        <f>IFERROR(__xludf.DUMMYFUNCTION("""COMPUTED_VALUE"""),"Q14")</f>
        <v>Q14</v>
      </c>
      <c r="E111" s="7" t="str">
        <f>IFERROR(__xludf.DUMMYFUNCTION("""COMPUTED_VALUE""")," Freeness and fairness of the last national election")</f>
        <v> Freeness and fairness of the last national election</v>
      </c>
      <c r="F111" s="7" t="str">
        <f>IFERROR(__xludf.DUMMYFUNCTION("""COMPUTED_VALUE"""),"2018")</f>
        <v>2018</v>
      </c>
    </row>
    <row r="112">
      <c r="A112" s="7" t="str">
        <f>IFERROR(__xludf.DUMMYFUNCTION("""COMPUTED_VALUE"""),"ETHIOPIA")</f>
        <v>ETHIOPIA</v>
      </c>
      <c r="B112" s="8">
        <f>IFERROR(__xludf.DUMMYFUNCTION("""COMPUTED_VALUE"""),8.0)</f>
        <v>8</v>
      </c>
      <c r="C112" s="7" t="str">
        <f>IFERROR(__xludf.DUMMYFUNCTION("""COMPUTED_VALUE"""),"A_10_10")</f>
        <v>A_10_10</v>
      </c>
      <c r="D112" s="7" t="str">
        <f>IFERROR(__xludf.DUMMYFUNCTION("""COMPUTED_VALUE"""),"Q14")</f>
        <v>Q14</v>
      </c>
      <c r="E112" s="7" t="str">
        <f>IFERROR(__xludf.DUMMYFUNCTION("""COMPUTED_VALUE""")," Freeness and fairness of the last national election")</f>
        <v> Freeness and fairness of the last national election</v>
      </c>
      <c r="F112" s="7" t="str">
        <f>IFERROR(__xludf.DUMMYFUNCTION("""COMPUTED_VALUE"""),"2015")</f>
        <v>2015</v>
      </c>
    </row>
    <row r="113">
      <c r="A113" s="7" t="str">
        <f>IFERROR(__xludf.DUMMYFUNCTION("""COMPUTED_VALUE"""),"GAMBIA")</f>
        <v>GAMBIA</v>
      </c>
      <c r="B113" s="8">
        <f>IFERROR(__xludf.DUMMYFUNCTION("""COMPUTED_VALUE"""),8.0)</f>
        <v>8</v>
      </c>
      <c r="C113" s="7" t="str">
        <f>IFERROR(__xludf.DUMMYFUNCTION("""COMPUTED_VALUE"""),"A_10_10")</f>
        <v>A_10_10</v>
      </c>
      <c r="D113" s="7" t="str">
        <f>IFERROR(__xludf.DUMMYFUNCTION("""COMPUTED_VALUE"""),"Q14")</f>
        <v>Q14</v>
      </c>
      <c r="E113" s="7" t="str">
        <f>IFERROR(__xludf.DUMMYFUNCTION("""COMPUTED_VALUE""")," Freeness and fairness of the last national election")</f>
        <v> Freeness and fairness of the last national election</v>
      </c>
      <c r="F113" s="7" t="str">
        <f>IFERROR(__xludf.DUMMYFUNCTION("""COMPUTED_VALUE"""),"2017")</f>
        <v>2017</v>
      </c>
    </row>
    <row r="114">
      <c r="A114" s="7" t="str">
        <f>IFERROR(__xludf.DUMMYFUNCTION("""COMPUTED_VALUE"""),"GHANA ")</f>
        <v>GHANA </v>
      </c>
      <c r="B114" s="8">
        <f>IFERROR(__xludf.DUMMYFUNCTION("""COMPUTED_VALUE"""),8.0)</f>
        <v>8</v>
      </c>
      <c r="C114" s="7" t="str">
        <f>IFERROR(__xludf.DUMMYFUNCTION("""COMPUTED_VALUE"""),"A_10_10")</f>
        <v>A_10_10</v>
      </c>
      <c r="D114" s="7" t="str">
        <f>IFERROR(__xludf.DUMMYFUNCTION("""COMPUTED_VALUE"""),"Q14")</f>
        <v>Q14</v>
      </c>
      <c r="E114" s="7" t="str">
        <f>IFERROR(__xludf.DUMMYFUNCTION("""COMPUTED_VALUE""")," Freeness and fairness of the last national election")</f>
        <v> Freeness and fairness of the last national election</v>
      </c>
      <c r="F114" s="7" t="str">
        <f>IFERROR(__xludf.DUMMYFUNCTION("""COMPUTED_VALUE"""),"2016")</f>
        <v>2016</v>
      </c>
    </row>
    <row r="115">
      <c r="A115" s="7" t="str">
        <f>IFERROR(__xludf.DUMMYFUNCTION("""COMPUTED_VALUE"""),"KENYA  ")</f>
        <v>KENYA  </v>
      </c>
      <c r="B115" s="8">
        <f>IFERROR(__xludf.DUMMYFUNCTION("""COMPUTED_VALUE"""),8.0)</f>
        <v>8</v>
      </c>
      <c r="C115" s="7" t="str">
        <f>IFERROR(__xludf.DUMMYFUNCTION("""COMPUTED_VALUE"""),"A_10_10")</f>
        <v>A_10_10</v>
      </c>
      <c r="D115" s="7" t="str">
        <f>IFERROR(__xludf.DUMMYFUNCTION("""COMPUTED_VALUE"""),"Q14")</f>
        <v>Q14</v>
      </c>
      <c r="E115" s="7" t="str">
        <f>IFERROR(__xludf.DUMMYFUNCTION("""COMPUTED_VALUE""")," Freeness and fairness of the last national election")</f>
        <v> Freeness and fairness of the last national election</v>
      </c>
      <c r="F115" s="7" t="str">
        <f>IFERROR(__xludf.DUMMYFUNCTION("""COMPUTED_VALUE"""),"2017")</f>
        <v>2017</v>
      </c>
    </row>
    <row r="116">
      <c r="A116" s="7" t="str">
        <f>IFERROR(__xludf.DUMMYFUNCTION("""COMPUTED_VALUE"""),"LESOTHO ")</f>
        <v>LESOTHO </v>
      </c>
      <c r="B116" s="8">
        <f>IFERROR(__xludf.DUMMYFUNCTION("""COMPUTED_VALUE"""),8.0)</f>
        <v>8</v>
      </c>
      <c r="C116" s="7" t="str">
        <f>IFERROR(__xludf.DUMMYFUNCTION("""COMPUTED_VALUE"""),"A_10_10")</f>
        <v>A_10_10</v>
      </c>
      <c r="D116" s="7" t="str">
        <f>IFERROR(__xludf.DUMMYFUNCTION("""COMPUTED_VALUE"""),"Q14")</f>
        <v>Q14</v>
      </c>
      <c r="E116" s="7" t="str">
        <f>IFERROR(__xludf.DUMMYFUNCTION("""COMPUTED_VALUE""")," Freeness and fairness of the last national election")</f>
        <v> Freeness and fairness of the last national election</v>
      </c>
      <c r="F116" s="7" t="str">
        <f>IFERROR(__xludf.DUMMYFUNCTION("""COMPUTED_VALUE"""),"2017")</f>
        <v>2017</v>
      </c>
    </row>
    <row r="117">
      <c r="A117" s="7" t="str">
        <f>IFERROR(__xludf.DUMMYFUNCTION("""COMPUTED_VALUE"""),"LIBERIA  ")</f>
        <v>LIBERIA  </v>
      </c>
      <c r="B117" s="8">
        <f>IFERROR(__xludf.DUMMYFUNCTION("""COMPUTED_VALUE"""),8.0)</f>
        <v>8</v>
      </c>
      <c r="C117" s="7" t="str">
        <f>IFERROR(__xludf.DUMMYFUNCTION("""COMPUTED_VALUE"""),"A_10_10")</f>
        <v>A_10_10</v>
      </c>
      <c r="D117" s="7" t="str">
        <f>IFERROR(__xludf.DUMMYFUNCTION("""COMPUTED_VALUE"""),"Q14")</f>
        <v>Q14</v>
      </c>
      <c r="E117" s="7" t="str">
        <f>IFERROR(__xludf.DUMMYFUNCTION("""COMPUTED_VALUE""")," Freeness and fairness of the last national election")</f>
        <v> Freeness and fairness of the last national election</v>
      </c>
      <c r="F117" s="7" t="str">
        <f>IFERROR(__xludf.DUMMYFUNCTION("""COMPUTED_VALUE"""),"2017")</f>
        <v>2017</v>
      </c>
    </row>
    <row r="118">
      <c r="A118" s="7" t="str">
        <f>IFERROR(__xludf.DUMMYFUNCTION("""COMPUTED_VALUE"""),"MALAWI ")</f>
        <v>MALAWI </v>
      </c>
      <c r="B118" s="8">
        <f>IFERROR(__xludf.DUMMYFUNCTION("""COMPUTED_VALUE"""),8.0)</f>
        <v>8</v>
      </c>
      <c r="C118" s="7" t="str">
        <f>IFERROR(__xludf.DUMMYFUNCTION("""COMPUTED_VALUE"""),"A_10_10")</f>
        <v>A_10_10</v>
      </c>
      <c r="D118" s="7" t="str">
        <f>IFERROR(__xludf.DUMMYFUNCTION("""COMPUTED_VALUE"""),"Q14")</f>
        <v>Q14</v>
      </c>
      <c r="E118" s="7" t="str">
        <f>IFERROR(__xludf.DUMMYFUNCTION("""COMPUTED_VALUE""")," Freeness and fairness of the last national election")</f>
        <v> Freeness and fairness of the last national election</v>
      </c>
      <c r="F118" s="7" t="str">
        <f>IFERROR(__xludf.DUMMYFUNCTION("""COMPUTED_VALUE"""),"2019")</f>
        <v>2019</v>
      </c>
    </row>
    <row r="119">
      <c r="A119" s="7" t="str">
        <f>IFERROR(__xludf.DUMMYFUNCTION("""COMPUTED_VALUE"""),"MOROCCO ")</f>
        <v>MOROCCO </v>
      </c>
      <c r="B119" s="8">
        <f>IFERROR(__xludf.DUMMYFUNCTION("""COMPUTED_VALUE"""),8.0)</f>
        <v>8</v>
      </c>
      <c r="C119" s="7" t="str">
        <f>IFERROR(__xludf.DUMMYFUNCTION("""COMPUTED_VALUE"""),"A_10_10")</f>
        <v>A_10_10</v>
      </c>
      <c r="D119" s="7" t="str">
        <f>IFERROR(__xludf.DUMMYFUNCTION("""COMPUTED_VALUE"""),"Q14")</f>
        <v>Q14</v>
      </c>
      <c r="E119" s="7" t="str">
        <f>IFERROR(__xludf.DUMMYFUNCTION("""COMPUTED_VALUE""")," Freeness and fairness of the last national election")</f>
        <v> Freeness and fairness of the last national election</v>
      </c>
      <c r="F119" s="7" t="str">
        <f>IFERROR(__xludf.DUMMYFUNCTION("""COMPUTED_VALUE"""),"2016")</f>
        <v>2016</v>
      </c>
    </row>
    <row r="120">
      <c r="A120" s="7" t="str">
        <f>IFERROR(__xludf.DUMMYFUNCTION("""COMPUTED_VALUE"""),"MOZAMBIQUE")</f>
        <v>MOZAMBIQUE</v>
      </c>
      <c r="B120" s="8">
        <f>IFERROR(__xludf.DUMMYFUNCTION("""COMPUTED_VALUE"""),8.0)</f>
        <v>8</v>
      </c>
      <c r="C120" s="7" t="str">
        <f>IFERROR(__xludf.DUMMYFUNCTION("""COMPUTED_VALUE"""),"A_10_10")</f>
        <v>A_10_10</v>
      </c>
      <c r="D120" s="7" t="str">
        <f>IFERROR(__xludf.DUMMYFUNCTION("""COMPUTED_VALUE"""),"Q14")</f>
        <v>Q14</v>
      </c>
      <c r="E120" s="7" t="str">
        <f>IFERROR(__xludf.DUMMYFUNCTION("""COMPUTED_VALUE""")," Freeness and fairness of the last national election")</f>
        <v> Freeness and fairness of the last national election</v>
      </c>
      <c r="F120" s="7" t="str">
        <f>IFERROR(__xludf.DUMMYFUNCTION("""COMPUTED_VALUE"""),"2019")</f>
        <v>2019</v>
      </c>
    </row>
    <row r="121">
      <c r="A121" s="7" t="str">
        <f>IFERROR(__xludf.DUMMYFUNCTION("""COMPUTED_VALUE"""),"NAMIBIA ")</f>
        <v>NAMIBIA </v>
      </c>
      <c r="B121" s="8">
        <f>IFERROR(__xludf.DUMMYFUNCTION("""COMPUTED_VALUE"""),8.0)</f>
        <v>8</v>
      </c>
      <c r="C121" s="7" t="str">
        <f>IFERROR(__xludf.DUMMYFUNCTION("""COMPUTED_VALUE"""),"A_10_10")</f>
        <v>A_10_10</v>
      </c>
      <c r="D121" s="7" t="str">
        <f>IFERROR(__xludf.DUMMYFUNCTION("""COMPUTED_VALUE"""),"Q14")</f>
        <v>Q14</v>
      </c>
      <c r="E121" s="7" t="str">
        <f>IFERROR(__xludf.DUMMYFUNCTION("""COMPUTED_VALUE""")," Freeness and fairness of the last national election")</f>
        <v> Freeness and fairness of the last national election</v>
      </c>
      <c r="F121" s="7" t="str">
        <f>IFERROR(__xludf.DUMMYFUNCTION("""COMPUTED_VALUE"""),"2014")</f>
        <v>2014</v>
      </c>
    </row>
    <row r="122">
      <c r="A122" s="7" t="str">
        <f>IFERROR(__xludf.DUMMYFUNCTION("""COMPUTED_VALUE"""),"NIGERIA ")</f>
        <v>NIGERIA </v>
      </c>
      <c r="B122" s="8">
        <f>IFERROR(__xludf.DUMMYFUNCTION("""COMPUTED_VALUE"""),8.0)</f>
        <v>8</v>
      </c>
      <c r="C122" s="7" t="str">
        <f>IFERROR(__xludf.DUMMYFUNCTION("""COMPUTED_VALUE"""),"A_10_10")</f>
        <v>A_10_10</v>
      </c>
      <c r="D122" s="7" t="str">
        <f>IFERROR(__xludf.DUMMYFUNCTION("""COMPUTED_VALUE"""),"Q14")</f>
        <v>Q14</v>
      </c>
      <c r="E122" s="7" t="str">
        <f>IFERROR(__xludf.DUMMYFUNCTION("""COMPUTED_VALUE""")," Freeness and fairness of the last national election")</f>
        <v> Freeness and fairness of the last national election</v>
      </c>
      <c r="F122" s="7" t="str">
        <f>IFERROR(__xludf.DUMMYFUNCTION("""COMPUTED_VALUE"""),"2019")</f>
        <v>2019</v>
      </c>
    </row>
    <row r="123">
      <c r="A123" s="7" t="str">
        <f>IFERROR(__xludf.DUMMYFUNCTION("""COMPUTED_VALUE"""),"SIERRA LEONE")</f>
        <v>SIERRA LEONE</v>
      </c>
      <c r="B123" s="8">
        <f>IFERROR(__xludf.DUMMYFUNCTION("""COMPUTED_VALUE"""),8.0)</f>
        <v>8</v>
      </c>
      <c r="C123" s="7" t="str">
        <f>IFERROR(__xludf.DUMMYFUNCTION("""COMPUTED_VALUE"""),"A_10_10")</f>
        <v>A_10_10</v>
      </c>
      <c r="D123" s="7" t="str">
        <f>IFERROR(__xludf.DUMMYFUNCTION("""COMPUTED_VALUE"""),"Q14")</f>
        <v>Q14</v>
      </c>
      <c r="E123" s="7" t="str">
        <f>IFERROR(__xludf.DUMMYFUNCTION("""COMPUTED_VALUE""")," Freeness and fairness of the last national election")</f>
        <v> Freeness and fairness of the last national election</v>
      </c>
      <c r="F123" s="7" t="str">
        <f>IFERROR(__xludf.DUMMYFUNCTION("""COMPUTED_VALUE"""),"2018")</f>
        <v>2018</v>
      </c>
    </row>
    <row r="124">
      <c r="A124" s="7" t="str">
        <f>IFERROR(__xludf.DUMMYFUNCTION("""COMPUTED_VALUE"""),"SOUTH AFRICA")</f>
        <v>SOUTH AFRICA</v>
      </c>
      <c r="B124" s="8">
        <f>IFERROR(__xludf.DUMMYFUNCTION("""COMPUTED_VALUE"""),8.0)</f>
        <v>8</v>
      </c>
      <c r="C124" s="7" t="str">
        <f>IFERROR(__xludf.DUMMYFUNCTION("""COMPUTED_VALUE"""),"A_10_10")</f>
        <v>A_10_10</v>
      </c>
      <c r="D124" s="7" t="str">
        <f>IFERROR(__xludf.DUMMYFUNCTION("""COMPUTED_VALUE"""),"Q14")</f>
        <v>Q14</v>
      </c>
      <c r="E124" s="7" t="str">
        <f>IFERROR(__xludf.DUMMYFUNCTION("""COMPUTED_VALUE""")," Freeness and fairness of the last national election")</f>
        <v> Freeness and fairness of the last national election</v>
      </c>
      <c r="F124" s="7" t="str">
        <f>IFERROR(__xludf.DUMMYFUNCTION("""COMPUTED_VALUE"""),"2019")</f>
        <v>2019</v>
      </c>
    </row>
    <row r="125">
      <c r="A125" s="7" t="str">
        <f>IFERROR(__xludf.DUMMYFUNCTION("""COMPUTED_VALUE"""),"SUDAN")</f>
        <v>SUDAN</v>
      </c>
      <c r="B125" s="8">
        <f>IFERROR(__xludf.DUMMYFUNCTION("""COMPUTED_VALUE"""),8.0)</f>
        <v>8</v>
      </c>
      <c r="C125" s="7" t="str">
        <f>IFERROR(__xludf.DUMMYFUNCTION("""COMPUTED_VALUE"""),"A_10_10")</f>
        <v>A_10_10</v>
      </c>
      <c r="D125" s="7" t="str">
        <f>IFERROR(__xludf.DUMMYFUNCTION("""COMPUTED_VALUE"""),"Q14")</f>
        <v>Q14</v>
      </c>
      <c r="E125" s="7" t="str">
        <f>IFERROR(__xludf.DUMMYFUNCTION("""COMPUTED_VALUE""")," Freeness and fairness of the last national election")</f>
        <v> Freeness and fairness of the last national election</v>
      </c>
      <c r="F125" s="7" t="str">
        <f>IFERROR(__xludf.DUMMYFUNCTION("""COMPUTED_VALUE"""),"2015")</f>
        <v>2015</v>
      </c>
    </row>
    <row r="126">
      <c r="A126" s="7" t="str">
        <f>IFERROR(__xludf.DUMMYFUNCTION("""COMPUTED_VALUE"""),"TANZANIA")</f>
        <v>TANZANIA</v>
      </c>
      <c r="B126" s="8">
        <f>IFERROR(__xludf.DUMMYFUNCTION("""COMPUTED_VALUE"""),8.0)</f>
        <v>8</v>
      </c>
      <c r="C126" s="7" t="str">
        <f>IFERROR(__xludf.DUMMYFUNCTION("""COMPUTED_VALUE"""),"A_10_10")</f>
        <v>A_10_10</v>
      </c>
      <c r="D126" s="7" t="str">
        <f>IFERROR(__xludf.DUMMYFUNCTION("""COMPUTED_VALUE"""),"Q14")</f>
        <v>Q14</v>
      </c>
      <c r="E126" s="7" t="str">
        <f>IFERROR(__xludf.DUMMYFUNCTION("""COMPUTED_VALUE""")," Freeness and fairness of the last national election")</f>
        <v> Freeness and fairness of the last national election</v>
      </c>
      <c r="F126" s="7" t="str">
        <f>IFERROR(__xludf.DUMMYFUNCTION("""COMPUTED_VALUE"""),"2015")</f>
        <v>2015</v>
      </c>
    </row>
    <row r="127">
      <c r="A127" s="7" t="str">
        <f>IFERROR(__xludf.DUMMYFUNCTION("""COMPUTED_VALUE"""),"TUNISIA ")</f>
        <v>TUNISIA </v>
      </c>
      <c r="B127" s="8">
        <f>IFERROR(__xludf.DUMMYFUNCTION("""COMPUTED_VALUE"""),8.0)</f>
        <v>8</v>
      </c>
      <c r="C127" s="7" t="str">
        <f>IFERROR(__xludf.DUMMYFUNCTION("""COMPUTED_VALUE"""),"A_10_10")</f>
        <v>A_10_10</v>
      </c>
      <c r="D127" s="7" t="str">
        <f>IFERROR(__xludf.DUMMYFUNCTION("""COMPUTED_VALUE"""),"Q14")</f>
        <v>Q14</v>
      </c>
      <c r="E127" s="7" t="str">
        <f>IFERROR(__xludf.DUMMYFUNCTION("""COMPUTED_VALUE""")," Freeness and fairness of the last national election")</f>
        <v> Freeness and fairness of the last national election</v>
      </c>
      <c r="F127" s="7" t="str">
        <f>IFERROR(__xludf.DUMMYFUNCTION("""COMPUTED_VALUE"""),"2019")</f>
        <v>2019</v>
      </c>
    </row>
    <row r="128">
      <c r="A128" s="7" t="str">
        <f>IFERROR(__xludf.DUMMYFUNCTION("""COMPUTED_VALUE"""),"UGANDA  ")</f>
        <v>UGANDA  </v>
      </c>
      <c r="B128" s="8">
        <f>IFERROR(__xludf.DUMMYFUNCTION("""COMPUTED_VALUE"""),8.0)</f>
        <v>8</v>
      </c>
      <c r="C128" s="7" t="str">
        <f>IFERROR(__xludf.DUMMYFUNCTION("""COMPUTED_VALUE"""),"A_10_10")</f>
        <v>A_10_10</v>
      </c>
      <c r="D128" s="7" t="str">
        <f>IFERROR(__xludf.DUMMYFUNCTION("""COMPUTED_VALUE"""),"Q14")</f>
        <v>Q14</v>
      </c>
      <c r="E128" s="7" t="str">
        <f>IFERROR(__xludf.DUMMYFUNCTION("""COMPUTED_VALUE""")," Freeness and fairness of the last national election")</f>
        <v> Freeness and fairness of the last national election</v>
      </c>
      <c r="F128" s="7" t="str">
        <f>IFERROR(__xludf.DUMMYFUNCTION("""COMPUTED_VALUE"""),"2016")</f>
        <v>2016</v>
      </c>
    </row>
    <row r="129">
      <c r="A129" s="7" t="str">
        <f>IFERROR(__xludf.DUMMYFUNCTION("""COMPUTED_VALUE"""),"ZAMBIA")</f>
        <v>ZAMBIA</v>
      </c>
      <c r="B129" s="8">
        <f>IFERROR(__xludf.DUMMYFUNCTION("""COMPUTED_VALUE"""),8.0)</f>
        <v>8</v>
      </c>
      <c r="C129" s="7" t="str">
        <f>IFERROR(__xludf.DUMMYFUNCTION("""COMPUTED_VALUE"""),"A_10_10")</f>
        <v>A_10_10</v>
      </c>
      <c r="D129" s="7" t="str">
        <f>IFERROR(__xludf.DUMMYFUNCTION("""COMPUTED_VALUE"""),"Q14")</f>
        <v>Q14</v>
      </c>
      <c r="E129" s="7" t="str">
        <f>IFERROR(__xludf.DUMMYFUNCTION("""COMPUTED_VALUE""")," Freeness and fairness of the last national election")</f>
        <v> Freeness and fairness of the last national election</v>
      </c>
      <c r="F129" s="7" t="str">
        <f>IFERROR(__xludf.DUMMYFUNCTION("""COMPUTED_VALUE"""),"2016")</f>
        <v>2016</v>
      </c>
    </row>
    <row r="130">
      <c r="A130" s="7" t="str">
        <f>IFERROR(__xludf.DUMMYFUNCTION("""COMPUTED_VALUE"""),"ZIMBABWE")</f>
        <v>ZIMBABWE</v>
      </c>
      <c r="B130" s="8">
        <f>IFERROR(__xludf.DUMMYFUNCTION("""COMPUTED_VALUE"""),8.0)</f>
        <v>8</v>
      </c>
      <c r="C130" s="7" t="str">
        <f>IFERROR(__xludf.DUMMYFUNCTION("""COMPUTED_VALUE"""),"A_10_10")</f>
        <v>A_10_10</v>
      </c>
      <c r="D130" s="7" t="str">
        <f>IFERROR(__xludf.DUMMYFUNCTION("""COMPUTED_VALUE"""),"Q14")</f>
        <v>Q14</v>
      </c>
      <c r="E130" s="7" t="str">
        <f>IFERROR(__xludf.DUMMYFUNCTION("""COMPUTED_VALUE""")," Freeness and fairness of the last national election")</f>
        <v> Freeness and fairness of the last national election</v>
      </c>
      <c r="F130" s="7" t="str">
        <f>IFERROR(__xludf.DUMMYFUNCTION("""COMPUTED_VALUE"""),"2018")</f>
        <v>2018</v>
      </c>
    </row>
    <row r="131">
      <c r="A131" s="7" t="str">
        <f>IFERROR(__xludf.DUMMYFUNCTION("""COMPUTED_VALUE"""),"BOTSWANA ")</f>
        <v>BOTSWANA </v>
      </c>
      <c r="B131" s="8">
        <f>IFERROR(__xludf.DUMMYFUNCTION("""COMPUTED_VALUE"""),8.0)</f>
        <v>8</v>
      </c>
      <c r="C131" s="7" t="str">
        <f>IFERROR(__xludf.DUMMYFUNCTION("""COMPUTED_VALUE"""),"A_10_24")</f>
        <v>A_10_24</v>
      </c>
      <c r="D131" s="7" t="str">
        <f>IFERROR(__xludf.DUMMYFUNCTION("""COMPUTED_VALUE"""),"Q15a")</f>
        <v>Q15a</v>
      </c>
      <c r="E131" s="7" t="str">
        <f>IFERROR(__xludf.DUMMYFUNCTION("""COMPUTED_VALUE"""),"Last national election: attend a campaign rally")</f>
        <v>Last national election: attend a campaign rally</v>
      </c>
      <c r="F131" s="7" t="str">
        <f>IFERROR(__xludf.DUMMYFUNCTION("""COMPUTED_VALUE"""),"2014")</f>
        <v>2014</v>
      </c>
    </row>
    <row r="132">
      <c r="A132" s="7" t="str">
        <f>IFERROR(__xludf.DUMMYFUNCTION("""COMPUTED_VALUE"""),"CABO VERDE ")</f>
        <v>CABO VERDE </v>
      </c>
      <c r="B132" s="8">
        <f>IFERROR(__xludf.DUMMYFUNCTION("""COMPUTED_VALUE"""),8.0)</f>
        <v>8</v>
      </c>
      <c r="C132" s="7" t="str">
        <f>IFERROR(__xludf.DUMMYFUNCTION("""COMPUTED_VALUE"""),"A_10_24")</f>
        <v>A_10_24</v>
      </c>
      <c r="D132" s="7" t="str">
        <f>IFERROR(__xludf.DUMMYFUNCTION("""COMPUTED_VALUE"""),"Q15a")</f>
        <v>Q15a</v>
      </c>
      <c r="E132" s="7" t="str">
        <f>IFERROR(__xludf.DUMMYFUNCTION("""COMPUTED_VALUE"""),"Last national election: attend a campaign rally")</f>
        <v>Last national election: attend a campaign rally</v>
      </c>
      <c r="F132" s="7" t="str">
        <f>IFERROR(__xludf.DUMMYFUNCTION("""COMPUTED_VALUE"""),"2016")</f>
        <v>2016</v>
      </c>
    </row>
    <row r="133">
      <c r="A133" s="7" t="str">
        <f>IFERROR(__xludf.DUMMYFUNCTION("""COMPUTED_VALUE"""),"CAMEROON")</f>
        <v>CAMEROON</v>
      </c>
      <c r="B133" s="8">
        <f>IFERROR(__xludf.DUMMYFUNCTION("""COMPUTED_VALUE"""),8.0)</f>
        <v>8</v>
      </c>
      <c r="C133" s="7" t="str">
        <f>IFERROR(__xludf.DUMMYFUNCTION("""COMPUTED_VALUE"""),"A_10_24")</f>
        <v>A_10_24</v>
      </c>
      <c r="D133" s="7" t="str">
        <f>IFERROR(__xludf.DUMMYFUNCTION("""COMPUTED_VALUE"""),"Q15a")</f>
        <v>Q15a</v>
      </c>
      <c r="E133" s="7" t="str">
        <f>IFERROR(__xludf.DUMMYFUNCTION("""COMPUTED_VALUE"""),"Last national election: attend a campaign rally")</f>
        <v>Last national election: attend a campaign rally</v>
      </c>
      <c r="F133" s="7" t="str">
        <f>IFERROR(__xludf.DUMMYFUNCTION("""COMPUTED_VALUE"""),"2020")</f>
        <v>2020</v>
      </c>
    </row>
    <row r="134">
      <c r="A134" s="7" t="str">
        <f>IFERROR(__xludf.DUMMYFUNCTION("""COMPUTED_VALUE"""),"ESWATINI")</f>
        <v>ESWATINI</v>
      </c>
      <c r="B134" s="8">
        <f>IFERROR(__xludf.DUMMYFUNCTION("""COMPUTED_VALUE"""),8.0)</f>
        <v>8</v>
      </c>
      <c r="C134" s="7" t="str">
        <f>IFERROR(__xludf.DUMMYFUNCTION("""COMPUTED_VALUE"""),"A_10_24")</f>
        <v>A_10_24</v>
      </c>
      <c r="D134" s="7" t="str">
        <f>IFERROR(__xludf.DUMMYFUNCTION("""COMPUTED_VALUE"""),"Q15a")</f>
        <v>Q15a</v>
      </c>
      <c r="E134" s="7" t="str">
        <f>IFERROR(__xludf.DUMMYFUNCTION("""COMPUTED_VALUE"""),"Last national election: attend a campaign rally")</f>
        <v>Last national election: attend a campaign rally</v>
      </c>
      <c r="F134" s="7" t="str">
        <f>IFERROR(__xludf.DUMMYFUNCTION("""COMPUTED_VALUE"""),"2018")</f>
        <v>2018</v>
      </c>
    </row>
    <row r="135">
      <c r="A135" s="7" t="str">
        <f>IFERROR(__xludf.DUMMYFUNCTION("""COMPUTED_VALUE"""),"ETHIOPIA")</f>
        <v>ETHIOPIA</v>
      </c>
      <c r="B135" s="8">
        <f>IFERROR(__xludf.DUMMYFUNCTION("""COMPUTED_VALUE"""),8.0)</f>
        <v>8</v>
      </c>
      <c r="C135" s="7" t="str">
        <f>IFERROR(__xludf.DUMMYFUNCTION("""COMPUTED_VALUE"""),"A_10_24")</f>
        <v>A_10_24</v>
      </c>
      <c r="D135" s="7" t="str">
        <f>IFERROR(__xludf.DUMMYFUNCTION("""COMPUTED_VALUE"""),"Q15a")</f>
        <v>Q15a</v>
      </c>
      <c r="E135" s="7" t="str">
        <f>IFERROR(__xludf.DUMMYFUNCTION("""COMPUTED_VALUE"""),"Last national election: attend a campaign rally")</f>
        <v>Last national election: attend a campaign rally</v>
      </c>
      <c r="F135" s="7" t="str">
        <f>IFERROR(__xludf.DUMMYFUNCTION("""COMPUTED_VALUE"""),"2015")</f>
        <v>2015</v>
      </c>
    </row>
    <row r="136">
      <c r="A136" s="7" t="str">
        <f>IFERROR(__xludf.DUMMYFUNCTION("""COMPUTED_VALUE"""),"GAMBIA")</f>
        <v>GAMBIA</v>
      </c>
      <c r="B136" s="8">
        <f>IFERROR(__xludf.DUMMYFUNCTION("""COMPUTED_VALUE"""),8.0)</f>
        <v>8</v>
      </c>
      <c r="C136" s="7" t="str">
        <f>IFERROR(__xludf.DUMMYFUNCTION("""COMPUTED_VALUE"""),"A_10_24")</f>
        <v>A_10_24</v>
      </c>
      <c r="D136" s="7" t="str">
        <f>IFERROR(__xludf.DUMMYFUNCTION("""COMPUTED_VALUE"""),"Q15a")</f>
        <v>Q15a</v>
      </c>
      <c r="E136" s="7" t="str">
        <f>IFERROR(__xludf.DUMMYFUNCTION("""COMPUTED_VALUE"""),"Last national election: attend a campaign rally")</f>
        <v>Last national election: attend a campaign rally</v>
      </c>
      <c r="F136" s="7" t="str">
        <f>IFERROR(__xludf.DUMMYFUNCTION("""COMPUTED_VALUE"""),"2017")</f>
        <v>2017</v>
      </c>
    </row>
    <row r="137">
      <c r="A137" s="7" t="str">
        <f>IFERROR(__xludf.DUMMYFUNCTION("""COMPUTED_VALUE"""),"GHANA ")</f>
        <v>GHANA </v>
      </c>
      <c r="B137" s="8">
        <f>IFERROR(__xludf.DUMMYFUNCTION("""COMPUTED_VALUE"""),8.0)</f>
        <v>8</v>
      </c>
      <c r="C137" s="7" t="str">
        <f>IFERROR(__xludf.DUMMYFUNCTION("""COMPUTED_VALUE"""),"A_10_24")</f>
        <v>A_10_24</v>
      </c>
      <c r="D137" s="7" t="str">
        <f>IFERROR(__xludf.DUMMYFUNCTION("""COMPUTED_VALUE"""),"Q15a")</f>
        <v>Q15a</v>
      </c>
      <c r="E137" s="7" t="str">
        <f>IFERROR(__xludf.DUMMYFUNCTION("""COMPUTED_VALUE"""),"Last national election: attend a campaign rally")</f>
        <v>Last national election: attend a campaign rally</v>
      </c>
      <c r="F137" s="7" t="str">
        <f>IFERROR(__xludf.DUMMYFUNCTION("""COMPUTED_VALUE"""),"2016")</f>
        <v>2016</v>
      </c>
    </row>
    <row r="138">
      <c r="A138" s="7" t="str">
        <f>IFERROR(__xludf.DUMMYFUNCTION("""COMPUTED_VALUE"""),"KENYA  ")</f>
        <v>KENYA  </v>
      </c>
      <c r="B138" s="8">
        <f>IFERROR(__xludf.DUMMYFUNCTION("""COMPUTED_VALUE"""),8.0)</f>
        <v>8</v>
      </c>
      <c r="C138" s="7" t="str">
        <f>IFERROR(__xludf.DUMMYFUNCTION("""COMPUTED_VALUE"""),"A_10_24")</f>
        <v>A_10_24</v>
      </c>
      <c r="D138" s="7" t="str">
        <f>IFERROR(__xludf.DUMMYFUNCTION("""COMPUTED_VALUE"""),"Q15a")</f>
        <v>Q15a</v>
      </c>
      <c r="E138" s="7" t="str">
        <f>IFERROR(__xludf.DUMMYFUNCTION("""COMPUTED_VALUE"""),"Last national election: attend a campaign rally")</f>
        <v>Last national election: attend a campaign rally</v>
      </c>
      <c r="F138" s="7" t="str">
        <f>IFERROR(__xludf.DUMMYFUNCTION("""COMPUTED_VALUE"""),"2017")</f>
        <v>2017</v>
      </c>
    </row>
    <row r="139">
      <c r="A139" s="7" t="str">
        <f>IFERROR(__xludf.DUMMYFUNCTION("""COMPUTED_VALUE"""),"LESOTHO ")</f>
        <v>LESOTHO </v>
      </c>
      <c r="B139" s="8">
        <f>IFERROR(__xludf.DUMMYFUNCTION("""COMPUTED_VALUE"""),8.0)</f>
        <v>8</v>
      </c>
      <c r="C139" s="7" t="str">
        <f>IFERROR(__xludf.DUMMYFUNCTION("""COMPUTED_VALUE"""),"A_10_24")</f>
        <v>A_10_24</v>
      </c>
      <c r="D139" s="7" t="str">
        <f>IFERROR(__xludf.DUMMYFUNCTION("""COMPUTED_VALUE"""),"Q15a")</f>
        <v>Q15a</v>
      </c>
      <c r="E139" s="7" t="str">
        <f>IFERROR(__xludf.DUMMYFUNCTION("""COMPUTED_VALUE"""),"Last national election: attend a campaign rally")</f>
        <v>Last national election: attend a campaign rally</v>
      </c>
      <c r="F139" s="7" t="str">
        <f>IFERROR(__xludf.DUMMYFUNCTION("""COMPUTED_VALUE"""),"2017")</f>
        <v>2017</v>
      </c>
    </row>
    <row r="140">
      <c r="A140" s="7" t="str">
        <f>IFERROR(__xludf.DUMMYFUNCTION("""COMPUTED_VALUE"""),"LIBERIA  ")</f>
        <v>LIBERIA  </v>
      </c>
      <c r="B140" s="8">
        <f>IFERROR(__xludf.DUMMYFUNCTION("""COMPUTED_VALUE"""),8.0)</f>
        <v>8</v>
      </c>
      <c r="C140" s="7" t="str">
        <f>IFERROR(__xludf.DUMMYFUNCTION("""COMPUTED_VALUE"""),"A_10_24")</f>
        <v>A_10_24</v>
      </c>
      <c r="D140" s="7" t="str">
        <f>IFERROR(__xludf.DUMMYFUNCTION("""COMPUTED_VALUE"""),"Q15a")</f>
        <v>Q15a</v>
      </c>
      <c r="E140" s="7" t="str">
        <f>IFERROR(__xludf.DUMMYFUNCTION("""COMPUTED_VALUE"""),"Last national election: attend a campaign rally")</f>
        <v>Last national election: attend a campaign rally</v>
      </c>
      <c r="F140" s="7" t="str">
        <f>IFERROR(__xludf.DUMMYFUNCTION("""COMPUTED_VALUE"""),"2017")</f>
        <v>2017</v>
      </c>
    </row>
    <row r="141">
      <c r="A141" s="7" t="str">
        <f>IFERROR(__xludf.DUMMYFUNCTION("""COMPUTED_VALUE"""),"MALAWI ")</f>
        <v>MALAWI </v>
      </c>
      <c r="B141" s="8">
        <f>IFERROR(__xludf.DUMMYFUNCTION("""COMPUTED_VALUE"""),8.0)</f>
        <v>8</v>
      </c>
      <c r="C141" s="7" t="str">
        <f>IFERROR(__xludf.DUMMYFUNCTION("""COMPUTED_VALUE"""),"A_10_24")</f>
        <v>A_10_24</v>
      </c>
      <c r="D141" s="7" t="str">
        <f>IFERROR(__xludf.DUMMYFUNCTION("""COMPUTED_VALUE"""),"Q15a")</f>
        <v>Q15a</v>
      </c>
      <c r="E141" s="7" t="str">
        <f>IFERROR(__xludf.DUMMYFUNCTION("""COMPUTED_VALUE"""),"Last national election: attend a campaign rally")</f>
        <v>Last national election: attend a campaign rally</v>
      </c>
      <c r="F141" s="7" t="str">
        <f>IFERROR(__xludf.DUMMYFUNCTION("""COMPUTED_VALUE"""),"2019")</f>
        <v>2019</v>
      </c>
    </row>
    <row r="142">
      <c r="A142" s="7" t="str">
        <f>IFERROR(__xludf.DUMMYFUNCTION("""COMPUTED_VALUE"""),"MOROCCO ")</f>
        <v>MOROCCO </v>
      </c>
      <c r="B142" s="8">
        <f>IFERROR(__xludf.DUMMYFUNCTION("""COMPUTED_VALUE"""),8.0)</f>
        <v>8</v>
      </c>
      <c r="C142" s="7" t="str">
        <f>IFERROR(__xludf.DUMMYFUNCTION("""COMPUTED_VALUE"""),"A_10_24")</f>
        <v>A_10_24</v>
      </c>
      <c r="D142" s="7" t="str">
        <f>IFERROR(__xludf.DUMMYFUNCTION("""COMPUTED_VALUE"""),"Q15a")</f>
        <v>Q15a</v>
      </c>
      <c r="E142" s="7" t="str">
        <f>IFERROR(__xludf.DUMMYFUNCTION("""COMPUTED_VALUE"""),"Last national election: attend a campaign rally")</f>
        <v>Last national election: attend a campaign rally</v>
      </c>
      <c r="F142" s="7" t="str">
        <f>IFERROR(__xludf.DUMMYFUNCTION("""COMPUTED_VALUE"""),"2016")</f>
        <v>2016</v>
      </c>
    </row>
    <row r="143">
      <c r="A143" s="7" t="str">
        <f>IFERROR(__xludf.DUMMYFUNCTION("""COMPUTED_VALUE"""),"MOZAMBIQUE")</f>
        <v>MOZAMBIQUE</v>
      </c>
      <c r="B143" s="8">
        <f>IFERROR(__xludf.DUMMYFUNCTION("""COMPUTED_VALUE"""),8.0)</f>
        <v>8</v>
      </c>
      <c r="C143" s="7" t="str">
        <f>IFERROR(__xludf.DUMMYFUNCTION("""COMPUTED_VALUE"""),"A_10_24")</f>
        <v>A_10_24</v>
      </c>
      <c r="D143" s="7" t="str">
        <f>IFERROR(__xludf.DUMMYFUNCTION("""COMPUTED_VALUE"""),"Q15a")</f>
        <v>Q15a</v>
      </c>
      <c r="E143" s="7" t="str">
        <f>IFERROR(__xludf.DUMMYFUNCTION("""COMPUTED_VALUE"""),"Last national election: attend a campaign rally")</f>
        <v>Last national election: attend a campaign rally</v>
      </c>
      <c r="F143" s="7" t="str">
        <f>IFERROR(__xludf.DUMMYFUNCTION("""COMPUTED_VALUE"""),"2019")</f>
        <v>2019</v>
      </c>
    </row>
    <row r="144">
      <c r="A144" s="7" t="str">
        <f>IFERROR(__xludf.DUMMYFUNCTION("""COMPUTED_VALUE"""),"NAMIBIA ")</f>
        <v>NAMIBIA </v>
      </c>
      <c r="B144" s="8">
        <f>IFERROR(__xludf.DUMMYFUNCTION("""COMPUTED_VALUE"""),8.0)</f>
        <v>8</v>
      </c>
      <c r="C144" s="7" t="str">
        <f>IFERROR(__xludf.DUMMYFUNCTION("""COMPUTED_VALUE"""),"A_10_24")</f>
        <v>A_10_24</v>
      </c>
      <c r="D144" s="7" t="str">
        <f>IFERROR(__xludf.DUMMYFUNCTION("""COMPUTED_VALUE"""),"Q15a")</f>
        <v>Q15a</v>
      </c>
      <c r="E144" s="7" t="str">
        <f>IFERROR(__xludf.DUMMYFUNCTION("""COMPUTED_VALUE"""),"Last national election: attend a campaign rally")</f>
        <v>Last national election: attend a campaign rally</v>
      </c>
      <c r="F144" s="7" t="str">
        <f>IFERROR(__xludf.DUMMYFUNCTION("""COMPUTED_VALUE"""),"2014")</f>
        <v>2014</v>
      </c>
    </row>
    <row r="145">
      <c r="A145" s="7" t="str">
        <f>IFERROR(__xludf.DUMMYFUNCTION("""COMPUTED_VALUE"""),"NIGERIA ")</f>
        <v>NIGERIA </v>
      </c>
      <c r="B145" s="8">
        <f>IFERROR(__xludf.DUMMYFUNCTION("""COMPUTED_VALUE"""),8.0)</f>
        <v>8</v>
      </c>
      <c r="C145" s="7" t="str">
        <f>IFERROR(__xludf.DUMMYFUNCTION("""COMPUTED_VALUE"""),"A_10_24")</f>
        <v>A_10_24</v>
      </c>
      <c r="D145" s="7" t="str">
        <f>IFERROR(__xludf.DUMMYFUNCTION("""COMPUTED_VALUE"""),"Q15a")</f>
        <v>Q15a</v>
      </c>
      <c r="E145" s="7" t="str">
        <f>IFERROR(__xludf.DUMMYFUNCTION("""COMPUTED_VALUE"""),"Last national election: attend a campaign rally")</f>
        <v>Last national election: attend a campaign rally</v>
      </c>
      <c r="F145" s="7" t="str">
        <f>IFERROR(__xludf.DUMMYFUNCTION("""COMPUTED_VALUE"""),"2019")</f>
        <v>2019</v>
      </c>
    </row>
    <row r="146">
      <c r="A146" s="7" t="str">
        <f>IFERROR(__xludf.DUMMYFUNCTION("""COMPUTED_VALUE"""),"SIERRA LEONE")</f>
        <v>SIERRA LEONE</v>
      </c>
      <c r="B146" s="8">
        <f>IFERROR(__xludf.DUMMYFUNCTION("""COMPUTED_VALUE"""),8.0)</f>
        <v>8</v>
      </c>
      <c r="C146" s="7" t="str">
        <f>IFERROR(__xludf.DUMMYFUNCTION("""COMPUTED_VALUE"""),"A_10_24")</f>
        <v>A_10_24</v>
      </c>
      <c r="D146" s="7" t="str">
        <f>IFERROR(__xludf.DUMMYFUNCTION("""COMPUTED_VALUE"""),"Q15a")</f>
        <v>Q15a</v>
      </c>
      <c r="E146" s="7" t="str">
        <f>IFERROR(__xludf.DUMMYFUNCTION("""COMPUTED_VALUE"""),"Last national election: attend a campaign rally")</f>
        <v>Last national election: attend a campaign rally</v>
      </c>
      <c r="F146" s="7" t="str">
        <f>IFERROR(__xludf.DUMMYFUNCTION("""COMPUTED_VALUE"""),"2018")</f>
        <v>2018</v>
      </c>
    </row>
    <row r="147">
      <c r="A147" s="7" t="str">
        <f>IFERROR(__xludf.DUMMYFUNCTION("""COMPUTED_VALUE"""),"SOUTH AFRICA")</f>
        <v>SOUTH AFRICA</v>
      </c>
      <c r="B147" s="8">
        <f>IFERROR(__xludf.DUMMYFUNCTION("""COMPUTED_VALUE"""),8.0)</f>
        <v>8</v>
      </c>
      <c r="C147" s="7" t="str">
        <f>IFERROR(__xludf.DUMMYFUNCTION("""COMPUTED_VALUE"""),"A_10_24")</f>
        <v>A_10_24</v>
      </c>
      <c r="D147" s="7" t="str">
        <f>IFERROR(__xludf.DUMMYFUNCTION("""COMPUTED_VALUE"""),"Q15a")</f>
        <v>Q15a</v>
      </c>
      <c r="E147" s="7" t="str">
        <f>IFERROR(__xludf.DUMMYFUNCTION("""COMPUTED_VALUE"""),"Last national election: attend a campaign rally")</f>
        <v>Last national election: attend a campaign rally</v>
      </c>
      <c r="F147" s="7" t="str">
        <f>IFERROR(__xludf.DUMMYFUNCTION("""COMPUTED_VALUE"""),"2019")</f>
        <v>2019</v>
      </c>
    </row>
    <row r="148">
      <c r="A148" s="7" t="str">
        <f>IFERROR(__xludf.DUMMYFUNCTION("""COMPUTED_VALUE"""),"SUDAN")</f>
        <v>SUDAN</v>
      </c>
      <c r="B148" s="8">
        <f>IFERROR(__xludf.DUMMYFUNCTION("""COMPUTED_VALUE"""),8.0)</f>
        <v>8</v>
      </c>
      <c r="C148" s="7" t="str">
        <f>IFERROR(__xludf.DUMMYFUNCTION("""COMPUTED_VALUE"""),"A_10_24")</f>
        <v>A_10_24</v>
      </c>
      <c r="D148" s="7" t="str">
        <f>IFERROR(__xludf.DUMMYFUNCTION("""COMPUTED_VALUE"""),"Q15a")</f>
        <v>Q15a</v>
      </c>
      <c r="E148" s="7" t="str">
        <f>IFERROR(__xludf.DUMMYFUNCTION("""COMPUTED_VALUE"""),"Last national election: attend a campaign rally")</f>
        <v>Last national election: attend a campaign rally</v>
      </c>
      <c r="F148" s="7" t="str">
        <f>IFERROR(__xludf.DUMMYFUNCTION("""COMPUTED_VALUE"""),"2015")</f>
        <v>2015</v>
      </c>
    </row>
    <row r="149">
      <c r="A149" s="7" t="str">
        <f>IFERROR(__xludf.DUMMYFUNCTION("""COMPUTED_VALUE"""),"TANZANIA")</f>
        <v>TANZANIA</v>
      </c>
      <c r="B149" s="8">
        <f>IFERROR(__xludf.DUMMYFUNCTION("""COMPUTED_VALUE"""),8.0)</f>
        <v>8</v>
      </c>
      <c r="C149" s="7" t="str">
        <f>IFERROR(__xludf.DUMMYFUNCTION("""COMPUTED_VALUE"""),"A_10_24")</f>
        <v>A_10_24</v>
      </c>
      <c r="D149" s="7" t="str">
        <f>IFERROR(__xludf.DUMMYFUNCTION("""COMPUTED_VALUE"""),"Q15a")</f>
        <v>Q15a</v>
      </c>
      <c r="E149" s="7" t="str">
        <f>IFERROR(__xludf.DUMMYFUNCTION("""COMPUTED_VALUE"""),"Last national election: attend a campaign rally")</f>
        <v>Last national election: attend a campaign rally</v>
      </c>
      <c r="F149" s="7" t="str">
        <f>IFERROR(__xludf.DUMMYFUNCTION("""COMPUTED_VALUE"""),"2015")</f>
        <v>2015</v>
      </c>
    </row>
    <row r="150">
      <c r="A150" s="7" t="str">
        <f>IFERROR(__xludf.DUMMYFUNCTION("""COMPUTED_VALUE"""),"TUNISIA ")</f>
        <v>TUNISIA </v>
      </c>
      <c r="B150" s="8">
        <f>IFERROR(__xludf.DUMMYFUNCTION("""COMPUTED_VALUE"""),8.0)</f>
        <v>8</v>
      </c>
      <c r="C150" s="7" t="str">
        <f>IFERROR(__xludf.DUMMYFUNCTION("""COMPUTED_VALUE"""),"A_10_24")</f>
        <v>A_10_24</v>
      </c>
      <c r="D150" s="7" t="str">
        <f>IFERROR(__xludf.DUMMYFUNCTION("""COMPUTED_VALUE"""),"Q15a")</f>
        <v>Q15a</v>
      </c>
      <c r="E150" s="7" t="str">
        <f>IFERROR(__xludf.DUMMYFUNCTION("""COMPUTED_VALUE"""),"Last national election: attend a campaign rally")</f>
        <v>Last national election: attend a campaign rally</v>
      </c>
      <c r="F150" s="7" t="str">
        <f>IFERROR(__xludf.DUMMYFUNCTION("""COMPUTED_VALUE"""),"2019")</f>
        <v>2019</v>
      </c>
    </row>
    <row r="151">
      <c r="A151" s="7" t="str">
        <f>IFERROR(__xludf.DUMMYFUNCTION("""COMPUTED_VALUE"""),"UGANDA  ")</f>
        <v>UGANDA  </v>
      </c>
      <c r="B151" s="8">
        <f>IFERROR(__xludf.DUMMYFUNCTION("""COMPUTED_VALUE"""),8.0)</f>
        <v>8</v>
      </c>
      <c r="C151" s="7" t="str">
        <f>IFERROR(__xludf.DUMMYFUNCTION("""COMPUTED_VALUE"""),"A_10_24")</f>
        <v>A_10_24</v>
      </c>
      <c r="D151" s="7" t="str">
        <f>IFERROR(__xludf.DUMMYFUNCTION("""COMPUTED_VALUE"""),"Q15a")</f>
        <v>Q15a</v>
      </c>
      <c r="E151" s="7" t="str">
        <f>IFERROR(__xludf.DUMMYFUNCTION("""COMPUTED_VALUE"""),"Last national election: attend a campaign rally")</f>
        <v>Last national election: attend a campaign rally</v>
      </c>
      <c r="F151" s="7" t="str">
        <f>IFERROR(__xludf.DUMMYFUNCTION("""COMPUTED_VALUE"""),"2016")</f>
        <v>2016</v>
      </c>
    </row>
    <row r="152">
      <c r="A152" s="7" t="str">
        <f>IFERROR(__xludf.DUMMYFUNCTION("""COMPUTED_VALUE"""),"ZAMBIA")</f>
        <v>ZAMBIA</v>
      </c>
      <c r="B152" s="8">
        <f>IFERROR(__xludf.DUMMYFUNCTION("""COMPUTED_VALUE"""),8.0)</f>
        <v>8</v>
      </c>
      <c r="C152" s="7" t="str">
        <f>IFERROR(__xludf.DUMMYFUNCTION("""COMPUTED_VALUE"""),"A_10_24")</f>
        <v>A_10_24</v>
      </c>
      <c r="D152" s="7" t="str">
        <f>IFERROR(__xludf.DUMMYFUNCTION("""COMPUTED_VALUE"""),"Q15a")</f>
        <v>Q15a</v>
      </c>
      <c r="E152" s="7" t="str">
        <f>IFERROR(__xludf.DUMMYFUNCTION("""COMPUTED_VALUE"""),"Last national election: attend a campaign rally")</f>
        <v>Last national election: attend a campaign rally</v>
      </c>
      <c r="F152" s="7" t="str">
        <f>IFERROR(__xludf.DUMMYFUNCTION("""COMPUTED_VALUE"""),"2016")</f>
        <v>2016</v>
      </c>
    </row>
    <row r="153">
      <c r="A153" s="7" t="str">
        <f>IFERROR(__xludf.DUMMYFUNCTION("""COMPUTED_VALUE"""),"ZIMBABWE")</f>
        <v>ZIMBABWE</v>
      </c>
      <c r="B153" s="8">
        <f>IFERROR(__xludf.DUMMYFUNCTION("""COMPUTED_VALUE"""),8.0)</f>
        <v>8</v>
      </c>
      <c r="C153" s="7" t="str">
        <f>IFERROR(__xludf.DUMMYFUNCTION("""COMPUTED_VALUE"""),"A_10_24")</f>
        <v>A_10_24</v>
      </c>
      <c r="D153" s="7" t="str">
        <f>IFERROR(__xludf.DUMMYFUNCTION("""COMPUTED_VALUE"""),"Q15a")</f>
        <v>Q15a</v>
      </c>
      <c r="E153" s="7" t="str">
        <f>IFERROR(__xludf.DUMMYFUNCTION("""COMPUTED_VALUE"""),"Last national election: attend a campaign rally")</f>
        <v>Last national election: attend a campaign rally</v>
      </c>
      <c r="F153" s="7" t="str">
        <f>IFERROR(__xludf.DUMMYFUNCTION("""COMPUTED_VALUE"""),"2018")</f>
        <v>2018</v>
      </c>
    </row>
    <row r="154">
      <c r="A154" s="7" t="str">
        <f>IFERROR(__xludf.DUMMYFUNCTION("""COMPUTED_VALUE"""),"BOTSWANA ")</f>
        <v>BOTSWANA </v>
      </c>
      <c r="B154" s="8">
        <f>IFERROR(__xludf.DUMMYFUNCTION("""COMPUTED_VALUE"""),8.0)</f>
        <v>8</v>
      </c>
      <c r="C154" s="7" t="str">
        <f>IFERROR(__xludf.DUMMYFUNCTION("""COMPUTED_VALUE"""),"A_10_27")</f>
        <v>A_10_27</v>
      </c>
      <c r="D154" s="7" t="str">
        <f>IFERROR(__xludf.DUMMYFUNCTION("""COMPUTED_VALUE"""),"Q15b")</f>
        <v>Q15b</v>
      </c>
      <c r="E154" s="7" t="str">
        <f>IFERROR(__xludf.DUMMYFUNCTION("""COMPUTED_VALUE"""),"Last national election: work for a candidate or party")</f>
        <v>Last national election: work for a candidate or party</v>
      </c>
      <c r="F154" s="7" t="str">
        <f>IFERROR(__xludf.DUMMYFUNCTION("""COMPUTED_VALUE"""),"2014")</f>
        <v>2014</v>
      </c>
    </row>
    <row r="155">
      <c r="A155" s="7" t="str">
        <f>IFERROR(__xludf.DUMMYFUNCTION("""COMPUTED_VALUE"""),"CABO VERDE ")</f>
        <v>CABO VERDE </v>
      </c>
      <c r="B155" s="8">
        <f>IFERROR(__xludf.DUMMYFUNCTION("""COMPUTED_VALUE"""),8.0)</f>
        <v>8</v>
      </c>
      <c r="C155" s="7" t="str">
        <f>IFERROR(__xludf.DUMMYFUNCTION("""COMPUTED_VALUE"""),"A_10_27")</f>
        <v>A_10_27</v>
      </c>
      <c r="D155" s="7" t="str">
        <f>IFERROR(__xludf.DUMMYFUNCTION("""COMPUTED_VALUE"""),"Q15b")</f>
        <v>Q15b</v>
      </c>
      <c r="E155" s="7" t="str">
        <f>IFERROR(__xludf.DUMMYFUNCTION("""COMPUTED_VALUE"""),"Last national election: work for a candidate or party")</f>
        <v>Last national election: work for a candidate or party</v>
      </c>
      <c r="F155" s="7" t="str">
        <f>IFERROR(__xludf.DUMMYFUNCTION("""COMPUTED_VALUE"""),"2016")</f>
        <v>2016</v>
      </c>
    </row>
    <row r="156">
      <c r="A156" s="7" t="str">
        <f>IFERROR(__xludf.DUMMYFUNCTION("""COMPUTED_VALUE"""),"CAMEROON")</f>
        <v>CAMEROON</v>
      </c>
      <c r="B156" s="8">
        <f>IFERROR(__xludf.DUMMYFUNCTION("""COMPUTED_VALUE"""),8.0)</f>
        <v>8</v>
      </c>
      <c r="C156" s="7" t="str">
        <f>IFERROR(__xludf.DUMMYFUNCTION("""COMPUTED_VALUE"""),"A_10_27")</f>
        <v>A_10_27</v>
      </c>
      <c r="D156" s="7" t="str">
        <f>IFERROR(__xludf.DUMMYFUNCTION("""COMPUTED_VALUE"""),"Q15b")</f>
        <v>Q15b</v>
      </c>
      <c r="E156" s="7" t="str">
        <f>IFERROR(__xludf.DUMMYFUNCTION("""COMPUTED_VALUE"""),"Last national election: work for a candidate or party")</f>
        <v>Last national election: work for a candidate or party</v>
      </c>
      <c r="F156" s="7" t="str">
        <f>IFERROR(__xludf.DUMMYFUNCTION("""COMPUTED_VALUE"""),"2020")</f>
        <v>2020</v>
      </c>
    </row>
    <row r="157">
      <c r="A157" s="7" t="str">
        <f>IFERROR(__xludf.DUMMYFUNCTION("""COMPUTED_VALUE"""),"ESWATINI")</f>
        <v>ESWATINI</v>
      </c>
      <c r="B157" s="8">
        <f>IFERROR(__xludf.DUMMYFUNCTION("""COMPUTED_VALUE"""),8.0)</f>
        <v>8</v>
      </c>
      <c r="C157" s="7" t="str">
        <f>IFERROR(__xludf.DUMMYFUNCTION("""COMPUTED_VALUE"""),"A_10_27")</f>
        <v>A_10_27</v>
      </c>
      <c r="D157" s="7" t="str">
        <f>IFERROR(__xludf.DUMMYFUNCTION("""COMPUTED_VALUE"""),"Q15b")</f>
        <v>Q15b</v>
      </c>
      <c r="E157" s="7" t="str">
        <f>IFERROR(__xludf.DUMMYFUNCTION("""COMPUTED_VALUE"""),"Last national election: work for a candidate or party")</f>
        <v>Last national election: work for a candidate or party</v>
      </c>
      <c r="F157" s="7" t="str">
        <f>IFERROR(__xludf.DUMMYFUNCTION("""COMPUTED_VALUE"""),"2018")</f>
        <v>2018</v>
      </c>
    </row>
    <row r="158">
      <c r="A158" s="7" t="str">
        <f>IFERROR(__xludf.DUMMYFUNCTION("""COMPUTED_VALUE"""),"ETHIOPIA")</f>
        <v>ETHIOPIA</v>
      </c>
      <c r="B158" s="8">
        <f>IFERROR(__xludf.DUMMYFUNCTION("""COMPUTED_VALUE"""),8.0)</f>
        <v>8</v>
      </c>
      <c r="C158" s="7" t="str">
        <f>IFERROR(__xludf.DUMMYFUNCTION("""COMPUTED_VALUE"""),"A_10_27")</f>
        <v>A_10_27</v>
      </c>
      <c r="D158" s="7" t="str">
        <f>IFERROR(__xludf.DUMMYFUNCTION("""COMPUTED_VALUE"""),"Q15b")</f>
        <v>Q15b</v>
      </c>
      <c r="E158" s="7" t="str">
        <f>IFERROR(__xludf.DUMMYFUNCTION("""COMPUTED_VALUE"""),"Last national election: work for a candidate or party")</f>
        <v>Last national election: work for a candidate or party</v>
      </c>
      <c r="F158" s="7" t="str">
        <f>IFERROR(__xludf.DUMMYFUNCTION("""COMPUTED_VALUE"""),"2015")</f>
        <v>2015</v>
      </c>
    </row>
    <row r="159">
      <c r="A159" s="7" t="str">
        <f>IFERROR(__xludf.DUMMYFUNCTION("""COMPUTED_VALUE"""),"GAMBIA")</f>
        <v>GAMBIA</v>
      </c>
      <c r="B159" s="8">
        <f>IFERROR(__xludf.DUMMYFUNCTION("""COMPUTED_VALUE"""),8.0)</f>
        <v>8</v>
      </c>
      <c r="C159" s="7" t="str">
        <f>IFERROR(__xludf.DUMMYFUNCTION("""COMPUTED_VALUE"""),"A_10_27")</f>
        <v>A_10_27</v>
      </c>
      <c r="D159" s="7" t="str">
        <f>IFERROR(__xludf.DUMMYFUNCTION("""COMPUTED_VALUE"""),"Q15b")</f>
        <v>Q15b</v>
      </c>
      <c r="E159" s="7" t="str">
        <f>IFERROR(__xludf.DUMMYFUNCTION("""COMPUTED_VALUE"""),"Last national election: work for a candidate or party")</f>
        <v>Last national election: work for a candidate or party</v>
      </c>
      <c r="F159" s="7" t="str">
        <f>IFERROR(__xludf.DUMMYFUNCTION("""COMPUTED_VALUE"""),"2017")</f>
        <v>2017</v>
      </c>
    </row>
    <row r="160">
      <c r="A160" s="7" t="str">
        <f>IFERROR(__xludf.DUMMYFUNCTION("""COMPUTED_VALUE"""),"GHANA ")</f>
        <v>GHANA </v>
      </c>
      <c r="B160" s="8">
        <f>IFERROR(__xludf.DUMMYFUNCTION("""COMPUTED_VALUE"""),8.0)</f>
        <v>8</v>
      </c>
      <c r="C160" s="7" t="str">
        <f>IFERROR(__xludf.DUMMYFUNCTION("""COMPUTED_VALUE"""),"A_10_27")</f>
        <v>A_10_27</v>
      </c>
      <c r="D160" s="7" t="str">
        <f>IFERROR(__xludf.DUMMYFUNCTION("""COMPUTED_VALUE"""),"Q15b")</f>
        <v>Q15b</v>
      </c>
      <c r="E160" s="7" t="str">
        <f>IFERROR(__xludf.DUMMYFUNCTION("""COMPUTED_VALUE"""),"Last national election: work for a candidate or party")</f>
        <v>Last national election: work for a candidate or party</v>
      </c>
      <c r="F160" s="7" t="str">
        <f>IFERROR(__xludf.DUMMYFUNCTION("""COMPUTED_VALUE"""),"2016")</f>
        <v>2016</v>
      </c>
    </row>
    <row r="161">
      <c r="A161" s="7" t="str">
        <f>IFERROR(__xludf.DUMMYFUNCTION("""COMPUTED_VALUE"""),"KENYA  ")</f>
        <v>KENYA  </v>
      </c>
      <c r="B161" s="8">
        <f>IFERROR(__xludf.DUMMYFUNCTION("""COMPUTED_VALUE"""),8.0)</f>
        <v>8</v>
      </c>
      <c r="C161" s="7" t="str">
        <f>IFERROR(__xludf.DUMMYFUNCTION("""COMPUTED_VALUE"""),"A_10_27")</f>
        <v>A_10_27</v>
      </c>
      <c r="D161" s="7" t="str">
        <f>IFERROR(__xludf.DUMMYFUNCTION("""COMPUTED_VALUE"""),"Q15b")</f>
        <v>Q15b</v>
      </c>
      <c r="E161" s="7" t="str">
        <f>IFERROR(__xludf.DUMMYFUNCTION("""COMPUTED_VALUE"""),"Last national election: work for a candidate or party")</f>
        <v>Last national election: work for a candidate or party</v>
      </c>
      <c r="F161" s="7" t="str">
        <f>IFERROR(__xludf.DUMMYFUNCTION("""COMPUTED_VALUE"""),"2017")</f>
        <v>2017</v>
      </c>
    </row>
    <row r="162">
      <c r="A162" s="7" t="str">
        <f>IFERROR(__xludf.DUMMYFUNCTION("""COMPUTED_VALUE"""),"LESOTHO ")</f>
        <v>LESOTHO </v>
      </c>
      <c r="B162" s="8">
        <f>IFERROR(__xludf.DUMMYFUNCTION("""COMPUTED_VALUE"""),8.0)</f>
        <v>8</v>
      </c>
      <c r="C162" s="7" t="str">
        <f>IFERROR(__xludf.DUMMYFUNCTION("""COMPUTED_VALUE"""),"A_10_27")</f>
        <v>A_10_27</v>
      </c>
      <c r="D162" s="7" t="str">
        <f>IFERROR(__xludf.DUMMYFUNCTION("""COMPUTED_VALUE"""),"Q15b")</f>
        <v>Q15b</v>
      </c>
      <c r="E162" s="7" t="str">
        <f>IFERROR(__xludf.DUMMYFUNCTION("""COMPUTED_VALUE"""),"Last national election: work for a candidate or party")</f>
        <v>Last national election: work for a candidate or party</v>
      </c>
      <c r="F162" s="7" t="str">
        <f>IFERROR(__xludf.DUMMYFUNCTION("""COMPUTED_VALUE"""),"2017")</f>
        <v>2017</v>
      </c>
    </row>
    <row r="163">
      <c r="A163" s="7" t="str">
        <f>IFERROR(__xludf.DUMMYFUNCTION("""COMPUTED_VALUE"""),"LIBERIA  ")</f>
        <v>LIBERIA  </v>
      </c>
      <c r="B163" s="8">
        <f>IFERROR(__xludf.DUMMYFUNCTION("""COMPUTED_VALUE"""),8.0)</f>
        <v>8</v>
      </c>
      <c r="C163" s="7" t="str">
        <f>IFERROR(__xludf.DUMMYFUNCTION("""COMPUTED_VALUE"""),"A_10_27")</f>
        <v>A_10_27</v>
      </c>
      <c r="D163" s="7" t="str">
        <f>IFERROR(__xludf.DUMMYFUNCTION("""COMPUTED_VALUE"""),"Q15b")</f>
        <v>Q15b</v>
      </c>
      <c r="E163" s="7" t="str">
        <f>IFERROR(__xludf.DUMMYFUNCTION("""COMPUTED_VALUE"""),"Last national election: work for a candidate or party")</f>
        <v>Last national election: work for a candidate or party</v>
      </c>
      <c r="F163" s="7" t="str">
        <f>IFERROR(__xludf.DUMMYFUNCTION("""COMPUTED_VALUE"""),"2017")</f>
        <v>2017</v>
      </c>
    </row>
    <row r="164">
      <c r="A164" s="7" t="str">
        <f>IFERROR(__xludf.DUMMYFUNCTION("""COMPUTED_VALUE"""),"MALAWI ")</f>
        <v>MALAWI </v>
      </c>
      <c r="B164" s="8">
        <f>IFERROR(__xludf.DUMMYFUNCTION("""COMPUTED_VALUE"""),8.0)</f>
        <v>8</v>
      </c>
      <c r="C164" s="7" t="str">
        <f>IFERROR(__xludf.DUMMYFUNCTION("""COMPUTED_VALUE"""),"A_10_27")</f>
        <v>A_10_27</v>
      </c>
      <c r="D164" s="7" t="str">
        <f>IFERROR(__xludf.DUMMYFUNCTION("""COMPUTED_VALUE"""),"Q15b")</f>
        <v>Q15b</v>
      </c>
      <c r="E164" s="7" t="str">
        <f>IFERROR(__xludf.DUMMYFUNCTION("""COMPUTED_VALUE"""),"Last national election: work for a candidate or party")</f>
        <v>Last national election: work for a candidate or party</v>
      </c>
      <c r="F164" s="7" t="str">
        <f>IFERROR(__xludf.DUMMYFUNCTION("""COMPUTED_VALUE"""),"2019")</f>
        <v>2019</v>
      </c>
    </row>
    <row r="165">
      <c r="A165" s="7" t="str">
        <f>IFERROR(__xludf.DUMMYFUNCTION("""COMPUTED_VALUE"""),"MOROCCO ")</f>
        <v>MOROCCO </v>
      </c>
      <c r="B165" s="8">
        <f>IFERROR(__xludf.DUMMYFUNCTION("""COMPUTED_VALUE"""),8.0)</f>
        <v>8</v>
      </c>
      <c r="C165" s="7" t="str">
        <f>IFERROR(__xludf.DUMMYFUNCTION("""COMPUTED_VALUE"""),"A_10_27")</f>
        <v>A_10_27</v>
      </c>
      <c r="D165" s="7" t="str">
        <f>IFERROR(__xludf.DUMMYFUNCTION("""COMPUTED_VALUE"""),"Q15b")</f>
        <v>Q15b</v>
      </c>
      <c r="E165" s="7" t="str">
        <f>IFERROR(__xludf.DUMMYFUNCTION("""COMPUTED_VALUE"""),"Last national election: work for a candidate or party")</f>
        <v>Last national election: work for a candidate or party</v>
      </c>
      <c r="F165" s="7" t="str">
        <f>IFERROR(__xludf.DUMMYFUNCTION("""COMPUTED_VALUE"""),"2016")</f>
        <v>2016</v>
      </c>
    </row>
    <row r="166">
      <c r="A166" s="7" t="str">
        <f>IFERROR(__xludf.DUMMYFUNCTION("""COMPUTED_VALUE"""),"MOZAMBIQUE")</f>
        <v>MOZAMBIQUE</v>
      </c>
      <c r="B166" s="8">
        <f>IFERROR(__xludf.DUMMYFUNCTION("""COMPUTED_VALUE"""),8.0)</f>
        <v>8</v>
      </c>
      <c r="C166" s="7" t="str">
        <f>IFERROR(__xludf.DUMMYFUNCTION("""COMPUTED_VALUE"""),"A_10_27")</f>
        <v>A_10_27</v>
      </c>
      <c r="D166" s="7" t="str">
        <f>IFERROR(__xludf.DUMMYFUNCTION("""COMPUTED_VALUE"""),"Q15b")</f>
        <v>Q15b</v>
      </c>
      <c r="E166" s="7" t="str">
        <f>IFERROR(__xludf.DUMMYFUNCTION("""COMPUTED_VALUE"""),"Last national election: work for a candidate or party")</f>
        <v>Last national election: work for a candidate or party</v>
      </c>
      <c r="F166" s="7" t="str">
        <f>IFERROR(__xludf.DUMMYFUNCTION("""COMPUTED_VALUE"""),"2019")</f>
        <v>2019</v>
      </c>
    </row>
    <row r="167">
      <c r="A167" s="7" t="str">
        <f>IFERROR(__xludf.DUMMYFUNCTION("""COMPUTED_VALUE"""),"NAMIBIA ")</f>
        <v>NAMIBIA </v>
      </c>
      <c r="B167" s="8">
        <f>IFERROR(__xludf.DUMMYFUNCTION("""COMPUTED_VALUE"""),8.0)</f>
        <v>8</v>
      </c>
      <c r="C167" s="7" t="str">
        <f>IFERROR(__xludf.DUMMYFUNCTION("""COMPUTED_VALUE"""),"A_10_27")</f>
        <v>A_10_27</v>
      </c>
      <c r="D167" s="7" t="str">
        <f>IFERROR(__xludf.DUMMYFUNCTION("""COMPUTED_VALUE"""),"Q15b")</f>
        <v>Q15b</v>
      </c>
      <c r="E167" s="7" t="str">
        <f>IFERROR(__xludf.DUMMYFUNCTION("""COMPUTED_VALUE"""),"Last national election: work for a candidate or party")</f>
        <v>Last national election: work for a candidate or party</v>
      </c>
      <c r="F167" s="7" t="str">
        <f>IFERROR(__xludf.DUMMYFUNCTION("""COMPUTED_VALUE"""),"2014")</f>
        <v>2014</v>
      </c>
    </row>
    <row r="168">
      <c r="A168" s="7" t="str">
        <f>IFERROR(__xludf.DUMMYFUNCTION("""COMPUTED_VALUE"""),"NIGERIA ")</f>
        <v>NIGERIA </v>
      </c>
      <c r="B168" s="8">
        <f>IFERROR(__xludf.DUMMYFUNCTION("""COMPUTED_VALUE"""),8.0)</f>
        <v>8</v>
      </c>
      <c r="C168" s="7" t="str">
        <f>IFERROR(__xludf.DUMMYFUNCTION("""COMPUTED_VALUE"""),"A_10_27")</f>
        <v>A_10_27</v>
      </c>
      <c r="D168" s="7" t="str">
        <f>IFERROR(__xludf.DUMMYFUNCTION("""COMPUTED_VALUE"""),"Q15b")</f>
        <v>Q15b</v>
      </c>
      <c r="E168" s="7" t="str">
        <f>IFERROR(__xludf.DUMMYFUNCTION("""COMPUTED_VALUE"""),"Last national election: work for a candidate or party")</f>
        <v>Last national election: work for a candidate or party</v>
      </c>
      <c r="F168" s="7" t="str">
        <f>IFERROR(__xludf.DUMMYFUNCTION("""COMPUTED_VALUE"""),"2019")</f>
        <v>2019</v>
      </c>
    </row>
    <row r="169">
      <c r="A169" s="7" t="str">
        <f>IFERROR(__xludf.DUMMYFUNCTION("""COMPUTED_VALUE"""),"SIERRA LEONE")</f>
        <v>SIERRA LEONE</v>
      </c>
      <c r="B169" s="8">
        <f>IFERROR(__xludf.DUMMYFUNCTION("""COMPUTED_VALUE"""),8.0)</f>
        <v>8</v>
      </c>
      <c r="C169" s="7" t="str">
        <f>IFERROR(__xludf.DUMMYFUNCTION("""COMPUTED_VALUE"""),"A_10_27")</f>
        <v>A_10_27</v>
      </c>
      <c r="D169" s="7" t="str">
        <f>IFERROR(__xludf.DUMMYFUNCTION("""COMPUTED_VALUE"""),"Q15b")</f>
        <v>Q15b</v>
      </c>
      <c r="E169" s="7" t="str">
        <f>IFERROR(__xludf.DUMMYFUNCTION("""COMPUTED_VALUE"""),"Last national election: work for a candidate or party")</f>
        <v>Last national election: work for a candidate or party</v>
      </c>
      <c r="F169" s="7" t="str">
        <f>IFERROR(__xludf.DUMMYFUNCTION("""COMPUTED_VALUE"""),"2018")</f>
        <v>2018</v>
      </c>
    </row>
    <row r="170">
      <c r="A170" s="7" t="str">
        <f>IFERROR(__xludf.DUMMYFUNCTION("""COMPUTED_VALUE"""),"SOUTH AFRICA")</f>
        <v>SOUTH AFRICA</v>
      </c>
      <c r="B170" s="8">
        <f>IFERROR(__xludf.DUMMYFUNCTION("""COMPUTED_VALUE"""),8.0)</f>
        <v>8</v>
      </c>
      <c r="C170" s="7" t="str">
        <f>IFERROR(__xludf.DUMMYFUNCTION("""COMPUTED_VALUE"""),"A_10_27")</f>
        <v>A_10_27</v>
      </c>
      <c r="D170" s="7" t="str">
        <f>IFERROR(__xludf.DUMMYFUNCTION("""COMPUTED_VALUE"""),"Q15b")</f>
        <v>Q15b</v>
      </c>
      <c r="E170" s="7" t="str">
        <f>IFERROR(__xludf.DUMMYFUNCTION("""COMPUTED_VALUE"""),"Last national election: work for a candidate or party")</f>
        <v>Last national election: work for a candidate or party</v>
      </c>
      <c r="F170" s="7" t="str">
        <f>IFERROR(__xludf.DUMMYFUNCTION("""COMPUTED_VALUE"""),"2019")</f>
        <v>2019</v>
      </c>
    </row>
    <row r="171">
      <c r="A171" s="7" t="str">
        <f>IFERROR(__xludf.DUMMYFUNCTION("""COMPUTED_VALUE"""),"SUDAN")</f>
        <v>SUDAN</v>
      </c>
      <c r="B171" s="8">
        <f>IFERROR(__xludf.DUMMYFUNCTION("""COMPUTED_VALUE"""),8.0)</f>
        <v>8</v>
      </c>
      <c r="C171" s="7" t="str">
        <f>IFERROR(__xludf.DUMMYFUNCTION("""COMPUTED_VALUE"""),"A_10_27")</f>
        <v>A_10_27</v>
      </c>
      <c r="D171" s="7" t="str">
        <f>IFERROR(__xludf.DUMMYFUNCTION("""COMPUTED_VALUE"""),"Q15b")</f>
        <v>Q15b</v>
      </c>
      <c r="E171" s="7" t="str">
        <f>IFERROR(__xludf.DUMMYFUNCTION("""COMPUTED_VALUE"""),"Last national election: work for a candidate or party")</f>
        <v>Last national election: work for a candidate or party</v>
      </c>
      <c r="F171" s="7" t="str">
        <f>IFERROR(__xludf.DUMMYFUNCTION("""COMPUTED_VALUE"""),"2015")</f>
        <v>2015</v>
      </c>
    </row>
    <row r="172">
      <c r="A172" s="7" t="str">
        <f>IFERROR(__xludf.DUMMYFUNCTION("""COMPUTED_VALUE"""),"TANZANIA")</f>
        <v>TANZANIA</v>
      </c>
      <c r="B172" s="8">
        <f>IFERROR(__xludf.DUMMYFUNCTION("""COMPUTED_VALUE"""),8.0)</f>
        <v>8</v>
      </c>
      <c r="C172" s="7" t="str">
        <f>IFERROR(__xludf.DUMMYFUNCTION("""COMPUTED_VALUE"""),"A_10_27")</f>
        <v>A_10_27</v>
      </c>
      <c r="D172" s="7" t="str">
        <f>IFERROR(__xludf.DUMMYFUNCTION("""COMPUTED_VALUE"""),"Q15b")</f>
        <v>Q15b</v>
      </c>
      <c r="E172" s="7" t="str">
        <f>IFERROR(__xludf.DUMMYFUNCTION("""COMPUTED_VALUE"""),"Last national election: work for a candidate or party")</f>
        <v>Last national election: work for a candidate or party</v>
      </c>
      <c r="F172" s="7" t="str">
        <f>IFERROR(__xludf.DUMMYFUNCTION("""COMPUTED_VALUE"""),"2015")</f>
        <v>2015</v>
      </c>
    </row>
    <row r="173">
      <c r="A173" s="7" t="str">
        <f>IFERROR(__xludf.DUMMYFUNCTION("""COMPUTED_VALUE"""),"TUNISIA ")</f>
        <v>TUNISIA </v>
      </c>
      <c r="B173" s="8">
        <f>IFERROR(__xludf.DUMMYFUNCTION("""COMPUTED_VALUE"""),8.0)</f>
        <v>8</v>
      </c>
      <c r="C173" s="7" t="str">
        <f>IFERROR(__xludf.DUMMYFUNCTION("""COMPUTED_VALUE"""),"A_10_27")</f>
        <v>A_10_27</v>
      </c>
      <c r="D173" s="7" t="str">
        <f>IFERROR(__xludf.DUMMYFUNCTION("""COMPUTED_VALUE"""),"Q15b")</f>
        <v>Q15b</v>
      </c>
      <c r="E173" s="7" t="str">
        <f>IFERROR(__xludf.DUMMYFUNCTION("""COMPUTED_VALUE"""),"Last national election: work for a candidate or party")</f>
        <v>Last national election: work for a candidate or party</v>
      </c>
      <c r="F173" s="7" t="str">
        <f>IFERROR(__xludf.DUMMYFUNCTION("""COMPUTED_VALUE"""),"2019")</f>
        <v>2019</v>
      </c>
    </row>
    <row r="174">
      <c r="A174" s="7" t="str">
        <f>IFERROR(__xludf.DUMMYFUNCTION("""COMPUTED_VALUE"""),"UGANDA  ")</f>
        <v>UGANDA  </v>
      </c>
      <c r="B174" s="8">
        <f>IFERROR(__xludf.DUMMYFUNCTION("""COMPUTED_VALUE"""),8.0)</f>
        <v>8</v>
      </c>
      <c r="C174" s="7" t="str">
        <f>IFERROR(__xludf.DUMMYFUNCTION("""COMPUTED_VALUE"""),"A_10_27")</f>
        <v>A_10_27</v>
      </c>
      <c r="D174" s="7" t="str">
        <f>IFERROR(__xludf.DUMMYFUNCTION("""COMPUTED_VALUE"""),"Q15b")</f>
        <v>Q15b</v>
      </c>
      <c r="E174" s="7" t="str">
        <f>IFERROR(__xludf.DUMMYFUNCTION("""COMPUTED_VALUE"""),"Last national election: work for a candidate or party")</f>
        <v>Last national election: work for a candidate or party</v>
      </c>
      <c r="F174" s="7" t="str">
        <f>IFERROR(__xludf.DUMMYFUNCTION("""COMPUTED_VALUE"""),"2016")</f>
        <v>2016</v>
      </c>
    </row>
    <row r="175">
      <c r="A175" s="7" t="str">
        <f>IFERROR(__xludf.DUMMYFUNCTION("""COMPUTED_VALUE"""),"ZAMBIA")</f>
        <v>ZAMBIA</v>
      </c>
      <c r="B175" s="8">
        <f>IFERROR(__xludf.DUMMYFUNCTION("""COMPUTED_VALUE"""),8.0)</f>
        <v>8</v>
      </c>
      <c r="C175" s="7" t="str">
        <f>IFERROR(__xludf.DUMMYFUNCTION("""COMPUTED_VALUE"""),"A_10_27")</f>
        <v>A_10_27</v>
      </c>
      <c r="D175" s="7" t="str">
        <f>IFERROR(__xludf.DUMMYFUNCTION("""COMPUTED_VALUE"""),"Q15b")</f>
        <v>Q15b</v>
      </c>
      <c r="E175" s="7" t="str">
        <f>IFERROR(__xludf.DUMMYFUNCTION("""COMPUTED_VALUE"""),"Last national election: work for a candidate or party")</f>
        <v>Last national election: work for a candidate or party</v>
      </c>
      <c r="F175" s="7" t="str">
        <f>IFERROR(__xludf.DUMMYFUNCTION("""COMPUTED_VALUE"""),"2016")</f>
        <v>2016</v>
      </c>
    </row>
    <row r="176">
      <c r="A176" s="7" t="str">
        <f>IFERROR(__xludf.DUMMYFUNCTION("""COMPUTED_VALUE"""),"ZIMBABWE")</f>
        <v>ZIMBABWE</v>
      </c>
      <c r="B176" s="8">
        <f>IFERROR(__xludf.DUMMYFUNCTION("""COMPUTED_VALUE"""),8.0)</f>
        <v>8</v>
      </c>
      <c r="C176" s="7" t="str">
        <f>IFERROR(__xludf.DUMMYFUNCTION("""COMPUTED_VALUE"""),"A_10_27")</f>
        <v>A_10_27</v>
      </c>
      <c r="D176" s="7" t="str">
        <f>IFERROR(__xludf.DUMMYFUNCTION("""COMPUTED_VALUE"""),"Q15b")</f>
        <v>Q15b</v>
      </c>
      <c r="E176" s="7" t="str">
        <f>IFERROR(__xludf.DUMMYFUNCTION("""COMPUTED_VALUE"""),"Last national election: work for a candidate or party")</f>
        <v>Last national election: work for a candidate or party</v>
      </c>
      <c r="F176" s="7" t="str">
        <f>IFERROR(__xludf.DUMMYFUNCTION("""COMPUTED_VALUE"""),"2018")</f>
        <v>2018</v>
      </c>
    </row>
    <row r="177">
      <c r="A177" s="7" t="str">
        <f>IFERROR(__xludf.DUMMYFUNCTION("""COMPUTED_VALUE"""),"BOTSWANA ")</f>
        <v>BOTSWANA </v>
      </c>
      <c r="B177" s="8">
        <f>IFERROR(__xludf.DUMMYFUNCTION("""COMPUTED_VALUE"""),8.0)</f>
        <v>8</v>
      </c>
      <c r="C177" s="7" t="str">
        <f>IFERROR(__xludf.DUMMYFUNCTION("""COMPUTED_VALUE"""),"A_10_25")</f>
        <v>A_10_25</v>
      </c>
      <c r="D177" s="7" t="str">
        <f>IFERROR(__xludf.DUMMYFUNCTION("""COMPUTED_VALUE"""),"Q15c")</f>
        <v>Q15c</v>
      </c>
      <c r="E177" s="7" t="str">
        <f>IFERROR(__xludf.DUMMYFUNCTION("""COMPUTED_VALUE""")," Last national election: contacted by political party rep")</f>
        <v> Last national election: contacted by political party rep</v>
      </c>
      <c r="F177" s="7" t="str">
        <f>IFERROR(__xludf.DUMMYFUNCTION("""COMPUTED_VALUE"""),"2014")</f>
        <v>2014</v>
      </c>
    </row>
    <row r="178">
      <c r="A178" s="7" t="str">
        <f>IFERROR(__xludf.DUMMYFUNCTION("""COMPUTED_VALUE"""),"CABO VERDE ")</f>
        <v>CABO VERDE </v>
      </c>
      <c r="B178" s="8">
        <f>IFERROR(__xludf.DUMMYFUNCTION("""COMPUTED_VALUE"""),8.0)</f>
        <v>8</v>
      </c>
      <c r="C178" s="7" t="str">
        <f>IFERROR(__xludf.DUMMYFUNCTION("""COMPUTED_VALUE"""),"A_10_25")</f>
        <v>A_10_25</v>
      </c>
      <c r="D178" s="7" t="str">
        <f>IFERROR(__xludf.DUMMYFUNCTION("""COMPUTED_VALUE"""),"Q15c")</f>
        <v>Q15c</v>
      </c>
      <c r="E178" s="7" t="str">
        <f>IFERROR(__xludf.DUMMYFUNCTION("""COMPUTED_VALUE""")," Last national election: contacted by political party rep")</f>
        <v> Last national election: contacted by political party rep</v>
      </c>
      <c r="F178" s="7" t="str">
        <f>IFERROR(__xludf.DUMMYFUNCTION("""COMPUTED_VALUE"""),"2016")</f>
        <v>2016</v>
      </c>
    </row>
    <row r="179">
      <c r="A179" s="7" t="str">
        <f>IFERROR(__xludf.DUMMYFUNCTION("""COMPUTED_VALUE"""),"CAMEROON")</f>
        <v>CAMEROON</v>
      </c>
      <c r="B179" s="8">
        <f>IFERROR(__xludf.DUMMYFUNCTION("""COMPUTED_VALUE"""),8.0)</f>
        <v>8</v>
      </c>
      <c r="C179" s="7" t="str">
        <f>IFERROR(__xludf.DUMMYFUNCTION("""COMPUTED_VALUE"""),"A_10_25")</f>
        <v>A_10_25</v>
      </c>
      <c r="D179" s="7" t="str">
        <f>IFERROR(__xludf.DUMMYFUNCTION("""COMPUTED_VALUE"""),"Q15c")</f>
        <v>Q15c</v>
      </c>
      <c r="E179" s="7" t="str">
        <f>IFERROR(__xludf.DUMMYFUNCTION("""COMPUTED_VALUE""")," Last national election: contacted by political party rep")</f>
        <v> Last national election: contacted by political party rep</v>
      </c>
      <c r="F179" s="7" t="str">
        <f>IFERROR(__xludf.DUMMYFUNCTION("""COMPUTED_VALUE"""),"2020")</f>
        <v>2020</v>
      </c>
    </row>
    <row r="180">
      <c r="A180" s="7" t="str">
        <f>IFERROR(__xludf.DUMMYFUNCTION("""COMPUTED_VALUE"""),"ESWATINI")</f>
        <v>ESWATINI</v>
      </c>
      <c r="B180" s="8">
        <f>IFERROR(__xludf.DUMMYFUNCTION("""COMPUTED_VALUE"""),8.0)</f>
        <v>8</v>
      </c>
      <c r="C180" s="7" t="str">
        <f>IFERROR(__xludf.DUMMYFUNCTION("""COMPUTED_VALUE"""),"A_10_25")</f>
        <v>A_10_25</v>
      </c>
      <c r="D180" s="7" t="str">
        <f>IFERROR(__xludf.DUMMYFUNCTION("""COMPUTED_VALUE"""),"Q15c")</f>
        <v>Q15c</v>
      </c>
      <c r="E180" s="7" t="str">
        <f>IFERROR(__xludf.DUMMYFUNCTION("""COMPUTED_VALUE""")," Last national election: contacted by political party rep")</f>
        <v> Last national election: contacted by political party rep</v>
      </c>
      <c r="F180" s="7" t="str">
        <f>IFERROR(__xludf.DUMMYFUNCTION("""COMPUTED_VALUE"""),"2018")</f>
        <v>2018</v>
      </c>
    </row>
    <row r="181">
      <c r="A181" s="7" t="str">
        <f>IFERROR(__xludf.DUMMYFUNCTION("""COMPUTED_VALUE"""),"ETHIOPIA")</f>
        <v>ETHIOPIA</v>
      </c>
      <c r="B181" s="8">
        <f>IFERROR(__xludf.DUMMYFUNCTION("""COMPUTED_VALUE"""),8.0)</f>
        <v>8</v>
      </c>
      <c r="C181" s="7" t="str">
        <f>IFERROR(__xludf.DUMMYFUNCTION("""COMPUTED_VALUE"""),"A_10_25")</f>
        <v>A_10_25</v>
      </c>
      <c r="D181" s="7" t="str">
        <f>IFERROR(__xludf.DUMMYFUNCTION("""COMPUTED_VALUE"""),"Q15c")</f>
        <v>Q15c</v>
      </c>
      <c r="E181" s="7" t="str">
        <f>IFERROR(__xludf.DUMMYFUNCTION("""COMPUTED_VALUE""")," Last national election: contacted by political party rep")</f>
        <v> Last national election: contacted by political party rep</v>
      </c>
      <c r="F181" s="7" t="str">
        <f>IFERROR(__xludf.DUMMYFUNCTION("""COMPUTED_VALUE"""),"2015")</f>
        <v>2015</v>
      </c>
    </row>
    <row r="182">
      <c r="A182" s="7" t="str">
        <f>IFERROR(__xludf.DUMMYFUNCTION("""COMPUTED_VALUE"""),"GAMBIA")</f>
        <v>GAMBIA</v>
      </c>
      <c r="B182" s="8">
        <f>IFERROR(__xludf.DUMMYFUNCTION("""COMPUTED_VALUE"""),8.0)</f>
        <v>8</v>
      </c>
      <c r="C182" s="7" t="str">
        <f>IFERROR(__xludf.DUMMYFUNCTION("""COMPUTED_VALUE"""),"A_10_25")</f>
        <v>A_10_25</v>
      </c>
      <c r="D182" s="7" t="str">
        <f>IFERROR(__xludf.DUMMYFUNCTION("""COMPUTED_VALUE"""),"Q15c")</f>
        <v>Q15c</v>
      </c>
      <c r="E182" s="7" t="str">
        <f>IFERROR(__xludf.DUMMYFUNCTION("""COMPUTED_VALUE""")," Last national election: contacted by political party rep")</f>
        <v> Last national election: contacted by political party rep</v>
      </c>
      <c r="F182" s="7" t="str">
        <f>IFERROR(__xludf.DUMMYFUNCTION("""COMPUTED_VALUE"""),"2017")</f>
        <v>2017</v>
      </c>
    </row>
    <row r="183">
      <c r="A183" s="7" t="str">
        <f>IFERROR(__xludf.DUMMYFUNCTION("""COMPUTED_VALUE"""),"GHANA ")</f>
        <v>GHANA </v>
      </c>
      <c r="B183" s="8">
        <f>IFERROR(__xludf.DUMMYFUNCTION("""COMPUTED_VALUE"""),8.0)</f>
        <v>8</v>
      </c>
      <c r="C183" s="7" t="str">
        <f>IFERROR(__xludf.DUMMYFUNCTION("""COMPUTED_VALUE"""),"A_10_25")</f>
        <v>A_10_25</v>
      </c>
      <c r="D183" s="7" t="str">
        <f>IFERROR(__xludf.DUMMYFUNCTION("""COMPUTED_VALUE"""),"Q15c")</f>
        <v>Q15c</v>
      </c>
      <c r="E183" s="7" t="str">
        <f>IFERROR(__xludf.DUMMYFUNCTION("""COMPUTED_VALUE""")," Last national election: contacted by political party rep")</f>
        <v> Last national election: contacted by political party rep</v>
      </c>
      <c r="F183" s="7" t="str">
        <f>IFERROR(__xludf.DUMMYFUNCTION("""COMPUTED_VALUE"""),"2016")</f>
        <v>2016</v>
      </c>
    </row>
    <row r="184">
      <c r="A184" s="7" t="str">
        <f>IFERROR(__xludf.DUMMYFUNCTION("""COMPUTED_VALUE"""),"KENYA  ")</f>
        <v>KENYA  </v>
      </c>
      <c r="B184" s="8">
        <f>IFERROR(__xludf.DUMMYFUNCTION("""COMPUTED_VALUE"""),8.0)</f>
        <v>8</v>
      </c>
      <c r="C184" s="7" t="str">
        <f>IFERROR(__xludf.DUMMYFUNCTION("""COMPUTED_VALUE"""),"A_10_25")</f>
        <v>A_10_25</v>
      </c>
      <c r="D184" s="7" t="str">
        <f>IFERROR(__xludf.DUMMYFUNCTION("""COMPUTED_VALUE"""),"Q15c")</f>
        <v>Q15c</v>
      </c>
      <c r="E184" s="7" t="str">
        <f>IFERROR(__xludf.DUMMYFUNCTION("""COMPUTED_VALUE""")," Last national election: contacted by political party rep")</f>
        <v> Last national election: contacted by political party rep</v>
      </c>
      <c r="F184" s="7" t="str">
        <f>IFERROR(__xludf.DUMMYFUNCTION("""COMPUTED_VALUE"""),"2017")</f>
        <v>2017</v>
      </c>
    </row>
    <row r="185">
      <c r="A185" s="7" t="str">
        <f>IFERROR(__xludf.DUMMYFUNCTION("""COMPUTED_VALUE"""),"LESOTHO ")</f>
        <v>LESOTHO </v>
      </c>
      <c r="B185" s="8">
        <f>IFERROR(__xludf.DUMMYFUNCTION("""COMPUTED_VALUE"""),8.0)</f>
        <v>8</v>
      </c>
      <c r="C185" s="7" t="str">
        <f>IFERROR(__xludf.DUMMYFUNCTION("""COMPUTED_VALUE"""),"A_10_25")</f>
        <v>A_10_25</v>
      </c>
      <c r="D185" s="7" t="str">
        <f>IFERROR(__xludf.DUMMYFUNCTION("""COMPUTED_VALUE"""),"Q15c")</f>
        <v>Q15c</v>
      </c>
      <c r="E185" s="7" t="str">
        <f>IFERROR(__xludf.DUMMYFUNCTION("""COMPUTED_VALUE""")," Last national election: contacted by political party rep")</f>
        <v> Last national election: contacted by political party rep</v>
      </c>
      <c r="F185" s="7" t="str">
        <f>IFERROR(__xludf.DUMMYFUNCTION("""COMPUTED_VALUE"""),"2017")</f>
        <v>2017</v>
      </c>
    </row>
    <row r="186">
      <c r="A186" s="7" t="str">
        <f>IFERROR(__xludf.DUMMYFUNCTION("""COMPUTED_VALUE"""),"LIBERIA  ")</f>
        <v>LIBERIA  </v>
      </c>
      <c r="B186" s="8">
        <f>IFERROR(__xludf.DUMMYFUNCTION("""COMPUTED_VALUE"""),8.0)</f>
        <v>8</v>
      </c>
      <c r="C186" s="7" t="str">
        <f>IFERROR(__xludf.DUMMYFUNCTION("""COMPUTED_VALUE"""),"A_10_25")</f>
        <v>A_10_25</v>
      </c>
      <c r="D186" s="7" t="str">
        <f>IFERROR(__xludf.DUMMYFUNCTION("""COMPUTED_VALUE"""),"Q15c")</f>
        <v>Q15c</v>
      </c>
      <c r="E186" s="7" t="str">
        <f>IFERROR(__xludf.DUMMYFUNCTION("""COMPUTED_VALUE""")," Last national election: contacted by political party rep")</f>
        <v> Last national election: contacted by political party rep</v>
      </c>
      <c r="F186" s="7" t="str">
        <f>IFERROR(__xludf.DUMMYFUNCTION("""COMPUTED_VALUE"""),"2017")</f>
        <v>2017</v>
      </c>
    </row>
    <row r="187">
      <c r="A187" s="7" t="str">
        <f>IFERROR(__xludf.DUMMYFUNCTION("""COMPUTED_VALUE"""),"MALAWI ")</f>
        <v>MALAWI </v>
      </c>
      <c r="B187" s="8">
        <f>IFERROR(__xludf.DUMMYFUNCTION("""COMPUTED_VALUE"""),8.0)</f>
        <v>8</v>
      </c>
      <c r="C187" s="7" t="str">
        <f>IFERROR(__xludf.DUMMYFUNCTION("""COMPUTED_VALUE"""),"A_10_25")</f>
        <v>A_10_25</v>
      </c>
      <c r="D187" s="7" t="str">
        <f>IFERROR(__xludf.DUMMYFUNCTION("""COMPUTED_VALUE"""),"Q15c")</f>
        <v>Q15c</v>
      </c>
      <c r="E187" s="7" t="str">
        <f>IFERROR(__xludf.DUMMYFUNCTION("""COMPUTED_VALUE""")," Last national election: contacted by political party rep")</f>
        <v> Last national election: contacted by political party rep</v>
      </c>
      <c r="F187" s="7" t="str">
        <f>IFERROR(__xludf.DUMMYFUNCTION("""COMPUTED_VALUE"""),"2019")</f>
        <v>2019</v>
      </c>
    </row>
    <row r="188">
      <c r="A188" s="7" t="str">
        <f>IFERROR(__xludf.DUMMYFUNCTION("""COMPUTED_VALUE"""),"MOROCCO ")</f>
        <v>MOROCCO </v>
      </c>
      <c r="B188" s="8">
        <f>IFERROR(__xludf.DUMMYFUNCTION("""COMPUTED_VALUE"""),8.0)</f>
        <v>8</v>
      </c>
      <c r="C188" s="7" t="str">
        <f>IFERROR(__xludf.DUMMYFUNCTION("""COMPUTED_VALUE"""),"A_10_25")</f>
        <v>A_10_25</v>
      </c>
      <c r="D188" s="7" t="str">
        <f>IFERROR(__xludf.DUMMYFUNCTION("""COMPUTED_VALUE"""),"Q15c")</f>
        <v>Q15c</v>
      </c>
      <c r="E188" s="7" t="str">
        <f>IFERROR(__xludf.DUMMYFUNCTION("""COMPUTED_VALUE""")," Last national election: contacted by political party rep")</f>
        <v> Last national election: contacted by political party rep</v>
      </c>
      <c r="F188" s="7" t="str">
        <f>IFERROR(__xludf.DUMMYFUNCTION("""COMPUTED_VALUE"""),"2016")</f>
        <v>2016</v>
      </c>
    </row>
    <row r="189">
      <c r="A189" s="7" t="str">
        <f>IFERROR(__xludf.DUMMYFUNCTION("""COMPUTED_VALUE"""),"MOZAMBIQUE")</f>
        <v>MOZAMBIQUE</v>
      </c>
      <c r="B189" s="8">
        <f>IFERROR(__xludf.DUMMYFUNCTION("""COMPUTED_VALUE"""),8.0)</f>
        <v>8</v>
      </c>
      <c r="C189" s="7" t="str">
        <f>IFERROR(__xludf.DUMMYFUNCTION("""COMPUTED_VALUE"""),"A_10_25")</f>
        <v>A_10_25</v>
      </c>
      <c r="D189" s="7" t="str">
        <f>IFERROR(__xludf.DUMMYFUNCTION("""COMPUTED_VALUE"""),"Q15c")</f>
        <v>Q15c</v>
      </c>
      <c r="E189" s="7" t="str">
        <f>IFERROR(__xludf.DUMMYFUNCTION("""COMPUTED_VALUE""")," Last national election: contacted by political party rep")</f>
        <v> Last national election: contacted by political party rep</v>
      </c>
      <c r="F189" s="7" t="str">
        <f>IFERROR(__xludf.DUMMYFUNCTION("""COMPUTED_VALUE"""),"2019")</f>
        <v>2019</v>
      </c>
    </row>
    <row r="190">
      <c r="A190" s="7" t="str">
        <f>IFERROR(__xludf.DUMMYFUNCTION("""COMPUTED_VALUE"""),"NAMIBIA ")</f>
        <v>NAMIBIA </v>
      </c>
      <c r="B190" s="8">
        <f>IFERROR(__xludf.DUMMYFUNCTION("""COMPUTED_VALUE"""),8.0)</f>
        <v>8</v>
      </c>
      <c r="C190" s="7" t="str">
        <f>IFERROR(__xludf.DUMMYFUNCTION("""COMPUTED_VALUE"""),"A_10_25")</f>
        <v>A_10_25</v>
      </c>
      <c r="D190" s="7" t="str">
        <f>IFERROR(__xludf.DUMMYFUNCTION("""COMPUTED_VALUE"""),"Q15c")</f>
        <v>Q15c</v>
      </c>
      <c r="E190" s="7" t="str">
        <f>IFERROR(__xludf.DUMMYFUNCTION("""COMPUTED_VALUE""")," Last national election: contacted by political party rep")</f>
        <v> Last national election: contacted by political party rep</v>
      </c>
      <c r="F190" s="7" t="str">
        <f>IFERROR(__xludf.DUMMYFUNCTION("""COMPUTED_VALUE"""),"2014")</f>
        <v>2014</v>
      </c>
    </row>
    <row r="191">
      <c r="A191" s="7" t="str">
        <f>IFERROR(__xludf.DUMMYFUNCTION("""COMPUTED_VALUE"""),"NIGERIA ")</f>
        <v>NIGERIA </v>
      </c>
      <c r="B191" s="8">
        <f>IFERROR(__xludf.DUMMYFUNCTION("""COMPUTED_VALUE"""),8.0)</f>
        <v>8</v>
      </c>
      <c r="C191" s="7" t="str">
        <f>IFERROR(__xludf.DUMMYFUNCTION("""COMPUTED_VALUE"""),"A_10_25")</f>
        <v>A_10_25</v>
      </c>
      <c r="D191" s="7" t="str">
        <f>IFERROR(__xludf.DUMMYFUNCTION("""COMPUTED_VALUE"""),"Q15c")</f>
        <v>Q15c</v>
      </c>
      <c r="E191" s="7" t="str">
        <f>IFERROR(__xludf.DUMMYFUNCTION("""COMPUTED_VALUE""")," Last national election: contacted by political party rep")</f>
        <v> Last national election: contacted by political party rep</v>
      </c>
      <c r="F191" s="7" t="str">
        <f>IFERROR(__xludf.DUMMYFUNCTION("""COMPUTED_VALUE"""),"2019")</f>
        <v>2019</v>
      </c>
    </row>
    <row r="192">
      <c r="A192" s="7" t="str">
        <f>IFERROR(__xludf.DUMMYFUNCTION("""COMPUTED_VALUE"""),"SIERRA LEONE")</f>
        <v>SIERRA LEONE</v>
      </c>
      <c r="B192" s="8">
        <f>IFERROR(__xludf.DUMMYFUNCTION("""COMPUTED_VALUE"""),8.0)</f>
        <v>8</v>
      </c>
      <c r="C192" s="7" t="str">
        <f>IFERROR(__xludf.DUMMYFUNCTION("""COMPUTED_VALUE"""),"A_10_25")</f>
        <v>A_10_25</v>
      </c>
      <c r="D192" s="7" t="str">
        <f>IFERROR(__xludf.DUMMYFUNCTION("""COMPUTED_VALUE"""),"Q15c")</f>
        <v>Q15c</v>
      </c>
      <c r="E192" s="7" t="str">
        <f>IFERROR(__xludf.DUMMYFUNCTION("""COMPUTED_VALUE""")," Last national election: contacted by political party rep")</f>
        <v> Last national election: contacted by political party rep</v>
      </c>
      <c r="F192" s="7" t="str">
        <f>IFERROR(__xludf.DUMMYFUNCTION("""COMPUTED_VALUE"""),"2018")</f>
        <v>2018</v>
      </c>
    </row>
    <row r="193">
      <c r="A193" s="7" t="str">
        <f>IFERROR(__xludf.DUMMYFUNCTION("""COMPUTED_VALUE"""),"SOUTH AFRICA")</f>
        <v>SOUTH AFRICA</v>
      </c>
      <c r="B193" s="8">
        <f>IFERROR(__xludf.DUMMYFUNCTION("""COMPUTED_VALUE"""),8.0)</f>
        <v>8</v>
      </c>
      <c r="C193" s="7" t="str">
        <f>IFERROR(__xludf.DUMMYFUNCTION("""COMPUTED_VALUE"""),"A_10_25")</f>
        <v>A_10_25</v>
      </c>
      <c r="D193" s="7" t="str">
        <f>IFERROR(__xludf.DUMMYFUNCTION("""COMPUTED_VALUE"""),"Q15c")</f>
        <v>Q15c</v>
      </c>
      <c r="E193" s="7" t="str">
        <f>IFERROR(__xludf.DUMMYFUNCTION("""COMPUTED_VALUE""")," Last national election: contacted by political party rep")</f>
        <v> Last national election: contacted by political party rep</v>
      </c>
      <c r="F193" s="7" t="str">
        <f>IFERROR(__xludf.DUMMYFUNCTION("""COMPUTED_VALUE"""),"2019")</f>
        <v>2019</v>
      </c>
    </row>
    <row r="194">
      <c r="A194" s="7" t="str">
        <f>IFERROR(__xludf.DUMMYFUNCTION("""COMPUTED_VALUE"""),"SUDAN")</f>
        <v>SUDAN</v>
      </c>
      <c r="B194" s="8">
        <f>IFERROR(__xludf.DUMMYFUNCTION("""COMPUTED_VALUE"""),8.0)</f>
        <v>8</v>
      </c>
      <c r="C194" s="7" t="str">
        <f>IFERROR(__xludf.DUMMYFUNCTION("""COMPUTED_VALUE"""),"A_10_25")</f>
        <v>A_10_25</v>
      </c>
      <c r="D194" s="7" t="str">
        <f>IFERROR(__xludf.DUMMYFUNCTION("""COMPUTED_VALUE"""),"Q15c")</f>
        <v>Q15c</v>
      </c>
      <c r="E194" s="7" t="str">
        <f>IFERROR(__xludf.DUMMYFUNCTION("""COMPUTED_VALUE""")," Last national election: contacted by political party rep")</f>
        <v> Last national election: contacted by political party rep</v>
      </c>
      <c r="F194" s="7" t="str">
        <f>IFERROR(__xludf.DUMMYFUNCTION("""COMPUTED_VALUE"""),"2015")</f>
        <v>2015</v>
      </c>
    </row>
    <row r="195">
      <c r="A195" s="7" t="str">
        <f>IFERROR(__xludf.DUMMYFUNCTION("""COMPUTED_VALUE"""),"TANZANIA")</f>
        <v>TANZANIA</v>
      </c>
      <c r="B195" s="8">
        <f>IFERROR(__xludf.DUMMYFUNCTION("""COMPUTED_VALUE"""),8.0)</f>
        <v>8</v>
      </c>
      <c r="C195" s="7" t="str">
        <f>IFERROR(__xludf.DUMMYFUNCTION("""COMPUTED_VALUE"""),"A_10_25")</f>
        <v>A_10_25</v>
      </c>
      <c r="D195" s="7" t="str">
        <f>IFERROR(__xludf.DUMMYFUNCTION("""COMPUTED_VALUE"""),"Q15c")</f>
        <v>Q15c</v>
      </c>
      <c r="E195" s="7" t="str">
        <f>IFERROR(__xludf.DUMMYFUNCTION("""COMPUTED_VALUE""")," Last national election: contacted by political party rep")</f>
        <v> Last national election: contacted by political party rep</v>
      </c>
      <c r="F195" s="7" t="str">
        <f>IFERROR(__xludf.DUMMYFUNCTION("""COMPUTED_VALUE"""),"2015")</f>
        <v>2015</v>
      </c>
    </row>
    <row r="196">
      <c r="A196" s="7" t="str">
        <f>IFERROR(__xludf.DUMMYFUNCTION("""COMPUTED_VALUE"""),"TUNISIA ")</f>
        <v>TUNISIA </v>
      </c>
      <c r="B196" s="8">
        <f>IFERROR(__xludf.DUMMYFUNCTION("""COMPUTED_VALUE"""),8.0)</f>
        <v>8</v>
      </c>
      <c r="C196" s="7" t="str">
        <f>IFERROR(__xludf.DUMMYFUNCTION("""COMPUTED_VALUE"""),"A_10_25")</f>
        <v>A_10_25</v>
      </c>
      <c r="D196" s="7" t="str">
        <f>IFERROR(__xludf.DUMMYFUNCTION("""COMPUTED_VALUE"""),"Q15c")</f>
        <v>Q15c</v>
      </c>
      <c r="E196" s="7" t="str">
        <f>IFERROR(__xludf.DUMMYFUNCTION("""COMPUTED_VALUE""")," Last national election: contacted by political party rep")</f>
        <v> Last national election: contacted by political party rep</v>
      </c>
      <c r="F196" s="7" t="str">
        <f>IFERROR(__xludf.DUMMYFUNCTION("""COMPUTED_VALUE"""),"2019")</f>
        <v>2019</v>
      </c>
    </row>
    <row r="197">
      <c r="A197" s="7" t="str">
        <f>IFERROR(__xludf.DUMMYFUNCTION("""COMPUTED_VALUE"""),"UGANDA  ")</f>
        <v>UGANDA  </v>
      </c>
      <c r="B197" s="8">
        <f>IFERROR(__xludf.DUMMYFUNCTION("""COMPUTED_VALUE"""),8.0)</f>
        <v>8</v>
      </c>
      <c r="C197" s="7" t="str">
        <f>IFERROR(__xludf.DUMMYFUNCTION("""COMPUTED_VALUE"""),"A_10_25")</f>
        <v>A_10_25</v>
      </c>
      <c r="D197" s="7" t="str">
        <f>IFERROR(__xludf.DUMMYFUNCTION("""COMPUTED_VALUE"""),"Q15c")</f>
        <v>Q15c</v>
      </c>
      <c r="E197" s="7" t="str">
        <f>IFERROR(__xludf.DUMMYFUNCTION("""COMPUTED_VALUE""")," Last national election: contacted by political party rep")</f>
        <v> Last national election: contacted by political party rep</v>
      </c>
      <c r="F197" s="7" t="str">
        <f>IFERROR(__xludf.DUMMYFUNCTION("""COMPUTED_VALUE"""),"2016")</f>
        <v>2016</v>
      </c>
    </row>
    <row r="198">
      <c r="A198" s="7" t="str">
        <f>IFERROR(__xludf.DUMMYFUNCTION("""COMPUTED_VALUE"""),"ZAMBIA")</f>
        <v>ZAMBIA</v>
      </c>
      <c r="B198" s="8">
        <f>IFERROR(__xludf.DUMMYFUNCTION("""COMPUTED_VALUE"""),8.0)</f>
        <v>8</v>
      </c>
      <c r="C198" s="7" t="str">
        <f>IFERROR(__xludf.DUMMYFUNCTION("""COMPUTED_VALUE"""),"A_10_25")</f>
        <v>A_10_25</v>
      </c>
      <c r="D198" s="7" t="str">
        <f>IFERROR(__xludf.DUMMYFUNCTION("""COMPUTED_VALUE"""),"Q15c")</f>
        <v>Q15c</v>
      </c>
      <c r="E198" s="7" t="str">
        <f>IFERROR(__xludf.DUMMYFUNCTION("""COMPUTED_VALUE""")," Last national election: contacted by political party rep")</f>
        <v> Last national election: contacted by political party rep</v>
      </c>
      <c r="F198" s="7" t="str">
        <f>IFERROR(__xludf.DUMMYFUNCTION("""COMPUTED_VALUE"""),"2016")</f>
        <v>2016</v>
      </c>
    </row>
    <row r="199">
      <c r="A199" s="7" t="str">
        <f>IFERROR(__xludf.DUMMYFUNCTION("""COMPUTED_VALUE"""),"ZIMBABWE")</f>
        <v>ZIMBABWE</v>
      </c>
      <c r="B199" s="8">
        <f>IFERROR(__xludf.DUMMYFUNCTION("""COMPUTED_VALUE"""),8.0)</f>
        <v>8</v>
      </c>
      <c r="C199" s="7" t="str">
        <f>IFERROR(__xludf.DUMMYFUNCTION("""COMPUTED_VALUE"""),"A_10_25")</f>
        <v>A_10_25</v>
      </c>
      <c r="D199" s="7" t="str">
        <f>IFERROR(__xludf.DUMMYFUNCTION("""COMPUTED_VALUE"""),"Q15c")</f>
        <v>Q15c</v>
      </c>
      <c r="E199" s="7" t="str">
        <f>IFERROR(__xludf.DUMMYFUNCTION("""COMPUTED_VALUE""")," Last national election: contacted by political party rep")</f>
        <v> Last national election: contacted by political party rep</v>
      </c>
      <c r="F199" s="7" t="str">
        <f>IFERROR(__xludf.DUMMYFUNCTION("""COMPUTED_VALUE"""),"2018")</f>
        <v>2018</v>
      </c>
    </row>
    <row r="200">
      <c r="A200" s="7" t="str">
        <f>IFERROR(__xludf.DUMMYFUNCTION("""COMPUTED_VALUE"""),"GHANA ")</f>
        <v>GHANA </v>
      </c>
      <c r="B200" s="8">
        <f>IFERROR(__xludf.DUMMYFUNCTION("""COMPUTED_VALUE"""),8.0)</f>
        <v>8</v>
      </c>
      <c r="C200" s="7" t="str">
        <f>IFERROR(__xludf.DUMMYFUNCTION("""COMPUTED_VALUE"""),"A_01_37")</f>
        <v>A_01_37</v>
      </c>
      <c r="D200" s="7" t="str">
        <f>IFERROR(__xludf.DUMMYFUNCTION("""COMPUTED_VALUE"""),"Q20c")</f>
        <v>Q20c</v>
      </c>
      <c r="E200" s="7" t="str">
        <f>IFERROR(__xludf.DUMMYFUNCTION("""COMPUTED_VALUE"""),". Reject one-man rule")</f>
        <v>. Reject one-man rule</v>
      </c>
      <c r="F200" s="7" t="str">
        <f>IFERROR(__xludf.DUMMYFUNCTION("""COMPUTED_VALUE"""),"Parliament, president")</f>
        <v>Parliament, president</v>
      </c>
    </row>
    <row r="201">
      <c r="A201" s="7" t="str">
        <f>IFERROR(__xludf.DUMMYFUNCTION("""COMPUTED_VALUE"""),"KENYA  ")</f>
        <v>KENYA  </v>
      </c>
      <c r="B201" s="8">
        <f>IFERROR(__xludf.DUMMYFUNCTION("""COMPUTED_VALUE"""),8.0)</f>
        <v>8</v>
      </c>
      <c r="C201" s="7" t="str">
        <f>IFERROR(__xludf.DUMMYFUNCTION("""COMPUTED_VALUE"""),"A_01_37")</f>
        <v>A_01_37</v>
      </c>
      <c r="D201" s="7" t="str">
        <f>IFERROR(__xludf.DUMMYFUNCTION("""COMPUTED_VALUE"""),"Q20c")</f>
        <v>Q20c</v>
      </c>
      <c r="E201" s="7" t="str">
        <f>IFERROR(__xludf.DUMMYFUNCTION("""COMPUTED_VALUE"""),". Reject one-man rule")</f>
        <v>. Reject one-man rule</v>
      </c>
      <c r="F201" s="7" t="str">
        <f>IFERROR(__xludf.DUMMYFUNCTION("""COMPUTED_VALUE"""),"Parliament, president")</f>
        <v>Parliament, president</v>
      </c>
    </row>
    <row r="202">
      <c r="A202" s="7" t="str">
        <f>IFERROR(__xludf.DUMMYFUNCTION("""COMPUTED_VALUE"""),"LESOTHO ")</f>
        <v>LESOTHO </v>
      </c>
      <c r="B202" s="8">
        <f>IFERROR(__xludf.DUMMYFUNCTION("""COMPUTED_VALUE"""),8.0)</f>
        <v>8</v>
      </c>
      <c r="C202" s="7" t="str">
        <f>IFERROR(__xludf.DUMMYFUNCTION("""COMPUTED_VALUE"""),"A_01_37")</f>
        <v>A_01_37</v>
      </c>
      <c r="D202" s="7" t="str">
        <f>IFERROR(__xludf.DUMMYFUNCTION("""COMPUTED_VALUE"""),"Q20c")</f>
        <v>Q20c</v>
      </c>
      <c r="E202" s="7" t="str">
        <f>IFERROR(__xludf.DUMMYFUNCTION("""COMPUTED_VALUE"""),". Reject one-man rule")</f>
        <v>. Reject one-man rule</v>
      </c>
      <c r="F202" s="7" t="str">
        <f>IFERROR(__xludf.DUMMYFUNCTION("""COMPUTED_VALUE"""),"Parliament, Prime Minister")</f>
        <v>Parliament, Prime Minister</v>
      </c>
    </row>
    <row r="203">
      <c r="A203" s="7" t="str">
        <f>IFERROR(__xludf.DUMMYFUNCTION("""COMPUTED_VALUE"""),"LIBERIA  ")</f>
        <v>LIBERIA  </v>
      </c>
      <c r="B203" s="8">
        <f>IFERROR(__xludf.DUMMYFUNCTION("""COMPUTED_VALUE"""),8.0)</f>
        <v>8</v>
      </c>
      <c r="C203" s="7" t="str">
        <f>IFERROR(__xludf.DUMMYFUNCTION("""COMPUTED_VALUE"""),"A_01_37")</f>
        <v>A_01_37</v>
      </c>
      <c r="D203" s="7" t="str">
        <f>IFERROR(__xludf.DUMMYFUNCTION("""COMPUTED_VALUE"""),"Q20c")</f>
        <v>Q20c</v>
      </c>
      <c r="E203" s="7" t="str">
        <f>IFERROR(__xludf.DUMMYFUNCTION("""COMPUTED_VALUE"""),". Reject one-man rule")</f>
        <v>. Reject one-man rule</v>
      </c>
      <c r="F203" s="7" t="str">
        <f>IFERROR(__xludf.DUMMYFUNCTION("""COMPUTED_VALUE"""),"National Legislature, president")</f>
        <v>National Legislature, president</v>
      </c>
    </row>
    <row r="204">
      <c r="A204" s="7" t="str">
        <f>IFERROR(__xludf.DUMMYFUNCTION("""COMPUTED_VALUE"""),"MALAWI ")</f>
        <v>MALAWI </v>
      </c>
      <c r="B204" s="8">
        <f>IFERROR(__xludf.DUMMYFUNCTION("""COMPUTED_VALUE"""),8.0)</f>
        <v>8</v>
      </c>
      <c r="C204" s="7" t="str">
        <f>IFERROR(__xludf.DUMMYFUNCTION("""COMPUTED_VALUE"""),"A_01_37")</f>
        <v>A_01_37</v>
      </c>
      <c r="D204" s="7" t="str">
        <f>IFERROR(__xludf.DUMMYFUNCTION("""COMPUTED_VALUE"""),"Q20c")</f>
        <v>Q20c</v>
      </c>
      <c r="E204" s="7" t="str">
        <f>IFERROR(__xludf.DUMMYFUNCTION("""COMPUTED_VALUE"""),". Reject one-man rule")</f>
        <v>. Reject one-man rule</v>
      </c>
      <c r="F204" s="7" t="str">
        <f>IFERROR(__xludf.DUMMYFUNCTION("""COMPUTED_VALUE"""),"Parliament, president")</f>
        <v>Parliament, president</v>
      </c>
    </row>
    <row r="205">
      <c r="A205" s="7" t="str">
        <f>IFERROR(__xludf.DUMMYFUNCTION("""COMPUTED_VALUE"""),"MOROCCO ")</f>
        <v>MOROCCO </v>
      </c>
      <c r="B205" s="8">
        <f>IFERROR(__xludf.DUMMYFUNCTION("""COMPUTED_VALUE"""),8.0)</f>
        <v>8</v>
      </c>
      <c r="C205" s="7" t="str">
        <f>IFERROR(__xludf.DUMMYFUNCTION("""COMPUTED_VALUE"""),"A_01_37")</f>
        <v>A_01_37</v>
      </c>
      <c r="D205" s="7" t="str">
        <f>IFERROR(__xludf.DUMMYFUNCTION("""COMPUTED_VALUE"""),"Q20c")</f>
        <v>Q20c</v>
      </c>
      <c r="E205" s="7" t="str">
        <f>IFERROR(__xludf.DUMMYFUNCTION("""COMPUTED_VALUE"""),". Reject one-man rule")</f>
        <v>. Reject one-man rule</v>
      </c>
      <c r="F205" s="7" t="str">
        <f>IFERROR(__xludf.DUMMYFUNCTION("""COMPUTED_VALUE"""),"Parliament, president")</f>
        <v>Parliament, president</v>
      </c>
    </row>
    <row r="206">
      <c r="A206" s="7" t="str">
        <f>IFERROR(__xludf.DUMMYFUNCTION("""COMPUTED_VALUE"""),"MOZAMBIQUE")</f>
        <v>MOZAMBIQUE</v>
      </c>
      <c r="B206" s="8">
        <f>IFERROR(__xludf.DUMMYFUNCTION("""COMPUTED_VALUE"""),8.0)</f>
        <v>8</v>
      </c>
      <c r="C206" s="7" t="str">
        <f>IFERROR(__xludf.DUMMYFUNCTION("""COMPUTED_VALUE"""),"A_01_37")</f>
        <v>A_01_37</v>
      </c>
      <c r="D206" s="7" t="str">
        <f>IFERROR(__xludf.DUMMYFUNCTION("""COMPUTED_VALUE"""),"Q20c")</f>
        <v>Q20c</v>
      </c>
      <c r="E206" s="7" t="str">
        <f>IFERROR(__xludf.DUMMYFUNCTION("""COMPUTED_VALUE"""),". Reject one-man rule")</f>
        <v>. Reject one-man rule</v>
      </c>
      <c r="F206" s="7" t="str">
        <f>IFERROR(__xludf.DUMMYFUNCTION("""COMPUTED_VALUE"""),"Parliament, president")</f>
        <v>Parliament, president</v>
      </c>
    </row>
    <row r="207">
      <c r="A207" s="7" t="str">
        <f>IFERROR(__xludf.DUMMYFUNCTION("""COMPUTED_VALUE"""),"NAMIBIA ")</f>
        <v>NAMIBIA </v>
      </c>
      <c r="B207" s="8">
        <f>IFERROR(__xludf.DUMMYFUNCTION("""COMPUTED_VALUE"""),8.0)</f>
        <v>8</v>
      </c>
      <c r="C207" s="7" t="str">
        <f>IFERROR(__xludf.DUMMYFUNCTION("""COMPUTED_VALUE"""),"A_01_37")</f>
        <v>A_01_37</v>
      </c>
      <c r="D207" s="7" t="str">
        <f>IFERROR(__xludf.DUMMYFUNCTION("""COMPUTED_VALUE"""),"Q20c")</f>
        <v>Q20c</v>
      </c>
      <c r="E207" s="7" t="str">
        <f>IFERROR(__xludf.DUMMYFUNCTION("""COMPUTED_VALUE"""),". Reject one-man rule")</f>
        <v>. Reject one-man rule</v>
      </c>
      <c r="F207" s="7" t="str">
        <f>IFERROR(__xludf.DUMMYFUNCTION("""COMPUTED_VALUE"""),"National Assembly, president")</f>
        <v>National Assembly, president</v>
      </c>
    </row>
    <row r="208">
      <c r="A208" s="7" t="str">
        <f>IFERROR(__xludf.DUMMYFUNCTION("""COMPUTED_VALUE"""),"NIGERIA ")</f>
        <v>NIGERIA </v>
      </c>
      <c r="B208" s="8">
        <f>IFERROR(__xludf.DUMMYFUNCTION("""COMPUTED_VALUE"""),8.0)</f>
        <v>8</v>
      </c>
      <c r="C208" s="7" t="str">
        <f>IFERROR(__xludf.DUMMYFUNCTION("""COMPUTED_VALUE"""),"A_01_37")</f>
        <v>A_01_37</v>
      </c>
      <c r="D208" s="7" t="str">
        <f>IFERROR(__xludf.DUMMYFUNCTION("""COMPUTED_VALUE"""),"Q20c")</f>
        <v>Q20c</v>
      </c>
      <c r="E208" s="7" t="str">
        <f>IFERROR(__xludf.DUMMYFUNCTION("""COMPUTED_VALUE"""),". Reject one-man rule")</f>
        <v>. Reject one-man rule</v>
      </c>
      <c r="F208" s="7" t="str">
        <f>IFERROR(__xludf.DUMMYFUNCTION("""COMPUTED_VALUE"""),"National Assembly, president")</f>
        <v>National Assembly, president</v>
      </c>
    </row>
    <row r="209">
      <c r="A209" s="7" t="str">
        <f>IFERROR(__xludf.DUMMYFUNCTION("""COMPUTED_VALUE"""),"SIERRA LEONE")</f>
        <v>SIERRA LEONE</v>
      </c>
      <c r="B209" s="8">
        <f>IFERROR(__xludf.DUMMYFUNCTION("""COMPUTED_VALUE"""),8.0)</f>
        <v>8</v>
      </c>
      <c r="C209" s="7" t="str">
        <f>IFERROR(__xludf.DUMMYFUNCTION("""COMPUTED_VALUE"""),"A_01_37")</f>
        <v>A_01_37</v>
      </c>
      <c r="D209" s="7" t="str">
        <f>IFERROR(__xludf.DUMMYFUNCTION("""COMPUTED_VALUE"""),"Q20c")</f>
        <v>Q20c</v>
      </c>
      <c r="E209" s="7" t="str">
        <f>IFERROR(__xludf.DUMMYFUNCTION("""COMPUTED_VALUE"""),". Reject one-man rule")</f>
        <v>. Reject one-man rule</v>
      </c>
      <c r="F209" s="7" t="str">
        <f>IFERROR(__xludf.DUMMYFUNCTION("""COMPUTED_VALUE"""),"Parliament, president")</f>
        <v>Parliament, president</v>
      </c>
    </row>
    <row r="210">
      <c r="A210" s="7" t="str">
        <f>IFERROR(__xludf.DUMMYFUNCTION("""COMPUTED_VALUE"""),"SOUTH AFRICA")</f>
        <v>SOUTH AFRICA</v>
      </c>
      <c r="B210" s="8">
        <f>IFERROR(__xludf.DUMMYFUNCTION("""COMPUTED_VALUE"""),8.0)</f>
        <v>8</v>
      </c>
      <c r="C210" s="7" t="str">
        <f>IFERROR(__xludf.DUMMYFUNCTION("""COMPUTED_VALUE"""),"A_01_37")</f>
        <v>A_01_37</v>
      </c>
      <c r="D210" s="7" t="str">
        <f>IFERROR(__xludf.DUMMYFUNCTION("""COMPUTED_VALUE"""),"Q20c")</f>
        <v>Q20c</v>
      </c>
      <c r="E210" s="7" t="str">
        <f>IFERROR(__xludf.DUMMYFUNCTION("""COMPUTED_VALUE"""),". Reject one-man rule")</f>
        <v>. Reject one-man rule</v>
      </c>
      <c r="F210" s="7" t="str">
        <f>IFERROR(__xludf.DUMMYFUNCTION("""COMPUTED_VALUE"""),"Parliament, president")</f>
        <v>Parliament, president</v>
      </c>
    </row>
    <row r="211">
      <c r="A211" s="7" t="str">
        <f>IFERROR(__xludf.DUMMYFUNCTION("""COMPUTED_VALUE"""),"SUDAN")</f>
        <v>SUDAN</v>
      </c>
      <c r="B211" s="8">
        <f>IFERROR(__xludf.DUMMYFUNCTION("""COMPUTED_VALUE"""),8.0)</f>
        <v>8</v>
      </c>
      <c r="C211" s="7" t="str">
        <f>IFERROR(__xludf.DUMMYFUNCTION("""COMPUTED_VALUE"""),"A_01_37")</f>
        <v>A_01_37</v>
      </c>
      <c r="D211" s="7" t="str">
        <f>IFERROR(__xludf.DUMMYFUNCTION("""COMPUTED_VALUE"""),"Q20c")</f>
        <v>Q20c</v>
      </c>
      <c r="E211" s="7" t="str">
        <f>IFERROR(__xludf.DUMMYFUNCTION("""COMPUTED_VALUE"""),". Reject one-man rule")</f>
        <v>. Reject one-man rule</v>
      </c>
      <c r="F211" s="7" t="str">
        <f>IFERROR(__xludf.DUMMYFUNCTION("""COMPUTED_VALUE"""),"Parliament, president")</f>
        <v>Parliament, president</v>
      </c>
    </row>
    <row r="212">
      <c r="A212" s="7" t="str">
        <f>IFERROR(__xludf.DUMMYFUNCTION("""COMPUTED_VALUE"""),"TANZANIA")</f>
        <v>TANZANIA</v>
      </c>
      <c r="B212" s="8">
        <f>IFERROR(__xludf.DUMMYFUNCTION("""COMPUTED_VALUE"""),8.0)</f>
        <v>8</v>
      </c>
      <c r="C212" s="7" t="str">
        <f>IFERROR(__xludf.DUMMYFUNCTION("""COMPUTED_VALUE"""),"A_01_37")</f>
        <v>A_01_37</v>
      </c>
      <c r="D212" s="7" t="str">
        <f>IFERROR(__xludf.DUMMYFUNCTION("""COMPUTED_VALUE"""),"Q20c")</f>
        <v>Q20c</v>
      </c>
      <c r="E212" s="7" t="str">
        <f>IFERROR(__xludf.DUMMYFUNCTION("""COMPUTED_VALUE"""),". Reject one-man rule")</f>
        <v>. Reject one-man rule</v>
      </c>
      <c r="F212" s="7" t="str">
        <f>IFERROR(__xludf.DUMMYFUNCTION("""COMPUTED_VALUE"""),"Parliament, president")</f>
        <v>Parliament, president</v>
      </c>
    </row>
    <row r="213">
      <c r="A213" s="7" t="str">
        <f>IFERROR(__xludf.DUMMYFUNCTION("""COMPUTED_VALUE"""),"TUNISIA ")</f>
        <v>TUNISIA </v>
      </c>
      <c r="B213" s="8">
        <f>IFERROR(__xludf.DUMMYFUNCTION("""COMPUTED_VALUE"""),8.0)</f>
        <v>8</v>
      </c>
      <c r="C213" s="7" t="str">
        <f>IFERROR(__xludf.DUMMYFUNCTION("""COMPUTED_VALUE"""),"A_01_37")</f>
        <v>A_01_37</v>
      </c>
      <c r="D213" s="7" t="str">
        <f>IFERROR(__xludf.DUMMYFUNCTION("""COMPUTED_VALUE"""),"Q20c")</f>
        <v>Q20c</v>
      </c>
      <c r="E213" s="7" t="str">
        <f>IFERROR(__xludf.DUMMYFUNCTION("""COMPUTED_VALUE"""),". Reject one-man rule")</f>
        <v>. Reject one-man rule</v>
      </c>
      <c r="F213" s="7" t="str">
        <f>IFERROR(__xludf.DUMMYFUNCTION("""COMPUTED_VALUE"""),"Representative Assembly of the People, President")</f>
        <v>Representative Assembly of the People, President</v>
      </c>
    </row>
    <row r="214">
      <c r="A214" s="7" t="str">
        <f>IFERROR(__xludf.DUMMYFUNCTION("""COMPUTED_VALUE"""),"UGANDA  ")</f>
        <v>UGANDA  </v>
      </c>
      <c r="B214" s="8">
        <f>IFERROR(__xludf.DUMMYFUNCTION("""COMPUTED_VALUE"""),8.0)</f>
        <v>8</v>
      </c>
      <c r="C214" s="7" t="str">
        <f>IFERROR(__xludf.DUMMYFUNCTION("""COMPUTED_VALUE"""),"A_01_37")</f>
        <v>A_01_37</v>
      </c>
      <c r="D214" s="7" t="str">
        <f>IFERROR(__xludf.DUMMYFUNCTION("""COMPUTED_VALUE"""),"Q20c")</f>
        <v>Q20c</v>
      </c>
      <c r="E214" s="7" t="str">
        <f>IFERROR(__xludf.DUMMYFUNCTION("""COMPUTED_VALUE"""),". Reject one-man rule")</f>
        <v>. Reject one-man rule</v>
      </c>
      <c r="F214" s="7" t="str">
        <f>IFERROR(__xludf.DUMMYFUNCTION("""COMPUTED_VALUE"""),"Parliament, president")</f>
        <v>Parliament, president</v>
      </c>
    </row>
    <row r="215">
      <c r="A215" s="7" t="str">
        <f>IFERROR(__xludf.DUMMYFUNCTION("""COMPUTED_VALUE"""),"ZAMBIA")</f>
        <v>ZAMBIA</v>
      </c>
      <c r="B215" s="8">
        <f>IFERROR(__xludf.DUMMYFUNCTION("""COMPUTED_VALUE"""),8.0)</f>
        <v>8</v>
      </c>
      <c r="C215" s="7" t="str">
        <f>IFERROR(__xludf.DUMMYFUNCTION("""COMPUTED_VALUE"""),"A_01_37")</f>
        <v>A_01_37</v>
      </c>
      <c r="D215" s="7" t="str">
        <f>IFERROR(__xludf.DUMMYFUNCTION("""COMPUTED_VALUE"""),"Q20c")</f>
        <v>Q20c</v>
      </c>
      <c r="E215" s="7" t="str">
        <f>IFERROR(__xludf.DUMMYFUNCTION("""COMPUTED_VALUE"""),". Reject one-man rule")</f>
        <v>. Reject one-man rule</v>
      </c>
      <c r="F215" s="7" t="str">
        <f>IFERROR(__xludf.DUMMYFUNCTION("""COMPUTED_VALUE"""),"Parliament, president")</f>
        <v>Parliament, president</v>
      </c>
    </row>
    <row r="216">
      <c r="A216" s="7" t="str">
        <f>IFERROR(__xludf.DUMMYFUNCTION("""COMPUTED_VALUE"""),"ZIMBABWE")</f>
        <v>ZIMBABWE</v>
      </c>
      <c r="B216" s="8">
        <f>IFERROR(__xludf.DUMMYFUNCTION("""COMPUTED_VALUE"""),8.0)</f>
        <v>8</v>
      </c>
      <c r="C216" s="7" t="str">
        <f>IFERROR(__xludf.DUMMYFUNCTION("""COMPUTED_VALUE"""),"A_01_37")</f>
        <v>A_01_37</v>
      </c>
      <c r="D216" s="7" t="str">
        <f>IFERROR(__xludf.DUMMYFUNCTION("""COMPUTED_VALUE"""),"Q20c")</f>
        <v>Q20c</v>
      </c>
      <c r="E216" s="7" t="str">
        <f>IFERROR(__xludf.DUMMYFUNCTION("""COMPUTED_VALUE"""),". Reject one-man rule")</f>
        <v>. Reject one-man rule</v>
      </c>
      <c r="F216" s="7" t="str">
        <f>IFERROR(__xludf.DUMMYFUNCTION("""COMPUTED_VALUE"""),"Parliament, president")</f>
        <v>Parliament, president</v>
      </c>
    </row>
    <row r="217">
      <c r="A217" s="7" t="str">
        <f>IFERROR(__xludf.DUMMYFUNCTION("""COMPUTED_VALUE"""),"GHANA ")</f>
        <v>GHANA </v>
      </c>
      <c r="B217" s="8">
        <f>IFERROR(__xludf.DUMMYFUNCTION("""COMPUTED_VALUE"""),8.0)</f>
        <v>8</v>
      </c>
      <c r="C217" s="7" t="str">
        <f>IFERROR(__xludf.DUMMYFUNCTION("""COMPUTED_VALUE"""),"A_09_04")</f>
        <v>A_09_04</v>
      </c>
      <c r="D217" s="7" t="str">
        <f>IFERROR(__xludf.DUMMYFUNCTION("""COMPUTED_VALUE"""),"Q25")</f>
        <v>Q25</v>
      </c>
      <c r="E217" s="7" t="str">
        <f>IFERROR(__xludf.DUMMYFUNCTION("""COMPUTED_VALUE"""),"Political parties divisive vs many parties needed")</f>
        <v>Political parties divisive vs many parties needed</v>
      </c>
      <c r="F217" s="7" t="str">
        <f>IFERROR(__xludf.DUMMYFUNCTION("""COMPUTED_VALUE"""),"Ghana, Ghanains")</f>
        <v>Ghana, Ghanains</v>
      </c>
    </row>
    <row r="218">
      <c r="A218" s="7" t="str">
        <f>IFERROR(__xludf.DUMMYFUNCTION("""COMPUTED_VALUE"""),"KENYA  ")</f>
        <v>KENYA  </v>
      </c>
      <c r="B218" s="8">
        <f>IFERROR(__xludf.DUMMYFUNCTION("""COMPUTED_VALUE"""),8.0)</f>
        <v>8</v>
      </c>
      <c r="C218" s="7" t="str">
        <f>IFERROR(__xludf.DUMMYFUNCTION("""COMPUTED_VALUE"""),"A_09_04")</f>
        <v>A_09_04</v>
      </c>
      <c r="D218" s="7" t="str">
        <f>IFERROR(__xludf.DUMMYFUNCTION("""COMPUTED_VALUE"""),"Q25")</f>
        <v>Q25</v>
      </c>
      <c r="E218" s="7" t="str">
        <f>IFERROR(__xludf.DUMMYFUNCTION("""COMPUTED_VALUE"""),"Political parties divisive vs many parties needed")</f>
        <v>Political parties divisive vs many parties needed</v>
      </c>
      <c r="F218" s="7" t="str">
        <f>IFERROR(__xludf.DUMMYFUNCTION("""COMPUTED_VALUE"""),"Kenya, Kenyans")</f>
        <v>Kenya, Kenyans</v>
      </c>
    </row>
    <row r="219">
      <c r="A219" s="7" t="str">
        <f>IFERROR(__xludf.DUMMYFUNCTION("""COMPUTED_VALUE"""),"LESOTHO ")</f>
        <v>LESOTHO </v>
      </c>
      <c r="B219" s="8">
        <f>IFERROR(__xludf.DUMMYFUNCTION("""COMPUTED_VALUE"""),8.0)</f>
        <v>8</v>
      </c>
      <c r="C219" s="7" t="str">
        <f>IFERROR(__xludf.DUMMYFUNCTION("""COMPUTED_VALUE"""),"A_09_04")</f>
        <v>A_09_04</v>
      </c>
      <c r="D219" s="7" t="str">
        <f>IFERROR(__xludf.DUMMYFUNCTION("""COMPUTED_VALUE"""),"Q25")</f>
        <v>Q25</v>
      </c>
      <c r="E219" s="7" t="str">
        <f>IFERROR(__xludf.DUMMYFUNCTION("""COMPUTED_VALUE"""),"Political parties divisive vs many parties needed")</f>
        <v>Political parties divisive vs many parties needed</v>
      </c>
      <c r="F219" s="7" t="str">
        <f>IFERROR(__xludf.DUMMYFUNCTION("""COMPUTED_VALUE"""),"Lesotho, Basotho")</f>
        <v>Lesotho, Basotho</v>
      </c>
    </row>
    <row r="220">
      <c r="A220" s="7" t="str">
        <f>IFERROR(__xludf.DUMMYFUNCTION("""COMPUTED_VALUE"""),"LIBERIA  ")</f>
        <v>LIBERIA  </v>
      </c>
      <c r="B220" s="8">
        <f>IFERROR(__xludf.DUMMYFUNCTION("""COMPUTED_VALUE"""),8.0)</f>
        <v>8</v>
      </c>
      <c r="C220" s="7" t="str">
        <f>IFERROR(__xludf.DUMMYFUNCTION("""COMPUTED_VALUE"""),"A_09_04")</f>
        <v>A_09_04</v>
      </c>
      <c r="D220" s="7" t="str">
        <f>IFERROR(__xludf.DUMMYFUNCTION("""COMPUTED_VALUE"""),"Q25")</f>
        <v>Q25</v>
      </c>
      <c r="E220" s="7" t="str">
        <f>IFERROR(__xludf.DUMMYFUNCTION("""COMPUTED_VALUE"""),"Political parties divisive vs many parties needed")</f>
        <v>Political parties divisive vs many parties needed</v>
      </c>
      <c r="F220" s="7" t="str">
        <f>IFERROR(__xludf.DUMMYFUNCTION("""COMPUTED_VALUE"""),"Liberia, Liberians")</f>
        <v>Liberia, Liberians</v>
      </c>
    </row>
    <row r="221">
      <c r="A221" s="7" t="str">
        <f>IFERROR(__xludf.DUMMYFUNCTION("""COMPUTED_VALUE"""),"MALAWI ")</f>
        <v>MALAWI </v>
      </c>
      <c r="B221" s="8">
        <f>IFERROR(__xludf.DUMMYFUNCTION("""COMPUTED_VALUE"""),8.0)</f>
        <v>8</v>
      </c>
      <c r="C221" s="7" t="str">
        <f>IFERROR(__xludf.DUMMYFUNCTION("""COMPUTED_VALUE"""),"A_09_04")</f>
        <v>A_09_04</v>
      </c>
      <c r="D221" s="7" t="str">
        <f>IFERROR(__xludf.DUMMYFUNCTION("""COMPUTED_VALUE"""),"Q25")</f>
        <v>Q25</v>
      </c>
      <c r="E221" s="7" t="str">
        <f>IFERROR(__xludf.DUMMYFUNCTION("""COMPUTED_VALUE"""),"Political parties divisive vs many parties needed")</f>
        <v>Political parties divisive vs many parties needed</v>
      </c>
      <c r="F221" s="7" t="str">
        <f>IFERROR(__xludf.DUMMYFUNCTION("""COMPUTED_VALUE"""),"Malawi, Malawians")</f>
        <v>Malawi, Malawians</v>
      </c>
    </row>
    <row r="222">
      <c r="A222" s="7" t="str">
        <f>IFERROR(__xludf.DUMMYFUNCTION("""COMPUTED_VALUE"""),"MOROCCO ")</f>
        <v>MOROCCO </v>
      </c>
      <c r="B222" s="8">
        <f>IFERROR(__xludf.DUMMYFUNCTION("""COMPUTED_VALUE"""),8.0)</f>
        <v>8</v>
      </c>
      <c r="C222" s="7" t="str">
        <f>IFERROR(__xludf.DUMMYFUNCTION("""COMPUTED_VALUE"""),"A_09_04")</f>
        <v>A_09_04</v>
      </c>
      <c r="D222" s="7" t="str">
        <f>IFERROR(__xludf.DUMMYFUNCTION("""COMPUTED_VALUE"""),"Q25")</f>
        <v>Q25</v>
      </c>
      <c r="E222" s="7" t="str">
        <f>IFERROR(__xludf.DUMMYFUNCTION("""COMPUTED_VALUE"""),"Political parties divisive vs many parties needed")</f>
        <v>Political parties divisive vs many parties needed</v>
      </c>
      <c r="F222" s="7" t="str">
        <f>IFERROR(__xludf.DUMMYFUNCTION("""COMPUTED_VALUE"""),"Morocco, Moroccans")</f>
        <v>Morocco, Moroccans</v>
      </c>
    </row>
    <row r="223">
      <c r="A223" s="7" t="str">
        <f>IFERROR(__xludf.DUMMYFUNCTION("""COMPUTED_VALUE"""),"MOZAMBIQUE")</f>
        <v>MOZAMBIQUE</v>
      </c>
      <c r="B223" s="8">
        <f>IFERROR(__xludf.DUMMYFUNCTION("""COMPUTED_VALUE"""),8.0)</f>
        <v>8</v>
      </c>
      <c r="C223" s="7" t="str">
        <f>IFERROR(__xludf.DUMMYFUNCTION("""COMPUTED_VALUE"""),"A_09_04")</f>
        <v>A_09_04</v>
      </c>
      <c r="D223" s="7" t="str">
        <f>IFERROR(__xludf.DUMMYFUNCTION("""COMPUTED_VALUE"""),"Q25")</f>
        <v>Q25</v>
      </c>
      <c r="E223" s="7" t="str">
        <f>IFERROR(__xludf.DUMMYFUNCTION("""COMPUTED_VALUE"""),"Political parties divisive vs many parties needed")</f>
        <v>Political parties divisive vs many parties needed</v>
      </c>
      <c r="F223" s="7" t="str">
        <f>IFERROR(__xludf.DUMMYFUNCTION("""COMPUTED_VALUE"""),"Mozambique, Mozambicans")</f>
        <v>Mozambique, Mozambicans</v>
      </c>
    </row>
    <row r="224">
      <c r="A224" s="7" t="str">
        <f>IFERROR(__xludf.DUMMYFUNCTION("""COMPUTED_VALUE"""),"NAMIBIA ")</f>
        <v>NAMIBIA </v>
      </c>
      <c r="B224" s="8">
        <f>IFERROR(__xludf.DUMMYFUNCTION("""COMPUTED_VALUE"""),8.0)</f>
        <v>8</v>
      </c>
      <c r="C224" s="7" t="str">
        <f>IFERROR(__xludf.DUMMYFUNCTION("""COMPUTED_VALUE"""),"A_09_04")</f>
        <v>A_09_04</v>
      </c>
      <c r="D224" s="7" t="str">
        <f>IFERROR(__xludf.DUMMYFUNCTION("""COMPUTED_VALUE"""),"Q25")</f>
        <v>Q25</v>
      </c>
      <c r="E224" s="7" t="str">
        <f>IFERROR(__xludf.DUMMYFUNCTION("""COMPUTED_VALUE"""),"Political parties divisive vs many parties needed")</f>
        <v>Political parties divisive vs many parties needed</v>
      </c>
      <c r="F224" s="7" t="str">
        <f>IFERROR(__xludf.DUMMYFUNCTION("""COMPUTED_VALUE"""),"Namibia, Namibians")</f>
        <v>Namibia, Namibians</v>
      </c>
    </row>
    <row r="225">
      <c r="A225" s="7" t="str">
        <f>IFERROR(__xludf.DUMMYFUNCTION("""COMPUTED_VALUE"""),"NIGERIA ")</f>
        <v>NIGERIA </v>
      </c>
      <c r="B225" s="8">
        <f>IFERROR(__xludf.DUMMYFUNCTION("""COMPUTED_VALUE"""),8.0)</f>
        <v>8</v>
      </c>
      <c r="C225" s="7" t="str">
        <f>IFERROR(__xludf.DUMMYFUNCTION("""COMPUTED_VALUE"""),"A_09_04")</f>
        <v>A_09_04</v>
      </c>
      <c r="D225" s="7" t="str">
        <f>IFERROR(__xludf.DUMMYFUNCTION("""COMPUTED_VALUE"""),"Q25")</f>
        <v>Q25</v>
      </c>
      <c r="E225" s="7" t="str">
        <f>IFERROR(__xludf.DUMMYFUNCTION("""COMPUTED_VALUE"""),"Political parties divisive vs many parties needed")</f>
        <v>Political parties divisive vs many parties needed</v>
      </c>
      <c r="F225" s="7" t="str">
        <f>IFERROR(__xludf.DUMMYFUNCTION("""COMPUTED_VALUE"""),"Nigeria, Nigerians")</f>
        <v>Nigeria, Nigerians</v>
      </c>
    </row>
    <row r="226">
      <c r="A226" s="7" t="str">
        <f>IFERROR(__xludf.DUMMYFUNCTION("""COMPUTED_VALUE"""),"SIERRA LEONE")</f>
        <v>SIERRA LEONE</v>
      </c>
      <c r="B226" s="8">
        <f>IFERROR(__xludf.DUMMYFUNCTION("""COMPUTED_VALUE"""),8.0)</f>
        <v>8</v>
      </c>
      <c r="C226" s="7" t="str">
        <f>IFERROR(__xludf.DUMMYFUNCTION("""COMPUTED_VALUE"""),"A_09_04")</f>
        <v>A_09_04</v>
      </c>
      <c r="D226" s="7" t="str">
        <f>IFERROR(__xludf.DUMMYFUNCTION("""COMPUTED_VALUE"""),"Q25")</f>
        <v>Q25</v>
      </c>
      <c r="E226" s="7" t="str">
        <f>IFERROR(__xludf.DUMMYFUNCTION("""COMPUTED_VALUE"""),"Political parties divisive vs many parties needed")</f>
        <v>Political parties divisive vs many parties needed</v>
      </c>
      <c r="F226" s="7" t="str">
        <f>IFERROR(__xludf.DUMMYFUNCTION("""COMPUTED_VALUE"""),"Sierra Leone,  Sierra Leoneans")</f>
        <v>Sierra Leone,  Sierra Leoneans</v>
      </c>
    </row>
    <row r="227">
      <c r="A227" s="7" t="str">
        <f>IFERROR(__xludf.DUMMYFUNCTION("""COMPUTED_VALUE"""),"SOUTH AFRICA")</f>
        <v>SOUTH AFRICA</v>
      </c>
      <c r="B227" s="8">
        <f>IFERROR(__xludf.DUMMYFUNCTION("""COMPUTED_VALUE"""),8.0)</f>
        <v>8</v>
      </c>
      <c r="C227" s="7" t="str">
        <f>IFERROR(__xludf.DUMMYFUNCTION("""COMPUTED_VALUE"""),"A_09_04")</f>
        <v>A_09_04</v>
      </c>
      <c r="D227" s="7" t="str">
        <f>IFERROR(__xludf.DUMMYFUNCTION("""COMPUTED_VALUE"""),"Q25")</f>
        <v>Q25</v>
      </c>
      <c r="E227" s="7" t="str">
        <f>IFERROR(__xludf.DUMMYFUNCTION("""COMPUTED_VALUE"""),"Political parties divisive vs many parties needed")</f>
        <v>Political parties divisive vs many parties needed</v>
      </c>
      <c r="F227" s="7" t="str">
        <f>IFERROR(__xludf.DUMMYFUNCTION("""COMPUTED_VALUE"""),"South Africa, South Africans")</f>
        <v>South Africa, South Africans</v>
      </c>
    </row>
    <row r="228">
      <c r="A228" s="7" t="str">
        <f>IFERROR(__xludf.DUMMYFUNCTION("""COMPUTED_VALUE"""),"SUDAN")</f>
        <v>SUDAN</v>
      </c>
      <c r="B228" s="8">
        <f>IFERROR(__xludf.DUMMYFUNCTION("""COMPUTED_VALUE"""),8.0)</f>
        <v>8</v>
      </c>
      <c r="C228" s="7" t="str">
        <f>IFERROR(__xludf.DUMMYFUNCTION("""COMPUTED_VALUE"""),"A_09_04")</f>
        <v>A_09_04</v>
      </c>
      <c r="D228" s="7" t="str">
        <f>IFERROR(__xludf.DUMMYFUNCTION("""COMPUTED_VALUE"""),"Q25")</f>
        <v>Q25</v>
      </c>
      <c r="E228" s="7" t="str">
        <f>IFERROR(__xludf.DUMMYFUNCTION("""COMPUTED_VALUE"""),"Political parties divisive vs many parties needed")</f>
        <v>Political parties divisive vs many parties needed</v>
      </c>
      <c r="F228" s="7" t="str">
        <f>IFERROR(__xludf.DUMMYFUNCTION("""COMPUTED_VALUE"""),"Sudan, Sudanese")</f>
        <v>Sudan, Sudanese</v>
      </c>
    </row>
    <row r="229">
      <c r="A229" s="7" t="str">
        <f>IFERROR(__xludf.DUMMYFUNCTION("""COMPUTED_VALUE"""),"TANZANIA")</f>
        <v>TANZANIA</v>
      </c>
      <c r="B229" s="8">
        <f>IFERROR(__xludf.DUMMYFUNCTION("""COMPUTED_VALUE"""),8.0)</f>
        <v>8</v>
      </c>
      <c r="C229" s="7" t="str">
        <f>IFERROR(__xludf.DUMMYFUNCTION("""COMPUTED_VALUE"""),"A_09_04")</f>
        <v>A_09_04</v>
      </c>
      <c r="D229" s="7" t="str">
        <f>IFERROR(__xludf.DUMMYFUNCTION("""COMPUTED_VALUE"""),"Q25")</f>
        <v>Q25</v>
      </c>
      <c r="E229" s="7" t="str">
        <f>IFERROR(__xludf.DUMMYFUNCTION("""COMPUTED_VALUE"""),"Political parties divisive vs many parties needed")</f>
        <v>Political parties divisive vs many parties needed</v>
      </c>
      <c r="F229" s="7" t="str">
        <f>IFERROR(__xludf.DUMMYFUNCTION("""COMPUTED_VALUE"""),"Tanzania, Tanzanians")</f>
        <v>Tanzania, Tanzanians</v>
      </c>
    </row>
    <row r="230">
      <c r="A230" s="7" t="str">
        <f>IFERROR(__xludf.DUMMYFUNCTION("""COMPUTED_VALUE"""),"TUNISIA ")</f>
        <v>TUNISIA </v>
      </c>
      <c r="B230" s="8">
        <f>IFERROR(__xludf.DUMMYFUNCTION("""COMPUTED_VALUE"""),8.0)</f>
        <v>8</v>
      </c>
      <c r="C230" s="7" t="str">
        <f>IFERROR(__xludf.DUMMYFUNCTION("""COMPUTED_VALUE"""),"A_09_04")</f>
        <v>A_09_04</v>
      </c>
      <c r="D230" s="7" t="str">
        <f>IFERROR(__xludf.DUMMYFUNCTION("""COMPUTED_VALUE"""),"Q25")</f>
        <v>Q25</v>
      </c>
      <c r="E230" s="7" t="str">
        <f>IFERROR(__xludf.DUMMYFUNCTION("""COMPUTED_VALUE"""),"Political parties divisive vs many parties needed")</f>
        <v>Political parties divisive vs many parties needed</v>
      </c>
      <c r="F230" s="7" t="str">
        <f>IFERROR(__xludf.DUMMYFUNCTION("""COMPUTED_VALUE"""),"Tunisia, Tunisians")</f>
        <v>Tunisia, Tunisians</v>
      </c>
    </row>
    <row r="231">
      <c r="A231" s="7" t="str">
        <f>IFERROR(__xludf.DUMMYFUNCTION("""COMPUTED_VALUE"""),"UGANDA  ")</f>
        <v>UGANDA  </v>
      </c>
      <c r="B231" s="8">
        <f>IFERROR(__xludf.DUMMYFUNCTION("""COMPUTED_VALUE"""),8.0)</f>
        <v>8</v>
      </c>
      <c r="C231" s="7" t="str">
        <f>IFERROR(__xludf.DUMMYFUNCTION("""COMPUTED_VALUE"""),"A_09_04")</f>
        <v>A_09_04</v>
      </c>
      <c r="D231" s="7" t="str">
        <f>IFERROR(__xludf.DUMMYFUNCTION("""COMPUTED_VALUE"""),"Q25")</f>
        <v>Q25</v>
      </c>
      <c r="E231" s="7" t="str">
        <f>IFERROR(__xludf.DUMMYFUNCTION("""COMPUTED_VALUE"""),"Political parties divisive vs many parties needed")</f>
        <v>Political parties divisive vs many parties needed</v>
      </c>
      <c r="F231" s="7" t="str">
        <f>IFERROR(__xludf.DUMMYFUNCTION("""COMPUTED_VALUE"""),"Uganda, Ugandans")</f>
        <v>Uganda, Ugandans</v>
      </c>
    </row>
    <row r="232">
      <c r="A232" s="7" t="str">
        <f>IFERROR(__xludf.DUMMYFUNCTION("""COMPUTED_VALUE"""),"ZAMBIA")</f>
        <v>ZAMBIA</v>
      </c>
      <c r="B232" s="8">
        <f>IFERROR(__xludf.DUMMYFUNCTION("""COMPUTED_VALUE"""),8.0)</f>
        <v>8</v>
      </c>
      <c r="C232" s="7" t="str">
        <f>IFERROR(__xludf.DUMMYFUNCTION("""COMPUTED_VALUE"""),"A_09_04")</f>
        <v>A_09_04</v>
      </c>
      <c r="D232" s="7" t="str">
        <f>IFERROR(__xludf.DUMMYFUNCTION("""COMPUTED_VALUE"""),"Q25")</f>
        <v>Q25</v>
      </c>
      <c r="E232" s="7" t="str">
        <f>IFERROR(__xludf.DUMMYFUNCTION("""COMPUTED_VALUE"""),"Political parties divisive vs many parties needed")</f>
        <v>Political parties divisive vs many parties needed</v>
      </c>
      <c r="F232" s="7" t="str">
        <f>IFERROR(__xludf.DUMMYFUNCTION("""COMPUTED_VALUE"""),"Zambia, Zambians")</f>
        <v>Zambia, Zambians</v>
      </c>
    </row>
    <row r="233">
      <c r="A233" s="7" t="str">
        <f>IFERROR(__xludf.DUMMYFUNCTION("""COMPUTED_VALUE"""),"ZIMBABWE")</f>
        <v>ZIMBABWE</v>
      </c>
      <c r="B233" s="8">
        <f>IFERROR(__xludf.DUMMYFUNCTION("""COMPUTED_VALUE"""),8.0)</f>
        <v>8</v>
      </c>
      <c r="C233" s="7" t="str">
        <f>IFERROR(__xludf.DUMMYFUNCTION("""COMPUTED_VALUE"""),"A_09_04")</f>
        <v>A_09_04</v>
      </c>
      <c r="D233" s="7" t="str">
        <f>IFERROR(__xludf.DUMMYFUNCTION("""COMPUTED_VALUE"""),"Q25")</f>
        <v>Q25</v>
      </c>
      <c r="E233" s="7" t="str">
        <f>IFERROR(__xludf.DUMMYFUNCTION("""COMPUTED_VALUE"""),"Political parties divisive vs many parties needed")</f>
        <v>Political parties divisive vs many parties needed</v>
      </c>
      <c r="F233" s="7" t="str">
        <f>IFERROR(__xludf.DUMMYFUNCTION("""COMPUTED_VALUE"""),"Zimbabwe, Zimbabweans")</f>
        <v>Zimbabwe, Zimbabweans</v>
      </c>
    </row>
    <row r="234">
      <c r="A234" s="7" t="str">
        <f>IFERROR(__xludf.DUMMYFUNCTION("""COMPUTED_VALUE"""),"GHANA ")</f>
        <v>GHANA </v>
      </c>
      <c r="B234" s="8">
        <f>IFERROR(__xludf.DUMMYFUNCTION("""COMPUTED_VALUE"""),8.0)</f>
        <v>8</v>
      </c>
      <c r="C234" s="7" t="str">
        <f>IFERROR(__xludf.DUMMYFUNCTION("""COMPUTED_VALUE"""),"B_01_09")</f>
        <v>B_01_09</v>
      </c>
      <c r="D234" s="7" t="str">
        <f>IFERROR(__xludf.DUMMYFUNCTION("""COMPUTED_VALUE"""),"Q29")</f>
        <v>Q29</v>
      </c>
      <c r="E234" s="7" t="str">
        <f>IFERROR(__xludf.DUMMYFUNCTION("""COMPUTED_VALUE""")," President monitored by parliament vs free to act on own")</f>
        <v> President monitored by parliament vs free to act on own</v>
      </c>
      <c r="F234" s="7" t="str">
        <f>IFERROR(__xludf.DUMMYFUNCTION("""COMPUTED_VALUE"""),"Parliament, president")</f>
        <v>Parliament, president</v>
      </c>
    </row>
    <row r="235">
      <c r="A235" s="7" t="str">
        <f>IFERROR(__xludf.DUMMYFUNCTION("""COMPUTED_VALUE"""),"KENYA  ")</f>
        <v>KENYA  </v>
      </c>
      <c r="B235" s="8">
        <f>IFERROR(__xludf.DUMMYFUNCTION("""COMPUTED_VALUE"""),8.0)</f>
        <v>8</v>
      </c>
      <c r="C235" s="7" t="str">
        <f>IFERROR(__xludf.DUMMYFUNCTION("""COMPUTED_VALUE"""),"B_01_09")</f>
        <v>B_01_09</v>
      </c>
      <c r="D235" s="7" t="str">
        <f>IFERROR(__xludf.DUMMYFUNCTION("""COMPUTED_VALUE"""),"Q29")</f>
        <v>Q29</v>
      </c>
      <c r="E235" s="7" t="str">
        <f>IFERROR(__xludf.DUMMYFUNCTION("""COMPUTED_VALUE""")," President monitored by parliament vs free to act on own")</f>
        <v> President monitored by parliament vs free to act on own</v>
      </c>
      <c r="F235" s="7" t="str">
        <f>IFERROR(__xludf.DUMMYFUNCTION("""COMPUTED_VALUE"""),"Parliament, president")</f>
        <v>Parliament, president</v>
      </c>
    </row>
    <row r="236">
      <c r="A236" s="7" t="str">
        <f>IFERROR(__xludf.DUMMYFUNCTION("""COMPUTED_VALUE"""),"LESOTHO ")</f>
        <v>LESOTHO </v>
      </c>
      <c r="B236" s="8">
        <f>IFERROR(__xludf.DUMMYFUNCTION("""COMPUTED_VALUE"""),8.0)</f>
        <v>8</v>
      </c>
      <c r="C236" s="7" t="str">
        <f>IFERROR(__xludf.DUMMYFUNCTION("""COMPUTED_VALUE"""),"B_01_09")</f>
        <v>B_01_09</v>
      </c>
      <c r="D236" s="7" t="str">
        <f>IFERROR(__xludf.DUMMYFUNCTION("""COMPUTED_VALUE"""),"Q29")</f>
        <v>Q29</v>
      </c>
      <c r="E236" s="7" t="str">
        <f>IFERROR(__xludf.DUMMYFUNCTION("""COMPUTED_VALUE""")," President monitored by parliament vs free to act on own")</f>
        <v> President monitored by parliament vs free to act on own</v>
      </c>
      <c r="F236" s="7" t="str">
        <f>IFERROR(__xludf.DUMMYFUNCTION("""COMPUTED_VALUE"""),"Parliament, prime minister")</f>
        <v>Parliament, prime minister</v>
      </c>
    </row>
    <row r="237">
      <c r="A237" s="7" t="str">
        <f>IFERROR(__xludf.DUMMYFUNCTION("""COMPUTED_VALUE"""),"LIBERIA  ")</f>
        <v>LIBERIA  </v>
      </c>
      <c r="B237" s="8">
        <f>IFERROR(__xludf.DUMMYFUNCTION("""COMPUTED_VALUE"""),8.0)</f>
        <v>8</v>
      </c>
      <c r="C237" s="7" t="str">
        <f>IFERROR(__xludf.DUMMYFUNCTION("""COMPUTED_VALUE"""),"B_01_09")</f>
        <v>B_01_09</v>
      </c>
      <c r="D237" s="7" t="str">
        <f>IFERROR(__xludf.DUMMYFUNCTION("""COMPUTED_VALUE"""),"Q29")</f>
        <v>Q29</v>
      </c>
      <c r="E237" s="7" t="str">
        <f>IFERROR(__xludf.DUMMYFUNCTION("""COMPUTED_VALUE""")," President monitored by parliament vs free to act on own")</f>
        <v> President monitored by parliament vs free to act on own</v>
      </c>
      <c r="F237" s="7" t="str">
        <f>IFERROR(__xludf.DUMMYFUNCTION("""COMPUTED_VALUE"""),"National Legislature, president")</f>
        <v>National Legislature, president</v>
      </c>
    </row>
    <row r="238">
      <c r="A238" s="7" t="str">
        <f>IFERROR(__xludf.DUMMYFUNCTION("""COMPUTED_VALUE"""),"MALAWI ")</f>
        <v>MALAWI </v>
      </c>
      <c r="B238" s="8">
        <f>IFERROR(__xludf.DUMMYFUNCTION("""COMPUTED_VALUE"""),8.0)</f>
        <v>8</v>
      </c>
      <c r="C238" s="7" t="str">
        <f>IFERROR(__xludf.DUMMYFUNCTION("""COMPUTED_VALUE"""),"B_01_09")</f>
        <v>B_01_09</v>
      </c>
      <c r="D238" s="7" t="str">
        <f>IFERROR(__xludf.DUMMYFUNCTION("""COMPUTED_VALUE"""),"Q29")</f>
        <v>Q29</v>
      </c>
      <c r="E238" s="7" t="str">
        <f>IFERROR(__xludf.DUMMYFUNCTION("""COMPUTED_VALUE""")," President monitored by parliament vs free to act on own")</f>
        <v> President monitored by parliament vs free to act on own</v>
      </c>
      <c r="F238" s="7" t="str">
        <f>IFERROR(__xludf.DUMMYFUNCTION("""COMPUTED_VALUE"""),"Parliament, president")</f>
        <v>Parliament, president</v>
      </c>
    </row>
    <row r="239">
      <c r="A239" s="7" t="str">
        <f>IFERROR(__xludf.DUMMYFUNCTION("""COMPUTED_VALUE"""),"MOROCCO ")</f>
        <v>MOROCCO </v>
      </c>
      <c r="B239" s="8">
        <f>IFERROR(__xludf.DUMMYFUNCTION("""COMPUTED_VALUE"""),8.0)</f>
        <v>8</v>
      </c>
      <c r="C239" s="7" t="str">
        <f>IFERROR(__xludf.DUMMYFUNCTION("""COMPUTED_VALUE"""),"B_01_09")</f>
        <v>B_01_09</v>
      </c>
      <c r="D239" s="7" t="str">
        <f>IFERROR(__xludf.DUMMYFUNCTION("""COMPUTED_VALUE"""),"Q29")</f>
        <v>Q29</v>
      </c>
      <c r="E239" s="7" t="str">
        <f>IFERROR(__xludf.DUMMYFUNCTION("""COMPUTED_VALUE""")," President monitored by parliament vs free to act on own")</f>
        <v> President monitored by parliament vs free to act on own</v>
      </c>
      <c r="F239" s="7" t="str">
        <f>IFERROR(__xludf.DUMMYFUNCTION("""COMPUTED_VALUE"""),"Parliament, president")</f>
        <v>Parliament, president</v>
      </c>
    </row>
    <row r="240">
      <c r="A240" s="7" t="str">
        <f>IFERROR(__xludf.DUMMYFUNCTION("""COMPUTED_VALUE"""),"MOZAMBIQUE")</f>
        <v>MOZAMBIQUE</v>
      </c>
      <c r="B240" s="8">
        <f>IFERROR(__xludf.DUMMYFUNCTION("""COMPUTED_VALUE"""),8.0)</f>
        <v>8</v>
      </c>
      <c r="C240" s="7" t="str">
        <f>IFERROR(__xludf.DUMMYFUNCTION("""COMPUTED_VALUE"""),"B_01_09")</f>
        <v>B_01_09</v>
      </c>
      <c r="D240" s="7" t="str">
        <f>IFERROR(__xludf.DUMMYFUNCTION("""COMPUTED_VALUE"""),"Q29")</f>
        <v>Q29</v>
      </c>
      <c r="E240" s="7" t="str">
        <f>IFERROR(__xludf.DUMMYFUNCTION("""COMPUTED_VALUE""")," President monitored by parliament vs free to act on own")</f>
        <v> President monitored by parliament vs free to act on own</v>
      </c>
      <c r="F240" s="7" t="str">
        <f>IFERROR(__xludf.DUMMYFUNCTION("""COMPUTED_VALUE"""),"Parliament, president")</f>
        <v>Parliament, president</v>
      </c>
    </row>
    <row r="241">
      <c r="A241" s="7" t="str">
        <f>IFERROR(__xludf.DUMMYFUNCTION("""COMPUTED_VALUE"""),"NAMIBIA ")</f>
        <v>NAMIBIA </v>
      </c>
      <c r="B241" s="8">
        <f>IFERROR(__xludf.DUMMYFUNCTION("""COMPUTED_VALUE"""),8.0)</f>
        <v>8</v>
      </c>
      <c r="C241" s="7" t="str">
        <f>IFERROR(__xludf.DUMMYFUNCTION("""COMPUTED_VALUE"""),"B_01_09")</f>
        <v>B_01_09</v>
      </c>
      <c r="D241" s="7" t="str">
        <f>IFERROR(__xludf.DUMMYFUNCTION("""COMPUTED_VALUE"""),"Q29")</f>
        <v>Q29</v>
      </c>
      <c r="E241" s="7" t="str">
        <f>IFERROR(__xludf.DUMMYFUNCTION("""COMPUTED_VALUE""")," President monitored by parliament vs free to act on own")</f>
        <v> President monitored by parliament vs free to act on own</v>
      </c>
      <c r="F241" s="7" t="str">
        <f>IFERROR(__xludf.DUMMYFUNCTION("""COMPUTED_VALUE""")," National Assembly, president")</f>
        <v> National Assembly, president</v>
      </c>
    </row>
    <row r="242">
      <c r="A242" s="7" t="str">
        <f>IFERROR(__xludf.DUMMYFUNCTION("""COMPUTED_VALUE"""),"NIGERIA ")</f>
        <v>NIGERIA </v>
      </c>
      <c r="B242" s="8">
        <f>IFERROR(__xludf.DUMMYFUNCTION("""COMPUTED_VALUE"""),8.0)</f>
        <v>8</v>
      </c>
      <c r="C242" s="7" t="str">
        <f>IFERROR(__xludf.DUMMYFUNCTION("""COMPUTED_VALUE"""),"B_01_09")</f>
        <v>B_01_09</v>
      </c>
      <c r="D242" s="7" t="str">
        <f>IFERROR(__xludf.DUMMYFUNCTION("""COMPUTED_VALUE"""),"Q29")</f>
        <v>Q29</v>
      </c>
      <c r="E242" s="7" t="str">
        <f>IFERROR(__xludf.DUMMYFUNCTION("""COMPUTED_VALUE""")," President monitored by parliament vs free to act on own")</f>
        <v> President monitored by parliament vs free to act on own</v>
      </c>
      <c r="F242" s="7" t="str">
        <f>IFERROR(__xludf.DUMMYFUNCTION("""COMPUTED_VALUE""")," National Assembly, president")</f>
        <v> National Assembly, president</v>
      </c>
    </row>
    <row r="243">
      <c r="A243" s="7" t="str">
        <f>IFERROR(__xludf.DUMMYFUNCTION("""COMPUTED_VALUE"""),"SIERRA LEONE")</f>
        <v>SIERRA LEONE</v>
      </c>
      <c r="B243" s="8">
        <f>IFERROR(__xludf.DUMMYFUNCTION("""COMPUTED_VALUE"""),8.0)</f>
        <v>8</v>
      </c>
      <c r="C243" s="7" t="str">
        <f>IFERROR(__xludf.DUMMYFUNCTION("""COMPUTED_VALUE"""),"B_01_09")</f>
        <v>B_01_09</v>
      </c>
      <c r="D243" s="7" t="str">
        <f>IFERROR(__xludf.DUMMYFUNCTION("""COMPUTED_VALUE"""),"Q29")</f>
        <v>Q29</v>
      </c>
      <c r="E243" s="7" t="str">
        <f>IFERROR(__xludf.DUMMYFUNCTION("""COMPUTED_VALUE""")," President monitored by parliament vs free to act on own")</f>
        <v> President monitored by parliament vs free to act on own</v>
      </c>
      <c r="F243" s="7" t="str">
        <f>IFERROR(__xludf.DUMMYFUNCTION("""COMPUTED_VALUE"""),"Parliament, president")</f>
        <v>Parliament, president</v>
      </c>
    </row>
    <row r="244">
      <c r="A244" s="7" t="str">
        <f>IFERROR(__xludf.DUMMYFUNCTION("""COMPUTED_VALUE"""),"SOUTH AFRICA")</f>
        <v>SOUTH AFRICA</v>
      </c>
      <c r="B244" s="8">
        <f>IFERROR(__xludf.DUMMYFUNCTION("""COMPUTED_VALUE"""),8.0)</f>
        <v>8</v>
      </c>
      <c r="C244" s="7" t="str">
        <f>IFERROR(__xludf.DUMMYFUNCTION("""COMPUTED_VALUE"""),"B_01_09")</f>
        <v>B_01_09</v>
      </c>
      <c r="D244" s="7" t="str">
        <f>IFERROR(__xludf.DUMMYFUNCTION("""COMPUTED_VALUE"""),"Q29")</f>
        <v>Q29</v>
      </c>
      <c r="E244" s="7" t="str">
        <f>IFERROR(__xludf.DUMMYFUNCTION("""COMPUTED_VALUE""")," President monitored by parliament vs free to act on own")</f>
        <v> President monitored by parliament vs free to act on own</v>
      </c>
      <c r="F244" s="7" t="str">
        <f>IFERROR(__xludf.DUMMYFUNCTION("""COMPUTED_VALUE"""),"Parliament, president")</f>
        <v>Parliament, president</v>
      </c>
    </row>
    <row r="245">
      <c r="A245" s="7" t="str">
        <f>IFERROR(__xludf.DUMMYFUNCTION("""COMPUTED_VALUE"""),"SUDAN")</f>
        <v>SUDAN</v>
      </c>
      <c r="B245" s="8">
        <f>IFERROR(__xludf.DUMMYFUNCTION("""COMPUTED_VALUE"""),8.0)</f>
        <v>8</v>
      </c>
      <c r="C245" s="7" t="str">
        <f>IFERROR(__xludf.DUMMYFUNCTION("""COMPUTED_VALUE"""),"B_01_09")</f>
        <v>B_01_09</v>
      </c>
      <c r="D245" s="7" t="str">
        <f>IFERROR(__xludf.DUMMYFUNCTION("""COMPUTED_VALUE"""),"Q29")</f>
        <v>Q29</v>
      </c>
      <c r="E245" s="7" t="str">
        <f>IFERROR(__xludf.DUMMYFUNCTION("""COMPUTED_VALUE""")," President monitored by parliament vs free to act on own")</f>
        <v> President monitored by parliament vs free to act on own</v>
      </c>
      <c r="F245" s="7" t="str">
        <f>IFERROR(__xludf.DUMMYFUNCTION("""COMPUTED_VALUE"""),"Parliament, president")</f>
        <v>Parliament, president</v>
      </c>
    </row>
    <row r="246">
      <c r="A246" s="7" t="str">
        <f>IFERROR(__xludf.DUMMYFUNCTION("""COMPUTED_VALUE"""),"TANZANIA")</f>
        <v>TANZANIA</v>
      </c>
      <c r="B246" s="8">
        <f>IFERROR(__xludf.DUMMYFUNCTION("""COMPUTED_VALUE"""),8.0)</f>
        <v>8</v>
      </c>
      <c r="C246" s="7" t="str">
        <f>IFERROR(__xludf.DUMMYFUNCTION("""COMPUTED_VALUE"""),"B_01_09")</f>
        <v>B_01_09</v>
      </c>
      <c r="D246" s="7" t="str">
        <f>IFERROR(__xludf.DUMMYFUNCTION("""COMPUTED_VALUE"""),"Q29")</f>
        <v>Q29</v>
      </c>
      <c r="E246" s="7" t="str">
        <f>IFERROR(__xludf.DUMMYFUNCTION("""COMPUTED_VALUE""")," President monitored by parliament vs free to act on own")</f>
        <v> President monitored by parliament vs free to act on own</v>
      </c>
      <c r="F246" s="7" t="str">
        <f>IFERROR(__xludf.DUMMYFUNCTION("""COMPUTED_VALUE"""),"Parliament, president")</f>
        <v>Parliament, president</v>
      </c>
    </row>
    <row r="247">
      <c r="A247" s="7" t="str">
        <f>IFERROR(__xludf.DUMMYFUNCTION("""COMPUTED_VALUE"""),"TUNISIA ")</f>
        <v>TUNISIA </v>
      </c>
      <c r="B247" s="8">
        <f>IFERROR(__xludf.DUMMYFUNCTION("""COMPUTED_VALUE"""),8.0)</f>
        <v>8</v>
      </c>
      <c r="C247" s="7" t="str">
        <f>IFERROR(__xludf.DUMMYFUNCTION("""COMPUTED_VALUE"""),"B_01_09")</f>
        <v>B_01_09</v>
      </c>
      <c r="D247" s="7" t="str">
        <f>IFERROR(__xludf.DUMMYFUNCTION("""COMPUTED_VALUE"""),"Q29")</f>
        <v>Q29</v>
      </c>
      <c r="E247" s="7" t="str">
        <f>IFERROR(__xludf.DUMMYFUNCTION("""COMPUTED_VALUE""")," President monitored by parliament vs free to act on own")</f>
        <v> President monitored by parliament vs free to act on own</v>
      </c>
      <c r="F247" s="7" t="str">
        <f>IFERROR(__xludf.DUMMYFUNCTION("""COMPUTED_VALUE"""),"Representative Assembly of the People , president")</f>
        <v>Representative Assembly of the People , president</v>
      </c>
    </row>
    <row r="248">
      <c r="A248" s="7" t="str">
        <f>IFERROR(__xludf.DUMMYFUNCTION("""COMPUTED_VALUE"""),"UGANDA  ")</f>
        <v>UGANDA  </v>
      </c>
      <c r="B248" s="8">
        <f>IFERROR(__xludf.DUMMYFUNCTION("""COMPUTED_VALUE"""),8.0)</f>
        <v>8</v>
      </c>
      <c r="C248" s="7" t="str">
        <f>IFERROR(__xludf.DUMMYFUNCTION("""COMPUTED_VALUE"""),"B_01_09")</f>
        <v>B_01_09</v>
      </c>
      <c r="D248" s="7" t="str">
        <f>IFERROR(__xludf.DUMMYFUNCTION("""COMPUTED_VALUE"""),"Q29")</f>
        <v>Q29</v>
      </c>
      <c r="E248" s="7" t="str">
        <f>IFERROR(__xludf.DUMMYFUNCTION("""COMPUTED_VALUE""")," President monitored by parliament vs free to act on own")</f>
        <v> President monitored by parliament vs free to act on own</v>
      </c>
      <c r="F248" s="7" t="str">
        <f>IFERROR(__xludf.DUMMYFUNCTION("""COMPUTED_VALUE"""),"Parliament, president")</f>
        <v>Parliament, president</v>
      </c>
    </row>
    <row r="249">
      <c r="A249" s="7" t="str">
        <f>IFERROR(__xludf.DUMMYFUNCTION("""COMPUTED_VALUE"""),"ZAMBIA")</f>
        <v>ZAMBIA</v>
      </c>
      <c r="B249" s="8">
        <f>IFERROR(__xludf.DUMMYFUNCTION("""COMPUTED_VALUE"""),8.0)</f>
        <v>8</v>
      </c>
      <c r="C249" s="7" t="str">
        <f>IFERROR(__xludf.DUMMYFUNCTION("""COMPUTED_VALUE"""),"B_01_09")</f>
        <v>B_01_09</v>
      </c>
      <c r="D249" s="7" t="str">
        <f>IFERROR(__xludf.DUMMYFUNCTION("""COMPUTED_VALUE"""),"Q29")</f>
        <v>Q29</v>
      </c>
      <c r="E249" s="7" t="str">
        <f>IFERROR(__xludf.DUMMYFUNCTION("""COMPUTED_VALUE""")," President monitored by parliament vs free to act on own")</f>
        <v> President monitored by parliament vs free to act on own</v>
      </c>
      <c r="F249" s="7" t="str">
        <f>IFERROR(__xludf.DUMMYFUNCTION("""COMPUTED_VALUE"""),"Parliament, president")</f>
        <v>Parliament, president</v>
      </c>
    </row>
    <row r="250">
      <c r="A250" s="7" t="str">
        <f>IFERROR(__xludf.DUMMYFUNCTION("""COMPUTED_VALUE"""),"ZIMBABWE")</f>
        <v>ZIMBABWE</v>
      </c>
      <c r="B250" s="8">
        <f>IFERROR(__xludf.DUMMYFUNCTION("""COMPUTED_VALUE"""),8.0)</f>
        <v>8</v>
      </c>
      <c r="C250" s="7" t="str">
        <f>IFERROR(__xludf.DUMMYFUNCTION("""COMPUTED_VALUE"""),"B_01_09")</f>
        <v>B_01_09</v>
      </c>
      <c r="D250" s="7" t="str">
        <f>IFERROR(__xludf.DUMMYFUNCTION("""COMPUTED_VALUE"""),"Q29")</f>
        <v>Q29</v>
      </c>
      <c r="E250" s="7" t="str">
        <f>IFERROR(__xludf.DUMMYFUNCTION("""COMPUTED_VALUE""")," President monitored by parliament vs free to act on own")</f>
        <v> President monitored by parliament vs free to act on own</v>
      </c>
      <c r="F250" s="7" t="str">
        <f>IFERROR(__xludf.DUMMYFUNCTION("""COMPUTED_VALUE"""),"Parliament, president")</f>
        <v>Parliament, president</v>
      </c>
    </row>
    <row r="251">
      <c r="A251" s="7" t="str">
        <f>IFERROR(__xludf.DUMMYFUNCTION("""COMPUTED_VALUE"""),"GHANA ")</f>
        <v>GHANA </v>
      </c>
      <c r="B251" s="8">
        <f>IFERROR(__xludf.DUMMYFUNCTION("""COMPUTED_VALUE"""),8.0)</f>
        <v>8</v>
      </c>
      <c r="C251" s="7" t="str">
        <f>IFERROR(__xludf.DUMMYFUNCTION("""COMPUTED_VALUE"""),"B_01_08")</f>
        <v>B_01_08</v>
      </c>
      <c r="D251" s="7" t="str">
        <f>IFERROR(__xludf.DUMMYFUNCTION("""COMPUTED_VALUE"""),"Q30")</f>
        <v>Q30</v>
      </c>
      <c r="E251" s="7" t="str">
        <f>IFERROR(__xludf.DUMMYFUNCTION("""COMPUTED_VALUE""")," President free to act vs obey the laws and courts")</f>
        <v> President free to act vs obey the laws and courts</v>
      </c>
      <c r="F251" s="7" t="str">
        <f>IFERROR(__xludf.DUMMYFUNCTION("""COMPUTED_VALUE"""),"president")</f>
        <v>president</v>
      </c>
    </row>
    <row r="252">
      <c r="A252" s="7" t="str">
        <f>IFERROR(__xludf.DUMMYFUNCTION("""COMPUTED_VALUE"""),"KENYA  ")</f>
        <v>KENYA  </v>
      </c>
      <c r="B252" s="8">
        <f>IFERROR(__xludf.DUMMYFUNCTION("""COMPUTED_VALUE"""),8.0)</f>
        <v>8</v>
      </c>
      <c r="C252" s="7" t="str">
        <f>IFERROR(__xludf.DUMMYFUNCTION("""COMPUTED_VALUE"""),"B_01_08")</f>
        <v>B_01_08</v>
      </c>
      <c r="D252" s="7" t="str">
        <f>IFERROR(__xludf.DUMMYFUNCTION("""COMPUTED_VALUE"""),"Q30")</f>
        <v>Q30</v>
      </c>
      <c r="E252" s="7" t="str">
        <f>IFERROR(__xludf.DUMMYFUNCTION("""COMPUTED_VALUE""")," President free to act vs obey the laws and courts")</f>
        <v> President free to act vs obey the laws and courts</v>
      </c>
      <c r="F252" s="7" t="str">
        <f>IFERROR(__xludf.DUMMYFUNCTION("""COMPUTED_VALUE"""),"president")</f>
        <v>president</v>
      </c>
    </row>
    <row r="253">
      <c r="A253" s="7" t="str">
        <f>IFERROR(__xludf.DUMMYFUNCTION("""COMPUTED_VALUE"""),"BOTSWANA ")</f>
        <v>BOTSWANA </v>
      </c>
      <c r="B253" s="8">
        <f>IFERROR(__xludf.DUMMYFUNCTION("""COMPUTED_VALUE"""),8.0)</f>
        <v>8</v>
      </c>
      <c r="C253" s="7" t="str">
        <f>IFERROR(__xludf.DUMMYFUNCTION("""COMPUTED_VALUE"""),"B_01_05")</f>
        <v>B_01_05</v>
      </c>
      <c r="D253" s="7" t="str">
        <f>IFERROR(__xludf.DUMMYFUNCTION("""COMPUTED_VALUE"""),"Q34")</f>
        <v>Q34</v>
      </c>
      <c r="E253" s="7" t="str">
        <f>IFERROR(__xludf.DUMMYFUNCTION("""COMPUTED_VALUE"""),"Presidential two term limit vs no term limits")</f>
        <v>Presidential two term limit vs no term limits</v>
      </c>
      <c r="F253" s="7" t="str">
        <f>IFERROR(__xludf.DUMMYFUNCTION("""COMPUTED_VALUE"""),"President ")</f>
        <v>President </v>
      </c>
    </row>
    <row r="254">
      <c r="A254" s="7" t="str">
        <f>IFERROR(__xludf.DUMMYFUNCTION("""COMPUTED_VALUE"""),"CABO VERDE ")</f>
        <v>CABO VERDE </v>
      </c>
      <c r="B254" s="8">
        <f>IFERROR(__xludf.DUMMYFUNCTION("""COMPUTED_VALUE"""),8.0)</f>
        <v>8</v>
      </c>
      <c r="C254" s="7" t="str">
        <f>IFERROR(__xludf.DUMMYFUNCTION("""COMPUTED_VALUE"""),"B_01_05")</f>
        <v>B_01_05</v>
      </c>
      <c r="D254" s="7" t="str">
        <f>IFERROR(__xludf.DUMMYFUNCTION("""COMPUTED_VALUE"""),"Q34")</f>
        <v>Q34</v>
      </c>
      <c r="E254" s="7" t="str">
        <f>IFERROR(__xludf.DUMMYFUNCTION("""COMPUTED_VALUE"""),"Presidential two term limit vs no term limits")</f>
        <v>Presidential two term limit vs no term limits</v>
      </c>
      <c r="F254" s="7" t="str">
        <f>IFERROR(__xludf.DUMMYFUNCTION("""COMPUTED_VALUE"""),"President ")</f>
        <v>President </v>
      </c>
    </row>
    <row r="255">
      <c r="A255" s="7" t="str">
        <f>IFERROR(__xludf.DUMMYFUNCTION("""COMPUTED_VALUE"""),"CAMEROON")</f>
        <v>CAMEROON</v>
      </c>
      <c r="B255" s="8">
        <f>IFERROR(__xludf.DUMMYFUNCTION("""COMPUTED_VALUE"""),8.0)</f>
        <v>8</v>
      </c>
      <c r="C255" s="7" t="str">
        <f>IFERROR(__xludf.DUMMYFUNCTION("""COMPUTED_VALUE"""),"B_01_05")</f>
        <v>B_01_05</v>
      </c>
      <c r="D255" s="7" t="str">
        <f>IFERROR(__xludf.DUMMYFUNCTION("""COMPUTED_VALUE"""),"Q34")</f>
        <v>Q34</v>
      </c>
      <c r="E255" s="7" t="str">
        <f>IFERROR(__xludf.DUMMYFUNCTION("""COMPUTED_VALUE"""),"Presidential two term limit vs no term limits")</f>
        <v>Presidential two term limit vs no term limits</v>
      </c>
      <c r="F255" s="7" t="str">
        <f>IFERROR(__xludf.DUMMYFUNCTION("""COMPUTED_VALUE"""),"President")</f>
        <v>President</v>
      </c>
    </row>
    <row r="256">
      <c r="A256" s="7" t="str">
        <f>IFERROR(__xludf.DUMMYFUNCTION("""COMPUTED_VALUE"""),"ESWATINI")</f>
        <v>ESWATINI</v>
      </c>
      <c r="B256" s="8">
        <f>IFERROR(__xludf.DUMMYFUNCTION("""COMPUTED_VALUE"""),8.0)</f>
        <v>8</v>
      </c>
      <c r="C256" s="7" t="str">
        <f>IFERROR(__xludf.DUMMYFUNCTION("""COMPUTED_VALUE"""),"B_01_05")</f>
        <v>B_01_05</v>
      </c>
      <c r="D256" s="7" t="str">
        <f>IFERROR(__xludf.DUMMYFUNCTION("""COMPUTED_VALUE"""),"Q34")</f>
        <v>Q34</v>
      </c>
      <c r="E256" s="7" t="str">
        <f>IFERROR(__xludf.DUMMYFUNCTION("""COMPUTED_VALUE"""),"Presidential two term limit vs no term limits")</f>
        <v>Presidential two term limit vs no term limits</v>
      </c>
      <c r="F256" s="7" t="str">
        <f>IFERROR(__xludf.DUMMYFUNCTION("""COMPUTED_VALUE"""),"prime minister")</f>
        <v>prime minister</v>
      </c>
    </row>
    <row r="257">
      <c r="A257" s="7" t="str">
        <f>IFERROR(__xludf.DUMMYFUNCTION("""COMPUTED_VALUE"""),"ETHIOPIA")</f>
        <v>ETHIOPIA</v>
      </c>
      <c r="B257" s="8">
        <f>IFERROR(__xludf.DUMMYFUNCTION("""COMPUTED_VALUE"""),8.0)</f>
        <v>8</v>
      </c>
      <c r="C257" s="7" t="str">
        <f>IFERROR(__xludf.DUMMYFUNCTION("""COMPUTED_VALUE"""),"B_01_05")</f>
        <v>B_01_05</v>
      </c>
      <c r="D257" s="7" t="str">
        <f>IFERROR(__xludf.DUMMYFUNCTION("""COMPUTED_VALUE"""),"Q34")</f>
        <v>Q34</v>
      </c>
      <c r="E257" s="7" t="str">
        <f>IFERROR(__xludf.DUMMYFUNCTION("""COMPUTED_VALUE"""),"Presidential two term limit vs no term limits")</f>
        <v>Presidential two term limit vs no term limits</v>
      </c>
      <c r="F257" s="7" t="str">
        <f>IFERROR(__xludf.DUMMYFUNCTION("""COMPUTED_VALUE"""),"Prime Minister")</f>
        <v>Prime Minister</v>
      </c>
    </row>
    <row r="258">
      <c r="A258" s="7" t="str">
        <f>IFERROR(__xludf.DUMMYFUNCTION("""COMPUTED_VALUE"""),"GAMBIA")</f>
        <v>GAMBIA</v>
      </c>
      <c r="B258" s="8">
        <f>IFERROR(__xludf.DUMMYFUNCTION("""COMPUTED_VALUE"""),8.0)</f>
        <v>8</v>
      </c>
      <c r="C258" s="7" t="str">
        <f>IFERROR(__xludf.DUMMYFUNCTION("""COMPUTED_VALUE"""),"B_01_05")</f>
        <v>B_01_05</v>
      </c>
      <c r="D258" s="7" t="str">
        <f>IFERROR(__xludf.DUMMYFUNCTION("""COMPUTED_VALUE"""),"Q34")</f>
        <v>Q34</v>
      </c>
      <c r="E258" s="7" t="str">
        <f>IFERROR(__xludf.DUMMYFUNCTION("""COMPUTED_VALUE"""),"Presidential two term limit vs no term limits")</f>
        <v>Presidential two term limit vs no term limits</v>
      </c>
      <c r="F258" s="7" t="str">
        <f>IFERROR(__xludf.DUMMYFUNCTION("""COMPUTED_VALUE"""),"president")</f>
        <v>president</v>
      </c>
    </row>
    <row r="259">
      <c r="A259" s="7" t="str">
        <f>IFERROR(__xludf.DUMMYFUNCTION("""COMPUTED_VALUE"""),"BOTSWANA ")</f>
        <v>BOTSWANA </v>
      </c>
      <c r="B259" s="8">
        <f>IFERROR(__xludf.DUMMYFUNCTION("""COMPUTED_VALUE"""),8.0)</f>
        <v>8</v>
      </c>
      <c r="C259" s="7" t="str">
        <f>IFERROR(__xludf.DUMMYFUNCTION("""COMPUTED_VALUE"""),"A_01_16")</f>
        <v>A_01_16</v>
      </c>
      <c r="D259" s="7" t="str">
        <f>IFERROR(__xludf.DUMMYFUNCTION("""COMPUTED_VALUE"""),"Q36")</f>
        <v>Q36</v>
      </c>
      <c r="E259" s="7" t="str">
        <f>IFERROR(__xludf.DUMMYFUNCTION("""COMPUTED_VALUE"""),"Extent of democracy")</f>
        <v>Extent of democracy</v>
      </c>
      <c r="F259" s="7" t="str">
        <f>IFERROR(__xludf.DUMMYFUNCTION("""COMPUTED_VALUE"""),"Botswana")</f>
        <v>Botswana</v>
      </c>
    </row>
    <row r="260">
      <c r="A260" s="7" t="str">
        <f>IFERROR(__xludf.DUMMYFUNCTION("""COMPUTED_VALUE"""),"CABO VERDE ")</f>
        <v>CABO VERDE </v>
      </c>
      <c r="B260" s="8">
        <f>IFERROR(__xludf.DUMMYFUNCTION("""COMPUTED_VALUE"""),8.0)</f>
        <v>8</v>
      </c>
      <c r="C260" s="7" t="str">
        <f>IFERROR(__xludf.DUMMYFUNCTION("""COMPUTED_VALUE"""),"A_01_16")</f>
        <v>A_01_16</v>
      </c>
      <c r="D260" s="7" t="str">
        <f>IFERROR(__xludf.DUMMYFUNCTION("""COMPUTED_VALUE"""),"Q36")</f>
        <v>Q36</v>
      </c>
      <c r="E260" s="7" t="str">
        <f>IFERROR(__xludf.DUMMYFUNCTION("""COMPUTED_VALUE"""),"Extent of democracy")</f>
        <v>Extent of democracy</v>
      </c>
      <c r="F260" s="7" t="str">
        <f>IFERROR(__xludf.DUMMYFUNCTION("""COMPUTED_VALUE"""),"Cabo Verde")</f>
        <v>Cabo Verde</v>
      </c>
    </row>
    <row r="261">
      <c r="A261" s="7" t="str">
        <f>IFERROR(__xludf.DUMMYFUNCTION("""COMPUTED_VALUE"""),"CAMEROON")</f>
        <v>CAMEROON</v>
      </c>
      <c r="B261" s="8">
        <f>IFERROR(__xludf.DUMMYFUNCTION("""COMPUTED_VALUE"""),8.0)</f>
        <v>8</v>
      </c>
      <c r="C261" s="7" t="str">
        <f>IFERROR(__xludf.DUMMYFUNCTION("""COMPUTED_VALUE"""),"A_01_16")</f>
        <v>A_01_16</v>
      </c>
      <c r="D261" s="7" t="str">
        <f>IFERROR(__xludf.DUMMYFUNCTION("""COMPUTED_VALUE"""),"Q36")</f>
        <v>Q36</v>
      </c>
      <c r="E261" s="7" t="str">
        <f>IFERROR(__xludf.DUMMYFUNCTION("""COMPUTED_VALUE"""),"Extent of democracy")</f>
        <v>Extent of democracy</v>
      </c>
      <c r="F261" s="7" t="str">
        <f>IFERROR(__xludf.DUMMYFUNCTION("""COMPUTED_VALUE"""),"Cameroon ")</f>
        <v>Cameroon </v>
      </c>
    </row>
    <row r="262">
      <c r="A262" s="7" t="str">
        <f>IFERROR(__xludf.DUMMYFUNCTION("""COMPUTED_VALUE"""),"ESWATINI")</f>
        <v>ESWATINI</v>
      </c>
      <c r="B262" s="8">
        <f>IFERROR(__xludf.DUMMYFUNCTION("""COMPUTED_VALUE"""),8.0)</f>
        <v>8</v>
      </c>
      <c r="C262" s="7" t="str">
        <f>IFERROR(__xludf.DUMMYFUNCTION("""COMPUTED_VALUE"""),"A_01_16")</f>
        <v>A_01_16</v>
      </c>
      <c r="D262" s="7" t="str">
        <f>IFERROR(__xludf.DUMMYFUNCTION("""COMPUTED_VALUE"""),"Q36")</f>
        <v>Q36</v>
      </c>
      <c r="E262" s="7" t="str">
        <f>IFERROR(__xludf.DUMMYFUNCTION("""COMPUTED_VALUE"""),"Extent of democracy")</f>
        <v>Extent of democracy</v>
      </c>
      <c r="F262" s="7" t="str">
        <f>IFERROR(__xludf.DUMMYFUNCTION("""COMPUTED_VALUE"""),"Eswatini")</f>
        <v>Eswatini</v>
      </c>
    </row>
    <row r="263">
      <c r="A263" s="7" t="str">
        <f>IFERROR(__xludf.DUMMYFUNCTION("""COMPUTED_VALUE"""),"ETHIOPIA")</f>
        <v>ETHIOPIA</v>
      </c>
      <c r="B263" s="8">
        <f>IFERROR(__xludf.DUMMYFUNCTION("""COMPUTED_VALUE"""),8.0)</f>
        <v>8</v>
      </c>
      <c r="C263" s="7" t="str">
        <f>IFERROR(__xludf.DUMMYFUNCTION("""COMPUTED_VALUE"""),"A_01_16")</f>
        <v>A_01_16</v>
      </c>
      <c r="D263" s="7" t="str">
        <f>IFERROR(__xludf.DUMMYFUNCTION("""COMPUTED_VALUE"""),"Q36")</f>
        <v>Q36</v>
      </c>
      <c r="E263" s="7" t="str">
        <f>IFERROR(__xludf.DUMMYFUNCTION("""COMPUTED_VALUE"""),"Extent of democracy")</f>
        <v>Extent of democracy</v>
      </c>
      <c r="F263" s="7" t="str">
        <f>IFERROR(__xludf.DUMMYFUNCTION("""COMPUTED_VALUE"""),"Ethiopia")</f>
        <v>Ethiopia</v>
      </c>
    </row>
    <row r="264">
      <c r="A264" s="7" t="str">
        <f>IFERROR(__xludf.DUMMYFUNCTION("""COMPUTED_VALUE"""),"GAMBIA")</f>
        <v>GAMBIA</v>
      </c>
      <c r="B264" s="8">
        <f>IFERROR(__xludf.DUMMYFUNCTION("""COMPUTED_VALUE"""),8.0)</f>
        <v>8</v>
      </c>
      <c r="C264" s="7" t="str">
        <f>IFERROR(__xludf.DUMMYFUNCTION("""COMPUTED_VALUE"""),"A_01_16")</f>
        <v>A_01_16</v>
      </c>
      <c r="D264" s="7" t="str">
        <f>IFERROR(__xludf.DUMMYFUNCTION("""COMPUTED_VALUE"""),"Q36")</f>
        <v>Q36</v>
      </c>
      <c r="E264" s="7" t="str">
        <f>IFERROR(__xludf.DUMMYFUNCTION("""COMPUTED_VALUE"""),"Extent of democracy")</f>
        <v>Extent of democracy</v>
      </c>
      <c r="F264" s="7" t="str">
        <f>IFERROR(__xludf.DUMMYFUNCTION("""COMPUTED_VALUE"""),"Gambia")</f>
        <v>Gambia</v>
      </c>
    </row>
    <row r="265">
      <c r="A265" s="7" t="str">
        <f>IFERROR(__xludf.DUMMYFUNCTION("""COMPUTED_VALUE"""),"GHANA ")</f>
        <v>GHANA </v>
      </c>
      <c r="B265" s="8">
        <f>IFERROR(__xludf.DUMMYFUNCTION("""COMPUTED_VALUE"""),8.0)</f>
        <v>8</v>
      </c>
      <c r="C265" s="7" t="str">
        <f>IFERROR(__xludf.DUMMYFUNCTION("""COMPUTED_VALUE"""),"A_01_16")</f>
        <v>A_01_16</v>
      </c>
      <c r="D265" s="7" t="str">
        <f>IFERROR(__xludf.DUMMYFUNCTION("""COMPUTED_VALUE"""),"Q36")</f>
        <v>Q36</v>
      </c>
      <c r="E265" s="7" t="str">
        <f>IFERROR(__xludf.DUMMYFUNCTION("""COMPUTED_VALUE"""),"Extent of democracy")</f>
        <v>Extent of democracy</v>
      </c>
      <c r="F265" s="7" t="str">
        <f>IFERROR(__xludf.DUMMYFUNCTION("""COMPUTED_VALUE"""),"Ghana")</f>
        <v>Ghana</v>
      </c>
    </row>
    <row r="266">
      <c r="A266" s="7" t="str">
        <f>IFERROR(__xludf.DUMMYFUNCTION("""COMPUTED_VALUE"""),"KENYA  ")</f>
        <v>KENYA  </v>
      </c>
      <c r="B266" s="8">
        <f>IFERROR(__xludf.DUMMYFUNCTION("""COMPUTED_VALUE"""),8.0)</f>
        <v>8</v>
      </c>
      <c r="C266" s="7" t="str">
        <f>IFERROR(__xludf.DUMMYFUNCTION("""COMPUTED_VALUE"""),"A_01_16")</f>
        <v>A_01_16</v>
      </c>
      <c r="D266" s="7" t="str">
        <f>IFERROR(__xludf.DUMMYFUNCTION("""COMPUTED_VALUE"""),"Q36")</f>
        <v>Q36</v>
      </c>
      <c r="E266" s="7" t="str">
        <f>IFERROR(__xludf.DUMMYFUNCTION("""COMPUTED_VALUE"""),"Extent of democracy")</f>
        <v>Extent of democracy</v>
      </c>
      <c r="F266" s="7" t="str">
        <f>IFERROR(__xludf.DUMMYFUNCTION("""COMPUTED_VALUE"""),"Kenya")</f>
        <v>Kenya</v>
      </c>
    </row>
    <row r="267">
      <c r="A267" s="7" t="str">
        <f>IFERROR(__xludf.DUMMYFUNCTION("""COMPUTED_VALUE"""),"LESOTHO ")</f>
        <v>LESOTHO </v>
      </c>
      <c r="B267" s="8">
        <f>IFERROR(__xludf.DUMMYFUNCTION("""COMPUTED_VALUE"""),8.0)</f>
        <v>8</v>
      </c>
      <c r="C267" s="7" t="str">
        <f>IFERROR(__xludf.DUMMYFUNCTION("""COMPUTED_VALUE"""),"A_01_16")</f>
        <v>A_01_16</v>
      </c>
      <c r="D267" s="7" t="str">
        <f>IFERROR(__xludf.DUMMYFUNCTION("""COMPUTED_VALUE"""),"Q36")</f>
        <v>Q36</v>
      </c>
      <c r="E267" s="7" t="str">
        <f>IFERROR(__xludf.DUMMYFUNCTION("""COMPUTED_VALUE"""),"Extent of democracy")</f>
        <v>Extent of democracy</v>
      </c>
      <c r="F267" s="7" t="str">
        <f>IFERROR(__xludf.DUMMYFUNCTION("""COMPUTED_VALUE"""),"Lesotho")</f>
        <v>Lesotho</v>
      </c>
    </row>
    <row r="268">
      <c r="A268" s="7" t="str">
        <f>IFERROR(__xludf.DUMMYFUNCTION("""COMPUTED_VALUE"""),"LIBERIA  ")</f>
        <v>LIBERIA  </v>
      </c>
      <c r="B268" s="8">
        <f>IFERROR(__xludf.DUMMYFUNCTION("""COMPUTED_VALUE"""),8.0)</f>
        <v>8</v>
      </c>
      <c r="C268" s="7" t="str">
        <f>IFERROR(__xludf.DUMMYFUNCTION("""COMPUTED_VALUE"""),"A_01_16")</f>
        <v>A_01_16</v>
      </c>
      <c r="D268" s="7" t="str">
        <f>IFERROR(__xludf.DUMMYFUNCTION("""COMPUTED_VALUE"""),"Q36")</f>
        <v>Q36</v>
      </c>
      <c r="E268" s="7" t="str">
        <f>IFERROR(__xludf.DUMMYFUNCTION("""COMPUTED_VALUE"""),"Extent of democracy")</f>
        <v>Extent of democracy</v>
      </c>
      <c r="F268" s="7" t="str">
        <f>IFERROR(__xludf.DUMMYFUNCTION("""COMPUTED_VALUE"""),"Liberia")</f>
        <v>Liberia</v>
      </c>
    </row>
    <row r="269">
      <c r="A269" s="7" t="str">
        <f>IFERROR(__xludf.DUMMYFUNCTION("""COMPUTED_VALUE"""),"MALAWI ")</f>
        <v>MALAWI </v>
      </c>
      <c r="B269" s="8">
        <f>IFERROR(__xludf.DUMMYFUNCTION("""COMPUTED_VALUE"""),8.0)</f>
        <v>8</v>
      </c>
      <c r="C269" s="7" t="str">
        <f>IFERROR(__xludf.DUMMYFUNCTION("""COMPUTED_VALUE"""),"A_01_16")</f>
        <v>A_01_16</v>
      </c>
      <c r="D269" s="7" t="str">
        <f>IFERROR(__xludf.DUMMYFUNCTION("""COMPUTED_VALUE"""),"Q36")</f>
        <v>Q36</v>
      </c>
      <c r="E269" s="7" t="str">
        <f>IFERROR(__xludf.DUMMYFUNCTION("""COMPUTED_VALUE"""),"Extent of democracy")</f>
        <v>Extent of democracy</v>
      </c>
      <c r="F269" s="7" t="str">
        <f>IFERROR(__xludf.DUMMYFUNCTION("""COMPUTED_VALUE"""),"Malawi")</f>
        <v>Malawi</v>
      </c>
    </row>
    <row r="270">
      <c r="A270" s="7" t="str">
        <f>IFERROR(__xludf.DUMMYFUNCTION("""COMPUTED_VALUE"""),"MOROCCO ")</f>
        <v>MOROCCO </v>
      </c>
      <c r="B270" s="8">
        <f>IFERROR(__xludf.DUMMYFUNCTION("""COMPUTED_VALUE"""),8.0)</f>
        <v>8</v>
      </c>
      <c r="C270" s="7" t="str">
        <f>IFERROR(__xludf.DUMMYFUNCTION("""COMPUTED_VALUE"""),"A_01_16")</f>
        <v>A_01_16</v>
      </c>
      <c r="D270" s="7" t="str">
        <f>IFERROR(__xludf.DUMMYFUNCTION("""COMPUTED_VALUE"""),"Q36")</f>
        <v>Q36</v>
      </c>
      <c r="E270" s="7" t="str">
        <f>IFERROR(__xludf.DUMMYFUNCTION("""COMPUTED_VALUE"""),"Extent of democracy")</f>
        <v>Extent of democracy</v>
      </c>
      <c r="F270" s="7" t="str">
        <f>IFERROR(__xludf.DUMMYFUNCTION("""COMPUTED_VALUE"""),"Morocco")</f>
        <v>Morocco</v>
      </c>
    </row>
    <row r="271">
      <c r="A271" s="7" t="str">
        <f>IFERROR(__xludf.DUMMYFUNCTION("""COMPUTED_VALUE"""),"MOZAMBIQUE")</f>
        <v>MOZAMBIQUE</v>
      </c>
      <c r="B271" s="8">
        <f>IFERROR(__xludf.DUMMYFUNCTION("""COMPUTED_VALUE"""),8.0)</f>
        <v>8</v>
      </c>
      <c r="C271" s="7" t="str">
        <f>IFERROR(__xludf.DUMMYFUNCTION("""COMPUTED_VALUE"""),"A_01_16")</f>
        <v>A_01_16</v>
      </c>
      <c r="D271" s="7" t="str">
        <f>IFERROR(__xludf.DUMMYFUNCTION("""COMPUTED_VALUE"""),"Q36")</f>
        <v>Q36</v>
      </c>
      <c r="E271" s="7" t="str">
        <f>IFERROR(__xludf.DUMMYFUNCTION("""COMPUTED_VALUE"""),"Extent of democracy")</f>
        <v>Extent of democracy</v>
      </c>
      <c r="F271" s="7" t="str">
        <f>IFERROR(__xludf.DUMMYFUNCTION("""COMPUTED_VALUE"""),"Mozambique")</f>
        <v>Mozambique</v>
      </c>
    </row>
    <row r="272">
      <c r="A272" s="7" t="str">
        <f>IFERROR(__xludf.DUMMYFUNCTION("""COMPUTED_VALUE"""),"NAMIBIA ")</f>
        <v>NAMIBIA </v>
      </c>
      <c r="B272" s="8">
        <f>IFERROR(__xludf.DUMMYFUNCTION("""COMPUTED_VALUE"""),8.0)</f>
        <v>8</v>
      </c>
      <c r="C272" s="7" t="str">
        <f>IFERROR(__xludf.DUMMYFUNCTION("""COMPUTED_VALUE"""),"A_01_16")</f>
        <v>A_01_16</v>
      </c>
      <c r="D272" s="7" t="str">
        <f>IFERROR(__xludf.DUMMYFUNCTION("""COMPUTED_VALUE"""),"Q36")</f>
        <v>Q36</v>
      </c>
      <c r="E272" s="7" t="str">
        <f>IFERROR(__xludf.DUMMYFUNCTION("""COMPUTED_VALUE"""),"Extent of democracy")</f>
        <v>Extent of democracy</v>
      </c>
      <c r="F272" s="7" t="str">
        <f>IFERROR(__xludf.DUMMYFUNCTION("""COMPUTED_VALUE"""),"Namibia")</f>
        <v>Namibia</v>
      </c>
    </row>
    <row r="273">
      <c r="A273" s="7" t="str">
        <f>IFERROR(__xludf.DUMMYFUNCTION("""COMPUTED_VALUE"""),"NIGERIA ")</f>
        <v>NIGERIA </v>
      </c>
      <c r="B273" s="8">
        <f>IFERROR(__xludf.DUMMYFUNCTION("""COMPUTED_VALUE"""),8.0)</f>
        <v>8</v>
      </c>
      <c r="C273" s="7" t="str">
        <f>IFERROR(__xludf.DUMMYFUNCTION("""COMPUTED_VALUE"""),"A_01_16")</f>
        <v>A_01_16</v>
      </c>
      <c r="D273" s="7" t="str">
        <f>IFERROR(__xludf.DUMMYFUNCTION("""COMPUTED_VALUE"""),"Q36")</f>
        <v>Q36</v>
      </c>
      <c r="E273" s="7" t="str">
        <f>IFERROR(__xludf.DUMMYFUNCTION("""COMPUTED_VALUE"""),"Extent of democracy")</f>
        <v>Extent of democracy</v>
      </c>
      <c r="F273" s="7" t="str">
        <f>IFERROR(__xludf.DUMMYFUNCTION("""COMPUTED_VALUE"""),"Nigeria")</f>
        <v>Nigeria</v>
      </c>
    </row>
    <row r="274">
      <c r="A274" s="7" t="str">
        <f>IFERROR(__xludf.DUMMYFUNCTION("""COMPUTED_VALUE"""),"SIERRA LEONE")</f>
        <v>SIERRA LEONE</v>
      </c>
      <c r="B274" s="8">
        <f>IFERROR(__xludf.DUMMYFUNCTION("""COMPUTED_VALUE"""),8.0)</f>
        <v>8</v>
      </c>
      <c r="C274" s="7" t="str">
        <f>IFERROR(__xludf.DUMMYFUNCTION("""COMPUTED_VALUE"""),"A_01_16")</f>
        <v>A_01_16</v>
      </c>
      <c r="D274" s="7" t="str">
        <f>IFERROR(__xludf.DUMMYFUNCTION("""COMPUTED_VALUE"""),"Q36")</f>
        <v>Q36</v>
      </c>
      <c r="E274" s="7" t="str">
        <f>IFERROR(__xludf.DUMMYFUNCTION("""COMPUTED_VALUE"""),"Extent of democracy")</f>
        <v>Extent of democracy</v>
      </c>
      <c r="F274" s="7" t="str">
        <f>IFERROR(__xludf.DUMMYFUNCTION("""COMPUTED_VALUE"""),"Sierra Leone")</f>
        <v>Sierra Leone</v>
      </c>
    </row>
    <row r="275">
      <c r="A275" s="7" t="str">
        <f>IFERROR(__xludf.DUMMYFUNCTION("""COMPUTED_VALUE"""),"SOUTH AFRICA")</f>
        <v>SOUTH AFRICA</v>
      </c>
      <c r="B275" s="8">
        <f>IFERROR(__xludf.DUMMYFUNCTION("""COMPUTED_VALUE"""),8.0)</f>
        <v>8</v>
      </c>
      <c r="C275" s="7" t="str">
        <f>IFERROR(__xludf.DUMMYFUNCTION("""COMPUTED_VALUE"""),"A_01_16")</f>
        <v>A_01_16</v>
      </c>
      <c r="D275" s="7" t="str">
        <f>IFERROR(__xludf.DUMMYFUNCTION("""COMPUTED_VALUE"""),"Q36")</f>
        <v>Q36</v>
      </c>
      <c r="E275" s="7" t="str">
        <f>IFERROR(__xludf.DUMMYFUNCTION("""COMPUTED_VALUE"""),"Extent of democracy")</f>
        <v>Extent of democracy</v>
      </c>
      <c r="F275" s="7" t="str">
        <f>IFERROR(__xludf.DUMMYFUNCTION("""COMPUTED_VALUE"""),"South Africa")</f>
        <v>South Africa</v>
      </c>
    </row>
    <row r="276">
      <c r="A276" s="7" t="str">
        <f>IFERROR(__xludf.DUMMYFUNCTION("""COMPUTED_VALUE"""),"SUDAN")</f>
        <v>SUDAN</v>
      </c>
      <c r="B276" s="8">
        <f>IFERROR(__xludf.DUMMYFUNCTION("""COMPUTED_VALUE"""),8.0)</f>
        <v>8</v>
      </c>
      <c r="C276" s="7" t="str">
        <f>IFERROR(__xludf.DUMMYFUNCTION("""COMPUTED_VALUE"""),"A_01_16")</f>
        <v>A_01_16</v>
      </c>
      <c r="D276" s="7" t="str">
        <f>IFERROR(__xludf.DUMMYFUNCTION("""COMPUTED_VALUE"""),"Q36")</f>
        <v>Q36</v>
      </c>
      <c r="E276" s="7" t="str">
        <f>IFERROR(__xludf.DUMMYFUNCTION("""COMPUTED_VALUE"""),"Extent of democracy")</f>
        <v>Extent of democracy</v>
      </c>
      <c r="F276" s="7" t="str">
        <f>IFERROR(__xludf.DUMMYFUNCTION("""COMPUTED_VALUE"""),"Sudan")</f>
        <v>Sudan</v>
      </c>
    </row>
    <row r="277">
      <c r="A277" s="7" t="str">
        <f>IFERROR(__xludf.DUMMYFUNCTION("""COMPUTED_VALUE"""),"TANZANIA")</f>
        <v>TANZANIA</v>
      </c>
      <c r="B277" s="8">
        <f>IFERROR(__xludf.DUMMYFUNCTION("""COMPUTED_VALUE"""),8.0)</f>
        <v>8</v>
      </c>
      <c r="C277" s="7" t="str">
        <f>IFERROR(__xludf.DUMMYFUNCTION("""COMPUTED_VALUE"""),"A_01_16")</f>
        <v>A_01_16</v>
      </c>
      <c r="D277" s="7" t="str">
        <f>IFERROR(__xludf.DUMMYFUNCTION("""COMPUTED_VALUE"""),"Q36")</f>
        <v>Q36</v>
      </c>
      <c r="E277" s="7" t="str">
        <f>IFERROR(__xludf.DUMMYFUNCTION("""COMPUTED_VALUE"""),"Extent of democracy")</f>
        <v>Extent of democracy</v>
      </c>
      <c r="F277" s="7" t="str">
        <f>IFERROR(__xludf.DUMMYFUNCTION("""COMPUTED_VALUE"""),"Tanzania")</f>
        <v>Tanzania</v>
      </c>
    </row>
    <row r="278">
      <c r="A278" s="7" t="str">
        <f>IFERROR(__xludf.DUMMYFUNCTION("""COMPUTED_VALUE"""),"TUNISIA ")</f>
        <v>TUNISIA </v>
      </c>
      <c r="B278" s="8">
        <f>IFERROR(__xludf.DUMMYFUNCTION("""COMPUTED_VALUE"""),8.0)</f>
        <v>8</v>
      </c>
      <c r="C278" s="7" t="str">
        <f>IFERROR(__xludf.DUMMYFUNCTION("""COMPUTED_VALUE"""),"A_01_16")</f>
        <v>A_01_16</v>
      </c>
      <c r="D278" s="7" t="str">
        <f>IFERROR(__xludf.DUMMYFUNCTION("""COMPUTED_VALUE"""),"Q36")</f>
        <v>Q36</v>
      </c>
      <c r="E278" s="7" t="str">
        <f>IFERROR(__xludf.DUMMYFUNCTION("""COMPUTED_VALUE"""),"Extent of democracy")</f>
        <v>Extent of democracy</v>
      </c>
      <c r="F278" s="7" t="str">
        <f>IFERROR(__xludf.DUMMYFUNCTION("""COMPUTED_VALUE"""),"Tunisia")</f>
        <v>Tunisia</v>
      </c>
    </row>
    <row r="279">
      <c r="A279" s="7" t="str">
        <f>IFERROR(__xludf.DUMMYFUNCTION("""COMPUTED_VALUE"""),"UGANDA  ")</f>
        <v>UGANDA  </v>
      </c>
      <c r="B279" s="8">
        <f>IFERROR(__xludf.DUMMYFUNCTION("""COMPUTED_VALUE"""),8.0)</f>
        <v>8</v>
      </c>
      <c r="C279" s="7" t="str">
        <f>IFERROR(__xludf.DUMMYFUNCTION("""COMPUTED_VALUE"""),"A_01_16")</f>
        <v>A_01_16</v>
      </c>
      <c r="D279" s="7" t="str">
        <f>IFERROR(__xludf.DUMMYFUNCTION("""COMPUTED_VALUE"""),"Q36")</f>
        <v>Q36</v>
      </c>
      <c r="E279" s="7" t="str">
        <f>IFERROR(__xludf.DUMMYFUNCTION("""COMPUTED_VALUE"""),"Extent of democracy")</f>
        <v>Extent of democracy</v>
      </c>
      <c r="F279" s="7" t="str">
        <f>IFERROR(__xludf.DUMMYFUNCTION("""COMPUTED_VALUE"""),"Uganda")</f>
        <v>Uganda</v>
      </c>
    </row>
    <row r="280">
      <c r="A280" s="7" t="str">
        <f>IFERROR(__xludf.DUMMYFUNCTION("""COMPUTED_VALUE"""),"ZAMBIA")</f>
        <v>ZAMBIA</v>
      </c>
      <c r="B280" s="8">
        <f>IFERROR(__xludf.DUMMYFUNCTION("""COMPUTED_VALUE"""),8.0)</f>
        <v>8</v>
      </c>
      <c r="C280" s="7" t="str">
        <f>IFERROR(__xludf.DUMMYFUNCTION("""COMPUTED_VALUE"""),"A_01_16")</f>
        <v>A_01_16</v>
      </c>
      <c r="D280" s="7" t="str">
        <f>IFERROR(__xludf.DUMMYFUNCTION("""COMPUTED_VALUE"""),"Q36")</f>
        <v>Q36</v>
      </c>
      <c r="E280" s="7" t="str">
        <f>IFERROR(__xludf.DUMMYFUNCTION("""COMPUTED_VALUE"""),"Extent of democracy")</f>
        <v>Extent of democracy</v>
      </c>
      <c r="F280" s="7" t="str">
        <f>IFERROR(__xludf.DUMMYFUNCTION("""COMPUTED_VALUE"""),"Zambia")</f>
        <v>Zambia</v>
      </c>
    </row>
    <row r="281">
      <c r="A281" s="7" t="str">
        <f>IFERROR(__xludf.DUMMYFUNCTION("""COMPUTED_VALUE"""),"ZIMBABWE")</f>
        <v>ZIMBABWE</v>
      </c>
      <c r="B281" s="8">
        <f>IFERROR(__xludf.DUMMYFUNCTION("""COMPUTED_VALUE"""),8.0)</f>
        <v>8</v>
      </c>
      <c r="C281" s="7" t="str">
        <f>IFERROR(__xludf.DUMMYFUNCTION("""COMPUTED_VALUE"""),"A_01_16")</f>
        <v>A_01_16</v>
      </c>
      <c r="D281" s="7" t="str">
        <f>IFERROR(__xludf.DUMMYFUNCTION("""COMPUTED_VALUE"""),"Q36")</f>
        <v>Q36</v>
      </c>
      <c r="E281" s="7" t="str">
        <f>IFERROR(__xludf.DUMMYFUNCTION("""COMPUTED_VALUE"""),"Extent of democracy")</f>
        <v>Extent of democracy</v>
      </c>
      <c r="F281" s="7" t="str">
        <f>IFERROR(__xludf.DUMMYFUNCTION("""COMPUTED_VALUE"""),"Zimbabwe")</f>
        <v>Zimbabwe</v>
      </c>
    </row>
    <row r="282">
      <c r="A282" s="7" t="str">
        <f>IFERROR(__xludf.DUMMYFUNCTION("""COMPUTED_VALUE"""),"BOTSWANA ")</f>
        <v>BOTSWANA </v>
      </c>
      <c r="B282" s="8">
        <f>IFERROR(__xludf.DUMMYFUNCTION("""COMPUTED_VALUE"""),8.0)</f>
        <v>8</v>
      </c>
      <c r="C282" s="7" t="str">
        <f>IFERROR(__xludf.DUMMYFUNCTION("""COMPUTED_VALUE"""),"A_01_42")</f>
        <v>A_01_42</v>
      </c>
      <c r="D282" s="7" t="str">
        <f>IFERROR(__xludf.DUMMYFUNCTION("""COMPUTED_VALUE"""),"Q37")</f>
        <v>Q37</v>
      </c>
      <c r="E282" s="7" t="str">
        <f>IFERROR(__xludf.DUMMYFUNCTION("""COMPUTED_VALUE"""),"Satisfaction with democracy")</f>
        <v>Satisfaction with democracy</v>
      </c>
      <c r="F282" s="7" t="str">
        <f>IFERROR(__xludf.DUMMYFUNCTION("""COMPUTED_VALUE"""),"Botswana")</f>
        <v>Botswana</v>
      </c>
    </row>
    <row r="283">
      <c r="A283" s="7" t="str">
        <f>IFERROR(__xludf.DUMMYFUNCTION("""COMPUTED_VALUE"""),"CABO VERDE ")</f>
        <v>CABO VERDE </v>
      </c>
      <c r="B283" s="8">
        <f>IFERROR(__xludf.DUMMYFUNCTION("""COMPUTED_VALUE"""),8.0)</f>
        <v>8</v>
      </c>
      <c r="C283" s="7" t="str">
        <f>IFERROR(__xludf.DUMMYFUNCTION("""COMPUTED_VALUE"""),"A_01_42")</f>
        <v>A_01_42</v>
      </c>
      <c r="D283" s="7" t="str">
        <f>IFERROR(__xludf.DUMMYFUNCTION("""COMPUTED_VALUE"""),"Q37")</f>
        <v>Q37</v>
      </c>
      <c r="E283" s="7" t="str">
        <f>IFERROR(__xludf.DUMMYFUNCTION("""COMPUTED_VALUE"""),"Satisfaction with democracy")</f>
        <v>Satisfaction with democracy</v>
      </c>
      <c r="F283" s="7" t="str">
        <f>IFERROR(__xludf.DUMMYFUNCTION("""COMPUTED_VALUE"""),"Cabo Verde")</f>
        <v>Cabo Verde</v>
      </c>
    </row>
    <row r="284">
      <c r="A284" s="7" t="str">
        <f>IFERROR(__xludf.DUMMYFUNCTION("""COMPUTED_VALUE"""),"CAMEROON")</f>
        <v>CAMEROON</v>
      </c>
      <c r="B284" s="8">
        <f>IFERROR(__xludf.DUMMYFUNCTION("""COMPUTED_VALUE"""),8.0)</f>
        <v>8</v>
      </c>
      <c r="C284" s="7" t="str">
        <f>IFERROR(__xludf.DUMMYFUNCTION("""COMPUTED_VALUE"""),"A_01_42")</f>
        <v>A_01_42</v>
      </c>
      <c r="D284" s="7" t="str">
        <f>IFERROR(__xludf.DUMMYFUNCTION("""COMPUTED_VALUE"""),"Q37")</f>
        <v>Q37</v>
      </c>
      <c r="E284" s="7" t="str">
        <f>IFERROR(__xludf.DUMMYFUNCTION("""COMPUTED_VALUE"""),"Satisfaction with democracy")</f>
        <v>Satisfaction with democracy</v>
      </c>
      <c r="F284" s="7" t="str">
        <f>IFERROR(__xludf.DUMMYFUNCTION("""COMPUTED_VALUE"""),"Cameroon")</f>
        <v>Cameroon</v>
      </c>
    </row>
    <row r="285">
      <c r="A285" s="7" t="str">
        <f>IFERROR(__xludf.DUMMYFUNCTION("""COMPUTED_VALUE"""),"ESWATINI")</f>
        <v>ESWATINI</v>
      </c>
      <c r="B285" s="8">
        <f>IFERROR(__xludf.DUMMYFUNCTION("""COMPUTED_VALUE"""),8.0)</f>
        <v>8</v>
      </c>
      <c r="C285" s="7" t="str">
        <f>IFERROR(__xludf.DUMMYFUNCTION("""COMPUTED_VALUE"""),"A_01_42")</f>
        <v>A_01_42</v>
      </c>
      <c r="D285" s="7" t="str">
        <f>IFERROR(__xludf.DUMMYFUNCTION("""COMPUTED_VALUE"""),"Q37")</f>
        <v>Q37</v>
      </c>
      <c r="E285" s="7" t="str">
        <f>IFERROR(__xludf.DUMMYFUNCTION("""COMPUTED_VALUE"""),"Satisfaction with democracy")</f>
        <v>Satisfaction with democracy</v>
      </c>
      <c r="F285" s="7" t="str">
        <f>IFERROR(__xludf.DUMMYFUNCTION("""COMPUTED_VALUE"""),"Eswatini")</f>
        <v>Eswatini</v>
      </c>
    </row>
    <row r="286">
      <c r="A286" s="7" t="str">
        <f>IFERROR(__xludf.DUMMYFUNCTION("""COMPUTED_VALUE"""),"ETHIOPIA")</f>
        <v>ETHIOPIA</v>
      </c>
      <c r="B286" s="8">
        <f>IFERROR(__xludf.DUMMYFUNCTION("""COMPUTED_VALUE"""),8.0)</f>
        <v>8</v>
      </c>
      <c r="C286" s="7" t="str">
        <f>IFERROR(__xludf.DUMMYFUNCTION("""COMPUTED_VALUE"""),"A_01_42")</f>
        <v>A_01_42</v>
      </c>
      <c r="D286" s="7" t="str">
        <f>IFERROR(__xludf.DUMMYFUNCTION("""COMPUTED_VALUE"""),"Q37")</f>
        <v>Q37</v>
      </c>
      <c r="E286" s="7" t="str">
        <f>IFERROR(__xludf.DUMMYFUNCTION("""COMPUTED_VALUE"""),"Satisfaction with democracy")</f>
        <v>Satisfaction with democracy</v>
      </c>
      <c r="F286" s="7" t="str">
        <f>IFERROR(__xludf.DUMMYFUNCTION("""COMPUTED_VALUE"""),"Ethiopia")</f>
        <v>Ethiopia</v>
      </c>
    </row>
    <row r="287">
      <c r="A287" s="7" t="str">
        <f>IFERROR(__xludf.DUMMYFUNCTION("""COMPUTED_VALUE"""),"GAMBIA")</f>
        <v>GAMBIA</v>
      </c>
      <c r="B287" s="8">
        <f>IFERROR(__xludf.DUMMYFUNCTION("""COMPUTED_VALUE"""),8.0)</f>
        <v>8</v>
      </c>
      <c r="C287" s="7" t="str">
        <f>IFERROR(__xludf.DUMMYFUNCTION("""COMPUTED_VALUE"""),"A_01_42")</f>
        <v>A_01_42</v>
      </c>
      <c r="D287" s="7" t="str">
        <f>IFERROR(__xludf.DUMMYFUNCTION("""COMPUTED_VALUE"""),"Q37")</f>
        <v>Q37</v>
      </c>
      <c r="E287" s="7" t="str">
        <f>IFERROR(__xludf.DUMMYFUNCTION("""COMPUTED_VALUE"""),"Satisfaction with democracy")</f>
        <v>Satisfaction with democracy</v>
      </c>
      <c r="F287" s="7" t="str">
        <f>IFERROR(__xludf.DUMMYFUNCTION("""COMPUTED_VALUE"""),"Gambia")</f>
        <v>Gambia</v>
      </c>
    </row>
    <row r="288">
      <c r="A288" s="7" t="str">
        <f>IFERROR(__xludf.DUMMYFUNCTION("""COMPUTED_VALUE"""),"GHANA ")</f>
        <v>GHANA </v>
      </c>
      <c r="B288" s="8">
        <f>IFERROR(__xludf.DUMMYFUNCTION("""COMPUTED_VALUE"""),8.0)</f>
        <v>8</v>
      </c>
      <c r="C288" s="7" t="str">
        <f>IFERROR(__xludf.DUMMYFUNCTION("""COMPUTED_VALUE"""),"A_01_42")</f>
        <v>A_01_42</v>
      </c>
      <c r="D288" s="7" t="str">
        <f>IFERROR(__xludf.DUMMYFUNCTION("""COMPUTED_VALUE"""),"Q37")</f>
        <v>Q37</v>
      </c>
      <c r="E288" s="7" t="str">
        <f>IFERROR(__xludf.DUMMYFUNCTION("""COMPUTED_VALUE"""),"Satisfaction with democracy")</f>
        <v>Satisfaction with democracy</v>
      </c>
      <c r="F288" s="7" t="str">
        <f>IFERROR(__xludf.DUMMYFUNCTION("""COMPUTED_VALUE"""),"Ghana")</f>
        <v>Ghana</v>
      </c>
    </row>
    <row r="289">
      <c r="A289" s="7" t="str">
        <f>IFERROR(__xludf.DUMMYFUNCTION("""COMPUTED_VALUE"""),"KENYA  ")</f>
        <v>KENYA  </v>
      </c>
      <c r="B289" s="8">
        <f>IFERROR(__xludf.DUMMYFUNCTION("""COMPUTED_VALUE"""),8.0)</f>
        <v>8</v>
      </c>
      <c r="C289" s="7" t="str">
        <f>IFERROR(__xludf.DUMMYFUNCTION("""COMPUTED_VALUE"""),"A_01_42")</f>
        <v>A_01_42</v>
      </c>
      <c r="D289" s="7" t="str">
        <f>IFERROR(__xludf.DUMMYFUNCTION("""COMPUTED_VALUE"""),"Q37")</f>
        <v>Q37</v>
      </c>
      <c r="E289" s="7" t="str">
        <f>IFERROR(__xludf.DUMMYFUNCTION("""COMPUTED_VALUE"""),"Satisfaction with democracy")</f>
        <v>Satisfaction with democracy</v>
      </c>
      <c r="F289" s="7" t="str">
        <f>IFERROR(__xludf.DUMMYFUNCTION("""COMPUTED_VALUE"""),"Kenya")</f>
        <v>Kenya</v>
      </c>
    </row>
    <row r="290">
      <c r="A290" s="7" t="str">
        <f>IFERROR(__xludf.DUMMYFUNCTION("""COMPUTED_VALUE"""),"LESOTHO ")</f>
        <v>LESOTHO </v>
      </c>
      <c r="B290" s="8">
        <f>IFERROR(__xludf.DUMMYFUNCTION("""COMPUTED_VALUE"""),8.0)</f>
        <v>8</v>
      </c>
      <c r="C290" s="7" t="str">
        <f>IFERROR(__xludf.DUMMYFUNCTION("""COMPUTED_VALUE"""),"A_01_42")</f>
        <v>A_01_42</v>
      </c>
      <c r="D290" s="7" t="str">
        <f>IFERROR(__xludf.DUMMYFUNCTION("""COMPUTED_VALUE"""),"Q37")</f>
        <v>Q37</v>
      </c>
      <c r="E290" s="7" t="str">
        <f>IFERROR(__xludf.DUMMYFUNCTION("""COMPUTED_VALUE"""),"Satisfaction with democracy")</f>
        <v>Satisfaction with democracy</v>
      </c>
      <c r="F290" s="7" t="str">
        <f>IFERROR(__xludf.DUMMYFUNCTION("""COMPUTED_VALUE"""),"Lesotho")</f>
        <v>Lesotho</v>
      </c>
    </row>
    <row r="291">
      <c r="A291" s="7" t="str">
        <f>IFERROR(__xludf.DUMMYFUNCTION("""COMPUTED_VALUE"""),"LIBERIA  ")</f>
        <v>LIBERIA  </v>
      </c>
      <c r="B291" s="8">
        <f>IFERROR(__xludf.DUMMYFUNCTION("""COMPUTED_VALUE"""),8.0)</f>
        <v>8</v>
      </c>
      <c r="C291" s="7" t="str">
        <f>IFERROR(__xludf.DUMMYFUNCTION("""COMPUTED_VALUE"""),"A_01_42")</f>
        <v>A_01_42</v>
      </c>
      <c r="D291" s="7" t="str">
        <f>IFERROR(__xludf.DUMMYFUNCTION("""COMPUTED_VALUE"""),"Q37")</f>
        <v>Q37</v>
      </c>
      <c r="E291" s="7" t="str">
        <f>IFERROR(__xludf.DUMMYFUNCTION("""COMPUTED_VALUE"""),"Satisfaction with democracy")</f>
        <v>Satisfaction with democracy</v>
      </c>
      <c r="F291" s="7" t="str">
        <f>IFERROR(__xludf.DUMMYFUNCTION("""COMPUTED_VALUE"""),"Liberia")</f>
        <v>Liberia</v>
      </c>
    </row>
    <row r="292">
      <c r="A292" s="7" t="str">
        <f>IFERROR(__xludf.DUMMYFUNCTION("""COMPUTED_VALUE"""),"MALAWI ")</f>
        <v>MALAWI </v>
      </c>
      <c r="B292" s="8">
        <f>IFERROR(__xludf.DUMMYFUNCTION("""COMPUTED_VALUE"""),8.0)</f>
        <v>8</v>
      </c>
      <c r="C292" s="7" t="str">
        <f>IFERROR(__xludf.DUMMYFUNCTION("""COMPUTED_VALUE"""),"A_01_42")</f>
        <v>A_01_42</v>
      </c>
      <c r="D292" s="7" t="str">
        <f>IFERROR(__xludf.DUMMYFUNCTION("""COMPUTED_VALUE"""),"Q37")</f>
        <v>Q37</v>
      </c>
      <c r="E292" s="7" t="str">
        <f>IFERROR(__xludf.DUMMYFUNCTION("""COMPUTED_VALUE"""),"Satisfaction with democracy")</f>
        <v>Satisfaction with democracy</v>
      </c>
      <c r="F292" s="7" t="str">
        <f>IFERROR(__xludf.DUMMYFUNCTION("""COMPUTED_VALUE"""),"Malawi")</f>
        <v>Malawi</v>
      </c>
    </row>
    <row r="293">
      <c r="A293" s="7" t="str">
        <f>IFERROR(__xludf.DUMMYFUNCTION("""COMPUTED_VALUE"""),"MOROCCO ")</f>
        <v>MOROCCO </v>
      </c>
      <c r="B293" s="8">
        <f>IFERROR(__xludf.DUMMYFUNCTION("""COMPUTED_VALUE"""),8.0)</f>
        <v>8</v>
      </c>
      <c r="C293" s="7" t="str">
        <f>IFERROR(__xludf.DUMMYFUNCTION("""COMPUTED_VALUE"""),"A_01_42")</f>
        <v>A_01_42</v>
      </c>
      <c r="D293" s="7" t="str">
        <f>IFERROR(__xludf.DUMMYFUNCTION("""COMPUTED_VALUE"""),"Q37")</f>
        <v>Q37</v>
      </c>
      <c r="E293" s="7" t="str">
        <f>IFERROR(__xludf.DUMMYFUNCTION("""COMPUTED_VALUE"""),"Satisfaction with democracy")</f>
        <v>Satisfaction with democracy</v>
      </c>
      <c r="F293" s="7" t="str">
        <f>IFERROR(__xludf.DUMMYFUNCTION("""COMPUTED_VALUE"""),"Morocco")</f>
        <v>Morocco</v>
      </c>
    </row>
    <row r="294">
      <c r="A294" s="7" t="str">
        <f>IFERROR(__xludf.DUMMYFUNCTION("""COMPUTED_VALUE"""),"MOZAMBIQUE")</f>
        <v>MOZAMBIQUE</v>
      </c>
      <c r="B294" s="8">
        <f>IFERROR(__xludf.DUMMYFUNCTION("""COMPUTED_VALUE"""),8.0)</f>
        <v>8</v>
      </c>
      <c r="C294" s="7" t="str">
        <f>IFERROR(__xludf.DUMMYFUNCTION("""COMPUTED_VALUE"""),"A_01_42")</f>
        <v>A_01_42</v>
      </c>
      <c r="D294" s="7" t="str">
        <f>IFERROR(__xludf.DUMMYFUNCTION("""COMPUTED_VALUE"""),"Q37")</f>
        <v>Q37</v>
      </c>
      <c r="E294" s="7" t="str">
        <f>IFERROR(__xludf.DUMMYFUNCTION("""COMPUTED_VALUE"""),"Satisfaction with democracy")</f>
        <v>Satisfaction with democracy</v>
      </c>
      <c r="F294" s="7" t="str">
        <f>IFERROR(__xludf.DUMMYFUNCTION("""COMPUTED_VALUE"""),"Mozambique")</f>
        <v>Mozambique</v>
      </c>
    </row>
    <row r="295">
      <c r="A295" s="7" t="str">
        <f>IFERROR(__xludf.DUMMYFUNCTION("""COMPUTED_VALUE"""),"NAMIBIA ")</f>
        <v>NAMIBIA </v>
      </c>
      <c r="B295" s="8">
        <f>IFERROR(__xludf.DUMMYFUNCTION("""COMPUTED_VALUE"""),8.0)</f>
        <v>8</v>
      </c>
      <c r="C295" s="7" t="str">
        <f>IFERROR(__xludf.DUMMYFUNCTION("""COMPUTED_VALUE"""),"A_01_42")</f>
        <v>A_01_42</v>
      </c>
      <c r="D295" s="7" t="str">
        <f>IFERROR(__xludf.DUMMYFUNCTION("""COMPUTED_VALUE"""),"Q37")</f>
        <v>Q37</v>
      </c>
      <c r="E295" s="7" t="str">
        <f>IFERROR(__xludf.DUMMYFUNCTION("""COMPUTED_VALUE"""),"Satisfaction with democracy")</f>
        <v>Satisfaction with democracy</v>
      </c>
      <c r="F295" s="7" t="str">
        <f>IFERROR(__xludf.DUMMYFUNCTION("""COMPUTED_VALUE"""),"Namibia")</f>
        <v>Namibia</v>
      </c>
    </row>
    <row r="296">
      <c r="A296" s="7" t="str">
        <f>IFERROR(__xludf.DUMMYFUNCTION("""COMPUTED_VALUE"""),"NIGERIA ")</f>
        <v>NIGERIA </v>
      </c>
      <c r="B296" s="8">
        <f>IFERROR(__xludf.DUMMYFUNCTION("""COMPUTED_VALUE"""),8.0)</f>
        <v>8</v>
      </c>
      <c r="C296" s="7" t="str">
        <f>IFERROR(__xludf.DUMMYFUNCTION("""COMPUTED_VALUE"""),"A_01_42")</f>
        <v>A_01_42</v>
      </c>
      <c r="D296" s="7" t="str">
        <f>IFERROR(__xludf.DUMMYFUNCTION("""COMPUTED_VALUE"""),"Q37")</f>
        <v>Q37</v>
      </c>
      <c r="E296" s="7" t="str">
        <f>IFERROR(__xludf.DUMMYFUNCTION("""COMPUTED_VALUE"""),"Satisfaction with democracy")</f>
        <v>Satisfaction with democracy</v>
      </c>
      <c r="F296" s="7" t="str">
        <f>IFERROR(__xludf.DUMMYFUNCTION("""COMPUTED_VALUE"""),"Nigeria")</f>
        <v>Nigeria</v>
      </c>
    </row>
    <row r="297">
      <c r="A297" s="7" t="str">
        <f>IFERROR(__xludf.DUMMYFUNCTION("""COMPUTED_VALUE"""),"SIERRA LEONE")</f>
        <v>SIERRA LEONE</v>
      </c>
      <c r="B297" s="8">
        <f>IFERROR(__xludf.DUMMYFUNCTION("""COMPUTED_VALUE"""),8.0)</f>
        <v>8</v>
      </c>
      <c r="C297" s="7" t="str">
        <f>IFERROR(__xludf.DUMMYFUNCTION("""COMPUTED_VALUE"""),"A_01_42")</f>
        <v>A_01_42</v>
      </c>
      <c r="D297" s="7" t="str">
        <f>IFERROR(__xludf.DUMMYFUNCTION("""COMPUTED_VALUE"""),"Q37")</f>
        <v>Q37</v>
      </c>
      <c r="E297" s="7" t="str">
        <f>IFERROR(__xludf.DUMMYFUNCTION("""COMPUTED_VALUE"""),"Satisfaction with democracy")</f>
        <v>Satisfaction with democracy</v>
      </c>
      <c r="F297" s="7" t="str">
        <f>IFERROR(__xludf.DUMMYFUNCTION("""COMPUTED_VALUE"""),"Sierra Leone")</f>
        <v>Sierra Leone</v>
      </c>
    </row>
    <row r="298">
      <c r="A298" s="7" t="str">
        <f>IFERROR(__xludf.DUMMYFUNCTION("""COMPUTED_VALUE"""),"SOUTH AFRICA")</f>
        <v>SOUTH AFRICA</v>
      </c>
      <c r="B298" s="8">
        <f>IFERROR(__xludf.DUMMYFUNCTION("""COMPUTED_VALUE"""),8.0)</f>
        <v>8</v>
      </c>
      <c r="C298" s="7" t="str">
        <f>IFERROR(__xludf.DUMMYFUNCTION("""COMPUTED_VALUE"""),"A_01_42")</f>
        <v>A_01_42</v>
      </c>
      <c r="D298" s="7" t="str">
        <f>IFERROR(__xludf.DUMMYFUNCTION("""COMPUTED_VALUE"""),"Q37")</f>
        <v>Q37</v>
      </c>
      <c r="E298" s="7" t="str">
        <f>IFERROR(__xludf.DUMMYFUNCTION("""COMPUTED_VALUE"""),"Satisfaction with democracy")</f>
        <v>Satisfaction with democracy</v>
      </c>
      <c r="F298" s="7" t="str">
        <f>IFERROR(__xludf.DUMMYFUNCTION("""COMPUTED_VALUE"""),"South Africa")</f>
        <v>South Africa</v>
      </c>
    </row>
    <row r="299">
      <c r="A299" s="7" t="str">
        <f>IFERROR(__xludf.DUMMYFUNCTION("""COMPUTED_VALUE"""),"SUDAN")</f>
        <v>SUDAN</v>
      </c>
      <c r="B299" s="8">
        <f>IFERROR(__xludf.DUMMYFUNCTION("""COMPUTED_VALUE"""),8.0)</f>
        <v>8</v>
      </c>
      <c r="C299" s="7" t="str">
        <f>IFERROR(__xludf.DUMMYFUNCTION("""COMPUTED_VALUE"""),"A_01_42")</f>
        <v>A_01_42</v>
      </c>
      <c r="D299" s="7" t="str">
        <f>IFERROR(__xludf.DUMMYFUNCTION("""COMPUTED_VALUE"""),"Q37")</f>
        <v>Q37</v>
      </c>
      <c r="E299" s="7" t="str">
        <f>IFERROR(__xludf.DUMMYFUNCTION("""COMPUTED_VALUE"""),"Satisfaction with democracy")</f>
        <v>Satisfaction with democracy</v>
      </c>
      <c r="F299" s="7" t="str">
        <f>IFERROR(__xludf.DUMMYFUNCTION("""COMPUTED_VALUE"""),"Sudan")</f>
        <v>Sudan</v>
      </c>
    </row>
    <row r="300">
      <c r="A300" s="7" t="str">
        <f>IFERROR(__xludf.DUMMYFUNCTION("""COMPUTED_VALUE"""),"TANZANIA")</f>
        <v>TANZANIA</v>
      </c>
      <c r="B300" s="8">
        <f>IFERROR(__xludf.DUMMYFUNCTION("""COMPUTED_VALUE"""),8.0)</f>
        <v>8</v>
      </c>
      <c r="C300" s="7" t="str">
        <f>IFERROR(__xludf.DUMMYFUNCTION("""COMPUTED_VALUE"""),"A_01_42")</f>
        <v>A_01_42</v>
      </c>
      <c r="D300" s="7" t="str">
        <f>IFERROR(__xludf.DUMMYFUNCTION("""COMPUTED_VALUE"""),"Q37")</f>
        <v>Q37</v>
      </c>
      <c r="E300" s="7" t="str">
        <f>IFERROR(__xludf.DUMMYFUNCTION("""COMPUTED_VALUE"""),"Satisfaction with democracy")</f>
        <v>Satisfaction with democracy</v>
      </c>
      <c r="F300" s="7" t="str">
        <f>IFERROR(__xludf.DUMMYFUNCTION("""COMPUTED_VALUE"""),"Tanzania")</f>
        <v>Tanzania</v>
      </c>
    </row>
    <row r="301">
      <c r="A301" s="7" t="str">
        <f>IFERROR(__xludf.DUMMYFUNCTION("""COMPUTED_VALUE"""),"TUNISIA ")</f>
        <v>TUNISIA </v>
      </c>
      <c r="B301" s="8">
        <f>IFERROR(__xludf.DUMMYFUNCTION("""COMPUTED_VALUE"""),8.0)</f>
        <v>8</v>
      </c>
      <c r="C301" s="7" t="str">
        <f>IFERROR(__xludf.DUMMYFUNCTION("""COMPUTED_VALUE"""),"A_01_42")</f>
        <v>A_01_42</v>
      </c>
      <c r="D301" s="7" t="str">
        <f>IFERROR(__xludf.DUMMYFUNCTION("""COMPUTED_VALUE"""),"Q37")</f>
        <v>Q37</v>
      </c>
      <c r="E301" s="7" t="str">
        <f>IFERROR(__xludf.DUMMYFUNCTION("""COMPUTED_VALUE"""),"Satisfaction with democracy")</f>
        <v>Satisfaction with democracy</v>
      </c>
      <c r="F301" s="7" t="str">
        <f>IFERROR(__xludf.DUMMYFUNCTION("""COMPUTED_VALUE"""),"Tunisia")</f>
        <v>Tunisia</v>
      </c>
    </row>
    <row r="302">
      <c r="A302" s="7" t="str">
        <f>IFERROR(__xludf.DUMMYFUNCTION("""COMPUTED_VALUE"""),"UGANDA  ")</f>
        <v>UGANDA  </v>
      </c>
      <c r="B302" s="8">
        <f>IFERROR(__xludf.DUMMYFUNCTION("""COMPUTED_VALUE"""),8.0)</f>
        <v>8</v>
      </c>
      <c r="C302" s="7" t="str">
        <f>IFERROR(__xludf.DUMMYFUNCTION("""COMPUTED_VALUE"""),"A_01_42")</f>
        <v>A_01_42</v>
      </c>
      <c r="D302" s="7" t="str">
        <f>IFERROR(__xludf.DUMMYFUNCTION("""COMPUTED_VALUE"""),"Q37")</f>
        <v>Q37</v>
      </c>
      <c r="E302" s="7" t="str">
        <f>IFERROR(__xludf.DUMMYFUNCTION("""COMPUTED_VALUE"""),"Satisfaction with democracy")</f>
        <v>Satisfaction with democracy</v>
      </c>
      <c r="F302" s="7" t="str">
        <f>IFERROR(__xludf.DUMMYFUNCTION("""COMPUTED_VALUE"""),"Uganda")</f>
        <v>Uganda</v>
      </c>
    </row>
    <row r="303">
      <c r="A303" s="7" t="str">
        <f>IFERROR(__xludf.DUMMYFUNCTION("""COMPUTED_VALUE"""),"ZAMBIA")</f>
        <v>ZAMBIA</v>
      </c>
      <c r="B303" s="8">
        <f>IFERROR(__xludf.DUMMYFUNCTION("""COMPUTED_VALUE"""),8.0)</f>
        <v>8</v>
      </c>
      <c r="C303" s="7" t="str">
        <f>IFERROR(__xludf.DUMMYFUNCTION("""COMPUTED_VALUE"""),"A_01_42")</f>
        <v>A_01_42</v>
      </c>
      <c r="D303" s="7" t="str">
        <f>IFERROR(__xludf.DUMMYFUNCTION("""COMPUTED_VALUE"""),"Q37")</f>
        <v>Q37</v>
      </c>
      <c r="E303" s="7" t="str">
        <f>IFERROR(__xludf.DUMMYFUNCTION("""COMPUTED_VALUE"""),"Satisfaction with democracy")</f>
        <v>Satisfaction with democracy</v>
      </c>
      <c r="F303" s="7" t="str">
        <f>IFERROR(__xludf.DUMMYFUNCTION("""COMPUTED_VALUE"""),"Zambia")</f>
        <v>Zambia</v>
      </c>
    </row>
    <row r="304">
      <c r="A304" s="7" t="str">
        <f>IFERROR(__xludf.DUMMYFUNCTION("""COMPUTED_VALUE"""),"ZIMBABWE")</f>
        <v>ZIMBABWE</v>
      </c>
      <c r="B304" s="8">
        <f>IFERROR(__xludf.DUMMYFUNCTION("""COMPUTED_VALUE"""),8.0)</f>
        <v>8</v>
      </c>
      <c r="C304" s="7" t="str">
        <f>IFERROR(__xludf.DUMMYFUNCTION("""COMPUTED_VALUE"""),"A_01_42")</f>
        <v>A_01_42</v>
      </c>
      <c r="D304" s="7" t="str">
        <f>IFERROR(__xludf.DUMMYFUNCTION("""COMPUTED_VALUE"""),"Q37")</f>
        <v>Q37</v>
      </c>
      <c r="E304" s="7" t="str">
        <f>IFERROR(__xludf.DUMMYFUNCTION("""COMPUTED_VALUE"""),"Satisfaction with democracy")</f>
        <v>Satisfaction with democracy</v>
      </c>
      <c r="F304" s="7" t="str">
        <f>IFERROR(__xludf.DUMMYFUNCTION("""COMPUTED_VALUE"""),"Zimbabwe")</f>
        <v>Zimbabwe</v>
      </c>
    </row>
    <row r="305">
      <c r="A305" s="7" t="str">
        <f>IFERROR(__xludf.DUMMYFUNCTION("""COMPUTED_VALUE"""),"ESWATINI")</f>
        <v>ESWATINI</v>
      </c>
      <c r="B305" s="8">
        <f>IFERROR(__xludf.DUMMYFUNCTION("""COMPUTED_VALUE"""),8.0)</f>
        <v>8</v>
      </c>
      <c r="C305" s="7" t="str">
        <f>IFERROR(__xludf.DUMMYFUNCTION("""COMPUTED_VALUE"""),"B_04_06")</f>
        <v>B_04_06</v>
      </c>
      <c r="D305" s="7" t="str">
        <f>IFERROR(__xludf.DUMMYFUNCTION("""COMPUTED_VALUE"""),"Q38a")</f>
        <v>Q38a</v>
      </c>
      <c r="E305" s="7" t="str">
        <f>IFERROR(__xludf.DUMMYFUNCTION("""COMPUTED_VALUE""")," MPs listen")</f>
        <v> MPs listen</v>
      </c>
      <c r="F305" s="7" t="str">
        <f>IFERROR(__xludf.DUMMYFUNCTION("""COMPUTED_VALUE"""),"Members of Parliament")</f>
        <v>Members of Parliament</v>
      </c>
    </row>
    <row r="306">
      <c r="A306" s="7" t="str">
        <f>IFERROR(__xludf.DUMMYFUNCTION("""COMPUTED_VALUE"""),"ETHIOPIA")</f>
        <v>ETHIOPIA</v>
      </c>
      <c r="B306" s="8">
        <f>IFERROR(__xludf.DUMMYFUNCTION("""COMPUTED_VALUE"""),8.0)</f>
        <v>8</v>
      </c>
      <c r="C306" s="7" t="str">
        <f>IFERROR(__xludf.DUMMYFUNCTION("""COMPUTED_VALUE"""),"B_04_06")</f>
        <v>B_04_06</v>
      </c>
      <c r="D306" s="7" t="str">
        <f>IFERROR(__xludf.DUMMYFUNCTION("""COMPUTED_VALUE"""),"Q38a")</f>
        <v>Q38a</v>
      </c>
      <c r="E306" s="7" t="str">
        <f>IFERROR(__xludf.DUMMYFUNCTION("""COMPUTED_VALUE""")," MPs listen")</f>
        <v> MPs listen</v>
      </c>
      <c r="F306" s="7" t="str">
        <f>IFERROR(__xludf.DUMMYFUNCTION("""COMPUTED_VALUE"""),"Members of House of Peoples’ Representatives")</f>
        <v>Members of House of Peoples’ Representatives</v>
      </c>
    </row>
    <row r="307">
      <c r="A307" s="7" t="str">
        <f>IFERROR(__xludf.DUMMYFUNCTION("""COMPUTED_VALUE"""),"GAMBIA")</f>
        <v>GAMBIA</v>
      </c>
      <c r="B307" s="8">
        <f>IFERROR(__xludf.DUMMYFUNCTION("""COMPUTED_VALUE"""),8.0)</f>
        <v>8</v>
      </c>
      <c r="C307" s="7" t="str">
        <f>IFERROR(__xludf.DUMMYFUNCTION("""COMPUTED_VALUE"""),"B_04_06")</f>
        <v>B_04_06</v>
      </c>
      <c r="D307" s="7" t="str">
        <f>IFERROR(__xludf.DUMMYFUNCTION("""COMPUTED_VALUE"""),"Q38a")</f>
        <v>Q38a</v>
      </c>
      <c r="E307" s="7" t="str">
        <f>IFERROR(__xludf.DUMMYFUNCTION("""COMPUTED_VALUE""")," MPs listen")</f>
        <v> MPs listen</v>
      </c>
      <c r="F307" s="7" t="str">
        <f>IFERROR(__xludf.DUMMYFUNCTION("""COMPUTED_VALUE"""),"Members of the National Assembly")</f>
        <v>Members of the National Assembly</v>
      </c>
    </row>
    <row r="308">
      <c r="A308" s="7" t="str">
        <f>IFERROR(__xludf.DUMMYFUNCTION("""COMPUTED_VALUE"""),"GHANA ")</f>
        <v>GHANA </v>
      </c>
      <c r="B308" s="8">
        <f>IFERROR(__xludf.DUMMYFUNCTION("""COMPUTED_VALUE"""),8.0)</f>
        <v>8</v>
      </c>
      <c r="C308" s="7" t="str">
        <f>IFERROR(__xludf.DUMMYFUNCTION("""COMPUTED_VALUE"""),"B_04_06")</f>
        <v>B_04_06</v>
      </c>
      <c r="D308" s="7" t="str">
        <f>IFERROR(__xludf.DUMMYFUNCTION("""COMPUTED_VALUE"""),"Q38a")</f>
        <v>Q38a</v>
      </c>
      <c r="E308" s="7" t="str">
        <f>IFERROR(__xludf.DUMMYFUNCTION("""COMPUTED_VALUE""")," MPs listen")</f>
        <v> MPs listen</v>
      </c>
      <c r="F308" s="7" t="str">
        <f>IFERROR(__xludf.DUMMYFUNCTION("""COMPUTED_VALUE"""),"Members of Parliament")</f>
        <v>Members of Parliament</v>
      </c>
    </row>
    <row r="309">
      <c r="A309" s="7" t="str">
        <f>IFERROR(__xludf.DUMMYFUNCTION("""COMPUTED_VALUE"""),"KENYA  ")</f>
        <v>KENYA  </v>
      </c>
      <c r="B309" s="8">
        <f>IFERROR(__xludf.DUMMYFUNCTION("""COMPUTED_VALUE"""),8.0)</f>
        <v>8</v>
      </c>
      <c r="C309" s="7" t="str">
        <f>IFERROR(__xludf.DUMMYFUNCTION("""COMPUTED_VALUE"""),"B_04_06")</f>
        <v>B_04_06</v>
      </c>
      <c r="D309" s="7" t="str">
        <f>IFERROR(__xludf.DUMMYFUNCTION("""COMPUTED_VALUE"""),"Q38a")</f>
        <v>Q38a</v>
      </c>
      <c r="E309" s="7" t="str">
        <f>IFERROR(__xludf.DUMMYFUNCTION("""COMPUTED_VALUE""")," MPs listen")</f>
        <v> MPs listen</v>
      </c>
      <c r="F309" s="7" t="str">
        <f>IFERROR(__xludf.DUMMYFUNCTION("""COMPUTED_VALUE"""),"Members of Parliament")</f>
        <v>Members of Parliament</v>
      </c>
    </row>
    <row r="310">
      <c r="A310" s="7" t="str">
        <f>IFERROR(__xludf.DUMMYFUNCTION("""COMPUTED_VALUE"""),"LESOTHO ")</f>
        <v>LESOTHO </v>
      </c>
      <c r="B310" s="8">
        <f>IFERROR(__xludf.DUMMYFUNCTION("""COMPUTED_VALUE"""),8.0)</f>
        <v>8</v>
      </c>
      <c r="C310" s="7" t="str">
        <f>IFERROR(__xludf.DUMMYFUNCTION("""COMPUTED_VALUE"""),"B_04_06")</f>
        <v>B_04_06</v>
      </c>
      <c r="D310" s="7" t="str">
        <f>IFERROR(__xludf.DUMMYFUNCTION("""COMPUTED_VALUE"""),"Q38a")</f>
        <v>Q38a</v>
      </c>
      <c r="E310" s="7" t="str">
        <f>IFERROR(__xludf.DUMMYFUNCTION("""COMPUTED_VALUE""")," MPs listen")</f>
        <v> MPs listen</v>
      </c>
      <c r="F310" s="7" t="str">
        <f>IFERROR(__xludf.DUMMYFUNCTION("""COMPUTED_VALUE"""),"Members of Parliament")</f>
        <v>Members of Parliament</v>
      </c>
    </row>
    <row r="311">
      <c r="A311" s="7" t="str">
        <f>IFERROR(__xludf.DUMMYFUNCTION("""COMPUTED_VALUE"""),"LIBERIA  ")</f>
        <v>LIBERIA  </v>
      </c>
      <c r="B311" s="8">
        <f>IFERROR(__xludf.DUMMYFUNCTION("""COMPUTED_VALUE"""),8.0)</f>
        <v>8</v>
      </c>
      <c r="C311" s="7" t="str">
        <f>IFERROR(__xludf.DUMMYFUNCTION("""COMPUTED_VALUE"""),"B_04_06")</f>
        <v>B_04_06</v>
      </c>
      <c r="D311" s="7" t="str">
        <f>IFERROR(__xludf.DUMMYFUNCTION("""COMPUTED_VALUE"""),"Q38a")</f>
        <v>Q38a</v>
      </c>
      <c r="E311" s="7" t="str">
        <f>IFERROR(__xludf.DUMMYFUNCTION("""COMPUTED_VALUE""")," MPs listen")</f>
        <v> MPs listen</v>
      </c>
      <c r="F311" s="7" t="str">
        <f>IFERROR(__xludf.DUMMYFUNCTION("""COMPUTED_VALUE"""),"Members of the House of Representatives")</f>
        <v>Members of the House of Representatives</v>
      </c>
    </row>
    <row r="312">
      <c r="A312" s="7" t="str">
        <f>IFERROR(__xludf.DUMMYFUNCTION("""COMPUTED_VALUE"""),"MALAWI ")</f>
        <v>MALAWI </v>
      </c>
      <c r="B312" s="8">
        <f>IFERROR(__xludf.DUMMYFUNCTION("""COMPUTED_VALUE"""),8.0)</f>
        <v>8</v>
      </c>
      <c r="C312" s="7" t="str">
        <f>IFERROR(__xludf.DUMMYFUNCTION("""COMPUTED_VALUE"""),"B_04_06")</f>
        <v>B_04_06</v>
      </c>
      <c r="D312" s="7" t="str">
        <f>IFERROR(__xludf.DUMMYFUNCTION("""COMPUTED_VALUE"""),"Q38a")</f>
        <v>Q38a</v>
      </c>
      <c r="E312" s="7" t="str">
        <f>IFERROR(__xludf.DUMMYFUNCTION("""COMPUTED_VALUE""")," MPs listen")</f>
        <v> MPs listen</v>
      </c>
      <c r="F312" s="7" t="str">
        <f>IFERROR(__xludf.DUMMYFUNCTION("""COMPUTED_VALUE"""),"Members of Parliament")</f>
        <v>Members of Parliament</v>
      </c>
    </row>
    <row r="313">
      <c r="A313" s="7" t="str">
        <f>IFERROR(__xludf.DUMMYFUNCTION("""COMPUTED_VALUE"""),"MOROCCO ")</f>
        <v>MOROCCO </v>
      </c>
      <c r="B313" s="8">
        <f>IFERROR(__xludf.DUMMYFUNCTION("""COMPUTED_VALUE"""),8.0)</f>
        <v>8</v>
      </c>
      <c r="C313" s="7" t="str">
        <f>IFERROR(__xludf.DUMMYFUNCTION("""COMPUTED_VALUE"""),"B_04_06")</f>
        <v>B_04_06</v>
      </c>
      <c r="D313" s="7" t="str">
        <f>IFERROR(__xludf.DUMMYFUNCTION("""COMPUTED_VALUE"""),"Q38a")</f>
        <v>Q38a</v>
      </c>
      <c r="E313" s="7" t="str">
        <f>IFERROR(__xludf.DUMMYFUNCTION("""COMPUTED_VALUE""")," MPs listen")</f>
        <v> MPs listen</v>
      </c>
      <c r="F313" s="7" t="str">
        <f>IFERROR(__xludf.DUMMYFUNCTION("""COMPUTED_VALUE"""),"Members of Parliament")</f>
        <v>Members of Parliament</v>
      </c>
    </row>
    <row r="314">
      <c r="A314" s="7" t="str">
        <f>IFERROR(__xludf.DUMMYFUNCTION("""COMPUTED_VALUE"""),"MOZAMBIQUE")</f>
        <v>MOZAMBIQUE</v>
      </c>
      <c r="B314" s="8">
        <f>IFERROR(__xludf.DUMMYFUNCTION("""COMPUTED_VALUE"""),8.0)</f>
        <v>8</v>
      </c>
      <c r="C314" s="7" t="str">
        <f>IFERROR(__xludf.DUMMYFUNCTION("""COMPUTED_VALUE"""),"B_04_06")</f>
        <v>B_04_06</v>
      </c>
      <c r="D314" s="7" t="str">
        <f>IFERROR(__xludf.DUMMYFUNCTION("""COMPUTED_VALUE"""),"Q38a")</f>
        <v>Q38a</v>
      </c>
      <c r="E314" s="7" t="str">
        <f>IFERROR(__xludf.DUMMYFUNCTION("""COMPUTED_VALUE""")," MPs listen")</f>
        <v> MPs listen</v>
      </c>
      <c r="F314" s="7" t="str">
        <f>IFERROR(__xludf.DUMMYFUNCTION("""COMPUTED_VALUE"""),"Members of Parliament")</f>
        <v>Members of Parliament</v>
      </c>
    </row>
    <row r="315">
      <c r="A315" s="7" t="str">
        <f>IFERROR(__xludf.DUMMYFUNCTION("""COMPUTED_VALUE"""),"NAMIBIA ")</f>
        <v>NAMIBIA </v>
      </c>
      <c r="B315" s="8">
        <f>IFERROR(__xludf.DUMMYFUNCTION("""COMPUTED_VALUE"""),8.0)</f>
        <v>8</v>
      </c>
      <c r="C315" s="7" t="str">
        <f>IFERROR(__xludf.DUMMYFUNCTION("""COMPUTED_VALUE"""),"B_04_06")</f>
        <v>B_04_06</v>
      </c>
      <c r="D315" s="7" t="str">
        <f>IFERROR(__xludf.DUMMYFUNCTION("""COMPUTED_VALUE"""),"Q38a")</f>
        <v>Q38a</v>
      </c>
      <c r="E315" s="7" t="str">
        <f>IFERROR(__xludf.DUMMYFUNCTION("""COMPUTED_VALUE""")," MPs listen")</f>
        <v> MPs listen</v>
      </c>
      <c r="F315" s="7" t="str">
        <f>IFERROR(__xludf.DUMMYFUNCTION("""COMPUTED_VALUE"""),"Members of the National Assembly")</f>
        <v>Members of the National Assembly</v>
      </c>
    </row>
    <row r="316">
      <c r="A316" s="7" t="str">
        <f>IFERROR(__xludf.DUMMYFUNCTION("""COMPUTED_VALUE"""),"NIGERIA ")</f>
        <v>NIGERIA </v>
      </c>
      <c r="B316" s="8">
        <f>IFERROR(__xludf.DUMMYFUNCTION("""COMPUTED_VALUE"""),8.0)</f>
        <v>8</v>
      </c>
      <c r="C316" s="7" t="str">
        <f>IFERROR(__xludf.DUMMYFUNCTION("""COMPUTED_VALUE"""),"B_04_06")</f>
        <v>B_04_06</v>
      </c>
      <c r="D316" s="7" t="str">
        <f>IFERROR(__xludf.DUMMYFUNCTION("""COMPUTED_VALUE"""),"Q38a")</f>
        <v>Q38a</v>
      </c>
      <c r="E316" s="7" t="str">
        <f>IFERROR(__xludf.DUMMYFUNCTION("""COMPUTED_VALUE""")," MPs listen")</f>
        <v> MPs listen</v>
      </c>
      <c r="F316" s="7" t="str">
        <f>IFERROR(__xludf.DUMMYFUNCTION("""COMPUTED_VALUE"""),"Members of National Assembly")</f>
        <v>Members of National Assembly</v>
      </c>
    </row>
    <row r="317">
      <c r="A317" s="7" t="str">
        <f>IFERROR(__xludf.DUMMYFUNCTION("""COMPUTED_VALUE"""),"SIERRA LEONE")</f>
        <v>SIERRA LEONE</v>
      </c>
      <c r="B317" s="8">
        <f>IFERROR(__xludf.DUMMYFUNCTION("""COMPUTED_VALUE"""),8.0)</f>
        <v>8</v>
      </c>
      <c r="C317" s="7" t="str">
        <f>IFERROR(__xludf.DUMMYFUNCTION("""COMPUTED_VALUE"""),"B_04_06")</f>
        <v>B_04_06</v>
      </c>
      <c r="D317" s="7" t="str">
        <f>IFERROR(__xludf.DUMMYFUNCTION("""COMPUTED_VALUE"""),"Q38a")</f>
        <v>Q38a</v>
      </c>
      <c r="E317" s="7" t="str">
        <f>IFERROR(__xludf.DUMMYFUNCTION("""COMPUTED_VALUE""")," MPs listen")</f>
        <v> MPs listen</v>
      </c>
      <c r="F317" s="7" t="str">
        <f>IFERROR(__xludf.DUMMYFUNCTION("""COMPUTED_VALUE"""),"Members of Parliament")</f>
        <v>Members of Parliament</v>
      </c>
    </row>
    <row r="318">
      <c r="A318" s="7" t="str">
        <f>IFERROR(__xludf.DUMMYFUNCTION("""COMPUTED_VALUE"""),"SOUTH AFRICA")</f>
        <v>SOUTH AFRICA</v>
      </c>
      <c r="B318" s="8">
        <f>IFERROR(__xludf.DUMMYFUNCTION("""COMPUTED_VALUE"""),8.0)</f>
        <v>8</v>
      </c>
      <c r="C318" s="7" t="str">
        <f>IFERROR(__xludf.DUMMYFUNCTION("""COMPUTED_VALUE"""),"B_04_06")</f>
        <v>B_04_06</v>
      </c>
      <c r="D318" s="7" t="str">
        <f>IFERROR(__xludf.DUMMYFUNCTION("""COMPUTED_VALUE"""),"Q38a")</f>
        <v>Q38a</v>
      </c>
      <c r="E318" s="7" t="str">
        <f>IFERROR(__xludf.DUMMYFUNCTION("""COMPUTED_VALUE""")," MPs listen")</f>
        <v> MPs listen</v>
      </c>
      <c r="F318" s="7" t="str">
        <f>IFERROR(__xludf.DUMMYFUNCTION("""COMPUTED_VALUE"""),"Members of Parliament")</f>
        <v>Members of Parliament</v>
      </c>
    </row>
    <row r="319">
      <c r="A319" s="7" t="str">
        <f>IFERROR(__xludf.DUMMYFUNCTION("""COMPUTED_VALUE"""),"TANZANIA")</f>
        <v>TANZANIA</v>
      </c>
      <c r="B319" s="8">
        <f>IFERROR(__xludf.DUMMYFUNCTION("""COMPUTED_VALUE"""),8.0)</f>
        <v>8</v>
      </c>
      <c r="C319" s="7" t="str">
        <f>IFERROR(__xludf.DUMMYFUNCTION("""COMPUTED_VALUE"""),"B_04_06")</f>
        <v>B_04_06</v>
      </c>
      <c r="D319" s="7" t="str">
        <f>IFERROR(__xludf.DUMMYFUNCTION("""COMPUTED_VALUE"""),"Q38a")</f>
        <v>Q38a</v>
      </c>
      <c r="E319" s="7" t="str">
        <f>IFERROR(__xludf.DUMMYFUNCTION("""COMPUTED_VALUE""")," MPs listen")</f>
        <v> MPs listen</v>
      </c>
      <c r="F319" s="7" t="str">
        <f>IFERROR(__xludf.DUMMYFUNCTION("""COMPUTED_VALUE"""),"Members of Parliament")</f>
        <v>Members of Parliament</v>
      </c>
    </row>
    <row r="320">
      <c r="A320" s="7" t="str">
        <f>IFERROR(__xludf.DUMMYFUNCTION("""COMPUTED_VALUE"""),"TUNISIA ")</f>
        <v>TUNISIA </v>
      </c>
      <c r="B320" s="8">
        <f>IFERROR(__xludf.DUMMYFUNCTION("""COMPUTED_VALUE"""),8.0)</f>
        <v>8</v>
      </c>
      <c r="C320" s="7" t="str">
        <f>IFERROR(__xludf.DUMMYFUNCTION("""COMPUTED_VALUE"""),"B_04_06")</f>
        <v>B_04_06</v>
      </c>
      <c r="D320" s="7" t="str">
        <f>IFERROR(__xludf.DUMMYFUNCTION("""COMPUTED_VALUE"""),"Q38a")</f>
        <v>Q38a</v>
      </c>
      <c r="E320" s="7" t="str">
        <f>IFERROR(__xludf.DUMMYFUNCTION("""COMPUTED_VALUE""")," MPs listen")</f>
        <v> MPs listen</v>
      </c>
      <c r="F320" s="7" t="str">
        <f>IFERROR(__xludf.DUMMYFUNCTION("""COMPUTED_VALUE"""),"Members of Representative Assembly of the People")</f>
        <v>Members of Representative Assembly of the People</v>
      </c>
    </row>
    <row r="321">
      <c r="A321" s="7" t="str">
        <f>IFERROR(__xludf.DUMMYFUNCTION("""COMPUTED_VALUE"""),"UGANDA  ")</f>
        <v>UGANDA  </v>
      </c>
      <c r="B321" s="8">
        <f>IFERROR(__xludf.DUMMYFUNCTION("""COMPUTED_VALUE"""),8.0)</f>
        <v>8</v>
      </c>
      <c r="C321" s="7" t="str">
        <f>IFERROR(__xludf.DUMMYFUNCTION("""COMPUTED_VALUE"""),"B_04_06")</f>
        <v>B_04_06</v>
      </c>
      <c r="D321" s="7" t="str">
        <f>IFERROR(__xludf.DUMMYFUNCTION("""COMPUTED_VALUE"""),"Q38a")</f>
        <v>Q38a</v>
      </c>
      <c r="E321" s="7" t="str">
        <f>IFERROR(__xludf.DUMMYFUNCTION("""COMPUTED_VALUE""")," MPs listen")</f>
        <v> MPs listen</v>
      </c>
      <c r="F321" s="7" t="str">
        <f>IFERROR(__xludf.DUMMYFUNCTION("""COMPUTED_VALUE"""),"Members of Parliament")</f>
        <v>Members of Parliament</v>
      </c>
    </row>
    <row r="322">
      <c r="A322" s="7" t="str">
        <f>IFERROR(__xludf.DUMMYFUNCTION("""COMPUTED_VALUE"""),"ZAMBIA")</f>
        <v>ZAMBIA</v>
      </c>
      <c r="B322" s="8">
        <f>IFERROR(__xludf.DUMMYFUNCTION("""COMPUTED_VALUE"""),8.0)</f>
        <v>8</v>
      </c>
      <c r="C322" s="7" t="str">
        <f>IFERROR(__xludf.DUMMYFUNCTION("""COMPUTED_VALUE"""),"B_04_06")</f>
        <v>B_04_06</v>
      </c>
      <c r="D322" s="7" t="str">
        <f>IFERROR(__xludf.DUMMYFUNCTION("""COMPUTED_VALUE"""),"Q38a")</f>
        <v>Q38a</v>
      </c>
      <c r="E322" s="7" t="str">
        <f>IFERROR(__xludf.DUMMYFUNCTION("""COMPUTED_VALUE""")," MPs listen")</f>
        <v> MPs listen</v>
      </c>
      <c r="F322" s="7" t="str">
        <f>IFERROR(__xludf.DUMMYFUNCTION("""COMPUTED_VALUE"""),"Members of Parliament")</f>
        <v>Members of Parliament</v>
      </c>
    </row>
    <row r="323">
      <c r="A323" s="7" t="str">
        <f>IFERROR(__xludf.DUMMYFUNCTION("""COMPUTED_VALUE"""),"ZIMBABWE")</f>
        <v>ZIMBABWE</v>
      </c>
      <c r="B323" s="8">
        <f>IFERROR(__xludf.DUMMYFUNCTION("""COMPUTED_VALUE"""),8.0)</f>
        <v>8</v>
      </c>
      <c r="C323" s="7" t="str">
        <f>IFERROR(__xludf.DUMMYFUNCTION("""COMPUTED_VALUE"""),"B_04_06")</f>
        <v>B_04_06</v>
      </c>
      <c r="D323" s="7" t="str">
        <f>IFERROR(__xludf.DUMMYFUNCTION("""COMPUTED_VALUE"""),"Q38a")</f>
        <v>Q38a</v>
      </c>
      <c r="E323" s="7" t="str">
        <f>IFERROR(__xludf.DUMMYFUNCTION("""COMPUTED_VALUE""")," MPs listen")</f>
        <v> MPs listen</v>
      </c>
      <c r="F323" s="7" t="str">
        <f>IFERROR(__xludf.DUMMYFUNCTION("""COMPUTED_VALUE"""),"Members of Parliament")</f>
        <v>Members of Parliament</v>
      </c>
    </row>
    <row r="324">
      <c r="A324" s="7" t="str">
        <f>IFERROR(__xludf.DUMMYFUNCTION("""COMPUTED_VALUE"""),"ESWATINI")</f>
        <v>ESWATINI</v>
      </c>
      <c r="B324" s="8">
        <f>IFERROR(__xludf.DUMMYFUNCTION("""COMPUTED_VALUE"""),8.0)</f>
        <v>8</v>
      </c>
      <c r="C324" s="7" t="str">
        <f>IFERROR(__xludf.DUMMYFUNCTION("""COMPUTED_VALUE"""),"B_03_15")</f>
        <v>B_03_15</v>
      </c>
      <c r="D324" s="7" t="str">
        <f>IFERROR(__xludf.DUMMYFUNCTION("""COMPUTED_VALUE"""),"Q38b")</f>
        <v>Q38b</v>
      </c>
      <c r="E324" s="7" t="str">
        <f>IFERROR(__xludf.DUMMYFUNCTION("""COMPUTED_VALUE"""),"Local government councillors listen")</f>
        <v>Local government councillors listen</v>
      </c>
      <c r="F324" s="7" t="str">
        <f>IFERROR(__xludf.DUMMYFUNCTION("""COMPUTED_VALUE"""),"Members of local government council")</f>
        <v>Members of local government council</v>
      </c>
    </row>
    <row r="325">
      <c r="A325" s="7" t="str">
        <f>IFERROR(__xludf.DUMMYFUNCTION("""COMPUTED_VALUE"""),"ETHIOPIA")</f>
        <v>ETHIOPIA</v>
      </c>
      <c r="B325" s="8">
        <f>IFERROR(__xludf.DUMMYFUNCTION("""COMPUTED_VALUE"""),8.0)</f>
        <v>8</v>
      </c>
      <c r="C325" s="7" t="str">
        <f>IFERROR(__xludf.DUMMYFUNCTION("""COMPUTED_VALUE"""),"B_03_15")</f>
        <v>B_03_15</v>
      </c>
      <c r="D325" s="7" t="str">
        <f>IFERROR(__xludf.DUMMYFUNCTION("""COMPUTED_VALUE"""),"Q38b")</f>
        <v>Q38b</v>
      </c>
      <c r="E325" s="7" t="str">
        <f>IFERROR(__xludf.DUMMYFUNCTION("""COMPUTED_VALUE"""),"Local government councillors listen")</f>
        <v>Local government councillors listen</v>
      </c>
      <c r="F325" s="7" t="str">
        <f>IFERROR(__xludf.DUMMYFUNCTION("""COMPUTED_VALUE"""),"Members of Local Councils")</f>
        <v>Members of Local Councils</v>
      </c>
    </row>
    <row r="326">
      <c r="A326" s="7" t="str">
        <f>IFERROR(__xludf.DUMMYFUNCTION("""COMPUTED_VALUE"""),"GAMBIA")</f>
        <v>GAMBIA</v>
      </c>
      <c r="B326" s="8">
        <f>IFERROR(__xludf.DUMMYFUNCTION("""COMPUTED_VALUE"""),8.0)</f>
        <v>8</v>
      </c>
      <c r="C326" s="7" t="str">
        <f>IFERROR(__xludf.DUMMYFUNCTION("""COMPUTED_VALUE"""),"B_03_15")</f>
        <v>B_03_15</v>
      </c>
      <c r="D326" s="7" t="str">
        <f>IFERROR(__xludf.DUMMYFUNCTION("""COMPUTED_VALUE"""),"Q38b")</f>
        <v>Q38b</v>
      </c>
      <c r="E326" s="7" t="str">
        <f>IFERROR(__xludf.DUMMYFUNCTION("""COMPUTED_VALUE"""),"Local government councillors listen")</f>
        <v>Local government councillors listen</v>
      </c>
      <c r="F326" s="7" t="str">
        <f>IFERROR(__xludf.DUMMYFUNCTION("""COMPUTED_VALUE"""),"Members of local government council")</f>
        <v>Members of local government council</v>
      </c>
    </row>
    <row r="327">
      <c r="A327" s="7" t="str">
        <f>IFERROR(__xludf.DUMMYFUNCTION("""COMPUTED_VALUE"""),"GHANA ")</f>
        <v>GHANA </v>
      </c>
      <c r="B327" s="8">
        <f>IFERROR(__xludf.DUMMYFUNCTION("""COMPUTED_VALUE"""),8.0)</f>
        <v>8</v>
      </c>
      <c r="C327" s="7" t="str">
        <f>IFERROR(__xludf.DUMMYFUNCTION("""COMPUTED_VALUE"""),"B_03_15")</f>
        <v>B_03_15</v>
      </c>
      <c r="D327" s="7" t="str">
        <f>IFERROR(__xludf.DUMMYFUNCTION("""COMPUTED_VALUE"""),"Q38b")</f>
        <v>Q38b</v>
      </c>
      <c r="E327" s="7" t="str">
        <f>IFERROR(__xludf.DUMMYFUNCTION("""COMPUTED_VALUE"""),"Local government councillors listen")</f>
        <v>Local government councillors listen</v>
      </c>
      <c r="F327" s="7" t="str">
        <f>IFERROR(__xludf.DUMMYFUNCTION("""COMPUTED_VALUE"""),"Assembly men or women")</f>
        <v>Assembly men or women</v>
      </c>
    </row>
    <row r="328">
      <c r="A328" s="7" t="str">
        <f>IFERROR(__xludf.DUMMYFUNCTION("""COMPUTED_VALUE"""),"KENYA  ")</f>
        <v>KENYA  </v>
      </c>
      <c r="B328" s="8">
        <f>IFERROR(__xludf.DUMMYFUNCTION("""COMPUTED_VALUE"""),8.0)</f>
        <v>8</v>
      </c>
      <c r="C328" s="7" t="str">
        <f>IFERROR(__xludf.DUMMYFUNCTION("""COMPUTED_VALUE"""),"B_03_15")</f>
        <v>B_03_15</v>
      </c>
      <c r="D328" s="7" t="str">
        <f>IFERROR(__xludf.DUMMYFUNCTION("""COMPUTED_VALUE"""),"Q38b")</f>
        <v>Q38b</v>
      </c>
      <c r="E328" s="7" t="str">
        <f>IFERROR(__xludf.DUMMYFUNCTION("""COMPUTED_VALUE"""),"Local government councillors listen")</f>
        <v>Local government councillors listen</v>
      </c>
      <c r="F328" s="7" t="str">
        <f>IFERROR(__xludf.DUMMYFUNCTION("""COMPUTED_VALUE"""),"Members of the County Assembly or MCA")</f>
        <v>Members of the County Assembly or MCA</v>
      </c>
    </row>
    <row r="329">
      <c r="A329" s="7" t="str">
        <f>IFERROR(__xludf.DUMMYFUNCTION("""COMPUTED_VALUE"""),"LESOTHO ")</f>
        <v>LESOTHO </v>
      </c>
      <c r="B329" s="8">
        <f>IFERROR(__xludf.DUMMYFUNCTION("""COMPUTED_VALUE"""),8.0)</f>
        <v>8</v>
      </c>
      <c r="C329" s="7" t="str">
        <f>IFERROR(__xludf.DUMMYFUNCTION("""COMPUTED_VALUE"""),"B_03_15")</f>
        <v>B_03_15</v>
      </c>
      <c r="D329" s="7" t="str">
        <f>IFERROR(__xludf.DUMMYFUNCTION("""COMPUTED_VALUE"""),"Q38b")</f>
        <v>Q38b</v>
      </c>
      <c r="E329" s="7" t="str">
        <f>IFERROR(__xludf.DUMMYFUNCTION("""COMPUTED_VALUE"""),"Local government councillors listen")</f>
        <v>Local government councillors listen</v>
      </c>
      <c r="F329" s="7" t="str">
        <f>IFERROR(__xludf.DUMMYFUNCTION("""COMPUTED_VALUE"""),"Members of the community council")</f>
        <v>Members of the community council</v>
      </c>
    </row>
    <row r="330">
      <c r="A330" s="7" t="str">
        <f>IFERROR(__xludf.DUMMYFUNCTION("""COMPUTED_VALUE"""),"LIBERIA  ")</f>
        <v>LIBERIA  </v>
      </c>
      <c r="B330" s="8">
        <f>IFERROR(__xludf.DUMMYFUNCTION("""COMPUTED_VALUE"""),8.0)</f>
        <v>8</v>
      </c>
      <c r="C330" s="7" t="str">
        <f>IFERROR(__xludf.DUMMYFUNCTION("""COMPUTED_VALUE"""),"B_03_15")</f>
        <v>B_03_15</v>
      </c>
      <c r="D330" s="7" t="str">
        <f>IFERROR(__xludf.DUMMYFUNCTION("""COMPUTED_VALUE"""),"Q38b")</f>
        <v>Q38b</v>
      </c>
      <c r="E330" s="7" t="str">
        <f>IFERROR(__xludf.DUMMYFUNCTION("""COMPUTED_VALUE"""),"Local government councillors listen")</f>
        <v>Local government councillors listen</v>
      </c>
      <c r="F330" s="7" t="str">
        <f>IFERROR(__xludf.DUMMYFUNCTION("""COMPUTED_VALUE"""),"Members of local authority council")</f>
        <v>Members of local authority council</v>
      </c>
    </row>
    <row r="331">
      <c r="A331" s="7" t="str">
        <f>IFERROR(__xludf.DUMMYFUNCTION("""COMPUTED_VALUE"""),"MALAWI ")</f>
        <v>MALAWI </v>
      </c>
      <c r="B331" s="8">
        <f>IFERROR(__xludf.DUMMYFUNCTION("""COMPUTED_VALUE"""),8.0)</f>
        <v>8</v>
      </c>
      <c r="C331" s="7" t="str">
        <f>IFERROR(__xludf.DUMMYFUNCTION("""COMPUTED_VALUE"""),"B_03_15")</f>
        <v>B_03_15</v>
      </c>
      <c r="D331" s="7" t="str">
        <f>IFERROR(__xludf.DUMMYFUNCTION("""COMPUTED_VALUE"""),"Q38b")</f>
        <v>Q38b</v>
      </c>
      <c r="E331" s="7" t="str">
        <f>IFERROR(__xludf.DUMMYFUNCTION("""COMPUTED_VALUE"""),"Local government councillors listen")</f>
        <v>Local government councillors listen</v>
      </c>
      <c r="F331" s="7" t="str">
        <f>IFERROR(__xludf.DUMMYFUNCTION("""COMPUTED_VALUE"""),"Members of local government council")</f>
        <v>Members of local government council</v>
      </c>
    </row>
    <row r="332">
      <c r="A332" s="7" t="str">
        <f>IFERROR(__xludf.DUMMYFUNCTION("""COMPUTED_VALUE"""),"MOROCCO ")</f>
        <v>MOROCCO </v>
      </c>
      <c r="B332" s="8">
        <f>IFERROR(__xludf.DUMMYFUNCTION("""COMPUTED_VALUE"""),8.0)</f>
        <v>8</v>
      </c>
      <c r="C332" s="7" t="str">
        <f>IFERROR(__xludf.DUMMYFUNCTION("""COMPUTED_VALUE"""),"B_03_15")</f>
        <v>B_03_15</v>
      </c>
      <c r="D332" s="7" t="str">
        <f>IFERROR(__xludf.DUMMYFUNCTION("""COMPUTED_VALUE"""),"Q38b")</f>
        <v>Q38b</v>
      </c>
      <c r="E332" s="7" t="str">
        <f>IFERROR(__xludf.DUMMYFUNCTION("""COMPUTED_VALUE"""),"Local government councillors listen")</f>
        <v>Local government councillors listen</v>
      </c>
      <c r="F332" s="7" t="str">
        <f>IFERROR(__xludf.DUMMYFUNCTION("""COMPUTED_VALUE"""),"Members of local councils")</f>
        <v>Members of local councils</v>
      </c>
    </row>
    <row r="333">
      <c r="A333" s="7" t="str">
        <f>IFERROR(__xludf.DUMMYFUNCTION("""COMPUTED_VALUE"""),"MOZAMBIQUE")</f>
        <v>MOZAMBIQUE</v>
      </c>
      <c r="B333" s="8">
        <f>IFERROR(__xludf.DUMMYFUNCTION("""COMPUTED_VALUE"""),8.0)</f>
        <v>8</v>
      </c>
      <c r="C333" s="7" t="str">
        <f>IFERROR(__xludf.DUMMYFUNCTION("""COMPUTED_VALUE"""),"B_03_15")</f>
        <v>B_03_15</v>
      </c>
      <c r="D333" s="7" t="str">
        <f>IFERROR(__xludf.DUMMYFUNCTION("""COMPUTED_VALUE"""),"Q38b")</f>
        <v>Q38b</v>
      </c>
      <c r="E333" s="7" t="str">
        <f>IFERROR(__xludf.DUMMYFUNCTION("""COMPUTED_VALUE"""),"Local government councillors listen")</f>
        <v>Local government councillors listen</v>
      </c>
      <c r="F333" s="7" t="str">
        <f>IFERROR(__xludf.DUMMYFUNCTION("""COMPUTED_VALUE"""),"Members of the Municipal Assembly")</f>
        <v>Members of the Municipal Assembly</v>
      </c>
    </row>
    <row r="334">
      <c r="A334" s="7" t="str">
        <f>IFERROR(__xludf.DUMMYFUNCTION("""COMPUTED_VALUE"""),"NAMIBIA ")</f>
        <v>NAMIBIA </v>
      </c>
      <c r="B334" s="8">
        <f>IFERROR(__xludf.DUMMYFUNCTION("""COMPUTED_VALUE"""),8.0)</f>
        <v>8</v>
      </c>
      <c r="C334" s="7" t="str">
        <f>IFERROR(__xludf.DUMMYFUNCTION("""COMPUTED_VALUE"""),"B_03_15")</f>
        <v>B_03_15</v>
      </c>
      <c r="D334" s="7" t="str">
        <f>IFERROR(__xludf.DUMMYFUNCTION("""COMPUTED_VALUE"""),"Q38b")</f>
        <v>Q38b</v>
      </c>
      <c r="E334" s="7" t="str">
        <f>IFERROR(__xludf.DUMMYFUNCTION("""COMPUTED_VALUE"""),"Local government councillors listen")</f>
        <v>Local government councillors listen</v>
      </c>
      <c r="F334" s="7" t="str">
        <f>IFERROR(__xludf.DUMMYFUNCTION("""COMPUTED_VALUE"""),"Local authority councilors")</f>
        <v>Local authority councilors</v>
      </c>
    </row>
    <row r="335">
      <c r="A335" s="7" t="str">
        <f>IFERROR(__xludf.DUMMYFUNCTION("""COMPUTED_VALUE"""),"NIGERIA ")</f>
        <v>NIGERIA </v>
      </c>
      <c r="B335" s="8">
        <f>IFERROR(__xludf.DUMMYFUNCTION("""COMPUTED_VALUE"""),8.0)</f>
        <v>8</v>
      </c>
      <c r="C335" s="7" t="str">
        <f>IFERROR(__xludf.DUMMYFUNCTION("""COMPUTED_VALUE"""),"B_03_15")</f>
        <v>B_03_15</v>
      </c>
      <c r="D335" s="7" t="str">
        <f>IFERROR(__xludf.DUMMYFUNCTION("""COMPUTED_VALUE"""),"Q38b")</f>
        <v>Q38b</v>
      </c>
      <c r="E335" s="7" t="str">
        <f>IFERROR(__xludf.DUMMYFUNCTION("""COMPUTED_VALUE"""),"Local government councillors listen")</f>
        <v>Local government councillors listen</v>
      </c>
      <c r="F335" s="7" t="str">
        <f>IFERROR(__xludf.DUMMYFUNCTION("""COMPUTED_VALUE"""),"Local government councillors")</f>
        <v>Local government councillors</v>
      </c>
    </row>
    <row r="336">
      <c r="A336" s="7" t="str">
        <f>IFERROR(__xludf.DUMMYFUNCTION("""COMPUTED_VALUE"""),"SIERRA LEONE")</f>
        <v>SIERRA LEONE</v>
      </c>
      <c r="B336" s="8">
        <f>IFERROR(__xludf.DUMMYFUNCTION("""COMPUTED_VALUE"""),8.0)</f>
        <v>8</v>
      </c>
      <c r="C336" s="7" t="str">
        <f>IFERROR(__xludf.DUMMYFUNCTION("""COMPUTED_VALUE"""),"B_03_15")</f>
        <v>B_03_15</v>
      </c>
      <c r="D336" s="7" t="str">
        <f>IFERROR(__xludf.DUMMYFUNCTION("""COMPUTED_VALUE"""),"Q38b")</f>
        <v>Q38b</v>
      </c>
      <c r="E336" s="7" t="str">
        <f>IFERROR(__xludf.DUMMYFUNCTION("""COMPUTED_VALUE"""),"Local government councillors listen")</f>
        <v>Local government councillors listen</v>
      </c>
      <c r="F336" s="7" t="str">
        <f>IFERROR(__xludf.DUMMYFUNCTION("""COMPUTED_VALUE"""),"Members of local government council")</f>
        <v>Members of local government council</v>
      </c>
    </row>
    <row r="337">
      <c r="A337" s="7" t="str">
        <f>IFERROR(__xludf.DUMMYFUNCTION("""COMPUTED_VALUE"""),"SOUTH AFRICA")</f>
        <v>SOUTH AFRICA</v>
      </c>
      <c r="B337" s="8">
        <f>IFERROR(__xludf.DUMMYFUNCTION("""COMPUTED_VALUE"""),8.0)</f>
        <v>8</v>
      </c>
      <c r="C337" s="7" t="str">
        <f>IFERROR(__xludf.DUMMYFUNCTION("""COMPUTED_VALUE"""),"B_03_15")</f>
        <v>B_03_15</v>
      </c>
      <c r="D337" s="7" t="str">
        <f>IFERROR(__xludf.DUMMYFUNCTION("""COMPUTED_VALUE"""),"Q38b")</f>
        <v>Q38b</v>
      </c>
      <c r="E337" s="7" t="str">
        <f>IFERROR(__xludf.DUMMYFUNCTION("""COMPUTED_VALUE"""),"Local government councillors listen")</f>
        <v>Local government councillors listen</v>
      </c>
      <c r="F337" s="7" t="str">
        <f>IFERROR(__xludf.DUMMYFUNCTION("""COMPUTED_VALUE"""),"Members of local government council")</f>
        <v>Members of local government council</v>
      </c>
    </row>
    <row r="338">
      <c r="A338" s="7" t="str">
        <f>IFERROR(__xludf.DUMMYFUNCTION("""COMPUTED_VALUE"""),"TANZANIA")</f>
        <v>TANZANIA</v>
      </c>
      <c r="B338" s="8">
        <f>IFERROR(__xludf.DUMMYFUNCTION("""COMPUTED_VALUE"""),8.0)</f>
        <v>8</v>
      </c>
      <c r="C338" s="7" t="str">
        <f>IFERROR(__xludf.DUMMYFUNCTION("""COMPUTED_VALUE"""),"B_03_15")</f>
        <v>B_03_15</v>
      </c>
      <c r="D338" s="7" t="str">
        <f>IFERROR(__xludf.DUMMYFUNCTION("""COMPUTED_VALUE"""),"Q38b")</f>
        <v>Q38b</v>
      </c>
      <c r="E338" s="7" t="str">
        <f>IFERROR(__xludf.DUMMYFUNCTION("""COMPUTED_VALUE"""),"Local government councillors listen")</f>
        <v>Local government councillors listen</v>
      </c>
      <c r="F338" s="7" t="str">
        <f>IFERROR(__xludf.DUMMYFUNCTION("""COMPUTED_VALUE"""),"Councillors")</f>
        <v>Councillors</v>
      </c>
    </row>
    <row r="339">
      <c r="A339" s="7" t="str">
        <f>IFERROR(__xludf.DUMMYFUNCTION("""COMPUTED_VALUE"""),"TUNISIA ")</f>
        <v>TUNISIA </v>
      </c>
      <c r="B339" s="8">
        <f>IFERROR(__xludf.DUMMYFUNCTION("""COMPUTED_VALUE"""),8.0)</f>
        <v>8</v>
      </c>
      <c r="C339" s="7" t="str">
        <f>IFERROR(__xludf.DUMMYFUNCTION("""COMPUTED_VALUE"""),"B_03_15")</f>
        <v>B_03_15</v>
      </c>
      <c r="D339" s="7" t="str">
        <f>IFERROR(__xludf.DUMMYFUNCTION("""COMPUTED_VALUE"""),"Q38b")</f>
        <v>Q38b</v>
      </c>
      <c r="E339" s="7" t="str">
        <f>IFERROR(__xludf.DUMMYFUNCTION("""COMPUTED_VALUE"""),"Local government councillors listen")</f>
        <v>Local government councillors listen</v>
      </c>
      <c r="F339" s="7" t="str">
        <f>IFERROR(__xludf.DUMMYFUNCTION("""COMPUTED_VALUE"""),"Municipal council members")</f>
        <v>Municipal council members</v>
      </c>
    </row>
    <row r="340">
      <c r="A340" s="7" t="str">
        <f>IFERROR(__xludf.DUMMYFUNCTION("""COMPUTED_VALUE"""),"UGANDA  ")</f>
        <v>UGANDA  </v>
      </c>
      <c r="B340" s="8">
        <f>IFERROR(__xludf.DUMMYFUNCTION("""COMPUTED_VALUE"""),8.0)</f>
        <v>8</v>
      </c>
      <c r="C340" s="7" t="str">
        <f>IFERROR(__xludf.DUMMYFUNCTION("""COMPUTED_VALUE"""),"B_03_15")</f>
        <v>B_03_15</v>
      </c>
      <c r="D340" s="7" t="str">
        <f>IFERROR(__xludf.DUMMYFUNCTION("""COMPUTED_VALUE"""),"Q38b")</f>
        <v>Q38b</v>
      </c>
      <c r="E340" s="7" t="str">
        <f>IFERROR(__xludf.DUMMYFUNCTION("""COMPUTED_VALUE"""),"Local government councillors listen")</f>
        <v>Local government councillors listen</v>
      </c>
      <c r="F340" s="7" t="str">
        <f>IFERROR(__xludf.DUMMYFUNCTION("""COMPUTED_VALUE"""),"Members of local government council")</f>
        <v>Members of local government council</v>
      </c>
    </row>
    <row r="341">
      <c r="A341" s="7" t="str">
        <f>IFERROR(__xludf.DUMMYFUNCTION("""COMPUTED_VALUE"""),"ZAMBIA")</f>
        <v>ZAMBIA</v>
      </c>
      <c r="B341" s="8">
        <f>IFERROR(__xludf.DUMMYFUNCTION("""COMPUTED_VALUE"""),8.0)</f>
        <v>8</v>
      </c>
      <c r="C341" s="7" t="str">
        <f>IFERROR(__xludf.DUMMYFUNCTION("""COMPUTED_VALUE"""),"B_03_15")</f>
        <v>B_03_15</v>
      </c>
      <c r="D341" s="7" t="str">
        <f>IFERROR(__xludf.DUMMYFUNCTION("""COMPUTED_VALUE"""),"Q38b")</f>
        <v>Q38b</v>
      </c>
      <c r="E341" s="7" t="str">
        <f>IFERROR(__xludf.DUMMYFUNCTION("""COMPUTED_VALUE"""),"Local government councillors listen")</f>
        <v>Local government councillors listen</v>
      </c>
      <c r="F341" s="7" t="str">
        <f>IFERROR(__xludf.DUMMYFUNCTION("""COMPUTED_VALUE"""),"Members of local governemnt Council")</f>
        <v>Members of local governemnt Council</v>
      </c>
    </row>
    <row r="342">
      <c r="A342" s="7" t="str">
        <f>IFERROR(__xludf.DUMMYFUNCTION("""COMPUTED_VALUE"""),"ZIMBABWE")</f>
        <v>ZIMBABWE</v>
      </c>
      <c r="B342" s="8">
        <f>IFERROR(__xludf.DUMMYFUNCTION("""COMPUTED_VALUE"""),8.0)</f>
        <v>8</v>
      </c>
      <c r="C342" s="7" t="str">
        <f>IFERROR(__xludf.DUMMYFUNCTION("""COMPUTED_VALUE"""),"B_03_15")</f>
        <v>B_03_15</v>
      </c>
      <c r="D342" s="7" t="str">
        <f>IFERROR(__xludf.DUMMYFUNCTION("""COMPUTED_VALUE"""),"Q38b")</f>
        <v>Q38b</v>
      </c>
      <c r="E342" s="7" t="str">
        <f>IFERROR(__xludf.DUMMYFUNCTION("""COMPUTED_VALUE"""),"Local government councillors listen")</f>
        <v>Local government councillors listen</v>
      </c>
      <c r="F342" s="7" t="str">
        <f>IFERROR(__xludf.DUMMYFUNCTION("""COMPUTED_VALUE"""),"Local government councilors")</f>
        <v>Local government councilors</v>
      </c>
    </row>
    <row r="343">
      <c r="A343" s="7" t="str">
        <f>IFERROR(__xludf.DUMMYFUNCTION("""COMPUTED_VALUE"""),"BOTSWANA ")</f>
        <v>BOTSWANA </v>
      </c>
      <c r="B343" s="8">
        <f>IFERROR(__xludf.DUMMYFUNCTION("""COMPUTED_VALUE"""),8.0)</f>
        <v>8</v>
      </c>
      <c r="C343" s="7" t="str">
        <f>IFERROR(__xludf.DUMMYFUNCTION("""COMPUTED_VALUE"""),"H_18")</f>
        <v>H_18</v>
      </c>
      <c r="D343" s="7" t="str">
        <f>IFERROR(__xludf.DUMMYFUNCTION("""COMPUTED_VALUE"""),"Q41a")</f>
        <v>Q41a</v>
      </c>
      <c r="E343" s="7" t="str">
        <f>IFERROR(__xludf.DUMMYFUNCTION("""COMPUTED_VALUE"""),"Trust president")</f>
        <v>Trust president</v>
      </c>
      <c r="F343" s="7" t="str">
        <f>IFERROR(__xludf.DUMMYFUNCTION("""COMPUTED_VALUE"""),"The president")</f>
        <v>The president</v>
      </c>
    </row>
    <row r="344">
      <c r="A344" s="7" t="str">
        <f>IFERROR(__xludf.DUMMYFUNCTION("""COMPUTED_VALUE"""),"CABO VERDE ")</f>
        <v>CABO VERDE </v>
      </c>
      <c r="B344" s="8">
        <f>IFERROR(__xludf.DUMMYFUNCTION("""COMPUTED_VALUE"""),8.0)</f>
        <v>8</v>
      </c>
      <c r="C344" s="7" t="str">
        <f>IFERROR(__xludf.DUMMYFUNCTION("""COMPUTED_VALUE"""),"H_18")</f>
        <v>H_18</v>
      </c>
      <c r="D344" s="7" t="str">
        <f>IFERROR(__xludf.DUMMYFUNCTION("""COMPUTED_VALUE"""),"Q41a")</f>
        <v>Q41a</v>
      </c>
      <c r="E344" s="7" t="str">
        <f>IFERROR(__xludf.DUMMYFUNCTION("""COMPUTED_VALUE"""),"Trust president")</f>
        <v>Trust president</v>
      </c>
      <c r="F344" s="7" t="str">
        <f>IFERROR(__xludf.DUMMYFUNCTION("""COMPUTED_VALUE"""),"The President, Prime MInister")</f>
        <v>The President, Prime MInister</v>
      </c>
    </row>
    <row r="345">
      <c r="A345" s="7" t="str">
        <f>IFERROR(__xludf.DUMMYFUNCTION("""COMPUTED_VALUE"""),"CAMEROON")</f>
        <v>CAMEROON</v>
      </c>
      <c r="B345" s="8">
        <f>IFERROR(__xludf.DUMMYFUNCTION("""COMPUTED_VALUE"""),8.0)</f>
        <v>8</v>
      </c>
      <c r="C345" s="7" t="str">
        <f>IFERROR(__xludf.DUMMYFUNCTION("""COMPUTED_VALUE"""),"H_18")</f>
        <v>H_18</v>
      </c>
      <c r="D345" s="7" t="str">
        <f>IFERROR(__xludf.DUMMYFUNCTION("""COMPUTED_VALUE"""),"Q41a")</f>
        <v>Q41a</v>
      </c>
      <c r="E345" s="7" t="str">
        <f>IFERROR(__xludf.DUMMYFUNCTION("""COMPUTED_VALUE"""),"Trust president")</f>
        <v>Trust president</v>
      </c>
      <c r="F345" s="7" t="str">
        <f>IFERROR(__xludf.DUMMYFUNCTION("""COMPUTED_VALUE"""),"The president")</f>
        <v>The president</v>
      </c>
    </row>
    <row r="346">
      <c r="A346" s="7" t="str">
        <f>IFERROR(__xludf.DUMMYFUNCTION("""COMPUTED_VALUE"""),"ESWATINI")</f>
        <v>ESWATINI</v>
      </c>
      <c r="B346" s="8">
        <f>IFERROR(__xludf.DUMMYFUNCTION("""COMPUTED_VALUE"""),8.0)</f>
        <v>8</v>
      </c>
      <c r="C346" s="7" t="str">
        <f>IFERROR(__xludf.DUMMYFUNCTION("""COMPUTED_VALUE"""),"H_18")</f>
        <v>H_18</v>
      </c>
      <c r="D346" s="7" t="str">
        <f>IFERROR(__xludf.DUMMYFUNCTION("""COMPUTED_VALUE"""),"Q41a")</f>
        <v>Q41a</v>
      </c>
      <c r="E346" s="7" t="str">
        <f>IFERROR(__xludf.DUMMYFUNCTION("""COMPUTED_VALUE"""),"Trust president")</f>
        <v>Trust president</v>
      </c>
      <c r="F346" s="7" t="str">
        <f>IFERROR(__xludf.DUMMYFUNCTION("""COMPUTED_VALUE"""),"The prime minister, The King")</f>
        <v>The prime minister, The King</v>
      </c>
    </row>
    <row r="347">
      <c r="A347" s="7" t="str">
        <f>IFERROR(__xludf.DUMMYFUNCTION("""COMPUTED_VALUE"""),"ETHIOPIA")</f>
        <v>ETHIOPIA</v>
      </c>
      <c r="B347" s="8">
        <f>IFERROR(__xludf.DUMMYFUNCTION("""COMPUTED_VALUE"""),8.0)</f>
        <v>8</v>
      </c>
      <c r="C347" s="7" t="str">
        <f>IFERROR(__xludf.DUMMYFUNCTION("""COMPUTED_VALUE"""),"H_18")</f>
        <v>H_18</v>
      </c>
      <c r="D347" s="7" t="str">
        <f>IFERROR(__xludf.DUMMYFUNCTION("""COMPUTED_VALUE"""),"Q41a")</f>
        <v>Q41a</v>
      </c>
      <c r="E347" s="7" t="str">
        <f>IFERROR(__xludf.DUMMYFUNCTION("""COMPUTED_VALUE"""),"Trust president")</f>
        <v>Trust president</v>
      </c>
      <c r="F347" s="7" t="str">
        <f>IFERROR(__xludf.DUMMYFUNCTION("""COMPUTED_VALUE"""),"The Prime Minister")</f>
        <v>The Prime Minister</v>
      </c>
    </row>
    <row r="348">
      <c r="A348" s="7" t="str">
        <f>IFERROR(__xludf.DUMMYFUNCTION("""COMPUTED_VALUE"""),"GAMBIA")</f>
        <v>GAMBIA</v>
      </c>
      <c r="B348" s="8">
        <f>IFERROR(__xludf.DUMMYFUNCTION("""COMPUTED_VALUE"""),8.0)</f>
        <v>8</v>
      </c>
      <c r="C348" s="7" t="str">
        <f>IFERROR(__xludf.DUMMYFUNCTION("""COMPUTED_VALUE"""),"H_18")</f>
        <v>H_18</v>
      </c>
      <c r="D348" s="7" t="str">
        <f>IFERROR(__xludf.DUMMYFUNCTION("""COMPUTED_VALUE"""),"Q41a")</f>
        <v>Q41a</v>
      </c>
      <c r="E348" s="7" t="str">
        <f>IFERROR(__xludf.DUMMYFUNCTION("""COMPUTED_VALUE"""),"Trust president")</f>
        <v>Trust president</v>
      </c>
      <c r="F348" s="7" t="str">
        <f>IFERROR(__xludf.DUMMYFUNCTION("""COMPUTED_VALUE"""),"The president")</f>
        <v>The president</v>
      </c>
    </row>
    <row r="349">
      <c r="A349" s="7" t="str">
        <f>IFERROR(__xludf.DUMMYFUNCTION("""COMPUTED_VALUE"""),"GHANA ")</f>
        <v>GHANA </v>
      </c>
      <c r="B349" s="8">
        <f>IFERROR(__xludf.DUMMYFUNCTION("""COMPUTED_VALUE"""),8.0)</f>
        <v>8</v>
      </c>
      <c r="C349" s="7" t="str">
        <f>IFERROR(__xludf.DUMMYFUNCTION("""COMPUTED_VALUE"""),"H_18")</f>
        <v>H_18</v>
      </c>
      <c r="D349" s="7" t="str">
        <f>IFERROR(__xludf.DUMMYFUNCTION("""COMPUTED_VALUE"""),"Q41a")</f>
        <v>Q41a</v>
      </c>
      <c r="E349" s="7" t="str">
        <f>IFERROR(__xludf.DUMMYFUNCTION("""COMPUTED_VALUE"""),"Trust president")</f>
        <v>Trust president</v>
      </c>
      <c r="F349" s="7" t="str">
        <f>IFERROR(__xludf.DUMMYFUNCTION("""COMPUTED_VALUE"""),"The president")</f>
        <v>The president</v>
      </c>
    </row>
    <row r="350">
      <c r="A350" s="7" t="str">
        <f>IFERROR(__xludf.DUMMYFUNCTION("""COMPUTED_VALUE"""),"KENYA  ")</f>
        <v>KENYA  </v>
      </c>
      <c r="B350" s="8">
        <f>IFERROR(__xludf.DUMMYFUNCTION("""COMPUTED_VALUE"""),8.0)</f>
        <v>8</v>
      </c>
      <c r="C350" s="7" t="str">
        <f>IFERROR(__xludf.DUMMYFUNCTION("""COMPUTED_VALUE"""),"H_18")</f>
        <v>H_18</v>
      </c>
      <c r="D350" s="7" t="str">
        <f>IFERROR(__xludf.DUMMYFUNCTION("""COMPUTED_VALUE"""),"Q41a")</f>
        <v>Q41a</v>
      </c>
      <c r="E350" s="7" t="str">
        <f>IFERROR(__xludf.DUMMYFUNCTION("""COMPUTED_VALUE"""),"Trust president")</f>
        <v>Trust president</v>
      </c>
      <c r="F350" s="7" t="str">
        <f>IFERROR(__xludf.DUMMYFUNCTION("""COMPUTED_VALUE"""),"The president")</f>
        <v>The president</v>
      </c>
    </row>
    <row r="351">
      <c r="A351" s="7" t="str">
        <f>IFERROR(__xludf.DUMMYFUNCTION("""COMPUTED_VALUE"""),"LESOTHO ")</f>
        <v>LESOTHO </v>
      </c>
      <c r="B351" s="8">
        <f>IFERROR(__xludf.DUMMYFUNCTION("""COMPUTED_VALUE"""),8.0)</f>
        <v>8</v>
      </c>
      <c r="C351" s="7" t="str">
        <f>IFERROR(__xludf.DUMMYFUNCTION("""COMPUTED_VALUE"""),"H_18")</f>
        <v>H_18</v>
      </c>
      <c r="D351" s="7" t="str">
        <f>IFERROR(__xludf.DUMMYFUNCTION("""COMPUTED_VALUE"""),"Q41a")</f>
        <v>Q41a</v>
      </c>
      <c r="E351" s="7" t="str">
        <f>IFERROR(__xludf.DUMMYFUNCTION("""COMPUTED_VALUE"""),"Trust president")</f>
        <v>Trust president</v>
      </c>
      <c r="F351" s="7" t="str">
        <f>IFERROR(__xludf.DUMMYFUNCTION("""COMPUTED_VALUE"""),"The Prime Minister")</f>
        <v>The Prime Minister</v>
      </c>
    </row>
    <row r="352">
      <c r="A352" s="7" t="str">
        <f>IFERROR(__xludf.DUMMYFUNCTION("""COMPUTED_VALUE"""),"LIBERIA  ")</f>
        <v>LIBERIA  </v>
      </c>
      <c r="B352" s="8">
        <f>IFERROR(__xludf.DUMMYFUNCTION("""COMPUTED_VALUE"""),8.0)</f>
        <v>8</v>
      </c>
      <c r="C352" s="7" t="str">
        <f>IFERROR(__xludf.DUMMYFUNCTION("""COMPUTED_VALUE"""),"H_18")</f>
        <v>H_18</v>
      </c>
      <c r="D352" s="7" t="str">
        <f>IFERROR(__xludf.DUMMYFUNCTION("""COMPUTED_VALUE"""),"Q41a")</f>
        <v>Q41a</v>
      </c>
      <c r="E352" s="7" t="str">
        <f>IFERROR(__xludf.DUMMYFUNCTION("""COMPUTED_VALUE"""),"Trust president")</f>
        <v>Trust president</v>
      </c>
      <c r="F352" s="7" t="str">
        <f>IFERROR(__xludf.DUMMYFUNCTION("""COMPUTED_VALUE"""),"The President")</f>
        <v>The President</v>
      </c>
    </row>
    <row r="353">
      <c r="A353" s="7" t="str">
        <f>IFERROR(__xludf.DUMMYFUNCTION("""COMPUTED_VALUE"""),"MALAWI ")</f>
        <v>MALAWI </v>
      </c>
      <c r="B353" s="8">
        <f>IFERROR(__xludf.DUMMYFUNCTION("""COMPUTED_VALUE"""),8.0)</f>
        <v>8</v>
      </c>
      <c r="C353" s="7" t="str">
        <f>IFERROR(__xludf.DUMMYFUNCTION("""COMPUTED_VALUE"""),"H_18")</f>
        <v>H_18</v>
      </c>
      <c r="D353" s="7" t="str">
        <f>IFERROR(__xludf.DUMMYFUNCTION("""COMPUTED_VALUE"""),"Q41a")</f>
        <v>Q41a</v>
      </c>
      <c r="E353" s="7" t="str">
        <f>IFERROR(__xludf.DUMMYFUNCTION("""COMPUTED_VALUE"""),"Trust president")</f>
        <v>Trust president</v>
      </c>
      <c r="F353" s="7" t="str">
        <f>IFERROR(__xludf.DUMMYFUNCTION("""COMPUTED_VALUE"""),"The president")</f>
        <v>The president</v>
      </c>
    </row>
    <row r="354">
      <c r="A354" s="7" t="str">
        <f>IFERROR(__xludf.DUMMYFUNCTION("""COMPUTED_VALUE"""),"MOROCCO ")</f>
        <v>MOROCCO </v>
      </c>
      <c r="B354" s="8">
        <f>IFERROR(__xludf.DUMMYFUNCTION("""COMPUTED_VALUE"""),8.0)</f>
        <v>8</v>
      </c>
      <c r="C354" s="7" t="str">
        <f>IFERROR(__xludf.DUMMYFUNCTION("""COMPUTED_VALUE"""),"H_18")</f>
        <v>H_18</v>
      </c>
      <c r="D354" s="7" t="str">
        <f>IFERROR(__xludf.DUMMYFUNCTION("""COMPUTED_VALUE"""),"Q41a")</f>
        <v>Q41a</v>
      </c>
      <c r="E354" s="7" t="str">
        <f>IFERROR(__xludf.DUMMYFUNCTION("""COMPUTED_VALUE"""),"Trust president")</f>
        <v>Trust president</v>
      </c>
      <c r="F354" s="7" t="str">
        <f>IFERROR(__xludf.DUMMYFUNCTION("""COMPUTED_VALUE"""),"The president of government")</f>
        <v>The president of government</v>
      </c>
    </row>
    <row r="355">
      <c r="A355" s="7" t="str">
        <f>IFERROR(__xludf.DUMMYFUNCTION("""COMPUTED_VALUE"""),"MOZAMBIQUE")</f>
        <v>MOZAMBIQUE</v>
      </c>
      <c r="B355" s="8">
        <f>IFERROR(__xludf.DUMMYFUNCTION("""COMPUTED_VALUE"""),8.0)</f>
        <v>8</v>
      </c>
      <c r="C355" s="7" t="str">
        <f>IFERROR(__xludf.DUMMYFUNCTION("""COMPUTED_VALUE"""),"H_18")</f>
        <v>H_18</v>
      </c>
      <c r="D355" s="7" t="str">
        <f>IFERROR(__xludf.DUMMYFUNCTION("""COMPUTED_VALUE"""),"Q41a")</f>
        <v>Q41a</v>
      </c>
      <c r="E355" s="7" t="str">
        <f>IFERROR(__xludf.DUMMYFUNCTION("""COMPUTED_VALUE"""),"Trust president")</f>
        <v>Trust president</v>
      </c>
      <c r="F355" s="7" t="str">
        <f>IFERROR(__xludf.DUMMYFUNCTION("""COMPUTED_VALUE"""),"The president")</f>
        <v>The president</v>
      </c>
    </row>
    <row r="356">
      <c r="A356" s="7" t="str">
        <f>IFERROR(__xludf.DUMMYFUNCTION("""COMPUTED_VALUE"""),"NAMIBIA ")</f>
        <v>NAMIBIA </v>
      </c>
      <c r="B356" s="8">
        <f>IFERROR(__xludf.DUMMYFUNCTION("""COMPUTED_VALUE"""),8.0)</f>
        <v>8</v>
      </c>
      <c r="C356" s="7" t="str">
        <f>IFERROR(__xludf.DUMMYFUNCTION("""COMPUTED_VALUE"""),"H_18")</f>
        <v>H_18</v>
      </c>
      <c r="D356" s="7" t="str">
        <f>IFERROR(__xludf.DUMMYFUNCTION("""COMPUTED_VALUE"""),"Q41a")</f>
        <v>Q41a</v>
      </c>
      <c r="E356" s="7" t="str">
        <f>IFERROR(__xludf.DUMMYFUNCTION("""COMPUTED_VALUE"""),"Trust president")</f>
        <v>Trust president</v>
      </c>
      <c r="F356" s="7" t="str">
        <f>IFERROR(__xludf.DUMMYFUNCTION("""COMPUTED_VALUE"""),"The President")</f>
        <v>The President</v>
      </c>
    </row>
    <row r="357">
      <c r="A357" s="7" t="str">
        <f>IFERROR(__xludf.DUMMYFUNCTION("""COMPUTED_VALUE"""),"NIGERIA ")</f>
        <v>NIGERIA </v>
      </c>
      <c r="B357" s="8">
        <f>IFERROR(__xludf.DUMMYFUNCTION("""COMPUTED_VALUE"""),8.0)</f>
        <v>8</v>
      </c>
      <c r="C357" s="7" t="str">
        <f>IFERROR(__xludf.DUMMYFUNCTION("""COMPUTED_VALUE"""),"H_18")</f>
        <v>H_18</v>
      </c>
      <c r="D357" s="7" t="str">
        <f>IFERROR(__xludf.DUMMYFUNCTION("""COMPUTED_VALUE"""),"Q41a")</f>
        <v>Q41a</v>
      </c>
      <c r="E357" s="7" t="str">
        <f>IFERROR(__xludf.DUMMYFUNCTION("""COMPUTED_VALUE"""),"Trust president")</f>
        <v>Trust president</v>
      </c>
      <c r="F357" s="7" t="str">
        <f>IFERROR(__xludf.DUMMYFUNCTION("""COMPUTED_VALUE"""),"The President")</f>
        <v>The President</v>
      </c>
    </row>
    <row r="358">
      <c r="A358" s="7" t="str">
        <f>IFERROR(__xludf.DUMMYFUNCTION("""COMPUTED_VALUE"""),"SIERRA LEONE")</f>
        <v>SIERRA LEONE</v>
      </c>
      <c r="B358" s="8">
        <f>IFERROR(__xludf.DUMMYFUNCTION("""COMPUTED_VALUE"""),8.0)</f>
        <v>8</v>
      </c>
      <c r="C358" s="7" t="str">
        <f>IFERROR(__xludf.DUMMYFUNCTION("""COMPUTED_VALUE"""),"H_18")</f>
        <v>H_18</v>
      </c>
      <c r="D358" s="7" t="str">
        <f>IFERROR(__xludf.DUMMYFUNCTION("""COMPUTED_VALUE"""),"Q41a")</f>
        <v>Q41a</v>
      </c>
      <c r="E358" s="7" t="str">
        <f>IFERROR(__xludf.DUMMYFUNCTION("""COMPUTED_VALUE"""),"Trust president")</f>
        <v>Trust president</v>
      </c>
      <c r="F358" s="7" t="str">
        <f>IFERROR(__xludf.DUMMYFUNCTION("""COMPUTED_VALUE"""),"The president")</f>
        <v>The president</v>
      </c>
    </row>
    <row r="359">
      <c r="A359" s="7" t="str">
        <f>IFERROR(__xludf.DUMMYFUNCTION("""COMPUTED_VALUE"""),"SOUTH AFRICA")</f>
        <v>SOUTH AFRICA</v>
      </c>
      <c r="B359" s="8">
        <f>IFERROR(__xludf.DUMMYFUNCTION("""COMPUTED_VALUE"""),8.0)</f>
        <v>8</v>
      </c>
      <c r="C359" s="7" t="str">
        <f>IFERROR(__xludf.DUMMYFUNCTION("""COMPUTED_VALUE"""),"H_18")</f>
        <v>H_18</v>
      </c>
      <c r="D359" s="7" t="str">
        <f>IFERROR(__xludf.DUMMYFUNCTION("""COMPUTED_VALUE"""),"Q41a")</f>
        <v>Q41a</v>
      </c>
      <c r="E359" s="7" t="str">
        <f>IFERROR(__xludf.DUMMYFUNCTION("""COMPUTED_VALUE"""),"Trust president")</f>
        <v>Trust president</v>
      </c>
      <c r="F359" s="7" t="str">
        <f>IFERROR(__xludf.DUMMYFUNCTION("""COMPUTED_VALUE"""),"The president")</f>
        <v>The president</v>
      </c>
    </row>
    <row r="360">
      <c r="A360" s="7" t="str">
        <f>IFERROR(__xludf.DUMMYFUNCTION("""COMPUTED_VALUE"""),"SUDAN")</f>
        <v>SUDAN</v>
      </c>
      <c r="B360" s="8">
        <f>IFERROR(__xludf.DUMMYFUNCTION("""COMPUTED_VALUE"""),8.0)</f>
        <v>8</v>
      </c>
      <c r="C360" s="7" t="str">
        <f>IFERROR(__xludf.DUMMYFUNCTION("""COMPUTED_VALUE"""),"H_18")</f>
        <v>H_18</v>
      </c>
      <c r="D360" s="7" t="str">
        <f>IFERROR(__xludf.DUMMYFUNCTION("""COMPUTED_VALUE"""),"Q41a")</f>
        <v>Q41a</v>
      </c>
      <c r="E360" s="7" t="str">
        <f>IFERROR(__xludf.DUMMYFUNCTION("""COMPUTED_VALUE"""),"Trust president")</f>
        <v>Trust president</v>
      </c>
      <c r="F360" s="7" t="str">
        <f>IFERROR(__xludf.DUMMYFUNCTION("""COMPUTED_VALUE"""),"The Prime Minister and officials in his office")</f>
        <v>The Prime Minister and officials in his office</v>
      </c>
    </row>
    <row r="361">
      <c r="A361" s="7" t="str">
        <f>IFERROR(__xludf.DUMMYFUNCTION("""COMPUTED_VALUE"""),"TANZANIA")</f>
        <v>TANZANIA</v>
      </c>
      <c r="B361" s="8">
        <f>IFERROR(__xludf.DUMMYFUNCTION("""COMPUTED_VALUE"""),8.0)</f>
        <v>8</v>
      </c>
      <c r="C361" s="7" t="str">
        <f>IFERROR(__xludf.DUMMYFUNCTION("""COMPUTED_VALUE"""),"H_18")</f>
        <v>H_18</v>
      </c>
      <c r="D361" s="7" t="str">
        <f>IFERROR(__xludf.DUMMYFUNCTION("""COMPUTED_VALUE"""),"Q41a")</f>
        <v>Q41a</v>
      </c>
      <c r="E361" s="7" t="str">
        <f>IFERROR(__xludf.DUMMYFUNCTION("""COMPUTED_VALUE"""),"Trust president")</f>
        <v>Trust president</v>
      </c>
      <c r="F361" s="7" t="str">
        <f>IFERROR(__xludf.DUMMYFUNCTION("""COMPUTED_VALUE"""),"The President")</f>
        <v>The President</v>
      </c>
    </row>
    <row r="362">
      <c r="A362" s="7" t="str">
        <f>IFERROR(__xludf.DUMMYFUNCTION("""COMPUTED_VALUE"""),"TUNISIA ")</f>
        <v>TUNISIA </v>
      </c>
      <c r="B362" s="8">
        <f>IFERROR(__xludf.DUMMYFUNCTION("""COMPUTED_VALUE"""),8.0)</f>
        <v>8</v>
      </c>
      <c r="C362" s="7" t="str">
        <f>IFERROR(__xludf.DUMMYFUNCTION("""COMPUTED_VALUE"""),"H_18")</f>
        <v>H_18</v>
      </c>
      <c r="D362" s="7" t="str">
        <f>IFERROR(__xludf.DUMMYFUNCTION("""COMPUTED_VALUE"""),"Q41a")</f>
        <v>Q41a</v>
      </c>
      <c r="E362" s="7" t="str">
        <f>IFERROR(__xludf.DUMMYFUNCTION("""COMPUTED_VALUE"""),"Trust president")</f>
        <v>Trust president</v>
      </c>
      <c r="F362" s="7" t="str">
        <f>IFERROR(__xludf.DUMMYFUNCTION("""COMPUTED_VALUE"""),"The President")</f>
        <v>The President</v>
      </c>
    </row>
    <row r="363">
      <c r="A363" s="7" t="str">
        <f>IFERROR(__xludf.DUMMYFUNCTION("""COMPUTED_VALUE"""),"UGANDA  ")</f>
        <v>UGANDA  </v>
      </c>
      <c r="B363" s="8">
        <f>IFERROR(__xludf.DUMMYFUNCTION("""COMPUTED_VALUE"""),8.0)</f>
        <v>8</v>
      </c>
      <c r="C363" s="7" t="str">
        <f>IFERROR(__xludf.DUMMYFUNCTION("""COMPUTED_VALUE"""),"H_18")</f>
        <v>H_18</v>
      </c>
      <c r="D363" s="7" t="str">
        <f>IFERROR(__xludf.DUMMYFUNCTION("""COMPUTED_VALUE"""),"Q41a")</f>
        <v>Q41a</v>
      </c>
      <c r="E363" s="7" t="str">
        <f>IFERROR(__xludf.DUMMYFUNCTION("""COMPUTED_VALUE"""),"Trust president")</f>
        <v>Trust president</v>
      </c>
      <c r="F363" s="7" t="str">
        <f>IFERROR(__xludf.DUMMYFUNCTION("""COMPUTED_VALUE"""),"The president")</f>
        <v>The president</v>
      </c>
    </row>
    <row r="364">
      <c r="A364" s="7" t="str">
        <f>IFERROR(__xludf.DUMMYFUNCTION("""COMPUTED_VALUE"""),"ZAMBIA")</f>
        <v>ZAMBIA</v>
      </c>
      <c r="B364" s="8">
        <f>IFERROR(__xludf.DUMMYFUNCTION("""COMPUTED_VALUE"""),8.0)</f>
        <v>8</v>
      </c>
      <c r="C364" s="7" t="str">
        <f>IFERROR(__xludf.DUMMYFUNCTION("""COMPUTED_VALUE"""),"H_18")</f>
        <v>H_18</v>
      </c>
      <c r="D364" s="7" t="str">
        <f>IFERROR(__xludf.DUMMYFUNCTION("""COMPUTED_VALUE"""),"Q41a")</f>
        <v>Q41a</v>
      </c>
      <c r="E364" s="7" t="str">
        <f>IFERROR(__xludf.DUMMYFUNCTION("""COMPUTED_VALUE"""),"Trust president")</f>
        <v>Trust president</v>
      </c>
      <c r="F364" s="7" t="str">
        <f>IFERROR(__xludf.DUMMYFUNCTION("""COMPUTED_VALUE"""),"The President")</f>
        <v>The President</v>
      </c>
    </row>
    <row r="365">
      <c r="A365" s="7" t="str">
        <f>IFERROR(__xludf.DUMMYFUNCTION("""COMPUTED_VALUE"""),"ZIMBABWE")</f>
        <v>ZIMBABWE</v>
      </c>
      <c r="B365" s="8">
        <f>IFERROR(__xludf.DUMMYFUNCTION("""COMPUTED_VALUE"""),8.0)</f>
        <v>8</v>
      </c>
      <c r="C365" s="7" t="str">
        <f>IFERROR(__xludf.DUMMYFUNCTION("""COMPUTED_VALUE"""),"H_18")</f>
        <v>H_18</v>
      </c>
      <c r="D365" s="7" t="str">
        <f>IFERROR(__xludf.DUMMYFUNCTION("""COMPUTED_VALUE"""),"Q41a")</f>
        <v>Q41a</v>
      </c>
      <c r="E365" s="7" t="str">
        <f>IFERROR(__xludf.DUMMYFUNCTION("""COMPUTED_VALUE"""),"Trust president")</f>
        <v>Trust president</v>
      </c>
      <c r="F365" s="7" t="str">
        <f>IFERROR(__xludf.DUMMYFUNCTION("""COMPUTED_VALUE"""),"The president")</f>
        <v>The president</v>
      </c>
    </row>
    <row r="366">
      <c r="A366" s="7" t="str">
        <f>IFERROR(__xludf.DUMMYFUNCTION("""COMPUTED_VALUE"""),"BOTSWANA ")</f>
        <v>BOTSWANA </v>
      </c>
      <c r="B366" s="8">
        <f>IFERROR(__xludf.DUMMYFUNCTION("""COMPUTED_VALUE"""),8.0)</f>
        <v>8</v>
      </c>
      <c r="C366" s="7" t="str">
        <f>IFERROR(__xludf.DUMMYFUNCTION("""COMPUTED_VALUE"""),"H_14")</f>
        <v>H_14</v>
      </c>
      <c r="D366" s="7" t="str">
        <f>IFERROR(__xludf.DUMMYFUNCTION("""COMPUTED_VALUE"""),"Q41b")</f>
        <v>Q41b</v>
      </c>
      <c r="E366" s="7" t="str">
        <f>IFERROR(__xludf.DUMMYFUNCTION("""COMPUTED_VALUE"""),"Trust parliament/national assembly")</f>
        <v>Trust parliament/national assembly</v>
      </c>
      <c r="F366" s="7" t="str">
        <f>IFERROR(__xludf.DUMMYFUNCTION("""COMPUTED_VALUE"""),"Parliament")</f>
        <v>Parliament</v>
      </c>
    </row>
    <row r="367">
      <c r="A367" s="7" t="str">
        <f>IFERROR(__xludf.DUMMYFUNCTION("""COMPUTED_VALUE"""),"CABO VERDE ")</f>
        <v>CABO VERDE </v>
      </c>
      <c r="B367" s="8">
        <f>IFERROR(__xludf.DUMMYFUNCTION("""COMPUTED_VALUE"""),8.0)</f>
        <v>8</v>
      </c>
      <c r="C367" s="7" t="str">
        <f>IFERROR(__xludf.DUMMYFUNCTION("""COMPUTED_VALUE"""),"H_14")</f>
        <v>H_14</v>
      </c>
      <c r="D367" s="7" t="str">
        <f>IFERROR(__xludf.DUMMYFUNCTION("""COMPUTED_VALUE"""),"Q41b")</f>
        <v>Q41b</v>
      </c>
      <c r="E367" s="7" t="str">
        <f>IFERROR(__xludf.DUMMYFUNCTION("""COMPUTED_VALUE"""),"Trust parliament/national assembly")</f>
        <v>Trust parliament/national assembly</v>
      </c>
      <c r="F367" s="7" t="str">
        <f>IFERROR(__xludf.DUMMYFUNCTION("""COMPUTED_VALUE"""),"The National Assembly")</f>
        <v>The National Assembly</v>
      </c>
    </row>
    <row r="368">
      <c r="A368" s="7" t="str">
        <f>IFERROR(__xludf.DUMMYFUNCTION("""COMPUTED_VALUE"""),"CAMEROON")</f>
        <v>CAMEROON</v>
      </c>
      <c r="B368" s="8">
        <f>IFERROR(__xludf.DUMMYFUNCTION("""COMPUTED_VALUE"""),8.0)</f>
        <v>8</v>
      </c>
      <c r="C368" s="7" t="str">
        <f>IFERROR(__xludf.DUMMYFUNCTION("""COMPUTED_VALUE"""),"H_14")</f>
        <v>H_14</v>
      </c>
      <c r="D368" s="7" t="str">
        <f>IFERROR(__xludf.DUMMYFUNCTION("""COMPUTED_VALUE"""),"Q41b")</f>
        <v>Q41b</v>
      </c>
      <c r="E368" s="7" t="str">
        <f>IFERROR(__xludf.DUMMYFUNCTION("""COMPUTED_VALUE"""),"Trust parliament/national assembly")</f>
        <v>Trust parliament/national assembly</v>
      </c>
      <c r="F368" s="7" t="str">
        <f>IFERROR(__xludf.DUMMYFUNCTION("""COMPUTED_VALUE"""),"Parliament")</f>
        <v>Parliament</v>
      </c>
    </row>
    <row r="369">
      <c r="A369" s="7" t="str">
        <f>IFERROR(__xludf.DUMMYFUNCTION("""COMPUTED_VALUE"""),"ESWATINI")</f>
        <v>ESWATINI</v>
      </c>
      <c r="B369" s="8">
        <f>IFERROR(__xludf.DUMMYFUNCTION("""COMPUTED_VALUE"""),8.0)</f>
        <v>8</v>
      </c>
      <c r="C369" s="7" t="str">
        <f>IFERROR(__xludf.DUMMYFUNCTION("""COMPUTED_VALUE"""),"H_14")</f>
        <v>H_14</v>
      </c>
      <c r="D369" s="7" t="str">
        <f>IFERROR(__xludf.DUMMYFUNCTION("""COMPUTED_VALUE"""),"Q41b")</f>
        <v>Q41b</v>
      </c>
      <c r="E369" s="7" t="str">
        <f>IFERROR(__xludf.DUMMYFUNCTION("""COMPUTED_VALUE"""),"Trust parliament/national assembly")</f>
        <v>Trust parliament/national assembly</v>
      </c>
      <c r="F369" s="7" t="str">
        <f>IFERROR(__xludf.DUMMYFUNCTION("""COMPUTED_VALUE"""),"Parliament")</f>
        <v>Parliament</v>
      </c>
    </row>
    <row r="370">
      <c r="A370" s="7" t="str">
        <f>IFERROR(__xludf.DUMMYFUNCTION("""COMPUTED_VALUE"""),"ETHIOPIA")</f>
        <v>ETHIOPIA</v>
      </c>
      <c r="B370" s="8">
        <f>IFERROR(__xludf.DUMMYFUNCTION("""COMPUTED_VALUE"""),8.0)</f>
        <v>8</v>
      </c>
      <c r="C370" s="7" t="str">
        <f>IFERROR(__xludf.DUMMYFUNCTION("""COMPUTED_VALUE"""),"H_14")</f>
        <v>H_14</v>
      </c>
      <c r="D370" s="7" t="str">
        <f>IFERROR(__xludf.DUMMYFUNCTION("""COMPUTED_VALUE"""),"Q41b")</f>
        <v>Q41b</v>
      </c>
      <c r="E370" s="7" t="str">
        <f>IFERROR(__xludf.DUMMYFUNCTION("""COMPUTED_VALUE"""),"Trust parliament/national assembly")</f>
        <v>Trust parliament/national assembly</v>
      </c>
      <c r="F370" s="7" t="str">
        <f>IFERROR(__xludf.DUMMYFUNCTION("""COMPUTED_VALUE"""),"The House of Peoples’ Representatives")</f>
        <v>The House of Peoples’ Representatives</v>
      </c>
    </row>
    <row r="371">
      <c r="A371" s="7" t="str">
        <f>IFERROR(__xludf.DUMMYFUNCTION("""COMPUTED_VALUE"""),"GAMBIA")</f>
        <v>GAMBIA</v>
      </c>
      <c r="B371" s="8">
        <f>IFERROR(__xludf.DUMMYFUNCTION("""COMPUTED_VALUE"""),8.0)</f>
        <v>8</v>
      </c>
      <c r="C371" s="7" t="str">
        <f>IFERROR(__xludf.DUMMYFUNCTION("""COMPUTED_VALUE"""),"H_14")</f>
        <v>H_14</v>
      </c>
      <c r="D371" s="7" t="str">
        <f>IFERROR(__xludf.DUMMYFUNCTION("""COMPUTED_VALUE"""),"Q41b")</f>
        <v>Q41b</v>
      </c>
      <c r="E371" s="7" t="str">
        <f>IFERROR(__xludf.DUMMYFUNCTION("""COMPUTED_VALUE"""),"Trust parliament/national assembly")</f>
        <v>Trust parliament/national assembly</v>
      </c>
      <c r="F371" s="7" t="str">
        <f>IFERROR(__xludf.DUMMYFUNCTION("""COMPUTED_VALUE"""),"The National Assembly")</f>
        <v>The National Assembly</v>
      </c>
    </row>
    <row r="372">
      <c r="A372" s="7" t="str">
        <f>IFERROR(__xludf.DUMMYFUNCTION("""COMPUTED_VALUE"""),"GHANA ")</f>
        <v>GHANA </v>
      </c>
      <c r="B372" s="8">
        <f>IFERROR(__xludf.DUMMYFUNCTION("""COMPUTED_VALUE"""),8.0)</f>
        <v>8</v>
      </c>
      <c r="C372" s="7" t="str">
        <f>IFERROR(__xludf.DUMMYFUNCTION("""COMPUTED_VALUE"""),"H_14")</f>
        <v>H_14</v>
      </c>
      <c r="D372" s="7" t="str">
        <f>IFERROR(__xludf.DUMMYFUNCTION("""COMPUTED_VALUE"""),"Q41b")</f>
        <v>Q41b</v>
      </c>
      <c r="E372" s="7" t="str">
        <f>IFERROR(__xludf.DUMMYFUNCTION("""COMPUTED_VALUE"""),"Trust parliament/national assembly")</f>
        <v>Trust parliament/national assembly</v>
      </c>
      <c r="F372" s="7" t="str">
        <f>IFERROR(__xludf.DUMMYFUNCTION("""COMPUTED_VALUE"""),"Parliament")</f>
        <v>Parliament</v>
      </c>
    </row>
    <row r="373">
      <c r="A373" s="7" t="str">
        <f>IFERROR(__xludf.DUMMYFUNCTION("""COMPUTED_VALUE"""),"KENYA  ")</f>
        <v>KENYA  </v>
      </c>
      <c r="B373" s="8">
        <f>IFERROR(__xludf.DUMMYFUNCTION("""COMPUTED_VALUE"""),8.0)</f>
        <v>8</v>
      </c>
      <c r="C373" s="7" t="str">
        <f>IFERROR(__xludf.DUMMYFUNCTION("""COMPUTED_VALUE"""),"H_14")</f>
        <v>H_14</v>
      </c>
      <c r="D373" s="7" t="str">
        <f>IFERROR(__xludf.DUMMYFUNCTION("""COMPUTED_VALUE"""),"Q41b")</f>
        <v>Q41b</v>
      </c>
      <c r="E373" s="7" t="str">
        <f>IFERROR(__xludf.DUMMYFUNCTION("""COMPUTED_VALUE"""),"Trust parliament/national assembly")</f>
        <v>Trust parliament/national assembly</v>
      </c>
      <c r="F373" s="7" t="str">
        <f>IFERROR(__xludf.DUMMYFUNCTION("""COMPUTED_VALUE"""),"Parliament")</f>
        <v>Parliament</v>
      </c>
    </row>
    <row r="374">
      <c r="A374" s="7" t="str">
        <f>IFERROR(__xludf.DUMMYFUNCTION("""COMPUTED_VALUE"""),"LESOTHO ")</f>
        <v>LESOTHO </v>
      </c>
      <c r="B374" s="8">
        <f>IFERROR(__xludf.DUMMYFUNCTION("""COMPUTED_VALUE"""),8.0)</f>
        <v>8</v>
      </c>
      <c r="C374" s="7" t="str">
        <f>IFERROR(__xludf.DUMMYFUNCTION("""COMPUTED_VALUE"""),"H_14")</f>
        <v>H_14</v>
      </c>
      <c r="D374" s="7" t="str">
        <f>IFERROR(__xludf.DUMMYFUNCTION("""COMPUTED_VALUE"""),"Q41b")</f>
        <v>Q41b</v>
      </c>
      <c r="E374" s="7" t="str">
        <f>IFERROR(__xludf.DUMMYFUNCTION("""COMPUTED_VALUE"""),"Trust parliament/national assembly")</f>
        <v>Trust parliament/national assembly</v>
      </c>
      <c r="F374" s="7" t="str">
        <f>IFERROR(__xludf.DUMMYFUNCTION("""COMPUTED_VALUE"""),"Parliament")</f>
        <v>Parliament</v>
      </c>
    </row>
    <row r="375">
      <c r="A375" s="7" t="str">
        <f>IFERROR(__xludf.DUMMYFUNCTION("""COMPUTED_VALUE"""),"LIBERIA  ")</f>
        <v>LIBERIA  </v>
      </c>
      <c r="B375" s="8">
        <f>IFERROR(__xludf.DUMMYFUNCTION("""COMPUTED_VALUE"""),8.0)</f>
        <v>8</v>
      </c>
      <c r="C375" s="7" t="str">
        <f>IFERROR(__xludf.DUMMYFUNCTION("""COMPUTED_VALUE"""),"H_14")</f>
        <v>H_14</v>
      </c>
      <c r="D375" s="7" t="str">
        <f>IFERROR(__xludf.DUMMYFUNCTION("""COMPUTED_VALUE"""),"Q41b")</f>
        <v>Q41b</v>
      </c>
      <c r="E375" s="7" t="str">
        <f>IFERROR(__xludf.DUMMYFUNCTION("""COMPUTED_VALUE"""),"Trust parliament/national assembly")</f>
        <v>Trust parliament/national assembly</v>
      </c>
      <c r="F375" s="7" t="str">
        <f>IFERROR(__xludf.DUMMYFUNCTION("""COMPUTED_VALUE"""),"House of Representatives")</f>
        <v>House of Representatives</v>
      </c>
    </row>
    <row r="376">
      <c r="A376" s="7" t="str">
        <f>IFERROR(__xludf.DUMMYFUNCTION("""COMPUTED_VALUE"""),"MALAWI ")</f>
        <v>MALAWI </v>
      </c>
      <c r="B376" s="8">
        <f>IFERROR(__xludf.DUMMYFUNCTION("""COMPUTED_VALUE"""),8.0)</f>
        <v>8</v>
      </c>
      <c r="C376" s="7" t="str">
        <f>IFERROR(__xludf.DUMMYFUNCTION("""COMPUTED_VALUE"""),"H_14")</f>
        <v>H_14</v>
      </c>
      <c r="D376" s="7" t="str">
        <f>IFERROR(__xludf.DUMMYFUNCTION("""COMPUTED_VALUE"""),"Q41b")</f>
        <v>Q41b</v>
      </c>
      <c r="E376" s="7" t="str">
        <f>IFERROR(__xludf.DUMMYFUNCTION("""COMPUTED_VALUE"""),"Trust parliament/national assembly")</f>
        <v>Trust parliament/national assembly</v>
      </c>
      <c r="F376" s="7" t="str">
        <f>IFERROR(__xludf.DUMMYFUNCTION("""COMPUTED_VALUE"""),"Parliament")</f>
        <v>Parliament</v>
      </c>
    </row>
    <row r="377">
      <c r="A377" s="7" t="str">
        <f>IFERROR(__xludf.DUMMYFUNCTION("""COMPUTED_VALUE"""),"MOROCCO ")</f>
        <v>MOROCCO </v>
      </c>
      <c r="B377" s="8">
        <f>IFERROR(__xludf.DUMMYFUNCTION("""COMPUTED_VALUE"""),8.0)</f>
        <v>8</v>
      </c>
      <c r="C377" s="7" t="str">
        <f>IFERROR(__xludf.DUMMYFUNCTION("""COMPUTED_VALUE"""),"H_14")</f>
        <v>H_14</v>
      </c>
      <c r="D377" s="7" t="str">
        <f>IFERROR(__xludf.DUMMYFUNCTION("""COMPUTED_VALUE"""),"Q41b")</f>
        <v>Q41b</v>
      </c>
      <c r="E377" s="7" t="str">
        <f>IFERROR(__xludf.DUMMYFUNCTION("""COMPUTED_VALUE"""),"Trust parliament/national assembly")</f>
        <v>Trust parliament/national assembly</v>
      </c>
      <c r="F377" s="7" t="str">
        <f>IFERROR(__xludf.DUMMYFUNCTION("""COMPUTED_VALUE"""),"Parliament")</f>
        <v>Parliament</v>
      </c>
    </row>
    <row r="378">
      <c r="A378" s="7" t="str">
        <f>IFERROR(__xludf.DUMMYFUNCTION("""COMPUTED_VALUE"""),"MOZAMBIQUE")</f>
        <v>MOZAMBIQUE</v>
      </c>
      <c r="B378" s="8">
        <f>IFERROR(__xludf.DUMMYFUNCTION("""COMPUTED_VALUE"""),8.0)</f>
        <v>8</v>
      </c>
      <c r="C378" s="7" t="str">
        <f>IFERROR(__xludf.DUMMYFUNCTION("""COMPUTED_VALUE"""),"H_14")</f>
        <v>H_14</v>
      </c>
      <c r="D378" s="7" t="str">
        <f>IFERROR(__xludf.DUMMYFUNCTION("""COMPUTED_VALUE"""),"Q41b")</f>
        <v>Q41b</v>
      </c>
      <c r="E378" s="7" t="str">
        <f>IFERROR(__xludf.DUMMYFUNCTION("""COMPUTED_VALUE"""),"Trust parliament/national assembly")</f>
        <v>Trust parliament/national assembly</v>
      </c>
      <c r="F378" s="7" t="str">
        <f>IFERROR(__xludf.DUMMYFUNCTION("""COMPUTED_VALUE"""),"Parliament")</f>
        <v>Parliament</v>
      </c>
    </row>
    <row r="379">
      <c r="A379" s="7" t="str">
        <f>IFERROR(__xludf.DUMMYFUNCTION("""COMPUTED_VALUE"""),"NAMIBIA ")</f>
        <v>NAMIBIA </v>
      </c>
      <c r="B379" s="8">
        <f>IFERROR(__xludf.DUMMYFUNCTION("""COMPUTED_VALUE"""),8.0)</f>
        <v>8</v>
      </c>
      <c r="C379" s="7" t="str">
        <f>IFERROR(__xludf.DUMMYFUNCTION("""COMPUTED_VALUE"""),"H_14")</f>
        <v>H_14</v>
      </c>
      <c r="D379" s="7" t="str">
        <f>IFERROR(__xludf.DUMMYFUNCTION("""COMPUTED_VALUE"""),"Q41b")</f>
        <v>Q41b</v>
      </c>
      <c r="E379" s="7" t="str">
        <f>IFERROR(__xludf.DUMMYFUNCTION("""COMPUTED_VALUE"""),"Trust parliament/national assembly")</f>
        <v>Trust parliament/national assembly</v>
      </c>
      <c r="F379" s="7" t="str">
        <f>IFERROR(__xludf.DUMMYFUNCTION("""COMPUTED_VALUE"""),"The National Assembly")</f>
        <v>The National Assembly</v>
      </c>
    </row>
    <row r="380">
      <c r="A380" s="7" t="str">
        <f>IFERROR(__xludf.DUMMYFUNCTION("""COMPUTED_VALUE"""),"NIGERIA ")</f>
        <v>NIGERIA </v>
      </c>
      <c r="B380" s="8">
        <f>IFERROR(__xludf.DUMMYFUNCTION("""COMPUTED_VALUE"""),8.0)</f>
        <v>8</v>
      </c>
      <c r="C380" s="7" t="str">
        <f>IFERROR(__xludf.DUMMYFUNCTION("""COMPUTED_VALUE"""),"H_14")</f>
        <v>H_14</v>
      </c>
      <c r="D380" s="7" t="str">
        <f>IFERROR(__xludf.DUMMYFUNCTION("""COMPUTED_VALUE"""),"Q41b")</f>
        <v>Q41b</v>
      </c>
      <c r="E380" s="7" t="str">
        <f>IFERROR(__xludf.DUMMYFUNCTION("""COMPUTED_VALUE"""),"Trust parliament/national assembly")</f>
        <v>Trust parliament/national assembly</v>
      </c>
      <c r="F380" s="7" t="str">
        <f>IFERROR(__xludf.DUMMYFUNCTION("""COMPUTED_VALUE"""),"The National Assembly")</f>
        <v>The National Assembly</v>
      </c>
    </row>
    <row r="381">
      <c r="A381" s="7" t="str">
        <f>IFERROR(__xludf.DUMMYFUNCTION("""COMPUTED_VALUE"""),"SIERRA LEONE")</f>
        <v>SIERRA LEONE</v>
      </c>
      <c r="B381" s="8">
        <f>IFERROR(__xludf.DUMMYFUNCTION("""COMPUTED_VALUE"""),8.0)</f>
        <v>8</v>
      </c>
      <c r="C381" s="7" t="str">
        <f>IFERROR(__xludf.DUMMYFUNCTION("""COMPUTED_VALUE"""),"H_14")</f>
        <v>H_14</v>
      </c>
      <c r="D381" s="7" t="str">
        <f>IFERROR(__xludf.DUMMYFUNCTION("""COMPUTED_VALUE"""),"Q41b")</f>
        <v>Q41b</v>
      </c>
      <c r="E381" s="7" t="str">
        <f>IFERROR(__xludf.DUMMYFUNCTION("""COMPUTED_VALUE"""),"Trust parliament/national assembly")</f>
        <v>Trust parliament/national assembly</v>
      </c>
      <c r="F381" s="7" t="str">
        <f>IFERROR(__xludf.DUMMYFUNCTION("""COMPUTED_VALUE"""),"Parliament")</f>
        <v>Parliament</v>
      </c>
    </row>
    <row r="382">
      <c r="A382" s="7" t="str">
        <f>IFERROR(__xludf.DUMMYFUNCTION("""COMPUTED_VALUE"""),"SOUTH AFRICA")</f>
        <v>SOUTH AFRICA</v>
      </c>
      <c r="B382" s="8">
        <f>IFERROR(__xludf.DUMMYFUNCTION("""COMPUTED_VALUE"""),8.0)</f>
        <v>8</v>
      </c>
      <c r="C382" s="7" t="str">
        <f>IFERROR(__xludf.DUMMYFUNCTION("""COMPUTED_VALUE"""),"H_14")</f>
        <v>H_14</v>
      </c>
      <c r="D382" s="7" t="str">
        <f>IFERROR(__xludf.DUMMYFUNCTION("""COMPUTED_VALUE"""),"Q41b")</f>
        <v>Q41b</v>
      </c>
      <c r="E382" s="7" t="str">
        <f>IFERROR(__xludf.DUMMYFUNCTION("""COMPUTED_VALUE"""),"Trust parliament/national assembly")</f>
        <v>Trust parliament/national assembly</v>
      </c>
      <c r="F382" s="7" t="str">
        <f>IFERROR(__xludf.DUMMYFUNCTION("""COMPUTED_VALUE"""),"Parliament")</f>
        <v>Parliament</v>
      </c>
    </row>
    <row r="383">
      <c r="A383" s="7" t="str">
        <f>IFERROR(__xludf.DUMMYFUNCTION("""COMPUTED_VALUE"""),"TANZANIA")</f>
        <v>TANZANIA</v>
      </c>
      <c r="B383" s="8">
        <f>IFERROR(__xludf.DUMMYFUNCTION("""COMPUTED_VALUE"""),8.0)</f>
        <v>8</v>
      </c>
      <c r="C383" s="7" t="str">
        <f>IFERROR(__xludf.DUMMYFUNCTION("""COMPUTED_VALUE"""),"H_14")</f>
        <v>H_14</v>
      </c>
      <c r="D383" s="7" t="str">
        <f>IFERROR(__xludf.DUMMYFUNCTION("""COMPUTED_VALUE"""),"Q41b")</f>
        <v>Q41b</v>
      </c>
      <c r="E383" s="7" t="str">
        <f>IFERROR(__xludf.DUMMYFUNCTION("""COMPUTED_VALUE"""),"Trust parliament/national assembly")</f>
        <v>Trust parliament/national assembly</v>
      </c>
      <c r="F383" s="7" t="str">
        <f>IFERROR(__xludf.DUMMYFUNCTION("""COMPUTED_VALUE"""),"Parliament")</f>
        <v>Parliament</v>
      </c>
    </row>
    <row r="384">
      <c r="A384" s="7" t="str">
        <f>IFERROR(__xludf.DUMMYFUNCTION("""COMPUTED_VALUE"""),"TUNISIA ")</f>
        <v>TUNISIA </v>
      </c>
      <c r="B384" s="8">
        <f>IFERROR(__xludf.DUMMYFUNCTION("""COMPUTED_VALUE"""),8.0)</f>
        <v>8</v>
      </c>
      <c r="C384" s="7" t="str">
        <f>IFERROR(__xludf.DUMMYFUNCTION("""COMPUTED_VALUE"""),"H_14")</f>
        <v>H_14</v>
      </c>
      <c r="D384" s="7" t="str">
        <f>IFERROR(__xludf.DUMMYFUNCTION("""COMPUTED_VALUE"""),"Q41b")</f>
        <v>Q41b</v>
      </c>
      <c r="E384" s="7" t="str">
        <f>IFERROR(__xludf.DUMMYFUNCTION("""COMPUTED_VALUE"""),"Trust parliament/national assembly")</f>
        <v>Trust parliament/national assembly</v>
      </c>
      <c r="F384" s="7" t="str">
        <f>IFERROR(__xludf.DUMMYFUNCTION("""COMPUTED_VALUE"""),"The Representative Assembly of the People")</f>
        <v>The Representative Assembly of the People</v>
      </c>
    </row>
    <row r="385">
      <c r="A385" s="7" t="str">
        <f>IFERROR(__xludf.DUMMYFUNCTION("""COMPUTED_VALUE"""),"UGANDA  ")</f>
        <v>UGANDA  </v>
      </c>
      <c r="B385" s="8">
        <f>IFERROR(__xludf.DUMMYFUNCTION("""COMPUTED_VALUE"""),8.0)</f>
        <v>8</v>
      </c>
      <c r="C385" s="7" t="str">
        <f>IFERROR(__xludf.DUMMYFUNCTION("""COMPUTED_VALUE"""),"H_14")</f>
        <v>H_14</v>
      </c>
      <c r="D385" s="7" t="str">
        <f>IFERROR(__xludf.DUMMYFUNCTION("""COMPUTED_VALUE"""),"Q41b")</f>
        <v>Q41b</v>
      </c>
      <c r="E385" s="7" t="str">
        <f>IFERROR(__xludf.DUMMYFUNCTION("""COMPUTED_VALUE"""),"Trust parliament/national assembly")</f>
        <v>Trust parliament/national assembly</v>
      </c>
      <c r="F385" s="7" t="str">
        <f>IFERROR(__xludf.DUMMYFUNCTION("""COMPUTED_VALUE"""),"Parliament")</f>
        <v>Parliament</v>
      </c>
    </row>
    <row r="386">
      <c r="A386" s="7" t="str">
        <f>IFERROR(__xludf.DUMMYFUNCTION("""COMPUTED_VALUE"""),"ZAMBIA")</f>
        <v>ZAMBIA</v>
      </c>
      <c r="B386" s="8">
        <f>IFERROR(__xludf.DUMMYFUNCTION("""COMPUTED_VALUE"""),8.0)</f>
        <v>8</v>
      </c>
      <c r="C386" s="7" t="str">
        <f>IFERROR(__xludf.DUMMYFUNCTION("""COMPUTED_VALUE"""),"H_14")</f>
        <v>H_14</v>
      </c>
      <c r="D386" s="7" t="str">
        <f>IFERROR(__xludf.DUMMYFUNCTION("""COMPUTED_VALUE"""),"Q41b")</f>
        <v>Q41b</v>
      </c>
      <c r="E386" s="7" t="str">
        <f>IFERROR(__xludf.DUMMYFUNCTION("""COMPUTED_VALUE"""),"Trust parliament/national assembly")</f>
        <v>Trust parliament/national assembly</v>
      </c>
      <c r="F386" s="7" t="str">
        <f>IFERROR(__xludf.DUMMYFUNCTION("""COMPUTED_VALUE"""),"Parliament")</f>
        <v>Parliament</v>
      </c>
    </row>
    <row r="387">
      <c r="A387" s="7" t="str">
        <f>IFERROR(__xludf.DUMMYFUNCTION("""COMPUTED_VALUE"""),"ZIMBABWE")</f>
        <v>ZIMBABWE</v>
      </c>
      <c r="B387" s="8">
        <f>IFERROR(__xludf.DUMMYFUNCTION("""COMPUTED_VALUE"""),8.0)</f>
        <v>8</v>
      </c>
      <c r="C387" s="7" t="str">
        <f>IFERROR(__xludf.DUMMYFUNCTION("""COMPUTED_VALUE"""),"H_14")</f>
        <v>H_14</v>
      </c>
      <c r="D387" s="7" t="str">
        <f>IFERROR(__xludf.DUMMYFUNCTION("""COMPUTED_VALUE"""),"Q41b")</f>
        <v>Q41b</v>
      </c>
      <c r="E387" s="7" t="str">
        <f>IFERROR(__xludf.DUMMYFUNCTION("""COMPUTED_VALUE"""),"Trust parliament/national assembly")</f>
        <v>Trust parliament/national assembly</v>
      </c>
      <c r="F387" s="7" t="str">
        <f>IFERROR(__xludf.DUMMYFUNCTION("""COMPUTED_VALUE"""),"Parliament")</f>
        <v>Parliament</v>
      </c>
    </row>
    <row r="388">
      <c r="A388" s="7" t="str">
        <f>IFERROR(__xludf.DUMMYFUNCTION("""COMPUTED_VALUE"""),"BOTSWANA ")</f>
        <v>BOTSWANA </v>
      </c>
      <c r="B388" s="8">
        <f>IFERROR(__xludf.DUMMYFUNCTION("""COMPUTED_VALUE"""),8.0)</f>
        <v>8</v>
      </c>
      <c r="C388" s="7" t="str">
        <f>IFERROR(__xludf.DUMMYFUNCTION("""COMPUTED_VALUE"""),"H_09")</f>
        <v>H_09</v>
      </c>
      <c r="D388" s="7" t="str">
        <f>IFERROR(__xludf.DUMMYFUNCTION("""COMPUTED_VALUE"""),"Q41c")</f>
        <v>Q41c</v>
      </c>
      <c r="E388" s="7" t="str">
        <f>IFERROR(__xludf.DUMMYFUNCTION("""COMPUTED_VALUE"""),"Trust national electoral commission")</f>
        <v>Trust national electoral commission</v>
      </c>
      <c r="F388" s="7" t="str">
        <f>IFERROR(__xludf.DUMMYFUNCTION("""COMPUTED_VALUE"""),"Independent Electoral Commission or IEC")</f>
        <v>Independent Electoral Commission or IEC</v>
      </c>
    </row>
    <row r="389">
      <c r="A389" s="7" t="str">
        <f>IFERROR(__xludf.DUMMYFUNCTION("""COMPUTED_VALUE"""),"CABO VERDE ")</f>
        <v>CABO VERDE </v>
      </c>
      <c r="B389" s="8">
        <f>IFERROR(__xludf.DUMMYFUNCTION("""COMPUTED_VALUE"""),8.0)</f>
        <v>8</v>
      </c>
      <c r="C389" s="7" t="str">
        <f>IFERROR(__xludf.DUMMYFUNCTION("""COMPUTED_VALUE"""),"H_09")</f>
        <v>H_09</v>
      </c>
      <c r="D389" s="7" t="str">
        <f>IFERROR(__xludf.DUMMYFUNCTION("""COMPUTED_VALUE"""),"Q41c")</f>
        <v>Q41c</v>
      </c>
      <c r="E389" s="7" t="str">
        <f>IFERROR(__xludf.DUMMYFUNCTION("""COMPUTED_VALUE"""),"Trust national electoral commission")</f>
        <v>Trust national electoral commission</v>
      </c>
      <c r="F389" s="7" t="str">
        <f>IFERROR(__xludf.DUMMYFUNCTION("""COMPUTED_VALUE"""),"National Electoral Commission or CNE")</f>
        <v>National Electoral Commission or CNE</v>
      </c>
    </row>
    <row r="390">
      <c r="A390" s="7" t="str">
        <f>IFERROR(__xludf.DUMMYFUNCTION("""COMPUTED_VALUE"""),"CAMEROON")</f>
        <v>CAMEROON</v>
      </c>
      <c r="B390" s="8">
        <f>IFERROR(__xludf.DUMMYFUNCTION("""COMPUTED_VALUE"""),8.0)</f>
        <v>8</v>
      </c>
      <c r="C390" s="7" t="str">
        <f>IFERROR(__xludf.DUMMYFUNCTION("""COMPUTED_VALUE"""),"H_09")</f>
        <v>H_09</v>
      </c>
      <c r="D390" s="7" t="str">
        <f>IFERROR(__xludf.DUMMYFUNCTION("""COMPUTED_VALUE"""),"Q41c")</f>
        <v>Q41c</v>
      </c>
      <c r="E390" s="7" t="str">
        <f>IFERROR(__xludf.DUMMYFUNCTION("""COMPUTED_VALUE"""),"Trust national electoral commission")</f>
        <v>Trust national electoral commission</v>
      </c>
      <c r="F390" s="7" t="str">
        <f>IFERROR(__xludf.DUMMYFUNCTION("""COMPUTED_VALUE"""),"Elections Cameroon or ELECAM")</f>
        <v>Elections Cameroon or ELECAM</v>
      </c>
    </row>
    <row r="391">
      <c r="A391" s="7" t="str">
        <f>IFERROR(__xludf.DUMMYFUNCTION("""COMPUTED_VALUE"""),"ESWATINI")</f>
        <v>ESWATINI</v>
      </c>
      <c r="B391" s="8">
        <f>IFERROR(__xludf.DUMMYFUNCTION("""COMPUTED_VALUE"""),8.0)</f>
        <v>8</v>
      </c>
      <c r="C391" s="7" t="str">
        <f>IFERROR(__xludf.DUMMYFUNCTION("""COMPUTED_VALUE"""),"H_09")</f>
        <v>H_09</v>
      </c>
      <c r="D391" s="7" t="str">
        <f>IFERROR(__xludf.DUMMYFUNCTION("""COMPUTED_VALUE"""),"Q41c")</f>
        <v>Q41c</v>
      </c>
      <c r="E391" s="7" t="str">
        <f>IFERROR(__xludf.DUMMYFUNCTION("""COMPUTED_VALUE"""),"Trust national electoral commission")</f>
        <v>Trust national electoral commission</v>
      </c>
      <c r="F391" s="7" t="str">
        <f>IFERROR(__xludf.DUMMYFUNCTION("""COMPUTED_VALUE"""),"The Elections and Boundaries Commission")</f>
        <v>The Elections and Boundaries Commission</v>
      </c>
    </row>
    <row r="392">
      <c r="A392" s="7" t="str">
        <f>IFERROR(__xludf.DUMMYFUNCTION("""COMPUTED_VALUE"""),"ETHIOPIA")</f>
        <v>ETHIOPIA</v>
      </c>
      <c r="B392" s="8">
        <f>IFERROR(__xludf.DUMMYFUNCTION("""COMPUTED_VALUE"""),8.0)</f>
        <v>8</v>
      </c>
      <c r="C392" s="7" t="str">
        <f>IFERROR(__xludf.DUMMYFUNCTION("""COMPUTED_VALUE"""),"H_09")</f>
        <v>H_09</v>
      </c>
      <c r="D392" s="7" t="str">
        <f>IFERROR(__xludf.DUMMYFUNCTION("""COMPUTED_VALUE"""),"Q41c")</f>
        <v>Q41c</v>
      </c>
      <c r="E392" s="7" t="str">
        <f>IFERROR(__xludf.DUMMYFUNCTION("""COMPUTED_VALUE"""),"Trust national electoral commission")</f>
        <v>Trust national electoral commission</v>
      </c>
      <c r="F392" s="7" t="str">
        <f>IFERROR(__xludf.DUMMYFUNCTION("""COMPUTED_VALUE"""),"National Elections Board of Ethiopia or NEBE")</f>
        <v>National Elections Board of Ethiopia or NEBE</v>
      </c>
    </row>
    <row r="393">
      <c r="A393" s="7" t="str">
        <f>IFERROR(__xludf.DUMMYFUNCTION("""COMPUTED_VALUE"""),"GAMBIA")</f>
        <v>GAMBIA</v>
      </c>
      <c r="B393" s="8">
        <f>IFERROR(__xludf.DUMMYFUNCTION("""COMPUTED_VALUE"""),8.0)</f>
        <v>8</v>
      </c>
      <c r="C393" s="7" t="str">
        <f>IFERROR(__xludf.DUMMYFUNCTION("""COMPUTED_VALUE"""),"H_09")</f>
        <v>H_09</v>
      </c>
      <c r="D393" s="7" t="str">
        <f>IFERROR(__xludf.DUMMYFUNCTION("""COMPUTED_VALUE"""),"Q41c")</f>
        <v>Q41c</v>
      </c>
      <c r="E393" s="7" t="str">
        <f>IFERROR(__xludf.DUMMYFUNCTION("""COMPUTED_VALUE"""),"Trust national electoral commission")</f>
        <v>Trust national electoral commission</v>
      </c>
      <c r="F393" s="7" t="str">
        <f>IFERROR(__xludf.DUMMYFUNCTION("""COMPUTED_VALUE"""),"Independent Electoral Commission or IEC")</f>
        <v>Independent Electoral Commission or IEC</v>
      </c>
    </row>
    <row r="394">
      <c r="A394" s="7" t="str">
        <f>IFERROR(__xludf.DUMMYFUNCTION("""COMPUTED_VALUE"""),"GHANA ")</f>
        <v>GHANA </v>
      </c>
      <c r="B394" s="8">
        <f>IFERROR(__xludf.DUMMYFUNCTION("""COMPUTED_VALUE"""),8.0)</f>
        <v>8</v>
      </c>
      <c r="C394" s="7" t="str">
        <f>IFERROR(__xludf.DUMMYFUNCTION("""COMPUTED_VALUE"""),"H_09")</f>
        <v>H_09</v>
      </c>
      <c r="D394" s="7" t="str">
        <f>IFERROR(__xludf.DUMMYFUNCTION("""COMPUTED_VALUE"""),"Q41c")</f>
        <v>Q41c</v>
      </c>
      <c r="E394" s="7" t="str">
        <f>IFERROR(__xludf.DUMMYFUNCTION("""COMPUTED_VALUE"""),"Trust national electoral commission")</f>
        <v>Trust national electoral commission</v>
      </c>
      <c r="F394" s="7" t="str">
        <f>IFERROR(__xludf.DUMMYFUNCTION("""COMPUTED_VALUE"""),"The Electoral Commission or (EC)")</f>
        <v>The Electoral Commission or (EC)</v>
      </c>
    </row>
    <row r="395">
      <c r="A395" s="7" t="str">
        <f>IFERROR(__xludf.DUMMYFUNCTION("""COMPUTED_VALUE"""),"KENYA  ")</f>
        <v>KENYA  </v>
      </c>
      <c r="B395" s="8">
        <f>IFERROR(__xludf.DUMMYFUNCTION("""COMPUTED_VALUE"""),8.0)</f>
        <v>8</v>
      </c>
      <c r="C395" s="7" t="str">
        <f>IFERROR(__xludf.DUMMYFUNCTION("""COMPUTED_VALUE"""),"H_09")</f>
        <v>H_09</v>
      </c>
      <c r="D395" s="7" t="str">
        <f>IFERROR(__xludf.DUMMYFUNCTION("""COMPUTED_VALUE"""),"Q41c")</f>
        <v>Q41c</v>
      </c>
      <c r="E395" s="7" t="str">
        <f>IFERROR(__xludf.DUMMYFUNCTION("""COMPUTED_VALUE"""),"Trust national electoral commission")</f>
        <v>Trust national electoral commission</v>
      </c>
      <c r="F395" s="7" t="str">
        <f>IFERROR(__xludf.DUMMYFUNCTION("""COMPUTED_VALUE"""),"Independent Electoral and Boundaries Commission or IEBC")</f>
        <v>Independent Electoral and Boundaries Commission or IEBC</v>
      </c>
    </row>
    <row r="396">
      <c r="A396" s="7" t="str">
        <f>IFERROR(__xludf.DUMMYFUNCTION("""COMPUTED_VALUE"""),"LESOTHO ")</f>
        <v>LESOTHO </v>
      </c>
      <c r="B396" s="8">
        <f>IFERROR(__xludf.DUMMYFUNCTION("""COMPUTED_VALUE"""),8.0)</f>
        <v>8</v>
      </c>
      <c r="C396" s="7" t="str">
        <f>IFERROR(__xludf.DUMMYFUNCTION("""COMPUTED_VALUE"""),"H_09")</f>
        <v>H_09</v>
      </c>
      <c r="D396" s="7" t="str">
        <f>IFERROR(__xludf.DUMMYFUNCTION("""COMPUTED_VALUE"""),"Q41c")</f>
        <v>Q41c</v>
      </c>
      <c r="E396" s="7" t="str">
        <f>IFERROR(__xludf.DUMMYFUNCTION("""COMPUTED_VALUE"""),"Trust national electoral commission")</f>
        <v>Trust national electoral commission</v>
      </c>
      <c r="F396" s="7" t="str">
        <f>IFERROR(__xludf.DUMMYFUNCTION("""COMPUTED_VALUE"""),"Independent Electoral Commission or IEC")</f>
        <v>Independent Electoral Commission or IEC</v>
      </c>
    </row>
    <row r="397">
      <c r="A397" s="7" t="str">
        <f>IFERROR(__xludf.DUMMYFUNCTION("""COMPUTED_VALUE"""),"LIBERIA  ")</f>
        <v>LIBERIA  </v>
      </c>
      <c r="B397" s="8">
        <f>IFERROR(__xludf.DUMMYFUNCTION("""COMPUTED_VALUE"""),8.0)</f>
        <v>8</v>
      </c>
      <c r="C397" s="7" t="str">
        <f>IFERROR(__xludf.DUMMYFUNCTION("""COMPUTED_VALUE"""),"H_09")</f>
        <v>H_09</v>
      </c>
      <c r="D397" s="7" t="str">
        <f>IFERROR(__xludf.DUMMYFUNCTION("""COMPUTED_VALUE"""),"Q41c")</f>
        <v>Q41c</v>
      </c>
      <c r="E397" s="7" t="str">
        <f>IFERROR(__xludf.DUMMYFUNCTION("""COMPUTED_VALUE"""),"Trust national electoral commission")</f>
        <v>Trust national electoral commission</v>
      </c>
      <c r="F397" s="7" t="str">
        <f>IFERROR(__xludf.DUMMYFUNCTION("""COMPUTED_VALUE"""),"National Elections Commission")</f>
        <v>National Elections Commission</v>
      </c>
    </row>
    <row r="398">
      <c r="A398" s="7" t="str">
        <f>IFERROR(__xludf.DUMMYFUNCTION("""COMPUTED_VALUE"""),"MALAWI ")</f>
        <v>MALAWI </v>
      </c>
      <c r="B398" s="8">
        <f>IFERROR(__xludf.DUMMYFUNCTION("""COMPUTED_VALUE"""),8.0)</f>
        <v>8</v>
      </c>
      <c r="C398" s="7" t="str">
        <f>IFERROR(__xludf.DUMMYFUNCTION("""COMPUTED_VALUE"""),"H_09")</f>
        <v>H_09</v>
      </c>
      <c r="D398" s="7" t="str">
        <f>IFERROR(__xludf.DUMMYFUNCTION("""COMPUTED_VALUE"""),"Q41c")</f>
        <v>Q41c</v>
      </c>
      <c r="E398" s="7" t="str">
        <f>IFERROR(__xludf.DUMMYFUNCTION("""COMPUTED_VALUE"""),"Trust national electoral commission")</f>
        <v>Trust national electoral commission</v>
      </c>
      <c r="F398" s="7" t="str">
        <f>IFERROR(__xludf.DUMMYFUNCTION("""COMPUTED_VALUE"""),"Malawi Electoral Commission")</f>
        <v>Malawi Electoral Commission</v>
      </c>
    </row>
    <row r="399">
      <c r="A399" s="7" t="str">
        <f>IFERROR(__xludf.DUMMYFUNCTION("""COMPUTED_VALUE"""),"MOROCCO ")</f>
        <v>MOROCCO </v>
      </c>
      <c r="B399" s="8">
        <f>IFERROR(__xludf.DUMMYFUNCTION("""COMPUTED_VALUE"""),8.0)</f>
        <v>8</v>
      </c>
      <c r="C399" s="7" t="str">
        <f>IFERROR(__xludf.DUMMYFUNCTION("""COMPUTED_VALUE"""),"H_09")</f>
        <v>H_09</v>
      </c>
      <c r="D399" s="7" t="str">
        <f>IFERROR(__xludf.DUMMYFUNCTION("""COMPUTED_VALUE"""),"Q41c")</f>
        <v>Q41c</v>
      </c>
      <c r="E399" s="7" t="str">
        <f>IFERROR(__xludf.DUMMYFUNCTION("""COMPUTED_VALUE"""),"Trust national electoral commission")</f>
        <v>Trust national electoral commission</v>
      </c>
      <c r="F399" s="7" t="str">
        <f>IFERROR(__xludf.DUMMYFUNCTION("""COMPUTED_VALUE"""),"Ministry of Interior")</f>
        <v>Ministry of Interior</v>
      </c>
    </row>
    <row r="400">
      <c r="A400" s="7" t="str">
        <f>IFERROR(__xludf.DUMMYFUNCTION("""COMPUTED_VALUE"""),"MOZAMBIQUE")</f>
        <v>MOZAMBIQUE</v>
      </c>
      <c r="B400" s="8">
        <f>IFERROR(__xludf.DUMMYFUNCTION("""COMPUTED_VALUE"""),8.0)</f>
        <v>8</v>
      </c>
      <c r="C400" s="7" t="str">
        <f>IFERROR(__xludf.DUMMYFUNCTION("""COMPUTED_VALUE"""),"H_09")</f>
        <v>H_09</v>
      </c>
      <c r="D400" s="7" t="str">
        <f>IFERROR(__xludf.DUMMYFUNCTION("""COMPUTED_VALUE"""),"Q41c")</f>
        <v>Q41c</v>
      </c>
      <c r="E400" s="7" t="str">
        <f>IFERROR(__xludf.DUMMYFUNCTION("""COMPUTED_VALUE"""),"Trust national electoral commission")</f>
        <v>Trust national electoral commission</v>
      </c>
      <c r="F400" s="7" t="str">
        <f>IFERROR(__xludf.DUMMYFUNCTION("""COMPUTED_VALUE"""),"National Election Commission (CNE)")</f>
        <v>National Election Commission (CNE)</v>
      </c>
    </row>
    <row r="401">
      <c r="A401" s="7" t="str">
        <f>IFERROR(__xludf.DUMMYFUNCTION("""COMPUTED_VALUE"""),"NAMIBIA ")</f>
        <v>NAMIBIA </v>
      </c>
      <c r="B401" s="8">
        <f>IFERROR(__xludf.DUMMYFUNCTION("""COMPUTED_VALUE"""),8.0)</f>
        <v>8</v>
      </c>
      <c r="C401" s="7" t="str">
        <f>IFERROR(__xludf.DUMMYFUNCTION("""COMPUTED_VALUE"""),"H_09")</f>
        <v>H_09</v>
      </c>
      <c r="D401" s="7" t="str">
        <f>IFERROR(__xludf.DUMMYFUNCTION("""COMPUTED_VALUE"""),"Q41c")</f>
        <v>Q41c</v>
      </c>
      <c r="E401" s="7" t="str">
        <f>IFERROR(__xludf.DUMMYFUNCTION("""COMPUTED_VALUE"""),"Trust national electoral commission")</f>
        <v>Trust national electoral commission</v>
      </c>
      <c r="F401" s="7" t="str">
        <f>IFERROR(__xludf.DUMMYFUNCTION("""COMPUTED_VALUE"""),"The Electoral Commission of Namibia or ECN")</f>
        <v>The Electoral Commission of Namibia or ECN</v>
      </c>
    </row>
    <row r="402">
      <c r="A402" s="7" t="str">
        <f>IFERROR(__xludf.DUMMYFUNCTION("""COMPUTED_VALUE"""),"NIGERIA ")</f>
        <v>NIGERIA </v>
      </c>
      <c r="B402" s="8">
        <f>IFERROR(__xludf.DUMMYFUNCTION("""COMPUTED_VALUE"""),8.0)</f>
        <v>8</v>
      </c>
      <c r="C402" s="7" t="str">
        <f>IFERROR(__xludf.DUMMYFUNCTION("""COMPUTED_VALUE"""),"H_09")</f>
        <v>H_09</v>
      </c>
      <c r="D402" s="7" t="str">
        <f>IFERROR(__xludf.DUMMYFUNCTION("""COMPUTED_VALUE"""),"Q41c")</f>
        <v>Q41c</v>
      </c>
      <c r="E402" s="7" t="str">
        <f>IFERROR(__xludf.DUMMYFUNCTION("""COMPUTED_VALUE"""),"Trust national electoral commission")</f>
        <v>Trust national electoral commission</v>
      </c>
      <c r="F402" s="7" t="str">
        <f>IFERROR(__xludf.DUMMYFUNCTION("""COMPUTED_VALUE"""),"Independent National Electoral Commission or INEC")</f>
        <v>Independent National Electoral Commission or INEC</v>
      </c>
    </row>
    <row r="403">
      <c r="A403" s="7" t="str">
        <f>IFERROR(__xludf.DUMMYFUNCTION("""COMPUTED_VALUE"""),"SIERRA LEONE")</f>
        <v>SIERRA LEONE</v>
      </c>
      <c r="B403" s="8">
        <f>IFERROR(__xludf.DUMMYFUNCTION("""COMPUTED_VALUE"""),8.0)</f>
        <v>8</v>
      </c>
      <c r="C403" s="7" t="str">
        <f>IFERROR(__xludf.DUMMYFUNCTION("""COMPUTED_VALUE"""),"H_09")</f>
        <v>H_09</v>
      </c>
      <c r="D403" s="7" t="str">
        <f>IFERROR(__xludf.DUMMYFUNCTION("""COMPUTED_VALUE"""),"Q41c")</f>
        <v>Q41c</v>
      </c>
      <c r="E403" s="7" t="str">
        <f>IFERROR(__xludf.DUMMYFUNCTION("""COMPUTED_VALUE"""),"Trust national electoral commission")</f>
        <v>Trust national electoral commission</v>
      </c>
      <c r="F403" s="7" t="str">
        <f>IFERROR(__xludf.DUMMYFUNCTION("""COMPUTED_VALUE"""),"National Electoral Commission or NEC")</f>
        <v>National Electoral Commission or NEC</v>
      </c>
    </row>
    <row r="404">
      <c r="A404" s="7" t="str">
        <f>IFERROR(__xludf.DUMMYFUNCTION("""COMPUTED_VALUE"""),"SOUTH AFRICA")</f>
        <v>SOUTH AFRICA</v>
      </c>
      <c r="B404" s="8">
        <f>IFERROR(__xludf.DUMMYFUNCTION("""COMPUTED_VALUE"""),8.0)</f>
        <v>8</v>
      </c>
      <c r="C404" s="7" t="str">
        <f>IFERROR(__xludf.DUMMYFUNCTION("""COMPUTED_VALUE"""),"H_09")</f>
        <v>H_09</v>
      </c>
      <c r="D404" s="7" t="str">
        <f>IFERROR(__xludf.DUMMYFUNCTION("""COMPUTED_VALUE"""),"Q41c")</f>
        <v>Q41c</v>
      </c>
      <c r="E404" s="7" t="str">
        <f>IFERROR(__xludf.DUMMYFUNCTION("""COMPUTED_VALUE"""),"Trust national electoral commission")</f>
        <v>Trust national electoral commission</v>
      </c>
      <c r="F404" s="7" t="str">
        <f>IFERROR(__xludf.DUMMYFUNCTION("""COMPUTED_VALUE"""),"Independent Electoral Commission or IEC")</f>
        <v>Independent Electoral Commission or IEC</v>
      </c>
    </row>
    <row r="405">
      <c r="A405" s="7" t="str">
        <f>IFERROR(__xludf.DUMMYFUNCTION("""COMPUTED_VALUE"""),"SUDAN")</f>
        <v>SUDAN</v>
      </c>
      <c r="B405" s="8">
        <f>IFERROR(__xludf.DUMMYFUNCTION("""COMPUTED_VALUE"""),8.0)</f>
        <v>8</v>
      </c>
      <c r="C405" s="7" t="str">
        <f>IFERROR(__xludf.DUMMYFUNCTION("""COMPUTED_VALUE"""),"H_09")</f>
        <v>H_09</v>
      </c>
      <c r="D405" s="7" t="str">
        <f>IFERROR(__xludf.DUMMYFUNCTION("""COMPUTED_VALUE"""),"Q41c")</f>
        <v>Q41c</v>
      </c>
      <c r="E405" s="7" t="str">
        <f>IFERROR(__xludf.DUMMYFUNCTION("""COMPUTED_VALUE"""),"Trust national electoral commission")</f>
        <v>Trust national electoral commission</v>
      </c>
      <c r="F405" s="7" t="str">
        <f>IFERROR(__xludf.DUMMYFUNCTION("""COMPUTED_VALUE"""),"Civil servants")</f>
        <v>Civil servants</v>
      </c>
    </row>
    <row r="406">
      <c r="A406" s="7" t="str">
        <f>IFERROR(__xludf.DUMMYFUNCTION("""COMPUTED_VALUE"""),"TANZANIA")</f>
        <v>TANZANIA</v>
      </c>
      <c r="B406" s="8">
        <f>IFERROR(__xludf.DUMMYFUNCTION("""COMPUTED_VALUE"""),8.0)</f>
        <v>8</v>
      </c>
      <c r="C406" s="7" t="str">
        <f>IFERROR(__xludf.DUMMYFUNCTION("""COMPUTED_VALUE"""),"H_09")</f>
        <v>H_09</v>
      </c>
      <c r="D406" s="7" t="str">
        <f>IFERROR(__xludf.DUMMYFUNCTION("""COMPUTED_VALUE"""),"Q41c")</f>
        <v>Q41c</v>
      </c>
      <c r="E406" s="7" t="str">
        <f>IFERROR(__xludf.DUMMYFUNCTION("""COMPUTED_VALUE"""),"Trust national electoral commission")</f>
        <v>Trust national electoral commission</v>
      </c>
      <c r="F406" s="7" t="str">
        <f>IFERROR(__xludf.DUMMYFUNCTION("""COMPUTED_VALUE"""),"The National Electoral Commission or NEC")</f>
        <v>The National Electoral Commission or NEC</v>
      </c>
    </row>
    <row r="407">
      <c r="A407" s="7" t="str">
        <f>IFERROR(__xludf.DUMMYFUNCTION("""COMPUTED_VALUE"""),"TUNISIA ")</f>
        <v>TUNISIA </v>
      </c>
      <c r="B407" s="8">
        <f>IFERROR(__xludf.DUMMYFUNCTION("""COMPUTED_VALUE"""),8.0)</f>
        <v>8</v>
      </c>
      <c r="C407" s="7" t="str">
        <f>IFERROR(__xludf.DUMMYFUNCTION("""COMPUTED_VALUE"""),"H_09")</f>
        <v>H_09</v>
      </c>
      <c r="D407" s="7" t="str">
        <f>IFERROR(__xludf.DUMMYFUNCTION("""COMPUTED_VALUE"""),"Q41c")</f>
        <v>Q41c</v>
      </c>
      <c r="E407" s="7" t="str">
        <f>IFERROR(__xludf.DUMMYFUNCTION("""COMPUTED_VALUE"""),"Trust national electoral commission")</f>
        <v>Trust national electoral commission</v>
      </c>
      <c r="F407" s="7" t="str">
        <f>IFERROR(__xludf.DUMMYFUNCTION("""COMPUTED_VALUE"""),"The Independent High Authority for the Elections (ISIE)")</f>
        <v>The Independent High Authority for the Elections (ISIE)</v>
      </c>
    </row>
    <row r="408">
      <c r="A408" s="7" t="str">
        <f>IFERROR(__xludf.DUMMYFUNCTION("""COMPUTED_VALUE"""),"UGANDA  ")</f>
        <v>UGANDA  </v>
      </c>
      <c r="B408" s="8">
        <f>IFERROR(__xludf.DUMMYFUNCTION("""COMPUTED_VALUE"""),8.0)</f>
        <v>8</v>
      </c>
      <c r="C408" s="7" t="str">
        <f>IFERROR(__xludf.DUMMYFUNCTION("""COMPUTED_VALUE"""),"H_09")</f>
        <v>H_09</v>
      </c>
      <c r="D408" s="7" t="str">
        <f>IFERROR(__xludf.DUMMYFUNCTION("""COMPUTED_VALUE"""),"Q41c")</f>
        <v>Q41c</v>
      </c>
      <c r="E408" s="7" t="str">
        <f>IFERROR(__xludf.DUMMYFUNCTION("""COMPUTED_VALUE"""),"Trust national electoral commission")</f>
        <v>Trust national electoral commission</v>
      </c>
      <c r="F408" s="7" t="str">
        <f>IFERROR(__xludf.DUMMYFUNCTION("""COMPUTED_VALUE"""),"The Electoral Commission or EC")</f>
        <v>The Electoral Commission or EC</v>
      </c>
    </row>
    <row r="409">
      <c r="A409" s="7" t="str">
        <f>IFERROR(__xludf.DUMMYFUNCTION("""COMPUTED_VALUE"""),"ZAMBIA")</f>
        <v>ZAMBIA</v>
      </c>
      <c r="B409" s="8">
        <f>IFERROR(__xludf.DUMMYFUNCTION("""COMPUTED_VALUE"""),8.0)</f>
        <v>8</v>
      </c>
      <c r="C409" s="7" t="str">
        <f>IFERROR(__xludf.DUMMYFUNCTION("""COMPUTED_VALUE"""),"H_09")</f>
        <v>H_09</v>
      </c>
      <c r="D409" s="7" t="str">
        <f>IFERROR(__xludf.DUMMYFUNCTION("""COMPUTED_VALUE"""),"Q41c")</f>
        <v>Q41c</v>
      </c>
      <c r="E409" s="7" t="str">
        <f>IFERROR(__xludf.DUMMYFUNCTION("""COMPUTED_VALUE"""),"Trust national electoral commission")</f>
        <v>Trust national electoral commission</v>
      </c>
      <c r="F409" s="7" t="str">
        <f>IFERROR(__xludf.DUMMYFUNCTION("""COMPUTED_VALUE"""),"Electoral Commission of Zambia or ECZ")</f>
        <v>Electoral Commission of Zambia or ECZ</v>
      </c>
    </row>
    <row r="410">
      <c r="A410" s="7" t="str">
        <f>IFERROR(__xludf.DUMMYFUNCTION("""COMPUTED_VALUE"""),"ZIMBABWE")</f>
        <v>ZIMBABWE</v>
      </c>
      <c r="B410" s="8">
        <f>IFERROR(__xludf.DUMMYFUNCTION("""COMPUTED_VALUE"""),8.0)</f>
        <v>8</v>
      </c>
      <c r="C410" s="7" t="str">
        <f>IFERROR(__xludf.DUMMYFUNCTION("""COMPUTED_VALUE"""),"H_09")</f>
        <v>H_09</v>
      </c>
      <c r="D410" s="7" t="str">
        <f>IFERROR(__xludf.DUMMYFUNCTION("""COMPUTED_VALUE"""),"Q41c")</f>
        <v>Q41c</v>
      </c>
      <c r="E410" s="7" t="str">
        <f>IFERROR(__xludf.DUMMYFUNCTION("""COMPUTED_VALUE"""),"Trust national electoral commission")</f>
        <v>Trust national electoral commission</v>
      </c>
      <c r="F410" s="7" t="str">
        <f>IFERROR(__xludf.DUMMYFUNCTION("""COMPUTED_VALUE"""),"Zimbabwe Electoral Commission or ZEC")</f>
        <v>Zimbabwe Electoral Commission or ZEC</v>
      </c>
    </row>
    <row r="411">
      <c r="A411" s="7" t="str">
        <f>IFERROR(__xludf.DUMMYFUNCTION("""COMPUTED_VALUE"""),"BOTSWANA ")</f>
        <v>BOTSWANA </v>
      </c>
      <c r="B411" s="8">
        <f>IFERROR(__xludf.DUMMYFUNCTION("""COMPUTED_VALUE"""),8.0)</f>
        <v>8</v>
      </c>
      <c r="C411" s="7" t="str">
        <f>IFERROR(__xludf.DUMMYFUNCTION("""COMPUTED_VALUE"""),"H_30")</f>
        <v>H_30</v>
      </c>
      <c r="D411" s="7" t="str">
        <f>IFERROR(__xludf.DUMMYFUNCTION("""COMPUTED_VALUE"""),"Q41d")</f>
        <v>Q41d</v>
      </c>
      <c r="E411" s="7" t="str">
        <f>IFERROR(__xludf.DUMMYFUNCTION("""COMPUTED_VALUE"""),"Trust your elected local government council")</f>
        <v>Trust your elected local government council</v>
      </c>
      <c r="F411" s="7" t="str">
        <f>IFERROR(__xludf.DUMMYFUNCTION("""COMPUTED_VALUE"""),"Your local government council")</f>
        <v>Your local government council</v>
      </c>
    </row>
    <row r="412">
      <c r="A412" s="7" t="str">
        <f>IFERROR(__xludf.DUMMYFUNCTION("""COMPUTED_VALUE"""),"CABO VERDE ")</f>
        <v>CABO VERDE </v>
      </c>
      <c r="B412" s="8">
        <f>IFERROR(__xludf.DUMMYFUNCTION("""COMPUTED_VALUE"""),8.0)</f>
        <v>8</v>
      </c>
      <c r="C412" s="7" t="str">
        <f>IFERROR(__xludf.DUMMYFUNCTION("""COMPUTED_VALUE"""),"H_30")</f>
        <v>H_30</v>
      </c>
      <c r="D412" s="7" t="str">
        <f>IFERROR(__xludf.DUMMYFUNCTION("""COMPUTED_VALUE"""),"Q41d")</f>
        <v>Q41d</v>
      </c>
      <c r="E412" s="7" t="str">
        <f>IFERROR(__xludf.DUMMYFUNCTION("""COMPUTED_VALUE"""),"Trust your elected local government council")</f>
        <v>Trust your elected local government council</v>
      </c>
      <c r="F412" s="7" t="str">
        <f>IFERROR(__xludf.DUMMYFUNCTION("""COMPUTED_VALUE"""),"Your elected local government council")</f>
        <v>Your elected local government council</v>
      </c>
    </row>
    <row r="413">
      <c r="A413" s="7" t="str">
        <f>IFERROR(__xludf.DUMMYFUNCTION("""COMPUTED_VALUE"""),"CAMEROON")</f>
        <v>CAMEROON</v>
      </c>
      <c r="B413" s="8">
        <f>IFERROR(__xludf.DUMMYFUNCTION("""COMPUTED_VALUE"""),8.0)</f>
        <v>8</v>
      </c>
      <c r="C413" s="7" t="str">
        <f>IFERROR(__xludf.DUMMYFUNCTION("""COMPUTED_VALUE"""),"H_30")</f>
        <v>H_30</v>
      </c>
      <c r="D413" s="7" t="str">
        <f>IFERROR(__xludf.DUMMYFUNCTION("""COMPUTED_VALUE"""),"Q41d")</f>
        <v>Q41d</v>
      </c>
      <c r="E413" s="7" t="str">
        <f>IFERROR(__xludf.DUMMYFUNCTION("""COMPUTED_VALUE"""),"Trust your elected local government council")</f>
        <v>Trust your elected local government council</v>
      </c>
      <c r="F413" s="7" t="str">
        <f>IFERROR(__xludf.DUMMYFUNCTION("""COMPUTED_VALUE"""),"Your local government council")</f>
        <v>Your local government council</v>
      </c>
    </row>
    <row r="414">
      <c r="A414" s="7" t="str">
        <f>IFERROR(__xludf.DUMMYFUNCTION("""COMPUTED_VALUE"""),"ESWATINI")</f>
        <v>ESWATINI</v>
      </c>
      <c r="B414" s="8">
        <f>IFERROR(__xludf.DUMMYFUNCTION("""COMPUTED_VALUE"""),8.0)</f>
        <v>8</v>
      </c>
      <c r="C414" s="7" t="str">
        <f>IFERROR(__xludf.DUMMYFUNCTION("""COMPUTED_VALUE"""),"H_30")</f>
        <v>H_30</v>
      </c>
      <c r="D414" s="7" t="str">
        <f>IFERROR(__xludf.DUMMYFUNCTION("""COMPUTED_VALUE"""),"Q41d")</f>
        <v>Q41d</v>
      </c>
      <c r="E414" s="7" t="str">
        <f>IFERROR(__xludf.DUMMYFUNCTION("""COMPUTED_VALUE"""),"Trust your elected local government council")</f>
        <v>Trust your elected local government council</v>
      </c>
      <c r="F414" s="7" t="str">
        <f>IFERROR(__xludf.DUMMYFUNCTION("""COMPUTED_VALUE"""),"Your local government council")</f>
        <v>Your local government council</v>
      </c>
    </row>
    <row r="415">
      <c r="A415" s="7" t="str">
        <f>IFERROR(__xludf.DUMMYFUNCTION("""COMPUTED_VALUE"""),"ETHIOPIA")</f>
        <v>ETHIOPIA</v>
      </c>
      <c r="B415" s="8">
        <f>IFERROR(__xludf.DUMMYFUNCTION("""COMPUTED_VALUE"""),8.0)</f>
        <v>8</v>
      </c>
      <c r="C415" s="7" t="str">
        <f>IFERROR(__xludf.DUMMYFUNCTION("""COMPUTED_VALUE"""),"H_30")</f>
        <v>H_30</v>
      </c>
      <c r="D415" s="7" t="str">
        <f>IFERROR(__xludf.DUMMYFUNCTION("""COMPUTED_VALUE"""),"Q41d")</f>
        <v>Q41d</v>
      </c>
      <c r="E415" s="7" t="str">
        <f>IFERROR(__xludf.DUMMYFUNCTION("""COMPUTED_VALUE"""),"Trust your elected local government council")</f>
        <v>Trust your elected local government council</v>
      </c>
      <c r="F415" s="7" t="str">
        <f>IFERROR(__xludf.DUMMYFUNCTION("""COMPUTED_VALUE"""),"Your local government council")</f>
        <v>Your local government council</v>
      </c>
    </row>
    <row r="416">
      <c r="A416" s="7" t="str">
        <f>IFERROR(__xludf.DUMMYFUNCTION("""COMPUTED_VALUE"""),"GAMBIA")</f>
        <v>GAMBIA</v>
      </c>
      <c r="B416" s="8">
        <f>IFERROR(__xludf.DUMMYFUNCTION("""COMPUTED_VALUE"""),8.0)</f>
        <v>8</v>
      </c>
      <c r="C416" s="7" t="str">
        <f>IFERROR(__xludf.DUMMYFUNCTION("""COMPUTED_VALUE"""),"H_30")</f>
        <v>H_30</v>
      </c>
      <c r="D416" s="7" t="str">
        <f>IFERROR(__xludf.DUMMYFUNCTION("""COMPUTED_VALUE"""),"Q41d")</f>
        <v>Q41d</v>
      </c>
      <c r="E416" s="7" t="str">
        <f>IFERROR(__xludf.DUMMYFUNCTION("""COMPUTED_VALUE"""),"Trust your elected local government council")</f>
        <v>Trust your elected local government council</v>
      </c>
      <c r="F416" s="7" t="str">
        <f>IFERROR(__xludf.DUMMYFUNCTION("""COMPUTED_VALUE"""),"Your local government council")</f>
        <v>Your local government council</v>
      </c>
    </row>
    <row r="417">
      <c r="A417" s="7" t="str">
        <f>IFERROR(__xludf.DUMMYFUNCTION("""COMPUTED_VALUE"""),"KENYA  ")</f>
        <v>KENYA  </v>
      </c>
      <c r="B417" s="8">
        <f>IFERROR(__xludf.DUMMYFUNCTION("""COMPUTED_VALUE"""),8.0)</f>
        <v>8</v>
      </c>
      <c r="C417" s="7" t="str">
        <f>IFERROR(__xludf.DUMMYFUNCTION("""COMPUTED_VALUE"""),"H_30")</f>
        <v>H_30</v>
      </c>
      <c r="D417" s="7" t="str">
        <f>IFERROR(__xludf.DUMMYFUNCTION("""COMPUTED_VALUE"""),"Q41d")</f>
        <v>Q41d</v>
      </c>
      <c r="E417" s="7" t="str">
        <f>IFERROR(__xludf.DUMMYFUNCTION("""COMPUTED_VALUE"""),"Trust your elected local government council")</f>
        <v>Trust your elected local government council</v>
      </c>
      <c r="F417" s="7" t="str">
        <f>IFERROR(__xludf.DUMMYFUNCTION("""COMPUTED_VALUE"""),"Your County Assembly")</f>
        <v>Your County Assembly</v>
      </c>
    </row>
    <row r="418">
      <c r="A418" s="7" t="str">
        <f>IFERROR(__xludf.DUMMYFUNCTION("""COMPUTED_VALUE"""),"LESOTHO ")</f>
        <v>LESOTHO </v>
      </c>
      <c r="B418" s="8">
        <f>IFERROR(__xludf.DUMMYFUNCTION("""COMPUTED_VALUE"""),8.0)</f>
        <v>8</v>
      </c>
      <c r="C418" s="7" t="str">
        <f>IFERROR(__xludf.DUMMYFUNCTION("""COMPUTED_VALUE"""),"H_30")</f>
        <v>H_30</v>
      </c>
      <c r="D418" s="7" t="str">
        <f>IFERROR(__xludf.DUMMYFUNCTION("""COMPUTED_VALUE"""),"Q41d")</f>
        <v>Q41d</v>
      </c>
      <c r="E418" s="7" t="str">
        <f>IFERROR(__xludf.DUMMYFUNCTION("""COMPUTED_VALUE"""),"Trust your elected local government council")</f>
        <v>Trust your elected local government council</v>
      </c>
      <c r="F418" s="7" t="str">
        <f>IFERROR(__xludf.DUMMYFUNCTION("""COMPUTED_VALUE"""),"Your community council")</f>
        <v>Your community council</v>
      </c>
    </row>
    <row r="419">
      <c r="A419" s="7" t="str">
        <f>IFERROR(__xludf.DUMMYFUNCTION("""COMPUTED_VALUE"""),"LIBERIA  ")</f>
        <v>LIBERIA  </v>
      </c>
      <c r="B419" s="8">
        <f>IFERROR(__xludf.DUMMYFUNCTION("""COMPUTED_VALUE"""),8.0)</f>
        <v>8</v>
      </c>
      <c r="C419" s="7" t="str">
        <f>IFERROR(__xludf.DUMMYFUNCTION("""COMPUTED_VALUE"""),"H_30")</f>
        <v>H_30</v>
      </c>
      <c r="D419" s="7" t="str">
        <f>IFERROR(__xludf.DUMMYFUNCTION("""COMPUTED_VALUE"""),"Q41d")</f>
        <v>Q41d</v>
      </c>
      <c r="E419" s="7" t="str">
        <f>IFERROR(__xludf.DUMMYFUNCTION("""COMPUTED_VALUE"""),"Trust your elected local government council")</f>
        <v>Trust your elected local government council</v>
      </c>
      <c r="F419" s="7" t="str">
        <f>IFERROR(__xludf.DUMMYFUNCTION("""COMPUTED_VALUE"""),"Your County Authority")</f>
        <v>Your County Authority</v>
      </c>
    </row>
    <row r="420">
      <c r="A420" s="7" t="str">
        <f>IFERROR(__xludf.DUMMYFUNCTION("""COMPUTED_VALUE"""),"MALAWI ")</f>
        <v>MALAWI </v>
      </c>
      <c r="B420" s="8">
        <f>IFERROR(__xludf.DUMMYFUNCTION("""COMPUTED_VALUE"""),8.0)</f>
        <v>8</v>
      </c>
      <c r="C420" s="7" t="str">
        <f>IFERROR(__xludf.DUMMYFUNCTION("""COMPUTED_VALUE"""),"H_30")</f>
        <v>H_30</v>
      </c>
      <c r="D420" s="7" t="str">
        <f>IFERROR(__xludf.DUMMYFUNCTION("""COMPUTED_VALUE"""),"Q41d")</f>
        <v>Q41d</v>
      </c>
      <c r="E420" s="7" t="str">
        <f>IFERROR(__xludf.DUMMYFUNCTION("""COMPUTED_VALUE"""),"Trust your elected local government council")</f>
        <v>Trust your elected local government council</v>
      </c>
      <c r="F420" s="7" t="str">
        <f>IFERROR(__xludf.DUMMYFUNCTION("""COMPUTED_VALUE"""),"Your local government council")</f>
        <v>Your local government council</v>
      </c>
    </row>
    <row r="421">
      <c r="A421" s="7" t="str">
        <f>IFERROR(__xludf.DUMMYFUNCTION("""COMPUTED_VALUE"""),"MOROCCO ")</f>
        <v>MOROCCO </v>
      </c>
      <c r="B421" s="8">
        <f>IFERROR(__xludf.DUMMYFUNCTION("""COMPUTED_VALUE"""),8.0)</f>
        <v>8</v>
      </c>
      <c r="C421" s="7" t="str">
        <f>IFERROR(__xludf.DUMMYFUNCTION("""COMPUTED_VALUE"""),"H_30")</f>
        <v>H_30</v>
      </c>
      <c r="D421" s="7" t="str">
        <f>IFERROR(__xludf.DUMMYFUNCTION("""COMPUTED_VALUE"""),"Q41d")</f>
        <v>Q41d</v>
      </c>
      <c r="E421" s="7" t="str">
        <f>IFERROR(__xludf.DUMMYFUNCTION("""COMPUTED_VALUE"""),"Trust your elected local government council")</f>
        <v>Trust your elected local government council</v>
      </c>
      <c r="F421" s="7" t="str">
        <f>IFERROR(__xludf.DUMMYFUNCTION("""COMPUTED_VALUE"""),"Your local Collective Council")</f>
        <v>Your local Collective Council</v>
      </c>
    </row>
    <row r="422">
      <c r="A422" s="7" t="str">
        <f>IFERROR(__xludf.DUMMYFUNCTION("""COMPUTED_VALUE"""),"MOZAMBIQUE")</f>
        <v>MOZAMBIQUE</v>
      </c>
      <c r="B422" s="8">
        <f>IFERROR(__xludf.DUMMYFUNCTION("""COMPUTED_VALUE"""),8.0)</f>
        <v>8</v>
      </c>
      <c r="C422" s="7" t="str">
        <f>IFERROR(__xludf.DUMMYFUNCTION("""COMPUTED_VALUE"""),"H_30")</f>
        <v>H_30</v>
      </c>
      <c r="D422" s="7" t="str">
        <f>IFERROR(__xludf.DUMMYFUNCTION("""COMPUTED_VALUE"""),"Q41d")</f>
        <v>Q41d</v>
      </c>
      <c r="E422" s="7" t="str">
        <f>IFERROR(__xludf.DUMMYFUNCTION("""COMPUTED_VALUE"""),"Trust your elected local government council")</f>
        <v>Trust your elected local government council</v>
      </c>
      <c r="F422" s="7" t="str">
        <f>IFERROR(__xludf.DUMMYFUNCTION("""COMPUTED_VALUE"""),"Your municipal assembly")</f>
        <v>Your municipal assembly</v>
      </c>
    </row>
    <row r="423">
      <c r="A423" s="7" t="str">
        <f>IFERROR(__xludf.DUMMYFUNCTION("""COMPUTED_VALUE"""),"NAMIBIA ")</f>
        <v>NAMIBIA </v>
      </c>
      <c r="B423" s="8">
        <f>IFERROR(__xludf.DUMMYFUNCTION("""COMPUTED_VALUE"""),8.0)</f>
        <v>8</v>
      </c>
      <c r="C423" s="7" t="str">
        <f>IFERROR(__xludf.DUMMYFUNCTION("""COMPUTED_VALUE"""),"H_30")</f>
        <v>H_30</v>
      </c>
      <c r="D423" s="7" t="str">
        <f>IFERROR(__xludf.DUMMYFUNCTION("""COMPUTED_VALUE"""),"Q41d")</f>
        <v>Q41d</v>
      </c>
      <c r="E423" s="7" t="str">
        <f>IFERROR(__xludf.DUMMYFUNCTION("""COMPUTED_VALUE"""),"Trust your elected local government council")</f>
        <v>Trust your elected local government council</v>
      </c>
      <c r="F423" s="7" t="str">
        <f>IFERROR(__xludf.DUMMYFUNCTION("""COMPUTED_VALUE"""),"Your Local Authority Council")</f>
        <v>Your Local Authority Council</v>
      </c>
    </row>
    <row r="424">
      <c r="A424" s="7" t="str">
        <f>IFERROR(__xludf.DUMMYFUNCTION("""COMPUTED_VALUE"""),"NIGERIA ")</f>
        <v>NIGERIA </v>
      </c>
      <c r="B424" s="8">
        <f>IFERROR(__xludf.DUMMYFUNCTION("""COMPUTED_VALUE"""),8.0)</f>
        <v>8</v>
      </c>
      <c r="C424" s="7" t="str">
        <f>IFERROR(__xludf.DUMMYFUNCTION("""COMPUTED_VALUE"""),"H_30")</f>
        <v>H_30</v>
      </c>
      <c r="D424" s="7" t="str">
        <f>IFERROR(__xludf.DUMMYFUNCTION("""COMPUTED_VALUE"""),"Q41d")</f>
        <v>Q41d</v>
      </c>
      <c r="E424" s="7" t="str">
        <f>IFERROR(__xludf.DUMMYFUNCTION("""COMPUTED_VALUE"""),"Trust your elected local government council")</f>
        <v>Trust your elected local government council</v>
      </c>
      <c r="F424" s="7" t="str">
        <f>IFERROR(__xludf.DUMMYFUNCTION("""COMPUTED_VALUE"""),"Your Local Government Council")</f>
        <v>Your Local Government Council</v>
      </c>
    </row>
    <row r="425">
      <c r="A425" s="7" t="str">
        <f>IFERROR(__xludf.DUMMYFUNCTION("""COMPUTED_VALUE"""),"SIERRA LEONE")</f>
        <v>SIERRA LEONE</v>
      </c>
      <c r="B425" s="8">
        <f>IFERROR(__xludf.DUMMYFUNCTION("""COMPUTED_VALUE"""),8.0)</f>
        <v>8</v>
      </c>
      <c r="C425" s="7" t="str">
        <f>IFERROR(__xludf.DUMMYFUNCTION("""COMPUTED_VALUE"""),"H_30")</f>
        <v>H_30</v>
      </c>
      <c r="D425" s="7" t="str">
        <f>IFERROR(__xludf.DUMMYFUNCTION("""COMPUTED_VALUE"""),"Q41d")</f>
        <v>Q41d</v>
      </c>
      <c r="E425" s="7" t="str">
        <f>IFERROR(__xludf.DUMMYFUNCTION("""COMPUTED_VALUE"""),"Trust your elected local government council")</f>
        <v>Trust your elected local government council</v>
      </c>
      <c r="F425" s="7" t="str">
        <f>IFERROR(__xludf.DUMMYFUNCTION("""COMPUTED_VALUE"""),"Your local government council")</f>
        <v>Your local government council</v>
      </c>
    </row>
    <row r="426">
      <c r="A426" s="7" t="str">
        <f>IFERROR(__xludf.DUMMYFUNCTION("""COMPUTED_VALUE"""),"SOUTH AFRICA")</f>
        <v>SOUTH AFRICA</v>
      </c>
      <c r="B426" s="8">
        <f>IFERROR(__xludf.DUMMYFUNCTION("""COMPUTED_VALUE"""),8.0)</f>
        <v>8</v>
      </c>
      <c r="C426" s="7" t="str">
        <f>IFERROR(__xludf.DUMMYFUNCTION("""COMPUTED_VALUE"""),"H_30")</f>
        <v>H_30</v>
      </c>
      <c r="D426" s="7" t="str">
        <f>IFERROR(__xludf.DUMMYFUNCTION("""COMPUTED_VALUE"""),"Q41d")</f>
        <v>Q41d</v>
      </c>
      <c r="E426" s="7" t="str">
        <f>IFERROR(__xludf.DUMMYFUNCTION("""COMPUTED_VALUE"""),"Trust your elected local government council")</f>
        <v>Trust your elected local government council</v>
      </c>
      <c r="F426" s="7" t="str">
        <f>IFERROR(__xludf.DUMMYFUNCTION("""COMPUTED_VALUE"""),"Your local government council")</f>
        <v>Your local government council</v>
      </c>
    </row>
    <row r="427">
      <c r="A427" s="7" t="str">
        <f>IFERROR(__xludf.DUMMYFUNCTION("""COMPUTED_VALUE"""),"TANZANIA")</f>
        <v>TANZANIA</v>
      </c>
      <c r="B427" s="8">
        <f>IFERROR(__xludf.DUMMYFUNCTION("""COMPUTED_VALUE"""),8.0)</f>
        <v>8</v>
      </c>
      <c r="C427" s="7" t="str">
        <f>IFERROR(__xludf.DUMMYFUNCTION("""COMPUTED_VALUE"""),"H_30")</f>
        <v>H_30</v>
      </c>
      <c r="D427" s="7" t="str">
        <f>IFERROR(__xludf.DUMMYFUNCTION("""COMPUTED_VALUE"""),"Q41d")</f>
        <v>Q41d</v>
      </c>
      <c r="E427" s="7" t="str">
        <f>IFERROR(__xludf.DUMMYFUNCTION("""COMPUTED_VALUE"""),"Trust your elected local government council")</f>
        <v>Trust your elected local government council</v>
      </c>
      <c r="F427" s="7" t="str">
        <f>IFERROR(__xludf.DUMMYFUNCTION("""COMPUTED_VALUE"""),"Your Local Government Council")</f>
        <v>Your Local Government Council</v>
      </c>
    </row>
    <row r="428">
      <c r="A428" s="7" t="str">
        <f>IFERROR(__xludf.DUMMYFUNCTION("""COMPUTED_VALUE"""),"TUNISIA ")</f>
        <v>TUNISIA </v>
      </c>
      <c r="B428" s="8">
        <f>IFERROR(__xludf.DUMMYFUNCTION("""COMPUTED_VALUE"""),8.0)</f>
        <v>8</v>
      </c>
      <c r="C428" s="7" t="str">
        <f>IFERROR(__xludf.DUMMYFUNCTION("""COMPUTED_VALUE"""),"H_30")</f>
        <v>H_30</v>
      </c>
      <c r="D428" s="7" t="str">
        <f>IFERROR(__xludf.DUMMYFUNCTION("""COMPUTED_VALUE"""),"Q41d")</f>
        <v>Q41d</v>
      </c>
      <c r="E428" s="7" t="str">
        <f>IFERROR(__xludf.DUMMYFUNCTION("""COMPUTED_VALUE"""),"Trust your elected local government council")</f>
        <v>Trust your elected local government council</v>
      </c>
      <c r="F428" s="7" t="str">
        <f>IFERROR(__xludf.DUMMYFUNCTION("""COMPUTED_VALUE"""),"Your municipal council")</f>
        <v>Your municipal council</v>
      </c>
    </row>
    <row r="429">
      <c r="A429" s="7" t="str">
        <f>IFERROR(__xludf.DUMMYFUNCTION("""COMPUTED_VALUE"""),"UGANDA  ")</f>
        <v>UGANDA  </v>
      </c>
      <c r="B429" s="8">
        <f>IFERROR(__xludf.DUMMYFUNCTION("""COMPUTED_VALUE"""),8.0)</f>
        <v>8</v>
      </c>
      <c r="C429" s="7" t="str">
        <f>IFERROR(__xludf.DUMMYFUNCTION("""COMPUTED_VALUE"""),"H_30")</f>
        <v>H_30</v>
      </c>
      <c r="D429" s="7" t="str">
        <f>IFERROR(__xludf.DUMMYFUNCTION("""COMPUTED_VALUE"""),"Q41d")</f>
        <v>Q41d</v>
      </c>
      <c r="E429" s="7" t="str">
        <f>IFERROR(__xludf.DUMMYFUNCTION("""COMPUTED_VALUE"""),"Trust your elected local government council")</f>
        <v>Trust your elected local government council</v>
      </c>
      <c r="F429" s="7" t="str">
        <f>IFERROR(__xludf.DUMMYFUNCTION("""COMPUTED_VALUE"""),"Your local government council")</f>
        <v>Your local government council</v>
      </c>
    </row>
    <row r="430">
      <c r="A430" s="7" t="str">
        <f>IFERROR(__xludf.DUMMYFUNCTION("""COMPUTED_VALUE"""),"ZAMBIA")</f>
        <v>ZAMBIA</v>
      </c>
      <c r="B430" s="8">
        <f>IFERROR(__xludf.DUMMYFUNCTION("""COMPUTED_VALUE"""),8.0)</f>
        <v>8</v>
      </c>
      <c r="C430" s="7" t="str">
        <f>IFERROR(__xludf.DUMMYFUNCTION("""COMPUTED_VALUE"""),"H_30")</f>
        <v>H_30</v>
      </c>
      <c r="D430" s="7" t="str">
        <f>IFERROR(__xludf.DUMMYFUNCTION("""COMPUTED_VALUE"""),"Q41d")</f>
        <v>Q41d</v>
      </c>
      <c r="E430" s="7" t="str">
        <f>IFERROR(__xludf.DUMMYFUNCTION("""COMPUTED_VALUE"""),"Trust your elected local government council")</f>
        <v>Trust your elected local government council</v>
      </c>
      <c r="F430" s="7" t="str">
        <f>IFERROR(__xludf.DUMMYFUNCTION("""COMPUTED_VALUE"""),"Your Local Government Council")</f>
        <v>Your Local Government Council</v>
      </c>
    </row>
    <row r="431">
      <c r="A431" s="7" t="str">
        <f>IFERROR(__xludf.DUMMYFUNCTION("""COMPUTED_VALUE"""),"ZIMBABWE")</f>
        <v>ZIMBABWE</v>
      </c>
      <c r="B431" s="8">
        <f>IFERROR(__xludf.DUMMYFUNCTION("""COMPUTED_VALUE"""),8.0)</f>
        <v>8</v>
      </c>
      <c r="C431" s="7" t="str">
        <f>IFERROR(__xludf.DUMMYFUNCTION("""COMPUTED_VALUE"""),"H_30")</f>
        <v>H_30</v>
      </c>
      <c r="D431" s="7" t="str">
        <f>IFERROR(__xludf.DUMMYFUNCTION("""COMPUTED_VALUE"""),"Q41d")</f>
        <v>Q41d</v>
      </c>
      <c r="E431" s="7" t="str">
        <f>IFERROR(__xludf.DUMMYFUNCTION("""COMPUTED_VALUE"""),"Trust your elected local government council")</f>
        <v>Trust your elected local government council</v>
      </c>
      <c r="F431" s="7" t="str">
        <f>IFERROR(__xludf.DUMMYFUNCTION("""COMPUTED_VALUE"""),"Your local government council")</f>
        <v>Your local government council</v>
      </c>
    </row>
    <row r="432">
      <c r="A432" s="7" t="str">
        <f>IFERROR(__xludf.DUMMYFUNCTION("""COMPUTED_VALUE"""),"BOTSWANA ")</f>
        <v>BOTSWANA </v>
      </c>
      <c r="B432" s="8">
        <f>IFERROR(__xludf.DUMMYFUNCTION("""COMPUTED_VALUE"""),8.0)</f>
        <v>8</v>
      </c>
      <c r="C432" s="7" t="str">
        <f>IFERROR(__xludf.DUMMYFUNCTION("""COMPUTED_VALUE"""),"H_27")</f>
        <v>H_27</v>
      </c>
      <c r="D432" s="7" t="str">
        <f>IFERROR(__xludf.DUMMYFUNCTION("""COMPUTED_VALUE"""),"Q41e")</f>
        <v>Q41e</v>
      </c>
      <c r="E432" s="7" t="str">
        <f>IFERROR(__xludf.DUMMYFUNCTION("""COMPUTED_VALUE"""),"Trust the ruling party")</f>
        <v>Trust the ruling party</v>
      </c>
      <c r="F432" s="7" t="str">
        <f>IFERROR(__xludf.DUMMYFUNCTION("""COMPUTED_VALUE"""),"The ruling party")</f>
        <v>The ruling party</v>
      </c>
    </row>
    <row r="433">
      <c r="A433" s="7" t="str">
        <f>IFERROR(__xludf.DUMMYFUNCTION("""COMPUTED_VALUE"""),"CABO VERDE ")</f>
        <v>CABO VERDE </v>
      </c>
      <c r="B433" s="8">
        <f>IFERROR(__xludf.DUMMYFUNCTION("""COMPUTED_VALUE"""),8.0)</f>
        <v>8</v>
      </c>
      <c r="C433" s="7" t="str">
        <f>IFERROR(__xludf.DUMMYFUNCTION("""COMPUTED_VALUE"""),"H_27")</f>
        <v>H_27</v>
      </c>
      <c r="D433" s="7" t="str">
        <f>IFERROR(__xludf.DUMMYFUNCTION("""COMPUTED_VALUE"""),"Q41e")</f>
        <v>Q41e</v>
      </c>
      <c r="E433" s="7" t="str">
        <f>IFERROR(__xludf.DUMMYFUNCTION("""COMPUTED_VALUE"""),"Trust the ruling party")</f>
        <v>Trust the ruling party</v>
      </c>
      <c r="F433" s="7" t="str">
        <f>IFERROR(__xludf.DUMMYFUNCTION("""COMPUTED_VALUE"""),"The ruling Movimento para Democracia (MpD)")</f>
        <v>The ruling Movimento para Democracia (MpD)</v>
      </c>
    </row>
    <row r="434">
      <c r="A434" s="7" t="str">
        <f>IFERROR(__xludf.DUMMYFUNCTION("""COMPUTED_VALUE"""),"CAMEROON")</f>
        <v>CAMEROON</v>
      </c>
      <c r="B434" s="8">
        <f>IFERROR(__xludf.DUMMYFUNCTION("""COMPUTED_VALUE"""),8.0)</f>
        <v>8</v>
      </c>
      <c r="C434" s="7" t="str">
        <f>IFERROR(__xludf.DUMMYFUNCTION("""COMPUTED_VALUE"""),"H_27")</f>
        <v>H_27</v>
      </c>
      <c r="D434" s="7" t="str">
        <f>IFERROR(__xludf.DUMMYFUNCTION("""COMPUTED_VALUE"""),"Q41e")</f>
        <v>Q41e</v>
      </c>
      <c r="E434" s="7" t="str">
        <f>IFERROR(__xludf.DUMMYFUNCTION("""COMPUTED_VALUE"""),"Trust the ruling party")</f>
        <v>Trust the ruling party</v>
      </c>
      <c r="F434" s="7" t="str">
        <f>IFERROR(__xludf.DUMMYFUNCTION("""COMPUTED_VALUE"""),"The ruling party")</f>
        <v>The ruling party</v>
      </c>
    </row>
    <row r="435">
      <c r="A435" s="7" t="str">
        <f>IFERROR(__xludf.DUMMYFUNCTION("""COMPUTED_VALUE"""),"ETHIOPIA")</f>
        <v>ETHIOPIA</v>
      </c>
      <c r="B435" s="8">
        <f>IFERROR(__xludf.DUMMYFUNCTION("""COMPUTED_VALUE"""),8.0)</f>
        <v>8</v>
      </c>
      <c r="C435" s="7" t="str">
        <f>IFERROR(__xludf.DUMMYFUNCTION("""COMPUTED_VALUE"""),"H_27")</f>
        <v>H_27</v>
      </c>
      <c r="D435" s="7" t="str">
        <f>IFERROR(__xludf.DUMMYFUNCTION("""COMPUTED_VALUE"""),"Q41e")</f>
        <v>Q41e</v>
      </c>
      <c r="E435" s="7" t="str">
        <f>IFERROR(__xludf.DUMMYFUNCTION("""COMPUTED_VALUE"""),"Trust the ruling party")</f>
        <v>Trust the ruling party</v>
      </c>
      <c r="F435" s="7" t="str">
        <f>IFERROR(__xludf.DUMMYFUNCTION("""COMPUTED_VALUE"""),"The ruling party")</f>
        <v>The ruling party</v>
      </c>
    </row>
    <row r="436">
      <c r="A436" s="7" t="str">
        <f>IFERROR(__xludf.DUMMYFUNCTION("""COMPUTED_VALUE"""),"GAMBIA")</f>
        <v>GAMBIA</v>
      </c>
      <c r="B436" s="8">
        <f>IFERROR(__xludf.DUMMYFUNCTION("""COMPUTED_VALUE"""),8.0)</f>
        <v>8</v>
      </c>
      <c r="C436" s="7" t="str">
        <f>IFERROR(__xludf.DUMMYFUNCTION("""COMPUTED_VALUE"""),"H_27")</f>
        <v>H_27</v>
      </c>
      <c r="D436" s="7" t="str">
        <f>IFERROR(__xludf.DUMMYFUNCTION("""COMPUTED_VALUE"""),"Q41e")</f>
        <v>Q41e</v>
      </c>
      <c r="E436" s="7" t="str">
        <f>IFERROR(__xludf.DUMMYFUNCTION("""COMPUTED_VALUE"""),"Trust the ruling party")</f>
        <v>Trust the ruling party</v>
      </c>
      <c r="F436" s="7" t="str">
        <f>IFERROR(__xludf.DUMMYFUNCTION("""COMPUTED_VALUE"""),"The ruling party")</f>
        <v>The ruling party</v>
      </c>
    </row>
    <row r="437">
      <c r="A437" s="7" t="str">
        <f>IFERROR(__xludf.DUMMYFUNCTION("""COMPUTED_VALUE"""),"GHANA ")</f>
        <v>GHANA </v>
      </c>
      <c r="B437" s="8">
        <f>IFERROR(__xludf.DUMMYFUNCTION("""COMPUTED_VALUE"""),8.0)</f>
        <v>8</v>
      </c>
      <c r="C437" s="7" t="str">
        <f>IFERROR(__xludf.DUMMYFUNCTION("""COMPUTED_VALUE"""),"H_27")</f>
        <v>H_27</v>
      </c>
      <c r="D437" s="7" t="str">
        <f>IFERROR(__xludf.DUMMYFUNCTION("""COMPUTED_VALUE"""),"Q41e")</f>
        <v>Q41e</v>
      </c>
      <c r="E437" s="7" t="str">
        <f>IFERROR(__xludf.DUMMYFUNCTION("""COMPUTED_VALUE"""),"Trust the ruling party")</f>
        <v>Trust the ruling party</v>
      </c>
      <c r="F437" s="7" t="str">
        <f>IFERROR(__xludf.DUMMYFUNCTION("""COMPUTED_VALUE"""),"The ruling New Patriotic Party (NPP)")</f>
        <v>The ruling New Patriotic Party (NPP)</v>
      </c>
    </row>
    <row r="438">
      <c r="A438" s="7" t="str">
        <f>IFERROR(__xludf.DUMMYFUNCTION("""COMPUTED_VALUE"""),"KENYA  ")</f>
        <v>KENYA  </v>
      </c>
      <c r="B438" s="8">
        <f>IFERROR(__xludf.DUMMYFUNCTION("""COMPUTED_VALUE"""),8.0)</f>
        <v>8</v>
      </c>
      <c r="C438" s="7" t="str">
        <f>IFERROR(__xludf.DUMMYFUNCTION("""COMPUTED_VALUE"""),"H_27")</f>
        <v>H_27</v>
      </c>
      <c r="D438" s="7" t="str">
        <f>IFERROR(__xludf.DUMMYFUNCTION("""COMPUTED_VALUE"""),"Q41e")</f>
        <v>Q41e</v>
      </c>
      <c r="E438" s="7" t="str">
        <f>IFERROR(__xludf.DUMMYFUNCTION("""COMPUTED_VALUE"""),"Trust the ruling party")</f>
        <v>Trust the ruling party</v>
      </c>
      <c r="F438" s="7" t="str">
        <f>IFERROR(__xludf.DUMMYFUNCTION("""COMPUTED_VALUE"""),"The ruling party")</f>
        <v>The ruling party</v>
      </c>
    </row>
    <row r="439">
      <c r="A439" s="7" t="str">
        <f>IFERROR(__xludf.DUMMYFUNCTION("""COMPUTED_VALUE"""),"LESOTHO ")</f>
        <v>LESOTHO </v>
      </c>
      <c r="B439" s="8">
        <f>IFERROR(__xludf.DUMMYFUNCTION("""COMPUTED_VALUE"""),8.0)</f>
        <v>8</v>
      </c>
      <c r="C439" s="7" t="str">
        <f>IFERROR(__xludf.DUMMYFUNCTION("""COMPUTED_VALUE"""),"H_27")</f>
        <v>H_27</v>
      </c>
      <c r="D439" s="7" t="str">
        <f>IFERROR(__xludf.DUMMYFUNCTION("""COMPUTED_VALUE"""),"Q41e")</f>
        <v>Q41e</v>
      </c>
      <c r="E439" s="7" t="str">
        <f>IFERROR(__xludf.DUMMYFUNCTION("""COMPUTED_VALUE"""),"Trust the ruling party")</f>
        <v>Trust the ruling party</v>
      </c>
      <c r="F439" s="7" t="str">
        <f>IFERROR(__xludf.DUMMYFUNCTION("""COMPUTED_VALUE"""),"The ruling coalition government")</f>
        <v>The ruling coalition government</v>
      </c>
    </row>
    <row r="440">
      <c r="A440" s="7" t="str">
        <f>IFERROR(__xludf.DUMMYFUNCTION("""COMPUTED_VALUE"""),"LIBERIA  ")</f>
        <v>LIBERIA  </v>
      </c>
      <c r="B440" s="8">
        <f>IFERROR(__xludf.DUMMYFUNCTION("""COMPUTED_VALUE"""),8.0)</f>
        <v>8</v>
      </c>
      <c r="C440" s="7" t="str">
        <f>IFERROR(__xludf.DUMMYFUNCTION("""COMPUTED_VALUE"""),"H_27")</f>
        <v>H_27</v>
      </c>
      <c r="D440" s="7" t="str">
        <f>IFERROR(__xludf.DUMMYFUNCTION("""COMPUTED_VALUE"""),"Q41e")</f>
        <v>Q41e</v>
      </c>
      <c r="E440" s="7" t="str">
        <f>IFERROR(__xludf.DUMMYFUNCTION("""COMPUTED_VALUE"""),"Trust the ruling party")</f>
        <v>Trust the ruling party</v>
      </c>
      <c r="F440" s="7" t="str">
        <f>IFERROR(__xludf.DUMMYFUNCTION("""COMPUTED_VALUE"""),"The ruling party")</f>
        <v>The ruling party</v>
      </c>
    </row>
    <row r="441">
      <c r="A441" s="7" t="str">
        <f>IFERROR(__xludf.DUMMYFUNCTION("""COMPUTED_VALUE"""),"MALAWI ")</f>
        <v>MALAWI </v>
      </c>
      <c r="B441" s="8">
        <f>IFERROR(__xludf.DUMMYFUNCTION("""COMPUTED_VALUE"""),8.0)</f>
        <v>8</v>
      </c>
      <c r="C441" s="7" t="str">
        <f>IFERROR(__xludf.DUMMYFUNCTION("""COMPUTED_VALUE"""),"H_27")</f>
        <v>H_27</v>
      </c>
      <c r="D441" s="7" t="str">
        <f>IFERROR(__xludf.DUMMYFUNCTION("""COMPUTED_VALUE"""),"Q41e")</f>
        <v>Q41e</v>
      </c>
      <c r="E441" s="7" t="str">
        <f>IFERROR(__xludf.DUMMYFUNCTION("""COMPUTED_VALUE"""),"Trust the ruling party")</f>
        <v>Trust the ruling party</v>
      </c>
      <c r="F441" s="7" t="str">
        <f>IFERROR(__xludf.DUMMYFUNCTION("""COMPUTED_VALUE"""),"The ruling party")</f>
        <v>The ruling party</v>
      </c>
    </row>
    <row r="442">
      <c r="A442" s="7" t="str">
        <f>IFERROR(__xludf.DUMMYFUNCTION("""COMPUTED_VALUE"""),"MOROCCO ")</f>
        <v>MOROCCO </v>
      </c>
      <c r="B442" s="8">
        <f>IFERROR(__xludf.DUMMYFUNCTION("""COMPUTED_VALUE"""),8.0)</f>
        <v>8</v>
      </c>
      <c r="C442" s="7" t="str">
        <f>IFERROR(__xludf.DUMMYFUNCTION("""COMPUTED_VALUE"""),"H_27")</f>
        <v>H_27</v>
      </c>
      <c r="D442" s="7" t="str">
        <f>IFERROR(__xludf.DUMMYFUNCTION("""COMPUTED_VALUE"""),"Q41e")</f>
        <v>Q41e</v>
      </c>
      <c r="E442" s="7" t="str">
        <f>IFERROR(__xludf.DUMMYFUNCTION("""COMPUTED_VALUE"""),"Trust the ruling party")</f>
        <v>Trust the ruling party</v>
      </c>
      <c r="F442" s="7" t="str">
        <f>IFERROR(__xludf.DUMMYFUNCTION("""COMPUTED_VALUE"""),"The ruling party")</f>
        <v>The ruling party</v>
      </c>
    </row>
    <row r="443">
      <c r="A443" s="7" t="str">
        <f>IFERROR(__xludf.DUMMYFUNCTION("""COMPUTED_VALUE"""),"MOZAMBIQUE")</f>
        <v>MOZAMBIQUE</v>
      </c>
      <c r="B443" s="8">
        <f>IFERROR(__xludf.DUMMYFUNCTION("""COMPUTED_VALUE"""),8.0)</f>
        <v>8</v>
      </c>
      <c r="C443" s="7" t="str">
        <f>IFERROR(__xludf.DUMMYFUNCTION("""COMPUTED_VALUE"""),"H_27")</f>
        <v>H_27</v>
      </c>
      <c r="D443" s="7" t="str">
        <f>IFERROR(__xludf.DUMMYFUNCTION("""COMPUTED_VALUE"""),"Q41e")</f>
        <v>Q41e</v>
      </c>
      <c r="E443" s="7" t="str">
        <f>IFERROR(__xludf.DUMMYFUNCTION("""COMPUTED_VALUE"""),"Trust the ruling party")</f>
        <v>Trust the ruling party</v>
      </c>
      <c r="F443" s="7" t="str">
        <f>IFERROR(__xludf.DUMMYFUNCTION("""COMPUTED_VALUE"""),"The ruling party")</f>
        <v>The ruling party</v>
      </c>
    </row>
    <row r="444">
      <c r="A444" s="7" t="str">
        <f>IFERROR(__xludf.DUMMYFUNCTION("""COMPUTED_VALUE"""),"NAMIBIA ")</f>
        <v>NAMIBIA </v>
      </c>
      <c r="B444" s="8">
        <f>IFERROR(__xludf.DUMMYFUNCTION("""COMPUTED_VALUE"""),8.0)</f>
        <v>8</v>
      </c>
      <c r="C444" s="7" t="str">
        <f>IFERROR(__xludf.DUMMYFUNCTION("""COMPUTED_VALUE"""),"H_27")</f>
        <v>H_27</v>
      </c>
      <c r="D444" s="7" t="str">
        <f>IFERROR(__xludf.DUMMYFUNCTION("""COMPUTED_VALUE"""),"Q41e")</f>
        <v>Q41e</v>
      </c>
      <c r="E444" s="7" t="str">
        <f>IFERROR(__xludf.DUMMYFUNCTION("""COMPUTED_VALUE"""),"Trust the ruling party")</f>
        <v>Trust the ruling party</v>
      </c>
      <c r="F444" s="7" t="str">
        <f>IFERROR(__xludf.DUMMYFUNCTION("""COMPUTED_VALUE"""),"The ruling party")</f>
        <v>The ruling party</v>
      </c>
    </row>
    <row r="445">
      <c r="A445" s="7" t="str">
        <f>IFERROR(__xludf.DUMMYFUNCTION("""COMPUTED_VALUE"""),"NIGERIA ")</f>
        <v>NIGERIA </v>
      </c>
      <c r="B445" s="8">
        <f>IFERROR(__xludf.DUMMYFUNCTION("""COMPUTED_VALUE"""),8.0)</f>
        <v>8</v>
      </c>
      <c r="C445" s="7" t="str">
        <f>IFERROR(__xludf.DUMMYFUNCTION("""COMPUTED_VALUE"""),"H_27")</f>
        <v>H_27</v>
      </c>
      <c r="D445" s="7" t="str">
        <f>IFERROR(__xludf.DUMMYFUNCTION("""COMPUTED_VALUE"""),"Q41e")</f>
        <v>Q41e</v>
      </c>
      <c r="E445" s="7" t="str">
        <f>IFERROR(__xludf.DUMMYFUNCTION("""COMPUTED_VALUE"""),"Trust the ruling party")</f>
        <v>Trust the ruling party</v>
      </c>
      <c r="F445" s="7" t="str">
        <f>IFERROR(__xludf.DUMMYFUNCTION("""COMPUTED_VALUE"""),"The ruling APC Party")</f>
        <v>The ruling APC Party</v>
      </c>
    </row>
    <row r="446">
      <c r="A446" s="7" t="str">
        <f>IFERROR(__xludf.DUMMYFUNCTION("""COMPUTED_VALUE"""),"SIERRA LEONE")</f>
        <v>SIERRA LEONE</v>
      </c>
      <c r="B446" s="8">
        <f>IFERROR(__xludf.DUMMYFUNCTION("""COMPUTED_VALUE"""),8.0)</f>
        <v>8</v>
      </c>
      <c r="C446" s="7" t="str">
        <f>IFERROR(__xludf.DUMMYFUNCTION("""COMPUTED_VALUE"""),"H_27")</f>
        <v>H_27</v>
      </c>
      <c r="D446" s="7" t="str">
        <f>IFERROR(__xludf.DUMMYFUNCTION("""COMPUTED_VALUE"""),"Q41e")</f>
        <v>Q41e</v>
      </c>
      <c r="E446" s="7" t="str">
        <f>IFERROR(__xludf.DUMMYFUNCTION("""COMPUTED_VALUE"""),"Trust the ruling party")</f>
        <v>Trust the ruling party</v>
      </c>
      <c r="F446" s="7" t="str">
        <f>IFERROR(__xludf.DUMMYFUNCTION("""COMPUTED_VALUE"""),"The ruling party")</f>
        <v>The ruling party</v>
      </c>
    </row>
    <row r="447">
      <c r="A447" s="7" t="str">
        <f>IFERROR(__xludf.DUMMYFUNCTION("""COMPUTED_VALUE"""),"SOUTH AFRICA")</f>
        <v>SOUTH AFRICA</v>
      </c>
      <c r="B447" s="8">
        <f>IFERROR(__xludf.DUMMYFUNCTION("""COMPUTED_VALUE"""),8.0)</f>
        <v>8</v>
      </c>
      <c r="C447" s="7" t="str">
        <f>IFERROR(__xludf.DUMMYFUNCTION("""COMPUTED_VALUE"""),"H_27")</f>
        <v>H_27</v>
      </c>
      <c r="D447" s="7" t="str">
        <f>IFERROR(__xludf.DUMMYFUNCTION("""COMPUTED_VALUE"""),"Q41e")</f>
        <v>Q41e</v>
      </c>
      <c r="E447" s="7" t="str">
        <f>IFERROR(__xludf.DUMMYFUNCTION("""COMPUTED_VALUE"""),"Trust the ruling party")</f>
        <v>Trust the ruling party</v>
      </c>
      <c r="F447" s="7" t="str">
        <f>IFERROR(__xludf.DUMMYFUNCTION("""COMPUTED_VALUE"""),"The ruling party")</f>
        <v>The ruling party</v>
      </c>
    </row>
    <row r="448">
      <c r="A448" s="7" t="str">
        <f>IFERROR(__xludf.DUMMYFUNCTION("""COMPUTED_VALUE"""),"TANZANIA")</f>
        <v>TANZANIA</v>
      </c>
      <c r="B448" s="8">
        <f>IFERROR(__xludf.DUMMYFUNCTION("""COMPUTED_VALUE"""),8.0)</f>
        <v>8</v>
      </c>
      <c r="C448" s="7" t="str">
        <f>IFERROR(__xludf.DUMMYFUNCTION("""COMPUTED_VALUE"""),"H_27")</f>
        <v>H_27</v>
      </c>
      <c r="D448" s="7" t="str">
        <f>IFERROR(__xludf.DUMMYFUNCTION("""COMPUTED_VALUE"""),"Q41e")</f>
        <v>Q41e</v>
      </c>
      <c r="E448" s="7" t="str">
        <f>IFERROR(__xludf.DUMMYFUNCTION("""COMPUTED_VALUE"""),"Trust the ruling party")</f>
        <v>Trust the ruling party</v>
      </c>
      <c r="F448" s="7" t="str">
        <f>IFERROR(__xludf.DUMMYFUNCTION("""COMPUTED_VALUE"""),"The ruling Chama cha Mapinduzi")</f>
        <v>The ruling Chama cha Mapinduzi</v>
      </c>
    </row>
    <row r="449">
      <c r="A449" s="7" t="str">
        <f>IFERROR(__xludf.DUMMYFUNCTION("""COMPUTED_VALUE"""),"TUNISIA ")</f>
        <v>TUNISIA </v>
      </c>
      <c r="B449" s="8">
        <f>IFERROR(__xludf.DUMMYFUNCTION("""COMPUTED_VALUE"""),8.0)</f>
        <v>8</v>
      </c>
      <c r="C449" s="7" t="str">
        <f>IFERROR(__xludf.DUMMYFUNCTION("""COMPUTED_VALUE"""),"H_27")</f>
        <v>H_27</v>
      </c>
      <c r="D449" s="7" t="str">
        <f>IFERROR(__xludf.DUMMYFUNCTION("""COMPUTED_VALUE"""),"Q41e")</f>
        <v>Q41e</v>
      </c>
      <c r="E449" s="7" t="str">
        <f>IFERROR(__xludf.DUMMYFUNCTION("""COMPUTED_VALUE"""),"Trust the ruling party")</f>
        <v>Trust the ruling party</v>
      </c>
      <c r="F449" s="7" t="str">
        <f>IFERROR(__xludf.DUMMYFUNCTION("""COMPUTED_VALUE"""),"The ruling party")</f>
        <v>The ruling party</v>
      </c>
    </row>
    <row r="450">
      <c r="A450" s="7" t="str">
        <f>IFERROR(__xludf.DUMMYFUNCTION("""COMPUTED_VALUE"""),"UGANDA  ")</f>
        <v>UGANDA  </v>
      </c>
      <c r="B450" s="8">
        <f>IFERROR(__xludf.DUMMYFUNCTION("""COMPUTED_VALUE"""),8.0)</f>
        <v>8</v>
      </c>
      <c r="C450" s="7" t="str">
        <f>IFERROR(__xludf.DUMMYFUNCTION("""COMPUTED_VALUE"""),"H_27")</f>
        <v>H_27</v>
      </c>
      <c r="D450" s="7" t="str">
        <f>IFERROR(__xludf.DUMMYFUNCTION("""COMPUTED_VALUE"""),"Q41e")</f>
        <v>Q41e</v>
      </c>
      <c r="E450" s="7" t="str">
        <f>IFERROR(__xludf.DUMMYFUNCTION("""COMPUTED_VALUE"""),"Trust the ruling party")</f>
        <v>Trust the ruling party</v>
      </c>
      <c r="F450" s="7" t="str">
        <f>IFERROR(__xludf.DUMMYFUNCTION("""COMPUTED_VALUE"""),"The ruling party")</f>
        <v>The ruling party</v>
      </c>
    </row>
    <row r="451">
      <c r="A451" s="7" t="str">
        <f>IFERROR(__xludf.DUMMYFUNCTION("""COMPUTED_VALUE"""),"ZAMBIA")</f>
        <v>ZAMBIA</v>
      </c>
      <c r="B451" s="8">
        <f>IFERROR(__xludf.DUMMYFUNCTION("""COMPUTED_VALUE"""),8.0)</f>
        <v>8</v>
      </c>
      <c r="C451" s="7" t="str">
        <f>IFERROR(__xludf.DUMMYFUNCTION("""COMPUTED_VALUE"""),"H_27")</f>
        <v>H_27</v>
      </c>
      <c r="D451" s="7" t="str">
        <f>IFERROR(__xludf.DUMMYFUNCTION("""COMPUTED_VALUE"""),"Q41e")</f>
        <v>Q41e</v>
      </c>
      <c r="E451" s="7" t="str">
        <f>IFERROR(__xludf.DUMMYFUNCTION("""COMPUTED_VALUE"""),"Trust the ruling party")</f>
        <v>Trust the ruling party</v>
      </c>
      <c r="F451" s="7" t="str">
        <f>IFERROR(__xludf.DUMMYFUNCTION("""COMPUTED_VALUE"""),"The Ruling Patriotic Front Party")</f>
        <v>The Ruling Patriotic Front Party</v>
      </c>
    </row>
    <row r="452">
      <c r="A452" s="7" t="str">
        <f>IFERROR(__xludf.DUMMYFUNCTION("""COMPUTED_VALUE"""),"ZIMBABWE")</f>
        <v>ZIMBABWE</v>
      </c>
      <c r="B452" s="8">
        <f>IFERROR(__xludf.DUMMYFUNCTION("""COMPUTED_VALUE"""),8.0)</f>
        <v>8</v>
      </c>
      <c r="C452" s="7" t="str">
        <f>IFERROR(__xludf.DUMMYFUNCTION("""COMPUTED_VALUE"""),"H_27")</f>
        <v>H_27</v>
      </c>
      <c r="D452" s="7" t="str">
        <f>IFERROR(__xludf.DUMMYFUNCTION("""COMPUTED_VALUE"""),"Q41e")</f>
        <v>Q41e</v>
      </c>
      <c r="E452" s="7" t="str">
        <f>IFERROR(__xludf.DUMMYFUNCTION("""COMPUTED_VALUE"""),"Trust the ruling party")</f>
        <v>Trust the ruling party</v>
      </c>
      <c r="F452" s="7" t="str">
        <f>IFERROR(__xludf.DUMMYFUNCTION("""COMPUTED_VALUE"""),"The ruling party")</f>
        <v>The ruling party</v>
      </c>
    </row>
    <row r="453">
      <c r="A453" s="7" t="str">
        <f>IFERROR(__xludf.DUMMYFUNCTION("""COMPUTED_VALUE"""),"BOTSWANA ")</f>
        <v>BOTSWANA </v>
      </c>
      <c r="B453" s="8">
        <f>IFERROR(__xludf.DUMMYFUNCTION("""COMPUTED_VALUE"""),8.0)</f>
        <v>8</v>
      </c>
      <c r="C453" s="7" t="str">
        <f>IFERROR(__xludf.DUMMYFUNCTION("""COMPUTED_VALUE"""),"H_11")</f>
        <v>H_11</v>
      </c>
      <c r="D453" s="7" t="str">
        <f>IFERROR(__xludf.DUMMYFUNCTION("""COMPUTED_VALUE"""),"Q41f")</f>
        <v>Q41f</v>
      </c>
      <c r="E453" s="7" t="str">
        <f>IFERROR(__xludf.DUMMYFUNCTION("""COMPUTED_VALUE"""),"Trust opposition political parties")</f>
        <v>Trust opposition political parties</v>
      </c>
      <c r="F453" s="7" t="str">
        <f>IFERROR(__xludf.DUMMYFUNCTION("""COMPUTED_VALUE"""),"Opposition political parties")</f>
        <v>Opposition political parties</v>
      </c>
    </row>
    <row r="454">
      <c r="A454" s="7" t="str">
        <f>IFERROR(__xludf.DUMMYFUNCTION("""COMPUTED_VALUE"""),"CABO VERDE ")</f>
        <v>CABO VERDE </v>
      </c>
      <c r="B454" s="8">
        <f>IFERROR(__xludf.DUMMYFUNCTION("""COMPUTED_VALUE"""),8.0)</f>
        <v>8</v>
      </c>
      <c r="C454" s="7" t="str">
        <f>IFERROR(__xludf.DUMMYFUNCTION("""COMPUTED_VALUE"""),"H_11")</f>
        <v>H_11</v>
      </c>
      <c r="D454" s="7" t="str">
        <f>IFERROR(__xludf.DUMMYFUNCTION("""COMPUTED_VALUE"""),"Q41f")</f>
        <v>Q41f</v>
      </c>
      <c r="E454" s="7" t="str">
        <f>IFERROR(__xludf.DUMMYFUNCTION("""COMPUTED_VALUE"""),"Trust opposition political parties")</f>
        <v>Trust opposition political parties</v>
      </c>
      <c r="F454" s="7" t="str">
        <f>IFERROR(__xludf.DUMMYFUNCTION("""COMPUTED_VALUE"""),"Opposition political parties")</f>
        <v>Opposition political parties</v>
      </c>
    </row>
    <row r="455">
      <c r="A455" s="7" t="str">
        <f>IFERROR(__xludf.DUMMYFUNCTION("""COMPUTED_VALUE"""),"CAMEROON")</f>
        <v>CAMEROON</v>
      </c>
      <c r="B455" s="8">
        <f>IFERROR(__xludf.DUMMYFUNCTION("""COMPUTED_VALUE"""),8.0)</f>
        <v>8</v>
      </c>
      <c r="C455" s="7" t="str">
        <f>IFERROR(__xludf.DUMMYFUNCTION("""COMPUTED_VALUE"""),"H_11")</f>
        <v>H_11</v>
      </c>
      <c r="D455" s="7" t="str">
        <f>IFERROR(__xludf.DUMMYFUNCTION("""COMPUTED_VALUE"""),"Q41f")</f>
        <v>Q41f</v>
      </c>
      <c r="E455" s="7" t="str">
        <f>IFERROR(__xludf.DUMMYFUNCTION("""COMPUTED_VALUE"""),"Trust opposition political parties")</f>
        <v>Trust opposition political parties</v>
      </c>
      <c r="F455" s="7" t="str">
        <f>IFERROR(__xludf.DUMMYFUNCTION("""COMPUTED_VALUE"""),"Opposition political parties")</f>
        <v>Opposition political parties</v>
      </c>
    </row>
    <row r="456">
      <c r="A456" s="7" t="str">
        <f>IFERROR(__xludf.DUMMYFUNCTION("""COMPUTED_VALUE"""),"ETHIOPIA")</f>
        <v>ETHIOPIA</v>
      </c>
      <c r="B456" s="8">
        <f>IFERROR(__xludf.DUMMYFUNCTION("""COMPUTED_VALUE"""),8.0)</f>
        <v>8</v>
      </c>
      <c r="C456" s="7" t="str">
        <f>IFERROR(__xludf.DUMMYFUNCTION("""COMPUTED_VALUE"""),"H_11")</f>
        <v>H_11</v>
      </c>
      <c r="D456" s="7" t="str">
        <f>IFERROR(__xludf.DUMMYFUNCTION("""COMPUTED_VALUE"""),"Q41f")</f>
        <v>Q41f</v>
      </c>
      <c r="E456" s="7" t="str">
        <f>IFERROR(__xludf.DUMMYFUNCTION("""COMPUTED_VALUE"""),"Trust opposition political parties")</f>
        <v>Trust opposition political parties</v>
      </c>
      <c r="F456" s="7" t="str">
        <f>IFERROR(__xludf.DUMMYFUNCTION("""COMPUTED_VALUE"""),"Opposition political parties")</f>
        <v>Opposition political parties</v>
      </c>
    </row>
    <row r="457">
      <c r="A457" s="7" t="str">
        <f>IFERROR(__xludf.DUMMYFUNCTION("""COMPUTED_VALUE"""),"GAMBIA")</f>
        <v>GAMBIA</v>
      </c>
      <c r="B457" s="8">
        <f>IFERROR(__xludf.DUMMYFUNCTION("""COMPUTED_VALUE"""),8.0)</f>
        <v>8</v>
      </c>
      <c r="C457" s="7" t="str">
        <f>IFERROR(__xludf.DUMMYFUNCTION("""COMPUTED_VALUE"""),"H_11")</f>
        <v>H_11</v>
      </c>
      <c r="D457" s="7" t="str">
        <f>IFERROR(__xludf.DUMMYFUNCTION("""COMPUTED_VALUE"""),"Q41f")</f>
        <v>Q41f</v>
      </c>
      <c r="E457" s="7" t="str">
        <f>IFERROR(__xludf.DUMMYFUNCTION("""COMPUTED_VALUE"""),"Trust opposition political parties")</f>
        <v>Trust opposition political parties</v>
      </c>
      <c r="F457" s="7" t="str">
        <f>IFERROR(__xludf.DUMMYFUNCTION("""COMPUTED_VALUE"""),"Opposition political parties")</f>
        <v>Opposition political parties</v>
      </c>
    </row>
    <row r="458">
      <c r="A458" s="7" t="str">
        <f>IFERROR(__xludf.DUMMYFUNCTION("""COMPUTED_VALUE"""),"GHANA ")</f>
        <v>GHANA </v>
      </c>
      <c r="B458" s="8">
        <f>IFERROR(__xludf.DUMMYFUNCTION("""COMPUTED_VALUE"""),8.0)</f>
        <v>8</v>
      </c>
      <c r="C458" s="7" t="str">
        <f>IFERROR(__xludf.DUMMYFUNCTION("""COMPUTED_VALUE"""),"H_11")</f>
        <v>H_11</v>
      </c>
      <c r="D458" s="7" t="str">
        <f>IFERROR(__xludf.DUMMYFUNCTION("""COMPUTED_VALUE"""),"Q41f")</f>
        <v>Q41f</v>
      </c>
      <c r="E458" s="7" t="str">
        <f>IFERROR(__xludf.DUMMYFUNCTION("""COMPUTED_VALUE"""),"Trust opposition political parties")</f>
        <v>Trust opposition political parties</v>
      </c>
      <c r="F458" s="7" t="str">
        <f>IFERROR(__xludf.DUMMYFUNCTION("""COMPUTED_VALUE"""),"Opposition political parties")</f>
        <v>Opposition political parties</v>
      </c>
    </row>
    <row r="459">
      <c r="A459" s="7" t="str">
        <f>IFERROR(__xludf.DUMMYFUNCTION("""COMPUTED_VALUE"""),"KENYA  ")</f>
        <v>KENYA  </v>
      </c>
      <c r="B459" s="8">
        <f>IFERROR(__xludf.DUMMYFUNCTION("""COMPUTED_VALUE"""),8.0)</f>
        <v>8</v>
      </c>
      <c r="C459" s="7" t="str">
        <f>IFERROR(__xludf.DUMMYFUNCTION("""COMPUTED_VALUE"""),"H_11")</f>
        <v>H_11</v>
      </c>
      <c r="D459" s="7" t="str">
        <f>IFERROR(__xludf.DUMMYFUNCTION("""COMPUTED_VALUE"""),"Q41f")</f>
        <v>Q41f</v>
      </c>
      <c r="E459" s="7" t="str">
        <f>IFERROR(__xludf.DUMMYFUNCTION("""COMPUTED_VALUE"""),"Trust opposition political parties")</f>
        <v>Trust opposition political parties</v>
      </c>
      <c r="F459" s="7" t="str">
        <f>IFERROR(__xludf.DUMMYFUNCTION("""COMPUTED_VALUE"""),"Opposition political parties")</f>
        <v>Opposition political parties</v>
      </c>
    </row>
    <row r="460">
      <c r="A460" s="7" t="str">
        <f>IFERROR(__xludf.DUMMYFUNCTION("""COMPUTED_VALUE"""),"LESOTHO ")</f>
        <v>LESOTHO </v>
      </c>
      <c r="B460" s="8">
        <f>IFERROR(__xludf.DUMMYFUNCTION("""COMPUTED_VALUE"""),8.0)</f>
        <v>8</v>
      </c>
      <c r="C460" s="7" t="str">
        <f>IFERROR(__xludf.DUMMYFUNCTION("""COMPUTED_VALUE"""),"H_11")</f>
        <v>H_11</v>
      </c>
      <c r="D460" s="7" t="str">
        <f>IFERROR(__xludf.DUMMYFUNCTION("""COMPUTED_VALUE"""),"Q41f")</f>
        <v>Q41f</v>
      </c>
      <c r="E460" s="7" t="str">
        <f>IFERROR(__xludf.DUMMYFUNCTION("""COMPUTED_VALUE"""),"Trust opposition political parties")</f>
        <v>Trust opposition political parties</v>
      </c>
      <c r="F460" s="7" t="str">
        <f>IFERROR(__xludf.DUMMYFUNCTION("""COMPUTED_VALUE"""),"Opposition political parties")</f>
        <v>Opposition political parties</v>
      </c>
    </row>
    <row r="461">
      <c r="A461" s="7" t="str">
        <f>IFERROR(__xludf.DUMMYFUNCTION("""COMPUTED_VALUE"""),"LIBERIA  ")</f>
        <v>LIBERIA  </v>
      </c>
      <c r="B461" s="8">
        <f>IFERROR(__xludf.DUMMYFUNCTION("""COMPUTED_VALUE"""),8.0)</f>
        <v>8</v>
      </c>
      <c r="C461" s="7" t="str">
        <f>IFERROR(__xludf.DUMMYFUNCTION("""COMPUTED_VALUE"""),"H_11")</f>
        <v>H_11</v>
      </c>
      <c r="D461" s="7" t="str">
        <f>IFERROR(__xludf.DUMMYFUNCTION("""COMPUTED_VALUE"""),"Q41f")</f>
        <v>Q41f</v>
      </c>
      <c r="E461" s="7" t="str">
        <f>IFERROR(__xludf.DUMMYFUNCTION("""COMPUTED_VALUE"""),"Trust opposition political parties")</f>
        <v>Trust opposition political parties</v>
      </c>
      <c r="F461" s="7" t="str">
        <f>IFERROR(__xludf.DUMMYFUNCTION("""COMPUTED_VALUE"""),"Opposition political parties")</f>
        <v>Opposition political parties</v>
      </c>
    </row>
    <row r="462">
      <c r="A462" s="7" t="str">
        <f>IFERROR(__xludf.DUMMYFUNCTION("""COMPUTED_VALUE"""),"MALAWI ")</f>
        <v>MALAWI </v>
      </c>
      <c r="B462" s="8">
        <f>IFERROR(__xludf.DUMMYFUNCTION("""COMPUTED_VALUE"""),8.0)</f>
        <v>8</v>
      </c>
      <c r="C462" s="7" t="str">
        <f>IFERROR(__xludf.DUMMYFUNCTION("""COMPUTED_VALUE"""),"H_11")</f>
        <v>H_11</v>
      </c>
      <c r="D462" s="7" t="str">
        <f>IFERROR(__xludf.DUMMYFUNCTION("""COMPUTED_VALUE"""),"Q41f")</f>
        <v>Q41f</v>
      </c>
      <c r="E462" s="7" t="str">
        <f>IFERROR(__xludf.DUMMYFUNCTION("""COMPUTED_VALUE"""),"Trust opposition political parties")</f>
        <v>Trust opposition political parties</v>
      </c>
      <c r="F462" s="7" t="str">
        <f>IFERROR(__xludf.DUMMYFUNCTION("""COMPUTED_VALUE"""),"Opposition political parties")</f>
        <v>Opposition political parties</v>
      </c>
    </row>
    <row r="463">
      <c r="A463" s="7" t="str">
        <f>IFERROR(__xludf.DUMMYFUNCTION("""COMPUTED_VALUE"""),"MOROCCO ")</f>
        <v>MOROCCO </v>
      </c>
      <c r="B463" s="8">
        <f>IFERROR(__xludf.DUMMYFUNCTION("""COMPUTED_VALUE"""),8.0)</f>
        <v>8</v>
      </c>
      <c r="C463" s="7" t="str">
        <f>IFERROR(__xludf.DUMMYFUNCTION("""COMPUTED_VALUE"""),"H_11")</f>
        <v>H_11</v>
      </c>
      <c r="D463" s="7" t="str">
        <f>IFERROR(__xludf.DUMMYFUNCTION("""COMPUTED_VALUE"""),"Q41f")</f>
        <v>Q41f</v>
      </c>
      <c r="E463" s="7" t="str">
        <f>IFERROR(__xludf.DUMMYFUNCTION("""COMPUTED_VALUE"""),"Trust opposition political parties")</f>
        <v>Trust opposition political parties</v>
      </c>
      <c r="F463" s="7" t="str">
        <f>IFERROR(__xludf.DUMMYFUNCTION("""COMPUTED_VALUE"""),"Opposition political parties")</f>
        <v>Opposition political parties</v>
      </c>
    </row>
    <row r="464">
      <c r="A464" s="7" t="str">
        <f>IFERROR(__xludf.DUMMYFUNCTION("""COMPUTED_VALUE"""),"MOZAMBIQUE")</f>
        <v>MOZAMBIQUE</v>
      </c>
      <c r="B464" s="8">
        <f>IFERROR(__xludf.DUMMYFUNCTION("""COMPUTED_VALUE"""),8.0)</f>
        <v>8</v>
      </c>
      <c r="C464" s="7" t="str">
        <f>IFERROR(__xludf.DUMMYFUNCTION("""COMPUTED_VALUE"""),"H_11")</f>
        <v>H_11</v>
      </c>
      <c r="D464" s="7" t="str">
        <f>IFERROR(__xludf.DUMMYFUNCTION("""COMPUTED_VALUE"""),"Q41f")</f>
        <v>Q41f</v>
      </c>
      <c r="E464" s="7" t="str">
        <f>IFERROR(__xludf.DUMMYFUNCTION("""COMPUTED_VALUE"""),"Trust opposition political parties")</f>
        <v>Trust opposition political parties</v>
      </c>
      <c r="F464" s="7" t="str">
        <f>IFERROR(__xludf.DUMMYFUNCTION("""COMPUTED_VALUE"""),"Opposition political parties")</f>
        <v>Opposition political parties</v>
      </c>
    </row>
    <row r="465">
      <c r="A465" s="7" t="str">
        <f>IFERROR(__xludf.DUMMYFUNCTION("""COMPUTED_VALUE"""),"NAMIBIA ")</f>
        <v>NAMIBIA </v>
      </c>
      <c r="B465" s="8">
        <f>IFERROR(__xludf.DUMMYFUNCTION("""COMPUTED_VALUE"""),8.0)</f>
        <v>8</v>
      </c>
      <c r="C465" s="7" t="str">
        <f>IFERROR(__xludf.DUMMYFUNCTION("""COMPUTED_VALUE"""),"H_11")</f>
        <v>H_11</v>
      </c>
      <c r="D465" s="7" t="str">
        <f>IFERROR(__xludf.DUMMYFUNCTION("""COMPUTED_VALUE"""),"Q41f")</f>
        <v>Q41f</v>
      </c>
      <c r="E465" s="7" t="str">
        <f>IFERROR(__xludf.DUMMYFUNCTION("""COMPUTED_VALUE"""),"Trust opposition political parties")</f>
        <v>Trust opposition political parties</v>
      </c>
      <c r="F465" s="7" t="str">
        <f>IFERROR(__xludf.DUMMYFUNCTION("""COMPUTED_VALUE"""),"Opposition political parties")</f>
        <v>Opposition political parties</v>
      </c>
    </row>
    <row r="466">
      <c r="A466" s="7" t="str">
        <f>IFERROR(__xludf.DUMMYFUNCTION("""COMPUTED_VALUE"""),"NIGERIA ")</f>
        <v>NIGERIA </v>
      </c>
      <c r="B466" s="8">
        <f>IFERROR(__xludf.DUMMYFUNCTION("""COMPUTED_VALUE"""),8.0)</f>
        <v>8</v>
      </c>
      <c r="C466" s="7" t="str">
        <f>IFERROR(__xludf.DUMMYFUNCTION("""COMPUTED_VALUE"""),"H_11")</f>
        <v>H_11</v>
      </c>
      <c r="D466" s="7" t="str">
        <f>IFERROR(__xludf.DUMMYFUNCTION("""COMPUTED_VALUE"""),"Q41f")</f>
        <v>Q41f</v>
      </c>
      <c r="E466" s="7" t="str">
        <f>IFERROR(__xludf.DUMMYFUNCTION("""COMPUTED_VALUE"""),"Trust opposition political parties")</f>
        <v>Trust opposition political parties</v>
      </c>
      <c r="F466" s="7" t="str">
        <f>IFERROR(__xludf.DUMMYFUNCTION("""COMPUTED_VALUE"""),"Opposition Political Parties")</f>
        <v>Opposition Political Parties</v>
      </c>
    </row>
    <row r="467">
      <c r="A467" s="7" t="str">
        <f>IFERROR(__xludf.DUMMYFUNCTION("""COMPUTED_VALUE"""),"SIERRA LEONE")</f>
        <v>SIERRA LEONE</v>
      </c>
      <c r="B467" s="8">
        <f>IFERROR(__xludf.DUMMYFUNCTION("""COMPUTED_VALUE"""),8.0)</f>
        <v>8</v>
      </c>
      <c r="C467" s="7" t="str">
        <f>IFERROR(__xludf.DUMMYFUNCTION("""COMPUTED_VALUE"""),"H_11")</f>
        <v>H_11</v>
      </c>
      <c r="D467" s="7" t="str">
        <f>IFERROR(__xludf.DUMMYFUNCTION("""COMPUTED_VALUE"""),"Q41f")</f>
        <v>Q41f</v>
      </c>
      <c r="E467" s="7" t="str">
        <f>IFERROR(__xludf.DUMMYFUNCTION("""COMPUTED_VALUE"""),"Trust opposition political parties")</f>
        <v>Trust opposition political parties</v>
      </c>
      <c r="F467" s="7" t="str">
        <f>IFERROR(__xludf.DUMMYFUNCTION("""COMPUTED_VALUE"""),"Opposition political parties")</f>
        <v>Opposition political parties</v>
      </c>
    </row>
    <row r="468">
      <c r="A468" s="7" t="str">
        <f>IFERROR(__xludf.DUMMYFUNCTION("""COMPUTED_VALUE"""),"SOUTH AFRICA")</f>
        <v>SOUTH AFRICA</v>
      </c>
      <c r="B468" s="8">
        <f>IFERROR(__xludf.DUMMYFUNCTION("""COMPUTED_VALUE"""),8.0)</f>
        <v>8</v>
      </c>
      <c r="C468" s="7" t="str">
        <f>IFERROR(__xludf.DUMMYFUNCTION("""COMPUTED_VALUE"""),"H_11")</f>
        <v>H_11</v>
      </c>
      <c r="D468" s="7" t="str">
        <f>IFERROR(__xludf.DUMMYFUNCTION("""COMPUTED_VALUE"""),"Q41f")</f>
        <v>Q41f</v>
      </c>
      <c r="E468" s="7" t="str">
        <f>IFERROR(__xludf.DUMMYFUNCTION("""COMPUTED_VALUE"""),"Trust opposition political parties")</f>
        <v>Trust opposition political parties</v>
      </c>
      <c r="F468" s="7" t="str">
        <f>IFERROR(__xludf.DUMMYFUNCTION("""COMPUTED_VALUE"""),"Opposition political parties")</f>
        <v>Opposition political parties</v>
      </c>
    </row>
    <row r="469">
      <c r="A469" s="7" t="str">
        <f>IFERROR(__xludf.DUMMYFUNCTION("""COMPUTED_VALUE"""),"SUDAN")</f>
        <v>SUDAN</v>
      </c>
      <c r="B469" s="8">
        <f>IFERROR(__xludf.DUMMYFUNCTION("""COMPUTED_VALUE"""),8.0)</f>
        <v>8</v>
      </c>
      <c r="C469" s="7" t="str">
        <f>IFERROR(__xludf.DUMMYFUNCTION("""COMPUTED_VALUE"""),"H_11")</f>
        <v>H_11</v>
      </c>
      <c r="D469" s="7" t="str">
        <f>IFERROR(__xludf.DUMMYFUNCTION("""COMPUTED_VALUE"""),"Q41f")</f>
        <v>Q41f</v>
      </c>
      <c r="E469" s="7" t="str">
        <f>IFERROR(__xludf.DUMMYFUNCTION("""COMPUTED_VALUE"""),"Trust opposition political parties")</f>
        <v>Trust opposition political parties</v>
      </c>
      <c r="F469" s="7" t="str">
        <f>IFERROR(__xludf.DUMMYFUNCTION("""COMPUTED_VALUE"""),"Opposition political parties")</f>
        <v>Opposition political parties</v>
      </c>
    </row>
    <row r="470">
      <c r="A470" s="7" t="str">
        <f>IFERROR(__xludf.DUMMYFUNCTION("""COMPUTED_VALUE"""),"TANZANIA")</f>
        <v>TANZANIA</v>
      </c>
      <c r="B470" s="8">
        <f>IFERROR(__xludf.DUMMYFUNCTION("""COMPUTED_VALUE"""),8.0)</f>
        <v>8</v>
      </c>
      <c r="C470" s="7" t="str">
        <f>IFERROR(__xludf.DUMMYFUNCTION("""COMPUTED_VALUE"""),"H_11")</f>
        <v>H_11</v>
      </c>
      <c r="D470" s="7" t="str">
        <f>IFERROR(__xludf.DUMMYFUNCTION("""COMPUTED_VALUE"""),"Q41f")</f>
        <v>Q41f</v>
      </c>
      <c r="E470" s="7" t="str">
        <f>IFERROR(__xludf.DUMMYFUNCTION("""COMPUTED_VALUE"""),"Trust opposition political parties")</f>
        <v>Trust opposition political parties</v>
      </c>
      <c r="F470" s="7" t="str">
        <f>IFERROR(__xludf.DUMMYFUNCTION("""COMPUTED_VALUE"""),"Opposition political parties")</f>
        <v>Opposition political parties</v>
      </c>
    </row>
    <row r="471">
      <c r="A471" s="7" t="str">
        <f>IFERROR(__xludf.DUMMYFUNCTION("""COMPUTED_VALUE"""),"TUNISIA ")</f>
        <v>TUNISIA </v>
      </c>
      <c r="B471" s="8">
        <f>IFERROR(__xludf.DUMMYFUNCTION("""COMPUTED_VALUE"""),8.0)</f>
        <v>8</v>
      </c>
      <c r="C471" s="7" t="str">
        <f>IFERROR(__xludf.DUMMYFUNCTION("""COMPUTED_VALUE"""),"H_11")</f>
        <v>H_11</v>
      </c>
      <c r="D471" s="7" t="str">
        <f>IFERROR(__xludf.DUMMYFUNCTION("""COMPUTED_VALUE"""),"Q41f")</f>
        <v>Q41f</v>
      </c>
      <c r="E471" s="7" t="str">
        <f>IFERROR(__xludf.DUMMYFUNCTION("""COMPUTED_VALUE"""),"Trust opposition political parties")</f>
        <v>Trust opposition political parties</v>
      </c>
      <c r="F471" s="7" t="str">
        <f>IFERROR(__xludf.DUMMYFUNCTION("""COMPUTED_VALUE"""),"Opposition political parties")</f>
        <v>Opposition political parties</v>
      </c>
    </row>
    <row r="472">
      <c r="A472" s="7" t="str">
        <f>IFERROR(__xludf.DUMMYFUNCTION("""COMPUTED_VALUE"""),"UGANDA  ")</f>
        <v>UGANDA  </v>
      </c>
      <c r="B472" s="8">
        <f>IFERROR(__xludf.DUMMYFUNCTION("""COMPUTED_VALUE"""),8.0)</f>
        <v>8</v>
      </c>
      <c r="C472" s="7" t="str">
        <f>IFERROR(__xludf.DUMMYFUNCTION("""COMPUTED_VALUE"""),"H_11")</f>
        <v>H_11</v>
      </c>
      <c r="D472" s="7" t="str">
        <f>IFERROR(__xludf.DUMMYFUNCTION("""COMPUTED_VALUE"""),"Q41f")</f>
        <v>Q41f</v>
      </c>
      <c r="E472" s="7" t="str">
        <f>IFERROR(__xludf.DUMMYFUNCTION("""COMPUTED_VALUE"""),"Trust opposition political parties")</f>
        <v>Trust opposition political parties</v>
      </c>
      <c r="F472" s="7" t="str">
        <f>IFERROR(__xludf.DUMMYFUNCTION("""COMPUTED_VALUE"""),"Opposition political parties")</f>
        <v>Opposition political parties</v>
      </c>
    </row>
    <row r="473">
      <c r="A473" s="7" t="str">
        <f>IFERROR(__xludf.DUMMYFUNCTION("""COMPUTED_VALUE"""),"ZAMBIA")</f>
        <v>ZAMBIA</v>
      </c>
      <c r="B473" s="8">
        <f>IFERROR(__xludf.DUMMYFUNCTION("""COMPUTED_VALUE"""),8.0)</f>
        <v>8</v>
      </c>
      <c r="C473" s="7" t="str">
        <f>IFERROR(__xludf.DUMMYFUNCTION("""COMPUTED_VALUE"""),"H_11")</f>
        <v>H_11</v>
      </c>
      <c r="D473" s="7" t="str">
        <f>IFERROR(__xludf.DUMMYFUNCTION("""COMPUTED_VALUE"""),"Q41f")</f>
        <v>Q41f</v>
      </c>
      <c r="E473" s="7" t="str">
        <f>IFERROR(__xludf.DUMMYFUNCTION("""COMPUTED_VALUE"""),"Trust opposition political parties")</f>
        <v>Trust opposition political parties</v>
      </c>
      <c r="F473" s="7" t="str">
        <f>IFERROR(__xludf.DUMMYFUNCTION("""COMPUTED_VALUE"""),"Opposition political parties")</f>
        <v>Opposition political parties</v>
      </c>
    </row>
    <row r="474">
      <c r="A474" s="7" t="str">
        <f>IFERROR(__xludf.DUMMYFUNCTION("""COMPUTED_VALUE"""),"ZIMBABWE")</f>
        <v>ZIMBABWE</v>
      </c>
      <c r="B474" s="8">
        <f>IFERROR(__xludf.DUMMYFUNCTION("""COMPUTED_VALUE"""),8.0)</f>
        <v>8</v>
      </c>
      <c r="C474" s="7" t="str">
        <f>IFERROR(__xludf.DUMMYFUNCTION("""COMPUTED_VALUE"""),"H_11")</f>
        <v>H_11</v>
      </c>
      <c r="D474" s="7" t="str">
        <f>IFERROR(__xludf.DUMMYFUNCTION("""COMPUTED_VALUE"""),"Q41f")</f>
        <v>Q41f</v>
      </c>
      <c r="E474" s="7" t="str">
        <f>IFERROR(__xludf.DUMMYFUNCTION("""COMPUTED_VALUE"""),"Trust opposition political parties")</f>
        <v>Trust opposition political parties</v>
      </c>
      <c r="F474" s="7" t="str">
        <f>IFERROR(__xludf.DUMMYFUNCTION("""COMPUTED_VALUE"""),"Opposition political parties")</f>
        <v>Opposition political parties</v>
      </c>
    </row>
    <row r="475">
      <c r="A475" s="7" t="str">
        <f>IFERROR(__xludf.DUMMYFUNCTION("""COMPUTED_VALUE"""),"BOTSWANA ")</f>
        <v>BOTSWANA </v>
      </c>
      <c r="B475" s="8">
        <f>IFERROR(__xludf.DUMMYFUNCTION("""COMPUTED_VALUE"""),8.0)</f>
        <v>8</v>
      </c>
      <c r="C475" s="7" t="str">
        <f>IFERROR(__xludf.DUMMYFUNCTION("""COMPUTED_VALUE"""),"H_16")</f>
        <v>H_16</v>
      </c>
      <c r="D475" s="7" t="str">
        <f>IFERROR(__xludf.DUMMYFUNCTION("""COMPUTED_VALUE"""),"Q41g")</f>
        <v>Q41g</v>
      </c>
      <c r="E475" s="7" t="str">
        <f>IFERROR(__xludf.DUMMYFUNCTION("""COMPUTED_VALUE"""),"Trust police")</f>
        <v>Trust police</v>
      </c>
      <c r="F475" s="7" t="str">
        <f>IFERROR(__xludf.DUMMYFUNCTION("""COMPUTED_VALUE"""),"The police")</f>
        <v>The police</v>
      </c>
    </row>
    <row r="476">
      <c r="A476" s="7" t="str">
        <f>IFERROR(__xludf.DUMMYFUNCTION("""COMPUTED_VALUE"""),"CABO VERDE ")</f>
        <v>CABO VERDE </v>
      </c>
      <c r="B476" s="8">
        <f>IFERROR(__xludf.DUMMYFUNCTION("""COMPUTED_VALUE"""),8.0)</f>
        <v>8</v>
      </c>
      <c r="C476" s="7" t="str">
        <f>IFERROR(__xludf.DUMMYFUNCTION("""COMPUTED_VALUE"""),"H_16")</f>
        <v>H_16</v>
      </c>
      <c r="D476" s="7" t="str">
        <f>IFERROR(__xludf.DUMMYFUNCTION("""COMPUTED_VALUE"""),"Q41g")</f>
        <v>Q41g</v>
      </c>
      <c r="E476" s="7" t="str">
        <f>IFERROR(__xludf.DUMMYFUNCTION("""COMPUTED_VALUE"""),"Trust police")</f>
        <v>Trust police</v>
      </c>
      <c r="F476" s="7" t="str">
        <f>IFERROR(__xludf.DUMMYFUNCTION("""COMPUTED_VALUE"""),"The police")</f>
        <v>The police</v>
      </c>
    </row>
    <row r="477">
      <c r="A477" s="7" t="str">
        <f>IFERROR(__xludf.DUMMYFUNCTION("""COMPUTED_VALUE"""),"CAMEROON")</f>
        <v>CAMEROON</v>
      </c>
      <c r="B477" s="8">
        <f>IFERROR(__xludf.DUMMYFUNCTION("""COMPUTED_VALUE"""),8.0)</f>
        <v>8</v>
      </c>
      <c r="C477" s="7" t="str">
        <f>IFERROR(__xludf.DUMMYFUNCTION("""COMPUTED_VALUE"""),"H_16")</f>
        <v>H_16</v>
      </c>
      <c r="D477" s="7" t="str">
        <f>IFERROR(__xludf.DUMMYFUNCTION("""COMPUTED_VALUE"""),"Q41g")</f>
        <v>Q41g</v>
      </c>
      <c r="E477" s="7" t="str">
        <f>IFERROR(__xludf.DUMMYFUNCTION("""COMPUTED_VALUE"""),"Trust police")</f>
        <v>Trust police</v>
      </c>
      <c r="F477" s="7" t="str">
        <f>IFERROR(__xludf.DUMMYFUNCTION("""COMPUTED_VALUE"""),"The police or gendarme")</f>
        <v>The police or gendarme</v>
      </c>
    </row>
    <row r="478">
      <c r="A478" s="7" t="str">
        <f>IFERROR(__xludf.DUMMYFUNCTION("""COMPUTED_VALUE"""),"ESWATINI")</f>
        <v>ESWATINI</v>
      </c>
      <c r="B478" s="8">
        <f>IFERROR(__xludf.DUMMYFUNCTION("""COMPUTED_VALUE"""),8.0)</f>
        <v>8</v>
      </c>
      <c r="C478" s="7" t="str">
        <f>IFERROR(__xludf.DUMMYFUNCTION("""COMPUTED_VALUE"""),"H_16")</f>
        <v>H_16</v>
      </c>
      <c r="D478" s="7" t="str">
        <f>IFERROR(__xludf.DUMMYFUNCTION("""COMPUTED_VALUE"""),"Q41g")</f>
        <v>Q41g</v>
      </c>
      <c r="E478" s="7" t="str">
        <f>IFERROR(__xludf.DUMMYFUNCTION("""COMPUTED_VALUE"""),"Trust police")</f>
        <v>Trust police</v>
      </c>
      <c r="F478" s="7" t="str">
        <f>IFERROR(__xludf.DUMMYFUNCTION("""COMPUTED_VALUE"""),"The police")</f>
        <v>The police</v>
      </c>
    </row>
    <row r="479">
      <c r="A479" s="7" t="str">
        <f>IFERROR(__xludf.DUMMYFUNCTION("""COMPUTED_VALUE"""),"ETHIOPIA")</f>
        <v>ETHIOPIA</v>
      </c>
      <c r="B479" s="8">
        <f>IFERROR(__xludf.DUMMYFUNCTION("""COMPUTED_VALUE"""),8.0)</f>
        <v>8</v>
      </c>
      <c r="C479" s="7" t="str">
        <f>IFERROR(__xludf.DUMMYFUNCTION("""COMPUTED_VALUE"""),"H_16")</f>
        <v>H_16</v>
      </c>
      <c r="D479" s="7" t="str">
        <f>IFERROR(__xludf.DUMMYFUNCTION("""COMPUTED_VALUE"""),"Q41g")</f>
        <v>Q41g</v>
      </c>
      <c r="E479" s="7" t="str">
        <f>IFERROR(__xludf.DUMMYFUNCTION("""COMPUTED_VALUE"""),"Trust police")</f>
        <v>Trust police</v>
      </c>
      <c r="F479" s="7" t="str">
        <f>IFERROR(__xludf.DUMMYFUNCTION("""COMPUTED_VALUE"""),"The police")</f>
        <v>The police</v>
      </c>
    </row>
    <row r="480">
      <c r="A480" s="7" t="str">
        <f>IFERROR(__xludf.DUMMYFUNCTION("""COMPUTED_VALUE"""),"GAMBIA")</f>
        <v>GAMBIA</v>
      </c>
      <c r="B480" s="8">
        <f>IFERROR(__xludf.DUMMYFUNCTION("""COMPUTED_VALUE"""),8.0)</f>
        <v>8</v>
      </c>
      <c r="C480" s="7" t="str">
        <f>IFERROR(__xludf.DUMMYFUNCTION("""COMPUTED_VALUE"""),"H_16")</f>
        <v>H_16</v>
      </c>
      <c r="D480" s="7" t="str">
        <f>IFERROR(__xludf.DUMMYFUNCTION("""COMPUTED_VALUE"""),"Q41g")</f>
        <v>Q41g</v>
      </c>
      <c r="E480" s="7" t="str">
        <f>IFERROR(__xludf.DUMMYFUNCTION("""COMPUTED_VALUE"""),"Trust police")</f>
        <v>Trust police</v>
      </c>
      <c r="F480" s="7" t="str">
        <f>IFERROR(__xludf.DUMMYFUNCTION("""COMPUTED_VALUE"""),"The police")</f>
        <v>The police</v>
      </c>
    </row>
    <row r="481">
      <c r="A481" s="7" t="str">
        <f>IFERROR(__xludf.DUMMYFUNCTION("""COMPUTED_VALUE"""),"GHANA ")</f>
        <v>GHANA </v>
      </c>
      <c r="B481" s="8">
        <f>IFERROR(__xludf.DUMMYFUNCTION("""COMPUTED_VALUE"""),8.0)</f>
        <v>8</v>
      </c>
      <c r="C481" s="7" t="str">
        <f>IFERROR(__xludf.DUMMYFUNCTION("""COMPUTED_VALUE"""),"H_16")</f>
        <v>H_16</v>
      </c>
      <c r="D481" s="7" t="str">
        <f>IFERROR(__xludf.DUMMYFUNCTION("""COMPUTED_VALUE"""),"Q41g")</f>
        <v>Q41g</v>
      </c>
      <c r="E481" s="7" t="str">
        <f>IFERROR(__xludf.DUMMYFUNCTION("""COMPUTED_VALUE"""),"Trust police")</f>
        <v>Trust police</v>
      </c>
      <c r="F481" s="7" t="str">
        <f>IFERROR(__xludf.DUMMYFUNCTION("""COMPUTED_VALUE"""),"The police")</f>
        <v>The police</v>
      </c>
    </row>
    <row r="482">
      <c r="A482" s="7" t="str">
        <f>IFERROR(__xludf.DUMMYFUNCTION("""COMPUTED_VALUE"""),"KENYA  ")</f>
        <v>KENYA  </v>
      </c>
      <c r="B482" s="8">
        <f>IFERROR(__xludf.DUMMYFUNCTION("""COMPUTED_VALUE"""),8.0)</f>
        <v>8</v>
      </c>
      <c r="C482" s="7" t="str">
        <f>IFERROR(__xludf.DUMMYFUNCTION("""COMPUTED_VALUE"""),"H_16")</f>
        <v>H_16</v>
      </c>
      <c r="D482" s="7" t="str">
        <f>IFERROR(__xludf.DUMMYFUNCTION("""COMPUTED_VALUE"""),"Q41g")</f>
        <v>Q41g</v>
      </c>
      <c r="E482" s="7" t="str">
        <f>IFERROR(__xludf.DUMMYFUNCTION("""COMPUTED_VALUE"""),"Trust police")</f>
        <v>Trust police</v>
      </c>
      <c r="F482" s="7" t="str">
        <f>IFERROR(__xludf.DUMMYFUNCTION("""COMPUTED_VALUE"""),"The police")</f>
        <v>The police</v>
      </c>
    </row>
    <row r="483">
      <c r="A483" s="7" t="str">
        <f>IFERROR(__xludf.DUMMYFUNCTION("""COMPUTED_VALUE"""),"LESOTHO ")</f>
        <v>LESOTHO </v>
      </c>
      <c r="B483" s="8">
        <f>IFERROR(__xludf.DUMMYFUNCTION("""COMPUTED_VALUE"""),8.0)</f>
        <v>8</v>
      </c>
      <c r="C483" s="7" t="str">
        <f>IFERROR(__xludf.DUMMYFUNCTION("""COMPUTED_VALUE"""),"H_16")</f>
        <v>H_16</v>
      </c>
      <c r="D483" s="7" t="str">
        <f>IFERROR(__xludf.DUMMYFUNCTION("""COMPUTED_VALUE"""),"Q41g")</f>
        <v>Q41g</v>
      </c>
      <c r="E483" s="7" t="str">
        <f>IFERROR(__xludf.DUMMYFUNCTION("""COMPUTED_VALUE"""),"Trust police")</f>
        <v>Trust police</v>
      </c>
      <c r="F483" s="7" t="str">
        <f>IFERROR(__xludf.DUMMYFUNCTION("""COMPUTED_VALUE"""),"The police")</f>
        <v>The police</v>
      </c>
    </row>
    <row r="484">
      <c r="A484" s="7" t="str">
        <f>IFERROR(__xludf.DUMMYFUNCTION("""COMPUTED_VALUE"""),"LIBERIA  ")</f>
        <v>LIBERIA  </v>
      </c>
      <c r="B484" s="8">
        <f>IFERROR(__xludf.DUMMYFUNCTION("""COMPUTED_VALUE"""),8.0)</f>
        <v>8</v>
      </c>
      <c r="C484" s="7" t="str">
        <f>IFERROR(__xludf.DUMMYFUNCTION("""COMPUTED_VALUE"""),"H_16")</f>
        <v>H_16</v>
      </c>
      <c r="D484" s="7" t="str">
        <f>IFERROR(__xludf.DUMMYFUNCTION("""COMPUTED_VALUE"""),"Q41g")</f>
        <v>Q41g</v>
      </c>
      <c r="E484" s="7" t="str">
        <f>IFERROR(__xludf.DUMMYFUNCTION("""COMPUTED_VALUE"""),"Trust police")</f>
        <v>Trust police</v>
      </c>
      <c r="F484" s="7" t="str">
        <f>IFERROR(__xludf.DUMMYFUNCTION("""COMPUTED_VALUE"""),"The police")</f>
        <v>The police</v>
      </c>
    </row>
    <row r="485">
      <c r="A485" s="7" t="str">
        <f>IFERROR(__xludf.DUMMYFUNCTION("""COMPUTED_VALUE"""),"MALAWI ")</f>
        <v>MALAWI </v>
      </c>
      <c r="B485" s="8">
        <f>IFERROR(__xludf.DUMMYFUNCTION("""COMPUTED_VALUE"""),8.0)</f>
        <v>8</v>
      </c>
      <c r="C485" s="7" t="str">
        <f>IFERROR(__xludf.DUMMYFUNCTION("""COMPUTED_VALUE"""),"H_16")</f>
        <v>H_16</v>
      </c>
      <c r="D485" s="7" t="str">
        <f>IFERROR(__xludf.DUMMYFUNCTION("""COMPUTED_VALUE"""),"Q41g")</f>
        <v>Q41g</v>
      </c>
      <c r="E485" s="7" t="str">
        <f>IFERROR(__xludf.DUMMYFUNCTION("""COMPUTED_VALUE"""),"Trust police")</f>
        <v>Trust police</v>
      </c>
      <c r="F485" s="7" t="str">
        <f>IFERROR(__xludf.DUMMYFUNCTION("""COMPUTED_VALUE"""),"The police")</f>
        <v>The police</v>
      </c>
    </row>
    <row r="486">
      <c r="A486" s="7" t="str">
        <f>IFERROR(__xludf.DUMMYFUNCTION("""COMPUTED_VALUE"""),"MOROCCO ")</f>
        <v>MOROCCO </v>
      </c>
      <c r="B486" s="8">
        <f>IFERROR(__xludf.DUMMYFUNCTION("""COMPUTED_VALUE"""),8.0)</f>
        <v>8</v>
      </c>
      <c r="C486" s="7" t="str">
        <f>IFERROR(__xludf.DUMMYFUNCTION("""COMPUTED_VALUE"""),"H_16")</f>
        <v>H_16</v>
      </c>
      <c r="D486" s="7" t="str">
        <f>IFERROR(__xludf.DUMMYFUNCTION("""COMPUTED_VALUE"""),"Q41g")</f>
        <v>Q41g</v>
      </c>
      <c r="E486" s="7" t="str">
        <f>IFERROR(__xludf.DUMMYFUNCTION("""COMPUTED_VALUE"""),"Trust police")</f>
        <v>Trust police</v>
      </c>
      <c r="F486" s="7" t="str">
        <f>IFERROR(__xludf.DUMMYFUNCTION("""COMPUTED_VALUE"""),"The police")</f>
        <v>The police</v>
      </c>
    </row>
    <row r="487">
      <c r="A487" s="7" t="str">
        <f>IFERROR(__xludf.DUMMYFUNCTION("""COMPUTED_VALUE"""),"MOZAMBIQUE")</f>
        <v>MOZAMBIQUE</v>
      </c>
      <c r="B487" s="8">
        <f>IFERROR(__xludf.DUMMYFUNCTION("""COMPUTED_VALUE"""),8.0)</f>
        <v>8</v>
      </c>
      <c r="C487" s="7" t="str">
        <f>IFERROR(__xludf.DUMMYFUNCTION("""COMPUTED_VALUE"""),"H_16")</f>
        <v>H_16</v>
      </c>
      <c r="D487" s="7" t="str">
        <f>IFERROR(__xludf.DUMMYFUNCTION("""COMPUTED_VALUE"""),"Q41g")</f>
        <v>Q41g</v>
      </c>
      <c r="E487" s="7" t="str">
        <f>IFERROR(__xludf.DUMMYFUNCTION("""COMPUTED_VALUE"""),"Trust police")</f>
        <v>Trust police</v>
      </c>
      <c r="F487" s="7" t="str">
        <f>IFERROR(__xludf.DUMMYFUNCTION("""COMPUTED_VALUE"""),"The police")</f>
        <v>The police</v>
      </c>
    </row>
    <row r="488">
      <c r="A488" s="7" t="str">
        <f>IFERROR(__xludf.DUMMYFUNCTION("""COMPUTED_VALUE"""),"NAMIBIA ")</f>
        <v>NAMIBIA </v>
      </c>
      <c r="B488" s="8">
        <f>IFERROR(__xludf.DUMMYFUNCTION("""COMPUTED_VALUE"""),8.0)</f>
        <v>8</v>
      </c>
      <c r="C488" s="7" t="str">
        <f>IFERROR(__xludf.DUMMYFUNCTION("""COMPUTED_VALUE"""),"H_16")</f>
        <v>H_16</v>
      </c>
      <c r="D488" s="7" t="str">
        <f>IFERROR(__xludf.DUMMYFUNCTION("""COMPUTED_VALUE"""),"Q41g")</f>
        <v>Q41g</v>
      </c>
      <c r="E488" s="7" t="str">
        <f>IFERROR(__xludf.DUMMYFUNCTION("""COMPUTED_VALUE"""),"Trust police")</f>
        <v>Trust police</v>
      </c>
      <c r="F488" s="7" t="str">
        <f>IFERROR(__xludf.DUMMYFUNCTION("""COMPUTED_VALUE"""),"The police")</f>
        <v>The police</v>
      </c>
    </row>
    <row r="489">
      <c r="A489" s="7" t="str">
        <f>IFERROR(__xludf.DUMMYFUNCTION("""COMPUTED_VALUE"""),"NIGERIA ")</f>
        <v>NIGERIA </v>
      </c>
      <c r="B489" s="8">
        <f>IFERROR(__xludf.DUMMYFUNCTION("""COMPUTED_VALUE"""),8.0)</f>
        <v>8</v>
      </c>
      <c r="C489" s="7" t="str">
        <f>IFERROR(__xludf.DUMMYFUNCTION("""COMPUTED_VALUE"""),"H_16")</f>
        <v>H_16</v>
      </c>
      <c r="D489" s="7" t="str">
        <f>IFERROR(__xludf.DUMMYFUNCTION("""COMPUTED_VALUE"""),"Q41g")</f>
        <v>Q41g</v>
      </c>
      <c r="E489" s="7" t="str">
        <f>IFERROR(__xludf.DUMMYFUNCTION("""COMPUTED_VALUE"""),"Trust police")</f>
        <v>Trust police</v>
      </c>
      <c r="F489" s="7" t="str">
        <f>IFERROR(__xludf.DUMMYFUNCTION("""COMPUTED_VALUE"""),"The Police")</f>
        <v>The Police</v>
      </c>
    </row>
    <row r="490">
      <c r="A490" s="7" t="str">
        <f>IFERROR(__xludf.DUMMYFUNCTION("""COMPUTED_VALUE"""),"SIERRA LEONE")</f>
        <v>SIERRA LEONE</v>
      </c>
      <c r="B490" s="8">
        <f>IFERROR(__xludf.DUMMYFUNCTION("""COMPUTED_VALUE"""),8.0)</f>
        <v>8</v>
      </c>
      <c r="C490" s="7" t="str">
        <f>IFERROR(__xludf.DUMMYFUNCTION("""COMPUTED_VALUE"""),"H_16")</f>
        <v>H_16</v>
      </c>
      <c r="D490" s="7" t="str">
        <f>IFERROR(__xludf.DUMMYFUNCTION("""COMPUTED_VALUE"""),"Q41g")</f>
        <v>Q41g</v>
      </c>
      <c r="E490" s="7" t="str">
        <f>IFERROR(__xludf.DUMMYFUNCTION("""COMPUTED_VALUE"""),"Trust police")</f>
        <v>Trust police</v>
      </c>
      <c r="F490" s="7" t="str">
        <f>IFERROR(__xludf.DUMMYFUNCTION("""COMPUTED_VALUE"""),"The police")</f>
        <v>The police</v>
      </c>
    </row>
    <row r="491">
      <c r="A491" s="7" t="str">
        <f>IFERROR(__xludf.DUMMYFUNCTION("""COMPUTED_VALUE"""),"SOUTH AFRICA")</f>
        <v>SOUTH AFRICA</v>
      </c>
      <c r="B491" s="8">
        <f>IFERROR(__xludf.DUMMYFUNCTION("""COMPUTED_VALUE"""),8.0)</f>
        <v>8</v>
      </c>
      <c r="C491" s="7" t="str">
        <f>IFERROR(__xludf.DUMMYFUNCTION("""COMPUTED_VALUE"""),"H_16")</f>
        <v>H_16</v>
      </c>
      <c r="D491" s="7" t="str">
        <f>IFERROR(__xludf.DUMMYFUNCTION("""COMPUTED_VALUE"""),"Q41g")</f>
        <v>Q41g</v>
      </c>
      <c r="E491" s="7" t="str">
        <f>IFERROR(__xludf.DUMMYFUNCTION("""COMPUTED_VALUE"""),"Trust police")</f>
        <v>Trust police</v>
      </c>
      <c r="F491" s="7" t="str">
        <f>IFERROR(__xludf.DUMMYFUNCTION("""COMPUTED_VALUE"""),"The police")</f>
        <v>The police</v>
      </c>
    </row>
    <row r="492">
      <c r="A492" s="7" t="str">
        <f>IFERROR(__xludf.DUMMYFUNCTION("""COMPUTED_VALUE"""),"SUDAN")</f>
        <v>SUDAN</v>
      </c>
      <c r="B492" s="8">
        <f>IFERROR(__xludf.DUMMYFUNCTION("""COMPUTED_VALUE"""),8.0)</f>
        <v>8</v>
      </c>
      <c r="C492" s="7" t="str">
        <f>IFERROR(__xludf.DUMMYFUNCTION("""COMPUTED_VALUE"""),"H_16")</f>
        <v>H_16</v>
      </c>
      <c r="D492" s="7" t="str">
        <f>IFERROR(__xludf.DUMMYFUNCTION("""COMPUTED_VALUE"""),"Q41g")</f>
        <v>Q41g</v>
      </c>
      <c r="E492" s="7" t="str">
        <f>IFERROR(__xludf.DUMMYFUNCTION("""COMPUTED_VALUE"""),"Trust police")</f>
        <v>Trust police</v>
      </c>
      <c r="F492" s="7" t="str">
        <f>IFERROR(__xludf.DUMMYFUNCTION("""COMPUTED_VALUE"""),"The Police")</f>
        <v>The Police</v>
      </c>
    </row>
    <row r="493">
      <c r="A493" s="7" t="str">
        <f>IFERROR(__xludf.DUMMYFUNCTION("""COMPUTED_VALUE"""),"TANZANIA")</f>
        <v>TANZANIA</v>
      </c>
      <c r="B493" s="8">
        <f>IFERROR(__xludf.DUMMYFUNCTION("""COMPUTED_VALUE"""),8.0)</f>
        <v>8</v>
      </c>
      <c r="C493" s="7" t="str">
        <f>IFERROR(__xludf.DUMMYFUNCTION("""COMPUTED_VALUE"""),"H_16")</f>
        <v>H_16</v>
      </c>
      <c r="D493" s="7" t="str">
        <f>IFERROR(__xludf.DUMMYFUNCTION("""COMPUTED_VALUE"""),"Q41g")</f>
        <v>Q41g</v>
      </c>
      <c r="E493" s="7" t="str">
        <f>IFERROR(__xludf.DUMMYFUNCTION("""COMPUTED_VALUE"""),"Trust police")</f>
        <v>Trust police</v>
      </c>
      <c r="F493" s="7" t="str">
        <f>IFERROR(__xludf.DUMMYFUNCTION("""COMPUTED_VALUE"""),"The Police")</f>
        <v>The Police</v>
      </c>
    </row>
    <row r="494">
      <c r="A494" s="7" t="str">
        <f>IFERROR(__xludf.DUMMYFUNCTION("""COMPUTED_VALUE"""),"TUNISIA ")</f>
        <v>TUNISIA </v>
      </c>
      <c r="B494" s="8">
        <f>IFERROR(__xludf.DUMMYFUNCTION("""COMPUTED_VALUE"""),8.0)</f>
        <v>8</v>
      </c>
      <c r="C494" s="7" t="str">
        <f>IFERROR(__xludf.DUMMYFUNCTION("""COMPUTED_VALUE"""),"H_16")</f>
        <v>H_16</v>
      </c>
      <c r="D494" s="7" t="str">
        <f>IFERROR(__xludf.DUMMYFUNCTION("""COMPUTED_VALUE"""),"Q41g")</f>
        <v>Q41g</v>
      </c>
      <c r="E494" s="7" t="str">
        <f>IFERROR(__xludf.DUMMYFUNCTION("""COMPUTED_VALUE"""),"Trust police")</f>
        <v>Trust police</v>
      </c>
      <c r="F494" s="7" t="str">
        <f>IFERROR(__xludf.DUMMYFUNCTION("""COMPUTED_VALUE"""),"The police")</f>
        <v>The police</v>
      </c>
    </row>
    <row r="495">
      <c r="A495" s="7" t="str">
        <f>IFERROR(__xludf.DUMMYFUNCTION("""COMPUTED_VALUE"""),"UGANDA  ")</f>
        <v>UGANDA  </v>
      </c>
      <c r="B495" s="8">
        <f>IFERROR(__xludf.DUMMYFUNCTION("""COMPUTED_VALUE"""),8.0)</f>
        <v>8</v>
      </c>
      <c r="C495" s="7" t="str">
        <f>IFERROR(__xludf.DUMMYFUNCTION("""COMPUTED_VALUE"""),"H_16")</f>
        <v>H_16</v>
      </c>
      <c r="D495" s="7" t="str">
        <f>IFERROR(__xludf.DUMMYFUNCTION("""COMPUTED_VALUE"""),"Q41g")</f>
        <v>Q41g</v>
      </c>
      <c r="E495" s="7" t="str">
        <f>IFERROR(__xludf.DUMMYFUNCTION("""COMPUTED_VALUE"""),"Trust police")</f>
        <v>Trust police</v>
      </c>
      <c r="F495" s="7" t="str">
        <f>IFERROR(__xludf.DUMMYFUNCTION("""COMPUTED_VALUE"""),"The police")</f>
        <v>The police</v>
      </c>
    </row>
    <row r="496">
      <c r="A496" s="7" t="str">
        <f>IFERROR(__xludf.DUMMYFUNCTION("""COMPUTED_VALUE"""),"ZAMBIA")</f>
        <v>ZAMBIA</v>
      </c>
      <c r="B496" s="8">
        <f>IFERROR(__xludf.DUMMYFUNCTION("""COMPUTED_VALUE"""),8.0)</f>
        <v>8</v>
      </c>
      <c r="C496" s="7" t="str">
        <f>IFERROR(__xludf.DUMMYFUNCTION("""COMPUTED_VALUE"""),"H_16")</f>
        <v>H_16</v>
      </c>
      <c r="D496" s="7" t="str">
        <f>IFERROR(__xludf.DUMMYFUNCTION("""COMPUTED_VALUE"""),"Q41g")</f>
        <v>Q41g</v>
      </c>
      <c r="E496" s="7" t="str">
        <f>IFERROR(__xludf.DUMMYFUNCTION("""COMPUTED_VALUE"""),"Trust police")</f>
        <v>Trust police</v>
      </c>
      <c r="F496" s="7" t="str">
        <f>IFERROR(__xludf.DUMMYFUNCTION("""COMPUTED_VALUE"""),"The Police")</f>
        <v>The Police</v>
      </c>
    </row>
    <row r="497">
      <c r="A497" s="7" t="str">
        <f>IFERROR(__xludf.DUMMYFUNCTION("""COMPUTED_VALUE"""),"ZIMBABWE")</f>
        <v>ZIMBABWE</v>
      </c>
      <c r="B497" s="8">
        <f>IFERROR(__xludf.DUMMYFUNCTION("""COMPUTED_VALUE"""),8.0)</f>
        <v>8</v>
      </c>
      <c r="C497" s="7" t="str">
        <f>IFERROR(__xludf.DUMMYFUNCTION("""COMPUTED_VALUE"""),"H_16")</f>
        <v>H_16</v>
      </c>
      <c r="D497" s="7" t="str">
        <f>IFERROR(__xludf.DUMMYFUNCTION("""COMPUTED_VALUE"""),"Q41g")</f>
        <v>Q41g</v>
      </c>
      <c r="E497" s="7" t="str">
        <f>IFERROR(__xludf.DUMMYFUNCTION("""COMPUTED_VALUE"""),"Trust police")</f>
        <v>Trust police</v>
      </c>
      <c r="F497" s="7" t="str">
        <f>IFERROR(__xludf.DUMMYFUNCTION("""COMPUTED_VALUE"""),"The police")</f>
        <v>The police</v>
      </c>
    </row>
    <row r="498">
      <c r="A498" s="7" t="str">
        <f>IFERROR(__xludf.DUMMYFUNCTION("""COMPUTED_VALUE"""),"BOTSWANA ")</f>
        <v>BOTSWANA </v>
      </c>
      <c r="B498" s="8">
        <f>IFERROR(__xludf.DUMMYFUNCTION("""COMPUTED_VALUE"""),8.0)</f>
        <v>8</v>
      </c>
      <c r="C498" s="7" t="str">
        <f>IFERROR(__xludf.DUMMYFUNCTION("""COMPUTED_VALUE"""),"H_25")</f>
        <v>H_25</v>
      </c>
      <c r="D498" s="7" t="str">
        <f>IFERROR(__xludf.DUMMYFUNCTION("""COMPUTED_VALUE"""),"Q41h")</f>
        <v>Q41h</v>
      </c>
      <c r="E498" s="7" t="str">
        <f>IFERROR(__xludf.DUMMYFUNCTION("""COMPUTED_VALUE"""),"Trust army")</f>
        <v>Trust army</v>
      </c>
      <c r="F498" s="7" t="str">
        <f>IFERROR(__xludf.DUMMYFUNCTION("""COMPUTED_VALUE"""),"The Botswana Defence Force or BDF")</f>
        <v>The Botswana Defence Force or BDF</v>
      </c>
    </row>
    <row r="499">
      <c r="A499" s="7" t="str">
        <f>IFERROR(__xludf.DUMMYFUNCTION("""COMPUTED_VALUE"""),"CABO VERDE ")</f>
        <v>CABO VERDE </v>
      </c>
      <c r="B499" s="8">
        <f>IFERROR(__xludf.DUMMYFUNCTION("""COMPUTED_VALUE"""),8.0)</f>
        <v>8</v>
      </c>
      <c r="C499" s="7" t="str">
        <f>IFERROR(__xludf.DUMMYFUNCTION("""COMPUTED_VALUE"""),"H_25")</f>
        <v>H_25</v>
      </c>
      <c r="D499" s="7" t="str">
        <f>IFERROR(__xludf.DUMMYFUNCTION("""COMPUTED_VALUE"""),"Q41h")</f>
        <v>Q41h</v>
      </c>
      <c r="E499" s="7" t="str">
        <f>IFERROR(__xludf.DUMMYFUNCTION("""COMPUTED_VALUE"""),"Trust army")</f>
        <v>Trust army</v>
      </c>
      <c r="F499" s="7" t="str">
        <f>IFERROR(__xludf.DUMMYFUNCTION("""COMPUTED_VALUE"""),"The Cabo Verde Armed Force or FA")</f>
        <v>The Cabo Verde Armed Force or FA</v>
      </c>
    </row>
    <row r="500">
      <c r="A500" s="7" t="str">
        <f>IFERROR(__xludf.DUMMYFUNCTION("""COMPUTED_VALUE"""),"CAMEROON")</f>
        <v>CAMEROON</v>
      </c>
      <c r="B500" s="8">
        <f>IFERROR(__xludf.DUMMYFUNCTION("""COMPUTED_VALUE"""),8.0)</f>
        <v>8</v>
      </c>
      <c r="C500" s="7" t="str">
        <f>IFERROR(__xludf.DUMMYFUNCTION("""COMPUTED_VALUE"""),"H_25")</f>
        <v>H_25</v>
      </c>
      <c r="D500" s="7" t="str">
        <f>IFERROR(__xludf.DUMMYFUNCTION("""COMPUTED_VALUE"""),"Q41h")</f>
        <v>Q41h</v>
      </c>
      <c r="E500" s="7" t="str">
        <f>IFERROR(__xludf.DUMMYFUNCTION("""COMPUTED_VALUE"""),"Trust army")</f>
        <v>Trust army</v>
      </c>
      <c r="F500" s="7" t="str">
        <f>IFERROR(__xludf.DUMMYFUNCTION("""COMPUTED_VALUE"""),"The Cameroon Defence Force")</f>
        <v>The Cameroon Defence Force</v>
      </c>
    </row>
    <row r="501">
      <c r="A501" s="7" t="str">
        <f>IFERROR(__xludf.DUMMYFUNCTION("""COMPUTED_VALUE"""),"ESWATINI")</f>
        <v>ESWATINI</v>
      </c>
      <c r="B501" s="8">
        <f>IFERROR(__xludf.DUMMYFUNCTION("""COMPUTED_VALUE"""),8.0)</f>
        <v>8</v>
      </c>
      <c r="C501" s="7" t="str">
        <f>IFERROR(__xludf.DUMMYFUNCTION("""COMPUTED_VALUE"""),"H_25")</f>
        <v>H_25</v>
      </c>
      <c r="D501" s="7" t="str">
        <f>IFERROR(__xludf.DUMMYFUNCTION("""COMPUTED_VALUE"""),"Q41h")</f>
        <v>Q41h</v>
      </c>
      <c r="E501" s="7" t="str">
        <f>IFERROR(__xludf.DUMMYFUNCTION("""COMPUTED_VALUE"""),"Trust army")</f>
        <v>Trust army</v>
      </c>
      <c r="F501" s="7" t="str">
        <f>IFERROR(__xludf.DUMMYFUNCTION("""COMPUTED_VALUE"""),"The Umbutfo Swaziland Defence Force or UEDF")</f>
        <v>The Umbutfo Swaziland Defence Force or UEDF</v>
      </c>
    </row>
    <row r="502">
      <c r="A502" s="7" t="str">
        <f>IFERROR(__xludf.DUMMYFUNCTION("""COMPUTED_VALUE"""),"ETHIOPIA")</f>
        <v>ETHIOPIA</v>
      </c>
      <c r="B502" s="8">
        <f>IFERROR(__xludf.DUMMYFUNCTION("""COMPUTED_VALUE"""),8.0)</f>
        <v>8</v>
      </c>
      <c r="C502" s="7" t="str">
        <f>IFERROR(__xludf.DUMMYFUNCTION("""COMPUTED_VALUE"""),"H_25")</f>
        <v>H_25</v>
      </c>
      <c r="D502" s="7" t="str">
        <f>IFERROR(__xludf.DUMMYFUNCTION("""COMPUTED_VALUE"""),"Q41h")</f>
        <v>Q41h</v>
      </c>
      <c r="E502" s="7" t="str">
        <f>IFERROR(__xludf.DUMMYFUNCTION("""COMPUTED_VALUE"""),"Trust army")</f>
        <v>Trust army</v>
      </c>
      <c r="F502" s="7" t="str">
        <f>IFERROR(__xludf.DUMMYFUNCTION("""COMPUTED_VALUE"""),"The Ethiopian National Defense Force or ENDF")</f>
        <v>The Ethiopian National Defense Force or ENDF</v>
      </c>
    </row>
    <row r="503">
      <c r="A503" s="7" t="str">
        <f>IFERROR(__xludf.DUMMYFUNCTION("""COMPUTED_VALUE"""),"GAMBIA")</f>
        <v>GAMBIA</v>
      </c>
      <c r="B503" s="8">
        <f>IFERROR(__xludf.DUMMYFUNCTION("""COMPUTED_VALUE"""),8.0)</f>
        <v>8</v>
      </c>
      <c r="C503" s="7" t="str">
        <f>IFERROR(__xludf.DUMMYFUNCTION("""COMPUTED_VALUE"""),"H_25")</f>
        <v>H_25</v>
      </c>
      <c r="D503" s="7" t="str">
        <f>IFERROR(__xludf.DUMMYFUNCTION("""COMPUTED_VALUE"""),"Q41h")</f>
        <v>Q41h</v>
      </c>
      <c r="E503" s="7" t="str">
        <f>IFERROR(__xludf.DUMMYFUNCTION("""COMPUTED_VALUE"""),"Trust army")</f>
        <v>Trust army</v>
      </c>
      <c r="F503" s="7" t="str">
        <f>IFERROR(__xludf.DUMMYFUNCTION("""COMPUTED_VALUE"""),"The Gambia Armed Forces")</f>
        <v>The Gambia Armed Forces</v>
      </c>
    </row>
    <row r="504">
      <c r="A504" s="7" t="str">
        <f>IFERROR(__xludf.DUMMYFUNCTION("""COMPUTED_VALUE"""),"GHANA ")</f>
        <v>GHANA </v>
      </c>
      <c r="B504" s="8">
        <f>IFERROR(__xludf.DUMMYFUNCTION("""COMPUTED_VALUE"""),8.0)</f>
        <v>8</v>
      </c>
      <c r="C504" s="7" t="str">
        <f>IFERROR(__xludf.DUMMYFUNCTION("""COMPUTED_VALUE"""),"H_25")</f>
        <v>H_25</v>
      </c>
      <c r="D504" s="7" t="str">
        <f>IFERROR(__xludf.DUMMYFUNCTION("""COMPUTED_VALUE"""),"Q41h")</f>
        <v>Q41h</v>
      </c>
      <c r="E504" s="7" t="str">
        <f>IFERROR(__xludf.DUMMYFUNCTION("""COMPUTED_VALUE"""),"Trust army")</f>
        <v>Trust army</v>
      </c>
      <c r="F504" s="7" t="str">
        <f>IFERROR(__xludf.DUMMYFUNCTION("""COMPUTED_VALUE"""),"The Ghana Armed Force")</f>
        <v>The Ghana Armed Force</v>
      </c>
    </row>
    <row r="505">
      <c r="A505" s="7" t="str">
        <f>IFERROR(__xludf.DUMMYFUNCTION("""COMPUTED_VALUE"""),"KENYA  ")</f>
        <v>KENYA  </v>
      </c>
      <c r="B505" s="8">
        <f>IFERROR(__xludf.DUMMYFUNCTION("""COMPUTED_VALUE"""),8.0)</f>
        <v>8</v>
      </c>
      <c r="C505" s="7" t="str">
        <f>IFERROR(__xludf.DUMMYFUNCTION("""COMPUTED_VALUE"""),"H_25")</f>
        <v>H_25</v>
      </c>
      <c r="D505" s="7" t="str">
        <f>IFERROR(__xludf.DUMMYFUNCTION("""COMPUTED_VALUE"""),"Q41h")</f>
        <v>Q41h</v>
      </c>
      <c r="E505" s="7" t="str">
        <f>IFERROR(__xludf.DUMMYFUNCTION("""COMPUTED_VALUE"""),"Trust army")</f>
        <v>Trust army</v>
      </c>
      <c r="F505" s="7" t="str">
        <f>IFERROR(__xludf.DUMMYFUNCTION("""COMPUTED_VALUE"""),"The Kenya Defence Force or KDF")</f>
        <v>The Kenya Defence Force or KDF</v>
      </c>
    </row>
    <row r="506">
      <c r="A506" s="7" t="str">
        <f>IFERROR(__xludf.DUMMYFUNCTION("""COMPUTED_VALUE"""),"LESOTHO ")</f>
        <v>LESOTHO </v>
      </c>
      <c r="B506" s="8">
        <f>IFERROR(__xludf.DUMMYFUNCTION("""COMPUTED_VALUE"""),8.0)</f>
        <v>8</v>
      </c>
      <c r="C506" s="7" t="str">
        <f>IFERROR(__xludf.DUMMYFUNCTION("""COMPUTED_VALUE"""),"H_25")</f>
        <v>H_25</v>
      </c>
      <c r="D506" s="7" t="str">
        <f>IFERROR(__xludf.DUMMYFUNCTION("""COMPUTED_VALUE"""),"Q41h")</f>
        <v>Q41h</v>
      </c>
      <c r="E506" s="7" t="str">
        <f>IFERROR(__xludf.DUMMYFUNCTION("""COMPUTED_VALUE"""),"Trust army")</f>
        <v>Trust army</v>
      </c>
      <c r="F506" s="7" t="str">
        <f>IFERROR(__xludf.DUMMYFUNCTION("""COMPUTED_VALUE"""),"The Lesotho Defence Force")</f>
        <v>The Lesotho Defence Force</v>
      </c>
    </row>
    <row r="507">
      <c r="A507" s="7" t="str">
        <f>IFERROR(__xludf.DUMMYFUNCTION("""COMPUTED_VALUE"""),"LIBERIA  ")</f>
        <v>LIBERIA  </v>
      </c>
      <c r="B507" s="8">
        <f>IFERROR(__xludf.DUMMYFUNCTION("""COMPUTED_VALUE"""),8.0)</f>
        <v>8</v>
      </c>
      <c r="C507" s="7" t="str">
        <f>IFERROR(__xludf.DUMMYFUNCTION("""COMPUTED_VALUE"""),"H_25")</f>
        <v>H_25</v>
      </c>
      <c r="D507" s="7" t="str">
        <f>IFERROR(__xludf.DUMMYFUNCTION("""COMPUTED_VALUE"""),"Q41h")</f>
        <v>Q41h</v>
      </c>
      <c r="E507" s="7" t="str">
        <f>IFERROR(__xludf.DUMMYFUNCTION("""COMPUTED_VALUE"""),"Trust army")</f>
        <v>Trust army</v>
      </c>
      <c r="F507" s="7" t="str">
        <f>IFERROR(__xludf.DUMMYFUNCTION("""COMPUTED_VALUE"""),"The Armed Forces of Liberia")</f>
        <v>The Armed Forces of Liberia</v>
      </c>
    </row>
    <row r="508">
      <c r="A508" s="7" t="str">
        <f>IFERROR(__xludf.DUMMYFUNCTION("""COMPUTED_VALUE"""),"MALAWI ")</f>
        <v>MALAWI </v>
      </c>
      <c r="B508" s="8">
        <f>IFERROR(__xludf.DUMMYFUNCTION("""COMPUTED_VALUE"""),8.0)</f>
        <v>8</v>
      </c>
      <c r="C508" s="7" t="str">
        <f>IFERROR(__xludf.DUMMYFUNCTION("""COMPUTED_VALUE"""),"H_25")</f>
        <v>H_25</v>
      </c>
      <c r="D508" s="7" t="str">
        <f>IFERROR(__xludf.DUMMYFUNCTION("""COMPUTED_VALUE"""),"Q41h")</f>
        <v>Q41h</v>
      </c>
      <c r="E508" s="7" t="str">
        <f>IFERROR(__xludf.DUMMYFUNCTION("""COMPUTED_VALUE"""),"Trust army")</f>
        <v>Trust army</v>
      </c>
      <c r="F508" s="7" t="str">
        <f>IFERROR(__xludf.DUMMYFUNCTION("""COMPUTED_VALUE"""),"The Malawi Defence Force")</f>
        <v>The Malawi Defence Force</v>
      </c>
    </row>
    <row r="509">
      <c r="A509" s="7" t="str">
        <f>IFERROR(__xludf.DUMMYFUNCTION("""COMPUTED_VALUE"""),"MOROCCO ")</f>
        <v>MOROCCO </v>
      </c>
      <c r="B509" s="8">
        <f>IFERROR(__xludf.DUMMYFUNCTION("""COMPUTED_VALUE"""),8.0)</f>
        <v>8</v>
      </c>
      <c r="C509" s="7" t="str">
        <f>IFERROR(__xludf.DUMMYFUNCTION("""COMPUTED_VALUE"""),"H_25")</f>
        <v>H_25</v>
      </c>
      <c r="D509" s="7" t="str">
        <f>IFERROR(__xludf.DUMMYFUNCTION("""COMPUTED_VALUE"""),"Q41h")</f>
        <v>Q41h</v>
      </c>
      <c r="E509" s="7" t="str">
        <f>IFERROR(__xludf.DUMMYFUNCTION("""COMPUTED_VALUE"""),"Trust army")</f>
        <v>Trust army</v>
      </c>
      <c r="F509" s="7" t="str">
        <f>IFERROR(__xludf.DUMMYFUNCTION("""COMPUTED_VALUE"""),"The Royal Army")</f>
        <v>The Royal Army</v>
      </c>
    </row>
    <row r="510">
      <c r="A510" s="7" t="str">
        <f>IFERROR(__xludf.DUMMYFUNCTION("""COMPUTED_VALUE"""),"MOZAMBIQUE")</f>
        <v>MOZAMBIQUE</v>
      </c>
      <c r="B510" s="8">
        <f>IFERROR(__xludf.DUMMYFUNCTION("""COMPUTED_VALUE"""),8.0)</f>
        <v>8</v>
      </c>
      <c r="C510" s="7" t="str">
        <f>IFERROR(__xludf.DUMMYFUNCTION("""COMPUTED_VALUE"""),"H_25")</f>
        <v>H_25</v>
      </c>
      <c r="D510" s="7" t="str">
        <f>IFERROR(__xludf.DUMMYFUNCTION("""COMPUTED_VALUE"""),"Q41h")</f>
        <v>Q41h</v>
      </c>
      <c r="E510" s="7" t="str">
        <f>IFERROR(__xludf.DUMMYFUNCTION("""COMPUTED_VALUE"""),"Trust army")</f>
        <v>Trust army</v>
      </c>
      <c r="F510" s="7" t="str">
        <f>IFERROR(__xludf.DUMMYFUNCTION("""COMPUTED_VALUE"""),"The Mozambique Defence Force")</f>
        <v>The Mozambique Defence Force</v>
      </c>
    </row>
    <row r="511">
      <c r="A511" s="7" t="str">
        <f>IFERROR(__xludf.DUMMYFUNCTION("""COMPUTED_VALUE"""),"NAMIBIA ")</f>
        <v>NAMIBIA </v>
      </c>
      <c r="B511" s="8">
        <f>IFERROR(__xludf.DUMMYFUNCTION("""COMPUTED_VALUE"""),8.0)</f>
        <v>8</v>
      </c>
      <c r="C511" s="7" t="str">
        <f>IFERROR(__xludf.DUMMYFUNCTION("""COMPUTED_VALUE"""),"H_25")</f>
        <v>H_25</v>
      </c>
      <c r="D511" s="7" t="str">
        <f>IFERROR(__xludf.DUMMYFUNCTION("""COMPUTED_VALUE"""),"Q41h")</f>
        <v>Q41h</v>
      </c>
      <c r="E511" s="7" t="str">
        <f>IFERROR(__xludf.DUMMYFUNCTION("""COMPUTED_VALUE"""),"Trust army")</f>
        <v>Trust army</v>
      </c>
      <c r="F511" s="7" t="str">
        <f>IFERROR(__xludf.DUMMYFUNCTION("""COMPUTED_VALUE"""),"The Namibian Defence Force")</f>
        <v>The Namibian Defence Force</v>
      </c>
    </row>
    <row r="512">
      <c r="A512" s="7" t="str">
        <f>IFERROR(__xludf.DUMMYFUNCTION("""COMPUTED_VALUE"""),"NIGERIA ")</f>
        <v>NIGERIA </v>
      </c>
      <c r="B512" s="8">
        <f>IFERROR(__xludf.DUMMYFUNCTION("""COMPUTED_VALUE"""),8.0)</f>
        <v>8</v>
      </c>
      <c r="C512" s="7" t="str">
        <f>IFERROR(__xludf.DUMMYFUNCTION("""COMPUTED_VALUE"""),"H_25")</f>
        <v>H_25</v>
      </c>
      <c r="D512" s="7" t="str">
        <f>IFERROR(__xludf.DUMMYFUNCTION("""COMPUTED_VALUE"""),"Q41h")</f>
        <v>Q41h</v>
      </c>
      <c r="E512" s="7" t="str">
        <f>IFERROR(__xludf.DUMMYFUNCTION("""COMPUTED_VALUE"""),"Trust army")</f>
        <v>Trust army</v>
      </c>
      <c r="F512" s="7" t="str">
        <f>IFERROR(__xludf.DUMMYFUNCTION("""COMPUTED_VALUE"""),"Nigeria Armed Forces")</f>
        <v>Nigeria Armed Forces</v>
      </c>
    </row>
    <row r="513">
      <c r="A513" s="7" t="str">
        <f>IFERROR(__xludf.DUMMYFUNCTION("""COMPUTED_VALUE"""),"SIERRA LEONE")</f>
        <v>SIERRA LEONE</v>
      </c>
      <c r="B513" s="8">
        <f>IFERROR(__xludf.DUMMYFUNCTION("""COMPUTED_VALUE"""),8.0)</f>
        <v>8</v>
      </c>
      <c r="C513" s="7" t="str">
        <f>IFERROR(__xludf.DUMMYFUNCTION("""COMPUTED_VALUE"""),"H_25")</f>
        <v>H_25</v>
      </c>
      <c r="D513" s="7" t="str">
        <f>IFERROR(__xludf.DUMMYFUNCTION("""COMPUTED_VALUE"""),"Q41h")</f>
        <v>Q41h</v>
      </c>
      <c r="E513" s="7" t="str">
        <f>IFERROR(__xludf.DUMMYFUNCTION("""COMPUTED_VALUE"""),"Trust army")</f>
        <v>Trust army</v>
      </c>
      <c r="F513" s="7" t="str">
        <f>IFERROR(__xludf.DUMMYFUNCTION("""COMPUTED_VALUE"""),"The Republic of Sierra Leone Armed Forced (RSLAF)")</f>
        <v>The Republic of Sierra Leone Armed Forced (RSLAF)</v>
      </c>
    </row>
    <row r="514">
      <c r="A514" s="7" t="str">
        <f>IFERROR(__xludf.DUMMYFUNCTION("""COMPUTED_VALUE"""),"SOUTH AFRICA")</f>
        <v>SOUTH AFRICA</v>
      </c>
      <c r="B514" s="8">
        <f>IFERROR(__xludf.DUMMYFUNCTION("""COMPUTED_VALUE"""),8.0)</f>
        <v>8</v>
      </c>
      <c r="C514" s="7" t="str">
        <f>IFERROR(__xludf.DUMMYFUNCTION("""COMPUTED_VALUE"""),"H_25")</f>
        <v>H_25</v>
      </c>
      <c r="D514" s="7" t="str">
        <f>IFERROR(__xludf.DUMMYFUNCTION("""COMPUTED_VALUE"""),"Q41h")</f>
        <v>Q41h</v>
      </c>
      <c r="E514" s="7" t="str">
        <f>IFERROR(__xludf.DUMMYFUNCTION("""COMPUTED_VALUE"""),"Trust army")</f>
        <v>Trust army</v>
      </c>
      <c r="F514" s="7" t="str">
        <f>IFERROR(__xludf.DUMMYFUNCTION("""COMPUTED_VALUE"""),"The South African National Defence Force")</f>
        <v>The South African National Defence Force</v>
      </c>
    </row>
    <row r="515">
      <c r="A515" s="7" t="str">
        <f>IFERROR(__xludf.DUMMYFUNCTION("""COMPUTED_VALUE"""),"SUDAN")</f>
        <v>SUDAN</v>
      </c>
      <c r="B515" s="8">
        <f>IFERROR(__xludf.DUMMYFUNCTION("""COMPUTED_VALUE"""),8.0)</f>
        <v>8</v>
      </c>
      <c r="C515" s="7" t="str">
        <f>IFERROR(__xludf.DUMMYFUNCTION("""COMPUTED_VALUE"""),"H_25")</f>
        <v>H_25</v>
      </c>
      <c r="D515" s="7" t="str">
        <f>IFERROR(__xludf.DUMMYFUNCTION("""COMPUTED_VALUE"""),"Q41h")</f>
        <v>Q41h</v>
      </c>
      <c r="E515" s="7" t="str">
        <f>IFERROR(__xludf.DUMMYFUNCTION("""COMPUTED_VALUE"""),"Trust army")</f>
        <v>Trust army</v>
      </c>
      <c r="F515" s="7" t="str">
        <f>IFERROR(__xludf.DUMMYFUNCTION("""COMPUTED_VALUE"""),"Sudan Army")</f>
        <v>Sudan Army</v>
      </c>
    </row>
    <row r="516">
      <c r="A516" s="7" t="str">
        <f>IFERROR(__xludf.DUMMYFUNCTION("""COMPUTED_VALUE"""),"TANZANIA")</f>
        <v>TANZANIA</v>
      </c>
      <c r="B516" s="8">
        <f>IFERROR(__xludf.DUMMYFUNCTION("""COMPUTED_VALUE"""),8.0)</f>
        <v>8</v>
      </c>
      <c r="C516" s="7" t="str">
        <f>IFERROR(__xludf.DUMMYFUNCTION("""COMPUTED_VALUE"""),"H_25")</f>
        <v>H_25</v>
      </c>
      <c r="D516" s="7" t="str">
        <f>IFERROR(__xludf.DUMMYFUNCTION("""COMPUTED_VALUE"""),"Q41h")</f>
        <v>Q41h</v>
      </c>
      <c r="E516" s="7" t="str">
        <f>IFERROR(__xludf.DUMMYFUNCTION("""COMPUTED_VALUE"""),"Trust army")</f>
        <v>Trust army</v>
      </c>
      <c r="F516" s="7" t="str">
        <f>IFERROR(__xludf.DUMMYFUNCTION("""COMPUTED_VALUE"""),"The Tanzania People’s Defence Force")</f>
        <v>The Tanzania People’s Defence Force</v>
      </c>
    </row>
    <row r="517">
      <c r="A517" s="7" t="str">
        <f>IFERROR(__xludf.DUMMYFUNCTION("""COMPUTED_VALUE"""),"TUNISIA ")</f>
        <v>TUNISIA </v>
      </c>
      <c r="B517" s="8">
        <f>IFERROR(__xludf.DUMMYFUNCTION("""COMPUTED_VALUE"""),8.0)</f>
        <v>8</v>
      </c>
      <c r="C517" s="7" t="str">
        <f>IFERROR(__xludf.DUMMYFUNCTION("""COMPUTED_VALUE"""),"H_25")</f>
        <v>H_25</v>
      </c>
      <c r="D517" s="7" t="str">
        <f>IFERROR(__xludf.DUMMYFUNCTION("""COMPUTED_VALUE"""),"Q41h")</f>
        <v>Q41h</v>
      </c>
      <c r="E517" s="7" t="str">
        <f>IFERROR(__xludf.DUMMYFUNCTION("""COMPUTED_VALUE"""),"Trust army")</f>
        <v>Trust army</v>
      </c>
      <c r="F517" s="7" t="str">
        <f>IFERROR(__xludf.DUMMYFUNCTION("""COMPUTED_VALUE"""),"The Army")</f>
        <v>The Army</v>
      </c>
    </row>
    <row r="518">
      <c r="A518" s="7" t="str">
        <f>IFERROR(__xludf.DUMMYFUNCTION("""COMPUTED_VALUE"""),"UGANDA  ")</f>
        <v>UGANDA  </v>
      </c>
      <c r="B518" s="8">
        <f>IFERROR(__xludf.DUMMYFUNCTION("""COMPUTED_VALUE"""),8.0)</f>
        <v>8</v>
      </c>
      <c r="C518" s="7" t="str">
        <f>IFERROR(__xludf.DUMMYFUNCTION("""COMPUTED_VALUE"""),"H_25")</f>
        <v>H_25</v>
      </c>
      <c r="D518" s="7" t="str">
        <f>IFERROR(__xludf.DUMMYFUNCTION("""COMPUTED_VALUE"""),"Q41h")</f>
        <v>Q41h</v>
      </c>
      <c r="E518" s="7" t="str">
        <f>IFERROR(__xludf.DUMMYFUNCTION("""COMPUTED_VALUE"""),"Trust army")</f>
        <v>Trust army</v>
      </c>
      <c r="F518" s="7" t="str">
        <f>IFERROR(__xludf.DUMMYFUNCTION("""COMPUTED_VALUE"""),"Uganda Peoples Defence Force or UPDF")</f>
        <v>Uganda Peoples Defence Force or UPDF</v>
      </c>
    </row>
    <row r="519">
      <c r="A519" s="7" t="str">
        <f>IFERROR(__xludf.DUMMYFUNCTION("""COMPUTED_VALUE"""),"ZAMBIA")</f>
        <v>ZAMBIA</v>
      </c>
      <c r="B519" s="8">
        <f>IFERROR(__xludf.DUMMYFUNCTION("""COMPUTED_VALUE"""),8.0)</f>
        <v>8</v>
      </c>
      <c r="C519" s="7" t="str">
        <f>IFERROR(__xludf.DUMMYFUNCTION("""COMPUTED_VALUE"""),"H_25")</f>
        <v>H_25</v>
      </c>
      <c r="D519" s="7" t="str">
        <f>IFERROR(__xludf.DUMMYFUNCTION("""COMPUTED_VALUE"""),"Q41h")</f>
        <v>Q41h</v>
      </c>
      <c r="E519" s="7" t="str">
        <f>IFERROR(__xludf.DUMMYFUNCTION("""COMPUTED_VALUE"""),"Trust army")</f>
        <v>Trust army</v>
      </c>
      <c r="F519" s="7" t="str">
        <f>IFERROR(__xludf.DUMMYFUNCTION("""COMPUTED_VALUE"""),"Zambia Defense Forces")</f>
        <v>Zambia Defense Forces</v>
      </c>
    </row>
    <row r="520">
      <c r="A520" s="7" t="str">
        <f>IFERROR(__xludf.DUMMYFUNCTION("""COMPUTED_VALUE"""),"ZIMBABWE")</f>
        <v>ZIMBABWE</v>
      </c>
      <c r="B520" s="8">
        <f>IFERROR(__xludf.DUMMYFUNCTION("""COMPUTED_VALUE"""),8.0)</f>
        <v>8</v>
      </c>
      <c r="C520" s="7" t="str">
        <f>IFERROR(__xludf.DUMMYFUNCTION("""COMPUTED_VALUE"""),"H_25")</f>
        <v>H_25</v>
      </c>
      <c r="D520" s="7" t="str">
        <f>IFERROR(__xludf.DUMMYFUNCTION("""COMPUTED_VALUE"""),"Q41h")</f>
        <v>Q41h</v>
      </c>
      <c r="E520" s="7" t="str">
        <f>IFERROR(__xludf.DUMMYFUNCTION("""COMPUTED_VALUE"""),"Trust army")</f>
        <v>Trust army</v>
      </c>
      <c r="F520" s="7" t="str">
        <f>IFERROR(__xludf.DUMMYFUNCTION("""COMPUTED_VALUE"""),"The Army")</f>
        <v>The Army</v>
      </c>
    </row>
    <row r="521">
      <c r="A521" s="7" t="str">
        <f>IFERROR(__xludf.DUMMYFUNCTION("""COMPUTED_VALUE"""),"BOTSWANA ")</f>
        <v>BOTSWANA </v>
      </c>
      <c r="B521" s="8">
        <f>IFERROR(__xludf.DUMMYFUNCTION("""COMPUTED_VALUE"""),8.0)</f>
        <v>8</v>
      </c>
      <c r="C521" s="7" t="str">
        <f>IFERROR(__xludf.DUMMYFUNCTION("""COMPUTED_VALUE"""),"H_04")</f>
        <v>H_04</v>
      </c>
      <c r="D521" s="7" t="str">
        <f>IFERROR(__xludf.DUMMYFUNCTION("""COMPUTED_VALUE"""),"Q41i")</f>
        <v>Q41i</v>
      </c>
      <c r="E521" s="7" t="str">
        <f>IFERROR(__xludf.DUMMYFUNCTION("""COMPUTED_VALUE"""),"Trust courts of law ")</f>
        <v>Trust courts of law </v>
      </c>
      <c r="F521" s="7" t="str">
        <f>IFERROR(__xludf.DUMMYFUNCTION("""COMPUTED_VALUE"""),"Courts of law")</f>
        <v>Courts of law</v>
      </c>
    </row>
    <row r="522">
      <c r="A522" s="7" t="str">
        <f>IFERROR(__xludf.DUMMYFUNCTION("""COMPUTED_VALUE"""),"CABO VERDE ")</f>
        <v>CABO VERDE </v>
      </c>
      <c r="B522" s="8">
        <f>IFERROR(__xludf.DUMMYFUNCTION("""COMPUTED_VALUE"""),8.0)</f>
        <v>8</v>
      </c>
      <c r="C522" s="7" t="str">
        <f>IFERROR(__xludf.DUMMYFUNCTION("""COMPUTED_VALUE"""),"H_04")</f>
        <v>H_04</v>
      </c>
      <c r="D522" s="7" t="str">
        <f>IFERROR(__xludf.DUMMYFUNCTION("""COMPUTED_VALUE"""),"Q41i")</f>
        <v>Q41i</v>
      </c>
      <c r="E522" s="7" t="str">
        <f>IFERROR(__xludf.DUMMYFUNCTION("""COMPUTED_VALUE"""),"Trust courts of law ")</f>
        <v>Trust courts of law </v>
      </c>
      <c r="F522" s="7" t="str">
        <f>IFERROR(__xludf.DUMMYFUNCTION("""COMPUTED_VALUE"""),"Courts of law")</f>
        <v>Courts of law</v>
      </c>
    </row>
    <row r="523">
      <c r="A523" s="7" t="str">
        <f>IFERROR(__xludf.DUMMYFUNCTION("""COMPUTED_VALUE"""),"CAMEROON")</f>
        <v>CAMEROON</v>
      </c>
      <c r="B523" s="8">
        <f>IFERROR(__xludf.DUMMYFUNCTION("""COMPUTED_VALUE"""),8.0)</f>
        <v>8</v>
      </c>
      <c r="C523" s="7" t="str">
        <f>IFERROR(__xludf.DUMMYFUNCTION("""COMPUTED_VALUE"""),"H_04")</f>
        <v>H_04</v>
      </c>
      <c r="D523" s="7" t="str">
        <f>IFERROR(__xludf.DUMMYFUNCTION("""COMPUTED_VALUE"""),"Q41i")</f>
        <v>Q41i</v>
      </c>
      <c r="E523" s="7" t="str">
        <f>IFERROR(__xludf.DUMMYFUNCTION("""COMPUTED_VALUE"""),"Trust courts of law ")</f>
        <v>Trust courts of law </v>
      </c>
      <c r="F523" s="7" t="str">
        <f>IFERROR(__xludf.DUMMYFUNCTION("""COMPUTED_VALUE"""),"Courts of law")</f>
        <v>Courts of law</v>
      </c>
    </row>
    <row r="524">
      <c r="A524" s="7" t="str">
        <f>IFERROR(__xludf.DUMMYFUNCTION("""COMPUTED_VALUE"""),"ESWATINI")</f>
        <v>ESWATINI</v>
      </c>
      <c r="B524" s="8">
        <f>IFERROR(__xludf.DUMMYFUNCTION("""COMPUTED_VALUE"""),8.0)</f>
        <v>8</v>
      </c>
      <c r="C524" s="7" t="str">
        <f>IFERROR(__xludf.DUMMYFUNCTION("""COMPUTED_VALUE"""),"H_04")</f>
        <v>H_04</v>
      </c>
      <c r="D524" s="7" t="str">
        <f>IFERROR(__xludf.DUMMYFUNCTION("""COMPUTED_VALUE"""),"Q41i")</f>
        <v>Q41i</v>
      </c>
      <c r="E524" s="7" t="str">
        <f>IFERROR(__xludf.DUMMYFUNCTION("""COMPUTED_VALUE"""),"Trust courts of law ")</f>
        <v>Trust courts of law </v>
      </c>
      <c r="F524" s="7" t="str">
        <f>IFERROR(__xludf.DUMMYFUNCTION("""COMPUTED_VALUE"""),"Courts of law")</f>
        <v>Courts of law</v>
      </c>
    </row>
    <row r="525">
      <c r="A525" s="7" t="str">
        <f>IFERROR(__xludf.DUMMYFUNCTION("""COMPUTED_VALUE"""),"ETHIOPIA")</f>
        <v>ETHIOPIA</v>
      </c>
      <c r="B525" s="8">
        <f>IFERROR(__xludf.DUMMYFUNCTION("""COMPUTED_VALUE"""),8.0)</f>
        <v>8</v>
      </c>
      <c r="C525" s="7" t="str">
        <f>IFERROR(__xludf.DUMMYFUNCTION("""COMPUTED_VALUE"""),"H_04")</f>
        <v>H_04</v>
      </c>
      <c r="D525" s="7" t="str">
        <f>IFERROR(__xludf.DUMMYFUNCTION("""COMPUTED_VALUE"""),"Q41i")</f>
        <v>Q41i</v>
      </c>
      <c r="E525" s="7" t="str">
        <f>IFERROR(__xludf.DUMMYFUNCTION("""COMPUTED_VALUE"""),"Trust courts of law ")</f>
        <v>Trust courts of law </v>
      </c>
      <c r="F525" s="7" t="str">
        <f>IFERROR(__xludf.DUMMYFUNCTION("""COMPUTED_VALUE"""),"Courts of law")</f>
        <v>Courts of law</v>
      </c>
    </row>
    <row r="526">
      <c r="A526" s="7" t="str">
        <f>IFERROR(__xludf.DUMMYFUNCTION("""COMPUTED_VALUE"""),"GAMBIA")</f>
        <v>GAMBIA</v>
      </c>
      <c r="B526" s="8">
        <f>IFERROR(__xludf.DUMMYFUNCTION("""COMPUTED_VALUE"""),8.0)</f>
        <v>8</v>
      </c>
      <c r="C526" s="7" t="str">
        <f>IFERROR(__xludf.DUMMYFUNCTION("""COMPUTED_VALUE"""),"H_04")</f>
        <v>H_04</v>
      </c>
      <c r="D526" s="7" t="str">
        <f>IFERROR(__xludf.DUMMYFUNCTION("""COMPUTED_VALUE"""),"Q41i")</f>
        <v>Q41i</v>
      </c>
      <c r="E526" s="7" t="str">
        <f>IFERROR(__xludf.DUMMYFUNCTION("""COMPUTED_VALUE"""),"Trust courts of law ")</f>
        <v>Trust courts of law </v>
      </c>
      <c r="F526" s="7" t="str">
        <f>IFERROR(__xludf.DUMMYFUNCTION("""COMPUTED_VALUE"""),"Courts of law")</f>
        <v>Courts of law</v>
      </c>
    </row>
    <row r="527">
      <c r="A527" s="7" t="str">
        <f>IFERROR(__xludf.DUMMYFUNCTION("""COMPUTED_VALUE"""),"GHANA ")</f>
        <v>GHANA </v>
      </c>
      <c r="B527" s="8">
        <f>IFERROR(__xludf.DUMMYFUNCTION("""COMPUTED_VALUE"""),8.0)</f>
        <v>8</v>
      </c>
      <c r="C527" s="7" t="str">
        <f>IFERROR(__xludf.DUMMYFUNCTION("""COMPUTED_VALUE"""),"H_04")</f>
        <v>H_04</v>
      </c>
      <c r="D527" s="7" t="str">
        <f>IFERROR(__xludf.DUMMYFUNCTION("""COMPUTED_VALUE"""),"Q41i")</f>
        <v>Q41i</v>
      </c>
      <c r="E527" s="7" t="str">
        <f>IFERROR(__xludf.DUMMYFUNCTION("""COMPUTED_VALUE"""),"Trust courts of law ")</f>
        <v>Trust courts of law </v>
      </c>
      <c r="F527" s="7" t="str">
        <f>IFERROR(__xludf.DUMMYFUNCTION("""COMPUTED_VALUE"""),"Courts of law")</f>
        <v>Courts of law</v>
      </c>
    </row>
    <row r="528">
      <c r="A528" s="7" t="str">
        <f>IFERROR(__xludf.DUMMYFUNCTION("""COMPUTED_VALUE"""),"KENYA  ")</f>
        <v>KENYA  </v>
      </c>
      <c r="B528" s="8">
        <f>IFERROR(__xludf.DUMMYFUNCTION("""COMPUTED_VALUE"""),8.0)</f>
        <v>8</v>
      </c>
      <c r="C528" s="7" t="str">
        <f>IFERROR(__xludf.DUMMYFUNCTION("""COMPUTED_VALUE"""),"H_04")</f>
        <v>H_04</v>
      </c>
      <c r="D528" s="7" t="str">
        <f>IFERROR(__xludf.DUMMYFUNCTION("""COMPUTED_VALUE"""),"Q41i")</f>
        <v>Q41i</v>
      </c>
      <c r="E528" s="7" t="str">
        <f>IFERROR(__xludf.DUMMYFUNCTION("""COMPUTED_VALUE"""),"Trust courts of law ")</f>
        <v>Trust courts of law </v>
      </c>
      <c r="F528" s="7" t="str">
        <f>IFERROR(__xludf.DUMMYFUNCTION("""COMPUTED_VALUE"""),"Courts of law")</f>
        <v>Courts of law</v>
      </c>
    </row>
    <row r="529">
      <c r="A529" s="7" t="str">
        <f>IFERROR(__xludf.DUMMYFUNCTION("""COMPUTED_VALUE"""),"LESOTHO ")</f>
        <v>LESOTHO </v>
      </c>
      <c r="B529" s="8">
        <f>IFERROR(__xludf.DUMMYFUNCTION("""COMPUTED_VALUE"""),8.0)</f>
        <v>8</v>
      </c>
      <c r="C529" s="7" t="str">
        <f>IFERROR(__xludf.DUMMYFUNCTION("""COMPUTED_VALUE"""),"H_04")</f>
        <v>H_04</v>
      </c>
      <c r="D529" s="7" t="str">
        <f>IFERROR(__xludf.DUMMYFUNCTION("""COMPUTED_VALUE"""),"Q41i")</f>
        <v>Q41i</v>
      </c>
      <c r="E529" s="7" t="str">
        <f>IFERROR(__xludf.DUMMYFUNCTION("""COMPUTED_VALUE"""),"Trust courts of law ")</f>
        <v>Trust courts of law </v>
      </c>
      <c r="F529" s="7" t="str">
        <f>IFERROR(__xludf.DUMMYFUNCTION("""COMPUTED_VALUE"""),"Courts of law")</f>
        <v>Courts of law</v>
      </c>
    </row>
    <row r="530">
      <c r="A530" s="7" t="str">
        <f>IFERROR(__xludf.DUMMYFUNCTION("""COMPUTED_VALUE"""),"LIBERIA  ")</f>
        <v>LIBERIA  </v>
      </c>
      <c r="B530" s="8">
        <f>IFERROR(__xludf.DUMMYFUNCTION("""COMPUTED_VALUE"""),8.0)</f>
        <v>8</v>
      </c>
      <c r="C530" s="7" t="str">
        <f>IFERROR(__xludf.DUMMYFUNCTION("""COMPUTED_VALUE"""),"H_04")</f>
        <v>H_04</v>
      </c>
      <c r="D530" s="7" t="str">
        <f>IFERROR(__xludf.DUMMYFUNCTION("""COMPUTED_VALUE"""),"Q41i")</f>
        <v>Q41i</v>
      </c>
      <c r="E530" s="7" t="str">
        <f>IFERROR(__xludf.DUMMYFUNCTION("""COMPUTED_VALUE"""),"Trust courts of law ")</f>
        <v>Trust courts of law </v>
      </c>
      <c r="F530" s="7" t="str">
        <f>IFERROR(__xludf.DUMMYFUNCTION("""COMPUTED_VALUE"""),"Courts of law")</f>
        <v>Courts of law</v>
      </c>
    </row>
    <row r="531">
      <c r="A531" s="7" t="str">
        <f>IFERROR(__xludf.DUMMYFUNCTION("""COMPUTED_VALUE"""),"MALAWI ")</f>
        <v>MALAWI </v>
      </c>
      <c r="B531" s="8">
        <f>IFERROR(__xludf.DUMMYFUNCTION("""COMPUTED_VALUE"""),8.0)</f>
        <v>8</v>
      </c>
      <c r="C531" s="7" t="str">
        <f>IFERROR(__xludf.DUMMYFUNCTION("""COMPUTED_VALUE"""),"H_04")</f>
        <v>H_04</v>
      </c>
      <c r="D531" s="7" t="str">
        <f>IFERROR(__xludf.DUMMYFUNCTION("""COMPUTED_VALUE"""),"Q41i")</f>
        <v>Q41i</v>
      </c>
      <c r="E531" s="7" t="str">
        <f>IFERROR(__xludf.DUMMYFUNCTION("""COMPUTED_VALUE"""),"Trust courts of law ")</f>
        <v>Trust courts of law </v>
      </c>
      <c r="F531" s="7" t="str">
        <f>IFERROR(__xludf.DUMMYFUNCTION("""COMPUTED_VALUE"""),"Courts of law")</f>
        <v>Courts of law</v>
      </c>
    </row>
    <row r="532">
      <c r="A532" s="7" t="str">
        <f>IFERROR(__xludf.DUMMYFUNCTION("""COMPUTED_VALUE"""),"MOROCCO ")</f>
        <v>MOROCCO </v>
      </c>
      <c r="B532" s="8">
        <f>IFERROR(__xludf.DUMMYFUNCTION("""COMPUTED_VALUE"""),8.0)</f>
        <v>8</v>
      </c>
      <c r="C532" s="7" t="str">
        <f>IFERROR(__xludf.DUMMYFUNCTION("""COMPUTED_VALUE"""),"H_04")</f>
        <v>H_04</v>
      </c>
      <c r="D532" s="7" t="str">
        <f>IFERROR(__xludf.DUMMYFUNCTION("""COMPUTED_VALUE"""),"Q41i")</f>
        <v>Q41i</v>
      </c>
      <c r="E532" s="7" t="str">
        <f>IFERROR(__xludf.DUMMYFUNCTION("""COMPUTED_VALUE"""),"Trust courts of law ")</f>
        <v>Trust courts of law </v>
      </c>
      <c r="F532" s="7" t="str">
        <f>IFERROR(__xludf.DUMMYFUNCTION("""COMPUTED_VALUE"""),"Courts of law")</f>
        <v>Courts of law</v>
      </c>
    </row>
    <row r="533">
      <c r="A533" s="7" t="str">
        <f>IFERROR(__xludf.DUMMYFUNCTION("""COMPUTED_VALUE"""),"MOZAMBIQUE")</f>
        <v>MOZAMBIQUE</v>
      </c>
      <c r="B533" s="8">
        <f>IFERROR(__xludf.DUMMYFUNCTION("""COMPUTED_VALUE"""),8.0)</f>
        <v>8</v>
      </c>
      <c r="C533" s="7" t="str">
        <f>IFERROR(__xludf.DUMMYFUNCTION("""COMPUTED_VALUE"""),"H_04")</f>
        <v>H_04</v>
      </c>
      <c r="D533" s="7" t="str">
        <f>IFERROR(__xludf.DUMMYFUNCTION("""COMPUTED_VALUE"""),"Q41i")</f>
        <v>Q41i</v>
      </c>
      <c r="E533" s="7" t="str">
        <f>IFERROR(__xludf.DUMMYFUNCTION("""COMPUTED_VALUE"""),"Trust courts of law ")</f>
        <v>Trust courts of law </v>
      </c>
      <c r="F533" s="7" t="str">
        <f>IFERROR(__xludf.DUMMYFUNCTION("""COMPUTED_VALUE"""),"Courts of law")</f>
        <v>Courts of law</v>
      </c>
    </row>
    <row r="534">
      <c r="A534" s="7" t="str">
        <f>IFERROR(__xludf.DUMMYFUNCTION("""COMPUTED_VALUE"""),"NAMIBIA ")</f>
        <v>NAMIBIA </v>
      </c>
      <c r="B534" s="8">
        <f>IFERROR(__xludf.DUMMYFUNCTION("""COMPUTED_VALUE"""),8.0)</f>
        <v>8</v>
      </c>
      <c r="C534" s="7" t="str">
        <f>IFERROR(__xludf.DUMMYFUNCTION("""COMPUTED_VALUE"""),"H_04")</f>
        <v>H_04</v>
      </c>
      <c r="D534" s="7" t="str">
        <f>IFERROR(__xludf.DUMMYFUNCTION("""COMPUTED_VALUE"""),"Q41i")</f>
        <v>Q41i</v>
      </c>
      <c r="E534" s="7" t="str">
        <f>IFERROR(__xludf.DUMMYFUNCTION("""COMPUTED_VALUE"""),"Trust courts of law ")</f>
        <v>Trust courts of law </v>
      </c>
      <c r="F534" s="7" t="str">
        <f>IFERROR(__xludf.DUMMYFUNCTION("""COMPUTED_VALUE"""),"Courts of law")</f>
        <v>Courts of law</v>
      </c>
    </row>
    <row r="535">
      <c r="A535" s="7" t="str">
        <f>IFERROR(__xludf.DUMMYFUNCTION("""COMPUTED_VALUE"""),"NIGERIA ")</f>
        <v>NIGERIA </v>
      </c>
      <c r="B535" s="8">
        <f>IFERROR(__xludf.DUMMYFUNCTION("""COMPUTED_VALUE"""),8.0)</f>
        <v>8</v>
      </c>
      <c r="C535" s="7" t="str">
        <f>IFERROR(__xludf.DUMMYFUNCTION("""COMPUTED_VALUE"""),"H_04")</f>
        <v>H_04</v>
      </c>
      <c r="D535" s="7" t="str">
        <f>IFERROR(__xludf.DUMMYFUNCTION("""COMPUTED_VALUE"""),"Q41i")</f>
        <v>Q41i</v>
      </c>
      <c r="E535" s="7" t="str">
        <f>IFERROR(__xludf.DUMMYFUNCTION("""COMPUTED_VALUE"""),"Trust courts of law ")</f>
        <v>Trust courts of law </v>
      </c>
      <c r="F535" s="7" t="str">
        <f>IFERROR(__xludf.DUMMYFUNCTION("""COMPUTED_VALUE"""),"Courts of law")</f>
        <v>Courts of law</v>
      </c>
    </row>
    <row r="536">
      <c r="A536" s="7" t="str">
        <f>IFERROR(__xludf.DUMMYFUNCTION("""COMPUTED_VALUE"""),"SIERRA LEONE")</f>
        <v>SIERRA LEONE</v>
      </c>
      <c r="B536" s="8">
        <f>IFERROR(__xludf.DUMMYFUNCTION("""COMPUTED_VALUE"""),8.0)</f>
        <v>8</v>
      </c>
      <c r="C536" s="7" t="str">
        <f>IFERROR(__xludf.DUMMYFUNCTION("""COMPUTED_VALUE"""),"H_04")</f>
        <v>H_04</v>
      </c>
      <c r="D536" s="7" t="str">
        <f>IFERROR(__xludf.DUMMYFUNCTION("""COMPUTED_VALUE"""),"Q41i")</f>
        <v>Q41i</v>
      </c>
      <c r="E536" s="7" t="str">
        <f>IFERROR(__xludf.DUMMYFUNCTION("""COMPUTED_VALUE"""),"Trust courts of law ")</f>
        <v>Trust courts of law </v>
      </c>
      <c r="F536" s="7" t="str">
        <f>IFERROR(__xludf.DUMMYFUNCTION("""COMPUTED_VALUE"""),"Courts of law")</f>
        <v>Courts of law</v>
      </c>
    </row>
    <row r="537">
      <c r="A537" s="7" t="str">
        <f>IFERROR(__xludf.DUMMYFUNCTION("""COMPUTED_VALUE"""),"SOUTH AFRICA")</f>
        <v>SOUTH AFRICA</v>
      </c>
      <c r="B537" s="8">
        <f>IFERROR(__xludf.DUMMYFUNCTION("""COMPUTED_VALUE"""),8.0)</f>
        <v>8</v>
      </c>
      <c r="C537" s="7" t="str">
        <f>IFERROR(__xludf.DUMMYFUNCTION("""COMPUTED_VALUE"""),"H_04")</f>
        <v>H_04</v>
      </c>
      <c r="D537" s="7" t="str">
        <f>IFERROR(__xludf.DUMMYFUNCTION("""COMPUTED_VALUE"""),"Q41i")</f>
        <v>Q41i</v>
      </c>
      <c r="E537" s="7" t="str">
        <f>IFERROR(__xludf.DUMMYFUNCTION("""COMPUTED_VALUE"""),"Trust courts of law ")</f>
        <v>Trust courts of law </v>
      </c>
      <c r="F537" s="7" t="str">
        <f>IFERROR(__xludf.DUMMYFUNCTION("""COMPUTED_VALUE"""),"Courts of law")</f>
        <v>Courts of law</v>
      </c>
    </row>
    <row r="538">
      <c r="A538" s="7" t="str">
        <f>IFERROR(__xludf.DUMMYFUNCTION("""COMPUTED_VALUE"""),"SUDAN")</f>
        <v>SUDAN</v>
      </c>
      <c r="B538" s="8">
        <f>IFERROR(__xludf.DUMMYFUNCTION("""COMPUTED_VALUE"""),8.0)</f>
        <v>8</v>
      </c>
      <c r="C538" s="7" t="str">
        <f>IFERROR(__xludf.DUMMYFUNCTION("""COMPUTED_VALUE"""),"H_04")</f>
        <v>H_04</v>
      </c>
      <c r="D538" s="7" t="str">
        <f>IFERROR(__xludf.DUMMYFUNCTION("""COMPUTED_VALUE"""),"Q41i")</f>
        <v>Q41i</v>
      </c>
      <c r="E538" s="7" t="str">
        <f>IFERROR(__xludf.DUMMYFUNCTION("""COMPUTED_VALUE"""),"Trust courts of law ")</f>
        <v>Trust courts of law </v>
      </c>
      <c r="F538" s="7" t="str">
        <f>IFERROR(__xludf.DUMMYFUNCTION("""COMPUTED_VALUE"""),"Courts of law")</f>
        <v>Courts of law</v>
      </c>
    </row>
    <row r="539">
      <c r="A539" s="7" t="str">
        <f>IFERROR(__xludf.DUMMYFUNCTION("""COMPUTED_VALUE"""),"TANZANIA")</f>
        <v>TANZANIA</v>
      </c>
      <c r="B539" s="8">
        <f>IFERROR(__xludf.DUMMYFUNCTION("""COMPUTED_VALUE"""),8.0)</f>
        <v>8</v>
      </c>
      <c r="C539" s="7" t="str">
        <f>IFERROR(__xludf.DUMMYFUNCTION("""COMPUTED_VALUE"""),"H_04")</f>
        <v>H_04</v>
      </c>
      <c r="D539" s="7" t="str">
        <f>IFERROR(__xludf.DUMMYFUNCTION("""COMPUTED_VALUE"""),"Q41i")</f>
        <v>Q41i</v>
      </c>
      <c r="E539" s="7" t="str">
        <f>IFERROR(__xludf.DUMMYFUNCTION("""COMPUTED_VALUE"""),"Trust courts of law ")</f>
        <v>Trust courts of law </v>
      </c>
      <c r="F539" s="7" t="str">
        <f>IFERROR(__xludf.DUMMYFUNCTION("""COMPUTED_VALUE"""),"Courts of law")</f>
        <v>Courts of law</v>
      </c>
    </row>
    <row r="540">
      <c r="A540" s="7" t="str">
        <f>IFERROR(__xludf.DUMMYFUNCTION("""COMPUTED_VALUE"""),"TUNISIA ")</f>
        <v>TUNISIA </v>
      </c>
      <c r="B540" s="8">
        <f>IFERROR(__xludf.DUMMYFUNCTION("""COMPUTED_VALUE"""),8.0)</f>
        <v>8</v>
      </c>
      <c r="C540" s="7" t="str">
        <f>IFERROR(__xludf.DUMMYFUNCTION("""COMPUTED_VALUE"""),"H_04")</f>
        <v>H_04</v>
      </c>
      <c r="D540" s="7" t="str">
        <f>IFERROR(__xludf.DUMMYFUNCTION("""COMPUTED_VALUE"""),"Q41i")</f>
        <v>Q41i</v>
      </c>
      <c r="E540" s="7" t="str">
        <f>IFERROR(__xludf.DUMMYFUNCTION("""COMPUTED_VALUE"""),"Trust courts of law ")</f>
        <v>Trust courts of law </v>
      </c>
      <c r="F540" s="7" t="str">
        <f>IFERROR(__xludf.DUMMYFUNCTION("""COMPUTED_VALUE"""),"Courts of law")</f>
        <v>Courts of law</v>
      </c>
    </row>
    <row r="541">
      <c r="A541" s="7" t="str">
        <f>IFERROR(__xludf.DUMMYFUNCTION("""COMPUTED_VALUE"""),"UGANDA  ")</f>
        <v>UGANDA  </v>
      </c>
      <c r="B541" s="8">
        <f>IFERROR(__xludf.DUMMYFUNCTION("""COMPUTED_VALUE"""),8.0)</f>
        <v>8</v>
      </c>
      <c r="C541" s="7" t="str">
        <f>IFERROR(__xludf.DUMMYFUNCTION("""COMPUTED_VALUE"""),"H_04")</f>
        <v>H_04</v>
      </c>
      <c r="D541" s="7" t="str">
        <f>IFERROR(__xludf.DUMMYFUNCTION("""COMPUTED_VALUE"""),"Q41i")</f>
        <v>Q41i</v>
      </c>
      <c r="E541" s="7" t="str">
        <f>IFERROR(__xludf.DUMMYFUNCTION("""COMPUTED_VALUE"""),"Trust courts of law ")</f>
        <v>Trust courts of law </v>
      </c>
      <c r="F541" s="7" t="str">
        <f>IFERROR(__xludf.DUMMYFUNCTION("""COMPUTED_VALUE"""),"Courts of law")</f>
        <v>Courts of law</v>
      </c>
    </row>
    <row r="542">
      <c r="A542" s="7" t="str">
        <f>IFERROR(__xludf.DUMMYFUNCTION("""COMPUTED_VALUE"""),"ZAMBIA")</f>
        <v>ZAMBIA</v>
      </c>
      <c r="B542" s="8">
        <f>IFERROR(__xludf.DUMMYFUNCTION("""COMPUTED_VALUE"""),8.0)</f>
        <v>8</v>
      </c>
      <c r="C542" s="7" t="str">
        <f>IFERROR(__xludf.DUMMYFUNCTION("""COMPUTED_VALUE"""),"H_04")</f>
        <v>H_04</v>
      </c>
      <c r="D542" s="7" t="str">
        <f>IFERROR(__xludf.DUMMYFUNCTION("""COMPUTED_VALUE"""),"Q41i")</f>
        <v>Q41i</v>
      </c>
      <c r="E542" s="7" t="str">
        <f>IFERROR(__xludf.DUMMYFUNCTION("""COMPUTED_VALUE"""),"Trust courts of law ")</f>
        <v>Trust courts of law </v>
      </c>
      <c r="F542" s="7" t="str">
        <f>IFERROR(__xludf.DUMMYFUNCTION("""COMPUTED_VALUE"""),"Courts of law")</f>
        <v>Courts of law</v>
      </c>
    </row>
    <row r="543">
      <c r="A543" s="7" t="str">
        <f>IFERROR(__xludf.DUMMYFUNCTION("""COMPUTED_VALUE"""),"ZIMBABWE")</f>
        <v>ZIMBABWE</v>
      </c>
      <c r="B543" s="8">
        <f>IFERROR(__xludf.DUMMYFUNCTION("""COMPUTED_VALUE"""),8.0)</f>
        <v>8</v>
      </c>
      <c r="C543" s="7" t="str">
        <f>IFERROR(__xludf.DUMMYFUNCTION("""COMPUTED_VALUE"""),"H_04")</f>
        <v>H_04</v>
      </c>
      <c r="D543" s="7" t="str">
        <f>IFERROR(__xludf.DUMMYFUNCTION("""COMPUTED_VALUE"""),"Q41i")</f>
        <v>Q41i</v>
      </c>
      <c r="E543" s="7" t="str">
        <f>IFERROR(__xludf.DUMMYFUNCTION("""COMPUTED_VALUE"""),"Trust courts of law ")</f>
        <v>Trust courts of law </v>
      </c>
      <c r="F543" s="7" t="str">
        <f>IFERROR(__xludf.DUMMYFUNCTION("""COMPUTED_VALUE"""),"Courts of law")</f>
        <v>Courts of law</v>
      </c>
    </row>
    <row r="544">
      <c r="A544" s="7" t="str">
        <f>IFERROR(__xludf.DUMMYFUNCTION("""COMPUTED_VALUE"""),"BOTSWANA ")</f>
        <v>BOTSWANA </v>
      </c>
      <c r="B544" s="8">
        <f>IFERROR(__xludf.DUMMYFUNCTION("""COMPUTED_VALUE"""),8.0)</f>
        <v>8</v>
      </c>
      <c r="C544" s="7" t="str">
        <f>IFERROR(__xludf.DUMMYFUNCTION("""COMPUTED_VALUE"""),"H_29")</f>
        <v>H_29</v>
      </c>
      <c r="D544" s="7" t="str">
        <f>IFERROR(__xludf.DUMMYFUNCTION("""COMPUTED_VALUE"""),"Q41k")</f>
        <v>Q41k</v>
      </c>
      <c r="E544" s="7" t="str">
        <f>IFERROR(__xludf.DUMMYFUNCTION("""COMPUTED_VALUE"""),"Trust traditional leaders")</f>
        <v>Trust traditional leaders</v>
      </c>
      <c r="F544" s="7" t="str">
        <f>IFERROR(__xludf.DUMMYFUNCTION("""COMPUTED_VALUE"""),"Traditional leaders")</f>
        <v>Traditional leaders</v>
      </c>
    </row>
    <row r="545">
      <c r="A545" s="7" t="str">
        <f>IFERROR(__xludf.DUMMYFUNCTION("""COMPUTED_VALUE"""),"CAMEROON")</f>
        <v>CAMEROON</v>
      </c>
      <c r="B545" s="8">
        <f>IFERROR(__xludf.DUMMYFUNCTION("""COMPUTED_VALUE"""),8.0)</f>
        <v>8</v>
      </c>
      <c r="C545" s="7" t="str">
        <f>IFERROR(__xludf.DUMMYFUNCTION("""COMPUTED_VALUE"""),"H_29")</f>
        <v>H_29</v>
      </c>
      <c r="D545" s="7" t="str">
        <f>IFERROR(__xludf.DUMMYFUNCTION("""COMPUTED_VALUE"""),"Q41k")</f>
        <v>Q41k</v>
      </c>
      <c r="E545" s="7" t="str">
        <f>IFERROR(__xludf.DUMMYFUNCTION("""COMPUTED_VALUE"""),"Trust traditional leaders")</f>
        <v>Trust traditional leaders</v>
      </c>
      <c r="F545" s="7" t="str">
        <f>IFERROR(__xludf.DUMMYFUNCTION("""COMPUTED_VALUE"""),"Traditional leaders")</f>
        <v>Traditional leaders</v>
      </c>
    </row>
    <row r="546">
      <c r="A546" s="7" t="str">
        <f>IFERROR(__xludf.DUMMYFUNCTION("""COMPUTED_VALUE"""),"ESWATINI")</f>
        <v>ESWATINI</v>
      </c>
      <c r="B546" s="8">
        <f>IFERROR(__xludf.DUMMYFUNCTION("""COMPUTED_VALUE"""),8.0)</f>
        <v>8</v>
      </c>
      <c r="C546" s="7" t="str">
        <f>IFERROR(__xludf.DUMMYFUNCTION("""COMPUTED_VALUE"""),"H_29")</f>
        <v>H_29</v>
      </c>
      <c r="D546" s="7" t="str">
        <f>IFERROR(__xludf.DUMMYFUNCTION("""COMPUTED_VALUE"""),"Q41k")</f>
        <v>Q41k</v>
      </c>
      <c r="E546" s="7" t="str">
        <f>IFERROR(__xludf.DUMMYFUNCTION("""COMPUTED_VALUE"""),"Trust traditional leaders")</f>
        <v>Trust traditional leaders</v>
      </c>
      <c r="F546" s="7" t="str">
        <f>IFERROR(__xludf.DUMMYFUNCTION("""COMPUTED_VALUE"""),"Traditional leaders or Bucopho")</f>
        <v>Traditional leaders or Bucopho</v>
      </c>
    </row>
    <row r="547">
      <c r="A547" s="7" t="str">
        <f>IFERROR(__xludf.DUMMYFUNCTION("""COMPUTED_VALUE"""),"ETHIOPIA")</f>
        <v>ETHIOPIA</v>
      </c>
      <c r="B547" s="8">
        <f>IFERROR(__xludf.DUMMYFUNCTION("""COMPUTED_VALUE"""),8.0)</f>
        <v>8</v>
      </c>
      <c r="C547" s="7" t="str">
        <f>IFERROR(__xludf.DUMMYFUNCTION("""COMPUTED_VALUE"""),"H_29")</f>
        <v>H_29</v>
      </c>
      <c r="D547" s="7" t="str">
        <f>IFERROR(__xludf.DUMMYFUNCTION("""COMPUTED_VALUE"""),"Q41k")</f>
        <v>Q41k</v>
      </c>
      <c r="E547" s="7" t="str">
        <f>IFERROR(__xludf.DUMMYFUNCTION("""COMPUTED_VALUE"""),"Trust traditional leaders")</f>
        <v>Trust traditional leaders</v>
      </c>
      <c r="F547" s="7" t="str">
        <f>IFERROR(__xludf.DUMMYFUNCTION("""COMPUTED_VALUE"""),"Traditional leaders")</f>
        <v>Traditional leaders</v>
      </c>
    </row>
    <row r="548">
      <c r="A548" s="7" t="str">
        <f>IFERROR(__xludf.DUMMYFUNCTION("""COMPUTED_VALUE"""),"GAMBIA")</f>
        <v>GAMBIA</v>
      </c>
      <c r="B548" s="8">
        <f>IFERROR(__xludf.DUMMYFUNCTION("""COMPUTED_VALUE"""),8.0)</f>
        <v>8</v>
      </c>
      <c r="C548" s="7" t="str">
        <f>IFERROR(__xludf.DUMMYFUNCTION("""COMPUTED_VALUE"""),"H_29")</f>
        <v>H_29</v>
      </c>
      <c r="D548" s="7" t="str">
        <f>IFERROR(__xludf.DUMMYFUNCTION("""COMPUTED_VALUE"""),"Q41k")</f>
        <v>Q41k</v>
      </c>
      <c r="E548" s="7" t="str">
        <f>IFERROR(__xludf.DUMMYFUNCTION("""COMPUTED_VALUE"""),"Trust traditional leaders")</f>
        <v>Trust traditional leaders</v>
      </c>
      <c r="F548" s="7" t="str">
        <f>IFERROR(__xludf.DUMMYFUNCTION("""COMPUTED_VALUE"""),"Traditional leaders")</f>
        <v>Traditional leaders</v>
      </c>
    </row>
    <row r="549">
      <c r="A549" s="7" t="str">
        <f>IFERROR(__xludf.DUMMYFUNCTION("""COMPUTED_VALUE"""),"BOTSWANA ")</f>
        <v>BOTSWANA </v>
      </c>
      <c r="B549" s="8">
        <f>IFERROR(__xludf.DUMMYFUNCTION("""COMPUTED_VALUE"""),8.0)</f>
        <v>8</v>
      </c>
      <c r="C549" s="7" t="str">
        <f>IFERROR(__xludf.DUMMYFUNCTION("""COMPUTED_VALUE"""),"H_22")</f>
        <v>H_22</v>
      </c>
      <c r="D549" s="7" t="str">
        <f>IFERROR(__xludf.DUMMYFUNCTION("""COMPUTED_VALUE"""),"Q41l")</f>
        <v>Q41l</v>
      </c>
      <c r="E549" s="7" t="str">
        <f>IFERROR(__xludf.DUMMYFUNCTION("""COMPUTED_VALUE"""),"Trust religious leaders")</f>
        <v>Trust religious leaders</v>
      </c>
      <c r="F549" s="7" t="str">
        <f>IFERROR(__xludf.DUMMYFUNCTION("""COMPUTED_VALUE"""),"Religious leaders")</f>
        <v>Religious leaders</v>
      </c>
    </row>
    <row r="550">
      <c r="A550" s="7" t="str">
        <f>IFERROR(__xludf.DUMMYFUNCTION("""COMPUTED_VALUE"""),"CABO VERDE ")</f>
        <v>CABO VERDE </v>
      </c>
      <c r="B550" s="8">
        <f>IFERROR(__xludf.DUMMYFUNCTION("""COMPUTED_VALUE"""),8.0)</f>
        <v>8</v>
      </c>
      <c r="C550" s="7" t="str">
        <f>IFERROR(__xludf.DUMMYFUNCTION("""COMPUTED_VALUE"""),"H_22")</f>
        <v>H_22</v>
      </c>
      <c r="D550" s="7" t="str">
        <f>IFERROR(__xludf.DUMMYFUNCTION("""COMPUTED_VALUE"""),"Q41l")</f>
        <v>Q41l</v>
      </c>
      <c r="E550" s="7" t="str">
        <f>IFERROR(__xludf.DUMMYFUNCTION("""COMPUTED_VALUE"""),"Trust religious leaders")</f>
        <v>Trust religious leaders</v>
      </c>
      <c r="F550" s="7" t="str">
        <f>IFERROR(__xludf.DUMMYFUNCTION("""COMPUTED_VALUE"""),"Religious leaders")</f>
        <v>Religious leaders</v>
      </c>
    </row>
    <row r="551">
      <c r="A551" s="7" t="str">
        <f>IFERROR(__xludf.DUMMYFUNCTION("""COMPUTED_VALUE"""),"CAMEROON")</f>
        <v>CAMEROON</v>
      </c>
      <c r="B551" s="8">
        <f>IFERROR(__xludf.DUMMYFUNCTION("""COMPUTED_VALUE"""),8.0)</f>
        <v>8</v>
      </c>
      <c r="C551" s="7" t="str">
        <f>IFERROR(__xludf.DUMMYFUNCTION("""COMPUTED_VALUE"""),"H_22")</f>
        <v>H_22</v>
      </c>
      <c r="D551" s="7" t="str">
        <f>IFERROR(__xludf.DUMMYFUNCTION("""COMPUTED_VALUE"""),"Q41l")</f>
        <v>Q41l</v>
      </c>
      <c r="E551" s="7" t="str">
        <f>IFERROR(__xludf.DUMMYFUNCTION("""COMPUTED_VALUE"""),"Trust religious leaders")</f>
        <v>Trust religious leaders</v>
      </c>
      <c r="F551" s="7" t="str">
        <f>IFERROR(__xludf.DUMMYFUNCTION("""COMPUTED_VALUE"""),"Religious leaders")</f>
        <v>Religious leaders</v>
      </c>
    </row>
    <row r="552">
      <c r="A552" s="7" t="str">
        <f>IFERROR(__xludf.DUMMYFUNCTION("""COMPUTED_VALUE"""),"ESWATINI")</f>
        <v>ESWATINI</v>
      </c>
      <c r="B552" s="8">
        <f>IFERROR(__xludf.DUMMYFUNCTION("""COMPUTED_VALUE"""),8.0)</f>
        <v>8</v>
      </c>
      <c r="C552" s="7" t="str">
        <f>IFERROR(__xludf.DUMMYFUNCTION("""COMPUTED_VALUE"""),"H_22")</f>
        <v>H_22</v>
      </c>
      <c r="D552" s="7" t="str">
        <f>IFERROR(__xludf.DUMMYFUNCTION("""COMPUTED_VALUE"""),"Q41l")</f>
        <v>Q41l</v>
      </c>
      <c r="E552" s="7" t="str">
        <f>IFERROR(__xludf.DUMMYFUNCTION("""COMPUTED_VALUE"""),"Trust religious leaders")</f>
        <v>Trust religious leaders</v>
      </c>
      <c r="F552" s="7" t="str">
        <f>IFERROR(__xludf.DUMMYFUNCTION("""COMPUTED_VALUE"""),"Religious leaders")</f>
        <v>Religious leaders</v>
      </c>
    </row>
    <row r="553">
      <c r="A553" s="7" t="str">
        <f>IFERROR(__xludf.DUMMYFUNCTION("""COMPUTED_VALUE"""),"ETHIOPIA")</f>
        <v>ETHIOPIA</v>
      </c>
      <c r="B553" s="8">
        <f>IFERROR(__xludf.DUMMYFUNCTION("""COMPUTED_VALUE"""),8.0)</f>
        <v>8</v>
      </c>
      <c r="C553" s="7" t="str">
        <f>IFERROR(__xludf.DUMMYFUNCTION("""COMPUTED_VALUE"""),"H_22")</f>
        <v>H_22</v>
      </c>
      <c r="D553" s="7" t="str">
        <f>IFERROR(__xludf.DUMMYFUNCTION("""COMPUTED_VALUE"""),"Q41l")</f>
        <v>Q41l</v>
      </c>
      <c r="E553" s="7" t="str">
        <f>IFERROR(__xludf.DUMMYFUNCTION("""COMPUTED_VALUE"""),"Trust religious leaders")</f>
        <v>Trust religious leaders</v>
      </c>
      <c r="F553" s="7" t="str">
        <f>IFERROR(__xludf.DUMMYFUNCTION("""COMPUTED_VALUE"""),"Religious leaders")</f>
        <v>Religious leaders</v>
      </c>
    </row>
    <row r="554">
      <c r="A554" s="7" t="str">
        <f>IFERROR(__xludf.DUMMYFUNCTION("""COMPUTED_VALUE"""),"GAMBIA")</f>
        <v>GAMBIA</v>
      </c>
      <c r="B554" s="8">
        <f>IFERROR(__xludf.DUMMYFUNCTION("""COMPUTED_VALUE"""),8.0)</f>
        <v>8</v>
      </c>
      <c r="C554" s="7" t="str">
        <f>IFERROR(__xludf.DUMMYFUNCTION("""COMPUTED_VALUE"""),"H_22")</f>
        <v>H_22</v>
      </c>
      <c r="D554" s="7" t="str">
        <f>IFERROR(__xludf.DUMMYFUNCTION("""COMPUTED_VALUE"""),"Q41l")</f>
        <v>Q41l</v>
      </c>
      <c r="E554" s="7" t="str">
        <f>IFERROR(__xludf.DUMMYFUNCTION("""COMPUTED_VALUE"""),"Trust religious leaders")</f>
        <v>Trust religious leaders</v>
      </c>
      <c r="F554" s="7" t="str">
        <f>IFERROR(__xludf.DUMMYFUNCTION("""COMPUTED_VALUE"""),"Religious leaders")</f>
        <v>Religious leaders</v>
      </c>
    </row>
    <row r="555">
      <c r="A555" s="7" t="str">
        <f>IFERROR(__xludf.DUMMYFUNCTION("""COMPUTED_VALUE"""),"BOTSWANA ")</f>
        <v>BOTSWANA </v>
      </c>
      <c r="B555" s="8">
        <f>IFERROR(__xludf.DUMMYFUNCTION("""COMPUTED_VALUE"""),8.0)</f>
        <v>8</v>
      </c>
      <c r="C555" s="7" t="str">
        <f>IFERROR(__xludf.DUMMYFUNCTION("""COMPUTED_VALUE"""),"G_18")</f>
        <v>G_18</v>
      </c>
      <c r="D555" s="7" t="str">
        <f>IFERROR(__xludf.DUMMYFUNCTION("""COMPUTED_VALUE"""),"Q42a")</f>
        <v>Q42a</v>
      </c>
      <c r="E555" s="7" t="str">
        <f>IFERROR(__xludf.DUMMYFUNCTION("""COMPUTED_VALUE"""),"Corruption: office of the Presidency")</f>
        <v>Corruption: office of the Presidency</v>
      </c>
      <c r="F555" s="7" t="str">
        <f>IFERROR(__xludf.DUMMYFUNCTION("""COMPUTED_VALUE"""),"The president and officials in his office")</f>
        <v>The president and officials in his office</v>
      </c>
    </row>
    <row r="556">
      <c r="A556" s="7" t="str">
        <f>IFERROR(__xludf.DUMMYFUNCTION("""COMPUTED_VALUE"""),"CABO VERDE ")</f>
        <v>CABO VERDE </v>
      </c>
      <c r="B556" s="8">
        <f>IFERROR(__xludf.DUMMYFUNCTION("""COMPUTED_VALUE"""),8.0)</f>
        <v>8</v>
      </c>
      <c r="C556" s="7" t="str">
        <f>IFERROR(__xludf.DUMMYFUNCTION("""COMPUTED_VALUE"""),"G_18")</f>
        <v>G_18</v>
      </c>
      <c r="D556" s="7" t="str">
        <f>IFERROR(__xludf.DUMMYFUNCTION("""COMPUTED_VALUE"""),"Q42a")</f>
        <v>Q42a</v>
      </c>
      <c r="E556" s="7" t="str">
        <f>IFERROR(__xludf.DUMMYFUNCTION("""COMPUTED_VALUE"""),"Corruption: office of the Presidency")</f>
        <v>Corruption: office of the Presidency</v>
      </c>
      <c r="F556" s="7" t="str">
        <f>IFERROR(__xludf.DUMMYFUNCTION("""COMPUTED_VALUE"""),"The President and officials in his office")</f>
        <v>The President and officials in his office</v>
      </c>
    </row>
    <row r="557">
      <c r="A557" s="7" t="str">
        <f>IFERROR(__xludf.DUMMYFUNCTION("""COMPUTED_VALUE"""),"CAMEROON")</f>
        <v>CAMEROON</v>
      </c>
      <c r="B557" s="8">
        <f>IFERROR(__xludf.DUMMYFUNCTION("""COMPUTED_VALUE"""),8.0)</f>
        <v>8</v>
      </c>
      <c r="C557" s="7" t="str">
        <f>IFERROR(__xludf.DUMMYFUNCTION("""COMPUTED_VALUE"""),"G_18")</f>
        <v>G_18</v>
      </c>
      <c r="D557" s="7" t="str">
        <f>IFERROR(__xludf.DUMMYFUNCTION("""COMPUTED_VALUE"""),"Q42a")</f>
        <v>Q42a</v>
      </c>
      <c r="E557" s="7" t="str">
        <f>IFERROR(__xludf.DUMMYFUNCTION("""COMPUTED_VALUE"""),"Corruption: office of the Presidency")</f>
        <v>Corruption: office of the Presidency</v>
      </c>
      <c r="F557" s="7" t="str">
        <f>IFERROR(__xludf.DUMMYFUNCTION("""COMPUTED_VALUE"""),"The president and officials in his office")</f>
        <v>The president and officials in his office</v>
      </c>
    </row>
    <row r="558">
      <c r="A558" s="7" t="str">
        <f>IFERROR(__xludf.DUMMYFUNCTION("""COMPUTED_VALUE"""),"ESWATINI")</f>
        <v>ESWATINI</v>
      </c>
      <c r="B558" s="8">
        <f>IFERROR(__xludf.DUMMYFUNCTION("""COMPUTED_VALUE"""),8.0)</f>
        <v>8</v>
      </c>
      <c r="C558" s="7" t="str">
        <f>IFERROR(__xludf.DUMMYFUNCTION("""COMPUTED_VALUE"""),"G_18")</f>
        <v>G_18</v>
      </c>
      <c r="D558" s="7" t="str">
        <f>IFERROR(__xludf.DUMMYFUNCTION("""COMPUTED_VALUE"""),"Q42a")</f>
        <v>Q42a</v>
      </c>
      <c r="E558" s="7" t="str">
        <f>IFERROR(__xludf.DUMMYFUNCTION("""COMPUTED_VALUE"""),"Corruption: office of the Presidency")</f>
        <v>Corruption: office of the Presidency</v>
      </c>
      <c r="F558" s="7" t="str">
        <f>IFERROR(__xludf.DUMMYFUNCTION("""COMPUTED_VALUE"""),"The prime minister and officials in his office")</f>
        <v>The prime minister and officials in his office</v>
      </c>
    </row>
    <row r="559">
      <c r="A559" s="7" t="str">
        <f>IFERROR(__xludf.DUMMYFUNCTION("""COMPUTED_VALUE"""),"ETHIOPIA")</f>
        <v>ETHIOPIA</v>
      </c>
      <c r="B559" s="8">
        <f>IFERROR(__xludf.DUMMYFUNCTION("""COMPUTED_VALUE"""),8.0)</f>
        <v>8</v>
      </c>
      <c r="C559" s="7" t="str">
        <f>IFERROR(__xludf.DUMMYFUNCTION("""COMPUTED_VALUE"""),"G_18")</f>
        <v>G_18</v>
      </c>
      <c r="D559" s="7" t="str">
        <f>IFERROR(__xludf.DUMMYFUNCTION("""COMPUTED_VALUE"""),"Q42a")</f>
        <v>Q42a</v>
      </c>
      <c r="E559" s="7" t="str">
        <f>IFERROR(__xludf.DUMMYFUNCTION("""COMPUTED_VALUE"""),"Corruption: office of the Presidency")</f>
        <v>Corruption: office of the Presidency</v>
      </c>
      <c r="F559" s="7" t="str">
        <f>IFERROR(__xludf.DUMMYFUNCTION("""COMPUTED_VALUE"""),"The Prime Minister and officials in his office")</f>
        <v>The Prime Minister and officials in his office</v>
      </c>
    </row>
    <row r="560">
      <c r="A560" s="7" t="str">
        <f>IFERROR(__xludf.DUMMYFUNCTION("""COMPUTED_VALUE"""),"GAMBIA")</f>
        <v>GAMBIA</v>
      </c>
      <c r="B560" s="8">
        <f>IFERROR(__xludf.DUMMYFUNCTION("""COMPUTED_VALUE"""),8.0)</f>
        <v>8</v>
      </c>
      <c r="C560" s="7" t="str">
        <f>IFERROR(__xludf.DUMMYFUNCTION("""COMPUTED_VALUE"""),"G_18")</f>
        <v>G_18</v>
      </c>
      <c r="D560" s="7" t="str">
        <f>IFERROR(__xludf.DUMMYFUNCTION("""COMPUTED_VALUE"""),"Q42a")</f>
        <v>Q42a</v>
      </c>
      <c r="E560" s="7" t="str">
        <f>IFERROR(__xludf.DUMMYFUNCTION("""COMPUTED_VALUE"""),"Corruption: office of the Presidency")</f>
        <v>Corruption: office of the Presidency</v>
      </c>
      <c r="F560" s="7" t="str">
        <f>IFERROR(__xludf.DUMMYFUNCTION("""COMPUTED_VALUE"""),"The president and officials in his office")</f>
        <v>The president and officials in his office</v>
      </c>
    </row>
    <row r="561">
      <c r="A561" s="7" t="str">
        <f>IFERROR(__xludf.DUMMYFUNCTION("""COMPUTED_VALUE"""),"GHANA ")</f>
        <v>GHANA </v>
      </c>
      <c r="B561" s="8">
        <f>IFERROR(__xludf.DUMMYFUNCTION("""COMPUTED_VALUE"""),8.0)</f>
        <v>8</v>
      </c>
      <c r="C561" s="7" t="str">
        <f>IFERROR(__xludf.DUMMYFUNCTION("""COMPUTED_VALUE"""),"G_18")</f>
        <v>G_18</v>
      </c>
      <c r="D561" s="7" t="str">
        <f>IFERROR(__xludf.DUMMYFUNCTION("""COMPUTED_VALUE"""),"Q42a")</f>
        <v>Q42a</v>
      </c>
      <c r="E561" s="7" t="str">
        <f>IFERROR(__xludf.DUMMYFUNCTION("""COMPUTED_VALUE"""),"Corruption: office of the Presidency")</f>
        <v>Corruption: office of the Presidency</v>
      </c>
      <c r="F561" s="7" t="str">
        <f>IFERROR(__xludf.DUMMYFUNCTION("""COMPUTED_VALUE"""),"The president and officials in his office")</f>
        <v>The president and officials in his office</v>
      </c>
    </row>
    <row r="562">
      <c r="A562" s="7" t="str">
        <f>IFERROR(__xludf.DUMMYFUNCTION("""COMPUTED_VALUE"""),"KENYA  ")</f>
        <v>KENYA  </v>
      </c>
      <c r="B562" s="8">
        <f>IFERROR(__xludf.DUMMYFUNCTION("""COMPUTED_VALUE"""),8.0)</f>
        <v>8</v>
      </c>
      <c r="C562" s="7" t="str">
        <f>IFERROR(__xludf.DUMMYFUNCTION("""COMPUTED_VALUE"""),"G_18")</f>
        <v>G_18</v>
      </c>
      <c r="D562" s="7" t="str">
        <f>IFERROR(__xludf.DUMMYFUNCTION("""COMPUTED_VALUE"""),"Q42a")</f>
        <v>Q42a</v>
      </c>
      <c r="E562" s="7" t="str">
        <f>IFERROR(__xludf.DUMMYFUNCTION("""COMPUTED_VALUE"""),"Corruption: office of the Presidency")</f>
        <v>Corruption: office of the Presidency</v>
      </c>
      <c r="F562" s="7" t="str">
        <f>IFERROR(__xludf.DUMMYFUNCTION("""COMPUTED_VALUE"""),"The president and officials in his office")</f>
        <v>The president and officials in his office</v>
      </c>
    </row>
    <row r="563">
      <c r="A563" s="7" t="str">
        <f>IFERROR(__xludf.DUMMYFUNCTION("""COMPUTED_VALUE"""),"LESOTHO ")</f>
        <v>LESOTHO </v>
      </c>
      <c r="B563" s="8">
        <f>IFERROR(__xludf.DUMMYFUNCTION("""COMPUTED_VALUE"""),8.0)</f>
        <v>8</v>
      </c>
      <c r="C563" s="7" t="str">
        <f>IFERROR(__xludf.DUMMYFUNCTION("""COMPUTED_VALUE"""),"G_18")</f>
        <v>G_18</v>
      </c>
      <c r="D563" s="7" t="str">
        <f>IFERROR(__xludf.DUMMYFUNCTION("""COMPUTED_VALUE"""),"Q42a")</f>
        <v>Q42a</v>
      </c>
      <c r="E563" s="7" t="str">
        <f>IFERROR(__xludf.DUMMYFUNCTION("""COMPUTED_VALUE"""),"Corruption: office of the Presidency")</f>
        <v>Corruption: office of the Presidency</v>
      </c>
      <c r="F563" s="7" t="str">
        <f>IFERROR(__xludf.DUMMYFUNCTION("""COMPUTED_VALUE"""),"The Prime Minister and officials in his office")</f>
        <v>The Prime Minister and officials in his office</v>
      </c>
    </row>
    <row r="564">
      <c r="A564" s="7" t="str">
        <f>IFERROR(__xludf.DUMMYFUNCTION("""COMPUTED_VALUE"""),"LIBERIA  ")</f>
        <v>LIBERIA  </v>
      </c>
      <c r="B564" s="8">
        <f>IFERROR(__xludf.DUMMYFUNCTION("""COMPUTED_VALUE"""),8.0)</f>
        <v>8</v>
      </c>
      <c r="C564" s="7" t="str">
        <f>IFERROR(__xludf.DUMMYFUNCTION("""COMPUTED_VALUE"""),"G_18")</f>
        <v>G_18</v>
      </c>
      <c r="D564" s="7" t="str">
        <f>IFERROR(__xludf.DUMMYFUNCTION("""COMPUTED_VALUE"""),"Q42a")</f>
        <v>Q42a</v>
      </c>
      <c r="E564" s="7" t="str">
        <f>IFERROR(__xludf.DUMMYFUNCTION("""COMPUTED_VALUE"""),"Corruption: office of the Presidency")</f>
        <v>Corruption: office of the Presidency</v>
      </c>
      <c r="F564" s="7" t="str">
        <f>IFERROR(__xludf.DUMMYFUNCTION("""COMPUTED_VALUE"""),"The President and officials in his office")</f>
        <v>The President and officials in his office</v>
      </c>
    </row>
    <row r="565">
      <c r="A565" s="7" t="str">
        <f>IFERROR(__xludf.DUMMYFUNCTION("""COMPUTED_VALUE"""),"MALAWI ")</f>
        <v>MALAWI </v>
      </c>
      <c r="B565" s="8">
        <f>IFERROR(__xludf.DUMMYFUNCTION("""COMPUTED_VALUE"""),8.0)</f>
        <v>8</v>
      </c>
      <c r="C565" s="7" t="str">
        <f>IFERROR(__xludf.DUMMYFUNCTION("""COMPUTED_VALUE"""),"G_18")</f>
        <v>G_18</v>
      </c>
      <c r="D565" s="7" t="str">
        <f>IFERROR(__xludf.DUMMYFUNCTION("""COMPUTED_VALUE"""),"Q42a")</f>
        <v>Q42a</v>
      </c>
      <c r="E565" s="7" t="str">
        <f>IFERROR(__xludf.DUMMYFUNCTION("""COMPUTED_VALUE"""),"Corruption: office of the Presidency")</f>
        <v>Corruption: office of the Presidency</v>
      </c>
      <c r="F565" s="7" t="str">
        <f>IFERROR(__xludf.DUMMYFUNCTION("""COMPUTED_VALUE"""),"The president and officials in his office")</f>
        <v>The president and officials in his office</v>
      </c>
    </row>
    <row r="566">
      <c r="A566" s="7" t="str">
        <f>IFERROR(__xludf.DUMMYFUNCTION("""COMPUTED_VALUE"""),"MOROCCO ")</f>
        <v>MOROCCO </v>
      </c>
      <c r="B566" s="8">
        <f>IFERROR(__xludf.DUMMYFUNCTION("""COMPUTED_VALUE"""),8.0)</f>
        <v>8</v>
      </c>
      <c r="C566" s="7" t="str">
        <f>IFERROR(__xludf.DUMMYFUNCTION("""COMPUTED_VALUE"""),"G_18")</f>
        <v>G_18</v>
      </c>
      <c r="D566" s="7" t="str">
        <f>IFERROR(__xludf.DUMMYFUNCTION("""COMPUTED_VALUE"""),"Q42a")</f>
        <v>Q42a</v>
      </c>
      <c r="E566" s="7" t="str">
        <f>IFERROR(__xludf.DUMMYFUNCTION("""COMPUTED_VALUE"""),"Corruption: office of the Presidency")</f>
        <v>Corruption: office of the Presidency</v>
      </c>
      <c r="F566" s="7" t="str">
        <f>IFERROR(__xludf.DUMMYFUNCTION("""COMPUTED_VALUE"""),"The president of the government and officials in his office")</f>
        <v>The president of the government and officials in his office</v>
      </c>
    </row>
    <row r="567">
      <c r="A567" s="7" t="str">
        <f>IFERROR(__xludf.DUMMYFUNCTION("""COMPUTED_VALUE"""),"MOZAMBIQUE")</f>
        <v>MOZAMBIQUE</v>
      </c>
      <c r="B567" s="8">
        <f>IFERROR(__xludf.DUMMYFUNCTION("""COMPUTED_VALUE"""),8.0)</f>
        <v>8</v>
      </c>
      <c r="C567" s="7" t="str">
        <f>IFERROR(__xludf.DUMMYFUNCTION("""COMPUTED_VALUE"""),"G_18")</f>
        <v>G_18</v>
      </c>
      <c r="D567" s="7" t="str">
        <f>IFERROR(__xludf.DUMMYFUNCTION("""COMPUTED_VALUE"""),"Q42a")</f>
        <v>Q42a</v>
      </c>
      <c r="E567" s="7" t="str">
        <f>IFERROR(__xludf.DUMMYFUNCTION("""COMPUTED_VALUE"""),"Corruption: office of the Presidency")</f>
        <v>Corruption: office of the Presidency</v>
      </c>
      <c r="F567" s="7" t="str">
        <f>IFERROR(__xludf.DUMMYFUNCTION("""COMPUTED_VALUE"""),"The president and officials in his office")</f>
        <v>The president and officials in his office</v>
      </c>
    </row>
    <row r="568">
      <c r="A568" s="7" t="str">
        <f>IFERROR(__xludf.DUMMYFUNCTION("""COMPUTED_VALUE"""),"NAMIBIA ")</f>
        <v>NAMIBIA </v>
      </c>
      <c r="B568" s="8">
        <f>IFERROR(__xludf.DUMMYFUNCTION("""COMPUTED_VALUE"""),8.0)</f>
        <v>8</v>
      </c>
      <c r="C568" s="7" t="str">
        <f>IFERROR(__xludf.DUMMYFUNCTION("""COMPUTED_VALUE"""),"G_18")</f>
        <v>G_18</v>
      </c>
      <c r="D568" s="7" t="str">
        <f>IFERROR(__xludf.DUMMYFUNCTION("""COMPUTED_VALUE"""),"Q42a")</f>
        <v>Q42a</v>
      </c>
      <c r="E568" s="7" t="str">
        <f>IFERROR(__xludf.DUMMYFUNCTION("""COMPUTED_VALUE"""),"Corruption: office of the Presidency")</f>
        <v>Corruption: office of the Presidency</v>
      </c>
      <c r="F568" s="7" t="str">
        <f>IFERROR(__xludf.DUMMYFUNCTION("""COMPUTED_VALUE"""),"The president and officials in his office")</f>
        <v>The president and officials in his office</v>
      </c>
    </row>
    <row r="569">
      <c r="A569" s="7" t="str">
        <f>IFERROR(__xludf.DUMMYFUNCTION("""COMPUTED_VALUE"""),"NIGERIA ")</f>
        <v>NIGERIA </v>
      </c>
      <c r="B569" s="8">
        <f>IFERROR(__xludf.DUMMYFUNCTION("""COMPUTED_VALUE"""),8.0)</f>
        <v>8</v>
      </c>
      <c r="C569" s="7" t="str">
        <f>IFERROR(__xludf.DUMMYFUNCTION("""COMPUTED_VALUE"""),"G_18")</f>
        <v>G_18</v>
      </c>
      <c r="D569" s="7" t="str">
        <f>IFERROR(__xludf.DUMMYFUNCTION("""COMPUTED_VALUE"""),"Q42a")</f>
        <v>Q42a</v>
      </c>
      <c r="E569" s="7" t="str">
        <f>IFERROR(__xludf.DUMMYFUNCTION("""COMPUTED_VALUE"""),"Corruption: office of the Presidency")</f>
        <v>Corruption: office of the Presidency</v>
      </c>
      <c r="F569" s="7" t="str">
        <f>IFERROR(__xludf.DUMMYFUNCTION("""COMPUTED_VALUE"""),"The President and Officials in his Office")</f>
        <v>The President and Officials in his Office</v>
      </c>
    </row>
    <row r="570">
      <c r="A570" s="7" t="str">
        <f>IFERROR(__xludf.DUMMYFUNCTION("""COMPUTED_VALUE"""),"SIERRA LEONE")</f>
        <v>SIERRA LEONE</v>
      </c>
      <c r="B570" s="8">
        <f>IFERROR(__xludf.DUMMYFUNCTION("""COMPUTED_VALUE"""),8.0)</f>
        <v>8</v>
      </c>
      <c r="C570" s="7" t="str">
        <f>IFERROR(__xludf.DUMMYFUNCTION("""COMPUTED_VALUE"""),"G_18")</f>
        <v>G_18</v>
      </c>
      <c r="D570" s="7" t="str">
        <f>IFERROR(__xludf.DUMMYFUNCTION("""COMPUTED_VALUE"""),"Q42a")</f>
        <v>Q42a</v>
      </c>
      <c r="E570" s="7" t="str">
        <f>IFERROR(__xludf.DUMMYFUNCTION("""COMPUTED_VALUE"""),"Corruption: office of the Presidency")</f>
        <v>Corruption: office of the Presidency</v>
      </c>
      <c r="F570" s="7" t="str">
        <f>IFERROR(__xludf.DUMMYFUNCTION("""COMPUTED_VALUE"""),"The president and officials in his office")</f>
        <v>The president and officials in his office</v>
      </c>
    </row>
    <row r="571">
      <c r="A571" s="7" t="str">
        <f>IFERROR(__xludf.DUMMYFUNCTION("""COMPUTED_VALUE"""),"SOUTH AFRICA")</f>
        <v>SOUTH AFRICA</v>
      </c>
      <c r="B571" s="8">
        <f>IFERROR(__xludf.DUMMYFUNCTION("""COMPUTED_VALUE"""),8.0)</f>
        <v>8</v>
      </c>
      <c r="C571" s="7" t="str">
        <f>IFERROR(__xludf.DUMMYFUNCTION("""COMPUTED_VALUE"""),"G_18")</f>
        <v>G_18</v>
      </c>
      <c r="D571" s="7" t="str">
        <f>IFERROR(__xludf.DUMMYFUNCTION("""COMPUTED_VALUE"""),"Q42a")</f>
        <v>Q42a</v>
      </c>
      <c r="E571" s="7" t="str">
        <f>IFERROR(__xludf.DUMMYFUNCTION("""COMPUTED_VALUE"""),"Corruption: office of the Presidency")</f>
        <v>Corruption: office of the Presidency</v>
      </c>
      <c r="F571" s="7" t="str">
        <f>IFERROR(__xludf.DUMMYFUNCTION("""COMPUTED_VALUE"""),"The president and officials in his office")</f>
        <v>The president and officials in his office</v>
      </c>
    </row>
    <row r="572">
      <c r="A572" s="7" t="str">
        <f>IFERROR(__xludf.DUMMYFUNCTION("""COMPUTED_VALUE"""),"SUDAN")</f>
        <v>SUDAN</v>
      </c>
      <c r="B572" s="8">
        <f>IFERROR(__xludf.DUMMYFUNCTION("""COMPUTED_VALUE"""),8.0)</f>
        <v>8</v>
      </c>
      <c r="C572" s="7" t="str">
        <f>IFERROR(__xludf.DUMMYFUNCTION("""COMPUTED_VALUE"""),"G_18")</f>
        <v>G_18</v>
      </c>
      <c r="D572" s="7" t="str">
        <f>IFERROR(__xludf.DUMMYFUNCTION("""COMPUTED_VALUE"""),"Q42a")</f>
        <v>Q42a</v>
      </c>
      <c r="E572" s="7" t="str">
        <f>IFERROR(__xludf.DUMMYFUNCTION("""COMPUTED_VALUE"""),"Corruption: office of the Presidency")</f>
        <v>Corruption: office of the Presidency</v>
      </c>
      <c r="F572" s="7" t="str">
        <f>IFERROR(__xludf.DUMMYFUNCTION("""COMPUTED_VALUE"""),"The Prime Minister and officials in his office")</f>
        <v>The Prime Minister and officials in his office</v>
      </c>
    </row>
    <row r="573">
      <c r="A573" s="7" t="str">
        <f>IFERROR(__xludf.DUMMYFUNCTION("""COMPUTED_VALUE"""),"TANZANIA")</f>
        <v>TANZANIA</v>
      </c>
      <c r="B573" s="8">
        <f>IFERROR(__xludf.DUMMYFUNCTION("""COMPUTED_VALUE"""),8.0)</f>
        <v>8</v>
      </c>
      <c r="C573" s="7" t="str">
        <f>IFERROR(__xludf.DUMMYFUNCTION("""COMPUTED_VALUE"""),"G_18")</f>
        <v>G_18</v>
      </c>
      <c r="D573" s="7" t="str">
        <f>IFERROR(__xludf.DUMMYFUNCTION("""COMPUTED_VALUE"""),"Q42a")</f>
        <v>Q42a</v>
      </c>
      <c r="E573" s="7" t="str">
        <f>IFERROR(__xludf.DUMMYFUNCTION("""COMPUTED_VALUE"""),"Corruption: office of the Presidency")</f>
        <v>Corruption: office of the Presidency</v>
      </c>
      <c r="F573" s="7" t="str">
        <f>IFERROR(__xludf.DUMMYFUNCTION("""COMPUTED_VALUE"""),"The president and officials in his office")</f>
        <v>The president and officials in his office</v>
      </c>
    </row>
    <row r="574">
      <c r="A574" s="7" t="str">
        <f>IFERROR(__xludf.DUMMYFUNCTION("""COMPUTED_VALUE"""),"TUNISIA ")</f>
        <v>TUNISIA </v>
      </c>
      <c r="B574" s="8">
        <f>IFERROR(__xludf.DUMMYFUNCTION("""COMPUTED_VALUE"""),8.0)</f>
        <v>8</v>
      </c>
      <c r="C574" s="7" t="str">
        <f>IFERROR(__xludf.DUMMYFUNCTION("""COMPUTED_VALUE"""),"G_18")</f>
        <v>G_18</v>
      </c>
      <c r="D574" s="7" t="str">
        <f>IFERROR(__xludf.DUMMYFUNCTION("""COMPUTED_VALUE"""),"Q42a")</f>
        <v>Q42a</v>
      </c>
      <c r="E574" s="7" t="str">
        <f>IFERROR(__xludf.DUMMYFUNCTION("""COMPUTED_VALUE"""),"Corruption: office of the Presidency")</f>
        <v>Corruption: office of the Presidency</v>
      </c>
      <c r="F574" s="7" t="str">
        <f>IFERROR(__xludf.DUMMYFUNCTION("""COMPUTED_VALUE"""),"The President and officials in his office")</f>
        <v>The President and officials in his office</v>
      </c>
    </row>
    <row r="575">
      <c r="A575" s="7" t="str">
        <f>IFERROR(__xludf.DUMMYFUNCTION("""COMPUTED_VALUE"""),"UGANDA  ")</f>
        <v>UGANDA  </v>
      </c>
      <c r="B575" s="8">
        <f>IFERROR(__xludf.DUMMYFUNCTION("""COMPUTED_VALUE"""),8.0)</f>
        <v>8</v>
      </c>
      <c r="C575" s="7" t="str">
        <f>IFERROR(__xludf.DUMMYFUNCTION("""COMPUTED_VALUE"""),"G_18")</f>
        <v>G_18</v>
      </c>
      <c r="D575" s="7" t="str">
        <f>IFERROR(__xludf.DUMMYFUNCTION("""COMPUTED_VALUE"""),"Q42a")</f>
        <v>Q42a</v>
      </c>
      <c r="E575" s="7" t="str">
        <f>IFERROR(__xludf.DUMMYFUNCTION("""COMPUTED_VALUE"""),"Corruption: office of the Presidency")</f>
        <v>Corruption: office of the Presidency</v>
      </c>
      <c r="F575" s="7" t="str">
        <f>IFERROR(__xludf.DUMMYFUNCTION("""COMPUTED_VALUE"""),"The president and officials in his office")</f>
        <v>The president and officials in his office</v>
      </c>
    </row>
    <row r="576">
      <c r="A576" s="7" t="str">
        <f>IFERROR(__xludf.DUMMYFUNCTION("""COMPUTED_VALUE"""),"ZAMBIA")</f>
        <v>ZAMBIA</v>
      </c>
      <c r="B576" s="8">
        <f>IFERROR(__xludf.DUMMYFUNCTION("""COMPUTED_VALUE"""),8.0)</f>
        <v>8</v>
      </c>
      <c r="C576" s="7" t="str">
        <f>IFERROR(__xludf.DUMMYFUNCTION("""COMPUTED_VALUE"""),"G_18")</f>
        <v>G_18</v>
      </c>
      <c r="D576" s="7" t="str">
        <f>IFERROR(__xludf.DUMMYFUNCTION("""COMPUTED_VALUE"""),"Q42a")</f>
        <v>Q42a</v>
      </c>
      <c r="E576" s="7" t="str">
        <f>IFERROR(__xludf.DUMMYFUNCTION("""COMPUTED_VALUE"""),"Corruption: office of the Presidency")</f>
        <v>Corruption: office of the Presidency</v>
      </c>
      <c r="F576" s="7" t="str">
        <f>IFERROR(__xludf.DUMMYFUNCTION("""COMPUTED_VALUE"""),"The president and officials in his office")</f>
        <v>The president and officials in his office</v>
      </c>
    </row>
    <row r="577">
      <c r="A577" s="7" t="str">
        <f>IFERROR(__xludf.DUMMYFUNCTION("""COMPUTED_VALUE"""),"ZIMBABWE")</f>
        <v>ZIMBABWE</v>
      </c>
      <c r="B577" s="8">
        <f>IFERROR(__xludf.DUMMYFUNCTION("""COMPUTED_VALUE"""),8.0)</f>
        <v>8</v>
      </c>
      <c r="C577" s="7" t="str">
        <f>IFERROR(__xludf.DUMMYFUNCTION("""COMPUTED_VALUE"""),"G_18")</f>
        <v>G_18</v>
      </c>
      <c r="D577" s="7" t="str">
        <f>IFERROR(__xludf.DUMMYFUNCTION("""COMPUTED_VALUE"""),"Q42a")</f>
        <v>Q42a</v>
      </c>
      <c r="E577" s="7" t="str">
        <f>IFERROR(__xludf.DUMMYFUNCTION("""COMPUTED_VALUE"""),"Corruption: office of the Presidency")</f>
        <v>Corruption: office of the Presidency</v>
      </c>
      <c r="F577" s="7" t="str">
        <f>IFERROR(__xludf.DUMMYFUNCTION("""COMPUTED_VALUE"""),"The president and officials in his office")</f>
        <v>The president and officials in his office</v>
      </c>
    </row>
    <row r="578">
      <c r="A578" s="7" t="str">
        <f>IFERROR(__xludf.DUMMYFUNCTION("""COMPUTED_VALUE"""),"BOTSWANA ")</f>
        <v>BOTSWANA </v>
      </c>
      <c r="B578" s="8">
        <f>IFERROR(__xludf.DUMMYFUNCTION("""COMPUTED_VALUE"""),8.0)</f>
        <v>8</v>
      </c>
      <c r="C578" s="7" t="str">
        <f>IFERROR(__xludf.DUMMYFUNCTION("""COMPUTED_VALUE"""),"G_13")</f>
        <v>G_13</v>
      </c>
      <c r="D578" s="7" t="str">
        <f>IFERROR(__xludf.DUMMYFUNCTION("""COMPUTED_VALUE"""),"Q42b")</f>
        <v>Q42b</v>
      </c>
      <c r="E578" s="7" t="str">
        <f>IFERROR(__xludf.DUMMYFUNCTION("""COMPUTED_VALUE"""),"Corruption: Members of Parliament")</f>
        <v>Corruption: Members of Parliament</v>
      </c>
      <c r="F578" s="7" t="str">
        <f>IFERROR(__xludf.DUMMYFUNCTION("""COMPUTED_VALUE"""),"Members of Parliament")</f>
        <v>Members of Parliament</v>
      </c>
    </row>
    <row r="579">
      <c r="A579" s="7" t="str">
        <f>IFERROR(__xludf.DUMMYFUNCTION("""COMPUTED_VALUE"""),"CABO VERDE ")</f>
        <v>CABO VERDE </v>
      </c>
      <c r="B579" s="8">
        <f>IFERROR(__xludf.DUMMYFUNCTION("""COMPUTED_VALUE"""),8.0)</f>
        <v>8</v>
      </c>
      <c r="C579" s="7" t="str">
        <f>IFERROR(__xludf.DUMMYFUNCTION("""COMPUTED_VALUE"""),"G_13")</f>
        <v>G_13</v>
      </c>
      <c r="D579" s="7" t="str">
        <f>IFERROR(__xludf.DUMMYFUNCTION("""COMPUTED_VALUE"""),"Q42b")</f>
        <v>Q42b</v>
      </c>
      <c r="E579" s="7" t="str">
        <f>IFERROR(__xludf.DUMMYFUNCTION("""COMPUTED_VALUE"""),"Corruption: Members of Parliament")</f>
        <v>Corruption: Members of Parliament</v>
      </c>
      <c r="F579" s="7" t="str">
        <f>IFERROR(__xludf.DUMMYFUNCTION("""COMPUTED_VALUE"""),"Members of the National Assembly")</f>
        <v>Members of the National Assembly</v>
      </c>
    </row>
    <row r="580">
      <c r="A580" s="7" t="str">
        <f>IFERROR(__xludf.DUMMYFUNCTION("""COMPUTED_VALUE"""),"CAMEROON")</f>
        <v>CAMEROON</v>
      </c>
      <c r="B580" s="8">
        <f>IFERROR(__xludf.DUMMYFUNCTION("""COMPUTED_VALUE"""),8.0)</f>
        <v>8</v>
      </c>
      <c r="C580" s="7" t="str">
        <f>IFERROR(__xludf.DUMMYFUNCTION("""COMPUTED_VALUE"""),"G_13")</f>
        <v>G_13</v>
      </c>
      <c r="D580" s="7" t="str">
        <f>IFERROR(__xludf.DUMMYFUNCTION("""COMPUTED_VALUE"""),"Q42b")</f>
        <v>Q42b</v>
      </c>
      <c r="E580" s="7" t="str">
        <f>IFERROR(__xludf.DUMMYFUNCTION("""COMPUTED_VALUE"""),"Corruption: Members of Parliament")</f>
        <v>Corruption: Members of Parliament</v>
      </c>
      <c r="F580" s="7" t="str">
        <f>IFERROR(__xludf.DUMMYFUNCTION("""COMPUTED_VALUE"""),"Members of Parliament (Deputies and senators)")</f>
        <v>Members of Parliament (Deputies and senators)</v>
      </c>
    </row>
    <row r="581">
      <c r="A581" s="7" t="str">
        <f>IFERROR(__xludf.DUMMYFUNCTION("""COMPUTED_VALUE"""),"ESWATINI")</f>
        <v>ESWATINI</v>
      </c>
      <c r="B581" s="8">
        <f>IFERROR(__xludf.DUMMYFUNCTION("""COMPUTED_VALUE"""),8.0)</f>
        <v>8</v>
      </c>
      <c r="C581" s="7" t="str">
        <f>IFERROR(__xludf.DUMMYFUNCTION("""COMPUTED_VALUE"""),"G_13")</f>
        <v>G_13</v>
      </c>
      <c r="D581" s="7" t="str">
        <f>IFERROR(__xludf.DUMMYFUNCTION("""COMPUTED_VALUE"""),"Q42b")</f>
        <v>Q42b</v>
      </c>
      <c r="E581" s="7" t="str">
        <f>IFERROR(__xludf.DUMMYFUNCTION("""COMPUTED_VALUE"""),"Corruption: Members of Parliament")</f>
        <v>Corruption: Members of Parliament</v>
      </c>
      <c r="F581" s="7" t="str">
        <f>IFERROR(__xludf.DUMMYFUNCTION("""COMPUTED_VALUE"""),"Members of Parliament")</f>
        <v>Members of Parliament</v>
      </c>
    </row>
    <row r="582">
      <c r="A582" s="7" t="str">
        <f>IFERROR(__xludf.DUMMYFUNCTION("""COMPUTED_VALUE"""),"ETHIOPIA")</f>
        <v>ETHIOPIA</v>
      </c>
      <c r="B582" s="8">
        <f>IFERROR(__xludf.DUMMYFUNCTION("""COMPUTED_VALUE"""),8.0)</f>
        <v>8</v>
      </c>
      <c r="C582" s="7" t="str">
        <f>IFERROR(__xludf.DUMMYFUNCTION("""COMPUTED_VALUE"""),"G_13")</f>
        <v>G_13</v>
      </c>
      <c r="D582" s="7" t="str">
        <f>IFERROR(__xludf.DUMMYFUNCTION("""COMPUTED_VALUE"""),"Q42b")</f>
        <v>Q42b</v>
      </c>
      <c r="E582" s="7" t="str">
        <f>IFERROR(__xludf.DUMMYFUNCTION("""COMPUTED_VALUE"""),"Corruption: Members of Parliament")</f>
        <v>Corruption: Members of Parliament</v>
      </c>
      <c r="F582" s="7" t="str">
        <f>IFERROR(__xludf.DUMMYFUNCTION("""COMPUTED_VALUE"""),"Members of House of Peoples’ Representatives")</f>
        <v>Members of House of Peoples’ Representatives</v>
      </c>
    </row>
    <row r="583">
      <c r="A583" s="7" t="str">
        <f>IFERROR(__xludf.DUMMYFUNCTION("""COMPUTED_VALUE"""),"GAMBIA")</f>
        <v>GAMBIA</v>
      </c>
      <c r="B583" s="8">
        <f>IFERROR(__xludf.DUMMYFUNCTION("""COMPUTED_VALUE"""),8.0)</f>
        <v>8</v>
      </c>
      <c r="C583" s="7" t="str">
        <f>IFERROR(__xludf.DUMMYFUNCTION("""COMPUTED_VALUE"""),"G_13")</f>
        <v>G_13</v>
      </c>
      <c r="D583" s="7" t="str">
        <f>IFERROR(__xludf.DUMMYFUNCTION("""COMPUTED_VALUE"""),"Q42b")</f>
        <v>Q42b</v>
      </c>
      <c r="E583" s="7" t="str">
        <f>IFERROR(__xludf.DUMMYFUNCTION("""COMPUTED_VALUE"""),"Corruption: Members of Parliament")</f>
        <v>Corruption: Members of Parliament</v>
      </c>
      <c r="F583" s="7" t="str">
        <f>IFERROR(__xludf.DUMMYFUNCTION("""COMPUTED_VALUE"""),"Members of the National Assembly")</f>
        <v>Members of the National Assembly</v>
      </c>
    </row>
    <row r="584">
      <c r="A584" s="7" t="str">
        <f>IFERROR(__xludf.DUMMYFUNCTION("""COMPUTED_VALUE"""),"GHANA ")</f>
        <v>GHANA </v>
      </c>
      <c r="B584" s="8">
        <f>IFERROR(__xludf.DUMMYFUNCTION("""COMPUTED_VALUE"""),8.0)</f>
        <v>8</v>
      </c>
      <c r="C584" s="7" t="str">
        <f>IFERROR(__xludf.DUMMYFUNCTION("""COMPUTED_VALUE"""),"G_13")</f>
        <v>G_13</v>
      </c>
      <c r="D584" s="7" t="str">
        <f>IFERROR(__xludf.DUMMYFUNCTION("""COMPUTED_VALUE"""),"Q42b")</f>
        <v>Q42b</v>
      </c>
      <c r="E584" s="7" t="str">
        <f>IFERROR(__xludf.DUMMYFUNCTION("""COMPUTED_VALUE"""),"Corruption: Members of Parliament")</f>
        <v>Corruption: Members of Parliament</v>
      </c>
      <c r="F584" s="7" t="str">
        <f>IFERROR(__xludf.DUMMYFUNCTION("""COMPUTED_VALUE"""),"Members of Parliament")</f>
        <v>Members of Parliament</v>
      </c>
    </row>
    <row r="585">
      <c r="A585" s="7" t="str">
        <f>IFERROR(__xludf.DUMMYFUNCTION("""COMPUTED_VALUE"""),"KENYA  ")</f>
        <v>KENYA  </v>
      </c>
      <c r="B585" s="8">
        <f>IFERROR(__xludf.DUMMYFUNCTION("""COMPUTED_VALUE"""),8.0)</f>
        <v>8</v>
      </c>
      <c r="C585" s="7" t="str">
        <f>IFERROR(__xludf.DUMMYFUNCTION("""COMPUTED_VALUE"""),"G_13")</f>
        <v>G_13</v>
      </c>
      <c r="D585" s="7" t="str">
        <f>IFERROR(__xludf.DUMMYFUNCTION("""COMPUTED_VALUE"""),"Q42b")</f>
        <v>Q42b</v>
      </c>
      <c r="E585" s="7" t="str">
        <f>IFERROR(__xludf.DUMMYFUNCTION("""COMPUTED_VALUE"""),"Corruption: Members of Parliament")</f>
        <v>Corruption: Members of Parliament</v>
      </c>
      <c r="F585" s="7" t="str">
        <f>IFERROR(__xludf.DUMMYFUNCTION("""COMPUTED_VALUE"""),"Members of Parliament")</f>
        <v>Members of Parliament</v>
      </c>
    </row>
    <row r="586">
      <c r="A586" s="7" t="str">
        <f>IFERROR(__xludf.DUMMYFUNCTION("""COMPUTED_VALUE"""),"LESOTHO ")</f>
        <v>LESOTHO </v>
      </c>
      <c r="B586" s="8">
        <f>IFERROR(__xludf.DUMMYFUNCTION("""COMPUTED_VALUE"""),8.0)</f>
        <v>8</v>
      </c>
      <c r="C586" s="7" t="str">
        <f>IFERROR(__xludf.DUMMYFUNCTION("""COMPUTED_VALUE"""),"G_13")</f>
        <v>G_13</v>
      </c>
      <c r="D586" s="7" t="str">
        <f>IFERROR(__xludf.DUMMYFUNCTION("""COMPUTED_VALUE"""),"Q42b")</f>
        <v>Q42b</v>
      </c>
      <c r="E586" s="7" t="str">
        <f>IFERROR(__xludf.DUMMYFUNCTION("""COMPUTED_VALUE"""),"Corruption: Members of Parliament")</f>
        <v>Corruption: Members of Parliament</v>
      </c>
      <c r="F586" s="7" t="str">
        <f>IFERROR(__xludf.DUMMYFUNCTION("""COMPUTED_VALUE"""),"Members of Parliament")</f>
        <v>Members of Parliament</v>
      </c>
    </row>
    <row r="587">
      <c r="A587" s="7" t="str">
        <f>IFERROR(__xludf.DUMMYFUNCTION("""COMPUTED_VALUE"""),"LIBERIA  ")</f>
        <v>LIBERIA  </v>
      </c>
      <c r="B587" s="8">
        <f>IFERROR(__xludf.DUMMYFUNCTION("""COMPUTED_VALUE"""),8.0)</f>
        <v>8</v>
      </c>
      <c r="C587" s="7" t="str">
        <f>IFERROR(__xludf.DUMMYFUNCTION("""COMPUTED_VALUE"""),"G_13")</f>
        <v>G_13</v>
      </c>
      <c r="D587" s="7" t="str">
        <f>IFERROR(__xludf.DUMMYFUNCTION("""COMPUTED_VALUE"""),"Q42b")</f>
        <v>Q42b</v>
      </c>
      <c r="E587" s="7" t="str">
        <f>IFERROR(__xludf.DUMMYFUNCTION("""COMPUTED_VALUE"""),"Corruption: Members of Parliament")</f>
        <v>Corruption: Members of Parliament</v>
      </c>
      <c r="F587" s="7" t="str">
        <f>IFERROR(__xludf.DUMMYFUNCTION("""COMPUTED_VALUE"""),"Members of the House of Representatives")</f>
        <v>Members of the House of Representatives</v>
      </c>
    </row>
    <row r="588">
      <c r="A588" s="7" t="str">
        <f>IFERROR(__xludf.DUMMYFUNCTION("""COMPUTED_VALUE"""),"MALAWI ")</f>
        <v>MALAWI </v>
      </c>
      <c r="B588" s="8">
        <f>IFERROR(__xludf.DUMMYFUNCTION("""COMPUTED_VALUE"""),8.0)</f>
        <v>8</v>
      </c>
      <c r="C588" s="7" t="str">
        <f>IFERROR(__xludf.DUMMYFUNCTION("""COMPUTED_VALUE"""),"G_13")</f>
        <v>G_13</v>
      </c>
      <c r="D588" s="7" t="str">
        <f>IFERROR(__xludf.DUMMYFUNCTION("""COMPUTED_VALUE"""),"Q42b")</f>
        <v>Q42b</v>
      </c>
      <c r="E588" s="7" t="str">
        <f>IFERROR(__xludf.DUMMYFUNCTION("""COMPUTED_VALUE"""),"Corruption: Members of Parliament")</f>
        <v>Corruption: Members of Parliament</v>
      </c>
      <c r="F588" s="7" t="str">
        <f>IFERROR(__xludf.DUMMYFUNCTION("""COMPUTED_VALUE"""),"Members of Parliament")</f>
        <v>Members of Parliament</v>
      </c>
    </row>
    <row r="589">
      <c r="A589" s="7" t="str">
        <f>IFERROR(__xludf.DUMMYFUNCTION("""COMPUTED_VALUE"""),"MOROCCO ")</f>
        <v>MOROCCO </v>
      </c>
      <c r="B589" s="8">
        <f>IFERROR(__xludf.DUMMYFUNCTION("""COMPUTED_VALUE"""),8.0)</f>
        <v>8</v>
      </c>
      <c r="C589" s="7" t="str">
        <f>IFERROR(__xludf.DUMMYFUNCTION("""COMPUTED_VALUE"""),"G_13")</f>
        <v>G_13</v>
      </c>
      <c r="D589" s="7" t="str">
        <f>IFERROR(__xludf.DUMMYFUNCTION("""COMPUTED_VALUE"""),"Q42b")</f>
        <v>Q42b</v>
      </c>
      <c r="E589" s="7" t="str">
        <f>IFERROR(__xludf.DUMMYFUNCTION("""COMPUTED_VALUE"""),"Corruption: Members of Parliament")</f>
        <v>Corruption: Members of Parliament</v>
      </c>
      <c r="F589" s="7" t="str">
        <f>IFERROR(__xludf.DUMMYFUNCTION("""COMPUTED_VALUE"""),"Members of Parliament")</f>
        <v>Members of Parliament</v>
      </c>
    </row>
    <row r="590">
      <c r="A590" s="7" t="str">
        <f>IFERROR(__xludf.DUMMYFUNCTION("""COMPUTED_VALUE"""),"MOZAMBIQUE")</f>
        <v>MOZAMBIQUE</v>
      </c>
      <c r="B590" s="8">
        <f>IFERROR(__xludf.DUMMYFUNCTION("""COMPUTED_VALUE"""),8.0)</f>
        <v>8</v>
      </c>
      <c r="C590" s="7" t="str">
        <f>IFERROR(__xludf.DUMMYFUNCTION("""COMPUTED_VALUE"""),"G_13")</f>
        <v>G_13</v>
      </c>
      <c r="D590" s="7" t="str">
        <f>IFERROR(__xludf.DUMMYFUNCTION("""COMPUTED_VALUE"""),"Q42b")</f>
        <v>Q42b</v>
      </c>
      <c r="E590" s="7" t="str">
        <f>IFERROR(__xludf.DUMMYFUNCTION("""COMPUTED_VALUE"""),"Corruption: Members of Parliament")</f>
        <v>Corruption: Members of Parliament</v>
      </c>
      <c r="F590" s="7" t="str">
        <f>IFERROR(__xludf.DUMMYFUNCTION("""COMPUTED_VALUE"""),"Members of Parliament")</f>
        <v>Members of Parliament</v>
      </c>
    </row>
    <row r="591">
      <c r="A591" s="7" t="str">
        <f>IFERROR(__xludf.DUMMYFUNCTION("""COMPUTED_VALUE"""),"NAMIBIA ")</f>
        <v>NAMIBIA </v>
      </c>
      <c r="B591" s="8">
        <f>IFERROR(__xludf.DUMMYFUNCTION("""COMPUTED_VALUE"""),8.0)</f>
        <v>8</v>
      </c>
      <c r="C591" s="7" t="str">
        <f>IFERROR(__xludf.DUMMYFUNCTION("""COMPUTED_VALUE"""),"G_13")</f>
        <v>G_13</v>
      </c>
      <c r="D591" s="7" t="str">
        <f>IFERROR(__xludf.DUMMYFUNCTION("""COMPUTED_VALUE"""),"Q42b")</f>
        <v>Q42b</v>
      </c>
      <c r="E591" s="7" t="str">
        <f>IFERROR(__xludf.DUMMYFUNCTION("""COMPUTED_VALUE"""),"Corruption: Members of Parliament")</f>
        <v>Corruption: Members of Parliament</v>
      </c>
      <c r="F591" s="7" t="str">
        <f>IFERROR(__xludf.DUMMYFUNCTION("""COMPUTED_VALUE"""),"Members of the National Assembly")</f>
        <v>Members of the National Assembly</v>
      </c>
    </row>
    <row r="592">
      <c r="A592" s="7" t="str">
        <f>IFERROR(__xludf.DUMMYFUNCTION("""COMPUTED_VALUE"""),"NIGERIA ")</f>
        <v>NIGERIA </v>
      </c>
      <c r="B592" s="8">
        <f>IFERROR(__xludf.DUMMYFUNCTION("""COMPUTED_VALUE"""),8.0)</f>
        <v>8</v>
      </c>
      <c r="C592" s="7" t="str">
        <f>IFERROR(__xludf.DUMMYFUNCTION("""COMPUTED_VALUE"""),"G_13")</f>
        <v>G_13</v>
      </c>
      <c r="D592" s="7" t="str">
        <f>IFERROR(__xludf.DUMMYFUNCTION("""COMPUTED_VALUE"""),"Q42b")</f>
        <v>Q42b</v>
      </c>
      <c r="E592" s="7" t="str">
        <f>IFERROR(__xludf.DUMMYFUNCTION("""COMPUTED_VALUE"""),"Corruption: Members of Parliament")</f>
        <v>Corruption: Members of Parliament</v>
      </c>
      <c r="F592" s="7" t="str">
        <f>IFERROR(__xludf.DUMMYFUNCTION("""COMPUTED_VALUE"""),"Members of the National Assembly")</f>
        <v>Members of the National Assembly</v>
      </c>
    </row>
    <row r="593">
      <c r="A593" s="7" t="str">
        <f>IFERROR(__xludf.DUMMYFUNCTION("""COMPUTED_VALUE"""),"SIERRA LEONE")</f>
        <v>SIERRA LEONE</v>
      </c>
      <c r="B593" s="8">
        <f>IFERROR(__xludf.DUMMYFUNCTION("""COMPUTED_VALUE"""),8.0)</f>
        <v>8</v>
      </c>
      <c r="C593" s="7" t="str">
        <f>IFERROR(__xludf.DUMMYFUNCTION("""COMPUTED_VALUE"""),"G_13")</f>
        <v>G_13</v>
      </c>
      <c r="D593" s="7" t="str">
        <f>IFERROR(__xludf.DUMMYFUNCTION("""COMPUTED_VALUE"""),"Q42b")</f>
        <v>Q42b</v>
      </c>
      <c r="E593" s="7" t="str">
        <f>IFERROR(__xludf.DUMMYFUNCTION("""COMPUTED_VALUE"""),"Corruption: Members of Parliament")</f>
        <v>Corruption: Members of Parliament</v>
      </c>
      <c r="F593" s="7" t="str">
        <f>IFERROR(__xludf.DUMMYFUNCTION("""COMPUTED_VALUE"""),"Members of Parliament")</f>
        <v>Members of Parliament</v>
      </c>
    </row>
    <row r="594">
      <c r="A594" s="7" t="str">
        <f>IFERROR(__xludf.DUMMYFUNCTION("""COMPUTED_VALUE"""),"SOUTH AFRICA")</f>
        <v>SOUTH AFRICA</v>
      </c>
      <c r="B594" s="8">
        <f>IFERROR(__xludf.DUMMYFUNCTION("""COMPUTED_VALUE"""),8.0)</f>
        <v>8</v>
      </c>
      <c r="C594" s="7" t="str">
        <f>IFERROR(__xludf.DUMMYFUNCTION("""COMPUTED_VALUE"""),"G_13")</f>
        <v>G_13</v>
      </c>
      <c r="D594" s="7" t="str">
        <f>IFERROR(__xludf.DUMMYFUNCTION("""COMPUTED_VALUE"""),"Q42b")</f>
        <v>Q42b</v>
      </c>
      <c r="E594" s="7" t="str">
        <f>IFERROR(__xludf.DUMMYFUNCTION("""COMPUTED_VALUE"""),"Corruption: Members of Parliament")</f>
        <v>Corruption: Members of Parliament</v>
      </c>
      <c r="F594" s="7" t="str">
        <f>IFERROR(__xludf.DUMMYFUNCTION("""COMPUTED_VALUE"""),"Members of Parliament")</f>
        <v>Members of Parliament</v>
      </c>
    </row>
    <row r="595">
      <c r="A595" s="7" t="str">
        <f>IFERROR(__xludf.DUMMYFUNCTION("""COMPUTED_VALUE"""),"TANZANIA")</f>
        <v>TANZANIA</v>
      </c>
      <c r="B595" s="8">
        <f>IFERROR(__xludf.DUMMYFUNCTION("""COMPUTED_VALUE"""),8.0)</f>
        <v>8</v>
      </c>
      <c r="C595" s="7" t="str">
        <f>IFERROR(__xludf.DUMMYFUNCTION("""COMPUTED_VALUE"""),"G_13")</f>
        <v>G_13</v>
      </c>
      <c r="D595" s="7" t="str">
        <f>IFERROR(__xludf.DUMMYFUNCTION("""COMPUTED_VALUE"""),"Q42b")</f>
        <v>Q42b</v>
      </c>
      <c r="E595" s="7" t="str">
        <f>IFERROR(__xludf.DUMMYFUNCTION("""COMPUTED_VALUE"""),"Corruption: Members of Parliament")</f>
        <v>Corruption: Members of Parliament</v>
      </c>
      <c r="F595" s="7" t="str">
        <f>IFERROR(__xludf.DUMMYFUNCTION("""COMPUTED_VALUE"""),"Members of Parliament")</f>
        <v>Members of Parliament</v>
      </c>
    </row>
    <row r="596">
      <c r="A596" s="7" t="str">
        <f>IFERROR(__xludf.DUMMYFUNCTION("""COMPUTED_VALUE"""),"TUNISIA ")</f>
        <v>TUNISIA </v>
      </c>
      <c r="B596" s="8">
        <f>IFERROR(__xludf.DUMMYFUNCTION("""COMPUTED_VALUE"""),8.0)</f>
        <v>8</v>
      </c>
      <c r="C596" s="7" t="str">
        <f>IFERROR(__xludf.DUMMYFUNCTION("""COMPUTED_VALUE"""),"G_13")</f>
        <v>G_13</v>
      </c>
      <c r="D596" s="7" t="str">
        <f>IFERROR(__xludf.DUMMYFUNCTION("""COMPUTED_VALUE"""),"Q42b")</f>
        <v>Q42b</v>
      </c>
      <c r="E596" s="7" t="str">
        <f>IFERROR(__xludf.DUMMYFUNCTION("""COMPUTED_VALUE"""),"Corruption: Members of Parliament")</f>
        <v>Corruption: Members of Parliament</v>
      </c>
      <c r="F596" s="7" t="str">
        <f>IFERROR(__xludf.DUMMYFUNCTION("""COMPUTED_VALUE"""),"Members of Representative Assembly of the People")</f>
        <v>Members of Representative Assembly of the People</v>
      </c>
    </row>
    <row r="597">
      <c r="A597" s="7" t="str">
        <f>IFERROR(__xludf.DUMMYFUNCTION("""COMPUTED_VALUE"""),"UGANDA  ")</f>
        <v>UGANDA  </v>
      </c>
      <c r="B597" s="8">
        <f>IFERROR(__xludf.DUMMYFUNCTION("""COMPUTED_VALUE"""),8.0)</f>
        <v>8</v>
      </c>
      <c r="C597" s="7" t="str">
        <f>IFERROR(__xludf.DUMMYFUNCTION("""COMPUTED_VALUE"""),"G_13")</f>
        <v>G_13</v>
      </c>
      <c r="D597" s="7" t="str">
        <f>IFERROR(__xludf.DUMMYFUNCTION("""COMPUTED_VALUE"""),"Q42b")</f>
        <v>Q42b</v>
      </c>
      <c r="E597" s="7" t="str">
        <f>IFERROR(__xludf.DUMMYFUNCTION("""COMPUTED_VALUE"""),"Corruption: Members of Parliament")</f>
        <v>Corruption: Members of Parliament</v>
      </c>
      <c r="F597" s="7" t="str">
        <f>IFERROR(__xludf.DUMMYFUNCTION("""COMPUTED_VALUE"""),"Members of Parliament")</f>
        <v>Members of Parliament</v>
      </c>
    </row>
    <row r="598">
      <c r="A598" s="7" t="str">
        <f>IFERROR(__xludf.DUMMYFUNCTION("""COMPUTED_VALUE"""),"ZAMBIA")</f>
        <v>ZAMBIA</v>
      </c>
      <c r="B598" s="8">
        <f>IFERROR(__xludf.DUMMYFUNCTION("""COMPUTED_VALUE"""),8.0)</f>
        <v>8</v>
      </c>
      <c r="C598" s="7" t="str">
        <f>IFERROR(__xludf.DUMMYFUNCTION("""COMPUTED_VALUE"""),"G_13")</f>
        <v>G_13</v>
      </c>
      <c r="D598" s="7" t="str">
        <f>IFERROR(__xludf.DUMMYFUNCTION("""COMPUTED_VALUE"""),"Q42b")</f>
        <v>Q42b</v>
      </c>
      <c r="E598" s="7" t="str">
        <f>IFERROR(__xludf.DUMMYFUNCTION("""COMPUTED_VALUE"""),"Corruption: Members of Parliament")</f>
        <v>Corruption: Members of Parliament</v>
      </c>
      <c r="F598" s="7" t="str">
        <f>IFERROR(__xludf.DUMMYFUNCTION("""COMPUTED_VALUE"""),"Members of Parliament")</f>
        <v>Members of Parliament</v>
      </c>
    </row>
    <row r="599">
      <c r="A599" s="7" t="str">
        <f>IFERROR(__xludf.DUMMYFUNCTION("""COMPUTED_VALUE"""),"ZIMBABWE")</f>
        <v>ZIMBABWE</v>
      </c>
      <c r="B599" s="8">
        <f>IFERROR(__xludf.DUMMYFUNCTION("""COMPUTED_VALUE"""),8.0)</f>
        <v>8</v>
      </c>
      <c r="C599" s="7" t="str">
        <f>IFERROR(__xludf.DUMMYFUNCTION("""COMPUTED_VALUE"""),"G_13")</f>
        <v>G_13</v>
      </c>
      <c r="D599" s="7" t="str">
        <f>IFERROR(__xludf.DUMMYFUNCTION("""COMPUTED_VALUE"""),"Q42b")</f>
        <v>Q42b</v>
      </c>
      <c r="E599" s="7" t="str">
        <f>IFERROR(__xludf.DUMMYFUNCTION("""COMPUTED_VALUE"""),"Corruption: Members of Parliament")</f>
        <v>Corruption: Members of Parliament</v>
      </c>
      <c r="F599" s="7" t="str">
        <f>IFERROR(__xludf.DUMMYFUNCTION("""COMPUTED_VALUE"""),"Members of Parliament")</f>
        <v>Members of Parliament</v>
      </c>
    </row>
    <row r="600">
      <c r="A600" s="7" t="str">
        <f>IFERROR(__xludf.DUMMYFUNCTION("""COMPUTED_VALUE"""),"BOTSWANA ")</f>
        <v>BOTSWANA </v>
      </c>
      <c r="B600" s="8">
        <f>IFERROR(__xludf.DUMMYFUNCTION("""COMPUTED_VALUE"""),8.0)</f>
        <v>8</v>
      </c>
      <c r="C600" s="7" t="str">
        <f>IFERROR(__xludf.DUMMYFUNCTION("""COMPUTED_VALUE"""),"G_05")</f>
        <v>G_05</v>
      </c>
      <c r="D600" s="7" t="str">
        <f>IFERROR(__xludf.DUMMYFUNCTION("""COMPUTED_VALUE"""),"Q42c")</f>
        <v>Q42c</v>
      </c>
      <c r="E600" s="7" t="str">
        <f>IFERROR(__xludf.DUMMYFUNCTION("""COMPUTED_VALUE"""),"Corruption: Civil servants")</f>
        <v>Corruption: Civil servants</v>
      </c>
      <c r="F600" s="7" t="str">
        <f>IFERROR(__xludf.DUMMYFUNCTION("""COMPUTED_VALUE"""),"Civil servants")</f>
        <v>Civil servants</v>
      </c>
    </row>
    <row r="601">
      <c r="A601" s="7" t="str">
        <f>IFERROR(__xludf.DUMMYFUNCTION("""COMPUTED_VALUE"""),"CABO VERDE ")</f>
        <v>CABO VERDE </v>
      </c>
      <c r="B601" s="8">
        <f>IFERROR(__xludf.DUMMYFUNCTION("""COMPUTED_VALUE"""),8.0)</f>
        <v>8</v>
      </c>
      <c r="C601" s="7" t="str">
        <f>IFERROR(__xludf.DUMMYFUNCTION("""COMPUTED_VALUE"""),"G_05")</f>
        <v>G_05</v>
      </c>
      <c r="D601" s="7" t="str">
        <f>IFERROR(__xludf.DUMMYFUNCTION("""COMPUTED_VALUE"""),"Q42c")</f>
        <v>Q42c</v>
      </c>
      <c r="E601" s="7" t="str">
        <f>IFERROR(__xludf.DUMMYFUNCTION("""COMPUTED_VALUE"""),"Corruption: Civil servants")</f>
        <v>Corruption: Civil servants</v>
      </c>
      <c r="F601" s="7" t="str">
        <f>IFERROR(__xludf.DUMMYFUNCTION("""COMPUTED_VALUE"""),"Civil servants")</f>
        <v>Civil servants</v>
      </c>
    </row>
    <row r="602">
      <c r="A602" s="7" t="str">
        <f>IFERROR(__xludf.DUMMYFUNCTION("""COMPUTED_VALUE"""),"CAMEROON")</f>
        <v>CAMEROON</v>
      </c>
      <c r="B602" s="8">
        <f>IFERROR(__xludf.DUMMYFUNCTION("""COMPUTED_VALUE"""),8.0)</f>
        <v>8</v>
      </c>
      <c r="C602" s="7" t="str">
        <f>IFERROR(__xludf.DUMMYFUNCTION("""COMPUTED_VALUE"""),"G_05")</f>
        <v>G_05</v>
      </c>
      <c r="D602" s="7" t="str">
        <f>IFERROR(__xludf.DUMMYFUNCTION("""COMPUTED_VALUE"""),"Q42c")</f>
        <v>Q42c</v>
      </c>
      <c r="E602" s="7" t="str">
        <f>IFERROR(__xludf.DUMMYFUNCTION("""COMPUTED_VALUE"""),"Corruption: Civil servants")</f>
        <v>Corruption: Civil servants</v>
      </c>
      <c r="F602" s="7" t="str">
        <f>IFERROR(__xludf.DUMMYFUNCTION("""COMPUTED_VALUE"""),"Civil servants")</f>
        <v>Civil servants</v>
      </c>
    </row>
    <row r="603">
      <c r="A603" s="7" t="str">
        <f>IFERROR(__xludf.DUMMYFUNCTION("""COMPUTED_VALUE"""),"ESWATINI")</f>
        <v>ESWATINI</v>
      </c>
      <c r="B603" s="8">
        <f>IFERROR(__xludf.DUMMYFUNCTION("""COMPUTED_VALUE"""),8.0)</f>
        <v>8</v>
      </c>
      <c r="C603" s="7" t="str">
        <f>IFERROR(__xludf.DUMMYFUNCTION("""COMPUTED_VALUE"""),"G_05")</f>
        <v>G_05</v>
      </c>
      <c r="D603" s="7" t="str">
        <f>IFERROR(__xludf.DUMMYFUNCTION("""COMPUTED_VALUE"""),"Q42c")</f>
        <v>Q42c</v>
      </c>
      <c r="E603" s="7" t="str">
        <f>IFERROR(__xludf.DUMMYFUNCTION("""COMPUTED_VALUE"""),"Corruption: Civil servants")</f>
        <v>Corruption: Civil servants</v>
      </c>
      <c r="F603" s="7" t="str">
        <f>IFERROR(__xludf.DUMMYFUNCTION("""COMPUTED_VALUE"""),"Civil servants")</f>
        <v>Civil servants</v>
      </c>
    </row>
    <row r="604">
      <c r="A604" s="7" t="str">
        <f>IFERROR(__xludf.DUMMYFUNCTION("""COMPUTED_VALUE"""),"ETHIOPIA")</f>
        <v>ETHIOPIA</v>
      </c>
      <c r="B604" s="8">
        <f>IFERROR(__xludf.DUMMYFUNCTION("""COMPUTED_VALUE"""),8.0)</f>
        <v>8</v>
      </c>
      <c r="C604" s="7" t="str">
        <f>IFERROR(__xludf.DUMMYFUNCTION("""COMPUTED_VALUE"""),"G_05")</f>
        <v>G_05</v>
      </c>
      <c r="D604" s="7" t="str">
        <f>IFERROR(__xludf.DUMMYFUNCTION("""COMPUTED_VALUE"""),"Q42c")</f>
        <v>Q42c</v>
      </c>
      <c r="E604" s="7" t="str">
        <f>IFERROR(__xludf.DUMMYFUNCTION("""COMPUTED_VALUE"""),"Corruption: Civil servants")</f>
        <v>Corruption: Civil servants</v>
      </c>
      <c r="F604" s="7" t="str">
        <f>IFERROR(__xludf.DUMMYFUNCTION("""COMPUTED_VALUE"""),"Civil servants")</f>
        <v>Civil servants</v>
      </c>
    </row>
    <row r="605">
      <c r="A605" s="7" t="str">
        <f>IFERROR(__xludf.DUMMYFUNCTION("""COMPUTED_VALUE"""),"GAMBIA")</f>
        <v>GAMBIA</v>
      </c>
      <c r="B605" s="8">
        <f>IFERROR(__xludf.DUMMYFUNCTION("""COMPUTED_VALUE"""),8.0)</f>
        <v>8</v>
      </c>
      <c r="C605" s="7" t="str">
        <f>IFERROR(__xludf.DUMMYFUNCTION("""COMPUTED_VALUE"""),"G_05")</f>
        <v>G_05</v>
      </c>
      <c r="D605" s="7" t="str">
        <f>IFERROR(__xludf.DUMMYFUNCTION("""COMPUTED_VALUE"""),"Q42c")</f>
        <v>Q42c</v>
      </c>
      <c r="E605" s="7" t="str">
        <f>IFERROR(__xludf.DUMMYFUNCTION("""COMPUTED_VALUE"""),"Corruption: Civil servants")</f>
        <v>Corruption: Civil servants</v>
      </c>
      <c r="F605" s="7" t="str">
        <f>IFERROR(__xludf.DUMMYFUNCTION("""COMPUTED_VALUE"""),"Civil servants")</f>
        <v>Civil servants</v>
      </c>
    </row>
    <row r="606">
      <c r="A606" s="7" t="str">
        <f>IFERROR(__xludf.DUMMYFUNCTION("""COMPUTED_VALUE"""),"KENYA  ")</f>
        <v>KENYA  </v>
      </c>
      <c r="B606" s="8">
        <f>IFERROR(__xludf.DUMMYFUNCTION("""COMPUTED_VALUE"""),8.0)</f>
        <v>8</v>
      </c>
      <c r="C606" s="7" t="str">
        <f>IFERROR(__xludf.DUMMYFUNCTION("""COMPUTED_VALUE"""),"G_05")</f>
        <v>G_05</v>
      </c>
      <c r="D606" s="7" t="str">
        <f>IFERROR(__xludf.DUMMYFUNCTION("""COMPUTED_VALUE"""),"Q42c")</f>
        <v>Q42c</v>
      </c>
      <c r="E606" s="7" t="str">
        <f>IFERROR(__xludf.DUMMYFUNCTION("""COMPUTED_VALUE"""),"Corruption: Civil servants")</f>
        <v>Corruption: Civil servants</v>
      </c>
      <c r="F606" s="7" t="str">
        <f>IFERROR(__xludf.DUMMYFUNCTION("""COMPUTED_VALUE"""),"Civil servants")</f>
        <v>Civil servants</v>
      </c>
    </row>
    <row r="607">
      <c r="A607" s="7" t="str">
        <f>IFERROR(__xludf.DUMMYFUNCTION("""COMPUTED_VALUE"""),"LESOTHO ")</f>
        <v>LESOTHO </v>
      </c>
      <c r="B607" s="8">
        <f>IFERROR(__xludf.DUMMYFUNCTION("""COMPUTED_VALUE"""),8.0)</f>
        <v>8</v>
      </c>
      <c r="C607" s="7" t="str">
        <f>IFERROR(__xludf.DUMMYFUNCTION("""COMPUTED_VALUE"""),"G_05")</f>
        <v>G_05</v>
      </c>
      <c r="D607" s="7" t="str">
        <f>IFERROR(__xludf.DUMMYFUNCTION("""COMPUTED_VALUE"""),"Q42c")</f>
        <v>Q42c</v>
      </c>
      <c r="E607" s="7" t="str">
        <f>IFERROR(__xludf.DUMMYFUNCTION("""COMPUTED_VALUE"""),"Corruption: Civil servants")</f>
        <v>Corruption: Civil servants</v>
      </c>
      <c r="F607" s="7" t="str">
        <f>IFERROR(__xludf.DUMMYFUNCTION("""COMPUTED_VALUE"""),"Civil servants")</f>
        <v>Civil servants</v>
      </c>
    </row>
    <row r="608">
      <c r="A608" s="7" t="str">
        <f>IFERROR(__xludf.DUMMYFUNCTION("""COMPUTED_VALUE"""),"LIBERIA  ")</f>
        <v>LIBERIA  </v>
      </c>
      <c r="B608" s="8">
        <f>IFERROR(__xludf.DUMMYFUNCTION("""COMPUTED_VALUE"""),8.0)</f>
        <v>8</v>
      </c>
      <c r="C608" s="7" t="str">
        <f>IFERROR(__xludf.DUMMYFUNCTION("""COMPUTED_VALUE"""),"G_05")</f>
        <v>G_05</v>
      </c>
      <c r="D608" s="7" t="str">
        <f>IFERROR(__xludf.DUMMYFUNCTION("""COMPUTED_VALUE"""),"Q42c")</f>
        <v>Q42c</v>
      </c>
      <c r="E608" s="7" t="str">
        <f>IFERROR(__xludf.DUMMYFUNCTION("""COMPUTED_VALUE"""),"Corruption: Civil servants")</f>
        <v>Corruption: Civil servants</v>
      </c>
      <c r="F608" s="7" t="str">
        <f>IFERROR(__xludf.DUMMYFUNCTION("""COMPUTED_VALUE"""),"Civil servants")</f>
        <v>Civil servants</v>
      </c>
    </row>
    <row r="609">
      <c r="A609" s="7" t="str">
        <f>IFERROR(__xludf.DUMMYFUNCTION("""COMPUTED_VALUE"""),"MALAWI ")</f>
        <v>MALAWI </v>
      </c>
      <c r="B609" s="8">
        <f>IFERROR(__xludf.DUMMYFUNCTION("""COMPUTED_VALUE"""),8.0)</f>
        <v>8</v>
      </c>
      <c r="C609" s="7" t="str">
        <f>IFERROR(__xludf.DUMMYFUNCTION("""COMPUTED_VALUE"""),"G_05")</f>
        <v>G_05</v>
      </c>
      <c r="D609" s="7" t="str">
        <f>IFERROR(__xludf.DUMMYFUNCTION("""COMPUTED_VALUE"""),"Q42c")</f>
        <v>Q42c</v>
      </c>
      <c r="E609" s="7" t="str">
        <f>IFERROR(__xludf.DUMMYFUNCTION("""COMPUTED_VALUE"""),"Corruption: Civil servants")</f>
        <v>Corruption: Civil servants</v>
      </c>
      <c r="F609" s="7" t="str">
        <f>IFERROR(__xludf.DUMMYFUNCTION("""COMPUTED_VALUE"""),"Civil servants")</f>
        <v>Civil servants</v>
      </c>
    </row>
    <row r="610">
      <c r="A610" s="7" t="str">
        <f>IFERROR(__xludf.DUMMYFUNCTION("""COMPUTED_VALUE"""),"MOROCCO ")</f>
        <v>MOROCCO </v>
      </c>
      <c r="B610" s="8">
        <f>IFERROR(__xludf.DUMMYFUNCTION("""COMPUTED_VALUE"""),8.0)</f>
        <v>8</v>
      </c>
      <c r="C610" s="7" t="str">
        <f>IFERROR(__xludf.DUMMYFUNCTION("""COMPUTED_VALUE"""),"G_05")</f>
        <v>G_05</v>
      </c>
      <c r="D610" s="7" t="str">
        <f>IFERROR(__xludf.DUMMYFUNCTION("""COMPUTED_VALUE"""),"Q42c")</f>
        <v>Q42c</v>
      </c>
      <c r="E610" s="7" t="str">
        <f>IFERROR(__xludf.DUMMYFUNCTION("""COMPUTED_VALUE"""),"Corruption: Civil servants")</f>
        <v>Corruption: Civil servants</v>
      </c>
      <c r="F610" s="7" t="str">
        <f>IFERROR(__xludf.DUMMYFUNCTION("""COMPUTED_VALUE"""),"Civil servants")</f>
        <v>Civil servants</v>
      </c>
    </row>
    <row r="611">
      <c r="A611" s="7" t="str">
        <f>IFERROR(__xludf.DUMMYFUNCTION("""COMPUTED_VALUE"""),"MOZAMBIQUE")</f>
        <v>MOZAMBIQUE</v>
      </c>
      <c r="B611" s="8">
        <f>IFERROR(__xludf.DUMMYFUNCTION("""COMPUTED_VALUE"""),8.0)</f>
        <v>8</v>
      </c>
      <c r="C611" s="7" t="str">
        <f>IFERROR(__xludf.DUMMYFUNCTION("""COMPUTED_VALUE"""),"G_05")</f>
        <v>G_05</v>
      </c>
      <c r="D611" s="7" t="str">
        <f>IFERROR(__xludf.DUMMYFUNCTION("""COMPUTED_VALUE"""),"Q42c")</f>
        <v>Q42c</v>
      </c>
      <c r="E611" s="7" t="str">
        <f>IFERROR(__xludf.DUMMYFUNCTION("""COMPUTED_VALUE"""),"Corruption: Civil servants")</f>
        <v>Corruption: Civil servants</v>
      </c>
      <c r="F611" s="7" t="str">
        <f>IFERROR(__xludf.DUMMYFUNCTION("""COMPUTED_VALUE"""),"Civil servants")</f>
        <v>Civil servants</v>
      </c>
    </row>
    <row r="612">
      <c r="A612" s="7" t="str">
        <f>IFERROR(__xludf.DUMMYFUNCTION("""COMPUTED_VALUE"""),"NAMIBIA ")</f>
        <v>NAMIBIA </v>
      </c>
      <c r="B612" s="8">
        <f>IFERROR(__xludf.DUMMYFUNCTION("""COMPUTED_VALUE"""),8.0)</f>
        <v>8</v>
      </c>
      <c r="C612" s="7" t="str">
        <f>IFERROR(__xludf.DUMMYFUNCTION("""COMPUTED_VALUE"""),"G_05")</f>
        <v>G_05</v>
      </c>
      <c r="D612" s="7" t="str">
        <f>IFERROR(__xludf.DUMMYFUNCTION("""COMPUTED_VALUE"""),"Q42c")</f>
        <v>Q42c</v>
      </c>
      <c r="E612" s="7" t="str">
        <f>IFERROR(__xludf.DUMMYFUNCTION("""COMPUTED_VALUE"""),"Corruption: Civil servants")</f>
        <v>Corruption: Civil servants</v>
      </c>
      <c r="F612" s="7" t="str">
        <f>IFERROR(__xludf.DUMMYFUNCTION("""COMPUTED_VALUE"""),"Civil servants")</f>
        <v>Civil servants</v>
      </c>
    </row>
    <row r="613">
      <c r="A613" s="7" t="str">
        <f>IFERROR(__xludf.DUMMYFUNCTION("""COMPUTED_VALUE"""),"NIGERIA ")</f>
        <v>NIGERIA </v>
      </c>
      <c r="B613" s="8">
        <f>IFERROR(__xludf.DUMMYFUNCTION("""COMPUTED_VALUE"""),8.0)</f>
        <v>8</v>
      </c>
      <c r="C613" s="7" t="str">
        <f>IFERROR(__xludf.DUMMYFUNCTION("""COMPUTED_VALUE"""),"G_05")</f>
        <v>G_05</v>
      </c>
      <c r="D613" s="7" t="str">
        <f>IFERROR(__xludf.DUMMYFUNCTION("""COMPUTED_VALUE"""),"Q42c")</f>
        <v>Q42c</v>
      </c>
      <c r="E613" s="7" t="str">
        <f>IFERROR(__xludf.DUMMYFUNCTION("""COMPUTED_VALUE"""),"Corruption: Civil servants")</f>
        <v>Corruption: Civil servants</v>
      </c>
      <c r="F613" s="7" t="str">
        <f>IFERROR(__xludf.DUMMYFUNCTION("""COMPUTED_VALUE"""),"Civil servants")</f>
        <v>Civil servants</v>
      </c>
    </row>
    <row r="614">
      <c r="A614" s="7" t="str">
        <f>IFERROR(__xludf.DUMMYFUNCTION("""COMPUTED_VALUE"""),"SIERRA LEONE")</f>
        <v>SIERRA LEONE</v>
      </c>
      <c r="B614" s="8">
        <f>IFERROR(__xludf.DUMMYFUNCTION("""COMPUTED_VALUE"""),8.0)</f>
        <v>8</v>
      </c>
      <c r="C614" s="7" t="str">
        <f>IFERROR(__xludf.DUMMYFUNCTION("""COMPUTED_VALUE"""),"G_05")</f>
        <v>G_05</v>
      </c>
      <c r="D614" s="7" t="str">
        <f>IFERROR(__xludf.DUMMYFUNCTION("""COMPUTED_VALUE"""),"Q42c")</f>
        <v>Q42c</v>
      </c>
      <c r="E614" s="7" t="str">
        <f>IFERROR(__xludf.DUMMYFUNCTION("""COMPUTED_VALUE"""),"Corruption: Civil servants")</f>
        <v>Corruption: Civil servants</v>
      </c>
      <c r="F614" s="7" t="str">
        <f>IFERROR(__xludf.DUMMYFUNCTION("""COMPUTED_VALUE"""),"Civil servants")</f>
        <v>Civil servants</v>
      </c>
    </row>
    <row r="615">
      <c r="A615" s="7" t="str">
        <f>IFERROR(__xludf.DUMMYFUNCTION("""COMPUTED_VALUE"""),"SOUTH AFRICA")</f>
        <v>SOUTH AFRICA</v>
      </c>
      <c r="B615" s="8">
        <f>IFERROR(__xludf.DUMMYFUNCTION("""COMPUTED_VALUE"""),8.0)</f>
        <v>8</v>
      </c>
      <c r="C615" s="7" t="str">
        <f>IFERROR(__xludf.DUMMYFUNCTION("""COMPUTED_VALUE"""),"G_05")</f>
        <v>G_05</v>
      </c>
      <c r="D615" s="7" t="str">
        <f>IFERROR(__xludf.DUMMYFUNCTION("""COMPUTED_VALUE"""),"Q42c")</f>
        <v>Q42c</v>
      </c>
      <c r="E615" s="7" t="str">
        <f>IFERROR(__xludf.DUMMYFUNCTION("""COMPUTED_VALUE"""),"Corruption: Civil servants")</f>
        <v>Corruption: Civil servants</v>
      </c>
      <c r="F615" s="7" t="str">
        <f>IFERROR(__xludf.DUMMYFUNCTION("""COMPUTED_VALUE"""),"Civil servants")</f>
        <v>Civil servants</v>
      </c>
    </row>
    <row r="616">
      <c r="A616" s="7" t="str">
        <f>IFERROR(__xludf.DUMMYFUNCTION("""COMPUTED_VALUE"""),"SUDAN")</f>
        <v>SUDAN</v>
      </c>
      <c r="B616" s="8">
        <f>IFERROR(__xludf.DUMMYFUNCTION("""COMPUTED_VALUE"""),8.0)</f>
        <v>8</v>
      </c>
      <c r="C616" s="7" t="str">
        <f>IFERROR(__xludf.DUMMYFUNCTION("""COMPUTED_VALUE"""),"G_05")</f>
        <v>G_05</v>
      </c>
      <c r="D616" s="7" t="str">
        <f>IFERROR(__xludf.DUMMYFUNCTION("""COMPUTED_VALUE"""),"Q42c")</f>
        <v>Q42c</v>
      </c>
      <c r="E616" s="7" t="str">
        <f>IFERROR(__xludf.DUMMYFUNCTION("""COMPUTED_VALUE"""),"Corruption: Civil servants")</f>
        <v>Corruption: Civil servants</v>
      </c>
      <c r="F616" s="7" t="str">
        <f>IFERROR(__xludf.DUMMYFUNCTION("""COMPUTED_VALUE"""),"Civil servants")</f>
        <v>Civil servants</v>
      </c>
    </row>
    <row r="617">
      <c r="A617" s="7" t="str">
        <f>IFERROR(__xludf.DUMMYFUNCTION("""COMPUTED_VALUE"""),"TANZANIA")</f>
        <v>TANZANIA</v>
      </c>
      <c r="B617" s="8">
        <f>IFERROR(__xludf.DUMMYFUNCTION("""COMPUTED_VALUE"""),8.0)</f>
        <v>8</v>
      </c>
      <c r="C617" s="7" t="str">
        <f>IFERROR(__xludf.DUMMYFUNCTION("""COMPUTED_VALUE"""),"G_05")</f>
        <v>G_05</v>
      </c>
      <c r="D617" s="7" t="str">
        <f>IFERROR(__xludf.DUMMYFUNCTION("""COMPUTED_VALUE"""),"Q42c")</f>
        <v>Q42c</v>
      </c>
      <c r="E617" s="7" t="str">
        <f>IFERROR(__xludf.DUMMYFUNCTION("""COMPUTED_VALUE"""),"Corruption: Civil servants")</f>
        <v>Corruption: Civil servants</v>
      </c>
      <c r="F617" s="7" t="str">
        <f>IFERROR(__xludf.DUMMYFUNCTION("""COMPUTED_VALUE"""),"Civil servants")</f>
        <v>Civil servants</v>
      </c>
    </row>
    <row r="618">
      <c r="A618" s="7" t="str">
        <f>IFERROR(__xludf.DUMMYFUNCTION("""COMPUTED_VALUE"""),"TUNISIA ")</f>
        <v>TUNISIA </v>
      </c>
      <c r="B618" s="8">
        <f>IFERROR(__xludf.DUMMYFUNCTION("""COMPUTED_VALUE"""),8.0)</f>
        <v>8</v>
      </c>
      <c r="C618" s="7" t="str">
        <f>IFERROR(__xludf.DUMMYFUNCTION("""COMPUTED_VALUE"""),"G_05")</f>
        <v>G_05</v>
      </c>
      <c r="D618" s="7" t="str">
        <f>IFERROR(__xludf.DUMMYFUNCTION("""COMPUTED_VALUE"""),"Q42c")</f>
        <v>Q42c</v>
      </c>
      <c r="E618" s="7" t="str">
        <f>IFERROR(__xludf.DUMMYFUNCTION("""COMPUTED_VALUE"""),"Corruption: Civil servants")</f>
        <v>Corruption: Civil servants</v>
      </c>
      <c r="F618" s="7" t="str">
        <f>IFERROR(__xludf.DUMMYFUNCTION("""COMPUTED_VALUE"""),"Civil servants")</f>
        <v>Civil servants</v>
      </c>
    </row>
    <row r="619">
      <c r="A619" s="7" t="str">
        <f>IFERROR(__xludf.DUMMYFUNCTION("""COMPUTED_VALUE"""),"UGANDA  ")</f>
        <v>UGANDA  </v>
      </c>
      <c r="B619" s="8">
        <f>IFERROR(__xludf.DUMMYFUNCTION("""COMPUTED_VALUE"""),8.0)</f>
        <v>8</v>
      </c>
      <c r="C619" s="7" t="str">
        <f>IFERROR(__xludf.DUMMYFUNCTION("""COMPUTED_VALUE"""),"G_05")</f>
        <v>G_05</v>
      </c>
      <c r="D619" s="7" t="str">
        <f>IFERROR(__xludf.DUMMYFUNCTION("""COMPUTED_VALUE"""),"Q42c")</f>
        <v>Q42c</v>
      </c>
      <c r="E619" s="7" t="str">
        <f>IFERROR(__xludf.DUMMYFUNCTION("""COMPUTED_VALUE"""),"Corruption: Civil servants")</f>
        <v>Corruption: Civil servants</v>
      </c>
      <c r="F619" s="7" t="str">
        <f>IFERROR(__xludf.DUMMYFUNCTION("""COMPUTED_VALUE"""),"Civil servants")</f>
        <v>Civil servants</v>
      </c>
    </row>
    <row r="620">
      <c r="A620" s="7" t="str">
        <f>IFERROR(__xludf.DUMMYFUNCTION("""COMPUTED_VALUE"""),"ZAMBIA")</f>
        <v>ZAMBIA</v>
      </c>
      <c r="B620" s="8">
        <f>IFERROR(__xludf.DUMMYFUNCTION("""COMPUTED_VALUE"""),8.0)</f>
        <v>8</v>
      </c>
      <c r="C620" s="7" t="str">
        <f>IFERROR(__xludf.DUMMYFUNCTION("""COMPUTED_VALUE"""),"G_05")</f>
        <v>G_05</v>
      </c>
      <c r="D620" s="7" t="str">
        <f>IFERROR(__xludf.DUMMYFUNCTION("""COMPUTED_VALUE"""),"Q42c")</f>
        <v>Q42c</v>
      </c>
      <c r="E620" s="7" t="str">
        <f>IFERROR(__xludf.DUMMYFUNCTION("""COMPUTED_VALUE"""),"Corruption: Civil servants")</f>
        <v>Corruption: Civil servants</v>
      </c>
      <c r="F620" s="7" t="str">
        <f>IFERROR(__xludf.DUMMYFUNCTION("""COMPUTED_VALUE"""),"Civil servants")</f>
        <v>Civil servants</v>
      </c>
    </row>
    <row r="621">
      <c r="A621" s="7" t="str">
        <f>IFERROR(__xludf.DUMMYFUNCTION("""COMPUTED_VALUE"""),"ZIMBABWE")</f>
        <v>ZIMBABWE</v>
      </c>
      <c r="B621" s="8">
        <f>IFERROR(__xludf.DUMMYFUNCTION("""COMPUTED_VALUE"""),8.0)</f>
        <v>8</v>
      </c>
      <c r="C621" s="7" t="str">
        <f>IFERROR(__xludf.DUMMYFUNCTION("""COMPUTED_VALUE"""),"G_05")</f>
        <v>G_05</v>
      </c>
      <c r="D621" s="7" t="str">
        <f>IFERROR(__xludf.DUMMYFUNCTION("""COMPUTED_VALUE"""),"Q42c")</f>
        <v>Q42c</v>
      </c>
      <c r="E621" s="7" t="str">
        <f>IFERROR(__xludf.DUMMYFUNCTION("""COMPUTED_VALUE"""),"Corruption: Civil servants")</f>
        <v>Corruption: Civil servants</v>
      </c>
      <c r="F621" s="7" t="str">
        <f>IFERROR(__xludf.DUMMYFUNCTION("""COMPUTED_VALUE"""),"Civil servants")</f>
        <v>Civil servants</v>
      </c>
    </row>
    <row r="622">
      <c r="A622" s="7" t="str">
        <f>IFERROR(__xludf.DUMMYFUNCTION("""COMPUTED_VALUE"""),"BOTSWANA ")</f>
        <v>BOTSWANA </v>
      </c>
      <c r="B622" s="8">
        <f>IFERROR(__xludf.DUMMYFUNCTION("""COMPUTED_VALUE"""),8.0)</f>
        <v>8</v>
      </c>
      <c r="C622" s="7" t="str">
        <f>IFERROR(__xludf.DUMMYFUNCTION("""COMPUTED_VALUE"""),"G_11")</f>
        <v>G_11</v>
      </c>
      <c r="D622" s="7" t="str">
        <f>IFERROR(__xludf.DUMMYFUNCTION("""COMPUTED_VALUE"""),"Q42d")</f>
        <v>Q42d</v>
      </c>
      <c r="E622" s="7" t="str">
        <f>IFERROR(__xludf.DUMMYFUNCTION("""COMPUTED_VALUE"""),"Corruption: local government councillors")</f>
        <v>Corruption: local government councillors</v>
      </c>
      <c r="F622" s="7" t="str">
        <f>IFERROR(__xludf.DUMMYFUNCTION("""COMPUTED_VALUE"""),"Members of your local government council")</f>
        <v>Members of your local government council</v>
      </c>
    </row>
    <row r="623">
      <c r="A623" s="7" t="str">
        <f>IFERROR(__xludf.DUMMYFUNCTION("""COMPUTED_VALUE"""),"CABO VERDE ")</f>
        <v>CABO VERDE </v>
      </c>
      <c r="B623" s="8">
        <f>IFERROR(__xludf.DUMMYFUNCTION("""COMPUTED_VALUE"""),8.0)</f>
        <v>8</v>
      </c>
      <c r="C623" s="7" t="str">
        <f>IFERROR(__xludf.DUMMYFUNCTION("""COMPUTED_VALUE"""),"G_11")</f>
        <v>G_11</v>
      </c>
      <c r="D623" s="7" t="str">
        <f>IFERROR(__xludf.DUMMYFUNCTION("""COMPUTED_VALUE"""),"Q42d")</f>
        <v>Q42d</v>
      </c>
      <c r="E623" s="7" t="str">
        <f>IFERROR(__xludf.DUMMYFUNCTION("""COMPUTED_VALUE"""),"Corruption: local government councillors")</f>
        <v>Corruption: local government councillors</v>
      </c>
      <c r="F623" s="7" t="str">
        <f>IFERROR(__xludf.DUMMYFUNCTION("""COMPUTED_VALUE"""),"Members of your elected local government council")</f>
        <v>Members of your elected local government council</v>
      </c>
    </row>
    <row r="624">
      <c r="A624" s="7" t="str">
        <f>IFERROR(__xludf.DUMMYFUNCTION("""COMPUTED_VALUE"""),"CAMEROON")</f>
        <v>CAMEROON</v>
      </c>
      <c r="B624" s="8">
        <f>IFERROR(__xludf.DUMMYFUNCTION("""COMPUTED_VALUE"""),8.0)</f>
        <v>8</v>
      </c>
      <c r="C624" s="7" t="str">
        <f>IFERROR(__xludf.DUMMYFUNCTION("""COMPUTED_VALUE"""),"G_11")</f>
        <v>G_11</v>
      </c>
      <c r="D624" s="7" t="str">
        <f>IFERROR(__xludf.DUMMYFUNCTION("""COMPUTED_VALUE"""),"Q42d")</f>
        <v>Q42d</v>
      </c>
      <c r="E624" s="7" t="str">
        <f>IFERROR(__xludf.DUMMYFUNCTION("""COMPUTED_VALUE"""),"Corruption: local government councillors")</f>
        <v>Corruption: local government councillors</v>
      </c>
      <c r="F624" s="7" t="str">
        <f>IFERROR(__xludf.DUMMYFUNCTION("""COMPUTED_VALUE"""),"Members of your local government council")</f>
        <v>Members of your local government council</v>
      </c>
    </row>
    <row r="625">
      <c r="A625" s="7" t="str">
        <f>IFERROR(__xludf.DUMMYFUNCTION("""COMPUTED_VALUE"""),"ESWATINI")</f>
        <v>ESWATINI</v>
      </c>
      <c r="B625" s="8">
        <f>IFERROR(__xludf.DUMMYFUNCTION("""COMPUTED_VALUE"""),8.0)</f>
        <v>8</v>
      </c>
      <c r="C625" s="7" t="str">
        <f>IFERROR(__xludf.DUMMYFUNCTION("""COMPUTED_VALUE"""),"G_11")</f>
        <v>G_11</v>
      </c>
      <c r="D625" s="7" t="str">
        <f>IFERROR(__xludf.DUMMYFUNCTION("""COMPUTED_VALUE"""),"Q42d")</f>
        <v>Q42d</v>
      </c>
      <c r="E625" s="7" t="str">
        <f>IFERROR(__xludf.DUMMYFUNCTION("""COMPUTED_VALUE"""),"Corruption: local government councillors")</f>
        <v>Corruption: local government councillors</v>
      </c>
      <c r="F625" s="7" t="str">
        <f>IFERROR(__xludf.DUMMYFUNCTION("""COMPUTED_VALUE"""),"Members of your local government council")</f>
        <v>Members of your local government council</v>
      </c>
    </row>
    <row r="626">
      <c r="A626" s="7" t="str">
        <f>IFERROR(__xludf.DUMMYFUNCTION("""COMPUTED_VALUE"""),"ETHIOPIA")</f>
        <v>ETHIOPIA</v>
      </c>
      <c r="B626" s="8">
        <f>IFERROR(__xludf.DUMMYFUNCTION("""COMPUTED_VALUE"""),8.0)</f>
        <v>8</v>
      </c>
      <c r="C626" s="7" t="str">
        <f>IFERROR(__xludf.DUMMYFUNCTION("""COMPUTED_VALUE"""),"G_11")</f>
        <v>G_11</v>
      </c>
      <c r="D626" s="7" t="str">
        <f>IFERROR(__xludf.DUMMYFUNCTION("""COMPUTED_VALUE"""),"Q42d")</f>
        <v>Q42d</v>
      </c>
      <c r="E626" s="7" t="str">
        <f>IFERROR(__xludf.DUMMYFUNCTION("""COMPUTED_VALUE"""),"Corruption: local government councillors")</f>
        <v>Corruption: local government councillors</v>
      </c>
      <c r="F626" s="7" t="str">
        <f>IFERROR(__xludf.DUMMYFUNCTION("""COMPUTED_VALUE"""),"Members of your local government council")</f>
        <v>Members of your local government council</v>
      </c>
    </row>
    <row r="627">
      <c r="A627" s="7" t="str">
        <f>IFERROR(__xludf.DUMMYFUNCTION("""COMPUTED_VALUE"""),"GAMBIA")</f>
        <v>GAMBIA</v>
      </c>
      <c r="B627" s="8">
        <f>IFERROR(__xludf.DUMMYFUNCTION("""COMPUTED_VALUE"""),8.0)</f>
        <v>8</v>
      </c>
      <c r="C627" s="7" t="str">
        <f>IFERROR(__xludf.DUMMYFUNCTION("""COMPUTED_VALUE"""),"G_11")</f>
        <v>G_11</v>
      </c>
      <c r="D627" s="7" t="str">
        <f>IFERROR(__xludf.DUMMYFUNCTION("""COMPUTED_VALUE"""),"Q42d")</f>
        <v>Q42d</v>
      </c>
      <c r="E627" s="7" t="str">
        <f>IFERROR(__xludf.DUMMYFUNCTION("""COMPUTED_VALUE"""),"Corruption: local government councillors")</f>
        <v>Corruption: local government councillors</v>
      </c>
      <c r="F627" s="7" t="str">
        <f>IFERROR(__xludf.DUMMYFUNCTION("""COMPUTED_VALUE"""),"Members of your local government council")</f>
        <v>Members of your local government council</v>
      </c>
    </row>
    <row r="628">
      <c r="A628" s="7" t="str">
        <f>IFERROR(__xludf.DUMMYFUNCTION("""COMPUTED_VALUE"""),"GHANA ")</f>
        <v>GHANA </v>
      </c>
      <c r="B628" s="8">
        <f>IFERROR(__xludf.DUMMYFUNCTION("""COMPUTED_VALUE"""),8.0)</f>
        <v>8</v>
      </c>
      <c r="C628" s="7" t="str">
        <f>IFERROR(__xludf.DUMMYFUNCTION("""COMPUTED_VALUE"""),"G_11")</f>
        <v>G_11</v>
      </c>
      <c r="D628" s="7" t="str">
        <f>IFERROR(__xludf.DUMMYFUNCTION("""COMPUTED_VALUE"""),"Q42d")</f>
        <v>Q42d</v>
      </c>
      <c r="E628" s="7" t="str">
        <f>IFERROR(__xludf.DUMMYFUNCTION("""COMPUTED_VALUE"""),"Corruption: local government councillors")</f>
        <v>Corruption: local government councillors</v>
      </c>
      <c r="F628" s="7" t="str">
        <f>IFERROR(__xludf.DUMMYFUNCTION("""COMPUTED_VALUE"""),"Assembly men and women")</f>
        <v>Assembly men and women</v>
      </c>
    </row>
    <row r="629">
      <c r="A629" s="7" t="str">
        <f>IFERROR(__xludf.DUMMYFUNCTION("""COMPUTED_VALUE"""),"KENYA  ")</f>
        <v>KENYA  </v>
      </c>
      <c r="B629" s="8">
        <f>IFERROR(__xludf.DUMMYFUNCTION("""COMPUTED_VALUE"""),8.0)</f>
        <v>8</v>
      </c>
      <c r="C629" s="7" t="str">
        <f>IFERROR(__xludf.DUMMYFUNCTION("""COMPUTED_VALUE"""),"G_11")</f>
        <v>G_11</v>
      </c>
      <c r="D629" s="7" t="str">
        <f>IFERROR(__xludf.DUMMYFUNCTION("""COMPUTED_VALUE"""),"Q42d")</f>
        <v>Q42d</v>
      </c>
      <c r="E629" s="7" t="str">
        <f>IFERROR(__xludf.DUMMYFUNCTION("""COMPUTED_VALUE"""),"Corruption: local government councillors")</f>
        <v>Corruption: local government councillors</v>
      </c>
      <c r="F629" s="7" t="str">
        <f>IFERROR(__xludf.DUMMYFUNCTION("""COMPUTED_VALUE"""),"Members of your County Assembly or MCAs")</f>
        <v>Members of your County Assembly or MCAs</v>
      </c>
    </row>
    <row r="630">
      <c r="A630" s="7" t="str">
        <f>IFERROR(__xludf.DUMMYFUNCTION("""COMPUTED_VALUE"""),"LESOTHO ")</f>
        <v>LESOTHO </v>
      </c>
      <c r="B630" s="8">
        <f>IFERROR(__xludf.DUMMYFUNCTION("""COMPUTED_VALUE"""),8.0)</f>
        <v>8</v>
      </c>
      <c r="C630" s="7" t="str">
        <f>IFERROR(__xludf.DUMMYFUNCTION("""COMPUTED_VALUE"""),"G_11")</f>
        <v>G_11</v>
      </c>
      <c r="D630" s="7" t="str">
        <f>IFERROR(__xludf.DUMMYFUNCTION("""COMPUTED_VALUE"""),"Q42d")</f>
        <v>Q42d</v>
      </c>
      <c r="E630" s="7" t="str">
        <f>IFERROR(__xludf.DUMMYFUNCTION("""COMPUTED_VALUE"""),"Corruption: local government councillors")</f>
        <v>Corruption: local government councillors</v>
      </c>
      <c r="F630" s="7" t="str">
        <f>IFERROR(__xludf.DUMMYFUNCTION("""COMPUTED_VALUE"""),"Members of your community council")</f>
        <v>Members of your community council</v>
      </c>
    </row>
    <row r="631">
      <c r="A631" s="7" t="str">
        <f>IFERROR(__xludf.DUMMYFUNCTION("""COMPUTED_VALUE"""),"LIBERIA  ")</f>
        <v>LIBERIA  </v>
      </c>
      <c r="B631" s="8">
        <f>IFERROR(__xludf.DUMMYFUNCTION("""COMPUTED_VALUE"""),8.0)</f>
        <v>8</v>
      </c>
      <c r="C631" s="7" t="str">
        <f>IFERROR(__xludf.DUMMYFUNCTION("""COMPUTED_VALUE"""),"G_11")</f>
        <v>G_11</v>
      </c>
      <c r="D631" s="7" t="str">
        <f>IFERROR(__xludf.DUMMYFUNCTION("""COMPUTED_VALUE"""),"Q42d")</f>
        <v>Q42d</v>
      </c>
      <c r="E631" s="7" t="str">
        <f>IFERROR(__xludf.DUMMYFUNCTION("""COMPUTED_VALUE"""),"Corruption: local government councillors")</f>
        <v>Corruption: local government councillors</v>
      </c>
      <c r="F631" s="7" t="str">
        <f>IFERROR(__xludf.DUMMYFUNCTION("""COMPUTED_VALUE"""),"Members of your local authority council")</f>
        <v>Members of your local authority council</v>
      </c>
    </row>
    <row r="632">
      <c r="A632" s="7" t="str">
        <f>IFERROR(__xludf.DUMMYFUNCTION("""COMPUTED_VALUE"""),"MALAWI ")</f>
        <v>MALAWI </v>
      </c>
      <c r="B632" s="8">
        <f>IFERROR(__xludf.DUMMYFUNCTION("""COMPUTED_VALUE"""),8.0)</f>
        <v>8</v>
      </c>
      <c r="C632" s="7" t="str">
        <f>IFERROR(__xludf.DUMMYFUNCTION("""COMPUTED_VALUE"""),"G_11")</f>
        <v>G_11</v>
      </c>
      <c r="D632" s="7" t="str">
        <f>IFERROR(__xludf.DUMMYFUNCTION("""COMPUTED_VALUE"""),"Q42d")</f>
        <v>Q42d</v>
      </c>
      <c r="E632" s="7" t="str">
        <f>IFERROR(__xludf.DUMMYFUNCTION("""COMPUTED_VALUE"""),"Corruption: local government councillors")</f>
        <v>Corruption: local government councillors</v>
      </c>
      <c r="F632" s="7" t="str">
        <f>IFERROR(__xludf.DUMMYFUNCTION("""COMPUTED_VALUE"""),"Members of your local government council")</f>
        <v>Members of your local government council</v>
      </c>
    </row>
    <row r="633">
      <c r="A633" s="7" t="str">
        <f>IFERROR(__xludf.DUMMYFUNCTION("""COMPUTED_VALUE"""),"MOROCCO ")</f>
        <v>MOROCCO </v>
      </c>
      <c r="B633" s="8">
        <f>IFERROR(__xludf.DUMMYFUNCTION("""COMPUTED_VALUE"""),8.0)</f>
        <v>8</v>
      </c>
      <c r="C633" s="7" t="str">
        <f>IFERROR(__xludf.DUMMYFUNCTION("""COMPUTED_VALUE"""),"G_11")</f>
        <v>G_11</v>
      </c>
      <c r="D633" s="7" t="str">
        <f>IFERROR(__xludf.DUMMYFUNCTION("""COMPUTED_VALUE"""),"Q42d")</f>
        <v>Q42d</v>
      </c>
      <c r="E633" s="7" t="str">
        <f>IFERROR(__xludf.DUMMYFUNCTION("""COMPUTED_VALUE"""),"Corruption: local government councillors")</f>
        <v>Corruption: local government councillors</v>
      </c>
      <c r="F633" s="7" t="str">
        <f>IFERROR(__xludf.DUMMYFUNCTION("""COMPUTED_VALUE"""),"Members of your local council")</f>
        <v>Members of your local council</v>
      </c>
    </row>
    <row r="634">
      <c r="A634" s="7" t="str">
        <f>IFERROR(__xludf.DUMMYFUNCTION("""COMPUTED_VALUE"""),"MOZAMBIQUE")</f>
        <v>MOZAMBIQUE</v>
      </c>
      <c r="B634" s="8">
        <f>IFERROR(__xludf.DUMMYFUNCTION("""COMPUTED_VALUE"""),8.0)</f>
        <v>8</v>
      </c>
      <c r="C634" s="7" t="str">
        <f>IFERROR(__xludf.DUMMYFUNCTION("""COMPUTED_VALUE"""),"G_11")</f>
        <v>G_11</v>
      </c>
      <c r="D634" s="7" t="str">
        <f>IFERROR(__xludf.DUMMYFUNCTION("""COMPUTED_VALUE"""),"Q42d")</f>
        <v>Q42d</v>
      </c>
      <c r="E634" s="7" t="str">
        <f>IFERROR(__xludf.DUMMYFUNCTION("""COMPUTED_VALUE"""),"Corruption: local government councillors")</f>
        <v>Corruption: local government councillors</v>
      </c>
      <c r="F634" s="7" t="str">
        <f>IFERROR(__xludf.DUMMYFUNCTION("""COMPUTED_VALUE"""),"Members of your municipal assembly")</f>
        <v>Members of your municipal assembly</v>
      </c>
    </row>
    <row r="635">
      <c r="A635" s="7" t="str">
        <f>IFERROR(__xludf.DUMMYFUNCTION("""COMPUTED_VALUE"""),"NAMIBIA ")</f>
        <v>NAMIBIA </v>
      </c>
      <c r="B635" s="8">
        <f>IFERROR(__xludf.DUMMYFUNCTION("""COMPUTED_VALUE"""),8.0)</f>
        <v>8</v>
      </c>
      <c r="C635" s="7" t="str">
        <f>IFERROR(__xludf.DUMMYFUNCTION("""COMPUTED_VALUE"""),"G_11")</f>
        <v>G_11</v>
      </c>
      <c r="D635" s="7" t="str">
        <f>IFERROR(__xludf.DUMMYFUNCTION("""COMPUTED_VALUE"""),"Q42d")</f>
        <v>Q42d</v>
      </c>
      <c r="E635" s="7" t="str">
        <f>IFERROR(__xludf.DUMMYFUNCTION("""COMPUTED_VALUE"""),"Corruption: local government councillors")</f>
        <v>Corruption: local government councillors</v>
      </c>
      <c r="F635" s="7" t="str">
        <f>IFERROR(__xludf.DUMMYFUNCTION("""COMPUTED_VALUE"""),"Members of your Local Authority Council")</f>
        <v>Members of your Local Authority Council</v>
      </c>
    </row>
    <row r="636">
      <c r="A636" s="7" t="str">
        <f>IFERROR(__xludf.DUMMYFUNCTION("""COMPUTED_VALUE"""),"NIGERIA ")</f>
        <v>NIGERIA </v>
      </c>
      <c r="B636" s="8">
        <f>IFERROR(__xludf.DUMMYFUNCTION("""COMPUTED_VALUE"""),8.0)</f>
        <v>8</v>
      </c>
      <c r="C636" s="7" t="str">
        <f>IFERROR(__xludf.DUMMYFUNCTION("""COMPUTED_VALUE"""),"G_11")</f>
        <v>G_11</v>
      </c>
      <c r="D636" s="7" t="str">
        <f>IFERROR(__xludf.DUMMYFUNCTION("""COMPUTED_VALUE"""),"Q42d")</f>
        <v>Q42d</v>
      </c>
      <c r="E636" s="7" t="str">
        <f>IFERROR(__xludf.DUMMYFUNCTION("""COMPUTED_VALUE"""),"Corruption: local government councillors")</f>
        <v>Corruption: local government councillors</v>
      </c>
      <c r="F636" s="7" t="str">
        <f>IFERROR(__xludf.DUMMYFUNCTION("""COMPUTED_VALUE"""),"Members of your local government council")</f>
        <v>Members of your local government council</v>
      </c>
    </row>
    <row r="637">
      <c r="A637" s="7" t="str">
        <f>IFERROR(__xludf.DUMMYFUNCTION("""COMPUTED_VALUE"""),"SIERRA LEONE")</f>
        <v>SIERRA LEONE</v>
      </c>
      <c r="B637" s="8">
        <f>IFERROR(__xludf.DUMMYFUNCTION("""COMPUTED_VALUE"""),8.0)</f>
        <v>8</v>
      </c>
      <c r="C637" s="7" t="str">
        <f>IFERROR(__xludf.DUMMYFUNCTION("""COMPUTED_VALUE"""),"G_11")</f>
        <v>G_11</v>
      </c>
      <c r="D637" s="7" t="str">
        <f>IFERROR(__xludf.DUMMYFUNCTION("""COMPUTED_VALUE"""),"Q42d")</f>
        <v>Q42d</v>
      </c>
      <c r="E637" s="7" t="str">
        <f>IFERROR(__xludf.DUMMYFUNCTION("""COMPUTED_VALUE"""),"Corruption: local government councillors")</f>
        <v>Corruption: local government councillors</v>
      </c>
      <c r="F637" s="7" t="str">
        <f>IFERROR(__xludf.DUMMYFUNCTION("""COMPUTED_VALUE"""),"Members of your local government council")</f>
        <v>Members of your local government council</v>
      </c>
    </row>
    <row r="638">
      <c r="A638" s="7" t="str">
        <f>IFERROR(__xludf.DUMMYFUNCTION("""COMPUTED_VALUE"""),"SOUTH AFRICA")</f>
        <v>SOUTH AFRICA</v>
      </c>
      <c r="B638" s="8">
        <f>IFERROR(__xludf.DUMMYFUNCTION("""COMPUTED_VALUE"""),8.0)</f>
        <v>8</v>
      </c>
      <c r="C638" s="7" t="str">
        <f>IFERROR(__xludf.DUMMYFUNCTION("""COMPUTED_VALUE"""),"G_11")</f>
        <v>G_11</v>
      </c>
      <c r="D638" s="7" t="str">
        <f>IFERROR(__xludf.DUMMYFUNCTION("""COMPUTED_VALUE"""),"Q42d")</f>
        <v>Q42d</v>
      </c>
      <c r="E638" s="7" t="str">
        <f>IFERROR(__xludf.DUMMYFUNCTION("""COMPUTED_VALUE"""),"Corruption: local government councillors")</f>
        <v>Corruption: local government councillors</v>
      </c>
      <c r="F638" s="7" t="str">
        <f>IFERROR(__xludf.DUMMYFUNCTION("""COMPUTED_VALUE"""),"Local Government councillors")</f>
        <v>Local Government councillors</v>
      </c>
    </row>
    <row r="639">
      <c r="A639" s="7" t="str">
        <f>IFERROR(__xludf.DUMMYFUNCTION("""COMPUTED_VALUE"""),"TANZANIA")</f>
        <v>TANZANIA</v>
      </c>
      <c r="B639" s="8">
        <f>IFERROR(__xludf.DUMMYFUNCTION("""COMPUTED_VALUE"""),8.0)</f>
        <v>8</v>
      </c>
      <c r="C639" s="7" t="str">
        <f>IFERROR(__xludf.DUMMYFUNCTION("""COMPUTED_VALUE"""),"G_11")</f>
        <v>G_11</v>
      </c>
      <c r="D639" s="7" t="str">
        <f>IFERROR(__xludf.DUMMYFUNCTION("""COMPUTED_VALUE"""),"Q42d")</f>
        <v>Q42d</v>
      </c>
      <c r="E639" s="7" t="str">
        <f>IFERROR(__xludf.DUMMYFUNCTION("""COMPUTED_VALUE"""),"Corruption: local government councillors")</f>
        <v>Corruption: local government councillors</v>
      </c>
      <c r="F639" s="7" t="str">
        <f>IFERROR(__xludf.DUMMYFUNCTION("""COMPUTED_VALUE"""),"Councillors")</f>
        <v>Councillors</v>
      </c>
    </row>
    <row r="640">
      <c r="A640" s="7" t="str">
        <f>IFERROR(__xludf.DUMMYFUNCTION("""COMPUTED_VALUE"""),"TUNISIA ")</f>
        <v>TUNISIA </v>
      </c>
      <c r="B640" s="8">
        <f>IFERROR(__xludf.DUMMYFUNCTION("""COMPUTED_VALUE"""),8.0)</f>
        <v>8</v>
      </c>
      <c r="C640" s="7" t="str">
        <f>IFERROR(__xludf.DUMMYFUNCTION("""COMPUTED_VALUE"""),"G_11")</f>
        <v>G_11</v>
      </c>
      <c r="D640" s="7" t="str">
        <f>IFERROR(__xludf.DUMMYFUNCTION("""COMPUTED_VALUE"""),"Q42d")</f>
        <v>Q42d</v>
      </c>
      <c r="E640" s="7" t="str">
        <f>IFERROR(__xludf.DUMMYFUNCTION("""COMPUTED_VALUE"""),"Corruption: local government councillors")</f>
        <v>Corruption: local government councillors</v>
      </c>
      <c r="F640" s="7" t="str">
        <f>IFERROR(__xludf.DUMMYFUNCTION("""COMPUTED_VALUE"""),"Members of your municipal council")</f>
        <v>Members of your municipal council</v>
      </c>
    </row>
    <row r="641">
      <c r="A641" s="7" t="str">
        <f>IFERROR(__xludf.DUMMYFUNCTION("""COMPUTED_VALUE"""),"UGANDA  ")</f>
        <v>UGANDA  </v>
      </c>
      <c r="B641" s="8">
        <f>IFERROR(__xludf.DUMMYFUNCTION("""COMPUTED_VALUE"""),8.0)</f>
        <v>8</v>
      </c>
      <c r="C641" s="7" t="str">
        <f>IFERROR(__xludf.DUMMYFUNCTION("""COMPUTED_VALUE"""),"G_11")</f>
        <v>G_11</v>
      </c>
      <c r="D641" s="7" t="str">
        <f>IFERROR(__xludf.DUMMYFUNCTION("""COMPUTED_VALUE"""),"Q42d")</f>
        <v>Q42d</v>
      </c>
      <c r="E641" s="7" t="str">
        <f>IFERROR(__xludf.DUMMYFUNCTION("""COMPUTED_VALUE"""),"Corruption: local government councillors")</f>
        <v>Corruption: local government councillors</v>
      </c>
      <c r="F641" s="7" t="str">
        <f>IFERROR(__xludf.DUMMYFUNCTION("""COMPUTED_VALUE"""),"Members of your local government council")</f>
        <v>Members of your local government council</v>
      </c>
    </row>
    <row r="642">
      <c r="A642" s="7" t="str">
        <f>IFERROR(__xludf.DUMMYFUNCTION("""COMPUTED_VALUE"""),"ZAMBIA")</f>
        <v>ZAMBIA</v>
      </c>
      <c r="B642" s="8">
        <f>IFERROR(__xludf.DUMMYFUNCTION("""COMPUTED_VALUE"""),8.0)</f>
        <v>8</v>
      </c>
      <c r="C642" s="7" t="str">
        <f>IFERROR(__xludf.DUMMYFUNCTION("""COMPUTED_VALUE"""),"G_11")</f>
        <v>G_11</v>
      </c>
      <c r="D642" s="7" t="str">
        <f>IFERROR(__xludf.DUMMYFUNCTION("""COMPUTED_VALUE"""),"Q42d")</f>
        <v>Q42d</v>
      </c>
      <c r="E642" s="7" t="str">
        <f>IFERROR(__xludf.DUMMYFUNCTION("""COMPUTED_VALUE"""),"Corruption: local government councillors")</f>
        <v>Corruption: local government councillors</v>
      </c>
      <c r="F642" s="7" t="str">
        <f>IFERROR(__xludf.DUMMYFUNCTION("""COMPUTED_VALUE"""),"Members of your local government")</f>
        <v>Members of your local government</v>
      </c>
    </row>
    <row r="643">
      <c r="A643" s="7" t="str">
        <f>IFERROR(__xludf.DUMMYFUNCTION("""COMPUTED_VALUE"""),"ZIMBABWE")</f>
        <v>ZIMBABWE</v>
      </c>
      <c r="B643" s="8">
        <f>IFERROR(__xludf.DUMMYFUNCTION("""COMPUTED_VALUE"""),8.0)</f>
        <v>8</v>
      </c>
      <c r="C643" s="7" t="str">
        <f>IFERROR(__xludf.DUMMYFUNCTION("""COMPUTED_VALUE"""),"G_11")</f>
        <v>G_11</v>
      </c>
      <c r="D643" s="7" t="str">
        <f>IFERROR(__xludf.DUMMYFUNCTION("""COMPUTED_VALUE"""),"Q42d")</f>
        <v>Q42d</v>
      </c>
      <c r="E643" s="7" t="str">
        <f>IFERROR(__xludf.DUMMYFUNCTION("""COMPUTED_VALUE"""),"Corruption: local government councillors")</f>
        <v>Corruption: local government councillors</v>
      </c>
      <c r="F643" s="7" t="str">
        <f>IFERROR(__xludf.DUMMYFUNCTION("""COMPUTED_VALUE"""),"Local government Councilors")</f>
        <v>Local government Councilors</v>
      </c>
    </row>
    <row r="644">
      <c r="A644" s="7" t="str">
        <f>IFERROR(__xludf.DUMMYFUNCTION("""COMPUTED_VALUE"""),"BOTSWANA ")</f>
        <v>BOTSWANA </v>
      </c>
      <c r="B644" s="8">
        <f>IFERROR(__xludf.DUMMYFUNCTION("""COMPUTED_VALUE"""),8.0)</f>
        <v>8</v>
      </c>
      <c r="C644" s="7" t="str">
        <f>IFERROR(__xludf.DUMMYFUNCTION("""COMPUTED_VALUE"""),"G_19")</f>
        <v>G_19</v>
      </c>
      <c r="D644" s="7" t="str">
        <f>IFERROR(__xludf.DUMMYFUNCTION("""COMPUTED_VALUE"""),"Q42e")</f>
        <v>Q42e</v>
      </c>
      <c r="E644" s="7" t="str">
        <f>IFERROR(__xludf.DUMMYFUNCTION("""COMPUTED_VALUE"""),"Corruption: Police")</f>
        <v>Corruption: Police</v>
      </c>
      <c r="F644" s="7" t="str">
        <f>IFERROR(__xludf.DUMMYFUNCTION("""COMPUTED_VALUE"""),"Police")</f>
        <v>Police</v>
      </c>
    </row>
    <row r="645">
      <c r="A645" s="7" t="str">
        <f>IFERROR(__xludf.DUMMYFUNCTION("""COMPUTED_VALUE"""),"CABO VERDE ")</f>
        <v>CABO VERDE </v>
      </c>
      <c r="B645" s="8">
        <f>IFERROR(__xludf.DUMMYFUNCTION("""COMPUTED_VALUE"""),8.0)</f>
        <v>8</v>
      </c>
      <c r="C645" s="7" t="str">
        <f>IFERROR(__xludf.DUMMYFUNCTION("""COMPUTED_VALUE"""),"G_19")</f>
        <v>G_19</v>
      </c>
      <c r="D645" s="7" t="str">
        <f>IFERROR(__xludf.DUMMYFUNCTION("""COMPUTED_VALUE"""),"Q42e")</f>
        <v>Q42e</v>
      </c>
      <c r="E645" s="7" t="str">
        <f>IFERROR(__xludf.DUMMYFUNCTION("""COMPUTED_VALUE"""),"Corruption: Police")</f>
        <v>Corruption: Police</v>
      </c>
      <c r="F645" s="7" t="str">
        <f>IFERROR(__xludf.DUMMYFUNCTION("""COMPUTED_VALUE"""),"Police")</f>
        <v>Police</v>
      </c>
    </row>
    <row r="646">
      <c r="A646" s="7" t="str">
        <f>IFERROR(__xludf.DUMMYFUNCTION("""COMPUTED_VALUE"""),"CAMEROON")</f>
        <v>CAMEROON</v>
      </c>
      <c r="B646" s="8">
        <f>IFERROR(__xludf.DUMMYFUNCTION("""COMPUTED_VALUE"""),8.0)</f>
        <v>8</v>
      </c>
      <c r="C646" s="7" t="str">
        <f>IFERROR(__xludf.DUMMYFUNCTION("""COMPUTED_VALUE"""),"G_19")</f>
        <v>G_19</v>
      </c>
      <c r="D646" s="7" t="str">
        <f>IFERROR(__xludf.DUMMYFUNCTION("""COMPUTED_VALUE"""),"Q42e")</f>
        <v>Q42e</v>
      </c>
      <c r="E646" s="7" t="str">
        <f>IFERROR(__xludf.DUMMYFUNCTION("""COMPUTED_VALUE"""),"Corruption: Police")</f>
        <v>Corruption: Police</v>
      </c>
      <c r="F646" s="7" t="str">
        <f>IFERROR(__xludf.DUMMYFUNCTION("""COMPUTED_VALUE"""),"Police")</f>
        <v>Police</v>
      </c>
    </row>
    <row r="647">
      <c r="A647" s="7" t="str">
        <f>IFERROR(__xludf.DUMMYFUNCTION("""COMPUTED_VALUE"""),"ESWATINI")</f>
        <v>ESWATINI</v>
      </c>
      <c r="B647" s="8">
        <f>IFERROR(__xludf.DUMMYFUNCTION("""COMPUTED_VALUE"""),8.0)</f>
        <v>8</v>
      </c>
      <c r="C647" s="7" t="str">
        <f>IFERROR(__xludf.DUMMYFUNCTION("""COMPUTED_VALUE"""),"G_19")</f>
        <v>G_19</v>
      </c>
      <c r="D647" s="7" t="str">
        <f>IFERROR(__xludf.DUMMYFUNCTION("""COMPUTED_VALUE"""),"Q42e")</f>
        <v>Q42e</v>
      </c>
      <c r="E647" s="7" t="str">
        <f>IFERROR(__xludf.DUMMYFUNCTION("""COMPUTED_VALUE"""),"Corruption: Police")</f>
        <v>Corruption: Police</v>
      </c>
      <c r="F647" s="7" t="str">
        <f>IFERROR(__xludf.DUMMYFUNCTION("""COMPUTED_VALUE"""),"Police")</f>
        <v>Police</v>
      </c>
    </row>
    <row r="648">
      <c r="A648" s="7" t="str">
        <f>IFERROR(__xludf.DUMMYFUNCTION("""COMPUTED_VALUE"""),"ETHIOPIA")</f>
        <v>ETHIOPIA</v>
      </c>
      <c r="B648" s="8">
        <f>IFERROR(__xludf.DUMMYFUNCTION("""COMPUTED_VALUE"""),8.0)</f>
        <v>8</v>
      </c>
      <c r="C648" s="7" t="str">
        <f>IFERROR(__xludf.DUMMYFUNCTION("""COMPUTED_VALUE"""),"G_19")</f>
        <v>G_19</v>
      </c>
      <c r="D648" s="7" t="str">
        <f>IFERROR(__xludf.DUMMYFUNCTION("""COMPUTED_VALUE"""),"Q42e")</f>
        <v>Q42e</v>
      </c>
      <c r="E648" s="7" t="str">
        <f>IFERROR(__xludf.DUMMYFUNCTION("""COMPUTED_VALUE"""),"Corruption: Police")</f>
        <v>Corruption: Police</v>
      </c>
      <c r="F648" s="7" t="str">
        <f>IFERROR(__xludf.DUMMYFUNCTION("""COMPUTED_VALUE"""),"Police")</f>
        <v>Police</v>
      </c>
    </row>
    <row r="649">
      <c r="A649" s="7" t="str">
        <f>IFERROR(__xludf.DUMMYFUNCTION("""COMPUTED_VALUE"""),"GAMBIA")</f>
        <v>GAMBIA</v>
      </c>
      <c r="B649" s="8">
        <f>IFERROR(__xludf.DUMMYFUNCTION("""COMPUTED_VALUE"""),8.0)</f>
        <v>8</v>
      </c>
      <c r="C649" s="7" t="str">
        <f>IFERROR(__xludf.DUMMYFUNCTION("""COMPUTED_VALUE"""),"G_19")</f>
        <v>G_19</v>
      </c>
      <c r="D649" s="7" t="str">
        <f>IFERROR(__xludf.DUMMYFUNCTION("""COMPUTED_VALUE"""),"Q42e")</f>
        <v>Q42e</v>
      </c>
      <c r="E649" s="7" t="str">
        <f>IFERROR(__xludf.DUMMYFUNCTION("""COMPUTED_VALUE"""),"Corruption: Police")</f>
        <v>Corruption: Police</v>
      </c>
      <c r="F649" s="7" t="str">
        <f>IFERROR(__xludf.DUMMYFUNCTION("""COMPUTED_VALUE"""),"Police")</f>
        <v>Police</v>
      </c>
    </row>
    <row r="650">
      <c r="A650" s="7" t="str">
        <f>IFERROR(__xludf.DUMMYFUNCTION("""COMPUTED_VALUE"""),"KENYA  ")</f>
        <v>KENYA  </v>
      </c>
      <c r="B650" s="8">
        <f>IFERROR(__xludf.DUMMYFUNCTION("""COMPUTED_VALUE"""),8.0)</f>
        <v>8</v>
      </c>
      <c r="C650" s="7" t="str">
        <f>IFERROR(__xludf.DUMMYFUNCTION("""COMPUTED_VALUE"""),"G_19")</f>
        <v>G_19</v>
      </c>
      <c r="D650" s="7" t="str">
        <f>IFERROR(__xludf.DUMMYFUNCTION("""COMPUTED_VALUE"""),"Q42e")</f>
        <v>Q42e</v>
      </c>
      <c r="E650" s="7" t="str">
        <f>IFERROR(__xludf.DUMMYFUNCTION("""COMPUTED_VALUE"""),"Corruption: Police")</f>
        <v>Corruption: Police</v>
      </c>
      <c r="F650" s="7" t="str">
        <f>IFERROR(__xludf.DUMMYFUNCTION("""COMPUTED_VALUE"""),"Police")</f>
        <v>Police</v>
      </c>
    </row>
    <row r="651">
      <c r="A651" s="7" t="str">
        <f>IFERROR(__xludf.DUMMYFUNCTION("""COMPUTED_VALUE"""),"LESOTHO ")</f>
        <v>LESOTHO </v>
      </c>
      <c r="B651" s="8">
        <f>IFERROR(__xludf.DUMMYFUNCTION("""COMPUTED_VALUE"""),8.0)</f>
        <v>8</v>
      </c>
      <c r="C651" s="7" t="str">
        <f>IFERROR(__xludf.DUMMYFUNCTION("""COMPUTED_VALUE"""),"G_19")</f>
        <v>G_19</v>
      </c>
      <c r="D651" s="7" t="str">
        <f>IFERROR(__xludf.DUMMYFUNCTION("""COMPUTED_VALUE"""),"Q42e")</f>
        <v>Q42e</v>
      </c>
      <c r="E651" s="7" t="str">
        <f>IFERROR(__xludf.DUMMYFUNCTION("""COMPUTED_VALUE"""),"Corruption: Police")</f>
        <v>Corruption: Police</v>
      </c>
      <c r="F651" s="7" t="str">
        <f>IFERROR(__xludf.DUMMYFUNCTION("""COMPUTED_VALUE"""),"Police")</f>
        <v>Police</v>
      </c>
    </row>
    <row r="652">
      <c r="A652" s="7" t="str">
        <f>IFERROR(__xludf.DUMMYFUNCTION("""COMPUTED_VALUE"""),"LIBERIA  ")</f>
        <v>LIBERIA  </v>
      </c>
      <c r="B652" s="8">
        <f>IFERROR(__xludf.DUMMYFUNCTION("""COMPUTED_VALUE"""),8.0)</f>
        <v>8</v>
      </c>
      <c r="C652" s="7" t="str">
        <f>IFERROR(__xludf.DUMMYFUNCTION("""COMPUTED_VALUE"""),"G_19")</f>
        <v>G_19</v>
      </c>
      <c r="D652" s="7" t="str">
        <f>IFERROR(__xludf.DUMMYFUNCTION("""COMPUTED_VALUE"""),"Q42e")</f>
        <v>Q42e</v>
      </c>
      <c r="E652" s="7" t="str">
        <f>IFERROR(__xludf.DUMMYFUNCTION("""COMPUTED_VALUE"""),"Corruption: Police")</f>
        <v>Corruption: Police</v>
      </c>
      <c r="F652" s="7" t="str">
        <f>IFERROR(__xludf.DUMMYFUNCTION("""COMPUTED_VALUE"""),"Police")</f>
        <v>Police</v>
      </c>
    </row>
    <row r="653">
      <c r="A653" s="7" t="str">
        <f>IFERROR(__xludf.DUMMYFUNCTION("""COMPUTED_VALUE"""),"MALAWI ")</f>
        <v>MALAWI </v>
      </c>
      <c r="B653" s="8">
        <f>IFERROR(__xludf.DUMMYFUNCTION("""COMPUTED_VALUE"""),8.0)</f>
        <v>8</v>
      </c>
      <c r="C653" s="7" t="str">
        <f>IFERROR(__xludf.DUMMYFUNCTION("""COMPUTED_VALUE"""),"G_19")</f>
        <v>G_19</v>
      </c>
      <c r="D653" s="7" t="str">
        <f>IFERROR(__xludf.DUMMYFUNCTION("""COMPUTED_VALUE"""),"Q42e")</f>
        <v>Q42e</v>
      </c>
      <c r="E653" s="7" t="str">
        <f>IFERROR(__xludf.DUMMYFUNCTION("""COMPUTED_VALUE"""),"Corruption: Police")</f>
        <v>Corruption: Police</v>
      </c>
      <c r="F653" s="7" t="str">
        <f>IFERROR(__xludf.DUMMYFUNCTION("""COMPUTED_VALUE"""),"Police")</f>
        <v>Police</v>
      </c>
    </row>
    <row r="654">
      <c r="A654" s="7" t="str">
        <f>IFERROR(__xludf.DUMMYFUNCTION("""COMPUTED_VALUE"""),"MOROCCO ")</f>
        <v>MOROCCO </v>
      </c>
      <c r="B654" s="8">
        <f>IFERROR(__xludf.DUMMYFUNCTION("""COMPUTED_VALUE"""),8.0)</f>
        <v>8</v>
      </c>
      <c r="C654" s="7" t="str">
        <f>IFERROR(__xludf.DUMMYFUNCTION("""COMPUTED_VALUE"""),"G_19")</f>
        <v>G_19</v>
      </c>
      <c r="D654" s="7" t="str">
        <f>IFERROR(__xludf.DUMMYFUNCTION("""COMPUTED_VALUE"""),"Q42e")</f>
        <v>Q42e</v>
      </c>
      <c r="E654" s="7" t="str">
        <f>IFERROR(__xludf.DUMMYFUNCTION("""COMPUTED_VALUE"""),"Corruption: Police")</f>
        <v>Corruption: Police</v>
      </c>
      <c r="F654" s="7" t="str">
        <f>IFERROR(__xludf.DUMMYFUNCTION("""COMPUTED_VALUE"""),"Police")</f>
        <v>Police</v>
      </c>
    </row>
    <row r="655">
      <c r="A655" s="7" t="str">
        <f>IFERROR(__xludf.DUMMYFUNCTION("""COMPUTED_VALUE"""),"MOZAMBIQUE")</f>
        <v>MOZAMBIQUE</v>
      </c>
      <c r="B655" s="8">
        <f>IFERROR(__xludf.DUMMYFUNCTION("""COMPUTED_VALUE"""),8.0)</f>
        <v>8</v>
      </c>
      <c r="C655" s="7" t="str">
        <f>IFERROR(__xludf.DUMMYFUNCTION("""COMPUTED_VALUE"""),"G_19")</f>
        <v>G_19</v>
      </c>
      <c r="D655" s="7" t="str">
        <f>IFERROR(__xludf.DUMMYFUNCTION("""COMPUTED_VALUE"""),"Q42e")</f>
        <v>Q42e</v>
      </c>
      <c r="E655" s="7" t="str">
        <f>IFERROR(__xludf.DUMMYFUNCTION("""COMPUTED_VALUE"""),"Corruption: Police")</f>
        <v>Corruption: Police</v>
      </c>
      <c r="F655" s="7" t="str">
        <f>IFERROR(__xludf.DUMMYFUNCTION("""COMPUTED_VALUE"""),"Police")</f>
        <v>Police</v>
      </c>
    </row>
    <row r="656">
      <c r="A656" s="7" t="str">
        <f>IFERROR(__xludf.DUMMYFUNCTION("""COMPUTED_VALUE"""),"NAMIBIA ")</f>
        <v>NAMIBIA </v>
      </c>
      <c r="B656" s="8">
        <f>IFERROR(__xludf.DUMMYFUNCTION("""COMPUTED_VALUE"""),8.0)</f>
        <v>8</v>
      </c>
      <c r="C656" s="7" t="str">
        <f>IFERROR(__xludf.DUMMYFUNCTION("""COMPUTED_VALUE"""),"G_19")</f>
        <v>G_19</v>
      </c>
      <c r="D656" s="7" t="str">
        <f>IFERROR(__xludf.DUMMYFUNCTION("""COMPUTED_VALUE"""),"Q42e")</f>
        <v>Q42e</v>
      </c>
      <c r="E656" s="7" t="str">
        <f>IFERROR(__xludf.DUMMYFUNCTION("""COMPUTED_VALUE"""),"Corruption: Police")</f>
        <v>Corruption: Police</v>
      </c>
      <c r="F656" s="7" t="str">
        <f>IFERROR(__xludf.DUMMYFUNCTION("""COMPUTED_VALUE"""),"Police")</f>
        <v>Police</v>
      </c>
    </row>
    <row r="657">
      <c r="A657" s="7" t="str">
        <f>IFERROR(__xludf.DUMMYFUNCTION("""COMPUTED_VALUE"""),"NIGERIA ")</f>
        <v>NIGERIA </v>
      </c>
      <c r="B657" s="8">
        <f>IFERROR(__xludf.DUMMYFUNCTION("""COMPUTED_VALUE"""),8.0)</f>
        <v>8</v>
      </c>
      <c r="C657" s="7" t="str">
        <f>IFERROR(__xludf.DUMMYFUNCTION("""COMPUTED_VALUE"""),"G_19")</f>
        <v>G_19</v>
      </c>
      <c r="D657" s="7" t="str">
        <f>IFERROR(__xludf.DUMMYFUNCTION("""COMPUTED_VALUE"""),"Q42e")</f>
        <v>Q42e</v>
      </c>
      <c r="E657" s="7" t="str">
        <f>IFERROR(__xludf.DUMMYFUNCTION("""COMPUTED_VALUE"""),"Corruption: Police")</f>
        <v>Corruption: Police</v>
      </c>
      <c r="F657" s="7" t="str">
        <f>IFERROR(__xludf.DUMMYFUNCTION("""COMPUTED_VALUE"""),"Police")</f>
        <v>Police</v>
      </c>
    </row>
    <row r="658">
      <c r="A658" s="7" t="str">
        <f>IFERROR(__xludf.DUMMYFUNCTION("""COMPUTED_VALUE"""),"SIERRA LEONE")</f>
        <v>SIERRA LEONE</v>
      </c>
      <c r="B658" s="8">
        <f>IFERROR(__xludf.DUMMYFUNCTION("""COMPUTED_VALUE"""),8.0)</f>
        <v>8</v>
      </c>
      <c r="C658" s="7" t="str">
        <f>IFERROR(__xludf.DUMMYFUNCTION("""COMPUTED_VALUE"""),"G_19")</f>
        <v>G_19</v>
      </c>
      <c r="D658" s="7" t="str">
        <f>IFERROR(__xludf.DUMMYFUNCTION("""COMPUTED_VALUE"""),"Q42e")</f>
        <v>Q42e</v>
      </c>
      <c r="E658" s="7" t="str">
        <f>IFERROR(__xludf.DUMMYFUNCTION("""COMPUTED_VALUE"""),"Corruption: Police")</f>
        <v>Corruption: Police</v>
      </c>
      <c r="F658" s="7" t="str">
        <f>IFERROR(__xludf.DUMMYFUNCTION("""COMPUTED_VALUE"""),"Police")</f>
        <v>Police</v>
      </c>
    </row>
    <row r="659">
      <c r="A659" s="7" t="str">
        <f>IFERROR(__xludf.DUMMYFUNCTION("""COMPUTED_VALUE"""),"SOUTH AFRICA")</f>
        <v>SOUTH AFRICA</v>
      </c>
      <c r="B659" s="8">
        <f>IFERROR(__xludf.DUMMYFUNCTION("""COMPUTED_VALUE"""),8.0)</f>
        <v>8</v>
      </c>
      <c r="C659" s="7" t="str">
        <f>IFERROR(__xludf.DUMMYFUNCTION("""COMPUTED_VALUE"""),"G_19")</f>
        <v>G_19</v>
      </c>
      <c r="D659" s="7" t="str">
        <f>IFERROR(__xludf.DUMMYFUNCTION("""COMPUTED_VALUE"""),"Q42e")</f>
        <v>Q42e</v>
      </c>
      <c r="E659" s="7" t="str">
        <f>IFERROR(__xludf.DUMMYFUNCTION("""COMPUTED_VALUE"""),"Corruption: Police")</f>
        <v>Corruption: Police</v>
      </c>
      <c r="F659" s="7" t="str">
        <f>IFERROR(__xludf.DUMMYFUNCTION("""COMPUTED_VALUE"""),"Police")</f>
        <v>Police</v>
      </c>
    </row>
    <row r="660">
      <c r="A660" s="7" t="str">
        <f>IFERROR(__xludf.DUMMYFUNCTION("""COMPUTED_VALUE"""),"SUDAN")</f>
        <v>SUDAN</v>
      </c>
      <c r="B660" s="8">
        <f>IFERROR(__xludf.DUMMYFUNCTION("""COMPUTED_VALUE"""),8.0)</f>
        <v>8</v>
      </c>
      <c r="C660" s="7" t="str">
        <f>IFERROR(__xludf.DUMMYFUNCTION("""COMPUTED_VALUE"""),"G_19")</f>
        <v>G_19</v>
      </c>
      <c r="D660" s="7" t="str">
        <f>IFERROR(__xludf.DUMMYFUNCTION("""COMPUTED_VALUE"""),"Q42e")</f>
        <v>Q42e</v>
      </c>
      <c r="E660" s="7" t="str">
        <f>IFERROR(__xludf.DUMMYFUNCTION("""COMPUTED_VALUE"""),"Corruption: Police")</f>
        <v>Corruption: Police</v>
      </c>
      <c r="F660" s="7" t="str">
        <f>IFERROR(__xludf.DUMMYFUNCTION("""COMPUTED_VALUE"""),"Police")</f>
        <v>Police</v>
      </c>
    </row>
    <row r="661">
      <c r="A661" s="7" t="str">
        <f>IFERROR(__xludf.DUMMYFUNCTION("""COMPUTED_VALUE"""),"TANZANIA")</f>
        <v>TANZANIA</v>
      </c>
      <c r="B661" s="8">
        <f>IFERROR(__xludf.DUMMYFUNCTION("""COMPUTED_VALUE"""),8.0)</f>
        <v>8</v>
      </c>
      <c r="C661" s="7" t="str">
        <f>IFERROR(__xludf.DUMMYFUNCTION("""COMPUTED_VALUE"""),"G_19")</f>
        <v>G_19</v>
      </c>
      <c r="D661" s="7" t="str">
        <f>IFERROR(__xludf.DUMMYFUNCTION("""COMPUTED_VALUE"""),"Q42e")</f>
        <v>Q42e</v>
      </c>
      <c r="E661" s="7" t="str">
        <f>IFERROR(__xludf.DUMMYFUNCTION("""COMPUTED_VALUE"""),"Corruption: Police")</f>
        <v>Corruption: Police</v>
      </c>
      <c r="F661" s="7" t="str">
        <f>IFERROR(__xludf.DUMMYFUNCTION("""COMPUTED_VALUE"""),"Police")</f>
        <v>Police</v>
      </c>
    </row>
    <row r="662">
      <c r="A662" s="7" t="str">
        <f>IFERROR(__xludf.DUMMYFUNCTION("""COMPUTED_VALUE"""),"TUNISIA ")</f>
        <v>TUNISIA </v>
      </c>
      <c r="B662" s="8">
        <f>IFERROR(__xludf.DUMMYFUNCTION("""COMPUTED_VALUE"""),8.0)</f>
        <v>8</v>
      </c>
      <c r="C662" s="7" t="str">
        <f>IFERROR(__xludf.DUMMYFUNCTION("""COMPUTED_VALUE"""),"G_19")</f>
        <v>G_19</v>
      </c>
      <c r="D662" s="7" t="str">
        <f>IFERROR(__xludf.DUMMYFUNCTION("""COMPUTED_VALUE"""),"Q42e")</f>
        <v>Q42e</v>
      </c>
      <c r="E662" s="7" t="str">
        <f>IFERROR(__xludf.DUMMYFUNCTION("""COMPUTED_VALUE"""),"Corruption: Police")</f>
        <v>Corruption: Police</v>
      </c>
      <c r="F662" s="7" t="str">
        <f>IFERROR(__xludf.DUMMYFUNCTION("""COMPUTED_VALUE"""),"Police")</f>
        <v>Police</v>
      </c>
    </row>
    <row r="663">
      <c r="A663" s="7" t="str">
        <f>IFERROR(__xludf.DUMMYFUNCTION("""COMPUTED_VALUE"""),"UGANDA  ")</f>
        <v>UGANDA  </v>
      </c>
      <c r="B663" s="8">
        <f>IFERROR(__xludf.DUMMYFUNCTION("""COMPUTED_VALUE"""),8.0)</f>
        <v>8</v>
      </c>
      <c r="C663" s="7" t="str">
        <f>IFERROR(__xludf.DUMMYFUNCTION("""COMPUTED_VALUE"""),"G_19")</f>
        <v>G_19</v>
      </c>
      <c r="D663" s="7" t="str">
        <f>IFERROR(__xludf.DUMMYFUNCTION("""COMPUTED_VALUE"""),"Q42e")</f>
        <v>Q42e</v>
      </c>
      <c r="E663" s="7" t="str">
        <f>IFERROR(__xludf.DUMMYFUNCTION("""COMPUTED_VALUE"""),"Corruption: Police")</f>
        <v>Corruption: Police</v>
      </c>
      <c r="F663" s="7" t="str">
        <f>IFERROR(__xludf.DUMMYFUNCTION("""COMPUTED_VALUE"""),"Police")</f>
        <v>Police</v>
      </c>
    </row>
    <row r="664">
      <c r="A664" s="7" t="str">
        <f>IFERROR(__xludf.DUMMYFUNCTION("""COMPUTED_VALUE"""),"ZAMBIA")</f>
        <v>ZAMBIA</v>
      </c>
      <c r="B664" s="8">
        <f>IFERROR(__xludf.DUMMYFUNCTION("""COMPUTED_VALUE"""),8.0)</f>
        <v>8</v>
      </c>
      <c r="C664" s="7" t="str">
        <f>IFERROR(__xludf.DUMMYFUNCTION("""COMPUTED_VALUE"""),"G_19")</f>
        <v>G_19</v>
      </c>
      <c r="D664" s="7" t="str">
        <f>IFERROR(__xludf.DUMMYFUNCTION("""COMPUTED_VALUE"""),"Q42e")</f>
        <v>Q42e</v>
      </c>
      <c r="E664" s="7" t="str">
        <f>IFERROR(__xludf.DUMMYFUNCTION("""COMPUTED_VALUE"""),"Corruption: Police")</f>
        <v>Corruption: Police</v>
      </c>
      <c r="F664" s="7" t="str">
        <f>IFERROR(__xludf.DUMMYFUNCTION("""COMPUTED_VALUE"""),"Police")</f>
        <v>Police</v>
      </c>
    </row>
    <row r="665">
      <c r="A665" s="7" t="str">
        <f>IFERROR(__xludf.DUMMYFUNCTION("""COMPUTED_VALUE"""),"ZIMBABWE")</f>
        <v>ZIMBABWE</v>
      </c>
      <c r="B665" s="8">
        <f>IFERROR(__xludf.DUMMYFUNCTION("""COMPUTED_VALUE"""),8.0)</f>
        <v>8</v>
      </c>
      <c r="C665" s="7" t="str">
        <f>IFERROR(__xludf.DUMMYFUNCTION("""COMPUTED_VALUE"""),"G_19")</f>
        <v>G_19</v>
      </c>
      <c r="D665" s="7" t="str">
        <f>IFERROR(__xludf.DUMMYFUNCTION("""COMPUTED_VALUE"""),"Q42e")</f>
        <v>Q42e</v>
      </c>
      <c r="E665" s="7" t="str">
        <f>IFERROR(__xludf.DUMMYFUNCTION("""COMPUTED_VALUE"""),"Corruption: Police")</f>
        <v>Corruption: Police</v>
      </c>
      <c r="F665" s="7" t="str">
        <f>IFERROR(__xludf.DUMMYFUNCTION("""COMPUTED_VALUE"""),"Police")</f>
        <v>Police</v>
      </c>
    </row>
    <row r="666">
      <c r="A666" s="7" t="str">
        <f>IFERROR(__xludf.DUMMYFUNCTION("""COMPUTED_VALUE"""),"BOTSWANA ")</f>
        <v>BOTSWANA </v>
      </c>
      <c r="B666" s="8">
        <f>IFERROR(__xludf.DUMMYFUNCTION("""COMPUTED_VALUE"""),8.0)</f>
        <v>8</v>
      </c>
      <c r="C666" s="7" t="str">
        <f>IFERROR(__xludf.DUMMYFUNCTION("""COMPUTED_VALUE"""),"G_09")</f>
        <v>G_09</v>
      </c>
      <c r="D666" s="7" t="str">
        <f>IFERROR(__xludf.DUMMYFUNCTION("""COMPUTED_VALUE"""),"Q42f")</f>
        <v>Q42f</v>
      </c>
      <c r="E666" s="7" t="str">
        <f>IFERROR(__xludf.DUMMYFUNCTION("""COMPUTED_VALUE"""),"Corruption: Judges and Magistrates")</f>
        <v>Corruption: Judges and Magistrates</v>
      </c>
      <c r="F666" s="7" t="str">
        <f>IFERROR(__xludf.DUMMYFUNCTION("""COMPUTED_VALUE"""),"Judges and magistrates")</f>
        <v>Judges and magistrates</v>
      </c>
    </row>
    <row r="667">
      <c r="A667" s="7" t="str">
        <f>IFERROR(__xludf.DUMMYFUNCTION("""COMPUTED_VALUE"""),"CABO VERDE ")</f>
        <v>CABO VERDE </v>
      </c>
      <c r="B667" s="8">
        <f>IFERROR(__xludf.DUMMYFUNCTION("""COMPUTED_VALUE"""),8.0)</f>
        <v>8</v>
      </c>
      <c r="C667" s="7" t="str">
        <f>IFERROR(__xludf.DUMMYFUNCTION("""COMPUTED_VALUE"""),"G_09")</f>
        <v>G_09</v>
      </c>
      <c r="D667" s="7" t="str">
        <f>IFERROR(__xludf.DUMMYFUNCTION("""COMPUTED_VALUE"""),"Q42f")</f>
        <v>Q42f</v>
      </c>
      <c r="E667" s="7" t="str">
        <f>IFERROR(__xludf.DUMMYFUNCTION("""COMPUTED_VALUE"""),"Corruption: Judges and Magistrates")</f>
        <v>Corruption: Judges and Magistrates</v>
      </c>
      <c r="F667" s="7" t="str">
        <f>IFERROR(__xludf.DUMMYFUNCTION("""COMPUTED_VALUE"""),"Judges and magistrates")</f>
        <v>Judges and magistrates</v>
      </c>
    </row>
    <row r="668">
      <c r="A668" s="7" t="str">
        <f>IFERROR(__xludf.DUMMYFUNCTION("""COMPUTED_VALUE"""),"CAMEROON")</f>
        <v>CAMEROON</v>
      </c>
      <c r="B668" s="8">
        <f>IFERROR(__xludf.DUMMYFUNCTION("""COMPUTED_VALUE"""),8.0)</f>
        <v>8</v>
      </c>
      <c r="C668" s="7" t="str">
        <f>IFERROR(__xludf.DUMMYFUNCTION("""COMPUTED_VALUE"""),"G_09")</f>
        <v>G_09</v>
      </c>
      <c r="D668" s="7" t="str">
        <f>IFERROR(__xludf.DUMMYFUNCTION("""COMPUTED_VALUE"""),"Q42f")</f>
        <v>Q42f</v>
      </c>
      <c r="E668" s="7" t="str">
        <f>IFERROR(__xludf.DUMMYFUNCTION("""COMPUTED_VALUE"""),"Corruption: Judges and Magistrates")</f>
        <v>Corruption: Judges and Magistrates</v>
      </c>
      <c r="F668" s="7" t="str">
        <f>IFERROR(__xludf.DUMMYFUNCTION("""COMPUTED_VALUE"""),"Judges and magistrates")</f>
        <v>Judges and magistrates</v>
      </c>
    </row>
    <row r="669">
      <c r="A669" s="7" t="str">
        <f>IFERROR(__xludf.DUMMYFUNCTION("""COMPUTED_VALUE"""),"ESWATINI")</f>
        <v>ESWATINI</v>
      </c>
      <c r="B669" s="8">
        <f>IFERROR(__xludf.DUMMYFUNCTION("""COMPUTED_VALUE"""),8.0)</f>
        <v>8</v>
      </c>
      <c r="C669" s="7" t="str">
        <f>IFERROR(__xludf.DUMMYFUNCTION("""COMPUTED_VALUE"""),"G_09")</f>
        <v>G_09</v>
      </c>
      <c r="D669" s="7" t="str">
        <f>IFERROR(__xludf.DUMMYFUNCTION("""COMPUTED_VALUE"""),"Q42f")</f>
        <v>Q42f</v>
      </c>
      <c r="E669" s="7" t="str">
        <f>IFERROR(__xludf.DUMMYFUNCTION("""COMPUTED_VALUE"""),"Corruption: Judges and Magistrates")</f>
        <v>Corruption: Judges and Magistrates</v>
      </c>
      <c r="F669" s="7" t="str">
        <f>IFERROR(__xludf.DUMMYFUNCTION("""COMPUTED_VALUE"""),"Judges and magistrates")</f>
        <v>Judges and magistrates</v>
      </c>
    </row>
    <row r="670">
      <c r="A670" s="7" t="str">
        <f>IFERROR(__xludf.DUMMYFUNCTION("""COMPUTED_VALUE"""),"ETHIOPIA")</f>
        <v>ETHIOPIA</v>
      </c>
      <c r="B670" s="8">
        <f>IFERROR(__xludf.DUMMYFUNCTION("""COMPUTED_VALUE"""),8.0)</f>
        <v>8</v>
      </c>
      <c r="C670" s="7" t="str">
        <f>IFERROR(__xludf.DUMMYFUNCTION("""COMPUTED_VALUE"""),"G_09")</f>
        <v>G_09</v>
      </c>
      <c r="D670" s="7" t="str">
        <f>IFERROR(__xludf.DUMMYFUNCTION("""COMPUTED_VALUE"""),"Q42f")</f>
        <v>Q42f</v>
      </c>
      <c r="E670" s="7" t="str">
        <f>IFERROR(__xludf.DUMMYFUNCTION("""COMPUTED_VALUE"""),"Corruption: Judges and Magistrates")</f>
        <v>Corruption: Judges and Magistrates</v>
      </c>
      <c r="F670" s="7" t="str">
        <f>IFERROR(__xludf.DUMMYFUNCTION("""COMPUTED_VALUE"""),"Judges and magistrates")</f>
        <v>Judges and magistrates</v>
      </c>
    </row>
    <row r="671">
      <c r="A671" s="7" t="str">
        <f>IFERROR(__xludf.DUMMYFUNCTION("""COMPUTED_VALUE"""),"GAMBIA")</f>
        <v>GAMBIA</v>
      </c>
      <c r="B671" s="8">
        <f>IFERROR(__xludf.DUMMYFUNCTION("""COMPUTED_VALUE"""),8.0)</f>
        <v>8</v>
      </c>
      <c r="C671" s="7" t="str">
        <f>IFERROR(__xludf.DUMMYFUNCTION("""COMPUTED_VALUE"""),"G_09")</f>
        <v>G_09</v>
      </c>
      <c r="D671" s="7" t="str">
        <f>IFERROR(__xludf.DUMMYFUNCTION("""COMPUTED_VALUE"""),"Q42f")</f>
        <v>Q42f</v>
      </c>
      <c r="E671" s="7" t="str">
        <f>IFERROR(__xludf.DUMMYFUNCTION("""COMPUTED_VALUE"""),"Corruption: Judges and Magistrates")</f>
        <v>Corruption: Judges and Magistrates</v>
      </c>
      <c r="F671" s="7" t="str">
        <f>IFERROR(__xludf.DUMMYFUNCTION("""COMPUTED_VALUE"""),"Judges and magistrates")</f>
        <v>Judges and magistrates</v>
      </c>
    </row>
    <row r="672">
      <c r="A672" s="7" t="str">
        <f>IFERROR(__xludf.DUMMYFUNCTION("""COMPUTED_VALUE"""),"KENYA  ")</f>
        <v>KENYA  </v>
      </c>
      <c r="B672" s="8">
        <f>IFERROR(__xludf.DUMMYFUNCTION("""COMPUTED_VALUE"""),8.0)</f>
        <v>8</v>
      </c>
      <c r="C672" s="7" t="str">
        <f>IFERROR(__xludf.DUMMYFUNCTION("""COMPUTED_VALUE"""),"G_09")</f>
        <v>G_09</v>
      </c>
      <c r="D672" s="7" t="str">
        <f>IFERROR(__xludf.DUMMYFUNCTION("""COMPUTED_VALUE"""),"Q42f")</f>
        <v>Q42f</v>
      </c>
      <c r="E672" s="7" t="str">
        <f>IFERROR(__xludf.DUMMYFUNCTION("""COMPUTED_VALUE"""),"Corruption: Judges and Magistrates")</f>
        <v>Corruption: Judges and Magistrates</v>
      </c>
      <c r="F672" s="7" t="str">
        <f>IFERROR(__xludf.DUMMYFUNCTION("""COMPUTED_VALUE"""),"Judges and magistrates")</f>
        <v>Judges and magistrates</v>
      </c>
    </row>
    <row r="673">
      <c r="A673" s="7" t="str">
        <f>IFERROR(__xludf.DUMMYFUNCTION("""COMPUTED_VALUE"""),"LESOTHO ")</f>
        <v>LESOTHO </v>
      </c>
      <c r="B673" s="8">
        <f>IFERROR(__xludf.DUMMYFUNCTION("""COMPUTED_VALUE"""),8.0)</f>
        <v>8</v>
      </c>
      <c r="C673" s="7" t="str">
        <f>IFERROR(__xludf.DUMMYFUNCTION("""COMPUTED_VALUE"""),"G_09")</f>
        <v>G_09</v>
      </c>
      <c r="D673" s="7" t="str">
        <f>IFERROR(__xludf.DUMMYFUNCTION("""COMPUTED_VALUE"""),"Q42f")</f>
        <v>Q42f</v>
      </c>
      <c r="E673" s="7" t="str">
        <f>IFERROR(__xludf.DUMMYFUNCTION("""COMPUTED_VALUE"""),"Corruption: Judges and Magistrates")</f>
        <v>Corruption: Judges and Magistrates</v>
      </c>
      <c r="F673" s="7" t="str">
        <f>IFERROR(__xludf.DUMMYFUNCTION("""COMPUTED_VALUE"""),"Judges and magistrates")</f>
        <v>Judges and magistrates</v>
      </c>
    </row>
    <row r="674">
      <c r="A674" s="7" t="str">
        <f>IFERROR(__xludf.DUMMYFUNCTION("""COMPUTED_VALUE"""),"LIBERIA  ")</f>
        <v>LIBERIA  </v>
      </c>
      <c r="B674" s="8">
        <f>IFERROR(__xludf.DUMMYFUNCTION("""COMPUTED_VALUE"""),8.0)</f>
        <v>8</v>
      </c>
      <c r="C674" s="7" t="str">
        <f>IFERROR(__xludf.DUMMYFUNCTION("""COMPUTED_VALUE"""),"G_09")</f>
        <v>G_09</v>
      </c>
      <c r="D674" s="7" t="str">
        <f>IFERROR(__xludf.DUMMYFUNCTION("""COMPUTED_VALUE"""),"Q42f")</f>
        <v>Q42f</v>
      </c>
      <c r="E674" s="7" t="str">
        <f>IFERROR(__xludf.DUMMYFUNCTION("""COMPUTED_VALUE"""),"Corruption: Judges and Magistrates")</f>
        <v>Corruption: Judges and Magistrates</v>
      </c>
      <c r="F674" s="7" t="str">
        <f>IFERROR(__xludf.DUMMYFUNCTION("""COMPUTED_VALUE"""),"Judges and magistrates")</f>
        <v>Judges and magistrates</v>
      </c>
    </row>
    <row r="675">
      <c r="A675" s="7" t="str">
        <f>IFERROR(__xludf.DUMMYFUNCTION("""COMPUTED_VALUE"""),"MALAWI ")</f>
        <v>MALAWI </v>
      </c>
      <c r="B675" s="8">
        <f>IFERROR(__xludf.DUMMYFUNCTION("""COMPUTED_VALUE"""),8.0)</f>
        <v>8</v>
      </c>
      <c r="C675" s="7" t="str">
        <f>IFERROR(__xludf.DUMMYFUNCTION("""COMPUTED_VALUE"""),"G_09")</f>
        <v>G_09</v>
      </c>
      <c r="D675" s="7" t="str">
        <f>IFERROR(__xludf.DUMMYFUNCTION("""COMPUTED_VALUE"""),"Q42f")</f>
        <v>Q42f</v>
      </c>
      <c r="E675" s="7" t="str">
        <f>IFERROR(__xludf.DUMMYFUNCTION("""COMPUTED_VALUE"""),"Corruption: Judges and Magistrates")</f>
        <v>Corruption: Judges and Magistrates</v>
      </c>
      <c r="F675" s="7" t="str">
        <f>IFERROR(__xludf.DUMMYFUNCTION("""COMPUTED_VALUE"""),"Judges and magistrates")</f>
        <v>Judges and magistrates</v>
      </c>
    </row>
    <row r="676">
      <c r="A676" s="7" t="str">
        <f>IFERROR(__xludf.DUMMYFUNCTION("""COMPUTED_VALUE"""),"MOROCCO ")</f>
        <v>MOROCCO </v>
      </c>
      <c r="B676" s="8">
        <f>IFERROR(__xludf.DUMMYFUNCTION("""COMPUTED_VALUE"""),8.0)</f>
        <v>8</v>
      </c>
      <c r="C676" s="7" t="str">
        <f>IFERROR(__xludf.DUMMYFUNCTION("""COMPUTED_VALUE"""),"G_09")</f>
        <v>G_09</v>
      </c>
      <c r="D676" s="7" t="str">
        <f>IFERROR(__xludf.DUMMYFUNCTION("""COMPUTED_VALUE"""),"Q42f")</f>
        <v>Q42f</v>
      </c>
      <c r="E676" s="7" t="str">
        <f>IFERROR(__xludf.DUMMYFUNCTION("""COMPUTED_VALUE"""),"Corruption: Judges and Magistrates")</f>
        <v>Corruption: Judges and Magistrates</v>
      </c>
      <c r="F676" s="7" t="str">
        <f>IFERROR(__xludf.DUMMYFUNCTION("""COMPUTED_VALUE"""),"Judges and magistrates")</f>
        <v>Judges and magistrates</v>
      </c>
    </row>
    <row r="677">
      <c r="A677" s="7" t="str">
        <f>IFERROR(__xludf.DUMMYFUNCTION("""COMPUTED_VALUE"""),"MOZAMBIQUE")</f>
        <v>MOZAMBIQUE</v>
      </c>
      <c r="B677" s="8">
        <f>IFERROR(__xludf.DUMMYFUNCTION("""COMPUTED_VALUE"""),8.0)</f>
        <v>8</v>
      </c>
      <c r="C677" s="7" t="str">
        <f>IFERROR(__xludf.DUMMYFUNCTION("""COMPUTED_VALUE"""),"G_09")</f>
        <v>G_09</v>
      </c>
      <c r="D677" s="7" t="str">
        <f>IFERROR(__xludf.DUMMYFUNCTION("""COMPUTED_VALUE"""),"Q42f")</f>
        <v>Q42f</v>
      </c>
      <c r="E677" s="7" t="str">
        <f>IFERROR(__xludf.DUMMYFUNCTION("""COMPUTED_VALUE"""),"Corruption: Judges and Magistrates")</f>
        <v>Corruption: Judges and Magistrates</v>
      </c>
      <c r="F677" s="7" t="str">
        <f>IFERROR(__xludf.DUMMYFUNCTION("""COMPUTED_VALUE"""),"Judges and magistrates")</f>
        <v>Judges and magistrates</v>
      </c>
    </row>
    <row r="678">
      <c r="A678" s="7" t="str">
        <f>IFERROR(__xludf.DUMMYFUNCTION("""COMPUTED_VALUE"""),"NAMIBIA ")</f>
        <v>NAMIBIA </v>
      </c>
      <c r="B678" s="8">
        <f>IFERROR(__xludf.DUMMYFUNCTION("""COMPUTED_VALUE"""),8.0)</f>
        <v>8</v>
      </c>
      <c r="C678" s="7" t="str">
        <f>IFERROR(__xludf.DUMMYFUNCTION("""COMPUTED_VALUE"""),"G_09")</f>
        <v>G_09</v>
      </c>
      <c r="D678" s="7" t="str">
        <f>IFERROR(__xludf.DUMMYFUNCTION("""COMPUTED_VALUE"""),"Q42f")</f>
        <v>Q42f</v>
      </c>
      <c r="E678" s="7" t="str">
        <f>IFERROR(__xludf.DUMMYFUNCTION("""COMPUTED_VALUE"""),"Corruption: Judges and Magistrates")</f>
        <v>Corruption: Judges and Magistrates</v>
      </c>
      <c r="F678" s="7" t="str">
        <f>IFERROR(__xludf.DUMMYFUNCTION("""COMPUTED_VALUE"""),"Judges and magistrates")</f>
        <v>Judges and magistrates</v>
      </c>
    </row>
    <row r="679">
      <c r="A679" s="7" t="str">
        <f>IFERROR(__xludf.DUMMYFUNCTION("""COMPUTED_VALUE"""),"NIGERIA ")</f>
        <v>NIGERIA </v>
      </c>
      <c r="B679" s="8">
        <f>IFERROR(__xludf.DUMMYFUNCTION("""COMPUTED_VALUE"""),8.0)</f>
        <v>8</v>
      </c>
      <c r="C679" s="7" t="str">
        <f>IFERROR(__xludf.DUMMYFUNCTION("""COMPUTED_VALUE"""),"G_09")</f>
        <v>G_09</v>
      </c>
      <c r="D679" s="7" t="str">
        <f>IFERROR(__xludf.DUMMYFUNCTION("""COMPUTED_VALUE"""),"Q42f")</f>
        <v>Q42f</v>
      </c>
      <c r="E679" s="7" t="str">
        <f>IFERROR(__xludf.DUMMYFUNCTION("""COMPUTED_VALUE"""),"Corruption: Judges and Magistrates")</f>
        <v>Corruption: Judges and Magistrates</v>
      </c>
      <c r="F679" s="7" t="str">
        <f>IFERROR(__xludf.DUMMYFUNCTION("""COMPUTED_VALUE"""),"Judges and Magistrates")</f>
        <v>Judges and Magistrates</v>
      </c>
    </row>
    <row r="680">
      <c r="A680" s="7" t="str">
        <f>IFERROR(__xludf.DUMMYFUNCTION("""COMPUTED_VALUE"""),"SIERRA LEONE")</f>
        <v>SIERRA LEONE</v>
      </c>
      <c r="B680" s="8">
        <f>IFERROR(__xludf.DUMMYFUNCTION("""COMPUTED_VALUE"""),8.0)</f>
        <v>8</v>
      </c>
      <c r="C680" s="7" t="str">
        <f>IFERROR(__xludf.DUMMYFUNCTION("""COMPUTED_VALUE"""),"G_09")</f>
        <v>G_09</v>
      </c>
      <c r="D680" s="7" t="str">
        <f>IFERROR(__xludf.DUMMYFUNCTION("""COMPUTED_VALUE"""),"Q42f")</f>
        <v>Q42f</v>
      </c>
      <c r="E680" s="7" t="str">
        <f>IFERROR(__xludf.DUMMYFUNCTION("""COMPUTED_VALUE"""),"Corruption: Judges and Magistrates")</f>
        <v>Corruption: Judges and Magistrates</v>
      </c>
      <c r="F680" s="7" t="str">
        <f>IFERROR(__xludf.DUMMYFUNCTION("""COMPUTED_VALUE"""),"Judges and magistrates")</f>
        <v>Judges and magistrates</v>
      </c>
    </row>
    <row r="681">
      <c r="A681" s="7" t="str">
        <f>IFERROR(__xludf.DUMMYFUNCTION("""COMPUTED_VALUE"""),"SOUTH AFRICA")</f>
        <v>SOUTH AFRICA</v>
      </c>
      <c r="B681" s="8">
        <f>IFERROR(__xludf.DUMMYFUNCTION("""COMPUTED_VALUE"""),8.0)</f>
        <v>8</v>
      </c>
      <c r="C681" s="7" t="str">
        <f>IFERROR(__xludf.DUMMYFUNCTION("""COMPUTED_VALUE"""),"G_09")</f>
        <v>G_09</v>
      </c>
      <c r="D681" s="7" t="str">
        <f>IFERROR(__xludf.DUMMYFUNCTION("""COMPUTED_VALUE"""),"Q42f")</f>
        <v>Q42f</v>
      </c>
      <c r="E681" s="7" t="str">
        <f>IFERROR(__xludf.DUMMYFUNCTION("""COMPUTED_VALUE"""),"Corruption: Judges and Magistrates")</f>
        <v>Corruption: Judges and Magistrates</v>
      </c>
      <c r="F681" s="7" t="str">
        <f>IFERROR(__xludf.DUMMYFUNCTION("""COMPUTED_VALUE"""),"Judges and magistrates")</f>
        <v>Judges and magistrates</v>
      </c>
    </row>
    <row r="682">
      <c r="A682" s="7" t="str">
        <f>IFERROR(__xludf.DUMMYFUNCTION("""COMPUTED_VALUE"""),"SUDAN")</f>
        <v>SUDAN</v>
      </c>
      <c r="B682" s="8">
        <f>IFERROR(__xludf.DUMMYFUNCTION("""COMPUTED_VALUE"""),8.0)</f>
        <v>8</v>
      </c>
      <c r="C682" s="7" t="str">
        <f>IFERROR(__xludf.DUMMYFUNCTION("""COMPUTED_VALUE"""),"G_09")</f>
        <v>G_09</v>
      </c>
      <c r="D682" s="7" t="str">
        <f>IFERROR(__xludf.DUMMYFUNCTION("""COMPUTED_VALUE"""),"Q42f")</f>
        <v>Q42f</v>
      </c>
      <c r="E682" s="7" t="str">
        <f>IFERROR(__xludf.DUMMYFUNCTION("""COMPUTED_VALUE"""),"Corruption: Judges and Magistrates")</f>
        <v>Corruption: Judges and Magistrates</v>
      </c>
      <c r="F682" s="7" t="str">
        <f>IFERROR(__xludf.DUMMYFUNCTION("""COMPUTED_VALUE"""),"Judges and magistrates")</f>
        <v>Judges and magistrates</v>
      </c>
    </row>
    <row r="683">
      <c r="A683" s="7" t="str">
        <f>IFERROR(__xludf.DUMMYFUNCTION("""COMPUTED_VALUE"""),"TANZANIA")</f>
        <v>TANZANIA</v>
      </c>
      <c r="B683" s="8">
        <f>IFERROR(__xludf.DUMMYFUNCTION("""COMPUTED_VALUE"""),8.0)</f>
        <v>8</v>
      </c>
      <c r="C683" s="7" t="str">
        <f>IFERROR(__xludf.DUMMYFUNCTION("""COMPUTED_VALUE"""),"G_09")</f>
        <v>G_09</v>
      </c>
      <c r="D683" s="7" t="str">
        <f>IFERROR(__xludf.DUMMYFUNCTION("""COMPUTED_VALUE"""),"Q42f")</f>
        <v>Q42f</v>
      </c>
      <c r="E683" s="7" t="str">
        <f>IFERROR(__xludf.DUMMYFUNCTION("""COMPUTED_VALUE"""),"Corruption: Judges and Magistrates")</f>
        <v>Corruption: Judges and Magistrates</v>
      </c>
      <c r="F683" s="7" t="str">
        <f>IFERROR(__xludf.DUMMYFUNCTION("""COMPUTED_VALUE"""),"Judges and magistrates")</f>
        <v>Judges and magistrates</v>
      </c>
    </row>
    <row r="684">
      <c r="A684" s="7" t="str">
        <f>IFERROR(__xludf.DUMMYFUNCTION("""COMPUTED_VALUE"""),"TUNISIA ")</f>
        <v>TUNISIA </v>
      </c>
      <c r="B684" s="8">
        <f>IFERROR(__xludf.DUMMYFUNCTION("""COMPUTED_VALUE"""),8.0)</f>
        <v>8</v>
      </c>
      <c r="C684" s="7" t="str">
        <f>IFERROR(__xludf.DUMMYFUNCTION("""COMPUTED_VALUE"""),"G_09")</f>
        <v>G_09</v>
      </c>
      <c r="D684" s="7" t="str">
        <f>IFERROR(__xludf.DUMMYFUNCTION("""COMPUTED_VALUE"""),"Q42f")</f>
        <v>Q42f</v>
      </c>
      <c r="E684" s="7" t="str">
        <f>IFERROR(__xludf.DUMMYFUNCTION("""COMPUTED_VALUE"""),"Corruption: Judges and Magistrates")</f>
        <v>Corruption: Judges and Magistrates</v>
      </c>
      <c r="F684" s="7" t="str">
        <f>IFERROR(__xludf.DUMMYFUNCTION("""COMPUTED_VALUE"""),"Judges and magistrates")</f>
        <v>Judges and magistrates</v>
      </c>
    </row>
    <row r="685">
      <c r="A685" s="7" t="str">
        <f>IFERROR(__xludf.DUMMYFUNCTION("""COMPUTED_VALUE"""),"UGANDA  ")</f>
        <v>UGANDA  </v>
      </c>
      <c r="B685" s="8">
        <f>IFERROR(__xludf.DUMMYFUNCTION("""COMPUTED_VALUE"""),8.0)</f>
        <v>8</v>
      </c>
      <c r="C685" s="7" t="str">
        <f>IFERROR(__xludf.DUMMYFUNCTION("""COMPUTED_VALUE"""),"G_09")</f>
        <v>G_09</v>
      </c>
      <c r="D685" s="7" t="str">
        <f>IFERROR(__xludf.DUMMYFUNCTION("""COMPUTED_VALUE"""),"Q42f")</f>
        <v>Q42f</v>
      </c>
      <c r="E685" s="7" t="str">
        <f>IFERROR(__xludf.DUMMYFUNCTION("""COMPUTED_VALUE"""),"Corruption: Judges and Magistrates")</f>
        <v>Corruption: Judges and Magistrates</v>
      </c>
      <c r="F685" s="7" t="str">
        <f>IFERROR(__xludf.DUMMYFUNCTION("""COMPUTED_VALUE"""),"Judges and magistrates")</f>
        <v>Judges and magistrates</v>
      </c>
    </row>
    <row r="686">
      <c r="A686" s="7" t="str">
        <f>IFERROR(__xludf.DUMMYFUNCTION("""COMPUTED_VALUE"""),"ZAMBIA")</f>
        <v>ZAMBIA</v>
      </c>
      <c r="B686" s="8">
        <f>IFERROR(__xludf.DUMMYFUNCTION("""COMPUTED_VALUE"""),8.0)</f>
        <v>8</v>
      </c>
      <c r="C686" s="7" t="str">
        <f>IFERROR(__xludf.DUMMYFUNCTION("""COMPUTED_VALUE"""),"G_09")</f>
        <v>G_09</v>
      </c>
      <c r="D686" s="7" t="str">
        <f>IFERROR(__xludf.DUMMYFUNCTION("""COMPUTED_VALUE"""),"Q42f")</f>
        <v>Q42f</v>
      </c>
      <c r="E686" s="7" t="str">
        <f>IFERROR(__xludf.DUMMYFUNCTION("""COMPUTED_VALUE"""),"Corruption: Judges and Magistrates")</f>
        <v>Corruption: Judges and Magistrates</v>
      </c>
      <c r="F686" s="7" t="str">
        <f>IFERROR(__xludf.DUMMYFUNCTION("""COMPUTED_VALUE"""),"Judges and magistrates")</f>
        <v>Judges and magistrates</v>
      </c>
    </row>
    <row r="687">
      <c r="A687" s="7" t="str">
        <f>IFERROR(__xludf.DUMMYFUNCTION("""COMPUTED_VALUE"""),"ZIMBABWE")</f>
        <v>ZIMBABWE</v>
      </c>
      <c r="B687" s="8">
        <f>IFERROR(__xludf.DUMMYFUNCTION("""COMPUTED_VALUE"""),8.0)</f>
        <v>8</v>
      </c>
      <c r="C687" s="7" t="str">
        <f>IFERROR(__xludf.DUMMYFUNCTION("""COMPUTED_VALUE"""),"G_09")</f>
        <v>G_09</v>
      </c>
      <c r="D687" s="7" t="str">
        <f>IFERROR(__xludf.DUMMYFUNCTION("""COMPUTED_VALUE"""),"Q42f")</f>
        <v>Q42f</v>
      </c>
      <c r="E687" s="7" t="str">
        <f>IFERROR(__xludf.DUMMYFUNCTION("""COMPUTED_VALUE"""),"Corruption: Judges and Magistrates")</f>
        <v>Corruption: Judges and Magistrates</v>
      </c>
      <c r="F687" s="7" t="str">
        <f>IFERROR(__xludf.DUMMYFUNCTION("""COMPUTED_VALUE"""),"Judges and magistrates")</f>
        <v>Judges and magistrates</v>
      </c>
    </row>
    <row r="688">
      <c r="A688" s="7" t="str">
        <f>IFERROR(__xludf.DUMMYFUNCTION("""COMPUTED_VALUE"""),"BOTSWANA ")</f>
        <v>BOTSWANA </v>
      </c>
      <c r="B688" s="8">
        <f>IFERROR(__xludf.DUMMYFUNCTION("""COMPUTED_VALUE"""),8.0)</f>
        <v>8</v>
      </c>
      <c r="C688" s="7" t="str">
        <f>IFERROR(__xludf.DUMMYFUNCTION("""COMPUTED_VALUE"""),"G_21")</f>
        <v>G_21</v>
      </c>
      <c r="D688" s="7" t="str">
        <f>IFERROR(__xludf.DUMMYFUNCTION("""COMPUTED_VALUE"""),"Q42g")</f>
        <v>Q42g</v>
      </c>
      <c r="E688" s="7" t="str">
        <f>IFERROR(__xludf.DUMMYFUNCTION("""COMPUTED_VALUE"""),"Corruption: Tax officials")</f>
        <v>Corruption: Tax officials</v>
      </c>
      <c r="F688" s="7" t="str">
        <f>IFERROR(__xludf.DUMMYFUNCTION("""COMPUTED_VALUE"""),"Tax officials, like officials from the Botswana Unified Revenue Service-BURS")</f>
        <v>Tax officials, like officials from the Botswana Unified Revenue Service-BURS</v>
      </c>
    </row>
    <row r="689">
      <c r="A689" s="7" t="str">
        <f>IFERROR(__xludf.DUMMYFUNCTION("""COMPUTED_VALUE"""),"CABO VERDE ")</f>
        <v>CABO VERDE </v>
      </c>
      <c r="B689" s="8">
        <f>IFERROR(__xludf.DUMMYFUNCTION("""COMPUTED_VALUE"""),8.0)</f>
        <v>8</v>
      </c>
      <c r="C689" s="7" t="str">
        <f>IFERROR(__xludf.DUMMYFUNCTION("""COMPUTED_VALUE"""),"G_21")</f>
        <v>G_21</v>
      </c>
      <c r="D689" s="7" t="str">
        <f>IFERROR(__xludf.DUMMYFUNCTION("""COMPUTED_VALUE"""),"Q42g")</f>
        <v>Q42g</v>
      </c>
      <c r="E689" s="7" t="str">
        <f>IFERROR(__xludf.DUMMYFUNCTION("""COMPUTED_VALUE"""),"Corruption: Tax officials")</f>
        <v>Corruption: Tax officials</v>
      </c>
      <c r="F689" s="7" t="str">
        <f>IFERROR(__xludf.DUMMYFUNCTION("""COMPUTED_VALUE"""),"Tax officials, like officials from the National Directorate of State Revenue or DNRE")</f>
        <v>Tax officials, like officials from the National Directorate of State Revenue or DNRE</v>
      </c>
    </row>
    <row r="690">
      <c r="A690" s="7" t="str">
        <f>IFERROR(__xludf.DUMMYFUNCTION("""COMPUTED_VALUE"""),"CAMEROON")</f>
        <v>CAMEROON</v>
      </c>
      <c r="B690" s="8">
        <f>IFERROR(__xludf.DUMMYFUNCTION("""COMPUTED_VALUE"""),8.0)</f>
        <v>8</v>
      </c>
      <c r="C690" s="7" t="str">
        <f>IFERROR(__xludf.DUMMYFUNCTION("""COMPUTED_VALUE"""),"G_21")</f>
        <v>G_21</v>
      </c>
      <c r="D690" s="7" t="str">
        <f>IFERROR(__xludf.DUMMYFUNCTION("""COMPUTED_VALUE"""),"Q42g")</f>
        <v>Q42g</v>
      </c>
      <c r="E690" s="7" t="str">
        <f>IFERROR(__xludf.DUMMYFUNCTION("""COMPUTED_VALUE"""),"Corruption: Tax officials")</f>
        <v>Corruption: Tax officials</v>
      </c>
      <c r="F690" s="7" t="str">
        <f>IFERROR(__xludf.DUMMYFUNCTION("""COMPUTED_VALUE"""),"Tax officials, like officials from the Tax Department")</f>
        <v>Tax officials, like officials from the Tax Department</v>
      </c>
    </row>
    <row r="691">
      <c r="A691" s="7" t="str">
        <f>IFERROR(__xludf.DUMMYFUNCTION("""COMPUTED_VALUE"""),"ESWATINI")</f>
        <v>ESWATINI</v>
      </c>
      <c r="B691" s="8">
        <f>IFERROR(__xludf.DUMMYFUNCTION("""COMPUTED_VALUE"""),8.0)</f>
        <v>8</v>
      </c>
      <c r="C691" s="7" t="str">
        <f>IFERROR(__xludf.DUMMYFUNCTION("""COMPUTED_VALUE"""),"G_21")</f>
        <v>G_21</v>
      </c>
      <c r="D691" s="7" t="str">
        <f>IFERROR(__xludf.DUMMYFUNCTION("""COMPUTED_VALUE"""),"Q42g")</f>
        <v>Q42g</v>
      </c>
      <c r="E691" s="7" t="str">
        <f>IFERROR(__xludf.DUMMYFUNCTION("""COMPUTED_VALUE"""),"Corruption: Tax officials")</f>
        <v>Corruption: Tax officials</v>
      </c>
      <c r="F691" s="7" t="str">
        <f>IFERROR(__xludf.DUMMYFUNCTION("""COMPUTED_VALUE"""),"Tax officials, like officials from the Eswatini Revenue Authority")</f>
        <v>Tax officials, like officials from the Eswatini Revenue Authority</v>
      </c>
    </row>
    <row r="692">
      <c r="A692" s="7" t="str">
        <f>IFERROR(__xludf.DUMMYFUNCTION("""COMPUTED_VALUE"""),"ETHIOPIA")</f>
        <v>ETHIOPIA</v>
      </c>
      <c r="B692" s="8">
        <f>IFERROR(__xludf.DUMMYFUNCTION("""COMPUTED_VALUE"""),8.0)</f>
        <v>8</v>
      </c>
      <c r="C692" s="7" t="str">
        <f>IFERROR(__xludf.DUMMYFUNCTION("""COMPUTED_VALUE"""),"G_21")</f>
        <v>G_21</v>
      </c>
      <c r="D692" s="7" t="str">
        <f>IFERROR(__xludf.DUMMYFUNCTION("""COMPUTED_VALUE"""),"Q42g")</f>
        <v>Q42g</v>
      </c>
      <c r="E692" s="7" t="str">
        <f>IFERROR(__xludf.DUMMYFUNCTION("""COMPUTED_VALUE"""),"Corruption: Tax officials")</f>
        <v>Corruption: Tax officials</v>
      </c>
      <c r="F692" s="7" t="str">
        <f>IFERROR(__xludf.DUMMYFUNCTION("""COMPUTED_VALUE"""),"Tax officials, like officials from the Ethiopian Revenues and Customs Authority")</f>
        <v>Tax officials, like officials from the Ethiopian Revenues and Customs Authority</v>
      </c>
    </row>
    <row r="693">
      <c r="A693" s="7" t="str">
        <f>IFERROR(__xludf.DUMMYFUNCTION("""COMPUTED_VALUE"""),"GAMBIA")</f>
        <v>GAMBIA</v>
      </c>
      <c r="B693" s="8">
        <f>IFERROR(__xludf.DUMMYFUNCTION("""COMPUTED_VALUE"""),8.0)</f>
        <v>8</v>
      </c>
      <c r="C693" s="7" t="str">
        <f>IFERROR(__xludf.DUMMYFUNCTION("""COMPUTED_VALUE"""),"G_21")</f>
        <v>G_21</v>
      </c>
      <c r="D693" s="7" t="str">
        <f>IFERROR(__xludf.DUMMYFUNCTION("""COMPUTED_VALUE"""),"Q42g")</f>
        <v>Q42g</v>
      </c>
      <c r="E693" s="7" t="str">
        <f>IFERROR(__xludf.DUMMYFUNCTION("""COMPUTED_VALUE"""),"Corruption: Tax officials")</f>
        <v>Corruption: Tax officials</v>
      </c>
      <c r="F693" s="7" t="str">
        <f>IFERROR(__xludf.DUMMYFUNCTION("""COMPUTED_VALUE"""),"Tax officials, like officials from the The Gambia Revenue Authority")</f>
        <v>Tax officials, like officials from the The Gambia Revenue Authority</v>
      </c>
    </row>
    <row r="694">
      <c r="A694" s="7" t="str">
        <f>IFERROR(__xludf.DUMMYFUNCTION("""COMPUTED_VALUE"""),"GHANA ")</f>
        <v>GHANA </v>
      </c>
      <c r="B694" s="8">
        <f>IFERROR(__xludf.DUMMYFUNCTION("""COMPUTED_VALUE"""),8.0)</f>
        <v>8</v>
      </c>
      <c r="C694" s="7" t="str">
        <f>IFERROR(__xludf.DUMMYFUNCTION("""COMPUTED_VALUE"""),"G_21")</f>
        <v>G_21</v>
      </c>
      <c r="D694" s="7" t="str">
        <f>IFERROR(__xludf.DUMMYFUNCTION("""COMPUTED_VALUE"""),"Q42g")</f>
        <v>Q42g</v>
      </c>
      <c r="E694" s="7" t="str">
        <f>IFERROR(__xludf.DUMMYFUNCTION("""COMPUTED_VALUE"""),"Corruption: Tax officials")</f>
        <v>Corruption: Tax officials</v>
      </c>
      <c r="F694" s="7" t="str">
        <f>IFERROR(__xludf.DUMMYFUNCTION("""COMPUTED_VALUE"""),"Tax officials, like officials from the Ghana Revenue Authority")</f>
        <v>Tax officials, like officials from the Ghana Revenue Authority</v>
      </c>
    </row>
    <row r="695">
      <c r="A695" s="7" t="str">
        <f>IFERROR(__xludf.DUMMYFUNCTION("""COMPUTED_VALUE"""),"KENYA  ")</f>
        <v>KENYA  </v>
      </c>
      <c r="B695" s="8">
        <f>IFERROR(__xludf.DUMMYFUNCTION("""COMPUTED_VALUE"""),8.0)</f>
        <v>8</v>
      </c>
      <c r="C695" s="7" t="str">
        <f>IFERROR(__xludf.DUMMYFUNCTION("""COMPUTED_VALUE"""),"G_21")</f>
        <v>G_21</v>
      </c>
      <c r="D695" s="7" t="str">
        <f>IFERROR(__xludf.DUMMYFUNCTION("""COMPUTED_VALUE"""),"Q42g")</f>
        <v>Q42g</v>
      </c>
      <c r="E695" s="7" t="str">
        <f>IFERROR(__xludf.DUMMYFUNCTION("""COMPUTED_VALUE"""),"Corruption: Tax officials")</f>
        <v>Corruption: Tax officials</v>
      </c>
      <c r="F695" s="7" t="str">
        <f>IFERROR(__xludf.DUMMYFUNCTION("""COMPUTED_VALUE"""),"Tax officials, like officials from the Kenya Revenue Authority or KRA")</f>
        <v>Tax officials, like officials from the Kenya Revenue Authority or KRA</v>
      </c>
    </row>
    <row r="696">
      <c r="A696" s="7" t="str">
        <f>IFERROR(__xludf.DUMMYFUNCTION("""COMPUTED_VALUE"""),"LESOTHO ")</f>
        <v>LESOTHO </v>
      </c>
      <c r="B696" s="8">
        <f>IFERROR(__xludf.DUMMYFUNCTION("""COMPUTED_VALUE"""),8.0)</f>
        <v>8</v>
      </c>
      <c r="C696" s="7" t="str">
        <f>IFERROR(__xludf.DUMMYFUNCTION("""COMPUTED_VALUE"""),"G_21")</f>
        <v>G_21</v>
      </c>
      <c r="D696" s="7" t="str">
        <f>IFERROR(__xludf.DUMMYFUNCTION("""COMPUTED_VALUE"""),"Q42g")</f>
        <v>Q42g</v>
      </c>
      <c r="E696" s="7" t="str">
        <f>IFERROR(__xludf.DUMMYFUNCTION("""COMPUTED_VALUE"""),"Corruption: Tax officials")</f>
        <v>Corruption: Tax officials</v>
      </c>
      <c r="F696" s="7" t="str">
        <f>IFERROR(__xludf.DUMMYFUNCTION("""COMPUTED_VALUE"""),"Tax officials, like officials from the Lesotho Revenue Authority")</f>
        <v>Tax officials, like officials from the Lesotho Revenue Authority</v>
      </c>
    </row>
    <row r="697">
      <c r="A697" s="7" t="str">
        <f>IFERROR(__xludf.DUMMYFUNCTION("""COMPUTED_VALUE"""),"LIBERIA  ")</f>
        <v>LIBERIA  </v>
      </c>
      <c r="B697" s="8">
        <f>IFERROR(__xludf.DUMMYFUNCTION("""COMPUTED_VALUE"""),8.0)</f>
        <v>8</v>
      </c>
      <c r="C697" s="7" t="str">
        <f>IFERROR(__xludf.DUMMYFUNCTION("""COMPUTED_VALUE"""),"G_21")</f>
        <v>G_21</v>
      </c>
      <c r="D697" s="7" t="str">
        <f>IFERROR(__xludf.DUMMYFUNCTION("""COMPUTED_VALUE"""),"Q42g")</f>
        <v>Q42g</v>
      </c>
      <c r="E697" s="7" t="str">
        <f>IFERROR(__xludf.DUMMYFUNCTION("""COMPUTED_VALUE"""),"Corruption: Tax officials")</f>
        <v>Corruption: Tax officials</v>
      </c>
      <c r="F697" s="7" t="str">
        <f>IFERROR(__xludf.DUMMYFUNCTION("""COMPUTED_VALUE"""),"Tax officials, like officials from the Liberia Revenue Authority")</f>
        <v>Tax officials, like officials from the Liberia Revenue Authority</v>
      </c>
    </row>
    <row r="698">
      <c r="A698" s="7" t="str">
        <f>IFERROR(__xludf.DUMMYFUNCTION("""COMPUTED_VALUE"""),"MALAWI ")</f>
        <v>MALAWI </v>
      </c>
      <c r="B698" s="8">
        <f>IFERROR(__xludf.DUMMYFUNCTION("""COMPUTED_VALUE"""),8.0)</f>
        <v>8</v>
      </c>
      <c r="C698" s="7" t="str">
        <f>IFERROR(__xludf.DUMMYFUNCTION("""COMPUTED_VALUE"""),"G_21")</f>
        <v>G_21</v>
      </c>
      <c r="D698" s="7" t="str">
        <f>IFERROR(__xludf.DUMMYFUNCTION("""COMPUTED_VALUE"""),"Q42g")</f>
        <v>Q42g</v>
      </c>
      <c r="E698" s="7" t="str">
        <f>IFERROR(__xludf.DUMMYFUNCTION("""COMPUTED_VALUE"""),"Corruption: Tax officials")</f>
        <v>Corruption: Tax officials</v>
      </c>
      <c r="F698" s="7" t="str">
        <f>IFERROR(__xludf.DUMMYFUNCTION("""COMPUTED_VALUE"""),"Tax officials, like officials from the Malawi Revenue Authority")</f>
        <v>Tax officials, like officials from the Malawi Revenue Authority</v>
      </c>
    </row>
    <row r="699">
      <c r="A699" s="7" t="str">
        <f>IFERROR(__xludf.DUMMYFUNCTION("""COMPUTED_VALUE"""),"MOROCCO ")</f>
        <v>MOROCCO </v>
      </c>
      <c r="B699" s="8">
        <f>IFERROR(__xludf.DUMMYFUNCTION("""COMPUTED_VALUE"""),8.0)</f>
        <v>8</v>
      </c>
      <c r="C699" s="7" t="str">
        <f>IFERROR(__xludf.DUMMYFUNCTION("""COMPUTED_VALUE"""),"G_21")</f>
        <v>G_21</v>
      </c>
      <c r="D699" s="7" t="str">
        <f>IFERROR(__xludf.DUMMYFUNCTION("""COMPUTED_VALUE"""),"Q42g")</f>
        <v>Q42g</v>
      </c>
      <c r="E699" s="7" t="str">
        <f>IFERROR(__xludf.DUMMYFUNCTION("""COMPUTED_VALUE"""),"Corruption: Tax officials")</f>
        <v>Corruption: Tax officials</v>
      </c>
      <c r="F699" s="7" t="str">
        <f>IFERROR(__xludf.DUMMYFUNCTION("""COMPUTED_VALUE"""),"Tax officials, like officials from the [ Directorate General of Taxes (DGI)]")</f>
        <v>Tax officials, like officials from the [ Directorate General of Taxes (DGI)]</v>
      </c>
    </row>
    <row r="700">
      <c r="A700" s="7" t="str">
        <f>IFERROR(__xludf.DUMMYFUNCTION("""COMPUTED_VALUE"""),"MOZAMBIQUE")</f>
        <v>MOZAMBIQUE</v>
      </c>
      <c r="B700" s="8">
        <f>IFERROR(__xludf.DUMMYFUNCTION("""COMPUTED_VALUE"""),8.0)</f>
        <v>8</v>
      </c>
      <c r="C700" s="7" t="str">
        <f>IFERROR(__xludf.DUMMYFUNCTION("""COMPUTED_VALUE"""),"G_21")</f>
        <v>G_21</v>
      </c>
      <c r="D700" s="7" t="str">
        <f>IFERROR(__xludf.DUMMYFUNCTION("""COMPUTED_VALUE"""),"Q42g")</f>
        <v>Q42g</v>
      </c>
      <c r="E700" s="7" t="str">
        <f>IFERROR(__xludf.DUMMYFUNCTION("""COMPUTED_VALUE"""),"Corruption: Tax officials")</f>
        <v>Corruption: Tax officials</v>
      </c>
      <c r="F700" s="7" t="str">
        <f>IFERROR(__xludf.DUMMYFUNCTION("""COMPUTED_VALUE"""),"Tax officials, like officials from the Mozambique Tax Revenue Authority")</f>
        <v>Tax officials, like officials from the Mozambique Tax Revenue Authority</v>
      </c>
    </row>
    <row r="701">
      <c r="A701" s="7" t="str">
        <f>IFERROR(__xludf.DUMMYFUNCTION("""COMPUTED_VALUE"""),"NAMIBIA ")</f>
        <v>NAMIBIA </v>
      </c>
      <c r="B701" s="8">
        <f>IFERROR(__xludf.DUMMYFUNCTION("""COMPUTED_VALUE"""),8.0)</f>
        <v>8</v>
      </c>
      <c r="C701" s="7" t="str">
        <f>IFERROR(__xludf.DUMMYFUNCTION("""COMPUTED_VALUE"""),"G_21")</f>
        <v>G_21</v>
      </c>
      <c r="D701" s="7" t="str">
        <f>IFERROR(__xludf.DUMMYFUNCTION("""COMPUTED_VALUE"""),"Q42g")</f>
        <v>Q42g</v>
      </c>
      <c r="E701" s="7" t="str">
        <f>IFERROR(__xludf.DUMMYFUNCTION("""COMPUTED_VALUE"""),"Corruption: Tax officials")</f>
        <v>Corruption: Tax officials</v>
      </c>
      <c r="F701" s="7" t="str">
        <f>IFERROR(__xludf.DUMMYFUNCTION("""COMPUTED_VALUE"""),"Tax officials, like officials from the Ministry of Finance, Inland Revenue")</f>
        <v>Tax officials, like officials from the Ministry of Finance, Inland Revenue</v>
      </c>
    </row>
    <row r="702">
      <c r="A702" s="7" t="str">
        <f>IFERROR(__xludf.DUMMYFUNCTION("""COMPUTED_VALUE"""),"NIGERIA ")</f>
        <v>NIGERIA </v>
      </c>
      <c r="B702" s="8">
        <f>IFERROR(__xludf.DUMMYFUNCTION("""COMPUTED_VALUE"""),8.0)</f>
        <v>8</v>
      </c>
      <c r="C702" s="7" t="str">
        <f>IFERROR(__xludf.DUMMYFUNCTION("""COMPUTED_VALUE"""),"G_21")</f>
        <v>G_21</v>
      </c>
      <c r="D702" s="7" t="str">
        <f>IFERROR(__xludf.DUMMYFUNCTION("""COMPUTED_VALUE"""),"Q42g")</f>
        <v>Q42g</v>
      </c>
      <c r="E702" s="7" t="str">
        <f>IFERROR(__xludf.DUMMYFUNCTION("""COMPUTED_VALUE"""),"Corruption: Tax officials")</f>
        <v>Corruption: Tax officials</v>
      </c>
      <c r="F702" s="7" t="str">
        <f>IFERROR(__xludf.DUMMYFUNCTION("""COMPUTED_VALUE"""),"Tax officials, like officials from the Federal Inland Revenue Service or FIRS")</f>
        <v>Tax officials, like officials from the Federal Inland Revenue Service or FIRS</v>
      </c>
    </row>
    <row r="703">
      <c r="A703" s="7" t="str">
        <f>IFERROR(__xludf.DUMMYFUNCTION("""COMPUTED_VALUE"""),"SIERRA LEONE")</f>
        <v>SIERRA LEONE</v>
      </c>
      <c r="B703" s="8">
        <f>IFERROR(__xludf.DUMMYFUNCTION("""COMPUTED_VALUE"""),8.0)</f>
        <v>8</v>
      </c>
      <c r="C703" s="7" t="str">
        <f>IFERROR(__xludf.DUMMYFUNCTION("""COMPUTED_VALUE"""),"G_21")</f>
        <v>G_21</v>
      </c>
      <c r="D703" s="7" t="str">
        <f>IFERROR(__xludf.DUMMYFUNCTION("""COMPUTED_VALUE"""),"Q42g")</f>
        <v>Q42g</v>
      </c>
      <c r="E703" s="7" t="str">
        <f>IFERROR(__xludf.DUMMYFUNCTION("""COMPUTED_VALUE"""),"Corruption: Tax officials")</f>
        <v>Corruption: Tax officials</v>
      </c>
      <c r="F703" s="7" t="str">
        <f>IFERROR(__xludf.DUMMYFUNCTION("""COMPUTED_VALUE"""),"Tax officials, like officials from the National Revenue Authority or NRA")</f>
        <v>Tax officials, like officials from the National Revenue Authority or NRA</v>
      </c>
    </row>
    <row r="704">
      <c r="A704" s="7" t="str">
        <f>IFERROR(__xludf.DUMMYFUNCTION("""COMPUTED_VALUE"""),"SOUTH AFRICA")</f>
        <v>SOUTH AFRICA</v>
      </c>
      <c r="B704" s="8">
        <f>IFERROR(__xludf.DUMMYFUNCTION("""COMPUTED_VALUE"""),8.0)</f>
        <v>8</v>
      </c>
      <c r="C704" s="7" t="str">
        <f>IFERROR(__xludf.DUMMYFUNCTION("""COMPUTED_VALUE"""),"G_21")</f>
        <v>G_21</v>
      </c>
      <c r="D704" s="7" t="str">
        <f>IFERROR(__xludf.DUMMYFUNCTION("""COMPUTED_VALUE"""),"Q42g")</f>
        <v>Q42g</v>
      </c>
      <c r="E704" s="7" t="str">
        <f>IFERROR(__xludf.DUMMYFUNCTION("""COMPUTED_VALUE"""),"Corruption: Tax officials")</f>
        <v>Corruption: Tax officials</v>
      </c>
      <c r="F704" s="7" t="str">
        <f>IFERROR(__xludf.DUMMYFUNCTION("""COMPUTED_VALUE"""),"Tax officials, like officials from the South African Revenue Service")</f>
        <v>Tax officials, like officials from the South African Revenue Service</v>
      </c>
    </row>
    <row r="705">
      <c r="A705" s="7" t="str">
        <f>IFERROR(__xludf.DUMMYFUNCTION("""COMPUTED_VALUE"""),"SUDAN")</f>
        <v>SUDAN</v>
      </c>
      <c r="B705" s="8">
        <f>IFERROR(__xludf.DUMMYFUNCTION("""COMPUTED_VALUE"""),8.0)</f>
        <v>8</v>
      </c>
      <c r="C705" s="7" t="str">
        <f>IFERROR(__xludf.DUMMYFUNCTION("""COMPUTED_VALUE"""),"G_21")</f>
        <v>G_21</v>
      </c>
      <c r="D705" s="7" t="str">
        <f>IFERROR(__xludf.DUMMYFUNCTION("""COMPUTED_VALUE"""),"Q42g")</f>
        <v>Q42g</v>
      </c>
      <c r="E705" s="7" t="str">
        <f>IFERROR(__xludf.DUMMYFUNCTION("""COMPUTED_VALUE"""),"Corruption: Tax officials")</f>
        <v>Corruption: Tax officials</v>
      </c>
      <c r="F705" s="7" t="str">
        <f>IFERROR(__xludf.DUMMYFUNCTION("""COMPUTED_VALUE"""),"Tax officials, like officials from the Sudan Revenue Authority")</f>
        <v>Tax officials, like officials from the Sudan Revenue Authority</v>
      </c>
    </row>
    <row r="706">
      <c r="A706" s="7" t="str">
        <f>IFERROR(__xludf.DUMMYFUNCTION("""COMPUTED_VALUE"""),"TANZANIA")</f>
        <v>TANZANIA</v>
      </c>
      <c r="B706" s="8">
        <f>IFERROR(__xludf.DUMMYFUNCTION("""COMPUTED_VALUE"""),8.0)</f>
        <v>8</v>
      </c>
      <c r="C706" s="7" t="str">
        <f>IFERROR(__xludf.DUMMYFUNCTION("""COMPUTED_VALUE"""),"G_21")</f>
        <v>G_21</v>
      </c>
      <c r="D706" s="7" t="str">
        <f>IFERROR(__xludf.DUMMYFUNCTION("""COMPUTED_VALUE"""),"Q42g")</f>
        <v>Q42g</v>
      </c>
      <c r="E706" s="7" t="str">
        <f>IFERROR(__xludf.DUMMYFUNCTION("""COMPUTED_VALUE"""),"Corruption: Tax officials")</f>
        <v>Corruption: Tax officials</v>
      </c>
      <c r="F706" s="7" t="str">
        <f>IFERROR(__xludf.DUMMYFUNCTION("""COMPUTED_VALUE"""),"Tax officials, like officials from the Tanzania Revenue Authority")</f>
        <v>Tax officials, like officials from the Tanzania Revenue Authority</v>
      </c>
    </row>
    <row r="707">
      <c r="A707" s="7" t="str">
        <f>IFERROR(__xludf.DUMMYFUNCTION("""COMPUTED_VALUE"""),"TUNISIA ")</f>
        <v>TUNISIA </v>
      </c>
      <c r="B707" s="8">
        <f>IFERROR(__xludf.DUMMYFUNCTION("""COMPUTED_VALUE"""),8.0)</f>
        <v>8</v>
      </c>
      <c r="C707" s="7" t="str">
        <f>IFERROR(__xludf.DUMMYFUNCTION("""COMPUTED_VALUE"""),"G_21")</f>
        <v>G_21</v>
      </c>
      <c r="D707" s="7" t="str">
        <f>IFERROR(__xludf.DUMMYFUNCTION("""COMPUTED_VALUE"""),"Q42g")</f>
        <v>Q42g</v>
      </c>
      <c r="E707" s="7" t="str">
        <f>IFERROR(__xludf.DUMMYFUNCTION("""COMPUTED_VALUE"""),"Corruption: Tax officials")</f>
        <v>Corruption: Tax officials</v>
      </c>
      <c r="F707" s="7" t="str">
        <f>IFERROR(__xludf.DUMMYFUNCTION("""COMPUTED_VALUE"""),"Tax officials, like officials from Ministry of Finance -Tax Administration")</f>
        <v>Tax officials, like officials from Ministry of Finance -Tax Administration</v>
      </c>
    </row>
    <row r="708">
      <c r="A708" s="7" t="str">
        <f>IFERROR(__xludf.DUMMYFUNCTION("""COMPUTED_VALUE"""),"UGANDA  ")</f>
        <v>UGANDA  </v>
      </c>
      <c r="B708" s="8">
        <f>IFERROR(__xludf.DUMMYFUNCTION("""COMPUTED_VALUE"""),8.0)</f>
        <v>8</v>
      </c>
      <c r="C708" s="7" t="str">
        <f>IFERROR(__xludf.DUMMYFUNCTION("""COMPUTED_VALUE"""),"G_21")</f>
        <v>G_21</v>
      </c>
      <c r="D708" s="7" t="str">
        <f>IFERROR(__xludf.DUMMYFUNCTION("""COMPUTED_VALUE"""),"Q42g")</f>
        <v>Q42g</v>
      </c>
      <c r="E708" s="7" t="str">
        <f>IFERROR(__xludf.DUMMYFUNCTION("""COMPUTED_VALUE"""),"Corruption: Tax officials")</f>
        <v>Corruption: Tax officials</v>
      </c>
      <c r="F708" s="7" t="str">
        <f>IFERROR(__xludf.DUMMYFUNCTION("""COMPUTED_VALUE"""),"Tax officials, like officials from Uganda Revenue Authority")</f>
        <v>Tax officials, like officials from Uganda Revenue Authority</v>
      </c>
    </row>
    <row r="709">
      <c r="A709" s="7" t="str">
        <f>IFERROR(__xludf.DUMMYFUNCTION("""COMPUTED_VALUE"""),"ZAMBIA")</f>
        <v>ZAMBIA</v>
      </c>
      <c r="B709" s="8">
        <f>IFERROR(__xludf.DUMMYFUNCTION("""COMPUTED_VALUE"""),8.0)</f>
        <v>8</v>
      </c>
      <c r="C709" s="7" t="str">
        <f>IFERROR(__xludf.DUMMYFUNCTION("""COMPUTED_VALUE"""),"G_21")</f>
        <v>G_21</v>
      </c>
      <c r="D709" s="7" t="str">
        <f>IFERROR(__xludf.DUMMYFUNCTION("""COMPUTED_VALUE"""),"Q42g")</f>
        <v>Q42g</v>
      </c>
      <c r="E709" s="7" t="str">
        <f>IFERROR(__xludf.DUMMYFUNCTION("""COMPUTED_VALUE"""),"Corruption: Tax officials")</f>
        <v>Corruption: Tax officials</v>
      </c>
      <c r="F709" s="7" t="str">
        <f>IFERROR(__xludf.DUMMYFUNCTION("""COMPUTED_VALUE"""),"Tax officials, like officials from the ZambiaRevenue Authority")</f>
        <v>Tax officials, like officials from the ZambiaRevenue Authority</v>
      </c>
    </row>
    <row r="710">
      <c r="A710" s="7" t="str">
        <f>IFERROR(__xludf.DUMMYFUNCTION("""COMPUTED_VALUE"""),"ZIMBABWE")</f>
        <v>ZIMBABWE</v>
      </c>
      <c r="B710" s="8">
        <f>IFERROR(__xludf.DUMMYFUNCTION("""COMPUTED_VALUE"""),8.0)</f>
        <v>8</v>
      </c>
      <c r="C710" s="7" t="str">
        <f>IFERROR(__xludf.DUMMYFUNCTION("""COMPUTED_VALUE"""),"G_21")</f>
        <v>G_21</v>
      </c>
      <c r="D710" s="7" t="str">
        <f>IFERROR(__xludf.DUMMYFUNCTION("""COMPUTED_VALUE"""),"Q42g")</f>
        <v>Q42g</v>
      </c>
      <c r="E710" s="7" t="str">
        <f>IFERROR(__xludf.DUMMYFUNCTION("""COMPUTED_VALUE"""),"Corruption: Tax officials")</f>
        <v>Corruption: Tax officials</v>
      </c>
      <c r="F710" s="7" t="str">
        <f>IFERROR(__xludf.DUMMYFUNCTION("""COMPUTED_VALUE"""),"Tax officials, like officials from the Zimbabwe Revenue Authority or ZIMRA")</f>
        <v>Tax officials, like officials from the Zimbabwe Revenue Authority or ZIMRA</v>
      </c>
    </row>
    <row r="711">
      <c r="A711" s="7" t="str">
        <f>IFERROR(__xludf.DUMMYFUNCTION("""COMPUTED_VALUE"""),"BOTSWANA ")</f>
        <v>BOTSWANA </v>
      </c>
      <c r="B711" s="8">
        <f>IFERROR(__xludf.DUMMYFUNCTION("""COMPUTED_VALUE"""),8.0)</f>
        <v>8</v>
      </c>
      <c r="C711" s="7" t="str">
        <f>IFERROR(__xludf.DUMMYFUNCTION("""COMPUTED_VALUE"""),"G_23")</f>
        <v>G_23</v>
      </c>
      <c r="D711" s="7" t="str">
        <f>IFERROR(__xludf.DUMMYFUNCTION("""COMPUTED_VALUE"""),"Q42h")</f>
        <v>Q42h</v>
      </c>
      <c r="E711" s="7" t="str">
        <f>IFERROR(__xludf.DUMMYFUNCTION("""COMPUTED_VALUE"""),"Corruption:Traditional leaders")</f>
        <v>Corruption:Traditional leaders</v>
      </c>
      <c r="F711" s="7" t="str">
        <f>IFERROR(__xludf.DUMMYFUNCTION("""COMPUTED_VALUE"""),"Traditional leaders")</f>
        <v>Traditional leaders</v>
      </c>
    </row>
    <row r="712">
      <c r="A712" s="7" t="str">
        <f>IFERROR(__xludf.DUMMYFUNCTION("""COMPUTED_VALUE"""),"CAMEROON")</f>
        <v>CAMEROON</v>
      </c>
      <c r="B712" s="8">
        <f>IFERROR(__xludf.DUMMYFUNCTION("""COMPUTED_VALUE"""),8.0)</f>
        <v>8</v>
      </c>
      <c r="C712" s="7" t="str">
        <f>IFERROR(__xludf.DUMMYFUNCTION("""COMPUTED_VALUE"""),"G_23")</f>
        <v>G_23</v>
      </c>
      <c r="D712" s="7" t="str">
        <f>IFERROR(__xludf.DUMMYFUNCTION("""COMPUTED_VALUE"""),"Q42h")</f>
        <v>Q42h</v>
      </c>
      <c r="E712" s="7" t="str">
        <f>IFERROR(__xludf.DUMMYFUNCTION("""COMPUTED_VALUE"""),"Corruption:Traditional leaders")</f>
        <v>Corruption:Traditional leaders</v>
      </c>
      <c r="F712" s="7" t="str">
        <f>IFERROR(__xludf.DUMMYFUNCTION("""COMPUTED_VALUE"""),"Traditional leaders")</f>
        <v>Traditional leaders</v>
      </c>
    </row>
    <row r="713">
      <c r="A713" s="7" t="str">
        <f>IFERROR(__xludf.DUMMYFUNCTION("""COMPUTED_VALUE"""),"ESWATINI")</f>
        <v>ESWATINI</v>
      </c>
      <c r="B713" s="8">
        <f>IFERROR(__xludf.DUMMYFUNCTION("""COMPUTED_VALUE"""),8.0)</f>
        <v>8</v>
      </c>
      <c r="C713" s="7" t="str">
        <f>IFERROR(__xludf.DUMMYFUNCTION("""COMPUTED_VALUE"""),"G_23")</f>
        <v>G_23</v>
      </c>
      <c r="D713" s="7" t="str">
        <f>IFERROR(__xludf.DUMMYFUNCTION("""COMPUTED_VALUE"""),"Q42h")</f>
        <v>Q42h</v>
      </c>
      <c r="E713" s="7" t="str">
        <f>IFERROR(__xludf.DUMMYFUNCTION("""COMPUTED_VALUE"""),"Corruption:Traditional leaders")</f>
        <v>Corruption:Traditional leaders</v>
      </c>
      <c r="F713" s="7" t="str">
        <f>IFERROR(__xludf.DUMMYFUNCTION("""COMPUTED_VALUE"""),"Traditional leaders or Bucopho")</f>
        <v>Traditional leaders or Bucopho</v>
      </c>
    </row>
    <row r="714">
      <c r="A714" s="7" t="str">
        <f>IFERROR(__xludf.DUMMYFUNCTION("""COMPUTED_VALUE"""),"ETHIOPIA")</f>
        <v>ETHIOPIA</v>
      </c>
      <c r="B714" s="8">
        <f>IFERROR(__xludf.DUMMYFUNCTION("""COMPUTED_VALUE"""),8.0)</f>
        <v>8</v>
      </c>
      <c r="C714" s="7" t="str">
        <f>IFERROR(__xludf.DUMMYFUNCTION("""COMPUTED_VALUE"""),"G_23")</f>
        <v>G_23</v>
      </c>
      <c r="D714" s="7" t="str">
        <f>IFERROR(__xludf.DUMMYFUNCTION("""COMPUTED_VALUE"""),"Q42h")</f>
        <v>Q42h</v>
      </c>
      <c r="E714" s="7" t="str">
        <f>IFERROR(__xludf.DUMMYFUNCTION("""COMPUTED_VALUE"""),"Corruption:Traditional leaders")</f>
        <v>Corruption:Traditional leaders</v>
      </c>
      <c r="F714" s="7" t="str">
        <f>IFERROR(__xludf.DUMMYFUNCTION("""COMPUTED_VALUE"""),"Traditional leaders")</f>
        <v>Traditional leaders</v>
      </c>
    </row>
    <row r="715">
      <c r="A715" s="7" t="str">
        <f>IFERROR(__xludf.DUMMYFUNCTION("""COMPUTED_VALUE"""),"GAMBIA")</f>
        <v>GAMBIA</v>
      </c>
      <c r="B715" s="8">
        <f>IFERROR(__xludf.DUMMYFUNCTION("""COMPUTED_VALUE"""),8.0)</f>
        <v>8</v>
      </c>
      <c r="C715" s="7" t="str">
        <f>IFERROR(__xludf.DUMMYFUNCTION("""COMPUTED_VALUE"""),"G_23")</f>
        <v>G_23</v>
      </c>
      <c r="D715" s="7" t="str">
        <f>IFERROR(__xludf.DUMMYFUNCTION("""COMPUTED_VALUE"""),"Q42h")</f>
        <v>Q42h</v>
      </c>
      <c r="E715" s="7" t="str">
        <f>IFERROR(__xludf.DUMMYFUNCTION("""COMPUTED_VALUE"""),"Corruption:Traditional leaders")</f>
        <v>Corruption:Traditional leaders</v>
      </c>
      <c r="F715" s="7" t="str">
        <f>IFERROR(__xludf.DUMMYFUNCTION("""COMPUTED_VALUE"""),"Traditional leaders")</f>
        <v>Traditional leaders</v>
      </c>
    </row>
    <row r="716">
      <c r="A716" s="7" t="str">
        <f>IFERROR(__xludf.DUMMYFUNCTION("""COMPUTED_VALUE"""),"BOTSWANA ")</f>
        <v>BOTSWANA </v>
      </c>
      <c r="B716" s="8">
        <f>IFERROR(__xludf.DUMMYFUNCTION("""COMPUTED_VALUE"""),8.0)</f>
        <v>8</v>
      </c>
      <c r="C716" s="7" t="str">
        <f>IFERROR(__xludf.DUMMYFUNCTION("""COMPUTED_VALUE"""),"G_20")</f>
        <v>G_20</v>
      </c>
      <c r="D716" s="7" t="str">
        <f>IFERROR(__xludf.DUMMYFUNCTION("""COMPUTED_VALUE"""),"Q42i")</f>
        <v>Q42i</v>
      </c>
      <c r="E716" s="7" t="str">
        <f>IFERROR(__xludf.DUMMYFUNCTION("""COMPUTED_VALUE"""),"Corruption: Religious leaders")</f>
        <v>Corruption: Religious leaders</v>
      </c>
      <c r="F716" s="7" t="str">
        <f>IFERROR(__xludf.DUMMYFUNCTION("""COMPUTED_VALUE"""),"Religious leaders")</f>
        <v>Religious leaders</v>
      </c>
    </row>
    <row r="717">
      <c r="A717" s="7" t="str">
        <f>IFERROR(__xludf.DUMMYFUNCTION("""COMPUTED_VALUE"""),"CABO VERDE ")</f>
        <v>CABO VERDE </v>
      </c>
      <c r="B717" s="8">
        <f>IFERROR(__xludf.DUMMYFUNCTION("""COMPUTED_VALUE"""),8.0)</f>
        <v>8</v>
      </c>
      <c r="C717" s="7" t="str">
        <f>IFERROR(__xludf.DUMMYFUNCTION("""COMPUTED_VALUE"""),"G_20")</f>
        <v>G_20</v>
      </c>
      <c r="D717" s="7" t="str">
        <f>IFERROR(__xludf.DUMMYFUNCTION("""COMPUTED_VALUE"""),"Q42i")</f>
        <v>Q42i</v>
      </c>
      <c r="E717" s="7" t="str">
        <f>IFERROR(__xludf.DUMMYFUNCTION("""COMPUTED_VALUE"""),"Corruption: Religious leaders")</f>
        <v>Corruption: Religious leaders</v>
      </c>
      <c r="F717" s="7" t="str">
        <f>IFERROR(__xludf.DUMMYFUNCTION("""COMPUTED_VALUE"""),"Religious leaders")</f>
        <v>Religious leaders</v>
      </c>
    </row>
    <row r="718">
      <c r="A718" s="7" t="str">
        <f>IFERROR(__xludf.DUMMYFUNCTION("""COMPUTED_VALUE"""),"CAMEROON")</f>
        <v>CAMEROON</v>
      </c>
      <c r="B718" s="8">
        <f>IFERROR(__xludf.DUMMYFUNCTION("""COMPUTED_VALUE"""),8.0)</f>
        <v>8</v>
      </c>
      <c r="C718" s="7" t="str">
        <f>IFERROR(__xludf.DUMMYFUNCTION("""COMPUTED_VALUE"""),"G_20")</f>
        <v>G_20</v>
      </c>
      <c r="D718" s="7" t="str">
        <f>IFERROR(__xludf.DUMMYFUNCTION("""COMPUTED_VALUE"""),"Q42i")</f>
        <v>Q42i</v>
      </c>
      <c r="E718" s="7" t="str">
        <f>IFERROR(__xludf.DUMMYFUNCTION("""COMPUTED_VALUE"""),"Corruption: Religious leaders")</f>
        <v>Corruption: Religious leaders</v>
      </c>
      <c r="F718" s="7" t="str">
        <f>IFERROR(__xludf.DUMMYFUNCTION("""COMPUTED_VALUE"""),"Religious leaders")</f>
        <v>Religious leaders</v>
      </c>
    </row>
    <row r="719">
      <c r="A719" s="7" t="str">
        <f>IFERROR(__xludf.DUMMYFUNCTION("""COMPUTED_VALUE"""),"ESWATINI")</f>
        <v>ESWATINI</v>
      </c>
      <c r="B719" s="8">
        <f>IFERROR(__xludf.DUMMYFUNCTION("""COMPUTED_VALUE"""),8.0)</f>
        <v>8</v>
      </c>
      <c r="C719" s="7" t="str">
        <f>IFERROR(__xludf.DUMMYFUNCTION("""COMPUTED_VALUE"""),"G_20")</f>
        <v>G_20</v>
      </c>
      <c r="D719" s="7" t="str">
        <f>IFERROR(__xludf.DUMMYFUNCTION("""COMPUTED_VALUE"""),"Q42i")</f>
        <v>Q42i</v>
      </c>
      <c r="E719" s="7" t="str">
        <f>IFERROR(__xludf.DUMMYFUNCTION("""COMPUTED_VALUE"""),"Corruption: Religious leaders")</f>
        <v>Corruption: Religious leaders</v>
      </c>
      <c r="F719" s="7" t="str">
        <f>IFERROR(__xludf.DUMMYFUNCTION("""COMPUTED_VALUE"""),"Religious leaders")</f>
        <v>Religious leaders</v>
      </c>
    </row>
    <row r="720">
      <c r="A720" s="7" t="str">
        <f>IFERROR(__xludf.DUMMYFUNCTION("""COMPUTED_VALUE"""),"ETHIOPIA")</f>
        <v>ETHIOPIA</v>
      </c>
      <c r="B720" s="8">
        <f>IFERROR(__xludf.DUMMYFUNCTION("""COMPUTED_VALUE"""),8.0)</f>
        <v>8</v>
      </c>
      <c r="C720" s="7" t="str">
        <f>IFERROR(__xludf.DUMMYFUNCTION("""COMPUTED_VALUE"""),"G_20")</f>
        <v>G_20</v>
      </c>
      <c r="D720" s="7" t="str">
        <f>IFERROR(__xludf.DUMMYFUNCTION("""COMPUTED_VALUE"""),"Q42i")</f>
        <v>Q42i</v>
      </c>
      <c r="E720" s="7" t="str">
        <f>IFERROR(__xludf.DUMMYFUNCTION("""COMPUTED_VALUE"""),"Corruption: Religious leaders")</f>
        <v>Corruption: Religious leaders</v>
      </c>
      <c r="F720" s="7" t="str">
        <f>IFERROR(__xludf.DUMMYFUNCTION("""COMPUTED_VALUE"""),"Religious leaders")</f>
        <v>Religious leaders</v>
      </c>
    </row>
    <row r="721">
      <c r="A721" s="7" t="str">
        <f>IFERROR(__xludf.DUMMYFUNCTION("""COMPUTED_VALUE"""),"GAMBIA")</f>
        <v>GAMBIA</v>
      </c>
      <c r="B721" s="8">
        <f>IFERROR(__xludf.DUMMYFUNCTION("""COMPUTED_VALUE"""),8.0)</f>
        <v>8</v>
      </c>
      <c r="C721" s="7" t="str">
        <f>IFERROR(__xludf.DUMMYFUNCTION("""COMPUTED_VALUE"""),"G_20")</f>
        <v>G_20</v>
      </c>
      <c r="D721" s="7" t="str">
        <f>IFERROR(__xludf.DUMMYFUNCTION("""COMPUTED_VALUE"""),"Q42i")</f>
        <v>Q42i</v>
      </c>
      <c r="E721" s="7" t="str">
        <f>IFERROR(__xludf.DUMMYFUNCTION("""COMPUTED_VALUE"""),"Corruption: Religious leaders")</f>
        <v>Corruption: Religious leaders</v>
      </c>
      <c r="F721" s="7" t="str">
        <f>IFERROR(__xludf.DUMMYFUNCTION("""COMPUTED_VALUE"""),"Religious leaders")</f>
        <v>Religious leaders</v>
      </c>
    </row>
    <row r="722">
      <c r="A722" s="7" t="str">
        <f>IFERROR(__xludf.DUMMYFUNCTION("""COMPUTED_VALUE"""),"BOTSWANA ")</f>
        <v>BOTSWANA </v>
      </c>
      <c r="B722" s="8">
        <f>IFERROR(__xludf.DUMMYFUNCTION("""COMPUTED_VALUE"""),8.0)</f>
        <v>8</v>
      </c>
      <c r="C722" s="7" t="str">
        <f>IFERROR(__xludf.DUMMYFUNCTION("""COMPUTED_VALUE"""),"B_01_07")</f>
        <v>B_01_07</v>
      </c>
      <c r="D722" s="7" t="str">
        <f>IFERROR(__xludf.DUMMYFUNCTION("""COMPUTED_VALUE"""),"Q51a")</f>
        <v>Q51a</v>
      </c>
      <c r="E722" s="7" t="str">
        <f>IFERROR(__xludf.DUMMYFUNCTION("""COMPUTED_VALUE"""),"Performance: President")</f>
        <v>Performance: President</v>
      </c>
      <c r="F722" s="7" t="str">
        <f>IFERROR(__xludf.DUMMYFUNCTION("""COMPUTED_VALUE"""),"President Mokgweetsi Masisi")</f>
        <v>President Mokgweetsi Masisi</v>
      </c>
    </row>
    <row r="723">
      <c r="A723" s="7" t="str">
        <f>IFERROR(__xludf.DUMMYFUNCTION("""COMPUTED_VALUE"""),"CABO VERDE ")</f>
        <v>CABO VERDE </v>
      </c>
      <c r="B723" s="8">
        <f>IFERROR(__xludf.DUMMYFUNCTION("""COMPUTED_VALUE"""),8.0)</f>
        <v>8</v>
      </c>
      <c r="C723" s="7" t="str">
        <f>IFERROR(__xludf.DUMMYFUNCTION("""COMPUTED_VALUE"""),"B_01_07")</f>
        <v>B_01_07</v>
      </c>
      <c r="D723" s="7" t="str">
        <f>IFERROR(__xludf.DUMMYFUNCTION("""COMPUTED_VALUE"""),"Q51a")</f>
        <v>Q51a</v>
      </c>
      <c r="E723" s="7" t="str">
        <f>IFERROR(__xludf.DUMMYFUNCTION("""COMPUTED_VALUE"""),"Performance: President")</f>
        <v>Performance: President</v>
      </c>
      <c r="F723" s="7" t="str">
        <f>IFERROR(__xludf.DUMMYFUNCTION("""COMPUTED_VALUE"""),"President Jorge Carlos Fonseca, Prime-Minister  Ulisses Correia e Silva")</f>
        <v>President Jorge Carlos Fonseca, Prime-Minister  Ulisses Correia e Silva</v>
      </c>
    </row>
    <row r="724">
      <c r="A724" s="7" t="str">
        <f>IFERROR(__xludf.DUMMYFUNCTION("""COMPUTED_VALUE"""),"CAMEROON")</f>
        <v>CAMEROON</v>
      </c>
      <c r="B724" s="8">
        <f>IFERROR(__xludf.DUMMYFUNCTION("""COMPUTED_VALUE"""),8.0)</f>
        <v>8</v>
      </c>
      <c r="C724" s="7" t="str">
        <f>IFERROR(__xludf.DUMMYFUNCTION("""COMPUTED_VALUE"""),"B_01_07")</f>
        <v>B_01_07</v>
      </c>
      <c r="D724" s="7" t="str">
        <f>IFERROR(__xludf.DUMMYFUNCTION("""COMPUTED_VALUE"""),"Q51a")</f>
        <v>Q51a</v>
      </c>
      <c r="E724" s="7" t="str">
        <f>IFERROR(__xludf.DUMMYFUNCTION("""COMPUTED_VALUE"""),"Performance: President")</f>
        <v>Performance: President</v>
      </c>
      <c r="F724" s="7" t="str">
        <f>IFERROR(__xludf.DUMMYFUNCTION("""COMPUTED_VALUE"""),"President Paul Biya")</f>
        <v>President Paul Biya</v>
      </c>
    </row>
    <row r="725">
      <c r="A725" s="7" t="str">
        <f>IFERROR(__xludf.DUMMYFUNCTION("""COMPUTED_VALUE"""),"ESWATINI")</f>
        <v>ESWATINI</v>
      </c>
      <c r="B725" s="8">
        <f>IFERROR(__xludf.DUMMYFUNCTION("""COMPUTED_VALUE"""),8.0)</f>
        <v>8</v>
      </c>
      <c r="C725" s="7" t="str">
        <f>IFERROR(__xludf.DUMMYFUNCTION("""COMPUTED_VALUE"""),"B_01_07")</f>
        <v>B_01_07</v>
      </c>
      <c r="D725" s="7" t="str">
        <f>IFERROR(__xludf.DUMMYFUNCTION("""COMPUTED_VALUE"""),"Q51a")</f>
        <v>Q51a</v>
      </c>
      <c r="E725" s="7" t="str">
        <f>IFERROR(__xludf.DUMMYFUNCTION("""COMPUTED_VALUE"""),"Performance: President")</f>
        <v>Performance: President</v>
      </c>
      <c r="F725" s="7" t="str">
        <f>IFERROR(__xludf.DUMMYFUNCTION("""COMPUTED_VALUE"""),"Prime Minister Mandvulo Dlamini")</f>
        <v>Prime Minister Mandvulo Dlamini</v>
      </c>
    </row>
    <row r="726">
      <c r="A726" s="7" t="str">
        <f>IFERROR(__xludf.DUMMYFUNCTION("""COMPUTED_VALUE"""),"ETHIOPIA")</f>
        <v>ETHIOPIA</v>
      </c>
      <c r="B726" s="8">
        <f>IFERROR(__xludf.DUMMYFUNCTION("""COMPUTED_VALUE"""),8.0)</f>
        <v>8</v>
      </c>
      <c r="C726" s="7" t="str">
        <f>IFERROR(__xludf.DUMMYFUNCTION("""COMPUTED_VALUE"""),"B_01_07")</f>
        <v>B_01_07</v>
      </c>
      <c r="D726" s="7" t="str">
        <f>IFERROR(__xludf.DUMMYFUNCTION("""COMPUTED_VALUE"""),"Q51a")</f>
        <v>Q51a</v>
      </c>
      <c r="E726" s="7" t="str">
        <f>IFERROR(__xludf.DUMMYFUNCTION("""COMPUTED_VALUE"""),"Performance: President")</f>
        <v>Performance: President</v>
      </c>
      <c r="F726" s="7" t="str">
        <f>IFERROR(__xludf.DUMMYFUNCTION("""COMPUTED_VALUE"""),"Prime Minister Abiy Ahmed")</f>
        <v>Prime Minister Abiy Ahmed</v>
      </c>
    </row>
    <row r="727">
      <c r="A727" s="7" t="str">
        <f>IFERROR(__xludf.DUMMYFUNCTION("""COMPUTED_VALUE"""),"GAMBIA")</f>
        <v>GAMBIA</v>
      </c>
      <c r="B727" s="8">
        <f>IFERROR(__xludf.DUMMYFUNCTION("""COMPUTED_VALUE"""),8.0)</f>
        <v>8</v>
      </c>
      <c r="C727" s="7" t="str">
        <f>IFERROR(__xludf.DUMMYFUNCTION("""COMPUTED_VALUE"""),"B_01_07")</f>
        <v>B_01_07</v>
      </c>
      <c r="D727" s="7" t="str">
        <f>IFERROR(__xludf.DUMMYFUNCTION("""COMPUTED_VALUE"""),"Q51a")</f>
        <v>Q51a</v>
      </c>
      <c r="E727" s="7" t="str">
        <f>IFERROR(__xludf.DUMMYFUNCTION("""COMPUTED_VALUE"""),"Performance: President")</f>
        <v>Performance: President</v>
      </c>
      <c r="F727" s="7" t="str">
        <f>IFERROR(__xludf.DUMMYFUNCTION("""COMPUTED_VALUE"""),"President Adama Barrow")</f>
        <v>President Adama Barrow</v>
      </c>
    </row>
    <row r="728">
      <c r="A728" s="7" t="str">
        <f>IFERROR(__xludf.DUMMYFUNCTION("""COMPUTED_VALUE"""),"GHANA ")</f>
        <v>GHANA </v>
      </c>
      <c r="B728" s="8">
        <f>IFERROR(__xludf.DUMMYFUNCTION("""COMPUTED_VALUE"""),8.0)</f>
        <v>8</v>
      </c>
      <c r="C728" s="7" t="str">
        <f>IFERROR(__xludf.DUMMYFUNCTION("""COMPUTED_VALUE"""),"B_01_07")</f>
        <v>B_01_07</v>
      </c>
      <c r="D728" s="7" t="str">
        <f>IFERROR(__xludf.DUMMYFUNCTION("""COMPUTED_VALUE"""),"Q51a")</f>
        <v>Q51a</v>
      </c>
      <c r="E728" s="7" t="str">
        <f>IFERROR(__xludf.DUMMYFUNCTION("""COMPUTED_VALUE"""),"Performance: President")</f>
        <v>Performance: President</v>
      </c>
      <c r="F728" s="7" t="str">
        <f>IFERROR(__xludf.DUMMYFUNCTION("""COMPUTED_VALUE"""),"President Nana Akuffo Addo")</f>
        <v>President Nana Akuffo Addo</v>
      </c>
    </row>
    <row r="729">
      <c r="A729" s="7" t="str">
        <f>IFERROR(__xludf.DUMMYFUNCTION("""COMPUTED_VALUE"""),"KENYA  ")</f>
        <v>KENYA  </v>
      </c>
      <c r="B729" s="8">
        <f>IFERROR(__xludf.DUMMYFUNCTION("""COMPUTED_VALUE"""),8.0)</f>
        <v>8</v>
      </c>
      <c r="C729" s="7" t="str">
        <f>IFERROR(__xludf.DUMMYFUNCTION("""COMPUTED_VALUE"""),"B_01_07")</f>
        <v>B_01_07</v>
      </c>
      <c r="D729" s="7" t="str">
        <f>IFERROR(__xludf.DUMMYFUNCTION("""COMPUTED_VALUE"""),"Q51a")</f>
        <v>Q51a</v>
      </c>
      <c r="E729" s="7" t="str">
        <f>IFERROR(__xludf.DUMMYFUNCTION("""COMPUTED_VALUE"""),"Performance: President")</f>
        <v>Performance: President</v>
      </c>
      <c r="F729" s="7" t="str">
        <f>IFERROR(__xludf.DUMMYFUNCTION("""COMPUTED_VALUE"""),"President Uhuru Kenyatta")</f>
        <v>President Uhuru Kenyatta</v>
      </c>
    </row>
    <row r="730">
      <c r="A730" s="7" t="str">
        <f>IFERROR(__xludf.DUMMYFUNCTION("""COMPUTED_VALUE"""),"LESOTHO ")</f>
        <v>LESOTHO </v>
      </c>
      <c r="B730" s="8">
        <f>IFERROR(__xludf.DUMMYFUNCTION("""COMPUTED_VALUE"""),8.0)</f>
        <v>8</v>
      </c>
      <c r="C730" s="7" t="str">
        <f>IFERROR(__xludf.DUMMYFUNCTION("""COMPUTED_VALUE"""),"B_01_07")</f>
        <v>B_01_07</v>
      </c>
      <c r="D730" s="7" t="str">
        <f>IFERROR(__xludf.DUMMYFUNCTION("""COMPUTED_VALUE"""),"Q51a")</f>
        <v>Q51a</v>
      </c>
      <c r="E730" s="7" t="str">
        <f>IFERROR(__xludf.DUMMYFUNCTION("""COMPUTED_VALUE"""),"Performance: President")</f>
        <v>Performance: President</v>
      </c>
      <c r="F730" s="7" t="str">
        <f>IFERROR(__xludf.DUMMYFUNCTION("""COMPUTED_VALUE"""),"Prime Minister Thomas Thabane")</f>
        <v>Prime Minister Thomas Thabane</v>
      </c>
    </row>
    <row r="731">
      <c r="A731" s="7" t="str">
        <f>IFERROR(__xludf.DUMMYFUNCTION("""COMPUTED_VALUE"""),"LIBERIA  ")</f>
        <v>LIBERIA  </v>
      </c>
      <c r="B731" s="8">
        <f>IFERROR(__xludf.DUMMYFUNCTION("""COMPUTED_VALUE"""),8.0)</f>
        <v>8</v>
      </c>
      <c r="C731" s="7" t="str">
        <f>IFERROR(__xludf.DUMMYFUNCTION("""COMPUTED_VALUE"""),"B_01_07")</f>
        <v>B_01_07</v>
      </c>
      <c r="D731" s="7" t="str">
        <f>IFERROR(__xludf.DUMMYFUNCTION("""COMPUTED_VALUE"""),"Q51a")</f>
        <v>Q51a</v>
      </c>
      <c r="E731" s="7" t="str">
        <f>IFERROR(__xludf.DUMMYFUNCTION("""COMPUTED_VALUE"""),"Performance: President")</f>
        <v>Performance: President</v>
      </c>
      <c r="F731" s="7" t="str">
        <f>IFERROR(__xludf.DUMMYFUNCTION("""COMPUTED_VALUE"""),"President George Weah")</f>
        <v>President George Weah</v>
      </c>
    </row>
    <row r="732">
      <c r="A732" s="7" t="str">
        <f>IFERROR(__xludf.DUMMYFUNCTION("""COMPUTED_VALUE"""),"MALAWI ")</f>
        <v>MALAWI </v>
      </c>
      <c r="B732" s="8">
        <f>IFERROR(__xludf.DUMMYFUNCTION("""COMPUTED_VALUE"""),8.0)</f>
        <v>8</v>
      </c>
      <c r="C732" s="7" t="str">
        <f>IFERROR(__xludf.DUMMYFUNCTION("""COMPUTED_VALUE"""),"B_01_07")</f>
        <v>B_01_07</v>
      </c>
      <c r="D732" s="7" t="str">
        <f>IFERROR(__xludf.DUMMYFUNCTION("""COMPUTED_VALUE"""),"Q51a")</f>
        <v>Q51a</v>
      </c>
      <c r="E732" s="7" t="str">
        <f>IFERROR(__xludf.DUMMYFUNCTION("""COMPUTED_VALUE"""),"Performance: President")</f>
        <v>Performance: President</v>
      </c>
      <c r="F732" s="7" t="str">
        <f>IFERROR(__xludf.DUMMYFUNCTION("""COMPUTED_VALUE"""),"President Peter Mutharika")</f>
        <v>President Peter Mutharika</v>
      </c>
    </row>
    <row r="733">
      <c r="A733" s="7" t="str">
        <f>IFERROR(__xludf.DUMMYFUNCTION("""COMPUTED_VALUE"""),"MOROCCO ")</f>
        <v>MOROCCO </v>
      </c>
      <c r="B733" s="8">
        <f>IFERROR(__xludf.DUMMYFUNCTION("""COMPUTED_VALUE"""),8.0)</f>
        <v>8</v>
      </c>
      <c r="C733" s="7" t="str">
        <f>IFERROR(__xludf.DUMMYFUNCTION("""COMPUTED_VALUE"""),"B_01_07")</f>
        <v>B_01_07</v>
      </c>
      <c r="D733" s="7" t="str">
        <f>IFERROR(__xludf.DUMMYFUNCTION("""COMPUTED_VALUE"""),"Q51a")</f>
        <v>Q51a</v>
      </c>
      <c r="E733" s="7" t="str">
        <f>IFERROR(__xludf.DUMMYFUNCTION("""COMPUTED_VALUE"""),"Performance: President")</f>
        <v>Performance: President</v>
      </c>
      <c r="F733" s="7" t="str">
        <f>IFERROR(__xludf.DUMMYFUNCTION("""COMPUTED_VALUE"""),"President of government Saad Eddin El Outhmani")</f>
        <v>President of government Saad Eddin El Outhmani</v>
      </c>
    </row>
    <row r="734">
      <c r="A734" s="7" t="str">
        <f>IFERROR(__xludf.DUMMYFUNCTION("""COMPUTED_VALUE"""),"MOZAMBIQUE")</f>
        <v>MOZAMBIQUE</v>
      </c>
      <c r="B734" s="8">
        <f>IFERROR(__xludf.DUMMYFUNCTION("""COMPUTED_VALUE"""),8.0)</f>
        <v>8</v>
      </c>
      <c r="C734" s="7" t="str">
        <f>IFERROR(__xludf.DUMMYFUNCTION("""COMPUTED_VALUE"""),"B_01_07")</f>
        <v>B_01_07</v>
      </c>
      <c r="D734" s="7" t="str">
        <f>IFERROR(__xludf.DUMMYFUNCTION("""COMPUTED_VALUE"""),"Q51a")</f>
        <v>Q51a</v>
      </c>
      <c r="E734" s="7" t="str">
        <f>IFERROR(__xludf.DUMMYFUNCTION("""COMPUTED_VALUE"""),"Performance: President")</f>
        <v>Performance: President</v>
      </c>
      <c r="F734" s="7" t="str">
        <f>IFERROR(__xludf.DUMMYFUNCTION("""COMPUTED_VALUE"""),"President Filipe Jacinto Nyusi")</f>
        <v>President Filipe Jacinto Nyusi</v>
      </c>
    </row>
    <row r="735">
      <c r="A735" s="7" t="str">
        <f>IFERROR(__xludf.DUMMYFUNCTION("""COMPUTED_VALUE"""),"NAMIBIA ")</f>
        <v>NAMIBIA </v>
      </c>
      <c r="B735" s="8">
        <f>IFERROR(__xludf.DUMMYFUNCTION("""COMPUTED_VALUE"""),8.0)</f>
        <v>8</v>
      </c>
      <c r="C735" s="7" t="str">
        <f>IFERROR(__xludf.DUMMYFUNCTION("""COMPUTED_VALUE"""),"B_01_07")</f>
        <v>B_01_07</v>
      </c>
      <c r="D735" s="7" t="str">
        <f>IFERROR(__xludf.DUMMYFUNCTION("""COMPUTED_VALUE"""),"Q51a")</f>
        <v>Q51a</v>
      </c>
      <c r="E735" s="7" t="str">
        <f>IFERROR(__xludf.DUMMYFUNCTION("""COMPUTED_VALUE"""),"Performance: President")</f>
        <v>Performance: President</v>
      </c>
      <c r="F735" s="7" t="str">
        <f>IFERROR(__xludf.DUMMYFUNCTION("""COMPUTED_VALUE"""),"President Hage Geingob")</f>
        <v>President Hage Geingob</v>
      </c>
    </row>
    <row r="736">
      <c r="A736" s="7" t="str">
        <f>IFERROR(__xludf.DUMMYFUNCTION("""COMPUTED_VALUE"""),"NIGERIA ")</f>
        <v>NIGERIA </v>
      </c>
      <c r="B736" s="8">
        <f>IFERROR(__xludf.DUMMYFUNCTION("""COMPUTED_VALUE"""),8.0)</f>
        <v>8</v>
      </c>
      <c r="C736" s="7" t="str">
        <f>IFERROR(__xludf.DUMMYFUNCTION("""COMPUTED_VALUE"""),"B_01_07")</f>
        <v>B_01_07</v>
      </c>
      <c r="D736" s="7" t="str">
        <f>IFERROR(__xludf.DUMMYFUNCTION("""COMPUTED_VALUE"""),"Q51a")</f>
        <v>Q51a</v>
      </c>
      <c r="E736" s="7" t="str">
        <f>IFERROR(__xludf.DUMMYFUNCTION("""COMPUTED_VALUE"""),"Performance: President")</f>
        <v>Performance: President</v>
      </c>
      <c r="F736" s="7" t="str">
        <f>IFERROR(__xludf.DUMMYFUNCTION("""COMPUTED_VALUE"""),"President Muhammadu Buhari")</f>
        <v>President Muhammadu Buhari</v>
      </c>
    </row>
    <row r="737">
      <c r="A737" s="7" t="str">
        <f>IFERROR(__xludf.DUMMYFUNCTION("""COMPUTED_VALUE"""),"SIERRA LEONE")</f>
        <v>SIERRA LEONE</v>
      </c>
      <c r="B737" s="8">
        <f>IFERROR(__xludf.DUMMYFUNCTION("""COMPUTED_VALUE"""),8.0)</f>
        <v>8</v>
      </c>
      <c r="C737" s="7" t="str">
        <f>IFERROR(__xludf.DUMMYFUNCTION("""COMPUTED_VALUE"""),"B_01_07")</f>
        <v>B_01_07</v>
      </c>
      <c r="D737" s="7" t="str">
        <f>IFERROR(__xludf.DUMMYFUNCTION("""COMPUTED_VALUE"""),"Q51a")</f>
        <v>Q51a</v>
      </c>
      <c r="E737" s="7" t="str">
        <f>IFERROR(__xludf.DUMMYFUNCTION("""COMPUTED_VALUE"""),"Performance: President")</f>
        <v>Performance: President</v>
      </c>
      <c r="F737" s="7" t="str">
        <f>IFERROR(__xludf.DUMMYFUNCTION("""COMPUTED_VALUE"""),"President Julius Maada Bio")</f>
        <v>President Julius Maada Bio</v>
      </c>
    </row>
    <row r="738">
      <c r="A738" s="7" t="str">
        <f>IFERROR(__xludf.DUMMYFUNCTION("""COMPUTED_VALUE"""),"SOUTH AFRICA")</f>
        <v>SOUTH AFRICA</v>
      </c>
      <c r="B738" s="8">
        <f>IFERROR(__xludf.DUMMYFUNCTION("""COMPUTED_VALUE"""),8.0)</f>
        <v>8</v>
      </c>
      <c r="C738" s="7" t="str">
        <f>IFERROR(__xludf.DUMMYFUNCTION("""COMPUTED_VALUE"""),"B_01_07")</f>
        <v>B_01_07</v>
      </c>
      <c r="D738" s="7" t="str">
        <f>IFERROR(__xludf.DUMMYFUNCTION("""COMPUTED_VALUE"""),"Q51a")</f>
        <v>Q51a</v>
      </c>
      <c r="E738" s="7" t="str">
        <f>IFERROR(__xludf.DUMMYFUNCTION("""COMPUTED_VALUE"""),"Performance: President")</f>
        <v>Performance: President</v>
      </c>
      <c r="F738" s="7" t="str">
        <f>IFERROR(__xludf.DUMMYFUNCTION("""COMPUTED_VALUE"""),"President Cyril Ramaphosa")</f>
        <v>President Cyril Ramaphosa</v>
      </c>
    </row>
    <row r="739">
      <c r="A739" s="7" t="str">
        <f>IFERROR(__xludf.DUMMYFUNCTION("""COMPUTED_VALUE"""),"SUDAN")</f>
        <v>SUDAN</v>
      </c>
      <c r="B739" s="8">
        <f>IFERROR(__xludf.DUMMYFUNCTION("""COMPUTED_VALUE"""),8.0)</f>
        <v>8</v>
      </c>
      <c r="C739" s="7" t="str">
        <f>IFERROR(__xludf.DUMMYFUNCTION("""COMPUTED_VALUE"""),"B_01_07")</f>
        <v>B_01_07</v>
      </c>
      <c r="D739" s="7" t="str">
        <f>IFERROR(__xludf.DUMMYFUNCTION("""COMPUTED_VALUE"""),"Q51a")</f>
        <v>Q51a</v>
      </c>
      <c r="E739" s="7" t="str">
        <f>IFERROR(__xludf.DUMMYFUNCTION("""COMPUTED_VALUE"""),"Performance: President")</f>
        <v>Performance: President</v>
      </c>
      <c r="F739" s="7" t="str">
        <f>IFERROR(__xludf.DUMMYFUNCTION("""COMPUTED_VALUE"""),"Prime Minister Abdalla Hamdok")</f>
        <v>Prime Minister Abdalla Hamdok</v>
      </c>
    </row>
    <row r="740">
      <c r="A740" s="7" t="str">
        <f>IFERROR(__xludf.DUMMYFUNCTION("""COMPUTED_VALUE"""),"TANZANIA")</f>
        <v>TANZANIA</v>
      </c>
      <c r="B740" s="8">
        <f>IFERROR(__xludf.DUMMYFUNCTION("""COMPUTED_VALUE"""),8.0)</f>
        <v>8</v>
      </c>
      <c r="C740" s="7" t="str">
        <f>IFERROR(__xludf.DUMMYFUNCTION("""COMPUTED_VALUE"""),"B_01_07")</f>
        <v>B_01_07</v>
      </c>
      <c r="D740" s="7" t="str">
        <f>IFERROR(__xludf.DUMMYFUNCTION("""COMPUTED_VALUE"""),"Q51a")</f>
        <v>Q51a</v>
      </c>
      <c r="E740" s="7" t="str">
        <f>IFERROR(__xludf.DUMMYFUNCTION("""COMPUTED_VALUE"""),"Performance: President")</f>
        <v>Performance: President</v>
      </c>
      <c r="F740" s="7" t="str">
        <f>IFERROR(__xludf.DUMMYFUNCTION("""COMPUTED_VALUE"""),"President John Magufuli")</f>
        <v>President John Magufuli</v>
      </c>
    </row>
    <row r="741">
      <c r="A741" s="7" t="str">
        <f>IFERROR(__xludf.DUMMYFUNCTION("""COMPUTED_VALUE"""),"TUNISIA ")</f>
        <v>TUNISIA </v>
      </c>
      <c r="B741" s="8">
        <f>IFERROR(__xludf.DUMMYFUNCTION("""COMPUTED_VALUE"""),8.0)</f>
        <v>8</v>
      </c>
      <c r="C741" s="7" t="str">
        <f>IFERROR(__xludf.DUMMYFUNCTION("""COMPUTED_VALUE"""),"B_01_07")</f>
        <v>B_01_07</v>
      </c>
      <c r="D741" s="7" t="str">
        <f>IFERROR(__xludf.DUMMYFUNCTION("""COMPUTED_VALUE"""),"Q51a")</f>
        <v>Q51a</v>
      </c>
      <c r="E741" s="7" t="str">
        <f>IFERROR(__xludf.DUMMYFUNCTION("""COMPUTED_VALUE"""),"Performance: President")</f>
        <v>Performance: President</v>
      </c>
      <c r="F741" s="7" t="str">
        <f>IFERROR(__xludf.DUMMYFUNCTION("""COMPUTED_VALUE"""),"President Kais Saied")</f>
        <v>President Kais Saied</v>
      </c>
    </row>
    <row r="742">
      <c r="A742" s="7" t="str">
        <f>IFERROR(__xludf.DUMMYFUNCTION("""COMPUTED_VALUE"""),"UGANDA  ")</f>
        <v>UGANDA  </v>
      </c>
      <c r="B742" s="8">
        <f>IFERROR(__xludf.DUMMYFUNCTION("""COMPUTED_VALUE"""),8.0)</f>
        <v>8</v>
      </c>
      <c r="C742" s="7" t="str">
        <f>IFERROR(__xludf.DUMMYFUNCTION("""COMPUTED_VALUE"""),"B_01_07")</f>
        <v>B_01_07</v>
      </c>
      <c r="D742" s="7" t="str">
        <f>IFERROR(__xludf.DUMMYFUNCTION("""COMPUTED_VALUE"""),"Q51a")</f>
        <v>Q51a</v>
      </c>
      <c r="E742" s="7" t="str">
        <f>IFERROR(__xludf.DUMMYFUNCTION("""COMPUTED_VALUE"""),"Performance: President")</f>
        <v>Performance: President</v>
      </c>
      <c r="F742" s="7" t="str">
        <f>IFERROR(__xludf.DUMMYFUNCTION("""COMPUTED_VALUE"""),"President Yoweri Kaguta Museveni")</f>
        <v>President Yoweri Kaguta Museveni</v>
      </c>
    </row>
    <row r="743">
      <c r="A743" s="7" t="str">
        <f>IFERROR(__xludf.DUMMYFUNCTION("""COMPUTED_VALUE"""),"ZAMBIA")</f>
        <v>ZAMBIA</v>
      </c>
      <c r="B743" s="8">
        <f>IFERROR(__xludf.DUMMYFUNCTION("""COMPUTED_VALUE"""),8.0)</f>
        <v>8</v>
      </c>
      <c r="C743" s="7" t="str">
        <f>IFERROR(__xludf.DUMMYFUNCTION("""COMPUTED_VALUE"""),"B_01_07")</f>
        <v>B_01_07</v>
      </c>
      <c r="D743" s="7" t="str">
        <f>IFERROR(__xludf.DUMMYFUNCTION("""COMPUTED_VALUE"""),"Q51a")</f>
        <v>Q51a</v>
      </c>
      <c r="E743" s="7" t="str">
        <f>IFERROR(__xludf.DUMMYFUNCTION("""COMPUTED_VALUE"""),"Performance: President")</f>
        <v>Performance: President</v>
      </c>
      <c r="F743" s="7" t="str">
        <f>IFERROR(__xludf.DUMMYFUNCTION("""COMPUTED_VALUE"""),"President Edgar Chagwa Lungu")</f>
        <v>President Edgar Chagwa Lungu</v>
      </c>
    </row>
    <row r="744">
      <c r="A744" s="7" t="str">
        <f>IFERROR(__xludf.DUMMYFUNCTION("""COMPUTED_VALUE"""),"ZIMBABWE")</f>
        <v>ZIMBABWE</v>
      </c>
      <c r="B744" s="8">
        <f>IFERROR(__xludf.DUMMYFUNCTION("""COMPUTED_VALUE"""),8.0)</f>
        <v>8</v>
      </c>
      <c r="C744" s="7" t="str">
        <f>IFERROR(__xludf.DUMMYFUNCTION("""COMPUTED_VALUE"""),"B_01_07")</f>
        <v>B_01_07</v>
      </c>
      <c r="D744" s="7" t="str">
        <f>IFERROR(__xludf.DUMMYFUNCTION("""COMPUTED_VALUE"""),"Q51a")</f>
        <v>Q51a</v>
      </c>
      <c r="E744" s="7" t="str">
        <f>IFERROR(__xludf.DUMMYFUNCTION("""COMPUTED_VALUE"""),"Performance: President")</f>
        <v>Performance: President</v>
      </c>
      <c r="F744" s="7" t="str">
        <f>IFERROR(__xludf.DUMMYFUNCTION("""COMPUTED_VALUE"""),"President Emmerson Mnangagwa")</f>
        <v>President Emmerson Mnangagwa</v>
      </c>
    </row>
    <row r="745">
      <c r="A745" s="7" t="str">
        <f>IFERROR(__xludf.DUMMYFUNCTION("""COMPUTED_VALUE"""),"BOTSWANA ")</f>
        <v>BOTSWANA </v>
      </c>
      <c r="B745" s="8">
        <f>IFERROR(__xludf.DUMMYFUNCTION("""COMPUTED_VALUE"""),8.0)</f>
        <v>8</v>
      </c>
      <c r="C745" s="7" t="str">
        <f>IFERROR(__xludf.DUMMYFUNCTION("""COMPUTED_VALUE"""),"B_04_07")</f>
        <v>B_04_07</v>
      </c>
      <c r="D745" s="7" t="str">
        <f>IFERROR(__xludf.DUMMYFUNCTION("""COMPUTED_VALUE"""),"Q51b")</f>
        <v>Q51b</v>
      </c>
      <c r="E745" s="7" t="str">
        <f>IFERROR(__xludf.DUMMYFUNCTION("""COMPUTED_VALUE"""),"Performance: MP/National Assembly rep")</f>
        <v>Performance: MP/National Assembly rep</v>
      </c>
      <c r="F745" s="7" t="str">
        <f>IFERROR(__xludf.DUMMYFUNCTION("""COMPUTED_VALUE"""),"Your member of Parliament")</f>
        <v>Your member of Parliament</v>
      </c>
    </row>
    <row r="746">
      <c r="A746" s="7" t="str">
        <f>IFERROR(__xludf.DUMMYFUNCTION("""COMPUTED_VALUE"""),"CABO VERDE ")</f>
        <v>CABO VERDE </v>
      </c>
      <c r="B746" s="8">
        <f>IFERROR(__xludf.DUMMYFUNCTION("""COMPUTED_VALUE"""),8.0)</f>
        <v>8</v>
      </c>
      <c r="C746" s="7" t="str">
        <f>IFERROR(__xludf.DUMMYFUNCTION("""COMPUTED_VALUE"""),"B_04_07")</f>
        <v>B_04_07</v>
      </c>
      <c r="D746" s="7" t="str">
        <f>IFERROR(__xludf.DUMMYFUNCTION("""COMPUTED_VALUE"""),"Q51b")</f>
        <v>Q51b</v>
      </c>
      <c r="E746" s="7" t="str">
        <f>IFERROR(__xludf.DUMMYFUNCTION("""COMPUTED_VALUE"""),"Performance: MP/National Assembly rep")</f>
        <v>Performance: MP/National Assembly rep</v>
      </c>
      <c r="F746" s="7" t="str">
        <f>IFERROR(__xludf.DUMMYFUNCTION("""COMPUTED_VALUE"""),"Your member of the National Assembly")</f>
        <v>Your member of the National Assembly</v>
      </c>
    </row>
    <row r="747">
      <c r="A747" s="7" t="str">
        <f>IFERROR(__xludf.DUMMYFUNCTION("""COMPUTED_VALUE"""),"CAMEROON")</f>
        <v>CAMEROON</v>
      </c>
      <c r="B747" s="8">
        <f>IFERROR(__xludf.DUMMYFUNCTION("""COMPUTED_VALUE"""),8.0)</f>
        <v>8</v>
      </c>
      <c r="C747" s="7" t="str">
        <f>IFERROR(__xludf.DUMMYFUNCTION("""COMPUTED_VALUE"""),"B_04_07")</f>
        <v>B_04_07</v>
      </c>
      <c r="D747" s="7" t="str">
        <f>IFERROR(__xludf.DUMMYFUNCTION("""COMPUTED_VALUE"""),"Q51b")</f>
        <v>Q51b</v>
      </c>
      <c r="E747" s="7" t="str">
        <f>IFERROR(__xludf.DUMMYFUNCTION("""COMPUTED_VALUE"""),"Performance: MP/National Assembly rep")</f>
        <v>Performance: MP/National Assembly rep</v>
      </c>
      <c r="F747" s="7" t="str">
        <f>IFERROR(__xludf.DUMMYFUNCTION("""COMPUTED_VALUE"""),"Your deputy")</f>
        <v>Your deputy</v>
      </c>
    </row>
    <row r="748">
      <c r="A748" s="7" t="str">
        <f>IFERROR(__xludf.DUMMYFUNCTION("""COMPUTED_VALUE"""),"ESWATINI")</f>
        <v>ESWATINI</v>
      </c>
      <c r="B748" s="8">
        <f>IFERROR(__xludf.DUMMYFUNCTION("""COMPUTED_VALUE"""),8.0)</f>
        <v>8</v>
      </c>
      <c r="C748" s="7" t="str">
        <f>IFERROR(__xludf.DUMMYFUNCTION("""COMPUTED_VALUE"""),"B_04_07")</f>
        <v>B_04_07</v>
      </c>
      <c r="D748" s="7" t="str">
        <f>IFERROR(__xludf.DUMMYFUNCTION("""COMPUTED_VALUE"""),"Q51b")</f>
        <v>Q51b</v>
      </c>
      <c r="E748" s="7" t="str">
        <f>IFERROR(__xludf.DUMMYFUNCTION("""COMPUTED_VALUE"""),"Performance: MP/National Assembly rep")</f>
        <v>Performance: MP/National Assembly rep</v>
      </c>
      <c r="F748" s="7" t="str">
        <f>IFERROR(__xludf.DUMMYFUNCTION("""COMPUTED_VALUE"""),"Your member of Parliament")</f>
        <v>Your member of Parliament</v>
      </c>
    </row>
    <row r="749">
      <c r="A749" s="7" t="str">
        <f>IFERROR(__xludf.DUMMYFUNCTION("""COMPUTED_VALUE"""),"ETHIOPIA")</f>
        <v>ETHIOPIA</v>
      </c>
      <c r="B749" s="8">
        <f>IFERROR(__xludf.DUMMYFUNCTION("""COMPUTED_VALUE"""),8.0)</f>
        <v>8</v>
      </c>
      <c r="C749" s="7" t="str">
        <f>IFERROR(__xludf.DUMMYFUNCTION("""COMPUTED_VALUE"""),"B_04_07")</f>
        <v>B_04_07</v>
      </c>
      <c r="D749" s="7" t="str">
        <f>IFERROR(__xludf.DUMMYFUNCTION("""COMPUTED_VALUE"""),"Q51b")</f>
        <v>Q51b</v>
      </c>
      <c r="E749" s="7" t="str">
        <f>IFERROR(__xludf.DUMMYFUNCTION("""COMPUTED_VALUE"""),"Performance: MP/National Assembly rep")</f>
        <v>Performance: MP/National Assembly rep</v>
      </c>
      <c r="F749" s="7" t="str">
        <f>IFERROR(__xludf.DUMMYFUNCTION("""COMPUTED_VALUE"""),"Your member of House of Peoples’ representatives")</f>
        <v>Your member of House of Peoples’ representatives</v>
      </c>
    </row>
    <row r="750">
      <c r="A750" s="7" t="str">
        <f>IFERROR(__xludf.DUMMYFUNCTION("""COMPUTED_VALUE"""),"GAMBIA")</f>
        <v>GAMBIA</v>
      </c>
      <c r="B750" s="8">
        <f>IFERROR(__xludf.DUMMYFUNCTION("""COMPUTED_VALUE"""),8.0)</f>
        <v>8</v>
      </c>
      <c r="C750" s="7" t="str">
        <f>IFERROR(__xludf.DUMMYFUNCTION("""COMPUTED_VALUE"""),"B_04_07")</f>
        <v>B_04_07</v>
      </c>
      <c r="D750" s="7" t="str">
        <f>IFERROR(__xludf.DUMMYFUNCTION("""COMPUTED_VALUE"""),"Q51b")</f>
        <v>Q51b</v>
      </c>
      <c r="E750" s="7" t="str">
        <f>IFERROR(__xludf.DUMMYFUNCTION("""COMPUTED_VALUE"""),"Performance: MP/National Assembly rep")</f>
        <v>Performance: MP/National Assembly rep</v>
      </c>
      <c r="F750" s="7" t="str">
        <f>IFERROR(__xludf.DUMMYFUNCTION("""COMPUTED_VALUE"""),"Your member of the National Assembly")</f>
        <v>Your member of the National Assembly</v>
      </c>
    </row>
    <row r="751">
      <c r="A751" s="7" t="str">
        <f>IFERROR(__xludf.DUMMYFUNCTION("""COMPUTED_VALUE"""),"GHANA ")</f>
        <v>GHANA </v>
      </c>
      <c r="B751" s="8">
        <f>IFERROR(__xludf.DUMMYFUNCTION("""COMPUTED_VALUE"""),8.0)</f>
        <v>8</v>
      </c>
      <c r="C751" s="7" t="str">
        <f>IFERROR(__xludf.DUMMYFUNCTION("""COMPUTED_VALUE"""),"B_04_07")</f>
        <v>B_04_07</v>
      </c>
      <c r="D751" s="7" t="str">
        <f>IFERROR(__xludf.DUMMYFUNCTION("""COMPUTED_VALUE"""),"Q51b")</f>
        <v>Q51b</v>
      </c>
      <c r="E751" s="7" t="str">
        <f>IFERROR(__xludf.DUMMYFUNCTION("""COMPUTED_VALUE"""),"Performance: MP/National Assembly rep")</f>
        <v>Performance: MP/National Assembly rep</v>
      </c>
      <c r="F751" s="7" t="str">
        <f>IFERROR(__xludf.DUMMYFUNCTION("""COMPUTED_VALUE"""),"Your Member of Parliament")</f>
        <v>Your Member of Parliament</v>
      </c>
    </row>
    <row r="752">
      <c r="A752" s="7" t="str">
        <f>IFERROR(__xludf.DUMMYFUNCTION("""COMPUTED_VALUE"""),"KENYA  ")</f>
        <v>KENYA  </v>
      </c>
      <c r="B752" s="8">
        <f>IFERROR(__xludf.DUMMYFUNCTION("""COMPUTED_VALUE"""),8.0)</f>
        <v>8</v>
      </c>
      <c r="C752" s="7" t="str">
        <f>IFERROR(__xludf.DUMMYFUNCTION("""COMPUTED_VALUE"""),"B_04_07")</f>
        <v>B_04_07</v>
      </c>
      <c r="D752" s="7" t="str">
        <f>IFERROR(__xludf.DUMMYFUNCTION("""COMPUTED_VALUE"""),"Q51b")</f>
        <v>Q51b</v>
      </c>
      <c r="E752" s="7" t="str">
        <f>IFERROR(__xludf.DUMMYFUNCTION("""COMPUTED_VALUE"""),"Performance: MP/National Assembly rep")</f>
        <v>Performance: MP/National Assembly rep</v>
      </c>
      <c r="F752" s="7" t="str">
        <f>IFERROR(__xludf.DUMMYFUNCTION("""COMPUTED_VALUE"""),"Your Member of Parliament")</f>
        <v>Your Member of Parliament</v>
      </c>
    </row>
    <row r="753">
      <c r="A753" s="7" t="str">
        <f>IFERROR(__xludf.DUMMYFUNCTION("""COMPUTED_VALUE"""),"LESOTHO ")</f>
        <v>LESOTHO </v>
      </c>
      <c r="B753" s="8">
        <f>IFERROR(__xludf.DUMMYFUNCTION("""COMPUTED_VALUE"""),8.0)</f>
        <v>8</v>
      </c>
      <c r="C753" s="7" t="str">
        <f>IFERROR(__xludf.DUMMYFUNCTION("""COMPUTED_VALUE"""),"B_04_07")</f>
        <v>B_04_07</v>
      </c>
      <c r="D753" s="7" t="str">
        <f>IFERROR(__xludf.DUMMYFUNCTION("""COMPUTED_VALUE"""),"Q51b")</f>
        <v>Q51b</v>
      </c>
      <c r="E753" s="7" t="str">
        <f>IFERROR(__xludf.DUMMYFUNCTION("""COMPUTED_VALUE"""),"Performance: MP/National Assembly rep")</f>
        <v>Performance: MP/National Assembly rep</v>
      </c>
      <c r="F753" s="7" t="str">
        <f>IFERROR(__xludf.DUMMYFUNCTION("""COMPUTED_VALUE"""),"Your member of Parliament")</f>
        <v>Your member of Parliament</v>
      </c>
    </row>
    <row r="754">
      <c r="A754" s="7" t="str">
        <f>IFERROR(__xludf.DUMMYFUNCTION("""COMPUTED_VALUE"""),"LIBERIA  ")</f>
        <v>LIBERIA  </v>
      </c>
      <c r="B754" s="8">
        <f>IFERROR(__xludf.DUMMYFUNCTION("""COMPUTED_VALUE"""),8.0)</f>
        <v>8</v>
      </c>
      <c r="C754" s="7" t="str">
        <f>IFERROR(__xludf.DUMMYFUNCTION("""COMPUTED_VALUE"""),"B_04_07")</f>
        <v>B_04_07</v>
      </c>
      <c r="D754" s="7" t="str">
        <f>IFERROR(__xludf.DUMMYFUNCTION("""COMPUTED_VALUE"""),"Q51b")</f>
        <v>Q51b</v>
      </c>
      <c r="E754" s="7" t="str">
        <f>IFERROR(__xludf.DUMMYFUNCTION("""COMPUTED_VALUE"""),"Performance: MP/National Assembly rep")</f>
        <v>Performance: MP/National Assembly rep</v>
      </c>
      <c r="F754" s="7" t="str">
        <f>IFERROR(__xludf.DUMMYFUNCTION("""COMPUTED_VALUE"""),"Your member of the House of Representatives")</f>
        <v>Your member of the House of Representatives</v>
      </c>
    </row>
    <row r="755">
      <c r="A755" s="7" t="str">
        <f>IFERROR(__xludf.DUMMYFUNCTION("""COMPUTED_VALUE"""),"MALAWI ")</f>
        <v>MALAWI </v>
      </c>
      <c r="B755" s="8">
        <f>IFERROR(__xludf.DUMMYFUNCTION("""COMPUTED_VALUE"""),8.0)</f>
        <v>8</v>
      </c>
      <c r="C755" s="7" t="str">
        <f>IFERROR(__xludf.DUMMYFUNCTION("""COMPUTED_VALUE"""),"B_04_07")</f>
        <v>B_04_07</v>
      </c>
      <c r="D755" s="7" t="str">
        <f>IFERROR(__xludf.DUMMYFUNCTION("""COMPUTED_VALUE"""),"Q51b")</f>
        <v>Q51b</v>
      </c>
      <c r="E755" s="7" t="str">
        <f>IFERROR(__xludf.DUMMYFUNCTION("""COMPUTED_VALUE"""),"Performance: MP/National Assembly rep")</f>
        <v>Performance: MP/National Assembly rep</v>
      </c>
      <c r="F755" s="7" t="str">
        <f>IFERROR(__xludf.DUMMYFUNCTION("""COMPUTED_VALUE"""),"Your member of Parliament")</f>
        <v>Your member of Parliament</v>
      </c>
    </row>
    <row r="756">
      <c r="A756" s="7" t="str">
        <f>IFERROR(__xludf.DUMMYFUNCTION("""COMPUTED_VALUE"""),"MOROCCO ")</f>
        <v>MOROCCO </v>
      </c>
      <c r="B756" s="8">
        <f>IFERROR(__xludf.DUMMYFUNCTION("""COMPUTED_VALUE"""),8.0)</f>
        <v>8</v>
      </c>
      <c r="C756" s="7" t="str">
        <f>IFERROR(__xludf.DUMMYFUNCTION("""COMPUTED_VALUE"""),"B_04_07")</f>
        <v>B_04_07</v>
      </c>
      <c r="D756" s="7" t="str">
        <f>IFERROR(__xludf.DUMMYFUNCTION("""COMPUTED_VALUE"""),"Q51b")</f>
        <v>Q51b</v>
      </c>
      <c r="E756" s="7" t="str">
        <f>IFERROR(__xludf.DUMMYFUNCTION("""COMPUTED_VALUE"""),"Performance: MP/National Assembly rep")</f>
        <v>Performance: MP/National Assembly rep</v>
      </c>
      <c r="F756" s="7" t="str">
        <f>IFERROR(__xludf.DUMMYFUNCTION("""COMPUTED_VALUE"""),"Your member of Parliament")</f>
        <v>Your member of Parliament</v>
      </c>
    </row>
    <row r="757">
      <c r="A757" s="7" t="str">
        <f>IFERROR(__xludf.DUMMYFUNCTION("""COMPUTED_VALUE"""),"MOZAMBIQUE")</f>
        <v>MOZAMBIQUE</v>
      </c>
      <c r="B757" s="8">
        <f>IFERROR(__xludf.DUMMYFUNCTION("""COMPUTED_VALUE"""),8.0)</f>
        <v>8</v>
      </c>
      <c r="C757" s="7" t="str">
        <f>IFERROR(__xludf.DUMMYFUNCTION("""COMPUTED_VALUE"""),"B_04_07")</f>
        <v>B_04_07</v>
      </c>
      <c r="D757" s="7" t="str">
        <f>IFERROR(__xludf.DUMMYFUNCTION("""COMPUTED_VALUE"""),"Q51b")</f>
        <v>Q51b</v>
      </c>
      <c r="E757" s="7" t="str">
        <f>IFERROR(__xludf.DUMMYFUNCTION("""COMPUTED_VALUE"""),"Performance: MP/National Assembly rep")</f>
        <v>Performance: MP/National Assembly rep</v>
      </c>
      <c r="F757" s="7" t="str">
        <f>IFERROR(__xludf.DUMMYFUNCTION("""COMPUTED_VALUE"""),"Your member of Parliament")</f>
        <v>Your member of Parliament</v>
      </c>
    </row>
    <row r="758">
      <c r="A758" s="7" t="str">
        <f>IFERROR(__xludf.DUMMYFUNCTION("""COMPUTED_VALUE"""),"NIGERIA ")</f>
        <v>NIGERIA </v>
      </c>
      <c r="B758" s="8">
        <f>IFERROR(__xludf.DUMMYFUNCTION("""COMPUTED_VALUE"""),8.0)</f>
        <v>8</v>
      </c>
      <c r="C758" s="7" t="str">
        <f>IFERROR(__xludf.DUMMYFUNCTION("""COMPUTED_VALUE"""),"B_04_07")</f>
        <v>B_04_07</v>
      </c>
      <c r="D758" s="7" t="str">
        <f>IFERROR(__xludf.DUMMYFUNCTION("""COMPUTED_VALUE"""),"Q51b")</f>
        <v>Q51b</v>
      </c>
      <c r="E758" s="7" t="str">
        <f>IFERROR(__xludf.DUMMYFUNCTION("""COMPUTED_VALUE"""),"Performance: MP/National Assembly rep")</f>
        <v>Performance: MP/National Assembly rep</v>
      </c>
      <c r="F758" s="7" t="str">
        <f>IFERROR(__xludf.DUMMYFUNCTION("""COMPUTED_VALUE"""),"Your Member of the National Assembly")</f>
        <v>Your Member of the National Assembly</v>
      </c>
    </row>
    <row r="759">
      <c r="A759" s="7" t="str">
        <f>IFERROR(__xludf.DUMMYFUNCTION("""COMPUTED_VALUE"""),"SIERRA LEONE")</f>
        <v>SIERRA LEONE</v>
      </c>
      <c r="B759" s="8">
        <f>IFERROR(__xludf.DUMMYFUNCTION("""COMPUTED_VALUE"""),8.0)</f>
        <v>8</v>
      </c>
      <c r="C759" s="7" t="str">
        <f>IFERROR(__xludf.DUMMYFUNCTION("""COMPUTED_VALUE"""),"B_04_07")</f>
        <v>B_04_07</v>
      </c>
      <c r="D759" s="7" t="str">
        <f>IFERROR(__xludf.DUMMYFUNCTION("""COMPUTED_VALUE"""),"Q51b")</f>
        <v>Q51b</v>
      </c>
      <c r="E759" s="7" t="str">
        <f>IFERROR(__xludf.DUMMYFUNCTION("""COMPUTED_VALUE"""),"Performance: MP/National Assembly rep")</f>
        <v>Performance: MP/National Assembly rep</v>
      </c>
      <c r="F759" s="7" t="str">
        <f>IFERROR(__xludf.DUMMYFUNCTION("""COMPUTED_VALUE"""),"Your member of Parliament")</f>
        <v>Your member of Parliament</v>
      </c>
    </row>
    <row r="760">
      <c r="A760" s="7" t="str">
        <f>IFERROR(__xludf.DUMMYFUNCTION("""COMPUTED_VALUE"""),"SOUTH AFRICA")</f>
        <v>SOUTH AFRICA</v>
      </c>
      <c r="B760" s="8">
        <f>IFERROR(__xludf.DUMMYFUNCTION("""COMPUTED_VALUE"""),8.0)</f>
        <v>8</v>
      </c>
      <c r="C760" s="7" t="str">
        <f>IFERROR(__xludf.DUMMYFUNCTION("""COMPUTED_VALUE"""),"B_04_07")</f>
        <v>B_04_07</v>
      </c>
      <c r="D760" s="7" t="str">
        <f>IFERROR(__xludf.DUMMYFUNCTION("""COMPUTED_VALUE"""),"Q51b")</f>
        <v>Q51b</v>
      </c>
      <c r="E760" s="7" t="str">
        <f>IFERROR(__xludf.DUMMYFUNCTION("""COMPUTED_VALUE"""),"Performance: MP/National Assembly rep")</f>
        <v>Performance: MP/National Assembly rep</v>
      </c>
      <c r="F760" s="7" t="str">
        <f>IFERROR(__xludf.DUMMYFUNCTION("""COMPUTED_VALUE"""),"Your member of Parliament")</f>
        <v>Your member of Parliament</v>
      </c>
    </row>
    <row r="761">
      <c r="A761" s="7" t="str">
        <f>IFERROR(__xludf.DUMMYFUNCTION("""COMPUTED_VALUE"""),"TANZANIA")</f>
        <v>TANZANIA</v>
      </c>
      <c r="B761" s="8">
        <f>IFERROR(__xludf.DUMMYFUNCTION("""COMPUTED_VALUE"""),8.0)</f>
        <v>8</v>
      </c>
      <c r="C761" s="7" t="str">
        <f>IFERROR(__xludf.DUMMYFUNCTION("""COMPUTED_VALUE"""),"B_04_07")</f>
        <v>B_04_07</v>
      </c>
      <c r="D761" s="7" t="str">
        <f>IFERROR(__xludf.DUMMYFUNCTION("""COMPUTED_VALUE"""),"Q51b")</f>
        <v>Q51b</v>
      </c>
      <c r="E761" s="7" t="str">
        <f>IFERROR(__xludf.DUMMYFUNCTION("""COMPUTED_VALUE"""),"Performance: MP/National Assembly rep")</f>
        <v>Performance: MP/National Assembly rep</v>
      </c>
      <c r="F761" s="7" t="str">
        <f>IFERROR(__xludf.DUMMYFUNCTION("""COMPUTED_VALUE"""),"Your member of Parliament")</f>
        <v>Your member of Parliament</v>
      </c>
    </row>
    <row r="762">
      <c r="A762" s="7" t="str">
        <f>IFERROR(__xludf.DUMMYFUNCTION("""COMPUTED_VALUE"""),"TUNISIA ")</f>
        <v>TUNISIA </v>
      </c>
      <c r="B762" s="8">
        <f>IFERROR(__xludf.DUMMYFUNCTION("""COMPUTED_VALUE"""),8.0)</f>
        <v>8</v>
      </c>
      <c r="C762" s="7" t="str">
        <f>IFERROR(__xludf.DUMMYFUNCTION("""COMPUTED_VALUE"""),"B_04_07")</f>
        <v>B_04_07</v>
      </c>
      <c r="D762" s="7" t="str">
        <f>IFERROR(__xludf.DUMMYFUNCTION("""COMPUTED_VALUE"""),"Q51b")</f>
        <v>Q51b</v>
      </c>
      <c r="E762" s="7" t="str">
        <f>IFERROR(__xludf.DUMMYFUNCTION("""COMPUTED_VALUE"""),"Performance: MP/National Assembly rep")</f>
        <v>Performance: MP/National Assembly rep</v>
      </c>
      <c r="F762" s="7" t="str">
        <f>IFERROR(__xludf.DUMMYFUNCTION("""COMPUTED_VALUE"""),"Your member of Representative Assembly of the People")</f>
        <v>Your member of Representative Assembly of the People</v>
      </c>
    </row>
    <row r="763">
      <c r="A763" s="7" t="str">
        <f>IFERROR(__xludf.DUMMYFUNCTION("""COMPUTED_VALUE"""),"UGANDA  ")</f>
        <v>UGANDA  </v>
      </c>
      <c r="B763" s="8">
        <f>IFERROR(__xludf.DUMMYFUNCTION("""COMPUTED_VALUE"""),8.0)</f>
        <v>8</v>
      </c>
      <c r="C763" s="7" t="str">
        <f>IFERROR(__xludf.DUMMYFUNCTION("""COMPUTED_VALUE"""),"B_04_07")</f>
        <v>B_04_07</v>
      </c>
      <c r="D763" s="7" t="str">
        <f>IFERROR(__xludf.DUMMYFUNCTION("""COMPUTED_VALUE"""),"Q51b")</f>
        <v>Q51b</v>
      </c>
      <c r="E763" s="7" t="str">
        <f>IFERROR(__xludf.DUMMYFUNCTION("""COMPUTED_VALUE"""),"Performance: MP/National Assembly rep")</f>
        <v>Performance: MP/National Assembly rep</v>
      </c>
      <c r="F763" s="7" t="str">
        <f>IFERROR(__xludf.DUMMYFUNCTION("""COMPUTED_VALUE"""),"Your member of Parliament")</f>
        <v>Your member of Parliament</v>
      </c>
    </row>
    <row r="764">
      <c r="A764" s="7" t="str">
        <f>IFERROR(__xludf.DUMMYFUNCTION("""COMPUTED_VALUE"""),"ZAMBIA")</f>
        <v>ZAMBIA</v>
      </c>
      <c r="B764" s="8">
        <f>IFERROR(__xludf.DUMMYFUNCTION("""COMPUTED_VALUE"""),8.0)</f>
        <v>8</v>
      </c>
      <c r="C764" s="7" t="str">
        <f>IFERROR(__xludf.DUMMYFUNCTION("""COMPUTED_VALUE"""),"B_04_07")</f>
        <v>B_04_07</v>
      </c>
      <c r="D764" s="7" t="str">
        <f>IFERROR(__xludf.DUMMYFUNCTION("""COMPUTED_VALUE"""),"Q51b")</f>
        <v>Q51b</v>
      </c>
      <c r="E764" s="7" t="str">
        <f>IFERROR(__xludf.DUMMYFUNCTION("""COMPUTED_VALUE"""),"Performance: MP/National Assembly rep")</f>
        <v>Performance: MP/National Assembly rep</v>
      </c>
      <c r="F764" s="7" t="str">
        <f>IFERROR(__xludf.DUMMYFUNCTION("""COMPUTED_VALUE"""),"Your member of Parliament")</f>
        <v>Your member of Parliament</v>
      </c>
    </row>
    <row r="765">
      <c r="A765" s="7" t="str">
        <f>IFERROR(__xludf.DUMMYFUNCTION("""COMPUTED_VALUE"""),"ZIMBABWE")</f>
        <v>ZIMBABWE</v>
      </c>
      <c r="B765" s="8">
        <f>IFERROR(__xludf.DUMMYFUNCTION("""COMPUTED_VALUE"""),8.0)</f>
        <v>8</v>
      </c>
      <c r="C765" s="7" t="str">
        <f>IFERROR(__xludf.DUMMYFUNCTION("""COMPUTED_VALUE"""),"B_04_07")</f>
        <v>B_04_07</v>
      </c>
      <c r="D765" s="7" t="str">
        <f>IFERROR(__xludf.DUMMYFUNCTION("""COMPUTED_VALUE"""),"Q51b")</f>
        <v>Q51b</v>
      </c>
      <c r="E765" s="7" t="str">
        <f>IFERROR(__xludf.DUMMYFUNCTION("""COMPUTED_VALUE"""),"Performance: MP/National Assembly rep")</f>
        <v>Performance: MP/National Assembly rep</v>
      </c>
      <c r="F765" s="7" t="str">
        <f>IFERROR(__xludf.DUMMYFUNCTION("""COMPUTED_VALUE"""),"Your Member of Parliament")</f>
        <v>Your Member of Parliament</v>
      </c>
    </row>
    <row r="766">
      <c r="A766" s="7" t="str">
        <f>IFERROR(__xludf.DUMMYFUNCTION("""COMPUTED_VALUE"""),"BOTSWANA ")</f>
        <v>BOTSWANA </v>
      </c>
      <c r="B766" s="8">
        <f>IFERROR(__xludf.DUMMYFUNCTION("""COMPUTED_VALUE"""),8.0)</f>
        <v>8</v>
      </c>
      <c r="C766" s="7" t="str">
        <f>IFERROR(__xludf.DUMMYFUNCTION("""COMPUTED_VALUE"""),"B_03_29")</f>
        <v>B_03_29</v>
      </c>
      <c r="D766" s="7" t="str">
        <f>IFERROR(__xludf.DUMMYFUNCTION("""COMPUTED_VALUE"""),"Q51c")</f>
        <v>Q51c</v>
      </c>
      <c r="E766" s="7" t="str">
        <f>IFERROR(__xludf.DUMMYFUNCTION("""COMPUTED_VALUE""")," Performance: local government councillor")</f>
        <v> Performance: local government councillor</v>
      </c>
      <c r="F766" s="7" t="str">
        <f>IFERROR(__xludf.DUMMYFUNCTION("""COMPUTED_VALUE""")," local government councillor")</f>
        <v> local government councillor</v>
      </c>
    </row>
    <row r="767">
      <c r="A767" s="7" t="str">
        <f>IFERROR(__xludf.DUMMYFUNCTION("""COMPUTED_VALUE"""),"CABO VERDE ")</f>
        <v>CABO VERDE </v>
      </c>
      <c r="B767" s="8">
        <f>IFERROR(__xludf.DUMMYFUNCTION("""COMPUTED_VALUE"""),8.0)</f>
        <v>8</v>
      </c>
      <c r="C767" s="7" t="str">
        <f>IFERROR(__xludf.DUMMYFUNCTION("""COMPUTED_VALUE"""),"B_03_29")</f>
        <v>B_03_29</v>
      </c>
      <c r="D767" s="7" t="str">
        <f>IFERROR(__xludf.DUMMYFUNCTION("""COMPUTED_VALUE"""),"Q51c")</f>
        <v>Q51c</v>
      </c>
      <c r="E767" s="7" t="str">
        <f>IFERROR(__xludf.DUMMYFUNCTION("""COMPUTED_VALUE""")," Performance: local government councillor")</f>
        <v> Performance: local government councillor</v>
      </c>
      <c r="F767" s="7" t="str">
        <f>IFERROR(__xludf.DUMMYFUNCTION("""COMPUTED_VALUE"""),"Your elected city council")</f>
        <v>Your elected city council</v>
      </c>
    </row>
    <row r="768">
      <c r="A768" s="7" t="str">
        <f>IFERROR(__xludf.DUMMYFUNCTION("""COMPUTED_VALUE"""),"CAMEROON")</f>
        <v>CAMEROON</v>
      </c>
      <c r="B768" s="8">
        <f>IFERROR(__xludf.DUMMYFUNCTION("""COMPUTED_VALUE"""),8.0)</f>
        <v>8</v>
      </c>
      <c r="C768" s="7" t="str">
        <f>IFERROR(__xludf.DUMMYFUNCTION("""COMPUTED_VALUE"""),"B_03_29")</f>
        <v>B_03_29</v>
      </c>
      <c r="D768" s="7" t="str">
        <f>IFERROR(__xludf.DUMMYFUNCTION("""COMPUTED_VALUE"""),"Q51c")</f>
        <v>Q51c</v>
      </c>
      <c r="E768" s="7" t="str">
        <f>IFERROR(__xludf.DUMMYFUNCTION("""COMPUTED_VALUE""")," Performance: local government councillor")</f>
        <v> Performance: local government councillor</v>
      </c>
      <c r="F768" s="7" t="str">
        <f>IFERROR(__xludf.DUMMYFUNCTION("""COMPUTED_VALUE"""),"Your Municipal Councillor or Communal")</f>
        <v>Your Municipal Councillor or Communal</v>
      </c>
    </row>
    <row r="769">
      <c r="A769" s="7" t="str">
        <f>IFERROR(__xludf.DUMMYFUNCTION("""COMPUTED_VALUE"""),"ESWATINI")</f>
        <v>ESWATINI</v>
      </c>
      <c r="B769" s="8">
        <f>IFERROR(__xludf.DUMMYFUNCTION("""COMPUTED_VALUE"""),8.0)</f>
        <v>8</v>
      </c>
      <c r="C769" s="7" t="str">
        <f>IFERROR(__xludf.DUMMYFUNCTION("""COMPUTED_VALUE"""),"B_03_29")</f>
        <v>B_03_29</v>
      </c>
      <c r="D769" s="7" t="str">
        <f>IFERROR(__xludf.DUMMYFUNCTION("""COMPUTED_VALUE"""),"Q51c")</f>
        <v>Q51c</v>
      </c>
      <c r="E769" s="7" t="str">
        <f>IFERROR(__xludf.DUMMYFUNCTION("""COMPUTED_VALUE""")," Performance: local government councillor")</f>
        <v> Performance: local government councillor</v>
      </c>
      <c r="F769" s="7" t="str">
        <f>IFERROR(__xludf.DUMMYFUNCTION("""COMPUTED_VALUE"""),"Your elected local government councillor")</f>
        <v>Your elected local government councillor</v>
      </c>
    </row>
    <row r="770">
      <c r="A770" s="7" t="str">
        <f>IFERROR(__xludf.DUMMYFUNCTION("""COMPUTED_VALUE"""),"ETHIOPIA")</f>
        <v>ETHIOPIA</v>
      </c>
      <c r="B770" s="8">
        <f>IFERROR(__xludf.DUMMYFUNCTION("""COMPUTED_VALUE"""),8.0)</f>
        <v>8</v>
      </c>
      <c r="C770" s="7" t="str">
        <f>IFERROR(__xludf.DUMMYFUNCTION("""COMPUTED_VALUE"""),"B_03_29")</f>
        <v>B_03_29</v>
      </c>
      <c r="D770" s="7" t="str">
        <f>IFERROR(__xludf.DUMMYFUNCTION("""COMPUTED_VALUE"""),"Q51c")</f>
        <v>Q51c</v>
      </c>
      <c r="E770" s="7" t="str">
        <f>IFERROR(__xludf.DUMMYFUNCTION("""COMPUTED_VALUE""")," Performance: local government councillor")</f>
        <v> Performance: local government councillor</v>
      </c>
      <c r="F770" s="7" t="str">
        <f>IFERROR(__xludf.DUMMYFUNCTION("""COMPUTED_VALUE"""),"Your elected local government councillor")</f>
        <v>Your elected local government councillor</v>
      </c>
    </row>
    <row r="771">
      <c r="A771" s="7" t="str">
        <f>IFERROR(__xludf.DUMMYFUNCTION("""COMPUTED_VALUE"""),"GAMBIA")</f>
        <v>GAMBIA</v>
      </c>
      <c r="B771" s="8">
        <f>IFERROR(__xludf.DUMMYFUNCTION("""COMPUTED_VALUE"""),8.0)</f>
        <v>8</v>
      </c>
      <c r="C771" s="7" t="str">
        <f>IFERROR(__xludf.DUMMYFUNCTION("""COMPUTED_VALUE"""),"B_03_29")</f>
        <v>B_03_29</v>
      </c>
      <c r="D771" s="7" t="str">
        <f>IFERROR(__xludf.DUMMYFUNCTION("""COMPUTED_VALUE"""),"Q51c")</f>
        <v>Q51c</v>
      </c>
      <c r="E771" s="7" t="str">
        <f>IFERROR(__xludf.DUMMYFUNCTION("""COMPUTED_VALUE""")," Performance: local government councillor")</f>
        <v> Performance: local government councillor</v>
      </c>
      <c r="F771" s="7" t="str">
        <f>IFERROR(__xludf.DUMMYFUNCTION("""COMPUTED_VALUE"""),"Your elected local government councillor")</f>
        <v>Your elected local government councillor</v>
      </c>
    </row>
    <row r="772">
      <c r="A772" s="7" t="str">
        <f>IFERROR(__xludf.DUMMYFUNCTION("""COMPUTED_VALUE"""),"GHANA ")</f>
        <v>GHANA </v>
      </c>
      <c r="B772" s="8">
        <f>IFERROR(__xludf.DUMMYFUNCTION("""COMPUTED_VALUE"""),8.0)</f>
        <v>8</v>
      </c>
      <c r="C772" s="7" t="str">
        <f>IFERROR(__xludf.DUMMYFUNCTION("""COMPUTED_VALUE"""),"B_03_29")</f>
        <v>B_03_29</v>
      </c>
      <c r="D772" s="7" t="str">
        <f>IFERROR(__xludf.DUMMYFUNCTION("""COMPUTED_VALUE"""),"Q51c")</f>
        <v>Q51c</v>
      </c>
      <c r="E772" s="7" t="str">
        <f>IFERROR(__xludf.DUMMYFUNCTION("""COMPUTED_VALUE""")," Performance: local government councillor")</f>
        <v> Performance: local government councillor</v>
      </c>
      <c r="F772" s="7" t="str">
        <f>IFERROR(__xludf.DUMMYFUNCTION("""COMPUTED_VALUE"""),"Your Assembly man or woman")</f>
        <v>Your Assembly man or woman</v>
      </c>
    </row>
    <row r="773">
      <c r="A773" s="7" t="str">
        <f>IFERROR(__xludf.DUMMYFUNCTION("""COMPUTED_VALUE"""),"KENYA  ")</f>
        <v>KENYA  </v>
      </c>
      <c r="B773" s="8">
        <f>IFERROR(__xludf.DUMMYFUNCTION("""COMPUTED_VALUE"""),8.0)</f>
        <v>8</v>
      </c>
      <c r="C773" s="7" t="str">
        <f>IFERROR(__xludf.DUMMYFUNCTION("""COMPUTED_VALUE"""),"B_03_29")</f>
        <v>B_03_29</v>
      </c>
      <c r="D773" s="7" t="str">
        <f>IFERROR(__xludf.DUMMYFUNCTION("""COMPUTED_VALUE"""),"Q51c")</f>
        <v>Q51c</v>
      </c>
      <c r="E773" s="7" t="str">
        <f>IFERROR(__xludf.DUMMYFUNCTION("""COMPUTED_VALUE""")," Performance: local government councillor")</f>
        <v> Performance: local government councillor</v>
      </c>
      <c r="F773" s="7" t="str">
        <f>IFERROR(__xludf.DUMMYFUNCTION("""COMPUTED_VALUE"""),"Your elected Member of the County Assembly or MCA")</f>
        <v>Your elected Member of the County Assembly or MCA</v>
      </c>
    </row>
    <row r="774">
      <c r="A774" s="7" t="str">
        <f>IFERROR(__xludf.DUMMYFUNCTION("""COMPUTED_VALUE"""),"LESOTHO ")</f>
        <v>LESOTHO </v>
      </c>
      <c r="B774" s="8">
        <f>IFERROR(__xludf.DUMMYFUNCTION("""COMPUTED_VALUE"""),8.0)</f>
        <v>8</v>
      </c>
      <c r="C774" s="7" t="str">
        <f>IFERROR(__xludf.DUMMYFUNCTION("""COMPUTED_VALUE"""),"B_03_29")</f>
        <v>B_03_29</v>
      </c>
      <c r="D774" s="7" t="str">
        <f>IFERROR(__xludf.DUMMYFUNCTION("""COMPUTED_VALUE"""),"Q51c")</f>
        <v>Q51c</v>
      </c>
      <c r="E774" s="7" t="str">
        <f>IFERROR(__xludf.DUMMYFUNCTION("""COMPUTED_VALUE""")," Performance: local government councillor")</f>
        <v> Performance: local government councillor</v>
      </c>
      <c r="F774" s="7" t="str">
        <f>IFERROR(__xludf.DUMMYFUNCTION("""COMPUTED_VALUE"""),"Your elected community councillor")</f>
        <v>Your elected community councillor</v>
      </c>
    </row>
    <row r="775">
      <c r="A775" s="7" t="str">
        <f>IFERROR(__xludf.DUMMYFUNCTION("""COMPUTED_VALUE"""),"MALAWI ")</f>
        <v>MALAWI </v>
      </c>
      <c r="B775" s="8">
        <f>IFERROR(__xludf.DUMMYFUNCTION("""COMPUTED_VALUE"""),8.0)</f>
        <v>8</v>
      </c>
      <c r="C775" s="7" t="str">
        <f>IFERROR(__xludf.DUMMYFUNCTION("""COMPUTED_VALUE"""),"B_03_29")</f>
        <v>B_03_29</v>
      </c>
      <c r="D775" s="7" t="str">
        <f>IFERROR(__xludf.DUMMYFUNCTION("""COMPUTED_VALUE"""),"Q51c")</f>
        <v>Q51c</v>
      </c>
      <c r="E775" s="7" t="str">
        <f>IFERROR(__xludf.DUMMYFUNCTION("""COMPUTED_VALUE""")," Performance: local government councillor")</f>
        <v> Performance: local government councillor</v>
      </c>
      <c r="F775" s="7" t="str">
        <f>IFERROR(__xludf.DUMMYFUNCTION("""COMPUTED_VALUE"""),"Your elected local government councillor")</f>
        <v>Your elected local government councillor</v>
      </c>
    </row>
    <row r="776">
      <c r="A776" s="7" t="str">
        <f>IFERROR(__xludf.DUMMYFUNCTION("""COMPUTED_VALUE"""),"MOROCCO ")</f>
        <v>MOROCCO </v>
      </c>
      <c r="B776" s="8">
        <f>IFERROR(__xludf.DUMMYFUNCTION("""COMPUTED_VALUE"""),8.0)</f>
        <v>8</v>
      </c>
      <c r="C776" s="7" t="str">
        <f>IFERROR(__xludf.DUMMYFUNCTION("""COMPUTED_VALUE"""),"B_03_29")</f>
        <v>B_03_29</v>
      </c>
      <c r="D776" s="7" t="str">
        <f>IFERROR(__xludf.DUMMYFUNCTION("""COMPUTED_VALUE"""),"Q51c")</f>
        <v>Q51c</v>
      </c>
      <c r="E776" s="7" t="str">
        <f>IFERROR(__xludf.DUMMYFUNCTION("""COMPUTED_VALUE""")," Performance: local government councillor")</f>
        <v> Performance: local government councillor</v>
      </c>
      <c r="F776" s="7" t="str">
        <f>IFERROR(__xludf.DUMMYFUNCTION("""COMPUTED_VALUE"""),"Your elected local councillor")</f>
        <v>Your elected local councillor</v>
      </c>
    </row>
    <row r="777">
      <c r="A777" s="7" t="str">
        <f>IFERROR(__xludf.DUMMYFUNCTION("""COMPUTED_VALUE"""),"MOZAMBIQUE")</f>
        <v>MOZAMBIQUE</v>
      </c>
      <c r="B777" s="8">
        <f>IFERROR(__xludf.DUMMYFUNCTION("""COMPUTED_VALUE"""),8.0)</f>
        <v>8</v>
      </c>
      <c r="C777" s="7" t="str">
        <f>IFERROR(__xludf.DUMMYFUNCTION("""COMPUTED_VALUE"""),"B_03_29")</f>
        <v>B_03_29</v>
      </c>
      <c r="D777" s="7" t="str">
        <f>IFERROR(__xludf.DUMMYFUNCTION("""COMPUTED_VALUE"""),"Q51c")</f>
        <v>Q51c</v>
      </c>
      <c r="E777" s="7" t="str">
        <f>IFERROR(__xludf.DUMMYFUNCTION("""COMPUTED_VALUE""")," Performance: local government councillor")</f>
        <v> Performance: local government councillor</v>
      </c>
      <c r="F777" s="7" t="str">
        <f>IFERROR(__xludf.DUMMYFUNCTION("""COMPUTED_VALUE"""),"Your member of the municipal assembly")</f>
        <v>Your member of the municipal assembly</v>
      </c>
    </row>
    <row r="778">
      <c r="A778" s="7" t="str">
        <f>IFERROR(__xludf.DUMMYFUNCTION("""COMPUTED_VALUE"""),"NAMIBIA ")</f>
        <v>NAMIBIA </v>
      </c>
      <c r="B778" s="8">
        <f>IFERROR(__xludf.DUMMYFUNCTION("""COMPUTED_VALUE"""),8.0)</f>
        <v>8</v>
      </c>
      <c r="C778" s="7" t="str">
        <f>IFERROR(__xludf.DUMMYFUNCTION("""COMPUTED_VALUE"""),"B_03_29")</f>
        <v>B_03_29</v>
      </c>
      <c r="D778" s="7" t="str">
        <f>IFERROR(__xludf.DUMMYFUNCTION("""COMPUTED_VALUE"""),"Q51c")</f>
        <v>Q51c</v>
      </c>
      <c r="E778" s="7" t="str">
        <f>IFERROR(__xludf.DUMMYFUNCTION("""COMPUTED_VALUE""")," Performance: local government councillor")</f>
        <v> Performance: local government councillor</v>
      </c>
      <c r="F778" s="7" t="str">
        <f>IFERROR(__xludf.DUMMYFUNCTION("""COMPUTED_VALUE"""),"Your elected Local Authority Councilor")</f>
        <v>Your elected Local Authority Councilor</v>
      </c>
    </row>
    <row r="779">
      <c r="A779" s="7" t="str">
        <f>IFERROR(__xludf.DUMMYFUNCTION("""COMPUTED_VALUE"""),"NIGERIA ")</f>
        <v>NIGERIA </v>
      </c>
      <c r="B779" s="8">
        <f>IFERROR(__xludf.DUMMYFUNCTION("""COMPUTED_VALUE"""),8.0)</f>
        <v>8</v>
      </c>
      <c r="C779" s="7" t="str">
        <f>IFERROR(__xludf.DUMMYFUNCTION("""COMPUTED_VALUE"""),"B_03_29")</f>
        <v>B_03_29</v>
      </c>
      <c r="D779" s="7" t="str">
        <f>IFERROR(__xludf.DUMMYFUNCTION("""COMPUTED_VALUE"""),"Q51c")</f>
        <v>Q51c</v>
      </c>
      <c r="E779" s="7" t="str">
        <f>IFERROR(__xludf.DUMMYFUNCTION("""COMPUTED_VALUE""")," Performance: local government councillor")</f>
        <v> Performance: local government councillor</v>
      </c>
      <c r="F779" s="7" t="str">
        <f>IFERROR(__xludf.DUMMYFUNCTION("""COMPUTED_VALUE"""),"Your local government councilor")</f>
        <v>Your local government councilor</v>
      </c>
    </row>
    <row r="780">
      <c r="A780" s="7" t="str">
        <f>IFERROR(__xludf.DUMMYFUNCTION("""COMPUTED_VALUE"""),"SIERRA LEONE")</f>
        <v>SIERRA LEONE</v>
      </c>
      <c r="B780" s="8">
        <f>IFERROR(__xludf.DUMMYFUNCTION("""COMPUTED_VALUE"""),8.0)</f>
        <v>8</v>
      </c>
      <c r="C780" s="7" t="str">
        <f>IFERROR(__xludf.DUMMYFUNCTION("""COMPUTED_VALUE"""),"B_03_29")</f>
        <v>B_03_29</v>
      </c>
      <c r="D780" s="7" t="str">
        <f>IFERROR(__xludf.DUMMYFUNCTION("""COMPUTED_VALUE"""),"Q51c")</f>
        <v>Q51c</v>
      </c>
      <c r="E780" s="7" t="str">
        <f>IFERROR(__xludf.DUMMYFUNCTION("""COMPUTED_VALUE""")," Performance: local government councillor")</f>
        <v> Performance: local government councillor</v>
      </c>
      <c r="F780" s="7" t="str">
        <f>IFERROR(__xludf.DUMMYFUNCTION("""COMPUTED_VALUE"""),"Your elected local government councillor")</f>
        <v>Your elected local government councillor</v>
      </c>
    </row>
    <row r="781">
      <c r="A781" s="7" t="str">
        <f>IFERROR(__xludf.DUMMYFUNCTION("""COMPUTED_VALUE"""),"SOUTH AFRICA")</f>
        <v>SOUTH AFRICA</v>
      </c>
      <c r="B781" s="8">
        <f>IFERROR(__xludf.DUMMYFUNCTION("""COMPUTED_VALUE"""),8.0)</f>
        <v>8</v>
      </c>
      <c r="C781" s="7" t="str">
        <f>IFERROR(__xludf.DUMMYFUNCTION("""COMPUTED_VALUE"""),"B_03_29")</f>
        <v>B_03_29</v>
      </c>
      <c r="D781" s="7" t="str">
        <f>IFERROR(__xludf.DUMMYFUNCTION("""COMPUTED_VALUE"""),"Q51c")</f>
        <v>Q51c</v>
      </c>
      <c r="E781" s="7" t="str">
        <f>IFERROR(__xludf.DUMMYFUNCTION("""COMPUTED_VALUE""")," Performance: local government councillor")</f>
        <v> Performance: local government councillor</v>
      </c>
      <c r="F781" s="7" t="str">
        <f>IFERROR(__xludf.DUMMYFUNCTION("""COMPUTED_VALUE"""),"Your elected local government councillor")</f>
        <v>Your elected local government councillor</v>
      </c>
    </row>
    <row r="782">
      <c r="A782" s="7" t="str">
        <f>IFERROR(__xludf.DUMMYFUNCTION("""COMPUTED_VALUE"""),"TANZANIA")</f>
        <v>TANZANIA</v>
      </c>
      <c r="B782" s="8">
        <f>IFERROR(__xludf.DUMMYFUNCTION("""COMPUTED_VALUE"""),8.0)</f>
        <v>8</v>
      </c>
      <c r="C782" s="7" t="str">
        <f>IFERROR(__xludf.DUMMYFUNCTION("""COMPUTED_VALUE"""),"B_03_29")</f>
        <v>B_03_29</v>
      </c>
      <c r="D782" s="7" t="str">
        <f>IFERROR(__xludf.DUMMYFUNCTION("""COMPUTED_VALUE"""),"Q51c")</f>
        <v>Q51c</v>
      </c>
      <c r="E782" s="7" t="str">
        <f>IFERROR(__xludf.DUMMYFUNCTION("""COMPUTED_VALUE""")," Performance: local government councillor")</f>
        <v> Performance: local government councillor</v>
      </c>
      <c r="F782" s="7" t="str">
        <f>IFERROR(__xludf.DUMMYFUNCTION("""COMPUTED_VALUE"""),"Your elected councillor")</f>
        <v>Your elected councillor</v>
      </c>
    </row>
    <row r="783">
      <c r="A783" s="7" t="str">
        <f>IFERROR(__xludf.DUMMYFUNCTION("""COMPUTED_VALUE"""),"TUNISIA ")</f>
        <v>TUNISIA </v>
      </c>
      <c r="B783" s="8">
        <f>IFERROR(__xludf.DUMMYFUNCTION("""COMPUTED_VALUE"""),8.0)</f>
        <v>8</v>
      </c>
      <c r="C783" s="7" t="str">
        <f>IFERROR(__xludf.DUMMYFUNCTION("""COMPUTED_VALUE"""),"B_03_29")</f>
        <v>B_03_29</v>
      </c>
      <c r="D783" s="7" t="str">
        <f>IFERROR(__xludf.DUMMYFUNCTION("""COMPUTED_VALUE"""),"Q51c")</f>
        <v>Q51c</v>
      </c>
      <c r="E783" s="7" t="str">
        <f>IFERROR(__xludf.DUMMYFUNCTION("""COMPUTED_VALUE""")," Performance: local government councillor")</f>
        <v> Performance: local government councillor</v>
      </c>
      <c r="F783" s="7" t="str">
        <f>IFERROR(__xludf.DUMMYFUNCTION("""COMPUTED_VALUE"""),"Your elected municipal councillor")</f>
        <v>Your elected municipal councillor</v>
      </c>
    </row>
    <row r="784">
      <c r="A784" s="7" t="str">
        <f>IFERROR(__xludf.DUMMYFUNCTION("""COMPUTED_VALUE"""),"UGANDA  ")</f>
        <v>UGANDA  </v>
      </c>
      <c r="B784" s="8">
        <f>IFERROR(__xludf.DUMMYFUNCTION("""COMPUTED_VALUE"""),8.0)</f>
        <v>8</v>
      </c>
      <c r="C784" s="7" t="str">
        <f>IFERROR(__xludf.DUMMYFUNCTION("""COMPUTED_VALUE"""),"B_03_29")</f>
        <v>B_03_29</v>
      </c>
      <c r="D784" s="7" t="str">
        <f>IFERROR(__xludf.DUMMYFUNCTION("""COMPUTED_VALUE"""),"Q51c")</f>
        <v>Q51c</v>
      </c>
      <c r="E784" s="7" t="str">
        <f>IFERROR(__xludf.DUMMYFUNCTION("""COMPUTED_VALUE""")," Performance: local government councillor")</f>
        <v> Performance: local government councillor</v>
      </c>
      <c r="F784" s="7" t="str">
        <f>IFERROR(__xludf.DUMMYFUNCTION("""COMPUTED_VALUE"""),"Your elected local government councillor")</f>
        <v>Your elected local government councillor</v>
      </c>
    </row>
    <row r="785">
      <c r="A785" s="7" t="str">
        <f>IFERROR(__xludf.DUMMYFUNCTION("""COMPUTED_VALUE"""),"ZAMBIA")</f>
        <v>ZAMBIA</v>
      </c>
      <c r="B785" s="8">
        <f>IFERROR(__xludf.DUMMYFUNCTION("""COMPUTED_VALUE"""),8.0)</f>
        <v>8</v>
      </c>
      <c r="C785" s="7" t="str">
        <f>IFERROR(__xludf.DUMMYFUNCTION("""COMPUTED_VALUE"""),"B_03_29")</f>
        <v>B_03_29</v>
      </c>
      <c r="D785" s="7" t="str">
        <f>IFERROR(__xludf.DUMMYFUNCTION("""COMPUTED_VALUE"""),"Q51c")</f>
        <v>Q51c</v>
      </c>
      <c r="E785" s="7" t="str">
        <f>IFERROR(__xludf.DUMMYFUNCTION("""COMPUTED_VALUE""")," Performance: local government councillor")</f>
        <v> Performance: local government councillor</v>
      </c>
      <c r="F785" s="7" t="str">
        <f>IFERROR(__xludf.DUMMYFUNCTION("""COMPUTED_VALUE"""),"Your elected local government councillor")</f>
        <v>Your elected local government councillor</v>
      </c>
    </row>
    <row r="786">
      <c r="A786" s="7" t="str">
        <f>IFERROR(__xludf.DUMMYFUNCTION("""COMPUTED_VALUE"""),"ZIMBABWE")</f>
        <v>ZIMBABWE</v>
      </c>
      <c r="B786" s="8">
        <f>IFERROR(__xludf.DUMMYFUNCTION("""COMPUTED_VALUE"""),8.0)</f>
        <v>8</v>
      </c>
      <c r="C786" s="7" t="str">
        <f>IFERROR(__xludf.DUMMYFUNCTION("""COMPUTED_VALUE"""),"B_03_29")</f>
        <v>B_03_29</v>
      </c>
      <c r="D786" s="7" t="str">
        <f>IFERROR(__xludf.DUMMYFUNCTION("""COMPUTED_VALUE"""),"Q51c")</f>
        <v>Q51c</v>
      </c>
      <c r="E786" s="7" t="str">
        <f>IFERROR(__xludf.DUMMYFUNCTION("""COMPUTED_VALUE""")," Performance: local government councillor")</f>
        <v> Performance: local government councillor</v>
      </c>
      <c r="F786" s="7" t="str">
        <f>IFERROR(__xludf.DUMMYFUNCTION("""COMPUTED_VALUE"""),"Your elected local government councillor")</f>
        <v>Your elected local government councillor</v>
      </c>
    </row>
    <row r="787">
      <c r="A787" s="7" t="str">
        <f>IFERROR(__xludf.DUMMYFUNCTION("""COMPUTED_VALUE"""),"ESWATINI")</f>
        <v>ESWATINI</v>
      </c>
      <c r="B787" s="8">
        <f>IFERROR(__xludf.DUMMYFUNCTION("""COMPUTED_VALUE"""),8.0)</f>
        <v>8</v>
      </c>
      <c r="C787" s="7" t="str">
        <f>IFERROR(__xludf.DUMMYFUNCTION("""COMPUTED_VALUE"""),"B_07_02")</f>
        <v>B_07_02</v>
      </c>
      <c r="D787" s="7" t="str">
        <f>IFERROR(__xludf.DUMMYFUNCTION("""COMPUTED_VALUE"""),"Q51d")</f>
        <v>Q51d</v>
      </c>
      <c r="E787" s="7" t="str">
        <f>IFERROR(__xludf.DUMMYFUNCTION("""COMPUTED_VALUE""")," Performance: traditional leader")</f>
        <v> Performance: traditional leader</v>
      </c>
      <c r="F787" s="7" t="str">
        <f>IFERROR(__xludf.DUMMYFUNCTION("""COMPUTED_VALUE"""),"Your traditional leader or Bucopho")</f>
        <v>Your traditional leader or Bucopho</v>
      </c>
    </row>
    <row r="788">
      <c r="A788" s="7" t="str">
        <f>IFERROR(__xludf.DUMMYFUNCTION("""COMPUTED_VALUE"""),"ETHIOPIA")</f>
        <v>ETHIOPIA</v>
      </c>
      <c r="B788" s="8">
        <f>IFERROR(__xludf.DUMMYFUNCTION("""COMPUTED_VALUE"""),8.0)</f>
        <v>8</v>
      </c>
      <c r="C788" s="7" t="str">
        <f>IFERROR(__xludf.DUMMYFUNCTION("""COMPUTED_VALUE"""),"B_07_02")</f>
        <v>B_07_02</v>
      </c>
      <c r="D788" s="7" t="str">
        <f>IFERROR(__xludf.DUMMYFUNCTION("""COMPUTED_VALUE"""),"Q51d")</f>
        <v>Q51d</v>
      </c>
      <c r="E788" s="7" t="str">
        <f>IFERROR(__xludf.DUMMYFUNCTION("""COMPUTED_VALUE""")," Performance: traditional leader")</f>
        <v> Performance: traditional leader</v>
      </c>
      <c r="F788" s="7" t="str">
        <f>IFERROR(__xludf.DUMMYFUNCTION("""COMPUTED_VALUE"""),"Your traditional leader")</f>
        <v>Your traditional leader</v>
      </c>
    </row>
    <row r="789">
      <c r="A789" s="7" t="str">
        <f>IFERROR(__xludf.DUMMYFUNCTION("""COMPUTED_VALUE"""),"GAMBIA")</f>
        <v>GAMBIA</v>
      </c>
      <c r="B789" s="8">
        <f>IFERROR(__xludf.DUMMYFUNCTION("""COMPUTED_VALUE"""),8.0)</f>
        <v>8</v>
      </c>
      <c r="C789" s="7" t="str">
        <f>IFERROR(__xludf.DUMMYFUNCTION("""COMPUTED_VALUE"""),"B_07_02")</f>
        <v>B_07_02</v>
      </c>
      <c r="D789" s="7" t="str">
        <f>IFERROR(__xludf.DUMMYFUNCTION("""COMPUTED_VALUE"""),"Q51d")</f>
        <v>Q51d</v>
      </c>
      <c r="E789" s="7" t="str">
        <f>IFERROR(__xludf.DUMMYFUNCTION("""COMPUTED_VALUE""")," Performance: traditional leader")</f>
        <v> Performance: traditional leader</v>
      </c>
      <c r="F789" s="7" t="str">
        <f>IFERROR(__xludf.DUMMYFUNCTION("""COMPUTED_VALUE"""),"Your traditional leader")</f>
        <v>Your traditional leader</v>
      </c>
    </row>
    <row r="790">
      <c r="A790" s="7" t="str">
        <f>IFERROR(__xludf.DUMMYFUNCTION("""COMPUTED_VALUE"""),"KENYA  ")</f>
        <v>KENYA  </v>
      </c>
      <c r="B790" s="8">
        <f>IFERROR(__xludf.DUMMYFUNCTION("""COMPUTED_VALUE"""),8.0)</f>
        <v>8</v>
      </c>
      <c r="C790" s="7" t="str">
        <f>IFERROR(__xludf.DUMMYFUNCTION("""COMPUTED_VALUE"""),"B_07_02")</f>
        <v>B_07_02</v>
      </c>
      <c r="D790" s="7" t="str">
        <f>IFERROR(__xludf.DUMMYFUNCTION("""COMPUTED_VALUE"""),"Q51d")</f>
        <v>Q51d</v>
      </c>
      <c r="E790" s="7" t="str">
        <f>IFERROR(__xludf.DUMMYFUNCTION("""COMPUTED_VALUE""")," Performance: traditional leader")</f>
        <v> Performance: traditional leader</v>
      </c>
      <c r="F790" s="7" t="str">
        <f>IFERROR(__xludf.DUMMYFUNCTION("""COMPUTED_VALUE"""),"Your traditional leader")</f>
        <v>Your traditional leader</v>
      </c>
    </row>
    <row r="791">
      <c r="A791" s="7" t="str">
        <f>IFERROR(__xludf.DUMMYFUNCTION("""COMPUTED_VALUE"""),"LESOTHO ")</f>
        <v>LESOTHO </v>
      </c>
      <c r="B791" s="8">
        <f>IFERROR(__xludf.DUMMYFUNCTION("""COMPUTED_VALUE"""),8.0)</f>
        <v>8</v>
      </c>
      <c r="C791" s="7" t="str">
        <f>IFERROR(__xludf.DUMMYFUNCTION("""COMPUTED_VALUE"""),"B_07_02")</f>
        <v>B_07_02</v>
      </c>
      <c r="D791" s="7" t="str">
        <f>IFERROR(__xludf.DUMMYFUNCTION("""COMPUTED_VALUE"""),"Q51d")</f>
        <v>Q51d</v>
      </c>
      <c r="E791" s="7" t="str">
        <f>IFERROR(__xludf.DUMMYFUNCTION("""COMPUTED_VALUE""")," Performance: traditional leader")</f>
        <v> Performance: traditional leader</v>
      </c>
      <c r="F791" s="7" t="str">
        <f>IFERROR(__xludf.DUMMYFUNCTION("""COMPUTED_VALUE"""),"Your traditional leader")</f>
        <v>Your traditional leader</v>
      </c>
    </row>
    <row r="792">
      <c r="A792" s="7" t="str">
        <f>IFERROR(__xludf.DUMMYFUNCTION("""COMPUTED_VALUE"""),"LIBERIA  ")</f>
        <v>LIBERIA  </v>
      </c>
      <c r="B792" s="8">
        <f>IFERROR(__xludf.DUMMYFUNCTION("""COMPUTED_VALUE"""),8.0)</f>
        <v>8</v>
      </c>
      <c r="C792" s="7" t="str">
        <f>IFERROR(__xludf.DUMMYFUNCTION("""COMPUTED_VALUE"""),"B_07_02")</f>
        <v>B_07_02</v>
      </c>
      <c r="D792" s="7" t="str">
        <f>IFERROR(__xludf.DUMMYFUNCTION("""COMPUTED_VALUE"""),"Q51d")</f>
        <v>Q51d</v>
      </c>
      <c r="E792" s="7" t="str">
        <f>IFERROR(__xludf.DUMMYFUNCTION("""COMPUTED_VALUE""")," Performance: traditional leader")</f>
        <v> Performance: traditional leader</v>
      </c>
      <c r="F792" s="7" t="str">
        <f>IFERROR(__xludf.DUMMYFUNCTION("""COMPUTED_VALUE"""),"Your traditional leader")</f>
        <v>Your traditional leader</v>
      </c>
    </row>
    <row r="793">
      <c r="A793" s="7" t="str">
        <f>IFERROR(__xludf.DUMMYFUNCTION("""COMPUTED_VALUE"""),"MALAWI ")</f>
        <v>MALAWI </v>
      </c>
      <c r="B793" s="8">
        <f>IFERROR(__xludf.DUMMYFUNCTION("""COMPUTED_VALUE"""),8.0)</f>
        <v>8</v>
      </c>
      <c r="C793" s="7" t="str">
        <f>IFERROR(__xludf.DUMMYFUNCTION("""COMPUTED_VALUE"""),"B_07_02")</f>
        <v>B_07_02</v>
      </c>
      <c r="D793" s="7" t="str">
        <f>IFERROR(__xludf.DUMMYFUNCTION("""COMPUTED_VALUE"""),"Q51d")</f>
        <v>Q51d</v>
      </c>
      <c r="E793" s="7" t="str">
        <f>IFERROR(__xludf.DUMMYFUNCTION("""COMPUTED_VALUE""")," Performance: traditional leader")</f>
        <v> Performance: traditional leader</v>
      </c>
      <c r="F793" s="7" t="str">
        <f>IFERROR(__xludf.DUMMYFUNCTION("""COMPUTED_VALUE"""),"Your traditional leader")</f>
        <v>Your traditional leader</v>
      </c>
    </row>
    <row r="794">
      <c r="A794" s="7" t="str">
        <f>IFERROR(__xludf.DUMMYFUNCTION("""COMPUTED_VALUE"""),"MOROCCO ")</f>
        <v>MOROCCO </v>
      </c>
      <c r="B794" s="8">
        <f>IFERROR(__xludf.DUMMYFUNCTION("""COMPUTED_VALUE"""),8.0)</f>
        <v>8</v>
      </c>
      <c r="C794" s="7" t="str">
        <f>IFERROR(__xludf.DUMMYFUNCTION("""COMPUTED_VALUE"""),"B_07_02")</f>
        <v>B_07_02</v>
      </c>
      <c r="D794" s="7" t="str">
        <f>IFERROR(__xludf.DUMMYFUNCTION("""COMPUTED_VALUE"""),"Q51d")</f>
        <v>Q51d</v>
      </c>
      <c r="E794" s="7" t="str">
        <f>IFERROR(__xludf.DUMMYFUNCTION("""COMPUTED_VALUE""")," Performance: traditional leader")</f>
        <v> Performance: traditional leader</v>
      </c>
      <c r="F794" s="7" t="str">
        <f>IFERROR(__xludf.DUMMYFUNCTION("""COMPUTED_VALUE"""),"Your traditional leader")</f>
        <v>Your traditional leader</v>
      </c>
    </row>
    <row r="795">
      <c r="A795" s="7" t="str">
        <f>IFERROR(__xludf.DUMMYFUNCTION("""COMPUTED_VALUE"""),"MOZAMBIQUE")</f>
        <v>MOZAMBIQUE</v>
      </c>
      <c r="B795" s="8">
        <f>IFERROR(__xludf.DUMMYFUNCTION("""COMPUTED_VALUE"""),8.0)</f>
        <v>8</v>
      </c>
      <c r="C795" s="7" t="str">
        <f>IFERROR(__xludf.DUMMYFUNCTION("""COMPUTED_VALUE"""),"B_07_02")</f>
        <v>B_07_02</v>
      </c>
      <c r="D795" s="7" t="str">
        <f>IFERROR(__xludf.DUMMYFUNCTION("""COMPUTED_VALUE"""),"Q51d")</f>
        <v>Q51d</v>
      </c>
      <c r="E795" s="7" t="str">
        <f>IFERROR(__xludf.DUMMYFUNCTION("""COMPUTED_VALUE""")," Performance: traditional leader")</f>
        <v> Performance: traditional leader</v>
      </c>
      <c r="F795" s="7" t="str">
        <f>IFERROR(__xludf.DUMMYFUNCTION("""COMPUTED_VALUE"""),"Your traditional leader")</f>
        <v>Your traditional leader</v>
      </c>
    </row>
    <row r="796">
      <c r="A796" s="7" t="str">
        <f>IFERROR(__xludf.DUMMYFUNCTION("""COMPUTED_VALUE"""),"NAMIBIA ")</f>
        <v>NAMIBIA </v>
      </c>
      <c r="B796" s="8">
        <f>IFERROR(__xludf.DUMMYFUNCTION("""COMPUTED_VALUE"""),8.0)</f>
        <v>8</v>
      </c>
      <c r="C796" s="7" t="str">
        <f>IFERROR(__xludf.DUMMYFUNCTION("""COMPUTED_VALUE"""),"B_07_02")</f>
        <v>B_07_02</v>
      </c>
      <c r="D796" s="7" t="str">
        <f>IFERROR(__xludf.DUMMYFUNCTION("""COMPUTED_VALUE"""),"Q51d")</f>
        <v>Q51d</v>
      </c>
      <c r="E796" s="7" t="str">
        <f>IFERROR(__xludf.DUMMYFUNCTION("""COMPUTED_VALUE""")," Performance: traditional leader")</f>
        <v> Performance: traditional leader</v>
      </c>
      <c r="F796" s="7" t="str">
        <f>IFERROR(__xludf.DUMMYFUNCTION("""COMPUTED_VALUE"""),"Your traditional leader")</f>
        <v>Your traditional leader</v>
      </c>
    </row>
    <row r="797">
      <c r="A797" s="7" t="str">
        <f>IFERROR(__xludf.DUMMYFUNCTION("""COMPUTED_VALUE"""),"NIGERIA ")</f>
        <v>NIGERIA </v>
      </c>
      <c r="B797" s="8">
        <f>IFERROR(__xludf.DUMMYFUNCTION("""COMPUTED_VALUE"""),8.0)</f>
        <v>8</v>
      </c>
      <c r="C797" s="7" t="str">
        <f>IFERROR(__xludf.DUMMYFUNCTION("""COMPUTED_VALUE"""),"B_07_02")</f>
        <v>B_07_02</v>
      </c>
      <c r="D797" s="7" t="str">
        <f>IFERROR(__xludf.DUMMYFUNCTION("""COMPUTED_VALUE"""),"Q51d")</f>
        <v>Q51d</v>
      </c>
      <c r="E797" s="7" t="str">
        <f>IFERROR(__xludf.DUMMYFUNCTION("""COMPUTED_VALUE""")," Performance: traditional leader")</f>
        <v> Performance: traditional leader</v>
      </c>
      <c r="F797" s="7" t="str">
        <f>IFERROR(__xludf.DUMMYFUNCTION("""COMPUTED_VALUE"""),"Your traditional leader")</f>
        <v>Your traditional leader</v>
      </c>
    </row>
    <row r="798">
      <c r="A798" s="7" t="str">
        <f>IFERROR(__xludf.DUMMYFUNCTION("""COMPUTED_VALUE"""),"SIERRA LEONE")</f>
        <v>SIERRA LEONE</v>
      </c>
      <c r="B798" s="8">
        <f>IFERROR(__xludf.DUMMYFUNCTION("""COMPUTED_VALUE"""),8.0)</f>
        <v>8</v>
      </c>
      <c r="C798" s="7" t="str">
        <f>IFERROR(__xludf.DUMMYFUNCTION("""COMPUTED_VALUE"""),"B_07_02")</f>
        <v>B_07_02</v>
      </c>
      <c r="D798" s="7" t="str">
        <f>IFERROR(__xludf.DUMMYFUNCTION("""COMPUTED_VALUE"""),"Q51d")</f>
        <v>Q51d</v>
      </c>
      <c r="E798" s="7" t="str">
        <f>IFERROR(__xludf.DUMMYFUNCTION("""COMPUTED_VALUE""")," Performance: traditional leader")</f>
        <v> Performance: traditional leader</v>
      </c>
      <c r="F798" s="7" t="str">
        <f>IFERROR(__xludf.DUMMYFUNCTION("""COMPUTED_VALUE"""),"Your traditional leader")</f>
        <v>Your traditional leader</v>
      </c>
    </row>
    <row r="799">
      <c r="A799" s="7" t="str">
        <f>IFERROR(__xludf.DUMMYFUNCTION("""COMPUTED_VALUE"""),"SOUTH AFRICA")</f>
        <v>SOUTH AFRICA</v>
      </c>
      <c r="B799" s="8">
        <f>IFERROR(__xludf.DUMMYFUNCTION("""COMPUTED_VALUE"""),8.0)</f>
        <v>8</v>
      </c>
      <c r="C799" s="7" t="str">
        <f>IFERROR(__xludf.DUMMYFUNCTION("""COMPUTED_VALUE"""),"B_07_02")</f>
        <v>B_07_02</v>
      </c>
      <c r="D799" s="7" t="str">
        <f>IFERROR(__xludf.DUMMYFUNCTION("""COMPUTED_VALUE"""),"Q51d")</f>
        <v>Q51d</v>
      </c>
      <c r="E799" s="7" t="str">
        <f>IFERROR(__xludf.DUMMYFUNCTION("""COMPUTED_VALUE""")," Performance: traditional leader")</f>
        <v> Performance: traditional leader</v>
      </c>
      <c r="F799" s="7" t="str">
        <f>IFERROR(__xludf.DUMMYFUNCTION("""COMPUTED_VALUE"""),"Your traditional leader")</f>
        <v>Your traditional leader</v>
      </c>
    </row>
    <row r="800">
      <c r="A800" s="7" t="str">
        <f>IFERROR(__xludf.DUMMYFUNCTION("""COMPUTED_VALUE"""),"SUDAN")</f>
        <v>SUDAN</v>
      </c>
      <c r="B800" s="8">
        <f>IFERROR(__xludf.DUMMYFUNCTION("""COMPUTED_VALUE"""),8.0)</f>
        <v>8</v>
      </c>
      <c r="C800" s="7" t="str">
        <f>IFERROR(__xludf.DUMMYFUNCTION("""COMPUTED_VALUE"""),"B_07_02")</f>
        <v>B_07_02</v>
      </c>
      <c r="D800" s="7" t="str">
        <f>IFERROR(__xludf.DUMMYFUNCTION("""COMPUTED_VALUE"""),"Q51d")</f>
        <v>Q51d</v>
      </c>
      <c r="E800" s="7" t="str">
        <f>IFERROR(__xludf.DUMMYFUNCTION("""COMPUTED_VALUE""")," Performance: traditional leader")</f>
        <v> Performance: traditional leader</v>
      </c>
      <c r="F800" s="7" t="str">
        <f>IFERROR(__xludf.DUMMYFUNCTION("""COMPUTED_VALUE"""),"Your traditional leader")</f>
        <v>Your traditional leader</v>
      </c>
    </row>
    <row r="801">
      <c r="A801" s="7" t="str">
        <f>IFERROR(__xludf.DUMMYFUNCTION("""COMPUTED_VALUE"""),"TANZANIA")</f>
        <v>TANZANIA</v>
      </c>
      <c r="B801" s="8">
        <f>IFERROR(__xludf.DUMMYFUNCTION("""COMPUTED_VALUE"""),8.0)</f>
        <v>8</v>
      </c>
      <c r="C801" s="7" t="str">
        <f>IFERROR(__xludf.DUMMYFUNCTION("""COMPUTED_VALUE"""),"B_07_02")</f>
        <v>B_07_02</v>
      </c>
      <c r="D801" s="7" t="str">
        <f>IFERROR(__xludf.DUMMYFUNCTION("""COMPUTED_VALUE"""),"Q51d")</f>
        <v>Q51d</v>
      </c>
      <c r="E801" s="7" t="str">
        <f>IFERROR(__xludf.DUMMYFUNCTION("""COMPUTED_VALUE""")," Performance: traditional leader")</f>
        <v> Performance: traditional leader</v>
      </c>
      <c r="F801" s="7" t="str">
        <f>IFERROR(__xludf.DUMMYFUNCTION("""COMPUTED_VALUE"""),"Your traditional leader")</f>
        <v>Your traditional leader</v>
      </c>
    </row>
    <row r="802">
      <c r="A802" s="7" t="str">
        <f>IFERROR(__xludf.DUMMYFUNCTION("""COMPUTED_VALUE"""),"UGANDA  ")</f>
        <v>UGANDA  </v>
      </c>
      <c r="B802" s="8">
        <f>IFERROR(__xludf.DUMMYFUNCTION("""COMPUTED_VALUE"""),8.0)</f>
        <v>8</v>
      </c>
      <c r="C802" s="7" t="str">
        <f>IFERROR(__xludf.DUMMYFUNCTION("""COMPUTED_VALUE"""),"B_07_02")</f>
        <v>B_07_02</v>
      </c>
      <c r="D802" s="7" t="str">
        <f>IFERROR(__xludf.DUMMYFUNCTION("""COMPUTED_VALUE"""),"Q51d")</f>
        <v>Q51d</v>
      </c>
      <c r="E802" s="7" t="str">
        <f>IFERROR(__xludf.DUMMYFUNCTION("""COMPUTED_VALUE""")," Performance: traditional leader")</f>
        <v> Performance: traditional leader</v>
      </c>
      <c r="F802" s="7" t="str">
        <f>IFERROR(__xludf.DUMMYFUNCTION("""COMPUTED_VALUE"""),"Your traditional leader")</f>
        <v>Your traditional leader</v>
      </c>
    </row>
    <row r="803">
      <c r="A803" s="7" t="str">
        <f>IFERROR(__xludf.DUMMYFUNCTION("""COMPUTED_VALUE"""),"ZAMBIA")</f>
        <v>ZAMBIA</v>
      </c>
      <c r="B803" s="8">
        <f>IFERROR(__xludf.DUMMYFUNCTION("""COMPUTED_VALUE"""),8.0)</f>
        <v>8</v>
      </c>
      <c r="C803" s="7" t="str">
        <f>IFERROR(__xludf.DUMMYFUNCTION("""COMPUTED_VALUE"""),"B_07_02")</f>
        <v>B_07_02</v>
      </c>
      <c r="D803" s="7" t="str">
        <f>IFERROR(__xludf.DUMMYFUNCTION("""COMPUTED_VALUE"""),"Q51d")</f>
        <v>Q51d</v>
      </c>
      <c r="E803" s="7" t="str">
        <f>IFERROR(__xludf.DUMMYFUNCTION("""COMPUTED_VALUE""")," Performance: traditional leader")</f>
        <v> Performance: traditional leader</v>
      </c>
      <c r="F803" s="7" t="str">
        <f>IFERROR(__xludf.DUMMYFUNCTION("""COMPUTED_VALUE"""),"Your traditional leader")</f>
        <v>Your traditional leader</v>
      </c>
    </row>
    <row r="804">
      <c r="A804" s="7" t="str">
        <f>IFERROR(__xludf.DUMMYFUNCTION("""COMPUTED_VALUE"""),"ZIMBABWE")</f>
        <v>ZIMBABWE</v>
      </c>
      <c r="B804" s="8">
        <f>IFERROR(__xludf.DUMMYFUNCTION("""COMPUTED_VALUE"""),8.0)</f>
        <v>8</v>
      </c>
      <c r="C804" s="7" t="str">
        <f>IFERROR(__xludf.DUMMYFUNCTION("""COMPUTED_VALUE"""),"B_07_02")</f>
        <v>B_07_02</v>
      </c>
      <c r="D804" s="7" t="str">
        <f>IFERROR(__xludf.DUMMYFUNCTION("""COMPUTED_VALUE"""),"Q51d")</f>
        <v>Q51d</v>
      </c>
      <c r="E804" s="7" t="str">
        <f>IFERROR(__xludf.DUMMYFUNCTION("""COMPUTED_VALUE""")," Performance: traditional leader")</f>
        <v> Performance: traditional leader</v>
      </c>
      <c r="F804" s="7" t="str">
        <f>IFERROR(__xludf.DUMMYFUNCTION("""COMPUTED_VALUE"""),"Your traditional leader")</f>
        <v>Your traditional leader</v>
      </c>
    </row>
    <row r="805">
      <c r="A805" s="7" t="str">
        <f>IFERROR(__xludf.DUMMYFUNCTION("""COMPUTED_VALUE"""),"GHANA ")</f>
        <v>GHANA </v>
      </c>
      <c r="B805" s="8">
        <f>IFERROR(__xludf.DUMMYFUNCTION("""COMPUTED_VALUE"""),8.0)</f>
        <v>8</v>
      </c>
      <c r="C805" s="7" t="str">
        <f>IFERROR(__xludf.DUMMYFUNCTION("""COMPUTED_VALUE"""),"B_04_14")</f>
        <v>B_04_14</v>
      </c>
      <c r="D805" s="7" t="str">
        <f>IFERROR(__xludf.DUMMYFUNCTION("""COMPUTED_VALUE"""),"Q52a")</f>
        <v>Q52a</v>
      </c>
      <c r="E805" s="7" t="str">
        <f>IFERROR(__xludf.DUMMYFUNCTION("""COMPUTED_VALUE"""),"Who responsible: MPs do jobs")</f>
        <v>Who responsible: MPs do jobs</v>
      </c>
      <c r="F805" s="7" t="str">
        <f>IFERROR(__xludf.DUMMYFUNCTION("""COMPUTED_VALUE"""),"Parliament")</f>
        <v>Parliament</v>
      </c>
    </row>
    <row r="806">
      <c r="A806" s="7" t="str">
        <f>IFERROR(__xludf.DUMMYFUNCTION("""COMPUTED_VALUE"""),"KENYA  ")</f>
        <v>KENYA  </v>
      </c>
      <c r="B806" s="8">
        <f>IFERROR(__xludf.DUMMYFUNCTION("""COMPUTED_VALUE"""),8.0)</f>
        <v>8</v>
      </c>
      <c r="C806" s="7" t="str">
        <f>IFERROR(__xludf.DUMMYFUNCTION("""COMPUTED_VALUE"""),"B_04_14")</f>
        <v>B_04_14</v>
      </c>
      <c r="D806" s="7" t="str">
        <f>IFERROR(__xludf.DUMMYFUNCTION("""COMPUTED_VALUE"""),"Q52a")</f>
        <v>Q52a</v>
      </c>
      <c r="E806" s="7" t="str">
        <f>IFERROR(__xludf.DUMMYFUNCTION("""COMPUTED_VALUE"""),"Who responsible: MPs do jobs")</f>
        <v>Who responsible: MPs do jobs</v>
      </c>
      <c r="F806" s="7" t="str">
        <f>IFERROR(__xludf.DUMMYFUNCTION("""COMPUTED_VALUE"""),"Members of Parliament")</f>
        <v>Members of Parliament</v>
      </c>
    </row>
    <row r="807">
      <c r="A807" s="7" t="str">
        <f>IFERROR(__xludf.DUMMYFUNCTION("""COMPUTED_VALUE"""),"LESOTHO ")</f>
        <v>LESOTHO </v>
      </c>
      <c r="B807" s="8">
        <f>IFERROR(__xludf.DUMMYFUNCTION("""COMPUTED_VALUE"""),8.0)</f>
        <v>8</v>
      </c>
      <c r="C807" s="7" t="str">
        <f>IFERROR(__xludf.DUMMYFUNCTION("""COMPUTED_VALUE"""),"B_04_14")</f>
        <v>B_04_14</v>
      </c>
      <c r="D807" s="7" t="str">
        <f>IFERROR(__xludf.DUMMYFUNCTION("""COMPUTED_VALUE"""),"Q52a")</f>
        <v>Q52a</v>
      </c>
      <c r="E807" s="7" t="str">
        <f>IFERROR(__xludf.DUMMYFUNCTION("""COMPUTED_VALUE"""),"Who responsible: MPs do jobs")</f>
        <v>Who responsible: MPs do jobs</v>
      </c>
      <c r="F807" s="7" t="str">
        <f>IFERROR(__xludf.DUMMYFUNCTION("""COMPUTED_VALUE"""),"members of Parliament")</f>
        <v>members of Parliament</v>
      </c>
    </row>
    <row r="808">
      <c r="A808" s="7" t="str">
        <f>IFERROR(__xludf.DUMMYFUNCTION("""COMPUTED_VALUE"""),"LIBERIA  ")</f>
        <v>LIBERIA  </v>
      </c>
      <c r="B808" s="8">
        <f>IFERROR(__xludf.DUMMYFUNCTION("""COMPUTED_VALUE"""),8.0)</f>
        <v>8</v>
      </c>
      <c r="C808" s="7" t="str">
        <f>IFERROR(__xludf.DUMMYFUNCTION("""COMPUTED_VALUE"""),"B_04_14")</f>
        <v>B_04_14</v>
      </c>
      <c r="D808" s="7" t="str">
        <f>IFERROR(__xludf.DUMMYFUNCTION("""COMPUTED_VALUE"""),"Q52a")</f>
        <v>Q52a</v>
      </c>
      <c r="E808" s="7" t="str">
        <f>IFERROR(__xludf.DUMMYFUNCTION("""COMPUTED_VALUE"""),"Who responsible: MPs do jobs")</f>
        <v>Who responsible: MPs do jobs</v>
      </c>
      <c r="F808" s="7" t="str">
        <f>IFERROR(__xludf.DUMMYFUNCTION("""COMPUTED_VALUE"""),"Your County Superintendent")</f>
        <v>Your County Superintendent</v>
      </c>
    </row>
    <row r="809">
      <c r="A809" s="7" t="str">
        <f>IFERROR(__xludf.DUMMYFUNCTION("""COMPUTED_VALUE"""),"MALAWI ")</f>
        <v>MALAWI </v>
      </c>
      <c r="B809" s="8">
        <f>IFERROR(__xludf.DUMMYFUNCTION("""COMPUTED_VALUE"""),8.0)</f>
        <v>8</v>
      </c>
      <c r="C809" s="7" t="str">
        <f>IFERROR(__xludf.DUMMYFUNCTION("""COMPUTED_VALUE"""),"B_04_14")</f>
        <v>B_04_14</v>
      </c>
      <c r="D809" s="7" t="str">
        <f>IFERROR(__xludf.DUMMYFUNCTION("""COMPUTED_VALUE"""),"Q52a")</f>
        <v>Q52a</v>
      </c>
      <c r="E809" s="7" t="str">
        <f>IFERROR(__xludf.DUMMYFUNCTION("""COMPUTED_VALUE"""),"Who responsible: MPs do jobs")</f>
        <v>Who responsible: MPs do jobs</v>
      </c>
      <c r="F809" s="7" t="str">
        <f>IFERROR(__xludf.DUMMYFUNCTION("""COMPUTED_VALUE""")," members of Parliament, President")</f>
        <v> members of Parliament, President</v>
      </c>
    </row>
    <row r="810">
      <c r="A810" s="7" t="str">
        <f>IFERROR(__xludf.DUMMYFUNCTION("""COMPUTED_VALUE"""),"MOROCCO ")</f>
        <v>MOROCCO </v>
      </c>
      <c r="B810" s="8">
        <f>IFERROR(__xludf.DUMMYFUNCTION("""COMPUTED_VALUE"""),8.0)</f>
        <v>8</v>
      </c>
      <c r="C810" s="7" t="str">
        <f>IFERROR(__xludf.DUMMYFUNCTION("""COMPUTED_VALUE"""),"B_04_14")</f>
        <v>B_04_14</v>
      </c>
      <c r="D810" s="7" t="str">
        <f>IFERROR(__xludf.DUMMYFUNCTION("""COMPUTED_VALUE"""),"Q52a")</f>
        <v>Q52a</v>
      </c>
      <c r="E810" s="7" t="str">
        <f>IFERROR(__xludf.DUMMYFUNCTION("""COMPUTED_VALUE"""),"Who responsible: MPs do jobs")</f>
        <v>Who responsible: MPs do jobs</v>
      </c>
      <c r="F810" s="7" t="str">
        <f>IFERROR(__xludf.DUMMYFUNCTION("""COMPUTED_VALUE"""),"Parliament")</f>
        <v>Parliament</v>
      </c>
    </row>
    <row r="811">
      <c r="A811" s="7" t="str">
        <f>IFERROR(__xludf.DUMMYFUNCTION("""COMPUTED_VALUE"""),"MOZAMBIQUE")</f>
        <v>MOZAMBIQUE</v>
      </c>
      <c r="B811" s="8">
        <f>IFERROR(__xludf.DUMMYFUNCTION("""COMPUTED_VALUE"""),8.0)</f>
        <v>8</v>
      </c>
      <c r="C811" s="7" t="str">
        <f>IFERROR(__xludf.DUMMYFUNCTION("""COMPUTED_VALUE"""),"B_04_14")</f>
        <v>B_04_14</v>
      </c>
      <c r="D811" s="7" t="str">
        <f>IFERROR(__xludf.DUMMYFUNCTION("""COMPUTED_VALUE"""),"Q52a")</f>
        <v>Q52a</v>
      </c>
      <c r="E811" s="7" t="str">
        <f>IFERROR(__xludf.DUMMYFUNCTION("""COMPUTED_VALUE"""),"Who responsible: MPs do jobs")</f>
        <v>Who responsible: MPs do jobs</v>
      </c>
      <c r="F811" s="7" t="str">
        <f>IFERROR(__xludf.DUMMYFUNCTION("""COMPUTED_VALUE"""),"members of Parliament")</f>
        <v>members of Parliament</v>
      </c>
    </row>
    <row r="812">
      <c r="A812" s="7" t="str">
        <f>IFERROR(__xludf.DUMMYFUNCTION("""COMPUTED_VALUE"""),"NAMIBIA ")</f>
        <v>NAMIBIA </v>
      </c>
      <c r="B812" s="8">
        <f>IFERROR(__xludf.DUMMYFUNCTION("""COMPUTED_VALUE"""),8.0)</f>
        <v>8</v>
      </c>
      <c r="C812" s="7" t="str">
        <f>IFERROR(__xludf.DUMMYFUNCTION("""COMPUTED_VALUE"""),"B_04_14")</f>
        <v>B_04_14</v>
      </c>
      <c r="D812" s="7" t="str">
        <f>IFERROR(__xludf.DUMMYFUNCTION("""COMPUTED_VALUE"""),"Q52a")</f>
        <v>Q52a</v>
      </c>
      <c r="E812" s="7" t="str">
        <f>IFERROR(__xludf.DUMMYFUNCTION("""COMPUTED_VALUE"""),"Who responsible: MPs do jobs")</f>
        <v>Who responsible: MPs do jobs</v>
      </c>
      <c r="F812" s="7" t="str">
        <f>IFERROR(__xludf.DUMMYFUNCTION("""COMPUTED_VALUE"""),"members of the National Assembly")</f>
        <v>members of the National Assembly</v>
      </c>
    </row>
    <row r="813">
      <c r="A813" s="7" t="str">
        <f>IFERROR(__xludf.DUMMYFUNCTION("""COMPUTED_VALUE"""),"NIGERIA ")</f>
        <v>NIGERIA </v>
      </c>
      <c r="B813" s="8">
        <f>IFERROR(__xludf.DUMMYFUNCTION("""COMPUTED_VALUE"""),8.0)</f>
        <v>8</v>
      </c>
      <c r="C813" s="7" t="str">
        <f>IFERROR(__xludf.DUMMYFUNCTION("""COMPUTED_VALUE"""),"B_04_14")</f>
        <v>B_04_14</v>
      </c>
      <c r="D813" s="7" t="str">
        <f>IFERROR(__xludf.DUMMYFUNCTION("""COMPUTED_VALUE"""),"Q52a")</f>
        <v>Q52a</v>
      </c>
      <c r="E813" s="7" t="str">
        <f>IFERROR(__xludf.DUMMYFUNCTION("""COMPUTED_VALUE"""),"Who responsible: MPs do jobs")</f>
        <v>Who responsible: MPs do jobs</v>
      </c>
      <c r="F813" s="7" t="str">
        <f>IFERROR(__xludf.DUMMYFUNCTION("""COMPUTED_VALUE"""),"National Assembly")</f>
        <v>National Assembly</v>
      </c>
    </row>
    <row r="814">
      <c r="A814" s="7" t="str">
        <f>IFERROR(__xludf.DUMMYFUNCTION("""COMPUTED_VALUE"""),"SIERRA LEONE")</f>
        <v>SIERRA LEONE</v>
      </c>
      <c r="B814" s="8">
        <f>IFERROR(__xludf.DUMMYFUNCTION("""COMPUTED_VALUE"""),8.0)</f>
        <v>8</v>
      </c>
      <c r="C814" s="7" t="str">
        <f>IFERROR(__xludf.DUMMYFUNCTION("""COMPUTED_VALUE"""),"B_04_14")</f>
        <v>B_04_14</v>
      </c>
      <c r="D814" s="7" t="str">
        <f>IFERROR(__xludf.DUMMYFUNCTION("""COMPUTED_VALUE"""),"Q52a")</f>
        <v>Q52a</v>
      </c>
      <c r="E814" s="7" t="str">
        <f>IFERROR(__xludf.DUMMYFUNCTION("""COMPUTED_VALUE"""),"Who responsible: MPs do jobs")</f>
        <v>Who responsible: MPs do jobs</v>
      </c>
      <c r="F814" s="7" t="str">
        <f>IFERROR(__xludf.DUMMYFUNCTION("""COMPUTED_VALUE"""),"members of Parliament")</f>
        <v>members of Parliament</v>
      </c>
    </row>
    <row r="815">
      <c r="A815" s="7" t="str">
        <f>IFERROR(__xludf.DUMMYFUNCTION("""COMPUTED_VALUE"""),"SOUTH AFRICA")</f>
        <v>SOUTH AFRICA</v>
      </c>
      <c r="B815" s="8">
        <f>IFERROR(__xludf.DUMMYFUNCTION("""COMPUTED_VALUE"""),8.0)</f>
        <v>8</v>
      </c>
      <c r="C815" s="7" t="str">
        <f>IFERROR(__xludf.DUMMYFUNCTION("""COMPUTED_VALUE"""),"B_04_14")</f>
        <v>B_04_14</v>
      </c>
      <c r="D815" s="7" t="str">
        <f>IFERROR(__xludf.DUMMYFUNCTION("""COMPUTED_VALUE"""),"Q52a")</f>
        <v>Q52a</v>
      </c>
      <c r="E815" s="7" t="str">
        <f>IFERROR(__xludf.DUMMYFUNCTION("""COMPUTED_VALUE"""),"Who responsible: MPs do jobs")</f>
        <v>Who responsible: MPs do jobs</v>
      </c>
      <c r="F815" s="7" t="str">
        <f>IFERROR(__xludf.DUMMYFUNCTION("""COMPUTED_VALUE"""),"members of Parliament")</f>
        <v>members of Parliament</v>
      </c>
    </row>
    <row r="816">
      <c r="A816" s="7" t="str">
        <f>IFERROR(__xludf.DUMMYFUNCTION("""COMPUTED_VALUE"""),"SUDAN")</f>
        <v>SUDAN</v>
      </c>
      <c r="B816" s="8">
        <f>IFERROR(__xludf.DUMMYFUNCTION("""COMPUTED_VALUE"""),8.0)</f>
        <v>8</v>
      </c>
      <c r="C816" s="7" t="str">
        <f>IFERROR(__xludf.DUMMYFUNCTION("""COMPUTED_VALUE"""),"B_04_14")</f>
        <v>B_04_14</v>
      </c>
      <c r="D816" s="7" t="str">
        <f>IFERROR(__xludf.DUMMYFUNCTION("""COMPUTED_VALUE"""),"Q52a")</f>
        <v>Q52a</v>
      </c>
      <c r="E816" s="7" t="str">
        <f>IFERROR(__xludf.DUMMYFUNCTION("""COMPUTED_VALUE"""),"Who responsible: MPs do jobs")</f>
        <v>Who responsible: MPs do jobs</v>
      </c>
      <c r="F816" s="7" t="str">
        <f>IFERROR(__xludf.DUMMYFUNCTION("""COMPUTED_VALUE"""),"members of Parliament")</f>
        <v>members of Parliament</v>
      </c>
    </row>
    <row r="817">
      <c r="A817" s="7" t="str">
        <f>IFERROR(__xludf.DUMMYFUNCTION("""COMPUTED_VALUE"""),"TANZANIA")</f>
        <v>TANZANIA</v>
      </c>
      <c r="B817" s="8">
        <f>IFERROR(__xludf.DUMMYFUNCTION("""COMPUTED_VALUE"""),8.0)</f>
        <v>8</v>
      </c>
      <c r="C817" s="7" t="str">
        <f>IFERROR(__xludf.DUMMYFUNCTION("""COMPUTED_VALUE"""),"B_04_14")</f>
        <v>B_04_14</v>
      </c>
      <c r="D817" s="7" t="str">
        <f>IFERROR(__xludf.DUMMYFUNCTION("""COMPUTED_VALUE"""),"Q52a")</f>
        <v>Q52a</v>
      </c>
      <c r="E817" s="7" t="str">
        <f>IFERROR(__xludf.DUMMYFUNCTION("""COMPUTED_VALUE"""),"Who responsible: MPs do jobs")</f>
        <v>Who responsible: MPs do jobs</v>
      </c>
      <c r="F817" s="7" t="str">
        <f>IFERROR(__xludf.DUMMYFUNCTION("""COMPUTED_VALUE"""),"members of Parliament")</f>
        <v>members of Parliament</v>
      </c>
    </row>
    <row r="818">
      <c r="A818" s="7" t="str">
        <f>IFERROR(__xludf.DUMMYFUNCTION("""COMPUTED_VALUE"""),"TUNISIA ")</f>
        <v>TUNISIA </v>
      </c>
      <c r="B818" s="8">
        <f>IFERROR(__xludf.DUMMYFUNCTION("""COMPUTED_VALUE"""),8.0)</f>
        <v>8</v>
      </c>
      <c r="C818" s="7" t="str">
        <f>IFERROR(__xludf.DUMMYFUNCTION("""COMPUTED_VALUE"""),"B_04_14")</f>
        <v>B_04_14</v>
      </c>
      <c r="D818" s="7" t="str">
        <f>IFERROR(__xludf.DUMMYFUNCTION("""COMPUTED_VALUE"""),"Q52a")</f>
        <v>Q52a</v>
      </c>
      <c r="E818" s="7" t="str">
        <f>IFERROR(__xludf.DUMMYFUNCTION("""COMPUTED_VALUE"""),"Who responsible: MPs do jobs")</f>
        <v>Who responsible: MPs do jobs</v>
      </c>
      <c r="F818" s="7" t="str">
        <f>IFERROR(__xludf.DUMMYFUNCTION("""COMPUTED_VALUE"""),"members of Representative Assembly")</f>
        <v>members of Representative Assembly</v>
      </c>
    </row>
    <row r="819">
      <c r="A819" s="7" t="str">
        <f>IFERROR(__xludf.DUMMYFUNCTION("""COMPUTED_VALUE"""),"UGANDA  ")</f>
        <v>UGANDA  </v>
      </c>
      <c r="B819" s="8">
        <f>IFERROR(__xludf.DUMMYFUNCTION("""COMPUTED_VALUE"""),8.0)</f>
        <v>8</v>
      </c>
      <c r="C819" s="7" t="str">
        <f>IFERROR(__xludf.DUMMYFUNCTION("""COMPUTED_VALUE"""),"B_04_14")</f>
        <v>B_04_14</v>
      </c>
      <c r="D819" s="7" t="str">
        <f>IFERROR(__xludf.DUMMYFUNCTION("""COMPUTED_VALUE"""),"Q52a")</f>
        <v>Q52a</v>
      </c>
      <c r="E819" s="7" t="str">
        <f>IFERROR(__xludf.DUMMYFUNCTION("""COMPUTED_VALUE"""),"Who responsible: MPs do jobs")</f>
        <v>Who responsible: MPs do jobs</v>
      </c>
      <c r="F819" s="7" t="str">
        <f>IFERROR(__xludf.DUMMYFUNCTION("""COMPUTED_VALUE"""),"members of Parliament")</f>
        <v>members of Parliament</v>
      </c>
    </row>
    <row r="820">
      <c r="A820" s="7" t="str">
        <f>IFERROR(__xludf.DUMMYFUNCTION("""COMPUTED_VALUE"""),"ZAMBIA")</f>
        <v>ZAMBIA</v>
      </c>
      <c r="B820" s="8">
        <f>IFERROR(__xludf.DUMMYFUNCTION("""COMPUTED_VALUE"""),8.0)</f>
        <v>8</v>
      </c>
      <c r="C820" s="7" t="str">
        <f>IFERROR(__xludf.DUMMYFUNCTION("""COMPUTED_VALUE"""),"B_04_14")</f>
        <v>B_04_14</v>
      </c>
      <c r="D820" s="7" t="str">
        <f>IFERROR(__xludf.DUMMYFUNCTION("""COMPUTED_VALUE"""),"Q52a")</f>
        <v>Q52a</v>
      </c>
      <c r="E820" s="7" t="str">
        <f>IFERROR(__xludf.DUMMYFUNCTION("""COMPUTED_VALUE"""),"Who responsible: MPs do jobs")</f>
        <v>Who responsible: MPs do jobs</v>
      </c>
      <c r="F820" s="7" t="str">
        <f>IFERROR(__xludf.DUMMYFUNCTION("""COMPUTED_VALUE"""),"members of Parliament")</f>
        <v>members of Parliament</v>
      </c>
    </row>
    <row r="821">
      <c r="A821" s="7" t="str">
        <f>IFERROR(__xludf.DUMMYFUNCTION("""COMPUTED_VALUE"""),"ZIMBABWE")</f>
        <v>ZIMBABWE</v>
      </c>
      <c r="B821" s="8">
        <f>IFERROR(__xludf.DUMMYFUNCTION("""COMPUTED_VALUE"""),8.0)</f>
        <v>8</v>
      </c>
      <c r="C821" s="7" t="str">
        <f>IFERROR(__xludf.DUMMYFUNCTION("""COMPUTED_VALUE"""),"B_04_14")</f>
        <v>B_04_14</v>
      </c>
      <c r="D821" s="7" t="str">
        <f>IFERROR(__xludf.DUMMYFUNCTION("""COMPUTED_VALUE"""),"Q52a")</f>
        <v>Q52a</v>
      </c>
      <c r="E821" s="7" t="str">
        <f>IFERROR(__xludf.DUMMYFUNCTION("""COMPUTED_VALUE"""),"Who responsible: MPs do jobs")</f>
        <v>Who responsible: MPs do jobs</v>
      </c>
      <c r="F821" s="7" t="str">
        <f>IFERROR(__xludf.DUMMYFUNCTION("""COMPUTED_VALUE"""),"Members of Parliament")</f>
        <v>Members of Parliament</v>
      </c>
    </row>
    <row r="822">
      <c r="A822" s="7" t="str">
        <f>IFERROR(__xludf.DUMMYFUNCTION("""COMPUTED_VALUE"""),"GHANA ")</f>
        <v>GHANA </v>
      </c>
      <c r="B822" s="8">
        <f>IFERROR(__xludf.DUMMYFUNCTION("""COMPUTED_VALUE"""),8.0)</f>
        <v>8</v>
      </c>
      <c r="C822" s="7" t="str">
        <f>IFERROR(__xludf.DUMMYFUNCTION("""COMPUTED_VALUE"""),"B_01_11")</f>
        <v>B_01_11</v>
      </c>
      <c r="D822" s="7" t="str">
        <f>IFERROR(__xludf.DUMMYFUNCTION("""COMPUTED_VALUE"""),"Q52b")</f>
        <v>Q52b</v>
      </c>
      <c r="E822" s="7" t="str">
        <f>IFERROR(__xludf.DUMMYFUNCTION("""COMPUTED_VALUE"""),"Who responsible: president does job")</f>
        <v>Who responsible: president does job</v>
      </c>
      <c r="F822" s="7" t="str">
        <f>IFERROR(__xludf.DUMMYFUNCTION("""COMPUTED_VALUE"""),"President")</f>
        <v>President</v>
      </c>
    </row>
    <row r="823">
      <c r="A823" s="7" t="str">
        <f>IFERROR(__xludf.DUMMYFUNCTION("""COMPUTED_VALUE"""),"KENYA  ")</f>
        <v>KENYA  </v>
      </c>
      <c r="B823" s="8">
        <f>IFERROR(__xludf.DUMMYFUNCTION("""COMPUTED_VALUE"""),8.0)</f>
        <v>8</v>
      </c>
      <c r="C823" s="7" t="str">
        <f>IFERROR(__xludf.DUMMYFUNCTION("""COMPUTED_VALUE"""),"B_01_11")</f>
        <v>B_01_11</v>
      </c>
      <c r="D823" s="7" t="str">
        <f>IFERROR(__xludf.DUMMYFUNCTION("""COMPUTED_VALUE"""),"Q52b")</f>
        <v>Q52b</v>
      </c>
      <c r="E823" s="7" t="str">
        <f>IFERROR(__xludf.DUMMYFUNCTION("""COMPUTED_VALUE"""),"Who responsible: president does job")</f>
        <v>Who responsible: president does job</v>
      </c>
      <c r="F823" s="7" t="str">
        <f>IFERROR(__xludf.DUMMYFUNCTION("""COMPUTED_VALUE"""),"President")</f>
        <v>President</v>
      </c>
    </row>
    <row r="824">
      <c r="A824" s="7" t="str">
        <f>IFERROR(__xludf.DUMMYFUNCTION("""COMPUTED_VALUE"""),"LESOTHO ")</f>
        <v>LESOTHO </v>
      </c>
      <c r="B824" s="8">
        <f>IFERROR(__xludf.DUMMYFUNCTION("""COMPUTED_VALUE"""),8.0)</f>
        <v>8</v>
      </c>
      <c r="C824" s="7" t="str">
        <f>IFERROR(__xludf.DUMMYFUNCTION("""COMPUTED_VALUE"""),"B_01_11")</f>
        <v>B_01_11</v>
      </c>
      <c r="D824" s="7" t="str">
        <f>IFERROR(__xludf.DUMMYFUNCTION("""COMPUTED_VALUE"""),"Q52b")</f>
        <v>Q52b</v>
      </c>
      <c r="E824" s="7" t="str">
        <f>IFERROR(__xludf.DUMMYFUNCTION("""COMPUTED_VALUE"""),"Who responsible: president does job")</f>
        <v>Who responsible: president does job</v>
      </c>
      <c r="F824" s="7" t="str">
        <f>IFERROR(__xludf.DUMMYFUNCTION("""COMPUTED_VALUE"""),"Prime Minister")</f>
        <v>Prime Minister</v>
      </c>
    </row>
    <row r="825">
      <c r="A825" s="7" t="str">
        <f>IFERROR(__xludf.DUMMYFUNCTION("""COMPUTED_VALUE"""),"LIBERIA  ")</f>
        <v>LIBERIA  </v>
      </c>
      <c r="B825" s="8">
        <f>IFERROR(__xludf.DUMMYFUNCTION("""COMPUTED_VALUE"""),8.0)</f>
        <v>8</v>
      </c>
      <c r="C825" s="7" t="str">
        <f>IFERROR(__xludf.DUMMYFUNCTION("""COMPUTED_VALUE"""),"B_01_11")</f>
        <v>B_01_11</v>
      </c>
      <c r="D825" s="7" t="str">
        <f>IFERROR(__xludf.DUMMYFUNCTION("""COMPUTED_VALUE"""),"Q52b")</f>
        <v>Q52b</v>
      </c>
      <c r="E825" s="7" t="str">
        <f>IFERROR(__xludf.DUMMYFUNCTION("""COMPUTED_VALUE"""),"Who responsible: president does job")</f>
        <v>Who responsible: president does job</v>
      </c>
      <c r="F825" s="7" t="str">
        <f>IFERROR(__xludf.DUMMYFUNCTION("""COMPUTED_VALUE"""),"Senators")</f>
        <v>Senators</v>
      </c>
    </row>
    <row r="826">
      <c r="A826" s="7" t="str">
        <f>IFERROR(__xludf.DUMMYFUNCTION("""COMPUTED_VALUE"""),"BOTSWANA ")</f>
        <v>BOTSWANA </v>
      </c>
      <c r="B826" s="8">
        <f>IFERROR(__xludf.DUMMYFUNCTION("""COMPUTED_VALUE"""),8.0)</f>
        <v>8</v>
      </c>
      <c r="C826" s="7" t="str">
        <f>IFERROR(__xludf.DUMMYFUNCTION("""COMPUTED_VALUE"""),"K_07")</f>
        <v>K_07</v>
      </c>
      <c r="D826" s="7" t="str">
        <f>IFERROR(__xludf.DUMMYFUNCTION("""COMPUTED_VALUE"""),"Q62")</f>
        <v>Q62</v>
      </c>
      <c r="E826" s="7" t="str">
        <f>IFERROR(__xludf.DUMMYFUNCTION("""COMPUTED_VALUE"""),"Difficulty to move across borders")</f>
        <v>Difficulty to move across borders</v>
      </c>
      <c r="F826" s="7" t="str">
        <f>IFERROR(__xludf.DUMMYFUNCTION("""COMPUTED_VALUE"""),"Southern Africa")</f>
        <v>Southern Africa</v>
      </c>
    </row>
    <row r="827">
      <c r="A827" s="7" t="str">
        <f>IFERROR(__xludf.DUMMYFUNCTION("""COMPUTED_VALUE"""),"CABO VERDE ")</f>
        <v>CABO VERDE </v>
      </c>
      <c r="B827" s="8">
        <f>IFERROR(__xludf.DUMMYFUNCTION("""COMPUTED_VALUE"""),8.0)</f>
        <v>8</v>
      </c>
      <c r="C827" s="7" t="str">
        <f>IFERROR(__xludf.DUMMYFUNCTION("""COMPUTED_VALUE"""),"K_07")</f>
        <v>K_07</v>
      </c>
      <c r="D827" s="7" t="str">
        <f>IFERROR(__xludf.DUMMYFUNCTION("""COMPUTED_VALUE"""),"Q62")</f>
        <v>Q62</v>
      </c>
      <c r="E827" s="7" t="str">
        <f>IFERROR(__xludf.DUMMYFUNCTION("""COMPUTED_VALUE"""),"Difficulty to move across borders")</f>
        <v>Difficulty to move across borders</v>
      </c>
      <c r="F827" s="7" t="str">
        <f>IFERROR(__xludf.DUMMYFUNCTION("""COMPUTED_VALUE"""),"West Africa")</f>
        <v>West Africa</v>
      </c>
    </row>
    <row r="828">
      <c r="A828" s="7" t="str">
        <f>IFERROR(__xludf.DUMMYFUNCTION("""COMPUTED_VALUE"""),"CAMEROON")</f>
        <v>CAMEROON</v>
      </c>
      <c r="B828" s="8">
        <f>IFERROR(__xludf.DUMMYFUNCTION("""COMPUTED_VALUE"""),8.0)</f>
        <v>8</v>
      </c>
      <c r="C828" s="7" t="str">
        <f>IFERROR(__xludf.DUMMYFUNCTION("""COMPUTED_VALUE"""),"K_07")</f>
        <v>K_07</v>
      </c>
      <c r="D828" s="7" t="str">
        <f>IFERROR(__xludf.DUMMYFUNCTION("""COMPUTED_VALUE"""),"Q62")</f>
        <v>Q62</v>
      </c>
      <c r="E828" s="7" t="str">
        <f>IFERROR(__xludf.DUMMYFUNCTION("""COMPUTED_VALUE"""),"Difficulty to move across borders")</f>
        <v>Difficulty to move across borders</v>
      </c>
      <c r="F828" s="7" t="str">
        <f>IFERROR(__xludf.DUMMYFUNCTION("""COMPUTED_VALUE"""),"Central Africa")</f>
        <v>Central Africa</v>
      </c>
    </row>
    <row r="829">
      <c r="A829" s="7" t="str">
        <f>IFERROR(__xludf.DUMMYFUNCTION("""COMPUTED_VALUE"""),"ESWATINI")</f>
        <v>ESWATINI</v>
      </c>
      <c r="B829" s="8">
        <f>IFERROR(__xludf.DUMMYFUNCTION("""COMPUTED_VALUE"""),8.0)</f>
        <v>8</v>
      </c>
      <c r="C829" s="7" t="str">
        <f>IFERROR(__xludf.DUMMYFUNCTION("""COMPUTED_VALUE"""),"K_07")</f>
        <v>K_07</v>
      </c>
      <c r="D829" s="7" t="str">
        <f>IFERROR(__xludf.DUMMYFUNCTION("""COMPUTED_VALUE"""),"Q62")</f>
        <v>Q62</v>
      </c>
      <c r="E829" s="7" t="str">
        <f>IFERROR(__xludf.DUMMYFUNCTION("""COMPUTED_VALUE"""),"Difficulty to move across borders")</f>
        <v>Difficulty to move across borders</v>
      </c>
      <c r="F829" s="7" t="str">
        <f>IFERROR(__xludf.DUMMYFUNCTION("""COMPUTED_VALUE"""),"Southern Africa")</f>
        <v>Southern Africa</v>
      </c>
    </row>
    <row r="830">
      <c r="A830" s="7" t="str">
        <f>IFERROR(__xludf.DUMMYFUNCTION("""COMPUTED_VALUE"""),"ETHIOPIA")</f>
        <v>ETHIOPIA</v>
      </c>
      <c r="B830" s="8">
        <f>IFERROR(__xludf.DUMMYFUNCTION("""COMPUTED_VALUE"""),8.0)</f>
        <v>8</v>
      </c>
      <c r="C830" s="7" t="str">
        <f>IFERROR(__xludf.DUMMYFUNCTION("""COMPUTED_VALUE"""),"K_07")</f>
        <v>K_07</v>
      </c>
      <c r="D830" s="7" t="str">
        <f>IFERROR(__xludf.DUMMYFUNCTION("""COMPUTED_VALUE"""),"Q62")</f>
        <v>Q62</v>
      </c>
      <c r="E830" s="7" t="str">
        <f>IFERROR(__xludf.DUMMYFUNCTION("""COMPUTED_VALUE"""),"Difficulty to move across borders")</f>
        <v>Difficulty to move across borders</v>
      </c>
      <c r="F830" s="7" t="str">
        <f>IFERROR(__xludf.DUMMYFUNCTION("""COMPUTED_VALUE"""),"Eastern Africa")</f>
        <v>Eastern Africa</v>
      </c>
    </row>
    <row r="831">
      <c r="A831" s="7" t="str">
        <f>IFERROR(__xludf.DUMMYFUNCTION("""COMPUTED_VALUE"""),"GAMBIA")</f>
        <v>GAMBIA</v>
      </c>
      <c r="B831" s="8">
        <f>IFERROR(__xludf.DUMMYFUNCTION("""COMPUTED_VALUE"""),8.0)</f>
        <v>8</v>
      </c>
      <c r="C831" s="7" t="str">
        <f>IFERROR(__xludf.DUMMYFUNCTION("""COMPUTED_VALUE"""),"K_07")</f>
        <v>K_07</v>
      </c>
      <c r="D831" s="7" t="str">
        <f>IFERROR(__xludf.DUMMYFUNCTION("""COMPUTED_VALUE"""),"Q62")</f>
        <v>Q62</v>
      </c>
      <c r="E831" s="7" t="str">
        <f>IFERROR(__xludf.DUMMYFUNCTION("""COMPUTED_VALUE"""),"Difficulty to move across borders")</f>
        <v>Difficulty to move across borders</v>
      </c>
      <c r="F831" s="7" t="str">
        <f>IFERROR(__xludf.DUMMYFUNCTION("""COMPUTED_VALUE"""),"West Africa")</f>
        <v>West Africa</v>
      </c>
    </row>
    <row r="832">
      <c r="A832" s="7" t="str">
        <f>IFERROR(__xludf.DUMMYFUNCTION("""COMPUTED_VALUE"""),"GHANA ")</f>
        <v>GHANA </v>
      </c>
      <c r="B832" s="8">
        <f>IFERROR(__xludf.DUMMYFUNCTION("""COMPUTED_VALUE"""),8.0)</f>
        <v>8</v>
      </c>
      <c r="C832" s="7" t="str">
        <f>IFERROR(__xludf.DUMMYFUNCTION("""COMPUTED_VALUE"""),"K_07")</f>
        <v>K_07</v>
      </c>
      <c r="D832" s="7" t="str">
        <f>IFERROR(__xludf.DUMMYFUNCTION("""COMPUTED_VALUE"""),"Q62")</f>
        <v>Q62</v>
      </c>
      <c r="E832" s="7" t="str">
        <f>IFERROR(__xludf.DUMMYFUNCTION("""COMPUTED_VALUE"""),"Difficulty to move across borders")</f>
        <v>Difficulty to move across borders</v>
      </c>
      <c r="F832" s="7" t="str">
        <f>IFERROR(__xludf.DUMMYFUNCTION("""COMPUTED_VALUE"""),"West Africa")</f>
        <v>West Africa</v>
      </c>
    </row>
    <row r="833">
      <c r="A833" s="7" t="str">
        <f>IFERROR(__xludf.DUMMYFUNCTION("""COMPUTED_VALUE"""),"KENYA  ")</f>
        <v>KENYA  </v>
      </c>
      <c r="B833" s="8">
        <f>IFERROR(__xludf.DUMMYFUNCTION("""COMPUTED_VALUE"""),8.0)</f>
        <v>8</v>
      </c>
      <c r="C833" s="7" t="str">
        <f>IFERROR(__xludf.DUMMYFUNCTION("""COMPUTED_VALUE"""),"K_07")</f>
        <v>K_07</v>
      </c>
      <c r="D833" s="7" t="str">
        <f>IFERROR(__xludf.DUMMYFUNCTION("""COMPUTED_VALUE"""),"Q62")</f>
        <v>Q62</v>
      </c>
      <c r="E833" s="7" t="str">
        <f>IFERROR(__xludf.DUMMYFUNCTION("""COMPUTED_VALUE"""),"Difficulty to move across borders")</f>
        <v>Difficulty to move across borders</v>
      </c>
      <c r="F833" s="7" t="str">
        <f>IFERROR(__xludf.DUMMYFUNCTION("""COMPUTED_VALUE"""),"East Africa")</f>
        <v>East Africa</v>
      </c>
    </row>
    <row r="834">
      <c r="A834" s="7" t="str">
        <f>IFERROR(__xludf.DUMMYFUNCTION("""COMPUTED_VALUE"""),"LESOTHO ")</f>
        <v>LESOTHO </v>
      </c>
      <c r="B834" s="8">
        <f>IFERROR(__xludf.DUMMYFUNCTION("""COMPUTED_VALUE"""),8.0)</f>
        <v>8</v>
      </c>
      <c r="C834" s="7" t="str">
        <f>IFERROR(__xludf.DUMMYFUNCTION("""COMPUTED_VALUE"""),"K_07")</f>
        <v>K_07</v>
      </c>
      <c r="D834" s="7" t="str">
        <f>IFERROR(__xludf.DUMMYFUNCTION("""COMPUTED_VALUE"""),"Q62")</f>
        <v>Q62</v>
      </c>
      <c r="E834" s="7" t="str">
        <f>IFERROR(__xludf.DUMMYFUNCTION("""COMPUTED_VALUE"""),"Difficulty to move across borders")</f>
        <v>Difficulty to move across borders</v>
      </c>
      <c r="F834" s="7" t="str">
        <f>IFERROR(__xludf.DUMMYFUNCTION("""COMPUTED_VALUE"""),"Southern Africa")</f>
        <v>Southern Africa</v>
      </c>
    </row>
    <row r="835">
      <c r="A835" s="7" t="str">
        <f>IFERROR(__xludf.DUMMYFUNCTION("""COMPUTED_VALUE"""),"LIBERIA  ")</f>
        <v>LIBERIA  </v>
      </c>
      <c r="B835" s="8">
        <f>IFERROR(__xludf.DUMMYFUNCTION("""COMPUTED_VALUE"""),8.0)</f>
        <v>8</v>
      </c>
      <c r="C835" s="7" t="str">
        <f>IFERROR(__xludf.DUMMYFUNCTION("""COMPUTED_VALUE"""),"K_07")</f>
        <v>K_07</v>
      </c>
      <c r="D835" s="7" t="str">
        <f>IFERROR(__xludf.DUMMYFUNCTION("""COMPUTED_VALUE"""),"Q62")</f>
        <v>Q62</v>
      </c>
      <c r="E835" s="7" t="str">
        <f>IFERROR(__xludf.DUMMYFUNCTION("""COMPUTED_VALUE"""),"Difficulty to move across borders")</f>
        <v>Difficulty to move across borders</v>
      </c>
      <c r="F835" s="7" t="str">
        <f>IFERROR(__xludf.DUMMYFUNCTION("""COMPUTED_VALUE"""),"West Africa")</f>
        <v>West Africa</v>
      </c>
    </row>
    <row r="836">
      <c r="A836" s="7" t="str">
        <f>IFERROR(__xludf.DUMMYFUNCTION("""COMPUTED_VALUE"""),"MALAWI ")</f>
        <v>MALAWI </v>
      </c>
      <c r="B836" s="8">
        <f>IFERROR(__xludf.DUMMYFUNCTION("""COMPUTED_VALUE"""),8.0)</f>
        <v>8</v>
      </c>
      <c r="C836" s="7" t="str">
        <f>IFERROR(__xludf.DUMMYFUNCTION("""COMPUTED_VALUE"""),"K_07")</f>
        <v>K_07</v>
      </c>
      <c r="D836" s="7" t="str">
        <f>IFERROR(__xludf.DUMMYFUNCTION("""COMPUTED_VALUE"""),"Q62")</f>
        <v>Q62</v>
      </c>
      <c r="E836" s="7" t="str">
        <f>IFERROR(__xludf.DUMMYFUNCTION("""COMPUTED_VALUE"""),"Difficulty to move across borders")</f>
        <v>Difficulty to move across borders</v>
      </c>
      <c r="F836" s="7" t="str">
        <f>IFERROR(__xludf.DUMMYFUNCTION("""COMPUTED_VALUE"""),"Southern Africa")</f>
        <v>Southern Africa</v>
      </c>
    </row>
    <row r="837">
      <c r="A837" s="7" t="str">
        <f>IFERROR(__xludf.DUMMYFUNCTION("""COMPUTED_VALUE"""),"MOROCCO ")</f>
        <v>MOROCCO </v>
      </c>
      <c r="B837" s="8">
        <f>IFERROR(__xludf.DUMMYFUNCTION("""COMPUTED_VALUE"""),8.0)</f>
        <v>8</v>
      </c>
      <c r="C837" s="7" t="str">
        <f>IFERROR(__xludf.DUMMYFUNCTION("""COMPUTED_VALUE"""),"K_07")</f>
        <v>K_07</v>
      </c>
      <c r="D837" s="7" t="str">
        <f>IFERROR(__xludf.DUMMYFUNCTION("""COMPUTED_VALUE"""),"Q62")</f>
        <v>Q62</v>
      </c>
      <c r="E837" s="7" t="str">
        <f>IFERROR(__xludf.DUMMYFUNCTION("""COMPUTED_VALUE"""),"Difficulty to move across borders")</f>
        <v>Difficulty to move across borders</v>
      </c>
      <c r="F837" s="7" t="str">
        <f>IFERROR(__xludf.DUMMYFUNCTION("""COMPUTED_VALUE"""),"North Africa")</f>
        <v>North Africa</v>
      </c>
    </row>
    <row r="838">
      <c r="A838" s="7" t="str">
        <f>IFERROR(__xludf.DUMMYFUNCTION("""COMPUTED_VALUE"""),"MOZAMBIQUE")</f>
        <v>MOZAMBIQUE</v>
      </c>
      <c r="B838" s="8">
        <f>IFERROR(__xludf.DUMMYFUNCTION("""COMPUTED_VALUE"""),8.0)</f>
        <v>8</v>
      </c>
      <c r="C838" s="7" t="str">
        <f>IFERROR(__xludf.DUMMYFUNCTION("""COMPUTED_VALUE"""),"K_07")</f>
        <v>K_07</v>
      </c>
      <c r="D838" s="7" t="str">
        <f>IFERROR(__xludf.DUMMYFUNCTION("""COMPUTED_VALUE"""),"Q62")</f>
        <v>Q62</v>
      </c>
      <c r="E838" s="7" t="str">
        <f>IFERROR(__xludf.DUMMYFUNCTION("""COMPUTED_VALUE"""),"Difficulty to move across borders")</f>
        <v>Difficulty to move across borders</v>
      </c>
      <c r="F838" s="7" t="str">
        <f>IFERROR(__xludf.DUMMYFUNCTION("""COMPUTED_VALUE"""),"Southern Africa")</f>
        <v>Southern Africa</v>
      </c>
    </row>
    <row r="839">
      <c r="A839" s="7" t="str">
        <f>IFERROR(__xludf.DUMMYFUNCTION("""COMPUTED_VALUE"""),"NAMIBIA ")</f>
        <v>NAMIBIA </v>
      </c>
      <c r="B839" s="8">
        <f>IFERROR(__xludf.DUMMYFUNCTION("""COMPUTED_VALUE"""),8.0)</f>
        <v>8</v>
      </c>
      <c r="C839" s="7" t="str">
        <f>IFERROR(__xludf.DUMMYFUNCTION("""COMPUTED_VALUE"""),"K_07")</f>
        <v>K_07</v>
      </c>
      <c r="D839" s="7" t="str">
        <f>IFERROR(__xludf.DUMMYFUNCTION("""COMPUTED_VALUE"""),"Q62")</f>
        <v>Q62</v>
      </c>
      <c r="E839" s="7" t="str">
        <f>IFERROR(__xludf.DUMMYFUNCTION("""COMPUTED_VALUE"""),"Difficulty to move across borders")</f>
        <v>Difficulty to move across borders</v>
      </c>
      <c r="F839" s="7" t="str">
        <f>IFERROR(__xludf.DUMMYFUNCTION("""COMPUTED_VALUE"""),"Southern Africa")</f>
        <v>Southern Africa</v>
      </c>
    </row>
    <row r="840">
      <c r="A840" s="7" t="str">
        <f>IFERROR(__xludf.DUMMYFUNCTION("""COMPUTED_VALUE"""),"NIGERIA ")</f>
        <v>NIGERIA </v>
      </c>
      <c r="B840" s="8">
        <f>IFERROR(__xludf.DUMMYFUNCTION("""COMPUTED_VALUE"""),8.0)</f>
        <v>8</v>
      </c>
      <c r="C840" s="7" t="str">
        <f>IFERROR(__xludf.DUMMYFUNCTION("""COMPUTED_VALUE"""),"K_07")</f>
        <v>K_07</v>
      </c>
      <c r="D840" s="7" t="str">
        <f>IFERROR(__xludf.DUMMYFUNCTION("""COMPUTED_VALUE"""),"Q62")</f>
        <v>Q62</v>
      </c>
      <c r="E840" s="7" t="str">
        <f>IFERROR(__xludf.DUMMYFUNCTION("""COMPUTED_VALUE"""),"Difficulty to move across borders")</f>
        <v>Difficulty to move across borders</v>
      </c>
      <c r="F840" s="7" t="str">
        <f>IFERROR(__xludf.DUMMYFUNCTION("""COMPUTED_VALUE"""),"West Africa")</f>
        <v>West Africa</v>
      </c>
    </row>
    <row r="841">
      <c r="A841" s="7" t="str">
        <f>IFERROR(__xludf.DUMMYFUNCTION("""COMPUTED_VALUE"""),"SIERRA LEONE")</f>
        <v>SIERRA LEONE</v>
      </c>
      <c r="B841" s="8">
        <f>IFERROR(__xludf.DUMMYFUNCTION("""COMPUTED_VALUE"""),8.0)</f>
        <v>8</v>
      </c>
      <c r="C841" s="7" t="str">
        <f>IFERROR(__xludf.DUMMYFUNCTION("""COMPUTED_VALUE"""),"K_07")</f>
        <v>K_07</v>
      </c>
      <c r="D841" s="7" t="str">
        <f>IFERROR(__xludf.DUMMYFUNCTION("""COMPUTED_VALUE"""),"Q62")</f>
        <v>Q62</v>
      </c>
      <c r="E841" s="7" t="str">
        <f>IFERROR(__xludf.DUMMYFUNCTION("""COMPUTED_VALUE"""),"Difficulty to move across borders")</f>
        <v>Difficulty to move across borders</v>
      </c>
      <c r="F841" s="7" t="str">
        <f>IFERROR(__xludf.DUMMYFUNCTION("""COMPUTED_VALUE"""),"West Africa")</f>
        <v>West Africa</v>
      </c>
    </row>
    <row r="842">
      <c r="A842" s="7" t="str">
        <f>IFERROR(__xludf.DUMMYFUNCTION("""COMPUTED_VALUE"""),"SOUTH AFRICA")</f>
        <v>SOUTH AFRICA</v>
      </c>
      <c r="B842" s="8">
        <f>IFERROR(__xludf.DUMMYFUNCTION("""COMPUTED_VALUE"""),8.0)</f>
        <v>8</v>
      </c>
      <c r="C842" s="7" t="str">
        <f>IFERROR(__xludf.DUMMYFUNCTION("""COMPUTED_VALUE"""),"K_07")</f>
        <v>K_07</v>
      </c>
      <c r="D842" s="7" t="str">
        <f>IFERROR(__xludf.DUMMYFUNCTION("""COMPUTED_VALUE"""),"Q62")</f>
        <v>Q62</v>
      </c>
      <c r="E842" s="7" t="str">
        <f>IFERROR(__xludf.DUMMYFUNCTION("""COMPUTED_VALUE"""),"Difficulty to move across borders")</f>
        <v>Difficulty to move across borders</v>
      </c>
      <c r="F842" s="7" t="str">
        <f>IFERROR(__xludf.DUMMYFUNCTION("""COMPUTED_VALUE"""),"Southern Africa")</f>
        <v>Southern Africa</v>
      </c>
    </row>
    <row r="843">
      <c r="A843" s="7" t="str">
        <f>IFERROR(__xludf.DUMMYFUNCTION("""COMPUTED_VALUE"""),"SUDAN")</f>
        <v>SUDAN</v>
      </c>
      <c r="B843" s="8">
        <f>IFERROR(__xludf.DUMMYFUNCTION("""COMPUTED_VALUE"""),8.0)</f>
        <v>8</v>
      </c>
      <c r="C843" s="7" t="str">
        <f>IFERROR(__xludf.DUMMYFUNCTION("""COMPUTED_VALUE"""),"K_07")</f>
        <v>K_07</v>
      </c>
      <c r="D843" s="7" t="str">
        <f>IFERROR(__xludf.DUMMYFUNCTION("""COMPUTED_VALUE"""),"Q62")</f>
        <v>Q62</v>
      </c>
      <c r="E843" s="7" t="str">
        <f>IFERROR(__xludf.DUMMYFUNCTION("""COMPUTED_VALUE"""),"Difficulty to move across borders")</f>
        <v>Difficulty to move across borders</v>
      </c>
      <c r="F843" s="7" t="str">
        <f>IFERROR(__xludf.DUMMYFUNCTION("""COMPUTED_VALUE"""),"North Africa")</f>
        <v>North Africa</v>
      </c>
    </row>
    <row r="844">
      <c r="A844" s="7" t="str">
        <f>IFERROR(__xludf.DUMMYFUNCTION("""COMPUTED_VALUE"""),"TANZANIA")</f>
        <v>TANZANIA</v>
      </c>
      <c r="B844" s="8">
        <f>IFERROR(__xludf.DUMMYFUNCTION("""COMPUTED_VALUE"""),8.0)</f>
        <v>8</v>
      </c>
      <c r="C844" s="7" t="str">
        <f>IFERROR(__xludf.DUMMYFUNCTION("""COMPUTED_VALUE"""),"K_07")</f>
        <v>K_07</v>
      </c>
      <c r="D844" s="7" t="str">
        <f>IFERROR(__xludf.DUMMYFUNCTION("""COMPUTED_VALUE"""),"Q62")</f>
        <v>Q62</v>
      </c>
      <c r="E844" s="7" t="str">
        <f>IFERROR(__xludf.DUMMYFUNCTION("""COMPUTED_VALUE"""),"Difficulty to move across borders")</f>
        <v>Difficulty to move across borders</v>
      </c>
      <c r="F844" s="7" t="str">
        <f>IFERROR(__xludf.DUMMYFUNCTION("""COMPUTED_VALUE"""),"East Africa")</f>
        <v>East Africa</v>
      </c>
    </row>
    <row r="845">
      <c r="A845" s="7" t="str">
        <f>IFERROR(__xludf.DUMMYFUNCTION("""COMPUTED_VALUE"""),"TUNISIA ")</f>
        <v>TUNISIA </v>
      </c>
      <c r="B845" s="8">
        <f>IFERROR(__xludf.DUMMYFUNCTION("""COMPUTED_VALUE"""),8.0)</f>
        <v>8</v>
      </c>
      <c r="C845" s="7" t="str">
        <f>IFERROR(__xludf.DUMMYFUNCTION("""COMPUTED_VALUE"""),"K_07")</f>
        <v>K_07</v>
      </c>
      <c r="D845" s="7" t="str">
        <f>IFERROR(__xludf.DUMMYFUNCTION("""COMPUTED_VALUE"""),"Q62")</f>
        <v>Q62</v>
      </c>
      <c r="E845" s="7" t="str">
        <f>IFERROR(__xludf.DUMMYFUNCTION("""COMPUTED_VALUE"""),"Difficulty to move across borders")</f>
        <v>Difficulty to move across borders</v>
      </c>
      <c r="F845" s="7" t="str">
        <f>IFERROR(__xludf.DUMMYFUNCTION("""COMPUTED_VALUE"""),"North Africa")</f>
        <v>North Africa</v>
      </c>
    </row>
    <row r="846">
      <c r="A846" s="7" t="str">
        <f>IFERROR(__xludf.DUMMYFUNCTION("""COMPUTED_VALUE"""),"UGANDA  ")</f>
        <v>UGANDA  </v>
      </c>
      <c r="B846" s="8">
        <f>IFERROR(__xludf.DUMMYFUNCTION("""COMPUTED_VALUE"""),8.0)</f>
        <v>8</v>
      </c>
      <c r="C846" s="7" t="str">
        <f>IFERROR(__xludf.DUMMYFUNCTION("""COMPUTED_VALUE"""),"K_07")</f>
        <v>K_07</v>
      </c>
      <c r="D846" s="7" t="str">
        <f>IFERROR(__xludf.DUMMYFUNCTION("""COMPUTED_VALUE"""),"Q62")</f>
        <v>Q62</v>
      </c>
      <c r="E846" s="7" t="str">
        <f>IFERROR(__xludf.DUMMYFUNCTION("""COMPUTED_VALUE"""),"Difficulty to move across borders")</f>
        <v>Difficulty to move across borders</v>
      </c>
      <c r="F846" s="7" t="str">
        <f>IFERROR(__xludf.DUMMYFUNCTION("""COMPUTED_VALUE"""),"East Africa")</f>
        <v>East Africa</v>
      </c>
    </row>
    <row r="847">
      <c r="A847" s="7" t="str">
        <f>IFERROR(__xludf.DUMMYFUNCTION("""COMPUTED_VALUE"""),"ZAMBIA")</f>
        <v>ZAMBIA</v>
      </c>
      <c r="B847" s="8">
        <f>IFERROR(__xludf.DUMMYFUNCTION("""COMPUTED_VALUE"""),8.0)</f>
        <v>8</v>
      </c>
      <c r="C847" s="7" t="str">
        <f>IFERROR(__xludf.DUMMYFUNCTION("""COMPUTED_VALUE"""),"K_07")</f>
        <v>K_07</v>
      </c>
      <c r="D847" s="7" t="str">
        <f>IFERROR(__xludf.DUMMYFUNCTION("""COMPUTED_VALUE"""),"Q62")</f>
        <v>Q62</v>
      </c>
      <c r="E847" s="7" t="str">
        <f>IFERROR(__xludf.DUMMYFUNCTION("""COMPUTED_VALUE"""),"Difficulty to move across borders")</f>
        <v>Difficulty to move across borders</v>
      </c>
      <c r="F847" s="7" t="str">
        <f>IFERROR(__xludf.DUMMYFUNCTION("""COMPUTED_VALUE"""),"Southern Africa")</f>
        <v>Southern Africa</v>
      </c>
    </row>
    <row r="848">
      <c r="A848" s="7" t="str">
        <f>IFERROR(__xludf.DUMMYFUNCTION("""COMPUTED_VALUE"""),"ZIMBABWE")</f>
        <v>ZIMBABWE</v>
      </c>
      <c r="B848" s="8">
        <f>IFERROR(__xludf.DUMMYFUNCTION("""COMPUTED_VALUE"""),8.0)</f>
        <v>8</v>
      </c>
      <c r="C848" s="7" t="str">
        <f>IFERROR(__xludf.DUMMYFUNCTION("""COMPUTED_VALUE"""),"K_07")</f>
        <v>K_07</v>
      </c>
      <c r="D848" s="7" t="str">
        <f>IFERROR(__xludf.DUMMYFUNCTION("""COMPUTED_VALUE"""),"Q62")</f>
        <v>Q62</v>
      </c>
      <c r="E848" s="7" t="str">
        <f>IFERROR(__xludf.DUMMYFUNCTION("""COMPUTED_VALUE"""),"Difficulty to move across borders")</f>
        <v>Difficulty to move across borders</v>
      </c>
      <c r="F848" s="7" t="str">
        <f>IFERROR(__xludf.DUMMYFUNCTION("""COMPUTED_VALUE"""),"Southern Africa")</f>
        <v>Southern Africa</v>
      </c>
    </row>
    <row r="849">
      <c r="A849" s="7" t="str">
        <f>IFERROR(__xludf.DUMMYFUNCTION("""COMPUTED_VALUE"""),"GHANA ")</f>
        <v>GHANA </v>
      </c>
      <c r="B849" s="8">
        <f>IFERROR(__xludf.DUMMYFUNCTION("""COMPUTED_VALUE"""),8.0)</f>
        <v>8</v>
      </c>
      <c r="C849" s="7" t="str">
        <f>IFERROR(__xludf.DUMMYFUNCTION("""COMPUTED_VALUE"""),"L_03")</f>
        <v>L_03</v>
      </c>
      <c r="D849" s="7" t="str">
        <f>IFERROR(__xludf.DUMMYFUNCTION("""COMPUTED_VALUE"""),"Q72b")</f>
        <v>Q72b</v>
      </c>
      <c r="E849" s="7" t="str">
        <f>IFERROR(__xludf.DUMMYFUNCTION("""COMPUTED_VALUE"""),"Climate change: affecting country")</f>
        <v>Climate change: affecting country</v>
      </c>
      <c r="F849" s="7" t="str">
        <f>IFERROR(__xludf.DUMMYFUNCTION("""COMPUTED_VALUE"""),"Ghana")</f>
        <v>Ghana</v>
      </c>
    </row>
    <row r="850">
      <c r="A850" s="7" t="str">
        <f>IFERROR(__xludf.DUMMYFUNCTION("""COMPUTED_VALUE"""),"KENYA  ")</f>
        <v>KENYA  </v>
      </c>
      <c r="B850" s="8">
        <f>IFERROR(__xludf.DUMMYFUNCTION("""COMPUTED_VALUE"""),8.0)</f>
        <v>8</v>
      </c>
      <c r="C850" s="7" t="str">
        <f>IFERROR(__xludf.DUMMYFUNCTION("""COMPUTED_VALUE"""),"L_03")</f>
        <v>L_03</v>
      </c>
      <c r="D850" s="7" t="str">
        <f>IFERROR(__xludf.DUMMYFUNCTION("""COMPUTED_VALUE"""),"Q72b")</f>
        <v>Q72b</v>
      </c>
      <c r="E850" s="7" t="str">
        <f>IFERROR(__xludf.DUMMYFUNCTION("""COMPUTED_VALUE"""),"Climate change: affecting country")</f>
        <v>Climate change: affecting country</v>
      </c>
      <c r="F850" s="7" t="str">
        <f>IFERROR(__xludf.DUMMYFUNCTION("""COMPUTED_VALUE"""),"Kenya")</f>
        <v>Kenya</v>
      </c>
    </row>
    <row r="851">
      <c r="A851" s="7" t="str">
        <f>IFERROR(__xludf.DUMMYFUNCTION("""COMPUTED_VALUE"""),"LESOTHO ")</f>
        <v>LESOTHO </v>
      </c>
      <c r="B851" s="8">
        <f>IFERROR(__xludf.DUMMYFUNCTION("""COMPUTED_VALUE"""),8.0)</f>
        <v>8</v>
      </c>
      <c r="C851" s="7" t="str">
        <f>IFERROR(__xludf.DUMMYFUNCTION("""COMPUTED_VALUE"""),"L_03")</f>
        <v>L_03</v>
      </c>
      <c r="D851" s="7" t="str">
        <f>IFERROR(__xludf.DUMMYFUNCTION("""COMPUTED_VALUE"""),"Q72b")</f>
        <v>Q72b</v>
      </c>
      <c r="E851" s="7" t="str">
        <f>IFERROR(__xludf.DUMMYFUNCTION("""COMPUTED_VALUE"""),"Climate change: affecting country")</f>
        <v>Climate change: affecting country</v>
      </c>
      <c r="F851" s="7" t="str">
        <f>IFERROR(__xludf.DUMMYFUNCTION("""COMPUTED_VALUE"""),"Lesotho")</f>
        <v>Lesotho</v>
      </c>
    </row>
    <row r="852">
      <c r="A852" s="7" t="str">
        <f>IFERROR(__xludf.DUMMYFUNCTION("""COMPUTED_VALUE"""),"LIBERIA  ")</f>
        <v>LIBERIA  </v>
      </c>
      <c r="B852" s="8">
        <f>IFERROR(__xludf.DUMMYFUNCTION("""COMPUTED_VALUE"""),8.0)</f>
        <v>8</v>
      </c>
      <c r="C852" s="7" t="str">
        <f>IFERROR(__xludf.DUMMYFUNCTION("""COMPUTED_VALUE"""),"L_03")</f>
        <v>L_03</v>
      </c>
      <c r="D852" s="7" t="str">
        <f>IFERROR(__xludf.DUMMYFUNCTION("""COMPUTED_VALUE"""),"Q72b")</f>
        <v>Q72b</v>
      </c>
      <c r="E852" s="7" t="str">
        <f>IFERROR(__xludf.DUMMYFUNCTION("""COMPUTED_VALUE"""),"Climate change: affecting country")</f>
        <v>Climate change: affecting country</v>
      </c>
      <c r="F852" s="7" t="str">
        <f>IFERROR(__xludf.DUMMYFUNCTION("""COMPUTED_VALUE"""),"Liberia")</f>
        <v>Liberia</v>
      </c>
    </row>
    <row r="853">
      <c r="A853" s="7" t="str">
        <f>IFERROR(__xludf.DUMMYFUNCTION("""COMPUTED_VALUE"""),"MALAWI ")</f>
        <v>MALAWI </v>
      </c>
      <c r="B853" s="8">
        <f>IFERROR(__xludf.DUMMYFUNCTION("""COMPUTED_VALUE"""),8.0)</f>
        <v>8</v>
      </c>
      <c r="C853" s="7" t="str">
        <f>IFERROR(__xludf.DUMMYFUNCTION("""COMPUTED_VALUE"""),"L_03")</f>
        <v>L_03</v>
      </c>
      <c r="D853" s="7" t="str">
        <f>IFERROR(__xludf.DUMMYFUNCTION("""COMPUTED_VALUE"""),"Q72b")</f>
        <v>Q72b</v>
      </c>
      <c r="E853" s="7" t="str">
        <f>IFERROR(__xludf.DUMMYFUNCTION("""COMPUTED_VALUE"""),"Climate change: affecting country")</f>
        <v>Climate change: affecting country</v>
      </c>
      <c r="F853" s="7" t="str">
        <f>IFERROR(__xludf.DUMMYFUNCTION("""COMPUTED_VALUE"""),"Malawi")</f>
        <v>Malawi</v>
      </c>
    </row>
    <row r="854">
      <c r="A854" s="7" t="str">
        <f>IFERROR(__xludf.DUMMYFUNCTION("""COMPUTED_VALUE"""),"MOROCCO ")</f>
        <v>MOROCCO </v>
      </c>
      <c r="B854" s="8">
        <f>IFERROR(__xludf.DUMMYFUNCTION("""COMPUTED_VALUE"""),8.0)</f>
        <v>8</v>
      </c>
      <c r="C854" s="7" t="str">
        <f>IFERROR(__xludf.DUMMYFUNCTION("""COMPUTED_VALUE"""),"L_03")</f>
        <v>L_03</v>
      </c>
      <c r="D854" s="7" t="str">
        <f>IFERROR(__xludf.DUMMYFUNCTION("""COMPUTED_VALUE"""),"Q72b")</f>
        <v>Q72b</v>
      </c>
      <c r="E854" s="7" t="str">
        <f>IFERROR(__xludf.DUMMYFUNCTION("""COMPUTED_VALUE"""),"Climate change: affecting country")</f>
        <v>Climate change: affecting country</v>
      </c>
      <c r="F854" s="7" t="str">
        <f>IFERROR(__xludf.DUMMYFUNCTION("""COMPUTED_VALUE"""),"Morocco")</f>
        <v>Morocco</v>
      </c>
    </row>
    <row r="855">
      <c r="A855" s="7" t="str">
        <f>IFERROR(__xludf.DUMMYFUNCTION("""COMPUTED_VALUE"""),"MOZAMBIQUE")</f>
        <v>MOZAMBIQUE</v>
      </c>
      <c r="B855" s="8">
        <f>IFERROR(__xludf.DUMMYFUNCTION("""COMPUTED_VALUE"""),8.0)</f>
        <v>8</v>
      </c>
      <c r="C855" s="7" t="str">
        <f>IFERROR(__xludf.DUMMYFUNCTION("""COMPUTED_VALUE"""),"L_03")</f>
        <v>L_03</v>
      </c>
      <c r="D855" s="7" t="str">
        <f>IFERROR(__xludf.DUMMYFUNCTION("""COMPUTED_VALUE"""),"Q72b")</f>
        <v>Q72b</v>
      </c>
      <c r="E855" s="7" t="str">
        <f>IFERROR(__xludf.DUMMYFUNCTION("""COMPUTED_VALUE"""),"Climate change: affecting country")</f>
        <v>Climate change: affecting country</v>
      </c>
      <c r="F855" s="7" t="str">
        <f>IFERROR(__xludf.DUMMYFUNCTION("""COMPUTED_VALUE"""),"Mozambique")</f>
        <v>Mozambique</v>
      </c>
    </row>
    <row r="856">
      <c r="A856" s="7" t="str">
        <f>IFERROR(__xludf.DUMMYFUNCTION("""COMPUTED_VALUE"""),"NAMIBIA ")</f>
        <v>NAMIBIA </v>
      </c>
      <c r="B856" s="8">
        <f>IFERROR(__xludf.DUMMYFUNCTION("""COMPUTED_VALUE"""),8.0)</f>
        <v>8</v>
      </c>
      <c r="C856" s="7" t="str">
        <f>IFERROR(__xludf.DUMMYFUNCTION("""COMPUTED_VALUE"""),"L_03")</f>
        <v>L_03</v>
      </c>
      <c r="D856" s="7" t="str">
        <f>IFERROR(__xludf.DUMMYFUNCTION("""COMPUTED_VALUE"""),"Q72b")</f>
        <v>Q72b</v>
      </c>
      <c r="E856" s="7" t="str">
        <f>IFERROR(__xludf.DUMMYFUNCTION("""COMPUTED_VALUE"""),"Climate change: affecting country")</f>
        <v>Climate change: affecting country</v>
      </c>
      <c r="F856" s="7" t="str">
        <f>IFERROR(__xludf.DUMMYFUNCTION("""COMPUTED_VALUE"""),"Namibia")</f>
        <v>Namibia</v>
      </c>
    </row>
    <row r="857">
      <c r="A857" s="7" t="str">
        <f>IFERROR(__xludf.DUMMYFUNCTION("""COMPUTED_VALUE"""),"NIGERIA ")</f>
        <v>NIGERIA </v>
      </c>
      <c r="B857" s="8">
        <f>IFERROR(__xludf.DUMMYFUNCTION("""COMPUTED_VALUE"""),8.0)</f>
        <v>8</v>
      </c>
      <c r="C857" s="7" t="str">
        <f>IFERROR(__xludf.DUMMYFUNCTION("""COMPUTED_VALUE"""),"L_03")</f>
        <v>L_03</v>
      </c>
      <c r="D857" s="7" t="str">
        <f>IFERROR(__xludf.DUMMYFUNCTION("""COMPUTED_VALUE"""),"Q72b")</f>
        <v>Q72b</v>
      </c>
      <c r="E857" s="7" t="str">
        <f>IFERROR(__xludf.DUMMYFUNCTION("""COMPUTED_VALUE"""),"Climate change: affecting country")</f>
        <v>Climate change: affecting country</v>
      </c>
      <c r="F857" s="7" t="str">
        <f>IFERROR(__xludf.DUMMYFUNCTION("""COMPUTED_VALUE"""),"Nigeria")</f>
        <v>Nigeria</v>
      </c>
    </row>
    <row r="858">
      <c r="A858" s="7" t="str">
        <f>IFERROR(__xludf.DUMMYFUNCTION("""COMPUTED_VALUE"""),"SIERRA LEONE")</f>
        <v>SIERRA LEONE</v>
      </c>
      <c r="B858" s="8">
        <f>IFERROR(__xludf.DUMMYFUNCTION("""COMPUTED_VALUE"""),8.0)</f>
        <v>8</v>
      </c>
      <c r="C858" s="7" t="str">
        <f>IFERROR(__xludf.DUMMYFUNCTION("""COMPUTED_VALUE"""),"L_03")</f>
        <v>L_03</v>
      </c>
      <c r="D858" s="7" t="str">
        <f>IFERROR(__xludf.DUMMYFUNCTION("""COMPUTED_VALUE"""),"Q72b")</f>
        <v>Q72b</v>
      </c>
      <c r="E858" s="7" t="str">
        <f>IFERROR(__xludf.DUMMYFUNCTION("""COMPUTED_VALUE"""),"Climate change: affecting country")</f>
        <v>Climate change: affecting country</v>
      </c>
      <c r="F858" s="7" t="str">
        <f>IFERROR(__xludf.DUMMYFUNCTION("""COMPUTED_VALUE"""),"Sierra Leone")</f>
        <v>Sierra Leone</v>
      </c>
    </row>
    <row r="859">
      <c r="A859" s="7" t="str">
        <f>IFERROR(__xludf.DUMMYFUNCTION("""COMPUTED_VALUE"""),"SOUTH AFRICA")</f>
        <v>SOUTH AFRICA</v>
      </c>
      <c r="B859" s="8">
        <f>IFERROR(__xludf.DUMMYFUNCTION("""COMPUTED_VALUE"""),8.0)</f>
        <v>8</v>
      </c>
      <c r="C859" s="7" t="str">
        <f>IFERROR(__xludf.DUMMYFUNCTION("""COMPUTED_VALUE"""),"L_03")</f>
        <v>L_03</v>
      </c>
      <c r="D859" s="7" t="str">
        <f>IFERROR(__xludf.DUMMYFUNCTION("""COMPUTED_VALUE"""),"Q72b")</f>
        <v>Q72b</v>
      </c>
      <c r="E859" s="7" t="str">
        <f>IFERROR(__xludf.DUMMYFUNCTION("""COMPUTED_VALUE"""),"Climate change: affecting country")</f>
        <v>Climate change: affecting country</v>
      </c>
      <c r="F859" s="7" t="str">
        <f>IFERROR(__xludf.DUMMYFUNCTION("""COMPUTED_VALUE"""),"South Africa")</f>
        <v>South Africa</v>
      </c>
    </row>
    <row r="860">
      <c r="A860" s="7" t="str">
        <f>IFERROR(__xludf.DUMMYFUNCTION("""COMPUTED_VALUE"""),"SUDAN")</f>
        <v>SUDAN</v>
      </c>
      <c r="B860" s="8">
        <f>IFERROR(__xludf.DUMMYFUNCTION("""COMPUTED_VALUE"""),8.0)</f>
        <v>8</v>
      </c>
      <c r="C860" s="7" t="str">
        <f>IFERROR(__xludf.DUMMYFUNCTION("""COMPUTED_VALUE"""),"L_03")</f>
        <v>L_03</v>
      </c>
      <c r="D860" s="7" t="str">
        <f>IFERROR(__xludf.DUMMYFUNCTION("""COMPUTED_VALUE"""),"Q72b")</f>
        <v>Q72b</v>
      </c>
      <c r="E860" s="7" t="str">
        <f>IFERROR(__xludf.DUMMYFUNCTION("""COMPUTED_VALUE"""),"Climate change: affecting country")</f>
        <v>Climate change: affecting country</v>
      </c>
      <c r="F860" s="7" t="str">
        <f>IFERROR(__xludf.DUMMYFUNCTION("""COMPUTED_VALUE"""),"Sudan")</f>
        <v>Sudan</v>
      </c>
    </row>
    <row r="861">
      <c r="A861" s="7" t="str">
        <f>IFERROR(__xludf.DUMMYFUNCTION("""COMPUTED_VALUE"""),"TANZANIA")</f>
        <v>TANZANIA</v>
      </c>
      <c r="B861" s="8">
        <f>IFERROR(__xludf.DUMMYFUNCTION("""COMPUTED_VALUE"""),8.0)</f>
        <v>8</v>
      </c>
      <c r="C861" s="7" t="str">
        <f>IFERROR(__xludf.DUMMYFUNCTION("""COMPUTED_VALUE"""),"L_03")</f>
        <v>L_03</v>
      </c>
      <c r="D861" s="7" t="str">
        <f>IFERROR(__xludf.DUMMYFUNCTION("""COMPUTED_VALUE"""),"Q72b")</f>
        <v>Q72b</v>
      </c>
      <c r="E861" s="7" t="str">
        <f>IFERROR(__xludf.DUMMYFUNCTION("""COMPUTED_VALUE"""),"Climate change: affecting country")</f>
        <v>Climate change: affecting country</v>
      </c>
      <c r="F861" s="7" t="str">
        <f>IFERROR(__xludf.DUMMYFUNCTION("""COMPUTED_VALUE"""),"Tanzania")</f>
        <v>Tanzania</v>
      </c>
    </row>
    <row r="862">
      <c r="A862" s="7" t="str">
        <f>IFERROR(__xludf.DUMMYFUNCTION("""COMPUTED_VALUE"""),"TUNISIA ")</f>
        <v>TUNISIA </v>
      </c>
      <c r="B862" s="8">
        <f>IFERROR(__xludf.DUMMYFUNCTION("""COMPUTED_VALUE"""),8.0)</f>
        <v>8</v>
      </c>
      <c r="C862" s="7" t="str">
        <f>IFERROR(__xludf.DUMMYFUNCTION("""COMPUTED_VALUE"""),"L_03")</f>
        <v>L_03</v>
      </c>
      <c r="D862" s="7" t="str">
        <f>IFERROR(__xludf.DUMMYFUNCTION("""COMPUTED_VALUE"""),"Q72b")</f>
        <v>Q72b</v>
      </c>
      <c r="E862" s="7" t="str">
        <f>IFERROR(__xludf.DUMMYFUNCTION("""COMPUTED_VALUE"""),"Climate change: affecting country")</f>
        <v>Climate change: affecting country</v>
      </c>
      <c r="F862" s="7" t="str">
        <f>IFERROR(__xludf.DUMMYFUNCTION("""COMPUTED_VALUE"""),"Tunisia")</f>
        <v>Tunisia</v>
      </c>
    </row>
    <row r="863">
      <c r="A863" s="7" t="str">
        <f>IFERROR(__xludf.DUMMYFUNCTION("""COMPUTED_VALUE"""),"UGANDA  ")</f>
        <v>UGANDA  </v>
      </c>
      <c r="B863" s="8">
        <f>IFERROR(__xludf.DUMMYFUNCTION("""COMPUTED_VALUE"""),8.0)</f>
        <v>8</v>
      </c>
      <c r="C863" s="7" t="str">
        <f>IFERROR(__xludf.DUMMYFUNCTION("""COMPUTED_VALUE"""),"L_03")</f>
        <v>L_03</v>
      </c>
      <c r="D863" s="7" t="str">
        <f>IFERROR(__xludf.DUMMYFUNCTION("""COMPUTED_VALUE"""),"Q72b")</f>
        <v>Q72b</v>
      </c>
      <c r="E863" s="7" t="str">
        <f>IFERROR(__xludf.DUMMYFUNCTION("""COMPUTED_VALUE"""),"Climate change: affecting country")</f>
        <v>Climate change: affecting country</v>
      </c>
      <c r="F863" s="7" t="str">
        <f>IFERROR(__xludf.DUMMYFUNCTION("""COMPUTED_VALUE"""),"Uganda")</f>
        <v>Uganda</v>
      </c>
    </row>
    <row r="864">
      <c r="A864" s="7" t="str">
        <f>IFERROR(__xludf.DUMMYFUNCTION("""COMPUTED_VALUE"""),"ZAMBIA")</f>
        <v>ZAMBIA</v>
      </c>
      <c r="B864" s="8">
        <f>IFERROR(__xludf.DUMMYFUNCTION("""COMPUTED_VALUE"""),8.0)</f>
        <v>8</v>
      </c>
      <c r="C864" s="7" t="str">
        <f>IFERROR(__xludf.DUMMYFUNCTION("""COMPUTED_VALUE"""),"L_03")</f>
        <v>L_03</v>
      </c>
      <c r="D864" s="7" t="str">
        <f>IFERROR(__xludf.DUMMYFUNCTION("""COMPUTED_VALUE"""),"Q72b")</f>
        <v>Q72b</v>
      </c>
      <c r="E864" s="7" t="str">
        <f>IFERROR(__xludf.DUMMYFUNCTION("""COMPUTED_VALUE"""),"Climate change: affecting country")</f>
        <v>Climate change: affecting country</v>
      </c>
      <c r="F864" s="7" t="str">
        <f>IFERROR(__xludf.DUMMYFUNCTION("""COMPUTED_VALUE"""),"Zambia")</f>
        <v>Zambia</v>
      </c>
    </row>
    <row r="865">
      <c r="A865" s="7" t="str">
        <f>IFERROR(__xludf.DUMMYFUNCTION("""COMPUTED_VALUE"""),"ZIMBABWE")</f>
        <v>ZIMBABWE</v>
      </c>
      <c r="B865" s="8">
        <f>IFERROR(__xludf.DUMMYFUNCTION("""COMPUTED_VALUE"""),8.0)</f>
        <v>8</v>
      </c>
      <c r="C865" s="7" t="str">
        <f>IFERROR(__xludf.DUMMYFUNCTION("""COMPUTED_VALUE"""),"L_03")</f>
        <v>L_03</v>
      </c>
      <c r="D865" s="7" t="str">
        <f>IFERROR(__xludf.DUMMYFUNCTION("""COMPUTED_VALUE"""),"Q72b")</f>
        <v>Q72b</v>
      </c>
      <c r="E865" s="7" t="str">
        <f>IFERROR(__xludf.DUMMYFUNCTION("""COMPUTED_VALUE"""),"Climate change: affecting country")</f>
        <v>Climate change: affecting country</v>
      </c>
      <c r="F865" s="7" t="str">
        <f>IFERROR(__xludf.DUMMYFUNCTION("""COMPUTED_VALUE"""),"Zimbabwe")</f>
        <v>Zimbabwe</v>
      </c>
    </row>
    <row r="866">
      <c r="A866" s="7" t="str">
        <f>IFERROR(__xludf.DUMMYFUNCTION("""COMPUTED_VALUE"""),"GHANA ")</f>
        <v>GHANA </v>
      </c>
      <c r="B866" s="8">
        <f>IFERROR(__xludf.DUMMYFUNCTION("""COMPUTED_VALUE"""),8.0)</f>
        <v>8</v>
      </c>
      <c r="C866" s="7" t="str">
        <f>IFERROR(__xludf.DUMMYFUNCTION("""COMPUTED_VALUE"""),"N_05")</f>
        <v>N_05</v>
      </c>
      <c r="D866" s="7" t="str">
        <f>IFERROR(__xludf.DUMMYFUNCTION("""COMPUTED_VALUE"""),"Q82b")</f>
        <v>Q82b</v>
      </c>
      <c r="E866" s="7" t="str">
        <f>IFERROR(__xludf.DUMMYFUNCTION("""COMPUTED_VALUE"""),"Ethnic or national identity")</f>
        <v>Ethnic or national identity</v>
      </c>
      <c r="F866" s="7" t="str">
        <f>IFERROR(__xludf.DUMMYFUNCTION("""COMPUTED_VALUE"""),"Ghanaian")</f>
        <v>Ghanaian</v>
      </c>
    </row>
    <row r="867">
      <c r="A867" s="7" t="str">
        <f>IFERROR(__xludf.DUMMYFUNCTION("""COMPUTED_VALUE"""),"KENYA  ")</f>
        <v>KENYA  </v>
      </c>
      <c r="B867" s="8">
        <f>IFERROR(__xludf.DUMMYFUNCTION("""COMPUTED_VALUE"""),8.0)</f>
        <v>8</v>
      </c>
      <c r="C867" s="7" t="str">
        <f>IFERROR(__xludf.DUMMYFUNCTION("""COMPUTED_VALUE"""),"N_05")</f>
        <v>N_05</v>
      </c>
      <c r="D867" s="7" t="str">
        <f>IFERROR(__xludf.DUMMYFUNCTION("""COMPUTED_VALUE"""),"Q82b")</f>
        <v>Q82b</v>
      </c>
      <c r="E867" s="7" t="str">
        <f>IFERROR(__xludf.DUMMYFUNCTION("""COMPUTED_VALUE"""),"Ethnic or national identity")</f>
        <v>Ethnic or national identity</v>
      </c>
      <c r="F867" s="7" t="str">
        <f>IFERROR(__xludf.DUMMYFUNCTION("""COMPUTED_VALUE"""),"Kenyan")</f>
        <v>Kenyan</v>
      </c>
    </row>
    <row r="868">
      <c r="A868" s="7" t="str">
        <f>IFERROR(__xludf.DUMMYFUNCTION("""COMPUTED_VALUE"""),"LESOTHO ")</f>
        <v>LESOTHO </v>
      </c>
      <c r="B868" s="8">
        <f>IFERROR(__xludf.DUMMYFUNCTION("""COMPUTED_VALUE"""),8.0)</f>
        <v>8</v>
      </c>
      <c r="C868" s="7" t="str">
        <f>IFERROR(__xludf.DUMMYFUNCTION("""COMPUTED_VALUE"""),"N_05")</f>
        <v>N_05</v>
      </c>
      <c r="D868" s="7" t="str">
        <f>IFERROR(__xludf.DUMMYFUNCTION("""COMPUTED_VALUE"""),"Q82b")</f>
        <v>Q82b</v>
      </c>
      <c r="E868" s="7" t="str">
        <f>IFERROR(__xludf.DUMMYFUNCTION("""COMPUTED_VALUE"""),"Ethnic or national identity")</f>
        <v>Ethnic or national identity</v>
      </c>
      <c r="F868" s="7" t="str">
        <f>IFERROR(__xludf.DUMMYFUNCTION("""COMPUTED_VALUE"""),"Mosotho")</f>
        <v>Mosotho</v>
      </c>
    </row>
    <row r="869">
      <c r="A869" s="7" t="str">
        <f>IFERROR(__xludf.DUMMYFUNCTION("""COMPUTED_VALUE"""),"LIBERIA  ")</f>
        <v>LIBERIA  </v>
      </c>
      <c r="B869" s="8">
        <f>IFERROR(__xludf.DUMMYFUNCTION("""COMPUTED_VALUE"""),8.0)</f>
        <v>8</v>
      </c>
      <c r="C869" s="7" t="str">
        <f>IFERROR(__xludf.DUMMYFUNCTION("""COMPUTED_VALUE"""),"N_05")</f>
        <v>N_05</v>
      </c>
      <c r="D869" s="7" t="str">
        <f>IFERROR(__xludf.DUMMYFUNCTION("""COMPUTED_VALUE"""),"Q82b")</f>
        <v>Q82b</v>
      </c>
      <c r="E869" s="7" t="str">
        <f>IFERROR(__xludf.DUMMYFUNCTION("""COMPUTED_VALUE"""),"Ethnic or national identity")</f>
        <v>Ethnic or national identity</v>
      </c>
      <c r="F869" s="7" t="str">
        <f>IFERROR(__xludf.DUMMYFUNCTION("""COMPUTED_VALUE"""),"Liberian")</f>
        <v>Liberian</v>
      </c>
    </row>
    <row r="870">
      <c r="A870" s="7" t="str">
        <f>IFERROR(__xludf.DUMMYFUNCTION("""COMPUTED_VALUE"""),"MALAWI ")</f>
        <v>MALAWI </v>
      </c>
      <c r="B870" s="8">
        <f>IFERROR(__xludf.DUMMYFUNCTION("""COMPUTED_VALUE"""),8.0)</f>
        <v>8</v>
      </c>
      <c r="C870" s="7" t="str">
        <f>IFERROR(__xludf.DUMMYFUNCTION("""COMPUTED_VALUE"""),"N_05")</f>
        <v>N_05</v>
      </c>
      <c r="D870" s="7" t="str">
        <f>IFERROR(__xludf.DUMMYFUNCTION("""COMPUTED_VALUE"""),"Q82b")</f>
        <v>Q82b</v>
      </c>
      <c r="E870" s="7" t="str">
        <f>IFERROR(__xludf.DUMMYFUNCTION("""COMPUTED_VALUE"""),"Ethnic or national identity")</f>
        <v>Ethnic or national identity</v>
      </c>
      <c r="F870" s="7" t="str">
        <f>IFERROR(__xludf.DUMMYFUNCTION("""COMPUTED_VALUE"""),"Malawian")</f>
        <v>Malawian</v>
      </c>
    </row>
    <row r="871">
      <c r="A871" s="7" t="str">
        <f>IFERROR(__xludf.DUMMYFUNCTION("""COMPUTED_VALUE"""),"MOROCCO ")</f>
        <v>MOROCCO </v>
      </c>
      <c r="B871" s="8">
        <f>IFERROR(__xludf.DUMMYFUNCTION("""COMPUTED_VALUE"""),8.0)</f>
        <v>8</v>
      </c>
      <c r="C871" s="7" t="str">
        <f>IFERROR(__xludf.DUMMYFUNCTION("""COMPUTED_VALUE"""),"N_05")</f>
        <v>N_05</v>
      </c>
      <c r="D871" s="7" t="str">
        <f>IFERROR(__xludf.DUMMYFUNCTION("""COMPUTED_VALUE"""),"Q82b")</f>
        <v>Q82b</v>
      </c>
      <c r="E871" s="7" t="str">
        <f>IFERROR(__xludf.DUMMYFUNCTION("""COMPUTED_VALUE"""),"Ethnic or national identity")</f>
        <v>Ethnic or national identity</v>
      </c>
      <c r="F871" s="7" t="str">
        <f>IFERROR(__xludf.DUMMYFUNCTION("""COMPUTED_VALUE"""),"Moroccan")</f>
        <v>Moroccan</v>
      </c>
    </row>
    <row r="872">
      <c r="A872" s="7" t="str">
        <f>IFERROR(__xludf.DUMMYFUNCTION("""COMPUTED_VALUE"""),"MOZAMBIQUE")</f>
        <v>MOZAMBIQUE</v>
      </c>
      <c r="B872" s="8">
        <f>IFERROR(__xludf.DUMMYFUNCTION("""COMPUTED_VALUE"""),8.0)</f>
        <v>8</v>
      </c>
      <c r="C872" s="7" t="str">
        <f>IFERROR(__xludf.DUMMYFUNCTION("""COMPUTED_VALUE"""),"N_05")</f>
        <v>N_05</v>
      </c>
      <c r="D872" s="7" t="str">
        <f>IFERROR(__xludf.DUMMYFUNCTION("""COMPUTED_VALUE"""),"Q82b")</f>
        <v>Q82b</v>
      </c>
      <c r="E872" s="7" t="str">
        <f>IFERROR(__xludf.DUMMYFUNCTION("""COMPUTED_VALUE"""),"Ethnic or national identity")</f>
        <v>Ethnic or national identity</v>
      </c>
      <c r="F872" s="7" t="str">
        <f>IFERROR(__xludf.DUMMYFUNCTION("""COMPUTED_VALUE"""),"Mozambican")</f>
        <v>Mozambican</v>
      </c>
    </row>
    <row r="873">
      <c r="A873" s="7" t="str">
        <f>IFERROR(__xludf.DUMMYFUNCTION("""COMPUTED_VALUE"""),"NAMIBIA ")</f>
        <v>NAMIBIA </v>
      </c>
      <c r="B873" s="8">
        <f>IFERROR(__xludf.DUMMYFUNCTION("""COMPUTED_VALUE"""),8.0)</f>
        <v>8</v>
      </c>
      <c r="C873" s="7" t="str">
        <f>IFERROR(__xludf.DUMMYFUNCTION("""COMPUTED_VALUE"""),"N_05")</f>
        <v>N_05</v>
      </c>
      <c r="D873" s="7" t="str">
        <f>IFERROR(__xludf.DUMMYFUNCTION("""COMPUTED_VALUE"""),"Q82b")</f>
        <v>Q82b</v>
      </c>
      <c r="E873" s="7" t="str">
        <f>IFERROR(__xludf.DUMMYFUNCTION("""COMPUTED_VALUE"""),"Ethnic or national identity")</f>
        <v>Ethnic or national identity</v>
      </c>
      <c r="F873" s="7" t="str">
        <f>IFERROR(__xludf.DUMMYFUNCTION("""COMPUTED_VALUE"""),"Namibian")</f>
        <v>Namibian</v>
      </c>
    </row>
    <row r="874">
      <c r="A874" s="7" t="str">
        <f>IFERROR(__xludf.DUMMYFUNCTION("""COMPUTED_VALUE"""),"NIGERIA ")</f>
        <v>NIGERIA </v>
      </c>
      <c r="B874" s="8">
        <f>IFERROR(__xludf.DUMMYFUNCTION("""COMPUTED_VALUE"""),8.0)</f>
        <v>8</v>
      </c>
      <c r="C874" s="7" t="str">
        <f>IFERROR(__xludf.DUMMYFUNCTION("""COMPUTED_VALUE"""),"N_05")</f>
        <v>N_05</v>
      </c>
      <c r="D874" s="7" t="str">
        <f>IFERROR(__xludf.DUMMYFUNCTION("""COMPUTED_VALUE"""),"Q82b")</f>
        <v>Q82b</v>
      </c>
      <c r="E874" s="7" t="str">
        <f>IFERROR(__xludf.DUMMYFUNCTION("""COMPUTED_VALUE"""),"Ethnic or national identity")</f>
        <v>Ethnic or national identity</v>
      </c>
      <c r="F874" s="7" t="str">
        <f>IFERROR(__xludf.DUMMYFUNCTION("""COMPUTED_VALUE"""),"Nigerian")</f>
        <v>Nigerian</v>
      </c>
    </row>
    <row r="875">
      <c r="A875" s="7" t="str">
        <f>IFERROR(__xludf.DUMMYFUNCTION("""COMPUTED_VALUE"""),"SIERRA LEONE")</f>
        <v>SIERRA LEONE</v>
      </c>
      <c r="B875" s="8">
        <f>IFERROR(__xludf.DUMMYFUNCTION("""COMPUTED_VALUE"""),8.0)</f>
        <v>8</v>
      </c>
      <c r="C875" s="7" t="str">
        <f>IFERROR(__xludf.DUMMYFUNCTION("""COMPUTED_VALUE"""),"N_05")</f>
        <v>N_05</v>
      </c>
      <c r="D875" s="7" t="str">
        <f>IFERROR(__xludf.DUMMYFUNCTION("""COMPUTED_VALUE"""),"Q82b")</f>
        <v>Q82b</v>
      </c>
      <c r="E875" s="7" t="str">
        <f>IFERROR(__xludf.DUMMYFUNCTION("""COMPUTED_VALUE"""),"Ethnic or national identity")</f>
        <v>Ethnic or national identity</v>
      </c>
      <c r="F875" s="7" t="str">
        <f>IFERROR(__xludf.DUMMYFUNCTION("""COMPUTED_VALUE"""),"Sierra Leonean")</f>
        <v>Sierra Leonean</v>
      </c>
    </row>
    <row r="876">
      <c r="A876" s="7" t="str">
        <f>IFERROR(__xludf.DUMMYFUNCTION("""COMPUTED_VALUE"""),"SOUTH AFRICA")</f>
        <v>SOUTH AFRICA</v>
      </c>
      <c r="B876" s="8">
        <f>IFERROR(__xludf.DUMMYFUNCTION("""COMPUTED_VALUE"""),8.0)</f>
        <v>8</v>
      </c>
      <c r="C876" s="7" t="str">
        <f>IFERROR(__xludf.DUMMYFUNCTION("""COMPUTED_VALUE"""),"N_05")</f>
        <v>N_05</v>
      </c>
      <c r="D876" s="7" t="str">
        <f>IFERROR(__xludf.DUMMYFUNCTION("""COMPUTED_VALUE"""),"Q82b")</f>
        <v>Q82b</v>
      </c>
      <c r="E876" s="7" t="str">
        <f>IFERROR(__xludf.DUMMYFUNCTION("""COMPUTED_VALUE"""),"Ethnic or national identity")</f>
        <v>Ethnic or national identity</v>
      </c>
      <c r="F876" s="7" t="str">
        <f>IFERROR(__xludf.DUMMYFUNCTION("""COMPUTED_VALUE"""),"South African")</f>
        <v>South African</v>
      </c>
    </row>
    <row r="877">
      <c r="A877" s="7" t="str">
        <f>IFERROR(__xludf.DUMMYFUNCTION("""COMPUTED_VALUE"""),"TANZANIA")</f>
        <v>TANZANIA</v>
      </c>
      <c r="B877" s="8">
        <f>IFERROR(__xludf.DUMMYFUNCTION("""COMPUTED_VALUE"""),8.0)</f>
        <v>8</v>
      </c>
      <c r="C877" s="7" t="str">
        <f>IFERROR(__xludf.DUMMYFUNCTION("""COMPUTED_VALUE"""),"N_05")</f>
        <v>N_05</v>
      </c>
      <c r="D877" s="7" t="str">
        <f>IFERROR(__xludf.DUMMYFUNCTION("""COMPUTED_VALUE"""),"Q82b")</f>
        <v>Q82b</v>
      </c>
      <c r="E877" s="7" t="str">
        <f>IFERROR(__xludf.DUMMYFUNCTION("""COMPUTED_VALUE"""),"Ethnic or national identity")</f>
        <v>Ethnic or national identity</v>
      </c>
      <c r="F877" s="7" t="str">
        <f>IFERROR(__xludf.DUMMYFUNCTION("""COMPUTED_VALUE"""),"Tanzanian")</f>
        <v>Tanzanian</v>
      </c>
    </row>
    <row r="878">
      <c r="A878" s="7" t="str">
        <f>IFERROR(__xludf.DUMMYFUNCTION("""COMPUTED_VALUE"""),"TUNISIA ")</f>
        <v>TUNISIA </v>
      </c>
      <c r="B878" s="8">
        <f>IFERROR(__xludf.DUMMYFUNCTION("""COMPUTED_VALUE"""),8.0)</f>
        <v>8</v>
      </c>
      <c r="C878" s="7" t="str">
        <f>IFERROR(__xludf.DUMMYFUNCTION("""COMPUTED_VALUE"""),"N_05")</f>
        <v>N_05</v>
      </c>
      <c r="D878" s="7" t="str">
        <f>IFERROR(__xludf.DUMMYFUNCTION("""COMPUTED_VALUE"""),"Q82b")</f>
        <v>Q82b</v>
      </c>
      <c r="E878" s="7" t="str">
        <f>IFERROR(__xludf.DUMMYFUNCTION("""COMPUTED_VALUE"""),"Ethnic or national identity")</f>
        <v>Ethnic or national identity</v>
      </c>
      <c r="F878" s="7" t="str">
        <f>IFERROR(__xludf.DUMMYFUNCTION("""COMPUTED_VALUE"""),"Tunisians")</f>
        <v>Tunisians</v>
      </c>
    </row>
    <row r="879">
      <c r="A879" s="7" t="str">
        <f>IFERROR(__xludf.DUMMYFUNCTION("""COMPUTED_VALUE"""),"UGANDA  ")</f>
        <v>UGANDA  </v>
      </c>
      <c r="B879" s="8">
        <f>IFERROR(__xludf.DUMMYFUNCTION("""COMPUTED_VALUE"""),8.0)</f>
        <v>8</v>
      </c>
      <c r="C879" s="7" t="str">
        <f>IFERROR(__xludf.DUMMYFUNCTION("""COMPUTED_VALUE"""),"N_05")</f>
        <v>N_05</v>
      </c>
      <c r="D879" s="7" t="str">
        <f>IFERROR(__xludf.DUMMYFUNCTION("""COMPUTED_VALUE"""),"Q82b")</f>
        <v>Q82b</v>
      </c>
      <c r="E879" s="7" t="str">
        <f>IFERROR(__xludf.DUMMYFUNCTION("""COMPUTED_VALUE"""),"Ethnic or national identity")</f>
        <v>Ethnic or national identity</v>
      </c>
      <c r="F879" s="7" t="str">
        <f>IFERROR(__xludf.DUMMYFUNCTION("""COMPUTED_VALUE"""),"Ugandan")</f>
        <v>Ugandan</v>
      </c>
    </row>
    <row r="880">
      <c r="A880" s="7" t="str">
        <f>IFERROR(__xludf.DUMMYFUNCTION("""COMPUTED_VALUE"""),"ZAMBIA")</f>
        <v>ZAMBIA</v>
      </c>
      <c r="B880" s="8">
        <f>IFERROR(__xludf.DUMMYFUNCTION("""COMPUTED_VALUE"""),8.0)</f>
        <v>8</v>
      </c>
      <c r="C880" s="7" t="str">
        <f>IFERROR(__xludf.DUMMYFUNCTION("""COMPUTED_VALUE"""),"N_05")</f>
        <v>N_05</v>
      </c>
      <c r="D880" s="7" t="str">
        <f>IFERROR(__xludf.DUMMYFUNCTION("""COMPUTED_VALUE"""),"Q82b")</f>
        <v>Q82b</v>
      </c>
      <c r="E880" s="7" t="str">
        <f>IFERROR(__xludf.DUMMYFUNCTION("""COMPUTED_VALUE"""),"Ethnic or national identity")</f>
        <v>Ethnic or national identity</v>
      </c>
      <c r="F880" s="7" t="str">
        <f>IFERROR(__xludf.DUMMYFUNCTION("""COMPUTED_VALUE"""),"Zambian")</f>
        <v>Zambian</v>
      </c>
    </row>
    <row r="881">
      <c r="A881" s="7" t="str">
        <f>IFERROR(__xludf.DUMMYFUNCTION("""COMPUTED_VALUE"""),"ZIMBABWE")</f>
        <v>ZIMBABWE</v>
      </c>
      <c r="B881" s="8">
        <f>IFERROR(__xludf.DUMMYFUNCTION("""COMPUTED_VALUE"""),8.0)</f>
        <v>8</v>
      </c>
      <c r="C881" s="7" t="str">
        <f>IFERROR(__xludf.DUMMYFUNCTION("""COMPUTED_VALUE"""),"N_05")</f>
        <v>N_05</v>
      </c>
      <c r="D881" s="7" t="str">
        <f>IFERROR(__xludf.DUMMYFUNCTION("""COMPUTED_VALUE"""),"Q82b")</f>
        <v>Q82b</v>
      </c>
      <c r="E881" s="7" t="str">
        <f>IFERROR(__xludf.DUMMYFUNCTION("""COMPUTED_VALUE"""),"Ethnic or national identity")</f>
        <v>Ethnic or national identity</v>
      </c>
      <c r="F881" s="7" t="str">
        <f>IFERROR(__xludf.DUMMYFUNCTION("""COMPUTED_VALUE"""),"Zimbabwean")</f>
        <v>Zimbabwean</v>
      </c>
    </row>
    <row r="882">
      <c r="A882" s="7" t="str">
        <f>IFERROR(__xludf.DUMMYFUNCTION("""COMPUTED_VALUE"""),"BOTSWANA ")</f>
        <v>BOTSWANA </v>
      </c>
      <c r="B882" s="8">
        <f>IFERROR(__xludf.DUMMYFUNCTION("""COMPUTED_VALUE"""),8.0)</f>
        <v>8</v>
      </c>
      <c r="C882" s="7" t="str">
        <f>IFERROR(__xludf.DUMMYFUNCTION("""COMPUTED_VALUE"""),"D_12")</f>
        <v>D_12</v>
      </c>
      <c r="D882" s="7" t="str">
        <f>IFERROR(__xludf.DUMMYFUNCTION("""COMPUTED_VALUE"""),"Q94a")</f>
        <v>Q94a</v>
      </c>
      <c r="E882" s="7" t="str">
        <f>IFERROR(__xludf.DUMMYFUNCTION("""COMPUTED_VALUE"""),"Electric connection from mains")</f>
        <v>Electric connection from mains</v>
      </c>
      <c r="F882" s="7" t="str">
        <f>IFERROR(__xludf.DUMMYFUNCTION("""COMPUTED_VALUE"""),"Botswana power corporation")</f>
        <v>Botswana power corporation</v>
      </c>
    </row>
    <row r="883">
      <c r="A883" s="7" t="str">
        <f>IFERROR(__xludf.DUMMYFUNCTION("""COMPUTED_VALUE"""),"CABO VERDE ")</f>
        <v>CABO VERDE </v>
      </c>
      <c r="B883" s="8">
        <f>IFERROR(__xludf.DUMMYFUNCTION("""COMPUTED_VALUE"""),8.0)</f>
        <v>8</v>
      </c>
      <c r="C883" s="7" t="str">
        <f>IFERROR(__xludf.DUMMYFUNCTION("""COMPUTED_VALUE"""),"D_12")</f>
        <v>D_12</v>
      </c>
      <c r="D883" s="7" t="str">
        <f>IFERROR(__xludf.DUMMYFUNCTION("""COMPUTED_VALUE"""),"Q94a")</f>
        <v>Q94a</v>
      </c>
      <c r="E883" s="7" t="str">
        <f>IFERROR(__xludf.DUMMYFUNCTION("""COMPUTED_VALUE"""),"Electric connection from mains")</f>
        <v>Electric connection from mains</v>
      </c>
      <c r="F883" s="7" t="str">
        <f>IFERROR(__xludf.DUMMYFUNCTION("""COMPUTED_VALUE"""),"Electra")</f>
        <v>Electra</v>
      </c>
    </row>
    <row r="884">
      <c r="A884" s="7" t="str">
        <f>IFERROR(__xludf.DUMMYFUNCTION("""COMPUTED_VALUE"""),"CAMEROON")</f>
        <v>CAMEROON</v>
      </c>
      <c r="B884" s="8">
        <f>IFERROR(__xludf.DUMMYFUNCTION("""COMPUTED_VALUE"""),8.0)</f>
        <v>8</v>
      </c>
      <c r="C884" s="7" t="str">
        <f>IFERROR(__xludf.DUMMYFUNCTION("""COMPUTED_VALUE"""),"D_12")</f>
        <v>D_12</v>
      </c>
      <c r="D884" s="7" t="str">
        <f>IFERROR(__xludf.DUMMYFUNCTION("""COMPUTED_VALUE"""),"Q94a")</f>
        <v>Q94a</v>
      </c>
      <c r="E884" s="7" t="str">
        <f>IFERROR(__xludf.DUMMYFUNCTION("""COMPUTED_VALUE"""),"Electric connection from mains")</f>
        <v>Electric connection from mains</v>
      </c>
      <c r="F884" s="7" t="str">
        <f>IFERROR(__xludf.DUMMYFUNCTION("""COMPUTED_VALUE"""),"Eneo Cameroon")</f>
        <v>Eneo Cameroon</v>
      </c>
    </row>
    <row r="885">
      <c r="A885" s="7" t="str">
        <f>IFERROR(__xludf.DUMMYFUNCTION("""COMPUTED_VALUE"""),"ESWATINI")</f>
        <v>ESWATINI</v>
      </c>
      <c r="B885" s="8">
        <f>IFERROR(__xludf.DUMMYFUNCTION("""COMPUTED_VALUE"""),8.0)</f>
        <v>8</v>
      </c>
      <c r="C885" s="7" t="str">
        <f>IFERROR(__xludf.DUMMYFUNCTION("""COMPUTED_VALUE"""),"D_12")</f>
        <v>D_12</v>
      </c>
      <c r="D885" s="7" t="str">
        <f>IFERROR(__xludf.DUMMYFUNCTION("""COMPUTED_VALUE"""),"Q94a")</f>
        <v>Q94a</v>
      </c>
      <c r="E885" s="7" t="str">
        <f>IFERROR(__xludf.DUMMYFUNCTION("""COMPUTED_VALUE"""),"Electric connection from mains")</f>
        <v>Electric connection from mains</v>
      </c>
      <c r="F885" s="7" t="str">
        <f>IFERROR(__xludf.DUMMYFUNCTION("""COMPUTED_VALUE"""),"Eswatini Electricity Company")</f>
        <v>Eswatini Electricity Company</v>
      </c>
    </row>
    <row r="886">
      <c r="A886" s="7" t="str">
        <f>IFERROR(__xludf.DUMMYFUNCTION("""COMPUTED_VALUE"""),"ETHIOPIA")</f>
        <v>ETHIOPIA</v>
      </c>
      <c r="B886" s="8">
        <f>IFERROR(__xludf.DUMMYFUNCTION("""COMPUTED_VALUE"""),8.0)</f>
        <v>8</v>
      </c>
      <c r="C886" s="7" t="str">
        <f>IFERROR(__xludf.DUMMYFUNCTION("""COMPUTED_VALUE"""),"D_12")</f>
        <v>D_12</v>
      </c>
      <c r="D886" s="7" t="str">
        <f>IFERROR(__xludf.DUMMYFUNCTION("""COMPUTED_VALUE"""),"Q94a")</f>
        <v>Q94a</v>
      </c>
      <c r="E886" s="7" t="str">
        <f>IFERROR(__xludf.DUMMYFUNCTION("""COMPUTED_VALUE"""),"Electric connection from mains")</f>
        <v>Electric connection from mains</v>
      </c>
      <c r="F886" s="7" t="str">
        <f>IFERROR(__xludf.DUMMYFUNCTION("""COMPUTED_VALUE"""),"national power grid")</f>
        <v>national power grid</v>
      </c>
    </row>
    <row r="887">
      <c r="A887" s="7" t="str">
        <f>IFERROR(__xludf.DUMMYFUNCTION("""COMPUTED_VALUE"""),"GAMBIA")</f>
        <v>GAMBIA</v>
      </c>
      <c r="B887" s="8">
        <f>IFERROR(__xludf.DUMMYFUNCTION("""COMPUTED_VALUE"""),8.0)</f>
        <v>8</v>
      </c>
      <c r="C887" s="7" t="str">
        <f>IFERROR(__xludf.DUMMYFUNCTION("""COMPUTED_VALUE"""),"D_12")</f>
        <v>D_12</v>
      </c>
      <c r="D887" s="7" t="str">
        <f>IFERROR(__xludf.DUMMYFUNCTION("""COMPUTED_VALUE"""),"Q94a")</f>
        <v>Q94a</v>
      </c>
      <c r="E887" s="7" t="str">
        <f>IFERROR(__xludf.DUMMYFUNCTION("""COMPUTED_VALUE"""),"Electric connection from mains")</f>
        <v>Electric connection from mains</v>
      </c>
      <c r="F887" s="7" t="str">
        <f>IFERROR(__xludf.DUMMYFUNCTION("""COMPUTED_VALUE"""),"National Water and Electricity Company (NAWEC)")</f>
        <v>National Water and Electricity Company (NAWEC)</v>
      </c>
    </row>
    <row r="888">
      <c r="A888" s="7" t="str">
        <f>IFERROR(__xludf.DUMMYFUNCTION("""COMPUTED_VALUE"""),"GHANA ")</f>
        <v>GHANA </v>
      </c>
      <c r="B888" s="8">
        <f>IFERROR(__xludf.DUMMYFUNCTION("""COMPUTED_VALUE"""),8.0)</f>
        <v>8</v>
      </c>
      <c r="C888" s="7" t="str">
        <f>IFERROR(__xludf.DUMMYFUNCTION("""COMPUTED_VALUE"""),"D_12")</f>
        <v>D_12</v>
      </c>
      <c r="D888" s="7" t="str">
        <f>IFERROR(__xludf.DUMMYFUNCTION("""COMPUTED_VALUE"""),"Q94a")</f>
        <v>Q94a</v>
      </c>
      <c r="E888" s="7" t="str">
        <f>IFERROR(__xludf.DUMMYFUNCTION("""COMPUTED_VALUE"""),"Electric connection from mains")</f>
        <v>Electric connection from mains</v>
      </c>
      <c r="F888" s="7" t="str">
        <f>IFERROR(__xludf.DUMMYFUNCTION("""COMPUTED_VALUE"""),"national power grid")</f>
        <v>national power grid</v>
      </c>
    </row>
    <row r="889">
      <c r="A889" s="7" t="str">
        <f>IFERROR(__xludf.DUMMYFUNCTION("""COMPUTED_VALUE"""),"KENYA  ")</f>
        <v>KENYA  </v>
      </c>
      <c r="B889" s="8">
        <f>IFERROR(__xludf.DUMMYFUNCTION("""COMPUTED_VALUE"""),8.0)</f>
        <v>8</v>
      </c>
      <c r="C889" s="7" t="str">
        <f>IFERROR(__xludf.DUMMYFUNCTION("""COMPUTED_VALUE"""),"D_12")</f>
        <v>D_12</v>
      </c>
      <c r="D889" s="7" t="str">
        <f>IFERROR(__xludf.DUMMYFUNCTION("""COMPUTED_VALUE"""),"Q94a")</f>
        <v>Q94a</v>
      </c>
      <c r="E889" s="7" t="str">
        <f>IFERROR(__xludf.DUMMYFUNCTION("""COMPUTED_VALUE"""),"Electric connection from mains")</f>
        <v>Electric connection from mains</v>
      </c>
      <c r="F889" s="7" t="str">
        <f>IFERROR(__xludf.DUMMYFUNCTION("""COMPUTED_VALUE"""),"Kenya Power")</f>
        <v>Kenya Power</v>
      </c>
    </row>
    <row r="890">
      <c r="A890" s="7" t="str">
        <f>IFERROR(__xludf.DUMMYFUNCTION("""COMPUTED_VALUE"""),"LESOTHO ")</f>
        <v>LESOTHO </v>
      </c>
      <c r="B890" s="8">
        <f>IFERROR(__xludf.DUMMYFUNCTION("""COMPUTED_VALUE"""),8.0)</f>
        <v>8</v>
      </c>
      <c r="C890" s="7" t="str">
        <f>IFERROR(__xludf.DUMMYFUNCTION("""COMPUTED_VALUE"""),"D_12")</f>
        <v>D_12</v>
      </c>
      <c r="D890" s="7" t="str">
        <f>IFERROR(__xludf.DUMMYFUNCTION("""COMPUTED_VALUE"""),"Q94a")</f>
        <v>Q94a</v>
      </c>
      <c r="E890" s="7" t="str">
        <f>IFERROR(__xludf.DUMMYFUNCTION("""COMPUTED_VALUE"""),"Electric connection from mains")</f>
        <v>Electric connection from mains</v>
      </c>
      <c r="F890" s="7" t="str">
        <f>IFERROR(__xludf.DUMMYFUNCTION("""COMPUTED_VALUE"""),"Lesotho Electricity Company")</f>
        <v>Lesotho Electricity Company</v>
      </c>
    </row>
    <row r="891">
      <c r="A891" s="7" t="str">
        <f>IFERROR(__xludf.DUMMYFUNCTION("""COMPUTED_VALUE"""),"LIBERIA  ")</f>
        <v>LIBERIA  </v>
      </c>
      <c r="B891" s="8">
        <f>IFERROR(__xludf.DUMMYFUNCTION("""COMPUTED_VALUE"""),8.0)</f>
        <v>8</v>
      </c>
      <c r="C891" s="7" t="str">
        <f>IFERROR(__xludf.DUMMYFUNCTION("""COMPUTED_VALUE"""),"D_12")</f>
        <v>D_12</v>
      </c>
      <c r="D891" s="7" t="str">
        <f>IFERROR(__xludf.DUMMYFUNCTION("""COMPUTED_VALUE"""),"Q94a")</f>
        <v>Q94a</v>
      </c>
      <c r="E891" s="7" t="str">
        <f>IFERROR(__xludf.DUMMYFUNCTION("""COMPUTED_VALUE"""),"Electric connection from mains")</f>
        <v>Electric connection from mains</v>
      </c>
      <c r="F891" s="7" t="str">
        <f>IFERROR(__xludf.DUMMYFUNCTION("""COMPUTED_VALUE"""),"Liberia Electricity Corporation or LEC")</f>
        <v>Liberia Electricity Corporation or LEC</v>
      </c>
    </row>
    <row r="892">
      <c r="A892" s="7" t="str">
        <f>IFERROR(__xludf.DUMMYFUNCTION("""COMPUTED_VALUE"""),"MALAWI ")</f>
        <v>MALAWI </v>
      </c>
      <c r="B892" s="8">
        <f>IFERROR(__xludf.DUMMYFUNCTION("""COMPUTED_VALUE"""),8.0)</f>
        <v>8</v>
      </c>
      <c r="C892" s="7" t="str">
        <f>IFERROR(__xludf.DUMMYFUNCTION("""COMPUTED_VALUE"""),"D_12")</f>
        <v>D_12</v>
      </c>
      <c r="D892" s="7" t="str">
        <f>IFERROR(__xludf.DUMMYFUNCTION("""COMPUTED_VALUE"""),"Q94a")</f>
        <v>Q94a</v>
      </c>
      <c r="E892" s="7" t="str">
        <f>IFERROR(__xludf.DUMMYFUNCTION("""COMPUTED_VALUE"""),"Electric connection from mains")</f>
        <v>Electric connection from mains</v>
      </c>
      <c r="F892" s="7" t="str">
        <f>IFERROR(__xludf.DUMMYFUNCTION("""COMPUTED_VALUE"""),"national power grid")</f>
        <v>national power grid</v>
      </c>
    </row>
    <row r="893">
      <c r="A893" s="7" t="str">
        <f>IFERROR(__xludf.DUMMYFUNCTION("""COMPUTED_VALUE"""),"MOROCCO ")</f>
        <v>MOROCCO </v>
      </c>
      <c r="B893" s="8">
        <f>IFERROR(__xludf.DUMMYFUNCTION("""COMPUTED_VALUE"""),8.0)</f>
        <v>8</v>
      </c>
      <c r="C893" s="7" t="str">
        <f>IFERROR(__xludf.DUMMYFUNCTION("""COMPUTED_VALUE"""),"D_12")</f>
        <v>D_12</v>
      </c>
      <c r="D893" s="7" t="str">
        <f>IFERROR(__xludf.DUMMYFUNCTION("""COMPUTED_VALUE"""),"Q94a")</f>
        <v>Q94a</v>
      </c>
      <c r="E893" s="7" t="str">
        <f>IFERROR(__xludf.DUMMYFUNCTION("""COMPUTED_VALUE"""),"Electric connection from mains")</f>
        <v>Electric connection from mains</v>
      </c>
      <c r="F893" s="7" t="str">
        <f>IFERROR(__xludf.DUMMYFUNCTION("""COMPUTED_VALUE"""),"National Office for Electricity and Drinking Water")</f>
        <v>National Office for Electricity and Drinking Water</v>
      </c>
    </row>
    <row r="894">
      <c r="A894" s="7" t="str">
        <f>IFERROR(__xludf.DUMMYFUNCTION("""COMPUTED_VALUE"""),"MOZAMBIQUE")</f>
        <v>MOZAMBIQUE</v>
      </c>
      <c r="B894" s="8">
        <f>IFERROR(__xludf.DUMMYFUNCTION("""COMPUTED_VALUE"""),8.0)</f>
        <v>8</v>
      </c>
      <c r="C894" s="7" t="str">
        <f>IFERROR(__xludf.DUMMYFUNCTION("""COMPUTED_VALUE"""),"D_12")</f>
        <v>D_12</v>
      </c>
      <c r="D894" s="7" t="str">
        <f>IFERROR(__xludf.DUMMYFUNCTION("""COMPUTED_VALUE"""),"Q94a")</f>
        <v>Q94a</v>
      </c>
      <c r="E894" s="7" t="str">
        <f>IFERROR(__xludf.DUMMYFUNCTION("""COMPUTED_VALUE"""),"Electric connection from mains")</f>
        <v>Electric connection from mains</v>
      </c>
      <c r="F894" s="7" t="str">
        <f>IFERROR(__xludf.DUMMYFUNCTION("""COMPUTED_VALUE"""),"Electricidade de Moçambique or EDM")</f>
        <v>Electricidade de Moçambique or EDM</v>
      </c>
    </row>
    <row r="895">
      <c r="A895" s="7" t="str">
        <f>IFERROR(__xludf.DUMMYFUNCTION("""COMPUTED_VALUE"""),"NAMIBIA ")</f>
        <v>NAMIBIA </v>
      </c>
      <c r="B895" s="8">
        <f>IFERROR(__xludf.DUMMYFUNCTION("""COMPUTED_VALUE"""),8.0)</f>
        <v>8</v>
      </c>
      <c r="C895" s="7" t="str">
        <f>IFERROR(__xludf.DUMMYFUNCTION("""COMPUTED_VALUE"""),"D_12")</f>
        <v>D_12</v>
      </c>
      <c r="D895" s="7" t="str">
        <f>IFERROR(__xludf.DUMMYFUNCTION("""COMPUTED_VALUE"""),"Q94a")</f>
        <v>Q94a</v>
      </c>
      <c r="E895" s="7" t="str">
        <f>IFERROR(__xludf.DUMMYFUNCTION("""COMPUTED_VALUE"""),"Electric connection from mains")</f>
        <v>Electric connection from mains</v>
      </c>
      <c r="F895" s="7" t="str">
        <f>IFERROR(__xludf.DUMMYFUNCTION("""COMPUTED_VALUE"""),"Nampower")</f>
        <v>Nampower</v>
      </c>
    </row>
    <row r="896">
      <c r="A896" s="7" t="str">
        <f>IFERROR(__xludf.DUMMYFUNCTION("""COMPUTED_VALUE"""),"NIGERIA ")</f>
        <v>NIGERIA </v>
      </c>
      <c r="B896" s="8">
        <f>IFERROR(__xludf.DUMMYFUNCTION("""COMPUTED_VALUE"""),8.0)</f>
        <v>8</v>
      </c>
      <c r="C896" s="7" t="str">
        <f>IFERROR(__xludf.DUMMYFUNCTION("""COMPUTED_VALUE"""),"D_12")</f>
        <v>D_12</v>
      </c>
      <c r="D896" s="7" t="str">
        <f>IFERROR(__xludf.DUMMYFUNCTION("""COMPUTED_VALUE"""),"Q94a")</f>
        <v>Q94a</v>
      </c>
      <c r="E896" s="7" t="str">
        <f>IFERROR(__xludf.DUMMYFUNCTION("""COMPUTED_VALUE"""),"Electric connection from mains")</f>
        <v>Electric connection from mains</v>
      </c>
      <c r="F896" s="7" t="str">
        <f>IFERROR(__xludf.DUMMYFUNCTION("""COMPUTED_VALUE"""),"national power grid")</f>
        <v>national power grid</v>
      </c>
    </row>
    <row r="897">
      <c r="A897" s="7" t="str">
        <f>IFERROR(__xludf.DUMMYFUNCTION("""COMPUTED_VALUE"""),"SIERRA LEONE")</f>
        <v>SIERRA LEONE</v>
      </c>
      <c r="B897" s="8">
        <f>IFERROR(__xludf.DUMMYFUNCTION("""COMPUTED_VALUE"""),8.0)</f>
        <v>8</v>
      </c>
      <c r="C897" s="7" t="str">
        <f>IFERROR(__xludf.DUMMYFUNCTION("""COMPUTED_VALUE"""),"D_12")</f>
        <v>D_12</v>
      </c>
      <c r="D897" s="7" t="str">
        <f>IFERROR(__xludf.DUMMYFUNCTION("""COMPUTED_VALUE"""),"Q94a")</f>
        <v>Q94a</v>
      </c>
      <c r="E897" s="7" t="str">
        <f>IFERROR(__xludf.DUMMYFUNCTION("""COMPUTED_VALUE"""),"Electric connection from mains")</f>
        <v>Electric connection from mains</v>
      </c>
      <c r="F897" s="7" t="str">
        <f>IFERROR(__xludf.DUMMYFUNCTION("""COMPUTED_VALUE"""),"Electricty Distribution and Supply Agency or EDSA")</f>
        <v>Electricty Distribution and Supply Agency or EDSA</v>
      </c>
    </row>
    <row r="898">
      <c r="A898" s="7" t="str">
        <f>IFERROR(__xludf.DUMMYFUNCTION("""COMPUTED_VALUE"""),"SOUTH AFRICA")</f>
        <v>SOUTH AFRICA</v>
      </c>
      <c r="B898" s="8">
        <f>IFERROR(__xludf.DUMMYFUNCTION("""COMPUTED_VALUE"""),8.0)</f>
        <v>8</v>
      </c>
      <c r="C898" s="7" t="str">
        <f>IFERROR(__xludf.DUMMYFUNCTION("""COMPUTED_VALUE"""),"D_12")</f>
        <v>D_12</v>
      </c>
      <c r="D898" s="7" t="str">
        <f>IFERROR(__xludf.DUMMYFUNCTION("""COMPUTED_VALUE"""),"Q94a")</f>
        <v>Q94a</v>
      </c>
      <c r="E898" s="7" t="str">
        <f>IFERROR(__xludf.DUMMYFUNCTION("""COMPUTED_VALUE"""),"Electric connection from mains")</f>
        <v>Electric connection from mains</v>
      </c>
      <c r="F898" s="7" t="str">
        <f>IFERROR(__xludf.DUMMYFUNCTION("""COMPUTED_VALUE"""),"Eskom")</f>
        <v>Eskom</v>
      </c>
    </row>
    <row r="899">
      <c r="A899" s="7" t="str">
        <f>IFERROR(__xludf.DUMMYFUNCTION("""COMPUTED_VALUE"""),"SUDAN")</f>
        <v>SUDAN</v>
      </c>
      <c r="B899" s="8">
        <f>IFERROR(__xludf.DUMMYFUNCTION("""COMPUTED_VALUE"""),8.0)</f>
        <v>8</v>
      </c>
      <c r="C899" s="7" t="str">
        <f>IFERROR(__xludf.DUMMYFUNCTION("""COMPUTED_VALUE"""),"D_12")</f>
        <v>D_12</v>
      </c>
      <c r="D899" s="7" t="str">
        <f>IFERROR(__xludf.DUMMYFUNCTION("""COMPUTED_VALUE"""),"Q94a")</f>
        <v>Q94a</v>
      </c>
      <c r="E899" s="7" t="str">
        <f>IFERROR(__xludf.DUMMYFUNCTION("""COMPUTED_VALUE"""),"Electric connection from mains")</f>
        <v>Electric connection from mains</v>
      </c>
      <c r="F899" s="7" t="str">
        <f>IFERROR(__xludf.DUMMYFUNCTION("""COMPUTED_VALUE"""),"National Electricity Corporation of Sudan or NEC")</f>
        <v>National Electricity Corporation of Sudan or NEC</v>
      </c>
    </row>
    <row r="900">
      <c r="A900" s="7" t="str">
        <f>IFERROR(__xludf.DUMMYFUNCTION("""COMPUTED_VALUE"""),"TANZANIA")</f>
        <v>TANZANIA</v>
      </c>
      <c r="B900" s="8">
        <f>IFERROR(__xludf.DUMMYFUNCTION("""COMPUTED_VALUE"""),8.0)</f>
        <v>8</v>
      </c>
      <c r="C900" s="7" t="str">
        <f>IFERROR(__xludf.DUMMYFUNCTION("""COMPUTED_VALUE"""),"D_12")</f>
        <v>D_12</v>
      </c>
      <c r="D900" s="7" t="str">
        <f>IFERROR(__xludf.DUMMYFUNCTION("""COMPUTED_VALUE"""),"Q94a")</f>
        <v>Q94a</v>
      </c>
      <c r="E900" s="7" t="str">
        <f>IFERROR(__xludf.DUMMYFUNCTION("""COMPUTED_VALUE"""),"Electric connection from mains")</f>
        <v>Electric connection from mains</v>
      </c>
      <c r="F900" s="7" t="str">
        <f>IFERROR(__xludf.DUMMYFUNCTION("""COMPUTED_VALUE"""),"Tanzania Electric Supply Limited or TANESCO")</f>
        <v>Tanzania Electric Supply Limited or TANESCO</v>
      </c>
    </row>
    <row r="901">
      <c r="A901" s="7" t="str">
        <f>IFERROR(__xludf.DUMMYFUNCTION("""COMPUTED_VALUE"""),"TUNISIA ")</f>
        <v>TUNISIA </v>
      </c>
      <c r="B901" s="8">
        <f>IFERROR(__xludf.DUMMYFUNCTION("""COMPUTED_VALUE"""),8.0)</f>
        <v>8</v>
      </c>
      <c r="C901" s="7" t="str">
        <f>IFERROR(__xludf.DUMMYFUNCTION("""COMPUTED_VALUE"""),"D_12")</f>
        <v>D_12</v>
      </c>
      <c r="D901" s="7" t="str">
        <f>IFERROR(__xludf.DUMMYFUNCTION("""COMPUTED_VALUE"""),"Q94a")</f>
        <v>Q94a</v>
      </c>
      <c r="E901" s="7" t="str">
        <f>IFERROR(__xludf.DUMMYFUNCTION("""COMPUTED_VALUE"""),"Electric connection from mains")</f>
        <v>Electric connection from mains</v>
      </c>
      <c r="F901" s="7" t="str">
        <f>IFERROR(__xludf.DUMMYFUNCTION("""COMPUTED_VALUE"""),"STEG")</f>
        <v>STEG</v>
      </c>
    </row>
    <row r="902">
      <c r="A902" s="7" t="str">
        <f>IFERROR(__xludf.DUMMYFUNCTION("""COMPUTED_VALUE"""),"UGANDA  ")</f>
        <v>UGANDA  </v>
      </c>
      <c r="B902" s="8">
        <f>IFERROR(__xludf.DUMMYFUNCTION("""COMPUTED_VALUE"""),8.0)</f>
        <v>8</v>
      </c>
      <c r="C902" s="7" t="str">
        <f>IFERROR(__xludf.DUMMYFUNCTION("""COMPUTED_VALUE"""),"D_12")</f>
        <v>D_12</v>
      </c>
      <c r="D902" s="7" t="str">
        <f>IFERROR(__xludf.DUMMYFUNCTION("""COMPUTED_VALUE"""),"Q94a")</f>
        <v>Q94a</v>
      </c>
      <c r="E902" s="7" t="str">
        <f>IFERROR(__xludf.DUMMYFUNCTION("""COMPUTED_VALUE"""),"Electric connection from mains")</f>
        <v>Electric connection from mains</v>
      </c>
      <c r="F902" s="7" t="str">
        <f>IFERROR(__xludf.DUMMYFUNCTION("""COMPUTED_VALUE"""),"national power grid")</f>
        <v>national power grid</v>
      </c>
    </row>
    <row r="903">
      <c r="A903" s="7" t="str">
        <f>IFERROR(__xludf.DUMMYFUNCTION("""COMPUTED_VALUE"""),"ZAMBIA")</f>
        <v>ZAMBIA</v>
      </c>
      <c r="B903" s="8">
        <f>IFERROR(__xludf.DUMMYFUNCTION("""COMPUTED_VALUE"""),8.0)</f>
        <v>8</v>
      </c>
      <c r="C903" s="7" t="str">
        <f>IFERROR(__xludf.DUMMYFUNCTION("""COMPUTED_VALUE"""),"D_12")</f>
        <v>D_12</v>
      </c>
      <c r="D903" s="7" t="str">
        <f>IFERROR(__xludf.DUMMYFUNCTION("""COMPUTED_VALUE"""),"Q94a")</f>
        <v>Q94a</v>
      </c>
      <c r="E903" s="7" t="str">
        <f>IFERROR(__xludf.DUMMYFUNCTION("""COMPUTED_VALUE"""),"Electric connection from mains")</f>
        <v>Electric connection from mains</v>
      </c>
      <c r="F903" s="7" t="str">
        <f>IFERROR(__xludf.DUMMYFUNCTION("""COMPUTED_VALUE"""),"Zambia Electricity Supply Corporation or ZESCO")</f>
        <v>Zambia Electricity Supply Corporation or ZESCO</v>
      </c>
    </row>
    <row r="904">
      <c r="A904" s="7" t="str">
        <f>IFERROR(__xludf.DUMMYFUNCTION("""COMPUTED_VALUE"""),"ZIMBABWE")</f>
        <v>ZIMBABWE</v>
      </c>
      <c r="B904" s="8">
        <f>IFERROR(__xludf.DUMMYFUNCTION("""COMPUTED_VALUE"""),8.0)</f>
        <v>8</v>
      </c>
      <c r="C904" s="7" t="str">
        <f>IFERROR(__xludf.DUMMYFUNCTION("""COMPUTED_VALUE"""),"D_12")</f>
        <v>D_12</v>
      </c>
      <c r="D904" s="7" t="str">
        <f>IFERROR(__xludf.DUMMYFUNCTION("""COMPUTED_VALUE"""),"Q94a")</f>
        <v>Q94a</v>
      </c>
      <c r="E904" s="7" t="str">
        <f>IFERROR(__xludf.DUMMYFUNCTION("""COMPUTED_VALUE"""),"Electric connection from mains")</f>
        <v>Electric connection from mains</v>
      </c>
      <c r="F904" s="7" t="str">
        <f>IFERROR(__xludf.DUMMYFUNCTION("""COMPUTED_VALUE"""),"Zimbabwe Electricity Supply Authority or ZESA")</f>
        <v>Zimbabwe Electricity Supply Authority or ZESA</v>
      </c>
    </row>
    <row r="905">
      <c r="A905" s="7" t="str">
        <f>IFERROR(__xludf.DUMMYFUNCTION("""COMPUTED_VALUE"""),"BOTSWANA ")</f>
        <v>BOTSWANA </v>
      </c>
      <c r="B905" s="8">
        <f>IFERROR(__xludf.DUMMYFUNCTION("""COMPUTED_VALUE"""),8.0)</f>
        <v>8</v>
      </c>
      <c r="C905" s="7" t="str">
        <f>IFERROR(__xludf.DUMMYFUNCTION("""COMPUTED_VALUE"""),"A_10_32")</f>
        <v>A_10_32</v>
      </c>
      <c r="D905" s="7" t="str">
        <f>IFERROR(__xludf.DUMMYFUNCTION("""COMPUTED_VALUE"""),"Q99. ")</f>
        <v>Q99. </v>
      </c>
      <c r="E905" s="7" t="str">
        <f>IFERROR(__xludf.DUMMYFUNCTION("""COMPUTED_VALUE"""),"Vote for which party")</f>
        <v>Vote for which party</v>
      </c>
      <c r="F905" s="7" t="str">
        <f>IFERROR(__xludf.DUMMYFUNCTION("""COMPUTED_VALUE"""),"National Assembly elections")</f>
        <v>National Assembly elections</v>
      </c>
    </row>
    <row r="906">
      <c r="A906" s="7" t="str">
        <f>IFERROR(__xludf.DUMMYFUNCTION("""COMPUTED_VALUE"""),"CABO VERDE ")</f>
        <v>CABO VERDE </v>
      </c>
      <c r="B906" s="8">
        <f>IFERROR(__xludf.DUMMYFUNCTION("""COMPUTED_VALUE"""),8.0)</f>
        <v>8</v>
      </c>
      <c r="C906" s="7" t="str">
        <f>IFERROR(__xludf.DUMMYFUNCTION("""COMPUTED_VALUE"""),"A_10_32")</f>
        <v>A_10_32</v>
      </c>
      <c r="D906" s="7" t="str">
        <f>IFERROR(__xludf.DUMMYFUNCTION("""COMPUTED_VALUE"""),"Q99. ")</f>
        <v>Q99. </v>
      </c>
      <c r="E906" s="7" t="str">
        <f>IFERROR(__xludf.DUMMYFUNCTION("""COMPUTED_VALUE"""),"Vote for which party")</f>
        <v>Vote for which party</v>
      </c>
      <c r="F906" s="7" t="str">
        <f>IFERROR(__xludf.DUMMYFUNCTION("""COMPUTED_VALUE"""),"Legislative elections")</f>
        <v>Legislative elections</v>
      </c>
    </row>
    <row r="907">
      <c r="A907" s="7" t="str">
        <f>IFERROR(__xludf.DUMMYFUNCTION("""COMPUTED_VALUE"""),"CAMEROON")</f>
        <v>CAMEROON</v>
      </c>
      <c r="B907" s="8">
        <f>IFERROR(__xludf.DUMMYFUNCTION("""COMPUTED_VALUE"""),8.0)</f>
        <v>8</v>
      </c>
      <c r="C907" s="7" t="str">
        <f>IFERROR(__xludf.DUMMYFUNCTION("""COMPUTED_VALUE"""),"A_10_32")</f>
        <v>A_10_32</v>
      </c>
      <c r="D907" s="7" t="str">
        <f>IFERROR(__xludf.DUMMYFUNCTION("""COMPUTED_VALUE"""),"Q99. ")</f>
        <v>Q99. </v>
      </c>
      <c r="E907" s="7" t="str">
        <f>IFERROR(__xludf.DUMMYFUNCTION("""COMPUTED_VALUE"""),"Vote for which party")</f>
        <v>Vote for which party</v>
      </c>
      <c r="F907" s="7" t="str">
        <f>IFERROR(__xludf.DUMMYFUNCTION("""COMPUTED_VALUE"""),"Presidential elections")</f>
        <v>Presidential elections</v>
      </c>
    </row>
    <row r="908">
      <c r="A908" s="7" t="str">
        <f>IFERROR(__xludf.DUMMYFUNCTION("""COMPUTED_VALUE"""),"ETHIOPIA")</f>
        <v>ETHIOPIA</v>
      </c>
      <c r="B908" s="8">
        <f>IFERROR(__xludf.DUMMYFUNCTION("""COMPUTED_VALUE"""),8.0)</f>
        <v>8</v>
      </c>
      <c r="C908" s="7" t="str">
        <f>IFERROR(__xludf.DUMMYFUNCTION("""COMPUTED_VALUE"""),"A_10_32")</f>
        <v>A_10_32</v>
      </c>
      <c r="D908" s="7" t="str">
        <f>IFERROR(__xludf.DUMMYFUNCTION("""COMPUTED_VALUE"""),"Q99. ")</f>
        <v>Q99. </v>
      </c>
      <c r="E908" s="7" t="str">
        <f>IFERROR(__xludf.DUMMYFUNCTION("""COMPUTED_VALUE"""),"Vote for which party")</f>
        <v>Vote for which party</v>
      </c>
      <c r="F908" s="7" t="str">
        <f>IFERROR(__xludf.DUMMYFUNCTION("""COMPUTED_VALUE"""),"national elections")</f>
        <v>national elections</v>
      </c>
    </row>
    <row r="909">
      <c r="A909" s="7" t="str">
        <f>IFERROR(__xludf.DUMMYFUNCTION("""COMPUTED_VALUE"""),"GAMBIA")</f>
        <v>GAMBIA</v>
      </c>
      <c r="B909" s="8">
        <f>IFERROR(__xludf.DUMMYFUNCTION("""COMPUTED_VALUE"""),8.0)</f>
        <v>8</v>
      </c>
      <c r="C909" s="7" t="str">
        <f>IFERROR(__xludf.DUMMYFUNCTION("""COMPUTED_VALUE"""),"A_10_32")</f>
        <v>A_10_32</v>
      </c>
      <c r="D909" s="7" t="str">
        <f>IFERROR(__xludf.DUMMYFUNCTION("""COMPUTED_VALUE"""),"Q99. ")</f>
        <v>Q99. </v>
      </c>
      <c r="E909" s="7" t="str">
        <f>IFERROR(__xludf.DUMMYFUNCTION("""COMPUTED_VALUE"""),"Vote for which party")</f>
        <v>Vote for which party</v>
      </c>
      <c r="F909" s="7" t="str">
        <f>IFERROR(__xludf.DUMMYFUNCTION("""COMPUTED_VALUE"""),"presidential elections")</f>
        <v>presidential elections</v>
      </c>
    </row>
    <row r="910">
      <c r="A910" s="7" t="str">
        <f>IFERROR(__xludf.DUMMYFUNCTION("""COMPUTED_VALUE"""),"GHANA ")</f>
        <v>GHANA </v>
      </c>
      <c r="B910" s="8">
        <f>IFERROR(__xludf.DUMMYFUNCTION("""COMPUTED_VALUE"""),8.0)</f>
        <v>8</v>
      </c>
      <c r="C910" s="7" t="str">
        <f>IFERROR(__xludf.DUMMYFUNCTION("""COMPUTED_VALUE"""),"A_10_32")</f>
        <v>A_10_32</v>
      </c>
      <c r="D910" s="7" t="str">
        <f>IFERROR(__xludf.DUMMYFUNCTION("""COMPUTED_VALUE"""),"Q99. ")</f>
        <v>Q99. </v>
      </c>
      <c r="E910" s="7" t="str">
        <f>IFERROR(__xludf.DUMMYFUNCTION("""COMPUTED_VALUE"""),"Vote for which party")</f>
        <v>Vote for which party</v>
      </c>
      <c r="F910" s="7" t="str">
        <f>IFERROR(__xludf.DUMMYFUNCTION("""COMPUTED_VALUE"""),"presidential elections, party's candidate")</f>
        <v>presidential elections, party's candidate</v>
      </c>
    </row>
    <row r="911">
      <c r="A911" s="7" t="str">
        <f>IFERROR(__xludf.DUMMYFUNCTION("""COMPUTED_VALUE"""),"KENYA  ")</f>
        <v>KENYA  </v>
      </c>
      <c r="B911" s="8">
        <f>IFERROR(__xludf.DUMMYFUNCTION("""COMPUTED_VALUE"""),8.0)</f>
        <v>8</v>
      </c>
      <c r="C911" s="7" t="str">
        <f>IFERROR(__xludf.DUMMYFUNCTION("""COMPUTED_VALUE"""),"A_10_32")</f>
        <v>A_10_32</v>
      </c>
      <c r="D911" s="7" t="str">
        <f>IFERROR(__xludf.DUMMYFUNCTION("""COMPUTED_VALUE"""),"Q99. ")</f>
        <v>Q99. </v>
      </c>
      <c r="E911" s="7" t="str">
        <f>IFERROR(__xludf.DUMMYFUNCTION("""COMPUTED_VALUE"""),"Vote for which party")</f>
        <v>Vote for which party</v>
      </c>
      <c r="F911" s="7" t="str">
        <f>IFERROR(__xludf.DUMMYFUNCTION("""COMPUTED_VALUE"""),"general elections, party")</f>
        <v>general elections, party</v>
      </c>
    </row>
    <row r="912">
      <c r="A912" s="7" t="str">
        <f>IFERROR(__xludf.DUMMYFUNCTION("""COMPUTED_VALUE"""),"LESOTHO ")</f>
        <v>LESOTHO </v>
      </c>
      <c r="B912" s="8">
        <f>IFERROR(__xludf.DUMMYFUNCTION("""COMPUTED_VALUE"""),8.0)</f>
        <v>8</v>
      </c>
      <c r="C912" s="7" t="str">
        <f>IFERROR(__xludf.DUMMYFUNCTION("""COMPUTED_VALUE"""),"A_10_32")</f>
        <v>A_10_32</v>
      </c>
      <c r="D912" s="7" t="str">
        <f>IFERROR(__xludf.DUMMYFUNCTION("""COMPUTED_VALUE"""),"Q99. ")</f>
        <v>Q99. </v>
      </c>
      <c r="E912" s="7" t="str">
        <f>IFERROR(__xludf.DUMMYFUNCTION("""COMPUTED_VALUE"""),"Vote for which party")</f>
        <v>Vote for which party</v>
      </c>
      <c r="F912" s="7" t="str">
        <f>IFERROR(__xludf.DUMMYFUNCTION("""COMPUTED_VALUE"""),"general elections, party's candidate")</f>
        <v>general elections, party's candidate</v>
      </c>
    </row>
    <row r="913">
      <c r="A913" s="7" t="str">
        <f>IFERROR(__xludf.DUMMYFUNCTION("""COMPUTED_VALUE"""),"LIBERIA  ")</f>
        <v>LIBERIA  </v>
      </c>
      <c r="B913" s="8">
        <f>IFERROR(__xludf.DUMMYFUNCTION("""COMPUTED_VALUE"""),8.0)</f>
        <v>8</v>
      </c>
      <c r="C913" s="7" t="str">
        <f>IFERROR(__xludf.DUMMYFUNCTION("""COMPUTED_VALUE"""),"A_10_32")</f>
        <v>A_10_32</v>
      </c>
      <c r="D913" s="7" t="str">
        <f>IFERROR(__xludf.DUMMYFUNCTION("""COMPUTED_VALUE"""),"Q99. ")</f>
        <v>Q99. </v>
      </c>
      <c r="E913" s="7" t="str">
        <f>IFERROR(__xludf.DUMMYFUNCTION("""COMPUTED_VALUE"""),"Vote for which party")</f>
        <v>Vote for which party</v>
      </c>
      <c r="F913" s="7" t="str">
        <f>IFERROR(__xludf.DUMMYFUNCTION("""COMPUTED_VALUE"""),"presidential, party's candidate")</f>
        <v>presidential, party's candidate</v>
      </c>
    </row>
    <row r="914">
      <c r="A914" s="7" t="str">
        <f>IFERROR(__xludf.DUMMYFUNCTION("""COMPUTED_VALUE"""),"MALAWI ")</f>
        <v>MALAWI </v>
      </c>
      <c r="B914" s="8">
        <f>IFERROR(__xludf.DUMMYFUNCTION("""COMPUTED_VALUE"""),8.0)</f>
        <v>8</v>
      </c>
      <c r="C914" s="7" t="str">
        <f>IFERROR(__xludf.DUMMYFUNCTION("""COMPUTED_VALUE"""),"A_10_32")</f>
        <v>A_10_32</v>
      </c>
      <c r="D914" s="7" t="str">
        <f>IFERROR(__xludf.DUMMYFUNCTION("""COMPUTED_VALUE"""),"Q99. ")</f>
        <v>Q99. </v>
      </c>
      <c r="E914" s="7" t="str">
        <f>IFERROR(__xludf.DUMMYFUNCTION("""COMPUTED_VALUE"""),"Vote for which party")</f>
        <v>Vote for which party</v>
      </c>
      <c r="F914" s="7" t="str">
        <f>IFERROR(__xludf.DUMMYFUNCTION("""COMPUTED_VALUE"""),"Presidential, candidate’s party")</f>
        <v>Presidential, candidate’s party</v>
      </c>
    </row>
    <row r="915">
      <c r="A915" s="7" t="str">
        <f>IFERROR(__xludf.DUMMYFUNCTION("""COMPUTED_VALUE"""),"MOROCCO ")</f>
        <v>MOROCCO </v>
      </c>
      <c r="B915" s="8">
        <f>IFERROR(__xludf.DUMMYFUNCTION("""COMPUTED_VALUE"""),8.0)</f>
        <v>8</v>
      </c>
      <c r="C915" s="7" t="str">
        <f>IFERROR(__xludf.DUMMYFUNCTION("""COMPUTED_VALUE"""),"A_10_32")</f>
        <v>A_10_32</v>
      </c>
      <c r="D915" s="7" t="str">
        <f>IFERROR(__xludf.DUMMYFUNCTION("""COMPUTED_VALUE"""),"Q99. ")</f>
        <v>Q99. </v>
      </c>
      <c r="E915" s="7" t="str">
        <f>IFERROR(__xludf.DUMMYFUNCTION("""COMPUTED_VALUE"""),"Vote for which party")</f>
        <v>Vote for which party</v>
      </c>
      <c r="F915" s="7" t="str">
        <f>IFERROR(__xludf.DUMMYFUNCTION("""COMPUTED_VALUE""")," legislative elections, candidate’s party")</f>
        <v> legislative elections, candidate’s party</v>
      </c>
    </row>
    <row r="916">
      <c r="A916" s="7" t="str">
        <f>IFERROR(__xludf.DUMMYFUNCTION("""COMPUTED_VALUE"""),"MOZAMBIQUE")</f>
        <v>MOZAMBIQUE</v>
      </c>
      <c r="B916" s="8">
        <f>IFERROR(__xludf.DUMMYFUNCTION("""COMPUTED_VALUE"""),8.0)</f>
        <v>8</v>
      </c>
      <c r="C916" s="7" t="str">
        <f>IFERROR(__xludf.DUMMYFUNCTION("""COMPUTED_VALUE"""),"A_10_32")</f>
        <v>A_10_32</v>
      </c>
      <c r="D916" s="7" t="str">
        <f>IFERROR(__xludf.DUMMYFUNCTION("""COMPUTED_VALUE"""),"Q99. ")</f>
        <v>Q99. </v>
      </c>
      <c r="E916" s="7" t="str">
        <f>IFERROR(__xludf.DUMMYFUNCTION("""COMPUTED_VALUE"""),"Vote for which party")</f>
        <v>Vote for which party</v>
      </c>
      <c r="F916" s="7" t="str">
        <f>IFERROR(__xludf.DUMMYFUNCTION("""COMPUTED_VALUE"""),"Presidential election, party’s candidate")</f>
        <v>Presidential election, party’s candidate</v>
      </c>
    </row>
    <row r="917">
      <c r="A917" s="7" t="str">
        <f>IFERROR(__xludf.DUMMYFUNCTION("""COMPUTED_VALUE"""),"NAMIBIA ")</f>
        <v>NAMIBIA </v>
      </c>
      <c r="B917" s="8">
        <f>IFERROR(__xludf.DUMMYFUNCTION("""COMPUTED_VALUE"""),8.0)</f>
        <v>8</v>
      </c>
      <c r="C917" s="7" t="str">
        <f>IFERROR(__xludf.DUMMYFUNCTION("""COMPUTED_VALUE"""),"A_10_32")</f>
        <v>A_10_32</v>
      </c>
      <c r="D917" s="7" t="str">
        <f>IFERROR(__xludf.DUMMYFUNCTION("""COMPUTED_VALUE"""),"Q99. ")</f>
        <v>Q99. </v>
      </c>
      <c r="E917" s="7" t="str">
        <f>IFERROR(__xludf.DUMMYFUNCTION("""COMPUTED_VALUE"""),"Vote for which party")</f>
        <v>Vote for which party</v>
      </c>
      <c r="F917" s="7" t="str">
        <f>IFERROR(__xludf.DUMMYFUNCTION("""COMPUTED_VALUE""")," National elections, party")</f>
        <v> National elections, party</v>
      </c>
    </row>
    <row r="918">
      <c r="A918" s="7" t="str">
        <f>IFERROR(__xludf.DUMMYFUNCTION("""COMPUTED_VALUE"""),"NIGERIA ")</f>
        <v>NIGERIA </v>
      </c>
      <c r="B918" s="8">
        <f>IFERROR(__xludf.DUMMYFUNCTION("""COMPUTED_VALUE"""),8.0)</f>
        <v>8</v>
      </c>
      <c r="C918" s="7" t="str">
        <f>IFERROR(__xludf.DUMMYFUNCTION("""COMPUTED_VALUE"""),"A_10_32")</f>
        <v>A_10_32</v>
      </c>
      <c r="D918" s="7" t="str">
        <f>IFERROR(__xludf.DUMMYFUNCTION("""COMPUTED_VALUE"""),"Q99. ")</f>
        <v>Q99. </v>
      </c>
      <c r="E918" s="7" t="str">
        <f>IFERROR(__xludf.DUMMYFUNCTION("""COMPUTED_VALUE"""),"Vote for which party")</f>
        <v>Vote for which party</v>
      </c>
      <c r="F918" s="7" t="str">
        <f>IFERROR(__xludf.DUMMYFUNCTION("""COMPUTED_VALUE"""),"Presidential ,candidate's party’s")</f>
        <v>Presidential ,candidate's party’s</v>
      </c>
    </row>
    <row r="919">
      <c r="A919" s="7" t="str">
        <f>IFERROR(__xludf.DUMMYFUNCTION("""COMPUTED_VALUE"""),"SIERRA LEONE")</f>
        <v>SIERRA LEONE</v>
      </c>
      <c r="B919" s="8">
        <f>IFERROR(__xludf.DUMMYFUNCTION("""COMPUTED_VALUE"""),8.0)</f>
        <v>8</v>
      </c>
      <c r="C919" s="7" t="str">
        <f>IFERROR(__xludf.DUMMYFUNCTION("""COMPUTED_VALUE"""),"A_10_32")</f>
        <v>A_10_32</v>
      </c>
      <c r="D919" s="7" t="str">
        <f>IFERROR(__xludf.DUMMYFUNCTION("""COMPUTED_VALUE"""),"Q99. ")</f>
        <v>Q99. </v>
      </c>
      <c r="E919" s="7" t="str">
        <f>IFERROR(__xludf.DUMMYFUNCTION("""COMPUTED_VALUE"""),"Vote for which party")</f>
        <v>Vote for which party</v>
      </c>
      <c r="F919" s="7" t="str">
        <f>IFERROR(__xludf.DUMMYFUNCTION("""COMPUTED_VALUE"""),"Presidential ,candidate's party’s")</f>
        <v>Presidential ,candidate's party’s</v>
      </c>
    </row>
    <row r="920">
      <c r="A920" s="7" t="str">
        <f>IFERROR(__xludf.DUMMYFUNCTION("""COMPUTED_VALUE"""),"SOUTH AFRICA")</f>
        <v>SOUTH AFRICA</v>
      </c>
      <c r="B920" s="8">
        <f>IFERROR(__xludf.DUMMYFUNCTION("""COMPUTED_VALUE"""),8.0)</f>
        <v>8</v>
      </c>
      <c r="C920" s="7" t="str">
        <f>IFERROR(__xludf.DUMMYFUNCTION("""COMPUTED_VALUE"""),"A_10_32")</f>
        <v>A_10_32</v>
      </c>
      <c r="D920" s="7" t="str">
        <f>IFERROR(__xludf.DUMMYFUNCTION("""COMPUTED_VALUE"""),"Q99. ")</f>
        <v>Q99. </v>
      </c>
      <c r="E920" s="7" t="str">
        <f>IFERROR(__xludf.DUMMYFUNCTION("""COMPUTED_VALUE"""),"Vote for which party")</f>
        <v>Vote for which party</v>
      </c>
      <c r="F920" s="7" t="str">
        <f>IFERROR(__xludf.DUMMYFUNCTION("""COMPUTED_VALUE"""),"national elections, party")</f>
        <v>national elections, party</v>
      </c>
    </row>
    <row r="921">
      <c r="A921" s="7" t="str">
        <f>IFERROR(__xludf.DUMMYFUNCTION("""COMPUTED_VALUE"""),"SUDAN")</f>
        <v>SUDAN</v>
      </c>
      <c r="B921" s="8">
        <f>IFERROR(__xludf.DUMMYFUNCTION("""COMPUTED_VALUE"""),8.0)</f>
        <v>8</v>
      </c>
      <c r="C921" s="7" t="str">
        <f>IFERROR(__xludf.DUMMYFUNCTION("""COMPUTED_VALUE"""),"A_10_32")</f>
        <v>A_10_32</v>
      </c>
      <c r="D921" s="7" t="str">
        <f>IFERROR(__xludf.DUMMYFUNCTION("""COMPUTED_VALUE"""),"Q99. ")</f>
        <v>Q99. </v>
      </c>
      <c r="E921" s="7" t="str">
        <f>IFERROR(__xludf.DUMMYFUNCTION("""COMPUTED_VALUE"""),"Vote for which party")</f>
        <v>Vote for which party</v>
      </c>
      <c r="F921" s="7" t="str">
        <f>IFERROR(__xludf.DUMMYFUNCTION("""COMPUTED_VALUE"""),"Presidential election, party’s candidate")</f>
        <v>Presidential election, party’s candidate</v>
      </c>
    </row>
    <row r="922">
      <c r="A922" s="7" t="str">
        <f>IFERROR(__xludf.DUMMYFUNCTION("""COMPUTED_VALUE"""),"TANZANIA")</f>
        <v>TANZANIA</v>
      </c>
      <c r="B922" s="8">
        <f>IFERROR(__xludf.DUMMYFUNCTION("""COMPUTED_VALUE"""),8.0)</f>
        <v>8</v>
      </c>
      <c r="C922" s="7" t="str">
        <f>IFERROR(__xludf.DUMMYFUNCTION("""COMPUTED_VALUE"""),"A_10_32")</f>
        <v>A_10_32</v>
      </c>
      <c r="D922" s="7" t="str">
        <f>IFERROR(__xludf.DUMMYFUNCTION("""COMPUTED_VALUE"""),"Q99. ")</f>
        <v>Q99. </v>
      </c>
      <c r="E922" s="7" t="str">
        <f>IFERROR(__xludf.DUMMYFUNCTION("""COMPUTED_VALUE"""),"Vote for which party")</f>
        <v>Vote for which party</v>
      </c>
      <c r="F922" s="7" t="str">
        <f>IFERROR(__xludf.DUMMYFUNCTION("""COMPUTED_VALUE"""),"Presidential election, party’s candidate")</f>
        <v>Presidential election, party’s candidate</v>
      </c>
    </row>
    <row r="923">
      <c r="A923" s="7" t="str">
        <f>IFERROR(__xludf.DUMMYFUNCTION("""COMPUTED_VALUE"""),"TUNISIA ")</f>
        <v>TUNISIA </v>
      </c>
      <c r="B923" s="8">
        <f>IFERROR(__xludf.DUMMYFUNCTION("""COMPUTED_VALUE"""),8.0)</f>
        <v>8</v>
      </c>
      <c r="C923" s="7" t="str">
        <f>IFERROR(__xludf.DUMMYFUNCTION("""COMPUTED_VALUE"""),"A_10_32")</f>
        <v>A_10_32</v>
      </c>
      <c r="D923" s="7" t="str">
        <f>IFERROR(__xludf.DUMMYFUNCTION("""COMPUTED_VALUE"""),"Q99. ")</f>
        <v>Q99. </v>
      </c>
      <c r="E923" s="7" t="str">
        <f>IFERROR(__xludf.DUMMYFUNCTION("""COMPUTED_VALUE"""),"Vote for which party")</f>
        <v>Vote for which party</v>
      </c>
      <c r="F923" s="7" t="str">
        <f>IFERROR(__xludf.DUMMYFUNCTION("""COMPUTED_VALUE"""),"Presidential elections ,candidate's party’s")</f>
        <v>Presidential elections ,candidate's party’s</v>
      </c>
    </row>
    <row r="924">
      <c r="A924" s="7" t="str">
        <f>IFERROR(__xludf.DUMMYFUNCTION("""COMPUTED_VALUE"""),"UGANDA  ")</f>
        <v>UGANDA  </v>
      </c>
      <c r="B924" s="8">
        <f>IFERROR(__xludf.DUMMYFUNCTION("""COMPUTED_VALUE"""),8.0)</f>
        <v>8</v>
      </c>
      <c r="C924" s="7" t="str">
        <f>IFERROR(__xludf.DUMMYFUNCTION("""COMPUTED_VALUE"""),"A_10_32")</f>
        <v>A_10_32</v>
      </c>
      <c r="D924" s="7" t="str">
        <f>IFERROR(__xludf.DUMMYFUNCTION("""COMPUTED_VALUE"""),"Q99. ")</f>
        <v>Q99. </v>
      </c>
      <c r="E924" s="7" t="str">
        <f>IFERROR(__xludf.DUMMYFUNCTION("""COMPUTED_VALUE"""),"Vote for which party")</f>
        <v>Vote for which party</v>
      </c>
      <c r="F924" s="7" t="str">
        <f>IFERROR(__xludf.DUMMYFUNCTION("""COMPUTED_VALUE"""),"presidential elections, party’s candidate ")</f>
        <v>presidential elections, party’s candidate </v>
      </c>
    </row>
    <row r="925">
      <c r="A925" s="7" t="str">
        <f>IFERROR(__xludf.DUMMYFUNCTION("""COMPUTED_VALUE"""),"ZAMBIA")</f>
        <v>ZAMBIA</v>
      </c>
      <c r="B925" s="8">
        <f>IFERROR(__xludf.DUMMYFUNCTION("""COMPUTED_VALUE"""),8.0)</f>
        <v>8</v>
      </c>
      <c r="C925" s="7" t="str">
        <f>IFERROR(__xludf.DUMMYFUNCTION("""COMPUTED_VALUE"""),"A_10_32")</f>
        <v>A_10_32</v>
      </c>
      <c r="D925" s="7" t="str">
        <f>IFERROR(__xludf.DUMMYFUNCTION("""COMPUTED_VALUE"""),"Q99. ")</f>
        <v>Q99. </v>
      </c>
      <c r="E925" s="7" t="str">
        <f>IFERROR(__xludf.DUMMYFUNCTION("""COMPUTED_VALUE"""),"Vote for which party")</f>
        <v>Vote for which party</v>
      </c>
      <c r="F925" s="7" t="str">
        <f>IFERROR(__xludf.DUMMYFUNCTION("""COMPUTED_VALUE"""),"presidential elections, party’s candidate")</f>
        <v>presidential elections, party’s candidate</v>
      </c>
    </row>
    <row r="926">
      <c r="A926" s="7" t="str">
        <f>IFERROR(__xludf.DUMMYFUNCTION("""COMPUTED_VALUE"""),"ZIMBABWE")</f>
        <v>ZIMBABWE</v>
      </c>
      <c r="B926" s="8">
        <f>IFERROR(__xludf.DUMMYFUNCTION("""COMPUTED_VALUE"""),8.0)</f>
        <v>8</v>
      </c>
      <c r="C926" s="7" t="str">
        <f>IFERROR(__xludf.DUMMYFUNCTION("""COMPUTED_VALUE"""),"A_10_32")</f>
        <v>A_10_32</v>
      </c>
      <c r="D926" s="7" t="str">
        <f>IFERROR(__xludf.DUMMYFUNCTION("""COMPUTED_VALUE"""),"Q99. ")</f>
        <v>Q99. </v>
      </c>
      <c r="E926" s="7" t="str">
        <f>IFERROR(__xludf.DUMMYFUNCTION("""COMPUTED_VALUE"""),"Vote for which party")</f>
        <v>Vote for which party</v>
      </c>
      <c r="F926" s="7" t="str">
        <f>IFERROR(__xludf.DUMMYFUNCTION("""COMPUTED_VALUE"""),"presidential elections, party’s candidate")</f>
        <v>presidential elections, party’s candidate</v>
      </c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5.0"/>
    <col customWidth="1" min="3" max="3" width="16.0"/>
    <col customWidth="1" min="4" max="4" width="54.88"/>
    <col customWidth="1" min="5" max="5" width="31.5"/>
    <col customWidth="1" min="6" max="6" width="36.63"/>
    <col customWidth="1" min="7" max="7" width="37.88"/>
    <col customWidth="1" min="8" max="8" width="32.38"/>
    <col customWidth="1" min="9" max="9" width="24.38"/>
    <col customWidth="1" min="10" max="10" width="23.88"/>
    <col customWidth="1" min="11" max="11" width="29.0"/>
    <col customWidth="1" min="12" max="12" width="21.5"/>
    <col customWidth="1" min="13" max="13" width="25.63"/>
    <col customWidth="1" min="14" max="14" width="21.88"/>
    <col customWidth="1" min="15" max="15" width="29.5"/>
    <col customWidth="1" min="16" max="16" width="22.0"/>
    <col customWidth="1" min="17" max="17" width="21.13"/>
    <col customWidth="1" min="18" max="18" width="28.38"/>
    <col customWidth="1" min="19" max="19" width="31.13"/>
    <col customWidth="1" min="20" max="20" width="35.88"/>
    <col customWidth="1" min="21" max="21" width="26.88"/>
    <col customWidth="1" min="22" max="22" width="23.0"/>
    <col customWidth="1" min="23" max="24" width="25.13"/>
    <col customWidth="1" min="25" max="25" width="19.13"/>
    <col customWidth="1" min="26" max="26" width="21.0"/>
    <col customWidth="1" min="27" max="28" width="21.38"/>
    <col customWidth="1" min="29" max="29" width="20.5"/>
    <col customWidth="1" min="30" max="30" width="18.63"/>
    <col customWidth="1" min="31" max="31" width="21.63"/>
    <col customWidth="1" min="32" max="32" width="21.5"/>
    <col customWidth="1" min="33" max="33" width="23.13"/>
    <col customWidth="1" min="34" max="34" width="21.13"/>
    <col customWidth="1" min="35" max="35" width="24.63"/>
    <col customWidth="1" min="36" max="36" width="21.13"/>
    <col customWidth="1" min="37" max="37" width="24.63"/>
    <col customWidth="1" min="38" max="38" width="22.88"/>
    <col customWidth="1" min="39" max="39" width="20.5"/>
    <col customWidth="1" min="40" max="40" width="20.38"/>
    <col customWidth="1" min="41" max="42" width="16.5"/>
    <col customWidth="1" min="43" max="43" width="17.5"/>
  </cols>
  <sheetData>
    <row r="1">
      <c r="A1" s="45" t="s">
        <v>0</v>
      </c>
      <c r="B1" s="46" t="s">
        <v>1</v>
      </c>
      <c r="C1" s="46" t="s">
        <v>2</v>
      </c>
      <c r="D1" s="46" t="s">
        <v>3</v>
      </c>
      <c r="E1" s="47" t="s">
        <v>1986</v>
      </c>
      <c r="F1" s="47" t="s">
        <v>188</v>
      </c>
      <c r="G1" s="47" t="s">
        <v>597</v>
      </c>
      <c r="H1" s="48" t="s">
        <v>386</v>
      </c>
      <c r="I1" s="47" t="s">
        <v>598</v>
      </c>
      <c r="J1" s="47" t="s">
        <v>867</v>
      </c>
      <c r="K1" s="47" t="s">
        <v>1987</v>
      </c>
      <c r="L1" s="47" t="s">
        <v>868</v>
      </c>
      <c r="M1" s="47" t="s">
        <v>869</v>
      </c>
      <c r="N1" s="48" t="s">
        <v>600</v>
      </c>
      <c r="O1" s="47" t="s">
        <v>870</v>
      </c>
      <c r="P1" s="47" t="s">
        <v>1293</v>
      </c>
      <c r="Q1" s="47" t="s">
        <v>601</v>
      </c>
      <c r="R1" s="47" t="s">
        <v>871</v>
      </c>
      <c r="S1" s="47" t="s">
        <v>602</v>
      </c>
      <c r="T1" s="47" t="s">
        <v>603</v>
      </c>
      <c r="U1" s="47" t="s">
        <v>604</v>
      </c>
      <c r="V1" s="47" t="s">
        <v>189</v>
      </c>
      <c r="W1" s="47" t="s">
        <v>605</v>
      </c>
      <c r="X1" s="47" t="s">
        <v>10</v>
      </c>
      <c r="Y1" s="47" t="s">
        <v>1988</v>
      </c>
      <c r="Z1" s="47" t="s">
        <v>872</v>
      </c>
      <c r="AA1" s="47" t="s">
        <v>606</v>
      </c>
      <c r="AB1" s="47" t="s">
        <v>11</v>
      </c>
      <c r="AC1" s="47" t="s">
        <v>607</v>
      </c>
      <c r="AD1" s="48" t="s">
        <v>874</v>
      </c>
      <c r="AE1" s="47" t="s">
        <v>608</v>
      </c>
      <c r="AF1" s="47" t="s">
        <v>875</v>
      </c>
      <c r="AG1" s="47" t="s">
        <v>14</v>
      </c>
      <c r="AH1" s="47" t="s">
        <v>1989</v>
      </c>
      <c r="AI1" s="47" t="s">
        <v>609</v>
      </c>
      <c r="AJ1" s="47" t="s">
        <v>15</v>
      </c>
      <c r="AK1" s="48" t="s">
        <v>610</v>
      </c>
      <c r="AL1" s="47" t="s">
        <v>16</v>
      </c>
      <c r="AM1" s="47" t="s">
        <v>1990</v>
      </c>
      <c r="AN1" s="47" t="s">
        <v>611</v>
      </c>
      <c r="AO1" s="47" t="s">
        <v>612</v>
      </c>
      <c r="AP1" s="47" t="s">
        <v>18</v>
      </c>
      <c r="AQ1" s="47" t="s">
        <v>19</v>
      </c>
    </row>
    <row r="2" ht="15.75" customHeight="1">
      <c r="A2" s="49">
        <v>9.0</v>
      </c>
      <c r="B2" s="50" t="s">
        <v>1991</v>
      </c>
      <c r="C2" s="51" t="s">
        <v>1992</v>
      </c>
      <c r="D2" s="51" t="s">
        <v>1993</v>
      </c>
      <c r="E2" s="52" t="s">
        <v>1994</v>
      </c>
      <c r="F2" s="52" t="s">
        <v>906</v>
      </c>
      <c r="G2" s="52" t="s">
        <v>1251</v>
      </c>
      <c r="H2" s="52" t="s">
        <v>1251</v>
      </c>
      <c r="I2" s="52" t="s">
        <v>1251</v>
      </c>
      <c r="J2" s="52" t="s">
        <v>1251</v>
      </c>
      <c r="K2" s="52" t="s">
        <v>1251</v>
      </c>
      <c r="L2" s="52" t="s">
        <v>1505</v>
      </c>
      <c r="M2" s="52" t="s">
        <v>1251</v>
      </c>
      <c r="N2" s="52" t="s">
        <v>1995</v>
      </c>
      <c r="O2" s="52" t="s">
        <v>1996</v>
      </c>
      <c r="P2" s="52" t="s">
        <v>1251</v>
      </c>
      <c r="Q2" s="52" t="s">
        <v>1491</v>
      </c>
      <c r="R2" s="52" t="s">
        <v>1997</v>
      </c>
      <c r="S2" s="52" t="s">
        <v>1998</v>
      </c>
      <c r="T2" s="52" t="s">
        <v>1999</v>
      </c>
      <c r="U2" s="52" t="s">
        <v>2000</v>
      </c>
      <c r="V2" s="52" t="s">
        <v>1997</v>
      </c>
      <c r="W2" s="52" t="s">
        <v>2001</v>
      </c>
      <c r="X2" s="52" t="s">
        <v>1997</v>
      </c>
      <c r="Y2" s="52" t="s">
        <v>1997</v>
      </c>
      <c r="Z2" s="52" t="s">
        <v>2002</v>
      </c>
      <c r="AA2" s="52" t="s">
        <v>2003</v>
      </c>
      <c r="AB2" s="52" t="s">
        <v>2004</v>
      </c>
      <c r="AC2" s="52" t="s">
        <v>2005</v>
      </c>
      <c r="AD2" s="52" t="s">
        <v>1997</v>
      </c>
      <c r="AE2" s="52" t="s">
        <v>2001</v>
      </c>
      <c r="AF2" s="52" t="s">
        <v>2001</v>
      </c>
      <c r="AG2" s="52" t="s">
        <v>2006</v>
      </c>
      <c r="AH2" s="52" t="s">
        <v>2007</v>
      </c>
      <c r="AI2" s="52" t="s">
        <v>2001</v>
      </c>
      <c r="AJ2" s="52" t="s">
        <v>2001</v>
      </c>
      <c r="AK2" s="52" t="s">
        <v>2001</v>
      </c>
      <c r="AL2" s="53" t="s">
        <v>2008</v>
      </c>
      <c r="AM2" s="52" t="s">
        <v>1997</v>
      </c>
      <c r="AN2" s="53" t="s">
        <v>394</v>
      </c>
      <c r="AO2" s="51" t="s">
        <v>2009</v>
      </c>
      <c r="AP2" s="52" t="s">
        <v>2001</v>
      </c>
      <c r="AQ2" s="52" t="s">
        <v>2001</v>
      </c>
    </row>
    <row r="3" ht="15.75" customHeight="1">
      <c r="A3" s="49">
        <v>9.0</v>
      </c>
      <c r="B3" s="50" t="s">
        <v>20</v>
      </c>
      <c r="C3" s="54" t="s">
        <v>2010</v>
      </c>
      <c r="D3" s="54" t="s">
        <v>2011</v>
      </c>
      <c r="E3" s="55"/>
      <c r="F3" s="55" t="s">
        <v>906</v>
      </c>
      <c r="G3" s="55" t="s">
        <v>417</v>
      </c>
      <c r="H3" s="55" t="s">
        <v>417</v>
      </c>
      <c r="I3" s="55" t="s">
        <v>417</v>
      </c>
      <c r="J3" s="55" t="s">
        <v>417</v>
      </c>
      <c r="K3" s="55" t="s">
        <v>417</v>
      </c>
      <c r="L3" s="55" t="s">
        <v>2012</v>
      </c>
      <c r="M3" s="52" t="s">
        <v>1251</v>
      </c>
      <c r="N3" s="55" t="s">
        <v>2013</v>
      </c>
      <c r="O3" s="55" t="s">
        <v>896</v>
      </c>
      <c r="P3" s="52" t="s">
        <v>1251</v>
      </c>
      <c r="Q3" s="55" t="s">
        <v>1491</v>
      </c>
      <c r="R3" s="55" t="s">
        <v>2012</v>
      </c>
      <c r="S3" s="55" t="s">
        <v>2014</v>
      </c>
      <c r="T3" s="55" t="s">
        <v>2015</v>
      </c>
      <c r="U3" s="55"/>
      <c r="V3" s="55" t="s">
        <v>898</v>
      </c>
      <c r="W3" s="55" t="s">
        <v>417</v>
      </c>
      <c r="X3" s="55" t="s">
        <v>2016</v>
      </c>
      <c r="Y3" s="55" t="s">
        <v>26</v>
      </c>
      <c r="Z3" s="55" t="s">
        <v>2017</v>
      </c>
      <c r="AA3" s="55" t="s">
        <v>2018</v>
      </c>
      <c r="AB3" s="55" t="s">
        <v>2019</v>
      </c>
      <c r="AC3" s="55" t="s">
        <v>2020</v>
      </c>
      <c r="AD3" s="55" t="s">
        <v>2012</v>
      </c>
      <c r="AE3" s="55" t="s">
        <v>417</v>
      </c>
      <c r="AF3" s="55" t="s">
        <v>417</v>
      </c>
      <c r="AG3" s="55" t="s">
        <v>896</v>
      </c>
      <c r="AH3" s="55" t="s">
        <v>2021</v>
      </c>
      <c r="AI3" s="55" t="s">
        <v>417</v>
      </c>
      <c r="AJ3" s="55" t="s">
        <v>417</v>
      </c>
      <c r="AK3" s="55" t="s">
        <v>417</v>
      </c>
      <c r="AL3" s="53" t="s">
        <v>2008</v>
      </c>
      <c r="AM3" s="52" t="s">
        <v>1997</v>
      </c>
      <c r="AN3" s="53" t="s">
        <v>394</v>
      </c>
      <c r="AO3" s="51" t="s">
        <v>2009</v>
      </c>
      <c r="AP3" s="55" t="s">
        <v>417</v>
      </c>
      <c r="AQ3" s="55" t="s">
        <v>417</v>
      </c>
    </row>
    <row r="4" ht="15.75" customHeight="1">
      <c r="A4" s="49">
        <v>9.0</v>
      </c>
      <c r="B4" s="50" t="s">
        <v>35</v>
      </c>
      <c r="C4" s="54" t="s">
        <v>2022</v>
      </c>
      <c r="D4" s="54" t="s">
        <v>2023</v>
      </c>
      <c r="E4" s="55" t="s">
        <v>2024</v>
      </c>
      <c r="F4" s="55" t="s">
        <v>2025</v>
      </c>
      <c r="G4" s="55" t="s">
        <v>2025</v>
      </c>
      <c r="H4" s="55" t="s">
        <v>2026</v>
      </c>
      <c r="I4" s="55" t="s">
        <v>2024</v>
      </c>
      <c r="J4" s="55" t="s">
        <v>2025</v>
      </c>
      <c r="K4" s="55" t="s">
        <v>2024</v>
      </c>
      <c r="L4" s="55" t="s">
        <v>2024</v>
      </c>
      <c r="M4" s="55" t="s">
        <v>2025</v>
      </c>
      <c r="N4" s="55" t="s">
        <v>2027</v>
      </c>
      <c r="O4" s="55" t="s">
        <v>2024</v>
      </c>
      <c r="P4" s="55" t="s">
        <v>2024</v>
      </c>
      <c r="Q4" s="55" t="s">
        <v>2025</v>
      </c>
      <c r="R4" s="55" t="s">
        <v>2028</v>
      </c>
      <c r="S4" s="55" t="s">
        <v>2025</v>
      </c>
      <c r="T4" s="55" t="s">
        <v>2025</v>
      </c>
      <c r="U4" s="55" t="s">
        <v>2029</v>
      </c>
      <c r="V4" s="55" t="s">
        <v>208</v>
      </c>
      <c r="W4" s="55" t="s">
        <v>2025</v>
      </c>
      <c r="X4" s="55" t="s">
        <v>208</v>
      </c>
      <c r="Y4" s="55" t="s">
        <v>208</v>
      </c>
      <c r="Z4" s="55" t="s">
        <v>208</v>
      </c>
      <c r="AA4" s="55" t="s">
        <v>1542</v>
      </c>
      <c r="AB4" s="55" t="s">
        <v>1542</v>
      </c>
      <c r="AC4" s="55" t="s">
        <v>208</v>
      </c>
      <c r="AD4" s="55" t="s">
        <v>208</v>
      </c>
      <c r="AE4" s="55" t="s">
        <v>208</v>
      </c>
      <c r="AF4" s="55" t="s">
        <v>208</v>
      </c>
      <c r="AG4" s="55" t="s">
        <v>208</v>
      </c>
      <c r="AH4" s="55" t="s">
        <v>208</v>
      </c>
      <c r="AI4" s="55" t="s">
        <v>1542</v>
      </c>
      <c r="AJ4" s="55" t="s">
        <v>1542</v>
      </c>
      <c r="AK4" s="55"/>
      <c r="AL4" s="55" t="s">
        <v>1542</v>
      </c>
      <c r="AM4" s="55" t="s">
        <v>208</v>
      </c>
      <c r="AN4" s="55" t="s">
        <v>2030</v>
      </c>
      <c r="AO4" s="55" t="s">
        <v>1542</v>
      </c>
      <c r="AP4" s="55" t="s">
        <v>1542</v>
      </c>
      <c r="AQ4" s="55" t="s">
        <v>1542</v>
      </c>
    </row>
    <row r="5" ht="15.75" customHeight="1">
      <c r="A5" s="49">
        <v>9.0</v>
      </c>
      <c r="B5" s="50" t="s">
        <v>193</v>
      </c>
      <c r="C5" s="54" t="s">
        <v>2031</v>
      </c>
      <c r="D5" s="54" t="s">
        <v>614</v>
      </c>
      <c r="E5" s="55">
        <v>2017.0</v>
      </c>
      <c r="F5" s="55">
        <v>2021.0</v>
      </c>
      <c r="G5" s="55">
        <v>2019.0</v>
      </c>
      <c r="H5" s="55">
        <v>2020.0</v>
      </c>
      <c r="I5" s="55">
        <v>2021.0</v>
      </c>
      <c r="J5" s="55">
        <v>2020.0</v>
      </c>
      <c r="K5" s="55">
        <v>2022.0</v>
      </c>
      <c r="L5" s="55">
        <v>2021.0</v>
      </c>
      <c r="M5" s="55">
        <v>2018.0</v>
      </c>
      <c r="N5" s="55">
        <v>2021.0</v>
      </c>
      <c r="O5" s="55">
        <v>2018.0</v>
      </c>
      <c r="P5" s="55">
        <v>2022.0</v>
      </c>
      <c r="Q5" s="55">
        <v>2020.0</v>
      </c>
      <c r="R5" s="55">
        <v>2020.0</v>
      </c>
      <c r="S5" s="55">
        <v>2017.0</v>
      </c>
      <c r="T5" s="55">
        <v>2017.0</v>
      </c>
      <c r="U5" s="55">
        <v>2017.0</v>
      </c>
      <c r="V5" s="55">
        <v>2019.0</v>
      </c>
      <c r="W5" s="55">
        <v>2020.0</v>
      </c>
      <c r="X5" s="55">
        <v>2020.0</v>
      </c>
      <c r="Y5" s="55">
        <v>2019.0</v>
      </c>
      <c r="Z5" s="55">
        <v>2019.0</v>
      </c>
      <c r="AA5" s="55">
        <v>2021.0</v>
      </c>
      <c r="AB5" s="55">
        <v>2019.0</v>
      </c>
      <c r="AC5" s="55">
        <v>2019.0</v>
      </c>
      <c r="AD5" s="55">
        <v>2021.0</v>
      </c>
      <c r="AE5" s="55">
        <v>2019.0</v>
      </c>
      <c r="AF5" s="55">
        <v>2022.0</v>
      </c>
      <c r="AG5" s="55">
        <v>2019.0</v>
      </c>
      <c r="AH5" s="55">
        <v>2020.0</v>
      </c>
      <c r="AI5" s="55">
        <v>2018.0</v>
      </c>
      <c r="AJ5" s="55">
        <v>2019.0</v>
      </c>
      <c r="AK5" s="55">
        <v>2015.0</v>
      </c>
      <c r="AL5" s="56">
        <v>2020.0</v>
      </c>
      <c r="AM5" s="56">
        <v>2020.0</v>
      </c>
      <c r="AN5" s="56">
        <v>2019.0</v>
      </c>
      <c r="AO5" s="56">
        <v>2021.0</v>
      </c>
      <c r="AP5" s="56">
        <v>2021.0</v>
      </c>
      <c r="AQ5" s="56">
        <v>2018.0</v>
      </c>
    </row>
    <row r="6" ht="15.75" customHeight="1">
      <c r="A6" s="49">
        <v>9.0</v>
      </c>
      <c r="B6" s="50" t="s">
        <v>227</v>
      </c>
      <c r="C6" s="54" t="s">
        <v>2032</v>
      </c>
      <c r="D6" s="54" t="s">
        <v>1555</v>
      </c>
      <c r="E6" s="55">
        <v>2017.0</v>
      </c>
      <c r="F6" s="55">
        <v>2021.0</v>
      </c>
      <c r="G6" s="55">
        <v>2019.0</v>
      </c>
      <c r="H6" s="55">
        <v>2020.0</v>
      </c>
      <c r="I6" s="55">
        <v>2021.0</v>
      </c>
      <c r="J6" s="55">
        <v>2020.0</v>
      </c>
      <c r="K6" s="55">
        <v>2022.0</v>
      </c>
      <c r="L6" s="55">
        <v>2021.0</v>
      </c>
      <c r="M6" s="55">
        <v>2018.0</v>
      </c>
      <c r="N6" s="55">
        <v>2021.0</v>
      </c>
      <c r="O6" s="55">
        <v>2018.0</v>
      </c>
      <c r="P6" s="55">
        <v>2022.0</v>
      </c>
      <c r="Q6" s="55">
        <v>2020.0</v>
      </c>
      <c r="R6" s="55">
        <v>2020.0</v>
      </c>
      <c r="S6" s="55">
        <v>2017.0</v>
      </c>
      <c r="T6" s="55">
        <v>2017.0</v>
      </c>
      <c r="U6" s="55">
        <v>2017.0</v>
      </c>
      <c r="V6" s="55">
        <v>2019.0</v>
      </c>
      <c r="W6" s="55">
        <v>2020.0</v>
      </c>
      <c r="X6" s="55">
        <v>2020.0</v>
      </c>
      <c r="Y6" s="55">
        <v>2019.0</v>
      </c>
      <c r="Z6" s="55">
        <v>2019.0</v>
      </c>
      <c r="AA6" s="55">
        <v>2021.0</v>
      </c>
      <c r="AB6" s="55">
        <v>2019.0</v>
      </c>
      <c r="AC6" s="55">
        <v>2019.0</v>
      </c>
      <c r="AD6" s="55">
        <v>2021.0</v>
      </c>
      <c r="AE6" s="55">
        <v>2019.0</v>
      </c>
      <c r="AF6" s="55">
        <v>2022.0</v>
      </c>
      <c r="AG6" s="55">
        <v>2019.0</v>
      </c>
      <c r="AH6" s="55">
        <v>2020.0</v>
      </c>
      <c r="AI6" s="55">
        <v>2018.0</v>
      </c>
      <c r="AJ6" s="55">
        <v>2019.0</v>
      </c>
      <c r="AK6" s="55">
        <v>2015.0</v>
      </c>
      <c r="AL6" s="56">
        <v>2020.0</v>
      </c>
      <c r="AM6" s="56">
        <v>2020.0</v>
      </c>
      <c r="AN6" s="56">
        <v>2019.0</v>
      </c>
      <c r="AO6" s="56">
        <v>2021.0</v>
      </c>
      <c r="AP6" s="56">
        <v>2021.0</v>
      </c>
      <c r="AQ6" s="56">
        <v>2018.0</v>
      </c>
    </row>
    <row r="7" ht="15.75" customHeight="1">
      <c r="A7" s="49">
        <v>9.0</v>
      </c>
      <c r="B7" s="50" t="s">
        <v>2033</v>
      </c>
      <c r="C7" s="54" t="s">
        <v>2034</v>
      </c>
      <c r="D7" s="54" t="s">
        <v>2035</v>
      </c>
      <c r="E7" s="55">
        <v>2017.0</v>
      </c>
      <c r="F7" s="55">
        <v>2021.0</v>
      </c>
      <c r="G7" s="55">
        <v>2019.0</v>
      </c>
      <c r="H7" s="55">
        <v>2020.0</v>
      </c>
      <c r="I7" s="55">
        <v>2021.0</v>
      </c>
      <c r="J7" s="55">
        <v>2020.0</v>
      </c>
      <c r="K7" s="55">
        <v>2022.0</v>
      </c>
      <c r="L7" s="55">
        <v>2021.0</v>
      </c>
      <c r="M7" s="55">
        <v>2018.0</v>
      </c>
      <c r="N7" s="55">
        <v>2021.0</v>
      </c>
      <c r="O7" s="55">
        <v>2018.0</v>
      </c>
      <c r="P7" s="55">
        <v>2022.0</v>
      </c>
      <c r="Q7" s="55">
        <v>2020.0</v>
      </c>
      <c r="R7" s="55">
        <v>2020.0</v>
      </c>
      <c r="S7" s="55">
        <v>2017.0</v>
      </c>
      <c r="T7" s="55">
        <v>2017.0</v>
      </c>
      <c r="U7" s="55">
        <v>2017.0</v>
      </c>
      <c r="V7" s="55">
        <v>2019.0</v>
      </c>
      <c r="W7" s="55">
        <v>2020.0</v>
      </c>
      <c r="X7" s="55">
        <v>2020.0</v>
      </c>
      <c r="Y7" s="55">
        <v>2019.0</v>
      </c>
      <c r="Z7" s="55">
        <v>2019.0</v>
      </c>
      <c r="AA7" s="55">
        <v>2021.0</v>
      </c>
      <c r="AB7" s="55">
        <v>2019.0</v>
      </c>
      <c r="AC7" s="55">
        <v>2019.0</v>
      </c>
      <c r="AD7" s="55">
        <v>2021.0</v>
      </c>
      <c r="AE7" s="55">
        <v>2019.0</v>
      </c>
      <c r="AF7" s="55">
        <v>2022.0</v>
      </c>
      <c r="AG7" s="55">
        <v>2019.0</v>
      </c>
      <c r="AH7" s="55">
        <v>2020.0</v>
      </c>
      <c r="AI7" s="55">
        <v>2018.0</v>
      </c>
      <c r="AJ7" s="55">
        <v>2019.0</v>
      </c>
      <c r="AK7" s="55">
        <v>2015.0</v>
      </c>
      <c r="AL7" s="56">
        <v>2020.0</v>
      </c>
      <c r="AM7" s="56">
        <v>2020.0</v>
      </c>
      <c r="AN7" s="56">
        <v>2019.0</v>
      </c>
      <c r="AO7" s="56">
        <v>2021.0</v>
      </c>
      <c r="AP7" s="56">
        <v>2021.0</v>
      </c>
      <c r="AQ7" s="56">
        <v>2018.0</v>
      </c>
    </row>
    <row r="8" ht="15.75" customHeight="1">
      <c r="A8" s="49">
        <v>9.0</v>
      </c>
      <c r="B8" s="50" t="s">
        <v>49</v>
      </c>
      <c r="C8" s="54" t="s">
        <v>2036</v>
      </c>
      <c r="D8" s="54" t="s">
        <v>2037</v>
      </c>
      <c r="E8" s="55" t="s">
        <v>2038</v>
      </c>
      <c r="F8" s="55" t="s">
        <v>2038</v>
      </c>
      <c r="G8" s="55" t="s">
        <v>947</v>
      </c>
      <c r="H8" s="55" t="s">
        <v>2039</v>
      </c>
      <c r="I8" s="55" t="s">
        <v>2038</v>
      </c>
      <c r="J8" s="55" t="s">
        <v>947</v>
      </c>
      <c r="K8" s="55" t="s">
        <v>2038</v>
      </c>
      <c r="L8" s="55" t="s">
        <v>2038</v>
      </c>
      <c r="M8" s="55" t="s">
        <v>2040</v>
      </c>
      <c r="N8" s="55" t="s">
        <v>2041</v>
      </c>
      <c r="O8" s="55" t="s">
        <v>2038</v>
      </c>
      <c r="P8" s="55" t="s">
        <v>2038</v>
      </c>
      <c r="Q8" s="55" t="s">
        <v>947</v>
      </c>
      <c r="R8" s="55" t="s">
        <v>2042</v>
      </c>
      <c r="S8" s="55" t="s">
        <v>2043</v>
      </c>
      <c r="T8" s="55" t="s">
        <v>947</v>
      </c>
      <c r="U8" s="57" t="s">
        <v>2044</v>
      </c>
      <c r="V8" s="55" t="s">
        <v>2045</v>
      </c>
      <c r="W8" s="55" t="s">
        <v>947</v>
      </c>
      <c r="X8" s="55" t="s">
        <v>2045</v>
      </c>
      <c r="Y8" s="55" t="s">
        <v>2045</v>
      </c>
      <c r="Z8" s="55" t="s">
        <v>2046</v>
      </c>
      <c r="AA8" s="55" t="s">
        <v>947</v>
      </c>
      <c r="AB8" s="55" t="s">
        <v>947</v>
      </c>
      <c r="AC8" s="55" t="s">
        <v>2045</v>
      </c>
      <c r="AD8" s="55" t="s">
        <v>2045</v>
      </c>
      <c r="AE8" s="55" t="s">
        <v>2045</v>
      </c>
      <c r="AF8" s="55" t="s">
        <v>2045</v>
      </c>
      <c r="AG8" s="55" t="s">
        <v>2045</v>
      </c>
      <c r="AH8" s="55" t="s">
        <v>2045</v>
      </c>
      <c r="AI8" s="55" t="s">
        <v>947</v>
      </c>
      <c r="AJ8" s="55" t="s">
        <v>947</v>
      </c>
      <c r="AK8" s="55" t="s">
        <v>947</v>
      </c>
      <c r="AL8" s="55" t="s">
        <v>947</v>
      </c>
      <c r="AM8" s="55" t="s">
        <v>2045</v>
      </c>
      <c r="AN8" s="55" t="s">
        <v>2047</v>
      </c>
      <c r="AO8" s="55" t="s">
        <v>947</v>
      </c>
      <c r="AP8" s="55" t="s">
        <v>947</v>
      </c>
      <c r="AQ8" s="55" t="s">
        <v>947</v>
      </c>
    </row>
    <row r="9" ht="15.75" customHeight="1">
      <c r="A9" s="49">
        <v>9.0</v>
      </c>
      <c r="B9" s="50" t="s">
        <v>437</v>
      </c>
      <c r="C9" s="54" t="s">
        <v>2048</v>
      </c>
      <c r="D9" s="54" t="s">
        <v>1612</v>
      </c>
      <c r="E9" s="55" t="s">
        <v>2049</v>
      </c>
      <c r="F9" s="55" t="s">
        <v>2049</v>
      </c>
      <c r="G9" s="55" t="s">
        <v>953</v>
      </c>
      <c r="H9" s="55" t="s">
        <v>2050</v>
      </c>
      <c r="I9" s="55" t="s">
        <v>2049</v>
      </c>
      <c r="J9" s="55" t="s">
        <v>953</v>
      </c>
      <c r="K9" s="55" t="s">
        <v>2049</v>
      </c>
      <c r="L9" s="55" t="s">
        <v>953</v>
      </c>
      <c r="M9" s="55" t="s">
        <v>2051</v>
      </c>
      <c r="N9" s="55" t="s">
        <v>2052</v>
      </c>
      <c r="O9" s="55" t="s">
        <v>953</v>
      </c>
      <c r="P9" s="55" t="s">
        <v>2049</v>
      </c>
      <c r="Q9" s="55" t="s">
        <v>953</v>
      </c>
      <c r="R9" s="55" t="s">
        <v>2053</v>
      </c>
      <c r="S9" s="55" t="s">
        <v>953</v>
      </c>
      <c r="T9" s="55" t="s">
        <v>2051</v>
      </c>
      <c r="U9" s="55" t="s">
        <v>2054</v>
      </c>
      <c r="V9" s="55" t="s">
        <v>954</v>
      </c>
      <c r="W9" s="55" t="s">
        <v>953</v>
      </c>
      <c r="X9" s="55" t="s">
        <v>954</v>
      </c>
      <c r="Y9" s="55" t="s">
        <v>953</v>
      </c>
      <c r="Z9" s="55" t="s">
        <v>2055</v>
      </c>
      <c r="AA9" s="55" t="s">
        <v>953</v>
      </c>
      <c r="AB9" s="55" t="s">
        <v>953</v>
      </c>
      <c r="AC9" s="55" t="s">
        <v>954</v>
      </c>
      <c r="AD9" s="55" t="s">
        <v>953</v>
      </c>
      <c r="AE9" s="55" t="s">
        <v>954</v>
      </c>
      <c r="AF9" s="55" t="s">
        <v>2055</v>
      </c>
      <c r="AG9" s="55" t="s">
        <v>954</v>
      </c>
      <c r="AH9" s="55" t="s">
        <v>954</v>
      </c>
      <c r="AI9" s="55" t="s">
        <v>953</v>
      </c>
      <c r="AJ9" s="55" t="s">
        <v>953</v>
      </c>
      <c r="AK9" s="55" t="s">
        <v>953</v>
      </c>
      <c r="AL9" s="55" t="s">
        <v>953</v>
      </c>
      <c r="AM9" s="55" t="s">
        <v>954</v>
      </c>
      <c r="AN9" s="55" t="s">
        <v>2056</v>
      </c>
      <c r="AO9" s="55" t="s">
        <v>953</v>
      </c>
      <c r="AP9" s="55" t="s">
        <v>953</v>
      </c>
      <c r="AQ9" s="55" t="s">
        <v>953</v>
      </c>
    </row>
    <row r="10" ht="15.75" customHeight="1">
      <c r="A10" s="49">
        <v>9.0</v>
      </c>
      <c r="B10" s="50" t="s">
        <v>2057</v>
      </c>
      <c r="C10" s="54" t="s">
        <v>2058</v>
      </c>
      <c r="D10" s="54" t="s">
        <v>2059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6"/>
      <c r="AO10" s="55"/>
      <c r="AP10" s="55"/>
      <c r="AQ10" s="55"/>
    </row>
    <row r="11" ht="15.75" customHeight="1">
      <c r="A11" s="49">
        <v>9.0</v>
      </c>
      <c r="B11" s="50" t="s">
        <v>223</v>
      </c>
      <c r="C11" s="54" t="s">
        <v>615</v>
      </c>
      <c r="D11" s="54" t="s">
        <v>2060</v>
      </c>
      <c r="E11" s="52" t="s">
        <v>47</v>
      </c>
      <c r="F11" s="52" t="s">
        <v>47</v>
      </c>
      <c r="G11" s="52" t="s">
        <v>47</v>
      </c>
      <c r="H11" s="52" t="s">
        <v>47</v>
      </c>
      <c r="I11" s="52" t="s">
        <v>47</v>
      </c>
      <c r="J11" s="52" t="s">
        <v>47</v>
      </c>
      <c r="K11" s="52" t="s">
        <v>47</v>
      </c>
      <c r="L11" s="52" t="s">
        <v>47</v>
      </c>
      <c r="M11" s="55" t="s">
        <v>48</v>
      </c>
      <c r="N11" s="55" t="s">
        <v>48</v>
      </c>
      <c r="O11" s="52" t="s">
        <v>47</v>
      </c>
      <c r="P11" s="52" t="s">
        <v>47</v>
      </c>
      <c r="Q11" s="52" t="s">
        <v>47</v>
      </c>
      <c r="R11" s="55" t="s">
        <v>2061</v>
      </c>
      <c r="S11" s="52" t="s">
        <v>47</v>
      </c>
      <c r="T11" s="55" t="s">
        <v>48</v>
      </c>
      <c r="U11" s="52" t="s">
        <v>47</v>
      </c>
      <c r="V11" s="52" t="s">
        <v>47</v>
      </c>
      <c r="W11" s="52" t="s">
        <v>47</v>
      </c>
      <c r="X11" s="52" t="s">
        <v>47</v>
      </c>
      <c r="Y11" s="52" t="s">
        <v>47</v>
      </c>
      <c r="Z11" s="55" t="s">
        <v>48</v>
      </c>
      <c r="AA11" s="52" t="s">
        <v>47</v>
      </c>
      <c r="AB11" s="52" t="s">
        <v>47</v>
      </c>
      <c r="AC11" s="52" t="s">
        <v>47</v>
      </c>
      <c r="AD11" s="52" t="s">
        <v>47</v>
      </c>
      <c r="AE11" s="52" t="s">
        <v>47</v>
      </c>
      <c r="AF11" s="55" t="s">
        <v>48</v>
      </c>
      <c r="AG11" s="52" t="s">
        <v>47</v>
      </c>
      <c r="AH11" s="52" t="s">
        <v>47</v>
      </c>
      <c r="AI11" s="52" t="s">
        <v>47</v>
      </c>
      <c r="AJ11" s="52" t="s">
        <v>47</v>
      </c>
      <c r="AK11" s="52" t="s">
        <v>47</v>
      </c>
      <c r="AL11" s="52" t="s">
        <v>47</v>
      </c>
      <c r="AM11" s="52" t="s">
        <v>47</v>
      </c>
      <c r="AN11" s="52" t="s">
        <v>47</v>
      </c>
      <c r="AO11" s="52" t="s">
        <v>47</v>
      </c>
      <c r="AP11" s="52" t="s">
        <v>47</v>
      </c>
      <c r="AQ11" s="52" t="s">
        <v>47</v>
      </c>
    </row>
    <row r="12" ht="15.75" customHeight="1">
      <c r="A12" s="49">
        <v>9.0</v>
      </c>
      <c r="B12" s="50" t="s">
        <v>43</v>
      </c>
      <c r="C12" s="54" t="s">
        <v>21</v>
      </c>
      <c r="D12" s="54" t="s">
        <v>2062</v>
      </c>
      <c r="E12" s="55" t="s">
        <v>65</v>
      </c>
      <c r="F12" s="55" t="s">
        <v>65</v>
      </c>
      <c r="G12" s="55" t="s">
        <v>65</v>
      </c>
      <c r="H12" s="55" t="s">
        <v>65</v>
      </c>
      <c r="I12" s="55" t="s">
        <v>65</v>
      </c>
      <c r="J12" s="55" t="s">
        <v>65</v>
      </c>
      <c r="K12" s="55" t="s">
        <v>65</v>
      </c>
      <c r="L12" s="55" t="s">
        <v>65</v>
      </c>
      <c r="M12" s="55" t="s">
        <v>66</v>
      </c>
      <c r="N12" s="55" t="s">
        <v>66</v>
      </c>
      <c r="O12" s="55" t="s">
        <v>65</v>
      </c>
      <c r="P12" s="55" t="s">
        <v>65</v>
      </c>
      <c r="Q12" s="55" t="s">
        <v>65</v>
      </c>
      <c r="R12" s="7" t="s">
        <v>2063</v>
      </c>
      <c r="S12" s="55" t="s">
        <v>65</v>
      </c>
      <c r="T12" s="55" t="s">
        <v>66</v>
      </c>
      <c r="U12" s="55" t="s">
        <v>65</v>
      </c>
      <c r="V12" s="55" t="s">
        <v>65</v>
      </c>
      <c r="W12" s="55" t="s">
        <v>65</v>
      </c>
      <c r="X12" s="55" t="s">
        <v>65</v>
      </c>
      <c r="Y12" s="55" t="s">
        <v>65</v>
      </c>
      <c r="Z12" s="55" t="s">
        <v>66</v>
      </c>
      <c r="AA12" s="55" t="s">
        <v>65</v>
      </c>
      <c r="AB12" s="55" t="s">
        <v>65</v>
      </c>
      <c r="AC12" s="55" t="s">
        <v>65</v>
      </c>
      <c r="AD12" s="55" t="s">
        <v>65</v>
      </c>
      <c r="AE12" s="55" t="s">
        <v>65</v>
      </c>
      <c r="AF12" s="55" t="s">
        <v>65</v>
      </c>
      <c r="AG12" s="55" t="s">
        <v>65</v>
      </c>
      <c r="AH12" s="55" t="s">
        <v>65</v>
      </c>
      <c r="AI12" s="55" t="s">
        <v>65</v>
      </c>
      <c r="AJ12" s="55" t="s">
        <v>65</v>
      </c>
      <c r="AK12" s="55" t="s">
        <v>65</v>
      </c>
      <c r="AL12" s="55" t="s">
        <v>65</v>
      </c>
      <c r="AM12" s="55" t="s">
        <v>65</v>
      </c>
      <c r="AN12" s="55" t="s">
        <v>65</v>
      </c>
      <c r="AO12" s="55" t="s">
        <v>65</v>
      </c>
      <c r="AP12" s="55" t="s">
        <v>65</v>
      </c>
      <c r="AQ12" s="55" t="s">
        <v>65</v>
      </c>
    </row>
    <row r="13" ht="15.75" customHeight="1">
      <c r="A13" s="49">
        <v>9.0</v>
      </c>
      <c r="B13" s="50" t="s">
        <v>2064</v>
      </c>
      <c r="C13" s="54" t="s">
        <v>36</v>
      </c>
      <c r="D13" s="54" t="s">
        <v>2065</v>
      </c>
      <c r="E13" s="55" t="s">
        <v>2066</v>
      </c>
      <c r="F13" s="55" t="s">
        <v>2067</v>
      </c>
      <c r="G13" s="55" t="s">
        <v>2068</v>
      </c>
      <c r="H13" s="55" t="s">
        <v>2069</v>
      </c>
      <c r="I13" s="55" t="s">
        <v>2070</v>
      </c>
      <c r="J13" s="55" t="s">
        <v>2071</v>
      </c>
      <c r="K13" s="55" t="s">
        <v>2072</v>
      </c>
      <c r="L13" s="55" t="s">
        <v>2073</v>
      </c>
      <c r="M13" s="55" t="s">
        <v>2074</v>
      </c>
      <c r="N13" s="55" t="s">
        <v>2075</v>
      </c>
      <c r="O13" s="55" t="s">
        <v>2076</v>
      </c>
      <c r="P13" s="55" t="s">
        <v>2077</v>
      </c>
      <c r="Q13" s="55" t="s">
        <v>2078</v>
      </c>
      <c r="R13" s="55" t="s">
        <v>2079</v>
      </c>
      <c r="S13" s="55" t="s">
        <v>2080</v>
      </c>
      <c r="T13" s="55" t="s">
        <v>2081</v>
      </c>
      <c r="U13" s="55" t="s">
        <v>2082</v>
      </c>
      <c r="V13" s="55" t="s">
        <v>2083</v>
      </c>
      <c r="W13" s="55" t="s">
        <v>2084</v>
      </c>
      <c r="X13" s="55" t="s">
        <v>2085</v>
      </c>
      <c r="Y13" s="55" t="s">
        <v>2086</v>
      </c>
      <c r="Z13" s="55" t="s">
        <v>2087</v>
      </c>
      <c r="AA13" s="55" t="s">
        <v>2088</v>
      </c>
      <c r="AB13" s="55" t="s">
        <v>2089</v>
      </c>
      <c r="AC13" s="55" t="s">
        <v>2090</v>
      </c>
      <c r="AD13" s="55" t="s">
        <v>2091</v>
      </c>
      <c r="AE13" s="55" t="s">
        <v>2092</v>
      </c>
      <c r="AF13" s="55" t="s">
        <v>2093</v>
      </c>
      <c r="AG13" s="55" t="s">
        <v>2094</v>
      </c>
      <c r="AH13" s="55" t="s">
        <v>2095</v>
      </c>
      <c r="AI13" s="55" t="s">
        <v>2096</v>
      </c>
      <c r="AJ13" s="55" t="s">
        <v>2097</v>
      </c>
      <c r="AK13" s="55" t="s">
        <v>2098</v>
      </c>
      <c r="AL13" s="55" t="s">
        <v>2099</v>
      </c>
      <c r="AM13" s="58" t="s">
        <v>2100</v>
      </c>
      <c r="AN13" s="56" t="s">
        <v>2101</v>
      </c>
      <c r="AO13" s="55" t="s">
        <v>2102</v>
      </c>
      <c r="AP13" s="55" t="s">
        <v>2103</v>
      </c>
      <c r="AQ13" s="55" t="s">
        <v>2104</v>
      </c>
    </row>
    <row r="14" ht="15.75" customHeight="1">
      <c r="A14" s="49">
        <v>9.0</v>
      </c>
      <c r="B14" s="50" t="s">
        <v>62</v>
      </c>
      <c r="C14" s="54" t="s">
        <v>2105</v>
      </c>
      <c r="D14" s="54" t="s">
        <v>2106</v>
      </c>
      <c r="E14" s="55" t="s">
        <v>65</v>
      </c>
      <c r="F14" s="55" t="s">
        <v>65</v>
      </c>
      <c r="G14" s="55" t="s">
        <v>65</v>
      </c>
      <c r="H14" s="55" t="s">
        <v>65</v>
      </c>
      <c r="I14" s="55" t="s">
        <v>65</v>
      </c>
      <c r="J14" s="55" t="s">
        <v>65</v>
      </c>
      <c r="K14" s="55" t="s">
        <v>65</v>
      </c>
      <c r="L14" s="55" t="s">
        <v>65</v>
      </c>
      <c r="M14" s="55" t="s">
        <v>66</v>
      </c>
      <c r="N14" s="55" t="s">
        <v>66</v>
      </c>
      <c r="O14" s="55" t="s">
        <v>65</v>
      </c>
      <c r="P14" s="55" t="s">
        <v>65</v>
      </c>
      <c r="Q14" s="55" t="s">
        <v>65</v>
      </c>
      <c r="R14" s="7" t="s">
        <v>2063</v>
      </c>
      <c r="S14" s="55" t="s">
        <v>65</v>
      </c>
      <c r="T14" s="55" t="s">
        <v>66</v>
      </c>
      <c r="U14" s="55" t="s">
        <v>65</v>
      </c>
      <c r="V14" s="55" t="s">
        <v>65</v>
      </c>
      <c r="W14" s="55" t="s">
        <v>65</v>
      </c>
      <c r="X14" s="55" t="s">
        <v>65</v>
      </c>
      <c r="Y14" s="55" t="s">
        <v>65</v>
      </c>
      <c r="Z14" s="55" t="s">
        <v>66</v>
      </c>
      <c r="AA14" s="55" t="s">
        <v>65</v>
      </c>
      <c r="AB14" s="55" t="s">
        <v>65</v>
      </c>
      <c r="AC14" s="55" t="s">
        <v>65</v>
      </c>
      <c r="AD14" s="55" t="s">
        <v>65</v>
      </c>
      <c r="AE14" s="55" t="s">
        <v>65</v>
      </c>
      <c r="AF14" s="55" t="s">
        <v>65</v>
      </c>
      <c r="AG14" s="55" t="s">
        <v>65</v>
      </c>
      <c r="AH14" s="55" t="s">
        <v>65</v>
      </c>
      <c r="AI14" s="55" t="s">
        <v>65</v>
      </c>
      <c r="AJ14" s="55" t="s">
        <v>65</v>
      </c>
      <c r="AK14" s="55" t="s">
        <v>65</v>
      </c>
      <c r="AL14" s="55" t="s">
        <v>65</v>
      </c>
      <c r="AM14" s="55" t="s">
        <v>65</v>
      </c>
      <c r="AN14" s="55" t="s">
        <v>65</v>
      </c>
      <c r="AO14" s="55" t="s">
        <v>65</v>
      </c>
      <c r="AP14" s="55" t="s">
        <v>65</v>
      </c>
      <c r="AQ14" s="55" t="s">
        <v>65</v>
      </c>
    </row>
    <row r="15" ht="15.75" customHeight="1">
      <c r="A15" s="49">
        <v>9.0</v>
      </c>
      <c r="B15" s="50" t="s">
        <v>966</v>
      </c>
      <c r="C15" s="54" t="s">
        <v>2107</v>
      </c>
      <c r="D15" s="54" t="s">
        <v>2108</v>
      </c>
      <c r="E15" s="55" t="s">
        <v>2109</v>
      </c>
      <c r="F15" s="55" t="s">
        <v>2109</v>
      </c>
      <c r="G15" s="55" t="s">
        <v>2110</v>
      </c>
      <c r="H15" s="55" t="s">
        <v>2111</v>
      </c>
      <c r="I15" s="55" t="s">
        <v>2109</v>
      </c>
      <c r="J15" s="55" t="s">
        <v>2110</v>
      </c>
      <c r="K15" s="55" t="s">
        <v>2109</v>
      </c>
      <c r="L15" s="55" t="s">
        <v>2109</v>
      </c>
      <c r="M15" s="55" t="s">
        <v>2112</v>
      </c>
      <c r="N15" s="55" t="s">
        <v>2113</v>
      </c>
      <c r="O15" s="55" t="s">
        <v>2110</v>
      </c>
      <c r="P15" s="55" t="s">
        <v>2109</v>
      </c>
      <c r="Q15" s="55" t="s">
        <v>2110</v>
      </c>
      <c r="R15" s="55" t="s">
        <v>2114</v>
      </c>
      <c r="S15" s="55" t="s">
        <v>2110</v>
      </c>
      <c r="T15" s="55" t="s">
        <v>2112</v>
      </c>
      <c r="U15" s="55" t="s">
        <v>2115</v>
      </c>
      <c r="V15" s="55" t="s">
        <v>2109</v>
      </c>
      <c r="W15" s="55" t="s">
        <v>2110</v>
      </c>
      <c r="X15" s="55" t="s">
        <v>2109</v>
      </c>
      <c r="Y15" s="55" t="s">
        <v>2109</v>
      </c>
      <c r="Z15" s="55" t="s">
        <v>2116</v>
      </c>
      <c r="AA15" s="55" t="s">
        <v>2110</v>
      </c>
      <c r="AB15" s="55" t="s">
        <v>2110</v>
      </c>
      <c r="AC15" s="55" t="s">
        <v>2109</v>
      </c>
      <c r="AD15" s="55" t="s">
        <v>2109</v>
      </c>
      <c r="AE15" s="55" t="s">
        <v>2109</v>
      </c>
      <c r="AF15" s="55" t="s">
        <v>2109</v>
      </c>
      <c r="AG15" s="55" t="s">
        <v>2109</v>
      </c>
      <c r="AH15" s="55" t="s">
        <v>2109</v>
      </c>
      <c r="AI15" s="55" t="s">
        <v>2110</v>
      </c>
      <c r="AJ15" s="55" t="s">
        <v>2110</v>
      </c>
      <c r="AK15" s="55"/>
      <c r="AL15" s="55" t="s">
        <v>2110</v>
      </c>
      <c r="AM15" s="55" t="s">
        <v>2109</v>
      </c>
      <c r="AN15" s="55" t="s">
        <v>2117</v>
      </c>
      <c r="AO15" s="55" t="s">
        <v>2110</v>
      </c>
      <c r="AP15" s="55" t="s">
        <v>2110</v>
      </c>
      <c r="AQ15" s="55" t="s">
        <v>2110</v>
      </c>
    </row>
    <row r="16" ht="15.75" customHeight="1">
      <c r="A16" s="49">
        <v>9.0</v>
      </c>
      <c r="B16" s="50" t="s">
        <v>309</v>
      </c>
      <c r="C16" s="54" t="s">
        <v>2118</v>
      </c>
      <c r="D16" s="54" t="s">
        <v>1655</v>
      </c>
      <c r="E16" s="55" t="s">
        <v>271</v>
      </c>
      <c r="F16" s="55" t="s">
        <v>271</v>
      </c>
      <c r="G16" s="52" t="s">
        <v>523</v>
      </c>
      <c r="H16" s="55" t="s">
        <v>2119</v>
      </c>
      <c r="I16" s="55" t="s">
        <v>271</v>
      </c>
      <c r="J16" s="52" t="s">
        <v>523</v>
      </c>
      <c r="K16" s="55" t="s">
        <v>271</v>
      </c>
      <c r="L16" s="52" t="s">
        <v>523</v>
      </c>
      <c r="M16" s="52" t="s">
        <v>523</v>
      </c>
      <c r="N16" s="52" t="s">
        <v>2120</v>
      </c>
      <c r="O16" s="52" t="s">
        <v>523</v>
      </c>
      <c r="P16" s="55" t="s">
        <v>271</v>
      </c>
      <c r="Q16" s="52" t="s">
        <v>523</v>
      </c>
      <c r="R16" s="55"/>
      <c r="S16" s="52" t="s">
        <v>523</v>
      </c>
      <c r="T16" s="52" t="s">
        <v>523</v>
      </c>
      <c r="U16" s="55" t="s">
        <v>2121</v>
      </c>
      <c r="V16" s="55" t="s">
        <v>238</v>
      </c>
      <c r="W16" s="55" t="s">
        <v>238</v>
      </c>
      <c r="X16" s="55" t="s">
        <v>273</v>
      </c>
      <c r="Y16" s="55" t="s">
        <v>238</v>
      </c>
      <c r="Z16" s="55" t="s">
        <v>273</v>
      </c>
      <c r="AA16" s="55" t="s">
        <v>238</v>
      </c>
      <c r="AB16" s="55" t="s">
        <v>238</v>
      </c>
      <c r="AC16" s="55" t="s">
        <v>273</v>
      </c>
      <c r="AD16" s="55" t="s">
        <v>238</v>
      </c>
      <c r="AE16" s="55" t="s">
        <v>273</v>
      </c>
      <c r="AF16" s="55" t="s">
        <v>273</v>
      </c>
      <c r="AG16" s="55" t="s">
        <v>238</v>
      </c>
      <c r="AH16" s="55" t="s">
        <v>273</v>
      </c>
      <c r="AI16" s="55" t="s">
        <v>238</v>
      </c>
      <c r="AJ16" s="55" t="s">
        <v>238</v>
      </c>
      <c r="AK16" s="55"/>
      <c r="AL16" s="55" t="s">
        <v>238</v>
      </c>
      <c r="AM16" s="58" t="s">
        <v>238</v>
      </c>
      <c r="AN16" s="55" t="s">
        <v>2122</v>
      </c>
      <c r="AO16" s="55" t="s">
        <v>2123</v>
      </c>
      <c r="AP16" s="55" t="s">
        <v>2123</v>
      </c>
      <c r="AQ16" s="55" t="s">
        <v>2123</v>
      </c>
    </row>
    <row r="17" ht="15.75" customHeight="1">
      <c r="A17" s="49">
        <v>9.0</v>
      </c>
      <c r="B17" s="50" t="s">
        <v>314</v>
      </c>
      <c r="C17" s="51" t="s">
        <v>2124</v>
      </c>
      <c r="D17" s="51" t="s">
        <v>2125</v>
      </c>
      <c r="E17" s="52" t="s">
        <v>2126</v>
      </c>
      <c r="F17" s="52" t="s">
        <v>2127</v>
      </c>
      <c r="G17" s="52" t="s">
        <v>1659</v>
      </c>
      <c r="H17" s="52" t="s">
        <v>277</v>
      </c>
      <c r="I17" s="52" t="s">
        <v>1659</v>
      </c>
      <c r="J17" s="52" t="s">
        <v>1659</v>
      </c>
      <c r="K17" s="52" t="s">
        <v>2128</v>
      </c>
      <c r="L17" s="52" t="s">
        <v>2129</v>
      </c>
      <c r="M17" s="52" t="s">
        <v>2129</v>
      </c>
      <c r="N17" s="52" t="s">
        <v>2130</v>
      </c>
      <c r="O17" s="52" t="s">
        <v>1659</v>
      </c>
      <c r="P17" s="52" t="s">
        <v>1659</v>
      </c>
      <c r="Q17" s="52" t="s">
        <v>2131</v>
      </c>
      <c r="R17" s="52" t="s">
        <v>1096</v>
      </c>
      <c r="S17" s="52" t="s">
        <v>2132</v>
      </c>
      <c r="T17" s="52" t="s">
        <v>2133</v>
      </c>
      <c r="U17" s="52" t="s">
        <v>1450</v>
      </c>
      <c r="V17" s="52" t="s">
        <v>1096</v>
      </c>
      <c r="W17" s="52" t="s">
        <v>1664</v>
      </c>
      <c r="X17" s="52" t="s">
        <v>1096</v>
      </c>
      <c r="Y17" s="52" t="s">
        <v>2129</v>
      </c>
      <c r="Z17" s="52" t="s">
        <v>2134</v>
      </c>
      <c r="AA17" s="52" t="s">
        <v>2135</v>
      </c>
      <c r="AB17" s="52" t="s">
        <v>2136</v>
      </c>
      <c r="AC17" s="52" t="s">
        <v>787</v>
      </c>
      <c r="AD17" s="52" t="s">
        <v>2137</v>
      </c>
      <c r="AE17" s="52" t="s">
        <v>1664</v>
      </c>
      <c r="AF17" s="52" t="s">
        <v>1664</v>
      </c>
      <c r="AG17" s="52" t="s">
        <v>2128</v>
      </c>
      <c r="AH17" s="52" t="s">
        <v>2138</v>
      </c>
      <c r="AI17" s="52" t="s">
        <v>1664</v>
      </c>
      <c r="AJ17" s="52" t="s">
        <v>1664</v>
      </c>
      <c r="AK17" s="52" t="s">
        <v>1664</v>
      </c>
      <c r="AL17" s="52" t="s">
        <v>1664</v>
      </c>
      <c r="AM17" s="59" t="s">
        <v>2137</v>
      </c>
      <c r="AN17" s="52" t="s">
        <v>2139</v>
      </c>
      <c r="AO17" s="52" t="s">
        <v>2140</v>
      </c>
      <c r="AP17" s="52" t="s">
        <v>1664</v>
      </c>
      <c r="AQ17" s="52" t="s">
        <v>1664</v>
      </c>
    </row>
    <row r="18" ht="15.75" customHeight="1">
      <c r="A18" s="49">
        <v>9.0</v>
      </c>
      <c r="B18" s="50" t="s">
        <v>67</v>
      </c>
      <c r="C18" s="54" t="s">
        <v>2141</v>
      </c>
      <c r="D18" s="54" t="s">
        <v>2142</v>
      </c>
      <c r="E18" s="55" t="s">
        <v>65</v>
      </c>
      <c r="F18" s="55" t="s">
        <v>65</v>
      </c>
      <c r="G18" s="55" t="s">
        <v>65</v>
      </c>
      <c r="H18" s="55" t="s">
        <v>65</v>
      </c>
      <c r="I18" s="55" t="s">
        <v>65</v>
      </c>
      <c r="J18" s="55" t="s">
        <v>65</v>
      </c>
      <c r="K18" s="55" t="s">
        <v>65</v>
      </c>
      <c r="L18" s="55" t="s">
        <v>65</v>
      </c>
      <c r="M18" s="55" t="s">
        <v>2143</v>
      </c>
      <c r="N18" s="55" t="s">
        <v>71</v>
      </c>
      <c r="O18" s="55" t="s">
        <v>65</v>
      </c>
      <c r="P18" s="55" t="s">
        <v>65</v>
      </c>
      <c r="Q18" s="55" t="s">
        <v>65</v>
      </c>
      <c r="R18" s="7" t="s">
        <v>2063</v>
      </c>
      <c r="S18" s="55" t="s">
        <v>65</v>
      </c>
      <c r="T18" s="55" t="s">
        <v>71</v>
      </c>
      <c r="U18" s="55" t="s">
        <v>65</v>
      </c>
      <c r="V18" s="55" t="s">
        <v>65</v>
      </c>
      <c r="W18" s="55" t="s">
        <v>65</v>
      </c>
      <c r="X18" s="55" t="s">
        <v>65</v>
      </c>
      <c r="Y18" s="55" t="s">
        <v>65</v>
      </c>
      <c r="Z18" s="55" t="s">
        <v>71</v>
      </c>
      <c r="AA18" s="55" t="s">
        <v>65</v>
      </c>
      <c r="AB18" s="55" t="s">
        <v>65</v>
      </c>
      <c r="AC18" s="55" t="s">
        <v>65</v>
      </c>
      <c r="AD18" s="55" t="s">
        <v>65</v>
      </c>
      <c r="AE18" s="55" t="s">
        <v>65</v>
      </c>
      <c r="AF18" s="55" t="s">
        <v>65</v>
      </c>
      <c r="AG18" s="55" t="s">
        <v>65</v>
      </c>
      <c r="AH18" s="55" t="s">
        <v>65</v>
      </c>
      <c r="AI18" s="55" t="s">
        <v>65</v>
      </c>
      <c r="AJ18" s="55" t="s">
        <v>65</v>
      </c>
      <c r="AK18" s="55" t="s">
        <v>65</v>
      </c>
      <c r="AL18" s="55" t="s">
        <v>65</v>
      </c>
      <c r="AM18" s="55" t="s">
        <v>65</v>
      </c>
      <c r="AN18" s="55" t="s">
        <v>65</v>
      </c>
      <c r="AO18" s="55" t="s">
        <v>65</v>
      </c>
      <c r="AP18" s="55" t="s">
        <v>65</v>
      </c>
      <c r="AQ18" s="55" t="s">
        <v>65</v>
      </c>
    </row>
    <row r="19" ht="15.75" customHeight="1">
      <c r="A19" s="49">
        <v>9.0</v>
      </c>
      <c r="B19" s="50" t="s">
        <v>72</v>
      </c>
      <c r="C19" s="54" t="s">
        <v>2144</v>
      </c>
      <c r="D19" s="54" t="s">
        <v>2145</v>
      </c>
      <c r="E19" s="55" t="s">
        <v>365</v>
      </c>
      <c r="F19" s="55" t="s">
        <v>365</v>
      </c>
      <c r="G19" s="55" t="s">
        <v>77</v>
      </c>
      <c r="H19" s="55" t="s">
        <v>2146</v>
      </c>
      <c r="I19" s="55" t="s">
        <v>365</v>
      </c>
      <c r="J19" s="55" t="s">
        <v>77</v>
      </c>
      <c r="K19" s="55" t="s">
        <v>365</v>
      </c>
      <c r="L19" s="55" t="s">
        <v>365</v>
      </c>
      <c r="M19" s="55" t="s">
        <v>77</v>
      </c>
      <c r="N19" s="55" t="s">
        <v>2147</v>
      </c>
      <c r="O19" s="55" t="s">
        <v>365</v>
      </c>
      <c r="P19" s="55" t="s">
        <v>365</v>
      </c>
      <c r="Q19" s="55" t="s">
        <v>77</v>
      </c>
      <c r="R19" s="55" t="s">
        <v>2148</v>
      </c>
      <c r="S19" s="55" t="s">
        <v>77</v>
      </c>
      <c r="T19" s="55" t="s">
        <v>77</v>
      </c>
      <c r="U19" s="55" t="s">
        <v>2149</v>
      </c>
      <c r="V19" s="55" t="s">
        <v>76</v>
      </c>
      <c r="W19" s="55" t="s">
        <v>77</v>
      </c>
      <c r="X19" s="55" t="s">
        <v>76</v>
      </c>
      <c r="Y19" s="55" t="s">
        <v>76</v>
      </c>
      <c r="Z19" s="55" t="s">
        <v>76</v>
      </c>
      <c r="AA19" s="55" t="s">
        <v>77</v>
      </c>
      <c r="AB19" s="55" t="s">
        <v>77</v>
      </c>
      <c r="AC19" s="55" t="s">
        <v>76</v>
      </c>
      <c r="AD19" s="55" t="s">
        <v>76</v>
      </c>
      <c r="AE19" s="55" t="s">
        <v>76</v>
      </c>
      <c r="AF19" s="55" t="s">
        <v>76</v>
      </c>
      <c r="AG19" s="55" t="s">
        <v>76</v>
      </c>
      <c r="AH19" s="55" t="s">
        <v>76</v>
      </c>
      <c r="AI19" s="55" t="s">
        <v>77</v>
      </c>
      <c r="AJ19" s="55" t="s">
        <v>77</v>
      </c>
      <c r="AK19" s="55"/>
      <c r="AL19" s="55" t="s">
        <v>77</v>
      </c>
      <c r="AM19" s="55" t="s">
        <v>76</v>
      </c>
      <c r="AN19" s="56"/>
      <c r="AO19" s="55" t="s">
        <v>77</v>
      </c>
      <c r="AP19" s="55" t="s">
        <v>77</v>
      </c>
      <c r="AQ19" s="55" t="s">
        <v>77</v>
      </c>
    </row>
    <row r="20" ht="15.75" customHeight="1">
      <c r="A20" s="49">
        <v>9.0</v>
      </c>
      <c r="B20" s="50" t="s">
        <v>78</v>
      </c>
      <c r="C20" s="54" t="s">
        <v>2150</v>
      </c>
      <c r="D20" s="54" t="s">
        <v>2151</v>
      </c>
      <c r="E20" s="55" t="s">
        <v>2152</v>
      </c>
      <c r="F20" s="55" t="s">
        <v>243</v>
      </c>
      <c r="G20" s="55" t="s">
        <v>2153</v>
      </c>
      <c r="H20" s="55" t="s">
        <v>988</v>
      </c>
      <c r="I20" s="55" t="s">
        <v>2154</v>
      </c>
      <c r="J20" s="55" t="s">
        <v>989</v>
      </c>
      <c r="K20" s="55" t="s">
        <v>988</v>
      </c>
      <c r="L20" s="55" t="s">
        <v>988</v>
      </c>
      <c r="M20" s="55" t="s">
        <v>990</v>
      </c>
      <c r="N20" s="55" t="s">
        <v>2155</v>
      </c>
      <c r="O20" s="55" t="s">
        <v>2156</v>
      </c>
      <c r="P20" s="55" t="s">
        <v>992</v>
      </c>
      <c r="Q20" s="55" t="s">
        <v>2157</v>
      </c>
      <c r="R20" s="55"/>
      <c r="S20" s="55" t="s">
        <v>1682</v>
      </c>
      <c r="T20" s="55" t="s">
        <v>1339</v>
      </c>
      <c r="U20" s="55" t="s">
        <v>2158</v>
      </c>
      <c r="V20" s="55" t="s">
        <v>2159</v>
      </c>
      <c r="W20" s="55" t="s">
        <v>1340</v>
      </c>
      <c r="X20" s="55" t="s">
        <v>81</v>
      </c>
      <c r="Y20" s="55" t="s">
        <v>81</v>
      </c>
      <c r="Z20" s="55" t="s">
        <v>2160</v>
      </c>
      <c r="AA20" s="55" t="s">
        <v>1684</v>
      </c>
      <c r="AB20" s="55" t="s">
        <v>1341</v>
      </c>
      <c r="AC20" s="55" t="s">
        <v>1685</v>
      </c>
      <c r="AD20" s="55" t="s">
        <v>81</v>
      </c>
      <c r="AE20" s="55" t="s">
        <v>2161</v>
      </c>
      <c r="AF20" s="55" t="s">
        <v>2162</v>
      </c>
      <c r="AG20" s="55" t="s">
        <v>2163</v>
      </c>
      <c r="AH20" s="55" t="s">
        <v>2164</v>
      </c>
      <c r="AI20" s="55" t="s">
        <v>2162</v>
      </c>
      <c r="AJ20" s="55" t="s">
        <v>2165</v>
      </c>
      <c r="AK20" s="55" t="s">
        <v>2166</v>
      </c>
      <c r="AL20" s="55" t="s">
        <v>2162</v>
      </c>
      <c r="AM20" s="55" t="s">
        <v>1338</v>
      </c>
      <c r="AN20" s="55" t="s">
        <v>1345</v>
      </c>
      <c r="AO20" s="55" t="s">
        <v>471</v>
      </c>
      <c r="AP20" s="55" t="s">
        <v>2167</v>
      </c>
      <c r="AQ20" s="55" t="s">
        <v>1692</v>
      </c>
    </row>
    <row r="21" ht="15.75" customHeight="1">
      <c r="A21" s="49">
        <v>9.0</v>
      </c>
      <c r="B21" s="50" t="s">
        <v>101</v>
      </c>
      <c r="C21" s="51" t="s">
        <v>2168</v>
      </c>
      <c r="D21" s="51" t="s">
        <v>2169</v>
      </c>
      <c r="E21" s="52" t="s">
        <v>2170</v>
      </c>
      <c r="F21" s="52" t="s">
        <v>2171</v>
      </c>
      <c r="G21" s="52" t="s">
        <v>2172</v>
      </c>
      <c r="H21" s="52" t="s">
        <v>251</v>
      </c>
      <c r="I21" s="52" t="s">
        <v>2172</v>
      </c>
      <c r="J21" s="52" t="s">
        <v>2172</v>
      </c>
      <c r="K21" s="55" t="s">
        <v>2128</v>
      </c>
      <c r="L21" s="52" t="s">
        <v>2173</v>
      </c>
      <c r="M21" s="52" t="s">
        <v>2172</v>
      </c>
      <c r="N21" s="52" t="s">
        <v>2174</v>
      </c>
      <c r="O21" s="52" t="s">
        <v>2175</v>
      </c>
      <c r="P21" s="52" t="s">
        <v>2172</v>
      </c>
      <c r="Q21" s="52" t="s">
        <v>2176</v>
      </c>
      <c r="R21" s="52" t="s">
        <v>1031</v>
      </c>
      <c r="S21" s="52" t="s">
        <v>2177</v>
      </c>
      <c r="T21" s="52" t="s">
        <v>2178</v>
      </c>
      <c r="U21" s="52" t="s">
        <v>2179</v>
      </c>
      <c r="V21" s="52" t="s">
        <v>1031</v>
      </c>
      <c r="W21" s="52" t="s">
        <v>1350</v>
      </c>
      <c r="X21" s="52" t="s">
        <v>1031</v>
      </c>
      <c r="Y21" s="52" t="s">
        <v>2180</v>
      </c>
      <c r="Z21" s="52" t="s">
        <v>2181</v>
      </c>
      <c r="AA21" s="52" t="s">
        <v>2182</v>
      </c>
      <c r="AB21" s="52" t="s">
        <v>1699</v>
      </c>
      <c r="AC21" s="52" t="s">
        <v>105</v>
      </c>
      <c r="AD21" s="52" t="s">
        <v>2171</v>
      </c>
      <c r="AE21" s="52" t="s">
        <v>1350</v>
      </c>
      <c r="AF21" s="52" t="s">
        <v>1350</v>
      </c>
      <c r="AG21" s="52" t="s">
        <v>1351</v>
      </c>
      <c r="AH21" s="52" t="s">
        <v>92</v>
      </c>
      <c r="AI21" s="52" t="s">
        <v>1350</v>
      </c>
      <c r="AJ21" s="52" t="s">
        <v>1350</v>
      </c>
      <c r="AK21" s="52" t="s">
        <v>1350</v>
      </c>
      <c r="AL21" s="52" t="s">
        <v>1350</v>
      </c>
      <c r="AM21" s="52" t="s">
        <v>2183</v>
      </c>
      <c r="AN21" s="52" t="s">
        <v>251</v>
      </c>
      <c r="AO21" s="53" t="s">
        <v>2184</v>
      </c>
      <c r="AP21" s="52" t="s">
        <v>1350</v>
      </c>
      <c r="AQ21" s="52" t="s">
        <v>1350</v>
      </c>
    </row>
    <row r="22" ht="15.75" customHeight="1">
      <c r="A22" s="49">
        <v>9.0</v>
      </c>
      <c r="B22" s="50" t="s">
        <v>172</v>
      </c>
      <c r="C22" s="54" t="s">
        <v>1654</v>
      </c>
      <c r="D22" s="54" t="s">
        <v>2185</v>
      </c>
      <c r="E22" s="55" t="s">
        <v>47</v>
      </c>
      <c r="F22" s="55" t="s">
        <v>47</v>
      </c>
      <c r="G22" s="55" t="s">
        <v>47</v>
      </c>
      <c r="H22" s="55" t="s">
        <v>47</v>
      </c>
      <c r="I22" s="55" t="s">
        <v>47</v>
      </c>
      <c r="J22" s="55" t="s">
        <v>47</v>
      </c>
      <c r="K22" s="55" t="s">
        <v>47</v>
      </c>
      <c r="L22" s="55" t="s">
        <v>47</v>
      </c>
      <c r="M22" s="55" t="s">
        <v>48</v>
      </c>
      <c r="N22" s="55" t="s">
        <v>48</v>
      </c>
      <c r="O22" s="55" t="s">
        <v>47</v>
      </c>
      <c r="P22" s="55" t="s">
        <v>47</v>
      </c>
      <c r="Q22" s="55" t="s">
        <v>47</v>
      </c>
      <c r="R22" s="7" t="s">
        <v>2061</v>
      </c>
      <c r="S22" s="55" t="s">
        <v>47</v>
      </c>
      <c r="T22" s="55" t="s">
        <v>48</v>
      </c>
      <c r="U22" s="55" t="s">
        <v>47</v>
      </c>
      <c r="V22" s="55" t="s">
        <v>47</v>
      </c>
      <c r="W22" s="55" t="s">
        <v>47</v>
      </c>
      <c r="X22" s="55" t="s">
        <v>47</v>
      </c>
      <c r="Y22" s="55" t="s">
        <v>47</v>
      </c>
      <c r="Z22" s="55" t="s">
        <v>48</v>
      </c>
      <c r="AA22" s="55" t="s">
        <v>47</v>
      </c>
      <c r="AB22" s="55" t="s">
        <v>47</v>
      </c>
      <c r="AC22" s="55" t="s">
        <v>47</v>
      </c>
      <c r="AD22" s="55" t="s">
        <v>47</v>
      </c>
      <c r="AE22" s="55" t="s">
        <v>47</v>
      </c>
      <c r="AF22" s="55" t="s">
        <v>47</v>
      </c>
      <c r="AG22" s="55" t="s">
        <v>47</v>
      </c>
      <c r="AH22" s="55" t="s">
        <v>47</v>
      </c>
      <c r="AI22" s="55" t="s">
        <v>47</v>
      </c>
      <c r="AJ22" s="55" t="s">
        <v>47</v>
      </c>
      <c r="AK22" s="55" t="s">
        <v>47</v>
      </c>
      <c r="AL22" s="55" t="s">
        <v>47</v>
      </c>
      <c r="AM22" s="55" t="s">
        <v>47</v>
      </c>
      <c r="AN22" s="55" t="s">
        <v>47</v>
      </c>
      <c r="AO22" s="55" t="s">
        <v>47</v>
      </c>
      <c r="AP22" s="55" t="s">
        <v>47</v>
      </c>
      <c r="AQ22" s="55" t="s">
        <v>47</v>
      </c>
    </row>
    <row r="23" ht="15.75" customHeight="1">
      <c r="A23" s="49">
        <v>9.0</v>
      </c>
      <c r="B23" s="50" t="s">
        <v>267</v>
      </c>
      <c r="C23" s="54" t="s">
        <v>1658</v>
      </c>
      <c r="D23" s="54" t="s">
        <v>2186</v>
      </c>
      <c r="E23" s="55" t="s">
        <v>271</v>
      </c>
      <c r="F23" s="55" t="s">
        <v>271</v>
      </c>
      <c r="G23" s="52" t="s">
        <v>523</v>
      </c>
      <c r="H23" s="55" t="s">
        <v>2119</v>
      </c>
      <c r="I23" s="55" t="s">
        <v>271</v>
      </c>
      <c r="J23" s="52" t="s">
        <v>523</v>
      </c>
      <c r="K23" s="55" t="s">
        <v>238</v>
      </c>
      <c r="L23" s="55" t="s">
        <v>238</v>
      </c>
      <c r="M23" s="55" t="s">
        <v>238</v>
      </c>
      <c r="N23" s="55" t="s">
        <v>1656</v>
      </c>
      <c r="O23" s="55" t="s">
        <v>238</v>
      </c>
      <c r="P23" s="55" t="s">
        <v>271</v>
      </c>
      <c r="Q23" s="55" t="s">
        <v>238</v>
      </c>
      <c r="R23" s="55" t="s">
        <v>2028</v>
      </c>
      <c r="S23" s="55" t="s">
        <v>238</v>
      </c>
      <c r="T23" s="55" t="s">
        <v>238</v>
      </c>
      <c r="U23" s="55" t="s">
        <v>2121</v>
      </c>
      <c r="V23" s="55" t="s">
        <v>238</v>
      </c>
      <c r="W23" s="55" t="s">
        <v>238</v>
      </c>
      <c r="X23" s="55" t="s">
        <v>271</v>
      </c>
      <c r="Y23" s="55" t="s">
        <v>271</v>
      </c>
      <c r="Z23" s="55" t="s">
        <v>238</v>
      </c>
      <c r="AA23" s="55" t="s">
        <v>238</v>
      </c>
      <c r="AB23" s="55" t="s">
        <v>238</v>
      </c>
      <c r="AC23" s="55" t="s">
        <v>271</v>
      </c>
      <c r="AD23" s="55" t="s">
        <v>238</v>
      </c>
      <c r="AE23" s="55" t="s">
        <v>271</v>
      </c>
      <c r="AF23" s="55" t="s">
        <v>271</v>
      </c>
      <c r="AG23" s="55" t="s">
        <v>238</v>
      </c>
      <c r="AH23" s="55" t="s">
        <v>271</v>
      </c>
      <c r="AI23" s="55" t="s">
        <v>238</v>
      </c>
      <c r="AJ23" s="55" t="s">
        <v>238</v>
      </c>
      <c r="AK23" s="55"/>
      <c r="AL23" s="55" t="s">
        <v>238</v>
      </c>
      <c r="AM23" s="55" t="s">
        <v>238</v>
      </c>
      <c r="AN23" s="56"/>
      <c r="AO23" s="55" t="s">
        <v>238</v>
      </c>
      <c r="AP23" s="55" t="s">
        <v>238</v>
      </c>
      <c r="AQ23" s="55" t="s">
        <v>238</v>
      </c>
    </row>
    <row r="24" ht="15.75" customHeight="1">
      <c r="A24" s="49">
        <v>9.0</v>
      </c>
      <c r="B24" s="50" t="s">
        <v>1767</v>
      </c>
      <c r="C24" s="54" t="s">
        <v>1667</v>
      </c>
      <c r="D24" s="54" t="s">
        <v>2187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60"/>
      <c r="AN24" s="56"/>
      <c r="AO24" s="56"/>
      <c r="AP24" s="61"/>
      <c r="AQ24" s="61"/>
    </row>
    <row r="25" ht="15.75" customHeight="1">
      <c r="A25" s="49">
        <v>9.0</v>
      </c>
      <c r="B25" s="50" t="s">
        <v>274</v>
      </c>
      <c r="C25" s="54" t="s">
        <v>2188</v>
      </c>
      <c r="D25" s="54" t="s">
        <v>2189</v>
      </c>
      <c r="E25" s="55" t="s">
        <v>2190</v>
      </c>
      <c r="F25" s="55" t="s">
        <v>2137</v>
      </c>
      <c r="G25" s="52" t="s">
        <v>1363</v>
      </c>
      <c r="H25" s="55" t="s">
        <v>1035</v>
      </c>
      <c r="I25" s="52" t="s">
        <v>1363</v>
      </c>
      <c r="J25" s="52" t="s">
        <v>1363</v>
      </c>
      <c r="K25" s="55" t="s">
        <v>2128</v>
      </c>
      <c r="L25" s="55" t="s">
        <v>2128</v>
      </c>
      <c r="M25" s="52" t="s">
        <v>780</v>
      </c>
      <c r="N25" s="55" t="s">
        <v>2191</v>
      </c>
      <c r="O25" s="52" t="s">
        <v>2175</v>
      </c>
      <c r="P25" s="52" t="s">
        <v>780</v>
      </c>
      <c r="Q25" s="55" t="s">
        <v>2192</v>
      </c>
      <c r="R25" s="55" t="s">
        <v>1096</v>
      </c>
      <c r="S25" s="55" t="s">
        <v>2132</v>
      </c>
      <c r="T25" s="55" t="s">
        <v>1098</v>
      </c>
      <c r="U25" s="55" t="s">
        <v>2193</v>
      </c>
      <c r="V25" s="55" t="s">
        <v>1096</v>
      </c>
      <c r="W25" s="55" t="s">
        <v>1664</v>
      </c>
      <c r="X25" s="55" t="s">
        <v>1096</v>
      </c>
      <c r="Y25" s="55" t="s">
        <v>1096</v>
      </c>
      <c r="Z25" s="55" t="s">
        <v>2134</v>
      </c>
      <c r="AA25" s="55" t="s">
        <v>2194</v>
      </c>
      <c r="AB25" s="55" t="s">
        <v>1776</v>
      </c>
      <c r="AC25" s="55" t="s">
        <v>785</v>
      </c>
      <c r="AD25" s="52" t="s">
        <v>2137</v>
      </c>
      <c r="AE25" s="55" t="s">
        <v>1664</v>
      </c>
      <c r="AF25" s="55" t="s">
        <v>1664</v>
      </c>
      <c r="AG25" s="55" t="s">
        <v>2128</v>
      </c>
      <c r="AH25" s="55" t="s">
        <v>2195</v>
      </c>
      <c r="AI25" s="55" t="s">
        <v>1664</v>
      </c>
      <c r="AJ25" s="55" t="s">
        <v>1664</v>
      </c>
      <c r="AK25" s="55" t="s">
        <v>1664</v>
      </c>
      <c r="AL25" s="55" t="s">
        <v>1436</v>
      </c>
      <c r="AM25" s="58" t="s">
        <v>2137</v>
      </c>
      <c r="AN25" s="55" t="s">
        <v>2196</v>
      </c>
      <c r="AO25" s="56" t="s">
        <v>2197</v>
      </c>
      <c r="AP25" s="55" t="s">
        <v>1664</v>
      </c>
      <c r="AQ25" s="55" t="s">
        <v>1664</v>
      </c>
    </row>
    <row r="26" ht="15.75" customHeight="1">
      <c r="A26" s="49">
        <v>9.0</v>
      </c>
      <c r="B26" s="50" t="s">
        <v>794</v>
      </c>
      <c r="C26" s="51" t="s">
        <v>2198</v>
      </c>
      <c r="D26" s="51" t="s">
        <v>2199</v>
      </c>
      <c r="E26" s="51" t="s">
        <v>2200</v>
      </c>
      <c r="F26" s="52" t="s">
        <v>2201</v>
      </c>
      <c r="G26" s="52" t="s">
        <v>2202</v>
      </c>
      <c r="H26" s="52" t="s">
        <v>2201</v>
      </c>
      <c r="I26" s="52" t="s">
        <v>1736</v>
      </c>
      <c r="J26" s="52"/>
      <c r="K26" s="52" t="s">
        <v>2201</v>
      </c>
      <c r="L26" s="52" t="s">
        <v>2201</v>
      </c>
      <c r="M26" s="52" t="s">
        <v>2203</v>
      </c>
      <c r="N26" s="52" t="s">
        <v>2204</v>
      </c>
      <c r="O26" s="52" t="s">
        <v>2201</v>
      </c>
      <c r="P26" s="52" t="s">
        <v>2205</v>
      </c>
      <c r="Q26" s="52" t="s">
        <v>2206</v>
      </c>
      <c r="R26" s="52" t="s">
        <v>2201</v>
      </c>
      <c r="S26" s="52" t="s">
        <v>2207</v>
      </c>
      <c r="T26" s="52" t="s">
        <v>1125</v>
      </c>
      <c r="U26" s="52" t="s">
        <v>2208</v>
      </c>
      <c r="V26" s="52" t="s">
        <v>2201</v>
      </c>
      <c r="W26" s="52" t="s">
        <v>2209</v>
      </c>
      <c r="X26" s="52" t="s">
        <v>2201</v>
      </c>
      <c r="Y26" s="52" t="s">
        <v>2201</v>
      </c>
      <c r="Z26" s="52" t="s">
        <v>2210</v>
      </c>
      <c r="AA26" s="52" t="s">
        <v>2211</v>
      </c>
      <c r="AB26" s="52" t="s">
        <v>2212</v>
      </c>
      <c r="AC26" s="52" t="s">
        <v>2213</v>
      </c>
      <c r="AD26" s="52" t="s">
        <v>2201</v>
      </c>
      <c r="AE26" s="52" t="s">
        <v>2214</v>
      </c>
      <c r="AF26" s="52" t="s">
        <v>2215</v>
      </c>
      <c r="AG26" s="52" t="s">
        <v>2201</v>
      </c>
      <c r="AH26" s="52" t="s">
        <v>2216</v>
      </c>
      <c r="AI26" s="52" t="s">
        <v>2217</v>
      </c>
      <c r="AJ26" s="52" t="s">
        <v>2218</v>
      </c>
      <c r="AK26" s="52" t="s">
        <v>2219</v>
      </c>
      <c r="AL26" s="52" t="s">
        <v>2220</v>
      </c>
      <c r="AM26" s="59" t="s">
        <v>2221</v>
      </c>
      <c r="AN26" s="52" t="s">
        <v>2222</v>
      </c>
      <c r="AO26" s="52" t="s">
        <v>1750</v>
      </c>
      <c r="AP26" s="52" t="s">
        <v>2223</v>
      </c>
      <c r="AQ26" s="52" t="s">
        <v>2224</v>
      </c>
    </row>
    <row r="27" ht="15.75" customHeight="1">
      <c r="A27" s="49">
        <v>9.0</v>
      </c>
      <c r="B27" s="50" t="s">
        <v>122</v>
      </c>
      <c r="C27" s="51" t="s">
        <v>2225</v>
      </c>
      <c r="D27" s="51" t="s">
        <v>2226</v>
      </c>
      <c r="E27" s="52" t="s">
        <v>2227</v>
      </c>
      <c r="F27" s="52" t="s">
        <v>2228</v>
      </c>
      <c r="G27" s="52" t="s">
        <v>1820</v>
      </c>
      <c r="H27" s="52" t="s">
        <v>2229</v>
      </c>
      <c r="I27" s="52" t="s">
        <v>2230</v>
      </c>
      <c r="J27" s="52" t="s">
        <v>1170</v>
      </c>
      <c r="K27" s="52" t="s">
        <v>2231</v>
      </c>
      <c r="L27" s="52" t="s">
        <v>1462</v>
      </c>
      <c r="M27" s="52" t="s">
        <v>2232</v>
      </c>
      <c r="N27" s="52" t="s">
        <v>1824</v>
      </c>
      <c r="O27" s="52" t="s">
        <v>1174</v>
      </c>
      <c r="P27" s="52" t="s">
        <v>1463</v>
      </c>
      <c r="Q27" s="52" t="s">
        <v>2233</v>
      </c>
      <c r="R27" s="52" t="s">
        <v>2234</v>
      </c>
      <c r="S27" s="52" t="s">
        <v>1177</v>
      </c>
      <c r="T27" s="52" t="s">
        <v>2235</v>
      </c>
      <c r="U27" s="52" t="s">
        <v>1467</v>
      </c>
      <c r="V27" s="52" t="s">
        <v>2236</v>
      </c>
      <c r="W27" s="52" t="s">
        <v>2237</v>
      </c>
      <c r="X27" s="52" t="s">
        <v>2238</v>
      </c>
      <c r="Y27" s="52" t="s">
        <v>2239</v>
      </c>
      <c r="Z27" s="52" t="s">
        <v>2240</v>
      </c>
      <c r="AA27" s="52" t="s">
        <v>2241</v>
      </c>
      <c r="AB27" s="52" t="s">
        <v>2242</v>
      </c>
      <c r="AC27" s="52" t="s">
        <v>1827</v>
      </c>
      <c r="AD27" s="52" t="s">
        <v>2243</v>
      </c>
      <c r="AE27" s="52" t="s">
        <v>1475</v>
      </c>
      <c r="AF27" s="52" t="s">
        <v>2244</v>
      </c>
      <c r="AG27" s="52" t="s">
        <v>2245</v>
      </c>
      <c r="AH27" s="52" t="s">
        <v>2246</v>
      </c>
      <c r="AI27" s="52" t="s">
        <v>1828</v>
      </c>
      <c r="AJ27" s="52" t="s">
        <v>1829</v>
      </c>
      <c r="AK27" s="52" t="s">
        <v>2247</v>
      </c>
      <c r="AL27" s="52" t="s">
        <v>2248</v>
      </c>
      <c r="AM27" s="59" t="s">
        <v>2249</v>
      </c>
      <c r="AN27" s="52" t="s">
        <v>2250</v>
      </c>
      <c r="AO27" s="52" t="s">
        <v>2251</v>
      </c>
      <c r="AP27" s="52" t="s">
        <v>2252</v>
      </c>
      <c r="AQ27" s="52" t="s">
        <v>1832</v>
      </c>
    </row>
    <row r="28" ht="15.75" customHeight="1">
      <c r="A28" s="49">
        <v>9.0</v>
      </c>
      <c r="B28" s="50" t="s">
        <v>139</v>
      </c>
      <c r="C28" s="51" t="s">
        <v>2253</v>
      </c>
      <c r="D28" s="51" t="s">
        <v>2254</v>
      </c>
      <c r="E28" s="52" t="s">
        <v>305</v>
      </c>
      <c r="F28" s="52" t="s">
        <v>305</v>
      </c>
      <c r="G28" s="52" t="s">
        <v>1203</v>
      </c>
      <c r="H28" s="55" t="s">
        <v>2026</v>
      </c>
      <c r="I28" s="52" t="s">
        <v>305</v>
      </c>
      <c r="J28" s="52" t="s">
        <v>1203</v>
      </c>
      <c r="K28" s="52" t="s">
        <v>305</v>
      </c>
      <c r="L28" s="52" t="s">
        <v>305</v>
      </c>
      <c r="M28" s="52" t="s">
        <v>1203</v>
      </c>
      <c r="N28" s="52" t="s">
        <v>2255</v>
      </c>
      <c r="O28" s="52" t="s">
        <v>305</v>
      </c>
      <c r="P28" s="52" t="s">
        <v>305</v>
      </c>
      <c r="Q28" s="52" t="s">
        <v>1203</v>
      </c>
      <c r="R28" s="52"/>
      <c r="S28" s="52" t="s">
        <v>1203</v>
      </c>
      <c r="T28" s="52" t="s">
        <v>1203</v>
      </c>
      <c r="U28" s="52" t="s">
        <v>1835</v>
      </c>
      <c r="V28" s="52" t="s">
        <v>561</v>
      </c>
      <c r="W28" s="52" t="s">
        <v>142</v>
      </c>
      <c r="X28" s="52" t="s">
        <v>561</v>
      </c>
      <c r="Y28" s="52" t="s">
        <v>561</v>
      </c>
      <c r="Z28" s="52" t="s">
        <v>561</v>
      </c>
      <c r="AA28" s="52" t="s">
        <v>1203</v>
      </c>
      <c r="AB28" s="52" t="s">
        <v>1203</v>
      </c>
      <c r="AC28" s="52" t="s">
        <v>271</v>
      </c>
      <c r="AD28" s="52" t="s">
        <v>271</v>
      </c>
      <c r="AE28" s="52" t="s">
        <v>271</v>
      </c>
      <c r="AF28" s="52" t="s">
        <v>271</v>
      </c>
      <c r="AG28" s="52" t="s">
        <v>271</v>
      </c>
      <c r="AH28" s="52" t="s">
        <v>2256</v>
      </c>
      <c r="AI28" s="52" t="s">
        <v>1203</v>
      </c>
      <c r="AJ28" s="52" t="s">
        <v>1203</v>
      </c>
      <c r="AK28" s="52"/>
      <c r="AL28" s="52" t="s">
        <v>1203</v>
      </c>
      <c r="AM28" s="59" t="s">
        <v>561</v>
      </c>
      <c r="AN28" s="52" t="s">
        <v>2257</v>
      </c>
      <c r="AO28" s="52" t="s">
        <v>1203</v>
      </c>
      <c r="AP28" s="52" t="s">
        <v>1203</v>
      </c>
      <c r="AQ28" s="52" t="s">
        <v>1203</v>
      </c>
    </row>
    <row r="29" ht="15.75" customHeight="1">
      <c r="A29" s="49">
        <v>9.0</v>
      </c>
      <c r="B29" s="50" t="s">
        <v>162</v>
      </c>
      <c r="C29" s="51" t="s">
        <v>2258</v>
      </c>
      <c r="D29" s="51" t="s">
        <v>843</v>
      </c>
      <c r="E29" s="52" t="s">
        <v>2126</v>
      </c>
      <c r="F29" s="52" t="s">
        <v>2137</v>
      </c>
      <c r="G29" s="52" t="s">
        <v>1221</v>
      </c>
      <c r="H29" s="52" t="s">
        <v>2259</v>
      </c>
      <c r="I29" s="52" t="s">
        <v>1221</v>
      </c>
      <c r="J29" s="52" t="s">
        <v>1221</v>
      </c>
      <c r="K29" s="52" t="s">
        <v>2137</v>
      </c>
      <c r="L29" s="55" t="s">
        <v>2128</v>
      </c>
      <c r="M29" s="52" t="s">
        <v>1221</v>
      </c>
      <c r="N29" s="52" t="s">
        <v>2260</v>
      </c>
      <c r="O29" s="55" t="s">
        <v>2128</v>
      </c>
      <c r="P29" s="52" t="s">
        <v>1221</v>
      </c>
      <c r="Q29" s="52" t="s">
        <v>2261</v>
      </c>
      <c r="R29" s="55" t="s">
        <v>1096</v>
      </c>
      <c r="S29" s="52" t="s">
        <v>2262</v>
      </c>
      <c r="T29" s="52" t="s">
        <v>2263</v>
      </c>
      <c r="U29" s="52"/>
      <c r="V29" s="52" t="s">
        <v>2264</v>
      </c>
      <c r="W29" s="52" t="s">
        <v>1221</v>
      </c>
      <c r="X29" s="52" t="s">
        <v>2265</v>
      </c>
      <c r="Y29" s="52" t="s">
        <v>2266</v>
      </c>
      <c r="Z29" s="52" t="s">
        <v>2267</v>
      </c>
      <c r="AA29" s="52" t="s">
        <v>2268</v>
      </c>
      <c r="AB29" s="52" t="s">
        <v>2269</v>
      </c>
      <c r="AC29" s="52" t="s">
        <v>2270</v>
      </c>
      <c r="AD29" s="52" t="s">
        <v>2183</v>
      </c>
      <c r="AE29" s="52" t="s">
        <v>1221</v>
      </c>
      <c r="AF29" s="52" t="s">
        <v>1221</v>
      </c>
      <c r="AG29" s="52" t="s">
        <v>2271</v>
      </c>
      <c r="AH29" s="52" t="s">
        <v>2272</v>
      </c>
      <c r="AI29" s="52" t="s">
        <v>1221</v>
      </c>
      <c r="AJ29" s="52" t="s">
        <v>1221</v>
      </c>
      <c r="AK29" s="52" t="s">
        <v>2273</v>
      </c>
      <c r="AL29" s="52" t="s">
        <v>1848</v>
      </c>
      <c r="AM29" s="59" t="s">
        <v>2183</v>
      </c>
      <c r="AN29" s="52" t="s">
        <v>1849</v>
      </c>
      <c r="AO29" s="52" t="s">
        <v>2274</v>
      </c>
      <c r="AP29" s="52" t="s">
        <v>1221</v>
      </c>
      <c r="AQ29" s="52" t="s">
        <v>1221</v>
      </c>
    </row>
    <row r="30" ht="15.75" customHeight="1">
      <c r="A30" s="49">
        <v>9.0</v>
      </c>
      <c r="B30" s="50" t="s">
        <v>347</v>
      </c>
      <c r="C30" s="51" t="s">
        <v>123</v>
      </c>
      <c r="D30" s="51" t="s">
        <v>2275</v>
      </c>
      <c r="E30" s="52" t="s">
        <v>305</v>
      </c>
      <c r="F30" s="52" t="s">
        <v>305</v>
      </c>
      <c r="G30" s="52" t="s">
        <v>523</v>
      </c>
      <c r="H30" s="55" t="s">
        <v>2026</v>
      </c>
      <c r="I30" s="52" t="s">
        <v>305</v>
      </c>
      <c r="J30" s="52" t="s">
        <v>523</v>
      </c>
      <c r="K30" s="52" t="s">
        <v>305</v>
      </c>
      <c r="L30" s="52" t="s">
        <v>523</v>
      </c>
      <c r="M30" s="52" t="s">
        <v>523</v>
      </c>
      <c r="N30" s="52" t="s">
        <v>1656</v>
      </c>
      <c r="O30" s="52" t="s">
        <v>523</v>
      </c>
      <c r="P30" s="52" t="s">
        <v>305</v>
      </c>
      <c r="Q30" s="52" t="s">
        <v>523</v>
      </c>
      <c r="R30" s="55" t="s">
        <v>2028</v>
      </c>
      <c r="S30" s="52" t="s">
        <v>523</v>
      </c>
      <c r="T30" s="52" t="s">
        <v>523</v>
      </c>
      <c r="U30" s="52"/>
      <c r="V30" s="52" t="s">
        <v>271</v>
      </c>
      <c r="W30" s="52" t="s">
        <v>523</v>
      </c>
      <c r="X30" s="52" t="s">
        <v>271</v>
      </c>
      <c r="Y30" s="52" t="s">
        <v>271</v>
      </c>
      <c r="Z30" s="52" t="s">
        <v>271</v>
      </c>
      <c r="AA30" s="52" t="s">
        <v>523</v>
      </c>
      <c r="AB30" s="52" t="s">
        <v>523</v>
      </c>
      <c r="AC30" s="52" t="s">
        <v>271</v>
      </c>
      <c r="AD30" s="52" t="s">
        <v>271</v>
      </c>
      <c r="AE30" s="52" t="s">
        <v>271</v>
      </c>
      <c r="AF30" s="52" t="s">
        <v>271</v>
      </c>
      <c r="AG30" s="52" t="s">
        <v>271</v>
      </c>
      <c r="AH30" s="52" t="s">
        <v>271</v>
      </c>
      <c r="AI30" s="52" t="s">
        <v>523</v>
      </c>
      <c r="AJ30" s="52" t="s">
        <v>523</v>
      </c>
      <c r="AK30" s="52" t="s">
        <v>523</v>
      </c>
      <c r="AL30" s="52" t="s">
        <v>523</v>
      </c>
      <c r="AM30" s="52" t="s">
        <v>271</v>
      </c>
      <c r="AN30" s="55" t="s">
        <v>2122</v>
      </c>
      <c r="AO30" s="52" t="s">
        <v>523</v>
      </c>
      <c r="AP30" s="52" t="s">
        <v>523</v>
      </c>
      <c r="AQ30" s="52" t="s">
        <v>523</v>
      </c>
    </row>
    <row r="31" ht="15.75" customHeight="1">
      <c r="A31" s="49">
        <v>9.0</v>
      </c>
      <c r="B31" s="50" t="s">
        <v>590</v>
      </c>
      <c r="C31" s="54" t="s">
        <v>140</v>
      </c>
      <c r="D31" s="54" t="s">
        <v>2276</v>
      </c>
      <c r="E31" s="55" t="s">
        <v>65</v>
      </c>
      <c r="F31" s="55" t="s">
        <v>65</v>
      </c>
      <c r="G31" s="55" t="s">
        <v>65</v>
      </c>
      <c r="H31" s="55" t="s">
        <v>65</v>
      </c>
      <c r="I31" s="55" t="s">
        <v>65</v>
      </c>
      <c r="J31" s="55" t="s">
        <v>65</v>
      </c>
      <c r="K31" s="55" t="s">
        <v>65</v>
      </c>
      <c r="L31" s="55" t="s">
        <v>65</v>
      </c>
      <c r="M31" s="55" t="s">
        <v>66</v>
      </c>
      <c r="N31" s="55" t="s">
        <v>66</v>
      </c>
      <c r="O31" s="55" t="s">
        <v>65</v>
      </c>
      <c r="P31" s="55" t="s">
        <v>65</v>
      </c>
      <c r="Q31" s="55" t="s">
        <v>65</v>
      </c>
      <c r="R31" s="7" t="s">
        <v>2063</v>
      </c>
      <c r="S31" s="55" t="s">
        <v>65</v>
      </c>
      <c r="T31" s="55" t="s">
        <v>66</v>
      </c>
      <c r="U31" s="55" t="s">
        <v>65</v>
      </c>
      <c r="V31" s="55" t="s">
        <v>65</v>
      </c>
      <c r="W31" s="55" t="s">
        <v>65</v>
      </c>
      <c r="X31" s="55" t="s">
        <v>65</v>
      </c>
      <c r="Y31" s="55" t="s">
        <v>65</v>
      </c>
      <c r="Z31" s="55" t="s">
        <v>66</v>
      </c>
      <c r="AA31" s="55" t="s">
        <v>65</v>
      </c>
      <c r="AB31" s="55" t="s">
        <v>65</v>
      </c>
      <c r="AC31" s="55" t="s">
        <v>65</v>
      </c>
      <c r="AD31" s="55" t="s">
        <v>65</v>
      </c>
      <c r="AE31" s="55" t="s">
        <v>65</v>
      </c>
      <c r="AF31" s="55" t="s">
        <v>65</v>
      </c>
      <c r="AG31" s="55" t="s">
        <v>65</v>
      </c>
      <c r="AH31" s="55" t="s">
        <v>65</v>
      </c>
      <c r="AI31" s="55" t="s">
        <v>65</v>
      </c>
      <c r="AJ31" s="55" t="s">
        <v>65</v>
      </c>
      <c r="AK31" s="55" t="s">
        <v>65</v>
      </c>
      <c r="AL31" s="55" t="s">
        <v>65</v>
      </c>
      <c r="AM31" s="55" t="s">
        <v>65</v>
      </c>
      <c r="AN31" s="55" t="s">
        <v>65</v>
      </c>
      <c r="AO31" s="55" t="s">
        <v>65</v>
      </c>
      <c r="AP31" s="55" t="s">
        <v>65</v>
      </c>
      <c r="AQ31" s="55" t="s">
        <v>65</v>
      </c>
    </row>
    <row r="32" ht="15.75" customHeight="1">
      <c r="A32" s="49">
        <v>9.0</v>
      </c>
      <c r="B32" s="50" t="s">
        <v>2277</v>
      </c>
      <c r="C32" s="54" t="s">
        <v>2278</v>
      </c>
      <c r="D32" s="54" t="s">
        <v>2279</v>
      </c>
      <c r="E32" s="55" t="s">
        <v>2280</v>
      </c>
      <c r="F32" s="55" t="s">
        <v>2281</v>
      </c>
      <c r="G32" s="55" t="s">
        <v>2282</v>
      </c>
      <c r="H32" s="55" t="s">
        <v>2283</v>
      </c>
      <c r="I32" s="55" t="s">
        <v>2284</v>
      </c>
      <c r="J32" s="55" t="s">
        <v>2285</v>
      </c>
      <c r="K32" s="55" t="s">
        <v>2286</v>
      </c>
      <c r="L32" s="55" t="s">
        <v>2287</v>
      </c>
      <c r="M32" s="55" t="s">
        <v>2288</v>
      </c>
      <c r="N32" s="55" t="s">
        <v>2289</v>
      </c>
      <c r="O32" s="55" t="s">
        <v>2290</v>
      </c>
      <c r="P32" s="55" t="s">
        <v>2291</v>
      </c>
      <c r="Q32" s="55" t="s">
        <v>2292</v>
      </c>
      <c r="R32" s="55" t="s">
        <v>2293</v>
      </c>
      <c r="S32" s="55" t="s">
        <v>2294</v>
      </c>
      <c r="T32" s="55" t="s">
        <v>1952</v>
      </c>
      <c r="U32" s="55" t="s">
        <v>2295</v>
      </c>
      <c r="V32" s="55" t="s">
        <v>2296</v>
      </c>
      <c r="W32" s="55" t="s">
        <v>2297</v>
      </c>
      <c r="X32" s="55" t="s">
        <v>2298</v>
      </c>
      <c r="Y32" s="55" t="s">
        <v>2299</v>
      </c>
      <c r="Z32" s="55" t="s">
        <v>2300</v>
      </c>
      <c r="AA32" s="55" t="s">
        <v>2301</v>
      </c>
      <c r="AB32" s="55" t="s">
        <v>2289</v>
      </c>
      <c r="AC32" s="55" t="s">
        <v>2302</v>
      </c>
      <c r="AD32" s="55" t="s">
        <v>2303</v>
      </c>
      <c r="AE32" s="55" t="s">
        <v>2289</v>
      </c>
      <c r="AF32" s="55" t="s">
        <v>2304</v>
      </c>
      <c r="AG32" s="55" t="s">
        <v>2305</v>
      </c>
      <c r="AH32" s="55" t="s">
        <v>2306</v>
      </c>
      <c r="AI32" s="55" t="s">
        <v>2307</v>
      </c>
      <c r="AJ32" s="55" t="s">
        <v>1958</v>
      </c>
      <c r="AK32" s="55" t="s">
        <v>1959</v>
      </c>
      <c r="AL32" s="55" t="s">
        <v>2289</v>
      </c>
      <c r="AM32" s="58" t="s">
        <v>2308</v>
      </c>
      <c r="AN32" s="55" t="s">
        <v>2309</v>
      </c>
      <c r="AO32" s="55" t="s">
        <v>2310</v>
      </c>
      <c r="AP32" s="55" t="s">
        <v>1962</v>
      </c>
      <c r="AQ32" s="55" t="s">
        <v>1963</v>
      </c>
    </row>
    <row r="33" ht="15.75" customHeight="1">
      <c r="A33" s="61"/>
      <c r="B33" s="60"/>
      <c r="C33" s="60"/>
      <c r="D33" s="60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62"/>
      <c r="AK33" s="63"/>
      <c r="AL33" s="64"/>
      <c r="AM33" s="65"/>
      <c r="AN33" s="66"/>
      <c r="AO33" s="67"/>
      <c r="AP33" s="68"/>
      <c r="AQ33" s="67"/>
    </row>
    <row r="34" ht="15.75" customHeight="1">
      <c r="A34" s="61"/>
      <c r="B34" s="60"/>
      <c r="C34" s="60"/>
      <c r="D34" s="60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62"/>
      <c r="AK34" s="63"/>
      <c r="AL34" s="64"/>
      <c r="AM34" s="65"/>
      <c r="AN34" s="66"/>
      <c r="AO34" s="67"/>
      <c r="AP34" s="68"/>
      <c r="AQ34" s="67"/>
    </row>
    <row r="35" ht="15.75" customHeight="1">
      <c r="A35" s="61"/>
      <c r="B35" s="60"/>
      <c r="C35" s="60"/>
      <c r="D35" s="60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62"/>
      <c r="AK35" s="63"/>
      <c r="AL35" s="64"/>
      <c r="AM35" s="65"/>
      <c r="AN35" s="66"/>
      <c r="AO35" s="67"/>
      <c r="AP35" s="68"/>
      <c r="AQ35" s="67"/>
    </row>
    <row r="36" ht="15.75" customHeight="1">
      <c r="A36" s="61"/>
      <c r="B36" s="60"/>
      <c r="C36" s="60"/>
      <c r="D36" s="60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62"/>
      <c r="AK36" s="63"/>
      <c r="AL36" s="64"/>
      <c r="AM36" s="65"/>
      <c r="AN36" s="66"/>
      <c r="AO36" s="67"/>
      <c r="AP36" s="68"/>
      <c r="AQ36" s="67"/>
    </row>
    <row r="37" ht="15.75" customHeight="1">
      <c r="A37" s="61"/>
      <c r="B37" s="60"/>
      <c r="C37" s="60"/>
      <c r="D37" s="60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62"/>
      <c r="AK37" s="63"/>
      <c r="AL37" s="64"/>
      <c r="AM37" s="65"/>
      <c r="AN37" s="66"/>
      <c r="AO37" s="67"/>
      <c r="AP37" s="68"/>
      <c r="AQ37" s="67"/>
    </row>
    <row r="38" ht="15.75" customHeight="1">
      <c r="A38" s="61"/>
      <c r="B38" s="60"/>
      <c r="C38" s="60"/>
      <c r="D38" s="60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62"/>
      <c r="AK38" s="63"/>
      <c r="AL38" s="64"/>
      <c r="AM38" s="65"/>
      <c r="AN38" s="66"/>
      <c r="AO38" s="67"/>
      <c r="AP38" s="68"/>
      <c r="AQ38" s="67"/>
    </row>
    <row r="39" ht="15.75" customHeight="1">
      <c r="A39" s="61"/>
      <c r="B39" s="60"/>
      <c r="C39" s="60"/>
      <c r="D39" s="60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62"/>
      <c r="AK39" s="63"/>
      <c r="AL39" s="64"/>
      <c r="AM39" s="65"/>
      <c r="AN39" s="66"/>
      <c r="AO39" s="67"/>
      <c r="AP39" s="68"/>
      <c r="AQ39" s="67"/>
    </row>
    <row r="40" ht="15.75" customHeight="1">
      <c r="A40" s="61"/>
      <c r="B40" s="60"/>
      <c r="C40" s="60"/>
      <c r="D40" s="60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62"/>
      <c r="AK40" s="63"/>
      <c r="AL40" s="64"/>
      <c r="AM40" s="65"/>
      <c r="AN40" s="66"/>
      <c r="AO40" s="67"/>
      <c r="AP40" s="68"/>
      <c r="AQ40" s="67"/>
    </row>
    <row r="41" ht="15.75" customHeight="1">
      <c r="A41" s="61"/>
      <c r="B41" s="60"/>
      <c r="C41" s="60"/>
      <c r="D41" s="60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62"/>
      <c r="AK41" s="63"/>
      <c r="AL41" s="64"/>
      <c r="AM41" s="65"/>
      <c r="AN41" s="66"/>
      <c r="AO41" s="67"/>
      <c r="AP41" s="68"/>
      <c r="AQ41" s="67"/>
    </row>
    <row r="42" ht="15.75" customHeight="1">
      <c r="A42" s="61"/>
      <c r="B42" s="60"/>
      <c r="C42" s="60"/>
      <c r="D42" s="60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62"/>
      <c r="AK42" s="63"/>
      <c r="AL42" s="64"/>
      <c r="AM42" s="65"/>
      <c r="AN42" s="66"/>
      <c r="AO42" s="67"/>
      <c r="AP42" s="68"/>
      <c r="AQ42" s="67"/>
    </row>
    <row r="43" ht="15.75" customHeight="1">
      <c r="A43" s="61"/>
      <c r="B43" s="60"/>
      <c r="C43" s="60"/>
      <c r="D43" s="60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62"/>
      <c r="AK43" s="63"/>
      <c r="AL43" s="64"/>
      <c r="AM43" s="65"/>
      <c r="AN43" s="66"/>
      <c r="AO43" s="67"/>
      <c r="AP43" s="68"/>
      <c r="AQ43" s="67"/>
    </row>
    <row r="44" ht="15.75" customHeight="1">
      <c r="A44" s="61"/>
      <c r="B44" s="60"/>
      <c r="C44" s="60"/>
      <c r="D44" s="60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62"/>
      <c r="AK44" s="63"/>
      <c r="AL44" s="64"/>
      <c r="AM44" s="65"/>
      <c r="AN44" s="66"/>
      <c r="AO44" s="67"/>
      <c r="AP44" s="68"/>
      <c r="AQ44" s="67"/>
    </row>
    <row r="45" ht="15.75" customHeight="1">
      <c r="A45" s="61"/>
      <c r="B45" s="60"/>
      <c r="C45" s="60"/>
      <c r="D45" s="60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62"/>
      <c r="AK45" s="63"/>
      <c r="AL45" s="64"/>
      <c r="AM45" s="65"/>
      <c r="AN45" s="66"/>
      <c r="AO45" s="67"/>
      <c r="AP45" s="68"/>
      <c r="AQ45" s="67"/>
    </row>
    <row r="46" ht="15.75" customHeight="1">
      <c r="A46" s="61"/>
      <c r="B46" s="60"/>
      <c r="C46" s="60"/>
      <c r="D46" s="60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62"/>
      <c r="AK46" s="63"/>
      <c r="AL46" s="64"/>
      <c r="AM46" s="65"/>
      <c r="AN46" s="66"/>
      <c r="AO46" s="67"/>
      <c r="AP46" s="68"/>
      <c r="AQ46" s="67"/>
    </row>
    <row r="47" ht="15.75" customHeight="1">
      <c r="A47" s="61"/>
      <c r="B47" s="60"/>
      <c r="C47" s="60"/>
      <c r="D47" s="60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62"/>
      <c r="AK47" s="63"/>
      <c r="AL47" s="64"/>
      <c r="AM47" s="65"/>
      <c r="AN47" s="66"/>
      <c r="AO47" s="67"/>
      <c r="AP47" s="68"/>
      <c r="AQ47" s="67"/>
    </row>
    <row r="48" ht="15.75" customHeight="1">
      <c r="A48" s="61"/>
      <c r="B48" s="60"/>
      <c r="C48" s="60"/>
      <c r="D48" s="60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62"/>
      <c r="AK48" s="63"/>
      <c r="AL48" s="64"/>
      <c r="AM48" s="65"/>
      <c r="AN48" s="66"/>
      <c r="AO48" s="67"/>
      <c r="AP48" s="68"/>
      <c r="AQ48" s="67"/>
    </row>
    <row r="49" ht="15.75" customHeight="1">
      <c r="A49" s="61"/>
      <c r="B49" s="60"/>
      <c r="C49" s="60"/>
      <c r="D49" s="60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62"/>
      <c r="AK49" s="63"/>
      <c r="AL49" s="64"/>
      <c r="AM49" s="65"/>
      <c r="AN49" s="66"/>
      <c r="AO49" s="67"/>
      <c r="AP49" s="68"/>
      <c r="AQ49" s="67"/>
    </row>
    <row r="50" ht="15.75" customHeight="1">
      <c r="A50" s="61"/>
      <c r="B50" s="60"/>
      <c r="C50" s="60"/>
      <c r="D50" s="60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62"/>
      <c r="AK50" s="63"/>
      <c r="AL50" s="64"/>
      <c r="AM50" s="65"/>
      <c r="AN50" s="66"/>
      <c r="AO50" s="67"/>
      <c r="AP50" s="68"/>
      <c r="AQ50" s="67"/>
    </row>
    <row r="51" ht="15.75" customHeight="1">
      <c r="A51" s="61"/>
      <c r="B51" s="60"/>
      <c r="C51" s="60"/>
      <c r="D51" s="60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62"/>
      <c r="AK51" s="63"/>
      <c r="AL51" s="64"/>
      <c r="AM51" s="65"/>
      <c r="AN51" s="66"/>
      <c r="AO51" s="67"/>
      <c r="AP51" s="68"/>
      <c r="AQ51" s="67"/>
    </row>
    <row r="52" ht="15.75" customHeight="1">
      <c r="A52" s="61"/>
      <c r="B52" s="60"/>
      <c r="C52" s="60"/>
      <c r="D52" s="60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62"/>
      <c r="AK52" s="63"/>
      <c r="AL52" s="64"/>
      <c r="AM52" s="65"/>
      <c r="AN52" s="66"/>
      <c r="AO52" s="67"/>
      <c r="AP52" s="68"/>
      <c r="AQ52" s="67"/>
    </row>
    <row r="53" ht="15.75" customHeight="1">
      <c r="A53" s="61"/>
      <c r="B53" s="60"/>
      <c r="C53" s="60"/>
      <c r="D53" s="60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62"/>
      <c r="AK53" s="63"/>
      <c r="AL53" s="64"/>
      <c r="AM53" s="65"/>
      <c r="AN53" s="66"/>
      <c r="AO53" s="67"/>
      <c r="AP53" s="68"/>
      <c r="AQ53" s="67"/>
    </row>
    <row r="54" ht="15.75" customHeight="1">
      <c r="A54" s="61"/>
      <c r="B54" s="60"/>
      <c r="C54" s="60"/>
      <c r="D54" s="60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62"/>
      <c r="AK54" s="63"/>
      <c r="AL54" s="64"/>
      <c r="AM54" s="65"/>
      <c r="AN54" s="66"/>
      <c r="AO54" s="67"/>
      <c r="AP54" s="68"/>
      <c r="AQ54" s="67"/>
    </row>
    <row r="55" ht="15.75" customHeight="1">
      <c r="A55" s="61"/>
      <c r="B55" s="60"/>
      <c r="C55" s="60"/>
      <c r="D55" s="60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62"/>
      <c r="AK55" s="63"/>
      <c r="AL55" s="64"/>
      <c r="AM55" s="65"/>
      <c r="AN55" s="66"/>
      <c r="AO55" s="67"/>
      <c r="AP55" s="68"/>
      <c r="AQ55" s="67"/>
    </row>
    <row r="56" ht="15.75" customHeight="1">
      <c r="A56" s="61"/>
      <c r="B56" s="60"/>
      <c r="C56" s="60"/>
      <c r="D56" s="60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62"/>
      <c r="AK56" s="63"/>
      <c r="AL56" s="64"/>
      <c r="AM56" s="65"/>
      <c r="AN56" s="66"/>
      <c r="AO56" s="67"/>
      <c r="AP56" s="68"/>
      <c r="AQ56" s="67"/>
    </row>
    <row r="57" ht="15.75" customHeight="1">
      <c r="A57" s="61"/>
      <c r="B57" s="60"/>
      <c r="C57" s="60"/>
      <c r="D57" s="60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62"/>
      <c r="AK57" s="63"/>
      <c r="AL57" s="64"/>
      <c r="AM57" s="65"/>
      <c r="AN57" s="66"/>
      <c r="AO57" s="67"/>
      <c r="AP57" s="68"/>
      <c r="AQ57" s="67"/>
    </row>
    <row r="58" ht="15.75" customHeight="1">
      <c r="A58" s="61"/>
      <c r="B58" s="60"/>
      <c r="C58" s="60"/>
      <c r="D58" s="60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62"/>
      <c r="AK58" s="63"/>
      <c r="AL58" s="64"/>
      <c r="AM58" s="65"/>
      <c r="AN58" s="66"/>
      <c r="AO58" s="67"/>
      <c r="AP58" s="68"/>
      <c r="AQ58" s="67"/>
    </row>
    <row r="59" ht="15.75" customHeight="1">
      <c r="A59" s="61"/>
      <c r="B59" s="60"/>
      <c r="C59" s="60"/>
      <c r="D59" s="60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62"/>
      <c r="AK59" s="63"/>
      <c r="AL59" s="64"/>
      <c r="AM59" s="65"/>
      <c r="AN59" s="66"/>
      <c r="AO59" s="67"/>
      <c r="AP59" s="68"/>
      <c r="AQ59" s="67"/>
    </row>
    <row r="60" ht="15.75" customHeight="1">
      <c r="A60" s="61"/>
      <c r="B60" s="60"/>
      <c r="C60" s="60"/>
      <c r="D60" s="60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62"/>
      <c r="AK60" s="63"/>
      <c r="AL60" s="64"/>
      <c r="AM60" s="65"/>
      <c r="AN60" s="66"/>
      <c r="AO60" s="67"/>
      <c r="AP60" s="68"/>
      <c r="AQ60" s="67"/>
    </row>
    <row r="61" ht="15.75" customHeight="1">
      <c r="A61" s="61"/>
      <c r="B61" s="60"/>
      <c r="C61" s="60"/>
      <c r="D61" s="60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62"/>
      <c r="AK61" s="63"/>
      <c r="AL61" s="64"/>
      <c r="AM61" s="65"/>
      <c r="AN61" s="66"/>
      <c r="AO61" s="67"/>
      <c r="AP61" s="68"/>
      <c r="AQ61" s="67"/>
    </row>
    <row r="62" ht="15.75" customHeight="1">
      <c r="A62" s="61"/>
      <c r="B62" s="60"/>
      <c r="C62" s="60"/>
      <c r="D62" s="60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62"/>
      <c r="AK62" s="63"/>
      <c r="AL62" s="64"/>
      <c r="AM62" s="65"/>
      <c r="AN62" s="66"/>
      <c r="AO62" s="67"/>
      <c r="AP62" s="68"/>
      <c r="AQ62" s="67"/>
    </row>
    <row r="63" ht="15.75" customHeight="1">
      <c r="A63" s="61"/>
      <c r="B63" s="60"/>
      <c r="C63" s="60"/>
      <c r="D63" s="60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62"/>
      <c r="AK63" s="63"/>
      <c r="AL63" s="64"/>
      <c r="AM63" s="65"/>
      <c r="AN63" s="66"/>
      <c r="AO63" s="67"/>
      <c r="AP63" s="68"/>
      <c r="AQ63" s="67"/>
    </row>
    <row r="64" ht="15.75" customHeight="1">
      <c r="A64" s="61"/>
      <c r="B64" s="60"/>
      <c r="C64" s="60"/>
      <c r="D64" s="60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62"/>
      <c r="AK64" s="63"/>
      <c r="AL64" s="64"/>
      <c r="AM64" s="65"/>
      <c r="AN64" s="66"/>
      <c r="AO64" s="67"/>
      <c r="AP64" s="68"/>
      <c r="AQ64" s="67"/>
    </row>
    <row r="65" ht="15.75" customHeight="1">
      <c r="A65" s="61"/>
      <c r="B65" s="60"/>
      <c r="C65" s="60"/>
      <c r="D65" s="60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62"/>
      <c r="AK65" s="63"/>
      <c r="AL65" s="64"/>
      <c r="AM65" s="65"/>
      <c r="AN65" s="66"/>
      <c r="AO65" s="67"/>
      <c r="AP65" s="68"/>
      <c r="AQ65" s="67"/>
    </row>
    <row r="66" ht="15.75" customHeight="1">
      <c r="A66" s="61"/>
      <c r="B66" s="60"/>
      <c r="C66" s="60"/>
      <c r="D66" s="60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62"/>
      <c r="AK66" s="63"/>
      <c r="AL66" s="64"/>
      <c r="AM66" s="65"/>
      <c r="AN66" s="66"/>
      <c r="AO66" s="67"/>
      <c r="AP66" s="68"/>
      <c r="AQ66" s="67"/>
    </row>
    <row r="67" ht="15.75" customHeight="1">
      <c r="A67" s="61"/>
      <c r="B67" s="60"/>
      <c r="C67" s="60"/>
      <c r="D67" s="60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62"/>
      <c r="AK67" s="63"/>
      <c r="AL67" s="64"/>
      <c r="AM67" s="65"/>
      <c r="AN67" s="66"/>
      <c r="AO67" s="67"/>
      <c r="AP67" s="68"/>
      <c r="AQ67" s="67"/>
    </row>
    <row r="68" ht="15.75" customHeight="1">
      <c r="A68" s="61"/>
      <c r="B68" s="60"/>
      <c r="C68" s="60"/>
      <c r="D68" s="60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62"/>
      <c r="AK68" s="63"/>
      <c r="AL68" s="64"/>
      <c r="AM68" s="65"/>
      <c r="AN68" s="66"/>
      <c r="AO68" s="67"/>
      <c r="AP68" s="68"/>
      <c r="AQ68" s="67"/>
    </row>
    <row r="69" ht="15.75" customHeight="1">
      <c r="A69" s="61"/>
      <c r="B69" s="60"/>
      <c r="C69" s="60"/>
      <c r="D69" s="60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62"/>
      <c r="AK69" s="63"/>
      <c r="AL69" s="64"/>
      <c r="AM69" s="65"/>
      <c r="AN69" s="66"/>
      <c r="AO69" s="67"/>
      <c r="AP69" s="68"/>
      <c r="AQ69" s="67"/>
    </row>
    <row r="70" ht="15.75" customHeight="1">
      <c r="A70" s="61"/>
      <c r="B70" s="60"/>
      <c r="C70" s="60"/>
      <c r="D70" s="60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62"/>
      <c r="AK70" s="63"/>
      <c r="AL70" s="64"/>
      <c r="AM70" s="65"/>
      <c r="AN70" s="66"/>
      <c r="AO70" s="67"/>
      <c r="AP70" s="68"/>
      <c r="AQ70" s="67"/>
    </row>
    <row r="71" ht="15.75" customHeight="1">
      <c r="A71" s="61"/>
      <c r="B71" s="60"/>
      <c r="C71" s="60"/>
      <c r="D71" s="60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62"/>
      <c r="AK71" s="63"/>
      <c r="AL71" s="64"/>
      <c r="AM71" s="65"/>
      <c r="AN71" s="66"/>
      <c r="AO71" s="67"/>
      <c r="AP71" s="68"/>
      <c r="AQ71" s="67"/>
    </row>
    <row r="72" ht="15.75" customHeight="1">
      <c r="A72" s="61"/>
      <c r="B72" s="60"/>
      <c r="C72" s="60"/>
      <c r="D72" s="60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62"/>
      <c r="AK72" s="63"/>
      <c r="AL72" s="64"/>
      <c r="AM72" s="65"/>
      <c r="AN72" s="66"/>
      <c r="AO72" s="67"/>
      <c r="AP72" s="68"/>
      <c r="AQ72" s="67"/>
    </row>
    <row r="73" ht="15.75" customHeight="1">
      <c r="A73" s="61"/>
      <c r="B73" s="60"/>
      <c r="C73" s="60"/>
      <c r="D73" s="60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62"/>
      <c r="AK73" s="63"/>
      <c r="AL73" s="64"/>
      <c r="AM73" s="65"/>
      <c r="AN73" s="66"/>
      <c r="AO73" s="67"/>
      <c r="AP73" s="68"/>
      <c r="AQ73" s="67"/>
    </row>
    <row r="74" ht="15.75" customHeight="1">
      <c r="A74" s="61"/>
      <c r="B74" s="60"/>
      <c r="C74" s="60"/>
      <c r="D74" s="60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62"/>
      <c r="AK74" s="63"/>
      <c r="AL74" s="64"/>
      <c r="AM74" s="65"/>
      <c r="AN74" s="66"/>
      <c r="AO74" s="67"/>
      <c r="AP74" s="68"/>
      <c r="AQ74" s="67"/>
    </row>
    <row r="75" ht="15.75" customHeight="1">
      <c r="A75" s="61"/>
      <c r="B75" s="60"/>
      <c r="C75" s="60"/>
      <c r="D75" s="60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62"/>
      <c r="AK75" s="63"/>
      <c r="AL75" s="64"/>
      <c r="AM75" s="65"/>
      <c r="AN75" s="66"/>
      <c r="AO75" s="67"/>
      <c r="AP75" s="68"/>
      <c r="AQ75" s="67"/>
    </row>
    <row r="76" ht="15.75" customHeight="1">
      <c r="A76" s="61"/>
      <c r="B76" s="60"/>
      <c r="C76" s="60"/>
      <c r="D76" s="60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62"/>
      <c r="AK76" s="63"/>
      <c r="AL76" s="64"/>
      <c r="AM76" s="65"/>
      <c r="AN76" s="66"/>
      <c r="AO76" s="67"/>
      <c r="AP76" s="68"/>
      <c r="AQ76" s="67"/>
    </row>
    <row r="77" ht="15.75" customHeight="1">
      <c r="A77" s="61"/>
      <c r="B77" s="60"/>
      <c r="C77" s="60"/>
      <c r="D77" s="60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62"/>
      <c r="AK77" s="63"/>
      <c r="AL77" s="64"/>
      <c r="AM77" s="65"/>
      <c r="AN77" s="66"/>
      <c r="AO77" s="67"/>
      <c r="AP77" s="68"/>
      <c r="AQ77" s="67"/>
    </row>
    <row r="78" ht="15.75" customHeight="1">
      <c r="A78" s="61"/>
      <c r="B78" s="60"/>
      <c r="C78" s="60"/>
      <c r="D78" s="60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62"/>
      <c r="AK78" s="63"/>
      <c r="AL78" s="64"/>
      <c r="AM78" s="65"/>
      <c r="AN78" s="66"/>
      <c r="AO78" s="67"/>
      <c r="AP78" s="68"/>
      <c r="AQ78" s="67"/>
    </row>
    <row r="79" ht="15.75" customHeight="1">
      <c r="A79" s="61"/>
      <c r="B79" s="60"/>
      <c r="C79" s="60"/>
      <c r="D79" s="60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62"/>
      <c r="AK79" s="63"/>
      <c r="AL79" s="64"/>
      <c r="AM79" s="65"/>
      <c r="AN79" s="66"/>
      <c r="AO79" s="67"/>
      <c r="AP79" s="68"/>
      <c r="AQ79" s="67"/>
    </row>
    <row r="80" ht="15.75" customHeight="1">
      <c r="A80" s="61"/>
      <c r="B80" s="60"/>
      <c r="C80" s="60"/>
      <c r="D80" s="60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62"/>
      <c r="AK80" s="63"/>
      <c r="AL80" s="64"/>
      <c r="AM80" s="65"/>
      <c r="AN80" s="66"/>
      <c r="AO80" s="67"/>
      <c r="AP80" s="68"/>
      <c r="AQ80" s="67"/>
    </row>
    <row r="81" ht="15.75" customHeight="1">
      <c r="A81" s="61"/>
      <c r="B81" s="60"/>
      <c r="C81" s="60"/>
      <c r="D81" s="60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62"/>
      <c r="AK81" s="63"/>
      <c r="AL81" s="64"/>
      <c r="AM81" s="65"/>
      <c r="AN81" s="66"/>
      <c r="AO81" s="67"/>
      <c r="AP81" s="68"/>
      <c r="AQ81" s="67"/>
    </row>
    <row r="82" ht="15.75" customHeight="1">
      <c r="A82" s="61"/>
      <c r="B82" s="60"/>
      <c r="C82" s="60"/>
      <c r="D82" s="60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62"/>
      <c r="AK82" s="63"/>
      <c r="AL82" s="64"/>
      <c r="AM82" s="65"/>
      <c r="AN82" s="66"/>
      <c r="AO82" s="67"/>
      <c r="AP82" s="68"/>
      <c r="AQ82" s="67"/>
    </row>
    <row r="83" ht="15.75" customHeight="1">
      <c r="A83" s="61"/>
      <c r="B83" s="60"/>
      <c r="C83" s="60"/>
      <c r="D83" s="60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62"/>
      <c r="AK83" s="63"/>
      <c r="AL83" s="64"/>
      <c r="AM83" s="65"/>
      <c r="AN83" s="66"/>
      <c r="AO83" s="67"/>
      <c r="AP83" s="68"/>
      <c r="AQ83" s="67"/>
    </row>
    <row r="84" ht="15.75" customHeight="1">
      <c r="A84" s="61"/>
      <c r="B84" s="60"/>
      <c r="C84" s="60"/>
      <c r="D84" s="60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62"/>
      <c r="AK84" s="63"/>
      <c r="AL84" s="64"/>
      <c r="AM84" s="65"/>
      <c r="AN84" s="66"/>
      <c r="AO84" s="67"/>
      <c r="AP84" s="68"/>
      <c r="AQ84" s="67"/>
    </row>
    <row r="85" ht="15.75" customHeight="1">
      <c r="A85" s="61"/>
      <c r="B85" s="60"/>
      <c r="C85" s="60"/>
      <c r="D85" s="60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62"/>
      <c r="AK85" s="63"/>
      <c r="AL85" s="64"/>
      <c r="AM85" s="65"/>
      <c r="AN85" s="66"/>
      <c r="AO85" s="67"/>
      <c r="AP85" s="68"/>
      <c r="AQ85" s="67"/>
    </row>
    <row r="86" ht="15.75" customHeight="1">
      <c r="A86" s="61"/>
      <c r="B86" s="60"/>
      <c r="C86" s="60"/>
      <c r="D86" s="60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62"/>
      <c r="AK86" s="63"/>
      <c r="AL86" s="64"/>
      <c r="AM86" s="65"/>
      <c r="AN86" s="66"/>
      <c r="AO86" s="67"/>
      <c r="AP86" s="68"/>
      <c r="AQ86" s="67"/>
    </row>
    <row r="87" ht="15.75" customHeight="1">
      <c r="A87" s="61"/>
      <c r="B87" s="60"/>
      <c r="C87" s="60"/>
      <c r="D87" s="60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62"/>
      <c r="AK87" s="63"/>
      <c r="AL87" s="64"/>
      <c r="AM87" s="65"/>
      <c r="AN87" s="66"/>
      <c r="AO87" s="67"/>
      <c r="AP87" s="68"/>
      <c r="AQ87" s="67"/>
    </row>
    <row r="88" ht="15.75" customHeight="1">
      <c r="A88" s="61"/>
      <c r="B88" s="60"/>
      <c r="C88" s="60"/>
      <c r="D88" s="60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62"/>
      <c r="AK88" s="63"/>
      <c r="AL88" s="64"/>
      <c r="AM88" s="65"/>
      <c r="AN88" s="66"/>
      <c r="AO88" s="67"/>
      <c r="AP88" s="68"/>
      <c r="AQ88" s="67"/>
    </row>
    <row r="89" ht="15.75" customHeight="1">
      <c r="A89" s="61"/>
      <c r="B89" s="60"/>
      <c r="C89" s="60"/>
      <c r="D89" s="60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62"/>
      <c r="AK89" s="63"/>
      <c r="AL89" s="64"/>
      <c r="AM89" s="65"/>
      <c r="AN89" s="66"/>
      <c r="AO89" s="67"/>
      <c r="AP89" s="68"/>
      <c r="AQ89" s="67"/>
    </row>
    <row r="90" ht="15.75" customHeight="1">
      <c r="A90" s="61"/>
      <c r="B90" s="60"/>
      <c r="C90" s="60"/>
      <c r="D90" s="60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62"/>
      <c r="AK90" s="63"/>
      <c r="AL90" s="64"/>
      <c r="AM90" s="65"/>
      <c r="AN90" s="66"/>
      <c r="AO90" s="67"/>
      <c r="AP90" s="68"/>
      <c r="AQ90" s="67"/>
    </row>
    <row r="91" ht="15.75" customHeight="1">
      <c r="A91" s="61"/>
      <c r="B91" s="60"/>
      <c r="C91" s="60"/>
      <c r="D91" s="60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62"/>
      <c r="AK91" s="63"/>
      <c r="AL91" s="64"/>
      <c r="AM91" s="65"/>
      <c r="AN91" s="66"/>
      <c r="AO91" s="67"/>
      <c r="AP91" s="68"/>
      <c r="AQ91" s="67"/>
    </row>
    <row r="92" ht="15.75" customHeight="1">
      <c r="A92" s="61"/>
      <c r="B92" s="60"/>
      <c r="C92" s="60"/>
      <c r="D92" s="60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62"/>
      <c r="AK92" s="63"/>
      <c r="AL92" s="64"/>
      <c r="AM92" s="65"/>
      <c r="AN92" s="66"/>
      <c r="AO92" s="67"/>
      <c r="AP92" s="68"/>
      <c r="AQ92" s="67"/>
    </row>
    <row r="93" ht="15.75" customHeight="1">
      <c r="A93" s="61"/>
      <c r="B93" s="60"/>
      <c r="C93" s="60"/>
      <c r="D93" s="60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62"/>
      <c r="AK93" s="63"/>
      <c r="AL93" s="64"/>
      <c r="AM93" s="65"/>
      <c r="AN93" s="66"/>
      <c r="AO93" s="67"/>
      <c r="AP93" s="68"/>
      <c r="AQ93" s="67"/>
    </row>
    <row r="94" ht="15.75" customHeight="1">
      <c r="A94" s="61"/>
      <c r="B94" s="60"/>
      <c r="C94" s="60"/>
      <c r="D94" s="60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62"/>
      <c r="AK94" s="63"/>
      <c r="AL94" s="64"/>
      <c r="AM94" s="65"/>
      <c r="AN94" s="66"/>
      <c r="AO94" s="67"/>
      <c r="AP94" s="68"/>
      <c r="AQ94" s="67"/>
    </row>
    <row r="95" ht="15.75" customHeight="1">
      <c r="A95" s="61"/>
      <c r="B95" s="60"/>
      <c r="C95" s="60"/>
      <c r="D95" s="60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62"/>
      <c r="AK95" s="63"/>
      <c r="AL95" s="64"/>
      <c r="AM95" s="65"/>
      <c r="AN95" s="66"/>
      <c r="AO95" s="67"/>
      <c r="AP95" s="68"/>
      <c r="AQ95" s="67"/>
    </row>
    <row r="96" ht="15.75" customHeight="1">
      <c r="A96" s="61"/>
      <c r="B96" s="60"/>
      <c r="C96" s="60"/>
      <c r="D96" s="60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62"/>
      <c r="AK96" s="63"/>
      <c r="AL96" s="64"/>
      <c r="AM96" s="65"/>
      <c r="AN96" s="66"/>
      <c r="AO96" s="67"/>
      <c r="AP96" s="68"/>
      <c r="AQ96" s="67"/>
    </row>
    <row r="97" ht="15.75" customHeight="1">
      <c r="A97" s="61"/>
      <c r="B97" s="60"/>
      <c r="C97" s="60"/>
      <c r="D97" s="60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62"/>
      <c r="AK97" s="63"/>
      <c r="AL97" s="64"/>
      <c r="AM97" s="65"/>
      <c r="AN97" s="66"/>
      <c r="AO97" s="67"/>
      <c r="AP97" s="68"/>
      <c r="AQ97" s="67"/>
    </row>
    <row r="98" ht="15.75" customHeight="1">
      <c r="A98" s="61"/>
      <c r="B98" s="60"/>
      <c r="C98" s="60"/>
      <c r="D98" s="60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62"/>
      <c r="AK98" s="63"/>
      <c r="AL98" s="64"/>
      <c r="AM98" s="65"/>
      <c r="AN98" s="66"/>
      <c r="AO98" s="67"/>
      <c r="AP98" s="68"/>
      <c r="AQ98" s="67"/>
    </row>
    <row r="99" ht="15.75" customHeight="1">
      <c r="A99" s="61"/>
      <c r="B99" s="60"/>
      <c r="C99" s="60"/>
      <c r="D99" s="60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62"/>
      <c r="AK99" s="63"/>
      <c r="AL99" s="64"/>
      <c r="AM99" s="65"/>
      <c r="AN99" s="66"/>
      <c r="AO99" s="67"/>
      <c r="AP99" s="68"/>
      <c r="AQ99" s="67"/>
    </row>
    <row r="100" ht="15.75" customHeight="1">
      <c r="A100" s="61"/>
      <c r="B100" s="60"/>
      <c r="C100" s="60"/>
      <c r="D100" s="60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62"/>
      <c r="AK100" s="63"/>
      <c r="AL100" s="64"/>
      <c r="AM100" s="65"/>
      <c r="AN100" s="66"/>
      <c r="AO100" s="67"/>
      <c r="AP100" s="68"/>
      <c r="AQ100" s="67"/>
    </row>
    <row r="101" ht="15.75" customHeight="1">
      <c r="A101" s="61"/>
      <c r="B101" s="60"/>
      <c r="C101" s="60"/>
      <c r="D101" s="60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62"/>
      <c r="AK101" s="63"/>
      <c r="AL101" s="64"/>
      <c r="AM101" s="65"/>
      <c r="AN101" s="66"/>
      <c r="AO101" s="67"/>
      <c r="AP101" s="68"/>
      <c r="AQ101" s="67"/>
    </row>
    <row r="102" ht="15.75" customHeight="1">
      <c r="A102" s="61"/>
      <c r="B102" s="60"/>
      <c r="C102" s="60"/>
      <c r="D102" s="60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62"/>
      <c r="AK102" s="63"/>
      <c r="AL102" s="64"/>
      <c r="AM102" s="65"/>
      <c r="AN102" s="66"/>
      <c r="AO102" s="67"/>
      <c r="AP102" s="68"/>
      <c r="AQ102" s="67"/>
    </row>
    <row r="103" ht="15.75" customHeight="1">
      <c r="A103" s="61"/>
      <c r="B103" s="60"/>
      <c r="C103" s="60"/>
      <c r="D103" s="60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62"/>
      <c r="AK103" s="63"/>
      <c r="AL103" s="64"/>
      <c r="AM103" s="65"/>
      <c r="AN103" s="66"/>
      <c r="AO103" s="67"/>
      <c r="AP103" s="68"/>
      <c r="AQ103" s="67"/>
    </row>
    <row r="104" ht="15.75" customHeight="1">
      <c r="A104" s="61"/>
      <c r="B104" s="60"/>
      <c r="C104" s="60"/>
      <c r="D104" s="60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62"/>
      <c r="AK104" s="63"/>
      <c r="AL104" s="64"/>
      <c r="AM104" s="65"/>
      <c r="AN104" s="66"/>
      <c r="AO104" s="67"/>
      <c r="AP104" s="68"/>
      <c r="AQ104" s="67"/>
    </row>
    <row r="105" ht="15.75" customHeight="1">
      <c r="A105" s="61"/>
      <c r="B105" s="60"/>
      <c r="C105" s="60"/>
      <c r="D105" s="60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62"/>
      <c r="AK105" s="63"/>
      <c r="AL105" s="64"/>
      <c r="AM105" s="65"/>
      <c r="AN105" s="66"/>
      <c r="AO105" s="67"/>
      <c r="AP105" s="68"/>
      <c r="AQ105" s="67"/>
    </row>
    <row r="106" ht="15.75" customHeight="1">
      <c r="A106" s="61"/>
      <c r="B106" s="60"/>
      <c r="C106" s="60"/>
      <c r="D106" s="60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62"/>
      <c r="AK106" s="63"/>
      <c r="AL106" s="64"/>
      <c r="AM106" s="65"/>
      <c r="AN106" s="66"/>
      <c r="AO106" s="67"/>
      <c r="AP106" s="68"/>
      <c r="AQ106" s="67"/>
    </row>
    <row r="107" ht="15.75" customHeight="1">
      <c r="A107" s="61"/>
      <c r="B107" s="60"/>
      <c r="C107" s="60"/>
      <c r="D107" s="60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62"/>
      <c r="AK107" s="63"/>
      <c r="AL107" s="64"/>
      <c r="AM107" s="65"/>
      <c r="AN107" s="66"/>
      <c r="AO107" s="67"/>
      <c r="AP107" s="68"/>
      <c r="AQ107" s="67"/>
    </row>
    <row r="108" ht="15.75" customHeight="1">
      <c r="A108" s="61"/>
      <c r="B108" s="60"/>
      <c r="C108" s="60"/>
      <c r="D108" s="60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62"/>
      <c r="AK108" s="63"/>
      <c r="AL108" s="64"/>
      <c r="AM108" s="65"/>
      <c r="AN108" s="66"/>
      <c r="AO108" s="67"/>
      <c r="AP108" s="68"/>
      <c r="AQ108" s="67"/>
    </row>
    <row r="109" ht="15.75" customHeight="1">
      <c r="A109" s="61"/>
      <c r="B109" s="60"/>
      <c r="C109" s="60"/>
      <c r="D109" s="60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62"/>
      <c r="AK109" s="63"/>
      <c r="AL109" s="64"/>
      <c r="AM109" s="65"/>
      <c r="AN109" s="66"/>
      <c r="AO109" s="67"/>
      <c r="AP109" s="68"/>
      <c r="AQ109" s="67"/>
    </row>
    <row r="110" ht="15.75" customHeight="1">
      <c r="A110" s="61"/>
      <c r="B110" s="60"/>
      <c r="C110" s="60"/>
      <c r="D110" s="60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62"/>
      <c r="AK110" s="63"/>
      <c r="AL110" s="64"/>
      <c r="AM110" s="65"/>
      <c r="AN110" s="66"/>
      <c r="AO110" s="67"/>
      <c r="AP110" s="68"/>
      <c r="AQ110" s="67"/>
    </row>
    <row r="111" ht="15.75" customHeight="1">
      <c r="A111" s="61"/>
      <c r="B111" s="60"/>
      <c r="C111" s="60"/>
      <c r="D111" s="60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62"/>
      <c r="AK111" s="63"/>
      <c r="AL111" s="64"/>
      <c r="AM111" s="65"/>
      <c r="AN111" s="66"/>
      <c r="AO111" s="67"/>
      <c r="AP111" s="68"/>
      <c r="AQ111" s="67"/>
    </row>
    <row r="112" ht="15.75" customHeight="1">
      <c r="A112" s="61"/>
      <c r="B112" s="60"/>
      <c r="C112" s="60"/>
      <c r="D112" s="60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62"/>
      <c r="AK112" s="63"/>
      <c r="AL112" s="64"/>
      <c r="AM112" s="65"/>
      <c r="AN112" s="66"/>
      <c r="AO112" s="67"/>
      <c r="AP112" s="68"/>
      <c r="AQ112" s="67"/>
    </row>
    <row r="113" ht="15.75" customHeight="1">
      <c r="A113" s="61"/>
      <c r="B113" s="60"/>
      <c r="C113" s="60"/>
      <c r="D113" s="60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62"/>
      <c r="AK113" s="63"/>
      <c r="AL113" s="64"/>
      <c r="AM113" s="65"/>
      <c r="AN113" s="66"/>
      <c r="AO113" s="67"/>
      <c r="AP113" s="68"/>
      <c r="AQ113" s="67"/>
    </row>
    <row r="114" ht="15.75" customHeight="1">
      <c r="A114" s="61"/>
      <c r="B114" s="60"/>
      <c r="C114" s="60"/>
      <c r="D114" s="60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62"/>
      <c r="AK114" s="63"/>
      <c r="AL114" s="64"/>
      <c r="AM114" s="65"/>
      <c r="AN114" s="66"/>
      <c r="AO114" s="67"/>
      <c r="AP114" s="68"/>
      <c r="AQ114" s="67"/>
    </row>
    <row r="115" ht="15.75" customHeight="1">
      <c r="A115" s="61"/>
      <c r="B115" s="60"/>
      <c r="C115" s="60"/>
      <c r="D115" s="60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62"/>
      <c r="AK115" s="63"/>
      <c r="AL115" s="64"/>
      <c r="AM115" s="65"/>
      <c r="AN115" s="66"/>
      <c r="AO115" s="67"/>
      <c r="AP115" s="68"/>
      <c r="AQ115" s="67"/>
    </row>
    <row r="116" ht="15.75" customHeight="1">
      <c r="A116" s="61"/>
      <c r="B116" s="60"/>
      <c r="C116" s="60"/>
      <c r="D116" s="60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62"/>
      <c r="AK116" s="63"/>
      <c r="AL116" s="64"/>
      <c r="AM116" s="65"/>
      <c r="AN116" s="66"/>
      <c r="AO116" s="67"/>
      <c r="AP116" s="68"/>
      <c r="AQ116" s="67"/>
    </row>
    <row r="117" ht="15.75" customHeight="1">
      <c r="A117" s="61"/>
      <c r="B117" s="60"/>
      <c r="C117" s="60"/>
      <c r="D117" s="60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62"/>
      <c r="AK117" s="63"/>
      <c r="AL117" s="64"/>
      <c r="AM117" s="65"/>
      <c r="AN117" s="66"/>
      <c r="AO117" s="67"/>
      <c r="AP117" s="68"/>
      <c r="AQ117" s="67"/>
    </row>
    <row r="118" ht="15.75" customHeight="1">
      <c r="A118" s="61"/>
      <c r="B118" s="60"/>
      <c r="C118" s="60"/>
      <c r="D118" s="60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62"/>
      <c r="AK118" s="63"/>
      <c r="AL118" s="64"/>
      <c r="AM118" s="65"/>
      <c r="AN118" s="66"/>
      <c r="AO118" s="67"/>
      <c r="AP118" s="68"/>
      <c r="AQ118" s="67"/>
    </row>
    <row r="119" ht="15.75" customHeight="1">
      <c r="A119" s="61"/>
      <c r="B119" s="60"/>
      <c r="C119" s="60"/>
      <c r="D119" s="60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62"/>
      <c r="AK119" s="63"/>
      <c r="AL119" s="64"/>
      <c r="AM119" s="65"/>
      <c r="AN119" s="66"/>
      <c r="AO119" s="67"/>
      <c r="AP119" s="68"/>
      <c r="AQ119" s="67"/>
    </row>
    <row r="120" ht="15.75" customHeight="1">
      <c r="A120" s="61"/>
      <c r="B120" s="60"/>
      <c r="C120" s="60"/>
      <c r="D120" s="60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62"/>
      <c r="AK120" s="63"/>
      <c r="AL120" s="64"/>
      <c r="AM120" s="65"/>
      <c r="AN120" s="66"/>
      <c r="AO120" s="67"/>
      <c r="AP120" s="68"/>
      <c r="AQ120" s="67"/>
    </row>
    <row r="121" ht="15.75" customHeight="1">
      <c r="A121" s="61"/>
      <c r="B121" s="60"/>
      <c r="C121" s="60"/>
      <c r="D121" s="60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62"/>
      <c r="AK121" s="63"/>
      <c r="AL121" s="64"/>
      <c r="AM121" s="65"/>
      <c r="AN121" s="66"/>
      <c r="AO121" s="67"/>
      <c r="AP121" s="68"/>
      <c r="AQ121" s="67"/>
    </row>
    <row r="122" ht="15.75" customHeight="1">
      <c r="A122" s="61"/>
      <c r="B122" s="60"/>
      <c r="C122" s="60"/>
      <c r="D122" s="60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62"/>
      <c r="AK122" s="63"/>
      <c r="AL122" s="64"/>
      <c r="AM122" s="65"/>
      <c r="AN122" s="66"/>
      <c r="AO122" s="67"/>
      <c r="AP122" s="68"/>
      <c r="AQ122" s="67"/>
    </row>
    <row r="123" ht="15.75" customHeight="1">
      <c r="A123" s="61"/>
      <c r="B123" s="60"/>
      <c r="C123" s="60"/>
      <c r="D123" s="60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62"/>
      <c r="AK123" s="63"/>
      <c r="AL123" s="64"/>
      <c r="AM123" s="65"/>
      <c r="AN123" s="66"/>
      <c r="AO123" s="67"/>
      <c r="AP123" s="68"/>
      <c r="AQ123" s="67"/>
    </row>
    <row r="124" ht="15.75" customHeight="1">
      <c r="A124" s="61"/>
      <c r="B124" s="60"/>
      <c r="C124" s="60"/>
      <c r="D124" s="60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62"/>
      <c r="AK124" s="63"/>
      <c r="AL124" s="64"/>
      <c r="AM124" s="65"/>
      <c r="AN124" s="66"/>
      <c r="AO124" s="67"/>
      <c r="AP124" s="68"/>
      <c r="AQ124" s="67"/>
    </row>
    <row r="125" ht="15.75" customHeight="1">
      <c r="A125" s="61"/>
      <c r="B125" s="60"/>
      <c r="C125" s="60"/>
      <c r="D125" s="60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62"/>
      <c r="AK125" s="63"/>
      <c r="AL125" s="64"/>
      <c r="AM125" s="65"/>
      <c r="AN125" s="66"/>
      <c r="AO125" s="67"/>
      <c r="AP125" s="68"/>
      <c r="AQ125" s="67"/>
    </row>
    <row r="126" ht="15.75" customHeight="1">
      <c r="A126" s="61"/>
      <c r="B126" s="60"/>
      <c r="C126" s="60"/>
      <c r="D126" s="60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62"/>
      <c r="AK126" s="63"/>
      <c r="AL126" s="64"/>
      <c r="AM126" s="65"/>
      <c r="AN126" s="66"/>
      <c r="AO126" s="67"/>
      <c r="AP126" s="68"/>
      <c r="AQ126" s="67"/>
    </row>
    <row r="127" ht="15.75" customHeight="1">
      <c r="A127" s="61"/>
      <c r="B127" s="60"/>
      <c r="C127" s="60"/>
      <c r="D127" s="60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62"/>
      <c r="AK127" s="63"/>
      <c r="AL127" s="64"/>
      <c r="AM127" s="65"/>
      <c r="AN127" s="66"/>
      <c r="AO127" s="67"/>
      <c r="AP127" s="68"/>
      <c r="AQ127" s="67"/>
    </row>
    <row r="128" ht="15.75" customHeight="1">
      <c r="A128" s="61"/>
      <c r="B128" s="60"/>
      <c r="C128" s="60"/>
      <c r="D128" s="60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62"/>
      <c r="AK128" s="63"/>
      <c r="AL128" s="64"/>
      <c r="AM128" s="65"/>
      <c r="AN128" s="66"/>
      <c r="AO128" s="67"/>
      <c r="AP128" s="68"/>
      <c r="AQ128" s="67"/>
    </row>
    <row r="129" ht="15.75" customHeight="1">
      <c r="A129" s="61"/>
      <c r="B129" s="60"/>
      <c r="C129" s="60"/>
      <c r="D129" s="60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62"/>
      <c r="AK129" s="63"/>
      <c r="AL129" s="64"/>
      <c r="AM129" s="65"/>
      <c r="AN129" s="66"/>
      <c r="AO129" s="67"/>
      <c r="AP129" s="68"/>
      <c r="AQ129" s="67"/>
    </row>
    <row r="130" ht="15.75" customHeight="1">
      <c r="A130" s="61"/>
      <c r="B130" s="60"/>
      <c r="C130" s="60"/>
      <c r="D130" s="60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62"/>
      <c r="AK130" s="63"/>
      <c r="AL130" s="64"/>
      <c r="AM130" s="65"/>
      <c r="AN130" s="66"/>
      <c r="AO130" s="67"/>
      <c r="AP130" s="68"/>
      <c r="AQ130" s="67"/>
    </row>
    <row r="131" ht="15.75" customHeight="1">
      <c r="A131" s="61"/>
      <c r="B131" s="60"/>
      <c r="C131" s="60"/>
      <c r="D131" s="60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62"/>
      <c r="AK131" s="63"/>
      <c r="AL131" s="64"/>
      <c r="AM131" s="65"/>
      <c r="AN131" s="66"/>
      <c r="AO131" s="67"/>
      <c r="AP131" s="68"/>
      <c r="AQ131" s="67"/>
    </row>
    <row r="132" ht="15.75" customHeight="1">
      <c r="A132" s="61"/>
      <c r="B132" s="60"/>
      <c r="C132" s="60"/>
      <c r="D132" s="60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62"/>
      <c r="AK132" s="63"/>
      <c r="AL132" s="64"/>
      <c r="AM132" s="65"/>
      <c r="AN132" s="66"/>
      <c r="AO132" s="67"/>
      <c r="AP132" s="68"/>
      <c r="AQ132" s="67"/>
    </row>
    <row r="133" ht="15.75" customHeight="1">
      <c r="A133" s="61"/>
      <c r="B133" s="60"/>
      <c r="C133" s="60"/>
      <c r="D133" s="60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62"/>
      <c r="AK133" s="63"/>
      <c r="AL133" s="64"/>
      <c r="AM133" s="65"/>
      <c r="AN133" s="66"/>
      <c r="AO133" s="67"/>
      <c r="AP133" s="68"/>
      <c r="AQ133" s="67"/>
    </row>
    <row r="134" ht="15.75" customHeight="1">
      <c r="A134" s="61"/>
      <c r="B134" s="60"/>
      <c r="C134" s="60"/>
      <c r="D134" s="60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62"/>
      <c r="AK134" s="63"/>
      <c r="AL134" s="64"/>
      <c r="AM134" s="65"/>
      <c r="AN134" s="66"/>
      <c r="AO134" s="67"/>
      <c r="AP134" s="68"/>
      <c r="AQ134" s="67"/>
    </row>
    <row r="135" ht="15.75" customHeight="1">
      <c r="A135" s="61"/>
      <c r="B135" s="60"/>
      <c r="C135" s="60"/>
      <c r="D135" s="60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62"/>
      <c r="AK135" s="63"/>
      <c r="AL135" s="64"/>
      <c r="AM135" s="65"/>
      <c r="AN135" s="66"/>
      <c r="AO135" s="67"/>
      <c r="AP135" s="68"/>
      <c r="AQ135" s="67"/>
    </row>
    <row r="136" ht="15.75" customHeight="1">
      <c r="A136" s="61"/>
      <c r="B136" s="60"/>
      <c r="C136" s="60"/>
      <c r="D136" s="60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62"/>
      <c r="AK136" s="63"/>
      <c r="AL136" s="64"/>
      <c r="AM136" s="65"/>
      <c r="AN136" s="66"/>
      <c r="AO136" s="67"/>
      <c r="AP136" s="68"/>
      <c r="AQ136" s="67"/>
    </row>
    <row r="137" ht="15.75" customHeight="1">
      <c r="A137" s="61"/>
      <c r="B137" s="60"/>
      <c r="C137" s="60"/>
      <c r="D137" s="60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62"/>
      <c r="AK137" s="63"/>
      <c r="AL137" s="64"/>
      <c r="AM137" s="65"/>
      <c r="AN137" s="66"/>
      <c r="AO137" s="67"/>
      <c r="AP137" s="68"/>
      <c r="AQ137" s="67"/>
    </row>
    <row r="138" ht="15.75" customHeight="1">
      <c r="A138" s="61"/>
      <c r="B138" s="60"/>
      <c r="C138" s="60"/>
      <c r="D138" s="60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62"/>
      <c r="AK138" s="63"/>
      <c r="AL138" s="64"/>
      <c r="AM138" s="65"/>
      <c r="AN138" s="66"/>
      <c r="AO138" s="67"/>
      <c r="AP138" s="68"/>
      <c r="AQ138" s="67"/>
    </row>
    <row r="139" ht="15.75" customHeight="1">
      <c r="A139" s="61"/>
      <c r="B139" s="60"/>
      <c r="C139" s="60"/>
      <c r="D139" s="60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62"/>
      <c r="AK139" s="63"/>
      <c r="AL139" s="64"/>
      <c r="AM139" s="65"/>
      <c r="AN139" s="66"/>
      <c r="AO139" s="67"/>
      <c r="AP139" s="68"/>
      <c r="AQ139" s="67"/>
    </row>
    <row r="140" ht="15.75" customHeight="1">
      <c r="A140" s="61"/>
      <c r="B140" s="60"/>
      <c r="C140" s="60"/>
      <c r="D140" s="60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62"/>
      <c r="AK140" s="63"/>
      <c r="AL140" s="64"/>
      <c r="AM140" s="65"/>
      <c r="AN140" s="66"/>
      <c r="AO140" s="67"/>
      <c r="AP140" s="68"/>
      <c r="AQ140" s="67"/>
    </row>
    <row r="141" ht="15.75" customHeight="1">
      <c r="A141" s="61"/>
      <c r="B141" s="60"/>
      <c r="C141" s="60"/>
      <c r="D141" s="60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62"/>
      <c r="AK141" s="63"/>
      <c r="AL141" s="64"/>
      <c r="AM141" s="65"/>
      <c r="AN141" s="66"/>
      <c r="AO141" s="67"/>
      <c r="AP141" s="68"/>
      <c r="AQ141" s="67"/>
    </row>
    <row r="142" ht="15.75" customHeight="1">
      <c r="A142" s="61"/>
      <c r="B142" s="60"/>
      <c r="C142" s="60"/>
      <c r="D142" s="60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62"/>
      <c r="AK142" s="63"/>
      <c r="AL142" s="64"/>
      <c r="AM142" s="65"/>
      <c r="AN142" s="66"/>
      <c r="AO142" s="67"/>
      <c r="AP142" s="68"/>
      <c r="AQ142" s="67"/>
    </row>
    <row r="143" ht="15.75" customHeight="1">
      <c r="A143" s="61"/>
      <c r="B143" s="60"/>
      <c r="C143" s="60"/>
      <c r="D143" s="60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62"/>
      <c r="AK143" s="63"/>
      <c r="AL143" s="64"/>
      <c r="AM143" s="65"/>
      <c r="AN143" s="66"/>
      <c r="AO143" s="67"/>
      <c r="AP143" s="68"/>
      <c r="AQ143" s="67"/>
    </row>
    <row r="144" ht="15.75" customHeight="1">
      <c r="A144" s="61"/>
      <c r="B144" s="60"/>
      <c r="C144" s="60"/>
      <c r="D144" s="60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62"/>
      <c r="AK144" s="63"/>
      <c r="AL144" s="64"/>
      <c r="AM144" s="65"/>
      <c r="AN144" s="66"/>
      <c r="AO144" s="67"/>
      <c r="AP144" s="68"/>
      <c r="AQ144" s="67"/>
    </row>
    <row r="145" ht="15.75" customHeight="1">
      <c r="A145" s="61"/>
      <c r="B145" s="60"/>
      <c r="C145" s="60"/>
      <c r="D145" s="60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62"/>
      <c r="AK145" s="63"/>
      <c r="AL145" s="64"/>
      <c r="AM145" s="65"/>
      <c r="AN145" s="66"/>
      <c r="AO145" s="67"/>
      <c r="AP145" s="68"/>
      <c r="AQ145" s="67"/>
    </row>
    <row r="146" ht="15.75" customHeight="1">
      <c r="A146" s="61"/>
      <c r="B146" s="60"/>
      <c r="C146" s="60"/>
      <c r="D146" s="60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62"/>
      <c r="AK146" s="63"/>
      <c r="AL146" s="64"/>
      <c r="AM146" s="65"/>
      <c r="AN146" s="66"/>
      <c r="AO146" s="67"/>
      <c r="AP146" s="68"/>
      <c r="AQ146" s="67"/>
    </row>
    <row r="147" ht="15.75" customHeight="1">
      <c r="A147" s="61"/>
      <c r="B147" s="60"/>
      <c r="C147" s="60"/>
      <c r="D147" s="60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62"/>
      <c r="AK147" s="63"/>
      <c r="AL147" s="64"/>
      <c r="AM147" s="65"/>
      <c r="AN147" s="66"/>
      <c r="AO147" s="67"/>
      <c r="AP147" s="68"/>
      <c r="AQ147" s="67"/>
    </row>
    <row r="148" ht="15.75" customHeight="1">
      <c r="A148" s="61"/>
      <c r="B148" s="60"/>
      <c r="C148" s="60"/>
      <c r="D148" s="60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62"/>
      <c r="AK148" s="63"/>
      <c r="AL148" s="64"/>
      <c r="AM148" s="65"/>
      <c r="AN148" s="66"/>
      <c r="AO148" s="67"/>
      <c r="AP148" s="68"/>
      <c r="AQ148" s="67"/>
    </row>
    <row r="149" ht="15.75" customHeight="1">
      <c r="A149" s="61"/>
      <c r="B149" s="60"/>
      <c r="C149" s="60"/>
      <c r="D149" s="60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62"/>
      <c r="AK149" s="63"/>
      <c r="AL149" s="64"/>
      <c r="AM149" s="65"/>
      <c r="AN149" s="66"/>
      <c r="AO149" s="67"/>
      <c r="AP149" s="68"/>
      <c r="AQ149" s="67"/>
    </row>
    <row r="150" ht="15.75" customHeight="1">
      <c r="A150" s="61"/>
      <c r="B150" s="60"/>
      <c r="C150" s="60"/>
      <c r="D150" s="60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62"/>
      <c r="AK150" s="63"/>
      <c r="AL150" s="64"/>
      <c r="AM150" s="65"/>
      <c r="AN150" s="66"/>
      <c r="AO150" s="67"/>
      <c r="AP150" s="68"/>
      <c r="AQ150" s="67"/>
    </row>
    <row r="151" ht="15.75" customHeight="1">
      <c r="A151" s="61"/>
      <c r="B151" s="60"/>
      <c r="C151" s="60"/>
      <c r="D151" s="60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62"/>
      <c r="AK151" s="63"/>
      <c r="AL151" s="64"/>
      <c r="AM151" s="65"/>
      <c r="AN151" s="66"/>
      <c r="AO151" s="67"/>
      <c r="AP151" s="68"/>
      <c r="AQ151" s="67"/>
    </row>
    <row r="152" ht="15.75" customHeight="1">
      <c r="A152" s="61"/>
      <c r="B152" s="60"/>
      <c r="C152" s="60"/>
      <c r="D152" s="60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62"/>
      <c r="AK152" s="63"/>
      <c r="AL152" s="64"/>
      <c r="AM152" s="65"/>
      <c r="AN152" s="66"/>
      <c r="AO152" s="67"/>
      <c r="AP152" s="68"/>
      <c r="AQ152" s="67"/>
    </row>
    <row r="153" ht="15.75" customHeight="1">
      <c r="A153" s="61"/>
      <c r="B153" s="60"/>
      <c r="C153" s="60"/>
      <c r="D153" s="60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62"/>
      <c r="AK153" s="63"/>
      <c r="AL153" s="64"/>
      <c r="AM153" s="65"/>
      <c r="AN153" s="66"/>
      <c r="AO153" s="67"/>
      <c r="AP153" s="68"/>
      <c r="AQ153" s="67"/>
    </row>
    <row r="154" ht="15.75" customHeight="1">
      <c r="A154" s="61"/>
      <c r="B154" s="60"/>
      <c r="C154" s="60"/>
      <c r="D154" s="60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62"/>
      <c r="AK154" s="63"/>
      <c r="AL154" s="64"/>
      <c r="AM154" s="65"/>
      <c r="AN154" s="66"/>
      <c r="AO154" s="67"/>
      <c r="AP154" s="68"/>
      <c r="AQ154" s="67"/>
    </row>
    <row r="155" ht="15.75" customHeight="1">
      <c r="A155" s="61"/>
      <c r="B155" s="60"/>
      <c r="C155" s="60"/>
      <c r="D155" s="60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62"/>
      <c r="AK155" s="63"/>
      <c r="AL155" s="64"/>
      <c r="AM155" s="65"/>
      <c r="AN155" s="66"/>
      <c r="AO155" s="67"/>
      <c r="AP155" s="68"/>
      <c r="AQ155" s="67"/>
    </row>
    <row r="156" ht="15.75" customHeight="1">
      <c r="A156" s="61"/>
      <c r="B156" s="60"/>
      <c r="C156" s="60"/>
      <c r="D156" s="60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62"/>
      <c r="AK156" s="63"/>
      <c r="AL156" s="64"/>
      <c r="AM156" s="65"/>
      <c r="AN156" s="66"/>
      <c r="AO156" s="67"/>
      <c r="AP156" s="68"/>
      <c r="AQ156" s="67"/>
    </row>
    <row r="157" ht="15.75" customHeight="1">
      <c r="A157" s="61"/>
      <c r="B157" s="60"/>
      <c r="C157" s="60"/>
      <c r="D157" s="60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62"/>
      <c r="AK157" s="63"/>
      <c r="AL157" s="64"/>
      <c r="AM157" s="65"/>
      <c r="AN157" s="66"/>
      <c r="AO157" s="67"/>
      <c r="AP157" s="68"/>
      <c r="AQ157" s="67"/>
    </row>
    <row r="158" ht="15.75" customHeight="1">
      <c r="A158" s="61"/>
      <c r="B158" s="60"/>
      <c r="C158" s="60"/>
      <c r="D158" s="60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62"/>
      <c r="AK158" s="63"/>
      <c r="AL158" s="64"/>
      <c r="AM158" s="65"/>
      <c r="AN158" s="66"/>
      <c r="AO158" s="67"/>
      <c r="AP158" s="68"/>
      <c r="AQ158" s="67"/>
    </row>
    <row r="159" ht="15.75" customHeight="1">
      <c r="A159" s="61"/>
      <c r="B159" s="60"/>
      <c r="C159" s="60"/>
      <c r="D159" s="60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62"/>
      <c r="AK159" s="63"/>
      <c r="AL159" s="64"/>
      <c r="AM159" s="65"/>
      <c r="AN159" s="66"/>
      <c r="AO159" s="67"/>
      <c r="AP159" s="68"/>
      <c r="AQ159" s="67"/>
    </row>
    <row r="160" ht="15.75" customHeight="1">
      <c r="A160" s="61"/>
      <c r="B160" s="60"/>
      <c r="C160" s="60"/>
      <c r="D160" s="60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62"/>
      <c r="AK160" s="63"/>
      <c r="AL160" s="64"/>
      <c r="AM160" s="65"/>
      <c r="AN160" s="66"/>
      <c r="AO160" s="67"/>
      <c r="AP160" s="68"/>
      <c r="AQ160" s="67"/>
    </row>
    <row r="161" ht="15.75" customHeight="1">
      <c r="A161" s="61"/>
      <c r="B161" s="60"/>
      <c r="C161" s="60"/>
      <c r="D161" s="60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62"/>
      <c r="AK161" s="63"/>
      <c r="AL161" s="64"/>
      <c r="AM161" s="65"/>
      <c r="AN161" s="66"/>
      <c r="AO161" s="67"/>
      <c r="AP161" s="68"/>
      <c r="AQ161" s="67"/>
    </row>
    <row r="162" ht="15.75" customHeight="1">
      <c r="A162" s="61"/>
      <c r="B162" s="60"/>
      <c r="C162" s="60"/>
      <c r="D162" s="60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62"/>
      <c r="AK162" s="63"/>
      <c r="AL162" s="64"/>
      <c r="AM162" s="65"/>
      <c r="AN162" s="66"/>
      <c r="AO162" s="67"/>
      <c r="AP162" s="68"/>
      <c r="AQ162" s="67"/>
    </row>
    <row r="163" ht="15.75" customHeight="1">
      <c r="A163" s="61"/>
      <c r="B163" s="60"/>
      <c r="C163" s="60"/>
      <c r="D163" s="60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62"/>
      <c r="AK163" s="63"/>
      <c r="AL163" s="64"/>
      <c r="AM163" s="65"/>
      <c r="AN163" s="66"/>
      <c r="AO163" s="67"/>
      <c r="AP163" s="68"/>
      <c r="AQ163" s="67"/>
    </row>
    <row r="164" ht="15.75" customHeight="1">
      <c r="A164" s="61"/>
      <c r="B164" s="60"/>
      <c r="C164" s="60"/>
      <c r="D164" s="60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62"/>
      <c r="AK164" s="63"/>
      <c r="AL164" s="64"/>
      <c r="AM164" s="65"/>
      <c r="AN164" s="66"/>
      <c r="AO164" s="67"/>
      <c r="AP164" s="68"/>
      <c r="AQ164" s="67"/>
    </row>
    <row r="165" ht="15.75" customHeight="1">
      <c r="A165" s="61"/>
      <c r="B165" s="60"/>
      <c r="C165" s="60"/>
      <c r="D165" s="60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62"/>
      <c r="AK165" s="63"/>
      <c r="AL165" s="64"/>
      <c r="AM165" s="65"/>
      <c r="AN165" s="66"/>
      <c r="AO165" s="67"/>
      <c r="AP165" s="68"/>
      <c r="AQ165" s="67"/>
    </row>
    <row r="166" ht="15.75" customHeight="1">
      <c r="A166" s="61"/>
      <c r="B166" s="60"/>
      <c r="C166" s="60"/>
      <c r="D166" s="60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62"/>
      <c r="AK166" s="63"/>
      <c r="AL166" s="64"/>
      <c r="AM166" s="65"/>
      <c r="AN166" s="66"/>
      <c r="AO166" s="67"/>
      <c r="AP166" s="68"/>
      <c r="AQ166" s="67"/>
    </row>
    <row r="167" ht="15.75" customHeight="1">
      <c r="A167" s="61"/>
      <c r="B167" s="60"/>
      <c r="C167" s="60"/>
      <c r="D167" s="60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62"/>
      <c r="AK167" s="63"/>
      <c r="AL167" s="64"/>
      <c r="AM167" s="65"/>
      <c r="AN167" s="66"/>
      <c r="AO167" s="67"/>
      <c r="AP167" s="68"/>
      <c r="AQ167" s="67"/>
    </row>
    <row r="168" ht="15.75" customHeight="1">
      <c r="A168" s="61"/>
      <c r="B168" s="60"/>
      <c r="C168" s="60"/>
      <c r="D168" s="60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62"/>
      <c r="AK168" s="63"/>
      <c r="AL168" s="64"/>
      <c r="AM168" s="65"/>
      <c r="AN168" s="66"/>
      <c r="AO168" s="67"/>
      <c r="AP168" s="68"/>
      <c r="AQ168" s="67"/>
    </row>
    <row r="169" ht="15.75" customHeight="1">
      <c r="A169" s="61"/>
      <c r="B169" s="60"/>
      <c r="C169" s="60"/>
      <c r="D169" s="60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62"/>
      <c r="AK169" s="63"/>
      <c r="AL169" s="64"/>
      <c r="AM169" s="65"/>
      <c r="AN169" s="66"/>
      <c r="AO169" s="67"/>
      <c r="AP169" s="68"/>
      <c r="AQ169" s="67"/>
    </row>
    <row r="170" ht="15.75" customHeight="1">
      <c r="A170" s="61"/>
      <c r="B170" s="60"/>
      <c r="C170" s="60"/>
      <c r="D170" s="60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9"/>
      <c r="AJ170" s="62"/>
      <c r="AK170" s="63"/>
      <c r="AL170" s="64"/>
      <c r="AM170" s="65"/>
      <c r="AN170" s="66"/>
      <c r="AO170" s="67"/>
      <c r="AP170" s="68"/>
      <c r="AQ170" s="67"/>
    </row>
    <row r="171" ht="15.75" customHeight="1">
      <c r="A171" s="61"/>
      <c r="B171" s="60"/>
      <c r="C171" s="60"/>
      <c r="D171" s="60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9"/>
      <c r="AJ171" s="62"/>
      <c r="AK171" s="63"/>
      <c r="AL171" s="64"/>
      <c r="AM171" s="65"/>
      <c r="AN171" s="66"/>
      <c r="AO171" s="67"/>
      <c r="AP171" s="68"/>
      <c r="AQ171" s="67"/>
    </row>
    <row r="172" ht="15.75" customHeight="1">
      <c r="A172" s="61"/>
      <c r="B172" s="60"/>
      <c r="C172" s="60"/>
      <c r="D172" s="60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9"/>
      <c r="AJ172" s="62"/>
      <c r="AK172" s="63"/>
      <c r="AL172" s="64"/>
      <c r="AM172" s="65"/>
      <c r="AN172" s="66"/>
      <c r="AO172" s="67"/>
      <c r="AP172" s="68"/>
      <c r="AQ172" s="67"/>
    </row>
    <row r="173" ht="15.75" customHeight="1">
      <c r="A173" s="61"/>
      <c r="B173" s="60"/>
      <c r="C173" s="60"/>
      <c r="D173" s="60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9"/>
      <c r="AJ173" s="62"/>
      <c r="AK173" s="63"/>
      <c r="AL173" s="64"/>
      <c r="AM173" s="65"/>
      <c r="AN173" s="66"/>
      <c r="AO173" s="67"/>
      <c r="AP173" s="68"/>
      <c r="AQ173" s="67"/>
    </row>
    <row r="174" ht="15.75" customHeight="1">
      <c r="A174" s="61"/>
      <c r="B174" s="60"/>
      <c r="C174" s="60"/>
      <c r="D174" s="60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9"/>
      <c r="AJ174" s="62"/>
      <c r="AK174" s="63"/>
      <c r="AL174" s="64"/>
      <c r="AM174" s="65"/>
      <c r="AN174" s="66"/>
      <c r="AO174" s="67"/>
      <c r="AP174" s="68"/>
      <c r="AQ174" s="67"/>
    </row>
    <row r="175" ht="15.75" customHeight="1">
      <c r="A175" s="61"/>
      <c r="B175" s="60"/>
      <c r="C175" s="60"/>
      <c r="D175" s="60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9"/>
      <c r="AJ175" s="62"/>
      <c r="AK175" s="63"/>
      <c r="AL175" s="64"/>
      <c r="AM175" s="65"/>
      <c r="AN175" s="66"/>
      <c r="AO175" s="67"/>
      <c r="AP175" s="68"/>
      <c r="AQ175" s="67"/>
    </row>
    <row r="176" ht="15.75" customHeight="1">
      <c r="A176" s="61"/>
      <c r="B176" s="60"/>
      <c r="C176" s="60"/>
      <c r="D176" s="60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9"/>
      <c r="AJ176" s="62"/>
      <c r="AK176" s="63"/>
      <c r="AL176" s="64"/>
      <c r="AM176" s="65"/>
      <c r="AN176" s="66"/>
      <c r="AO176" s="67"/>
      <c r="AP176" s="68"/>
      <c r="AQ176" s="67"/>
    </row>
    <row r="177" ht="15.75" customHeight="1">
      <c r="A177" s="61"/>
      <c r="B177" s="60"/>
      <c r="C177" s="60"/>
      <c r="D177" s="60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9"/>
      <c r="AJ177" s="62"/>
      <c r="AK177" s="63"/>
      <c r="AL177" s="64"/>
      <c r="AM177" s="65"/>
      <c r="AN177" s="66"/>
      <c r="AO177" s="67"/>
      <c r="AP177" s="68"/>
      <c r="AQ177" s="67"/>
    </row>
    <row r="178" ht="15.75" customHeight="1">
      <c r="A178" s="61"/>
      <c r="B178" s="60"/>
      <c r="C178" s="60"/>
      <c r="D178" s="60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9"/>
      <c r="AJ178" s="62"/>
      <c r="AK178" s="63"/>
      <c r="AL178" s="64"/>
      <c r="AM178" s="65"/>
      <c r="AN178" s="66"/>
      <c r="AO178" s="67"/>
      <c r="AP178" s="68"/>
      <c r="AQ178" s="67"/>
    </row>
    <row r="179" ht="15.75" customHeight="1">
      <c r="A179" s="61"/>
      <c r="B179" s="60"/>
      <c r="C179" s="60"/>
      <c r="D179" s="60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9"/>
      <c r="AJ179" s="62"/>
      <c r="AK179" s="63"/>
      <c r="AL179" s="64"/>
      <c r="AM179" s="65"/>
      <c r="AN179" s="66"/>
      <c r="AO179" s="67"/>
      <c r="AP179" s="68"/>
      <c r="AQ179" s="67"/>
    </row>
    <row r="180" ht="15.75" customHeight="1">
      <c r="A180" s="61"/>
      <c r="B180" s="60"/>
      <c r="C180" s="60"/>
      <c r="D180" s="60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9"/>
      <c r="AJ180" s="62"/>
      <c r="AK180" s="63"/>
      <c r="AL180" s="64"/>
      <c r="AM180" s="65"/>
      <c r="AN180" s="66"/>
      <c r="AO180" s="67"/>
      <c r="AP180" s="68"/>
      <c r="AQ180" s="67"/>
    </row>
    <row r="181" ht="15.75" customHeight="1">
      <c r="A181" s="61"/>
      <c r="B181" s="60"/>
      <c r="C181" s="60"/>
      <c r="D181" s="60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9"/>
      <c r="AJ181" s="62"/>
      <c r="AK181" s="63"/>
      <c r="AL181" s="64"/>
      <c r="AM181" s="65"/>
      <c r="AN181" s="66"/>
      <c r="AO181" s="67"/>
      <c r="AP181" s="68"/>
      <c r="AQ181" s="67"/>
    </row>
    <row r="182" ht="15.75" customHeight="1">
      <c r="A182" s="61"/>
      <c r="B182" s="60"/>
      <c r="C182" s="60"/>
      <c r="D182" s="60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9"/>
      <c r="AJ182" s="62"/>
      <c r="AK182" s="63"/>
      <c r="AL182" s="64"/>
      <c r="AM182" s="65"/>
      <c r="AN182" s="66"/>
      <c r="AO182" s="67"/>
      <c r="AP182" s="68"/>
      <c r="AQ182" s="67"/>
    </row>
    <row r="183" ht="15.75" customHeight="1">
      <c r="A183" s="61"/>
      <c r="B183" s="60"/>
      <c r="C183" s="60"/>
      <c r="D183" s="60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9"/>
      <c r="AJ183" s="62"/>
      <c r="AK183" s="63"/>
      <c r="AL183" s="64"/>
      <c r="AM183" s="65"/>
      <c r="AN183" s="66"/>
      <c r="AO183" s="67"/>
      <c r="AP183" s="68"/>
      <c r="AQ183" s="67"/>
    </row>
    <row r="184" ht="15.75" customHeight="1">
      <c r="A184" s="61"/>
      <c r="B184" s="60"/>
      <c r="C184" s="60"/>
      <c r="D184" s="60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9"/>
      <c r="AJ184" s="62"/>
      <c r="AK184" s="63"/>
      <c r="AL184" s="64"/>
      <c r="AM184" s="65"/>
      <c r="AN184" s="66"/>
      <c r="AO184" s="67"/>
      <c r="AP184" s="68"/>
      <c r="AQ184" s="67"/>
    </row>
    <row r="185" ht="15.75" customHeight="1">
      <c r="A185" s="61"/>
      <c r="B185" s="60"/>
      <c r="C185" s="60"/>
      <c r="D185" s="60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9"/>
      <c r="AJ185" s="62"/>
      <c r="AK185" s="63"/>
      <c r="AL185" s="64"/>
      <c r="AM185" s="65"/>
      <c r="AN185" s="66"/>
      <c r="AO185" s="67"/>
      <c r="AP185" s="68"/>
      <c r="AQ185" s="67"/>
    </row>
    <row r="186" ht="15.75" customHeight="1">
      <c r="A186" s="61"/>
      <c r="B186" s="60"/>
      <c r="C186" s="60"/>
      <c r="D186" s="60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9"/>
      <c r="AJ186" s="62"/>
      <c r="AK186" s="63"/>
      <c r="AL186" s="64"/>
      <c r="AM186" s="65"/>
      <c r="AN186" s="66"/>
      <c r="AO186" s="67"/>
      <c r="AP186" s="68"/>
      <c r="AQ186" s="67"/>
    </row>
    <row r="187" ht="15.75" customHeight="1">
      <c r="A187" s="61"/>
      <c r="B187" s="60"/>
      <c r="C187" s="60"/>
      <c r="D187" s="60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9"/>
      <c r="AJ187" s="62"/>
      <c r="AK187" s="63"/>
      <c r="AL187" s="64"/>
      <c r="AM187" s="65"/>
      <c r="AN187" s="66"/>
      <c r="AO187" s="67"/>
      <c r="AP187" s="68"/>
      <c r="AQ187" s="67"/>
    </row>
    <row r="188" ht="15.75" customHeight="1">
      <c r="A188" s="61"/>
      <c r="B188" s="60"/>
      <c r="C188" s="60"/>
      <c r="D188" s="60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9"/>
      <c r="AJ188" s="62"/>
      <c r="AK188" s="63"/>
      <c r="AL188" s="64"/>
      <c r="AM188" s="65"/>
      <c r="AN188" s="66"/>
      <c r="AO188" s="67"/>
      <c r="AP188" s="68"/>
      <c r="AQ188" s="67"/>
    </row>
    <row r="189" ht="15.75" customHeight="1">
      <c r="A189" s="61"/>
      <c r="B189" s="60"/>
      <c r="C189" s="60"/>
      <c r="D189" s="60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9"/>
      <c r="AJ189" s="62"/>
      <c r="AK189" s="63"/>
      <c r="AL189" s="64"/>
      <c r="AM189" s="65"/>
      <c r="AN189" s="66"/>
      <c r="AO189" s="67"/>
      <c r="AP189" s="68"/>
      <c r="AQ189" s="67"/>
    </row>
    <row r="190" ht="15.75" customHeight="1">
      <c r="A190" s="61"/>
      <c r="B190" s="60"/>
      <c r="C190" s="60"/>
      <c r="D190" s="60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9"/>
      <c r="AJ190" s="62"/>
      <c r="AK190" s="63"/>
      <c r="AL190" s="64"/>
      <c r="AM190" s="65"/>
      <c r="AN190" s="66"/>
      <c r="AO190" s="67"/>
      <c r="AP190" s="68"/>
      <c r="AQ190" s="67"/>
    </row>
    <row r="191" ht="15.75" customHeight="1">
      <c r="A191" s="61"/>
      <c r="B191" s="60"/>
      <c r="C191" s="60"/>
      <c r="D191" s="60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9"/>
      <c r="AJ191" s="62"/>
      <c r="AK191" s="63"/>
      <c r="AL191" s="64"/>
      <c r="AM191" s="65"/>
      <c r="AN191" s="66"/>
      <c r="AO191" s="67"/>
      <c r="AP191" s="68"/>
      <c r="AQ191" s="67"/>
    </row>
    <row r="192" ht="15.75" customHeight="1">
      <c r="A192" s="61"/>
      <c r="B192" s="60"/>
      <c r="C192" s="60"/>
      <c r="D192" s="60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9"/>
      <c r="AJ192" s="62"/>
      <c r="AK192" s="63"/>
      <c r="AL192" s="64"/>
      <c r="AM192" s="65"/>
      <c r="AN192" s="66"/>
      <c r="AO192" s="67"/>
      <c r="AP192" s="68"/>
      <c r="AQ192" s="67"/>
    </row>
    <row r="193" ht="15.75" customHeight="1">
      <c r="A193" s="61"/>
      <c r="B193" s="60"/>
      <c r="C193" s="60"/>
      <c r="D193" s="60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9"/>
      <c r="AJ193" s="62"/>
      <c r="AK193" s="63"/>
      <c r="AL193" s="64"/>
      <c r="AM193" s="65"/>
      <c r="AN193" s="66"/>
      <c r="AO193" s="67"/>
      <c r="AP193" s="68"/>
      <c r="AQ193" s="67"/>
    </row>
    <row r="194" ht="15.75" customHeight="1">
      <c r="A194" s="61"/>
      <c r="B194" s="60"/>
      <c r="C194" s="60"/>
      <c r="D194" s="60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9"/>
      <c r="AJ194" s="62"/>
      <c r="AK194" s="63"/>
      <c r="AL194" s="64"/>
      <c r="AM194" s="65"/>
      <c r="AN194" s="66"/>
      <c r="AO194" s="67"/>
      <c r="AP194" s="68"/>
      <c r="AQ194" s="67"/>
    </row>
    <row r="195" ht="15.75" customHeight="1">
      <c r="A195" s="61"/>
      <c r="B195" s="60"/>
      <c r="C195" s="60"/>
      <c r="D195" s="60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9"/>
      <c r="AJ195" s="62"/>
      <c r="AK195" s="63"/>
      <c r="AL195" s="64"/>
      <c r="AM195" s="65"/>
      <c r="AN195" s="66"/>
      <c r="AO195" s="67"/>
      <c r="AP195" s="68"/>
      <c r="AQ195" s="67"/>
    </row>
    <row r="196" ht="15.75" customHeight="1">
      <c r="A196" s="61"/>
      <c r="B196" s="60"/>
      <c r="C196" s="60"/>
      <c r="D196" s="60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9"/>
      <c r="AJ196" s="62"/>
      <c r="AK196" s="63"/>
      <c r="AL196" s="64"/>
      <c r="AM196" s="65"/>
      <c r="AN196" s="66"/>
      <c r="AO196" s="67"/>
      <c r="AP196" s="68"/>
      <c r="AQ196" s="67"/>
    </row>
    <row r="197" ht="15.75" customHeight="1">
      <c r="A197" s="61"/>
      <c r="B197" s="60"/>
      <c r="C197" s="60"/>
      <c r="D197" s="60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9"/>
      <c r="AJ197" s="62"/>
      <c r="AK197" s="63"/>
      <c r="AL197" s="64"/>
      <c r="AM197" s="65"/>
      <c r="AN197" s="66"/>
      <c r="AO197" s="67"/>
      <c r="AP197" s="68"/>
      <c r="AQ197" s="67"/>
    </row>
    <row r="198" ht="15.75" customHeight="1">
      <c r="A198" s="61"/>
      <c r="B198" s="60"/>
      <c r="C198" s="60"/>
      <c r="D198" s="60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9"/>
      <c r="AJ198" s="62"/>
      <c r="AK198" s="63"/>
      <c r="AL198" s="64"/>
      <c r="AM198" s="65"/>
      <c r="AN198" s="66"/>
      <c r="AO198" s="67"/>
      <c r="AP198" s="68"/>
      <c r="AQ198" s="67"/>
    </row>
    <row r="199" ht="15.75" customHeight="1">
      <c r="A199" s="61"/>
      <c r="B199" s="60"/>
      <c r="C199" s="60"/>
      <c r="D199" s="60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9"/>
      <c r="AJ199" s="62"/>
      <c r="AK199" s="63"/>
      <c r="AL199" s="64"/>
      <c r="AM199" s="65"/>
      <c r="AN199" s="66"/>
      <c r="AO199" s="67"/>
      <c r="AP199" s="68"/>
      <c r="AQ199" s="67"/>
    </row>
    <row r="200" ht="15.75" customHeight="1">
      <c r="A200" s="61"/>
      <c r="B200" s="60"/>
      <c r="C200" s="60"/>
      <c r="D200" s="60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9"/>
      <c r="AJ200" s="62"/>
      <c r="AK200" s="63"/>
      <c r="AL200" s="64"/>
      <c r="AM200" s="65"/>
      <c r="AN200" s="66"/>
      <c r="AO200" s="67"/>
      <c r="AP200" s="68"/>
      <c r="AQ200" s="67"/>
    </row>
    <row r="201" ht="15.75" customHeight="1">
      <c r="A201" s="61"/>
      <c r="B201" s="60"/>
      <c r="C201" s="60"/>
      <c r="D201" s="60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9"/>
      <c r="AJ201" s="62"/>
      <c r="AK201" s="63"/>
      <c r="AL201" s="64"/>
      <c r="AM201" s="65"/>
      <c r="AN201" s="66"/>
      <c r="AO201" s="67"/>
      <c r="AP201" s="68"/>
      <c r="AQ201" s="67"/>
    </row>
    <row r="202" ht="15.75" customHeight="1">
      <c r="A202" s="61"/>
      <c r="B202" s="60"/>
      <c r="C202" s="60"/>
      <c r="D202" s="60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9"/>
      <c r="AJ202" s="62"/>
      <c r="AK202" s="63"/>
      <c r="AL202" s="64"/>
      <c r="AM202" s="65"/>
      <c r="AN202" s="66"/>
      <c r="AO202" s="67"/>
      <c r="AP202" s="68"/>
      <c r="AQ202" s="67"/>
    </row>
    <row r="203" ht="15.75" customHeight="1">
      <c r="A203" s="61"/>
      <c r="B203" s="60"/>
      <c r="C203" s="60"/>
      <c r="D203" s="60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9"/>
      <c r="AJ203" s="62"/>
      <c r="AK203" s="63"/>
      <c r="AL203" s="64"/>
      <c r="AM203" s="65"/>
      <c r="AN203" s="66"/>
      <c r="AO203" s="67"/>
      <c r="AP203" s="68"/>
      <c r="AQ203" s="67"/>
    </row>
    <row r="204" ht="15.75" customHeight="1">
      <c r="A204" s="61"/>
      <c r="B204" s="60"/>
      <c r="C204" s="60"/>
      <c r="D204" s="60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9"/>
      <c r="AJ204" s="62"/>
      <c r="AK204" s="63"/>
      <c r="AL204" s="64"/>
      <c r="AM204" s="65"/>
      <c r="AN204" s="66"/>
      <c r="AO204" s="67"/>
      <c r="AP204" s="68"/>
      <c r="AQ204" s="67"/>
    </row>
    <row r="205" ht="15.75" customHeight="1">
      <c r="A205" s="61"/>
      <c r="B205" s="60"/>
      <c r="C205" s="60"/>
      <c r="D205" s="60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9"/>
      <c r="AJ205" s="62"/>
      <c r="AK205" s="63"/>
      <c r="AL205" s="64"/>
      <c r="AM205" s="65"/>
      <c r="AN205" s="66"/>
      <c r="AO205" s="67"/>
      <c r="AP205" s="68"/>
      <c r="AQ205" s="67"/>
    </row>
    <row r="206" ht="15.75" customHeight="1">
      <c r="A206" s="61"/>
      <c r="B206" s="60"/>
      <c r="C206" s="60"/>
      <c r="D206" s="60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9"/>
      <c r="AJ206" s="62"/>
      <c r="AK206" s="63"/>
      <c r="AL206" s="64"/>
      <c r="AM206" s="65"/>
      <c r="AN206" s="66"/>
      <c r="AO206" s="67"/>
      <c r="AP206" s="68"/>
      <c r="AQ206" s="67"/>
    </row>
    <row r="207" ht="15.75" customHeight="1">
      <c r="A207" s="61"/>
      <c r="B207" s="60"/>
      <c r="C207" s="60"/>
      <c r="D207" s="60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9"/>
      <c r="AJ207" s="62"/>
      <c r="AK207" s="63"/>
      <c r="AL207" s="64"/>
      <c r="AM207" s="65"/>
      <c r="AN207" s="66"/>
      <c r="AO207" s="67"/>
      <c r="AP207" s="68"/>
      <c r="AQ207" s="67"/>
    </row>
    <row r="208" ht="15.75" customHeight="1">
      <c r="A208" s="61"/>
      <c r="B208" s="60"/>
      <c r="C208" s="60"/>
      <c r="D208" s="60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9"/>
      <c r="AJ208" s="62"/>
      <c r="AK208" s="63"/>
      <c r="AL208" s="64"/>
      <c r="AM208" s="65"/>
      <c r="AN208" s="66"/>
      <c r="AO208" s="67"/>
      <c r="AP208" s="68"/>
      <c r="AQ208" s="67"/>
    </row>
    <row r="209" ht="15.75" customHeight="1">
      <c r="A209" s="61"/>
      <c r="B209" s="60"/>
      <c r="C209" s="60"/>
      <c r="D209" s="60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9"/>
      <c r="AJ209" s="62"/>
      <c r="AK209" s="63"/>
      <c r="AL209" s="64"/>
      <c r="AM209" s="65"/>
      <c r="AN209" s="66"/>
      <c r="AO209" s="67"/>
      <c r="AP209" s="68"/>
      <c r="AQ209" s="67"/>
    </row>
    <row r="210" ht="15.75" customHeight="1">
      <c r="A210" s="61"/>
      <c r="B210" s="60"/>
      <c r="C210" s="60"/>
      <c r="D210" s="60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9"/>
      <c r="AJ210" s="62"/>
      <c r="AK210" s="63"/>
      <c r="AL210" s="64"/>
      <c r="AM210" s="65"/>
      <c r="AN210" s="66"/>
      <c r="AO210" s="67"/>
      <c r="AP210" s="68"/>
      <c r="AQ210" s="67"/>
    </row>
    <row r="211" ht="15.75" customHeight="1">
      <c r="A211" s="61"/>
      <c r="B211" s="60"/>
      <c r="C211" s="60"/>
      <c r="D211" s="60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9"/>
      <c r="AJ211" s="62"/>
      <c r="AK211" s="63"/>
      <c r="AL211" s="64"/>
      <c r="AM211" s="65"/>
      <c r="AN211" s="66"/>
      <c r="AO211" s="67"/>
      <c r="AP211" s="68"/>
      <c r="AQ211" s="67"/>
    </row>
    <row r="212" ht="15.75" customHeight="1">
      <c r="A212" s="61"/>
      <c r="B212" s="60"/>
      <c r="C212" s="60"/>
      <c r="D212" s="60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9"/>
      <c r="AJ212" s="62"/>
      <c r="AK212" s="63"/>
      <c r="AL212" s="64"/>
      <c r="AM212" s="65"/>
      <c r="AN212" s="66"/>
      <c r="AO212" s="67"/>
      <c r="AP212" s="68"/>
      <c r="AQ212" s="67"/>
    </row>
    <row r="213" ht="15.75" customHeight="1">
      <c r="A213" s="61"/>
      <c r="B213" s="60"/>
      <c r="C213" s="60"/>
      <c r="D213" s="60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9"/>
      <c r="AJ213" s="62"/>
      <c r="AK213" s="63"/>
      <c r="AL213" s="64"/>
      <c r="AM213" s="65"/>
      <c r="AN213" s="66"/>
      <c r="AO213" s="67"/>
      <c r="AP213" s="68"/>
      <c r="AQ213" s="67"/>
    </row>
    <row r="214" ht="15.75" customHeight="1">
      <c r="A214" s="61"/>
      <c r="B214" s="60"/>
      <c r="C214" s="60"/>
      <c r="D214" s="60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9"/>
      <c r="AJ214" s="62"/>
      <c r="AK214" s="63"/>
      <c r="AL214" s="64"/>
      <c r="AM214" s="65"/>
      <c r="AN214" s="66"/>
      <c r="AO214" s="67"/>
      <c r="AP214" s="68"/>
      <c r="AQ214" s="67"/>
    </row>
    <row r="215" ht="15.75" customHeight="1">
      <c r="A215" s="61"/>
      <c r="B215" s="60"/>
      <c r="C215" s="60"/>
      <c r="D215" s="60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9"/>
      <c r="AJ215" s="62"/>
      <c r="AK215" s="63"/>
      <c r="AL215" s="64"/>
      <c r="AM215" s="65"/>
      <c r="AN215" s="66"/>
      <c r="AO215" s="67"/>
      <c r="AP215" s="68"/>
      <c r="AQ215" s="67"/>
    </row>
    <row r="216" ht="15.75" customHeight="1">
      <c r="A216" s="61"/>
      <c r="B216" s="60"/>
      <c r="C216" s="60"/>
      <c r="D216" s="60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9"/>
      <c r="AJ216" s="62"/>
      <c r="AK216" s="63"/>
      <c r="AL216" s="64"/>
      <c r="AM216" s="65"/>
      <c r="AN216" s="66"/>
      <c r="AO216" s="67"/>
      <c r="AP216" s="68"/>
      <c r="AQ216" s="67"/>
    </row>
    <row r="217" ht="15.75" customHeight="1">
      <c r="A217" s="61"/>
      <c r="B217" s="60"/>
      <c r="C217" s="60"/>
      <c r="D217" s="60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9"/>
      <c r="AJ217" s="62"/>
      <c r="AK217" s="63"/>
      <c r="AL217" s="64"/>
      <c r="AM217" s="65"/>
      <c r="AN217" s="66"/>
      <c r="AO217" s="67"/>
      <c r="AP217" s="68"/>
      <c r="AQ217" s="67"/>
    </row>
    <row r="218" ht="15.75" customHeight="1">
      <c r="A218" s="61"/>
      <c r="B218" s="60"/>
      <c r="C218" s="60"/>
      <c r="D218" s="60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9"/>
      <c r="AJ218" s="62"/>
      <c r="AK218" s="63"/>
      <c r="AL218" s="64"/>
      <c r="AM218" s="65"/>
      <c r="AN218" s="66"/>
      <c r="AO218" s="67"/>
      <c r="AP218" s="68"/>
      <c r="AQ218" s="67"/>
    </row>
    <row r="219" ht="15.75" customHeight="1">
      <c r="A219" s="61"/>
      <c r="B219" s="60"/>
      <c r="C219" s="60"/>
      <c r="D219" s="60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9"/>
      <c r="AJ219" s="62"/>
      <c r="AK219" s="63"/>
      <c r="AL219" s="64"/>
      <c r="AM219" s="65"/>
      <c r="AN219" s="66"/>
      <c r="AO219" s="67"/>
      <c r="AP219" s="68"/>
      <c r="AQ219" s="67"/>
    </row>
    <row r="220" ht="15.75" customHeight="1">
      <c r="A220" s="61"/>
      <c r="B220" s="60"/>
      <c r="C220" s="60"/>
      <c r="D220" s="60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9"/>
      <c r="AJ220" s="62"/>
      <c r="AK220" s="63"/>
      <c r="AL220" s="64"/>
      <c r="AM220" s="65"/>
      <c r="AN220" s="66"/>
      <c r="AO220" s="67"/>
      <c r="AP220" s="68"/>
      <c r="AQ220" s="67"/>
    </row>
    <row r="221" ht="15.75" customHeight="1">
      <c r="A221" s="61"/>
      <c r="B221" s="60"/>
      <c r="C221" s="60"/>
      <c r="D221" s="60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9"/>
      <c r="AJ221" s="62"/>
      <c r="AK221" s="63"/>
      <c r="AL221" s="64"/>
      <c r="AM221" s="65"/>
      <c r="AN221" s="66"/>
      <c r="AO221" s="67"/>
      <c r="AP221" s="68"/>
      <c r="AQ221" s="67"/>
    </row>
    <row r="222" ht="15.75" customHeight="1">
      <c r="A222" s="61"/>
      <c r="B222" s="60"/>
      <c r="C222" s="60"/>
      <c r="D222" s="60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9"/>
      <c r="AJ222" s="62"/>
      <c r="AK222" s="63"/>
      <c r="AL222" s="64"/>
      <c r="AM222" s="65"/>
      <c r="AN222" s="66"/>
      <c r="AO222" s="67"/>
      <c r="AP222" s="68"/>
      <c r="AQ222" s="67"/>
    </row>
    <row r="223" ht="15.75" customHeight="1">
      <c r="A223" s="61"/>
      <c r="B223" s="60"/>
      <c r="C223" s="60"/>
      <c r="D223" s="60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9"/>
      <c r="AJ223" s="62"/>
      <c r="AK223" s="63"/>
      <c r="AL223" s="64"/>
      <c r="AM223" s="65"/>
      <c r="AN223" s="66"/>
      <c r="AO223" s="67"/>
      <c r="AP223" s="68"/>
      <c r="AQ223" s="67"/>
    </row>
    <row r="224" ht="15.75" customHeight="1">
      <c r="A224" s="61"/>
      <c r="B224" s="60"/>
      <c r="C224" s="60"/>
      <c r="D224" s="60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9"/>
      <c r="AJ224" s="62"/>
      <c r="AK224" s="63"/>
      <c r="AL224" s="64"/>
      <c r="AM224" s="65"/>
      <c r="AN224" s="66"/>
      <c r="AO224" s="67"/>
      <c r="AP224" s="68"/>
      <c r="AQ224" s="67"/>
    </row>
    <row r="225" ht="15.75" customHeight="1">
      <c r="A225" s="61"/>
      <c r="B225" s="60"/>
      <c r="C225" s="60"/>
      <c r="D225" s="60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9"/>
      <c r="AJ225" s="62"/>
      <c r="AK225" s="63"/>
      <c r="AL225" s="64"/>
      <c r="AM225" s="65"/>
      <c r="AN225" s="66"/>
      <c r="AO225" s="67"/>
      <c r="AP225" s="68"/>
      <c r="AQ225" s="67"/>
    </row>
    <row r="226" ht="15.75" customHeight="1">
      <c r="A226" s="61"/>
      <c r="B226" s="60"/>
      <c r="C226" s="60"/>
      <c r="D226" s="60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9"/>
      <c r="AJ226" s="62"/>
      <c r="AK226" s="63"/>
      <c r="AL226" s="64"/>
      <c r="AM226" s="65"/>
      <c r="AN226" s="66"/>
      <c r="AO226" s="67"/>
      <c r="AP226" s="68"/>
      <c r="AQ226" s="67"/>
    </row>
    <row r="227" ht="15.75" customHeight="1">
      <c r="A227" s="61"/>
      <c r="B227" s="60"/>
      <c r="C227" s="60"/>
      <c r="D227" s="60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9"/>
      <c r="AJ227" s="62"/>
      <c r="AK227" s="63"/>
      <c r="AL227" s="64"/>
      <c r="AM227" s="65"/>
      <c r="AN227" s="66"/>
      <c r="AO227" s="67"/>
      <c r="AP227" s="68"/>
      <c r="AQ227" s="67"/>
    </row>
    <row r="228" ht="15.75" customHeight="1">
      <c r="A228" s="61"/>
      <c r="B228" s="60"/>
      <c r="C228" s="60"/>
      <c r="D228" s="60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9"/>
      <c r="AJ228" s="62"/>
      <c r="AK228" s="63"/>
      <c r="AL228" s="64"/>
      <c r="AM228" s="65"/>
      <c r="AN228" s="66"/>
      <c r="AO228" s="67"/>
      <c r="AP228" s="68"/>
      <c r="AQ228" s="67"/>
    </row>
    <row r="229" ht="15.75" customHeight="1">
      <c r="A229" s="61"/>
      <c r="B229" s="60"/>
      <c r="C229" s="60"/>
      <c r="D229" s="60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9"/>
      <c r="AJ229" s="62"/>
      <c r="AK229" s="63"/>
      <c r="AL229" s="64"/>
      <c r="AM229" s="65"/>
      <c r="AN229" s="66"/>
      <c r="AO229" s="67"/>
      <c r="AP229" s="68"/>
      <c r="AQ229" s="67"/>
    </row>
    <row r="230" ht="15.75" customHeight="1">
      <c r="A230" s="61"/>
      <c r="B230" s="60"/>
      <c r="C230" s="60"/>
      <c r="D230" s="60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9"/>
      <c r="AJ230" s="62"/>
      <c r="AK230" s="63"/>
      <c r="AL230" s="64"/>
      <c r="AM230" s="65"/>
      <c r="AN230" s="66"/>
      <c r="AO230" s="67"/>
      <c r="AP230" s="68"/>
      <c r="AQ230" s="67"/>
    </row>
    <row r="231" ht="15.75" customHeight="1">
      <c r="A231" s="61"/>
      <c r="B231" s="60"/>
      <c r="C231" s="60"/>
      <c r="D231" s="60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9"/>
      <c r="AJ231" s="62"/>
      <c r="AK231" s="63"/>
      <c r="AL231" s="64"/>
      <c r="AM231" s="65"/>
      <c r="AN231" s="66"/>
      <c r="AO231" s="67"/>
      <c r="AP231" s="68"/>
      <c r="AQ231" s="67"/>
    </row>
    <row r="232" ht="15.75" customHeight="1">
      <c r="A232" s="61"/>
      <c r="B232" s="60"/>
      <c r="C232" s="60"/>
      <c r="D232" s="60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9"/>
      <c r="AJ232" s="62"/>
      <c r="AK232" s="63"/>
      <c r="AL232" s="64"/>
      <c r="AM232" s="65"/>
      <c r="AN232" s="66"/>
      <c r="AO232" s="67"/>
      <c r="AP232" s="68"/>
      <c r="AQ232" s="67"/>
    </row>
    <row r="233" ht="15.75" customHeight="1">
      <c r="A233" s="61"/>
      <c r="B233" s="60"/>
      <c r="C233" s="60"/>
      <c r="D233" s="60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9"/>
      <c r="AJ233" s="62"/>
      <c r="AK233" s="63"/>
      <c r="AL233" s="64"/>
      <c r="AM233" s="65"/>
      <c r="AN233" s="66"/>
      <c r="AO233" s="67"/>
      <c r="AP233" s="68"/>
      <c r="AQ233" s="67"/>
    </row>
    <row r="234" ht="15.75" customHeight="1">
      <c r="A234" s="61"/>
      <c r="B234" s="60"/>
      <c r="C234" s="60"/>
      <c r="D234" s="60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9"/>
      <c r="AJ234" s="62"/>
      <c r="AK234" s="63"/>
      <c r="AL234" s="64"/>
      <c r="AM234" s="65"/>
      <c r="AN234" s="66"/>
      <c r="AO234" s="67"/>
      <c r="AP234" s="68"/>
      <c r="AQ234" s="67"/>
    </row>
    <row r="235" ht="15.75" customHeight="1">
      <c r="A235" s="61"/>
      <c r="B235" s="60"/>
      <c r="C235" s="60"/>
      <c r="D235" s="60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9"/>
      <c r="AJ235" s="62"/>
      <c r="AK235" s="63"/>
      <c r="AL235" s="64"/>
      <c r="AM235" s="65"/>
      <c r="AN235" s="66"/>
      <c r="AO235" s="67"/>
      <c r="AP235" s="68"/>
      <c r="AQ235" s="67"/>
    </row>
    <row r="236" ht="15.75" customHeight="1">
      <c r="A236" s="61"/>
      <c r="B236" s="60"/>
      <c r="C236" s="60"/>
      <c r="D236" s="60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9"/>
      <c r="AJ236" s="62"/>
      <c r="AK236" s="63"/>
      <c r="AL236" s="64"/>
      <c r="AM236" s="65"/>
      <c r="AN236" s="66"/>
      <c r="AO236" s="67"/>
      <c r="AP236" s="68"/>
      <c r="AQ236" s="67"/>
    </row>
    <row r="237" ht="15.75" customHeight="1">
      <c r="A237" s="61"/>
      <c r="B237" s="60"/>
      <c r="C237" s="60"/>
      <c r="D237" s="60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9"/>
      <c r="AJ237" s="62"/>
      <c r="AK237" s="63"/>
      <c r="AL237" s="64"/>
      <c r="AM237" s="65"/>
      <c r="AN237" s="66"/>
      <c r="AO237" s="67"/>
      <c r="AP237" s="68"/>
      <c r="AQ237" s="67"/>
    </row>
    <row r="238" ht="15.75" customHeight="1">
      <c r="A238" s="61"/>
      <c r="B238" s="60"/>
      <c r="C238" s="60"/>
      <c r="D238" s="60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9"/>
      <c r="AJ238" s="62"/>
      <c r="AK238" s="63"/>
      <c r="AL238" s="64"/>
      <c r="AM238" s="65"/>
      <c r="AN238" s="66"/>
      <c r="AO238" s="67"/>
      <c r="AP238" s="68"/>
      <c r="AQ238" s="67"/>
    </row>
    <row r="239" ht="15.75" customHeight="1">
      <c r="A239" s="61"/>
      <c r="B239" s="60"/>
      <c r="C239" s="60"/>
      <c r="D239" s="60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9"/>
      <c r="AJ239" s="62"/>
      <c r="AK239" s="63"/>
      <c r="AL239" s="64"/>
      <c r="AM239" s="65"/>
      <c r="AN239" s="66"/>
      <c r="AO239" s="67"/>
      <c r="AP239" s="68"/>
      <c r="AQ239" s="67"/>
    </row>
    <row r="240" ht="15.75" customHeight="1">
      <c r="A240" s="61"/>
      <c r="B240" s="60"/>
      <c r="C240" s="60"/>
      <c r="D240" s="60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9"/>
      <c r="AJ240" s="62"/>
      <c r="AK240" s="63"/>
      <c r="AL240" s="64"/>
      <c r="AM240" s="65"/>
      <c r="AN240" s="66"/>
      <c r="AO240" s="67"/>
      <c r="AP240" s="68"/>
      <c r="AQ240" s="67"/>
    </row>
    <row r="241" ht="15.75" customHeight="1">
      <c r="A241" s="61"/>
      <c r="B241" s="60"/>
      <c r="C241" s="60"/>
      <c r="D241" s="60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9"/>
      <c r="AJ241" s="62"/>
      <c r="AK241" s="63"/>
      <c r="AL241" s="64"/>
      <c r="AM241" s="65"/>
      <c r="AN241" s="66"/>
      <c r="AO241" s="67"/>
      <c r="AP241" s="68"/>
      <c r="AQ241" s="67"/>
    </row>
    <row r="242" ht="15.75" customHeight="1">
      <c r="A242" s="61"/>
      <c r="B242" s="60"/>
      <c r="C242" s="60"/>
      <c r="D242" s="60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9"/>
      <c r="AJ242" s="62"/>
      <c r="AK242" s="63"/>
      <c r="AL242" s="64"/>
      <c r="AM242" s="65"/>
      <c r="AN242" s="66"/>
      <c r="AO242" s="67"/>
      <c r="AP242" s="68"/>
      <c r="AQ242" s="67"/>
    </row>
    <row r="243" ht="15.75" customHeight="1">
      <c r="A243" s="61"/>
      <c r="B243" s="60"/>
      <c r="C243" s="60"/>
      <c r="D243" s="60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9"/>
      <c r="AJ243" s="62"/>
      <c r="AK243" s="63"/>
      <c r="AL243" s="64"/>
      <c r="AM243" s="65"/>
      <c r="AN243" s="66"/>
      <c r="AO243" s="67"/>
      <c r="AP243" s="68"/>
      <c r="AQ243" s="67"/>
    </row>
    <row r="244" ht="15.75" customHeight="1">
      <c r="A244" s="61"/>
      <c r="B244" s="60"/>
      <c r="C244" s="60"/>
      <c r="D244" s="60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9"/>
      <c r="AJ244" s="62"/>
      <c r="AK244" s="63"/>
      <c r="AL244" s="64"/>
      <c r="AM244" s="65"/>
      <c r="AN244" s="66"/>
      <c r="AO244" s="67"/>
      <c r="AP244" s="68"/>
      <c r="AQ244" s="67"/>
    </row>
    <row r="245" ht="15.75" customHeight="1">
      <c r="A245" s="61"/>
      <c r="B245" s="60"/>
      <c r="C245" s="60"/>
      <c r="D245" s="60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9"/>
      <c r="AJ245" s="62"/>
      <c r="AK245" s="63"/>
      <c r="AL245" s="64"/>
      <c r="AM245" s="65"/>
      <c r="AN245" s="66"/>
      <c r="AO245" s="67"/>
      <c r="AP245" s="68"/>
      <c r="AQ245" s="67"/>
    </row>
    <row r="246" ht="15.75" customHeight="1">
      <c r="A246" s="61"/>
      <c r="B246" s="60"/>
      <c r="C246" s="60"/>
      <c r="D246" s="60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9"/>
      <c r="AJ246" s="62"/>
      <c r="AK246" s="63"/>
      <c r="AL246" s="64"/>
      <c r="AM246" s="65"/>
      <c r="AN246" s="66"/>
      <c r="AO246" s="67"/>
      <c r="AP246" s="68"/>
      <c r="AQ246" s="67"/>
    </row>
    <row r="247" ht="15.75" customHeight="1">
      <c r="A247" s="61"/>
      <c r="B247" s="60"/>
      <c r="C247" s="60"/>
      <c r="D247" s="60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9"/>
      <c r="AJ247" s="62"/>
      <c r="AK247" s="63"/>
      <c r="AL247" s="64"/>
      <c r="AM247" s="65"/>
      <c r="AN247" s="66"/>
      <c r="AO247" s="67"/>
      <c r="AP247" s="68"/>
      <c r="AQ247" s="67"/>
    </row>
    <row r="248" ht="15.75" customHeight="1">
      <c r="A248" s="61"/>
      <c r="B248" s="60"/>
      <c r="C248" s="60"/>
      <c r="D248" s="60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9"/>
      <c r="AJ248" s="62"/>
      <c r="AK248" s="63"/>
      <c r="AL248" s="64"/>
      <c r="AM248" s="65"/>
      <c r="AN248" s="66"/>
      <c r="AO248" s="67"/>
      <c r="AP248" s="68"/>
      <c r="AQ248" s="67"/>
    </row>
    <row r="249" ht="15.75" customHeight="1">
      <c r="A249" s="61"/>
      <c r="B249" s="60"/>
      <c r="C249" s="60"/>
      <c r="D249" s="60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9"/>
      <c r="AJ249" s="62"/>
      <c r="AK249" s="63"/>
      <c r="AL249" s="64"/>
      <c r="AM249" s="65"/>
      <c r="AN249" s="66"/>
      <c r="AO249" s="67"/>
      <c r="AP249" s="68"/>
      <c r="AQ249" s="67"/>
    </row>
    <row r="250" ht="15.75" customHeight="1">
      <c r="A250" s="61"/>
      <c r="B250" s="60"/>
      <c r="C250" s="60"/>
      <c r="D250" s="60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9"/>
      <c r="AJ250" s="62"/>
      <c r="AK250" s="63"/>
      <c r="AL250" s="64"/>
      <c r="AM250" s="65"/>
      <c r="AN250" s="66"/>
      <c r="AO250" s="67"/>
      <c r="AP250" s="68"/>
      <c r="AQ250" s="67"/>
    </row>
    <row r="251" ht="15.75" customHeight="1">
      <c r="A251" s="61"/>
      <c r="B251" s="60"/>
      <c r="C251" s="60"/>
      <c r="D251" s="60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9"/>
      <c r="AJ251" s="62"/>
      <c r="AK251" s="63"/>
      <c r="AL251" s="64"/>
      <c r="AM251" s="65"/>
      <c r="AN251" s="66"/>
      <c r="AO251" s="67"/>
      <c r="AP251" s="68"/>
      <c r="AQ251" s="67"/>
    </row>
    <row r="252" ht="15.75" customHeight="1">
      <c r="A252" s="61"/>
      <c r="B252" s="60"/>
      <c r="C252" s="60"/>
      <c r="D252" s="60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9"/>
      <c r="AJ252" s="62"/>
      <c r="AK252" s="63"/>
      <c r="AL252" s="64"/>
      <c r="AM252" s="65"/>
      <c r="AN252" s="66"/>
      <c r="AO252" s="67"/>
      <c r="AP252" s="68"/>
      <c r="AQ252" s="67"/>
    </row>
    <row r="253" ht="15.75" customHeight="1">
      <c r="A253" s="61"/>
      <c r="B253" s="60"/>
      <c r="C253" s="60"/>
      <c r="D253" s="60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9"/>
      <c r="AJ253" s="62"/>
      <c r="AK253" s="63"/>
      <c r="AL253" s="64"/>
      <c r="AM253" s="65"/>
      <c r="AN253" s="66"/>
      <c r="AO253" s="67"/>
      <c r="AP253" s="68"/>
      <c r="AQ253" s="67"/>
    </row>
    <row r="254" ht="15.75" customHeight="1">
      <c r="A254" s="61"/>
      <c r="B254" s="60"/>
      <c r="C254" s="60"/>
      <c r="D254" s="60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9"/>
      <c r="AJ254" s="62"/>
      <c r="AK254" s="63"/>
      <c r="AL254" s="64"/>
      <c r="AM254" s="65"/>
      <c r="AN254" s="66"/>
      <c r="AO254" s="67"/>
      <c r="AP254" s="68"/>
      <c r="AQ254" s="67"/>
    </row>
    <row r="255" ht="15.75" customHeight="1">
      <c r="A255" s="61"/>
      <c r="B255" s="60"/>
      <c r="C255" s="60"/>
      <c r="D255" s="60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9"/>
      <c r="AJ255" s="62"/>
      <c r="AK255" s="63"/>
      <c r="AL255" s="64"/>
      <c r="AM255" s="65"/>
      <c r="AN255" s="66"/>
      <c r="AO255" s="67"/>
      <c r="AP255" s="68"/>
      <c r="AQ255" s="67"/>
    </row>
    <row r="256" ht="15.75" customHeight="1">
      <c r="A256" s="61"/>
      <c r="B256" s="60"/>
      <c r="C256" s="60"/>
      <c r="D256" s="60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9"/>
      <c r="AJ256" s="62"/>
      <c r="AK256" s="63"/>
      <c r="AL256" s="64"/>
      <c r="AM256" s="65"/>
      <c r="AN256" s="66"/>
      <c r="AO256" s="67"/>
      <c r="AP256" s="68"/>
      <c r="AQ256" s="67"/>
    </row>
    <row r="257" ht="15.75" customHeight="1">
      <c r="A257" s="61"/>
      <c r="B257" s="60"/>
      <c r="C257" s="60"/>
      <c r="D257" s="60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9"/>
      <c r="AJ257" s="62"/>
      <c r="AK257" s="63"/>
      <c r="AL257" s="64"/>
      <c r="AM257" s="65"/>
      <c r="AN257" s="66"/>
      <c r="AO257" s="67"/>
      <c r="AP257" s="68"/>
      <c r="AQ257" s="67"/>
    </row>
    <row r="258" ht="15.75" customHeight="1">
      <c r="A258" s="61"/>
      <c r="B258" s="60"/>
      <c r="C258" s="60"/>
      <c r="D258" s="60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9"/>
      <c r="AJ258" s="62"/>
      <c r="AK258" s="63"/>
      <c r="AL258" s="64"/>
      <c r="AM258" s="65"/>
      <c r="AN258" s="66"/>
      <c r="AO258" s="67"/>
      <c r="AP258" s="68"/>
      <c r="AQ258" s="67"/>
    </row>
    <row r="259" ht="15.75" customHeight="1">
      <c r="A259" s="61"/>
      <c r="B259" s="60"/>
      <c r="C259" s="60"/>
      <c r="D259" s="60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9"/>
      <c r="AJ259" s="62"/>
      <c r="AK259" s="63"/>
      <c r="AL259" s="64"/>
      <c r="AM259" s="65"/>
      <c r="AN259" s="66"/>
      <c r="AO259" s="67"/>
      <c r="AP259" s="68"/>
      <c r="AQ259" s="67"/>
    </row>
    <row r="260" ht="15.75" customHeight="1">
      <c r="A260" s="61"/>
      <c r="B260" s="60"/>
      <c r="C260" s="60"/>
      <c r="D260" s="60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9"/>
      <c r="AJ260" s="62"/>
      <c r="AK260" s="63"/>
      <c r="AL260" s="64"/>
      <c r="AM260" s="65"/>
      <c r="AN260" s="66"/>
      <c r="AO260" s="67"/>
      <c r="AP260" s="68"/>
      <c r="AQ260" s="67"/>
    </row>
    <row r="261" ht="15.75" customHeight="1">
      <c r="A261" s="61"/>
      <c r="B261" s="60"/>
      <c r="C261" s="60"/>
      <c r="D261" s="60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9"/>
      <c r="AJ261" s="62"/>
      <c r="AK261" s="63"/>
      <c r="AL261" s="64"/>
      <c r="AM261" s="65"/>
      <c r="AN261" s="66"/>
      <c r="AO261" s="67"/>
      <c r="AP261" s="68"/>
      <c r="AQ261" s="67"/>
    </row>
    <row r="262" ht="15.75" customHeight="1">
      <c r="A262" s="61"/>
      <c r="B262" s="60"/>
      <c r="C262" s="60"/>
      <c r="D262" s="60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9"/>
      <c r="AJ262" s="62"/>
      <c r="AK262" s="63"/>
      <c r="AL262" s="64"/>
      <c r="AM262" s="65"/>
      <c r="AN262" s="66"/>
      <c r="AO262" s="67"/>
      <c r="AP262" s="68"/>
      <c r="AQ262" s="67"/>
    </row>
    <row r="263" ht="15.75" customHeight="1">
      <c r="A263" s="61"/>
      <c r="B263" s="60"/>
      <c r="C263" s="60"/>
      <c r="D263" s="60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9"/>
      <c r="AJ263" s="62"/>
      <c r="AK263" s="63"/>
      <c r="AL263" s="64"/>
      <c r="AM263" s="65"/>
      <c r="AN263" s="66"/>
      <c r="AO263" s="67"/>
      <c r="AP263" s="68"/>
      <c r="AQ263" s="67"/>
    </row>
    <row r="264" ht="15.75" customHeight="1">
      <c r="A264" s="61"/>
      <c r="B264" s="60"/>
      <c r="C264" s="60"/>
      <c r="D264" s="60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9"/>
      <c r="AJ264" s="62"/>
      <c r="AK264" s="63"/>
      <c r="AL264" s="64"/>
      <c r="AM264" s="65"/>
      <c r="AN264" s="66"/>
      <c r="AO264" s="67"/>
      <c r="AP264" s="68"/>
      <c r="AQ264" s="67"/>
    </row>
    <row r="265" ht="15.75" customHeight="1">
      <c r="A265" s="61"/>
      <c r="B265" s="60"/>
      <c r="C265" s="60"/>
      <c r="D265" s="60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9"/>
      <c r="AJ265" s="62"/>
      <c r="AK265" s="63"/>
      <c r="AL265" s="64"/>
      <c r="AM265" s="65"/>
      <c r="AN265" s="66"/>
      <c r="AO265" s="67"/>
      <c r="AP265" s="68"/>
      <c r="AQ265" s="67"/>
    </row>
    <row r="266" ht="15.75" customHeight="1">
      <c r="A266" s="61"/>
      <c r="B266" s="60"/>
      <c r="C266" s="60"/>
      <c r="D266" s="60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9"/>
      <c r="AJ266" s="62"/>
      <c r="AK266" s="63"/>
      <c r="AL266" s="64"/>
      <c r="AM266" s="65"/>
      <c r="AN266" s="66"/>
      <c r="AO266" s="67"/>
      <c r="AP266" s="68"/>
      <c r="AQ266" s="67"/>
    </row>
    <row r="267" ht="15.75" customHeight="1">
      <c r="A267" s="61"/>
      <c r="B267" s="60"/>
      <c r="C267" s="60"/>
      <c r="D267" s="60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9"/>
      <c r="AJ267" s="62"/>
      <c r="AK267" s="63"/>
      <c r="AL267" s="64"/>
      <c r="AM267" s="65"/>
      <c r="AN267" s="66"/>
      <c r="AO267" s="67"/>
      <c r="AP267" s="68"/>
      <c r="AQ267" s="67"/>
    </row>
    <row r="268" ht="15.75" customHeight="1">
      <c r="A268" s="61"/>
      <c r="B268" s="60"/>
      <c r="C268" s="60"/>
      <c r="D268" s="60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9"/>
      <c r="AJ268" s="62"/>
      <c r="AK268" s="63"/>
      <c r="AL268" s="64"/>
      <c r="AM268" s="65"/>
      <c r="AN268" s="66"/>
      <c r="AO268" s="67"/>
      <c r="AP268" s="68"/>
      <c r="AQ268" s="67"/>
    </row>
    <row r="269" ht="15.75" customHeight="1">
      <c r="A269" s="61"/>
      <c r="B269" s="60"/>
      <c r="C269" s="60"/>
      <c r="D269" s="60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9"/>
      <c r="AJ269" s="62"/>
      <c r="AK269" s="63"/>
      <c r="AL269" s="64"/>
      <c r="AM269" s="65"/>
      <c r="AN269" s="66"/>
      <c r="AO269" s="67"/>
      <c r="AP269" s="68"/>
      <c r="AQ269" s="67"/>
    </row>
    <row r="270" ht="15.75" customHeight="1">
      <c r="A270" s="61"/>
      <c r="B270" s="60"/>
      <c r="C270" s="60"/>
      <c r="D270" s="60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9"/>
      <c r="AJ270" s="62"/>
      <c r="AK270" s="63"/>
      <c r="AL270" s="64"/>
      <c r="AM270" s="65"/>
      <c r="AN270" s="66"/>
      <c r="AO270" s="67"/>
      <c r="AP270" s="68"/>
      <c r="AQ270" s="67"/>
    </row>
    <row r="271" ht="15.75" customHeight="1">
      <c r="A271" s="61"/>
      <c r="B271" s="60"/>
      <c r="C271" s="60"/>
      <c r="D271" s="60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9"/>
      <c r="AJ271" s="62"/>
      <c r="AK271" s="63"/>
      <c r="AL271" s="64"/>
      <c r="AM271" s="65"/>
      <c r="AN271" s="66"/>
      <c r="AO271" s="67"/>
      <c r="AP271" s="68"/>
      <c r="AQ271" s="67"/>
    </row>
    <row r="272" ht="15.75" customHeight="1">
      <c r="A272" s="61"/>
      <c r="B272" s="60"/>
      <c r="C272" s="60"/>
      <c r="D272" s="60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9"/>
      <c r="AJ272" s="62"/>
      <c r="AK272" s="63"/>
      <c r="AL272" s="64"/>
      <c r="AM272" s="65"/>
      <c r="AN272" s="66"/>
      <c r="AO272" s="67"/>
      <c r="AP272" s="68"/>
      <c r="AQ272" s="67"/>
    </row>
    <row r="273" ht="15.75" customHeight="1">
      <c r="A273" s="61"/>
      <c r="B273" s="60"/>
      <c r="C273" s="60"/>
      <c r="D273" s="60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9"/>
      <c r="AJ273" s="62"/>
      <c r="AK273" s="63"/>
      <c r="AL273" s="64"/>
      <c r="AM273" s="65"/>
      <c r="AN273" s="66"/>
      <c r="AO273" s="67"/>
      <c r="AP273" s="68"/>
      <c r="AQ273" s="67"/>
    </row>
    <row r="274" ht="15.75" customHeight="1">
      <c r="A274" s="61"/>
      <c r="B274" s="60"/>
      <c r="C274" s="60"/>
      <c r="D274" s="60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9"/>
      <c r="AJ274" s="62"/>
      <c r="AK274" s="63"/>
      <c r="AL274" s="64"/>
      <c r="AM274" s="65"/>
      <c r="AN274" s="66"/>
      <c r="AO274" s="67"/>
      <c r="AP274" s="68"/>
      <c r="AQ274" s="67"/>
    </row>
    <row r="275" ht="15.75" customHeight="1">
      <c r="A275" s="61"/>
      <c r="B275" s="60"/>
      <c r="C275" s="60"/>
      <c r="D275" s="60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9"/>
      <c r="AJ275" s="62"/>
      <c r="AK275" s="63"/>
      <c r="AL275" s="64"/>
      <c r="AM275" s="65"/>
      <c r="AN275" s="66"/>
      <c r="AO275" s="67"/>
      <c r="AP275" s="68"/>
      <c r="AQ275" s="67"/>
    </row>
    <row r="276" ht="15.75" customHeight="1">
      <c r="A276" s="61"/>
      <c r="B276" s="60"/>
      <c r="C276" s="60"/>
      <c r="D276" s="60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9"/>
      <c r="AJ276" s="62"/>
      <c r="AK276" s="63"/>
      <c r="AL276" s="64"/>
      <c r="AM276" s="65"/>
      <c r="AN276" s="66"/>
      <c r="AO276" s="67"/>
      <c r="AP276" s="68"/>
      <c r="AQ276" s="67"/>
    </row>
    <row r="277" ht="15.75" customHeight="1">
      <c r="A277" s="61"/>
      <c r="B277" s="60"/>
      <c r="C277" s="60"/>
      <c r="D277" s="60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9"/>
      <c r="AJ277" s="62"/>
      <c r="AK277" s="63"/>
      <c r="AL277" s="64"/>
      <c r="AM277" s="65"/>
      <c r="AN277" s="66"/>
      <c r="AO277" s="67"/>
      <c r="AP277" s="68"/>
      <c r="AQ277" s="67"/>
    </row>
    <row r="278" ht="15.75" customHeight="1">
      <c r="A278" s="61"/>
      <c r="B278" s="60"/>
      <c r="C278" s="60"/>
      <c r="D278" s="60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9"/>
      <c r="AJ278" s="62"/>
      <c r="AK278" s="63"/>
      <c r="AL278" s="64"/>
      <c r="AM278" s="65"/>
      <c r="AN278" s="66"/>
      <c r="AO278" s="67"/>
      <c r="AP278" s="68"/>
      <c r="AQ278" s="67"/>
    </row>
    <row r="279" ht="15.75" customHeight="1">
      <c r="A279" s="61"/>
      <c r="B279" s="60"/>
      <c r="C279" s="60"/>
      <c r="D279" s="60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9"/>
      <c r="AJ279" s="62"/>
      <c r="AK279" s="63"/>
      <c r="AL279" s="64"/>
      <c r="AM279" s="65"/>
      <c r="AN279" s="66"/>
      <c r="AO279" s="67"/>
      <c r="AP279" s="68"/>
      <c r="AQ279" s="67"/>
    </row>
    <row r="280" ht="15.75" customHeight="1">
      <c r="A280" s="61"/>
      <c r="B280" s="60"/>
      <c r="C280" s="60"/>
      <c r="D280" s="60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9"/>
      <c r="AJ280" s="62"/>
      <c r="AK280" s="63"/>
      <c r="AL280" s="64"/>
      <c r="AM280" s="65"/>
      <c r="AN280" s="66"/>
      <c r="AO280" s="67"/>
      <c r="AP280" s="68"/>
      <c r="AQ280" s="67"/>
    </row>
    <row r="281" ht="15.75" customHeight="1">
      <c r="A281" s="61"/>
      <c r="B281" s="60"/>
      <c r="C281" s="60"/>
      <c r="D281" s="60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9"/>
      <c r="AJ281" s="62"/>
      <c r="AK281" s="63"/>
      <c r="AL281" s="64"/>
      <c r="AM281" s="65"/>
      <c r="AN281" s="66"/>
      <c r="AO281" s="67"/>
      <c r="AP281" s="68"/>
      <c r="AQ281" s="67"/>
    </row>
    <row r="282" ht="15.75" customHeight="1">
      <c r="A282" s="61"/>
      <c r="B282" s="60"/>
      <c r="C282" s="60"/>
      <c r="D282" s="60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9"/>
      <c r="AJ282" s="62"/>
      <c r="AK282" s="63"/>
      <c r="AL282" s="64"/>
      <c r="AM282" s="65"/>
      <c r="AN282" s="66"/>
      <c r="AO282" s="67"/>
      <c r="AP282" s="68"/>
      <c r="AQ282" s="67"/>
    </row>
    <row r="283" ht="15.75" customHeight="1">
      <c r="A283" s="61"/>
      <c r="B283" s="60"/>
      <c r="C283" s="60"/>
      <c r="D283" s="60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9"/>
      <c r="AJ283" s="62"/>
      <c r="AK283" s="63"/>
      <c r="AL283" s="64"/>
      <c r="AM283" s="65"/>
      <c r="AN283" s="66"/>
      <c r="AO283" s="67"/>
      <c r="AP283" s="68"/>
      <c r="AQ283" s="67"/>
    </row>
    <row r="284" ht="15.75" customHeight="1">
      <c r="A284" s="61"/>
      <c r="B284" s="60"/>
      <c r="C284" s="60"/>
      <c r="D284" s="60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9"/>
      <c r="AJ284" s="62"/>
      <c r="AK284" s="63"/>
      <c r="AL284" s="64"/>
      <c r="AM284" s="65"/>
      <c r="AN284" s="66"/>
      <c r="AO284" s="67"/>
      <c r="AP284" s="68"/>
      <c r="AQ284" s="67"/>
    </row>
    <row r="285" ht="15.75" customHeight="1">
      <c r="A285" s="61"/>
      <c r="B285" s="60"/>
      <c r="C285" s="60"/>
      <c r="D285" s="60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9"/>
      <c r="AJ285" s="62"/>
      <c r="AK285" s="63"/>
      <c r="AL285" s="64"/>
      <c r="AM285" s="65"/>
      <c r="AN285" s="66"/>
      <c r="AO285" s="67"/>
      <c r="AP285" s="68"/>
      <c r="AQ285" s="67"/>
    </row>
    <row r="286" ht="15.75" customHeight="1">
      <c r="A286" s="61"/>
      <c r="B286" s="60"/>
      <c r="C286" s="60"/>
      <c r="D286" s="60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9"/>
      <c r="AJ286" s="62"/>
      <c r="AK286" s="63"/>
      <c r="AL286" s="64"/>
      <c r="AM286" s="65"/>
      <c r="AN286" s="66"/>
      <c r="AO286" s="67"/>
      <c r="AP286" s="68"/>
      <c r="AQ286" s="67"/>
    </row>
    <row r="287" ht="15.75" customHeight="1">
      <c r="A287" s="61"/>
      <c r="B287" s="60"/>
      <c r="C287" s="60"/>
      <c r="D287" s="60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9"/>
      <c r="AJ287" s="62"/>
      <c r="AK287" s="63"/>
      <c r="AL287" s="64"/>
      <c r="AM287" s="65"/>
      <c r="AN287" s="66"/>
      <c r="AO287" s="67"/>
      <c r="AP287" s="68"/>
      <c r="AQ287" s="67"/>
    </row>
    <row r="288" ht="15.75" customHeight="1">
      <c r="A288" s="61"/>
      <c r="B288" s="60"/>
      <c r="C288" s="60"/>
      <c r="D288" s="60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9"/>
      <c r="AJ288" s="62"/>
      <c r="AK288" s="63"/>
      <c r="AL288" s="64"/>
      <c r="AM288" s="65"/>
      <c r="AN288" s="66"/>
      <c r="AO288" s="67"/>
      <c r="AP288" s="68"/>
      <c r="AQ288" s="67"/>
    </row>
    <row r="289" ht="15.75" customHeight="1">
      <c r="A289" s="61"/>
      <c r="B289" s="60"/>
      <c r="C289" s="60"/>
      <c r="D289" s="60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9"/>
      <c r="AJ289" s="62"/>
      <c r="AK289" s="63"/>
      <c r="AL289" s="64"/>
      <c r="AM289" s="65"/>
      <c r="AN289" s="66"/>
      <c r="AO289" s="67"/>
      <c r="AP289" s="68"/>
      <c r="AQ289" s="67"/>
    </row>
    <row r="290" ht="15.75" customHeight="1">
      <c r="A290" s="61"/>
      <c r="B290" s="60"/>
      <c r="C290" s="60"/>
      <c r="D290" s="60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9"/>
      <c r="AJ290" s="62"/>
      <c r="AK290" s="63"/>
      <c r="AL290" s="64"/>
      <c r="AM290" s="65"/>
      <c r="AN290" s="66"/>
      <c r="AO290" s="67"/>
      <c r="AP290" s="68"/>
      <c r="AQ290" s="67"/>
    </row>
    <row r="291" ht="15.75" customHeight="1">
      <c r="A291" s="61"/>
      <c r="B291" s="60"/>
      <c r="C291" s="60"/>
      <c r="D291" s="60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9"/>
      <c r="AJ291" s="62"/>
      <c r="AK291" s="63"/>
      <c r="AL291" s="64"/>
      <c r="AM291" s="65"/>
      <c r="AN291" s="66"/>
      <c r="AO291" s="67"/>
      <c r="AP291" s="68"/>
      <c r="AQ291" s="67"/>
    </row>
    <row r="292" ht="15.75" customHeight="1">
      <c r="A292" s="61"/>
      <c r="B292" s="60"/>
      <c r="C292" s="60"/>
      <c r="D292" s="60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9"/>
      <c r="AJ292" s="62"/>
      <c r="AK292" s="63"/>
      <c r="AL292" s="64"/>
      <c r="AM292" s="65"/>
      <c r="AN292" s="66"/>
      <c r="AO292" s="67"/>
      <c r="AP292" s="68"/>
      <c r="AQ292" s="67"/>
    </row>
    <row r="293" ht="15.75" customHeight="1">
      <c r="A293" s="61"/>
      <c r="B293" s="60"/>
      <c r="C293" s="60"/>
      <c r="D293" s="60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9"/>
      <c r="AJ293" s="62"/>
      <c r="AK293" s="63"/>
      <c r="AL293" s="64"/>
      <c r="AM293" s="65"/>
      <c r="AN293" s="66"/>
      <c r="AO293" s="67"/>
      <c r="AP293" s="68"/>
      <c r="AQ293" s="67"/>
    </row>
    <row r="294" ht="15.75" customHeight="1">
      <c r="A294" s="61"/>
      <c r="B294" s="60"/>
      <c r="C294" s="60"/>
      <c r="D294" s="60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9"/>
      <c r="AJ294" s="62"/>
      <c r="AK294" s="63"/>
      <c r="AL294" s="64"/>
      <c r="AM294" s="65"/>
      <c r="AN294" s="66"/>
      <c r="AO294" s="67"/>
      <c r="AP294" s="68"/>
      <c r="AQ294" s="67"/>
    </row>
    <row r="295" ht="15.75" customHeight="1">
      <c r="A295" s="61"/>
      <c r="B295" s="60"/>
      <c r="C295" s="60"/>
      <c r="D295" s="60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9"/>
      <c r="AJ295" s="62"/>
      <c r="AK295" s="63"/>
      <c r="AL295" s="64"/>
      <c r="AM295" s="65"/>
      <c r="AN295" s="66"/>
      <c r="AO295" s="67"/>
      <c r="AP295" s="68"/>
      <c r="AQ295" s="67"/>
    </row>
    <row r="296" ht="15.75" customHeight="1">
      <c r="A296" s="61"/>
      <c r="B296" s="60"/>
      <c r="C296" s="60"/>
      <c r="D296" s="60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9"/>
      <c r="AJ296" s="62"/>
      <c r="AK296" s="63"/>
      <c r="AL296" s="64"/>
      <c r="AM296" s="65"/>
      <c r="AN296" s="66"/>
      <c r="AO296" s="67"/>
      <c r="AP296" s="68"/>
      <c r="AQ296" s="67"/>
    </row>
    <row r="297" ht="15.75" customHeight="1">
      <c r="A297" s="61"/>
      <c r="B297" s="60"/>
      <c r="C297" s="60"/>
      <c r="D297" s="60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9"/>
      <c r="AJ297" s="62"/>
      <c r="AK297" s="63"/>
      <c r="AL297" s="64"/>
      <c r="AM297" s="65"/>
      <c r="AN297" s="66"/>
      <c r="AO297" s="67"/>
      <c r="AP297" s="68"/>
      <c r="AQ297" s="67"/>
    </row>
    <row r="298" ht="15.75" customHeight="1">
      <c r="A298" s="61"/>
      <c r="B298" s="60"/>
      <c r="C298" s="60"/>
      <c r="D298" s="60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9"/>
      <c r="AJ298" s="62"/>
      <c r="AK298" s="63"/>
      <c r="AL298" s="64"/>
      <c r="AM298" s="65"/>
      <c r="AN298" s="66"/>
      <c r="AO298" s="67"/>
      <c r="AP298" s="68"/>
      <c r="AQ298" s="67"/>
    </row>
    <row r="299" ht="15.75" customHeight="1">
      <c r="A299" s="61"/>
      <c r="B299" s="60"/>
      <c r="C299" s="60"/>
      <c r="D299" s="60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9"/>
      <c r="AJ299" s="62"/>
      <c r="AK299" s="63"/>
      <c r="AL299" s="64"/>
      <c r="AM299" s="65"/>
      <c r="AN299" s="66"/>
      <c r="AO299" s="67"/>
      <c r="AP299" s="68"/>
      <c r="AQ299" s="67"/>
    </row>
    <row r="300" ht="15.75" customHeight="1">
      <c r="A300" s="61"/>
      <c r="B300" s="60"/>
      <c r="C300" s="60"/>
      <c r="D300" s="60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9"/>
      <c r="AJ300" s="62"/>
      <c r="AK300" s="63"/>
      <c r="AL300" s="64"/>
      <c r="AM300" s="65"/>
      <c r="AN300" s="66"/>
      <c r="AO300" s="67"/>
      <c r="AP300" s="68"/>
      <c r="AQ300" s="67"/>
    </row>
    <row r="301" ht="15.75" customHeight="1">
      <c r="A301" s="61"/>
      <c r="B301" s="60"/>
      <c r="C301" s="60"/>
      <c r="D301" s="60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9"/>
      <c r="AJ301" s="62"/>
      <c r="AK301" s="63"/>
      <c r="AL301" s="64"/>
      <c r="AM301" s="65"/>
      <c r="AN301" s="66"/>
      <c r="AO301" s="67"/>
      <c r="AP301" s="68"/>
      <c r="AQ301" s="67"/>
    </row>
    <row r="302" ht="15.75" customHeight="1">
      <c r="A302" s="61"/>
      <c r="B302" s="60"/>
      <c r="C302" s="60"/>
      <c r="D302" s="60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9"/>
      <c r="AJ302" s="62"/>
      <c r="AK302" s="63"/>
      <c r="AL302" s="64"/>
      <c r="AM302" s="65"/>
      <c r="AN302" s="66"/>
      <c r="AO302" s="67"/>
      <c r="AP302" s="68"/>
      <c r="AQ302" s="67"/>
    </row>
    <row r="303" ht="15.75" customHeight="1">
      <c r="A303" s="61"/>
      <c r="B303" s="60"/>
      <c r="C303" s="60"/>
      <c r="D303" s="60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9"/>
      <c r="AJ303" s="62"/>
      <c r="AK303" s="63"/>
      <c r="AL303" s="64"/>
      <c r="AM303" s="65"/>
      <c r="AN303" s="66"/>
      <c r="AO303" s="67"/>
      <c r="AP303" s="68"/>
      <c r="AQ303" s="67"/>
    </row>
    <row r="304" ht="15.75" customHeight="1">
      <c r="A304" s="61"/>
      <c r="B304" s="60"/>
      <c r="C304" s="60"/>
      <c r="D304" s="60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9"/>
      <c r="AJ304" s="62"/>
      <c r="AK304" s="63"/>
      <c r="AL304" s="64"/>
      <c r="AM304" s="65"/>
      <c r="AN304" s="66"/>
      <c r="AO304" s="67"/>
      <c r="AP304" s="68"/>
      <c r="AQ304" s="67"/>
    </row>
    <row r="305" ht="15.75" customHeight="1">
      <c r="A305" s="61"/>
      <c r="B305" s="60"/>
      <c r="C305" s="60"/>
      <c r="D305" s="60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9"/>
      <c r="AJ305" s="62"/>
      <c r="AK305" s="63"/>
      <c r="AL305" s="64"/>
      <c r="AM305" s="65"/>
      <c r="AN305" s="66"/>
      <c r="AO305" s="67"/>
      <c r="AP305" s="68"/>
      <c r="AQ305" s="67"/>
    </row>
    <row r="306" ht="15.75" customHeight="1">
      <c r="A306" s="61"/>
      <c r="B306" s="60"/>
      <c r="C306" s="60"/>
      <c r="D306" s="60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9"/>
      <c r="AJ306" s="62"/>
      <c r="AK306" s="63"/>
      <c r="AL306" s="64"/>
      <c r="AM306" s="65"/>
      <c r="AN306" s="66"/>
      <c r="AO306" s="67"/>
      <c r="AP306" s="68"/>
      <c r="AQ306" s="67"/>
    </row>
    <row r="307" ht="15.75" customHeight="1">
      <c r="A307" s="61"/>
      <c r="B307" s="60"/>
      <c r="C307" s="60"/>
      <c r="D307" s="60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9"/>
      <c r="AJ307" s="62"/>
      <c r="AK307" s="63"/>
      <c r="AL307" s="64"/>
      <c r="AM307" s="65"/>
      <c r="AN307" s="66"/>
      <c r="AO307" s="67"/>
      <c r="AP307" s="68"/>
      <c r="AQ307" s="67"/>
    </row>
    <row r="308" ht="15.75" customHeight="1">
      <c r="A308" s="61"/>
      <c r="B308" s="60"/>
      <c r="C308" s="60"/>
      <c r="D308" s="60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9"/>
      <c r="AJ308" s="62"/>
      <c r="AK308" s="63"/>
      <c r="AL308" s="64"/>
      <c r="AM308" s="65"/>
      <c r="AN308" s="66"/>
      <c r="AO308" s="67"/>
      <c r="AP308" s="68"/>
      <c r="AQ308" s="67"/>
    </row>
    <row r="309" ht="15.75" customHeight="1">
      <c r="A309" s="61"/>
      <c r="B309" s="60"/>
      <c r="C309" s="60"/>
      <c r="D309" s="60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9"/>
      <c r="AJ309" s="62"/>
      <c r="AK309" s="63"/>
      <c r="AL309" s="64"/>
      <c r="AM309" s="65"/>
      <c r="AN309" s="66"/>
      <c r="AO309" s="67"/>
      <c r="AP309" s="68"/>
      <c r="AQ309" s="67"/>
    </row>
    <row r="310" ht="15.75" customHeight="1">
      <c r="A310" s="61"/>
      <c r="B310" s="60"/>
      <c r="C310" s="60"/>
      <c r="D310" s="60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9"/>
      <c r="AJ310" s="62"/>
      <c r="AK310" s="63"/>
      <c r="AL310" s="64"/>
      <c r="AM310" s="65"/>
      <c r="AN310" s="66"/>
      <c r="AO310" s="67"/>
      <c r="AP310" s="68"/>
      <c r="AQ310" s="67"/>
    </row>
    <row r="311" ht="15.75" customHeight="1">
      <c r="A311" s="61"/>
      <c r="B311" s="60"/>
      <c r="C311" s="60"/>
      <c r="D311" s="60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9"/>
      <c r="AJ311" s="62"/>
      <c r="AK311" s="63"/>
      <c r="AL311" s="64"/>
      <c r="AM311" s="65"/>
      <c r="AN311" s="66"/>
      <c r="AO311" s="67"/>
      <c r="AP311" s="68"/>
      <c r="AQ311" s="67"/>
    </row>
    <row r="312" ht="15.75" customHeight="1">
      <c r="A312" s="61"/>
      <c r="B312" s="60"/>
      <c r="C312" s="60"/>
      <c r="D312" s="60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9"/>
      <c r="AJ312" s="62"/>
      <c r="AK312" s="63"/>
      <c r="AL312" s="64"/>
      <c r="AM312" s="65"/>
      <c r="AN312" s="66"/>
      <c r="AO312" s="67"/>
      <c r="AP312" s="68"/>
      <c r="AQ312" s="67"/>
    </row>
    <row r="313" ht="15.75" customHeight="1">
      <c r="A313" s="61"/>
      <c r="B313" s="60"/>
      <c r="C313" s="60"/>
      <c r="D313" s="60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9"/>
      <c r="AJ313" s="62"/>
      <c r="AK313" s="63"/>
      <c r="AL313" s="64"/>
      <c r="AM313" s="65"/>
      <c r="AN313" s="66"/>
      <c r="AO313" s="67"/>
      <c r="AP313" s="68"/>
      <c r="AQ313" s="67"/>
    </row>
    <row r="314" ht="15.75" customHeight="1">
      <c r="A314" s="61"/>
      <c r="B314" s="60"/>
      <c r="C314" s="60"/>
      <c r="D314" s="60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9"/>
      <c r="AJ314" s="62"/>
      <c r="AK314" s="63"/>
      <c r="AL314" s="64"/>
      <c r="AM314" s="65"/>
      <c r="AN314" s="66"/>
      <c r="AO314" s="67"/>
      <c r="AP314" s="68"/>
      <c r="AQ314" s="67"/>
    </row>
    <row r="315" ht="15.75" customHeight="1">
      <c r="A315" s="61"/>
      <c r="B315" s="60"/>
      <c r="C315" s="60"/>
      <c r="D315" s="60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9"/>
      <c r="AJ315" s="62"/>
      <c r="AK315" s="63"/>
      <c r="AL315" s="64"/>
      <c r="AM315" s="65"/>
      <c r="AN315" s="66"/>
      <c r="AO315" s="67"/>
      <c r="AP315" s="68"/>
      <c r="AQ315" s="67"/>
    </row>
    <row r="316" ht="15.75" customHeight="1">
      <c r="A316" s="61"/>
      <c r="B316" s="60"/>
      <c r="C316" s="60"/>
      <c r="D316" s="60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9"/>
      <c r="AJ316" s="62"/>
      <c r="AK316" s="63"/>
      <c r="AL316" s="64"/>
      <c r="AM316" s="65"/>
      <c r="AN316" s="66"/>
      <c r="AO316" s="67"/>
      <c r="AP316" s="68"/>
      <c r="AQ316" s="67"/>
    </row>
    <row r="317" ht="15.75" customHeight="1">
      <c r="A317" s="61"/>
      <c r="B317" s="60"/>
      <c r="C317" s="60"/>
      <c r="D317" s="60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9"/>
      <c r="AJ317" s="62"/>
      <c r="AK317" s="63"/>
      <c r="AL317" s="64"/>
      <c r="AM317" s="65"/>
      <c r="AN317" s="66"/>
      <c r="AO317" s="67"/>
      <c r="AP317" s="68"/>
      <c r="AQ317" s="67"/>
    </row>
    <row r="318" ht="15.75" customHeight="1">
      <c r="A318" s="61"/>
      <c r="B318" s="60"/>
      <c r="C318" s="60"/>
      <c r="D318" s="60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9"/>
      <c r="AJ318" s="62"/>
      <c r="AK318" s="63"/>
      <c r="AL318" s="64"/>
      <c r="AM318" s="65"/>
      <c r="AN318" s="66"/>
      <c r="AO318" s="67"/>
      <c r="AP318" s="68"/>
      <c r="AQ318" s="67"/>
    </row>
    <row r="319" ht="15.75" customHeight="1">
      <c r="A319" s="61"/>
      <c r="B319" s="60"/>
      <c r="C319" s="60"/>
      <c r="D319" s="60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9"/>
      <c r="AJ319" s="62"/>
      <c r="AK319" s="63"/>
      <c r="AL319" s="64"/>
      <c r="AM319" s="65"/>
      <c r="AN319" s="66"/>
      <c r="AO319" s="67"/>
      <c r="AP319" s="68"/>
      <c r="AQ319" s="67"/>
    </row>
    <row r="320" ht="15.75" customHeight="1">
      <c r="A320" s="61"/>
      <c r="B320" s="60"/>
      <c r="C320" s="60"/>
      <c r="D320" s="60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9"/>
      <c r="AJ320" s="62"/>
      <c r="AK320" s="63"/>
      <c r="AL320" s="64"/>
      <c r="AM320" s="65"/>
      <c r="AN320" s="66"/>
      <c r="AO320" s="67"/>
      <c r="AP320" s="68"/>
      <c r="AQ320" s="67"/>
    </row>
    <row r="321" ht="15.75" customHeight="1">
      <c r="A321" s="61"/>
      <c r="B321" s="60"/>
      <c r="C321" s="60"/>
      <c r="D321" s="60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9"/>
      <c r="AJ321" s="62"/>
      <c r="AK321" s="63"/>
      <c r="AL321" s="64"/>
      <c r="AM321" s="65"/>
      <c r="AN321" s="66"/>
      <c r="AO321" s="67"/>
      <c r="AP321" s="68"/>
      <c r="AQ321" s="67"/>
    </row>
    <row r="322" ht="15.75" customHeight="1">
      <c r="A322" s="61"/>
      <c r="B322" s="60"/>
      <c r="C322" s="60"/>
      <c r="D322" s="60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9"/>
      <c r="AJ322" s="62"/>
      <c r="AK322" s="63"/>
      <c r="AL322" s="64"/>
      <c r="AM322" s="65"/>
      <c r="AN322" s="66"/>
      <c r="AO322" s="67"/>
      <c r="AP322" s="68"/>
      <c r="AQ322" s="67"/>
    </row>
    <row r="323" ht="15.75" customHeight="1">
      <c r="A323" s="61"/>
      <c r="B323" s="60"/>
      <c r="C323" s="60"/>
      <c r="D323" s="60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9"/>
      <c r="AJ323" s="62"/>
      <c r="AK323" s="63"/>
      <c r="AL323" s="64"/>
      <c r="AM323" s="65"/>
      <c r="AN323" s="66"/>
      <c r="AO323" s="67"/>
      <c r="AP323" s="68"/>
      <c r="AQ323" s="67"/>
    </row>
    <row r="324" ht="15.75" customHeight="1">
      <c r="A324" s="61"/>
      <c r="B324" s="60"/>
      <c r="C324" s="60"/>
      <c r="D324" s="60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9"/>
      <c r="AJ324" s="62"/>
      <c r="AK324" s="63"/>
      <c r="AL324" s="64"/>
      <c r="AM324" s="65"/>
      <c r="AN324" s="66"/>
      <c r="AO324" s="67"/>
      <c r="AP324" s="68"/>
      <c r="AQ324" s="67"/>
    </row>
    <row r="325" ht="15.75" customHeight="1">
      <c r="A325" s="61"/>
      <c r="B325" s="60"/>
      <c r="C325" s="60"/>
      <c r="D325" s="60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9"/>
      <c r="AJ325" s="62"/>
      <c r="AK325" s="63"/>
      <c r="AL325" s="64"/>
      <c r="AM325" s="65"/>
      <c r="AN325" s="66"/>
      <c r="AO325" s="67"/>
      <c r="AP325" s="68"/>
      <c r="AQ325" s="67"/>
    </row>
    <row r="326" ht="15.75" customHeight="1">
      <c r="A326" s="61"/>
      <c r="B326" s="60"/>
      <c r="C326" s="60"/>
      <c r="D326" s="60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9"/>
      <c r="AJ326" s="62"/>
      <c r="AK326" s="63"/>
      <c r="AL326" s="64"/>
      <c r="AM326" s="65"/>
      <c r="AN326" s="66"/>
      <c r="AO326" s="67"/>
      <c r="AP326" s="68"/>
      <c r="AQ326" s="67"/>
    </row>
    <row r="327" ht="15.75" customHeight="1">
      <c r="A327" s="61"/>
      <c r="B327" s="60"/>
      <c r="C327" s="60"/>
      <c r="D327" s="60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9"/>
      <c r="AJ327" s="62"/>
      <c r="AK327" s="63"/>
      <c r="AL327" s="64"/>
      <c r="AM327" s="65"/>
      <c r="AN327" s="66"/>
      <c r="AO327" s="67"/>
      <c r="AP327" s="68"/>
      <c r="AQ327" s="67"/>
    </row>
    <row r="328" ht="15.75" customHeight="1">
      <c r="A328" s="61"/>
      <c r="B328" s="60"/>
      <c r="C328" s="60"/>
      <c r="D328" s="60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9"/>
      <c r="AJ328" s="62"/>
      <c r="AK328" s="63"/>
      <c r="AL328" s="64"/>
      <c r="AM328" s="65"/>
      <c r="AN328" s="66"/>
      <c r="AO328" s="67"/>
      <c r="AP328" s="68"/>
      <c r="AQ328" s="67"/>
    </row>
    <row r="329" ht="15.75" customHeight="1">
      <c r="A329" s="61"/>
      <c r="B329" s="60"/>
      <c r="C329" s="60"/>
      <c r="D329" s="60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9"/>
      <c r="AJ329" s="62"/>
      <c r="AK329" s="63"/>
      <c r="AL329" s="64"/>
      <c r="AM329" s="65"/>
      <c r="AN329" s="66"/>
      <c r="AO329" s="67"/>
      <c r="AP329" s="68"/>
      <c r="AQ329" s="67"/>
    </row>
    <row r="330" ht="15.75" customHeight="1">
      <c r="A330" s="61"/>
      <c r="B330" s="60"/>
      <c r="C330" s="60"/>
      <c r="D330" s="60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9"/>
      <c r="AJ330" s="62"/>
      <c r="AK330" s="63"/>
      <c r="AL330" s="64"/>
      <c r="AM330" s="65"/>
      <c r="AN330" s="66"/>
      <c r="AO330" s="67"/>
      <c r="AP330" s="68"/>
      <c r="AQ330" s="67"/>
    </row>
    <row r="331" ht="15.75" customHeight="1">
      <c r="A331" s="61"/>
      <c r="B331" s="60"/>
      <c r="C331" s="60"/>
      <c r="D331" s="60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9"/>
      <c r="AJ331" s="62"/>
      <c r="AK331" s="63"/>
      <c r="AL331" s="64"/>
      <c r="AM331" s="65"/>
      <c r="AN331" s="66"/>
      <c r="AO331" s="67"/>
      <c r="AP331" s="68"/>
      <c r="AQ331" s="67"/>
    </row>
    <row r="332" ht="15.75" customHeight="1">
      <c r="A332" s="61"/>
      <c r="B332" s="60"/>
      <c r="C332" s="60"/>
      <c r="D332" s="60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9"/>
      <c r="AJ332" s="62"/>
      <c r="AK332" s="63"/>
      <c r="AL332" s="64"/>
      <c r="AM332" s="65"/>
      <c r="AN332" s="66"/>
      <c r="AO332" s="67"/>
      <c r="AP332" s="68"/>
      <c r="AQ332" s="67"/>
    </row>
    <row r="333" ht="15.75" customHeight="1">
      <c r="A333" s="61"/>
      <c r="B333" s="60"/>
      <c r="C333" s="60"/>
      <c r="D333" s="60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9"/>
      <c r="AJ333" s="62"/>
      <c r="AK333" s="63"/>
      <c r="AL333" s="64"/>
      <c r="AM333" s="65"/>
      <c r="AN333" s="66"/>
      <c r="AO333" s="67"/>
      <c r="AP333" s="68"/>
      <c r="AQ333" s="67"/>
    </row>
    <row r="334" ht="15.75" customHeight="1">
      <c r="A334" s="61"/>
      <c r="B334" s="60"/>
      <c r="C334" s="60"/>
      <c r="D334" s="60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9"/>
      <c r="AJ334" s="62"/>
      <c r="AK334" s="63"/>
      <c r="AL334" s="64"/>
      <c r="AM334" s="65"/>
      <c r="AN334" s="66"/>
      <c r="AO334" s="67"/>
      <c r="AP334" s="68"/>
      <c r="AQ334" s="67"/>
    </row>
    <row r="335" ht="15.75" customHeight="1">
      <c r="A335" s="61"/>
      <c r="B335" s="60"/>
      <c r="C335" s="60"/>
      <c r="D335" s="60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9"/>
      <c r="AJ335" s="62"/>
      <c r="AK335" s="63"/>
      <c r="AL335" s="64"/>
      <c r="AM335" s="65"/>
      <c r="AN335" s="66"/>
      <c r="AO335" s="67"/>
      <c r="AP335" s="68"/>
      <c r="AQ335" s="67"/>
    </row>
    <row r="336" ht="15.75" customHeight="1">
      <c r="A336" s="61"/>
      <c r="B336" s="60"/>
      <c r="C336" s="60"/>
      <c r="D336" s="60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9"/>
      <c r="AJ336" s="62"/>
      <c r="AK336" s="63"/>
      <c r="AL336" s="64"/>
      <c r="AM336" s="65"/>
      <c r="AN336" s="66"/>
      <c r="AO336" s="67"/>
      <c r="AP336" s="68"/>
      <c r="AQ336" s="67"/>
    </row>
    <row r="337" ht="15.75" customHeight="1">
      <c r="A337" s="61"/>
      <c r="B337" s="60"/>
      <c r="C337" s="60"/>
      <c r="D337" s="60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9"/>
      <c r="AJ337" s="62"/>
      <c r="AK337" s="63"/>
      <c r="AL337" s="64"/>
      <c r="AM337" s="65"/>
      <c r="AN337" s="66"/>
      <c r="AO337" s="67"/>
      <c r="AP337" s="68"/>
      <c r="AQ337" s="67"/>
    </row>
    <row r="338" ht="15.75" customHeight="1">
      <c r="A338" s="61"/>
      <c r="B338" s="60"/>
      <c r="C338" s="60"/>
      <c r="D338" s="60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9"/>
      <c r="AJ338" s="62"/>
      <c r="AK338" s="63"/>
      <c r="AL338" s="64"/>
      <c r="AM338" s="65"/>
      <c r="AN338" s="66"/>
      <c r="AO338" s="67"/>
      <c r="AP338" s="68"/>
      <c r="AQ338" s="67"/>
    </row>
    <row r="339" ht="15.75" customHeight="1">
      <c r="A339" s="61"/>
      <c r="B339" s="60"/>
      <c r="C339" s="60"/>
      <c r="D339" s="60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9"/>
      <c r="AJ339" s="62"/>
      <c r="AK339" s="63"/>
      <c r="AL339" s="64"/>
      <c r="AM339" s="65"/>
      <c r="AN339" s="66"/>
      <c r="AO339" s="67"/>
      <c r="AP339" s="68"/>
      <c r="AQ339" s="67"/>
    </row>
    <row r="340" ht="15.75" customHeight="1">
      <c r="A340" s="61"/>
      <c r="B340" s="60"/>
      <c r="C340" s="60"/>
      <c r="D340" s="60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9"/>
      <c r="AJ340" s="62"/>
      <c r="AK340" s="63"/>
      <c r="AL340" s="64"/>
      <c r="AM340" s="65"/>
      <c r="AN340" s="66"/>
      <c r="AO340" s="67"/>
      <c r="AP340" s="68"/>
      <c r="AQ340" s="67"/>
    </row>
    <row r="341" ht="15.75" customHeight="1">
      <c r="A341" s="61"/>
      <c r="B341" s="60"/>
      <c r="C341" s="60"/>
      <c r="D341" s="60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9"/>
      <c r="AJ341" s="62"/>
      <c r="AK341" s="63"/>
      <c r="AL341" s="64"/>
      <c r="AM341" s="65"/>
      <c r="AN341" s="66"/>
      <c r="AO341" s="67"/>
      <c r="AP341" s="68"/>
      <c r="AQ341" s="67"/>
    </row>
    <row r="342" ht="15.75" customHeight="1">
      <c r="A342" s="61"/>
      <c r="B342" s="60"/>
      <c r="C342" s="60"/>
      <c r="D342" s="60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9"/>
      <c r="AJ342" s="62"/>
      <c r="AK342" s="63"/>
      <c r="AL342" s="64"/>
      <c r="AM342" s="65"/>
      <c r="AN342" s="66"/>
      <c r="AO342" s="67"/>
      <c r="AP342" s="68"/>
      <c r="AQ342" s="67"/>
    </row>
    <row r="343" ht="15.75" customHeight="1">
      <c r="A343" s="61"/>
      <c r="B343" s="60"/>
      <c r="C343" s="60"/>
      <c r="D343" s="60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9"/>
      <c r="AJ343" s="62"/>
      <c r="AK343" s="63"/>
      <c r="AL343" s="64"/>
      <c r="AM343" s="65"/>
      <c r="AN343" s="66"/>
      <c r="AO343" s="67"/>
      <c r="AP343" s="68"/>
      <c r="AQ343" s="67"/>
    </row>
    <row r="344" ht="15.75" customHeight="1">
      <c r="A344" s="61"/>
      <c r="B344" s="60"/>
      <c r="C344" s="60"/>
      <c r="D344" s="60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9"/>
      <c r="AJ344" s="62"/>
      <c r="AK344" s="63"/>
      <c r="AL344" s="64"/>
      <c r="AM344" s="65"/>
      <c r="AN344" s="66"/>
      <c r="AO344" s="67"/>
      <c r="AP344" s="68"/>
      <c r="AQ344" s="67"/>
    </row>
    <row r="345" ht="15.75" customHeight="1">
      <c r="A345" s="61"/>
      <c r="B345" s="60"/>
      <c r="C345" s="60"/>
      <c r="D345" s="60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9"/>
      <c r="AJ345" s="62"/>
      <c r="AK345" s="63"/>
      <c r="AL345" s="64"/>
      <c r="AM345" s="65"/>
      <c r="AN345" s="66"/>
      <c r="AO345" s="67"/>
      <c r="AP345" s="68"/>
      <c r="AQ345" s="67"/>
    </row>
    <row r="346" ht="15.75" customHeight="1">
      <c r="A346" s="61"/>
      <c r="B346" s="60"/>
      <c r="C346" s="60"/>
      <c r="D346" s="60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9"/>
      <c r="AJ346" s="62"/>
      <c r="AK346" s="63"/>
      <c r="AL346" s="64"/>
      <c r="AM346" s="65"/>
      <c r="AN346" s="66"/>
      <c r="AO346" s="67"/>
      <c r="AP346" s="68"/>
      <c r="AQ346" s="67"/>
    </row>
    <row r="347" ht="15.75" customHeight="1">
      <c r="A347" s="61"/>
      <c r="B347" s="60"/>
      <c r="C347" s="60"/>
      <c r="D347" s="60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9"/>
      <c r="AJ347" s="62"/>
      <c r="AK347" s="63"/>
      <c r="AL347" s="64"/>
      <c r="AM347" s="65"/>
      <c r="AN347" s="66"/>
      <c r="AO347" s="67"/>
      <c r="AP347" s="68"/>
      <c r="AQ347" s="67"/>
    </row>
    <row r="348" ht="15.75" customHeight="1">
      <c r="A348" s="61"/>
      <c r="B348" s="60"/>
      <c r="C348" s="60"/>
      <c r="D348" s="60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9"/>
      <c r="AJ348" s="62"/>
      <c r="AK348" s="63"/>
      <c r="AL348" s="64"/>
      <c r="AM348" s="65"/>
      <c r="AN348" s="66"/>
      <c r="AO348" s="67"/>
      <c r="AP348" s="68"/>
      <c r="AQ348" s="67"/>
    </row>
    <row r="349" ht="15.75" customHeight="1">
      <c r="A349" s="61"/>
      <c r="B349" s="60"/>
      <c r="C349" s="60"/>
      <c r="D349" s="60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9"/>
      <c r="AJ349" s="62"/>
      <c r="AK349" s="63"/>
      <c r="AL349" s="64"/>
      <c r="AM349" s="65"/>
      <c r="AN349" s="66"/>
      <c r="AO349" s="67"/>
      <c r="AP349" s="68"/>
      <c r="AQ349" s="67"/>
    </row>
    <row r="350" ht="15.75" customHeight="1">
      <c r="A350" s="61"/>
      <c r="B350" s="60"/>
      <c r="C350" s="60"/>
      <c r="D350" s="60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9"/>
      <c r="AJ350" s="62"/>
      <c r="AK350" s="63"/>
      <c r="AL350" s="64"/>
      <c r="AM350" s="65"/>
      <c r="AN350" s="66"/>
      <c r="AO350" s="67"/>
      <c r="AP350" s="68"/>
      <c r="AQ350" s="67"/>
    </row>
    <row r="351" ht="15.75" customHeight="1">
      <c r="A351" s="61"/>
      <c r="B351" s="60"/>
      <c r="C351" s="60"/>
      <c r="D351" s="60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9"/>
      <c r="AJ351" s="62"/>
      <c r="AK351" s="63"/>
      <c r="AL351" s="64"/>
      <c r="AM351" s="65"/>
      <c r="AN351" s="66"/>
      <c r="AO351" s="67"/>
      <c r="AP351" s="68"/>
      <c r="AQ351" s="67"/>
    </row>
    <row r="352" ht="15.75" customHeight="1">
      <c r="A352" s="61"/>
      <c r="B352" s="60"/>
      <c r="C352" s="60"/>
      <c r="D352" s="60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9"/>
      <c r="AJ352" s="62"/>
      <c r="AK352" s="63"/>
      <c r="AL352" s="64"/>
      <c r="AM352" s="65"/>
      <c r="AN352" s="66"/>
      <c r="AO352" s="67"/>
      <c r="AP352" s="68"/>
      <c r="AQ352" s="67"/>
    </row>
    <row r="353" ht="15.75" customHeight="1">
      <c r="A353" s="61"/>
      <c r="B353" s="60"/>
      <c r="C353" s="60"/>
      <c r="D353" s="60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9"/>
      <c r="AJ353" s="62"/>
      <c r="AK353" s="63"/>
      <c r="AL353" s="64"/>
      <c r="AM353" s="65"/>
      <c r="AN353" s="66"/>
      <c r="AO353" s="67"/>
      <c r="AP353" s="68"/>
      <c r="AQ353" s="67"/>
    </row>
    <row r="354" ht="15.75" customHeight="1">
      <c r="A354" s="61"/>
      <c r="B354" s="60"/>
      <c r="C354" s="60"/>
      <c r="D354" s="60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9"/>
      <c r="AJ354" s="62"/>
      <c r="AK354" s="63"/>
      <c r="AL354" s="64"/>
      <c r="AM354" s="65"/>
      <c r="AN354" s="66"/>
      <c r="AO354" s="67"/>
      <c r="AP354" s="68"/>
      <c r="AQ354" s="67"/>
    </row>
    <row r="355" ht="15.75" customHeight="1">
      <c r="A355" s="61"/>
      <c r="B355" s="60"/>
      <c r="C355" s="60"/>
      <c r="D355" s="60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9"/>
      <c r="AJ355" s="62"/>
      <c r="AK355" s="63"/>
      <c r="AL355" s="64"/>
      <c r="AM355" s="65"/>
      <c r="AN355" s="66"/>
      <c r="AO355" s="67"/>
      <c r="AP355" s="68"/>
      <c r="AQ355" s="67"/>
    </row>
    <row r="356" ht="15.75" customHeight="1">
      <c r="A356" s="61"/>
      <c r="B356" s="60"/>
      <c r="C356" s="60"/>
      <c r="D356" s="60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9"/>
      <c r="AJ356" s="62"/>
      <c r="AK356" s="63"/>
      <c r="AL356" s="64"/>
      <c r="AM356" s="65"/>
      <c r="AN356" s="66"/>
      <c r="AO356" s="67"/>
      <c r="AP356" s="68"/>
      <c r="AQ356" s="67"/>
    </row>
    <row r="357" ht="15.75" customHeight="1">
      <c r="A357" s="61"/>
      <c r="B357" s="60"/>
      <c r="C357" s="60"/>
      <c r="D357" s="60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9"/>
      <c r="AJ357" s="62"/>
      <c r="AK357" s="63"/>
      <c r="AL357" s="64"/>
      <c r="AM357" s="65"/>
      <c r="AN357" s="66"/>
      <c r="AO357" s="67"/>
      <c r="AP357" s="68"/>
      <c r="AQ357" s="67"/>
    </row>
    <row r="358" ht="15.75" customHeight="1">
      <c r="A358" s="61"/>
      <c r="B358" s="60"/>
      <c r="C358" s="60"/>
      <c r="D358" s="60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9"/>
      <c r="AJ358" s="62"/>
      <c r="AK358" s="63"/>
      <c r="AL358" s="64"/>
      <c r="AM358" s="65"/>
      <c r="AN358" s="66"/>
      <c r="AO358" s="67"/>
      <c r="AP358" s="68"/>
      <c r="AQ358" s="67"/>
    </row>
    <row r="359" ht="15.75" customHeight="1">
      <c r="A359" s="61"/>
      <c r="B359" s="60"/>
      <c r="C359" s="60"/>
      <c r="D359" s="60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9"/>
      <c r="AJ359" s="62"/>
      <c r="AK359" s="63"/>
      <c r="AL359" s="64"/>
      <c r="AM359" s="65"/>
      <c r="AN359" s="66"/>
      <c r="AO359" s="67"/>
      <c r="AP359" s="68"/>
      <c r="AQ359" s="67"/>
    </row>
    <row r="360" ht="15.75" customHeight="1">
      <c r="A360" s="61"/>
      <c r="B360" s="60"/>
      <c r="C360" s="60"/>
      <c r="D360" s="60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9"/>
      <c r="AJ360" s="62"/>
      <c r="AK360" s="63"/>
      <c r="AL360" s="64"/>
      <c r="AM360" s="65"/>
      <c r="AN360" s="66"/>
      <c r="AO360" s="67"/>
      <c r="AP360" s="68"/>
      <c r="AQ360" s="67"/>
    </row>
    <row r="361" ht="15.75" customHeight="1">
      <c r="A361" s="61"/>
      <c r="B361" s="60"/>
      <c r="C361" s="60"/>
      <c r="D361" s="60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9"/>
      <c r="AJ361" s="62"/>
      <c r="AK361" s="63"/>
      <c r="AL361" s="64"/>
      <c r="AM361" s="65"/>
      <c r="AN361" s="66"/>
      <c r="AO361" s="67"/>
      <c r="AP361" s="68"/>
      <c r="AQ361" s="67"/>
    </row>
    <row r="362" ht="15.75" customHeight="1">
      <c r="A362" s="61"/>
      <c r="B362" s="60"/>
      <c r="C362" s="60"/>
      <c r="D362" s="60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9"/>
      <c r="AJ362" s="62"/>
      <c r="AK362" s="63"/>
      <c r="AL362" s="64"/>
      <c r="AM362" s="65"/>
      <c r="AN362" s="66"/>
      <c r="AO362" s="67"/>
      <c r="AP362" s="68"/>
      <c r="AQ362" s="67"/>
    </row>
    <row r="363" ht="15.75" customHeight="1">
      <c r="A363" s="61"/>
      <c r="B363" s="60"/>
      <c r="C363" s="60"/>
      <c r="D363" s="60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9"/>
      <c r="AJ363" s="62"/>
      <c r="AK363" s="63"/>
      <c r="AL363" s="64"/>
      <c r="AM363" s="65"/>
      <c r="AN363" s="66"/>
      <c r="AO363" s="67"/>
      <c r="AP363" s="68"/>
      <c r="AQ363" s="67"/>
    </row>
    <row r="364" ht="15.75" customHeight="1">
      <c r="A364" s="61"/>
      <c r="B364" s="60"/>
      <c r="C364" s="60"/>
      <c r="D364" s="60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9"/>
      <c r="AJ364" s="62"/>
      <c r="AK364" s="63"/>
      <c r="AL364" s="64"/>
      <c r="AM364" s="65"/>
      <c r="AN364" s="66"/>
      <c r="AO364" s="67"/>
      <c r="AP364" s="68"/>
      <c r="AQ364" s="67"/>
    </row>
    <row r="365" ht="15.75" customHeight="1">
      <c r="A365" s="61"/>
      <c r="B365" s="60"/>
      <c r="C365" s="60"/>
      <c r="D365" s="60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9"/>
      <c r="AJ365" s="62"/>
      <c r="AK365" s="63"/>
      <c r="AL365" s="64"/>
      <c r="AM365" s="65"/>
      <c r="AN365" s="66"/>
      <c r="AO365" s="67"/>
      <c r="AP365" s="68"/>
      <c r="AQ365" s="67"/>
    </row>
    <row r="366" ht="15.75" customHeight="1">
      <c r="A366" s="61"/>
      <c r="B366" s="60"/>
      <c r="C366" s="60"/>
      <c r="D366" s="60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9"/>
      <c r="AJ366" s="62"/>
      <c r="AK366" s="63"/>
      <c r="AL366" s="64"/>
      <c r="AM366" s="65"/>
      <c r="AN366" s="66"/>
      <c r="AO366" s="67"/>
      <c r="AP366" s="68"/>
      <c r="AQ366" s="67"/>
    </row>
    <row r="367" ht="15.75" customHeight="1">
      <c r="A367" s="61"/>
      <c r="B367" s="60"/>
      <c r="C367" s="60"/>
      <c r="D367" s="60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9"/>
      <c r="AJ367" s="62"/>
      <c r="AK367" s="63"/>
      <c r="AL367" s="64"/>
      <c r="AM367" s="65"/>
      <c r="AN367" s="66"/>
      <c r="AO367" s="67"/>
      <c r="AP367" s="68"/>
      <c r="AQ367" s="67"/>
    </row>
    <row r="368" ht="15.75" customHeight="1">
      <c r="A368" s="61"/>
      <c r="B368" s="60"/>
      <c r="C368" s="60"/>
      <c r="D368" s="60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9"/>
      <c r="AJ368" s="62"/>
      <c r="AK368" s="63"/>
      <c r="AL368" s="64"/>
      <c r="AM368" s="65"/>
      <c r="AN368" s="66"/>
      <c r="AO368" s="67"/>
      <c r="AP368" s="68"/>
      <c r="AQ368" s="67"/>
    </row>
    <row r="369" ht="15.75" customHeight="1">
      <c r="A369" s="61"/>
      <c r="B369" s="60"/>
      <c r="C369" s="60"/>
      <c r="D369" s="60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9"/>
      <c r="AJ369" s="62"/>
      <c r="AK369" s="63"/>
      <c r="AL369" s="64"/>
      <c r="AM369" s="65"/>
      <c r="AN369" s="66"/>
      <c r="AO369" s="67"/>
      <c r="AP369" s="68"/>
      <c r="AQ369" s="67"/>
    </row>
    <row r="370" ht="15.75" customHeight="1">
      <c r="A370" s="61"/>
      <c r="B370" s="60"/>
      <c r="C370" s="60"/>
      <c r="D370" s="60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9"/>
      <c r="AJ370" s="62"/>
      <c r="AK370" s="63"/>
      <c r="AL370" s="64"/>
      <c r="AM370" s="65"/>
      <c r="AN370" s="66"/>
      <c r="AO370" s="67"/>
      <c r="AP370" s="68"/>
      <c r="AQ370" s="67"/>
    </row>
    <row r="371" ht="15.75" customHeight="1">
      <c r="A371" s="61"/>
      <c r="B371" s="60"/>
      <c r="C371" s="60"/>
      <c r="D371" s="60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9"/>
      <c r="AJ371" s="62"/>
      <c r="AK371" s="63"/>
      <c r="AL371" s="64"/>
      <c r="AM371" s="65"/>
      <c r="AN371" s="66"/>
      <c r="AO371" s="67"/>
      <c r="AP371" s="68"/>
      <c r="AQ371" s="67"/>
    </row>
    <row r="372" ht="15.75" customHeight="1">
      <c r="A372" s="61"/>
      <c r="B372" s="60"/>
      <c r="C372" s="60"/>
      <c r="D372" s="60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9"/>
      <c r="AJ372" s="62"/>
      <c r="AK372" s="63"/>
      <c r="AL372" s="64"/>
      <c r="AM372" s="65"/>
      <c r="AN372" s="66"/>
      <c r="AO372" s="67"/>
      <c r="AP372" s="68"/>
      <c r="AQ372" s="67"/>
    </row>
    <row r="373" ht="15.75" customHeight="1">
      <c r="A373" s="61"/>
      <c r="B373" s="60"/>
      <c r="C373" s="60"/>
      <c r="D373" s="60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9"/>
      <c r="AJ373" s="62"/>
      <c r="AK373" s="63"/>
      <c r="AL373" s="64"/>
      <c r="AM373" s="65"/>
      <c r="AN373" s="66"/>
      <c r="AO373" s="67"/>
      <c r="AP373" s="68"/>
      <c r="AQ373" s="67"/>
    </row>
    <row r="374" ht="15.75" customHeight="1">
      <c r="A374" s="61"/>
      <c r="B374" s="60"/>
      <c r="C374" s="60"/>
      <c r="D374" s="60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9"/>
      <c r="AJ374" s="62"/>
      <c r="AK374" s="63"/>
      <c r="AL374" s="64"/>
      <c r="AM374" s="65"/>
      <c r="AN374" s="66"/>
      <c r="AO374" s="67"/>
      <c r="AP374" s="68"/>
      <c r="AQ374" s="67"/>
    </row>
    <row r="375" ht="15.75" customHeight="1">
      <c r="A375" s="61"/>
      <c r="B375" s="60"/>
      <c r="C375" s="60"/>
      <c r="D375" s="60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9"/>
      <c r="AJ375" s="62"/>
      <c r="AK375" s="63"/>
      <c r="AL375" s="64"/>
      <c r="AM375" s="65"/>
      <c r="AN375" s="66"/>
      <c r="AO375" s="67"/>
      <c r="AP375" s="68"/>
      <c r="AQ375" s="67"/>
    </row>
    <row r="376" ht="15.75" customHeight="1">
      <c r="A376" s="61"/>
      <c r="B376" s="60"/>
      <c r="C376" s="60"/>
      <c r="D376" s="60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9"/>
      <c r="AJ376" s="62"/>
      <c r="AK376" s="63"/>
      <c r="AL376" s="64"/>
      <c r="AM376" s="65"/>
      <c r="AN376" s="66"/>
      <c r="AO376" s="67"/>
      <c r="AP376" s="68"/>
      <c r="AQ376" s="67"/>
    </row>
    <row r="377" ht="15.75" customHeight="1">
      <c r="A377" s="61"/>
      <c r="B377" s="60"/>
      <c r="C377" s="60"/>
      <c r="D377" s="60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9"/>
      <c r="AJ377" s="62"/>
      <c r="AK377" s="63"/>
      <c r="AL377" s="64"/>
      <c r="AM377" s="65"/>
      <c r="AN377" s="66"/>
      <c r="AO377" s="67"/>
      <c r="AP377" s="68"/>
      <c r="AQ377" s="67"/>
    </row>
    <row r="378" ht="15.75" customHeight="1">
      <c r="A378" s="61"/>
      <c r="B378" s="60"/>
      <c r="C378" s="60"/>
      <c r="D378" s="60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9"/>
      <c r="AJ378" s="62"/>
      <c r="AK378" s="63"/>
      <c r="AL378" s="64"/>
      <c r="AM378" s="65"/>
      <c r="AN378" s="66"/>
      <c r="AO378" s="67"/>
      <c r="AP378" s="68"/>
      <c r="AQ378" s="67"/>
    </row>
    <row r="379" ht="15.75" customHeight="1">
      <c r="A379" s="61"/>
      <c r="B379" s="60"/>
      <c r="C379" s="60"/>
      <c r="D379" s="60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9"/>
      <c r="AJ379" s="62"/>
      <c r="AK379" s="63"/>
      <c r="AL379" s="64"/>
      <c r="AM379" s="65"/>
      <c r="AN379" s="66"/>
      <c r="AO379" s="67"/>
      <c r="AP379" s="68"/>
      <c r="AQ379" s="67"/>
    </row>
    <row r="380" ht="15.75" customHeight="1">
      <c r="A380" s="61"/>
      <c r="B380" s="60"/>
      <c r="C380" s="60"/>
      <c r="D380" s="60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9"/>
      <c r="AJ380" s="62"/>
      <c r="AK380" s="63"/>
      <c r="AL380" s="64"/>
      <c r="AM380" s="65"/>
      <c r="AN380" s="66"/>
      <c r="AO380" s="67"/>
      <c r="AP380" s="68"/>
      <c r="AQ380" s="67"/>
    </row>
    <row r="381" ht="15.75" customHeight="1">
      <c r="A381" s="61"/>
      <c r="B381" s="60"/>
      <c r="C381" s="60"/>
      <c r="D381" s="60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9"/>
      <c r="AJ381" s="62"/>
      <c r="AK381" s="63"/>
      <c r="AL381" s="64"/>
      <c r="AM381" s="65"/>
      <c r="AN381" s="66"/>
      <c r="AO381" s="67"/>
      <c r="AP381" s="68"/>
      <c r="AQ381" s="67"/>
    </row>
    <row r="382" ht="15.75" customHeight="1">
      <c r="A382" s="61"/>
      <c r="B382" s="60"/>
      <c r="C382" s="60"/>
      <c r="D382" s="60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9"/>
      <c r="AJ382" s="62"/>
      <c r="AK382" s="63"/>
      <c r="AL382" s="64"/>
      <c r="AM382" s="65"/>
      <c r="AN382" s="66"/>
      <c r="AO382" s="67"/>
      <c r="AP382" s="68"/>
      <c r="AQ382" s="67"/>
    </row>
    <row r="383" ht="15.75" customHeight="1">
      <c r="A383" s="61"/>
      <c r="B383" s="60"/>
      <c r="C383" s="60"/>
      <c r="D383" s="60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9"/>
      <c r="AJ383" s="62"/>
      <c r="AK383" s="63"/>
      <c r="AL383" s="64"/>
      <c r="AM383" s="65"/>
      <c r="AN383" s="66"/>
      <c r="AO383" s="67"/>
      <c r="AP383" s="68"/>
      <c r="AQ383" s="67"/>
    </row>
    <row r="384" ht="15.75" customHeight="1">
      <c r="A384" s="61"/>
      <c r="B384" s="60"/>
      <c r="C384" s="60"/>
      <c r="D384" s="60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9"/>
      <c r="AJ384" s="62"/>
      <c r="AK384" s="63"/>
      <c r="AL384" s="64"/>
      <c r="AM384" s="65"/>
      <c r="AN384" s="66"/>
      <c r="AO384" s="67"/>
      <c r="AP384" s="68"/>
      <c r="AQ384" s="67"/>
    </row>
    <row r="385" ht="15.75" customHeight="1">
      <c r="A385" s="61"/>
      <c r="B385" s="60"/>
      <c r="C385" s="60"/>
      <c r="D385" s="60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9"/>
      <c r="AJ385" s="62"/>
      <c r="AK385" s="63"/>
      <c r="AL385" s="64"/>
      <c r="AM385" s="65"/>
      <c r="AN385" s="66"/>
      <c r="AO385" s="67"/>
      <c r="AP385" s="68"/>
      <c r="AQ385" s="67"/>
    </row>
    <row r="386" ht="15.75" customHeight="1">
      <c r="A386" s="61"/>
      <c r="B386" s="60"/>
      <c r="C386" s="60"/>
      <c r="D386" s="60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9"/>
      <c r="AJ386" s="62"/>
      <c r="AK386" s="63"/>
      <c r="AL386" s="64"/>
      <c r="AM386" s="65"/>
      <c r="AN386" s="66"/>
      <c r="AO386" s="67"/>
      <c r="AP386" s="68"/>
      <c r="AQ386" s="67"/>
    </row>
    <row r="387" ht="15.75" customHeight="1">
      <c r="A387" s="61"/>
      <c r="B387" s="60"/>
      <c r="C387" s="60"/>
      <c r="D387" s="60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9"/>
      <c r="AJ387" s="62"/>
      <c r="AK387" s="63"/>
      <c r="AL387" s="64"/>
      <c r="AM387" s="65"/>
      <c r="AN387" s="66"/>
      <c r="AO387" s="67"/>
      <c r="AP387" s="68"/>
      <c r="AQ387" s="67"/>
    </row>
    <row r="388" ht="15.75" customHeight="1">
      <c r="A388" s="61"/>
      <c r="B388" s="60"/>
      <c r="C388" s="60"/>
      <c r="D388" s="60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9"/>
      <c r="AJ388" s="62"/>
      <c r="AK388" s="63"/>
      <c r="AL388" s="64"/>
      <c r="AM388" s="65"/>
      <c r="AN388" s="66"/>
      <c r="AO388" s="67"/>
      <c r="AP388" s="68"/>
      <c r="AQ388" s="67"/>
    </row>
    <row r="389" ht="15.75" customHeight="1">
      <c r="A389" s="61"/>
      <c r="B389" s="60"/>
      <c r="C389" s="60"/>
      <c r="D389" s="60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9"/>
      <c r="AJ389" s="62"/>
      <c r="AK389" s="63"/>
      <c r="AL389" s="64"/>
      <c r="AM389" s="65"/>
      <c r="AN389" s="66"/>
      <c r="AO389" s="67"/>
      <c r="AP389" s="68"/>
      <c r="AQ389" s="67"/>
    </row>
    <row r="390" ht="15.75" customHeight="1">
      <c r="A390" s="61"/>
      <c r="B390" s="60"/>
      <c r="C390" s="60"/>
      <c r="D390" s="60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9"/>
      <c r="AJ390" s="62"/>
      <c r="AK390" s="63"/>
      <c r="AL390" s="64"/>
      <c r="AM390" s="65"/>
      <c r="AN390" s="66"/>
      <c r="AO390" s="67"/>
      <c r="AP390" s="68"/>
      <c r="AQ390" s="67"/>
    </row>
    <row r="391" ht="15.75" customHeight="1">
      <c r="A391" s="61"/>
      <c r="B391" s="60"/>
      <c r="C391" s="60"/>
      <c r="D391" s="60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9"/>
      <c r="AJ391" s="62"/>
      <c r="AK391" s="63"/>
      <c r="AL391" s="64"/>
      <c r="AM391" s="65"/>
      <c r="AN391" s="66"/>
      <c r="AO391" s="67"/>
      <c r="AP391" s="68"/>
      <c r="AQ391" s="67"/>
    </row>
    <row r="392" ht="15.75" customHeight="1">
      <c r="A392" s="61"/>
      <c r="B392" s="60"/>
      <c r="C392" s="60"/>
      <c r="D392" s="60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9"/>
      <c r="AJ392" s="62"/>
      <c r="AK392" s="63"/>
      <c r="AL392" s="64"/>
      <c r="AM392" s="65"/>
      <c r="AN392" s="66"/>
      <c r="AO392" s="67"/>
      <c r="AP392" s="68"/>
      <c r="AQ392" s="67"/>
    </row>
    <row r="393" ht="15.75" customHeight="1">
      <c r="A393" s="61"/>
      <c r="B393" s="60"/>
      <c r="C393" s="60"/>
      <c r="D393" s="60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9"/>
      <c r="AJ393" s="62"/>
      <c r="AK393" s="63"/>
      <c r="AL393" s="64"/>
      <c r="AM393" s="65"/>
      <c r="AN393" s="66"/>
      <c r="AO393" s="67"/>
      <c r="AP393" s="68"/>
      <c r="AQ393" s="67"/>
    </row>
    <row r="394" ht="15.75" customHeight="1">
      <c r="A394" s="61"/>
      <c r="B394" s="60"/>
      <c r="C394" s="60"/>
      <c r="D394" s="60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9"/>
      <c r="AJ394" s="62"/>
      <c r="AK394" s="63"/>
      <c r="AL394" s="64"/>
      <c r="AM394" s="65"/>
      <c r="AN394" s="66"/>
      <c r="AO394" s="67"/>
      <c r="AP394" s="68"/>
      <c r="AQ394" s="67"/>
    </row>
    <row r="395" ht="15.75" customHeight="1">
      <c r="A395" s="61"/>
      <c r="B395" s="60"/>
      <c r="C395" s="60"/>
      <c r="D395" s="60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9"/>
      <c r="AJ395" s="62"/>
      <c r="AK395" s="63"/>
      <c r="AL395" s="64"/>
      <c r="AM395" s="65"/>
      <c r="AN395" s="66"/>
      <c r="AO395" s="67"/>
      <c r="AP395" s="68"/>
      <c r="AQ395" s="67"/>
    </row>
    <row r="396" ht="15.75" customHeight="1">
      <c r="A396" s="61"/>
      <c r="B396" s="60"/>
      <c r="C396" s="60"/>
      <c r="D396" s="60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9"/>
      <c r="AJ396" s="62"/>
      <c r="AK396" s="63"/>
      <c r="AL396" s="64"/>
      <c r="AM396" s="65"/>
      <c r="AN396" s="66"/>
      <c r="AO396" s="67"/>
      <c r="AP396" s="68"/>
      <c r="AQ396" s="67"/>
    </row>
    <row r="397" ht="15.75" customHeight="1">
      <c r="A397" s="61"/>
      <c r="B397" s="60"/>
      <c r="C397" s="60"/>
      <c r="D397" s="60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9"/>
      <c r="AJ397" s="62"/>
      <c r="AK397" s="63"/>
      <c r="AL397" s="64"/>
      <c r="AM397" s="65"/>
      <c r="AN397" s="66"/>
      <c r="AO397" s="67"/>
      <c r="AP397" s="68"/>
      <c r="AQ397" s="67"/>
    </row>
    <row r="398" ht="15.75" customHeight="1">
      <c r="A398" s="61"/>
      <c r="B398" s="60"/>
      <c r="C398" s="60"/>
      <c r="D398" s="60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9"/>
      <c r="AJ398" s="62"/>
      <c r="AK398" s="63"/>
      <c r="AL398" s="64"/>
      <c r="AM398" s="65"/>
      <c r="AN398" s="66"/>
      <c r="AO398" s="67"/>
      <c r="AP398" s="68"/>
      <c r="AQ398" s="67"/>
    </row>
    <row r="399" ht="15.75" customHeight="1">
      <c r="A399" s="61"/>
      <c r="B399" s="60"/>
      <c r="C399" s="60"/>
      <c r="D399" s="60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9"/>
      <c r="AJ399" s="62"/>
      <c r="AK399" s="63"/>
      <c r="AL399" s="64"/>
      <c r="AM399" s="65"/>
      <c r="AN399" s="66"/>
      <c r="AO399" s="67"/>
      <c r="AP399" s="68"/>
      <c r="AQ399" s="67"/>
    </row>
    <row r="400" ht="15.75" customHeight="1">
      <c r="A400" s="61"/>
      <c r="B400" s="60"/>
      <c r="C400" s="60"/>
      <c r="D400" s="60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9"/>
      <c r="AJ400" s="62"/>
      <c r="AK400" s="63"/>
      <c r="AL400" s="64"/>
      <c r="AM400" s="65"/>
      <c r="AN400" s="66"/>
      <c r="AO400" s="67"/>
      <c r="AP400" s="68"/>
      <c r="AQ400" s="67"/>
    </row>
    <row r="401" ht="15.75" customHeight="1">
      <c r="A401" s="61"/>
      <c r="B401" s="60"/>
      <c r="C401" s="60"/>
      <c r="D401" s="60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9"/>
      <c r="AJ401" s="62"/>
      <c r="AK401" s="63"/>
      <c r="AL401" s="64"/>
      <c r="AM401" s="65"/>
      <c r="AN401" s="66"/>
      <c r="AO401" s="67"/>
      <c r="AP401" s="68"/>
      <c r="AQ401" s="67"/>
    </row>
    <row r="402" ht="15.75" customHeight="1">
      <c r="A402" s="61"/>
      <c r="B402" s="60"/>
      <c r="C402" s="60"/>
      <c r="D402" s="60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9"/>
      <c r="AJ402" s="62"/>
      <c r="AK402" s="63"/>
      <c r="AL402" s="64"/>
      <c r="AM402" s="65"/>
      <c r="AN402" s="66"/>
      <c r="AO402" s="67"/>
      <c r="AP402" s="68"/>
      <c r="AQ402" s="67"/>
    </row>
    <row r="403" ht="15.75" customHeight="1">
      <c r="A403" s="61"/>
      <c r="B403" s="60"/>
      <c r="C403" s="60"/>
      <c r="D403" s="60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9"/>
      <c r="AJ403" s="62"/>
      <c r="AK403" s="63"/>
      <c r="AL403" s="64"/>
      <c r="AM403" s="65"/>
      <c r="AN403" s="66"/>
      <c r="AO403" s="67"/>
      <c r="AP403" s="68"/>
      <c r="AQ403" s="67"/>
    </row>
    <row r="404" ht="15.75" customHeight="1">
      <c r="A404" s="61"/>
      <c r="B404" s="60"/>
      <c r="C404" s="60"/>
      <c r="D404" s="60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9"/>
      <c r="AJ404" s="62"/>
      <c r="AK404" s="63"/>
      <c r="AL404" s="64"/>
      <c r="AM404" s="65"/>
      <c r="AN404" s="66"/>
      <c r="AO404" s="67"/>
      <c r="AP404" s="68"/>
      <c r="AQ404" s="67"/>
    </row>
    <row r="405" ht="15.75" customHeight="1">
      <c r="A405" s="61"/>
      <c r="B405" s="60"/>
      <c r="C405" s="60"/>
      <c r="D405" s="60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9"/>
      <c r="AJ405" s="62"/>
      <c r="AK405" s="63"/>
      <c r="AL405" s="64"/>
      <c r="AM405" s="65"/>
      <c r="AN405" s="66"/>
      <c r="AO405" s="67"/>
      <c r="AP405" s="68"/>
      <c r="AQ405" s="67"/>
    </row>
    <row r="406" ht="15.75" customHeight="1">
      <c r="A406" s="61"/>
      <c r="B406" s="60"/>
      <c r="C406" s="60"/>
      <c r="D406" s="60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9"/>
      <c r="AJ406" s="62"/>
      <c r="AK406" s="63"/>
      <c r="AL406" s="64"/>
      <c r="AM406" s="65"/>
      <c r="AN406" s="66"/>
      <c r="AO406" s="67"/>
      <c r="AP406" s="68"/>
      <c r="AQ406" s="67"/>
    </row>
    <row r="407" ht="15.75" customHeight="1">
      <c r="A407" s="61"/>
      <c r="B407" s="60"/>
      <c r="C407" s="60"/>
      <c r="D407" s="60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9"/>
      <c r="AJ407" s="62"/>
      <c r="AK407" s="63"/>
      <c r="AL407" s="64"/>
      <c r="AM407" s="65"/>
      <c r="AN407" s="66"/>
      <c r="AO407" s="67"/>
      <c r="AP407" s="68"/>
      <c r="AQ407" s="67"/>
    </row>
    <row r="408" ht="15.75" customHeight="1">
      <c r="A408" s="61"/>
      <c r="B408" s="60"/>
      <c r="C408" s="60"/>
      <c r="D408" s="60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9"/>
      <c r="AJ408" s="62"/>
      <c r="AK408" s="63"/>
      <c r="AL408" s="64"/>
      <c r="AM408" s="65"/>
      <c r="AN408" s="66"/>
      <c r="AO408" s="67"/>
      <c r="AP408" s="68"/>
      <c r="AQ408" s="67"/>
    </row>
    <row r="409" ht="15.75" customHeight="1">
      <c r="A409" s="61"/>
      <c r="B409" s="60"/>
      <c r="C409" s="60"/>
      <c r="D409" s="60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9"/>
      <c r="AJ409" s="62"/>
      <c r="AK409" s="63"/>
      <c r="AL409" s="64"/>
      <c r="AM409" s="65"/>
      <c r="AN409" s="66"/>
      <c r="AO409" s="67"/>
      <c r="AP409" s="68"/>
      <c r="AQ409" s="67"/>
    </row>
    <row r="410" ht="15.75" customHeight="1">
      <c r="A410" s="61"/>
      <c r="B410" s="60"/>
      <c r="C410" s="60"/>
      <c r="D410" s="60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9"/>
      <c r="AJ410" s="62"/>
      <c r="AK410" s="63"/>
      <c r="AL410" s="64"/>
      <c r="AM410" s="65"/>
      <c r="AN410" s="66"/>
      <c r="AO410" s="67"/>
      <c r="AP410" s="68"/>
      <c r="AQ410" s="67"/>
    </row>
    <row r="411" ht="15.75" customHeight="1">
      <c r="A411" s="61"/>
      <c r="B411" s="60"/>
      <c r="C411" s="60"/>
      <c r="D411" s="60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9"/>
      <c r="AJ411" s="62"/>
      <c r="AK411" s="63"/>
      <c r="AL411" s="64"/>
      <c r="AM411" s="65"/>
      <c r="AN411" s="66"/>
      <c r="AO411" s="67"/>
      <c r="AP411" s="68"/>
      <c r="AQ411" s="67"/>
    </row>
    <row r="412" ht="15.75" customHeight="1">
      <c r="A412" s="61"/>
      <c r="B412" s="60"/>
      <c r="C412" s="60"/>
      <c r="D412" s="60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9"/>
      <c r="AJ412" s="62"/>
      <c r="AK412" s="63"/>
      <c r="AL412" s="64"/>
      <c r="AM412" s="65"/>
      <c r="AN412" s="66"/>
      <c r="AO412" s="67"/>
      <c r="AP412" s="68"/>
      <c r="AQ412" s="67"/>
    </row>
    <row r="413" ht="15.75" customHeight="1">
      <c r="A413" s="61"/>
      <c r="B413" s="60"/>
      <c r="C413" s="60"/>
      <c r="D413" s="60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9"/>
      <c r="AJ413" s="62"/>
      <c r="AK413" s="63"/>
      <c r="AL413" s="64"/>
      <c r="AM413" s="65"/>
      <c r="AN413" s="66"/>
      <c r="AO413" s="67"/>
      <c r="AP413" s="68"/>
      <c r="AQ413" s="67"/>
    </row>
    <row r="414" ht="15.75" customHeight="1">
      <c r="A414" s="61"/>
      <c r="B414" s="60"/>
      <c r="C414" s="60"/>
      <c r="D414" s="60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9"/>
      <c r="AJ414" s="62"/>
      <c r="AK414" s="63"/>
      <c r="AL414" s="64"/>
      <c r="AM414" s="65"/>
      <c r="AN414" s="66"/>
      <c r="AO414" s="67"/>
      <c r="AP414" s="68"/>
      <c r="AQ414" s="67"/>
    </row>
    <row r="415" ht="15.75" customHeight="1">
      <c r="A415" s="61"/>
      <c r="B415" s="60"/>
      <c r="C415" s="60"/>
      <c r="D415" s="60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9"/>
      <c r="AJ415" s="62"/>
      <c r="AK415" s="63"/>
      <c r="AL415" s="64"/>
      <c r="AM415" s="65"/>
      <c r="AN415" s="66"/>
      <c r="AO415" s="67"/>
      <c r="AP415" s="68"/>
      <c r="AQ415" s="67"/>
    </row>
    <row r="416" ht="15.75" customHeight="1">
      <c r="A416" s="61"/>
      <c r="B416" s="60"/>
      <c r="C416" s="60"/>
      <c r="D416" s="60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9"/>
      <c r="AJ416" s="62"/>
      <c r="AK416" s="63"/>
      <c r="AL416" s="64"/>
      <c r="AM416" s="65"/>
      <c r="AN416" s="66"/>
      <c r="AO416" s="67"/>
      <c r="AP416" s="68"/>
      <c r="AQ416" s="67"/>
    </row>
    <row r="417" ht="15.75" customHeight="1">
      <c r="A417" s="61"/>
      <c r="B417" s="60"/>
      <c r="C417" s="60"/>
      <c r="D417" s="60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9"/>
      <c r="AJ417" s="62"/>
      <c r="AK417" s="63"/>
      <c r="AL417" s="64"/>
      <c r="AM417" s="65"/>
      <c r="AN417" s="66"/>
      <c r="AO417" s="67"/>
      <c r="AP417" s="68"/>
      <c r="AQ417" s="67"/>
    </row>
    <row r="418" ht="15.75" customHeight="1">
      <c r="A418" s="61"/>
      <c r="B418" s="60"/>
      <c r="C418" s="60"/>
      <c r="D418" s="60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9"/>
      <c r="AJ418" s="62"/>
      <c r="AK418" s="63"/>
      <c r="AL418" s="64"/>
      <c r="AM418" s="65"/>
      <c r="AN418" s="66"/>
      <c r="AO418" s="67"/>
      <c r="AP418" s="68"/>
      <c r="AQ418" s="67"/>
    </row>
    <row r="419" ht="15.75" customHeight="1">
      <c r="A419" s="61"/>
      <c r="B419" s="60"/>
      <c r="C419" s="60"/>
      <c r="D419" s="60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9"/>
      <c r="AJ419" s="62"/>
      <c r="AK419" s="63"/>
      <c r="AL419" s="64"/>
      <c r="AM419" s="65"/>
      <c r="AN419" s="66"/>
      <c r="AO419" s="67"/>
      <c r="AP419" s="68"/>
      <c r="AQ419" s="67"/>
    </row>
    <row r="420" ht="15.75" customHeight="1">
      <c r="A420" s="61"/>
      <c r="B420" s="60"/>
      <c r="C420" s="60"/>
      <c r="D420" s="60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9"/>
      <c r="AJ420" s="62"/>
      <c r="AK420" s="63"/>
      <c r="AL420" s="64"/>
      <c r="AM420" s="65"/>
      <c r="AN420" s="66"/>
      <c r="AO420" s="67"/>
      <c r="AP420" s="68"/>
      <c r="AQ420" s="67"/>
    </row>
    <row r="421" ht="15.75" customHeight="1">
      <c r="A421" s="61"/>
      <c r="B421" s="60"/>
      <c r="C421" s="60"/>
      <c r="D421" s="60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9"/>
      <c r="AJ421" s="62"/>
      <c r="AK421" s="63"/>
      <c r="AL421" s="64"/>
      <c r="AM421" s="65"/>
      <c r="AN421" s="66"/>
      <c r="AO421" s="67"/>
      <c r="AP421" s="68"/>
      <c r="AQ421" s="67"/>
    </row>
    <row r="422" ht="15.75" customHeight="1">
      <c r="A422" s="61"/>
      <c r="B422" s="60"/>
      <c r="C422" s="60"/>
      <c r="D422" s="60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9"/>
      <c r="AJ422" s="62"/>
      <c r="AK422" s="63"/>
      <c r="AL422" s="64"/>
      <c r="AM422" s="65"/>
      <c r="AN422" s="66"/>
      <c r="AO422" s="67"/>
      <c r="AP422" s="68"/>
      <c r="AQ422" s="67"/>
    </row>
    <row r="423" ht="15.75" customHeight="1">
      <c r="A423" s="61"/>
      <c r="B423" s="60"/>
      <c r="C423" s="60"/>
      <c r="D423" s="60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9"/>
      <c r="AJ423" s="62"/>
      <c r="AK423" s="63"/>
      <c r="AL423" s="64"/>
      <c r="AM423" s="65"/>
      <c r="AN423" s="66"/>
      <c r="AO423" s="67"/>
      <c r="AP423" s="68"/>
      <c r="AQ423" s="67"/>
    </row>
    <row r="424" ht="15.75" customHeight="1">
      <c r="A424" s="61"/>
      <c r="B424" s="60"/>
      <c r="C424" s="60"/>
      <c r="D424" s="60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9"/>
      <c r="AJ424" s="62"/>
      <c r="AK424" s="63"/>
      <c r="AL424" s="64"/>
      <c r="AM424" s="65"/>
      <c r="AN424" s="66"/>
      <c r="AO424" s="67"/>
      <c r="AP424" s="68"/>
      <c r="AQ424" s="67"/>
    </row>
    <row r="425" ht="15.75" customHeight="1">
      <c r="A425" s="61"/>
      <c r="B425" s="60"/>
      <c r="C425" s="60"/>
      <c r="D425" s="60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9"/>
      <c r="AJ425" s="62"/>
      <c r="AK425" s="63"/>
      <c r="AL425" s="64"/>
      <c r="AM425" s="65"/>
      <c r="AN425" s="66"/>
      <c r="AO425" s="67"/>
      <c r="AP425" s="68"/>
      <c r="AQ425" s="67"/>
    </row>
    <row r="426" ht="15.75" customHeight="1">
      <c r="A426" s="61"/>
      <c r="B426" s="60"/>
      <c r="C426" s="60"/>
      <c r="D426" s="60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9"/>
      <c r="AJ426" s="62"/>
      <c r="AK426" s="63"/>
      <c r="AL426" s="64"/>
      <c r="AM426" s="65"/>
      <c r="AN426" s="66"/>
      <c r="AO426" s="67"/>
      <c r="AP426" s="68"/>
      <c r="AQ426" s="67"/>
    </row>
    <row r="427" ht="15.75" customHeight="1">
      <c r="A427" s="61"/>
      <c r="B427" s="60"/>
      <c r="C427" s="60"/>
      <c r="D427" s="60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9"/>
      <c r="AJ427" s="62"/>
      <c r="AK427" s="63"/>
      <c r="AL427" s="64"/>
      <c r="AM427" s="65"/>
      <c r="AN427" s="66"/>
      <c r="AO427" s="67"/>
      <c r="AP427" s="68"/>
      <c r="AQ427" s="67"/>
    </row>
    <row r="428" ht="15.75" customHeight="1">
      <c r="A428" s="61"/>
      <c r="B428" s="60"/>
      <c r="C428" s="60"/>
      <c r="D428" s="60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9"/>
      <c r="AJ428" s="62"/>
      <c r="AK428" s="63"/>
      <c r="AL428" s="64"/>
      <c r="AM428" s="65"/>
      <c r="AN428" s="66"/>
      <c r="AO428" s="67"/>
      <c r="AP428" s="68"/>
      <c r="AQ428" s="67"/>
    </row>
    <row r="429" ht="15.75" customHeight="1">
      <c r="A429" s="61"/>
      <c r="B429" s="60"/>
      <c r="C429" s="60"/>
      <c r="D429" s="60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9"/>
      <c r="AJ429" s="62"/>
      <c r="AK429" s="63"/>
      <c r="AL429" s="64"/>
      <c r="AM429" s="65"/>
      <c r="AN429" s="66"/>
      <c r="AO429" s="67"/>
      <c r="AP429" s="68"/>
      <c r="AQ429" s="67"/>
    </row>
    <row r="430" ht="15.75" customHeight="1">
      <c r="A430" s="61"/>
      <c r="B430" s="60"/>
      <c r="C430" s="60"/>
      <c r="D430" s="60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9"/>
      <c r="AJ430" s="62"/>
      <c r="AK430" s="63"/>
      <c r="AL430" s="64"/>
      <c r="AM430" s="65"/>
      <c r="AN430" s="66"/>
      <c r="AO430" s="67"/>
      <c r="AP430" s="68"/>
      <c r="AQ430" s="67"/>
    </row>
    <row r="431" ht="15.75" customHeight="1">
      <c r="A431" s="61"/>
      <c r="B431" s="60"/>
      <c r="C431" s="60"/>
      <c r="D431" s="60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9"/>
      <c r="AJ431" s="62"/>
      <c r="AK431" s="63"/>
      <c r="AL431" s="64"/>
      <c r="AM431" s="65"/>
      <c r="AN431" s="66"/>
      <c r="AO431" s="67"/>
      <c r="AP431" s="68"/>
      <c r="AQ431" s="67"/>
    </row>
    <row r="432" ht="15.75" customHeight="1">
      <c r="A432" s="61"/>
      <c r="B432" s="60"/>
      <c r="C432" s="60"/>
      <c r="D432" s="60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9"/>
      <c r="AJ432" s="62"/>
      <c r="AK432" s="63"/>
      <c r="AL432" s="64"/>
      <c r="AM432" s="65"/>
      <c r="AN432" s="66"/>
      <c r="AO432" s="67"/>
      <c r="AP432" s="68"/>
      <c r="AQ432" s="67"/>
    </row>
    <row r="433" ht="15.75" customHeight="1">
      <c r="A433" s="61"/>
      <c r="B433" s="60"/>
      <c r="C433" s="60"/>
      <c r="D433" s="60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9"/>
      <c r="AJ433" s="62"/>
      <c r="AK433" s="63"/>
      <c r="AL433" s="64"/>
      <c r="AM433" s="65"/>
      <c r="AN433" s="66"/>
      <c r="AO433" s="67"/>
      <c r="AP433" s="68"/>
      <c r="AQ433" s="67"/>
    </row>
    <row r="434" ht="15.75" customHeight="1">
      <c r="A434" s="61"/>
      <c r="B434" s="60"/>
      <c r="C434" s="60"/>
      <c r="D434" s="60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9"/>
      <c r="AJ434" s="62"/>
      <c r="AK434" s="63"/>
      <c r="AL434" s="64"/>
      <c r="AM434" s="65"/>
      <c r="AN434" s="66"/>
      <c r="AO434" s="67"/>
      <c r="AP434" s="68"/>
      <c r="AQ434" s="67"/>
    </row>
    <row r="435" ht="15.75" customHeight="1">
      <c r="A435" s="61"/>
      <c r="B435" s="60"/>
      <c r="C435" s="60"/>
      <c r="D435" s="60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9"/>
      <c r="AJ435" s="62"/>
      <c r="AK435" s="63"/>
      <c r="AL435" s="64"/>
      <c r="AM435" s="65"/>
      <c r="AN435" s="66"/>
      <c r="AO435" s="67"/>
      <c r="AP435" s="68"/>
      <c r="AQ435" s="67"/>
    </row>
    <row r="436" ht="15.75" customHeight="1">
      <c r="A436" s="61"/>
      <c r="B436" s="60"/>
      <c r="C436" s="60"/>
      <c r="D436" s="60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9"/>
      <c r="AJ436" s="62"/>
      <c r="AK436" s="63"/>
      <c r="AL436" s="64"/>
      <c r="AM436" s="65"/>
      <c r="AN436" s="66"/>
      <c r="AO436" s="67"/>
      <c r="AP436" s="68"/>
      <c r="AQ436" s="67"/>
    </row>
    <row r="437" ht="15.75" customHeight="1">
      <c r="A437" s="61"/>
      <c r="B437" s="60"/>
      <c r="C437" s="60"/>
      <c r="D437" s="60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9"/>
      <c r="AJ437" s="62"/>
      <c r="AK437" s="63"/>
      <c r="AL437" s="64"/>
      <c r="AM437" s="65"/>
      <c r="AN437" s="66"/>
      <c r="AO437" s="67"/>
      <c r="AP437" s="68"/>
      <c r="AQ437" s="67"/>
    </row>
    <row r="438" ht="15.75" customHeight="1">
      <c r="A438" s="61"/>
      <c r="B438" s="60"/>
      <c r="C438" s="60"/>
      <c r="D438" s="60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9"/>
      <c r="AJ438" s="62"/>
      <c r="AK438" s="63"/>
      <c r="AL438" s="64"/>
      <c r="AM438" s="65"/>
      <c r="AN438" s="66"/>
      <c r="AO438" s="67"/>
      <c r="AP438" s="68"/>
      <c r="AQ438" s="67"/>
    </row>
    <row r="439" ht="15.75" customHeight="1">
      <c r="A439" s="61"/>
      <c r="B439" s="60"/>
      <c r="C439" s="60"/>
      <c r="D439" s="60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9"/>
      <c r="AJ439" s="62"/>
      <c r="AK439" s="63"/>
      <c r="AL439" s="64"/>
      <c r="AM439" s="65"/>
      <c r="AN439" s="66"/>
      <c r="AO439" s="67"/>
      <c r="AP439" s="68"/>
      <c r="AQ439" s="67"/>
    </row>
    <row r="440" ht="15.75" customHeight="1">
      <c r="A440" s="61"/>
      <c r="B440" s="60"/>
      <c r="C440" s="60"/>
      <c r="D440" s="60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9"/>
      <c r="AJ440" s="62"/>
      <c r="AK440" s="63"/>
      <c r="AL440" s="64"/>
      <c r="AM440" s="65"/>
      <c r="AN440" s="66"/>
      <c r="AO440" s="67"/>
      <c r="AP440" s="68"/>
      <c r="AQ440" s="67"/>
    </row>
    <row r="441" ht="15.75" customHeight="1">
      <c r="A441" s="61"/>
      <c r="B441" s="60"/>
      <c r="C441" s="60"/>
      <c r="D441" s="60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9"/>
      <c r="AJ441" s="62"/>
      <c r="AK441" s="63"/>
      <c r="AL441" s="64"/>
      <c r="AM441" s="65"/>
      <c r="AN441" s="66"/>
      <c r="AO441" s="67"/>
      <c r="AP441" s="68"/>
      <c r="AQ441" s="67"/>
    </row>
    <row r="442" ht="15.75" customHeight="1">
      <c r="A442" s="61"/>
      <c r="B442" s="60"/>
      <c r="C442" s="60"/>
      <c r="D442" s="60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9"/>
      <c r="AJ442" s="62"/>
      <c r="AK442" s="63"/>
      <c r="AL442" s="64"/>
      <c r="AM442" s="65"/>
      <c r="AN442" s="66"/>
      <c r="AO442" s="67"/>
      <c r="AP442" s="68"/>
      <c r="AQ442" s="67"/>
    </row>
    <row r="443" ht="15.75" customHeight="1">
      <c r="A443" s="61"/>
      <c r="B443" s="60"/>
      <c r="C443" s="60"/>
      <c r="D443" s="60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9"/>
      <c r="AJ443" s="62"/>
      <c r="AK443" s="63"/>
      <c r="AL443" s="64"/>
      <c r="AM443" s="65"/>
      <c r="AN443" s="66"/>
      <c r="AO443" s="67"/>
      <c r="AP443" s="68"/>
      <c r="AQ443" s="67"/>
    </row>
    <row r="444" ht="15.75" customHeight="1">
      <c r="A444" s="61"/>
      <c r="B444" s="60"/>
      <c r="C444" s="60"/>
      <c r="D444" s="60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9"/>
      <c r="AJ444" s="62"/>
      <c r="AK444" s="63"/>
      <c r="AL444" s="64"/>
      <c r="AM444" s="65"/>
      <c r="AN444" s="66"/>
      <c r="AO444" s="67"/>
      <c r="AP444" s="68"/>
      <c r="AQ444" s="67"/>
    </row>
    <row r="445" ht="15.75" customHeight="1">
      <c r="A445" s="61"/>
      <c r="B445" s="60"/>
      <c r="C445" s="60"/>
      <c r="D445" s="60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9"/>
      <c r="AJ445" s="62"/>
      <c r="AK445" s="63"/>
      <c r="AL445" s="64"/>
      <c r="AM445" s="65"/>
      <c r="AN445" s="66"/>
      <c r="AO445" s="67"/>
      <c r="AP445" s="68"/>
      <c r="AQ445" s="67"/>
    </row>
    <row r="446" ht="15.75" customHeight="1">
      <c r="A446" s="61"/>
      <c r="B446" s="60"/>
      <c r="C446" s="60"/>
      <c r="D446" s="60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9"/>
      <c r="AJ446" s="62"/>
      <c r="AK446" s="63"/>
      <c r="AL446" s="64"/>
      <c r="AM446" s="65"/>
      <c r="AN446" s="66"/>
      <c r="AO446" s="67"/>
      <c r="AP446" s="68"/>
      <c r="AQ446" s="67"/>
    </row>
    <row r="447" ht="15.75" customHeight="1">
      <c r="A447" s="61"/>
      <c r="B447" s="60"/>
      <c r="C447" s="60"/>
      <c r="D447" s="60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9"/>
      <c r="AJ447" s="62"/>
      <c r="AK447" s="63"/>
      <c r="AL447" s="64"/>
      <c r="AM447" s="65"/>
      <c r="AN447" s="66"/>
      <c r="AO447" s="67"/>
      <c r="AP447" s="68"/>
      <c r="AQ447" s="67"/>
    </row>
    <row r="448" ht="15.75" customHeight="1">
      <c r="A448" s="61"/>
      <c r="B448" s="60"/>
      <c r="C448" s="60"/>
      <c r="D448" s="60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9"/>
      <c r="AJ448" s="62"/>
      <c r="AK448" s="63"/>
      <c r="AL448" s="64"/>
      <c r="AM448" s="65"/>
      <c r="AN448" s="66"/>
      <c r="AO448" s="67"/>
      <c r="AP448" s="68"/>
      <c r="AQ448" s="67"/>
    </row>
    <row r="449" ht="15.75" customHeight="1">
      <c r="A449" s="61"/>
      <c r="B449" s="60"/>
      <c r="C449" s="60"/>
      <c r="D449" s="60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9"/>
      <c r="AJ449" s="62"/>
      <c r="AK449" s="63"/>
      <c r="AL449" s="64"/>
      <c r="AM449" s="65"/>
      <c r="AN449" s="66"/>
      <c r="AO449" s="67"/>
      <c r="AP449" s="68"/>
      <c r="AQ449" s="67"/>
    </row>
    <row r="450" ht="15.75" customHeight="1">
      <c r="A450" s="61"/>
      <c r="B450" s="60"/>
      <c r="C450" s="60"/>
      <c r="D450" s="60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9"/>
      <c r="AJ450" s="62"/>
      <c r="AK450" s="63"/>
      <c r="AL450" s="64"/>
      <c r="AM450" s="65"/>
      <c r="AN450" s="66"/>
      <c r="AO450" s="67"/>
      <c r="AP450" s="68"/>
      <c r="AQ450" s="67"/>
    </row>
    <row r="451" ht="15.75" customHeight="1">
      <c r="A451" s="61"/>
      <c r="B451" s="60"/>
      <c r="C451" s="60"/>
      <c r="D451" s="60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9"/>
      <c r="AJ451" s="62"/>
      <c r="AK451" s="63"/>
      <c r="AL451" s="64"/>
      <c r="AM451" s="65"/>
      <c r="AN451" s="66"/>
      <c r="AO451" s="67"/>
      <c r="AP451" s="68"/>
      <c r="AQ451" s="67"/>
    </row>
    <row r="452" ht="15.75" customHeight="1">
      <c r="A452" s="61"/>
      <c r="B452" s="60"/>
      <c r="C452" s="60"/>
      <c r="D452" s="60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9"/>
      <c r="AJ452" s="62"/>
      <c r="AK452" s="63"/>
      <c r="AL452" s="64"/>
      <c r="AM452" s="65"/>
      <c r="AN452" s="66"/>
      <c r="AO452" s="67"/>
      <c r="AP452" s="68"/>
      <c r="AQ452" s="67"/>
    </row>
    <row r="453" ht="15.75" customHeight="1">
      <c r="A453" s="61"/>
      <c r="B453" s="60"/>
      <c r="C453" s="60"/>
      <c r="D453" s="60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9"/>
      <c r="AJ453" s="62"/>
      <c r="AK453" s="63"/>
      <c r="AL453" s="64"/>
      <c r="AM453" s="65"/>
      <c r="AN453" s="66"/>
      <c r="AO453" s="67"/>
      <c r="AP453" s="68"/>
      <c r="AQ453" s="67"/>
    </row>
    <row r="454" ht="15.75" customHeight="1">
      <c r="A454" s="61"/>
      <c r="B454" s="60"/>
      <c r="C454" s="60"/>
      <c r="D454" s="60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9"/>
      <c r="AJ454" s="62"/>
      <c r="AK454" s="63"/>
      <c r="AL454" s="64"/>
      <c r="AM454" s="65"/>
      <c r="AN454" s="66"/>
      <c r="AO454" s="67"/>
      <c r="AP454" s="68"/>
      <c r="AQ454" s="67"/>
    </row>
    <row r="455" ht="15.75" customHeight="1">
      <c r="A455" s="61"/>
      <c r="B455" s="60"/>
      <c r="C455" s="60"/>
      <c r="D455" s="60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9"/>
      <c r="AJ455" s="62"/>
      <c r="AK455" s="63"/>
      <c r="AL455" s="64"/>
      <c r="AM455" s="65"/>
      <c r="AN455" s="66"/>
      <c r="AO455" s="67"/>
      <c r="AP455" s="68"/>
      <c r="AQ455" s="67"/>
    </row>
    <row r="456" ht="15.75" customHeight="1">
      <c r="A456" s="61"/>
      <c r="B456" s="60"/>
      <c r="C456" s="60"/>
      <c r="D456" s="60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9"/>
      <c r="AJ456" s="62"/>
      <c r="AK456" s="63"/>
      <c r="AL456" s="64"/>
      <c r="AM456" s="65"/>
      <c r="AN456" s="66"/>
      <c r="AO456" s="67"/>
      <c r="AP456" s="68"/>
      <c r="AQ456" s="67"/>
    </row>
    <row r="457" ht="15.75" customHeight="1">
      <c r="A457" s="61"/>
      <c r="B457" s="60"/>
      <c r="C457" s="60"/>
      <c r="D457" s="60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9"/>
      <c r="AJ457" s="62"/>
      <c r="AK457" s="63"/>
      <c r="AL457" s="64"/>
      <c r="AM457" s="65"/>
      <c r="AN457" s="66"/>
      <c r="AO457" s="67"/>
      <c r="AP457" s="68"/>
      <c r="AQ457" s="67"/>
    </row>
    <row r="458" ht="15.75" customHeight="1">
      <c r="A458" s="61"/>
      <c r="B458" s="60"/>
      <c r="C458" s="60"/>
      <c r="D458" s="60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9"/>
      <c r="AJ458" s="62"/>
      <c r="AK458" s="63"/>
      <c r="AL458" s="64"/>
      <c r="AM458" s="65"/>
      <c r="AN458" s="66"/>
      <c r="AO458" s="67"/>
      <c r="AP458" s="68"/>
      <c r="AQ458" s="67"/>
    </row>
    <row r="459" ht="15.75" customHeight="1">
      <c r="A459" s="61"/>
      <c r="B459" s="60"/>
      <c r="C459" s="60"/>
      <c r="D459" s="60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9"/>
      <c r="AJ459" s="62"/>
      <c r="AK459" s="63"/>
      <c r="AL459" s="64"/>
      <c r="AM459" s="65"/>
      <c r="AN459" s="66"/>
      <c r="AO459" s="67"/>
      <c r="AP459" s="68"/>
      <c r="AQ459" s="67"/>
    </row>
    <row r="460" ht="15.75" customHeight="1">
      <c r="A460" s="61"/>
      <c r="B460" s="60"/>
      <c r="C460" s="60"/>
      <c r="D460" s="60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9"/>
      <c r="AJ460" s="62"/>
      <c r="AK460" s="63"/>
      <c r="AL460" s="64"/>
      <c r="AM460" s="65"/>
      <c r="AN460" s="66"/>
      <c r="AO460" s="67"/>
      <c r="AP460" s="68"/>
      <c r="AQ460" s="67"/>
    </row>
    <row r="461" ht="15.75" customHeight="1">
      <c r="A461" s="61"/>
      <c r="B461" s="60"/>
      <c r="C461" s="60"/>
      <c r="D461" s="60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9"/>
      <c r="AJ461" s="62"/>
      <c r="AK461" s="63"/>
      <c r="AL461" s="64"/>
      <c r="AM461" s="65"/>
      <c r="AN461" s="66"/>
      <c r="AO461" s="67"/>
      <c r="AP461" s="68"/>
      <c r="AQ461" s="67"/>
    </row>
    <row r="462" ht="15.75" customHeight="1">
      <c r="A462" s="61"/>
      <c r="B462" s="60"/>
      <c r="C462" s="60"/>
      <c r="D462" s="60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9"/>
      <c r="AJ462" s="62"/>
      <c r="AK462" s="63"/>
      <c r="AL462" s="64"/>
      <c r="AM462" s="65"/>
      <c r="AN462" s="66"/>
      <c r="AO462" s="67"/>
      <c r="AP462" s="68"/>
      <c r="AQ462" s="67"/>
    </row>
    <row r="463" ht="15.75" customHeight="1">
      <c r="A463" s="61"/>
      <c r="B463" s="60"/>
      <c r="C463" s="60"/>
      <c r="D463" s="60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9"/>
      <c r="AJ463" s="62"/>
      <c r="AK463" s="63"/>
      <c r="AL463" s="64"/>
      <c r="AM463" s="65"/>
      <c r="AN463" s="66"/>
      <c r="AO463" s="67"/>
      <c r="AP463" s="68"/>
      <c r="AQ463" s="67"/>
    </row>
    <row r="464" ht="15.75" customHeight="1">
      <c r="A464" s="61"/>
      <c r="B464" s="60"/>
      <c r="C464" s="60"/>
      <c r="D464" s="60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9"/>
      <c r="AJ464" s="62"/>
      <c r="AK464" s="63"/>
      <c r="AL464" s="64"/>
      <c r="AM464" s="65"/>
      <c r="AN464" s="66"/>
      <c r="AO464" s="67"/>
      <c r="AP464" s="68"/>
      <c r="AQ464" s="67"/>
    </row>
    <row r="465" ht="15.75" customHeight="1">
      <c r="A465" s="61"/>
      <c r="B465" s="60"/>
      <c r="C465" s="60"/>
      <c r="D465" s="60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9"/>
      <c r="AJ465" s="62"/>
      <c r="AK465" s="63"/>
      <c r="AL465" s="64"/>
      <c r="AM465" s="65"/>
      <c r="AN465" s="66"/>
      <c r="AO465" s="67"/>
      <c r="AP465" s="68"/>
      <c r="AQ465" s="67"/>
    </row>
    <row r="466" ht="15.75" customHeight="1">
      <c r="A466" s="61"/>
      <c r="B466" s="60"/>
      <c r="C466" s="60"/>
      <c r="D466" s="60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9"/>
      <c r="AJ466" s="62"/>
      <c r="AK466" s="63"/>
      <c r="AL466" s="64"/>
      <c r="AM466" s="65"/>
      <c r="AN466" s="66"/>
      <c r="AO466" s="67"/>
      <c r="AP466" s="68"/>
      <c r="AQ466" s="67"/>
    </row>
    <row r="467" ht="15.75" customHeight="1">
      <c r="A467" s="61"/>
      <c r="B467" s="60"/>
      <c r="C467" s="60"/>
      <c r="D467" s="60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9"/>
      <c r="AJ467" s="62"/>
      <c r="AK467" s="63"/>
      <c r="AL467" s="64"/>
      <c r="AM467" s="65"/>
      <c r="AN467" s="66"/>
      <c r="AO467" s="67"/>
      <c r="AP467" s="68"/>
      <c r="AQ467" s="67"/>
    </row>
    <row r="468" ht="15.75" customHeight="1">
      <c r="A468" s="61"/>
      <c r="B468" s="60"/>
      <c r="C468" s="60"/>
      <c r="D468" s="60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9"/>
      <c r="AJ468" s="62"/>
      <c r="AK468" s="63"/>
      <c r="AL468" s="64"/>
      <c r="AM468" s="65"/>
      <c r="AN468" s="66"/>
      <c r="AO468" s="67"/>
      <c r="AP468" s="68"/>
      <c r="AQ468" s="67"/>
    </row>
    <row r="469" ht="15.75" customHeight="1">
      <c r="A469" s="61"/>
      <c r="B469" s="60"/>
      <c r="C469" s="60"/>
      <c r="D469" s="60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9"/>
      <c r="AJ469" s="62"/>
      <c r="AK469" s="63"/>
      <c r="AL469" s="64"/>
      <c r="AM469" s="65"/>
      <c r="AN469" s="66"/>
      <c r="AO469" s="67"/>
      <c r="AP469" s="68"/>
      <c r="AQ469" s="67"/>
    </row>
    <row r="470" ht="15.75" customHeight="1">
      <c r="A470" s="61"/>
      <c r="B470" s="60"/>
      <c r="C470" s="60"/>
      <c r="D470" s="60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9"/>
      <c r="AJ470" s="62"/>
      <c r="AK470" s="63"/>
      <c r="AL470" s="64"/>
      <c r="AM470" s="65"/>
      <c r="AN470" s="66"/>
      <c r="AO470" s="67"/>
      <c r="AP470" s="68"/>
      <c r="AQ470" s="67"/>
    </row>
    <row r="471" ht="15.75" customHeight="1">
      <c r="A471" s="61"/>
      <c r="B471" s="60"/>
      <c r="C471" s="60"/>
      <c r="D471" s="60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9"/>
      <c r="AJ471" s="62"/>
      <c r="AK471" s="63"/>
      <c r="AL471" s="64"/>
      <c r="AM471" s="65"/>
      <c r="AN471" s="66"/>
      <c r="AO471" s="67"/>
      <c r="AP471" s="68"/>
      <c r="AQ471" s="67"/>
    </row>
    <row r="472" ht="15.75" customHeight="1">
      <c r="A472" s="61"/>
      <c r="B472" s="60"/>
      <c r="C472" s="60"/>
      <c r="D472" s="60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9"/>
      <c r="AJ472" s="62"/>
      <c r="AK472" s="63"/>
      <c r="AL472" s="64"/>
      <c r="AM472" s="65"/>
      <c r="AN472" s="66"/>
      <c r="AO472" s="67"/>
      <c r="AP472" s="68"/>
      <c r="AQ472" s="67"/>
    </row>
    <row r="473" ht="15.75" customHeight="1">
      <c r="A473" s="61"/>
      <c r="B473" s="60"/>
      <c r="C473" s="60"/>
      <c r="D473" s="60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9"/>
      <c r="AJ473" s="62"/>
      <c r="AK473" s="63"/>
      <c r="AL473" s="64"/>
      <c r="AM473" s="65"/>
      <c r="AN473" s="66"/>
      <c r="AO473" s="67"/>
      <c r="AP473" s="68"/>
      <c r="AQ473" s="67"/>
    </row>
    <row r="474" ht="15.75" customHeight="1">
      <c r="A474" s="61"/>
      <c r="B474" s="60"/>
      <c r="C474" s="60"/>
      <c r="D474" s="60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9"/>
      <c r="AJ474" s="62"/>
      <c r="AK474" s="63"/>
      <c r="AL474" s="64"/>
      <c r="AM474" s="65"/>
      <c r="AN474" s="66"/>
      <c r="AO474" s="67"/>
      <c r="AP474" s="68"/>
      <c r="AQ474" s="67"/>
    </row>
    <row r="475" ht="15.75" customHeight="1">
      <c r="A475" s="61"/>
      <c r="B475" s="60"/>
      <c r="C475" s="60"/>
      <c r="D475" s="60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9"/>
      <c r="AJ475" s="62"/>
      <c r="AK475" s="63"/>
      <c r="AL475" s="64"/>
      <c r="AM475" s="65"/>
      <c r="AN475" s="66"/>
      <c r="AO475" s="67"/>
      <c r="AP475" s="68"/>
      <c r="AQ475" s="67"/>
    </row>
    <row r="476" ht="15.75" customHeight="1">
      <c r="A476" s="61"/>
      <c r="B476" s="60"/>
      <c r="C476" s="60"/>
      <c r="D476" s="60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9"/>
      <c r="AJ476" s="62"/>
      <c r="AK476" s="63"/>
      <c r="AL476" s="64"/>
      <c r="AM476" s="65"/>
      <c r="AN476" s="66"/>
      <c r="AO476" s="67"/>
      <c r="AP476" s="68"/>
      <c r="AQ476" s="67"/>
    </row>
    <row r="477" ht="15.75" customHeight="1">
      <c r="A477" s="61"/>
      <c r="B477" s="60"/>
      <c r="C477" s="60"/>
      <c r="D477" s="60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9"/>
      <c r="AJ477" s="62"/>
      <c r="AK477" s="63"/>
      <c r="AL477" s="64"/>
      <c r="AM477" s="65"/>
      <c r="AN477" s="66"/>
      <c r="AO477" s="67"/>
      <c r="AP477" s="68"/>
      <c r="AQ477" s="67"/>
    </row>
    <row r="478" ht="15.75" customHeight="1">
      <c r="A478" s="61"/>
      <c r="B478" s="60"/>
      <c r="C478" s="60"/>
      <c r="D478" s="60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9"/>
      <c r="AJ478" s="62"/>
      <c r="AK478" s="63"/>
      <c r="AL478" s="64"/>
      <c r="AM478" s="65"/>
      <c r="AN478" s="66"/>
      <c r="AO478" s="67"/>
      <c r="AP478" s="68"/>
      <c r="AQ478" s="67"/>
    </row>
    <row r="479" ht="15.75" customHeight="1">
      <c r="A479" s="61"/>
      <c r="B479" s="60"/>
      <c r="C479" s="60"/>
      <c r="D479" s="60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9"/>
      <c r="AJ479" s="62"/>
      <c r="AK479" s="63"/>
      <c r="AL479" s="64"/>
      <c r="AM479" s="65"/>
      <c r="AN479" s="66"/>
      <c r="AO479" s="67"/>
      <c r="AP479" s="68"/>
      <c r="AQ479" s="67"/>
    </row>
    <row r="480" ht="15.75" customHeight="1">
      <c r="A480" s="61"/>
      <c r="B480" s="60"/>
      <c r="C480" s="60"/>
      <c r="D480" s="60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9"/>
      <c r="AJ480" s="62"/>
      <c r="AK480" s="63"/>
      <c r="AL480" s="64"/>
      <c r="AM480" s="65"/>
      <c r="AN480" s="66"/>
      <c r="AO480" s="67"/>
      <c r="AP480" s="68"/>
      <c r="AQ480" s="67"/>
    </row>
    <row r="481" ht="15.75" customHeight="1">
      <c r="A481" s="61"/>
      <c r="B481" s="60"/>
      <c r="C481" s="60"/>
      <c r="D481" s="60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9"/>
      <c r="AJ481" s="62"/>
      <c r="AK481" s="63"/>
      <c r="AL481" s="64"/>
      <c r="AM481" s="65"/>
      <c r="AN481" s="66"/>
      <c r="AO481" s="67"/>
      <c r="AP481" s="68"/>
      <c r="AQ481" s="67"/>
    </row>
    <row r="482" ht="15.75" customHeight="1">
      <c r="A482" s="61"/>
      <c r="B482" s="60"/>
      <c r="C482" s="60"/>
      <c r="D482" s="60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9"/>
      <c r="AJ482" s="62"/>
      <c r="AK482" s="63"/>
      <c r="AL482" s="64"/>
      <c r="AM482" s="65"/>
      <c r="AN482" s="66"/>
      <c r="AO482" s="67"/>
      <c r="AP482" s="68"/>
      <c r="AQ482" s="67"/>
    </row>
    <row r="483" ht="15.75" customHeight="1">
      <c r="A483" s="61"/>
      <c r="B483" s="60"/>
      <c r="C483" s="60"/>
      <c r="D483" s="60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9"/>
      <c r="AJ483" s="62"/>
      <c r="AK483" s="63"/>
      <c r="AL483" s="64"/>
      <c r="AM483" s="65"/>
      <c r="AN483" s="66"/>
      <c r="AO483" s="67"/>
      <c r="AP483" s="68"/>
      <c r="AQ483" s="67"/>
    </row>
    <row r="484" ht="15.75" customHeight="1">
      <c r="A484" s="61"/>
      <c r="B484" s="60"/>
      <c r="C484" s="60"/>
      <c r="D484" s="60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9"/>
      <c r="AJ484" s="62"/>
      <c r="AK484" s="63"/>
      <c r="AL484" s="64"/>
      <c r="AM484" s="65"/>
      <c r="AN484" s="66"/>
      <c r="AO484" s="67"/>
      <c r="AP484" s="68"/>
      <c r="AQ484" s="67"/>
    </row>
    <row r="485" ht="15.75" customHeight="1">
      <c r="A485" s="61"/>
      <c r="B485" s="60"/>
      <c r="C485" s="60"/>
      <c r="D485" s="60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9"/>
      <c r="AJ485" s="62"/>
      <c r="AK485" s="63"/>
      <c r="AL485" s="64"/>
      <c r="AM485" s="65"/>
      <c r="AN485" s="66"/>
      <c r="AO485" s="67"/>
      <c r="AP485" s="68"/>
      <c r="AQ485" s="67"/>
    </row>
    <row r="486" ht="15.75" customHeight="1">
      <c r="A486" s="61"/>
      <c r="B486" s="60"/>
      <c r="C486" s="60"/>
      <c r="D486" s="60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9"/>
      <c r="AJ486" s="62"/>
      <c r="AK486" s="63"/>
      <c r="AL486" s="64"/>
      <c r="AM486" s="65"/>
      <c r="AN486" s="66"/>
      <c r="AO486" s="67"/>
      <c r="AP486" s="68"/>
      <c r="AQ486" s="67"/>
    </row>
    <row r="487" ht="15.75" customHeight="1">
      <c r="A487" s="61"/>
      <c r="B487" s="60"/>
      <c r="C487" s="60"/>
      <c r="D487" s="60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9"/>
      <c r="AJ487" s="62"/>
      <c r="AK487" s="63"/>
      <c r="AL487" s="64"/>
      <c r="AM487" s="65"/>
      <c r="AN487" s="66"/>
      <c r="AO487" s="67"/>
      <c r="AP487" s="68"/>
      <c r="AQ487" s="67"/>
    </row>
    <row r="488" ht="15.75" customHeight="1">
      <c r="A488" s="61"/>
      <c r="B488" s="60"/>
      <c r="C488" s="60"/>
      <c r="D488" s="60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9"/>
      <c r="AJ488" s="62"/>
      <c r="AK488" s="63"/>
      <c r="AL488" s="64"/>
      <c r="AM488" s="65"/>
      <c r="AN488" s="66"/>
      <c r="AO488" s="67"/>
      <c r="AP488" s="68"/>
      <c r="AQ488" s="67"/>
    </row>
    <row r="489" ht="15.75" customHeight="1">
      <c r="A489" s="61"/>
      <c r="B489" s="60"/>
      <c r="C489" s="60"/>
      <c r="D489" s="60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9"/>
      <c r="AJ489" s="62"/>
      <c r="AK489" s="63"/>
      <c r="AL489" s="64"/>
      <c r="AM489" s="65"/>
      <c r="AN489" s="66"/>
      <c r="AO489" s="67"/>
      <c r="AP489" s="68"/>
      <c r="AQ489" s="67"/>
    </row>
    <row r="490" ht="15.75" customHeight="1">
      <c r="A490" s="61"/>
      <c r="B490" s="60"/>
      <c r="C490" s="60"/>
      <c r="D490" s="60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9"/>
      <c r="AJ490" s="62"/>
      <c r="AK490" s="63"/>
      <c r="AL490" s="64"/>
      <c r="AM490" s="65"/>
      <c r="AN490" s="66"/>
      <c r="AO490" s="67"/>
      <c r="AP490" s="68"/>
      <c r="AQ490" s="67"/>
    </row>
    <row r="491" ht="15.75" customHeight="1">
      <c r="A491" s="61"/>
      <c r="B491" s="60"/>
      <c r="C491" s="60"/>
      <c r="D491" s="60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9"/>
      <c r="AJ491" s="62"/>
      <c r="AK491" s="63"/>
      <c r="AL491" s="64"/>
      <c r="AM491" s="65"/>
      <c r="AN491" s="66"/>
      <c r="AO491" s="67"/>
      <c r="AP491" s="68"/>
      <c r="AQ491" s="67"/>
    </row>
    <row r="492" ht="15.75" customHeight="1">
      <c r="A492" s="61"/>
      <c r="B492" s="60"/>
      <c r="C492" s="60"/>
      <c r="D492" s="60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9"/>
      <c r="AJ492" s="62"/>
      <c r="AK492" s="63"/>
      <c r="AL492" s="64"/>
      <c r="AM492" s="65"/>
      <c r="AN492" s="66"/>
      <c r="AO492" s="67"/>
      <c r="AP492" s="68"/>
      <c r="AQ492" s="67"/>
    </row>
    <row r="493" ht="15.75" customHeight="1">
      <c r="A493" s="61"/>
      <c r="B493" s="60"/>
      <c r="C493" s="60"/>
      <c r="D493" s="60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9"/>
      <c r="AJ493" s="62"/>
      <c r="AK493" s="63"/>
      <c r="AL493" s="64"/>
      <c r="AM493" s="65"/>
      <c r="AN493" s="66"/>
      <c r="AO493" s="67"/>
      <c r="AP493" s="68"/>
      <c r="AQ493" s="67"/>
    </row>
    <row r="494" ht="15.75" customHeight="1">
      <c r="A494" s="61"/>
      <c r="B494" s="60"/>
      <c r="C494" s="60"/>
      <c r="D494" s="60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9"/>
      <c r="AJ494" s="62"/>
      <c r="AK494" s="63"/>
      <c r="AL494" s="64"/>
      <c r="AM494" s="65"/>
      <c r="AN494" s="66"/>
      <c r="AO494" s="67"/>
      <c r="AP494" s="68"/>
      <c r="AQ494" s="67"/>
    </row>
    <row r="495" ht="15.75" customHeight="1">
      <c r="A495" s="61"/>
      <c r="B495" s="60"/>
      <c r="C495" s="60"/>
      <c r="D495" s="60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9"/>
      <c r="AJ495" s="62"/>
      <c r="AK495" s="63"/>
      <c r="AL495" s="64"/>
      <c r="AM495" s="65"/>
      <c r="AN495" s="66"/>
      <c r="AO495" s="67"/>
      <c r="AP495" s="68"/>
      <c r="AQ495" s="67"/>
    </row>
    <row r="496" ht="15.75" customHeight="1">
      <c r="A496" s="61"/>
      <c r="B496" s="60"/>
      <c r="C496" s="60"/>
      <c r="D496" s="60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9"/>
      <c r="AJ496" s="62"/>
      <c r="AK496" s="63"/>
      <c r="AL496" s="64"/>
      <c r="AM496" s="65"/>
      <c r="AN496" s="66"/>
      <c r="AO496" s="67"/>
      <c r="AP496" s="68"/>
      <c r="AQ496" s="67"/>
    </row>
    <row r="497" ht="15.75" customHeight="1">
      <c r="A497" s="61"/>
      <c r="B497" s="60"/>
      <c r="C497" s="60"/>
      <c r="D497" s="60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9"/>
      <c r="AJ497" s="62"/>
      <c r="AK497" s="63"/>
      <c r="AL497" s="64"/>
      <c r="AM497" s="65"/>
      <c r="AN497" s="66"/>
      <c r="AO497" s="67"/>
      <c r="AP497" s="68"/>
      <c r="AQ497" s="67"/>
    </row>
    <row r="498" ht="15.75" customHeight="1">
      <c r="A498" s="61"/>
      <c r="B498" s="60"/>
      <c r="C498" s="60"/>
      <c r="D498" s="60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9"/>
      <c r="AJ498" s="62"/>
      <c r="AK498" s="63"/>
      <c r="AL498" s="64"/>
      <c r="AM498" s="65"/>
      <c r="AN498" s="66"/>
      <c r="AO498" s="67"/>
      <c r="AP498" s="68"/>
      <c r="AQ498" s="67"/>
    </row>
    <row r="499" ht="15.75" customHeight="1">
      <c r="A499" s="61"/>
      <c r="B499" s="60"/>
      <c r="C499" s="60"/>
      <c r="D499" s="60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9"/>
      <c r="AJ499" s="62"/>
      <c r="AK499" s="63"/>
      <c r="AL499" s="64"/>
      <c r="AM499" s="65"/>
      <c r="AN499" s="66"/>
      <c r="AO499" s="67"/>
      <c r="AP499" s="68"/>
      <c r="AQ499" s="67"/>
    </row>
    <row r="500" ht="15.75" customHeight="1">
      <c r="A500" s="61"/>
      <c r="B500" s="60"/>
      <c r="C500" s="60"/>
      <c r="D500" s="60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9"/>
      <c r="AJ500" s="62"/>
      <c r="AK500" s="63"/>
      <c r="AL500" s="64"/>
      <c r="AM500" s="65"/>
      <c r="AN500" s="66"/>
      <c r="AO500" s="67"/>
      <c r="AP500" s="68"/>
      <c r="AQ500" s="67"/>
    </row>
    <row r="501" ht="15.75" customHeight="1">
      <c r="A501" s="61"/>
      <c r="B501" s="60"/>
      <c r="C501" s="60"/>
      <c r="D501" s="60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9"/>
      <c r="AJ501" s="62"/>
      <c r="AK501" s="63"/>
      <c r="AL501" s="64"/>
      <c r="AM501" s="65"/>
      <c r="AN501" s="66"/>
      <c r="AO501" s="67"/>
      <c r="AP501" s="68"/>
      <c r="AQ501" s="67"/>
    </row>
    <row r="502" ht="15.75" customHeight="1">
      <c r="A502" s="61"/>
      <c r="B502" s="60"/>
      <c r="C502" s="60"/>
      <c r="D502" s="60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9"/>
      <c r="AJ502" s="62"/>
      <c r="AK502" s="63"/>
      <c r="AL502" s="64"/>
      <c r="AM502" s="65"/>
      <c r="AN502" s="66"/>
      <c r="AO502" s="67"/>
      <c r="AP502" s="68"/>
      <c r="AQ502" s="67"/>
    </row>
    <row r="503" ht="15.75" customHeight="1">
      <c r="A503" s="61"/>
      <c r="B503" s="60"/>
      <c r="C503" s="60"/>
      <c r="D503" s="60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9"/>
      <c r="AJ503" s="62"/>
      <c r="AK503" s="63"/>
      <c r="AL503" s="64"/>
      <c r="AM503" s="65"/>
      <c r="AN503" s="66"/>
      <c r="AO503" s="67"/>
      <c r="AP503" s="68"/>
      <c r="AQ503" s="67"/>
    </row>
    <row r="504" ht="15.75" customHeight="1">
      <c r="A504" s="61"/>
      <c r="B504" s="60"/>
      <c r="C504" s="60"/>
      <c r="D504" s="60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9"/>
      <c r="AJ504" s="62"/>
      <c r="AK504" s="63"/>
      <c r="AL504" s="64"/>
      <c r="AM504" s="65"/>
      <c r="AN504" s="66"/>
      <c r="AO504" s="67"/>
      <c r="AP504" s="68"/>
      <c r="AQ504" s="67"/>
    </row>
    <row r="505" ht="15.75" customHeight="1">
      <c r="A505" s="61"/>
      <c r="B505" s="60"/>
      <c r="C505" s="60"/>
      <c r="D505" s="60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9"/>
      <c r="AJ505" s="62"/>
      <c r="AK505" s="63"/>
      <c r="AL505" s="64"/>
      <c r="AM505" s="65"/>
      <c r="AN505" s="66"/>
      <c r="AO505" s="67"/>
      <c r="AP505" s="68"/>
      <c r="AQ505" s="67"/>
    </row>
    <row r="506" ht="15.75" customHeight="1">
      <c r="A506" s="61"/>
      <c r="B506" s="60"/>
      <c r="C506" s="60"/>
      <c r="D506" s="60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9"/>
      <c r="AJ506" s="62"/>
      <c r="AK506" s="63"/>
      <c r="AL506" s="64"/>
      <c r="AM506" s="65"/>
      <c r="AN506" s="66"/>
      <c r="AO506" s="67"/>
      <c r="AP506" s="68"/>
      <c r="AQ506" s="67"/>
    </row>
    <row r="507" ht="15.75" customHeight="1">
      <c r="A507" s="61"/>
      <c r="B507" s="60"/>
      <c r="C507" s="60"/>
      <c r="D507" s="60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9"/>
      <c r="AJ507" s="62"/>
      <c r="AK507" s="63"/>
      <c r="AL507" s="64"/>
      <c r="AM507" s="65"/>
      <c r="AN507" s="66"/>
      <c r="AO507" s="67"/>
      <c r="AP507" s="68"/>
      <c r="AQ507" s="67"/>
    </row>
    <row r="508" ht="15.75" customHeight="1">
      <c r="A508" s="61"/>
      <c r="B508" s="60"/>
      <c r="C508" s="60"/>
      <c r="D508" s="60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9"/>
      <c r="AJ508" s="62"/>
      <c r="AK508" s="63"/>
      <c r="AL508" s="64"/>
      <c r="AM508" s="65"/>
      <c r="AN508" s="66"/>
      <c r="AO508" s="67"/>
      <c r="AP508" s="68"/>
      <c r="AQ508" s="67"/>
    </row>
    <row r="509" ht="15.75" customHeight="1">
      <c r="A509" s="61"/>
      <c r="B509" s="60"/>
      <c r="C509" s="60"/>
      <c r="D509" s="60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9"/>
      <c r="AJ509" s="62"/>
      <c r="AK509" s="63"/>
      <c r="AL509" s="64"/>
      <c r="AM509" s="65"/>
      <c r="AN509" s="66"/>
      <c r="AO509" s="67"/>
      <c r="AP509" s="68"/>
      <c r="AQ509" s="67"/>
    </row>
    <row r="510" ht="15.75" customHeight="1">
      <c r="A510" s="61"/>
      <c r="B510" s="60"/>
      <c r="C510" s="60"/>
      <c r="D510" s="60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9"/>
      <c r="AJ510" s="62"/>
      <c r="AK510" s="63"/>
      <c r="AL510" s="64"/>
      <c r="AM510" s="65"/>
      <c r="AN510" s="66"/>
      <c r="AO510" s="67"/>
      <c r="AP510" s="68"/>
      <c r="AQ510" s="67"/>
    </row>
    <row r="511" ht="15.75" customHeight="1">
      <c r="A511" s="61"/>
      <c r="B511" s="60"/>
      <c r="C511" s="60"/>
      <c r="D511" s="60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9"/>
      <c r="AJ511" s="62"/>
      <c r="AK511" s="63"/>
      <c r="AL511" s="64"/>
      <c r="AM511" s="65"/>
      <c r="AN511" s="66"/>
      <c r="AO511" s="67"/>
      <c r="AP511" s="68"/>
      <c r="AQ511" s="67"/>
    </row>
    <row r="512" ht="15.75" customHeight="1">
      <c r="A512" s="61"/>
      <c r="B512" s="60"/>
      <c r="C512" s="60"/>
      <c r="D512" s="60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9"/>
      <c r="AJ512" s="62"/>
      <c r="AK512" s="63"/>
      <c r="AL512" s="64"/>
      <c r="AM512" s="65"/>
      <c r="AN512" s="66"/>
      <c r="AO512" s="67"/>
      <c r="AP512" s="68"/>
      <c r="AQ512" s="67"/>
    </row>
    <row r="513" ht="15.75" customHeight="1">
      <c r="A513" s="61"/>
      <c r="B513" s="60"/>
      <c r="C513" s="60"/>
      <c r="D513" s="60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9"/>
      <c r="AJ513" s="62"/>
      <c r="AK513" s="63"/>
      <c r="AL513" s="64"/>
      <c r="AM513" s="65"/>
      <c r="AN513" s="66"/>
      <c r="AO513" s="67"/>
      <c r="AP513" s="68"/>
      <c r="AQ513" s="67"/>
    </row>
    <row r="514" ht="15.75" customHeight="1">
      <c r="A514" s="61"/>
      <c r="B514" s="60"/>
      <c r="C514" s="60"/>
      <c r="D514" s="60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9"/>
      <c r="AJ514" s="62"/>
      <c r="AK514" s="63"/>
      <c r="AL514" s="64"/>
      <c r="AM514" s="65"/>
      <c r="AN514" s="66"/>
      <c r="AO514" s="67"/>
      <c r="AP514" s="68"/>
      <c r="AQ514" s="67"/>
    </row>
    <row r="515" ht="15.75" customHeight="1">
      <c r="A515" s="61"/>
      <c r="B515" s="60"/>
      <c r="C515" s="60"/>
      <c r="D515" s="60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9"/>
      <c r="AJ515" s="62"/>
      <c r="AK515" s="63"/>
      <c r="AL515" s="64"/>
      <c r="AM515" s="65"/>
      <c r="AN515" s="66"/>
      <c r="AO515" s="67"/>
      <c r="AP515" s="68"/>
      <c r="AQ515" s="67"/>
    </row>
    <row r="516" ht="15.75" customHeight="1">
      <c r="A516" s="61"/>
      <c r="B516" s="60"/>
      <c r="C516" s="60"/>
      <c r="D516" s="60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9"/>
      <c r="AJ516" s="62"/>
      <c r="AK516" s="63"/>
      <c r="AL516" s="64"/>
      <c r="AM516" s="65"/>
      <c r="AN516" s="66"/>
      <c r="AO516" s="67"/>
      <c r="AP516" s="68"/>
      <c r="AQ516" s="67"/>
    </row>
    <row r="517" ht="15.75" customHeight="1">
      <c r="A517" s="61"/>
      <c r="B517" s="60"/>
      <c r="C517" s="60"/>
      <c r="D517" s="60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9"/>
      <c r="AJ517" s="62"/>
      <c r="AK517" s="63"/>
      <c r="AL517" s="64"/>
      <c r="AM517" s="65"/>
      <c r="AN517" s="66"/>
      <c r="AO517" s="67"/>
      <c r="AP517" s="68"/>
      <c r="AQ517" s="67"/>
    </row>
    <row r="518" ht="15.75" customHeight="1">
      <c r="A518" s="61"/>
      <c r="B518" s="60"/>
      <c r="C518" s="60"/>
      <c r="D518" s="60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9"/>
      <c r="AJ518" s="62"/>
      <c r="AK518" s="63"/>
      <c r="AL518" s="64"/>
      <c r="AM518" s="65"/>
      <c r="AN518" s="66"/>
      <c r="AO518" s="67"/>
      <c r="AP518" s="68"/>
      <c r="AQ518" s="67"/>
    </row>
    <row r="519" ht="15.75" customHeight="1">
      <c r="A519" s="61"/>
      <c r="B519" s="60"/>
      <c r="C519" s="60"/>
      <c r="D519" s="60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9"/>
      <c r="AJ519" s="62"/>
      <c r="AK519" s="63"/>
      <c r="AL519" s="64"/>
      <c r="AM519" s="65"/>
      <c r="AN519" s="66"/>
      <c r="AO519" s="67"/>
      <c r="AP519" s="68"/>
      <c r="AQ519" s="67"/>
    </row>
    <row r="520" ht="15.75" customHeight="1">
      <c r="A520" s="61"/>
      <c r="B520" s="60"/>
      <c r="C520" s="60"/>
      <c r="D520" s="60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9"/>
      <c r="AJ520" s="62"/>
      <c r="AK520" s="63"/>
      <c r="AL520" s="64"/>
      <c r="AM520" s="65"/>
      <c r="AN520" s="66"/>
      <c r="AO520" s="67"/>
      <c r="AP520" s="68"/>
      <c r="AQ520" s="67"/>
    </row>
    <row r="521" ht="15.75" customHeight="1">
      <c r="A521" s="61"/>
      <c r="B521" s="60"/>
      <c r="C521" s="60"/>
      <c r="D521" s="60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9"/>
      <c r="AJ521" s="62"/>
      <c r="AK521" s="63"/>
      <c r="AL521" s="64"/>
      <c r="AM521" s="65"/>
      <c r="AN521" s="66"/>
      <c r="AO521" s="67"/>
      <c r="AP521" s="68"/>
      <c r="AQ521" s="67"/>
    </row>
    <row r="522" ht="15.75" customHeight="1">
      <c r="A522" s="61"/>
      <c r="B522" s="60"/>
      <c r="C522" s="60"/>
      <c r="D522" s="60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9"/>
      <c r="AJ522" s="62"/>
      <c r="AK522" s="63"/>
      <c r="AL522" s="64"/>
      <c r="AM522" s="65"/>
      <c r="AN522" s="66"/>
      <c r="AO522" s="67"/>
      <c r="AP522" s="68"/>
      <c r="AQ522" s="67"/>
    </row>
    <row r="523" ht="15.75" customHeight="1">
      <c r="A523" s="61"/>
      <c r="B523" s="60"/>
      <c r="C523" s="60"/>
      <c r="D523" s="60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9"/>
      <c r="AJ523" s="62"/>
      <c r="AK523" s="63"/>
      <c r="AL523" s="64"/>
      <c r="AM523" s="65"/>
      <c r="AN523" s="66"/>
      <c r="AO523" s="67"/>
      <c r="AP523" s="68"/>
      <c r="AQ523" s="67"/>
    </row>
    <row r="524" ht="15.75" customHeight="1">
      <c r="A524" s="61"/>
      <c r="B524" s="60"/>
      <c r="C524" s="60"/>
      <c r="D524" s="60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9"/>
      <c r="AJ524" s="62"/>
      <c r="AK524" s="63"/>
      <c r="AL524" s="64"/>
      <c r="AM524" s="65"/>
      <c r="AN524" s="66"/>
      <c r="AO524" s="67"/>
      <c r="AP524" s="68"/>
      <c r="AQ524" s="67"/>
    </row>
    <row r="525" ht="15.75" customHeight="1">
      <c r="A525" s="61"/>
      <c r="B525" s="60"/>
      <c r="C525" s="60"/>
      <c r="D525" s="60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9"/>
      <c r="AJ525" s="62"/>
      <c r="AK525" s="63"/>
      <c r="AL525" s="64"/>
      <c r="AM525" s="65"/>
      <c r="AN525" s="66"/>
      <c r="AO525" s="67"/>
      <c r="AP525" s="68"/>
      <c r="AQ525" s="67"/>
    </row>
    <row r="526" ht="15.75" customHeight="1">
      <c r="A526" s="61"/>
      <c r="B526" s="60"/>
      <c r="C526" s="60"/>
      <c r="D526" s="60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9"/>
      <c r="AJ526" s="62"/>
      <c r="AK526" s="63"/>
      <c r="AL526" s="64"/>
      <c r="AM526" s="65"/>
      <c r="AN526" s="66"/>
      <c r="AO526" s="67"/>
      <c r="AP526" s="68"/>
      <c r="AQ526" s="67"/>
    </row>
    <row r="527" ht="15.75" customHeight="1">
      <c r="A527" s="61"/>
      <c r="B527" s="60"/>
      <c r="C527" s="60"/>
      <c r="D527" s="60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9"/>
      <c r="AJ527" s="62"/>
      <c r="AK527" s="63"/>
      <c r="AL527" s="64"/>
      <c r="AM527" s="65"/>
      <c r="AN527" s="66"/>
      <c r="AO527" s="67"/>
      <c r="AP527" s="68"/>
      <c r="AQ527" s="67"/>
    </row>
    <row r="528" ht="15.75" customHeight="1">
      <c r="A528" s="61"/>
      <c r="B528" s="60"/>
      <c r="C528" s="60"/>
      <c r="D528" s="60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9"/>
      <c r="AJ528" s="62"/>
      <c r="AK528" s="63"/>
      <c r="AL528" s="64"/>
      <c r="AM528" s="65"/>
      <c r="AN528" s="66"/>
      <c r="AO528" s="67"/>
      <c r="AP528" s="68"/>
      <c r="AQ528" s="67"/>
    </row>
    <row r="529" ht="15.75" customHeight="1">
      <c r="A529" s="61"/>
      <c r="B529" s="60"/>
      <c r="C529" s="60"/>
      <c r="D529" s="60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9"/>
      <c r="AJ529" s="62"/>
      <c r="AK529" s="63"/>
      <c r="AL529" s="64"/>
      <c r="AM529" s="65"/>
      <c r="AN529" s="66"/>
      <c r="AO529" s="67"/>
      <c r="AP529" s="68"/>
      <c r="AQ529" s="67"/>
    </row>
    <row r="530" ht="15.75" customHeight="1">
      <c r="A530" s="61"/>
      <c r="B530" s="60"/>
      <c r="C530" s="60"/>
      <c r="D530" s="60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9"/>
      <c r="AJ530" s="62"/>
      <c r="AK530" s="63"/>
      <c r="AL530" s="64"/>
      <c r="AM530" s="65"/>
      <c r="AN530" s="66"/>
      <c r="AO530" s="67"/>
      <c r="AP530" s="68"/>
      <c r="AQ530" s="67"/>
    </row>
    <row r="531" ht="15.75" customHeight="1">
      <c r="A531" s="61"/>
      <c r="B531" s="60"/>
      <c r="C531" s="60"/>
      <c r="D531" s="60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9"/>
      <c r="AJ531" s="62"/>
      <c r="AK531" s="63"/>
      <c r="AL531" s="64"/>
      <c r="AM531" s="65"/>
      <c r="AN531" s="66"/>
      <c r="AO531" s="67"/>
      <c r="AP531" s="68"/>
      <c r="AQ531" s="67"/>
    </row>
    <row r="532" ht="15.75" customHeight="1">
      <c r="A532" s="61"/>
      <c r="B532" s="60"/>
      <c r="C532" s="60"/>
      <c r="D532" s="60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9"/>
      <c r="AJ532" s="62"/>
      <c r="AK532" s="63"/>
      <c r="AL532" s="64"/>
      <c r="AM532" s="65"/>
      <c r="AN532" s="66"/>
      <c r="AO532" s="67"/>
      <c r="AP532" s="68"/>
      <c r="AQ532" s="67"/>
    </row>
    <row r="533" ht="15.75" customHeight="1">
      <c r="A533" s="61"/>
      <c r="B533" s="60"/>
      <c r="C533" s="60"/>
      <c r="D533" s="60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9"/>
      <c r="AJ533" s="62"/>
      <c r="AK533" s="63"/>
      <c r="AL533" s="64"/>
      <c r="AM533" s="65"/>
      <c r="AN533" s="66"/>
      <c r="AO533" s="67"/>
      <c r="AP533" s="68"/>
      <c r="AQ533" s="67"/>
    </row>
    <row r="534" ht="15.75" customHeight="1">
      <c r="A534" s="61"/>
      <c r="B534" s="60"/>
      <c r="C534" s="60"/>
      <c r="D534" s="60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9"/>
      <c r="AJ534" s="62"/>
      <c r="AK534" s="63"/>
      <c r="AL534" s="64"/>
      <c r="AM534" s="65"/>
      <c r="AN534" s="66"/>
      <c r="AO534" s="67"/>
      <c r="AP534" s="68"/>
      <c r="AQ534" s="67"/>
    </row>
    <row r="535" ht="15.75" customHeight="1">
      <c r="A535" s="61"/>
      <c r="B535" s="60"/>
      <c r="C535" s="60"/>
      <c r="D535" s="60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9"/>
      <c r="AJ535" s="62"/>
      <c r="AK535" s="63"/>
      <c r="AL535" s="64"/>
      <c r="AM535" s="65"/>
      <c r="AN535" s="66"/>
      <c r="AO535" s="67"/>
      <c r="AP535" s="68"/>
      <c r="AQ535" s="67"/>
    </row>
    <row r="536" ht="15.75" customHeight="1">
      <c r="A536" s="61"/>
      <c r="B536" s="60"/>
      <c r="C536" s="60"/>
      <c r="D536" s="60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9"/>
      <c r="AJ536" s="62"/>
      <c r="AK536" s="63"/>
      <c r="AL536" s="64"/>
      <c r="AM536" s="65"/>
      <c r="AN536" s="66"/>
      <c r="AO536" s="67"/>
      <c r="AP536" s="68"/>
      <c r="AQ536" s="67"/>
    </row>
    <row r="537" ht="15.75" customHeight="1">
      <c r="A537" s="61"/>
      <c r="B537" s="60"/>
      <c r="C537" s="60"/>
      <c r="D537" s="60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9"/>
      <c r="AJ537" s="62"/>
      <c r="AK537" s="63"/>
      <c r="AL537" s="64"/>
      <c r="AM537" s="65"/>
      <c r="AN537" s="66"/>
      <c r="AO537" s="67"/>
      <c r="AP537" s="68"/>
      <c r="AQ537" s="67"/>
    </row>
    <row r="538" ht="15.75" customHeight="1">
      <c r="A538" s="61"/>
      <c r="B538" s="60"/>
      <c r="C538" s="60"/>
      <c r="D538" s="60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9"/>
      <c r="AJ538" s="62"/>
      <c r="AK538" s="63"/>
      <c r="AL538" s="64"/>
      <c r="AM538" s="65"/>
      <c r="AN538" s="66"/>
      <c r="AO538" s="67"/>
      <c r="AP538" s="68"/>
      <c r="AQ538" s="67"/>
    </row>
    <row r="539" ht="15.75" customHeight="1">
      <c r="A539" s="61"/>
      <c r="B539" s="60"/>
      <c r="C539" s="60"/>
      <c r="D539" s="60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9"/>
      <c r="AJ539" s="62"/>
      <c r="AK539" s="63"/>
      <c r="AL539" s="64"/>
      <c r="AM539" s="65"/>
      <c r="AN539" s="66"/>
      <c r="AO539" s="67"/>
      <c r="AP539" s="68"/>
      <c r="AQ539" s="67"/>
    </row>
    <row r="540" ht="15.75" customHeight="1">
      <c r="A540" s="61"/>
      <c r="B540" s="60"/>
      <c r="C540" s="60"/>
      <c r="D540" s="60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9"/>
      <c r="AJ540" s="62"/>
      <c r="AK540" s="63"/>
      <c r="AL540" s="64"/>
      <c r="AM540" s="65"/>
      <c r="AN540" s="66"/>
      <c r="AO540" s="67"/>
      <c r="AP540" s="68"/>
      <c r="AQ540" s="67"/>
    </row>
    <row r="541" ht="15.75" customHeight="1">
      <c r="A541" s="61"/>
      <c r="B541" s="60"/>
      <c r="C541" s="60"/>
      <c r="D541" s="60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9"/>
      <c r="AJ541" s="62"/>
      <c r="AK541" s="63"/>
      <c r="AL541" s="64"/>
      <c r="AM541" s="65"/>
      <c r="AN541" s="66"/>
      <c r="AO541" s="67"/>
      <c r="AP541" s="68"/>
      <c r="AQ541" s="67"/>
    </row>
    <row r="542" ht="15.75" customHeight="1">
      <c r="A542" s="61"/>
      <c r="B542" s="60"/>
      <c r="C542" s="60"/>
      <c r="D542" s="60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9"/>
      <c r="AJ542" s="62"/>
      <c r="AK542" s="63"/>
      <c r="AL542" s="64"/>
      <c r="AM542" s="65"/>
      <c r="AN542" s="66"/>
      <c r="AO542" s="67"/>
      <c r="AP542" s="68"/>
      <c r="AQ542" s="67"/>
    </row>
    <row r="543" ht="15.75" customHeight="1">
      <c r="A543" s="61"/>
      <c r="B543" s="60"/>
      <c r="C543" s="60"/>
      <c r="D543" s="60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9"/>
      <c r="AJ543" s="62"/>
      <c r="AK543" s="63"/>
      <c r="AL543" s="64"/>
      <c r="AM543" s="65"/>
      <c r="AN543" s="66"/>
      <c r="AO543" s="67"/>
      <c r="AP543" s="68"/>
      <c r="AQ543" s="67"/>
    </row>
    <row r="544" ht="15.75" customHeight="1">
      <c r="A544" s="61"/>
      <c r="B544" s="60"/>
      <c r="C544" s="60"/>
      <c r="D544" s="60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9"/>
      <c r="AJ544" s="62"/>
      <c r="AK544" s="63"/>
      <c r="AL544" s="64"/>
      <c r="AM544" s="65"/>
      <c r="AN544" s="66"/>
      <c r="AO544" s="67"/>
      <c r="AP544" s="68"/>
      <c r="AQ544" s="67"/>
    </row>
    <row r="545" ht="15.75" customHeight="1">
      <c r="A545" s="61"/>
      <c r="B545" s="60"/>
      <c r="C545" s="60"/>
      <c r="D545" s="60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9"/>
      <c r="AJ545" s="62"/>
      <c r="AK545" s="63"/>
      <c r="AL545" s="64"/>
      <c r="AM545" s="65"/>
      <c r="AN545" s="66"/>
      <c r="AO545" s="67"/>
      <c r="AP545" s="68"/>
      <c r="AQ545" s="67"/>
    </row>
    <row r="546" ht="15.75" customHeight="1">
      <c r="A546" s="61"/>
      <c r="B546" s="60"/>
      <c r="C546" s="60"/>
      <c r="D546" s="60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9"/>
      <c r="AJ546" s="62"/>
      <c r="AK546" s="63"/>
      <c r="AL546" s="64"/>
      <c r="AM546" s="65"/>
      <c r="AN546" s="66"/>
      <c r="AO546" s="67"/>
      <c r="AP546" s="68"/>
      <c r="AQ546" s="67"/>
    </row>
    <row r="547" ht="15.75" customHeight="1">
      <c r="A547" s="61"/>
      <c r="B547" s="60"/>
      <c r="C547" s="60"/>
      <c r="D547" s="60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9"/>
      <c r="AJ547" s="62"/>
      <c r="AK547" s="63"/>
      <c r="AL547" s="64"/>
      <c r="AM547" s="65"/>
      <c r="AN547" s="66"/>
      <c r="AO547" s="67"/>
      <c r="AP547" s="68"/>
      <c r="AQ547" s="67"/>
    </row>
    <row r="548" ht="15.75" customHeight="1">
      <c r="A548" s="61"/>
      <c r="B548" s="60"/>
      <c r="C548" s="60"/>
      <c r="D548" s="60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9"/>
      <c r="AJ548" s="62"/>
      <c r="AK548" s="63"/>
      <c r="AL548" s="64"/>
      <c r="AM548" s="65"/>
      <c r="AN548" s="66"/>
      <c r="AO548" s="67"/>
      <c r="AP548" s="68"/>
      <c r="AQ548" s="67"/>
    </row>
    <row r="549" ht="15.75" customHeight="1">
      <c r="A549" s="61"/>
      <c r="B549" s="60"/>
      <c r="C549" s="60"/>
      <c r="D549" s="60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9"/>
      <c r="AJ549" s="62"/>
      <c r="AK549" s="63"/>
      <c r="AL549" s="64"/>
      <c r="AM549" s="65"/>
      <c r="AN549" s="66"/>
      <c r="AO549" s="67"/>
      <c r="AP549" s="68"/>
      <c r="AQ549" s="67"/>
    </row>
    <row r="550" ht="15.75" customHeight="1">
      <c r="A550" s="61"/>
      <c r="B550" s="60"/>
      <c r="C550" s="60"/>
      <c r="D550" s="60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9"/>
      <c r="AJ550" s="62"/>
      <c r="AK550" s="63"/>
      <c r="AL550" s="64"/>
      <c r="AM550" s="65"/>
      <c r="AN550" s="66"/>
      <c r="AO550" s="67"/>
      <c r="AP550" s="68"/>
      <c r="AQ550" s="67"/>
    </row>
    <row r="551" ht="15.75" customHeight="1">
      <c r="A551" s="61"/>
      <c r="B551" s="60"/>
      <c r="C551" s="60"/>
      <c r="D551" s="60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9"/>
      <c r="AJ551" s="62"/>
      <c r="AK551" s="63"/>
      <c r="AL551" s="64"/>
      <c r="AM551" s="65"/>
      <c r="AN551" s="66"/>
      <c r="AO551" s="67"/>
      <c r="AP551" s="68"/>
      <c r="AQ551" s="67"/>
    </row>
    <row r="552" ht="15.75" customHeight="1">
      <c r="A552" s="61"/>
      <c r="B552" s="60"/>
      <c r="C552" s="60"/>
      <c r="D552" s="60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9"/>
      <c r="AJ552" s="62"/>
      <c r="AK552" s="63"/>
      <c r="AL552" s="64"/>
      <c r="AM552" s="65"/>
      <c r="AN552" s="66"/>
      <c r="AO552" s="67"/>
      <c r="AP552" s="68"/>
      <c r="AQ552" s="67"/>
    </row>
    <row r="553" ht="15.75" customHeight="1">
      <c r="A553" s="61"/>
      <c r="B553" s="60"/>
      <c r="C553" s="60"/>
      <c r="D553" s="60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9"/>
      <c r="AJ553" s="62"/>
      <c r="AK553" s="63"/>
      <c r="AL553" s="64"/>
      <c r="AM553" s="65"/>
      <c r="AN553" s="66"/>
      <c r="AO553" s="67"/>
      <c r="AP553" s="68"/>
      <c r="AQ553" s="67"/>
    </row>
    <row r="554" ht="15.75" customHeight="1">
      <c r="A554" s="61"/>
      <c r="B554" s="60"/>
      <c r="C554" s="60"/>
      <c r="D554" s="60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9"/>
      <c r="AJ554" s="62"/>
      <c r="AK554" s="63"/>
      <c r="AL554" s="64"/>
      <c r="AM554" s="65"/>
      <c r="AN554" s="66"/>
      <c r="AO554" s="67"/>
      <c r="AP554" s="68"/>
      <c r="AQ554" s="67"/>
    </row>
    <row r="555" ht="15.75" customHeight="1">
      <c r="A555" s="61"/>
      <c r="B555" s="60"/>
      <c r="C555" s="60"/>
      <c r="D555" s="60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9"/>
      <c r="AJ555" s="62"/>
      <c r="AK555" s="63"/>
      <c r="AL555" s="64"/>
      <c r="AM555" s="65"/>
      <c r="AN555" s="66"/>
      <c r="AO555" s="67"/>
      <c r="AP555" s="68"/>
      <c r="AQ555" s="67"/>
    </row>
    <row r="556" ht="15.75" customHeight="1">
      <c r="A556" s="61"/>
      <c r="B556" s="60"/>
      <c r="C556" s="60"/>
      <c r="D556" s="60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9"/>
      <c r="AJ556" s="62"/>
      <c r="AK556" s="63"/>
      <c r="AL556" s="64"/>
      <c r="AM556" s="65"/>
      <c r="AN556" s="66"/>
      <c r="AO556" s="67"/>
      <c r="AP556" s="68"/>
      <c r="AQ556" s="67"/>
    </row>
    <row r="557" ht="15.75" customHeight="1">
      <c r="A557" s="61"/>
      <c r="B557" s="60"/>
      <c r="C557" s="60"/>
      <c r="D557" s="60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9"/>
      <c r="AJ557" s="62"/>
      <c r="AK557" s="63"/>
      <c r="AL557" s="64"/>
      <c r="AM557" s="65"/>
      <c r="AN557" s="66"/>
      <c r="AO557" s="67"/>
      <c r="AP557" s="68"/>
      <c r="AQ557" s="67"/>
    </row>
    <row r="558" ht="15.75" customHeight="1">
      <c r="A558" s="61"/>
      <c r="B558" s="60"/>
      <c r="C558" s="60"/>
      <c r="D558" s="60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9"/>
      <c r="AJ558" s="62"/>
      <c r="AK558" s="63"/>
      <c r="AL558" s="64"/>
      <c r="AM558" s="65"/>
      <c r="AN558" s="66"/>
      <c r="AO558" s="67"/>
      <c r="AP558" s="68"/>
      <c r="AQ558" s="67"/>
    </row>
    <row r="559" ht="15.75" customHeight="1">
      <c r="A559" s="61"/>
      <c r="B559" s="60"/>
      <c r="C559" s="60"/>
      <c r="D559" s="60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9"/>
      <c r="AJ559" s="62"/>
      <c r="AK559" s="63"/>
      <c r="AL559" s="64"/>
      <c r="AM559" s="65"/>
      <c r="AN559" s="66"/>
      <c r="AO559" s="67"/>
      <c r="AP559" s="68"/>
      <c r="AQ559" s="67"/>
    </row>
    <row r="560" ht="15.75" customHeight="1">
      <c r="A560" s="61"/>
      <c r="B560" s="60"/>
      <c r="C560" s="60"/>
      <c r="D560" s="60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9"/>
      <c r="AJ560" s="62"/>
      <c r="AK560" s="63"/>
      <c r="AL560" s="64"/>
      <c r="AM560" s="65"/>
      <c r="AN560" s="66"/>
      <c r="AO560" s="67"/>
      <c r="AP560" s="68"/>
      <c r="AQ560" s="67"/>
    </row>
    <row r="561" ht="15.75" customHeight="1">
      <c r="A561" s="61"/>
      <c r="B561" s="60"/>
      <c r="C561" s="60"/>
      <c r="D561" s="60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9"/>
      <c r="AJ561" s="62"/>
      <c r="AK561" s="63"/>
      <c r="AL561" s="64"/>
      <c r="AM561" s="65"/>
      <c r="AN561" s="66"/>
      <c r="AO561" s="67"/>
      <c r="AP561" s="68"/>
      <c r="AQ561" s="67"/>
    </row>
    <row r="562" ht="15.75" customHeight="1">
      <c r="A562" s="61"/>
      <c r="B562" s="60"/>
      <c r="C562" s="60"/>
      <c r="D562" s="60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9"/>
      <c r="AJ562" s="62"/>
      <c r="AK562" s="63"/>
      <c r="AL562" s="64"/>
      <c r="AM562" s="65"/>
      <c r="AN562" s="66"/>
      <c r="AO562" s="67"/>
      <c r="AP562" s="68"/>
      <c r="AQ562" s="67"/>
    </row>
    <row r="563" ht="15.75" customHeight="1">
      <c r="A563" s="61"/>
      <c r="B563" s="60"/>
      <c r="C563" s="60"/>
      <c r="D563" s="60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9"/>
      <c r="AJ563" s="62"/>
      <c r="AK563" s="63"/>
      <c r="AL563" s="64"/>
      <c r="AM563" s="65"/>
      <c r="AN563" s="66"/>
      <c r="AO563" s="67"/>
      <c r="AP563" s="68"/>
      <c r="AQ563" s="67"/>
    </row>
    <row r="564" ht="15.75" customHeight="1">
      <c r="A564" s="61"/>
      <c r="B564" s="60"/>
      <c r="C564" s="60"/>
      <c r="D564" s="60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9"/>
      <c r="AJ564" s="62"/>
      <c r="AK564" s="63"/>
      <c r="AL564" s="64"/>
      <c r="AM564" s="65"/>
      <c r="AN564" s="66"/>
      <c r="AO564" s="67"/>
      <c r="AP564" s="68"/>
      <c r="AQ564" s="67"/>
    </row>
    <row r="565" ht="15.75" customHeight="1">
      <c r="A565" s="61"/>
      <c r="B565" s="60"/>
      <c r="C565" s="60"/>
      <c r="D565" s="60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9"/>
      <c r="AJ565" s="62"/>
      <c r="AK565" s="63"/>
      <c r="AL565" s="64"/>
      <c r="AM565" s="65"/>
      <c r="AN565" s="66"/>
      <c r="AO565" s="67"/>
      <c r="AP565" s="68"/>
      <c r="AQ565" s="67"/>
    </row>
    <row r="566" ht="15.75" customHeight="1">
      <c r="A566" s="61"/>
      <c r="B566" s="60"/>
      <c r="C566" s="60"/>
      <c r="D566" s="60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9"/>
      <c r="AJ566" s="62"/>
      <c r="AK566" s="63"/>
      <c r="AL566" s="64"/>
      <c r="AM566" s="65"/>
      <c r="AN566" s="66"/>
      <c r="AO566" s="67"/>
      <c r="AP566" s="68"/>
      <c r="AQ566" s="67"/>
    </row>
    <row r="567" ht="15.75" customHeight="1">
      <c r="A567" s="61"/>
      <c r="B567" s="60"/>
      <c r="C567" s="60"/>
      <c r="D567" s="60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9"/>
      <c r="AJ567" s="62"/>
      <c r="AK567" s="63"/>
      <c r="AL567" s="64"/>
      <c r="AM567" s="65"/>
      <c r="AN567" s="66"/>
      <c r="AO567" s="67"/>
      <c r="AP567" s="68"/>
      <c r="AQ567" s="67"/>
    </row>
    <row r="568" ht="15.75" customHeight="1">
      <c r="A568" s="61"/>
      <c r="B568" s="60"/>
      <c r="C568" s="60"/>
      <c r="D568" s="60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9"/>
      <c r="AJ568" s="62"/>
      <c r="AK568" s="63"/>
      <c r="AL568" s="64"/>
      <c r="AM568" s="65"/>
      <c r="AN568" s="66"/>
      <c r="AO568" s="67"/>
      <c r="AP568" s="68"/>
      <c r="AQ568" s="67"/>
    </row>
    <row r="569" ht="15.75" customHeight="1">
      <c r="A569" s="61"/>
      <c r="B569" s="60"/>
      <c r="C569" s="60"/>
      <c r="D569" s="60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9"/>
      <c r="AJ569" s="62"/>
      <c r="AK569" s="63"/>
      <c r="AL569" s="64"/>
      <c r="AM569" s="65"/>
      <c r="AN569" s="66"/>
      <c r="AO569" s="67"/>
      <c r="AP569" s="68"/>
      <c r="AQ569" s="67"/>
    </row>
    <row r="570" ht="15.75" customHeight="1">
      <c r="A570" s="61"/>
      <c r="B570" s="60"/>
      <c r="C570" s="60"/>
      <c r="D570" s="60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9"/>
      <c r="AJ570" s="62"/>
      <c r="AK570" s="63"/>
      <c r="AL570" s="64"/>
      <c r="AM570" s="65"/>
      <c r="AN570" s="66"/>
      <c r="AO570" s="67"/>
      <c r="AP570" s="68"/>
      <c r="AQ570" s="67"/>
    </row>
    <row r="571" ht="15.75" customHeight="1">
      <c r="A571" s="61"/>
      <c r="B571" s="60"/>
      <c r="C571" s="60"/>
      <c r="D571" s="60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9"/>
      <c r="AJ571" s="62"/>
      <c r="AK571" s="63"/>
      <c r="AL571" s="64"/>
      <c r="AM571" s="65"/>
      <c r="AN571" s="66"/>
      <c r="AO571" s="67"/>
      <c r="AP571" s="68"/>
      <c r="AQ571" s="67"/>
    </row>
    <row r="572" ht="15.75" customHeight="1">
      <c r="A572" s="61"/>
      <c r="B572" s="60"/>
      <c r="C572" s="60"/>
      <c r="D572" s="60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9"/>
      <c r="AJ572" s="62"/>
      <c r="AK572" s="63"/>
      <c r="AL572" s="64"/>
      <c r="AM572" s="65"/>
      <c r="AN572" s="66"/>
      <c r="AO572" s="67"/>
      <c r="AP572" s="68"/>
      <c r="AQ572" s="67"/>
    </row>
    <row r="573" ht="15.75" customHeight="1">
      <c r="A573" s="61"/>
      <c r="B573" s="60"/>
      <c r="C573" s="60"/>
      <c r="D573" s="60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9"/>
      <c r="AJ573" s="62"/>
      <c r="AK573" s="63"/>
      <c r="AL573" s="64"/>
      <c r="AM573" s="65"/>
      <c r="AN573" s="66"/>
      <c r="AO573" s="67"/>
      <c r="AP573" s="68"/>
      <c r="AQ573" s="67"/>
    </row>
    <row r="574" ht="15.75" customHeight="1">
      <c r="A574" s="61"/>
      <c r="B574" s="60"/>
      <c r="C574" s="60"/>
      <c r="D574" s="60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9"/>
      <c r="AJ574" s="62"/>
      <c r="AK574" s="63"/>
      <c r="AL574" s="64"/>
      <c r="AM574" s="65"/>
      <c r="AN574" s="66"/>
      <c r="AO574" s="67"/>
      <c r="AP574" s="68"/>
      <c r="AQ574" s="67"/>
    </row>
    <row r="575" ht="15.75" customHeight="1">
      <c r="A575" s="61"/>
      <c r="B575" s="60"/>
      <c r="C575" s="60"/>
      <c r="D575" s="60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9"/>
      <c r="AJ575" s="62"/>
      <c r="AK575" s="63"/>
      <c r="AL575" s="64"/>
      <c r="AM575" s="65"/>
      <c r="AN575" s="66"/>
      <c r="AO575" s="67"/>
      <c r="AP575" s="68"/>
      <c r="AQ575" s="67"/>
    </row>
    <row r="576" ht="15.75" customHeight="1">
      <c r="A576" s="61"/>
      <c r="B576" s="60"/>
      <c r="C576" s="60"/>
      <c r="D576" s="60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9"/>
      <c r="AJ576" s="62"/>
      <c r="AK576" s="63"/>
      <c r="AL576" s="64"/>
      <c r="AM576" s="65"/>
      <c r="AN576" s="66"/>
      <c r="AO576" s="67"/>
      <c r="AP576" s="68"/>
      <c r="AQ576" s="67"/>
    </row>
    <row r="577" ht="15.75" customHeight="1">
      <c r="A577" s="61"/>
      <c r="B577" s="60"/>
      <c r="C577" s="60"/>
      <c r="D577" s="60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9"/>
      <c r="AJ577" s="62"/>
      <c r="AK577" s="63"/>
      <c r="AL577" s="64"/>
      <c r="AM577" s="65"/>
      <c r="AN577" s="66"/>
      <c r="AO577" s="67"/>
      <c r="AP577" s="68"/>
      <c r="AQ577" s="67"/>
    </row>
    <row r="578" ht="15.75" customHeight="1">
      <c r="A578" s="61"/>
      <c r="B578" s="60"/>
      <c r="C578" s="60"/>
      <c r="D578" s="60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9"/>
      <c r="AJ578" s="62"/>
      <c r="AK578" s="63"/>
      <c r="AL578" s="64"/>
      <c r="AM578" s="65"/>
      <c r="AN578" s="66"/>
      <c r="AO578" s="67"/>
      <c r="AP578" s="68"/>
      <c r="AQ578" s="67"/>
    </row>
    <row r="579" ht="15.75" customHeight="1">
      <c r="A579" s="61"/>
      <c r="B579" s="60"/>
      <c r="C579" s="60"/>
      <c r="D579" s="60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9"/>
      <c r="AJ579" s="62"/>
      <c r="AK579" s="63"/>
      <c r="AL579" s="64"/>
      <c r="AM579" s="65"/>
      <c r="AN579" s="66"/>
      <c r="AO579" s="67"/>
      <c r="AP579" s="68"/>
      <c r="AQ579" s="67"/>
    </row>
    <row r="580" ht="15.75" customHeight="1">
      <c r="A580" s="61"/>
      <c r="B580" s="60"/>
      <c r="C580" s="60"/>
      <c r="D580" s="60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9"/>
      <c r="AJ580" s="62"/>
      <c r="AK580" s="63"/>
      <c r="AL580" s="64"/>
      <c r="AM580" s="65"/>
      <c r="AN580" s="66"/>
      <c r="AO580" s="67"/>
      <c r="AP580" s="68"/>
      <c r="AQ580" s="67"/>
    </row>
    <row r="581" ht="15.75" customHeight="1">
      <c r="A581" s="61"/>
      <c r="B581" s="60"/>
      <c r="C581" s="60"/>
      <c r="D581" s="60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9"/>
      <c r="AJ581" s="62"/>
      <c r="AK581" s="63"/>
      <c r="AL581" s="64"/>
      <c r="AM581" s="65"/>
      <c r="AN581" s="66"/>
      <c r="AO581" s="67"/>
      <c r="AP581" s="68"/>
      <c r="AQ581" s="67"/>
    </row>
    <row r="582" ht="15.75" customHeight="1">
      <c r="A582" s="61"/>
      <c r="B582" s="60"/>
      <c r="C582" s="60"/>
      <c r="D582" s="60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9"/>
      <c r="AJ582" s="62"/>
      <c r="AK582" s="63"/>
      <c r="AL582" s="64"/>
      <c r="AM582" s="65"/>
      <c r="AN582" s="66"/>
      <c r="AO582" s="67"/>
      <c r="AP582" s="68"/>
      <c r="AQ582" s="67"/>
    </row>
    <row r="583" ht="15.75" customHeight="1">
      <c r="A583" s="61"/>
      <c r="B583" s="60"/>
      <c r="C583" s="60"/>
      <c r="D583" s="60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9"/>
      <c r="AJ583" s="62"/>
      <c r="AK583" s="63"/>
      <c r="AL583" s="64"/>
      <c r="AM583" s="65"/>
      <c r="AN583" s="66"/>
      <c r="AO583" s="67"/>
      <c r="AP583" s="68"/>
      <c r="AQ583" s="67"/>
    </row>
    <row r="584" ht="15.75" customHeight="1">
      <c r="A584" s="61"/>
      <c r="B584" s="60"/>
      <c r="C584" s="60"/>
      <c r="D584" s="60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9"/>
      <c r="AJ584" s="62"/>
      <c r="AK584" s="63"/>
      <c r="AL584" s="64"/>
      <c r="AM584" s="65"/>
      <c r="AN584" s="66"/>
      <c r="AO584" s="67"/>
      <c r="AP584" s="68"/>
      <c r="AQ584" s="67"/>
    </row>
    <row r="585" ht="15.75" customHeight="1">
      <c r="A585" s="61"/>
      <c r="B585" s="60"/>
      <c r="C585" s="60"/>
      <c r="D585" s="60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9"/>
      <c r="AJ585" s="62"/>
      <c r="AK585" s="63"/>
      <c r="AL585" s="64"/>
      <c r="AM585" s="65"/>
      <c r="AN585" s="66"/>
      <c r="AO585" s="67"/>
      <c r="AP585" s="68"/>
      <c r="AQ585" s="67"/>
    </row>
    <row r="586" ht="15.75" customHeight="1">
      <c r="A586" s="61"/>
      <c r="B586" s="60"/>
      <c r="C586" s="60"/>
      <c r="D586" s="60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9"/>
      <c r="AJ586" s="62"/>
      <c r="AK586" s="63"/>
      <c r="AL586" s="64"/>
      <c r="AM586" s="65"/>
      <c r="AN586" s="66"/>
      <c r="AO586" s="67"/>
      <c r="AP586" s="68"/>
      <c r="AQ586" s="67"/>
    </row>
    <row r="587" ht="15.75" customHeight="1">
      <c r="A587" s="61"/>
      <c r="B587" s="60"/>
      <c r="C587" s="60"/>
      <c r="D587" s="60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9"/>
      <c r="AJ587" s="62"/>
      <c r="AK587" s="63"/>
      <c r="AL587" s="64"/>
      <c r="AM587" s="65"/>
      <c r="AN587" s="66"/>
      <c r="AO587" s="67"/>
      <c r="AP587" s="68"/>
      <c r="AQ587" s="67"/>
    </row>
    <row r="588" ht="15.75" customHeight="1">
      <c r="A588" s="61"/>
      <c r="B588" s="60"/>
      <c r="C588" s="60"/>
      <c r="D588" s="60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9"/>
      <c r="AJ588" s="62"/>
      <c r="AK588" s="63"/>
      <c r="AL588" s="64"/>
      <c r="AM588" s="65"/>
      <c r="AN588" s="66"/>
      <c r="AO588" s="67"/>
      <c r="AP588" s="68"/>
      <c r="AQ588" s="67"/>
    </row>
    <row r="589" ht="15.75" customHeight="1">
      <c r="A589" s="61"/>
      <c r="B589" s="60"/>
      <c r="C589" s="60"/>
      <c r="D589" s="60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9"/>
      <c r="AJ589" s="62"/>
      <c r="AK589" s="63"/>
      <c r="AL589" s="64"/>
      <c r="AM589" s="65"/>
      <c r="AN589" s="66"/>
      <c r="AO589" s="67"/>
      <c r="AP589" s="68"/>
      <c r="AQ589" s="67"/>
    </row>
    <row r="590" ht="15.75" customHeight="1">
      <c r="A590" s="61"/>
      <c r="B590" s="60"/>
      <c r="C590" s="60"/>
      <c r="D590" s="60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9"/>
      <c r="AJ590" s="62"/>
      <c r="AK590" s="63"/>
      <c r="AL590" s="64"/>
      <c r="AM590" s="65"/>
      <c r="AN590" s="66"/>
      <c r="AO590" s="67"/>
      <c r="AP590" s="68"/>
      <c r="AQ590" s="67"/>
    </row>
    <row r="591" ht="15.75" customHeight="1">
      <c r="A591" s="61"/>
      <c r="B591" s="60"/>
      <c r="C591" s="60"/>
      <c r="D591" s="60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9"/>
      <c r="AJ591" s="62"/>
      <c r="AK591" s="63"/>
      <c r="AL591" s="64"/>
      <c r="AM591" s="65"/>
      <c r="AN591" s="66"/>
      <c r="AO591" s="67"/>
      <c r="AP591" s="68"/>
      <c r="AQ591" s="67"/>
    </row>
    <row r="592" ht="15.75" customHeight="1">
      <c r="A592" s="61"/>
      <c r="B592" s="60"/>
      <c r="C592" s="60"/>
      <c r="D592" s="60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9"/>
      <c r="AJ592" s="62"/>
      <c r="AK592" s="63"/>
      <c r="AL592" s="64"/>
      <c r="AM592" s="65"/>
      <c r="AN592" s="66"/>
      <c r="AO592" s="67"/>
      <c r="AP592" s="68"/>
      <c r="AQ592" s="67"/>
    </row>
    <row r="593" ht="15.75" customHeight="1">
      <c r="A593" s="61"/>
      <c r="B593" s="60"/>
      <c r="C593" s="60"/>
      <c r="D593" s="60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9"/>
      <c r="AJ593" s="62"/>
      <c r="AK593" s="63"/>
      <c r="AL593" s="64"/>
      <c r="AM593" s="65"/>
      <c r="AN593" s="66"/>
      <c r="AO593" s="67"/>
      <c r="AP593" s="68"/>
      <c r="AQ593" s="67"/>
    </row>
    <row r="594" ht="15.75" customHeight="1">
      <c r="A594" s="61"/>
      <c r="B594" s="60"/>
      <c r="C594" s="60"/>
      <c r="D594" s="60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9"/>
      <c r="AJ594" s="62"/>
      <c r="AK594" s="63"/>
      <c r="AL594" s="64"/>
      <c r="AM594" s="65"/>
      <c r="AN594" s="66"/>
      <c r="AO594" s="67"/>
      <c r="AP594" s="68"/>
      <c r="AQ594" s="67"/>
    </row>
    <row r="595" ht="15.75" customHeight="1">
      <c r="A595" s="61"/>
      <c r="B595" s="60"/>
      <c r="C595" s="60"/>
      <c r="D595" s="60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9"/>
      <c r="AJ595" s="62"/>
      <c r="AK595" s="63"/>
      <c r="AL595" s="64"/>
      <c r="AM595" s="65"/>
      <c r="AN595" s="66"/>
      <c r="AO595" s="67"/>
      <c r="AP595" s="68"/>
      <c r="AQ595" s="67"/>
    </row>
    <row r="596" ht="15.75" customHeight="1">
      <c r="A596" s="61"/>
      <c r="B596" s="60"/>
      <c r="C596" s="60"/>
      <c r="D596" s="60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9"/>
      <c r="AJ596" s="62"/>
      <c r="AK596" s="63"/>
      <c r="AL596" s="64"/>
      <c r="AM596" s="65"/>
      <c r="AN596" s="66"/>
      <c r="AO596" s="67"/>
      <c r="AP596" s="68"/>
      <c r="AQ596" s="67"/>
    </row>
    <row r="597" ht="15.75" customHeight="1">
      <c r="A597" s="61"/>
      <c r="B597" s="60"/>
      <c r="C597" s="60"/>
      <c r="D597" s="60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9"/>
      <c r="AJ597" s="62"/>
      <c r="AK597" s="63"/>
      <c r="AL597" s="64"/>
      <c r="AM597" s="65"/>
      <c r="AN597" s="66"/>
      <c r="AO597" s="67"/>
      <c r="AP597" s="68"/>
      <c r="AQ597" s="67"/>
    </row>
    <row r="598" ht="15.75" customHeight="1">
      <c r="A598" s="61"/>
      <c r="B598" s="60"/>
      <c r="C598" s="60"/>
      <c r="D598" s="60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9"/>
      <c r="AJ598" s="62"/>
      <c r="AK598" s="63"/>
      <c r="AL598" s="64"/>
      <c r="AM598" s="65"/>
      <c r="AN598" s="66"/>
      <c r="AO598" s="67"/>
      <c r="AP598" s="68"/>
      <c r="AQ598" s="67"/>
    </row>
    <row r="599" ht="15.75" customHeight="1">
      <c r="A599" s="61"/>
      <c r="B599" s="60"/>
      <c r="C599" s="60"/>
      <c r="D599" s="60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9"/>
      <c r="AJ599" s="62"/>
      <c r="AK599" s="63"/>
      <c r="AL599" s="64"/>
      <c r="AM599" s="65"/>
      <c r="AN599" s="66"/>
      <c r="AO599" s="67"/>
      <c r="AP599" s="68"/>
      <c r="AQ599" s="67"/>
    </row>
    <row r="600" ht="15.75" customHeight="1">
      <c r="A600" s="61"/>
      <c r="B600" s="60"/>
      <c r="C600" s="60"/>
      <c r="D600" s="60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9"/>
      <c r="AJ600" s="62"/>
      <c r="AK600" s="63"/>
      <c r="AL600" s="64"/>
      <c r="AM600" s="65"/>
      <c r="AN600" s="66"/>
      <c r="AO600" s="67"/>
      <c r="AP600" s="68"/>
      <c r="AQ600" s="67"/>
    </row>
    <row r="601" ht="15.75" customHeight="1">
      <c r="A601" s="61"/>
      <c r="B601" s="60"/>
      <c r="C601" s="60"/>
      <c r="D601" s="60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9"/>
      <c r="AJ601" s="62"/>
      <c r="AK601" s="63"/>
      <c r="AL601" s="64"/>
      <c r="AM601" s="65"/>
      <c r="AN601" s="66"/>
      <c r="AO601" s="67"/>
      <c r="AP601" s="68"/>
      <c r="AQ601" s="67"/>
    </row>
    <row r="602" ht="15.75" customHeight="1">
      <c r="A602" s="61"/>
      <c r="B602" s="60"/>
      <c r="C602" s="60"/>
      <c r="D602" s="60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9"/>
      <c r="AJ602" s="62"/>
      <c r="AK602" s="63"/>
      <c r="AL602" s="64"/>
      <c r="AM602" s="65"/>
      <c r="AN602" s="66"/>
      <c r="AO602" s="67"/>
      <c r="AP602" s="68"/>
      <c r="AQ602" s="67"/>
    </row>
    <row r="603" ht="15.75" customHeight="1">
      <c r="A603" s="61"/>
      <c r="B603" s="60"/>
      <c r="C603" s="60"/>
      <c r="D603" s="60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9"/>
      <c r="AJ603" s="62"/>
      <c r="AK603" s="63"/>
      <c r="AL603" s="64"/>
      <c r="AM603" s="65"/>
      <c r="AN603" s="66"/>
      <c r="AO603" s="67"/>
      <c r="AP603" s="68"/>
      <c r="AQ603" s="67"/>
    </row>
    <row r="604" ht="15.75" customHeight="1">
      <c r="A604" s="61"/>
      <c r="B604" s="60"/>
      <c r="C604" s="60"/>
      <c r="D604" s="60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9"/>
      <c r="AJ604" s="62"/>
      <c r="AK604" s="63"/>
      <c r="AL604" s="64"/>
      <c r="AM604" s="65"/>
      <c r="AN604" s="66"/>
      <c r="AO604" s="67"/>
      <c r="AP604" s="68"/>
      <c r="AQ604" s="67"/>
    </row>
    <row r="605" ht="15.75" customHeight="1">
      <c r="A605" s="61"/>
      <c r="B605" s="60"/>
      <c r="C605" s="60"/>
      <c r="D605" s="60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9"/>
      <c r="AJ605" s="62"/>
      <c r="AK605" s="63"/>
      <c r="AL605" s="64"/>
      <c r="AM605" s="65"/>
      <c r="AN605" s="66"/>
      <c r="AO605" s="67"/>
      <c r="AP605" s="68"/>
      <c r="AQ605" s="67"/>
    </row>
    <row r="606" ht="15.75" customHeight="1">
      <c r="A606" s="61"/>
      <c r="B606" s="60"/>
      <c r="C606" s="60"/>
      <c r="D606" s="60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9"/>
      <c r="AJ606" s="62"/>
      <c r="AK606" s="63"/>
      <c r="AL606" s="64"/>
      <c r="AM606" s="65"/>
      <c r="AN606" s="66"/>
      <c r="AO606" s="67"/>
      <c r="AP606" s="68"/>
      <c r="AQ606" s="67"/>
    </row>
    <row r="607" ht="15.75" customHeight="1">
      <c r="A607" s="61"/>
      <c r="B607" s="60"/>
      <c r="C607" s="60"/>
      <c r="D607" s="60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9"/>
      <c r="AJ607" s="62"/>
      <c r="AK607" s="63"/>
      <c r="AL607" s="64"/>
      <c r="AM607" s="65"/>
      <c r="AN607" s="66"/>
      <c r="AO607" s="67"/>
      <c r="AP607" s="68"/>
      <c r="AQ607" s="67"/>
    </row>
    <row r="608" ht="15.75" customHeight="1">
      <c r="A608" s="61"/>
      <c r="B608" s="60"/>
      <c r="C608" s="60"/>
      <c r="D608" s="60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9"/>
      <c r="AJ608" s="62"/>
      <c r="AK608" s="63"/>
      <c r="AL608" s="64"/>
      <c r="AM608" s="65"/>
      <c r="AN608" s="66"/>
      <c r="AO608" s="67"/>
      <c r="AP608" s="68"/>
      <c r="AQ608" s="67"/>
    </row>
    <row r="609" ht="15.75" customHeight="1">
      <c r="A609" s="61"/>
      <c r="B609" s="60"/>
      <c r="C609" s="60"/>
      <c r="D609" s="60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9"/>
      <c r="AJ609" s="62"/>
      <c r="AK609" s="63"/>
      <c r="AL609" s="64"/>
      <c r="AM609" s="65"/>
      <c r="AN609" s="66"/>
      <c r="AO609" s="67"/>
      <c r="AP609" s="68"/>
      <c r="AQ609" s="67"/>
    </row>
    <row r="610" ht="15.75" customHeight="1">
      <c r="A610" s="61"/>
      <c r="B610" s="60"/>
      <c r="C610" s="60"/>
      <c r="D610" s="60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9"/>
      <c r="AJ610" s="62"/>
      <c r="AK610" s="63"/>
      <c r="AL610" s="64"/>
      <c r="AM610" s="65"/>
      <c r="AN610" s="66"/>
      <c r="AO610" s="67"/>
      <c r="AP610" s="68"/>
      <c r="AQ610" s="67"/>
    </row>
    <row r="611" ht="15.75" customHeight="1">
      <c r="A611" s="61"/>
      <c r="B611" s="60"/>
      <c r="C611" s="60"/>
      <c r="D611" s="60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9"/>
      <c r="AJ611" s="62"/>
      <c r="AK611" s="63"/>
      <c r="AL611" s="64"/>
      <c r="AM611" s="65"/>
      <c r="AN611" s="66"/>
      <c r="AO611" s="67"/>
      <c r="AP611" s="68"/>
      <c r="AQ611" s="67"/>
    </row>
    <row r="612" ht="15.75" customHeight="1">
      <c r="A612" s="61"/>
      <c r="B612" s="60"/>
      <c r="C612" s="60"/>
      <c r="D612" s="60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9"/>
      <c r="AJ612" s="62"/>
      <c r="AK612" s="63"/>
      <c r="AL612" s="64"/>
      <c r="AM612" s="65"/>
      <c r="AN612" s="66"/>
      <c r="AO612" s="67"/>
      <c r="AP612" s="68"/>
      <c r="AQ612" s="67"/>
    </row>
    <row r="613" ht="15.75" customHeight="1">
      <c r="A613" s="61"/>
      <c r="B613" s="60"/>
      <c r="C613" s="60"/>
      <c r="D613" s="60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9"/>
      <c r="AJ613" s="62"/>
      <c r="AK613" s="63"/>
      <c r="AL613" s="64"/>
      <c r="AM613" s="65"/>
      <c r="AN613" s="66"/>
      <c r="AO613" s="67"/>
      <c r="AP613" s="68"/>
      <c r="AQ613" s="67"/>
    </row>
    <row r="614" ht="15.75" customHeight="1">
      <c r="A614" s="61"/>
      <c r="B614" s="60"/>
      <c r="C614" s="60"/>
      <c r="D614" s="60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9"/>
      <c r="AJ614" s="62"/>
      <c r="AK614" s="63"/>
      <c r="AL614" s="64"/>
      <c r="AM614" s="65"/>
      <c r="AN614" s="66"/>
      <c r="AO614" s="67"/>
      <c r="AP614" s="68"/>
      <c r="AQ614" s="67"/>
    </row>
    <row r="615" ht="15.75" customHeight="1">
      <c r="A615" s="61"/>
      <c r="B615" s="60"/>
      <c r="C615" s="60"/>
      <c r="D615" s="60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9"/>
      <c r="AJ615" s="62"/>
      <c r="AK615" s="63"/>
      <c r="AL615" s="64"/>
      <c r="AM615" s="65"/>
      <c r="AN615" s="66"/>
      <c r="AO615" s="67"/>
      <c r="AP615" s="68"/>
      <c r="AQ615" s="67"/>
    </row>
    <row r="616" ht="15.75" customHeight="1">
      <c r="A616" s="61"/>
      <c r="B616" s="60"/>
      <c r="C616" s="60"/>
      <c r="D616" s="60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9"/>
      <c r="AJ616" s="62"/>
      <c r="AK616" s="63"/>
      <c r="AL616" s="64"/>
      <c r="AM616" s="65"/>
      <c r="AN616" s="66"/>
      <c r="AO616" s="67"/>
      <c r="AP616" s="68"/>
      <c r="AQ616" s="67"/>
    </row>
    <row r="617" ht="15.75" customHeight="1">
      <c r="A617" s="61"/>
      <c r="B617" s="60"/>
      <c r="C617" s="60"/>
      <c r="D617" s="60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9"/>
      <c r="AJ617" s="62"/>
      <c r="AK617" s="63"/>
      <c r="AL617" s="64"/>
      <c r="AM617" s="65"/>
      <c r="AN617" s="66"/>
      <c r="AO617" s="67"/>
      <c r="AP617" s="68"/>
      <c r="AQ617" s="67"/>
    </row>
    <row r="618" ht="15.75" customHeight="1">
      <c r="A618" s="61"/>
      <c r="B618" s="60"/>
      <c r="C618" s="60"/>
      <c r="D618" s="60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9"/>
      <c r="AJ618" s="62"/>
      <c r="AK618" s="63"/>
      <c r="AL618" s="64"/>
      <c r="AM618" s="65"/>
      <c r="AN618" s="66"/>
      <c r="AO618" s="67"/>
      <c r="AP618" s="68"/>
      <c r="AQ618" s="67"/>
    </row>
    <row r="619" ht="15.75" customHeight="1">
      <c r="A619" s="61"/>
      <c r="B619" s="60"/>
      <c r="C619" s="60"/>
      <c r="D619" s="60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9"/>
      <c r="AJ619" s="62"/>
      <c r="AK619" s="63"/>
      <c r="AL619" s="64"/>
      <c r="AM619" s="65"/>
      <c r="AN619" s="66"/>
      <c r="AO619" s="67"/>
      <c r="AP619" s="68"/>
      <c r="AQ619" s="67"/>
    </row>
    <row r="620" ht="15.75" customHeight="1">
      <c r="A620" s="61"/>
      <c r="B620" s="60"/>
      <c r="C620" s="60"/>
      <c r="D620" s="60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9"/>
      <c r="AJ620" s="62"/>
      <c r="AK620" s="63"/>
      <c r="AL620" s="64"/>
      <c r="AM620" s="65"/>
      <c r="AN620" s="66"/>
      <c r="AO620" s="67"/>
      <c r="AP620" s="68"/>
      <c r="AQ620" s="67"/>
    </row>
    <row r="621" ht="15.75" customHeight="1">
      <c r="A621" s="61"/>
      <c r="B621" s="60"/>
      <c r="C621" s="60"/>
      <c r="D621" s="60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9"/>
      <c r="AJ621" s="62"/>
      <c r="AK621" s="63"/>
      <c r="AL621" s="64"/>
      <c r="AM621" s="65"/>
      <c r="AN621" s="66"/>
      <c r="AO621" s="67"/>
      <c r="AP621" s="68"/>
      <c r="AQ621" s="67"/>
    </row>
    <row r="622" ht="15.75" customHeight="1">
      <c r="A622" s="61"/>
      <c r="B622" s="60"/>
      <c r="C622" s="60"/>
      <c r="D622" s="60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9"/>
      <c r="AJ622" s="62"/>
      <c r="AK622" s="63"/>
      <c r="AL622" s="64"/>
      <c r="AM622" s="65"/>
      <c r="AN622" s="66"/>
      <c r="AO622" s="67"/>
      <c r="AP622" s="68"/>
      <c r="AQ622" s="67"/>
    </row>
    <row r="623" ht="15.75" customHeight="1">
      <c r="A623" s="61"/>
      <c r="B623" s="60"/>
      <c r="C623" s="60"/>
      <c r="D623" s="60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9"/>
      <c r="AJ623" s="62"/>
      <c r="AK623" s="63"/>
      <c r="AL623" s="64"/>
      <c r="AM623" s="65"/>
      <c r="AN623" s="66"/>
      <c r="AO623" s="67"/>
      <c r="AP623" s="68"/>
      <c r="AQ623" s="67"/>
    </row>
    <row r="624" ht="15.75" customHeight="1">
      <c r="A624" s="61"/>
      <c r="B624" s="60"/>
      <c r="C624" s="60"/>
      <c r="D624" s="60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9"/>
      <c r="AJ624" s="62"/>
      <c r="AK624" s="63"/>
      <c r="AL624" s="64"/>
      <c r="AM624" s="65"/>
      <c r="AN624" s="66"/>
      <c r="AO624" s="67"/>
      <c r="AP624" s="68"/>
      <c r="AQ624" s="67"/>
    </row>
    <row r="625" ht="15.75" customHeight="1">
      <c r="A625" s="61"/>
      <c r="B625" s="60"/>
      <c r="C625" s="60"/>
      <c r="D625" s="60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9"/>
      <c r="AJ625" s="62"/>
      <c r="AK625" s="63"/>
      <c r="AL625" s="64"/>
      <c r="AM625" s="65"/>
      <c r="AN625" s="66"/>
      <c r="AO625" s="67"/>
      <c r="AP625" s="68"/>
      <c r="AQ625" s="67"/>
    </row>
    <row r="626" ht="15.75" customHeight="1">
      <c r="A626" s="61"/>
      <c r="B626" s="60"/>
      <c r="C626" s="60"/>
      <c r="D626" s="60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9"/>
      <c r="AJ626" s="62"/>
      <c r="AK626" s="63"/>
      <c r="AL626" s="64"/>
      <c r="AM626" s="65"/>
      <c r="AN626" s="66"/>
      <c r="AO626" s="67"/>
      <c r="AP626" s="68"/>
      <c r="AQ626" s="67"/>
    </row>
    <row r="627" ht="15.75" customHeight="1">
      <c r="A627" s="61"/>
      <c r="B627" s="60"/>
      <c r="C627" s="60"/>
      <c r="D627" s="60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9"/>
      <c r="AJ627" s="62"/>
      <c r="AK627" s="63"/>
      <c r="AL627" s="64"/>
      <c r="AM627" s="65"/>
      <c r="AN627" s="66"/>
      <c r="AO627" s="67"/>
      <c r="AP627" s="68"/>
      <c r="AQ627" s="67"/>
    </row>
    <row r="628" ht="15.75" customHeight="1">
      <c r="A628" s="61"/>
      <c r="B628" s="60"/>
      <c r="C628" s="60"/>
      <c r="D628" s="60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9"/>
      <c r="AJ628" s="62"/>
      <c r="AK628" s="63"/>
      <c r="AL628" s="64"/>
      <c r="AM628" s="65"/>
      <c r="AN628" s="66"/>
      <c r="AO628" s="67"/>
      <c r="AP628" s="68"/>
      <c r="AQ628" s="67"/>
    </row>
    <row r="629" ht="15.75" customHeight="1">
      <c r="A629" s="61"/>
      <c r="B629" s="60"/>
      <c r="C629" s="60"/>
      <c r="D629" s="60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9"/>
      <c r="AJ629" s="62"/>
      <c r="AK629" s="63"/>
      <c r="AL629" s="64"/>
      <c r="AM629" s="65"/>
      <c r="AN629" s="66"/>
      <c r="AO629" s="67"/>
      <c r="AP629" s="68"/>
      <c r="AQ629" s="67"/>
    </row>
    <row r="630" ht="15.75" customHeight="1">
      <c r="A630" s="61"/>
      <c r="B630" s="60"/>
      <c r="C630" s="60"/>
      <c r="D630" s="60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9"/>
      <c r="AJ630" s="62"/>
      <c r="AK630" s="63"/>
      <c r="AL630" s="64"/>
      <c r="AM630" s="65"/>
      <c r="AN630" s="66"/>
      <c r="AO630" s="67"/>
      <c r="AP630" s="68"/>
      <c r="AQ630" s="67"/>
    </row>
    <row r="631" ht="15.75" customHeight="1">
      <c r="A631" s="61"/>
      <c r="B631" s="60"/>
      <c r="C631" s="60"/>
      <c r="D631" s="60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9"/>
      <c r="AJ631" s="62"/>
      <c r="AK631" s="63"/>
      <c r="AL631" s="64"/>
      <c r="AM631" s="65"/>
      <c r="AN631" s="66"/>
      <c r="AO631" s="67"/>
      <c r="AP631" s="68"/>
      <c r="AQ631" s="67"/>
    </row>
    <row r="632" ht="15.75" customHeight="1">
      <c r="A632" s="61"/>
      <c r="B632" s="60"/>
      <c r="C632" s="60"/>
      <c r="D632" s="60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9"/>
      <c r="AJ632" s="62"/>
      <c r="AK632" s="63"/>
      <c r="AL632" s="64"/>
      <c r="AM632" s="65"/>
      <c r="AN632" s="66"/>
      <c r="AO632" s="67"/>
      <c r="AP632" s="68"/>
      <c r="AQ632" s="67"/>
    </row>
    <row r="633" ht="15.75" customHeight="1">
      <c r="A633" s="61"/>
      <c r="B633" s="60"/>
      <c r="C633" s="60"/>
      <c r="D633" s="60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9"/>
      <c r="AJ633" s="62"/>
      <c r="AK633" s="63"/>
      <c r="AL633" s="64"/>
      <c r="AM633" s="65"/>
      <c r="AN633" s="66"/>
      <c r="AO633" s="67"/>
      <c r="AP633" s="68"/>
      <c r="AQ633" s="67"/>
    </row>
    <row r="634" ht="15.75" customHeight="1">
      <c r="A634" s="61"/>
      <c r="B634" s="60"/>
      <c r="C634" s="60"/>
      <c r="D634" s="60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9"/>
      <c r="AJ634" s="62"/>
      <c r="AK634" s="63"/>
      <c r="AL634" s="64"/>
      <c r="AM634" s="65"/>
      <c r="AN634" s="66"/>
      <c r="AO634" s="67"/>
      <c r="AP634" s="68"/>
      <c r="AQ634" s="67"/>
    </row>
    <row r="635" ht="15.75" customHeight="1">
      <c r="A635" s="61"/>
      <c r="B635" s="60"/>
      <c r="C635" s="60"/>
      <c r="D635" s="60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9"/>
      <c r="AJ635" s="62"/>
      <c r="AK635" s="63"/>
      <c r="AL635" s="64"/>
      <c r="AM635" s="65"/>
      <c r="AN635" s="66"/>
      <c r="AO635" s="67"/>
      <c r="AP635" s="68"/>
      <c r="AQ635" s="67"/>
    </row>
    <row r="636" ht="15.75" customHeight="1">
      <c r="A636" s="61"/>
      <c r="B636" s="60"/>
      <c r="C636" s="60"/>
      <c r="D636" s="60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9"/>
      <c r="AJ636" s="62"/>
      <c r="AK636" s="63"/>
      <c r="AL636" s="64"/>
      <c r="AM636" s="65"/>
      <c r="AN636" s="66"/>
      <c r="AO636" s="67"/>
      <c r="AP636" s="68"/>
      <c r="AQ636" s="67"/>
    </row>
    <row r="637" ht="15.75" customHeight="1">
      <c r="A637" s="61"/>
      <c r="B637" s="60"/>
      <c r="C637" s="60"/>
      <c r="D637" s="60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9"/>
      <c r="AJ637" s="62"/>
      <c r="AK637" s="63"/>
      <c r="AL637" s="64"/>
      <c r="AM637" s="65"/>
      <c r="AN637" s="66"/>
      <c r="AO637" s="67"/>
      <c r="AP637" s="68"/>
      <c r="AQ637" s="67"/>
    </row>
    <row r="638" ht="15.75" customHeight="1">
      <c r="A638" s="61"/>
      <c r="B638" s="60"/>
      <c r="C638" s="60"/>
      <c r="D638" s="60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9"/>
      <c r="AJ638" s="62"/>
      <c r="AK638" s="63"/>
      <c r="AL638" s="64"/>
      <c r="AM638" s="65"/>
      <c r="AN638" s="66"/>
      <c r="AO638" s="67"/>
      <c r="AP638" s="68"/>
      <c r="AQ638" s="67"/>
    </row>
    <row r="639" ht="15.75" customHeight="1">
      <c r="A639" s="61"/>
      <c r="B639" s="60"/>
      <c r="C639" s="60"/>
      <c r="D639" s="60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9"/>
      <c r="AJ639" s="62"/>
      <c r="AK639" s="63"/>
      <c r="AL639" s="64"/>
      <c r="AM639" s="65"/>
      <c r="AN639" s="66"/>
      <c r="AO639" s="67"/>
      <c r="AP639" s="68"/>
      <c r="AQ639" s="67"/>
    </row>
    <row r="640" ht="15.75" customHeight="1">
      <c r="A640" s="61"/>
      <c r="B640" s="60"/>
      <c r="C640" s="60"/>
      <c r="D640" s="60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9"/>
      <c r="AJ640" s="62"/>
      <c r="AK640" s="63"/>
      <c r="AL640" s="64"/>
      <c r="AM640" s="65"/>
      <c r="AN640" s="66"/>
      <c r="AO640" s="67"/>
      <c r="AP640" s="68"/>
      <c r="AQ640" s="67"/>
    </row>
    <row r="641" ht="15.75" customHeight="1">
      <c r="A641" s="61"/>
      <c r="B641" s="60"/>
      <c r="C641" s="60"/>
      <c r="D641" s="60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9"/>
      <c r="AJ641" s="62"/>
      <c r="AK641" s="63"/>
      <c r="AL641" s="64"/>
      <c r="AM641" s="65"/>
      <c r="AN641" s="66"/>
      <c r="AO641" s="67"/>
      <c r="AP641" s="68"/>
      <c r="AQ641" s="67"/>
    </row>
    <row r="642" ht="15.75" customHeight="1">
      <c r="A642" s="61"/>
      <c r="B642" s="60"/>
      <c r="C642" s="60"/>
      <c r="D642" s="60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9"/>
      <c r="AJ642" s="62"/>
      <c r="AK642" s="63"/>
      <c r="AL642" s="64"/>
      <c r="AM642" s="65"/>
      <c r="AN642" s="66"/>
      <c r="AO642" s="67"/>
      <c r="AP642" s="68"/>
      <c r="AQ642" s="67"/>
    </row>
    <row r="643" ht="15.75" customHeight="1">
      <c r="A643" s="61"/>
      <c r="B643" s="60"/>
      <c r="C643" s="60"/>
      <c r="D643" s="60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9"/>
      <c r="AJ643" s="62"/>
      <c r="AK643" s="63"/>
      <c r="AL643" s="64"/>
      <c r="AM643" s="65"/>
      <c r="AN643" s="66"/>
      <c r="AO643" s="67"/>
      <c r="AP643" s="68"/>
      <c r="AQ643" s="67"/>
    </row>
    <row r="644" ht="15.75" customHeight="1">
      <c r="A644" s="61"/>
      <c r="B644" s="60"/>
      <c r="C644" s="60"/>
      <c r="D644" s="60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9"/>
      <c r="AJ644" s="62"/>
      <c r="AK644" s="63"/>
      <c r="AL644" s="64"/>
      <c r="AM644" s="65"/>
      <c r="AN644" s="66"/>
      <c r="AO644" s="67"/>
      <c r="AP644" s="68"/>
      <c r="AQ644" s="67"/>
    </row>
    <row r="645" ht="15.75" customHeight="1">
      <c r="A645" s="61"/>
      <c r="B645" s="60"/>
      <c r="C645" s="60"/>
      <c r="D645" s="60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9"/>
      <c r="AJ645" s="62"/>
      <c r="AK645" s="63"/>
      <c r="AL645" s="64"/>
      <c r="AM645" s="65"/>
      <c r="AN645" s="66"/>
      <c r="AO645" s="67"/>
      <c r="AP645" s="68"/>
      <c r="AQ645" s="67"/>
    </row>
    <row r="646" ht="15.75" customHeight="1">
      <c r="A646" s="61"/>
      <c r="B646" s="60"/>
      <c r="C646" s="60"/>
      <c r="D646" s="60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9"/>
      <c r="AJ646" s="62"/>
      <c r="AK646" s="63"/>
      <c r="AL646" s="64"/>
      <c r="AM646" s="65"/>
      <c r="AN646" s="66"/>
      <c r="AO646" s="67"/>
      <c r="AP646" s="68"/>
      <c r="AQ646" s="67"/>
    </row>
    <row r="647" ht="15.75" customHeight="1">
      <c r="A647" s="61"/>
      <c r="B647" s="60"/>
      <c r="C647" s="60"/>
      <c r="D647" s="60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9"/>
      <c r="AJ647" s="62"/>
      <c r="AK647" s="63"/>
      <c r="AL647" s="64"/>
      <c r="AM647" s="65"/>
      <c r="AN647" s="66"/>
      <c r="AO647" s="67"/>
      <c r="AP647" s="68"/>
      <c r="AQ647" s="67"/>
    </row>
    <row r="648" ht="15.75" customHeight="1">
      <c r="A648" s="61"/>
      <c r="B648" s="60"/>
      <c r="C648" s="60"/>
      <c r="D648" s="60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9"/>
      <c r="AJ648" s="62"/>
      <c r="AK648" s="63"/>
      <c r="AL648" s="64"/>
      <c r="AM648" s="65"/>
      <c r="AN648" s="66"/>
      <c r="AO648" s="67"/>
      <c r="AP648" s="68"/>
      <c r="AQ648" s="67"/>
    </row>
    <row r="649" ht="15.75" customHeight="1">
      <c r="A649" s="61"/>
      <c r="B649" s="60"/>
      <c r="C649" s="60"/>
      <c r="D649" s="60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9"/>
      <c r="AJ649" s="62"/>
      <c r="AK649" s="63"/>
      <c r="AL649" s="64"/>
      <c r="AM649" s="65"/>
      <c r="AN649" s="66"/>
      <c r="AO649" s="67"/>
      <c r="AP649" s="68"/>
      <c r="AQ649" s="67"/>
    </row>
    <row r="650" ht="15.75" customHeight="1">
      <c r="A650" s="61"/>
      <c r="B650" s="60"/>
      <c r="C650" s="60"/>
      <c r="D650" s="60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9"/>
      <c r="AJ650" s="62"/>
      <c r="AK650" s="63"/>
      <c r="AL650" s="64"/>
      <c r="AM650" s="65"/>
      <c r="AN650" s="66"/>
      <c r="AO650" s="67"/>
      <c r="AP650" s="68"/>
      <c r="AQ650" s="67"/>
    </row>
    <row r="651" ht="15.75" customHeight="1">
      <c r="A651" s="61"/>
      <c r="B651" s="60"/>
      <c r="C651" s="60"/>
      <c r="D651" s="60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9"/>
      <c r="AJ651" s="62"/>
      <c r="AK651" s="63"/>
      <c r="AL651" s="64"/>
      <c r="AM651" s="65"/>
      <c r="AN651" s="66"/>
      <c r="AO651" s="67"/>
      <c r="AP651" s="68"/>
      <c r="AQ651" s="67"/>
    </row>
    <row r="652" ht="15.75" customHeight="1">
      <c r="A652" s="61"/>
      <c r="B652" s="60"/>
      <c r="C652" s="60"/>
      <c r="D652" s="60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9"/>
      <c r="AJ652" s="62"/>
      <c r="AK652" s="63"/>
      <c r="AL652" s="64"/>
      <c r="AM652" s="65"/>
      <c r="AN652" s="66"/>
      <c r="AO652" s="67"/>
      <c r="AP652" s="68"/>
      <c r="AQ652" s="67"/>
    </row>
    <row r="653" ht="15.75" customHeight="1">
      <c r="A653" s="61"/>
      <c r="B653" s="60"/>
      <c r="C653" s="60"/>
      <c r="D653" s="60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9"/>
      <c r="AJ653" s="62"/>
      <c r="AK653" s="63"/>
      <c r="AL653" s="64"/>
      <c r="AM653" s="65"/>
      <c r="AN653" s="66"/>
      <c r="AO653" s="67"/>
      <c r="AP653" s="68"/>
      <c r="AQ653" s="67"/>
    </row>
    <row r="654" ht="15.75" customHeight="1">
      <c r="A654" s="61"/>
      <c r="B654" s="60"/>
      <c r="C654" s="60"/>
      <c r="D654" s="60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9"/>
      <c r="AJ654" s="62"/>
      <c r="AK654" s="63"/>
      <c r="AL654" s="64"/>
      <c r="AM654" s="65"/>
      <c r="AN654" s="66"/>
      <c r="AO654" s="67"/>
      <c r="AP654" s="68"/>
      <c r="AQ654" s="67"/>
    </row>
    <row r="655" ht="15.75" customHeight="1">
      <c r="A655" s="61"/>
      <c r="B655" s="60"/>
      <c r="C655" s="60"/>
      <c r="D655" s="60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9"/>
      <c r="AJ655" s="62"/>
      <c r="AK655" s="63"/>
      <c r="AL655" s="64"/>
      <c r="AM655" s="65"/>
      <c r="AN655" s="66"/>
      <c r="AO655" s="67"/>
      <c r="AP655" s="68"/>
      <c r="AQ655" s="67"/>
    </row>
    <row r="656" ht="15.75" customHeight="1">
      <c r="A656" s="61"/>
      <c r="B656" s="60"/>
      <c r="C656" s="60"/>
      <c r="D656" s="60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9"/>
      <c r="AJ656" s="62"/>
      <c r="AK656" s="63"/>
      <c r="AL656" s="64"/>
      <c r="AM656" s="65"/>
      <c r="AN656" s="66"/>
      <c r="AO656" s="67"/>
      <c r="AP656" s="68"/>
      <c r="AQ656" s="67"/>
    </row>
    <row r="657" ht="15.75" customHeight="1">
      <c r="A657" s="61"/>
      <c r="B657" s="60"/>
      <c r="C657" s="60"/>
      <c r="D657" s="60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9"/>
      <c r="AJ657" s="62"/>
      <c r="AK657" s="63"/>
      <c r="AL657" s="64"/>
      <c r="AM657" s="65"/>
      <c r="AN657" s="66"/>
      <c r="AO657" s="67"/>
      <c r="AP657" s="68"/>
      <c r="AQ657" s="67"/>
    </row>
    <row r="658" ht="15.75" customHeight="1">
      <c r="A658" s="61"/>
      <c r="B658" s="60"/>
      <c r="C658" s="60"/>
      <c r="D658" s="60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9"/>
      <c r="AJ658" s="62"/>
      <c r="AK658" s="63"/>
      <c r="AL658" s="64"/>
      <c r="AM658" s="65"/>
      <c r="AN658" s="66"/>
      <c r="AO658" s="67"/>
      <c r="AP658" s="68"/>
      <c r="AQ658" s="67"/>
    </row>
    <row r="659" ht="15.75" customHeight="1">
      <c r="A659" s="61"/>
      <c r="B659" s="60"/>
      <c r="C659" s="60"/>
      <c r="D659" s="60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9"/>
      <c r="AJ659" s="62"/>
      <c r="AK659" s="63"/>
      <c r="AL659" s="64"/>
      <c r="AM659" s="65"/>
      <c r="AN659" s="66"/>
      <c r="AO659" s="67"/>
      <c r="AP659" s="68"/>
      <c r="AQ659" s="67"/>
    </row>
    <row r="660" ht="15.75" customHeight="1">
      <c r="A660" s="61"/>
      <c r="B660" s="60"/>
      <c r="C660" s="60"/>
      <c r="D660" s="60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9"/>
      <c r="AJ660" s="62"/>
      <c r="AK660" s="63"/>
      <c r="AL660" s="64"/>
      <c r="AM660" s="65"/>
      <c r="AN660" s="66"/>
      <c r="AO660" s="67"/>
      <c r="AP660" s="68"/>
      <c r="AQ660" s="67"/>
    </row>
    <row r="661" ht="15.75" customHeight="1">
      <c r="A661" s="61"/>
      <c r="B661" s="60"/>
      <c r="C661" s="60"/>
      <c r="D661" s="60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9"/>
      <c r="AJ661" s="62"/>
      <c r="AK661" s="63"/>
      <c r="AL661" s="64"/>
      <c r="AM661" s="65"/>
      <c r="AN661" s="66"/>
      <c r="AO661" s="67"/>
      <c r="AP661" s="68"/>
      <c r="AQ661" s="67"/>
    </row>
    <row r="662" ht="15.75" customHeight="1">
      <c r="A662" s="61"/>
      <c r="B662" s="60"/>
      <c r="C662" s="60"/>
      <c r="D662" s="60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9"/>
      <c r="AJ662" s="62"/>
      <c r="AK662" s="63"/>
      <c r="AL662" s="64"/>
      <c r="AM662" s="65"/>
      <c r="AN662" s="66"/>
      <c r="AO662" s="67"/>
      <c r="AP662" s="68"/>
      <c r="AQ662" s="67"/>
    </row>
    <row r="663" ht="15.75" customHeight="1">
      <c r="A663" s="61"/>
      <c r="B663" s="60"/>
      <c r="C663" s="60"/>
      <c r="D663" s="60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9"/>
      <c r="AJ663" s="62"/>
      <c r="AK663" s="63"/>
      <c r="AL663" s="64"/>
      <c r="AM663" s="65"/>
      <c r="AN663" s="66"/>
      <c r="AO663" s="67"/>
      <c r="AP663" s="68"/>
      <c r="AQ663" s="67"/>
    </row>
    <row r="664" ht="15.75" customHeight="1">
      <c r="A664" s="61"/>
      <c r="B664" s="60"/>
      <c r="C664" s="60"/>
      <c r="D664" s="60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9"/>
      <c r="AJ664" s="62"/>
      <c r="AK664" s="63"/>
      <c r="AL664" s="64"/>
      <c r="AM664" s="65"/>
      <c r="AN664" s="66"/>
      <c r="AO664" s="67"/>
      <c r="AP664" s="68"/>
      <c r="AQ664" s="67"/>
    </row>
    <row r="665" ht="15.75" customHeight="1">
      <c r="A665" s="61"/>
      <c r="B665" s="60"/>
      <c r="C665" s="60"/>
      <c r="D665" s="60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9"/>
      <c r="AJ665" s="62"/>
      <c r="AK665" s="63"/>
      <c r="AL665" s="64"/>
      <c r="AM665" s="65"/>
      <c r="AN665" s="66"/>
      <c r="AO665" s="67"/>
      <c r="AP665" s="68"/>
      <c r="AQ665" s="67"/>
    </row>
    <row r="666" ht="15.75" customHeight="1">
      <c r="A666" s="61"/>
      <c r="B666" s="60"/>
      <c r="C666" s="60"/>
      <c r="D666" s="60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9"/>
      <c r="AJ666" s="62"/>
      <c r="AK666" s="63"/>
      <c r="AL666" s="64"/>
      <c r="AM666" s="65"/>
      <c r="AN666" s="66"/>
      <c r="AO666" s="67"/>
      <c r="AP666" s="68"/>
      <c r="AQ666" s="67"/>
    </row>
    <row r="667" ht="15.75" customHeight="1">
      <c r="A667" s="61"/>
      <c r="B667" s="60"/>
      <c r="C667" s="60"/>
      <c r="D667" s="60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9"/>
      <c r="AJ667" s="62"/>
      <c r="AK667" s="63"/>
      <c r="AL667" s="64"/>
      <c r="AM667" s="65"/>
      <c r="AN667" s="66"/>
      <c r="AO667" s="67"/>
      <c r="AP667" s="68"/>
      <c r="AQ667" s="67"/>
    </row>
    <row r="668" ht="15.75" customHeight="1">
      <c r="A668" s="61"/>
      <c r="B668" s="60"/>
      <c r="C668" s="60"/>
      <c r="D668" s="60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9"/>
      <c r="AJ668" s="62"/>
      <c r="AK668" s="63"/>
      <c r="AL668" s="64"/>
      <c r="AM668" s="65"/>
      <c r="AN668" s="66"/>
      <c r="AO668" s="67"/>
      <c r="AP668" s="68"/>
      <c r="AQ668" s="67"/>
    </row>
    <row r="669" ht="15.75" customHeight="1">
      <c r="A669" s="61"/>
      <c r="B669" s="60"/>
      <c r="C669" s="60"/>
      <c r="D669" s="60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9"/>
      <c r="AJ669" s="62"/>
      <c r="AK669" s="63"/>
      <c r="AL669" s="64"/>
      <c r="AM669" s="65"/>
      <c r="AN669" s="66"/>
      <c r="AO669" s="67"/>
      <c r="AP669" s="68"/>
      <c r="AQ669" s="67"/>
    </row>
    <row r="670" ht="15.75" customHeight="1">
      <c r="A670" s="61"/>
      <c r="B670" s="60"/>
      <c r="C670" s="60"/>
      <c r="D670" s="60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9"/>
      <c r="AJ670" s="62"/>
      <c r="AK670" s="63"/>
      <c r="AL670" s="64"/>
      <c r="AM670" s="65"/>
      <c r="AN670" s="66"/>
      <c r="AO670" s="67"/>
      <c r="AP670" s="68"/>
      <c r="AQ670" s="67"/>
    </row>
    <row r="671" ht="15.75" customHeight="1">
      <c r="A671" s="61"/>
      <c r="B671" s="60"/>
      <c r="C671" s="60"/>
      <c r="D671" s="60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9"/>
      <c r="AJ671" s="62"/>
      <c r="AK671" s="63"/>
      <c r="AL671" s="64"/>
      <c r="AM671" s="65"/>
      <c r="AN671" s="66"/>
      <c r="AO671" s="67"/>
      <c r="AP671" s="68"/>
      <c r="AQ671" s="67"/>
    </row>
    <row r="672" ht="15.75" customHeight="1">
      <c r="A672" s="61"/>
      <c r="B672" s="60"/>
      <c r="C672" s="60"/>
      <c r="D672" s="60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9"/>
      <c r="AJ672" s="62"/>
      <c r="AK672" s="63"/>
      <c r="AL672" s="64"/>
      <c r="AM672" s="65"/>
      <c r="AN672" s="66"/>
      <c r="AO672" s="67"/>
      <c r="AP672" s="68"/>
      <c r="AQ672" s="67"/>
    </row>
    <row r="673" ht="15.75" customHeight="1">
      <c r="A673" s="61"/>
      <c r="B673" s="60"/>
      <c r="C673" s="60"/>
      <c r="D673" s="60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9"/>
      <c r="AJ673" s="62"/>
      <c r="AK673" s="63"/>
      <c r="AL673" s="64"/>
      <c r="AM673" s="65"/>
      <c r="AN673" s="66"/>
      <c r="AO673" s="67"/>
      <c r="AP673" s="68"/>
      <c r="AQ673" s="67"/>
    </row>
    <row r="674" ht="15.75" customHeight="1">
      <c r="A674" s="61"/>
      <c r="B674" s="60"/>
      <c r="C674" s="60"/>
      <c r="D674" s="60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9"/>
      <c r="AJ674" s="62"/>
      <c r="AK674" s="63"/>
      <c r="AL674" s="64"/>
      <c r="AM674" s="65"/>
      <c r="AN674" s="66"/>
      <c r="AO674" s="67"/>
      <c r="AP674" s="68"/>
      <c r="AQ674" s="67"/>
    </row>
    <row r="675" ht="15.75" customHeight="1">
      <c r="A675" s="61"/>
      <c r="B675" s="60"/>
      <c r="C675" s="60"/>
      <c r="D675" s="60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9"/>
      <c r="AJ675" s="62"/>
      <c r="AK675" s="63"/>
      <c r="AL675" s="64"/>
      <c r="AM675" s="65"/>
      <c r="AN675" s="66"/>
      <c r="AO675" s="67"/>
      <c r="AP675" s="68"/>
      <c r="AQ675" s="67"/>
    </row>
    <row r="676" ht="15.75" customHeight="1">
      <c r="A676" s="61"/>
      <c r="B676" s="60"/>
      <c r="C676" s="60"/>
      <c r="D676" s="60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9"/>
      <c r="AJ676" s="62"/>
      <c r="AK676" s="63"/>
      <c r="AL676" s="64"/>
      <c r="AM676" s="65"/>
      <c r="AN676" s="66"/>
      <c r="AO676" s="67"/>
      <c r="AP676" s="68"/>
      <c r="AQ676" s="67"/>
    </row>
    <row r="677" ht="15.75" customHeight="1">
      <c r="A677" s="61"/>
      <c r="B677" s="60"/>
      <c r="C677" s="60"/>
      <c r="D677" s="60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9"/>
      <c r="AJ677" s="62"/>
      <c r="AK677" s="63"/>
      <c r="AL677" s="64"/>
      <c r="AM677" s="65"/>
      <c r="AN677" s="66"/>
      <c r="AO677" s="67"/>
      <c r="AP677" s="68"/>
      <c r="AQ677" s="67"/>
    </row>
    <row r="678" ht="15.75" customHeight="1">
      <c r="A678" s="61"/>
      <c r="B678" s="60"/>
      <c r="C678" s="60"/>
      <c r="D678" s="60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9"/>
      <c r="AJ678" s="62"/>
      <c r="AK678" s="63"/>
      <c r="AL678" s="64"/>
      <c r="AM678" s="65"/>
      <c r="AN678" s="66"/>
      <c r="AO678" s="67"/>
      <c r="AP678" s="68"/>
      <c r="AQ678" s="67"/>
    </row>
    <row r="679" ht="15.75" customHeight="1">
      <c r="A679" s="61"/>
      <c r="B679" s="60"/>
      <c r="C679" s="60"/>
      <c r="D679" s="60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9"/>
      <c r="AJ679" s="62"/>
      <c r="AK679" s="63"/>
      <c r="AL679" s="64"/>
      <c r="AM679" s="65"/>
      <c r="AN679" s="66"/>
      <c r="AO679" s="67"/>
      <c r="AP679" s="68"/>
      <c r="AQ679" s="67"/>
    </row>
    <row r="680" ht="15.75" customHeight="1">
      <c r="A680" s="61"/>
      <c r="B680" s="60"/>
      <c r="C680" s="60"/>
      <c r="D680" s="60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9"/>
      <c r="AJ680" s="62"/>
      <c r="AK680" s="63"/>
      <c r="AL680" s="64"/>
      <c r="AM680" s="65"/>
      <c r="AN680" s="66"/>
      <c r="AO680" s="67"/>
      <c r="AP680" s="68"/>
      <c r="AQ680" s="67"/>
    </row>
    <row r="681" ht="15.75" customHeight="1">
      <c r="A681" s="61"/>
      <c r="B681" s="60"/>
      <c r="C681" s="60"/>
      <c r="D681" s="60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9"/>
      <c r="AJ681" s="62"/>
      <c r="AK681" s="63"/>
      <c r="AL681" s="64"/>
      <c r="AM681" s="65"/>
      <c r="AN681" s="66"/>
      <c r="AO681" s="67"/>
      <c r="AP681" s="68"/>
      <c r="AQ681" s="67"/>
    </row>
    <row r="682" ht="15.75" customHeight="1">
      <c r="A682" s="61"/>
      <c r="B682" s="60"/>
      <c r="C682" s="60"/>
      <c r="D682" s="60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9"/>
      <c r="AJ682" s="62"/>
      <c r="AK682" s="63"/>
      <c r="AL682" s="64"/>
      <c r="AM682" s="65"/>
      <c r="AN682" s="66"/>
      <c r="AO682" s="67"/>
      <c r="AP682" s="68"/>
      <c r="AQ682" s="67"/>
    </row>
    <row r="683" ht="15.75" customHeight="1">
      <c r="A683" s="61"/>
      <c r="B683" s="60"/>
      <c r="C683" s="60"/>
      <c r="D683" s="60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9"/>
      <c r="AJ683" s="62"/>
      <c r="AK683" s="63"/>
      <c r="AL683" s="64"/>
      <c r="AM683" s="65"/>
      <c r="AN683" s="66"/>
      <c r="AO683" s="67"/>
      <c r="AP683" s="68"/>
      <c r="AQ683" s="67"/>
    </row>
    <row r="684" ht="15.75" customHeight="1">
      <c r="A684" s="61"/>
      <c r="B684" s="60"/>
      <c r="C684" s="60"/>
      <c r="D684" s="60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9"/>
      <c r="AJ684" s="62"/>
      <c r="AK684" s="63"/>
      <c r="AL684" s="64"/>
      <c r="AM684" s="65"/>
      <c r="AN684" s="66"/>
      <c r="AO684" s="67"/>
      <c r="AP684" s="68"/>
      <c r="AQ684" s="67"/>
    </row>
    <row r="685" ht="15.75" customHeight="1">
      <c r="A685" s="61"/>
      <c r="B685" s="60"/>
      <c r="C685" s="60"/>
      <c r="D685" s="60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9"/>
      <c r="AJ685" s="62"/>
      <c r="AK685" s="63"/>
      <c r="AL685" s="64"/>
      <c r="AM685" s="65"/>
      <c r="AN685" s="66"/>
      <c r="AO685" s="67"/>
      <c r="AP685" s="68"/>
      <c r="AQ685" s="67"/>
    </row>
    <row r="686" ht="15.75" customHeight="1">
      <c r="A686" s="61"/>
      <c r="B686" s="60"/>
      <c r="C686" s="60"/>
      <c r="D686" s="60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9"/>
      <c r="AJ686" s="62"/>
      <c r="AK686" s="63"/>
      <c r="AL686" s="64"/>
      <c r="AM686" s="65"/>
      <c r="AN686" s="66"/>
      <c r="AO686" s="67"/>
      <c r="AP686" s="68"/>
      <c r="AQ686" s="67"/>
    </row>
    <row r="687" ht="15.75" customHeight="1">
      <c r="A687" s="61"/>
      <c r="B687" s="60"/>
      <c r="C687" s="60"/>
      <c r="D687" s="60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9"/>
      <c r="AJ687" s="62"/>
      <c r="AK687" s="63"/>
      <c r="AL687" s="64"/>
      <c r="AM687" s="65"/>
      <c r="AN687" s="66"/>
      <c r="AO687" s="67"/>
      <c r="AP687" s="68"/>
      <c r="AQ687" s="67"/>
    </row>
    <row r="688" ht="15.75" customHeight="1">
      <c r="A688" s="61"/>
      <c r="B688" s="60"/>
      <c r="C688" s="60"/>
      <c r="D688" s="60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9"/>
      <c r="AJ688" s="62"/>
      <c r="AK688" s="63"/>
      <c r="AL688" s="64"/>
      <c r="AM688" s="65"/>
      <c r="AN688" s="66"/>
      <c r="AO688" s="67"/>
      <c r="AP688" s="68"/>
      <c r="AQ688" s="67"/>
    </row>
    <row r="689" ht="15.75" customHeight="1">
      <c r="A689" s="61"/>
      <c r="B689" s="60"/>
      <c r="C689" s="60"/>
      <c r="D689" s="60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9"/>
      <c r="AJ689" s="62"/>
      <c r="AK689" s="63"/>
      <c r="AL689" s="64"/>
      <c r="AM689" s="65"/>
      <c r="AN689" s="66"/>
      <c r="AO689" s="67"/>
      <c r="AP689" s="68"/>
      <c r="AQ689" s="67"/>
    </row>
    <row r="690" ht="15.75" customHeight="1">
      <c r="A690" s="61"/>
      <c r="B690" s="60"/>
      <c r="C690" s="60"/>
      <c r="D690" s="60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9"/>
      <c r="AJ690" s="62"/>
      <c r="AK690" s="63"/>
      <c r="AL690" s="64"/>
      <c r="AM690" s="65"/>
      <c r="AN690" s="66"/>
      <c r="AO690" s="67"/>
      <c r="AP690" s="68"/>
      <c r="AQ690" s="67"/>
    </row>
    <row r="691" ht="15.75" customHeight="1">
      <c r="A691" s="61"/>
      <c r="B691" s="60"/>
      <c r="C691" s="60"/>
      <c r="D691" s="60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9"/>
      <c r="AJ691" s="62"/>
      <c r="AK691" s="63"/>
      <c r="AL691" s="64"/>
      <c r="AM691" s="65"/>
      <c r="AN691" s="66"/>
      <c r="AO691" s="67"/>
      <c r="AP691" s="68"/>
      <c r="AQ691" s="67"/>
    </row>
    <row r="692" ht="15.75" customHeight="1">
      <c r="A692" s="61"/>
      <c r="B692" s="60"/>
      <c r="C692" s="60"/>
      <c r="D692" s="60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9"/>
      <c r="AJ692" s="62"/>
      <c r="AK692" s="63"/>
      <c r="AL692" s="64"/>
      <c r="AM692" s="65"/>
      <c r="AN692" s="66"/>
      <c r="AO692" s="67"/>
      <c r="AP692" s="68"/>
      <c r="AQ692" s="67"/>
    </row>
    <row r="693" ht="15.75" customHeight="1">
      <c r="A693" s="61"/>
      <c r="B693" s="60"/>
      <c r="C693" s="60"/>
      <c r="D693" s="60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9"/>
      <c r="AJ693" s="62"/>
      <c r="AK693" s="63"/>
      <c r="AL693" s="64"/>
      <c r="AM693" s="65"/>
      <c r="AN693" s="66"/>
      <c r="AO693" s="67"/>
      <c r="AP693" s="68"/>
      <c r="AQ693" s="67"/>
    </row>
    <row r="694" ht="15.75" customHeight="1">
      <c r="A694" s="61"/>
      <c r="B694" s="60"/>
      <c r="C694" s="60"/>
      <c r="D694" s="60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9"/>
      <c r="AJ694" s="62"/>
      <c r="AK694" s="63"/>
      <c r="AL694" s="64"/>
      <c r="AM694" s="65"/>
      <c r="AN694" s="66"/>
      <c r="AO694" s="67"/>
      <c r="AP694" s="68"/>
      <c r="AQ694" s="67"/>
    </row>
    <row r="695" ht="15.75" customHeight="1">
      <c r="A695" s="61"/>
      <c r="B695" s="60"/>
      <c r="C695" s="60"/>
      <c r="D695" s="60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9"/>
      <c r="AJ695" s="62"/>
      <c r="AK695" s="63"/>
      <c r="AL695" s="64"/>
      <c r="AM695" s="65"/>
      <c r="AN695" s="66"/>
      <c r="AO695" s="67"/>
      <c r="AP695" s="68"/>
      <c r="AQ695" s="67"/>
    </row>
    <row r="696" ht="15.75" customHeight="1">
      <c r="A696" s="61"/>
      <c r="B696" s="60"/>
      <c r="C696" s="60"/>
      <c r="D696" s="60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9"/>
      <c r="AJ696" s="62"/>
      <c r="AK696" s="63"/>
      <c r="AL696" s="64"/>
      <c r="AM696" s="65"/>
      <c r="AN696" s="66"/>
      <c r="AO696" s="67"/>
      <c r="AP696" s="68"/>
      <c r="AQ696" s="67"/>
    </row>
    <row r="697" ht="15.75" customHeight="1">
      <c r="A697" s="61"/>
      <c r="B697" s="60"/>
      <c r="C697" s="60"/>
      <c r="D697" s="60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9"/>
      <c r="AJ697" s="62"/>
      <c r="AK697" s="63"/>
      <c r="AL697" s="64"/>
      <c r="AM697" s="65"/>
      <c r="AN697" s="66"/>
      <c r="AO697" s="67"/>
      <c r="AP697" s="68"/>
      <c r="AQ697" s="67"/>
    </row>
    <row r="698" ht="15.75" customHeight="1">
      <c r="A698" s="61"/>
      <c r="B698" s="60"/>
      <c r="C698" s="60"/>
      <c r="D698" s="60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9"/>
      <c r="AJ698" s="62"/>
      <c r="AK698" s="63"/>
      <c r="AL698" s="64"/>
      <c r="AM698" s="65"/>
      <c r="AN698" s="66"/>
      <c r="AO698" s="67"/>
      <c r="AP698" s="68"/>
      <c r="AQ698" s="67"/>
    </row>
    <row r="699" ht="15.75" customHeight="1">
      <c r="A699" s="61"/>
      <c r="B699" s="60"/>
      <c r="C699" s="60"/>
      <c r="D699" s="60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9"/>
      <c r="AJ699" s="62"/>
      <c r="AK699" s="63"/>
      <c r="AL699" s="64"/>
      <c r="AM699" s="65"/>
      <c r="AN699" s="66"/>
      <c r="AO699" s="67"/>
      <c r="AP699" s="68"/>
      <c r="AQ699" s="67"/>
    </row>
    <row r="700" ht="15.75" customHeight="1">
      <c r="A700" s="61"/>
      <c r="B700" s="60"/>
      <c r="C700" s="60"/>
      <c r="D700" s="60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9"/>
      <c r="AJ700" s="62"/>
      <c r="AK700" s="63"/>
      <c r="AL700" s="64"/>
      <c r="AM700" s="65"/>
      <c r="AN700" s="66"/>
      <c r="AO700" s="67"/>
      <c r="AP700" s="68"/>
      <c r="AQ700" s="67"/>
    </row>
    <row r="701" ht="15.75" customHeight="1">
      <c r="A701" s="61"/>
      <c r="B701" s="60"/>
      <c r="C701" s="60"/>
      <c r="D701" s="60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9"/>
      <c r="AJ701" s="62"/>
      <c r="AK701" s="63"/>
      <c r="AL701" s="64"/>
      <c r="AM701" s="65"/>
      <c r="AN701" s="66"/>
      <c r="AO701" s="67"/>
      <c r="AP701" s="68"/>
      <c r="AQ701" s="6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4.25"/>
    <col customWidth="1" min="6" max="6" width="42.88"/>
  </cols>
  <sheetData>
    <row r="1">
      <c r="A1" s="4"/>
      <c r="B1" s="8"/>
    </row>
    <row r="2">
      <c r="B2" s="8"/>
    </row>
    <row r="3">
      <c r="A3" s="7" t="s">
        <v>1986</v>
      </c>
      <c r="B3" s="8" t="s">
        <v>2311</v>
      </c>
      <c r="C3" s="7" t="s">
        <v>1991</v>
      </c>
      <c r="D3" s="7" t="s">
        <v>1992</v>
      </c>
      <c r="E3" s="7" t="s">
        <v>1993</v>
      </c>
      <c r="F3" s="7" t="s">
        <v>1994</v>
      </c>
    </row>
    <row r="4">
      <c r="A4" s="7" t="s">
        <v>188</v>
      </c>
      <c r="B4" s="8">
        <v>9.0</v>
      </c>
      <c r="C4" s="7" t="s">
        <v>1991</v>
      </c>
      <c r="D4" s="7" t="s">
        <v>1992</v>
      </c>
      <c r="E4" s="7" t="s">
        <v>1993</v>
      </c>
      <c r="F4" s="7" t="s">
        <v>906</v>
      </c>
    </row>
    <row r="5">
      <c r="A5" s="7" t="s">
        <v>597</v>
      </c>
      <c r="B5" s="8">
        <v>9.0</v>
      </c>
      <c r="C5" s="7" t="s">
        <v>1991</v>
      </c>
      <c r="D5" s="7" t="s">
        <v>1992</v>
      </c>
      <c r="E5" s="7" t="s">
        <v>1993</v>
      </c>
      <c r="F5" s="7" t="s">
        <v>1251</v>
      </c>
    </row>
    <row r="6">
      <c r="A6" s="7" t="s">
        <v>386</v>
      </c>
      <c r="B6" s="8">
        <v>9.0</v>
      </c>
      <c r="C6" s="7" t="s">
        <v>1991</v>
      </c>
      <c r="D6" s="7" t="s">
        <v>1992</v>
      </c>
      <c r="E6" s="7" t="s">
        <v>1993</v>
      </c>
      <c r="F6" s="7" t="s">
        <v>1251</v>
      </c>
    </row>
    <row r="7">
      <c r="A7" s="7" t="s">
        <v>598</v>
      </c>
      <c r="B7" s="8">
        <v>9.0</v>
      </c>
      <c r="C7" s="7" t="s">
        <v>1991</v>
      </c>
      <c r="D7" s="7" t="s">
        <v>1992</v>
      </c>
      <c r="E7" s="7" t="s">
        <v>1993</v>
      </c>
      <c r="F7" s="7" t="s">
        <v>1251</v>
      </c>
    </row>
    <row r="8">
      <c r="A8" s="7" t="s">
        <v>867</v>
      </c>
      <c r="B8" s="8">
        <v>9.0</v>
      </c>
      <c r="C8" s="7" t="s">
        <v>1991</v>
      </c>
      <c r="D8" s="7" t="s">
        <v>1992</v>
      </c>
      <c r="E8" s="7" t="s">
        <v>1993</v>
      </c>
      <c r="F8" s="7" t="s">
        <v>1251</v>
      </c>
    </row>
    <row r="9">
      <c r="A9" s="7" t="s">
        <v>1987</v>
      </c>
      <c r="B9" s="8">
        <v>9.0</v>
      </c>
      <c r="C9" s="7" t="s">
        <v>1991</v>
      </c>
      <c r="D9" s="7" t="s">
        <v>1992</v>
      </c>
      <c r="E9" s="7" t="s">
        <v>1993</v>
      </c>
      <c r="F9" s="7" t="s">
        <v>1251</v>
      </c>
    </row>
    <row r="10">
      <c r="A10" s="7" t="s">
        <v>868</v>
      </c>
      <c r="B10" s="8">
        <v>9.0</v>
      </c>
      <c r="C10" s="7" t="s">
        <v>1991</v>
      </c>
      <c r="D10" s="7" t="s">
        <v>1992</v>
      </c>
      <c r="E10" s="7" t="s">
        <v>1993</v>
      </c>
      <c r="F10" s="7" t="s">
        <v>1505</v>
      </c>
    </row>
    <row r="11">
      <c r="A11" s="7" t="s">
        <v>869</v>
      </c>
      <c r="B11" s="8">
        <v>9.0</v>
      </c>
      <c r="C11" s="7" t="s">
        <v>1991</v>
      </c>
      <c r="D11" s="7" t="s">
        <v>1992</v>
      </c>
      <c r="E11" s="7" t="s">
        <v>1993</v>
      </c>
      <c r="F11" s="7" t="s">
        <v>1251</v>
      </c>
    </row>
    <row r="12">
      <c r="A12" s="7" t="s">
        <v>600</v>
      </c>
      <c r="B12" s="8">
        <v>9.0</v>
      </c>
      <c r="C12" s="7" t="s">
        <v>1991</v>
      </c>
      <c r="D12" s="7" t="s">
        <v>1992</v>
      </c>
      <c r="E12" s="7" t="s">
        <v>1993</v>
      </c>
      <c r="F12" s="7" t="s">
        <v>1995</v>
      </c>
    </row>
    <row r="13">
      <c r="A13" s="7" t="s">
        <v>870</v>
      </c>
      <c r="B13" s="8">
        <v>9.0</v>
      </c>
      <c r="C13" s="7" t="s">
        <v>1991</v>
      </c>
      <c r="D13" s="7" t="s">
        <v>1992</v>
      </c>
      <c r="E13" s="7" t="s">
        <v>1993</v>
      </c>
      <c r="F13" s="7" t="s">
        <v>1996</v>
      </c>
    </row>
    <row r="14">
      <c r="A14" s="7" t="s">
        <v>1293</v>
      </c>
      <c r="B14" s="8">
        <v>9.0</v>
      </c>
      <c r="C14" s="7" t="s">
        <v>1991</v>
      </c>
      <c r="D14" s="7" t="s">
        <v>1992</v>
      </c>
      <c r="E14" s="7" t="s">
        <v>1993</v>
      </c>
      <c r="F14" s="7" t="s">
        <v>1251</v>
      </c>
    </row>
    <row r="15">
      <c r="A15" s="7" t="s">
        <v>601</v>
      </c>
      <c r="B15" s="8">
        <v>9.0</v>
      </c>
      <c r="C15" s="7" t="s">
        <v>1991</v>
      </c>
      <c r="D15" s="7" t="s">
        <v>1992</v>
      </c>
      <c r="E15" s="7" t="s">
        <v>1993</v>
      </c>
      <c r="F15" s="7" t="s">
        <v>1491</v>
      </c>
    </row>
    <row r="16">
      <c r="A16" s="7" t="s">
        <v>871</v>
      </c>
      <c r="B16" s="8">
        <v>9.0</v>
      </c>
      <c r="C16" s="7" t="s">
        <v>1991</v>
      </c>
      <c r="D16" s="7" t="s">
        <v>1992</v>
      </c>
      <c r="E16" s="7" t="s">
        <v>1993</v>
      </c>
      <c r="F16" s="7" t="s">
        <v>1997</v>
      </c>
    </row>
    <row r="17">
      <c r="A17" s="7" t="s">
        <v>602</v>
      </c>
      <c r="B17" s="8">
        <v>9.0</v>
      </c>
      <c r="C17" s="7" t="s">
        <v>1991</v>
      </c>
      <c r="D17" s="7" t="s">
        <v>1992</v>
      </c>
      <c r="E17" s="7" t="s">
        <v>1993</v>
      </c>
      <c r="F17" s="7" t="s">
        <v>1998</v>
      </c>
    </row>
    <row r="18">
      <c r="A18" s="7" t="s">
        <v>603</v>
      </c>
      <c r="B18" s="8">
        <v>9.0</v>
      </c>
      <c r="C18" s="7" t="s">
        <v>1991</v>
      </c>
      <c r="D18" s="7" t="s">
        <v>1992</v>
      </c>
      <c r="E18" s="7" t="s">
        <v>1993</v>
      </c>
      <c r="F18" s="7" t="s">
        <v>1999</v>
      </c>
    </row>
    <row r="19">
      <c r="A19" s="7" t="s">
        <v>604</v>
      </c>
      <c r="B19" s="8">
        <v>9.0</v>
      </c>
      <c r="C19" s="7" t="s">
        <v>1991</v>
      </c>
      <c r="D19" s="7" t="s">
        <v>1992</v>
      </c>
      <c r="E19" s="7" t="s">
        <v>1993</v>
      </c>
      <c r="F19" s="7" t="s">
        <v>2000</v>
      </c>
    </row>
    <row r="20">
      <c r="A20" s="7" t="s">
        <v>189</v>
      </c>
      <c r="B20" s="8">
        <v>9.0</v>
      </c>
      <c r="C20" s="7" t="s">
        <v>1991</v>
      </c>
      <c r="D20" s="7" t="s">
        <v>1992</v>
      </c>
      <c r="E20" s="7" t="s">
        <v>1993</v>
      </c>
      <c r="F20" s="7" t="s">
        <v>1997</v>
      </c>
    </row>
    <row r="21">
      <c r="A21" s="7" t="s">
        <v>605</v>
      </c>
      <c r="B21" s="8">
        <v>9.0</v>
      </c>
      <c r="C21" s="7" t="s">
        <v>1991</v>
      </c>
      <c r="D21" s="7" t="s">
        <v>1992</v>
      </c>
      <c r="E21" s="7" t="s">
        <v>1993</v>
      </c>
      <c r="F21" s="7" t="s">
        <v>2001</v>
      </c>
    </row>
    <row r="22">
      <c r="A22" s="7" t="s">
        <v>10</v>
      </c>
      <c r="B22" s="8">
        <v>9.0</v>
      </c>
      <c r="C22" s="7" t="s">
        <v>1991</v>
      </c>
      <c r="D22" s="7" t="s">
        <v>1992</v>
      </c>
      <c r="E22" s="7" t="s">
        <v>1993</v>
      </c>
      <c r="F22" s="7" t="s">
        <v>1997</v>
      </c>
    </row>
    <row r="23">
      <c r="A23" s="7" t="s">
        <v>1988</v>
      </c>
      <c r="B23" s="8">
        <v>9.0</v>
      </c>
      <c r="C23" s="7" t="s">
        <v>1991</v>
      </c>
      <c r="D23" s="7" t="s">
        <v>1992</v>
      </c>
      <c r="E23" s="7" t="s">
        <v>1993</v>
      </c>
      <c r="F23" s="7" t="s">
        <v>1997</v>
      </c>
    </row>
    <row r="24">
      <c r="A24" s="7" t="s">
        <v>872</v>
      </c>
      <c r="B24" s="8">
        <v>9.0</v>
      </c>
      <c r="C24" s="7" t="s">
        <v>1991</v>
      </c>
      <c r="D24" s="7" t="s">
        <v>1992</v>
      </c>
      <c r="E24" s="7" t="s">
        <v>1993</v>
      </c>
      <c r="F24" s="7" t="s">
        <v>2002</v>
      </c>
    </row>
    <row r="25">
      <c r="A25" s="7" t="s">
        <v>606</v>
      </c>
      <c r="B25" s="8">
        <v>9.0</v>
      </c>
      <c r="C25" s="7" t="s">
        <v>1991</v>
      </c>
      <c r="D25" s="7" t="s">
        <v>1992</v>
      </c>
      <c r="E25" s="7" t="s">
        <v>1993</v>
      </c>
      <c r="F25" s="7" t="s">
        <v>2003</v>
      </c>
    </row>
    <row r="26">
      <c r="A26" s="7" t="s">
        <v>11</v>
      </c>
      <c r="B26" s="8">
        <v>9.0</v>
      </c>
      <c r="C26" s="7" t="s">
        <v>1991</v>
      </c>
      <c r="D26" s="7" t="s">
        <v>1992</v>
      </c>
      <c r="E26" s="7" t="s">
        <v>1993</v>
      </c>
      <c r="F26" s="7" t="s">
        <v>2004</v>
      </c>
    </row>
    <row r="27">
      <c r="A27" s="7" t="s">
        <v>607</v>
      </c>
      <c r="B27" s="8">
        <v>9.0</v>
      </c>
      <c r="C27" s="7" t="s">
        <v>1991</v>
      </c>
      <c r="D27" s="7" t="s">
        <v>1992</v>
      </c>
      <c r="E27" s="7" t="s">
        <v>1993</v>
      </c>
      <c r="F27" s="7" t="s">
        <v>2005</v>
      </c>
    </row>
    <row r="28">
      <c r="A28" s="7" t="s">
        <v>874</v>
      </c>
      <c r="B28" s="8">
        <v>9.0</v>
      </c>
      <c r="C28" s="7" t="s">
        <v>1991</v>
      </c>
      <c r="D28" s="7" t="s">
        <v>1992</v>
      </c>
      <c r="E28" s="7" t="s">
        <v>1993</v>
      </c>
      <c r="F28" s="7" t="s">
        <v>1997</v>
      </c>
    </row>
    <row r="29">
      <c r="A29" s="7" t="s">
        <v>608</v>
      </c>
      <c r="B29" s="8">
        <v>9.0</v>
      </c>
      <c r="C29" s="7" t="s">
        <v>1991</v>
      </c>
      <c r="D29" s="7" t="s">
        <v>1992</v>
      </c>
      <c r="E29" s="7" t="s">
        <v>1993</v>
      </c>
      <c r="F29" s="7" t="s">
        <v>2001</v>
      </c>
    </row>
    <row r="30">
      <c r="A30" s="7" t="s">
        <v>875</v>
      </c>
      <c r="B30" s="8">
        <v>9.0</v>
      </c>
      <c r="C30" s="7" t="s">
        <v>1991</v>
      </c>
      <c r="D30" s="7" t="s">
        <v>1992</v>
      </c>
      <c r="E30" s="7" t="s">
        <v>1993</v>
      </c>
      <c r="F30" s="7" t="s">
        <v>2001</v>
      </c>
    </row>
    <row r="31">
      <c r="A31" s="7" t="s">
        <v>14</v>
      </c>
      <c r="B31" s="8">
        <v>9.0</v>
      </c>
      <c r="C31" s="7" t="s">
        <v>1991</v>
      </c>
      <c r="D31" s="7" t="s">
        <v>1992</v>
      </c>
      <c r="E31" s="7" t="s">
        <v>1993</v>
      </c>
      <c r="F31" s="7" t="s">
        <v>2006</v>
      </c>
    </row>
    <row r="32">
      <c r="A32" s="7" t="s">
        <v>1989</v>
      </c>
      <c r="B32" s="8">
        <v>9.0</v>
      </c>
      <c r="C32" s="7" t="s">
        <v>1991</v>
      </c>
      <c r="D32" s="7" t="s">
        <v>1992</v>
      </c>
      <c r="E32" s="7" t="s">
        <v>1993</v>
      </c>
      <c r="F32" s="7" t="s">
        <v>2007</v>
      </c>
    </row>
    <row r="33">
      <c r="A33" s="7" t="s">
        <v>609</v>
      </c>
      <c r="B33" s="8">
        <v>9.0</v>
      </c>
      <c r="C33" s="7" t="s">
        <v>1991</v>
      </c>
      <c r="D33" s="7" t="s">
        <v>1992</v>
      </c>
      <c r="E33" s="7" t="s">
        <v>1993</v>
      </c>
      <c r="F33" s="7" t="s">
        <v>2001</v>
      </c>
    </row>
    <row r="34">
      <c r="A34" s="7" t="s">
        <v>15</v>
      </c>
      <c r="B34" s="8">
        <v>9.0</v>
      </c>
      <c r="C34" s="7" t="s">
        <v>1991</v>
      </c>
      <c r="D34" s="7" t="s">
        <v>1992</v>
      </c>
      <c r="E34" s="7" t="s">
        <v>1993</v>
      </c>
      <c r="F34" s="7" t="s">
        <v>2001</v>
      </c>
    </row>
    <row r="35">
      <c r="A35" s="7" t="s">
        <v>610</v>
      </c>
      <c r="B35" s="8">
        <v>9.0</v>
      </c>
      <c r="C35" s="7" t="s">
        <v>1991</v>
      </c>
      <c r="D35" s="7" t="s">
        <v>1992</v>
      </c>
      <c r="E35" s="7" t="s">
        <v>1993</v>
      </c>
      <c r="F35" s="7" t="s">
        <v>2001</v>
      </c>
    </row>
    <row r="36">
      <c r="A36" s="7" t="s">
        <v>16</v>
      </c>
      <c r="B36" s="8">
        <v>9.0</v>
      </c>
      <c r="C36" s="7" t="s">
        <v>1991</v>
      </c>
      <c r="D36" s="7" t="s">
        <v>1992</v>
      </c>
      <c r="E36" s="7" t="s">
        <v>1993</v>
      </c>
      <c r="F36" s="7" t="s">
        <v>2008</v>
      </c>
    </row>
    <row r="37">
      <c r="A37" s="7" t="s">
        <v>1990</v>
      </c>
      <c r="B37" s="8">
        <v>9.0</v>
      </c>
      <c r="C37" s="7" t="s">
        <v>1991</v>
      </c>
      <c r="D37" s="7" t="s">
        <v>1992</v>
      </c>
      <c r="E37" s="7" t="s">
        <v>1993</v>
      </c>
      <c r="F37" s="7" t="s">
        <v>1997</v>
      </c>
    </row>
    <row r="38">
      <c r="A38" s="7" t="s">
        <v>611</v>
      </c>
      <c r="B38" s="8">
        <v>9.0</v>
      </c>
      <c r="C38" s="7" t="s">
        <v>1991</v>
      </c>
      <c r="D38" s="7" t="s">
        <v>1992</v>
      </c>
      <c r="E38" s="7" t="s">
        <v>1993</v>
      </c>
      <c r="F38" s="7" t="s">
        <v>394</v>
      </c>
    </row>
    <row r="39">
      <c r="A39" s="7" t="s">
        <v>612</v>
      </c>
      <c r="B39" s="8">
        <v>9.0</v>
      </c>
      <c r="C39" s="7" t="s">
        <v>1991</v>
      </c>
      <c r="D39" s="7" t="s">
        <v>1992</v>
      </c>
      <c r="E39" s="7" t="s">
        <v>1993</v>
      </c>
      <c r="F39" s="7" t="s">
        <v>2009</v>
      </c>
    </row>
    <row r="40">
      <c r="A40" s="7" t="s">
        <v>18</v>
      </c>
      <c r="B40" s="8">
        <v>9.0</v>
      </c>
      <c r="C40" s="7" t="s">
        <v>1991</v>
      </c>
      <c r="D40" s="7" t="s">
        <v>1992</v>
      </c>
      <c r="E40" s="7" t="s">
        <v>1993</v>
      </c>
      <c r="F40" s="7" t="s">
        <v>2001</v>
      </c>
    </row>
    <row r="41">
      <c r="A41" s="7" t="s">
        <v>19</v>
      </c>
      <c r="B41" s="8">
        <v>9.0</v>
      </c>
      <c r="C41" s="7" t="s">
        <v>1991</v>
      </c>
      <c r="D41" s="7" t="s">
        <v>1992</v>
      </c>
      <c r="E41" s="7" t="s">
        <v>1993</v>
      </c>
      <c r="F41" s="7" t="s">
        <v>2001</v>
      </c>
    </row>
    <row r="42">
      <c r="A42" s="7" t="s">
        <v>188</v>
      </c>
      <c r="B42" s="8">
        <v>9.0</v>
      </c>
      <c r="C42" s="7" t="s">
        <v>20</v>
      </c>
      <c r="D42" s="7" t="s">
        <v>2010</v>
      </c>
      <c r="E42" s="7" t="s">
        <v>2011</v>
      </c>
      <c r="F42" s="7" t="s">
        <v>906</v>
      </c>
    </row>
    <row r="43">
      <c r="A43" s="7" t="s">
        <v>597</v>
      </c>
      <c r="B43" s="8">
        <v>9.0</v>
      </c>
      <c r="C43" s="7" t="s">
        <v>20</v>
      </c>
      <c r="D43" s="7" t="s">
        <v>2010</v>
      </c>
      <c r="E43" s="7" t="s">
        <v>2011</v>
      </c>
      <c r="F43" s="7" t="s">
        <v>417</v>
      </c>
    </row>
    <row r="44">
      <c r="A44" s="7" t="s">
        <v>386</v>
      </c>
      <c r="B44" s="8">
        <v>9.0</v>
      </c>
      <c r="C44" s="7" t="s">
        <v>20</v>
      </c>
      <c r="D44" s="7" t="s">
        <v>2010</v>
      </c>
      <c r="E44" s="7" t="s">
        <v>2011</v>
      </c>
      <c r="F44" s="7" t="s">
        <v>417</v>
      </c>
    </row>
    <row r="45">
      <c r="A45" s="7" t="s">
        <v>598</v>
      </c>
      <c r="B45" s="8">
        <v>9.0</v>
      </c>
      <c r="C45" s="7" t="s">
        <v>20</v>
      </c>
      <c r="D45" s="7" t="s">
        <v>2010</v>
      </c>
      <c r="E45" s="7" t="s">
        <v>2011</v>
      </c>
      <c r="F45" s="7" t="s">
        <v>417</v>
      </c>
    </row>
    <row r="46">
      <c r="A46" s="7" t="s">
        <v>867</v>
      </c>
      <c r="B46" s="8">
        <v>9.0</v>
      </c>
      <c r="C46" s="7" t="s">
        <v>20</v>
      </c>
      <c r="D46" s="7" t="s">
        <v>2010</v>
      </c>
      <c r="E46" s="7" t="s">
        <v>2011</v>
      </c>
      <c r="F46" s="7" t="s">
        <v>417</v>
      </c>
    </row>
    <row r="47">
      <c r="A47" s="7" t="s">
        <v>1987</v>
      </c>
      <c r="B47" s="8">
        <v>9.0</v>
      </c>
      <c r="C47" s="7" t="s">
        <v>20</v>
      </c>
      <c r="D47" s="7" t="s">
        <v>2010</v>
      </c>
      <c r="E47" s="7" t="s">
        <v>2011</v>
      </c>
      <c r="F47" s="7" t="s">
        <v>417</v>
      </c>
    </row>
    <row r="48">
      <c r="A48" s="7" t="s">
        <v>868</v>
      </c>
      <c r="B48" s="8">
        <v>9.0</v>
      </c>
      <c r="C48" s="7" t="s">
        <v>20</v>
      </c>
      <c r="D48" s="7" t="s">
        <v>2010</v>
      </c>
      <c r="E48" s="7" t="s">
        <v>2011</v>
      </c>
      <c r="F48" s="7" t="s">
        <v>2012</v>
      </c>
    </row>
    <row r="49">
      <c r="A49" s="7" t="s">
        <v>869</v>
      </c>
      <c r="B49" s="8">
        <v>9.0</v>
      </c>
      <c r="C49" s="7" t="s">
        <v>20</v>
      </c>
      <c r="D49" s="7" t="s">
        <v>2010</v>
      </c>
      <c r="E49" s="7" t="s">
        <v>2011</v>
      </c>
      <c r="F49" s="7" t="s">
        <v>1251</v>
      </c>
    </row>
    <row r="50">
      <c r="A50" s="7" t="s">
        <v>600</v>
      </c>
      <c r="B50" s="8">
        <v>9.0</v>
      </c>
      <c r="C50" s="7" t="s">
        <v>20</v>
      </c>
      <c r="D50" s="7" t="s">
        <v>2010</v>
      </c>
      <c r="E50" s="7" t="s">
        <v>2011</v>
      </c>
      <c r="F50" s="7" t="s">
        <v>2013</v>
      </c>
    </row>
    <row r="51">
      <c r="A51" s="7" t="s">
        <v>870</v>
      </c>
      <c r="B51" s="8">
        <v>9.0</v>
      </c>
      <c r="C51" s="7" t="s">
        <v>20</v>
      </c>
      <c r="D51" s="7" t="s">
        <v>2010</v>
      </c>
      <c r="E51" s="7" t="s">
        <v>2011</v>
      </c>
      <c r="F51" s="7" t="s">
        <v>896</v>
      </c>
    </row>
    <row r="52">
      <c r="A52" s="7" t="s">
        <v>1293</v>
      </c>
      <c r="B52" s="8">
        <v>9.0</v>
      </c>
      <c r="C52" s="7" t="s">
        <v>20</v>
      </c>
      <c r="D52" s="7" t="s">
        <v>2010</v>
      </c>
      <c r="E52" s="7" t="s">
        <v>2011</v>
      </c>
      <c r="F52" s="7" t="s">
        <v>1251</v>
      </c>
    </row>
    <row r="53">
      <c r="A53" s="7" t="s">
        <v>601</v>
      </c>
      <c r="B53" s="8">
        <v>9.0</v>
      </c>
      <c r="C53" s="7" t="s">
        <v>20</v>
      </c>
      <c r="D53" s="7" t="s">
        <v>2010</v>
      </c>
      <c r="E53" s="7" t="s">
        <v>2011</v>
      </c>
      <c r="F53" s="7" t="s">
        <v>1491</v>
      </c>
    </row>
    <row r="54">
      <c r="A54" s="7" t="s">
        <v>871</v>
      </c>
      <c r="B54" s="8">
        <v>9.0</v>
      </c>
      <c r="C54" s="7" t="s">
        <v>20</v>
      </c>
      <c r="D54" s="7" t="s">
        <v>2010</v>
      </c>
      <c r="E54" s="7" t="s">
        <v>2011</v>
      </c>
      <c r="F54" s="7" t="s">
        <v>2012</v>
      </c>
    </row>
    <row r="55">
      <c r="A55" s="7" t="s">
        <v>602</v>
      </c>
      <c r="B55" s="8">
        <v>9.0</v>
      </c>
      <c r="C55" s="7" t="s">
        <v>20</v>
      </c>
      <c r="D55" s="7" t="s">
        <v>2010</v>
      </c>
      <c r="E55" s="7" t="s">
        <v>2011</v>
      </c>
      <c r="F55" s="7" t="s">
        <v>2014</v>
      </c>
    </row>
    <row r="56">
      <c r="A56" s="7" t="s">
        <v>603</v>
      </c>
      <c r="B56" s="8">
        <v>9.0</v>
      </c>
      <c r="C56" s="7" t="s">
        <v>20</v>
      </c>
      <c r="D56" s="7" t="s">
        <v>2010</v>
      </c>
      <c r="E56" s="7" t="s">
        <v>2011</v>
      </c>
      <c r="F56" s="7" t="s">
        <v>2015</v>
      </c>
    </row>
    <row r="57">
      <c r="A57" s="7" t="s">
        <v>189</v>
      </c>
      <c r="B57" s="8">
        <v>9.0</v>
      </c>
      <c r="C57" s="7" t="s">
        <v>20</v>
      </c>
      <c r="D57" s="7" t="s">
        <v>2010</v>
      </c>
      <c r="E57" s="7" t="s">
        <v>2011</v>
      </c>
      <c r="F57" s="7" t="s">
        <v>898</v>
      </c>
    </row>
    <row r="58">
      <c r="A58" s="7" t="s">
        <v>605</v>
      </c>
      <c r="B58" s="8">
        <v>9.0</v>
      </c>
      <c r="C58" s="7" t="s">
        <v>20</v>
      </c>
      <c r="D58" s="7" t="s">
        <v>2010</v>
      </c>
      <c r="E58" s="7" t="s">
        <v>2011</v>
      </c>
      <c r="F58" s="7" t="s">
        <v>417</v>
      </c>
    </row>
    <row r="59">
      <c r="A59" s="7" t="s">
        <v>10</v>
      </c>
      <c r="B59" s="8">
        <v>9.0</v>
      </c>
      <c r="C59" s="7" t="s">
        <v>20</v>
      </c>
      <c r="D59" s="7" t="s">
        <v>2010</v>
      </c>
      <c r="E59" s="7" t="s">
        <v>2011</v>
      </c>
      <c r="F59" s="7" t="s">
        <v>2016</v>
      </c>
    </row>
    <row r="60">
      <c r="A60" s="7" t="s">
        <v>1988</v>
      </c>
      <c r="B60" s="8">
        <v>9.0</v>
      </c>
      <c r="C60" s="7" t="s">
        <v>20</v>
      </c>
      <c r="D60" s="7" t="s">
        <v>2010</v>
      </c>
      <c r="E60" s="7" t="s">
        <v>2011</v>
      </c>
      <c r="F60" s="7" t="s">
        <v>26</v>
      </c>
    </row>
    <row r="61">
      <c r="A61" s="7" t="s">
        <v>872</v>
      </c>
      <c r="B61" s="8">
        <v>9.0</v>
      </c>
      <c r="C61" s="7" t="s">
        <v>20</v>
      </c>
      <c r="D61" s="7" t="s">
        <v>2010</v>
      </c>
      <c r="E61" s="7" t="s">
        <v>2011</v>
      </c>
      <c r="F61" s="7" t="s">
        <v>2017</v>
      </c>
    </row>
    <row r="62">
      <c r="A62" s="7" t="s">
        <v>606</v>
      </c>
      <c r="B62" s="8">
        <v>9.0</v>
      </c>
      <c r="C62" s="7" t="s">
        <v>20</v>
      </c>
      <c r="D62" s="7" t="s">
        <v>2010</v>
      </c>
      <c r="E62" s="7" t="s">
        <v>2011</v>
      </c>
      <c r="F62" s="7" t="s">
        <v>2018</v>
      </c>
    </row>
    <row r="63">
      <c r="A63" s="7" t="s">
        <v>11</v>
      </c>
      <c r="B63" s="8">
        <v>9.0</v>
      </c>
      <c r="C63" s="7" t="s">
        <v>20</v>
      </c>
      <c r="D63" s="7" t="s">
        <v>2010</v>
      </c>
      <c r="E63" s="7" t="s">
        <v>2011</v>
      </c>
      <c r="F63" s="7" t="s">
        <v>2019</v>
      </c>
    </row>
    <row r="64">
      <c r="A64" s="7" t="s">
        <v>607</v>
      </c>
      <c r="B64" s="8">
        <v>9.0</v>
      </c>
      <c r="C64" s="7" t="s">
        <v>20</v>
      </c>
      <c r="D64" s="7" t="s">
        <v>2010</v>
      </c>
      <c r="E64" s="7" t="s">
        <v>2011</v>
      </c>
      <c r="F64" s="7" t="s">
        <v>2020</v>
      </c>
    </row>
    <row r="65">
      <c r="A65" s="7" t="s">
        <v>874</v>
      </c>
      <c r="B65" s="8">
        <v>9.0</v>
      </c>
      <c r="C65" s="7" t="s">
        <v>20</v>
      </c>
      <c r="D65" s="7" t="s">
        <v>2010</v>
      </c>
      <c r="E65" s="7" t="s">
        <v>2011</v>
      </c>
      <c r="F65" s="7" t="s">
        <v>2012</v>
      </c>
    </row>
    <row r="66">
      <c r="A66" s="7" t="s">
        <v>608</v>
      </c>
      <c r="B66" s="8">
        <v>9.0</v>
      </c>
      <c r="C66" s="7" t="s">
        <v>20</v>
      </c>
      <c r="D66" s="7" t="s">
        <v>2010</v>
      </c>
      <c r="E66" s="7" t="s">
        <v>2011</v>
      </c>
      <c r="F66" s="7" t="s">
        <v>417</v>
      </c>
    </row>
    <row r="67">
      <c r="A67" s="7" t="s">
        <v>875</v>
      </c>
      <c r="B67" s="8">
        <v>9.0</v>
      </c>
      <c r="C67" s="7" t="s">
        <v>20</v>
      </c>
      <c r="D67" s="7" t="s">
        <v>2010</v>
      </c>
      <c r="E67" s="7" t="s">
        <v>2011</v>
      </c>
      <c r="F67" s="7" t="s">
        <v>417</v>
      </c>
    </row>
    <row r="68">
      <c r="A68" s="7" t="s">
        <v>14</v>
      </c>
      <c r="B68" s="8">
        <v>9.0</v>
      </c>
      <c r="C68" s="7" t="s">
        <v>20</v>
      </c>
      <c r="D68" s="7" t="s">
        <v>2010</v>
      </c>
      <c r="E68" s="7" t="s">
        <v>2011</v>
      </c>
      <c r="F68" s="7" t="s">
        <v>896</v>
      </c>
    </row>
    <row r="69">
      <c r="A69" s="7" t="s">
        <v>1989</v>
      </c>
      <c r="B69" s="8">
        <v>9.0</v>
      </c>
      <c r="C69" s="7" t="s">
        <v>20</v>
      </c>
      <c r="D69" s="7" t="s">
        <v>2010</v>
      </c>
      <c r="E69" s="7" t="s">
        <v>2011</v>
      </c>
      <c r="F69" s="7" t="s">
        <v>2021</v>
      </c>
    </row>
    <row r="70">
      <c r="A70" s="7" t="s">
        <v>609</v>
      </c>
      <c r="B70" s="8">
        <v>9.0</v>
      </c>
      <c r="C70" s="7" t="s">
        <v>20</v>
      </c>
      <c r="D70" s="7" t="s">
        <v>2010</v>
      </c>
      <c r="E70" s="7" t="s">
        <v>2011</v>
      </c>
      <c r="F70" s="7" t="s">
        <v>417</v>
      </c>
    </row>
    <row r="71">
      <c r="A71" s="7" t="s">
        <v>15</v>
      </c>
      <c r="B71" s="8">
        <v>9.0</v>
      </c>
      <c r="C71" s="7" t="s">
        <v>20</v>
      </c>
      <c r="D71" s="7" t="s">
        <v>2010</v>
      </c>
      <c r="E71" s="7" t="s">
        <v>2011</v>
      </c>
      <c r="F71" s="7" t="s">
        <v>417</v>
      </c>
    </row>
    <row r="72">
      <c r="A72" s="7" t="s">
        <v>610</v>
      </c>
      <c r="B72" s="8">
        <v>9.0</v>
      </c>
      <c r="C72" s="7" t="s">
        <v>20</v>
      </c>
      <c r="D72" s="7" t="s">
        <v>2010</v>
      </c>
      <c r="E72" s="7" t="s">
        <v>2011</v>
      </c>
      <c r="F72" s="7" t="s">
        <v>417</v>
      </c>
    </row>
    <row r="73">
      <c r="A73" s="7" t="s">
        <v>16</v>
      </c>
      <c r="B73" s="8">
        <v>9.0</v>
      </c>
      <c r="C73" s="7" t="s">
        <v>20</v>
      </c>
      <c r="D73" s="7" t="s">
        <v>2010</v>
      </c>
      <c r="E73" s="7" t="s">
        <v>2011</v>
      </c>
      <c r="F73" s="7" t="s">
        <v>2008</v>
      </c>
    </row>
    <row r="74">
      <c r="A74" s="7" t="s">
        <v>1990</v>
      </c>
      <c r="B74" s="8">
        <v>9.0</v>
      </c>
      <c r="C74" s="7" t="s">
        <v>20</v>
      </c>
      <c r="D74" s="7" t="s">
        <v>2010</v>
      </c>
      <c r="E74" s="7" t="s">
        <v>2011</v>
      </c>
      <c r="F74" s="7" t="s">
        <v>1997</v>
      </c>
    </row>
    <row r="75">
      <c r="A75" s="7" t="s">
        <v>611</v>
      </c>
      <c r="B75" s="8">
        <v>9.0</v>
      </c>
      <c r="C75" s="7" t="s">
        <v>20</v>
      </c>
      <c r="D75" s="7" t="s">
        <v>2010</v>
      </c>
      <c r="E75" s="7" t="s">
        <v>2011</v>
      </c>
      <c r="F75" s="7" t="s">
        <v>394</v>
      </c>
    </row>
    <row r="76">
      <c r="A76" s="7" t="s">
        <v>612</v>
      </c>
      <c r="B76" s="8">
        <v>9.0</v>
      </c>
      <c r="C76" s="7" t="s">
        <v>20</v>
      </c>
      <c r="D76" s="7" t="s">
        <v>2010</v>
      </c>
      <c r="E76" s="7" t="s">
        <v>2011</v>
      </c>
      <c r="F76" s="7" t="s">
        <v>2009</v>
      </c>
    </row>
    <row r="77">
      <c r="A77" s="7" t="s">
        <v>18</v>
      </c>
      <c r="B77" s="8">
        <v>9.0</v>
      </c>
      <c r="C77" s="7" t="s">
        <v>20</v>
      </c>
      <c r="D77" s="7" t="s">
        <v>2010</v>
      </c>
      <c r="E77" s="7" t="s">
        <v>2011</v>
      </c>
      <c r="F77" s="7" t="s">
        <v>417</v>
      </c>
    </row>
    <row r="78">
      <c r="A78" s="7" t="s">
        <v>19</v>
      </c>
      <c r="B78" s="8">
        <v>9.0</v>
      </c>
      <c r="C78" s="7" t="s">
        <v>20</v>
      </c>
      <c r="D78" s="7" t="s">
        <v>2010</v>
      </c>
      <c r="E78" s="7" t="s">
        <v>2011</v>
      </c>
      <c r="F78" s="7" t="s">
        <v>417</v>
      </c>
    </row>
    <row r="79">
      <c r="A79" s="7" t="s">
        <v>1986</v>
      </c>
      <c r="B79" s="8">
        <v>9.0</v>
      </c>
      <c r="C79" s="7" t="s">
        <v>35</v>
      </c>
      <c r="D79" s="7" t="s">
        <v>2022</v>
      </c>
      <c r="E79" s="7" t="s">
        <v>2023</v>
      </c>
      <c r="F79" s="7" t="s">
        <v>2024</v>
      </c>
    </row>
    <row r="80">
      <c r="A80" s="7" t="s">
        <v>188</v>
      </c>
      <c r="B80" s="8">
        <v>9.0</v>
      </c>
      <c r="C80" s="7" t="s">
        <v>35</v>
      </c>
      <c r="D80" s="7" t="s">
        <v>2022</v>
      </c>
      <c r="E80" s="7" t="s">
        <v>2023</v>
      </c>
      <c r="F80" s="7" t="s">
        <v>2025</v>
      </c>
    </row>
    <row r="81">
      <c r="A81" s="7" t="s">
        <v>597</v>
      </c>
      <c r="B81" s="8">
        <v>9.0</v>
      </c>
      <c r="C81" s="7" t="s">
        <v>35</v>
      </c>
      <c r="D81" s="7" t="s">
        <v>2022</v>
      </c>
      <c r="E81" s="7" t="s">
        <v>2023</v>
      </c>
      <c r="F81" s="7" t="s">
        <v>2025</v>
      </c>
    </row>
    <row r="82">
      <c r="A82" s="7" t="s">
        <v>386</v>
      </c>
      <c r="B82" s="8">
        <v>9.0</v>
      </c>
      <c r="C82" s="7" t="s">
        <v>35</v>
      </c>
      <c r="D82" s="7" t="s">
        <v>2022</v>
      </c>
      <c r="E82" s="7" t="s">
        <v>2023</v>
      </c>
      <c r="F82" s="7" t="s">
        <v>2026</v>
      </c>
    </row>
    <row r="83">
      <c r="A83" s="7" t="s">
        <v>598</v>
      </c>
      <c r="B83" s="8">
        <v>9.0</v>
      </c>
      <c r="C83" s="7" t="s">
        <v>35</v>
      </c>
      <c r="D83" s="7" t="s">
        <v>2022</v>
      </c>
      <c r="E83" s="7" t="s">
        <v>2023</v>
      </c>
      <c r="F83" s="7" t="s">
        <v>2024</v>
      </c>
    </row>
    <row r="84">
      <c r="A84" s="7" t="s">
        <v>867</v>
      </c>
      <c r="B84" s="8">
        <v>9.0</v>
      </c>
      <c r="C84" s="7" t="s">
        <v>35</v>
      </c>
      <c r="D84" s="7" t="s">
        <v>2022</v>
      </c>
      <c r="E84" s="7" t="s">
        <v>2023</v>
      </c>
      <c r="F84" s="7" t="s">
        <v>2025</v>
      </c>
    </row>
    <row r="85">
      <c r="A85" s="7" t="s">
        <v>1987</v>
      </c>
      <c r="B85" s="8">
        <v>9.0</v>
      </c>
      <c r="C85" s="7" t="s">
        <v>35</v>
      </c>
      <c r="D85" s="7" t="s">
        <v>2022</v>
      </c>
      <c r="E85" s="7" t="s">
        <v>2023</v>
      </c>
      <c r="F85" s="7" t="s">
        <v>2024</v>
      </c>
    </row>
    <row r="86">
      <c r="A86" s="7" t="s">
        <v>868</v>
      </c>
      <c r="B86" s="8">
        <v>9.0</v>
      </c>
      <c r="C86" s="7" t="s">
        <v>35</v>
      </c>
      <c r="D86" s="7" t="s">
        <v>2022</v>
      </c>
      <c r="E86" s="7" t="s">
        <v>2023</v>
      </c>
      <c r="F86" s="7" t="s">
        <v>2024</v>
      </c>
    </row>
    <row r="87">
      <c r="A87" s="7" t="s">
        <v>869</v>
      </c>
      <c r="B87" s="8">
        <v>9.0</v>
      </c>
      <c r="C87" s="7" t="s">
        <v>35</v>
      </c>
      <c r="D87" s="7" t="s">
        <v>2022</v>
      </c>
      <c r="E87" s="7" t="s">
        <v>2023</v>
      </c>
      <c r="F87" s="7" t="s">
        <v>2025</v>
      </c>
    </row>
    <row r="88">
      <c r="A88" s="7" t="s">
        <v>600</v>
      </c>
      <c r="B88" s="8">
        <v>9.0</v>
      </c>
      <c r="C88" s="7" t="s">
        <v>35</v>
      </c>
      <c r="D88" s="7" t="s">
        <v>2022</v>
      </c>
      <c r="E88" s="7" t="s">
        <v>2023</v>
      </c>
      <c r="F88" s="7" t="s">
        <v>2027</v>
      </c>
    </row>
    <row r="89">
      <c r="A89" s="7" t="s">
        <v>870</v>
      </c>
      <c r="B89" s="8">
        <v>9.0</v>
      </c>
      <c r="C89" s="7" t="s">
        <v>35</v>
      </c>
      <c r="D89" s="7" t="s">
        <v>2022</v>
      </c>
      <c r="E89" s="7" t="s">
        <v>2023</v>
      </c>
      <c r="F89" s="7" t="s">
        <v>2024</v>
      </c>
    </row>
    <row r="90">
      <c r="A90" s="7" t="s">
        <v>1293</v>
      </c>
      <c r="B90" s="8">
        <v>9.0</v>
      </c>
      <c r="C90" s="7" t="s">
        <v>35</v>
      </c>
      <c r="D90" s="7" t="s">
        <v>2022</v>
      </c>
      <c r="E90" s="7" t="s">
        <v>2023</v>
      </c>
      <c r="F90" s="7" t="s">
        <v>2024</v>
      </c>
    </row>
    <row r="91">
      <c r="A91" s="7" t="s">
        <v>601</v>
      </c>
      <c r="B91" s="8">
        <v>9.0</v>
      </c>
      <c r="C91" s="7" t="s">
        <v>35</v>
      </c>
      <c r="D91" s="7" t="s">
        <v>2022</v>
      </c>
      <c r="E91" s="7" t="s">
        <v>2023</v>
      </c>
      <c r="F91" s="7" t="s">
        <v>2025</v>
      </c>
    </row>
    <row r="92">
      <c r="A92" s="7" t="s">
        <v>871</v>
      </c>
      <c r="B92" s="8">
        <v>9.0</v>
      </c>
      <c r="C92" s="7" t="s">
        <v>35</v>
      </c>
      <c r="D92" s="7" t="s">
        <v>2022</v>
      </c>
      <c r="E92" s="7" t="s">
        <v>2023</v>
      </c>
      <c r="F92" s="7" t="s">
        <v>2028</v>
      </c>
    </row>
    <row r="93">
      <c r="A93" s="7" t="s">
        <v>602</v>
      </c>
      <c r="B93" s="8">
        <v>9.0</v>
      </c>
      <c r="C93" s="7" t="s">
        <v>35</v>
      </c>
      <c r="D93" s="7" t="s">
        <v>2022</v>
      </c>
      <c r="E93" s="7" t="s">
        <v>2023</v>
      </c>
      <c r="F93" s="7" t="s">
        <v>2025</v>
      </c>
    </row>
    <row r="94">
      <c r="A94" s="7" t="s">
        <v>603</v>
      </c>
      <c r="B94" s="8">
        <v>9.0</v>
      </c>
      <c r="C94" s="7" t="s">
        <v>35</v>
      </c>
      <c r="D94" s="7" t="s">
        <v>2022</v>
      </c>
      <c r="E94" s="7" t="s">
        <v>2023</v>
      </c>
      <c r="F94" s="7" t="s">
        <v>2025</v>
      </c>
    </row>
    <row r="95">
      <c r="A95" s="7" t="s">
        <v>604</v>
      </c>
      <c r="B95" s="8">
        <v>9.0</v>
      </c>
      <c r="C95" s="7" t="s">
        <v>35</v>
      </c>
      <c r="D95" s="7" t="s">
        <v>2022</v>
      </c>
      <c r="E95" s="7" t="s">
        <v>2023</v>
      </c>
      <c r="F95" s="7" t="s">
        <v>2029</v>
      </c>
    </row>
    <row r="96">
      <c r="A96" s="7" t="s">
        <v>189</v>
      </c>
      <c r="B96" s="8">
        <v>9.0</v>
      </c>
      <c r="C96" s="7" t="s">
        <v>35</v>
      </c>
      <c r="D96" s="7" t="s">
        <v>2022</v>
      </c>
      <c r="E96" s="7" t="s">
        <v>2023</v>
      </c>
      <c r="F96" s="7" t="s">
        <v>208</v>
      </c>
    </row>
    <row r="97">
      <c r="A97" s="7" t="s">
        <v>605</v>
      </c>
      <c r="B97" s="8">
        <v>9.0</v>
      </c>
      <c r="C97" s="7" t="s">
        <v>35</v>
      </c>
      <c r="D97" s="7" t="s">
        <v>2022</v>
      </c>
      <c r="E97" s="7" t="s">
        <v>2023</v>
      </c>
      <c r="F97" s="7" t="s">
        <v>2025</v>
      </c>
    </row>
    <row r="98">
      <c r="A98" s="7" t="s">
        <v>10</v>
      </c>
      <c r="B98" s="8">
        <v>9.0</v>
      </c>
      <c r="C98" s="7" t="s">
        <v>35</v>
      </c>
      <c r="D98" s="7" t="s">
        <v>2022</v>
      </c>
      <c r="E98" s="7" t="s">
        <v>2023</v>
      </c>
      <c r="F98" s="7" t="s">
        <v>208</v>
      </c>
    </row>
    <row r="99">
      <c r="A99" s="7" t="s">
        <v>1988</v>
      </c>
      <c r="B99" s="8">
        <v>9.0</v>
      </c>
      <c r="C99" s="7" t="s">
        <v>35</v>
      </c>
      <c r="D99" s="7" t="s">
        <v>2022</v>
      </c>
      <c r="E99" s="7" t="s">
        <v>2023</v>
      </c>
      <c r="F99" s="7" t="s">
        <v>208</v>
      </c>
    </row>
    <row r="100">
      <c r="A100" s="7" t="s">
        <v>872</v>
      </c>
      <c r="B100" s="8">
        <v>9.0</v>
      </c>
      <c r="C100" s="7" t="s">
        <v>35</v>
      </c>
      <c r="D100" s="7" t="s">
        <v>2022</v>
      </c>
      <c r="E100" s="7" t="s">
        <v>2023</v>
      </c>
      <c r="F100" s="7" t="s">
        <v>208</v>
      </c>
    </row>
    <row r="101">
      <c r="A101" s="7" t="s">
        <v>606</v>
      </c>
      <c r="B101" s="8">
        <v>9.0</v>
      </c>
      <c r="C101" s="7" t="s">
        <v>35</v>
      </c>
      <c r="D101" s="7" t="s">
        <v>2022</v>
      </c>
      <c r="E101" s="7" t="s">
        <v>2023</v>
      </c>
      <c r="F101" s="7" t="s">
        <v>1542</v>
      </c>
    </row>
    <row r="102">
      <c r="A102" s="7" t="s">
        <v>11</v>
      </c>
      <c r="B102" s="8">
        <v>9.0</v>
      </c>
      <c r="C102" s="7" t="s">
        <v>35</v>
      </c>
      <c r="D102" s="7" t="s">
        <v>2022</v>
      </c>
      <c r="E102" s="7" t="s">
        <v>2023</v>
      </c>
      <c r="F102" s="7" t="s">
        <v>1542</v>
      </c>
    </row>
    <row r="103">
      <c r="A103" s="7" t="s">
        <v>607</v>
      </c>
      <c r="B103" s="8">
        <v>9.0</v>
      </c>
      <c r="C103" s="7" t="s">
        <v>35</v>
      </c>
      <c r="D103" s="7" t="s">
        <v>2022</v>
      </c>
      <c r="E103" s="7" t="s">
        <v>2023</v>
      </c>
      <c r="F103" s="7" t="s">
        <v>208</v>
      </c>
    </row>
    <row r="104">
      <c r="A104" s="7" t="s">
        <v>874</v>
      </c>
      <c r="B104" s="8">
        <v>9.0</v>
      </c>
      <c r="C104" s="7" t="s">
        <v>35</v>
      </c>
      <c r="D104" s="7" t="s">
        <v>2022</v>
      </c>
      <c r="E104" s="7" t="s">
        <v>2023</v>
      </c>
      <c r="F104" s="7" t="s">
        <v>208</v>
      </c>
    </row>
    <row r="105">
      <c r="A105" s="7" t="s">
        <v>608</v>
      </c>
      <c r="B105" s="8">
        <v>9.0</v>
      </c>
      <c r="C105" s="7" t="s">
        <v>35</v>
      </c>
      <c r="D105" s="7" t="s">
        <v>2022</v>
      </c>
      <c r="E105" s="7" t="s">
        <v>2023</v>
      </c>
      <c r="F105" s="7" t="s">
        <v>208</v>
      </c>
    </row>
    <row r="106">
      <c r="A106" s="7" t="s">
        <v>875</v>
      </c>
      <c r="B106" s="8">
        <v>9.0</v>
      </c>
      <c r="C106" s="7" t="s">
        <v>35</v>
      </c>
      <c r="D106" s="7" t="s">
        <v>2022</v>
      </c>
      <c r="E106" s="7" t="s">
        <v>2023</v>
      </c>
      <c r="F106" s="7" t="s">
        <v>208</v>
      </c>
    </row>
    <row r="107">
      <c r="A107" s="7" t="s">
        <v>14</v>
      </c>
      <c r="B107" s="8">
        <v>9.0</v>
      </c>
      <c r="C107" s="7" t="s">
        <v>35</v>
      </c>
      <c r="D107" s="7" t="s">
        <v>2022</v>
      </c>
      <c r="E107" s="7" t="s">
        <v>2023</v>
      </c>
      <c r="F107" s="7" t="s">
        <v>208</v>
      </c>
    </row>
    <row r="108">
      <c r="A108" s="7" t="s">
        <v>1989</v>
      </c>
      <c r="B108" s="8">
        <v>9.0</v>
      </c>
      <c r="C108" s="7" t="s">
        <v>35</v>
      </c>
      <c r="D108" s="7" t="s">
        <v>2022</v>
      </c>
      <c r="E108" s="7" t="s">
        <v>2023</v>
      </c>
      <c r="F108" s="7" t="s">
        <v>208</v>
      </c>
    </row>
    <row r="109">
      <c r="A109" s="7" t="s">
        <v>609</v>
      </c>
      <c r="B109" s="8">
        <v>9.0</v>
      </c>
      <c r="C109" s="7" t="s">
        <v>35</v>
      </c>
      <c r="D109" s="7" t="s">
        <v>2022</v>
      </c>
      <c r="E109" s="7" t="s">
        <v>2023</v>
      </c>
      <c r="F109" s="7" t="s">
        <v>1542</v>
      </c>
    </row>
    <row r="110">
      <c r="A110" s="7" t="s">
        <v>15</v>
      </c>
      <c r="B110" s="8">
        <v>9.0</v>
      </c>
      <c r="C110" s="7" t="s">
        <v>35</v>
      </c>
      <c r="D110" s="7" t="s">
        <v>2022</v>
      </c>
      <c r="E110" s="7" t="s">
        <v>2023</v>
      </c>
      <c r="F110" s="7" t="s">
        <v>1542</v>
      </c>
    </row>
    <row r="111">
      <c r="A111" s="7" t="s">
        <v>16</v>
      </c>
      <c r="B111" s="8">
        <v>9.0</v>
      </c>
      <c r="C111" s="7" t="s">
        <v>35</v>
      </c>
      <c r="D111" s="7" t="s">
        <v>2022</v>
      </c>
      <c r="E111" s="7" t="s">
        <v>2023</v>
      </c>
      <c r="F111" s="7" t="s">
        <v>1542</v>
      </c>
    </row>
    <row r="112">
      <c r="A112" s="7" t="s">
        <v>1990</v>
      </c>
      <c r="B112" s="8">
        <v>9.0</v>
      </c>
      <c r="C112" s="7" t="s">
        <v>35</v>
      </c>
      <c r="D112" s="7" t="s">
        <v>2022</v>
      </c>
      <c r="E112" s="7" t="s">
        <v>2023</v>
      </c>
      <c r="F112" s="7" t="s">
        <v>208</v>
      </c>
    </row>
    <row r="113">
      <c r="A113" s="7" t="s">
        <v>611</v>
      </c>
      <c r="B113" s="8">
        <v>9.0</v>
      </c>
      <c r="C113" s="7" t="s">
        <v>35</v>
      </c>
      <c r="D113" s="7" t="s">
        <v>2022</v>
      </c>
      <c r="E113" s="7" t="s">
        <v>2023</v>
      </c>
      <c r="F113" s="7" t="s">
        <v>2030</v>
      </c>
    </row>
    <row r="114">
      <c r="A114" s="7" t="s">
        <v>612</v>
      </c>
      <c r="B114" s="8">
        <v>9.0</v>
      </c>
      <c r="C114" s="7" t="s">
        <v>35</v>
      </c>
      <c r="D114" s="7" t="s">
        <v>2022</v>
      </c>
      <c r="E114" s="7" t="s">
        <v>2023</v>
      </c>
      <c r="F114" s="7" t="s">
        <v>1542</v>
      </c>
    </row>
    <row r="115">
      <c r="A115" s="7" t="s">
        <v>18</v>
      </c>
      <c r="B115" s="8">
        <v>9.0</v>
      </c>
      <c r="C115" s="7" t="s">
        <v>35</v>
      </c>
      <c r="D115" s="7" t="s">
        <v>2022</v>
      </c>
      <c r="E115" s="7" t="s">
        <v>2023</v>
      </c>
      <c r="F115" s="7" t="s">
        <v>1542</v>
      </c>
    </row>
    <row r="116">
      <c r="A116" s="7" t="s">
        <v>19</v>
      </c>
      <c r="B116" s="8">
        <v>9.0</v>
      </c>
      <c r="C116" s="7" t="s">
        <v>35</v>
      </c>
      <c r="D116" s="7" t="s">
        <v>2022</v>
      </c>
      <c r="E116" s="7" t="s">
        <v>2023</v>
      </c>
      <c r="F116" s="7" t="s">
        <v>1542</v>
      </c>
    </row>
    <row r="117">
      <c r="A117" s="7" t="s">
        <v>1986</v>
      </c>
      <c r="B117" s="8">
        <v>9.0</v>
      </c>
      <c r="C117" s="7" t="s">
        <v>193</v>
      </c>
      <c r="D117" s="7" t="s">
        <v>2031</v>
      </c>
      <c r="E117" s="7" t="s">
        <v>614</v>
      </c>
      <c r="F117" s="7" t="s">
        <v>2312</v>
      </c>
    </row>
    <row r="118">
      <c r="A118" s="7" t="s">
        <v>188</v>
      </c>
      <c r="B118" s="8">
        <v>9.0</v>
      </c>
      <c r="C118" s="7" t="s">
        <v>193</v>
      </c>
      <c r="D118" s="7" t="s">
        <v>2031</v>
      </c>
      <c r="E118" s="7" t="s">
        <v>614</v>
      </c>
      <c r="F118" s="7" t="s">
        <v>2313</v>
      </c>
    </row>
    <row r="119">
      <c r="A119" s="7" t="s">
        <v>597</v>
      </c>
      <c r="B119" s="8">
        <v>9.0</v>
      </c>
      <c r="C119" s="7" t="s">
        <v>193</v>
      </c>
      <c r="D119" s="7" t="s">
        <v>2031</v>
      </c>
      <c r="E119" s="7" t="s">
        <v>614</v>
      </c>
      <c r="F119" s="7" t="s">
        <v>2314</v>
      </c>
    </row>
    <row r="120">
      <c r="A120" s="7" t="s">
        <v>386</v>
      </c>
      <c r="B120" s="8">
        <v>9.0</v>
      </c>
      <c r="C120" s="7" t="s">
        <v>193</v>
      </c>
      <c r="D120" s="7" t="s">
        <v>2031</v>
      </c>
      <c r="E120" s="7" t="s">
        <v>614</v>
      </c>
      <c r="F120" s="7" t="s">
        <v>2315</v>
      </c>
    </row>
    <row r="121">
      <c r="A121" s="7" t="s">
        <v>598</v>
      </c>
      <c r="B121" s="8">
        <v>9.0</v>
      </c>
      <c r="C121" s="7" t="s">
        <v>193</v>
      </c>
      <c r="D121" s="7" t="s">
        <v>2031</v>
      </c>
      <c r="E121" s="7" t="s">
        <v>614</v>
      </c>
      <c r="F121" s="7" t="s">
        <v>2313</v>
      </c>
    </row>
    <row r="122">
      <c r="A122" s="7" t="s">
        <v>867</v>
      </c>
      <c r="B122" s="8">
        <v>9.0</v>
      </c>
      <c r="C122" s="7" t="s">
        <v>193</v>
      </c>
      <c r="D122" s="7" t="s">
        <v>2031</v>
      </c>
      <c r="E122" s="7" t="s">
        <v>614</v>
      </c>
      <c r="F122" s="7" t="s">
        <v>2315</v>
      </c>
    </row>
    <row r="123">
      <c r="A123" s="7" t="s">
        <v>1987</v>
      </c>
      <c r="B123" s="8">
        <v>9.0</v>
      </c>
      <c r="C123" s="7" t="s">
        <v>193</v>
      </c>
      <c r="D123" s="7" t="s">
        <v>2031</v>
      </c>
      <c r="E123" s="7" t="s">
        <v>614</v>
      </c>
      <c r="F123" s="7" t="s">
        <v>2316</v>
      </c>
    </row>
    <row r="124">
      <c r="A124" s="7" t="s">
        <v>868</v>
      </c>
      <c r="B124" s="8">
        <v>9.0</v>
      </c>
      <c r="C124" s="7" t="s">
        <v>193</v>
      </c>
      <c r="D124" s="7" t="s">
        <v>2031</v>
      </c>
      <c r="E124" s="7" t="s">
        <v>614</v>
      </c>
      <c r="F124" s="7" t="s">
        <v>2313</v>
      </c>
    </row>
    <row r="125">
      <c r="A125" s="7" t="s">
        <v>869</v>
      </c>
      <c r="B125" s="8">
        <v>9.0</v>
      </c>
      <c r="C125" s="7" t="s">
        <v>193</v>
      </c>
      <c r="D125" s="7" t="s">
        <v>2031</v>
      </c>
      <c r="E125" s="7" t="s">
        <v>614</v>
      </c>
      <c r="F125" s="7" t="s">
        <v>2317</v>
      </c>
    </row>
    <row r="126">
      <c r="A126" s="7" t="s">
        <v>600</v>
      </c>
      <c r="B126" s="8">
        <v>9.0</v>
      </c>
      <c r="C126" s="7" t="s">
        <v>193</v>
      </c>
      <c r="D126" s="7" t="s">
        <v>2031</v>
      </c>
      <c r="E126" s="7" t="s">
        <v>614</v>
      </c>
      <c r="F126" s="7" t="s">
        <v>2313</v>
      </c>
    </row>
    <row r="127">
      <c r="A127" s="7" t="s">
        <v>870</v>
      </c>
      <c r="B127" s="8">
        <v>9.0</v>
      </c>
      <c r="C127" s="7" t="s">
        <v>193</v>
      </c>
      <c r="D127" s="7" t="s">
        <v>2031</v>
      </c>
      <c r="E127" s="7" t="s">
        <v>614</v>
      </c>
      <c r="F127" s="7" t="s">
        <v>2317</v>
      </c>
    </row>
    <row r="128">
      <c r="A128" s="7" t="s">
        <v>1293</v>
      </c>
      <c r="B128" s="8">
        <v>9.0</v>
      </c>
      <c r="C128" s="7" t="s">
        <v>193</v>
      </c>
      <c r="D128" s="7" t="s">
        <v>2031</v>
      </c>
      <c r="E128" s="7" t="s">
        <v>614</v>
      </c>
      <c r="F128" s="7" t="s">
        <v>2316</v>
      </c>
    </row>
    <row r="129">
      <c r="A129" s="7" t="s">
        <v>601</v>
      </c>
      <c r="B129" s="8">
        <v>9.0</v>
      </c>
      <c r="C129" s="7" t="s">
        <v>193</v>
      </c>
      <c r="D129" s="7" t="s">
        <v>2031</v>
      </c>
      <c r="E129" s="7" t="s">
        <v>614</v>
      </c>
      <c r="F129" s="7" t="s">
        <v>2315</v>
      </c>
    </row>
    <row r="130">
      <c r="A130" s="7" t="s">
        <v>871</v>
      </c>
      <c r="B130" s="8">
        <v>9.0</v>
      </c>
      <c r="C130" s="7" t="s">
        <v>193</v>
      </c>
      <c r="D130" s="7" t="s">
        <v>2031</v>
      </c>
      <c r="E130" s="7" t="s">
        <v>614</v>
      </c>
      <c r="F130" s="7" t="s">
        <v>2315</v>
      </c>
    </row>
    <row r="131">
      <c r="A131" s="7" t="s">
        <v>602</v>
      </c>
      <c r="B131" s="8">
        <v>9.0</v>
      </c>
      <c r="C131" s="7" t="s">
        <v>193</v>
      </c>
      <c r="D131" s="7" t="s">
        <v>2031</v>
      </c>
      <c r="E131" s="7" t="s">
        <v>614</v>
      </c>
      <c r="F131" s="7" t="s">
        <v>2312</v>
      </c>
    </row>
    <row r="132">
      <c r="A132" s="7" t="s">
        <v>603</v>
      </c>
      <c r="B132" s="8">
        <v>9.0</v>
      </c>
      <c r="C132" s="7" t="s">
        <v>193</v>
      </c>
      <c r="D132" s="7" t="s">
        <v>2031</v>
      </c>
      <c r="E132" s="7" t="s">
        <v>614</v>
      </c>
      <c r="F132" s="7" t="s">
        <v>2312</v>
      </c>
    </row>
    <row r="133">
      <c r="A133" s="7" t="s">
        <v>604</v>
      </c>
      <c r="B133" s="8">
        <v>9.0</v>
      </c>
      <c r="C133" s="7" t="s">
        <v>193</v>
      </c>
      <c r="D133" s="7" t="s">
        <v>2031</v>
      </c>
      <c r="E133" s="7" t="s">
        <v>614</v>
      </c>
      <c r="F133" s="7" t="s">
        <v>2312</v>
      </c>
    </row>
    <row r="134">
      <c r="A134" s="7" t="s">
        <v>189</v>
      </c>
      <c r="B134" s="8">
        <v>9.0</v>
      </c>
      <c r="C134" s="7" t="s">
        <v>193</v>
      </c>
      <c r="D134" s="7" t="s">
        <v>2031</v>
      </c>
      <c r="E134" s="7" t="s">
        <v>614</v>
      </c>
      <c r="F134" s="7" t="s">
        <v>2314</v>
      </c>
    </row>
    <row r="135">
      <c r="A135" s="7" t="s">
        <v>605</v>
      </c>
      <c r="B135" s="8">
        <v>9.0</v>
      </c>
      <c r="C135" s="7" t="s">
        <v>193</v>
      </c>
      <c r="D135" s="7" t="s">
        <v>2031</v>
      </c>
      <c r="E135" s="7" t="s">
        <v>614</v>
      </c>
      <c r="F135" s="7" t="s">
        <v>2315</v>
      </c>
    </row>
    <row r="136">
      <c r="A136" s="7" t="s">
        <v>10</v>
      </c>
      <c r="B136" s="8">
        <v>9.0</v>
      </c>
      <c r="C136" s="7" t="s">
        <v>193</v>
      </c>
      <c r="D136" s="7" t="s">
        <v>2031</v>
      </c>
      <c r="E136" s="7" t="s">
        <v>614</v>
      </c>
      <c r="F136" s="7" t="s">
        <v>2315</v>
      </c>
    </row>
    <row r="137">
      <c r="A137" s="7" t="s">
        <v>1988</v>
      </c>
      <c r="B137" s="8">
        <v>9.0</v>
      </c>
      <c r="C137" s="7" t="s">
        <v>193</v>
      </c>
      <c r="D137" s="7" t="s">
        <v>2031</v>
      </c>
      <c r="E137" s="7" t="s">
        <v>614</v>
      </c>
      <c r="F137" s="7" t="s">
        <v>2314</v>
      </c>
    </row>
    <row r="138">
      <c r="A138" s="7" t="s">
        <v>872</v>
      </c>
      <c r="B138" s="8">
        <v>9.0</v>
      </c>
      <c r="C138" s="7" t="s">
        <v>193</v>
      </c>
      <c r="D138" s="7" t="s">
        <v>2031</v>
      </c>
      <c r="E138" s="7" t="s">
        <v>614</v>
      </c>
      <c r="F138" s="7" t="s">
        <v>2314</v>
      </c>
    </row>
    <row r="139">
      <c r="A139" s="7" t="s">
        <v>606</v>
      </c>
      <c r="B139" s="8">
        <v>9.0</v>
      </c>
      <c r="C139" s="7" t="s">
        <v>193</v>
      </c>
      <c r="D139" s="7" t="s">
        <v>2031</v>
      </c>
      <c r="E139" s="7" t="s">
        <v>614</v>
      </c>
      <c r="F139" s="7" t="s">
        <v>2313</v>
      </c>
    </row>
    <row r="140">
      <c r="A140" s="7" t="s">
        <v>11</v>
      </c>
      <c r="B140" s="8">
        <v>9.0</v>
      </c>
      <c r="C140" s="7" t="s">
        <v>193</v>
      </c>
      <c r="D140" s="7" t="s">
        <v>2031</v>
      </c>
      <c r="E140" s="7" t="s">
        <v>614</v>
      </c>
      <c r="F140" s="7" t="s">
        <v>2314</v>
      </c>
    </row>
    <row r="141">
      <c r="A141" s="7" t="s">
        <v>607</v>
      </c>
      <c r="B141" s="8">
        <v>9.0</v>
      </c>
      <c r="C141" s="7" t="s">
        <v>193</v>
      </c>
      <c r="D141" s="7" t="s">
        <v>2031</v>
      </c>
      <c r="E141" s="7" t="s">
        <v>614</v>
      </c>
      <c r="F141" s="7" t="s">
        <v>2314</v>
      </c>
    </row>
    <row r="142">
      <c r="A142" s="7" t="s">
        <v>874</v>
      </c>
      <c r="B142" s="8">
        <v>9.0</v>
      </c>
      <c r="C142" s="7" t="s">
        <v>193</v>
      </c>
      <c r="D142" s="7" t="s">
        <v>2031</v>
      </c>
      <c r="E142" s="7" t="s">
        <v>614</v>
      </c>
      <c r="F142" s="7" t="s">
        <v>2313</v>
      </c>
    </row>
    <row r="143">
      <c r="A143" s="7" t="s">
        <v>608</v>
      </c>
      <c r="B143" s="8">
        <v>9.0</v>
      </c>
      <c r="C143" s="7" t="s">
        <v>193</v>
      </c>
      <c r="D143" s="7" t="s">
        <v>2031</v>
      </c>
      <c r="E143" s="7" t="s">
        <v>614</v>
      </c>
      <c r="F143" s="7" t="s">
        <v>2314</v>
      </c>
    </row>
    <row r="144">
      <c r="A144" s="7" t="s">
        <v>875</v>
      </c>
      <c r="B144" s="8">
        <v>9.0</v>
      </c>
      <c r="C144" s="7" t="s">
        <v>193</v>
      </c>
      <c r="D144" s="7" t="s">
        <v>2031</v>
      </c>
      <c r="E144" s="7" t="s">
        <v>614</v>
      </c>
      <c r="F144" s="7" t="s">
        <v>2316</v>
      </c>
    </row>
    <row r="145">
      <c r="A145" s="7" t="s">
        <v>14</v>
      </c>
      <c r="B145" s="8">
        <v>9.0</v>
      </c>
      <c r="C145" s="7" t="s">
        <v>193</v>
      </c>
      <c r="D145" s="7" t="s">
        <v>2031</v>
      </c>
      <c r="E145" s="7" t="s">
        <v>614</v>
      </c>
      <c r="F145" s="7" t="s">
        <v>2314</v>
      </c>
    </row>
    <row r="146">
      <c r="A146" s="7" t="s">
        <v>1989</v>
      </c>
      <c r="B146" s="8">
        <v>9.0</v>
      </c>
      <c r="C146" s="7" t="s">
        <v>193</v>
      </c>
      <c r="D146" s="7" t="s">
        <v>2031</v>
      </c>
      <c r="E146" s="7" t="s">
        <v>614</v>
      </c>
      <c r="F146" s="7" t="s">
        <v>2315</v>
      </c>
    </row>
    <row r="147">
      <c r="A147" s="7" t="s">
        <v>609</v>
      </c>
      <c r="B147" s="8">
        <v>9.0</v>
      </c>
      <c r="C147" s="7" t="s">
        <v>193</v>
      </c>
      <c r="D147" s="7" t="s">
        <v>2031</v>
      </c>
      <c r="E147" s="7" t="s">
        <v>614</v>
      </c>
      <c r="F147" s="7" t="s">
        <v>2317</v>
      </c>
    </row>
    <row r="148">
      <c r="A148" s="7" t="s">
        <v>15</v>
      </c>
      <c r="B148" s="8">
        <v>9.0</v>
      </c>
      <c r="C148" s="7" t="s">
        <v>193</v>
      </c>
      <c r="D148" s="7" t="s">
        <v>2031</v>
      </c>
      <c r="E148" s="7" t="s">
        <v>614</v>
      </c>
      <c r="F148" s="7" t="s">
        <v>2314</v>
      </c>
    </row>
    <row r="149">
      <c r="A149" s="7" t="s">
        <v>610</v>
      </c>
      <c r="B149" s="8">
        <v>9.0</v>
      </c>
      <c r="C149" s="7" t="s">
        <v>193</v>
      </c>
      <c r="D149" s="7" t="s">
        <v>2031</v>
      </c>
      <c r="E149" s="7" t="s">
        <v>614</v>
      </c>
      <c r="F149" s="7" t="s">
        <v>1292</v>
      </c>
    </row>
    <row r="150">
      <c r="A150" s="7" t="s">
        <v>16</v>
      </c>
      <c r="B150" s="8">
        <v>9.0</v>
      </c>
      <c r="C150" s="7" t="s">
        <v>193</v>
      </c>
      <c r="D150" s="7" t="s">
        <v>2031</v>
      </c>
      <c r="E150" s="7" t="s">
        <v>614</v>
      </c>
      <c r="F150" s="7" t="s">
        <v>2315</v>
      </c>
    </row>
    <row r="151">
      <c r="A151" s="7" t="s">
        <v>1990</v>
      </c>
      <c r="B151" s="8">
        <v>9.0</v>
      </c>
      <c r="C151" s="7" t="s">
        <v>193</v>
      </c>
      <c r="D151" s="7" t="s">
        <v>2031</v>
      </c>
      <c r="E151" s="7" t="s">
        <v>614</v>
      </c>
      <c r="F151" s="7" t="s">
        <v>2315</v>
      </c>
    </row>
    <row r="152">
      <c r="A152" s="7" t="s">
        <v>611</v>
      </c>
      <c r="B152" s="8">
        <v>9.0</v>
      </c>
      <c r="C152" s="7" t="s">
        <v>193</v>
      </c>
      <c r="D152" s="7" t="s">
        <v>2031</v>
      </c>
      <c r="E152" s="7" t="s">
        <v>614</v>
      </c>
      <c r="F152" s="7" t="s">
        <v>2314</v>
      </c>
    </row>
    <row r="153">
      <c r="A153" s="7" t="s">
        <v>612</v>
      </c>
      <c r="B153" s="8">
        <v>9.0</v>
      </c>
      <c r="C153" s="7" t="s">
        <v>193</v>
      </c>
      <c r="D153" s="7" t="s">
        <v>2031</v>
      </c>
      <c r="E153" s="7" t="s">
        <v>614</v>
      </c>
      <c r="F153" s="7" t="s">
        <v>2313</v>
      </c>
    </row>
    <row r="154">
      <c r="A154" s="7" t="s">
        <v>18</v>
      </c>
      <c r="B154" s="8">
        <v>9.0</v>
      </c>
      <c r="C154" s="7" t="s">
        <v>193</v>
      </c>
      <c r="D154" s="7" t="s">
        <v>2031</v>
      </c>
      <c r="E154" s="7" t="s">
        <v>614</v>
      </c>
      <c r="F154" s="7" t="s">
        <v>2313</v>
      </c>
    </row>
    <row r="155">
      <c r="A155" s="7" t="s">
        <v>19</v>
      </c>
      <c r="B155" s="8">
        <v>9.0</v>
      </c>
      <c r="C155" s="7" t="s">
        <v>193</v>
      </c>
      <c r="D155" s="7" t="s">
        <v>2031</v>
      </c>
      <c r="E155" s="7" t="s">
        <v>614</v>
      </c>
      <c r="F155" s="7" t="s">
        <v>2317</v>
      </c>
    </row>
    <row r="156">
      <c r="A156" s="7" t="s">
        <v>1986</v>
      </c>
      <c r="B156" s="8">
        <v>9.0</v>
      </c>
      <c r="C156" s="7" t="s">
        <v>227</v>
      </c>
      <c r="D156" s="7" t="s">
        <v>2032</v>
      </c>
      <c r="E156" s="7" t="s">
        <v>1555</v>
      </c>
      <c r="F156" s="7" t="s">
        <v>2312</v>
      </c>
    </row>
    <row r="157">
      <c r="A157" s="7" t="s">
        <v>188</v>
      </c>
      <c r="B157" s="8">
        <v>9.0</v>
      </c>
      <c r="C157" s="7" t="s">
        <v>227</v>
      </c>
      <c r="D157" s="7" t="s">
        <v>2032</v>
      </c>
      <c r="E157" s="7" t="s">
        <v>1555</v>
      </c>
      <c r="F157" s="7" t="s">
        <v>2313</v>
      </c>
    </row>
    <row r="158">
      <c r="A158" s="7" t="s">
        <v>597</v>
      </c>
      <c r="B158" s="8">
        <v>9.0</v>
      </c>
      <c r="C158" s="7" t="s">
        <v>227</v>
      </c>
      <c r="D158" s="7" t="s">
        <v>2032</v>
      </c>
      <c r="E158" s="7" t="s">
        <v>1555</v>
      </c>
      <c r="F158" s="7" t="s">
        <v>2314</v>
      </c>
    </row>
    <row r="159">
      <c r="A159" s="7" t="s">
        <v>386</v>
      </c>
      <c r="B159" s="8">
        <v>9.0</v>
      </c>
      <c r="C159" s="7" t="s">
        <v>227</v>
      </c>
      <c r="D159" s="7" t="s">
        <v>2032</v>
      </c>
      <c r="E159" s="7" t="s">
        <v>1555</v>
      </c>
      <c r="F159" s="7" t="s">
        <v>2315</v>
      </c>
    </row>
    <row r="160">
      <c r="A160" s="7" t="s">
        <v>598</v>
      </c>
      <c r="B160" s="8">
        <v>9.0</v>
      </c>
      <c r="C160" s="7" t="s">
        <v>227</v>
      </c>
      <c r="D160" s="7" t="s">
        <v>2032</v>
      </c>
      <c r="E160" s="7" t="s">
        <v>1555</v>
      </c>
      <c r="F160" s="7" t="s">
        <v>2313</v>
      </c>
    </row>
    <row r="161">
      <c r="A161" s="7" t="s">
        <v>867</v>
      </c>
      <c r="B161" s="8">
        <v>9.0</v>
      </c>
      <c r="C161" s="7" t="s">
        <v>227</v>
      </c>
      <c r="D161" s="7" t="s">
        <v>2032</v>
      </c>
      <c r="E161" s="7" t="s">
        <v>1555</v>
      </c>
      <c r="F161" s="7" t="s">
        <v>2315</v>
      </c>
    </row>
    <row r="162">
      <c r="A162" s="7" t="s">
        <v>1987</v>
      </c>
      <c r="B162" s="8">
        <v>9.0</v>
      </c>
      <c r="C162" s="7" t="s">
        <v>227</v>
      </c>
      <c r="D162" s="7" t="s">
        <v>2032</v>
      </c>
      <c r="E162" s="7" t="s">
        <v>1555</v>
      </c>
      <c r="F162" s="7" t="s">
        <v>2316</v>
      </c>
    </row>
    <row r="163">
      <c r="A163" s="7" t="s">
        <v>868</v>
      </c>
      <c r="B163" s="8">
        <v>9.0</v>
      </c>
      <c r="C163" s="7" t="s">
        <v>227</v>
      </c>
      <c r="D163" s="7" t="s">
        <v>2032</v>
      </c>
      <c r="E163" s="7" t="s">
        <v>1555</v>
      </c>
      <c r="F163" s="7" t="s">
        <v>2313</v>
      </c>
    </row>
    <row r="164">
      <c r="A164" s="7" t="s">
        <v>869</v>
      </c>
      <c r="B164" s="8">
        <v>9.0</v>
      </c>
      <c r="C164" s="7" t="s">
        <v>227</v>
      </c>
      <c r="D164" s="7" t="s">
        <v>2032</v>
      </c>
      <c r="E164" s="7" t="s">
        <v>1555</v>
      </c>
      <c r="F164" s="7" t="s">
        <v>2317</v>
      </c>
    </row>
    <row r="165">
      <c r="A165" s="7" t="s">
        <v>600</v>
      </c>
      <c r="B165" s="8">
        <v>9.0</v>
      </c>
      <c r="C165" s="7" t="s">
        <v>227</v>
      </c>
      <c r="D165" s="7" t="s">
        <v>2032</v>
      </c>
      <c r="E165" s="7" t="s">
        <v>1555</v>
      </c>
      <c r="F165" s="7" t="s">
        <v>2313</v>
      </c>
    </row>
    <row r="166">
      <c r="A166" s="7" t="s">
        <v>870</v>
      </c>
      <c r="B166" s="8">
        <v>9.0</v>
      </c>
      <c r="C166" s="7" t="s">
        <v>227</v>
      </c>
      <c r="D166" s="7" t="s">
        <v>2032</v>
      </c>
      <c r="E166" s="7" t="s">
        <v>1555</v>
      </c>
      <c r="F166" s="7" t="s">
        <v>2317</v>
      </c>
    </row>
    <row r="167">
      <c r="A167" s="7" t="s">
        <v>1293</v>
      </c>
      <c r="B167" s="8">
        <v>9.0</v>
      </c>
      <c r="C167" s="7" t="s">
        <v>227</v>
      </c>
      <c r="D167" s="7" t="s">
        <v>2032</v>
      </c>
      <c r="E167" s="7" t="s">
        <v>1555</v>
      </c>
      <c r="F167" s="7" t="s">
        <v>2316</v>
      </c>
    </row>
    <row r="168">
      <c r="A168" s="7" t="s">
        <v>601</v>
      </c>
      <c r="B168" s="8">
        <v>9.0</v>
      </c>
      <c r="C168" s="7" t="s">
        <v>227</v>
      </c>
      <c r="D168" s="7" t="s">
        <v>2032</v>
      </c>
      <c r="E168" s="7" t="s">
        <v>1555</v>
      </c>
      <c r="F168" s="7" t="s">
        <v>2315</v>
      </c>
    </row>
    <row r="169">
      <c r="A169" s="7" t="s">
        <v>871</v>
      </c>
      <c r="B169" s="8">
        <v>9.0</v>
      </c>
      <c r="C169" s="7" t="s">
        <v>227</v>
      </c>
      <c r="D169" s="7" t="s">
        <v>2032</v>
      </c>
      <c r="E169" s="7" t="s">
        <v>1555</v>
      </c>
      <c r="F169" s="7" t="s">
        <v>2315</v>
      </c>
    </row>
    <row r="170">
      <c r="A170" s="7" t="s">
        <v>602</v>
      </c>
      <c r="B170" s="8">
        <v>9.0</v>
      </c>
      <c r="C170" s="7" t="s">
        <v>227</v>
      </c>
      <c r="D170" s="7" t="s">
        <v>2032</v>
      </c>
      <c r="E170" s="7" t="s">
        <v>1555</v>
      </c>
      <c r="F170" s="7" t="s">
        <v>2312</v>
      </c>
    </row>
    <row r="171">
      <c r="A171" s="7" t="s">
        <v>603</v>
      </c>
      <c r="B171" s="8">
        <v>9.0</v>
      </c>
      <c r="C171" s="7" t="s">
        <v>227</v>
      </c>
      <c r="D171" s="7" t="s">
        <v>2032</v>
      </c>
      <c r="E171" s="7" t="s">
        <v>1555</v>
      </c>
      <c r="F171" s="7" t="s">
        <v>2312</v>
      </c>
    </row>
    <row r="172">
      <c r="A172" s="7" t="s">
        <v>604</v>
      </c>
      <c r="B172" s="8">
        <v>9.0</v>
      </c>
      <c r="C172" s="7" t="s">
        <v>227</v>
      </c>
      <c r="D172" s="7" t="s">
        <v>2032</v>
      </c>
      <c r="E172" s="7" t="s">
        <v>1555</v>
      </c>
      <c r="F172" s="7" t="s">
        <v>2312</v>
      </c>
    </row>
    <row r="173">
      <c r="A173" s="7" t="s">
        <v>189</v>
      </c>
      <c r="B173" s="8">
        <v>9.0</v>
      </c>
      <c r="C173" s="7" t="s">
        <v>227</v>
      </c>
      <c r="D173" s="7" t="s">
        <v>2032</v>
      </c>
      <c r="E173" s="7" t="s">
        <v>1555</v>
      </c>
      <c r="F173" s="7" t="s">
        <v>2314</v>
      </c>
    </row>
    <row r="174">
      <c r="A174" s="7" t="s">
        <v>605</v>
      </c>
      <c r="B174" s="8">
        <v>9.0</v>
      </c>
      <c r="C174" s="7" t="s">
        <v>227</v>
      </c>
      <c r="D174" s="7" t="s">
        <v>2032</v>
      </c>
      <c r="E174" s="7" t="s">
        <v>1555</v>
      </c>
      <c r="F174" s="7" t="s">
        <v>2315</v>
      </c>
    </row>
    <row r="175">
      <c r="A175" s="7" t="s">
        <v>10</v>
      </c>
      <c r="B175" s="8">
        <v>9.0</v>
      </c>
      <c r="C175" s="7" t="s">
        <v>227</v>
      </c>
      <c r="D175" s="7" t="s">
        <v>2032</v>
      </c>
      <c r="E175" s="7" t="s">
        <v>1555</v>
      </c>
      <c r="F175" s="7" t="s">
        <v>2315</v>
      </c>
    </row>
    <row r="176">
      <c r="A176" s="7" t="s">
        <v>1988</v>
      </c>
      <c r="B176" s="8">
        <v>9.0</v>
      </c>
      <c r="C176" s="7" t="s">
        <v>227</v>
      </c>
      <c r="D176" s="7" t="s">
        <v>2032</v>
      </c>
      <c r="E176" s="7" t="s">
        <v>1555</v>
      </c>
      <c r="F176" s="7" t="s">
        <v>2314</v>
      </c>
    </row>
    <row r="177">
      <c r="A177" s="7" t="s">
        <v>872</v>
      </c>
      <c r="B177" s="8">
        <v>9.0</v>
      </c>
      <c r="C177" s="7" t="s">
        <v>227</v>
      </c>
      <c r="D177" s="7" t="s">
        <v>2032</v>
      </c>
      <c r="E177" s="7" t="s">
        <v>1555</v>
      </c>
      <c r="F177" s="7" t="s">
        <v>2314</v>
      </c>
    </row>
    <row r="178">
      <c r="A178" s="7" t="s">
        <v>606</v>
      </c>
      <c r="B178" s="8">
        <v>9.0</v>
      </c>
      <c r="C178" s="7" t="s">
        <v>227</v>
      </c>
      <c r="D178" s="7" t="s">
        <v>2032</v>
      </c>
      <c r="E178" s="7" t="s">
        <v>1555</v>
      </c>
      <c r="F178" s="7" t="s">
        <v>2313</v>
      </c>
    </row>
    <row r="179">
      <c r="A179" s="7" t="s">
        <v>11</v>
      </c>
      <c r="B179" s="8">
        <v>9.0</v>
      </c>
      <c r="C179" s="7" t="s">
        <v>227</v>
      </c>
      <c r="D179" s="7" t="s">
        <v>2032</v>
      </c>
      <c r="E179" s="7" t="s">
        <v>1555</v>
      </c>
      <c r="F179" s="7" t="s">
        <v>2314</v>
      </c>
    </row>
    <row r="180">
      <c r="A180" s="7" t="s">
        <v>607</v>
      </c>
      <c r="B180" s="8">
        <v>9.0</v>
      </c>
      <c r="C180" s="7" t="s">
        <v>227</v>
      </c>
      <c r="D180" s="7" t="s">
        <v>2032</v>
      </c>
      <c r="E180" s="7" t="s">
        <v>1555</v>
      </c>
      <c r="F180" s="7" t="s">
        <v>2314</v>
      </c>
    </row>
    <row r="181">
      <c r="A181" s="7" t="s">
        <v>874</v>
      </c>
      <c r="B181" s="8">
        <v>9.0</v>
      </c>
      <c r="C181" s="7" t="s">
        <v>227</v>
      </c>
      <c r="D181" s="7" t="s">
        <v>2032</v>
      </c>
      <c r="E181" s="7" t="s">
        <v>1555</v>
      </c>
      <c r="F181" s="7" t="s">
        <v>2313</v>
      </c>
    </row>
    <row r="182">
      <c r="A182" s="7" t="s">
        <v>608</v>
      </c>
      <c r="B182" s="8">
        <v>9.0</v>
      </c>
      <c r="C182" s="7" t="s">
        <v>227</v>
      </c>
      <c r="D182" s="7" t="s">
        <v>2032</v>
      </c>
      <c r="E182" s="7" t="s">
        <v>1555</v>
      </c>
      <c r="F182" s="7" t="s">
        <v>2314</v>
      </c>
    </row>
    <row r="183">
      <c r="A183" s="7" t="s">
        <v>875</v>
      </c>
      <c r="B183" s="8">
        <v>9.0</v>
      </c>
      <c r="C183" s="7" t="s">
        <v>227</v>
      </c>
      <c r="D183" s="7" t="s">
        <v>2032</v>
      </c>
      <c r="E183" s="7" t="s">
        <v>1555</v>
      </c>
      <c r="F183" s="7" t="s">
        <v>2316</v>
      </c>
    </row>
    <row r="184">
      <c r="A184" s="7" t="s">
        <v>14</v>
      </c>
      <c r="B184" s="8">
        <v>9.0</v>
      </c>
      <c r="C184" s="7" t="s">
        <v>227</v>
      </c>
      <c r="D184" s="7" t="s">
        <v>2032</v>
      </c>
      <c r="E184" s="7" t="s">
        <v>1555</v>
      </c>
      <c r="F184" s="7" t="s">
        <v>2314</v>
      </c>
    </row>
    <row r="185">
      <c r="A185" s="7" t="s">
        <v>1989</v>
      </c>
      <c r="B185" s="8">
        <v>9.0</v>
      </c>
      <c r="C185" s="7" t="s">
        <v>227</v>
      </c>
      <c r="D185" s="7" t="s">
        <v>2032</v>
      </c>
      <c r="E185" s="7" t="s">
        <v>1555</v>
      </c>
      <c r="F185" s="7" t="s">
        <v>2315</v>
      </c>
    </row>
    <row r="186">
      <c r="A186" s="7" t="s">
        <v>609</v>
      </c>
      <c r="B186" s="8">
        <v>9.0</v>
      </c>
      <c r="C186" s="7" t="s">
        <v>227</v>
      </c>
      <c r="D186" s="7" t="s">
        <v>2032</v>
      </c>
      <c r="E186" s="7" t="s">
        <v>1555</v>
      </c>
      <c r="F186" s="7" t="s">
        <v>2317</v>
      </c>
    </row>
    <row r="187">
      <c r="A187" s="7" t="s">
        <v>15</v>
      </c>
      <c r="B187" s="8">
        <v>9.0</v>
      </c>
      <c r="C187" s="7" t="s">
        <v>227</v>
      </c>
      <c r="D187" s="7" t="s">
        <v>2032</v>
      </c>
      <c r="E187" s="7" t="s">
        <v>1555</v>
      </c>
      <c r="F187" s="7" t="s">
        <v>2314</v>
      </c>
    </row>
    <row r="188">
      <c r="A188" s="7" t="s">
        <v>610</v>
      </c>
      <c r="B188" s="8">
        <v>9.0</v>
      </c>
      <c r="C188" s="7" t="s">
        <v>227</v>
      </c>
      <c r="D188" s="7" t="s">
        <v>2032</v>
      </c>
      <c r="E188" s="7" t="s">
        <v>1555</v>
      </c>
      <c r="F188" s="7" t="s">
        <v>1292</v>
      </c>
    </row>
    <row r="189">
      <c r="A189" s="7" t="s">
        <v>16</v>
      </c>
      <c r="B189" s="8">
        <v>9.0</v>
      </c>
      <c r="C189" s="7" t="s">
        <v>227</v>
      </c>
      <c r="D189" s="7" t="s">
        <v>2032</v>
      </c>
      <c r="E189" s="7" t="s">
        <v>1555</v>
      </c>
      <c r="F189" s="7" t="s">
        <v>2315</v>
      </c>
    </row>
    <row r="190">
      <c r="A190" s="7" t="s">
        <v>1990</v>
      </c>
      <c r="B190" s="8">
        <v>9.0</v>
      </c>
      <c r="C190" s="7" t="s">
        <v>227</v>
      </c>
      <c r="D190" s="7" t="s">
        <v>2032</v>
      </c>
      <c r="E190" s="7" t="s">
        <v>1555</v>
      </c>
      <c r="F190" s="7" t="s">
        <v>2315</v>
      </c>
    </row>
    <row r="191">
      <c r="A191" s="7" t="s">
        <v>611</v>
      </c>
      <c r="B191" s="8">
        <v>9.0</v>
      </c>
      <c r="C191" s="7" t="s">
        <v>227</v>
      </c>
      <c r="D191" s="7" t="s">
        <v>2032</v>
      </c>
      <c r="E191" s="7" t="s">
        <v>1555</v>
      </c>
      <c r="F191" s="7" t="s">
        <v>2314</v>
      </c>
    </row>
    <row r="192">
      <c r="A192" s="7" t="s">
        <v>612</v>
      </c>
      <c r="B192" s="8">
        <v>9.0</v>
      </c>
      <c r="C192" s="7" t="s">
        <v>227</v>
      </c>
      <c r="D192" s="7" t="s">
        <v>2032</v>
      </c>
      <c r="E192" s="7" t="s">
        <v>1555</v>
      </c>
      <c r="F192" s="7" t="s">
        <v>2313</v>
      </c>
    </row>
    <row r="193">
      <c r="A193" s="7" t="s">
        <v>18</v>
      </c>
      <c r="B193" s="8">
        <v>9.0</v>
      </c>
      <c r="C193" s="7" t="s">
        <v>227</v>
      </c>
      <c r="D193" s="7" t="s">
        <v>2032</v>
      </c>
      <c r="E193" s="7" t="s">
        <v>1555</v>
      </c>
      <c r="F193" s="7" t="s">
        <v>2313</v>
      </c>
    </row>
    <row r="194">
      <c r="A194" s="7" t="s">
        <v>19</v>
      </c>
      <c r="B194" s="8">
        <v>9.0</v>
      </c>
      <c r="C194" s="7" t="s">
        <v>227</v>
      </c>
      <c r="D194" s="7" t="s">
        <v>2032</v>
      </c>
      <c r="E194" s="7" t="s">
        <v>1555</v>
      </c>
      <c r="F194" s="7" t="s">
        <v>2317</v>
      </c>
    </row>
    <row r="195">
      <c r="A195" s="7" t="s">
        <v>1986</v>
      </c>
      <c r="B195" s="8">
        <v>9.0</v>
      </c>
      <c r="C195" s="7" t="s">
        <v>2033</v>
      </c>
      <c r="D195" s="7" t="s">
        <v>2034</v>
      </c>
      <c r="E195" s="7" t="s">
        <v>2035</v>
      </c>
      <c r="F195" s="7" t="s">
        <v>2312</v>
      </c>
    </row>
    <row r="196">
      <c r="A196" s="7" t="s">
        <v>188</v>
      </c>
      <c r="B196" s="8">
        <v>9.0</v>
      </c>
      <c r="C196" s="7" t="s">
        <v>2033</v>
      </c>
      <c r="D196" s="7" t="s">
        <v>2034</v>
      </c>
      <c r="E196" s="7" t="s">
        <v>2035</v>
      </c>
      <c r="F196" s="7" t="s">
        <v>2313</v>
      </c>
    </row>
    <row r="197">
      <c r="A197" s="7" t="s">
        <v>597</v>
      </c>
      <c r="B197" s="8">
        <v>9.0</v>
      </c>
      <c r="C197" s="7" t="s">
        <v>2033</v>
      </c>
      <c r="D197" s="7" t="s">
        <v>2034</v>
      </c>
      <c r="E197" s="7" t="s">
        <v>2035</v>
      </c>
      <c r="F197" s="7" t="s">
        <v>2314</v>
      </c>
    </row>
    <row r="198">
      <c r="A198" s="7" t="s">
        <v>386</v>
      </c>
      <c r="B198" s="8">
        <v>9.0</v>
      </c>
      <c r="C198" s="7" t="s">
        <v>2033</v>
      </c>
      <c r="D198" s="7" t="s">
        <v>2034</v>
      </c>
      <c r="E198" s="7" t="s">
        <v>2035</v>
      </c>
      <c r="F198" s="7" t="s">
        <v>2315</v>
      </c>
    </row>
    <row r="199">
      <c r="A199" s="7" t="s">
        <v>598</v>
      </c>
      <c r="B199" s="8">
        <v>9.0</v>
      </c>
      <c r="C199" s="7" t="s">
        <v>2033</v>
      </c>
      <c r="D199" s="7" t="s">
        <v>2034</v>
      </c>
      <c r="E199" s="7" t="s">
        <v>2035</v>
      </c>
      <c r="F199" s="7" t="s">
        <v>2313</v>
      </c>
    </row>
    <row r="200">
      <c r="A200" s="7" t="s">
        <v>867</v>
      </c>
      <c r="B200" s="8">
        <v>9.0</v>
      </c>
      <c r="C200" s="7" t="s">
        <v>2033</v>
      </c>
      <c r="D200" s="7" t="s">
        <v>2034</v>
      </c>
      <c r="E200" s="7" t="s">
        <v>2035</v>
      </c>
      <c r="F200" s="7" t="s">
        <v>2315</v>
      </c>
    </row>
    <row r="201">
      <c r="A201" s="7" t="s">
        <v>1987</v>
      </c>
      <c r="B201" s="8">
        <v>9.0</v>
      </c>
      <c r="C201" s="7" t="s">
        <v>2033</v>
      </c>
      <c r="D201" s="7" t="s">
        <v>2034</v>
      </c>
      <c r="E201" s="7" t="s">
        <v>2035</v>
      </c>
      <c r="F201" s="7" t="s">
        <v>2316</v>
      </c>
    </row>
    <row r="202">
      <c r="A202" s="7" t="s">
        <v>868</v>
      </c>
      <c r="B202" s="8">
        <v>9.0</v>
      </c>
      <c r="C202" s="7" t="s">
        <v>2033</v>
      </c>
      <c r="D202" s="7" t="s">
        <v>2034</v>
      </c>
      <c r="E202" s="7" t="s">
        <v>2035</v>
      </c>
      <c r="F202" s="7" t="s">
        <v>2313</v>
      </c>
    </row>
    <row r="203">
      <c r="A203" s="7" t="s">
        <v>869</v>
      </c>
      <c r="B203" s="8">
        <v>9.0</v>
      </c>
      <c r="C203" s="7" t="s">
        <v>2033</v>
      </c>
      <c r="D203" s="7" t="s">
        <v>2034</v>
      </c>
      <c r="E203" s="7" t="s">
        <v>2035</v>
      </c>
      <c r="F203" s="7" t="s">
        <v>2317</v>
      </c>
    </row>
    <row r="204">
      <c r="A204" s="7" t="s">
        <v>600</v>
      </c>
      <c r="B204" s="8">
        <v>9.0</v>
      </c>
      <c r="C204" s="7" t="s">
        <v>2033</v>
      </c>
      <c r="D204" s="7" t="s">
        <v>2034</v>
      </c>
      <c r="E204" s="7" t="s">
        <v>2035</v>
      </c>
      <c r="F204" s="7" t="s">
        <v>2313</v>
      </c>
    </row>
    <row r="205">
      <c r="A205" s="7" t="s">
        <v>870</v>
      </c>
      <c r="B205" s="8">
        <v>9.0</v>
      </c>
      <c r="C205" s="7" t="s">
        <v>2033</v>
      </c>
      <c r="D205" s="7" t="s">
        <v>2034</v>
      </c>
      <c r="E205" s="7" t="s">
        <v>2035</v>
      </c>
      <c r="F205" s="7" t="s">
        <v>2317</v>
      </c>
    </row>
    <row r="206">
      <c r="A206" s="7" t="s">
        <v>1293</v>
      </c>
      <c r="B206" s="8">
        <v>9.0</v>
      </c>
      <c r="C206" s="7" t="s">
        <v>2033</v>
      </c>
      <c r="D206" s="7" t="s">
        <v>2034</v>
      </c>
      <c r="E206" s="7" t="s">
        <v>2035</v>
      </c>
      <c r="F206" s="7" t="s">
        <v>2316</v>
      </c>
    </row>
    <row r="207">
      <c r="A207" s="7" t="s">
        <v>601</v>
      </c>
      <c r="B207" s="8">
        <v>9.0</v>
      </c>
      <c r="C207" s="7" t="s">
        <v>2033</v>
      </c>
      <c r="D207" s="7" t="s">
        <v>2034</v>
      </c>
      <c r="E207" s="7" t="s">
        <v>2035</v>
      </c>
      <c r="F207" s="7" t="s">
        <v>2315</v>
      </c>
    </row>
    <row r="208">
      <c r="A208" s="7" t="s">
        <v>871</v>
      </c>
      <c r="B208" s="8">
        <v>9.0</v>
      </c>
      <c r="C208" s="7" t="s">
        <v>2033</v>
      </c>
      <c r="D208" s="7" t="s">
        <v>2034</v>
      </c>
      <c r="E208" s="7" t="s">
        <v>2035</v>
      </c>
      <c r="F208" s="7" t="s">
        <v>2315</v>
      </c>
    </row>
    <row r="209">
      <c r="A209" s="7" t="s">
        <v>602</v>
      </c>
      <c r="B209" s="8">
        <v>9.0</v>
      </c>
      <c r="C209" s="7" t="s">
        <v>2033</v>
      </c>
      <c r="D209" s="7" t="s">
        <v>2034</v>
      </c>
      <c r="E209" s="7" t="s">
        <v>2035</v>
      </c>
      <c r="F209" s="7" t="s">
        <v>2312</v>
      </c>
    </row>
    <row r="210">
      <c r="A210" s="7" t="s">
        <v>603</v>
      </c>
      <c r="B210" s="8">
        <v>9.0</v>
      </c>
      <c r="C210" s="7" t="s">
        <v>2033</v>
      </c>
      <c r="D210" s="7" t="s">
        <v>2034</v>
      </c>
      <c r="E210" s="7" t="s">
        <v>2035</v>
      </c>
      <c r="F210" s="7" t="s">
        <v>2312</v>
      </c>
    </row>
    <row r="211">
      <c r="A211" s="7" t="s">
        <v>604</v>
      </c>
      <c r="B211" s="8">
        <v>9.0</v>
      </c>
      <c r="C211" s="7" t="s">
        <v>2033</v>
      </c>
      <c r="D211" s="7" t="s">
        <v>2034</v>
      </c>
      <c r="E211" s="7" t="s">
        <v>2035</v>
      </c>
      <c r="F211" s="7" t="s">
        <v>2312</v>
      </c>
    </row>
    <row r="212">
      <c r="A212" s="7" t="s">
        <v>189</v>
      </c>
      <c r="B212" s="8">
        <v>9.0</v>
      </c>
      <c r="C212" s="7" t="s">
        <v>2033</v>
      </c>
      <c r="D212" s="7" t="s">
        <v>2034</v>
      </c>
      <c r="E212" s="7" t="s">
        <v>2035</v>
      </c>
      <c r="F212" s="7" t="s">
        <v>2314</v>
      </c>
    </row>
    <row r="213">
      <c r="A213" s="7" t="s">
        <v>605</v>
      </c>
      <c r="B213" s="8">
        <v>9.0</v>
      </c>
      <c r="C213" s="7" t="s">
        <v>2033</v>
      </c>
      <c r="D213" s="7" t="s">
        <v>2034</v>
      </c>
      <c r="E213" s="7" t="s">
        <v>2035</v>
      </c>
      <c r="F213" s="7" t="s">
        <v>2315</v>
      </c>
    </row>
    <row r="214">
      <c r="A214" s="7" t="s">
        <v>10</v>
      </c>
      <c r="B214" s="8">
        <v>9.0</v>
      </c>
      <c r="C214" s="7" t="s">
        <v>2033</v>
      </c>
      <c r="D214" s="7" t="s">
        <v>2034</v>
      </c>
      <c r="E214" s="7" t="s">
        <v>2035</v>
      </c>
      <c r="F214" s="7" t="s">
        <v>2315</v>
      </c>
    </row>
    <row r="215">
      <c r="A215" s="7" t="s">
        <v>1988</v>
      </c>
      <c r="B215" s="8">
        <v>9.0</v>
      </c>
      <c r="C215" s="7" t="s">
        <v>2033</v>
      </c>
      <c r="D215" s="7" t="s">
        <v>2034</v>
      </c>
      <c r="E215" s="7" t="s">
        <v>2035</v>
      </c>
      <c r="F215" s="7" t="s">
        <v>2314</v>
      </c>
    </row>
    <row r="216">
      <c r="A216" s="7" t="s">
        <v>872</v>
      </c>
      <c r="B216" s="8">
        <v>9.0</v>
      </c>
      <c r="C216" s="7" t="s">
        <v>2033</v>
      </c>
      <c r="D216" s="7" t="s">
        <v>2034</v>
      </c>
      <c r="E216" s="7" t="s">
        <v>2035</v>
      </c>
      <c r="F216" s="7" t="s">
        <v>2314</v>
      </c>
    </row>
    <row r="217">
      <c r="A217" s="7" t="s">
        <v>606</v>
      </c>
      <c r="B217" s="8">
        <v>9.0</v>
      </c>
      <c r="C217" s="7" t="s">
        <v>2033</v>
      </c>
      <c r="D217" s="7" t="s">
        <v>2034</v>
      </c>
      <c r="E217" s="7" t="s">
        <v>2035</v>
      </c>
      <c r="F217" s="7" t="s">
        <v>2313</v>
      </c>
    </row>
    <row r="218">
      <c r="A218" s="7" t="s">
        <v>11</v>
      </c>
      <c r="B218" s="8">
        <v>9.0</v>
      </c>
      <c r="C218" s="7" t="s">
        <v>2033</v>
      </c>
      <c r="D218" s="7" t="s">
        <v>2034</v>
      </c>
      <c r="E218" s="7" t="s">
        <v>2035</v>
      </c>
      <c r="F218" s="7" t="s">
        <v>2314</v>
      </c>
    </row>
    <row r="219">
      <c r="A219" s="7" t="s">
        <v>607</v>
      </c>
      <c r="B219" s="8">
        <v>9.0</v>
      </c>
      <c r="C219" s="7" t="s">
        <v>2033</v>
      </c>
      <c r="D219" s="7" t="s">
        <v>2034</v>
      </c>
      <c r="E219" s="7" t="s">
        <v>2035</v>
      </c>
      <c r="F219" s="7" t="s">
        <v>2314</v>
      </c>
    </row>
    <row r="220">
      <c r="A220" s="7" t="s">
        <v>874</v>
      </c>
      <c r="B220" s="8">
        <v>9.0</v>
      </c>
      <c r="C220" s="7" t="s">
        <v>2033</v>
      </c>
      <c r="D220" s="7" t="s">
        <v>2034</v>
      </c>
      <c r="E220" s="7" t="s">
        <v>2035</v>
      </c>
      <c r="F220" s="7" t="s">
        <v>2313</v>
      </c>
    </row>
    <row r="221">
      <c r="A221" s="7" t="s">
        <v>608</v>
      </c>
      <c r="B221" s="8">
        <v>9.0</v>
      </c>
      <c r="C221" s="7" t="s">
        <v>2033</v>
      </c>
      <c r="D221" s="7" t="s">
        <v>2034</v>
      </c>
      <c r="E221" s="7" t="s">
        <v>2035</v>
      </c>
      <c r="F221" s="7" t="s">
        <v>2314</v>
      </c>
    </row>
    <row r="222">
      <c r="A222" s="7" t="s">
        <v>875</v>
      </c>
      <c r="B222" s="8">
        <v>9.0</v>
      </c>
      <c r="C222" s="7" t="s">
        <v>2033</v>
      </c>
      <c r="D222" s="7" t="s">
        <v>2034</v>
      </c>
      <c r="E222" s="7" t="s">
        <v>2035</v>
      </c>
      <c r="F222" s="7" t="s">
        <v>2316</v>
      </c>
    </row>
    <row r="223">
      <c r="A223" s="7" t="s">
        <v>14</v>
      </c>
      <c r="B223" s="8">
        <v>9.0</v>
      </c>
      <c r="C223" s="7" t="s">
        <v>2033</v>
      </c>
      <c r="D223" s="7" t="s">
        <v>2034</v>
      </c>
      <c r="E223" s="7" t="s">
        <v>2035</v>
      </c>
      <c r="F223" s="7" t="s">
        <v>2314</v>
      </c>
    </row>
    <row r="224">
      <c r="A224" s="7" t="s">
        <v>1989</v>
      </c>
      <c r="B224" s="8">
        <v>9.0</v>
      </c>
      <c r="C224" s="7" t="s">
        <v>2033</v>
      </c>
      <c r="D224" s="7" t="s">
        <v>2034</v>
      </c>
      <c r="E224" s="7" t="s">
        <v>2035</v>
      </c>
      <c r="F224" s="7" t="s">
        <v>2315</v>
      </c>
    </row>
    <row r="225">
      <c r="A225" s="7" t="s">
        <v>609</v>
      </c>
      <c r="B225" s="8">
        <v>9.0</v>
      </c>
      <c r="C225" s="7" t="s">
        <v>2033</v>
      </c>
      <c r="D225" s="7" t="s">
        <v>2034</v>
      </c>
      <c r="E225" s="7" t="s">
        <v>2035</v>
      </c>
      <c r="F225" s="7" t="s">
        <v>2317</v>
      </c>
    </row>
    <row r="226">
      <c r="A226" s="7" t="s">
        <v>15</v>
      </c>
      <c r="B226" s="8">
        <v>9.0</v>
      </c>
      <c r="C226" s="7" t="s">
        <v>2033</v>
      </c>
      <c r="D226" s="7" t="s">
        <v>2034</v>
      </c>
      <c r="E226" s="7" t="s">
        <v>2035</v>
      </c>
      <c r="F226" s="7" t="s">
        <v>2314</v>
      </c>
    </row>
    <row r="227">
      <c r="A227" s="7" t="s">
        <v>610</v>
      </c>
      <c r="B227" s="8">
        <v>9.0</v>
      </c>
      <c r="C227" s="7" t="s">
        <v>2033</v>
      </c>
      <c r="D227" s="7" t="s">
        <v>2034</v>
      </c>
      <c r="E227" s="7" t="s">
        <v>2035</v>
      </c>
      <c r="F227" s="7" t="s">
        <v>1292</v>
      </c>
    </row>
    <row r="228">
      <c r="A228" s="7" t="s">
        <v>16</v>
      </c>
      <c r="B228" s="8">
        <v>9.0</v>
      </c>
      <c r="C228" s="7" t="s">
        <v>2033</v>
      </c>
      <c r="D228" s="7" t="s">
        <v>2034</v>
      </c>
      <c r="E228" s="7" t="s">
        <v>2035</v>
      </c>
      <c r="F228" s="7" t="s">
        <v>2315</v>
      </c>
    </row>
    <row r="229">
      <c r="A229" s="7" t="s">
        <v>1990</v>
      </c>
      <c r="B229" s="8">
        <v>9.0</v>
      </c>
      <c r="C229" s="7" t="s">
        <v>2033</v>
      </c>
      <c r="D229" s="7" t="s">
        <v>2034</v>
      </c>
      <c r="E229" s="7" t="s">
        <v>2035</v>
      </c>
      <c r="F229" s="7" t="s">
        <v>2315</v>
      </c>
    </row>
    <row r="230">
      <c r="A230" s="7" t="s">
        <v>611</v>
      </c>
      <c r="B230" s="8">
        <v>9.0</v>
      </c>
      <c r="C230" s="7" t="s">
        <v>2033</v>
      </c>
      <c r="D230" s="7" t="s">
        <v>2034</v>
      </c>
      <c r="E230" s="7" t="s">
        <v>2035</v>
      </c>
      <c r="F230" s="7" t="s">
        <v>2314</v>
      </c>
    </row>
    <row r="231">
      <c r="A231" s="7" t="s">
        <v>612</v>
      </c>
      <c r="B231" s="8">
        <v>9.0</v>
      </c>
      <c r="C231" s="7" t="s">
        <v>2033</v>
      </c>
      <c r="D231" s="7" t="s">
        <v>2034</v>
      </c>
      <c r="E231" s="7" t="s">
        <v>2035</v>
      </c>
      <c r="F231" s="7" t="s">
        <v>2313</v>
      </c>
    </row>
    <row r="232">
      <c r="A232" s="7" t="s">
        <v>18</v>
      </c>
      <c r="B232" s="8">
        <v>9.0</v>
      </c>
      <c r="C232" s="7" t="s">
        <v>2033</v>
      </c>
      <c r="D232" s="7" t="s">
        <v>2034</v>
      </c>
      <c r="E232" s="7" t="s">
        <v>2035</v>
      </c>
      <c r="F232" s="7" t="s">
        <v>2313</v>
      </c>
    </row>
    <row r="233">
      <c r="A233" s="7" t="s">
        <v>19</v>
      </c>
      <c r="B233" s="8">
        <v>9.0</v>
      </c>
      <c r="C233" s="7" t="s">
        <v>2033</v>
      </c>
      <c r="D233" s="7" t="s">
        <v>2034</v>
      </c>
      <c r="E233" s="7" t="s">
        <v>2035</v>
      </c>
      <c r="F233" s="7" t="s">
        <v>2317</v>
      </c>
    </row>
    <row r="234">
      <c r="A234" s="7" t="s">
        <v>1986</v>
      </c>
      <c r="B234" s="8">
        <v>9.0</v>
      </c>
      <c r="C234" s="7" t="s">
        <v>49</v>
      </c>
      <c r="D234" s="7" t="s">
        <v>2036</v>
      </c>
      <c r="E234" s="7" t="s">
        <v>2037</v>
      </c>
      <c r="F234" s="7" t="s">
        <v>2038</v>
      </c>
    </row>
    <row r="235">
      <c r="A235" s="7" t="s">
        <v>188</v>
      </c>
      <c r="B235" s="8">
        <v>9.0</v>
      </c>
      <c r="C235" s="7" t="s">
        <v>49</v>
      </c>
      <c r="D235" s="7" t="s">
        <v>2036</v>
      </c>
      <c r="E235" s="7" t="s">
        <v>2037</v>
      </c>
      <c r="F235" s="7" t="s">
        <v>2038</v>
      </c>
    </row>
    <row r="236">
      <c r="A236" s="7" t="s">
        <v>597</v>
      </c>
      <c r="B236" s="8">
        <v>9.0</v>
      </c>
      <c r="C236" s="7" t="s">
        <v>49</v>
      </c>
      <c r="D236" s="7" t="s">
        <v>2036</v>
      </c>
      <c r="E236" s="7" t="s">
        <v>2037</v>
      </c>
      <c r="F236" s="7" t="s">
        <v>947</v>
      </c>
    </row>
    <row r="237">
      <c r="A237" s="7" t="s">
        <v>386</v>
      </c>
      <c r="B237" s="8">
        <v>9.0</v>
      </c>
      <c r="C237" s="7" t="s">
        <v>49</v>
      </c>
      <c r="D237" s="7" t="s">
        <v>2036</v>
      </c>
      <c r="E237" s="7" t="s">
        <v>2037</v>
      </c>
      <c r="F237" s="7" t="s">
        <v>2039</v>
      </c>
    </row>
    <row r="238">
      <c r="A238" s="7" t="s">
        <v>598</v>
      </c>
      <c r="B238" s="8">
        <v>9.0</v>
      </c>
      <c r="C238" s="7" t="s">
        <v>49</v>
      </c>
      <c r="D238" s="7" t="s">
        <v>2036</v>
      </c>
      <c r="E238" s="7" t="s">
        <v>2037</v>
      </c>
      <c r="F238" s="7" t="s">
        <v>2038</v>
      </c>
    </row>
    <row r="239">
      <c r="A239" s="7" t="s">
        <v>867</v>
      </c>
      <c r="B239" s="8">
        <v>9.0</v>
      </c>
      <c r="C239" s="7" t="s">
        <v>49</v>
      </c>
      <c r="D239" s="7" t="s">
        <v>2036</v>
      </c>
      <c r="E239" s="7" t="s">
        <v>2037</v>
      </c>
      <c r="F239" s="7" t="s">
        <v>947</v>
      </c>
    </row>
    <row r="240">
      <c r="A240" s="7" t="s">
        <v>1987</v>
      </c>
      <c r="B240" s="8">
        <v>9.0</v>
      </c>
      <c r="C240" s="7" t="s">
        <v>49</v>
      </c>
      <c r="D240" s="7" t="s">
        <v>2036</v>
      </c>
      <c r="E240" s="7" t="s">
        <v>2037</v>
      </c>
      <c r="F240" s="7" t="s">
        <v>2038</v>
      </c>
    </row>
    <row r="241">
      <c r="A241" s="7" t="s">
        <v>868</v>
      </c>
      <c r="B241" s="8">
        <v>9.0</v>
      </c>
      <c r="C241" s="7" t="s">
        <v>49</v>
      </c>
      <c r="D241" s="7" t="s">
        <v>2036</v>
      </c>
      <c r="E241" s="7" t="s">
        <v>2037</v>
      </c>
      <c r="F241" s="7" t="s">
        <v>2038</v>
      </c>
    </row>
    <row r="242">
      <c r="A242" s="7" t="s">
        <v>869</v>
      </c>
      <c r="B242" s="8">
        <v>9.0</v>
      </c>
      <c r="C242" s="7" t="s">
        <v>49</v>
      </c>
      <c r="D242" s="7" t="s">
        <v>2036</v>
      </c>
      <c r="E242" s="7" t="s">
        <v>2037</v>
      </c>
      <c r="F242" s="7" t="s">
        <v>2040</v>
      </c>
    </row>
    <row r="243">
      <c r="A243" s="7" t="s">
        <v>600</v>
      </c>
      <c r="B243" s="8">
        <v>9.0</v>
      </c>
      <c r="C243" s="7" t="s">
        <v>49</v>
      </c>
      <c r="D243" s="7" t="s">
        <v>2036</v>
      </c>
      <c r="E243" s="7" t="s">
        <v>2037</v>
      </c>
      <c r="F243" s="7" t="s">
        <v>2041</v>
      </c>
    </row>
    <row r="244">
      <c r="A244" s="7" t="s">
        <v>870</v>
      </c>
      <c r="B244" s="8">
        <v>9.0</v>
      </c>
      <c r="C244" s="7" t="s">
        <v>49</v>
      </c>
      <c r="D244" s="7" t="s">
        <v>2036</v>
      </c>
      <c r="E244" s="7" t="s">
        <v>2037</v>
      </c>
      <c r="F244" s="7" t="s">
        <v>2038</v>
      </c>
    </row>
    <row r="245">
      <c r="A245" s="7" t="s">
        <v>1293</v>
      </c>
      <c r="B245" s="8">
        <v>9.0</v>
      </c>
      <c r="C245" s="7" t="s">
        <v>49</v>
      </c>
      <c r="D245" s="7" t="s">
        <v>2036</v>
      </c>
      <c r="E245" s="7" t="s">
        <v>2037</v>
      </c>
      <c r="F245" s="7" t="s">
        <v>2038</v>
      </c>
    </row>
    <row r="246">
      <c r="A246" s="7" t="s">
        <v>601</v>
      </c>
      <c r="B246" s="8">
        <v>9.0</v>
      </c>
      <c r="C246" s="7" t="s">
        <v>49</v>
      </c>
      <c r="D246" s="7" t="s">
        <v>2036</v>
      </c>
      <c r="E246" s="7" t="s">
        <v>2037</v>
      </c>
      <c r="F246" s="7" t="s">
        <v>947</v>
      </c>
    </row>
    <row r="247">
      <c r="A247" s="7" t="s">
        <v>871</v>
      </c>
      <c r="B247" s="8">
        <v>9.0</v>
      </c>
      <c r="C247" s="7" t="s">
        <v>49</v>
      </c>
      <c r="D247" s="7" t="s">
        <v>2036</v>
      </c>
      <c r="E247" s="7" t="s">
        <v>2037</v>
      </c>
      <c r="F247" s="7" t="s">
        <v>2042</v>
      </c>
    </row>
    <row r="248">
      <c r="A248" s="7" t="s">
        <v>602</v>
      </c>
      <c r="B248" s="8">
        <v>9.0</v>
      </c>
      <c r="C248" s="7" t="s">
        <v>49</v>
      </c>
      <c r="D248" s="7" t="s">
        <v>2036</v>
      </c>
      <c r="E248" s="7" t="s">
        <v>2037</v>
      </c>
      <c r="F248" s="7" t="s">
        <v>2043</v>
      </c>
    </row>
    <row r="249">
      <c r="A249" s="7" t="s">
        <v>603</v>
      </c>
      <c r="B249" s="8">
        <v>9.0</v>
      </c>
      <c r="C249" s="7" t="s">
        <v>49</v>
      </c>
      <c r="D249" s="7" t="s">
        <v>2036</v>
      </c>
      <c r="E249" s="7" t="s">
        <v>2037</v>
      </c>
      <c r="F249" s="7" t="s">
        <v>947</v>
      </c>
    </row>
    <row r="250">
      <c r="A250" s="7" t="s">
        <v>604</v>
      </c>
      <c r="B250" s="8">
        <v>9.0</v>
      </c>
      <c r="C250" s="7" t="s">
        <v>49</v>
      </c>
      <c r="D250" s="7" t="s">
        <v>2036</v>
      </c>
      <c r="E250" s="7" t="s">
        <v>2037</v>
      </c>
      <c r="F250" s="7" t="s">
        <v>2044</v>
      </c>
    </row>
    <row r="251">
      <c r="A251" s="7" t="s">
        <v>189</v>
      </c>
      <c r="B251" s="8">
        <v>9.0</v>
      </c>
      <c r="C251" s="7" t="s">
        <v>49</v>
      </c>
      <c r="D251" s="7" t="s">
        <v>2036</v>
      </c>
      <c r="E251" s="7" t="s">
        <v>2037</v>
      </c>
      <c r="F251" s="7" t="s">
        <v>2045</v>
      </c>
    </row>
    <row r="252">
      <c r="A252" s="7" t="s">
        <v>605</v>
      </c>
      <c r="B252" s="8">
        <v>9.0</v>
      </c>
      <c r="C252" s="7" t="s">
        <v>49</v>
      </c>
      <c r="D252" s="7" t="s">
        <v>2036</v>
      </c>
      <c r="E252" s="7" t="s">
        <v>2037</v>
      </c>
      <c r="F252" s="7" t="s">
        <v>947</v>
      </c>
    </row>
    <row r="253">
      <c r="A253" s="7" t="s">
        <v>10</v>
      </c>
      <c r="B253" s="8">
        <v>9.0</v>
      </c>
      <c r="C253" s="7" t="s">
        <v>49</v>
      </c>
      <c r="D253" s="7" t="s">
        <v>2036</v>
      </c>
      <c r="E253" s="7" t="s">
        <v>2037</v>
      </c>
      <c r="F253" s="7" t="s">
        <v>2045</v>
      </c>
    </row>
    <row r="254">
      <c r="A254" s="7" t="s">
        <v>1988</v>
      </c>
      <c r="B254" s="8">
        <v>9.0</v>
      </c>
      <c r="C254" s="7" t="s">
        <v>49</v>
      </c>
      <c r="D254" s="7" t="s">
        <v>2036</v>
      </c>
      <c r="E254" s="7" t="s">
        <v>2037</v>
      </c>
      <c r="F254" s="7" t="s">
        <v>2045</v>
      </c>
    </row>
    <row r="255">
      <c r="A255" s="7" t="s">
        <v>872</v>
      </c>
      <c r="B255" s="8">
        <v>9.0</v>
      </c>
      <c r="C255" s="7" t="s">
        <v>49</v>
      </c>
      <c r="D255" s="7" t="s">
        <v>2036</v>
      </c>
      <c r="E255" s="7" t="s">
        <v>2037</v>
      </c>
      <c r="F255" s="7" t="s">
        <v>2046</v>
      </c>
    </row>
    <row r="256">
      <c r="A256" s="7" t="s">
        <v>606</v>
      </c>
      <c r="B256" s="8">
        <v>9.0</v>
      </c>
      <c r="C256" s="7" t="s">
        <v>49</v>
      </c>
      <c r="D256" s="7" t="s">
        <v>2036</v>
      </c>
      <c r="E256" s="7" t="s">
        <v>2037</v>
      </c>
      <c r="F256" s="7" t="s">
        <v>947</v>
      </c>
    </row>
    <row r="257">
      <c r="A257" s="7" t="s">
        <v>11</v>
      </c>
      <c r="B257" s="8">
        <v>9.0</v>
      </c>
      <c r="C257" s="7" t="s">
        <v>49</v>
      </c>
      <c r="D257" s="7" t="s">
        <v>2036</v>
      </c>
      <c r="E257" s="7" t="s">
        <v>2037</v>
      </c>
      <c r="F257" s="7" t="s">
        <v>947</v>
      </c>
    </row>
    <row r="258">
      <c r="A258" s="7" t="s">
        <v>607</v>
      </c>
      <c r="B258" s="8">
        <v>9.0</v>
      </c>
      <c r="C258" s="7" t="s">
        <v>49</v>
      </c>
      <c r="D258" s="7" t="s">
        <v>2036</v>
      </c>
      <c r="E258" s="7" t="s">
        <v>2037</v>
      </c>
      <c r="F258" s="7" t="s">
        <v>2045</v>
      </c>
    </row>
    <row r="259">
      <c r="A259" s="7" t="s">
        <v>874</v>
      </c>
      <c r="B259" s="8">
        <v>9.0</v>
      </c>
      <c r="C259" s="7" t="s">
        <v>49</v>
      </c>
      <c r="D259" s="7" t="s">
        <v>2036</v>
      </c>
      <c r="E259" s="7" t="s">
        <v>2037</v>
      </c>
      <c r="F259" s="7" t="s">
        <v>2045</v>
      </c>
    </row>
    <row r="260">
      <c r="A260" s="7" t="s">
        <v>608</v>
      </c>
      <c r="B260" s="8">
        <v>9.0</v>
      </c>
      <c r="C260" s="7" t="s">
        <v>49</v>
      </c>
      <c r="D260" s="7" t="s">
        <v>2036</v>
      </c>
      <c r="E260" s="7" t="s">
        <v>2037</v>
      </c>
      <c r="F260" s="7" t="s">
        <v>2045</v>
      </c>
    </row>
    <row r="261">
      <c r="A261" s="7" t="s">
        <v>875</v>
      </c>
      <c r="B261" s="8">
        <v>9.0</v>
      </c>
      <c r="C261" s="7" t="s">
        <v>49</v>
      </c>
      <c r="D261" s="7" t="s">
        <v>2036</v>
      </c>
      <c r="E261" s="7" t="s">
        <v>2037</v>
      </c>
      <c r="F261" s="7" t="s">
        <v>2045</v>
      </c>
    </row>
    <row r="262">
      <c r="A262" s="7" t="s">
        <v>14</v>
      </c>
      <c r="B262" s="8">
        <v>9.0</v>
      </c>
      <c r="C262" s="7" t="s">
        <v>49</v>
      </c>
      <c r="D262" s="7" t="s">
        <v>2036</v>
      </c>
      <c r="E262" s="7" t="s">
        <v>2037</v>
      </c>
      <c r="F262" s="7" t="s">
        <v>2045</v>
      </c>
    </row>
    <row r="263">
      <c r="A263" s="7" t="s">
        <v>1989</v>
      </c>
      <c r="B263" s="8">
        <v>9.0</v>
      </c>
      <c r="C263" s="7" t="s">
        <v>49</v>
      </c>
      <c r="D263" s="7" t="s">
        <v>2036</v>
      </c>
      <c r="E263" s="7" t="s">
        <v>2037</v>
      </c>
      <c r="F263" s="7" t="s">
        <v>2045</v>
      </c>
    </row>
    <row r="264">
      <c r="A264" s="7" t="s">
        <v>609</v>
      </c>
      <c r="B264" s="8">
        <v>9.0</v>
      </c>
      <c r="C264" s="7" t="s">
        <v>49</v>
      </c>
      <c r="D264" s="7" t="s">
        <v>2036</v>
      </c>
      <c r="E264" s="7" t="s">
        <v>2037</v>
      </c>
      <c r="F264" s="7" t="s">
        <v>947</v>
      </c>
    </row>
    <row r="265">
      <c r="A265" s="7" t="s">
        <v>15</v>
      </c>
      <c r="B265" s="8">
        <v>9.0</v>
      </c>
      <c r="C265" s="7" t="s">
        <v>49</v>
      </c>
      <c r="D265" s="7" t="s">
        <v>2036</v>
      </c>
      <c r="E265" s="7" t="s">
        <v>2037</v>
      </c>
      <c r="F265" s="7" t="s">
        <v>947</v>
      </c>
    </row>
    <row r="266">
      <c r="A266" s="7" t="s">
        <v>610</v>
      </c>
      <c r="B266" s="8">
        <v>9.0</v>
      </c>
      <c r="C266" s="7" t="s">
        <v>49</v>
      </c>
      <c r="D266" s="7" t="s">
        <v>2036</v>
      </c>
      <c r="E266" s="7" t="s">
        <v>2037</v>
      </c>
      <c r="F266" s="7" t="s">
        <v>947</v>
      </c>
    </row>
    <row r="267">
      <c r="A267" s="7" t="s">
        <v>16</v>
      </c>
      <c r="B267" s="8">
        <v>9.0</v>
      </c>
      <c r="C267" s="7" t="s">
        <v>49</v>
      </c>
      <c r="D267" s="7" t="s">
        <v>2036</v>
      </c>
      <c r="E267" s="7" t="s">
        <v>2037</v>
      </c>
      <c r="F267" s="7" t="s">
        <v>947</v>
      </c>
    </row>
    <row r="268">
      <c r="A268" s="7" t="s">
        <v>1990</v>
      </c>
      <c r="B268" s="8">
        <v>9.0</v>
      </c>
      <c r="C268" s="7" t="s">
        <v>49</v>
      </c>
      <c r="D268" s="7" t="s">
        <v>2036</v>
      </c>
      <c r="E268" s="7" t="s">
        <v>2037</v>
      </c>
      <c r="F268" s="7" t="s">
        <v>2045</v>
      </c>
    </row>
    <row r="269">
      <c r="A269" s="7" t="s">
        <v>611</v>
      </c>
      <c r="B269" s="8">
        <v>9.0</v>
      </c>
      <c r="C269" s="7" t="s">
        <v>49</v>
      </c>
      <c r="D269" s="7" t="s">
        <v>2036</v>
      </c>
      <c r="E269" s="7" t="s">
        <v>2037</v>
      </c>
      <c r="F269" s="7" t="s">
        <v>2047</v>
      </c>
    </row>
    <row r="270">
      <c r="A270" s="7" t="s">
        <v>612</v>
      </c>
      <c r="B270" s="8">
        <v>9.0</v>
      </c>
      <c r="C270" s="7" t="s">
        <v>49</v>
      </c>
      <c r="D270" s="7" t="s">
        <v>2036</v>
      </c>
      <c r="E270" s="7" t="s">
        <v>2037</v>
      </c>
      <c r="F270" s="7" t="s">
        <v>947</v>
      </c>
    </row>
    <row r="271">
      <c r="A271" s="7" t="s">
        <v>18</v>
      </c>
      <c r="B271" s="8">
        <v>9.0</v>
      </c>
      <c r="C271" s="7" t="s">
        <v>49</v>
      </c>
      <c r="D271" s="7" t="s">
        <v>2036</v>
      </c>
      <c r="E271" s="7" t="s">
        <v>2037</v>
      </c>
      <c r="F271" s="7" t="s">
        <v>947</v>
      </c>
    </row>
    <row r="272">
      <c r="A272" s="7" t="s">
        <v>19</v>
      </c>
      <c r="B272" s="8">
        <v>9.0</v>
      </c>
      <c r="C272" s="7" t="s">
        <v>49</v>
      </c>
      <c r="D272" s="7" t="s">
        <v>2036</v>
      </c>
      <c r="E272" s="7" t="s">
        <v>2037</v>
      </c>
      <c r="F272" s="7" t="s">
        <v>947</v>
      </c>
    </row>
    <row r="273">
      <c r="A273" s="7" t="s">
        <v>1986</v>
      </c>
      <c r="B273" s="8">
        <v>9.0</v>
      </c>
      <c r="C273" s="7" t="s">
        <v>437</v>
      </c>
      <c r="D273" s="7" t="s">
        <v>2048</v>
      </c>
      <c r="E273" s="7" t="s">
        <v>1612</v>
      </c>
      <c r="F273" s="7" t="s">
        <v>2049</v>
      </c>
    </row>
    <row r="274">
      <c r="A274" s="7" t="s">
        <v>188</v>
      </c>
      <c r="B274" s="8">
        <v>9.0</v>
      </c>
      <c r="C274" s="7" t="s">
        <v>437</v>
      </c>
      <c r="D274" s="7" t="s">
        <v>2048</v>
      </c>
      <c r="E274" s="7" t="s">
        <v>1612</v>
      </c>
      <c r="F274" s="7" t="s">
        <v>2049</v>
      </c>
    </row>
    <row r="275">
      <c r="A275" s="7" t="s">
        <v>597</v>
      </c>
      <c r="B275" s="8">
        <v>9.0</v>
      </c>
      <c r="C275" s="7" t="s">
        <v>437</v>
      </c>
      <c r="D275" s="7" t="s">
        <v>2048</v>
      </c>
      <c r="E275" s="7" t="s">
        <v>1612</v>
      </c>
      <c r="F275" s="7" t="s">
        <v>953</v>
      </c>
    </row>
    <row r="276">
      <c r="A276" s="7" t="s">
        <v>386</v>
      </c>
      <c r="B276" s="8">
        <v>9.0</v>
      </c>
      <c r="C276" s="7" t="s">
        <v>437</v>
      </c>
      <c r="D276" s="7" t="s">
        <v>2048</v>
      </c>
      <c r="E276" s="7" t="s">
        <v>1612</v>
      </c>
      <c r="F276" s="7" t="s">
        <v>2050</v>
      </c>
    </row>
    <row r="277">
      <c r="A277" s="7" t="s">
        <v>598</v>
      </c>
      <c r="B277" s="8">
        <v>9.0</v>
      </c>
      <c r="C277" s="7" t="s">
        <v>437</v>
      </c>
      <c r="D277" s="7" t="s">
        <v>2048</v>
      </c>
      <c r="E277" s="7" t="s">
        <v>1612</v>
      </c>
      <c r="F277" s="7" t="s">
        <v>2049</v>
      </c>
    </row>
    <row r="278">
      <c r="A278" s="7" t="s">
        <v>867</v>
      </c>
      <c r="B278" s="8">
        <v>9.0</v>
      </c>
      <c r="C278" s="7" t="s">
        <v>437</v>
      </c>
      <c r="D278" s="7" t="s">
        <v>2048</v>
      </c>
      <c r="E278" s="7" t="s">
        <v>1612</v>
      </c>
      <c r="F278" s="7" t="s">
        <v>953</v>
      </c>
    </row>
    <row r="279">
      <c r="A279" s="7" t="s">
        <v>1987</v>
      </c>
      <c r="B279" s="8">
        <v>9.0</v>
      </c>
      <c r="C279" s="7" t="s">
        <v>437</v>
      </c>
      <c r="D279" s="7" t="s">
        <v>2048</v>
      </c>
      <c r="E279" s="7" t="s">
        <v>1612</v>
      </c>
      <c r="F279" s="7" t="s">
        <v>2049</v>
      </c>
    </row>
    <row r="280">
      <c r="A280" s="7" t="s">
        <v>868</v>
      </c>
      <c r="B280" s="8">
        <v>9.0</v>
      </c>
      <c r="C280" s="7" t="s">
        <v>437</v>
      </c>
      <c r="D280" s="7" t="s">
        <v>2048</v>
      </c>
      <c r="E280" s="7" t="s">
        <v>1612</v>
      </c>
      <c r="F280" s="7" t="s">
        <v>953</v>
      </c>
    </row>
    <row r="281">
      <c r="A281" s="7" t="s">
        <v>869</v>
      </c>
      <c r="B281" s="8">
        <v>9.0</v>
      </c>
      <c r="C281" s="7" t="s">
        <v>437</v>
      </c>
      <c r="D281" s="7" t="s">
        <v>2048</v>
      </c>
      <c r="E281" s="7" t="s">
        <v>1612</v>
      </c>
      <c r="F281" s="7" t="s">
        <v>2051</v>
      </c>
    </row>
    <row r="282">
      <c r="A282" s="7" t="s">
        <v>600</v>
      </c>
      <c r="B282" s="8">
        <v>9.0</v>
      </c>
      <c r="C282" s="7" t="s">
        <v>437</v>
      </c>
      <c r="D282" s="7" t="s">
        <v>2048</v>
      </c>
      <c r="E282" s="7" t="s">
        <v>1612</v>
      </c>
      <c r="F282" s="7" t="s">
        <v>2052</v>
      </c>
    </row>
    <row r="283">
      <c r="A283" s="7" t="s">
        <v>870</v>
      </c>
      <c r="B283" s="8">
        <v>9.0</v>
      </c>
      <c r="C283" s="7" t="s">
        <v>437</v>
      </c>
      <c r="D283" s="7" t="s">
        <v>2048</v>
      </c>
      <c r="E283" s="7" t="s">
        <v>1612</v>
      </c>
      <c r="F283" s="7" t="s">
        <v>953</v>
      </c>
    </row>
    <row r="284">
      <c r="A284" s="7" t="s">
        <v>1293</v>
      </c>
      <c r="B284" s="8">
        <v>9.0</v>
      </c>
      <c r="C284" s="7" t="s">
        <v>437</v>
      </c>
      <c r="D284" s="7" t="s">
        <v>2048</v>
      </c>
      <c r="E284" s="7" t="s">
        <v>1612</v>
      </c>
      <c r="F284" s="7" t="s">
        <v>2049</v>
      </c>
    </row>
    <row r="285">
      <c r="A285" s="7" t="s">
        <v>601</v>
      </c>
      <c r="B285" s="8">
        <v>9.0</v>
      </c>
      <c r="C285" s="7" t="s">
        <v>437</v>
      </c>
      <c r="D285" s="7" t="s">
        <v>2048</v>
      </c>
      <c r="E285" s="7" t="s">
        <v>1612</v>
      </c>
      <c r="F285" s="7" t="s">
        <v>953</v>
      </c>
    </row>
    <row r="286">
      <c r="A286" s="7" t="s">
        <v>871</v>
      </c>
      <c r="B286" s="8">
        <v>9.0</v>
      </c>
      <c r="C286" s="7" t="s">
        <v>437</v>
      </c>
      <c r="D286" s="7" t="s">
        <v>2048</v>
      </c>
      <c r="E286" s="7" t="s">
        <v>1612</v>
      </c>
      <c r="F286" s="7" t="s">
        <v>2053</v>
      </c>
    </row>
    <row r="287">
      <c r="A287" s="7" t="s">
        <v>602</v>
      </c>
      <c r="B287" s="8">
        <v>9.0</v>
      </c>
      <c r="C287" s="7" t="s">
        <v>437</v>
      </c>
      <c r="D287" s="7" t="s">
        <v>2048</v>
      </c>
      <c r="E287" s="7" t="s">
        <v>1612</v>
      </c>
      <c r="F287" s="7" t="s">
        <v>953</v>
      </c>
    </row>
    <row r="288">
      <c r="A288" s="7" t="s">
        <v>603</v>
      </c>
      <c r="B288" s="8">
        <v>9.0</v>
      </c>
      <c r="C288" s="7" t="s">
        <v>437</v>
      </c>
      <c r="D288" s="7" t="s">
        <v>2048</v>
      </c>
      <c r="E288" s="7" t="s">
        <v>1612</v>
      </c>
      <c r="F288" s="7" t="s">
        <v>2051</v>
      </c>
    </row>
    <row r="289">
      <c r="A289" s="7" t="s">
        <v>604</v>
      </c>
      <c r="B289" s="8">
        <v>9.0</v>
      </c>
      <c r="C289" s="7" t="s">
        <v>437</v>
      </c>
      <c r="D289" s="7" t="s">
        <v>2048</v>
      </c>
      <c r="E289" s="7" t="s">
        <v>1612</v>
      </c>
      <c r="F289" s="7" t="s">
        <v>2054</v>
      </c>
    </row>
    <row r="290">
      <c r="A290" s="7" t="s">
        <v>189</v>
      </c>
      <c r="B290" s="8">
        <v>9.0</v>
      </c>
      <c r="C290" s="7" t="s">
        <v>437</v>
      </c>
      <c r="D290" s="7" t="s">
        <v>2048</v>
      </c>
      <c r="E290" s="7" t="s">
        <v>1612</v>
      </c>
      <c r="F290" s="7" t="s">
        <v>954</v>
      </c>
    </row>
    <row r="291">
      <c r="A291" s="7" t="s">
        <v>605</v>
      </c>
      <c r="B291" s="8">
        <v>9.0</v>
      </c>
      <c r="C291" s="7" t="s">
        <v>437</v>
      </c>
      <c r="D291" s="7" t="s">
        <v>2048</v>
      </c>
      <c r="E291" s="7" t="s">
        <v>1612</v>
      </c>
      <c r="F291" s="7" t="s">
        <v>953</v>
      </c>
    </row>
    <row r="292">
      <c r="A292" s="7" t="s">
        <v>10</v>
      </c>
      <c r="B292" s="8">
        <v>9.0</v>
      </c>
      <c r="C292" s="7" t="s">
        <v>437</v>
      </c>
      <c r="D292" s="7" t="s">
        <v>2048</v>
      </c>
      <c r="E292" s="7" t="s">
        <v>1612</v>
      </c>
      <c r="F292" s="7" t="s">
        <v>954</v>
      </c>
    </row>
    <row r="293">
      <c r="A293" s="7" t="s">
        <v>1988</v>
      </c>
      <c r="B293" s="8">
        <v>9.0</v>
      </c>
      <c r="C293" s="7" t="s">
        <v>437</v>
      </c>
      <c r="D293" s="7" t="s">
        <v>2048</v>
      </c>
      <c r="E293" s="7" t="s">
        <v>1612</v>
      </c>
      <c r="F293" s="7" t="s">
        <v>953</v>
      </c>
    </row>
    <row r="294">
      <c r="A294" s="7" t="s">
        <v>872</v>
      </c>
      <c r="B294" s="8">
        <v>9.0</v>
      </c>
      <c r="C294" s="7" t="s">
        <v>437</v>
      </c>
      <c r="D294" s="7" t="s">
        <v>2048</v>
      </c>
      <c r="E294" s="7" t="s">
        <v>1612</v>
      </c>
      <c r="F294" s="7" t="s">
        <v>2055</v>
      </c>
    </row>
    <row r="295">
      <c r="A295" s="7" t="s">
        <v>606</v>
      </c>
      <c r="B295" s="8">
        <v>9.0</v>
      </c>
      <c r="C295" s="7" t="s">
        <v>437</v>
      </c>
      <c r="D295" s="7" t="s">
        <v>2048</v>
      </c>
      <c r="E295" s="7" t="s">
        <v>1612</v>
      </c>
      <c r="F295" s="7" t="s">
        <v>953</v>
      </c>
    </row>
    <row r="296">
      <c r="A296" s="7" t="s">
        <v>11</v>
      </c>
      <c r="B296" s="8">
        <v>9.0</v>
      </c>
      <c r="C296" s="7" t="s">
        <v>437</v>
      </c>
      <c r="D296" s="7" t="s">
        <v>2048</v>
      </c>
      <c r="E296" s="7" t="s">
        <v>1612</v>
      </c>
      <c r="F296" s="7" t="s">
        <v>953</v>
      </c>
    </row>
    <row r="297">
      <c r="A297" s="7" t="s">
        <v>607</v>
      </c>
      <c r="B297" s="8">
        <v>9.0</v>
      </c>
      <c r="C297" s="7" t="s">
        <v>437</v>
      </c>
      <c r="D297" s="7" t="s">
        <v>2048</v>
      </c>
      <c r="E297" s="7" t="s">
        <v>1612</v>
      </c>
      <c r="F297" s="7" t="s">
        <v>954</v>
      </c>
    </row>
    <row r="298">
      <c r="A298" s="7" t="s">
        <v>874</v>
      </c>
      <c r="B298" s="8">
        <v>9.0</v>
      </c>
      <c r="C298" s="7" t="s">
        <v>437</v>
      </c>
      <c r="D298" s="7" t="s">
        <v>2048</v>
      </c>
      <c r="E298" s="7" t="s">
        <v>1612</v>
      </c>
      <c r="F298" s="7" t="s">
        <v>953</v>
      </c>
    </row>
    <row r="299">
      <c r="A299" s="7" t="s">
        <v>608</v>
      </c>
      <c r="B299" s="8">
        <v>9.0</v>
      </c>
      <c r="C299" s="7" t="s">
        <v>437</v>
      </c>
      <c r="D299" s="7" t="s">
        <v>2048</v>
      </c>
      <c r="E299" s="7" t="s">
        <v>1612</v>
      </c>
      <c r="F299" s="7" t="s">
        <v>954</v>
      </c>
    </row>
    <row r="300">
      <c r="A300" s="7" t="s">
        <v>875</v>
      </c>
      <c r="B300" s="8">
        <v>9.0</v>
      </c>
      <c r="C300" s="7" t="s">
        <v>437</v>
      </c>
      <c r="D300" s="7" t="s">
        <v>2048</v>
      </c>
      <c r="E300" s="7" t="s">
        <v>1612</v>
      </c>
      <c r="F300" s="7" t="s">
        <v>2055</v>
      </c>
    </row>
    <row r="301">
      <c r="A301" s="7" t="s">
        <v>14</v>
      </c>
      <c r="B301" s="8">
        <v>9.0</v>
      </c>
      <c r="C301" s="7" t="s">
        <v>437</v>
      </c>
      <c r="D301" s="7" t="s">
        <v>2048</v>
      </c>
      <c r="E301" s="7" t="s">
        <v>1612</v>
      </c>
      <c r="F301" s="7" t="s">
        <v>954</v>
      </c>
    </row>
    <row r="302">
      <c r="A302" s="7" t="s">
        <v>1989</v>
      </c>
      <c r="B302" s="8">
        <v>9.0</v>
      </c>
      <c r="C302" s="7" t="s">
        <v>437</v>
      </c>
      <c r="D302" s="7" t="s">
        <v>2048</v>
      </c>
      <c r="E302" s="7" t="s">
        <v>1612</v>
      </c>
      <c r="F302" s="7" t="s">
        <v>954</v>
      </c>
    </row>
    <row r="303">
      <c r="A303" s="7" t="s">
        <v>609</v>
      </c>
      <c r="B303" s="8">
        <v>9.0</v>
      </c>
      <c r="C303" s="7" t="s">
        <v>437</v>
      </c>
      <c r="D303" s="7" t="s">
        <v>2048</v>
      </c>
      <c r="E303" s="7" t="s">
        <v>1612</v>
      </c>
      <c r="F303" s="7" t="s">
        <v>953</v>
      </c>
    </row>
    <row r="304">
      <c r="A304" s="7" t="s">
        <v>15</v>
      </c>
      <c r="B304" s="8">
        <v>9.0</v>
      </c>
      <c r="C304" s="7" t="s">
        <v>437</v>
      </c>
      <c r="D304" s="7" t="s">
        <v>2048</v>
      </c>
      <c r="E304" s="7" t="s">
        <v>1612</v>
      </c>
      <c r="F304" s="7" t="s">
        <v>953</v>
      </c>
    </row>
    <row r="305">
      <c r="A305" s="7" t="s">
        <v>610</v>
      </c>
      <c r="B305" s="8">
        <v>9.0</v>
      </c>
      <c r="C305" s="7" t="s">
        <v>437</v>
      </c>
      <c r="D305" s="7" t="s">
        <v>2048</v>
      </c>
      <c r="E305" s="7" t="s">
        <v>1612</v>
      </c>
      <c r="F305" s="7" t="s">
        <v>953</v>
      </c>
    </row>
    <row r="306">
      <c r="A306" s="7" t="s">
        <v>16</v>
      </c>
      <c r="B306" s="8">
        <v>9.0</v>
      </c>
      <c r="C306" s="7" t="s">
        <v>437</v>
      </c>
      <c r="D306" s="7" t="s">
        <v>2048</v>
      </c>
      <c r="E306" s="7" t="s">
        <v>1612</v>
      </c>
      <c r="F306" s="7" t="s">
        <v>953</v>
      </c>
    </row>
    <row r="307">
      <c r="A307" s="7" t="s">
        <v>1990</v>
      </c>
      <c r="B307" s="8">
        <v>9.0</v>
      </c>
      <c r="C307" s="7" t="s">
        <v>437</v>
      </c>
      <c r="D307" s="7" t="s">
        <v>2048</v>
      </c>
      <c r="E307" s="7" t="s">
        <v>1612</v>
      </c>
      <c r="F307" s="7" t="s">
        <v>954</v>
      </c>
    </row>
    <row r="308">
      <c r="A308" s="7" t="s">
        <v>611</v>
      </c>
      <c r="B308" s="8">
        <v>9.0</v>
      </c>
      <c r="C308" s="7" t="s">
        <v>437</v>
      </c>
      <c r="D308" s="7" t="s">
        <v>2048</v>
      </c>
      <c r="E308" s="7" t="s">
        <v>1612</v>
      </c>
      <c r="F308" s="7" t="s">
        <v>2056</v>
      </c>
    </row>
    <row r="309">
      <c r="A309" s="7" t="s">
        <v>612</v>
      </c>
      <c r="B309" s="8">
        <v>9.0</v>
      </c>
      <c r="C309" s="7" t="s">
        <v>437</v>
      </c>
      <c r="D309" s="7" t="s">
        <v>2048</v>
      </c>
      <c r="E309" s="7" t="s">
        <v>1612</v>
      </c>
      <c r="F309" s="7" t="s">
        <v>953</v>
      </c>
    </row>
    <row r="310">
      <c r="A310" s="7" t="s">
        <v>18</v>
      </c>
      <c r="B310" s="8">
        <v>9.0</v>
      </c>
      <c r="C310" s="7" t="s">
        <v>437</v>
      </c>
      <c r="D310" s="7" t="s">
        <v>2048</v>
      </c>
      <c r="E310" s="7" t="s">
        <v>1612</v>
      </c>
      <c r="F310" s="7" t="s">
        <v>953</v>
      </c>
    </row>
    <row r="311">
      <c r="A311" s="7" t="s">
        <v>19</v>
      </c>
      <c r="B311" s="8">
        <v>9.0</v>
      </c>
      <c r="C311" s="7" t="s">
        <v>437</v>
      </c>
      <c r="D311" s="7" t="s">
        <v>2048</v>
      </c>
      <c r="E311" s="7" t="s">
        <v>1612</v>
      </c>
      <c r="F311" s="7" t="s">
        <v>953</v>
      </c>
    </row>
    <row r="312">
      <c r="A312" s="7" t="s">
        <v>1986</v>
      </c>
      <c r="B312" s="8">
        <v>9.0</v>
      </c>
      <c r="C312" s="7" t="s">
        <v>223</v>
      </c>
      <c r="D312" s="7" t="s">
        <v>615</v>
      </c>
      <c r="E312" s="7" t="s">
        <v>2060</v>
      </c>
      <c r="F312" s="7" t="s">
        <v>47</v>
      </c>
    </row>
    <row r="313">
      <c r="A313" s="7" t="s">
        <v>188</v>
      </c>
      <c r="B313" s="8">
        <v>9.0</v>
      </c>
      <c r="C313" s="7" t="s">
        <v>223</v>
      </c>
      <c r="D313" s="7" t="s">
        <v>615</v>
      </c>
      <c r="E313" s="7" t="s">
        <v>2060</v>
      </c>
      <c r="F313" s="7" t="s">
        <v>47</v>
      </c>
    </row>
    <row r="314">
      <c r="A314" s="7" t="s">
        <v>597</v>
      </c>
      <c r="B314" s="8">
        <v>9.0</v>
      </c>
      <c r="C314" s="7" t="s">
        <v>223</v>
      </c>
      <c r="D314" s="7" t="s">
        <v>615</v>
      </c>
      <c r="E314" s="7" t="s">
        <v>2060</v>
      </c>
      <c r="F314" s="7" t="s">
        <v>47</v>
      </c>
    </row>
    <row r="315">
      <c r="A315" s="7" t="s">
        <v>386</v>
      </c>
      <c r="B315" s="8">
        <v>9.0</v>
      </c>
      <c r="C315" s="7" t="s">
        <v>223</v>
      </c>
      <c r="D315" s="7" t="s">
        <v>615</v>
      </c>
      <c r="E315" s="7" t="s">
        <v>2060</v>
      </c>
      <c r="F315" s="7" t="s">
        <v>47</v>
      </c>
    </row>
    <row r="316">
      <c r="A316" s="7" t="s">
        <v>598</v>
      </c>
      <c r="B316" s="8">
        <v>9.0</v>
      </c>
      <c r="C316" s="7" t="s">
        <v>223</v>
      </c>
      <c r="D316" s="7" t="s">
        <v>615</v>
      </c>
      <c r="E316" s="7" t="s">
        <v>2060</v>
      </c>
      <c r="F316" s="7" t="s">
        <v>47</v>
      </c>
    </row>
    <row r="317">
      <c r="A317" s="7" t="s">
        <v>867</v>
      </c>
      <c r="B317" s="8">
        <v>9.0</v>
      </c>
      <c r="C317" s="7" t="s">
        <v>223</v>
      </c>
      <c r="D317" s="7" t="s">
        <v>615</v>
      </c>
      <c r="E317" s="7" t="s">
        <v>2060</v>
      </c>
      <c r="F317" s="7" t="s">
        <v>47</v>
      </c>
    </row>
    <row r="318">
      <c r="A318" s="7" t="s">
        <v>1987</v>
      </c>
      <c r="B318" s="8">
        <v>9.0</v>
      </c>
      <c r="C318" s="7" t="s">
        <v>223</v>
      </c>
      <c r="D318" s="7" t="s">
        <v>615</v>
      </c>
      <c r="E318" s="7" t="s">
        <v>2060</v>
      </c>
      <c r="F318" s="7" t="s">
        <v>47</v>
      </c>
    </row>
    <row r="319">
      <c r="A319" s="7" t="s">
        <v>868</v>
      </c>
      <c r="B319" s="8">
        <v>9.0</v>
      </c>
      <c r="C319" s="7" t="s">
        <v>223</v>
      </c>
      <c r="D319" s="7" t="s">
        <v>615</v>
      </c>
      <c r="E319" s="7" t="s">
        <v>2060</v>
      </c>
      <c r="F319" s="7" t="s">
        <v>47</v>
      </c>
    </row>
    <row r="320">
      <c r="A320" s="7" t="s">
        <v>869</v>
      </c>
      <c r="B320" s="8">
        <v>9.0</v>
      </c>
      <c r="C320" s="7" t="s">
        <v>223</v>
      </c>
      <c r="D320" s="7" t="s">
        <v>615</v>
      </c>
      <c r="E320" s="7" t="s">
        <v>2060</v>
      </c>
      <c r="F320" s="7" t="s">
        <v>48</v>
      </c>
    </row>
    <row r="321">
      <c r="A321" s="7" t="s">
        <v>600</v>
      </c>
      <c r="B321" s="8">
        <v>9.0</v>
      </c>
      <c r="C321" s="7" t="s">
        <v>223</v>
      </c>
      <c r="D321" s="7" t="s">
        <v>615</v>
      </c>
      <c r="E321" s="7" t="s">
        <v>2060</v>
      </c>
      <c r="F321" s="7" t="s">
        <v>48</v>
      </c>
    </row>
    <row r="322">
      <c r="A322" s="7" t="s">
        <v>870</v>
      </c>
      <c r="B322" s="8">
        <v>9.0</v>
      </c>
      <c r="C322" s="7" t="s">
        <v>223</v>
      </c>
      <c r="D322" s="7" t="s">
        <v>615</v>
      </c>
      <c r="E322" s="7" t="s">
        <v>2060</v>
      </c>
      <c r="F322" s="7" t="s">
        <v>47</v>
      </c>
    </row>
    <row r="323">
      <c r="A323" s="7" t="s">
        <v>1293</v>
      </c>
      <c r="B323" s="8">
        <v>9.0</v>
      </c>
      <c r="C323" s="7" t="s">
        <v>223</v>
      </c>
      <c r="D323" s="7" t="s">
        <v>615</v>
      </c>
      <c r="E323" s="7" t="s">
        <v>2060</v>
      </c>
      <c r="F323" s="7" t="s">
        <v>47</v>
      </c>
    </row>
    <row r="324">
      <c r="A324" s="7" t="s">
        <v>601</v>
      </c>
      <c r="B324" s="8">
        <v>9.0</v>
      </c>
      <c r="C324" s="7" t="s">
        <v>223</v>
      </c>
      <c r="D324" s="7" t="s">
        <v>615</v>
      </c>
      <c r="E324" s="7" t="s">
        <v>2060</v>
      </c>
      <c r="F324" s="7" t="s">
        <v>47</v>
      </c>
    </row>
    <row r="325">
      <c r="A325" s="7" t="s">
        <v>871</v>
      </c>
      <c r="B325" s="8">
        <v>9.0</v>
      </c>
      <c r="C325" s="7" t="s">
        <v>223</v>
      </c>
      <c r="D325" s="7" t="s">
        <v>615</v>
      </c>
      <c r="E325" s="7" t="s">
        <v>2060</v>
      </c>
      <c r="F325" s="7" t="s">
        <v>2061</v>
      </c>
    </row>
    <row r="326">
      <c r="A326" s="7" t="s">
        <v>602</v>
      </c>
      <c r="B326" s="8">
        <v>9.0</v>
      </c>
      <c r="C326" s="7" t="s">
        <v>223</v>
      </c>
      <c r="D326" s="7" t="s">
        <v>615</v>
      </c>
      <c r="E326" s="7" t="s">
        <v>2060</v>
      </c>
      <c r="F326" s="7" t="s">
        <v>47</v>
      </c>
    </row>
    <row r="327">
      <c r="A327" s="7" t="s">
        <v>603</v>
      </c>
      <c r="B327" s="8">
        <v>9.0</v>
      </c>
      <c r="C327" s="7" t="s">
        <v>223</v>
      </c>
      <c r="D327" s="7" t="s">
        <v>615</v>
      </c>
      <c r="E327" s="7" t="s">
        <v>2060</v>
      </c>
      <c r="F327" s="7" t="s">
        <v>48</v>
      </c>
    </row>
    <row r="328">
      <c r="A328" s="7" t="s">
        <v>604</v>
      </c>
      <c r="B328" s="8">
        <v>9.0</v>
      </c>
      <c r="C328" s="7" t="s">
        <v>223</v>
      </c>
      <c r="D328" s="7" t="s">
        <v>615</v>
      </c>
      <c r="E328" s="7" t="s">
        <v>2060</v>
      </c>
      <c r="F328" s="7" t="s">
        <v>47</v>
      </c>
    </row>
    <row r="329">
      <c r="A329" s="7" t="s">
        <v>189</v>
      </c>
      <c r="B329" s="8">
        <v>9.0</v>
      </c>
      <c r="C329" s="7" t="s">
        <v>223</v>
      </c>
      <c r="D329" s="7" t="s">
        <v>615</v>
      </c>
      <c r="E329" s="7" t="s">
        <v>2060</v>
      </c>
      <c r="F329" s="7" t="s">
        <v>47</v>
      </c>
    </row>
    <row r="330">
      <c r="A330" s="7" t="s">
        <v>605</v>
      </c>
      <c r="B330" s="8">
        <v>9.0</v>
      </c>
      <c r="C330" s="7" t="s">
        <v>223</v>
      </c>
      <c r="D330" s="7" t="s">
        <v>615</v>
      </c>
      <c r="E330" s="7" t="s">
        <v>2060</v>
      </c>
      <c r="F330" s="7" t="s">
        <v>47</v>
      </c>
    </row>
    <row r="331">
      <c r="A331" s="7" t="s">
        <v>10</v>
      </c>
      <c r="B331" s="8">
        <v>9.0</v>
      </c>
      <c r="C331" s="7" t="s">
        <v>223</v>
      </c>
      <c r="D331" s="7" t="s">
        <v>615</v>
      </c>
      <c r="E331" s="7" t="s">
        <v>2060</v>
      </c>
      <c r="F331" s="7" t="s">
        <v>47</v>
      </c>
    </row>
    <row r="332">
      <c r="A332" s="7" t="s">
        <v>1988</v>
      </c>
      <c r="B332" s="8">
        <v>9.0</v>
      </c>
      <c r="C332" s="7" t="s">
        <v>223</v>
      </c>
      <c r="D332" s="7" t="s">
        <v>615</v>
      </c>
      <c r="E332" s="7" t="s">
        <v>2060</v>
      </c>
      <c r="F332" s="7" t="s">
        <v>47</v>
      </c>
    </row>
    <row r="333">
      <c r="A333" s="7" t="s">
        <v>872</v>
      </c>
      <c r="B333" s="8">
        <v>9.0</v>
      </c>
      <c r="C333" s="7" t="s">
        <v>223</v>
      </c>
      <c r="D333" s="7" t="s">
        <v>615</v>
      </c>
      <c r="E333" s="7" t="s">
        <v>2060</v>
      </c>
      <c r="F333" s="7" t="s">
        <v>48</v>
      </c>
    </row>
    <row r="334">
      <c r="A334" s="7" t="s">
        <v>606</v>
      </c>
      <c r="B334" s="8">
        <v>9.0</v>
      </c>
      <c r="C334" s="7" t="s">
        <v>223</v>
      </c>
      <c r="D334" s="7" t="s">
        <v>615</v>
      </c>
      <c r="E334" s="7" t="s">
        <v>2060</v>
      </c>
      <c r="F334" s="7" t="s">
        <v>47</v>
      </c>
    </row>
    <row r="335">
      <c r="A335" s="7" t="s">
        <v>11</v>
      </c>
      <c r="B335" s="8">
        <v>9.0</v>
      </c>
      <c r="C335" s="7" t="s">
        <v>223</v>
      </c>
      <c r="D335" s="7" t="s">
        <v>615</v>
      </c>
      <c r="E335" s="7" t="s">
        <v>2060</v>
      </c>
      <c r="F335" s="7" t="s">
        <v>47</v>
      </c>
    </row>
    <row r="336">
      <c r="A336" s="7" t="s">
        <v>607</v>
      </c>
      <c r="B336" s="8">
        <v>9.0</v>
      </c>
      <c r="C336" s="7" t="s">
        <v>223</v>
      </c>
      <c r="D336" s="7" t="s">
        <v>615</v>
      </c>
      <c r="E336" s="7" t="s">
        <v>2060</v>
      </c>
      <c r="F336" s="7" t="s">
        <v>47</v>
      </c>
    </row>
    <row r="337">
      <c r="A337" s="7" t="s">
        <v>874</v>
      </c>
      <c r="B337" s="8">
        <v>9.0</v>
      </c>
      <c r="C337" s="7" t="s">
        <v>223</v>
      </c>
      <c r="D337" s="7" t="s">
        <v>615</v>
      </c>
      <c r="E337" s="7" t="s">
        <v>2060</v>
      </c>
      <c r="F337" s="7" t="s">
        <v>47</v>
      </c>
    </row>
    <row r="338">
      <c r="A338" s="7" t="s">
        <v>608</v>
      </c>
      <c r="B338" s="8">
        <v>9.0</v>
      </c>
      <c r="C338" s="7" t="s">
        <v>223</v>
      </c>
      <c r="D338" s="7" t="s">
        <v>615</v>
      </c>
      <c r="E338" s="7" t="s">
        <v>2060</v>
      </c>
      <c r="F338" s="7" t="s">
        <v>47</v>
      </c>
    </row>
    <row r="339">
      <c r="A339" s="7" t="s">
        <v>875</v>
      </c>
      <c r="B339" s="8">
        <v>9.0</v>
      </c>
      <c r="C339" s="7" t="s">
        <v>223</v>
      </c>
      <c r="D339" s="7" t="s">
        <v>615</v>
      </c>
      <c r="E339" s="7" t="s">
        <v>2060</v>
      </c>
      <c r="F339" s="7" t="s">
        <v>48</v>
      </c>
    </row>
    <row r="340">
      <c r="A340" s="7" t="s">
        <v>14</v>
      </c>
      <c r="B340" s="8">
        <v>9.0</v>
      </c>
      <c r="C340" s="7" t="s">
        <v>223</v>
      </c>
      <c r="D340" s="7" t="s">
        <v>615</v>
      </c>
      <c r="E340" s="7" t="s">
        <v>2060</v>
      </c>
      <c r="F340" s="7" t="s">
        <v>47</v>
      </c>
    </row>
    <row r="341">
      <c r="A341" s="7" t="s">
        <v>1989</v>
      </c>
      <c r="B341" s="8">
        <v>9.0</v>
      </c>
      <c r="C341" s="7" t="s">
        <v>223</v>
      </c>
      <c r="D341" s="7" t="s">
        <v>615</v>
      </c>
      <c r="E341" s="7" t="s">
        <v>2060</v>
      </c>
      <c r="F341" s="7" t="s">
        <v>47</v>
      </c>
    </row>
    <row r="342">
      <c r="A342" s="7" t="s">
        <v>609</v>
      </c>
      <c r="B342" s="8">
        <v>9.0</v>
      </c>
      <c r="C342" s="7" t="s">
        <v>223</v>
      </c>
      <c r="D342" s="7" t="s">
        <v>615</v>
      </c>
      <c r="E342" s="7" t="s">
        <v>2060</v>
      </c>
      <c r="F342" s="7" t="s">
        <v>47</v>
      </c>
    </row>
    <row r="343">
      <c r="A343" s="7" t="s">
        <v>15</v>
      </c>
      <c r="B343" s="8">
        <v>9.0</v>
      </c>
      <c r="C343" s="7" t="s">
        <v>223</v>
      </c>
      <c r="D343" s="7" t="s">
        <v>615</v>
      </c>
      <c r="E343" s="7" t="s">
        <v>2060</v>
      </c>
      <c r="F343" s="7" t="s">
        <v>47</v>
      </c>
    </row>
    <row r="344">
      <c r="A344" s="7" t="s">
        <v>610</v>
      </c>
      <c r="B344" s="8">
        <v>9.0</v>
      </c>
      <c r="C344" s="7" t="s">
        <v>223</v>
      </c>
      <c r="D344" s="7" t="s">
        <v>615</v>
      </c>
      <c r="E344" s="7" t="s">
        <v>2060</v>
      </c>
      <c r="F344" s="7" t="s">
        <v>47</v>
      </c>
    </row>
    <row r="345">
      <c r="A345" s="7" t="s">
        <v>16</v>
      </c>
      <c r="B345" s="8">
        <v>9.0</v>
      </c>
      <c r="C345" s="7" t="s">
        <v>223</v>
      </c>
      <c r="D345" s="7" t="s">
        <v>615</v>
      </c>
      <c r="E345" s="7" t="s">
        <v>2060</v>
      </c>
      <c r="F345" s="7" t="s">
        <v>47</v>
      </c>
    </row>
    <row r="346">
      <c r="A346" s="7" t="s">
        <v>1990</v>
      </c>
      <c r="B346" s="8">
        <v>9.0</v>
      </c>
      <c r="C346" s="7" t="s">
        <v>223</v>
      </c>
      <c r="D346" s="7" t="s">
        <v>615</v>
      </c>
      <c r="E346" s="7" t="s">
        <v>2060</v>
      </c>
      <c r="F346" s="7" t="s">
        <v>47</v>
      </c>
    </row>
    <row r="347">
      <c r="A347" s="7" t="s">
        <v>611</v>
      </c>
      <c r="B347" s="8">
        <v>9.0</v>
      </c>
      <c r="C347" s="7" t="s">
        <v>223</v>
      </c>
      <c r="D347" s="7" t="s">
        <v>615</v>
      </c>
      <c r="E347" s="7" t="s">
        <v>2060</v>
      </c>
      <c r="F347" s="7" t="s">
        <v>47</v>
      </c>
    </row>
    <row r="348">
      <c r="A348" s="7" t="s">
        <v>612</v>
      </c>
      <c r="B348" s="8">
        <v>9.0</v>
      </c>
      <c r="C348" s="7" t="s">
        <v>223</v>
      </c>
      <c r="D348" s="7" t="s">
        <v>615</v>
      </c>
      <c r="E348" s="7" t="s">
        <v>2060</v>
      </c>
      <c r="F348" s="7" t="s">
        <v>47</v>
      </c>
    </row>
    <row r="349">
      <c r="A349" s="7" t="s">
        <v>18</v>
      </c>
      <c r="B349" s="8">
        <v>9.0</v>
      </c>
      <c r="C349" s="7" t="s">
        <v>223</v>
      </c>
      <c r="D349" s="7" t="s">
        <v>615</v>
      </c>
      <c r="E349" s="7" t="s">
        <v>2060</v>
      </c>
      <c r="F349" s="7" t="s">
        <v>47</v>
      </c>
    </row>
    <row r="350">
      <c r="A350" s="7" t="s">
        <v>19</v>
      </c>
      <c r="B350" s="8">
        <v>9.0</v>
      </c>
      <c r="C350" s="7" t="s">
        <v>223</v>
      </c>
      <c r="D350" s="7" t="s">
        <v>615</v>
      </c>
      <c r="E350" s="7" t="s">
        <v>2060</v>
      </c>
      <c r="F350" s="7" t="s">
        <v>47</v>
      </c>
    </row>
    <row r="351">
      <c r="A351" s="7" t="s">
        <v>1986</v>
      </c>
      <c r="B351" s="8">
        <v>9.0</v>
      </c>
      <c r="C351" s="7" t="s">
        <v>43</v>
      </c>
      <c r="D351" s="7" t="s">
        <v>21</v>
      </c>
      <c r="E351" s="7" t="s">
        <v>2062</v>
      </c>
      <c r="F351" s="7" t="s">
        <v>65</v>
      </c>
    </row>
    <row r="352">
      <c r="A352" s="7" t="s">
        <v>188</v>
      </c>
      <c r="B352" s="8">
        <v>9.0</v>
      </c>
      <c r="C352" s="7" t="s">
        <v>43</v>
      </c>
      <c r="D352" s="7" t="s">
        <v>21</v>
      </c>
      <c r="E352" s="7" t="s">
        <v>2062</v>
      </c>
      <c r="F352" s="7" t="s">
        <v>65</v>
      </c>
    </row>
    <row r="353">
      <c r="A353" s="7" t="s">
        <v>597</v>
      </c>
      <c r="B353" s="8">
        <v>9.0</v>
      </c>
      <c r="C353" s="7" t="s">
        <v>43</v>
      </c>
      <c r="D353" s="7" t="s">
        <v>21</v>
      </c>
      <c r="E353" s="7" t="s">
        <v>2062</v>
      </c>
      <c r="F353" s="7" t="s">
        <v>65</v>
      </c>
    </row>
    <row r="354">
      <c r="A354" s="7" t="s">
        <v>386</v>
      </c>
      <c r="B354" s="8">
        <v>9.0</v>
      </c>
      <c r="C354" s="7" t="s">
        <v>43</v>
      </c>
      <c r="D354" s="7" t="s">
        <v>21</v>
      </c>
      <c r="E354" s="7" t="s">
        <v>2062</v>
      </c>
      <c r="F354" s="7" t="s">
        <v>65</v>
      </c>
    </row>
    <row r="355">
      <c r="A355" s="7" t="s">
        <v>598</v>
      </c>
      <c r="B355" s="8">
        <v>9.0</v>
      </c>
      <c r="C355" s="7" t="s">
        <v>43</v>
      </c>
      <c r="D355" s="7" t="s">
        <v>21</v>
      </c>
      <c r="E355" s="7" t="s">
        <v>2062</v>
      </c>
      <c r="F355" s="7" t="s">
        <v>65</v>
      </c>
    </row>
    <row r="356">
      <c r="A356" s="7" t="s">
        <v>867</v>
      </c>
      <c r="B356" s="8">
        <v>9.0</v>
      </c>
      <c r="C356" s="7" t="s">
        <v>43</v>
      </c>
      <c r="D356" s="7" t="s">
        <v>21</v>
      </c>
      <c r="E356" s="7" t="s">
        <v>2062</v>
      </c>
      <c r="F356" s="7" t="s">
        <v>65</v>
      </c>
    </row>
    <row r="357">
      <c r="A357" s="7" t="s">
        <v>1987</v>
      </c>
      <c r="B357" s="8">
        <v>9.0</v>
      </c>
      <c r="C357" s="7" t="s">
        <v>43</v>
      </c>
      <c r="D357" s="7" t="s">
        <v>21</v>
      </c>
      <c r="E357" s="7" t="s">
        <v>2062</v>
      </c>
      <c r="F357" s="7" t="s">
        <v>65</v>
      </c>
    </row>
    <row r="358">
      <c r="A358" s="7" t="s">
        <v>868</v>
      </c>
      <c r="B358" s="8">
        <v>9.0</v>
      </c>
      <c r="C358" s="7" t="s">
        <v>43</v>
      </c>
      <c r="D358" s="7" t="s">
        <v>21</v>
      </c>
      <c r="E358" s="7" t="s">
        <v>2062</v>
      </c>
      <c r="F358" s="7" t="s">
        <v>65</v>
      </c>
    </row>
    <row r="359">
      <c r="A359" s="7" t="s">
        <v>869</v>
      </c>
      <c r="B359" s="8">
        <v>9.0</v>
      </c>
      <c r="C359" s="7" t="s">
        <v>43</v>
      </c>
      <c r="D359" s="7" t="s">
        <v>21</v>
      </c>
      <c r="E359" s="7" t="s">
        <v>2062</v>
      </c>
      <c r="F359" s="7" t="s">
        <v>66</v>
      </c>
    </row>
    <row r="360">
      <c r="A360" s="7" t="s">
        <v>600</v>
      </c>
      <c r="B360" s="8">
        <v>9.0</v>
      </c>
      <c r="C360" s="7" t="s">
        <v>43</v>
      </c>
      <c r="D360" s="7" t="s">
        <v>21</v>
      </c>
      <c r="E360" s="7" t="s">
        <v>2062</v>
      </c>
      <c r="F360" s="7" t="s">
        <v>66</v>
      </c>
    </row>
    <row r="361">
      <c r="A361" s="7" t="s">
        <v>870</v>
      </c>
      <c r="B361" s="8">
        <v>9.0</v>
      </c>
      <c r="C361" s="7" t="s">
        <v>43</v>
      </c>
      <c r="D361" s="7" t="s">
        <v>21</v>
      </c>
      <c r="E361" s="7" t="s">
        <v>2062</v>
      </c>
      <c r="F361" s="7" t="s">
        <v>65</v>
      </c>
    </row>
    <row r="362">
      <c r="A362" s="7" t="s">
        <v>1293</v>
      </c>
      <c r="B362" s="8">
        <v>9.0</v>
      </c>
      <c r="C362" s="7" t="s">
        <v>43</v>
      </c>
      <c r="D362" s="7" t="s">
        <v>21</v>
      </c>
      <c r="E362" s="7" t="s">
        <v>2062</v>
      </c>
      <c r="F362" s="7" t="s">
        <v>65</v>
      </c>
    </row>
    <row r="363">
      <c r="A363" s="7" t="s">
        <v>601</v>
      </c>
      <c r="B363" s="8">
        <v>9.0</v>
      </c>
      <c r="C363" s="7" t="s">
        <v>43</v>
      </c>
      <c r="D363" s="7" t="s">
        <v>21</v>
      </c>
      <c r="E363" s="7" t="s">
        <v>2062</v>
      </c>
      <c r="F363" s="7" t="s">
        <v>65</v>
      </c>
    </row>
    <row r="364">
      <c r="A364" s="7" t="s">
        <v>871</v>
      </c>
      <c r="B364" s="8">
        <v>9.0</v>
      </c>
      <c r="C364" s="7" t="s">
        <v>43</v>
      </c>
      <c r="D364" s="7" t="s">
        <v>21</v>
      </c>
      <c r="E364" s="7" t="s">
        <v>2062</v>
      </c>
      <c r="F364" s="7" t="s">
        <v>2063</v>
      </c>
    </row>
    <row r="365">
      <c r="A365" s="7" t="s">
        <v>602</v>
      </c>
      <c r="B365" s="8">
        <v>9.0</v>
      </c>
      <c r="C365" s="7" t="s">
        <v>43</v>
      </c>
      <c r="D365" s="7" t="s">
        <v>21</v>
      </c>
      <c r="E365" s="7" t="s">
        <v>2062</v>
      </c>
      <c r="F365" s="7" t="s">
        <v>65</v>
      </c>
    </row>
    <row r="366">
      <c r="A366" s="7" t="s">
        <v>603</v>
      </c>
      <c r="B366" s="8">
        <v>9.0</v>
      </c>
      <c r="C366" s="7" t="s">
        <v>43</v>
      </c>
      <c r="D366" s="7" t="s">
        <v>21</v>
      </c>
      <c r="E366" s="7" t="s">
        <v>2062</v>
      </c>
      <c r="F366" s="7" t="s">
        <v>66</v>
      </c>
    </row>
    <row r="367">
      <c r="A367" s="7" t="s">
        <v>604</v>
      </c>
      <c r="B367" s="8">
        <v>9.0</v>
      </c>
      <c r="C367" s="7" t="s">
        <v>43</v>
      </c>
      <c r="D367" s="7" t="s">
        <v>21</v>
      </c>
      <c r="E367" s="7" t="s">
        <v>2062</v>
      </c>
      <c r="F367" s="7" t="s">
        <v>65</v>
      </c>
    </row>
    <row r="368">
      <c r="A368" s="7" t="s">
        <v>189</v>
      </c>
      <c r="B368" s="8">
        <v>9.0</v>
      </c>
      <c r="C368" s="7" t="s">
        <v>43</v>
      </c>
      <c r="D368" s="7" t="s">
        <v>21</v>
      </c>
      <c r="E368" s="7" t="s">
        <v>2062</v>
      </c>
      <c r="F368" s="7" t="s">
        <v>65</v>
      </c>
    </row>
    <row r="369">
      <c r="A369" s="7" t="s">
        <v>605</v>
      </c>
      <c r="B369" s="8">
        <v>9.0</v>
      </c>
      <c r="C369" s="7" t="s">
        <v>43</v>
      </c>
      <c r="D369" s="7" t="s">
        <v>21</v>
      </c>
      <c r="E369" s="7" t="s">
        <v>2062</v>
      </c>
      <c r="F369" s="7" t="s">
        <v>65</v>
      </c>
    </row>
    <row r="370">
      <c r="A370" s="7" t="s">
        <v>10</v>
      </c>
      <c r="B370" s="8">
        <v>9.0</v>
      </c>
      <c r="C370" s="7" t="s">
        <v>43</v>
      </c>
      <c r="D370" s="7" t="s">
        <v>21</v>
      </c>
      <c r="E370" s="7" t="s">
        <v>2062</v>
      </c>
      <c r="F370" s="7" t="s">
        <v>65</v>
      </c>
    </row>
    <row r="371">
      <c r="A371" s="7" t="s">
        <v>1988</v>
      </c>
      <c r="B371" s="8">
        <v>9.0</v>
      </c>
      <c r="C371" s="7" t="s">
        <v>43</v>
      </c>
      <c r="D371" s="7" t="s">
        <v>21</v>
      </c>
      <c r="E371" s="7" t="s">
        <v>2062</v>
      </c>
      <c r="F371" s="7" t="s">
        <v>65</v>
      </c>
    </row>
    <row r="372">
      <c r="A372" s="7" t="s">
        <v>872</v>
      </c>
      <c r="B372" s="8">
        <v>9.0</v>
      </c>
      <c r="C372" s="7" t="s">
        <v>43</v>
      </c>
      <c r="D372" s="7" t="s">
        <v>21</v>
      </c>
      <c r="E372" s="7" t="s">
        <v>2062</v>
      </c>
      <c r="F372" s="7" t="s">
        <v>66</v>
      </c>
    </row>
    <row r="373">
      <c r="A373" s="7" t="s">
        <v>606</v>
      </c>
      <c r="B373" s="8">
        <v>9.0</v>
      </c>
      <c r="C373" s="7" t="s">
        <v>43</v>
      </c>
      <c r="D373" s="7" t="s">
        <v>21</v>
      </c>
      <c r="E373" s="7" t="s">
        <v>2062</v>
      </c>
      <c r="F373" s="7" t="s">
        <v>65</v>
      </c>
    </row>
    <row r="374">
      <c r="A374" s="7" t="s">
        <v>11</v>
      </c>
      <c r="B374" s="8">
        <v>9.0</v>
      </c>
      <c r="C374" s="7" t="s">
        <v>43</v>
      </c>
      <c r="D374" s="7" t="s">
        <v>21</v>
      </c>
      <c r="E374" s="7" t="s">
        <v>2062</v>
      </c>
      <c r="F374" s="7" t="s">
        <v>65</v>
      </c>
    </row>
    <row r="375">
      <c r="A375" s="7" t="s">
        <v>607</v>
      </c>
      <c r="B375" s="8">
        <v>9.0</v>
      </c>
      <c r="C375" s="7" t="s">
        <v>43</v>
      </c>
      <c r="D375" s="7" t="s">
        <v>21</v>
      </c>
      <c r="E375" s="7" t="s">
        <v>2062</v>
      </c>
      <c r="F375" s="7" t="s">
        <v>65</v>
      </c>
    </row>
    <row r="376">
      <c r="A376" s="7" t="s">
        <v>874</v>
      </c>
      <c r="B376" s="8">
        <v>9.0</v>
      </c>
      <c r="C376" s="7" t="s">
        <v>43</v>
      </c>
      <c r="D376" s="7" t="s">
        <v>21</v>
      </c>
      <c r="E376" s="7" t="s">
        <v>2062</v>
      </c>
      <c r="F376" s="7" t="s">
        <v>65</v>
      </c>
    </row>
    <row r="377">
      <c r="A377" s="7" t="s">
        <v>608</v>
      </c>
      <c r="B377" s="8">
        <v>9.0</v>
      </c>
      <c r="C377" s="7" t="s">
        <v>43</v>
      </c>
      <c r="D377" s="7" t="s">
        <v>21</v>
      </c>
      <c r="E377" s="7" t="s">
        <v>2062</v>
      </c>
      <c r="F377" s="7" t="s">
        <v>65</v>
      </c>
    </row>
    <row r="378">
      <c r="A378" s="7" t="s">
        <v>875</v>
      </c>
      <c r="B378" s="8">
        <v>9.0</v>
      </c>
      <c r="C378" s="7" t="s">
        <v>43</v>
      </c>
      <c r="D378" s="7" t="s">
        <v>21</v>
      </c>
      <c r="E378" s="7" t="s">
        <v>2062</v>
      </c>
      <c r="F378" s="7" t="s">
        <v>65</v>
      </c>
    </row>
    <row r="379">
      <c r="A379" s="7" t="s">
        <v>14</v>
      </c>
      <c r="B379" s="8">
        <v>9.0</v>
      </c>
      <c r="C379" s="7" t="s">
        <v>43</v>
      </c>
      <c r="D379" s="7" t="s">
        <v>21</v>
      </c>
      <c r="E379" s="7" t="s">
        <v>2062</v>
      </c>
      <c r="F379" s="7" t="s">
        <v>65</v>
      </c>
    </row>
    <row r="380">
      <c r="A380" s="7" t="s">
        <v>1989</v>
      </c>
      <c r="B380" s="8">
        <v>9.0</v>
      </c>
      <c r="C380" s="7" t="s">
        <v>43</v>
      </c>
      <c r="D380" s="7" t="s">
        <v>21</v>
      </c>
      <c r="E380" s="7" t="s">
        <v>2062</v>
      </c>
      <c r="F380" s="7" t="s">
        <v>65</v>
      </c>
    </row>
    <row r="381">
      <c r="A381" s="7" t="s">
        <v>609</v>
      </c>
      <c r="B381" s="8">
        <v>9.0</v>
      </c>
      <c r="C381" s="7" t="s">
        <v>43</v>
      </c>
      <c r="D381" s="7" t="s">
        <v>21</v>
      </c>
      <c r="E381" s="7" t="s">
        <v>2062</v>
      </c>
      <c r="F381" s="7" t="s">
        <v>65</v>
      </c>
    </row>
    <row r="382">
      <c r="A382" s="7" t="s">
        <v>15</v>
      </c>
      <c r="B382" s="8">
        <v>9.0</v>
      </c>
      <c r="C382" s="7" t="s">
        <v>43</v>
      </c>
      <c r="D382" s="7" t="s">
        <v>21</v>
      </c>
      <c r="E382" s="7" t="s">
        <v>2062</v>
      </c>
      <c r="F382" s="7" t="s">
        <v>65</v>
      </c>
    </row>
    <row r="383">
      <c r="A383" s="7" t="s">
        <v>610</v>
      </c>
      <c r="B383" s="8">
        <v>9.0</v>
      </c>
      <c r="C383" s="7" t="s">
        <v>43</v>
      </c>
      <c r="D383" s="7" t="s">
        <v>21</v>
      </c>
      <c r="E383" s="7" t="s">
        <v>2062</v>
      </c>
      <c r="F383" s="7" t="s">
        <v>65</v>
      </c>
    </row>
    <row r="384">
      <c r="A384" s="7" t="s">
        <v>16</v>
      </c>
      <c r="B384" s="8">
        <v>9.0</v>
      </c>
      <c r="C384" s="7" t="s">
        <v>43</v>
      </c>
      <c r="D384" s="7" t="s">
        <v>21</v>
      </c>
      <c r="E384" s="7" t="s">
        <v>2062</v>
      </c>
      <c r="F384" s="7" t="s">
        <v>65</v>
      </c>
    </row>
    <row r="385">
      <c r="A385" s="7" t="s">
        <v>1990</v>
      </c>
      <c r="B385" s="8">
        <v>9.0</v>
      </c>
      <c r="C385" s="7" t="s">
        <v>43</v>
      </c>
      <c r="D385" s="7" t="s">
        <v>21</v>
      </c>
      <c r="E385" s="7" t="s">
        <v>2062</v>
      </c>
      <c r="F385" s="7" t="s">
        <v>65</v>
      </c>
    </row>
    <row r="386">
      <c r="A386" s="7" t="s">
        <v>611</v>
      </c>
      <c r="B386" s="8">
        <v>9.0</v>
      </c>
      <c r="C386" s="7" t="s">
        <v>43</v>
      </c>
      <c r="D386" s="7" t="s">
        <v>21</v>
      </c>
      <c r="E386" s="7" t="s">
        <v>2062</v>
      </c>
      <c r="F386" s="7" t="s">
        <v>65</v>
      </c>
    </row>
    <row r="387">
      <c r="A387" s="7" t="s">
        <v>612</v>
      </c>
      <c r="B387" s="8">
        <v>9.0</v>
      </c>
      <c r="C387" s="7" t="s">
        <v>43</v>
      </c>
      <c r="D387" s="7" t="s">
        <v>21</v>
      </c>
      <c r="E387" s="7" t="s">
        <v>2062</v>
      </c>
      <c r="F387" s="7" t="s">
        <v>65</v>
      </c>
    </row>
    <row r="388">
      <c r="A388" s="7" t="s">
        <v>18</v>
      </c>
      <c r="B388" s="8">
        <v>9.0</v>
      </c>
      <c r="C388" s="7" t="s">
        <v>43</v>
      </c>
      <c r="D388" s="7" t="s">
        <v>21</v>
      </c>
      <c r="E388" s="7" t="s">
        <v>2062</v>
      </c>
      <c r="F388" s="7" t="s">
        <v>65</v>
      </c>
    </row>
    <row r="389">
      <c r="A389" s="7" t="s">
        <v>19</v>
      </c>
      <c r="B389" s="8">
        <v>9.0</v>
      </c>
      <c r="C389" s="7" t="s">
        <v>43</v>
      </c>
      <c r="D389" s="7" t="s">
        <v>21</v>
      </c>
      <c r="E389" s="7" t="s">
        <v>2062</v>
      </c>
      <c r="F389" s="7" t="s">
        <v>65</v>
      </c>
    </row>
    <row r="390">
      <c r="A390" s="7" t="s">
        <v>1986</v>
      </c>
      <c r="B390" s="8">
        <v>9.0</v>
      </c>
      <c r="C390" s="7" t="s">
        <v>2064</v>
      </c>
      <c r="D390" s="7" t="s">
        <v>36</v>
      </c>
      <c r="E390" s="7" t="s">
        <v>2065</v>
      </c>
      <c r="F390" s="7" t="s">
        <v>2066</v>
      </c>
    </row>
    <row r="391">
      <c r="A391" s="7" t="s">
        <v>188</v>
      </c>
      <c r="B391" s="8">
        <v>9.0</v>
      </c>
      <c r="C391" s="7" t="s">
        <v>2064</v>
      </c>
      <c r="D391" s="7" t="s">
        <v>36</v>
      </c>
      <c r="E391" s="7" t="s">
        <v>2065</v>
      </c>
      <c r="F391" s="7" t="s">
        <v>2067</v>
      </c>
    </row>
    <row r="392">
      <c r="A392" s="7" t="s">
        <v>597</v>
      </c>
      <c r="B392" s="8">
        <v>9.0</v>
      </c>
      <c r="C392" s="7" t="s">
        <v>2064</v>
      </c>
      <c r="D392" s="7" t="s">
        <v>36</v>
      </c>
      <c r="E392" s="7" t="s">
        <v>2065</v>
      </c>
      <c r="F392" s="7" t="s">
        <v>2068</v>
      </c>
    </row>
    <row r="393">
      <c r="A393" s="7" t="s">
        <v>386</v>
      </c>
      <c r="B393" s="8">
        <v>9.0</v>
      </c>
      <c r="C393" s="7" t="s">
        <v>2064</v>
      </c>
      <c r="D393" s="7" t="s">
        <v>36</v>
      </c>
      <c r="E393" s="7" t="s">
        <v>2065</v>
      </c>
      <c r="F393" s="7" t="s">
        <v>2069</v>
      </c>
    </row>
    <row r="394">
      <c r="A394" s="7" t="s">
        <v>598</v>
      </c>
      <c r="B394" s="8">
        <v>9.0</v>
      </c>
      <c r="C394" s="7" t="s">
        <v>2064</v>
      </c>
      <c r="D394" s="7" t="s">
        <v>36</v>
      </c>
      <c r="E394" s="7" t="s">
        <v>2065</v>
      </c>
      <c r="F394" s="7" t="s">
        <v>2070</v>
      </c>
    </row>
    <row r="395">
      <c r="A395" s="7" t="s">
        <v>867</v>
      </c>
      <c r="B395" s="8">
        <v>9.0</v>
      </c>
      <c r="C395" s="7" t="s">
        <v>2064</v>
      </c>
      <c r="D395" s="7" t="s">
        <v>36</v>
      </c>
      <c r="E395" s="7" t="s">
        <v>2065</v>
      </c>
      <c r="F395" s="7" t="s">
        <v>2071</v>
      </c>
    </row>
    <row r="396">
      <c r="A396" s="7" t="s">
        <v>1987</v>
      </c>
      <c r="B396" s="8">
        <v>9.0</v>
      </c>
      <c r="C396" s="7" t="s">
        <v>2064</v>
      </c>
      <c r="D396" s="7" t="s">
        <v>36</v>
      </c>
      <c r="E396" s="7" t="s">
        <v>2065</v>
      </c>
      <c r="F396" s="7" t="s">
        <v>2072</v>
      </c>
    </row>
    <row r="397">
      <c r="A397" s="7" t="s">
        <v>868</v>
      </c>
      <c r="B397" s="8">
        <v>9.0</v>
      </c>
      <c r="C397" s="7" t="s">
        <v>2064</v>
      </c>
      <c r="D397" s="7" t="s">
        <v>36</v>
      </c>
      <c r="E397" s="7" t="s">
        <v>2065</v>
      </c>
      <c r="F397" s="7" t="s">
        <v>2073</v>
      </c>
    </row>
    <row r="398">
      <c r="A398" s="7" t="s">
        <v>869</v>
      </c>
      <c r="B398" s="8">
        <v>9.0</v>
      </c>
      <c r="C398" s="7" t="s">
        <v>2064</v>
      </c>
      <c r="D398" s="7" t="s">
        <v>36</v>
      </c>
      <c r="E398" s="7" t="s">
        <v>2065</v>
      </c>
      <c r="F398" s="7" t="s">
        <v>2074</v>
      </c>
    </row>
    <row r="399">
      <c r="A399" s="7" t="s">
        <v>600</v>
      </c>
      <c r="B399" s="8">
        <v>9.0</v>
      </c>
      <c r="C399" s="7" t="s">
        <v>2064</v>
      </c>
      <c r="D399" s="7" t="s">
        <v>36</v>
      </c>
      <c r="E399" s="7" t="s">
        <v>2065</v>
      </c>
      <c r="F399" s="7" t="s">
        <v>2075</v>
      </c>
    </row>
    <row r="400">
      <c r="A400" s="7" t="s">
        <v>870</v>
      </c>
      <c r="B400" s="8">
        <v>9.0</v>
      </c>
      <c r="C400" s="7" t="s">
        <v>2064</v>
      </c>
      <c r="D400" s="7" t="s">
        <v>36</v>
      </c>
      <c r="E400" s="7" t="s">
        <v>2065</v>
      </c>
      <c r="F400" s="7" t="s">
        <v>2076</v>
      </c>
    </row>
    <row r="401">
      <c r="A401" s="7" t="s">
        <v>1293</v>
      </c>
      <c r="B401" s="8">
        <v>9.0</v>
      </c>
      <c r="C401" s="7" t="s">
        <v>2064</v>
      </c>
      <c r="D401" s="7" t="s">
        <v>36</v>
      </c>
      <c r="E401" s="7" t="s">
        <v>2065</v>
      </c>
      <c r="F401" s="7" t="s">
        <v>2077</v>
      </c>
    </row>
    <row r="402">
      <c r="A402" s="7" t="s">
        <v>601</v>
      </c>
      <c r="B402" s="8">
        <v>9.0</v>
      </c>
      <c r="C402" s="7" t="s">
        <v>2064</v>
      </c>
      <c r="D402" s="7" t="s">
        <v>36</v>
      </c>
      <c r="E402" s="7" t="s">
        <v>2065</v>
      </c>
      <c r="F402" s="7" t="s">
        <v>2078</v>
      </c>
    </row>
    <row r="403">
      <c r="A403" s="7" t="s">
        <v>871</v>
      </c>
      <c r="B403" s="8">
        <v>9.0</v>
      </c>
      <c r="C403" s="7" t="s">
        <v>2064</v>
      </c>
      <c r="D403" s="7" t="s">
        <v>36</v>
      </c>
      <c r="E403" s="7" t="s">
        <v>2065</v>
      </c>
      <c r="F403" s="7" t="s">
        <v>2079</v>
      </c>
    </row>
    <row r="404">
      <c r="A404" s="7" t="s">
        <v>602</v>
      </c>
      <c r="B404" s="8">
        <v>9.0</v>
      </c>
      <c r="C404" s="7" t="s">
        <v>2064</v>
      </c>
      <c r="D404" s="7" t="s">
        <v>36</v>
      </c>
      <c r="E404" s="7" t="s">
        <v>2065</v>
      </c>
      <c r="F404" s="7" t="s">
        <v>2080</v>
      </c>
    </row>
    <row r="405">
      <c r="A405" s="7" t="s">
        <v>603</v>
      </c>
      <c r="B405" s="8">
        <v>9.0</v>
      </c>
      <c r="C405" s="7" t="s">
        <v>2064</v>
      </c>
      <c r="D405" s="7" t="s">
        <v>36</v>
      </c>
      <c r="E405" s="7" t="s">
        <v>2065</v>
      </c>
      <c r="F405" s="7" t="s">
        <v>2081</v>
      </c>
    </row>
    <row r="406">
      <c r="A406" s="7" t="s">
        <v>604</v>
      </c>
      <c r="B406" s="8">
        <v>9.0</v>
      </c>
      <c r="C406" s="7" t="s">
        <v>2064</v>
      </c>
      <c r="D406" s="7" t="s">
        <v>36</v>
      </c>
      <c r="E406" s="7" t="s">
        <v>2065</v>
      </c>
      <c r="F406" s="7" t="s">
        <v>2082</v>
      </c>
    </row>
    <row r="407">
      <c r="A407" s="7" t="s">
        <v>189</v>
      </c>
      <c r="B407" s="8">
        <v>9.0</v>
      </c>
      <c r="C407" s="7" t="s">
        <v>2064</v>
      </c>
      <c r="D407" s="7" t="s">
        <v>36</v>
      </c>
      <c r="E407" s="7" t="s">
        <v>2065</v>
      </c>
      <c r="F407" s="7" t="s">
        <v>2083</v>
      </c>
    </row>
    <row r="408">
      <c r="A408" s="7" t="s">
        <v>605</v>
      </c>
      <c r="B408" s="8">
        <v>9.0</v>
      </c>
      <c r="C408" s="7" t="s">
        <v>2064</v>
      </c>
      <c r="D408" s="7" t="s">
        <v>36</v>
      </c>
      <c r="E408" s="7" t="s">
        <v>2065</v>
      </c>
      <c r="F408" s="7" t="s">
        <v>2084</v>
      </c>
    </row>
    <row r="409">
      <c r="A409" s="7" t="s">
        <v>10</v>
      </c>
      <c r="B409" s="8">
        <v>9.0</v>
      </c>
      <c r="C409" s="7" t="s">
        <v>2064</v>
      </c>
      <c r="D409" s="7" t="s">
        <v>36</v>
      </c>
      <c r="E409" s="7" t="s">
        <v>2065</v>
      </c>
      <c r="F409" s="7" t="s">
        <v>2085</v>
      </c>
    </row>
    <row r="410">
      <c r="A410" s="7" t="s">
        <v>1988</v>
      </c>
      <c r="B410" s="8">
        <v>9.0</v>
      </c>
      <c r="C410" s="7" t="s">
        <v>2064</v>
      </c>
      <c r="D410" s="7" t="s">
        <v>36</v>
      </c>
      <c r="E410" s="7" t="s">
        <v>2065</v>
      </c>
      <c r="F410" s="7" t="s">
        <v>2086</v>
      </c>
    </row>
    <row r="411">
      <c r="A411" s="7" t="s">
        <v>872</v>
      </c>
      <c r="B411" s="8">
        <v>9.0</v>
      </c>
      <c r="C411" s="7" t="s">
        <v>2064</v>
      </c>
      <c r="D411" s="7" t="s">
        <v>36</v>
      </c>
      <c r="E411" s="7" t="s">
        <v>2065</v>
      </c>
      <c r="F411" s="7" t="s">
        <v>2087</v>
      </c>
    </row>
    <row r="412">
      <c r="A412" s="7" t="s">
        <v>606</v>
      </c>
      <c r="B412" s="8">
        <v>9.0</v>
      </c>
      <c r="C412" s="7" t="s">
        <v>2064</v>
      </c>
      <c r="D412" s="7" t="s">
        <v>36</v>
      </c>
      <c r="E412" s="7" t="s">
        <v>2065</v>
      </c>
      <c r="F412" s="7" t="s">
        <v>2088</v>
      </c>
    </row>
    <row r="413">
      <c r="A413" s="7" t="s">
        <v>11</v>
      </c>
      <c r="B413" s="8">
        <v>9.0</v>
      </c>
      <c r="C413" s="7" t="s">
        <v>2064</v>
      </c>
      <c r="D413" s="7" t="s">
        <v>36</v>
      </c>
      <c r="E413" s="7" t="s">
        <v>2065</v>
      </c>
      <c r="F413" s="7" t="s">
        <v>2089</v>
      </c>
    </row>
    <row r="414">
      <c r="A414" s="7" t="s">
        <v>607</v>
      </c>
      <c r="B414" s="8">
        <v>9.0</v>
      </c>
      <c r="C414" s="7" t="s">
        <v>2064</v>
      </c>
      <c r="D414" s="7" t="s">
        <v>36</v>
      </c>
      <c r="E414" s="7" t="s">
        <v>2065</v>
      </c>
      <c r="F414" s="7" t="s">
        <v>2090</v>
      </c>
    </row>
    <row r="415">
      <c r="A415" s="7" t="s">
        <v>874</v>
      </c>
      <c r="B415" s="8">
        <v>9.0</v>
      </c>
      <c r="C415" s="7" t="s">
        <v>2064</v>
      </c>
      <c r="D415" s="7" t="s">
        <v>36</v>
      </c>
      <c r="E415" s="7" t="s">
        <v>2065</v>
      </c>
      <c r="F415" s="7" t="s">
        <v>2091</v>
      </c>
    </row>
    <row r="416">
      <c r="A416" s="7" t="s">
        <v>608</v>
      </c>
      <c r="B416" s="8">
        <v>9.0</v>
      </c>
      <c r="C416" s="7" t="s">
        <v>2064</v>
      </c>
      <c r="D416" s="7" t="s">
        <v>36</v>
      </c>
      <c r="E416" s="7" t="s">
        <v>2065</v>
      </c>
      <c r="F416" s="7" t="s">
        <v>2092</v>
      </c>
    </row>
    <row r="417">
      <c r="A417" s="7" t="s">
        <v>875</v>
      </c>
      <c r="B417" s="8">
        <v>9.0</v>
      </c>
      <c r="C417" s="7" t="s">
        <v>2064</v>
      </c>
      <c r="D417" s="7" t="s">
        <v>36</v>
      </c>
      <c r="E417" s="7" t="s">
        <v>2065</v>
      </c>
      <c r="F417" s="7" t="s">
        <v>2093</v>
      </c>
    </row>
    <row r="418">
      <c r="A418" s="7" t="s">
        <v>14</v>
      </c>
      <c r="B418" s="8">
        <v>9.0</v>
      </c>
      <c r="C418" s="7" t="s">
        <v>2064</v>
      </c>
      <c r="D418" s="7" t="s">
        <v>36</v>
      </c>
      <c r="E418" s="7" t="s">
        <v>2065</v>
      </c>
      <c r="F418" s="7" t="s">
        <v>2094</v>
      </c>
    </row>
    <row r="419">
      <c r="A419" s="7" t="s">
        <v>1989</v>
      </c>
      <c r="B419" s="8">
        <v>9.0</v>
      </c>
      <c r="C419" s="7" t="s">
        <v>2064</v>
      </c>
      <c r="D419" s="7" t="s">
        <v>36</v>
      </c>
      <c r="E419" s="7" t="s">
        <v>2065</v>
      </c>
      <c r="F419" s="7" t="s">
        <v>2095</v>
      </c>
    </row>
    <row r="420">
      <c r="A420" s="7" t="s">
        <v>609</v>
      </c>
      <c r="B420" s="8">
        <v>9.0</v>
      </c>
      <c r="C420" s="7" t="s">
        <v>2064</v>
      </c>
      <c r="D420" s="7" t="s">
        <v>36</v>
      </c>
      <c r="E420" s="7" t="s">
        <v>2065</v>
      </c>
      <c r="F420" s="7" t="s">
        <v>2096</v>
      </c>
    </row>
    <row r="421">
      <c r="A421" s="7" t="s">
        <v>15</v>
      </c>
      <c r="B421" s="8">
        <v>9.0</v>
      </c>
      <c r="C421" s="7" t="s">
        <v>2064</v>
      </c>
      <c r="D421" s="7" t="s">
        <v>36</v>
      </c>
      <c r="E421" s="7" t="s">
        <v>2065</v>
      </c>
      <c r="F421" s="7" t="s">
        <v>2097</v>
      </c>
    </row>
    <row r="422">
      <c r="A422" s="7" t="s">
        <v>610</v>
      </c>
      <c r="B422" s="8">
        <v>9.0</v>
      </c>
      <c r="C422" s="7" t="s">
        <v>2064</v>
      </c>
      <c r="D422" s="7" t="s">
        <v>36</v>
      </c>
      <c r="E422" s="7" t="s">
        <v>2065</v>
      </c>
      <c r="F422" s="7" t="s">
        <v>2098</v>
      </c>
    </row>
    <row r="423">
      <c r="A423" s="7" t="s">
        <v>16</v>
      </c>
      <c r="B423" s="8">
        <v>9.0</v>
      </c>
      <c r="C423" s="7" t="s">
        <v>2064</v>
      </c>
      <c r="D423" s="7" t="s">
        <v>36</v>
      </c>
      <c r="E423" s="7" t="s">
        <v>2065</v>
      </c>
      <c r="F423" s="7" t="s">
        <v>2099</v>
      </c>
    </row>
    <row r="424">
      <c r="A424" s="7" t="s">
        <v>1990</v>
      </c>
      <c r="B424" s="8">
        <v>9.0</v>
      </c>
      <c r="C424" s="7" t="s">
        <v>2064</v>
      </c>
      <c r="D424" s="7" t="s">
        <v>36</v>
      </c>
      <c r="E424" s="7" t="s">
        <v>2065</v>
      </c>
      <c r="F424" s="7" t="s">
        <v>2100</v>
      </c>
    </row>
    <row r="425">
      <c r="A425" s="7" t="s">
        <v>611</v>
      </c>
      <c r="B425" s="8">
        <v>9.0</v>
      </c>
      <c r="C425" s="7" t="s">
        <v>2064</v>
      </c>
      <c r="D425" s="7" t="s">
        <v>36</v>
      </c>
      <c r="E425" s="7" t="s">
        <v>2065</v>
      </c>
      <c r="F425" s="7" t="s">
        <v>2101</v>
      </c>
    </row>
    <row r="426">
      <c r="A426" s="7" t="s">
        <v>612</v>
      </c>
      <c r="B426" s="8">
        <v>9.0</v>
      </c>
      <c r="C426" s="7" t="s">
        <v>2064</v>
      </c>
      <c r="D426" s="7" t="s">
        <v>36</v>
      </c>
      <c r="E426" s="7" t="s">
        <v>2065</v>
      </c>
      <c r="F426" s="7" t="s">
        <v>2102</v>
      </c>
    </row>
    <row r="427">
      <c r="A427" s="7" t="s">
        <v>18</v>
      </c>
      <c r="B427" s="8">
        <v>9.0</v>
      </c>
      <c r="C427" s="7" t="s">
        <v>2064</v>
      </c>
      <c r="D427" s="7" t="s">
        <v>36</v>
      </c>
      <c r="E427" s="7" t="s">
        <v>2065</v>
      </c>
      <c r="F427" s="7" t="s">
        <v>2103</v>
      </c>
    </row>
    <row r="428">
      <c r="A428" s="7" t="s">
        <v>19</v>
      </c>
      <c r="B428" s="8">
        <v>9.0</v>
      </c>
      <c r="C428" s="7" t="s">
        <v>2064</v>
      </c>
      <c r="D428" s="7" t="s">
        <v>36</v>
      </c>
      <c r="E428" s="7" t="s">
        <v>2065</v>
      </c>
      <c r="F428" s="7" t="s">
        <v>2104</v>
      </c>
    </row>
    <row r="429">
      <c r="A429" s="7" t="s">
        <v>1986</v>
      </c>
      <c r="B429" s="8">
        <v>9.0</v>
      </c>
      <c r="C429" s="7" t="s">
        <v>62</v>
      </c>
      <c r="D429" s="7" t="s">
        <v>2105</v>
      </c>
      <c r="E429" s="7" t="s">
        <v>2106</v>
      </c>
      <c r="F429" s="7" t="s">
        <v>65</v>
      </c>
    </row>
    <row r="430">
      <c r="A430" s="7" t="s">
        <v>188</v>
      </c>
      <c r="B430" s="8">
        <v>9.0</v>
      </c>
      <c r="C430" s="7" t="s">
        <v>62</v>
      </c>
      <c r="D430" s="7" t="s">
        <v>2105</v>
      </c>
      <c r="E430" s="7" t="s">
        <v>2106</v>
      </c>
      <c r="F430" s="7" t="s">
        <v>65</v>
      </c>
    </row>
    <row r="431">
      <c r="A431" s="7" t="s">
        <v>597</v>
      </c>
      <c r="B431" s="8">
        <v>9.0</v>
      </c>
      <c r="C431" s="7" t="s">
        <v>62</v>
      </c>
      <c r="D431" s="7" t="s">
        <v>2105</v>
      </c>
      <c r="E431" s="7" t="s">
        <v>2106</v>
      </c>
      <c r="F431" s="7" t="s">
        <v>65</v>
      </c>
    </row>
    <row r="432">
      <c r="A432" s="7" t="s">
        <v>386</v>
      </c>
      <c r="B432" s="8">
        <v>9.0</v>
      </c>
      <c r="C432" s="7" t="s">
        <v>62</v>
      </c>
      <c r="D432" s="7" t="s">
        <v>2105</v>
      </c>
      <c r="E432" s="7" t="s">
        <v>2106</v>
      </c>
      <c r="F432" s="7" t="s">
        <v>65</v>
      </c>
    </row>
    <row r="433">
      <c r="A433" s="7" t="s">
        <v>598</v>
      </c>
      <c r="B433" s="8">
        <v>9.0</v>
      </c>
      <c r="C433" s="7" t="s">
        <v>62</v>
      </c>
      <c r="D433" s="7" t="s">
        <v>2105</v>
      </c>
      <c r="E433" s="7" t="s">
        <v>2106</v>
      </c>
      <c r="F433" s="7" t="s">
        <v>65</v>
      </c>
    </row>
    <row r="434">
      <c r="A434" s="7" t="s">
        <v>867</v>
      </c>
      <c r="B434" s="8">
        <v>9.0</v>
      </c>
      <c r="C434" s="7" t="s">
        <v>62</v>
      </c>
      <c r="D434" s="7" t="s">
        <v>2105</v>
      </c>
      <c r="E434" s="7" t="s">
        <v>2106</v>
      </c>
      <c r="F434" s="7" t="s">
        <v>65</v>
      </c>
    </row>
    <row r="435">
      <c r="A435" s="7" t="s">
        <v>1987</v>
      </c>
      <c r="B435" s="8">
        <v>9.0</v>
      </c>
      <c r="C435" s="7" t="s">
        <v>62</v>
      </c>
      <c r="D435" s="7" t="s">
        <v>2105</v>
      </c>
      <c r="E435" s="7" t="s">
        <v>2106</v>
      </c>
      <c r="F435" s="7" t="s">
        <v>65</v>
      </c>
    </row>
    <row r="436">
      <c r="A436" s="7" t="s">
        <v>868</v>
      </c>
      <c r="B436" s="8">
        <v>9.0</v>
      </c>
      <c r="C436" s="7" t="s">
        <v>62</v>
      </c>
      <c r="D436" s="7" t="s">
        <v>2105</v>
      </c>
      <c r="E436" s="7" t="s">
        <v>2106</v>
      </c>
      <c r="F436" s="7" t="s">
        <v>65</v>
      </c>
    </row>
    <row r="437">
      <c r="A437" s="7" t="s">
        <v>869</v>
      </c>
      <c r="B437" s="8">
        <v>9.0</v>
      </c>
      <c r="C437" s="7" t="s">
        <v>62</v>
      </c>
      <c r="D437" s="7" t="s">
        <v>2105</v>
      </c>
      <c r="E437" s="7" t="s">
        <v>2106</v>
      </c>
      <c r="F437" s="7" t="s">
        <v>66</v>
      </c>
    </row>
    <row r="438">
      <c r="A438" s="7" t="s">
        <v>600</v>
      </c>
      <c r="B438" s="8">
        <v>9.0</v>
      </c>
      <c r="C438" s="7" t="s">
        <v>62</v>
      </c>
      <c r="D438" s="7" t="s">
        <v>2105</v>
      </c>
      <c r="E438" s="7" t="s">
        <v>2106</v>
      </c>
      <c r="F438" s="7" t="s">
        <v>66</v>
      </c>
    </row>
    <row r="439">
      <c r="A439" s="7" t="s">
        <v>870</v>
      </c>
      <c r="B439" s="8">
        <v>9.0</v>
      </c>
      <c r="C439" s="7" t="s">
        <v>62</v>
      </c>
      <c r="D439" s="7" t="s">
        <v>2105</v>
      </c>
      <c r="E439" s="7" t="s">
        <v>2106</v>
      </c>
      <c r="F439" s="7" t="s">
        <v>65</v>
      </c>
    </row>
    <row r="440">
      <c r="A440" s="7" t="s">
        <v>1293</v>
      </c>
      <c r="B440" s="8">
        <v>9.0</v>
      </c>
      <c r="C440" s="7" t="s">
        <v>62</v>
      </c>
      <c r="D440" s="7" t="s">
        <v>2105</v>
      </c>
      <c r="E440" s="7" t="s">
        <v>2106</v>
      </c>
      <c r="F440" s="7" t="s">
        <v>65</v>
      </c>
    </row>
    <row r="441">
      <c r="A441" s="7" t="s">
        <v>601</v>
      </c>
      <c r="B441" s="8">
        <v>9.0</v>
      </c>
      <c r="C441" s="7" t="s">
        <v>62</v>
      </c>
      <c r="D441" s="7" t="s">
        <v>2105</v>
      </c>
      <c r="E441" s="7" t="s">
        <v>2106</v>
      </c>
      <c r="F441" s="7" t="s">
        <v>65</v>
      </c>
    </row>
    <row r="442">
      <c r="A442" s="7" t="s">
        <v>871</v>
      </c>
      <c r="B442" s="8">
        <v>9.0</v>
      </c>
      <c r="C442" s="7" t="s">
        <v>62</v>
      </c>
      <c r="D442" s="7" t="s">
        <v>2105</v>
      </c>
      <c r="E442" s="7" t="s">
        <v>2106</v>
      </c>
      <c r="F442" s="7" t="s">
        <v>2063</v>
      </c>
    </row>
    <row r="443">
      <c r="A443" s="7" t="s">
        <v>602</v>
      </c>
      <c r="B443" s="8">
        <v>9.0</v>
      </c>
      <c r="C443" s="7" t="s">
        <v>62</v>
      </c>
      <c r="D443" s="7" t="s">
        <v>2105</v>
      </c>
      <c r="E443" s="7" t="s">
        <v>2106</v>
      </c>
      <c r="F443" s="7" t="s">
        <v>65</v>
      </c>
    </row>
    <row r="444">
      <c r="A444" s="7" t="s">
        <v>603</v>
      </c>
      <c r="B444" s="8">
        <v>9.0</v>
      </c>
      <c r="C444" s="7" t="s">
        <v>62</v>
      </c>
      <c r="D444" s="7" t="s">
        <v>2105</v>
      </c>
      <c r="E444" s="7" t="s">
        <v>2106</v>
      </c>
      <c r="F444" s="7" t="s">
        <v>66</v>
      </c>
    </row>
    <row r="445">
      <c r="A445" s="7" t="s">
        <v>604</v>
      </c>
      <c r="B445" s="8">
        <v>9.0</v>
      </c>
      <c r="C445" s="7" t="s">
        <v>62</v>
      </c>
      <c r="D445" s="7" t="s">
        <v>2105</v>
      </c>
      <c r="E445" s="7" t="s">
        <v>2106</v>
      </c>
      <c r="F445" s="7" t="s">
        <v>65</v>
      </c>
    </row>
    <row r="446">
      <c r="A446" s="7" t="s">
        <v>189</v>
      </c>
      <c r="B446" s="8">
        <v>9.0</v>
      </c>
      <c r="C446" s="7" t="s">
        <v>62</v>
      </c>
      <c r="D446" s="7" t="s">
        <v>2105</v>
      </c>
      <c r="E446" s="7" t="s">
        <v>2106</v>
      </c>
      <c r="F446" s="7" t="s">
        <v>65</v>
      </c>
    </row>
    <row r="447">
      <c r="A447" s="7" t="s">
        <v>605</v>
      </c>
      <c r="B447" s="8">
        <v>9.0</v>
      </c>
      <c r="C447" s="7" t="s">
        <v>62</v>
      </c>
      <c r="D447" s="7" t="s">
        <v>2105</v>
      </c>
      <c r="E447" s="7" t="s">
        <v>2106</v>
      </c>
      <c r="F447" s="7" t="s">
        <v>65</v>
      </c>
    </row>
    <row r="448">
      <c r="A448" s="7" t="s">
        <v>10</v>
      </c>
      <c r="B448" s="8">
        <v>9.0</v>
      </c>
      <c r="C448" s="7" t="s">
        <v>62</v>
      </c>
      <c r="D448" s="7" t="s">
        <v>2105</v>
      </c>
      <c r="E448" s="7" t="s">
        <v>2106</v>
      </c>
      <c r="F448" s="7" t="s">
        <v>65</v>
      </c>
    </row>
    <row r="449">
      <c r="A449" s="7" t="s">
        <v>1988</v>
      </c>
      <c r="B449" s="8">
        <v>9.0</v>
      </c>
      <c r="C449" s="7" t="s">
        <v>62</v>
      </c>
      <c r="D449" s="7" t="s">
        <v>2105</v>
      </c>
      <c r="E449" s="7" t="s">
        <v>2106</v>
      </c>
      <c r="F449" s="7" t="s">
        <v>65</v>
      </c>
    </row>
    <row r="450">
      <c r="A450" s="7" t="s">
        <v>872</v>
      </c>
      <c r="B450" s="8">
        <v>9.0</v>
      </c>
      <c r="C450" s="7" t="s">
        <v>62</v>
      </c>
      <c r="D450" s="7" t="s">
        <v>2105</v>
      </c>
      <c r="E450" s="7" t="s">
        <v>2106</v>
      </c>
      <c r="F450" s="7" t="s">
        <v>66</v>
      </c>
    </row>
    <row r="451">
      <c r="A451" s="7" t="s">
        <v>606</v>
      </c>
      <c r="B451" s="8">
        <v>9.0</v>
      </c>
      <c r="C451" s="7" t="s">
        <v>62</v>
      </c>
      <c r="D451" s="7" t="s">
        <v>2105</v>
      </c>
      <c r="E451" s="7" t="s">
        <v>2106</v>
      </c>
      <c r="F451" s="7" t="s">
        <v>65</v>
      </c>
    </row>
    <row r="452">
      <c r="A452" s="7" t="s">
        <v>11</v>
      </c>
      <c r="B452" s="8">
        <v>9.0</v>
      </c>
      <c r="C452" s="7" t="s">
        <v>62</v>
      </c>
      <c r="D452" s="7" t="s">
        <v>2105</v>
      </c>
      <c r="E452" s="7" t="s">
        <v>2106</v>
      </c>
      <c r="F452" s="7" t="s">
        <v>65</v>
      </c>
    </row>
    <row r="453">
      <c r="A453" s="7" t="s">
        <v>607</v>
      </c>
      <c r="B453" s="8">
        <v>9.0</v>
      </c>
      <c r="C453" s="7" t="s">
        <v>62</v>
      </c>
      <c r="D453" s="7" t="s">
        <v>2105</v>
      </c>
      <c r="E453" s="7" t="s">
        <v>2106</v>
      </c>
      <c r="F453" s="7" t="s">
        <v>65</v>
      </c>
    </row>
    <row r="454">
      <c r="A454" s="7" t="s">
        <v>874</v>
      </c>
      <c r="B454" s="8">
        <v>9.0</v>
      </c>
      <c r="C454" s="7" t="s">
        <v>62</v>
      </c>
      <c r="D454" s="7" t="s">
        <v>2105</v>
      </c>
      <c r="E454" s="7" t="s">
        <v>2106</v>
      </c>
      <c r="F454" s="7" t="s">
        <v>65</v>
      </c>
    </row>
    <row r="455">
      <c r="A455" s="7" t="s">
        <v>608</v>
      </c>
      <c r="B455" s="8">
        <v>9.0</v>
      </c>
      <c r="C455" s="7" t="s">
        <v>62</v>
      </c>
      <c r="D455" s="7" t="s">
        <v>2105</v>
      </c>
      <c r="E455" s="7" t="s">
        <v>2106</v>
      </c>
      <c r="F455" s="7" t="s">
        <v>65</v>
      </c>
    </row>
    <row r="456">
      <c r="A456" s="7" t="s">
        <v>875</v>
      </c>
      <c r="B456" s="8">
        <v>9.0</v>
      </c>
      <c r="C456" s="7" t="s">
        <v>62</v>
      </c>
      <c r="D456" s="7" t="s">
        <v>2105</v>
      </c>
      <c r="E456" s="7" t="s">
        <v>2106</v>
      </c>
      <c r="F456" s="7" t="s">
        <v>65</v>
      </c>
    </row>
    <row r="457">
      <c r="A457" s="7" t="s">
        <v>14</v>
      </c>
      <c r="B457" s="8">
        <v>9.0</v>
      </c>
      <c r="C457" s="7" t="s">
        <v>62</v>
      </c>
      <c r="D457" s="7" t="s">
        <v>2105</v>
      </c>
      <c r="E457" s="7" t="s">
        <v>2106</v>
      </c>
      <c r="F457" s="7" t="s">
        <v>65</v>
      </c>
    </row>
    <row r="458">
      <c r="A458" s="7" t="s">
        <v>1989</v>
      </c>
      <c r="B458" s="8">
        <v>9.0</v>
      </c>
      <c r="C458" s="7" t="s">
        <v>62</v>
      </c>
      <c r="D458" s="7" t="s">
        <v>2105</v>
      </c>
      <c r="E458" s="7" t="s">
        <v>2106</v>
      </c>
      <c r="F458" s="7" t="s">
        <v>65</v>
      </c>
    </row>
    <row r="459">
      <c r="A459" s="7" t="s">
        <v>609</v>
      </c>
      <c r="B459" s="8">
        <v>9.0</v>
      </c>
      <c r="C459" s="7" t="s">
        <v>62</v>
      </c>
      <c r="D459" s="7" t="s">
        <v>2105</v>
      </c>
      <c r="E459" s="7" t="s">
        <v>2106</v>
      </c>
      <c r="F459" s="7" t="s">
        <v>65</v>
      </c>
    </row>
    <row r="460">
      <c r="A460" s="7" t="s">
        <v>15</v>
      </c>
      <c r="B460" s="8">
        <v>9.0</v>
      </c>
      <c r="C460" s="7" t="s">
        <v>62</v>
      </c>
      <c r="D460" s="7" t="s">
        <v>2105</v>
      </c>
      <c r="E460" s="7" t="s">
        <v>2106</v>
      </c>
      <c r="F460" s="7" t="s">
        <v>65</v>
      </c>
    </row>
    <row r="461">
      <c r="A461" s="7" t="s">
        <v>610</v>
      </c>
      <c r="B461" s="8">
        <v>9.0</v>
      </c>
      <c r="C461" s="7" t="s">
        <v>62</v>
      </c>
      <c r="D461" s="7" t="s">
        <v>2105</v>
      </c>
      <c r="E461" s="7" t="s">
        <v>2106</v>
      </c>
      <c r="F461" s="7" t="s">
        <v>65</v>
      </c>
    </row>
    <row r="462">
      <c r="A462" s="7" t="s">
        <v>16</v>
      </c>
      <c r="B462" s="8">
        <v>9.0</v>
      </c>
      <c r="C462" s="7" t="s">
        <v>62</v>
      </c>
      <c r="D462" s="7" t="s">
        <v>2105</v>
      </c>
      <c r="E462" s="7" t="s">
        <v>2106</v>
      </c>
      <c r="F462" s="7" t="s">
        <v>65</v>
      </c>
    </row>
    <row r="463">
      <c r="A463" s="7" t="s">
        <v>1990</v>
      </c>
      <c r="B463" s="8">
        <v>9.0</v>
      </c>
      <c r="C463" s="7" t="s">
        <v>62</v>
      </c>
      <c r="D463" s="7" t="s">
        <v>2105</v>
      </c>
      <c r="E463" s="7" t="s">
        <v>2106</v>
      </c>
      <c r="F463" s="7" t="s">
        <v>65</v>
      </c>
    </row>
    <row r="464">
      <c r="A464" s="7" t="s">
        <v>611</v>
      </c>
      <c r="B464" s="8">
        <v>9.0</v>
      </c>
      <c r="C464" s="7" t="s">
        <v>62</v>
      </c>
      <c r="D464" s="7" t="s">
        <v>2105</v>
      </c>
      <c r="E464" s="7" t="s">
        <v>2106</v>
      </c>
      <c r="F464" s="7" t="s">
        <v>65</v>
      </c>
    </row>
    <row r="465">
      <c r="A465" s="7" t="s">
        <v>612</v>
      </c>
      <c r="B465" s="8">
        <v>9.0</v>
      </c>
      <c r="C465" s="7" t="s">
        <v>62</v>
      </c>
      <c r="D465" s="7" t="s">
        <v>2105</v>
      </c>
      <c r="E465" s="7" t="s">
        <v>2106</v>
      </c>
      <c r="F465" s="7" t="s">
        <v>65</v>
      </c>
    </row>
    <row r="466">
      <c r="A466" s="7" t="s">
        <v>18</v>
      </c>
      <c r="B466" s="8">
        <v>9.0</v>
      </c>
      <c r="C466" s="7" t="s">
        <v>62</v>
      </c>
      <c r="D466" s="7" t="s">
        <v>2105</v>
      </c>
      <c r="E466" s="7" t="s">
        <v>2106</v>
      </c>
      <c r="F466" s="7" t="s">
        <v>65</v>
      </c>
    </row>
    <row r="467">
      <c r="A467" s="7" t="s">
        <v>19</v>
      </c>
      <c r="B467" s="8">
        <v>9.0</v>
      </c>
      <c r="C467" s="7" t="s">
        <v>62</v>
      </c>
      <c r="D467" s="7" t="s">
        <v>2105</v>
      </c>
      <c r="E467" s="7" t="s">
        <v>2106</v>
      </c>
      <c r="F467" s="7" t="s">
        <v>65</v>
      </c>
    </row>
    <row r="468">
      <c r="A468" s="7" t="s">
        <v>1986</v>
      </c>
      <c r="B468" s="8">
        <v>9.0</v>
      </c>
      <c r="C468" s="7" t="s">
        <v>966</v>
      </c>
      <c r="D468" s="7" t="s">
        <v>2107</v>
      </c>
      <c r="E468" s="7" t="s">
        <v>2108</v>
      </c>
      <c r="F468" s="7" t="s">
        <v>2109</v>
      </c>
    </row>
    <row r="469">
      <c r="A469" s="7" t="s">
        <v>188</v>
      </c>
      <c r="B469" s="8">
        <v>9.0</v>
      </c>
      <c r="C469" s="7" t="s">
        <v>966</v>
      </c>
      <c r="D469" s="7" t="s">
        <v>2107</v>
      </c>
      <c r="E469" s="7" t="s">
        <v>2108</v>
      </c>
      <c r="F469" s="7" t="s">
        <v>2109</v>
      </c>
    </row>
    <row r="470">
      <c r="A470" s="7" t="s">
        <v>597</v>
      </c>
      <c r="B470" s="8">
        <v>9.0</v>
      </c>
      <c r="C470" s="7" t="s">
        <v>966</v>
      </c>
      <c r="D470" s="7" t="s">
        <v>2107</v>
      </c>
      <c r="E470" s="7" t="s">
        <v>2108</v>
      </c>
      <c r="F470" s="7" t="s">
        <v>2110</v>
      </c>
    </row>
    <row r="471">
      <c r="A471" s="7" t="s">
        <v>386</v>
      </c>
      <c r="B471" s="8">
        <v>9.0</v>
      </c>
      <c r="C471" s="7" t="s">
        <v>966</v>
      </c>
      <c r="D471" s="7" t="s">
        <v>2107</v>
      </c>
      <c r="E471" s="7" t="s">
        <v>2108</v>
      </c>
      <c r="F471" s="7" t="s">
        <v>2111</v>
      </c>
    </row>
    <row r="472">
      <c r="A472" s="7" t="s">
        <v>598</v>
      </c>
      <c r="B472" s="8">
        <v>9.0</v>
      </c>
      <c r="C472" s="7" t="s">
        <v>966</v>
      </c>
      <c r="D472" s="7" t="s">
        <v>2107</v>
      </c>
      <c r="E472" s="7" t="s">
        <v>2108</v>
      </c>
      <c r="F472" s="7" t="s">
        <v>2109</v>
      </c>
    </row>
    <row r="473">
      <c r="A473" s="7" t="s">
        <v>867</v>
      </c>
      <c r="B473" s="8">
        <v>9.0</v>
      </c>
      <c r="C473" s="7" t="s">
        <v>966</v>
      </c>
      <c r="D473" s="7" t="s">
        <v>2107</v>
      </c>
      <c r="E473" s="7" t="s">
        <v>2108</v>
      </c>
      <c r="F473" s="7" t="s">
        <v>2110</v>
      </c>
    </row>
    <row r="474">
      <c r="A474" s="7" t="s">
        <v>1987</v>
      </c>
      <c r="B474" s="8">
        <v>9.0</v>
      </c>
      <c r="C474" s="7" t="s">
        <v>966</v>
      </c>
      <c r="D474" s="7" t="s">
        <v>2107</v>
      </c>
      <c r="E474" s="7" t="s">
        <v>2108</v>
      </c>
      <c r="F474" s="7" t="s">
        <v>2109</v>
      </c>
    </row>
    <row r="475">
      <c r="A475" s="7" t="s">
        <v>868</v>
      </c>
      <c r="B475" s="8">
        <v>9.0</v>
      </c>
      <c r="C475" s="7" t="s">
        <v>966</v>
      </c>
      <c r="D475" s="7" t="s">
        <v>2107</v>
      </c>
      <c r="E475" s="7" t="s">
        <v>2108</v>
      </c>
      <c r="F475" s="7" t="s">
        <v>2109</v>
      </c>
    </row>
    <row r="476">
      <c r="A476" s="7" t="s">
        <v>869</v>
      </c>
      <c r="B476" s="8">
        <v>9.0</v>
      </c>
      <c r="C476" s="7" t="s">
        <v>966</v>
      </c>
      <c r="D476" s="7" t="s">
        <v>2107</v>
      </c>
      <c r="E476" s="7" t="s">
        <v>2108</v>
      </c>
      <c r="F476" s="7" t="s">
        <v>2112</v>
      </c>
    </row>
    <row r="477">
      <c r="A477" s="7" t="s">
        <v>600</v>
      </c>
      <c r="B477" s="8">
        <v>9.0</v>
      </c>
      <c r="C477" s="7" t="s">
        <v>966</v>
      </c>
      <c r="D477" s="7" t="s">
        <v>2107</v>
      </c>
      <c r="E477" s="7" t="s">
        <v>2108</v>
      </c>
      <c r="F477" s="7" t="s">
        <v>2113</v>
      </c>
    </row>
    <row r="478">
      <c r="A478" s="7" t="s">
        <v>870</v>
      </c>
      <c r="B478" s="8">
        <v>9.0</v>
      </c>
      <c r="C478" s="7" t="s">
        <v>966</v>
      </c>
      <c r="D478" s="7" t="s">
        <v>2107</v>
      </c>
      <c r="E478" s="7" t="s">
        <v>2108</v>
      </c>
      <c r="F478" s="7" t="s">
        <v>2110</v>
      </c>
    </row>
    <row r="479">
      <c r="A479" s="7" t="s">
        <v>1293</v>
      </c>
      <c r="B479" s="8">
        <v>9.0</v>
      </c>
      <c r="C479" s="7" t="s">
        <v>966</v>
      </c>
      <c r="D479" s="7" t="s">
        <v>2107</v>
      </c>
      <c r="E479" s="7" t="s">
        <v>2108</v>
      </c>
      <c r="F479" s="7" t="s">
        <v>2109</v>
      </c>
    </row>
    <row r="480">
      <c r="A480" s="7" t="s">
        <v>601</v>
      </c>
      <c r="B480" s="8">
        <v>9.0</v>
      </c>
      <c r="C480" s="7" t="s">
        <v>966</v>
      </c>
      <c r="D480" s="7" t="s">
        <v>2107</v>
      </c>
      <c r="E480" s="7" t="s">
        <v>2108</v>
      </c>
      <c r="F480" s="7" t="s">
        <v>2110</v>
      </c>
    </row>
    <row r="481">
      <c r="A481" s="7" t="s">
        <v>871</v>
      </c>
      <c r="B481" s="8">
        <v>9.0</v>
      </c>
      <c r="C481" s="7" t="s">
        <v>966</v>
      </c>
      <c r="D481" s="7" t="s">
        <v>2107</v>
      </c>
      <c r="E481" s="7" t="s">
        <v>2108</v>
      </c>
      <c r="F481" s="7" t="s">
        <v>2114</v>
      </c>
    </row>
    <row r="482">
      <c r="A482" s="7" t="s">
        <v>602</v>
      </c>
      <c r="B482" s="8">
        <v>9.0</v>
      </c>
      <c r="C482" s="7" t="s">
        <v>966</v>
      </c>
      <c r="D482" s="7" t="s">
        <v>2107</v>
      </c>
      <c r="E482" s="7" t="s">
        <v>2108</v>
      </c>
      <c r="F482" s="7" t="s">
        <v>2110</v>
      </c>
    </row>
    <row r="483">
      <c r="A483" s="7" t="s">
        <v>603</v>
      </c>
      <c r="B483" s="8">
        <v>9.0</v>
      </c>
      <c r="C483" s="7" t="s">
        <v>966</v>
      </c>
      <c r="D483" s="7" t="s">
        <v>2107</v>
      </c>
      <c r="E483" s="7" t="s">
        <v>2108</v>
      </c>
      <c r="F483" s="7" t="s">
        <v>2112</v>
      </c>
    </row>
    <row r="484">
      <c r="A484" s="7" t="s">
        <v>604</v>
      </c>
      <c r="B484" s="8">
        <v>9.0</v>
      </c>
      <c r="C484" s="7" t="s">
        <v>966</v>
      </c>
      <c r="D484" s="7" t="s">
        <v>2107</v>
      </c>
      <c r="E484" s="7" t="s">
        <v>2108</v>
      </c>
      <c r="F484" s="7" t="s">
        <v>2115</v>
      </c>
    </row>
    <row r="485">
      <c r="A485" s="7" t="s">
        <v>189</v>
      </c>
      <c r="B485" s="8">
        <v>9.0</v>
      </c>
      <c r="C485" s="7" t="s">
        <v>966</v>
      </c>
      <c r="D485" s="7" t="s">
        <v>2107</v>
      </c>
      <c r="E485" s="7" t="s">
        <v>2108</v>
      </c>
      <c r="F485" s="7" t="s">
        <v>2109</v>
      </c>
    </row>
    <row r="486">
      <c r="A486" s="7" t="s">
        <v>605</v>
      </c>
      <c r="B486" s="8">
        <v>9.0</v>
      </c>
      <c r="C486" s="7" t="s">
        <v>966</v>
      </c>
      <c r="D486" s="7" t="s">
        <v>2107</v>
      </c>
      <c r="E486" s="7" t="s">
        <v>2108</v>
      </c>
      <c r="F486" s="7" t="s">
        <v>2110</v>
      </c>
    </row>
    <row r="487">
      <c r="A487" s="7" t="s">
        <v>10</v>
      </c>
      <c r="B487" s="8">
        <v>9.0</v>
      </c>
      <c r="C487" s="7" t="s">
        <v>966</v>
      </c>
      <c r="D487" s="7" t="s">
        <v>2107</v>
      </c>
      <c r="E487" s="7" t="s">
        <v>2108</v>
      </c>
      <c r="F487" s="7" t="s">
        <v>2109</v>
      </c>
    </row>
    <row r="488">
      <c r="A488" s="7" t="s">
        <v>1988</v>
      </c>
      <c r="B488" s="8">
        <v>9.0</v>
      </c>
      <c r="C488" s="7" t="s">
        <v>966</v>
      </c>
      <c r="D488" s="7" t="s">
        <v>2107</v>
      </c>
      <c r="E488" s="7" t="s">
        <v>2108</v>
      </c>
      <c r="F488" s="7" t="s">
        <v>2109</v>
      </c>
    </row>
    <row r="489">
      <c r="A489" s="7" t="s">
        <v>872</v>
      </c>
      <c r="B489" s="8">
        <v>9.0</v>
      </c>
      <c r="C489" s="7" t="s">
        <v>966</v>
      </c>
      <c r="D489" s="7" t="s">
        <v>2107</v>
      </c>
      <c r="E489" s="7" t="s">
        <v>2108</v>
      </c>
      <c r="F489" s="7" t="s">
        <v>2116</v>
      </c>
    </row>
    <row r="490">
      <c r="A490" s="7" t="s">
        <v>606</v>
      </c>
      <c r="B490" s="8">
        <v>9.0</v>
      </c>
      <c r="C490" s="7" t="s">
        <v>966</v>
      </c>
      <c r="D490" s="7" t="s">
        <v>2107</v>
      </c>
      <c r="E490" s="7" t="s">
        <v>2108</v>
      </c>
      <c r="F490" s="7" t="s">
        <v>2110</v>
      </c>
    </row>
    <row r="491">
      <c r="A491" s="7" t="s">
        <v>11</v>
      </c>
      <c r="B491" s="8">
        <v>9.0</v>
      </c>
      <c r="C491" s="7" t="s">
        <v>966</v>
      </c>
      <c r="D491" s="7" t="s">
        <v>2107</v>
      </c>
      <c r="E491" s="7" t="s">
        <v>2108</v>
      </c>
      <c r="F491" s="7" t="s">
        <v>2110</v>
      </c>
    </row>
    <row r="492">
      <c r="A492" s="7" t="s">
        <v>607</v>
      </c>
      <c r="B492" s="8">
        <v>9.0</v>
      </c>
      <c r="C492" s="7" t="s">
        <v>966</v>
      </c>
      <c r="D492" s="7" t="s">
        <v>2107</v>
      </c>
      <c r="E492" s="7" t="s">
        <v>2108</v>
      </c>
      <c r="F492" s="7" t="s">
        <v>2109</v>
      </c>
    </row>
    <row r="493">
      <c r="A493" s="7" t="s">
        <v>874</v>
      </c>
      <c r="B493" s="8">
        <v>9.0</v>
      </c>
      <c r="C493" s="7" t="s">
        <v>966</v>
      </c>
      <c r="D493" s="7" t="s">
        <v>2107</v>
      </c>
      <c r="E493" s="7" t="s">
        <v>2108</v>
      </c>
      <c r="F493" s="7" t="s">
        <v>2109</v>
      </c>
    </row>
    <row r="494">
      <c r="A494" s="7" t="s">
        <v>608</v>
      </c>
      <c r="B494" s="8">
        <v>9.0</v>
      </c>
      <c r="C494" s="7" t="s">
        <v>966</v>
      </c>
      <c r="D494" s="7" t="s">
        <v>2107</v>
      </c>
      <c r="E494" s="7" t="s">
        <v>2108</v>
      </c>
      <c r="F494" s="7" t="s">
        <v>2109</v>
      </c>
    </row>
    <row r="495">
      <c r="A495" s="7" t="s">
        <v>875</v>
      </c>
      <c r="B495" s="8">
        <v>9.0</v>
      </c>
      <c r="C495" s="7" t="s">
        <v>966</v>
      </c>
      <c r="D495" s="7" t="s">
        <v>2107</v>
      </c>
      <c r="E495" s="7" t="s">
        <v>2108</v>
      </c>
      <c r="F495" s="7" t="s">
        <v>2109</v>
      </c>
    </row>
    <row r="496">
      <c r="A496" s="7" t="s">
        <v>14</v>
      </c>
      <c r="B496" s="8">
        <v>9.0</v>
      </c>
      <c r="C496" s="7" t="s">
        <v>966</v>
      </c>
      <c r="D496" s="7" t="s">
        <v>2107</v>
      </c>
      <c r="E496" s="7" t="s">
        <v>2108</v>
      </c>
      <c r="F496" s="7" t="s">
        <v>2109</v>
      </c>
    </row>
    <row r="497">
      <c r="A497" s="7" t="s">
        <v>1989</v>
      </c>
      <c r="B497" s="8">
        <v>9.0</v>
      </c>
      <c r="C497" s="7" t="s">
        <v>966</v>
      </c>
      <c r="D497" s="7" t="s">
        <v>2107</v>
      </c>
      <c r="E497" s="7" t="s">
        <v>2108</v>
      </c>
      <c r="F497" s="7" t="s">
        <v>2109</v>
      </c>
    </row>
    <row r="498">
      <c r="A498" s="7" t="s">
        <v>609</v>
      </c>
      <c r="B498" s="8">
        <v>9.0</v>
      </c>
      <c r="C498" s="7" t="s">
        <v>966</v>
      </c>
      <c r="D498" s="7" t="s">
        <v>2107</v>
      </c>
      <c r="E498" s="7" t="s">
        <v>2108</v>
      </c>
      <c r="F498" s="7" t="s">
        <v>2110</v>
      </c>
    </row>
    <row r="499">
      <c r="A499" s="7" t="s">
        <v>15</v>
      </c>
      <c r="B499" s="8">
        <v>9.0</v>
      </c>
      <c r="C499" s="7" t="s">
        <v>966</v>
      </c>
      <c r="D499" s="7" t="s">
        <v>2107</v>
      </c>
      <c r="E499" s="7" t="s">
        <v>2108</v>
      </c>
      <c r="F499" s="7" t="s">
        <v>2110</v>
      </c>
    </row>
    <row r="500">
      <c r="A500" s="7" t="s">
        <v>16</v>
      </c>
      <c r="B500" s="8">
        <v>9.0</v>
      </c>
      <c r="C500" s="7" t="s">
        <v>966</v>
      </c>
      <c r="D500" s="7" t="s">
        <v>2107</v>
      </c>
      <c r="E500" s="7" t="s">
        <v>2108</v>
      </c>
      <c r="F500" s="7" t="s">
        <v>2110</v>
      </c>
    </row>
    <row r="501">
      <c r="A501" s="7" t="s">
        <v>1990</v>
      </c>
      <c r="B501" s="8">
        <v>9.0</v>
      </c>
      <c r="C501" s="7" t="s">
        <v>966</v>
      </c>
      <c r="D501" s="7" t="s">
        <v>2107</v>
      </c>
      <c r="E501" s="7" t="s">
        <v>2108</v>
      </c>
      <c r="F501" s="7" t="s">
        <v>2109</v>
      </c>
    </row>
    <row r="502">
      <c r="A502" s="7" t="s">
        <v>611</v>
      </c>
      <c r="B502" s="8">
        <v>9.0</v>
      </c>
      <c r="C502" s="7" t="s">
        <v>966</v>
      </c>
      <c r="D502" s="7" t="s">
        <v>2107</v>
      </c>
      <c r="E502" s="7" t="s">
        <v>2108</v>
      </c>
      <c r="F502" s="7" t="s">
        <v>2117</v>
      </c>
    </row>
    <row r="503">
      <c r="A503" s="7" t="s">
        <v>612</v>
      </c>
      <c r="B503" s="8">
        <v>9.0</v>
      </c>
      <c r="C503" s="7" t="s">
        <v>966</v>
      </c>
      <c r="D503" s="7" t="s">
        <v>2107</v>
      </c>
      <c r="E503" s="7" t="s">
        <v>2108</v>
      </c>
      <c r="F503" s="7" t="s">
        <v>2110</v>
      </c>
    </row>
    <row r="504">
      <c r="A504" s="7" t="s">
        <v>18</v>
      </c>
      <c r="B504" s="8">
        <v>9.0</v>
      </c>
      <c r="C504" s="7" t="s">
        <v>966</v>
      </c>
      <c r="D504" s="7" t="s">
        <v>2107</v>
      </c>
      <c r="E504" s="7" t="s">
        <v>2108</v>
      </c>
      <c r="F504" s="7" t="s">
        <v>2110</v>
      </c>
    </row>
    <row r="505">
      <c r="A505" s="7" t="s">
        <v>19</v>
      </c>
      <c r="B505" s="8">
        <v>9.0</v>
      </c>
      <c r="C505" s="7" t="s">
        <v>966</v>
      </c>
      <c r="D505" s="7" t="s">
        <v>2107</v>
      </c>
      <c r="E505" s="7" t="s">
        <v>2108</v>
      </c>
      <c r="F505" s="7" t="s">
        <v>2110</v>
      </c>
    </row>
    <row r="506">
      <c r="A506" s="7" t="s">
        <v>1986</v>
      </c>
      <c r="B506" s="8">
        <v>9.0</v>
      </c>
      <c r="C506" s="7" t="s">
        <v>309</v>
      </c>
      <c r="D506" s="7" t="s">
        <v>2118</v>
      </c>
      <c r="E506" s="7" t="s">
        <v>1655</v>
      </c>
      <c r="F506" s="7" t="s">
        <v>271</v>
      </c>
    </row>
    <row r="507">
      <c r="A507" s="7" t="s">
        <v>188</v>
      </c>
      <c r="B507" s="8">
        <v>9.0</v>
      </c>
      <c r="C507" s="7" t="s">
        <v>309</v>
      </c>
      <c r="D507" s="7" t="s">
        <v>2118</v>
      </c>
      <c r="E507" s="7" t="s">
        <v>1655</v>
      </c>
      <c r="F507" s="7" t="s">
        <v>271</v>
      </c>
    </row>
    <row r="508">
      <c r="A508" s="7" t="s">
        <v>597</v>
      </c>
      <c r="B508" s="8">
        <v>9.0</v>
      </c>
      <c r="C508" s="7" t="s">
        <v>309</v>
      </c>
      <c r="D508" s="7" t="s">
        <v>2118</v>
      </c>
      <c r="E508" s="7" t="s">
        <v>1655</v>
      </c>
      <c r="F508" s="7" t="s">
        <v>523</v>
      </c>
    </row>
    <row r="509">
      <c r="A509" s="7" t="s">
        <v>386</v>
      </c>
      <c r="B509" s="8">
        <v>9.0</v>
      </c>
      <c r="C509" s="7" t="s">
        <v>309</v>
      </c>
      <c r="D509" s="7" t="s">
        <v>2118</v>
      </c>
      <c r="E509" s="7" t="s">
        <v>1655</v>
      </c>
      <c r="F509" s="7" t="s">
        <v>2119</v>
      </c>
    </row>
    <row r="510">
      <c r="A510" s="7" t="s">
        <v>598</v>
      </c>
      <c r="B510" s="8">
        <v>9.0</v>
      </c>
      <c r="C510" s="7" t="s">
        <v>309</v>
      </c>
      <c r="D510" s="7" t="s">
        <v>2118</v>
      </c>
      <c r="E510" s="7" t="s">
        <v>1655</v>
      </c>
      <c r="F510" s="7" t="s">
        <v>271</v>
      </c>
    </row>
    <row r="511">
      <c r="A511" s="7" t="s">
        <v>867</v>
      </c>
      <c r="B511" s="8">
        <v>9.0</v>
      </c>
      <c r="C511" s="7" t="s">
        <v>309</v>
      </c>
      <c r="D511" s="7" t="s">
        <v>2118</v>
      </c>
      <c r="E511" s="7" t="s">
        <v>1655</v>
      </c>
      <c r="F511" s="7" t="s">
        <v>523</v>
      </c>
    </row>
    <row r="512">
      <c r="A512" s="7" t="s">
        <v>1987</v>
      </c>
      <c r="B512" s="8">
        <v>9.0</v>
      </c>
      <c r="C512" s="7" t="s">
        <v>309</v>
      </c>
      <c r="D512" s="7" t="s">
        <v>2118</v>
      </c>
      <c r="E512" s="7" t="s">
        <v>1655</v>
      </c>
      <c r="F512" s="7" t="s">
        <v>271</v>
      </c>
    </row>
    <row r="513">
      <c r="A513" s="7" t="s">
        <v>868</v>
      </c>
      <c r="B513" s="8">
        <v>9.0</v>
      </c>
      <c r="C513" s="7" t="s">
        <v>309</v>
      </c>
      <c r="D513" s="7" t="s">
        <v>2118</v>
      </c>
      <c r="E513" s="7" t="s">
        <v>1655</v>
      </c>
      <c r="F513" s="7" t="s">
        <v>523</v>
      </c>
    </row>
    <row r="514">
      <c r="A514" s="7" t="s">
        <v>869</v>
      </c>
      <c r="B514" s="8">
        <v>9.0</v>
      </c>
      <c r="C514" s="7" t="s">
        <v>309</v>
      </c>
      <c r="D514" s="7" t="s">
        <v>2118</v>
      </c>
      <c r="E514" s="7" t="s">
        <v>1655</v>
      </c>
      <c r="F514" s="7" t="s">
        <v>523</v>
      </c>
    </row>
    <row r="515">
      <c r="A515" s="7" t="s">
        <v>600</v>
      </c>
      <c r="B515" s="8">
        <v>9.0</v>
      </c>
      <c r="C515" s="7" t="s">
        <v>309</v>
      </c>
      <c r="D515" s="7" t="s">
        <v>2118</v>
      </c>
      <c r="E515" s="7" t="s">
        <v>1655</v>
      </c>
      <c r="F515" s="7" t="s">
        <v>2120</v>
      </c>
    </row>
    <row r="516">
      <c r="A516" s="7" t="s">
        <v>870</v>
      </c>
      <c r="B516" s="8">
        <v>9.0</v>
      </c>
      <c r="C516" s="7" t="s">
        <v>309</v>
      </c>
      <c r="D516" s="7" t="s">
        <v>2118</v>
      </c>
      <c r="E516" s="7" t="s">
        <v>1655</v>
      </c>
      <c r="F516" s="7" t="s">
        <v>523</v>
      </c>
    </row>
    <row r="517">
      <c r="A517" s="7" t="s">
        <v>1293</v>
      </c>
      <c r="B517" s="8">
        <v>9.0</v>
      </c>
      <c r="C517" s="7" t="s">
        <v>309</v>
      </c>
      <c r="D517" s="7" t="s">
        <v>2118</v>
      </c>
      <c r="E517" s="7" t="s">
        <v>1655</v>
      </c>
      <c r="F517" s="7" t="s">
        <v>271</v>
      </c>
    </row>
    <row r="518">
      <c r="A518" s="7" t="s">
        <v>601</v>
      </c>
      <c r="B518" s="8">
        <v>9.0</v>
      </c>
      <c r="C518" s="7" t="s">
        <v>309</v>
      </c>
      <c r="D518" s="7" t="s">
        <v>2118</v>
      </c>
      <c r="E518" s="7" t="s">
        <v>1655</v>
      </c>
      <c r="F518" s="7" t="s">
        <v>523</v>
      </c>
    </row>
    <row r="519">
      <c r="A519" s="7" t="s">
        <v>602</v>
      </c>
      <c r="B519" s="8">
        <v>9.0</v>
      </c>
      <c r="C519" s="7" t="s">
        <v>309</v>
      </c>
      <c r="D519" s="7" t="s">
        <v>2118</v>
      </c>
      <c r="E519" s="7" t="s">
        <v>1655</v>
      </c>
      <c r="F519" s="7" t="s">
        <v>523</v>
      </c>
    </row>
    <row r="520">
      <c r="A520" s="7" t="s">
        <v>603</v>
      </c>
      <c r="B520" s="8">
        <v>9.0</v>
      </c>
      <c r="C520" s="7" t="s">
        <v>309</v>
      </c>
      <c r="D520" s="7" t="s">
        <v>2118</v>
      </c>
      <c r="E520" s="7" t="s">
        <v>1655</v>
      </c>
      <c r="F520" s="7" t="s">
        <v>523</v>
      </c>
    </row>
    <row r="521">
      <c r="A521" s="7" t="s">
        <v>604</v>
      </c>
      <c r="B521" s="8">
        <v>9.0</v>
      </c>
      <c r="C521" s="7" t="s">
        <v>309</v>
      </c>
      <c r="D521" s="7" t="s">
        <v>2118</v>
      </c>
      <c r="E521" s="7" t="s">
        <v>1655</v>
      </c>
      <c r="F521" s="7" t="s">
        <v>2121</v>
      </c>
    </row>
    <row r="522">
      <c r="A522" s="7" t="s">
        <v>189</v>
      </c>
      <c r="B522" s="8">
        <v>9.0</v>
      </c>
      <c r="C522" s="7" t="s">
        <v>309</v>
      </c>
      <c r="D522" s="7" t="s">
        <v>2118</v>
      </c>
      <c r="E522" s="7" t="s">
        <v>1655</v>
      </c>
      <c r="F522" s="7" t="s">
        <v>238</v>
      </c>
    </row>
    <row r="523">
      <c r="A523" s="7" t="s">
        <v>605</v>
      </c>
      <c r="B523" s="8">
        <v>9.0</v>
      </c>
      <c r="C523" s="7" t="s">
        <v>309</v>
      </c>
      <c r="D523" s="7" t="s">
        <v>2118</v>
      </c>
      <c r="E523" s="7" t="s">
        <v>1655</v>
      </c>
      <c r="F523" s="7" t="s">
        <v>238</v>
      </c>
    </row>
    <row r="524">
      <c r="A524" s="7" t="s">
        <v>10</v>
      </c>
      <c r="B524" s="8">
        <v>9.0</v>
      </c>
      <c r="C524" s="7" t="s">
        <v>309</v>
      </c>
      <c r="D524" s="7" t="s">
        <v>2118</v>
      </c>
      <c r="E524" s="7" t="s">
        <v>1655</v>
      </c>
      <c r="F524" s="7" t="s">
        <v>273</v>
      </c>
    </row>
    <row r="525">
      <c r="A525" s="7" t="s">
        <v>1988</v>
      </c>
      <c r="B525" s="8">
        <v>9.0</v>
      </c>
      <c r="C525" s="7" t="s">
        <v>309</v>
      </c>
      <c r="D525" s="7" t="s">
        <v>2118</v>
      </c>
      <c r="E525" s="7" t="s">
        <v>1655</v>
      </c>
      <c r="F525" s="7" t="s">
        <v>238</v>
      </c>
    </row>
    <row r="526">
      <c r="A526" s="7" t="s">
        <v>872</v>
      </c>
      <c r="B526" s="8">
        <v>9.0</v>
      </c>
      <c r="C526" s="7" t="s">
        <v>309</v>
      </c>
      <c r="D526" s="7" t="s">
        <v>2118</v>
      </c>
      <c r="E526" s="7" t="s">
        <v>1655</v>
      </c>
      <c r="F526" s="7" t="s">
        <v>273</v>
      </c>
    </row>
    <row r="527">
      <c r="A527" s="7" t="s">
        <v>606</v>
      </c>
      <c r="B527" s="8">
        <v>9.0</v>
      </c>
      <c r="C527" s="7" t="s">
        <v>309</v>
      </c>
      <c r="D527" s="7" t="s">
        <v>2118</v>
      </c>
      <c r="E527" s="7" t="s">
        <v>1655</v>
      </c>
      <c r="F527" s="7" t="s">
        <v>238</v>
      </c>
    </row>
    <row r="528">
      <c r="A528" s="7" t="s">
        <v>11</v>
      </c>
      <c r="B528" s="8">
        <v>9.0</v>
      </c>
      <c r="C528" s="7" t="s">
        <v>309</v>
      </c>
      <c r="D528" s="7" t="s">
        <v>2118</v>
      </c>
      <c r="E528" s="7" t="s">
        <v>1655</v>
      </c>
      <c r="F528" s="7" t="s">
        <v>238</v>
      </c>
    </row>
    <row r="529">
      <c r="A529" s="7" t="s">
        <v>607</v>
      </c>
      <c r="B529" s="8">
        <v>9.0</v>
      </c>
      <c r="C529" s="7" t="s">
        <v>309</v>
      </c>
      <c r="D529" s="7" t="s">
        <v>2118</v>
      </c>
      <c r="E529" s="7" t="s">
        <v>1655</v>
      </c>
      <c r="F529" s="7" t="s">
        <v>273</v>
      </c>
    </row>
    <row r="530">
      <c r="A530" s="7" t="s">
        <v>874</v>
      </c>
      <c r="B530" s="8">
        <v>9.0</v>
      </c>
      <c r="C530" s="7" t="s">
        <v>309</v>
      </c>
      <c r="D530" s="7" t="s">
        <v>2118</v>
      </c>
      <c r="E530" s="7" t="s">
        <v>1655</v>
      </c>
      <c r="F530" s="7" t="s">
        <v>238</v>
      </c>
    </row>
    <row r="531">
      <c r="A531" s="7" t="s">
        <v>608</v>
      </c>
      <c r="B531" s="8">
        <v>9.0</v>
      </c>
      <c r="C531" s="7" t="s">
        <v>309</v>
      </c>
      <c r="D531" s="7" t="s">
        <v>2118</v>
      </c>
      <c r="E531" s="7" t="s">
        <v>1655</v>
      </c>
      <c r="F531" s="7" t="s">
        <v>273</v>
      </c>
    </row>
    <row r="532">
      <c r="A532" s="7" t="s">
        <v>875</v>
      </c>
      <c r="B532" s="8">
        <v>9.0</v>
      </c>
      <c r="C532" s="7" t="s">
        <v>309</v>
      </c>
      <c r="D532" s="7" t="s">
        <v>2118</v>
      </c>
      <c r="E532" s="7" t="s">
        <v>1655</v>
      </c>
      <c r="F532" s="7" t="s">
        <v>273</v>
      </c>
    </row>
    <row r="533">
      <c r="A533" s="7" t="s">
        <v>14</v>
      </c>
      <c r="B533" s="8">
        <v>9.0</v>
      </c>
      <c r="C533" s="7" t="s">
        <v>309</v>
      </c>
      <c r="D533" s="7" t="s">
        <v>2118</v>
      </c>
      <c r="E533" s="7" t="s">
        <v>1655</v>
      </c>
      <c r="F533" s="7" t="s">
        <v>238</v>
      </c>
    </row>
    <row r="534">
      <c r="A534" s="7" t="s">
        <v>1989</v>
      </c>
      <c r="B534" s="8">
        <v>9.0</v>
      </c>
      <c r="C534" s="7" t="s">
        <v>309</v>
      </c>
      <c r="D534" s="7" t="s">
        <v>2118</v>
      </c>
      <c r="E534" s="7" t="s">
        <v>1655</v>
      </c>
      <c r="F534" s="7" t="s">
        <v>273</v>
      </c>
    </row>
    <row r="535">
      <c r="A535" s="7" t="s">
        <v>609</v>
      </c>
      <c r="B535" s="8">
        <v>9.0</v>
      </c>
      <c r="C535" s="7" t="s">
        <v>309</v>
      </c>
      <c r="D535" s="7" t="s">
        <v>2118</v>
      </c>
      <c r="E535" s="7" t="s">
        <v>1655</v>
      </c>
      <c r="F535" s="7" t="s">
        <v>238</v>
      </c>
    </row>
    <row r="536">
      <c r="A536" s="7" t="s">
        <v>15</v>
      </c>
      <c r="B536" s="8">
        <v>9.0</v>
      </c>
      <c r="C536" s="7" t="s">
        <v>309</v>
      </c>
      <c r="D536" s="7" t="s">
        <v>2118</v>
      </c>
      <c r="E536" s="7" t="s">
        <v>1655</v>
      </c>
      <c r="F536" s="7" t="s">
        <v>238</v>
      </c>
    </row>
    <row r="537">
      <c r="A537" s="7" t="s">
        <v>16</v>
      </c>
      <c r="B537" s="8">
        <v>9.0</v>
      </c>
      <c r="C537" s="7" t="s">
        <v>309</v>
      </c>
      <c r="D537" s="7" t="s">
        <v>2118</v>
      </c>
      <c r="E537" s="7" t="s">
        <v>1655</v>
      </c>
      <c r="F537" s="7" t="s">
        <v>238</v>
      </c>
    </row>
    <row r="538">
      <c r="A538" s="7" t="s">
        <v>1990</v>
      </c>
      <c r="B538" s="8">
        <v>9.0</v>
      </c>
      <c r="C538" s="7" t="s">
        <v>309</v>
      </c>
      <c r="D538" s="7" t="s">
        <v>2118</v>
      </c>
      <c r="E538" s="7" t="s">
        <v>1655</v>
      </c>
      <c r="F538" s="7" t="s">
        <v>238</v>
      </c>
    </row>
    <row r="539">
      <c r="A539" s="7" t="s">
        <v>611</v>
      </c>
      <c r="B539" s="8">
        <v>9.0</v>
      </c>
      <c r="C539" s="7" t="s">
        <v>309</v>
      </c>
      <c r="D539" s="7" t="s">
        <v>2118</v>
      </c>
      <c r="E539" s="7" t="s">
        <v>1655</v>
      </c>
      <c r="F539" s="7" t="s">
        <v>2122</v>
      </c>
    </row>
    <row r="540">
      <c r="A540" s="7" t="s">
        <v>612</v>
      </c>
      <c r="B540" s="8">
        <v>9.0</v>
      </c>
      <c r="C540" s="7" t="s">
        <v>309</v>
      </c>
      <c r="D540" s="7" t="s">
        <v>2118</v>
      </c>
      <c r="E540" s="7" t="s">
        <v>1655</v>
      </c>
      <c r="F540" s="7" t="s">
        <v>2123</v>
      </c>
    </row>
    <row r="541">
      <c r="A541" s="7" t="s">
        <v>18</v>
      </c>
      <c r="B541" s="8">
        <v>9.0</v>
      </c>
      <c r="C541" s="7" t="s">
        <v>309</v>
      </c>
      <c r="D541" s="7" t="s">
        <v>2118</v>
      </c>
      <c r="E541" s="7" t="s">
        <v>1655</v>
      </c>
      <c r="F541" s="7" t="s">
        <v>2123</v>
      </c>
    </row>
    <row r="542">
      <c r="A542" s="7" t="s">
        <v>19</v>
      </c>
      <c r="B542" s="8">
        <v>9.0</v>
      </c>
      <c r="C542" s="7" t="s">
        <v>309</v>
      </c>
      <c r="D542" s="7" t="s">
        <v>2118</v>
      </c>
      <c r="E542" s="7" t="s">
        <v>1655</v>
      </c>
      <c r="F542" s="7" t="s">
        <v>2123</v>
      </c>
    </row>
    <row r="543">
      <c r="A543" s="7" t="s">
        <v>1986</v>
      </c>
      <c r="B543" s="8">
        <v>9.0</v>
      </c>
      <c r="C543" s="7" t="s">
        <v>314</v>
      </c>
      <c r="D543" s="7" t="s">
        <v>2124</v>
      </c>
      <c r="E543" s="7" t="s">
        <v>2125</v>
      </c>
      <c r="F543" s="7" t="s">
        <v>2126</v>
      </c>
    </row>
    <row r="544">
      <c r="A544" s="7" t="s">
        <v>188</v>
      </c>
      <c r="B544" s="8">
        <v>9.0</v>
      </c>
      <c r="C544" s="7" t="s">
        <v>314</v>
      </c>
      <c r="D544" s="7" t="s">
        <v>2124</v>
      </c>
      <c r="E544" s="7" t="s">
        <v>2125</v>
      </c>
      <c r="F544" s="7" t="s">
        <v>2127</v>
      </c>
    </row>
    <row r="545">
      <c r="A545" s="7" t="s">
        <v>597</v>
      </c>
      <c r="B545" s="8">
        <v>9.0</v>
      </c>
      <c r="C545" s="7" t="s">
        <v>314</v>
      </c>
      <c r="D545" s="7" t="s">
        <v>2124</v>
      </c>
      <c r="E545" s="7" t="s">
        <v>2125</v>
      </c>
      <c r="F545" s="7" t="s">
        <v>1659</v>
      </c>
    </row>
    <row r="546">
      <c r="A546" s="7" t="s">
        <v>386</v>
      </c>
      <c r="B546" s="8">
        <v>9.0</v>
      </c>
      <c r="C546" s="7" t="s">
        <v>314</v>
      </c>
      <c r="D546" s="7" t="s">
        <v>2124</v>
      </c>
      <c r="E546" s="7" t="s">
        <v>2125</v>
      </c>
      <c r="F546" s="7" t="s">
        <v>277</v>
      </c>
    </row>
    <row r="547">
      <c r="A547" s="7" t="s">
        <v>598</v>
      </c>
      <c r="B547" s="8">
        <v>9.0</v>
      </c>
      <c r="C547" s="7" t="s">
        <v>314</v>
      </c>
      <c r="D547" s="7" t="s">
        <v>2124</v>
      </c>
      <c r="E547" s="7" t="s">
        <v>2125</v>
      </c>
      <c r="F547" s="7" t="s">
        <v>1659</v>
      </c>
    </row>
    <row r="548">
      <c r="A548" s="7" t="s">
        <v>867</v>
      </c>
      <c r="B548" s="8">
        <v>9.0</v>
      </c>
      <c r="C548" s="7" t="s">
        <v>314</v>
      </c>
      <c r="D548" s="7" t="s">
        <v>2124</v>
      </c>
      <c r="E548" s="7" t="s">
        <v>2125</v>
      </c>
      <c r="F548" s="7" t="s">
        <v>1659</v>
      </c>
    </row>
    <row r="549">
      <c r="A549" s="7" t="s">
        <v>1987</v>
      </c>
      <c r="B549" s="8">
        <v>9.0</v>
      </c>
      <c r="C549" s="7" t="s">
        <v>314</v>
      </c>
      <c r="D549" s="7" t="s">
        <v>2124</v>
      </c>
      <c r="E549" s="7" t="s">
        <v>2125</v>
      </c>
      <c r="F549" s="7" t="s">
        <v>2128</v>
      </c>
    </row>
    <row r="550">
      <c r="A550" s="7" t="s">
        <v>868</v>
      </c>
      <c r="B550" s="8">
        <v>9.0</v>
      </c>
      <c r="C550" s="7" t="s">
        <v>314</v>
      </c>
      <c r="D550" s="7" t="s">
        <v>2124</v>
      </c>
      <c r="E550" s="7" t="s">
        <v>2125</v>
      </c>
      <c r="F550" s="7" t="s">
        <v>2129</v>
      </c>
    </row>
    <row r="551">
      <c r="A551" s="7" t="s">
        <v>869</v>
      </c>
      <c r="B551" s="8">
        <v>9.0</v>
      </c>
      <c r="C551" s="7" t="s">
        <v>314</v>
      </c>
      <c r="D551" s="7" t="s">
        <v>2124</v>
      </c>
      <c r="E551" s="7" t="s">
        <v>2125</v>
      </c>
      <c r="F551" s="7" t="s">
        <v>2129</v>
      </c>
    </row>
    <row r="552">
      <c r="A552" s="7" t="s">
        <v>600</v>
      </c>
      <c r="B552" s="8">
        <v>9.0</v>
      </c>
      <c r="C552" s="7" t="s">
        <v>314</v>
      </c>
      <c r="D552" s="7" t="s">
        <v>2124</v>
      </c>
      <c r="E552" s="7" t="s">
        <v>2125</v>
      </c>
      <c r="F552" s="7" t="s">
        <v>2130</v>
      </c>
    </row>
    <row r="553">
      <c r="A553" s="7" t="s">
        <v>870</v>
      </c>
      <c r="B553" s="8">
        <v>9.0</v>
      </c>
      <c r="C553" s="7" t="s">
        <v>314</v>
      </c>
      <c r="D553" s="7" t="s">
        <v>2124</v>
      </c>
      <c r="E553" s="7" t="s">
        <v>2125</v>
      </c>
      <c r="F553" s="7" t="s">
        <v>1659</v>
      </c>
    </row>
    <row r="554">
      <c r="A554" s="7" t="s">
        <v>1293</v>
      </c>
      <c r="B554" s="8">
        <v>9.0</v>
      </c>
      <c r="C554" s="7" t="s">
        <v>314</v>
      </c>
      <c r="D554" s="7" t="s">
        <v>2124</v>
      </c>
      <c r="E554" s="7" t="s">
        <v>2125</v>
      </c>
      <c r="F554" s="7" t="s">
        <v>1659</v>
      </c>
    </row>
    <row r="555">
      <c r="A555" s="7" t="s">
        <v>601</v>
      </c>
      <c r="B555" s="8">
        <v>9.0</v>
      </c>
      <c r="C555" s="7" t="s">
        <v>314</v>
      </c>
      <c r="D555" s="7" t="s">
        <v>2124</v>
      </c>
      <c r="E555" s="7" t="s">
        <v>2125</v>
      </c>
      <c r="F555" s="7" t="s">
        <v>2131</v>
      </c>
    </row>
    <row r="556">
      <c r="A556" s="7" t="s">
        <v>871</v>
      </c>
      <c r="B556" s="8">
        <v>9.0</v>
      </c>
      <c r="C556" s="7" t="s">
        <v>314</v>
      </c>
      <c r="D556" s="7" t="s">
        <v>2124</v>
      </c>
      <c r="E556" s="7" t="s">
        <v>2125</v>
      </c>
      <c r="F556" s="7" t="s">
        <v>1096</v>
      </c>
    </row>
    <row r="557">
      <c r="A557" s="7" t="s">
        <v>602</v>
      </c>
      <c r="B557" s="8">
        <v>9.0</v>
      </c>
      <c r="C557" s="7" t="s">
        <v>314</v>
      </c>
      <c r="D557" s="7" t="s">
        <v>2124</v>
      </c>
      <c r="E557" s="7" t="s">
        <v>2125</v>
      </c>
      <c r="F557" s="7" t="s">
        <v>2132</v>
      </c>
    </row>
    <row r="558">
      <c r="A558" s="7" t="s">
        <v>603</v>
      </c>
      <c r="B558" s="8">
        <v>9.0</v>
      </c>
      <c r="C558" s="7" t="s">
        <v>314</v>
      </c>
      <c r="D558" s="7" t="s">
        <v>2124</v>
      </c>
      <c r="E558" s="7" t="s">
        <v>2125</v>
      </c>
      <c r="F558" s="7" t="s">
        <v>2133</v>
      </c>
    </row>
    <row r="559">
      <c r="A559" s="7" t="s">
        <v>604</v>
      </c>
      <c r="B559" s="8">
        <v>9.0</v>
      </c>
      <c r="C559" s="7" t="s">
        <v>314</v>
      </c>
      <c r="D559" s="7" t="s">
        <v>2124</v>
      </c>
      <c r="E559" s="7" t="s">
        <v>2125</v>
      </c>
      <c r="F559" s="7" t="s">
        <v>1450</v>
      </c>
    </row>
    <row r="560">
      <c r="A560" s="7" t="s">
        <v>189</v>
      </c>
      <c r="B560" s="8">
        <v>9.0</v>
      </c>
      <c r="C560" s="7" t="s">
        <v>314</v>
      </c>
      <c r="D560" s="7" t="s">
        <v>2124</v>
      </c>
      <c r="E560" s="7" t="s">
        <v>2125</v>
      </c>
      <c r="F560" s="7" t="s">
        <v>1096</v>
      </c>
    </row>
    <row r="561">
      <c r="A561" s="7" t="s">
        <v>605</v>
      </c>
      <c r="B561" s="8">
        <v>9.0</v>
      </c>
      <c r="C561" s="7" t="s">
        <v>314</v>
      </c>
      <c r="D561" s="7" t="s">
        <v>2124</v>
      </c>
      <c r="E561" s="7" t="s">
        <v>2125</v>
      </c>
      <c r="F561" s="7" t="s">
        <v>1664</v>
      </c>
    </row>
    <row r="562">
      <c r="A562" s="7" t="s">
        <v>10</v>
      </c>
      <c r="B562" s="8">
        <v>9.0</v>
      </c>
      <c r="C562" s="7" t="s">
        <v>314</v>
      </c>
      <c r="D562" s="7" t="s">
        <v>2124</v>
      </c>
      <c r="E562" s="7" t="s">
        <v>2125</v>
      </c>
      <c r="F562" s="7" t="s">
        <v>1096</v>
      </c>
    </row>
    <row r="563">
      <c r="A563" s="7" t="s">
        <v>1988</v>
      </c>
      <c r="B563" s="8">
        <v>9.0</v>
      </c>
      <c r="C563" s="7" t="s">
        <v>314</v>
      </c>
      <c r="D563" s="7" t="s">
        <v>2124</v>
      </c>
      <c r="E563" s="7" t="s">
        <v>2125</v>
      </c>
      <c r="F563" s="7" t="s">
        <v>2129</v>
      </c>
    </row>
    <row r="564">
      <c r="A564" s="7" t="s">
        <v>872</v>
      </c>
      <c r="B564" s="8">
        <v>9.0</v>
      </c>
      <c r="C564" s="7" t="s">
        <v>314</v>
      </c>
      <c r="D564" s="7" t="s">
        <v>2124</v>
      </c>
      <c r="E564" s="7" t="s">
        <v>2125</v>
      </c>
      <c r="F564" s="7" t="s">
        <v>2134</v>
      </c>
    </row>
    <row r="565">
      <c r="A565" s="7" t="s">
        <v>606</v>
      </c>
      <c r="B565" s="8">
        <v>9.0</v>
      </c>
      <c r="C565" s="7" t="s">
        <v>314</v>
      </c>
      <c r="D565" s="7" t="s">
        <v>2124</v>
      </c>
      <c r="E565" s="7" t="s">
        <v>2125</v>
      </c>
      <c r="F565" s="7" t="s">
        <v>2135</v>
      </c>
    </row>
    <row r="566">
      <c r="A566" s="7" t="s">
        <v>11</v>
      </c>
      <c r="B566" s="8">
        <v>9.0</v>
      </c>
      <c r="C566" s="7" t="s">
        <v>314</v>
      </c>
      <c r="D566" s="7" t="s">
        <v>2124</v>
      </c>
      <c r="E566" s="7" t="s">
        <v>2125</v>
      </c>
      <c r="F566" s="7" t="s">
        <v>2136</v>
      </c>
    </row>
    <row r="567">
      <c r="A567" s="7" t="s">
        <v>607</v>
      </c>
      <c r="B567" s="8">
        <v>9.0</v>
      </c>
      <c r="C567" s="7" t="s">
        <v>314</v>
      </c>
      <c r="D567" s="7" t="s">
        <v>2124</v>
      </c>
      <c r="E567" s="7" t="s">
        <v>2125</v>
      </c>
      <c r="F567" s="7" t="s">
        <v>787</v>
      </c>
    </row>
    <row r="568">
      <c r="A568" s="7" t="s">
        <v>874</v>
      </c>
      <c r="B568" s="8">
        <v>9.0</v>
      </c>
      <c r="C568" s="7" t="s">
        <v>314</v>
      </c>
      <c r="D568" s="7" t="s">
        <v>2124</v>
      </c>
      <c r="E568" s="7" t="s">
        <v>2125</v>
      </c>
      <c r="F568" s="7" t="s">
        <v>2137</v>
      </c>
    </row>
    <row r="569">
      <c r="A569" s="7" t="s">
        <v>608</v>
      </c>
      <c r="B569" s="8">
        <v>9.0</v>
      </c>
      <c r="C569" s="7" t="s">
        <v>314</v>
      </c>
      <c r="D569" s="7" t="s">
        <v>2124</v>
      </c>
      <c r="E569" s="7" t="s">
        <v>2125</v>
      </c>
      <c r="F569" s="7" t="s">
        <v>1664</v>
      </c>
    </row>
    <row r="570">
      <c r="A570" s="7" t="s">
        <v>875</v>
      </c>
      <c r="B570" s="8">
        <v>9.0</v>
      </c>
      <c r="C570" s="7" t="s">
        <v>314</v>
      </c>
      <c r="D570" s="7" t="s">
        <v>2124</v>
      </c>
      <c r="E570" s="7" t="s">
        <v>2125</v>
      </c>
      <c r="F570" s="7" t="s">
        <v>1664</v>
      </c>
    </row>
    <row r="571">
      <c r="A571" s="7" t="s">
        <v>14</v>
      </c>
      <c r="B571" s="8">
        <v>9.0</v>
      </c>
      <c r="C571" s="7" t="s">
        <v>314</v>
      </c>
      <c r="D571" s="7" t="s">
        <v>2124</v>
      </c>
      <c r="E571" s="7" t="s">
        <v>2125</v>
      </c>
      <c r="F571" s="7" t="s">
        <v>2128</v>
      </c>
    </row>
    <row r="572">
      <c r="A572" s="7" t="s">
        <v>1989</v>
      </c>
      <c r="B572" s="8">
        <v>9.0</v>
      </c>
      <c r="C572" s="7" t="s">
        <v>314</v>
      </c>
      <c r="D572" s="7" t="s">
        <v>2124</v>
      </c>
      <c r="E572" s="7" t="s">
        <v>2125</v>
      </c>
      <c r="F572" s="7" t="s">
        <v>2138</v>
      </c>
    </row>
    <row r="573">
      <c r="A573" s="7" t="s">
        <v>609</v>
      </c>
      <c r="B573" s="8">
        <v>9.0</v>
      </c>
      <c r="C573" s="7" t="s">
        <v>314</v>
      </c>
      <c r="D573" s="7" t="s">
        <v>2124</v>
      </c>
      <c r="E573" s="7" t="s">
        <v>2125</v>
      </c>
      <c r="F573" s="7" t="s">
        <v>1664</v>
      </c>
    </row>
    <row r="574">
      <c r="A574" s="7" t="s">
        <v>15</v>
      </c>
      <c r="B574" s="8">
        <v>9.0</v>
      </c>
      <c r="C574" s="7" t="s">
        <v>314</v>
      </c>
      <c r="D574" s="7" t="s">
        <v>2124</v>
      </c>
      <c r="E574" s="7" t="s">
        <v>2125</v>
      </c>
      <c r="F574" s="7" t="s">
        <v>1664</v>
      </c>
    </row>
    <row r="575">
      <c r="A575" s="7" t="s">
        <v>610</v>
      </c>
      <c r="B575" s="8">
        <v>9.0</v>
      </c>
      <c r="C575" s="7" t="s">
        <v>314</v>
      </c>
      <c r="D575" s="7" t="s">
        <v>2124</v>
      </c>
      <c r="E575" s="7" t="s">
        <v>2125</v>
      </c>
      <c r="F575" s="7" t="s">
        <v>1664</v>
      </c>
    </row>
    <row r="576">
      <c r="A576" s="7" t="s">
        <v>16</v>
      </c>
      <c r="B576" s="8">
        <v>9.0</v>
      </c>
      <c r="C576" s="7" t="s">
        <v>314</v>
      </c>
      <c r="D576" s="7" t="s">
        <v>2124</v>
      </c>
      <c r="E576" s="7" t="s">
        <v>2125</v>
      </c>
      <c r="F576" s="7" t="s">
        <v>1664</v>
      </c>
    </row>
    <row r="577">
      <c r="A577" s="7" t="s">
        <v>1990</v>
      </c>
      <c r="B577" s="8">
        <v>9.0</v>
      </c>
      <c r="C577" s="7" t="s">
        <v>314</v>
      </c>
      <c r="D577" s="7" t="s">
        <v>2124</v>
      </c>
      <c r="E577" s="7" t="s">
        <v>2125</v>
      </c>
      <c r="F577" s="7" t="s">
        <v>2137</v>
      </c>
    </row>
    <row r="578">
      <c r="A578" s="7" t="s">
        <v>611</v>
      </c>
      <c r="B578" s="8">
        <v>9.0</v>
      </c>
      <c r="C578" s="7" t="s">
        <v>314</v>
      </c>
      <c r="D578" s="7" t="s">
        <v>2124</v>
      </c>
      <c r="E578" s="7" t="s">
        <v>2125</v>
      </c>
      <c r="F578" s="7" t="s">
        <v>2139</v>
      </c>
    </row>
    <row r="579">
      <c r="A579" s="7" t="s">
        <v>612</v>
      </c>
      <c r="B579" s="8">
        <v>9.0</v>
      </c>
      <c r="C579" s="7" t="s">
        <v>314</v>
      </c>
      <c r="D579" s="7" t="s">
        <v>2124</v>
      </c>
      <c r="E579" s="7" t="s">
        <v>2125</v>
      </c>
      <c r="F579" s="7" t="s">
        <v>2140</v>
      </c>
    </row>
    <row r="580">
      <c r="A580" s="7" t="s">
        <v>18</v>
      </c>
      <c r="B580" s="8">
        <v>9.0</v>
      </c>
      <c r="C580" s="7" t="s">
        <v>314</v>
      </c>
      <c r="D580" s="7" t="s">
        <v>2124</v>
      </c>
      <c r="E580" s="7" t="s">
        <v>2125</v>
      </c>
      <c r="F580" s="7" t="s">
        <v>1664</v>
      </c>
    </row>
    <row r="581">
      <c r="A581" s="7" t="s">
        <v>19</v>
      </c>
      <c r="B581" s="8">
        <v>9.0</v>
      </c>
      <c r="C581" s="7" t="s">
        <v>314</v>
      </c>
      <c r="D581" s="7" t="s">
        <v>2124</v>
      </c>
      <c r="E581" s="7" t="s">
        <v>2125</v>
      </c>
      <c r="F581" s="7" t="s">
        <v>1664</v>
      </c>
    </row>
    <row r="582">
      <c r="A582" s="7" t="s">
        <v>1986</v>
      </c>
      <c r="B582" s="8">
        <v>9.0</v>
      </c>
      <c r="C582" s="7" t="s">
        <v>67</v>
      </c>
      <c r="D582" s="7" t="s">
        <v>2141</v>
      </c>
      <c r="E582" s="7" t="s">
        <v>2142</v>
      </c>
      <c r="F582" s="7" t="s">
        <v>65</v>
      </c>
    </row>
    <row r="583">
      <c r="A583" s="7" t="s">
        <v>188</v>
      </c>
      <c r="B583" s="8">
        <v>9.0</v>
      </c>
      <c r="C583" s="7" t="s">
        <v>67</v>
      </c>
      <c r="D583" s="7" t="s">
        <v>2141</v>
      </c>
      <c r="E583" s="7" t="s">
        <v>2142</v>
      </c>
      <c r="F583" s="7" t="s">
        <v>65</v>
      </c>
    </row>
    <row r="584">
      <c r="A584" s="7" t="s">
        <v>597</v>
      </c>
      <c r="B584" s="8">
        <v>9.0</v>
      </c>
      <c r="C584" s="7" t="s">
        <v>67</v>
      </c>
      <c r="D584" s="7" t="s">
        <v>2141</v>
      </c>
      <c r="E584" s="7" t="s">
        <v>2142</v>
      </c>
      <c r="F584" s="7" t="s">
        <v>65</v>
      </c>
    </row>
    <row r="585">
      <c r="A585" s="7" t="s">
        <v>386</v>
      </c>
      <c r="B585" s="8">
        <v>9.0</v>
      </c>
      <c r="C585" s="7" t="s">
        <v>67</v>
      </c>
      <c r="D585" s="7" t="s">
        <v>2141</v>
      </c>
      <c r="E585" s="7" t="s">
        <v>2142</v>
      </c>
      <c r="F585" s="7" t="s">
        <v>65</v>
      </c>
    </row>
    <row r="586">
      <c r="A586" s="7" t="s">
        <v>598</v>
      </c>
      <c r="B586" s="8">
        <v>9.0</v>
      </c>
      <c r="C586" s="7" t="s">
        <v>67</v>
      </c>
      <c r="D586" s="7" t="s">
        <v>2141</v>
      </c>
      <c r="E586" s="7" t="s">
        <v>2142</v>
      </c>
      <c r="F586" s="7" t="s">
        <v>65</v>
      </c>
    </row>
    <row r="587">
      <c r="A587" s="7" t="s">
        <v>867</v>
      </c>
      <c r="B587" s="8">
        <v>9.0</v>
      </c>
      <c r="C587" s="7" t="s">
        <v>67</v>
      </c>
      <c r="D587" s="7" t="s">
        <v>2141</v>
      </c>
      <c r="E587" s="7" t="s">
        <v>2142</v>
      </c>
      <c r="F587" s="7" t="s">
        <v>65</v>
      </c>
    </row>
    <row r="588">
      <c r="A588" s="7" t="s">
        <v>1987</v>
      </c>
      <c r="B588" s="8">
        <v>9.0</v>
      </c>
      <c r="C588" s="7" t="s">
        <v>67</v>
      </c>
      <c r="D588" s="7" t="s">
        <v>2141</v>
      </c>
      <c r="E588" s="7" t="s">
        <v>2142</v>
      </c>
      <c r="F588" s="7" t="s">
        <v>65</v>
      </c>
    </row>
    <row r="589">
      <c r="A589" s="7" t="s">
        <v>868</v>
      </c>
      <c r="B589" s="8">
        <v>9.0</v>
      </c>
      <c r="C589" s="7" t="s">
        <v>67</v>
      </c>
      <c r="D589" s="7" t="s">
        <v>2141</v>
      </c>
      <c r="E589" s="7" t="s">
        <v>2142</v>
      </c>
      <c r="F589" s="7" t="s">
        <v>65</v>
      </c>
    </row>
    <row r="590">
      <c r="A590" s="7" t="s">
        <v>869</v>
      </c>
      <c r="B590" s="8">
        <v>9.0</v>
      </c>
      <c r="C590" s="7" t="s">
        <v>67</v>
      </c>
      <c r="D590" s="7" t="s">
        <v>2141</v>
      </c>
      <c r="E590" s="7" t="s">
        <v>2142</v>
      </c>
      <c r="F590" s="7" t="s">
        <v>2143</v>
      </c>
    </row>
    <row r="591">
      <c r="A591" s="7" t="s">
        <v>600</v>
      </c>
      <c r="B591" s="8">
        <v>9.0</v>
      </c>
      <c r="C591" s="7" t="s">
        <v>67</v>
      </c>
      <c r="D591" s="7" t="s">
        <v>2141</v>
      </c>
      <c r="E591" s="7" t="s">
        <v>2142</v>
      </c>
      <c r="F591" s="7" t="s">
        <v>71</v>
      </c>
    </row>
    <row r="592">
      <c r="A592" s="7" t="s">
        <v>870</v>
      </c>
      <c r="B592" s="8">
        <v>9.0</v>
      </c>
      <c r="C592" s="7" t="s">
        <v>67</v>
      </c>
      <c r="D592" s="7" t="s">
        <v>2141</v>
      </c>
      <c r="E592" s="7" t="s">
        <v>2142</v>
      </c>
      <c r="F592" s="7" t="s">
        <v>65</v>
      </c>
    </row>
    <row r="593">
      <c r="A593" s="7" t="s">
        <v>1293</v>
      </c>
      <c r="B593" s="8">
        <v>9.0</v>
      </c>
      <c r="C593" s="7" t="s">
        <v>67</v>
      </c>
      <c r="D593" s="7" t="s">
        <v>2141</v>
      </c>
      <c r="E593" s="7" t="s">
        <v>2142</v>
      </c>
      <c r="F593" s="7" t="s">
        <v>65</v>
      </c>
    </row>
    <row r="594">
      <c r="A594" s="7" t="s">
        <v>601</v>
      </c>
      <c r="B594" s="8">
        <v>9.0</v>
      </c>
      <c r="C594" s="7" t="s">
        <v>67</v>
      </c>
      <c r="D594" s="7" t="s">
        <v>2141</v>
      </c>
      <c r="E594" s="7" t="s">
        <v>2142</v>
      </c>
      <c r="F594" s="7" t="s">
        <v>65</v>
      </c>
    </row>
    <row r="595">
      <c r="A595" s="7" t="s">
        <v>871</v>
      </c>
      <c r="B595" s="8">
        <v>9.0</v>
      </c>
      <c r="C595" s="7" t="s">
        <v>67</v>
      </c>
      <c r="D595" s="7" t="s">
        <v>2141</v>
      </c>
      <c r="E595" s="7" t="s">
        <v>2142</v>
      </c>
      <c r="F595" s="7" t="s">
        <v>2063</v>
      </c>
    </row>
    <row r="596">
      <c r="A596" s="7" t="s">
        <v>602</v>
      </c>
      <c r="B596" s="8">
        <v>9.0</v>
      </c>
      <c r="C596" s="7" t="s">
        <v>67</v>
      </c>
      <c r="D596" s="7" t="s">
        <v>2141</v>
      </c>
      <c r="E596" s="7" t="s">
        <v>2142</v>
      </c>
      <c r="F596" s="7" t="s">
        <v>65</v>
      </c>
    </row>
    <row r="597">
      <c r="A597" s="7" t="s">
        <v>603</v>
      </c>
      <c r="B597" s="8">
        <v>9.0</v>
      </c>
      <c r="C597" s="7" t="s">
        <v>67</v>
      </c>
      <c r="D597" s="7" t="s">
        <v>2141</v>
      </c>
      <c r="E597" s="7" t="s">
        <v>2142</v>
      </c>
      <c r="F597" s="7" t="s">
        <v>71</v>
      </c>
    </row>
    <row r="598">
      <c r="A598" s="7" t="s">
        <v>604</v>
      </c>
      <c r="B598" s="8">
        <v>9.0</v>
      </c>
      <c r="C598" s="7" t="s">
        <v>67</v>
      </c>
      <c r="D598" s="7" t="s">
        <v>2141</v>
      </c>
      <c r="E598" s="7" t="s">
        <v>2142</v>
      </c>
      <c r="F598" s="7" t="s">
        <v>65</v>
      </c>
    </row>
    <row r="599">
      <c r="A599" s="7" t="s">
        <v>189</v>
      </c>
      <c r="B599" s="8">
        <v>9.0</v>
      </c>
      <c r="C599" s="7" t="s">
        <v>67</v>
      </c>
      <c r="D599" s="7" t="s">
        <v>2141</v>
      </c>
      <c r="E599" s="7" t="s">
        <v>2142</v>
      </c>
      <c r="F599" s="7" t="s">
        <v>65</v>
      </c>
    </row>
    <row r="600">
      <c r="A600" s="7" t="s">
        <v>605</v>
      </c>
      <c r="B600" s="8">
        <v>9.0</v>
      </c>
      <c r="C600" s="7" t="s">
        <v>67</v>
      </c>
      <c r="D600" s="7" t="s">
        <v>2141</v>
      </c>
      <c r="E600" s="7" t="s">
        <v>2142</v>
      </c>
      <c r="F600" s="7" t="s">
        <v>65</v>
      </c>
    </row>
    <row r="601">
      <c r="A601" s="7" t="s">
        <v>10</v>
      </c>
      <c r="B601" s="8">
        <v>9.0</v>
      </c>
      <c r="C601" s="7" t="s">
        <v>67</v>
      </c>
      <c r="D601" s="7" t="s">
        <v>2141</v>
      </c>
      <c r="E601" s="7" t="s">
        <v>2142</v>
      </c>
      <c r="F601" s="7" t="s">
        <v>65</v>
      </c>
    </row>
    <row r="602">
      <c r="A602" s="7" t="s">
        <v>1988</v>
      </c>
      <c r="B602" s="8">
        <v>9.0</v>
      </c>
      <c r="C602" s="7" t="s">
        <v>67</v>
      </c>
      <c r="D602" s="7" t="s">
        <v>2141</v>
      </c>
      <c r="E602" s="7" t="s">
        <v>2142</v>
      </c>
      <c r="F602" s="7" t="s">
        <v>65</v>
      </c>
    </row>
    <row r="603">
      <c r="A603" s="7" t="s">
        <v>872</v>
      </c>
      <c r="B603" s="8">
        <v>9.0</v>
      </c>
      <c r="C603" s="7" t="s">
        <v>67</v>
      </c>
      <c r="D603" s="7" t="s">
        <v>2141</v>
      </c>
      <c r="E603" s="7" t="s">
        <v>2142</v>
      </c>
      <c r="F603" s="7" t="s">
        <v>71</v>
      </c>
    </row>
    <row r="604">
      <c r="A604" s="7" t="s">
        <v>606</v>
      </c>
      <c r="B604" s="8">
        <v>9.0</v>
      </c>
      <c r="C604" s="7" t="s">
        <v>67</v>
      </c>
      <c r="D604" s="7" t="s">
        <v>2141</v>
      </c>
      <c r="E604" s="7" t="s">
        <v>2142</v>
      </c>
      <c r="F604" s="7" t="s">
        <v>65</v>
      </c>
    </row>
    <row r="605">
      <c r="A605" s="7" t="s">
        <v>11</v>
      </c>
      <c r="B605" s="8">
        <v>9.0</v>
      </c>
      <c r="C605" s="7" t="s">
        <v>67</v>
      </c>
      <c r="D605" s="7" t="s">
        <v>2141</v>
      </c>
      <c r="E605" s="7" t="s">
        <v>2142</v>
      </c>
      <c r="F605" s="7" t="s">
        <v>65</v>
      </c>
    </row>
    <row r="606">
      <c r="A606" s="7" t="s">
        <v>607</v>
      </c>
      <c r="B606" s="8">
        <v>9.0</v>
      </c>
      <c r="C606" s="7" t="s">
        <v>67</v>
      </c>
      <c r="D606" s="7" t="s">
        <v>2141</v>
      </c>
      <c r="E606" s="7" t="s">
        <v>2142</v>
      </c>
      <c r="F606" s="7" t="s">
        <v>65</v>
      </c>
    </row>
    <row r="607">
      <c r="A607" s="7" t="s">
        <v>874</v>
      </c>
      <c r="B607" s="8">
        <v>9.0</v>
      </c>
      <c r="C607" s="7" t="s">
        <v>67</v>
      </c>
      <c r="D607" s="7" t="s">
        <v>2141</v>
      </c>
      <c r="E607" s="7" t="s">
        <v>2142</v>
      </c>
      <c r="F607" s="7" t="s">
        <v>65</v>
      </c>
    </row>
    <row r="608">
      <c r="A608" s="7" t="s">
        <v>608</v>
      </c>
      <c r="B608" s="8">
        <v>9.0</v>
      </c>
      <c r="C608" s="7" t="s">
        <v>67</v>
      </c>
      <c r="D608" s="7" t="s">
        <v>2141</v>
      </c>
      <c r="E608" s="7" t="s">
        <v>2142</v>
      </c>
      <c r="F608" s="7" t="s">
        <v>65</v>
      </c>
    </row>
    <row r="609">
      <c r="A609" s="7" t="s">
        <v>875</v>
      </c>
      <c r="B609" s="8">
        <v>9.0</v>
      </c>
      <c r="C609" s="7" t="s">
        <v>67</v>
      </c>
      <c r="D609" s="7" t="s">
        <v>2141</v>
      </c>
      <c r="E609" s="7" t="s">
        <v>2142</v>
      </c>
      <c r="F609" s="7" t="s">
        <v>65</v>
      </c>
    </row>
    <row r="610">
      <c r="A610" s="7" t="s">
        <v>14</v>
      </c>
      <c r="B610" s="8">
        <v>9.0</v>
      </c>
      <c r="C610" s="7" t="s">
        <v>67</v>
      </c>
      <c r="D610" s="7" t="s">
        <v>2141</v>
      </c>
      <c r="E610" s="7" t="s">
        <v>2142</v>
      </c>
      <c r="F610" s="7" t="s">
        <v>65</v>
      </c>
    </row>
    <row r="611">
      <c r="A611" s="7" t="s">
        <v>1989</v>
      </c>
      <c r="B611" s="8">
        <v>9.0</v>
      </c>
      <c r="C611" s="7" t="s">
        <v>67</v>
      </c>
      <c r="D611" s="7" t="s">
        <v>2141</v>
      </c>
      <c r="E611" s="7" t="s">
        <v>2142</v>
      </c>
      <c r="F611" s="7" t="s">
        <v>65</v>
      </c>
    </row>
    <row r="612">
      <c r="A612" s="7" t="s">
        <v>609</v>
      </c>
      <c r="B612" s="8">
        <v>9.0</v>
      </c>
      <c r="C612" s="7" t="s">
        <v>67</v>
      </c>
      <c r="D612" s="7" t="s">
        <v>2141</v>
      </c>
      <c r="E612" s="7" t="s">
        <v>2142</v>
      </c>
      <c r="F612" s="7" t="s">
        <v>65</v>
      </c>
    </row>
    <row r="613">
      <c r="A613" s="7" t="s">
        <v>15</v>
      </c>
      <c r="B613" s="8">
        <v>9.0</v>
      </c>
      <c r="C613" s="7" t="s">
        <v>67</v>
      </c>
      <c r="D613" s="7" t="s">
        <v>2141</v>
      </c>
      <c r="E613" s="7" t="s">
        <v>2142</v>
      </c>
      <c r="F613" s="7" t="s">
        <v>65</v>
      </c>
    </row>
    <row r="614">
      <c r="A614" s="7" t="s">
        <v>610</v>
      </c>
      <c r="B614" s="8">
        <v>9.0</v>
      </c>
      <c r="C614" s="7" t="s">
        <v>67</v>
      </c>
      <c r="D614" s="7" t="s">
        <v>2141</v>
      </c>
      <c r="E614" s="7" t="s">
        <v>2142</v>
      </c>
      <c r="F614" s="7" t="s">
        <v>65</v>
      </c>
    </row>
    <row r="615">
      <c r="A615" s="7" t="s">
        <v>16</v>
      </c>
      <c r="B615" s="8">
        <v>9.0</v>
      </c>
      <c r="C615" s="7" t="s">
        <v>67</v>
      </c>
      <c r="D615" s="7" t="s">
        <v>2141</v>
      </c>
      <c r="E615" s="7" t="s">
        <v>2142</v>
      </c>
      <c r="F615" s="7" t="s">
        <v>65</v>
      </c>
    </row>
    <row r="616">
      <c r="A616" s="7" t="s">
        <v>1990</v>
      </c>
      <c r="B616" s="8">
        <v>9.0</v>
      </c>
      <c r="C616" s="7" t="s">
        <v>67</v>
      </c>
      <c r="D616" s="7" t="s">
        <v>2141</v>
      </c>
      <c r="E616" s="7" t="s">
        <v>2142</v>
      </c>
      <c r="F616" s="7" t="s">
        <v>65</v>
      </c>
    </row>
    <row r="617">
      <c r="A617" s="7" t="s">
        <v>611</v>
      </c>
      <c r="B617" s="8">
        <v>9.0</v>
      </c>
      <c r="C617" s="7" t="s">
        <v>67</v>
      </c>
      <c r="D617" s="7" t="s">
        <v>2141</v>
      </c>
      <c r="E617" s="7" t="s">
        <v>2142</v>
      </c>
      <c r="F617" s="7" t="s">
        <v>65</v>
      </c>
    </row>
    <row r="618">
      <c r="A618" s="7" t="s">
        <v>612</v>
      </c>
      <c r="B618" s="8">
        <v>9.0</v>
      </c>
      <c r="C618" s="7" t="s">
        <v>67</v>
      </c>
      <c r="D618" s="7" t="s">
        <v>2141</v>
      </c>
      <c r="E618" s="7" t="s">
        <v>2142</v>
      </c>
      <c r="F618" s="7" t="s">
        <v>65</v>
      </c>
    </row>
    <row r="619">
      <c r="A619" s="7" t="s">
        <v>18</v>
      </c>
      <c r="B619" s="8">
        <v>9.0</v>
      </c>
      <c r="C619" s="7" t="s">
        <v>67</v>
      </c>
      <c r="D619" s="7" t="s">
        <v>2141</v>
      </c>
      <c r="E619" s="7" t="s">
        <v>2142</v>
      </c>
      <c r="F619" s="7" t="s">
        <v>65</v>
      </c>
    </row>
    <row r="620">
      <c r="A620" s="7" t="s">
        <v>19</v>
      </c>
      <c r="B620" s="8">
        <v>9.0</v>
      </c>
      <c r="C620" s="7" t="s">
        <v>67</v>
      </c>
      <c r="D620" s="7" t="s">
        <v>2141</v>
      </c>
      <c r="E620" s="7" t="s">
        <v>2142</v>
      </c>
      <c r="F620" s="7" t="s">
        <v>65</v>
      </c>
    </row>
    <row r="621">
      <c r="A621" s="7" t="s">
        <v>1986</v>
      </c>
      <c r="B621" s="8">
        <v>9.0</v>
      </c>
      <c r="C621" s="7" t="s">
        <v>72</v>
      </c>
      <c r="D621" s="7" t="s">
        <v>2144</v>
      </c>
      <c r="E621" s="7" t="s">
        <v>2145</v>
      </c>
      <c r="F621" s="7" t="s">
        <v>365</v>
      </c>
    </row>
    <row r="622">
      <c r="A622" s="7" t="s">
        <v>188</v>
      </c>
      <c r="B622" s="8">
        <v>9.0</v>
      </c>
      <c r="C622" s="7" t="s">
        <v>72</v>
      </c>
      <c r="D622" s="7" t="s">
        <v>2144</v>
      </c>
      <c r="E622" s="7" t="s">
        <v>2145</v>
      </c>
      <c r="F622" s="7" t="s">
        <v>365</v>
      </c>
    </row>
    <row r="623">
      <c r="A623" s="7" t="s">
        <v>597</v>
      </c>
      <c r="B623" s="8">
        <v>9.0</v>
      </c>
      <c r="C623" s="7" t="s">
        <v>72</v>
      </c>
      <c r="D623" s="7" t="s">
        <v>2144</v>
      </c>
      <c r="E623" s="7" t="s">
        <v>2145</v>
      </c>
      <c r="F623" s="7" t="s">
        <v>77</v>
      </c>
    </row>
    <row r="624">
      <c r="A624" s="7" t="s">
        <v>386</v>
      </c>
      <c r="B624" s="8">
        <v>9.0</v>
      </c>
      <c r="C624" s="7" t="s">
        <v>72</v>
      </c>
      <c r="D624" s="7" t="s">
        <v>2144</v>
      </c>
      <c r="E624" s="7" t="s">
        <v>2145</v>
      </c>
      <c r="F624" s="7" t="s">
        <v>2146</v>
      </c>
    </row>
    <row r="625">
      <c r="A625" s="7" t="s">
        <v>598</v>
      </c>
      <c r="B625" s="8">
        <v>9.0</v>
      </c>
      <c r="C625" s="7" t="s">
        <v>72</v>
      </c>
      <c r="D625" s="7" t="s">
        <v>2144</v>
      </c>
      <c r="E625" s="7" t="s">
        <v>2145</v>
      </c>
      <c r="F625" s="7" t="s">
        <v>365</v>
      </c>
    </row>
    <row r="626">
      <c r="A626" s="7" t="s">
        <v>867</v>
      </c>
      <c r="B626" s="8">
        <v>9.0</v>
      </c>
      <c r="C626" s="7" t="s">
        <v>72</v>
      </c>
      <c r="D626" s="7" t="s">
        <v>2144</v>
      </c>
      <c r="E626" s="7" t="s">
        <v>2145</v>
      </c>
      <c r="F626" s="7" t="s">
        <v>77</v>
      </c>
    </row>
    <row r="627">
      <c r="A627" s="7" t="s">
        <v>1987</v>
      </c>
      <c r="B627" s="8">
        <v>9.0</v>
      </c>
      <c r="C627" s="7" t="s">
        <v>72</v>
      </c>
      <c r="D627" s="7" t="s">
        <v>2144</v>
      </c>
      <c r="E627" s="7" t="s">
        <v>2145</v>
      </c>
      <c r="F627" s="7" t="s">
        <v>365</v>
      </c>
    </row>
    <row r="628">
      <c r="A628" s="7" t="s">
        <v>868</v>
      </c>
      <c r="B628" s="8">
        <v>9.0</v>
      </c>
      <c r="C628" s="7" t="s">
        <v>72</v>
      </c>
      <c r="D628" s="7" t="s">
        <v>2144</v>
      </c>
      <c r="E628" s="7" t="s">
        <v>2145</v>
      </c>
      <c r="F628" s="7" t="s">
        <v>365</v>
      </c>
    </row>
    <row r="629">
      <c r="A629" s="7" t="s">
        <v>869</v>
      </c>
      <c r="B629" s="8">
        <v>9.0</v>
      </c>
      <c r="C629" s="7" t="s">
        <v>72</v>
      </c>
      <c r="D629" s="7" t="s">
        <v>2144</v>
      </c>
      <c r="E629" s="7" t="s">
        <v>2145</v>
      </c>
      <c r="F629" s="7" t="s">
        <v>77</v>
      </c>
    </row>
    <row r="630">
      <c r="A630" s="7" t="s">
        <v>600</v>
      </c>
      <c r="B630" s="8">
        <v>9.0</v>
      </c>
      <c r="C630" s="7" t="s">
        <v>72</v>
      </c>
      <c r="D630" s="7" t="s">
        <v>2144</v>
      </c>
      <c r="E630" s="7" t="s">
        <v>2145</v>
      </c>
      <c r="F630" s="7" t="s">
        <v>2147</v>
      </c>
    </row>
    <row r="631">
      <c r="A631" s="7" t="s">
        <v>870</v>
      </c>
      <c r="B631" s="8">
        <v>9.0</v>
      </c>
      <c r="C631" s="7" t="s">
        <v>72</v>
      </c>
      <c r="D631" s="7" t="s">
        <v>2144</v>
      </c>
      <c r="E631" s="7" t="s">
        <v>2145</v>
      </c>
      <c r="F631" s="7" t="s">
        <v>365</v>
      </c>
    </row>
    <row r="632">
      <c r="A632" s="7" t="s">
        <v>1293</v>
      </c>
      <c r="B632" s="8">
        <v>9.0</v>
      </c>
      <c r="C632" s="7" t="s">
        <v>72</v>
      </c>
      <c r="D632" s="7" t="s">
        <v>2144</v>
      </c>
      <c r="E632" s="7" t="s">
        <v>2145</v>
      </c>
      <c r="F632" s="7" t="s">
        <v>365</v>
      </c>
    </row>
    <row r="633">
      <c r="A633" s="7" t="s">
        <v>601</v>
      </c>
      <c r="B633" s="8">
        <v>9.0</v>
      </c>
      <c r="C633" s="7" t="s">
        <v>72</v>
      </c>
      <c r="D633" s="7" t="s">
        <v>2144</v>
      </c>
      <c r="E633" s="7" t="s">
        <v>2145</v>
      </c>
      <c r="F633" s="7" t="s">
        <v>77</v>
      </c>
    </row>
    <row r="634">
      <c r="A634" s="7" t="s">
        <v>871</v>
      </c>
      <c r="B634" s="8">
        <v>9.0</v>
      </c>
      <c r="C634" s="7" t="s">
        <v>72</v>
      </c>
      <c r="D634" s="7" t="s">
        <v>2144</v>
      </c>
      <c r="E634" s="7" t="s">
        <v>2145</v>
      </c>
      <c r="F634" s="7" t="s">
        <v>2148</v>
      </c>
    </row>
    <row r="635">
      <c r="A635" s="7" t="s">
        <v>602</v>
      </c>
      <c r="B635" s="8">
        <v>9.0</v>
      </c>
      <c r="C635" s="7" t="s">
        <v>72</v>
      </c>
      <c r="D635" s="7" t="s">
        <v>2144</v>
      </c>
      <c r="E635" s="7" t="s">
        <v>2145</v>
      </c>
      <c r="F635" s="7" t="s">
        <v>77</v>
      </c>
    </row>
    <row r="636">
      <c r="A636" s="7" t="s">
        <v>603</v>
      </c>
      <c r="B636" s="8">
        <v>9.0</v>
      </c>
      <c r="C636" s="7" t="s">
        <v>72</v>
      </c>
      <c r="D636" s="7" t="s">
        <v>2144</v>
      </c>
      <c r="E636" s="7" t="s">
        <v>2145</v>
      </c>
      <c r="F636" s="7" t="s">
        <v>77</v>
      </c>
    </row>
    <row r="637">
      <c r="A637" s="7" t="s">
        <v>604</v>
      </c>
      <c r="B637" s="8">
        <v>9.0</v>
      </c>
      <c r="C637" s="7" t="s">
        <v>72</v>
      </c>
      <c r="D637" s="7" t="s">
        <v>2144</v>
      </c>
      <c r="E637" s="7" t="s">
        <v>2145</v>
      </c>
      <c r="F637" s="7" t="s">
        <v>2149</v>
      </c>
    </row>
    <row r="638">
      <c r="A638" s="7" t="s">
        <v>189</v>
      </c>
      <c r="B638" s="8">
        <v>9.0</v>
      </c>
      <c r="C638" s="7" t="s">
        <v>72</v>
      </c>
      <c r="D638" s="7" t="s">
        <v>2144</v>
      </c>
      <c r="E638" s="7" t="s">
        <v>2145</v>
      </c>
      <c r="F638" s="7" t="s">
        <v>76</v>
      </c>
    </row>
    <row r="639">
      <c r="A639" s="7" t="s">
        <v>605</v>
      </c>
      <c r="B639" s="8">
        <v>9.0</v>
      </c>
      <c r="C639" s="7" t="s">
        <v>72</v>
      </c>
      <c r="D639" s="7" t="s">
        <v>2144</v>
      </c>
      <c r="E639" s="7" t="s">
        <v>2145</v>
      </c>
      <c r="F639" s="7" t="s">
        <v>77</v>
      </c>
    </row>
    <row r="640">
      <c r="A640" s="7" t="s">
        <v>10</v>
      </c>
      <c r="B640" s="8">
        <v>9.0</v>
      </c>
      <c r="C640" s="7" t="s">
        <v>72</v>
      </c>
      <c r="D640" s="7" t="s">
        <v>2144</v>
      </c>
      <c r="E640" s="7" t="s">
        <v>2145</v>
      </c>
      <c r="F640" s="7" t="s">
        <v>76</v>
      </c>
    </row>
    <row r="641">
      <c r="A641" s="7" t="s">
        <v>1988</v>
      </c>
      <c r="B641" s="8">
        <v>9.0</v>
      </c>
      <c r="C641" s="7" t="s">
        <v>72</v>
      </c>
      <c r="D641" s="7" t="s">
        <v>2144</v>
      </c>
      <c r="E641" s="7" t="s">
        <v>2145</v>
      </c>
      <c r="F641" s="7" t="s">
        <v>76</v>
      </c>
    </row>
    <row r="642">
      <c r="A642" s="7" t="s">
        <v>872</v>
      </c>
      <c r="B642" s="8">
        <v>9.0</v>
      </c>
      <c r="C642" s="7" t="s">
        <v>72</v>
      </c>
      <c r="D642" s="7" t="s">
        <v>2144</v>
      </c>
      <c r="E642" s="7" t="s">
        <v>2145</v>
      </c>
      <c r="F642" s="7" t="s">
        <v>76</v>
      </c>
    </row>
    <row r="643">
      <c r="A643" s="7" t="s">
        <v>606</v>
      </c>
      <c r="B643" s="8">
        <v>9.0</v>
      </c>
      <c r="C643" s="7" t="s">
        <v>72</v>
      </c>
      <c r="D643" s="7" t="s">
        <v>2144</v>
      </c>
      <c r="E643" s="7" t="s">
        <v>2145</v>
      </c>
      <c r="F643" s="7" t="s">
        <v>77</v>
      </c>
    </row>
    <row r="644">
      <c r="A644" s="7" t="s">
        <v>11</v>
      </c>
      <c r="B644" s="8">
        <v>9.0</v>
      </c>
      <c r="C644" s="7" t="s">
        <v>72</v>
      </c>
      <c r="D644" s="7" t="s">
        <v>2144</v>
      </c>
      <c r="E644" s="7" t="s">
        <v>2145</v>
      </c>
      <c r="F644" s="7" t="s">
        <v>77</v>
      </c>
    </row>
    <row r="645">
      <c r="A645" s="7" t="s">
        <v>607</v>
      </c>
      <c r="B645" s="8">
        <v>9.0</v>
      </c>
      <c r="C645" s="7" t="s">
        <v>72</v>
      </c>
      <c r="D645" s="7" t="s">
        <v>2144</v>
      </c>
      <c r="E645" s="7" t="s">
        <v>2145</v>
      </c>
      <c r="F645" s="7" t="s">
        <v>76</v>
      </c>
    </row>
    <row r="646">
      <c r="A646" s="7" t="s">
        <v>874</v>
      </c>
      <c r="B646" s="8">
        <v>9.0</v>
      </c>
      <c r="C646" s="7" t="s">
        <v>72</v>
      </c>
      <c r="D646" s="7" t="s">
        <v>2144</v>
      </c>
      <c r="E646" s="7" t="s">
        <v>2145</v>
      </c>
      <c r="F646" s="7" t="s">
        <v>76</v>
      </c>
    </row>
    <row r="647">
      <c r="A647" s="7" t="s">
        <v>608</v>
      </c>
      <c r="B647" s="8">
        <v>9.0</v>
      </c>
      <c r="C647" s="7" t="s">
        <v>72</v>
      </c>
      <c r="D647" s="7" t="s">
        <v>2144</v>
      </c>
      <c r="E647" s="7" t="s">
        <v>2145</v>
      </c>
      <c r="F647" s="7" t="s">
        <v>76</v>
      </c>
    </row>
    <row r="648">
      <c r="A648" s="7" t="s">
        <v>875</v>
      </c>
      <c r="B648" s="8">
        <v>9.0</v>
      </c>
      <c r="C648" s="7" t="s">
        <v>72</v>
      </c>
      <c r="D648" s="7" t="s">
        <v>2144</v>
      </c>
      <c r="E648" s="7" t="s">
        <v>2145</v>
      </c>
      <c r="F648" s="7" t="s">
        <v>76</v>
      </c>
    </row>
    <row r="649">
      <c r="A649" s="7" t="s">
        <v>14</v>
      </c>
      <c r="B649" s="8">
        <v>9.0</v>
      </c>
      <c r="C649" s="7" t="s">
        <v>72</v>
      </c>
      <c r="D649" s="7" t="s">
        <v>2144</v>
      </c>
      <c r="E649" s="7" t="s">
        <v>2145</v>
      </c>
      <c r="F649" s="7" t="s">
        <v>76</v>
      </c>
    </row>
    <row r="650">
      <c r="A650" s="7" t="s">
        <v>1989</v>
      </c>
      <c r="B650" s="8">
        <v>9.0</v>
      </c>
      <c r="C650" s="7" t="s">
        <v>72</v>
      </c>
      <c r="D650" s="7" t="s">
        <v>2144</v>
      </c>
      <c r="E650" s="7" t="s">
        <v>2145</v>
      </c>
      <c r="F650" s="7" t="s">
        <v>76</v>
      </c>
    </row>
    <row r="651">
      <c r="A651" s="7" t="s">
        <v>609</v>
      </c>
      <c r="B651" s="8">
        <v>9.0</v>
      </c>
      <c r="C651" s="7" t="s">
        <v>72</v>
      </c>
      <c r="D651" s="7" t="s">
        <v>2144</v>
      </c>
      <c r="E651" s="7" t="s">
        <v>2145</v>
      </c>
      <c r="F651" s="7" t="s">
        <v>77</v>
      </c>
    </row>
    <row r="652">
      <c r="A652" s="7" t="s">
        <v>15</v>
      </c>
      <c r="B652" s="8">
        <v>9.0</v>
      </c>
      <c r="C652" s="7" t="s">
        <v>72</v>
      </c>
      <c r="D652" s="7" t="s">
        <v>2144</v>
      </c>
      <c r="E652" s="7" t="s">
        <v>2145</v>
      </c>
      <c r="F652" s="7" t="s">
        <v>77</v>
      </c>
    </row>
    <row r="653">
      <c r="A653" s="7" t="s">
        <v>16</v>
      </c>
      <c r="B653" s="8">
        <v>9.0</v>
      </c>
      <c r="C653" s="7" t="s">
        <v>72</v>
      </c>
      <c r="D653" s="7" t="s">
        <v>2144</v>
      </c>
      <c r="E653" s="7" t="s">
        <v>2145</v>
      </c>
      <c r="F653" s="7" t="s">
        <v>77</v>
      </c>
    </row>
    <row r="654">
      <c r="A654" s="7" t="s">
        <v>1990</v>
      </c>
      <c r="B654" s="8">
        <v>9.0</v>
      </c>
      <c r="C654" s="7" t="s">
        <v>72</v>
      </c>
      <c r="D654" s="7" t="s">
        <v>2144</v>
      </c>
      <c r="E654" s="7" t="s">
        <v>2145</v>
      </c>
      <c r="F654" s="7" t="s">
        <v>76</v>
      </c>
    </row>
    <row r="655">
      <c r="A655" s="7" t="s">
        <v>612</v>
      </c>
      <c r="B655" s="8">
        <v>9.0</v>
      </c>
      <c r="C655" s="7" t="s">
        <v>72</v>
      </c>
      <c r="D655" s="7" t="s">
        <v>2144</v>
      </c>
      <c r="E655" s="7" t="s">
        <v>2145</v>
      </c>
      <c r="F655" s="7" t="s">
        <v>77</v>
      </c>
    </row>
    <row r="656">
      <c r="A656" s="7" t="s">
        <v>18</v>
      </c>
      <c r="B656" s="8">
        <v>9.0</v>
      </c>
      <c r="C656" s="7" t="s">
        <v>72</v>
      </c>
      <c r="D656" s="7" t="s">
        <v>2144</v>
      </c>
      <c r="E656" s="7" t="s">
        <v>2145</v>
      </c>
      <c r="F656" s="7" t="s">
        <v>77</v>
      </c>
    </row>
    <row r="657">
      <c r="A657" s="7" t="s">
        <v>19</v>
      </c>
      <c r="B657" s="8">
        <v>9.0</v>
      </c>
      <c r="C657" s="7" t="s">
        <v>72</v>
      </c>
      <c r="D657" s="7" t="s">
        <v>2144</v>
      </c>
      <c r="E657" s="7" t="s">
        <v>2145</v>
      </c>
      <c r="F657" s="7" t="s">
        <v>77</v>
      </c>
    </row>
    <row r="658">
      <c r="A658" s="7" t="s">
        <v>1986</v>
      </c>
      <c r="B658" s="8">
        <v>9.0</v>
      </c>
      <c r="C658" s="7" t="s">
        <v>78</v>
      </c>
      <c r="D658" s="7" t="s">
        <v>2150</v>
      </c>
      <c r="E658" s="7" t="s">
        <v>2151</v>
      </c>
      <c r="F658" s="7" t="s">
        <v>2152</v>
      </c>
    </row>
    <row r="659">
      <c r="A659" s="7" t="s">
        <v>188</v>
      </c>
      <c r="B659" s="8">
        <v>9.0</v>
      </c>
      <c r="C659" s="7" t="s">
        <v>78</v>
      </c>
      <c r="D659" s="7" t="s">
        <v>2150</v>
      </c>
      <c r="E659" s="7" t="s">
        <v>2151</v>
      </c>
      <c r="F659" s="7" t="s">
        <v>243</v>
      </c>
    </row>
    <row r="660">
      <c r="A660" s="7" t="s">
        <v>597</v>
      </c>
      <c r="B660" s="8">
        <v>9.0</v>
      </c>
      <c r="C660" s="7" t="s">
        <v>78</v>
      </c>
      <c r="D660" s="7" t="s">
        <v>2150</v>
      </c>
      <c r="E660" s="7" t="s">
        <v>2151</v>
      </c>
      <c r="F660" s="7" t="s">
        <v>2153</v>
      </c>
    </row>
    <row r="661">
      <c r="A661" s="7" t="s">
        <v>386</v>
      </c>
      <c r="B661" s="8">
        <v>9.0</v>
      </c>
      <c r="C661" s="7" t="s">
        <v>78</v>
      </c>
      <c r="D661" s="7" t="s">
        <v>2150</v>
      </c>
      <c r="E661" s="7" t="s">
        <v>2151</v>
      </c>
      <c r="F661" s="7" t="s">
        <v>988</v>
      </c>
    </row>
    <row r="662">
      <c r="A662" s="7" t="s">
        <v>598</v>
      </c>
      <c r="B662" s="8">
        <v>9.0</v>
      </c>
      <c r="C662" s="7" t="s">
        <v>78</v>
      </c>
      <c r="D662" s="7" t="s">
        <v>2150</v>
      </c>
      <c r="E662" s="7" t="s">
        <v>2151</v>
      </c>
      <c r="F662" s="7" t="s">
        <v>2154</v>
      </c>
    </row>
    <row r="663">
      <c r="A663" s="7" t="s">
        <v>867</v>
      </c>
      <c r="B663" s="8">
        <v>9.0</v>
      </c>
      <c r="C663" s="7" t="s">
        <v>78</v>
      </c>
      <c r="D663" s="7" t="s">
        <v>2150</v>
      </c>
      <c r="E663" s="7" t="s">
        <v>2151</v>
      </c>
      <c r="F663" s="7" t="s">
        <v>989</v>
      </c>
    </row>
    <row r="664">
      <c r="A664" s="7" t="s">
        <v>1987</v>
      </c>
      <c r="B664" s="8">
        <v>9.0</v>
      </c>
      <c r="C664" s="7" t="s">
        <v>78</v>
      </c>
      <c r="D664" s="7" t="s">
        <v>2150</v>
      </c>
      <c r="E664" s="7" t="s">
        <v>2151</v>
      </c>
      <c r="F664" s="7" t="s">
        <v>988</v>
      </c>
    </row>
    <row r="665">
      <c r="A665" s="7" t="s">
        <v>868</v>
      </c>
      <c r="B665" s="8">
        <v>9.0</v>
      </c>
      <c r="C665" s="7" t="s">
        <v>78</v>
      </c>
      <c r="D665" s="7" t="s">
        <v>2150</v>
      </c>
      <c r="E665" s="7" t="s">
        <v>2151</v>
      </c>
      <c r="F665" s="7" t="s">
        <v>988</v>
      </c>
    </row>
    <row r="666">
      <c r="A666" s="7" t="s">
        <v>869</v>
      </c>
      <c r="B666" s="8">
        <v>9.0</v>
      </c>
      <c r="C666" s="7" t="s">
        <v>78</v>
      </c>
      <c r="D666" s="7" t="s">
        <v>2150</v>
      </c>
      <c r="E666" s="7" t="s">
        <v>2151</v>
      </c>
      <c r="F666" s="7" t="s">
        <v>990</v>
      </c>
    </row>
    <row r="667">
      <c r="A667" s="7" t="s">
        <v>600</v>
      </c>
      <c r="B667" s="8">
        <v>9.0</v>
      </c>
      <c r="C667" s="7" t="s">
        <v>78</v>
      </c>
      <c r="D667" s="7" t="s">
        <v>2150</v>
      </c>
      <c r="E667" s="7" t="s">
        <v>2151</v>
      </c>
      <c r="F667" s="7" t="s">
        <v>2155</v>
      </c>
    </row>
    <row r="668">
      <c r="A668" s="7" t="s">
        <v>870</v>
      </c>
      <c r="B668" s="8">
        <v>9.0</v>
      </c>
      <c r="C668" s="7" t="s">
        <v>78</v>
      </c>
      <c r="D668" s="7" t="s">
        <v>2150</v>
      </c>
      <c r="E668" s="7" t="s">
        <v>2151</v>
      </c>
      <c r="F668" s="7" t="s">
        <v>2156</v>
      </c>
    </row>
    <row r="669">
      <c r="A669" s="7" t="s">
        <v>1293</v>
      </c>
      <c r="B669" s="8">
        <v>9.0</v>
      </c>
      <c r="C669" s="7" t="s">
        <v>78</v>
      </c>
      <c r="D669" s="7" t="s">
        <v>2150</v>
      </c>
      <c r="E669" s="7" t="s">
        <v>2151</v>
      </c>
      <c r="F669" s="7" t="s">
        <v>992</v>
      </c>
    </row>
    <row r="670">
      <c r="A670" s="7" t="s">
        <v>601</v>
      </c>
      <c r="B670" s="8">
        <v>9.0</v>
      </c>
      <c r="C670" s="7" t="s">
        <v>78</v>
      </c>
      <c r="D670" s="7" t="s">
        <v>2150</v>
      </c>
      <c r="E670" s="7" t="s">
        <v>2151</v>
      </c>
      <c r="F670" s="7" t="s">
        <v>2157</v>
      </c>
    </row>
    <row r="671">
      <c r="A671" s="7" t="s">
        <v>602</v>
      </c>
      <c r="B671" s="8">
        <v>9.0</v>
      </c>
      <c r="C671" s="7" t="s">
        <v>78</v>
      </c>
      <c r="D671" s="7" t="s">
        <v>2150</v>
      </c>
      <c r="E671" s="7" t="s">
        <v>2151</v>
      </c>
      <c r="F671" s="7" t="s">
        <v>1682</v>
      </c>
    </row>
    <row r="672">
      <c r="A672" s="7" t="s">
        <v>603</v>
      </c>
      <c r="B672" s="8">
        <v>9.0</v>
      </c>
      <c r="C672" s="7" t="s">
        <v>78</v>
      </c>
      <c r="D672" s="7" t="s">
        <v>2150</v>
      </c>
      <c r="E672" s="7" t="s">
        <v>2151</v>
      </c>
      <c r="F672" s="7" t="s">
        <v>1339</v>
      </c>
    </row>
    <row r="673">
      <c r="A673" s="7" t="s">
        <v>604</v>
      </c>
      <c r="B673" s="8">
        <v>9.0</v>
      </c>
      <c r="C673" s="7" t="s">
        <v>78</v>
      </c>
      <c r="D673" s="7" t="s">
        <v>2150</v>
      </c>
      <c r="E673" s="7" t="s">
        <v>2151</v>
      </c>
      <c r="F673" s="7" t="s">
        <v>2158</v>
      </c>
    </row>
    <row r="674">
      <c r="A674" s="7" t="s">
        <v>189</v>
      </c>
      <c r="B674" s="8">
        <v>9.0</v>
      </c>
      <c r="C674" s="7" t="s">
        <v>78</v>
      </c>
      <c r="D674" s="7" t="s">
        <v>2150</v>
      </c>
      <c r="E674" s="7" t="s">
        <v>2151</v>
      </c>
      <c r="F674" s="7" t="s">
        <v>2159</v>
      </c>
    </row>
    <row r="675">
      <c r="A675" s="7" t="s">
        <v>605</v>
      </c>
      <c r="B675" s="8">
        <v>9.0</v>
      </c>
      <c r="C675" s="7" t="s">
        <v>78</v>
      </c>
      <c r="D675" s="7" t="s">
        <v>2150</v>
      </c>
      <c r="E675" s="7" t="s">
        <v>2151</v>
      </c>
      <c r="F675" s="7" t="s">
        <v>1340</v>
      </c>
    </row>
    <row r="676">
      <c r="A676" s="7" t="s">
        <v>10</v>
      </c>
      <c r="B676" s="8">
        <v>9.0</v>
      </c>
      <c r="C676" s="7" t="s">
        <v>78</v>
      </c>
      <c r="D676" s="7" t="s">
        <v>2150</v>
      </c>
      <c r="E676" s="7" t="s">
        <v>2151</v>
      </c>
      <c r="F676" s="7" t="s">
        <v>81</v>
      </c>
    </row>
    <row r="677">
      <c r="A677" s="7" t="s">
        <v>1988</v>
      </c>
      <c r="B677" s="8">
        <v>9.0</v>
      </c>
      <c r="C677" s="7" t="s">
        <v>78</v>
      </c>
      <c r="D677" s="7" t="s">
        <v>2150</v>
      </c>
      <c r="E677" s="7" t="s">
        <v>2151</v>
      </c>
      <c r="F677" s="7" t="s">
        <v>81</v>
      </c>
    </row>
    <row r="678">
      <c r="A678" s="7" t="s">
        <v>872</v>
      </c>
      <c r="B678" s="8">
        <v>9.0</v>
      </c>
      <c r="C678" s="7" t="s">
        <v>78</v>
      </c>
      <c r="D678" s="7" t="s">
        <v>2150</v>
      </c>
      <c r="E678" s="7" t="s">
        <v>2151</v>
      </c>
      <c r="F678" s="7" t="s">
        <v>2160</v>
      </c>
    </row>
    <row r="679">
      <c r="A679" s="7" t="s">
        <v>606</v>
      </c>
      <c r="B679" s="8">
        <v>9.0</v>
      </c>
      <c r="C679" s="7" t="s">
        <v>78</v>
      </c>
      <c r="D679" s="7" t="s">
        <v>2150</v>
      </c>
      <c r="E679" s="7" t="s">
        <v>2151</v>
      </c>
      <c r="F679" s="7" t="s">
        <v>1684</v>
      </c>
    </row>
    <row r="680">
      <c r="A680" s="7" t="s">
        <v>11</v>
      </c>
      <c r="B680" s="8">
        <v>9.0</v>
      </c>
      <c r="C680" s="7" t="s">
        <v>78</v>
      </c>
      <c r="D680" s="7" t="s">
        <v>2150</v>
      </c>
      <c r="E680" s="7" t="s">
        <v>2151</v>
      </c>
      <c r="F680" s="7" t="s">
        <v>1341</v>
      </c>
    </row>
    <row r="681">
      <c r="A681" s="7" t="s">
        <v>607</v>
      </c>
      <c r="B681" s="8">
        <v>9.0</v>
      </c>
      <c r="C681" s="7" t="s">
        <v>78</v>
      </c>
      <c r="D681" s="7" t="s">
        <v>2150</v>
      </c>
      <c r="E681" s="7" t="s">
        <v>2151</v>
      </c>
      <c r="F681" s="7" t="s">
        <v>1685</v>
      </c>
    </row>
    <row r="682">
      <c r="A682" s="7" t="s">
        <v>874</v>
      </c>
      <c r="B682" s="8">
        <v>9.0</v>
      </c>
      <c r="C682" s="7" t="s">
        <v>78</v>
      </c>
      <c r="D682" s="7" t="s">
        <v>2150</v>
      </c>
      <c r="E682" s="7" t="s">
        <v>2151</v>
      </c>
      <c r="F682" s="7" t="s">
        <v>81</v>
      </c>
    </row>
    <row r="683">
      <c r="A683" s="7" t="s">
        <v>608</v>
      </c>
      <c r="B683" s="8">
        <v>9.0</v>
      </c>
      <c r="C683" s="7" t="s">
        <v>78</v>
      </c>
      <c r="D683" s="7" t="s">
        <v>2150</v>
      </c>
      <c r="E683" s="7" t="s">
        <v>2151</v>
      </c>
      <c r="F683" s="7" t="s">
        <v>2161</v>
      </c>
    </row>
    <row r="684">
      <c r="A684" s="7" t="s">
        <v>875</v>
      </c>
      <c r="B684" s="8">
        <v>9.0</v>
      </c>
      <c r="C684" s="7" t="s">
        <v>78</v>
      </c>
      <c r="D684" s="7" t="s">
        <v>2150</v>
      </c>
      <c r="E684" s="7" t="s">
        <v>2151</v>
      </c>
      <c r="F684" s="7" t="s">
        <v>2162</v>
      </c>
    </row>
    <row r="685">
      <c r="A685" s="7" t="s">
        <v>14</v>
      </c>
      <c r="B685" s="8">
        <v>9.0</v>
      </c>
      <c r="C685" s="7" t="s">
        <v>78</v>
      </c>
      <c r="D685" s="7" t="s">
        <v>2150</v>
      </c>
      <c r="E685" s="7" t="s">
        <v>2151</v>
      </c>
      <c r="F685" s="7" t="s">
        <v>2163</v>
      </c>
    </row>
    <row r="686">
      <c r="A686" s="7" t="s">
        <v>1989</v>
      </c>
      <c r="B686" s="8">
        <v>9.0</v>
      </c>
      <c r="C686" s="7" t="s">
        <v>78</v>
      </c>
      <c r="D686" s="7" t="s">
        <v>2150</v>
      </c>
      <c r="E686" s="7" t="s">
        <v>2151</v>
      </c>
      <c r="F686" s="7" t="s">
        <v>2164</v>
      </c>
    </row>
    <row r="687">
      <c r="A687" s="7" t="s">
        <v>609</v>
      </c>
      <c r="B687" s="8">
        <v>9.0</v>
      </c>
      <c r="C687" s="7" t="s">
        <v>78</v>
      </c>
      <c r="D687" s="7" t="s">
        <v>2150</v>
      </c>
      <c r="E687" s="7" t="s">
        <v>2151</v>
      </c>
      <c r="F687" s="7" t="s">
        <v>2162</v>
      </c>
    </row>
    <row r="688">
      <c r="A688" s="7" t="s">
        <v>15</v>
      </c>
      <c r="B688" s="8">
        <v>9.0</v>
      </c>
      <c r="C688" s="7" t="s">
        <v>78</v>
      </c>
      <c r="D688" s="7" t="s">
        <v>2150</v>
      </c>
      <c r="E688" s="7" t="s">
        <v>2151</v>
      </c>
      <c r="F688" s="7" t="s">
        <v>2165</v>
      </c>
    </row>
    <row r="689">
      <c r="A689" s="7" t="s">
        <v>610</v>
      </c>
      <c r="B689" s="8">
        <v>9.0</v>
      </c>
      <c r="C689" s="7" t="s">
        <v>78</v>
      </c>
      <c r="D689" s="7" t="s">
        <v>2150</v>
      </c>
      <c r="E689" s="7" t="s">
        <v>2151</v>
      </c>
      <c r="F689" s="7" t="s">
        <v>2166</v>
      </c>
    </row>
    <row r="690">
      <c r="A690" s="7" t="s">
        <v>16</v>
      </c>
      <c r="B690" s="8">
        <v>9.0</v>
      </c>
      <c r="C690" s="7" t="s">
        <v>78</v>
      </c>
      <c r="D690" s="7" t="s">
        <v>2150</v>
      </c>
      <c r="E690" s="7" t="s">
        <v>2151</v>
      </c>
      <c r="F690" s="7" t="s">
        <v>2162</v>
      </c>
    </row>
    <row r="691">
      <c r="A691" s="7" t="s">
        <v>1990</v>
      </c>
      <c r="B691" s="8">
        <v>9.0</v>
      </c>
      <c r="C691" s="7" t="s">
        <v>78</v>
      </c>
      <c r="D691" s="7" t="s">
        <v>2150</v>
      </c>
      <c r="E691" s="7" t="s">
        <v>2151</v>
      </c>
      <c r="F691" s="7" t="s">
        <v>1338</v>
      </c>
    </row>
    <row r="692">
      <c r="A692" s="7" t="s">
        <v>611</v>
      </c>
      <c r="B692" s="8">
        <v>9.0</v>
      </c>
      <c r="C692" s="7" t="s">
        <v>78</v>
      </c>
      <c r="D692" s="7" t="s">
        <v>2150</v>
      </c>
      <c r="E692" s="7" t="s">
        <v>2151</v>
      </c>
      <c r="F692" s="7" t="s">
        <v>1345</v>
      </c>
    </row>
    <row r="693">
      <c r="A693" s="7" t="s">
        <v>612</v>
      </c>
      <c r="B693" s="8">
        <v>9.0</v>
      </c>
      <c r="C693" s="7" t="s">
        <v>78</v>
      </c>
      <c r="D693" s="7" t="s">
        <v>2150</v>
      </c>
      <c r="E693" s="7" t="s">
        <v>2151</v>
      </c>
      <c r="F693" s="7" t="s">
        <v>471</v>
      </c>
    </row>
    <row r="694">
      <c r="A694" s="7" t="s">
        <v>18</v>
      </c>
      <c r="B694" s="8">
        <v>9.0</v>
      </c>
      <c r="C694" s="7" t="s">
        <v>78</v>
      </c>
      <c r="D694" s="7" t="s">
        <v>2150</v>
      </c>
      <c r="E694" s="7" t="s">
        <v>2151</v>
      </c>
      <c r="F694" s="7" t="s">
        <v>2167</v>
      </c>
    </row>
    <row r="695">
      <c r="A695" s="7" t="s">
        <v>19</v>
      </c>
      <c r="B695" s="8">
        <v>9.0</v>
      </c>
      <c r="C695" s="7" t="s">
        <v>78</v>
      </c>
      <c r="D695" s="7" t="s">
        <v>2150</v>
      </c>
      <c r="E695" s="7" t="s">
        <v>2151</v>
      </c>
      <c r="F695" s="7" t="s">
        <v>1692</v>
      </c>
    </row>
    <row r="696">
      <c r="A696" s="7" t="s">
        <v>1986</v>
      </c>
      <c r="B696" s="8">
        <v>9.0</v>
      </c>
      <c r="C696" s="7" t="s">
        <v>101</v>
      </c>
      <c r="D696" s="7" t="s">
        <v>2168</v>
      </c>
      <c r="E696" s="7" t="s">
        <v>2169</v>
      </c>
      <c r="F696" s="7" t="s">
        <v>2170</v>
      </c>
    </row>
    <row r="697">
      <c r="A697" s="7" t="s">
        <v>188</v>
      </c>
      <c r="B697" s="8">
        <v>9.0</v>
      </c>
      <c r="C697" s="7" t="s">
        <v>101</v>
      </c>
      <c r="D697" s="7" t="s">
        <v>2168</v>
      </c>
      <c r="E697" s="7" t="s">
        <v>2169</v>
      </c>
      <c r="F697" s="7" t="s">
        <v>2171</v>
      </c>
    </row>
    <row r="698">
      <c r="A698" s="7" t="s">
        <v>597</v>
      </c>
      <c r="B698" s="8">
        <v>9.0</v>
      </c>
      <c r="C698" s="7" t="s">
        <v>101</v>
      </c>
      <c r="D698" s="7" t="s">
        <v>2168</v>
      </c>
      <c r="E698" s="7" t="s">
        <v>2169</v>
      </c>
      <c r="F698" s="7" t="s">
        <v>2172</v>
      </c>
    </row>
    <row r="699">
      <c r="A699" s="7" t="s">
        <v>386</v>
      </c>
      <c r="B699" s="8">
        <v>9.0</v>
      </c>
      <c r="C699" s="7" t="s">
        <v>101</v>
      </c>
      <c r="D699" s="7" t="s">
        <v>2168</v>
      </c>
      <c r="E699" s="7" t="s">
        <v>2169</v>
      </c>
      <c r="F699" s="7" t="s">
        <v>251</v>
      </c>
    </row>
    <row r="700">
      <c r="A700" s="7" t="s">
        <v>598</v>
      </c>
      <c r="B700" s="8">
        <v>9.0</v>
      </c>
      <c r="C700" s="7" t="s">
        <v>101</v>
      </c>
      <c r="D700" s="7" t="s">
        <v>2168</v>
      </c>
      <c r="E700" s="7" t="s">
        <v>2169</v>
      </c>
      <c r="F700" s="7" t="s">
        <v>2172</v>
      </c>
    </row>
    <row r="701">
      <c r="A701" s="7" t="s">
        <v>867</v>
      </c>
      <c r="B701" s="8">
        <v>9.0</v>
      </c>
      <c r="C701" s="7" t="s">
        <v>101</v>
      </c>
      <c r="D701" s="7" t="s">
        <v>2168</v>
      </c>
      <c r="E701" s="7" t="s">
        <v>2169</v>
      </c>
      <c r="F701" s="7" t="s">
        <v>2172</v>
      </c>
    </row>
    <row r="702">
      <c r="A702" s="7" t="s">
        <v>1987</v>
      </c>
      <c r="B702" s="8">
        <v>9.0</v>
      </c>
      <c r="C702" s="7" t="s">
        <v>101</v>
      </c>
      <c r="D702" s="7" t="s">
        <v>2168</v>
      </c>
      <c r="E702" s="7" t="s">
        <v>2169</v>
      </c>
      <c r="F702" s="7" t="s">
        <v>2128</v>
      </c>
    </row>
    <row r="703">
      <c r="A703" s="7" t="s">
        <v>868</v>
      </c>
      <c r="B703" s="8">
        <v>9.0</v>
      </c>
      <c r="C703" s="7" t="s">
        <v>101</v>
      </c>
      <c r="D703" s="7" t="s">
        <v>2168</v>
      </c>
      <c r="E703" s="7" t="s">
        <v>2169</v>
      </c>
      <c r="F703" s="7" t="s">
        <v>2173</v>
      </c>
    </row>
    <row r="704">
      <c r="A704" s="7" t="s">
        <v>869</v>
      </c>
      <c r="B704" s="8">
        <v>9.0</v>
      </c>
      <c r="C704" s="7" t="s">
        <v>101</v>
      </c>
      <c r="D704" s="7" t="s">
        <v>2168</v>
      </c>
      <c r="E704" s="7" t="s">
        <v>2169</v>
      </c>
      <c r="F704" s="7" t="s">
        <v>2172</v>
      </c>
    </row>
    <row r="705">
      <c r="A705" s="7" t="s">
        <v>600</v>
      </c>
      <c r="B705" s="8">
        <v>9.0</v>
      </c>
      <c r="C705" s="7" t="s">
        <v>101</v>
      </c>
      <c r="D705" s="7" t="s">
        <v>2168</v>
      </c>
      <c r="E705" s="7" t="s">
        <v>2169</v>
      </c>
      <c r="F705" s="7" t="s">
        <v>2174</v>
      </c>
    </row>
    <row r="706">
      <c r="A706" s="7" t="s">
        <v>870</v>
      </c>
      <c r="B706" s="8">
        <v>9.0</v>
      </c>
      <c r="C706" s="7" t="s">
        <v>101</v>
      </c>
      <c r="D706" s="7" t="s">
        <v>2168</v>
      </c>
      <c r="E706" s="7" t="s">
        <v>2169</v>
      </c>
      <c r="F706" s="7" t="s">
        <v>2175</v>
      </c>
    </row>
    <row r="707">
      <c r="A707" s="7" t="s">
        <v>1293</v>
      </c>
      <c r="B707" s="8">
        <v>9.0</v>
      </c>
      <c r="C707" s="7" t="s">
        <v>101</v>
      </c>
      <c r="D707" s="7" t="s">
        <v>2168</v>
      </c>
      <c r="E707" s="7" t="s">
        <v>2169</v>
      </c>
      <c r="F707" s="7" t="s">
        <v>2172</v>
      </c>
    </row>
    <row r="708">
      <c r="A708" s="7" t="s">
        <v>601</v>
      </c>
      <c r="B708" s="8">
        <v>9.0</v>
      </c>
      <c r="C708" s="7" t="s">
        <v>101</v>
      </c>
      <c r="D708" s="7" t="s">
        <v>2168</v>
      </c>
      <c r="E708" s="7" t="s">
        <v>2169</v>
      </c>
      <c r="F708" s="7" t="s">
        <v>2176</v>
      </c>
    </row>
    <row r="709">
      <c r="A709" s="7" t="s">
        <v>871</v>
      </c>
      <c r="B709" s="8">
        <v>9.0</v>
      </c>
      <c r="C709" s="7" t="s">
        <v>101</v>
      </c>
      <c r="D709" s="7" t="s">
        <v>2168</v>
      </c>
      <c r="E709" s="7" t="s">
        <v>2169</v>
      </c>
      <c r="F709" s="7" t="s">
        <v>1031</v>
      </c>
    </row>
    <row r="710">
      <c r="A710" s="7" t="s">
        <v>602</v>
      </c>
      <c r="B710" s="8">
        <v>9.0</v>
      </c>
      <c r="C710" s="7" t="s">
        <v>101</v>
      </c>
      <c r="D710" s="7" t="s">
        <v>2168</v>
      </c>
      <c r="E710" s="7" t="s">
        <v>2169</v>
      </c>
      <c r="F710" s="7" t="s">
        <v>2177</v>
      </c>
    </row>
    <row r="711">
      <c r="A711" s="7" t="s">
        <v>603</v>
      </c>
      <c r="B711" s="8">
        <v>9.0</v>
      </c>
      <c r="C711" s="7" t="s">
        <v>101</v>
      </c>
      <c r="D711" s="7" t="s">
        <v>2168</v>
      </c>
      <c r="E711" s="7" t="s">
        <v>2169</v>
      </c>
      <c r="F711" s="7" t="s">
        <v>2178</v>
      </c>
    </row>
    <row r="712">
      <c r="A712" s="7" t="s">
        <v>604</v>
      </c>
      <c r="B712" s="8">
        <v>9.0</v>
      </c>
      <c r="C712" s="7" t="s">
        <v>101</v>
      </c>
      <c r="D712" s="7" t="s">
        <v>2168</v>
      </c>
      <c r="E712" s="7" t="s">
        <v>2169</v>
      </c>
      <c r="F712" s="7" t="s">
        <v>2179</v>
      </c>
    </row>
    <row r="713">
      <c r="A713" s="7" t="s">
        <v>189</v>
      </c>
      <c r="B713" s="8">
        <v>9.0</v>
      </c>
      <c r="C713" s="7" t="s">
        <v>101</v>
      </c>
      <c r="D713" s="7" t="s">
        <v>2168</v>
      </c>
      <c r="E713" s="7" t="s">
        <v>2169</v>
      </c>
      <c r="F713" s="7" t="s">
        <v>1031</v>
      </c>
    </row>
    <row r="714">
      <c r="A714" s="7" t="s">
        <v>605</v>
      </c>
      <c r="B714" s="8">
        <v>9.0</v>
      </c>
      <c r="C714" s="7" t="s">
        <v>101</v>
      </c>
      <c r="D714" s="7" t="s">
        <v>2168</v>
      </c>
      <c r="E714" s="7" t="s">
        <v>2169</v>
      </c>
      <c r="F714" s="7" t="s">
        <v>1350</v>
      </c>
    </row>
    <row r="715">
      <c r="A715" s="7" t="s">
        <v>10</v>
      </c>
      <c r="B715" s="8">
        <v>9.0</v>
      </c>
      <c r="C715" s="7" t="s">
        <v>101</v>
      </c>
      <c r="D715" s="7" t="s">
        <v>2168</v>
      </c>
      <c r="E715" s="7" t="s">
        <v>2169</v>
      </c>
      <c r="F715" s="7" t="s">
        <v>1031</v>
      </c>
    </row>
    <row r="716">
      <c r="A716" s="7" t="s">
        <v>1988</v>
      </c>
      <c r="B716" s="8">
        <v>9.0</v>
      </c>
      <c r="C716" s="7" t="s">
        <v>101</v>
      </c>
      <c r="D716" s="7" t="s">
        <v>2168</v>
      </c>
      <c r="E716" s="7" t="s">
        <v>2169</v>
      </c>
      <c r="F716" s="7" t="s">
        <v>2180</v>
      </c>
    </row>
    <row r="717">
      <c r="A717" s="7" t="s">
        <v>872</v>
      </c>
      <c r="B717" s="8">
        <v>9.0</v>
      </c>
      <c r="C717" s="7" t="s">
        <v>101</v>
      </c>
      <c r="D717" s="7" t="s">
        <v>2168</v>
      </c>
      <c r="E717" s="7" t="s">
        <v>2169</v>
      </c>
      <c r="F717" s="7" t="s">
        <v>2181</v>
      </c>
    </row>
    <row r="718">
      <c r="A718" s="7" t="s">
        <v>606</v>
      </c>
      <c r="B718" s="8">
        <v>9.0</v>
      </c>
      <c r="C718" s="7" t="s">
        <v>101</v>
      </c>
      <c r="D718" s="7" t="s">
        <v>2168</v>
      </c>
      <c r="E718" s="7" t="s">
        <v>2169</v>
      </c>
      <c r="F718" s="7" t="s">
        <v>2182</v>
      </c>
    </row>
    <row r="719">
      <c r="A719" s="7" t="s">
        <v>11</v>
      </c>
      <c r="B719" s="8">
        <v>9.0</v>
      </c>
      <c r="C719" s="7" t="s">
        <v>101</v>
      </c>
      <c r="D719" s="7" t="s">
        <v>2168</v>
      </c>
      <c r="E719" s="7" t="s">
        <v>2169</v>
      </c>
      <c r="F719" s="7" t="s">
        <v>1699</v>
      </c>
    </row>
    <row r="720">
      <c r="A720" s="7" t="s">
        <v>607</v>
      </c>
      <c r="B720" s="8">
        <v>9.0</v>
      </c>
      <c r="C720" s="7" t="s">
        <v>101</v>
      </c>
      <c r="D720" s="7" t="s">
        <v>2168</v>
      </c>
      <c r="E720" s="7" t="s">
        <v>2169</v>
      </c>
      <c r="F720" s="7" t="s">
        <v>105</v>
      </c>
    </row>
    <row r="721">
      <c r="A721" s="7" t="s">
        <v>874</v>
      </c>
      <c r="B721" s="8">
        <v>9.0</v>
      </c>
      <c r="C721" s="7" t="s">
        <v>101</v>
      </c>
      <c r="D721" s="7" t="s">
        <v>2168</v>
      </c>
      <c r="E721" s="7" t="s">
        <v>2169</v>
      </c>
      <c r="F721" s="7" t="s">
        <v>2171</v>
      </c>
    </row>
    <row r="722">
      <c r="A722" s="7" t="s">
        <v>608</v>
      </c>
      <c r="B722" s="8">
        <v>9.0</v>
      </c>
      <c r="C722" s="7" t="s">
        <v>101</v>
      </c>
      <c r="D722" s="7" t="s">
        <v>2168</v>
      </c>
      <c r="E722" s="7" t="s">
        <v>2169</v>
      </c>
      <c r="F722" s="7" t="s">
        <v>1350</v>
      </c>
    </row>
    <row r="723">
      <c r="A723" s="7" t="s">
        <v>875</v>
      </c>
      <c r="B723" s="8">
        <v>9.0</v>
      </c>
      <c r="C723" s="7" t="s">
        <v>101</v>
      </c>
      <c r="D723" s="7" t="s">
        <v>2168</v>
      </c>
      <c r="E723" s="7" t="s">
        <v>2169</v>
      </c>
      <c r="F723" s="7" t="s">
        <v>1350</v>
      </c>
    </row>
    <row r="724">
      <c r="A724" s="7" t="s">
        <v>14</v>
      </c>
      <c r="B724" s="8">
        <v>9.0</v>
      </c>
      <c r="C724" s="7" t="s">
        <v>101</v>
      </c>
      <c r="D724" s="7" t="s">
        <v>2168</v>
      </c>
      <c r="E724" s="7" t="s">
        <v>2169</v>
      </c>
      <c r="F724" s="7" t="s">
        <v>1351</v>
      </c>
    </row>
    <row r="725">
      <c r="A725" s="7" t="s">
        <v>1989</v>
      </c>
      <c r="B725" s="8">
        <v>9.0</v>
      </c>
      <c r="C725" s="7" t="s">
        <v>101</v>
      </c>
      <c r="D725" s="7" t="s">
        <v>2168</v>
      </c>
      <c r="E725" s="7" t="s">
        <v>2169</v>
      </c>
      <c r="F725" s="7" t="s">
        <v>92</v>
      </c>
    </row>
    <row r="726">
      <c r="A726" s="7" t="s">
        <v>609</v>
      </c>
      <c r="B726" s="8">
        <v>9.0</v>
      </c>
      <c r="C726" s="7" t="s">
        <v>101</v>
      </c>
      <c r="D726" s="7" t="s">
        <v>2168</v>
      </c>
      <c r="E726" s="7" t="s">
        <v>2169</v>
      </c>
      <c r="F726" s="7" t="s">
        <v>1350</v>
      </c>
    </row>
    <row r="727">
      <c r="A727" s="7" t="s">
        <v>15</v>
      </c>
      <c r="B727" s="8">
        <v>9.0</v>
      </c>
      <c r="C727" s="7" t="s">
        <v>101</v>
      </c>
      <c r="D727" s="7" t="s">
        <v>2168</v>
      </c>
      <c r="E727" s="7" t="s">
        <v>2169</v>
      </c>
      <c r="F727" s="7" t="s">
        <v>1350</v>
      </c>
    </row>
    <row r="728">
      <c r="A728" s="7" t="s">
        <v>610</v>
      </c>
      <c r="B728" s="8">
        <v>9.0</v>
      </c>
      <c r="C728" s="7" t="s">
        <v>101</v>
      </c>
      <c r="D728" s="7" t="s">
        <v>2168</v>
      </c>
      <c r="E728" s="7" t="s">
        <v>2169</v>
      </c>
      <c r="F728" s="7" t="s">
        <v>1350</v>
      </c>
    </row>
    <row r="729">
      <c r="A729" s="7" t="s">
        <v>16</v>
      </c>
      <c r="B729" s="8">
        <v>9.0</v>
      </c>
      <c r="C729" s="7" t="s">
        <v>101</v>
      </c>
      <c r="D729" s="7" t="s">
        <v>2168</v>
      </c>
      <c r="E729" s="7" t="s">
        <v>2169</v>
      </c>
      <c r="F729" s="7" t="s">
        <v>1350</v>
      </c>
    </row>
    <row r="730">
      <c r="A730" s="7" t="s">
        <v>1990</v>
      </c>
      <c r="B730" s="8">
        <v>9.0</v>
      </c>
      <c r="C730" s="7" t="s">
        <v>101</v>
      </c>
      <c r="D730" s="7" t="s">
        <v>2168</v>
      </c>
      <c r="E730" s="7" t="s">
        <v>2169</v>
      </c>
      <c r="F730" s="7" t="s">
        <v>2183</v>
      </c>
    </row>
    <row r="731">
      <c r="A731" s="7" t="s">
        <v>611</v>
      </c>
      <c r="B731" s="8">
        <v>9.0</v>
      </c>
      <c r="C731" s="7" t="s">
        <v>101</v>
      </c>
      <c r="D731" s="7" t="s">
        <v>2168</v>
      </c>
      <c r="E731" s="7" t="s">
        <v>2169</v>
      </c>
      <c r="F731" s="7" t="s">
        <v>251</v>
      </c>
    </row>
    <row r="732">
      <c r="A732" s="7" t="s">
        <v>612</v>
      </c>
      <c r="B732" s="8">
        <v>9.0</v>
      </c>
      <c r="C732" s="7" t="s">
        <v>101</v>
      </c>
      <c r="D732" s="7" t="s">
        <v>2168</v>
      </c>
      <c r="E732" s="7" t="s">
        <v>2169</v>
      </c>
      <c r="F732" s="7" t="s">
        <v>2184</v>
      </c>
    </row>
    <row r="733">
      <c r="A733" s="7" t="s">
        <v>18</v>
      </c>
      <c r="B733" s="8">
        <v>9.0</v>
      </c>
      <c r="C733" s="7" t="s">
        <v>101</v>
      </c>
      <c r="D733" s="7" t="s">
        <v>2168</v>
      </c>
      <c r="E733" s="7" t="s">
        <v>2169</v>
      </c>
      <c r="F733" s="7" t="s">
        <v>1350</v>
      </c>
    </row>
    <row r="734">
      <c r="A734" s="7" t="s">
        <v>19</v>
      </c>
      <c r="B734" s="8">
        <v>9.0</v>
      </c>
      <c r="C734" s="7" t="s">
        <v>101</v>
      </c>
      <c r="D734" s="7" t="s">
        <v>2168</v>
      </c>
      <c r="E734" s="7" t="s">
        <v>2169</v>
      </c>
      <c r="F734" s="7" t="s">
        <v>1350</v>
      </c>
    </row>
    <row r="735">
      <c r="A735" s="7" t="s">
        <v>1986</v>
      </c>
      <c r="B735" s="8">
        <v>9.0</v>
      </c>
      <c r="C735" s="7" t="s">
        <v>172</v>
      </c>
      <c r="D735" s="7" t="s">
        <v>1654</v>
      </c>
      <c r="E735" s="7" t="s">
        <v>2185</v>
      </c>
      <c r="F735" s="7" t="s">
        <v>47</v>
      </c>
    </row>
    <row r="736">
      <c r="A736" s="7" t="s">
        <v>188</v>
      </c>
      <c r="B736" s="8">
        <v>9.0</v>
      </c>
      <c r="C736" s="7" t="s">
        <v>172</v>
      </c>
      <c r="D736" s="7" t="s">
        <v>1654</v>
      </c>
      <c r="E736" s="7" t="s">
        <v>2185</v>
      </c>
      <c r="F736" s="7" t="s">
        <v>47</v>
      </c>
    </row>
    <row r="737">
      <c r="A737" s="7" t="s">
        <v>597</v>
      </c>
      <c r="B737" s="8">
        <v>9.0</v>
      </c>
      <c r="C737" s="7" t="s">
        <v>172</v>
      </c>
      <c r="D737" s="7" t="s">
        <v>1654</v>
      </c>
      <c r="E737" s="7" t="s">
        <v>2185</v>
      </c>
      <c r="F737" s="7" t="s">
        <v>47</v>
      </c>
    </row>
    <row r="738">
      <c r="A738" s="7" t="s">
        <v>386</v>
      </c>
      <c r="B738" s="8">
        <v>9.0</v>
      </c>
      <c r="C738" s="7" t="s">
        <v>172</v>
      </c>
      <c r="D738" s="7" t="s">
        <v>1654</v>
      </c>
      <c r="E738" s="7" t="s">
        <v>2185</v>
      </c>
      <c r="F738" s="7" t="s">
        <v>47</v>
      </c>
    </row>
    <row r="739">
      <c r="A739" s="7" t="s">
        <v>598</v>
      </c>
      <c r="B739" s="8">
        <v>9.0</v>
      </c>
      <c r="C739" s="7" t="s">
        <v>172</v>
      </c>
      <c r="D739" s="7" t="s">
        <v>1654</v>
      </c>
      <c r="E739" s="7" t="s">
        <v>2185</v>
      </c>
      <c r="F739" s="7" t="s">
        <v>47</v>
      </c>
    </row>
    <row r="740">
      <c r="A740" s="7" t="s">
        <v>867</v>
      </c>
      <c r="B740" s="8">
        <v>9.0</v>
      </c>
      <c r="C740" s="7" t="s">
        <v>172</v>
      </c>
      <c r="D740" s="7" t="s">
        <v>1654</v>
      </c>
      <c r="E740" s="7" t="s">
        <v>2185</v>
      </c>
      <c r="F740" s="7" t="s">
        <v>47</v>
      </c>
    </row>
    <row r="741">
      <c r="A741" s="7" t="s">
        <v>1987</v>
      </c>
      <c r="B741" s="8">
        <v>9.0</v>
      </c>
      <c r="C741" s="7" t="s">
        <v>172</v>
      </c>
      <c r="D741" s="7" t="s">
        <v>1654</v>
      </c>
      <c r="E741" s="7" t="s">
        <v>2185</v>
      </c>
      <c r="F741" s="7" t="s">
        <v>47</v>
      </c>
    </row>
    <row r="742">
      <c r="A742" s="7" t="s">
        <v>868</v>
      </c>
      <c r="B742" s="8">
        <v>9.0</v>
      </c>
      <c r="C742" s="7" t="s">
        <v>172</v>
      </c>
      <c r="D742" s="7" t="s">
        <v>1654</v>
      </c>
      <c r="E742" s="7" t="s">
        <v>2185</v>
      </c>
      <c r="F742" s="7" t="s">
        <v>47</v>
      </c>
    </row>
    <row r="743">
      <c r="A743" s="7" t="s">
        <v>869</v>
      </c>
      <c r="B743" s="8">
        <v>9.0</v>
      </c>
      <c r="C743" s="7" t="s">
        <v>172</v>
      </c>
      <c r="D743" s="7" t="s">
        <v>1654</v>
      </c>
      <c r="E743" s="7" t="s">
        <v>2185</v>
      </c>
      <c r="F743" s="7" t="s">
        <v>48</v>
      </c>
    </row>
    <row r="744">
      <c r="A744" s="7" t="s">
        <v>600</v>
      </c>
      <c r="B744" s="8">
        <v>9.0</v>
      </c>
      <c r="C744" s="7" t="s">
        <v>172</v>
      </c>
      <c r="D744" s="7" t="s">
        <v>1654</v>
      </c>
      <c r="E744" s="7" t="s">
        <v>2185</v>
      </c>
      <c r="F744" s="7" t="s">
        <v>48</v>
      </c>
    </row>
    <row r="745">
      <c r="A745" s="7" t="s">
        <v>870</v>
      </c>
      <c r="B745" s="8">
        <v>9.0</v>
      </c>
      <c r="C745" s="7" t="s">
        <v>172</v>
      </c>
      <c r="D745" s="7" t="s">
        <v>1654</v>
      </c>
      <c r="E745" s="7" t="s">
        <v>2185</v>
      </c>
      <c r="F745" s="7" t="s">
        <v>47</v>
      </c>
    </row>
    <row r="746">
      <c r="A746" s="7" t="s">
        <v>1293</v>
      </c>
      <c r="B746" s="8">
        <v>9.0</v>
      </c>
      <c r="C746" s="7" t="s">
        <v>172</v>
      </c>
      <c r="D746" s="7" t="s">
        <v>1654</v>
      </c>
      <c r="E746" s="7" t="s">
        <v>2185</v>
      </c>
      <c r="F746" s="7" t="s">
        <v>47</v>
      </c>
    </row>
    <row r="747">
      <c r="A747" s="7" t="s">
        <v>601</v>
      </c>
      <c r="B747" s="8">
        <v>9.0</v>
      </c>
      <c r="C747" s="7" t="s">
        <v>172</v>
      </c>
      <c r="D747" s="7" t="s">
        <v>1654</v>
      </c>
      <c r="E747" s="7" t="s">
        <v>2185</v>
      </c>
      <c r="F747" s="7" t="s">
        <v>47</v>
      </c>
    </row>
    <row r="748">
      <c r="A748" s="7" t="s">
        <v>871</v>
      </c>
      <c r="B748" s="8">
        <v>9.0</v>
      </c>
      <c r="C748" s="7" t="s">
        <v>172</v>
      </c>
      <c r="D748" s="7" t="s">
        <v>1654</v>
      </c>
      <c r="E748" s="7" t="s">
        <v>2185</v>
      </c>
      <c r="F748" s="7" t="s">
        <v>2061</v>
      </c>
    </row>
    <row r="749">
      <c r="A749" s="7" t="s">
        <v>602</v>
      </c>
      <c r="B749" s="8">
        <v>9.0</v>
      </c>
      <c r="C749" s="7" t="s">
        <v>172</v>
      </c>
      <c r="D749" s="7" t="s">
        <v>1654</v>
      </c>
      <c r="E749" s="7" t="s">
        <v>2185</v>
      </c>
      <c r="F749" s="7" t="s">
        <v>47</v>
      </c>
    </row>
    <row r="750">
      <c r="A750" s="7" t="s">
        <v>603</v>
      </c>
      <c r="B750" s="8">
        <v>9.0</v>
      </c>
      <c r="C750" s="7" t="s">
        <v>172</v>
      </c>
      <c r="D750" s="7" t="s">
        <v>1654</v>
      </c>
      <c r="E750" s="7" t="s">
        <v>2185</v>
      </c>
      <c r="F750" s="7" t="s">
        <v>48</v>
      </c>
    </row>
    <row r="751">
      <c r="A751" s="7" t="s">
        <v>604</v>
      </c>
      <c r="B751" s="8">
        <v>9.0</v>
      </c>
      <c r="C751" s="7" t="s">
        <v>172</v>
      </c>
      <c r="D751" s="7" t="s">
        <v>1654</v>
      </c>
      <c r="E751" s="7" t="s">
        <v>2185</v>
      </c>
      <c r="F751" s="7" t="s">
        <v>47</v>
      </c>
    </row>
    <row r="752">
      <c r="A752" s="7" t="s">
        <v>189</v>
      </c>
      <c r="B752" s="8">
        <v>9.0</v>
      </c>
      <c r="C752" s="7" t="s">
        <v>172</v>
      </c>
      <c r="D752" s="7" t="s">
        <v>1654</v>
      </c>
      <c r="E752" s="7" t="s">
        <v>2185</v>
      </c>
      <c r="F752" s="7" t="s">
        <v>47</v>
      </c>
    </row>
    <row r="753">
      <c r="A753" s="7" t="s">
        <v>605</v>
      </c>
      <c r="B753" s="8">
        <v>9.0</v>
      </c>
      <c r="C753" s="7" t="s">
        <v>172</v>
      </c>
      <c r="D753" s="7" t="s">
        <v>1654</v>
      </c>
      <c r="E753" s="7" t="s">
        <v>2185</v>
      </c>
      <c r="F753" s="7" t="s">
        <v>47</v>
      </c>
    </row>
    <row r="754">
      <c r="A754" s="7" t="s">
        <v>10</v>
      </c>
      <c r="B754" s="8">
        <v>9.0</v>
      </c>
      <c r="C754" s="7" t="s">
        <v>172</v>
      </c>
      <c r="D754" s="7" t="s">
        <v>1654</v>
      </c>
      <c r="E754" s="7" t="s">
        <v>2185</v>
      </c>
      <c r="F754" s="7" t="s">
        <v>47</v>
      </c>
    </row>
    <row r="755">
      <c r="A755" s="7" t="s">
        <v>1988</v>
      </c>
      <c r="B755" s="8">
        <v>9.0</v>
      </c>
      <c r="C755" s="7" t="s">
        <v>172</v>
      </c>
      <c r="D755" s="7" t="s">
        <v>1654</v>
      </c>
      <c r="E755" s="7" t="s">
        <v>2185</v>
      </c>
      <c r="F755" s="7" t="s">
        <v>47</v>
      </c>
    </row>
    <row r="756">
      <c r="A756" s="7" t="s">
        <v>872</v>
      </c>
      <c r="B756" s="8">
        <v>9.0</v>
      </c>
      <c r="C756" s="7" t="s">
        <v>172</v>
      </c>
      <c r="D756" s="7" t="s">
        <v>1654</v>
      </c>
      <c r="E756" s="7" t="s">
        <v>2185</v>
      </c>
      <c r="F756" s="7" t="s">
        <v>48</v>
      </c>
    </row>
    <row r="757">
      <c r="A757" s="7" t="s">
        <v>606</v>
      </c>
      <c r="B757" s="8">
        <v>9.0</v>
      </c>
      <c r="C757" s="7" t="s">
        <v>172</v>
      </c>
      <c r="D757" s="7" t="s">
        <v>1654</v>
      </c>
      <c r="E757" s="7" t="s">
        <v>2185</v>
      </c>
      <c r="F757" s="7" t="s">
        <v>47</v>
      </c>
    </row>
    <row r="758">
      <c r="A758" s="7" t="s">
        <v>11</v>
      </c>
      <c r="B758" s="8">
        <v>9.0</v>
      </c>
      <c r="C758" s="7" t="s">
        <v>172</v>
      </c>
      <c r="D758" s="7" t="s">
        <v>1654</v>
      </c>
      <c r="E758" s="7" t="s">
        <v>2185</v>
      </c>
      <c r="F758" s="7" t="s">
        <v>47</v>
      </c>
    </row>
    <row r="759">
      <c r="A759" s="7" t="s">
        <v>607</v>
      </c>
      <c r="B759" s="8">
        <v>9.0</v>
      </c>
      <c r="C759" s="7" t="s">
        <v>172</v>
      </c>
      <c r="D759" s="7" t="s">
        <v>1654</v>
      </c>
      <c r="E759" s="7" t="s">
        <v>2185</v>
      </c>
      <c r="F759" s="7" t="s">
        <v>47</v>
      </c>
    </row>
    <row r="760">
      <c r="A760" s="7" t="s">
        <v>874</v>
      </c>
      <c r="B760" s="8">
        <v>9.0</v>
      </c>
      <c r="C760" s="7" t="s">
        <v>172</v>
      </c>
      <c r="D760" s="7" t="s">
        <v>1654</v>
      </c>
      <c r="E760" s="7" t="s">
        <v>2185</v>
      </c>
      <c r="F760" s="7" t="s">
        <v>47</v>
      </c>
    </row>
    <row r="761">
      <c r="A761" s="7" t="s">
        <v>608</v>
      </c>
      <c r="B761" s="8">
        <v>9.0</v>
      </c>
      <c r="C761" s="7" t="s">
        <v>172</v>
      </c>
      <c r="D761" s="7" t="s">
        <v>1654</v>
      </c>
      <c r="E761" s="7" t="s">
        <v>2185</v>
      </c>
      <c r="F761" s="7" t="s">
        <v>47</v>
      </c>
    </row>
    <row r="762">
      <c r="A762" s="7" t="s">
        <v>875</v>
      </c>
      <c r="B762" s="8">
        <v>9.0</v>
      </c>
      <c r="C762" s="7" t="s">
        <v>172</v>
      </c>
      <c r="D762" s="7" t="s">
        <v>1654</v>
      </c>
      <c r="E762" s="7" t="s">
        <v>2185</v>
      </c>
      <c r="F762" s="7" t="s">
        <v>47</v>
      </c>
    </row>
    <row r="763">
      <c r="A763" s="7" t="s">
        <v>14</v>
      </c>
      <c r="B763" s="8">
        <v>9.0</v>
      </c>
      <c r="C763" s="7" t="s">
        <v>172</v>
      </c>
      <c r="D763" s="7" t="s">
        <v>1654</v>
      </c>
      <c r="E763" s="7" t="s">
        <v>2185</v>
      </c>
      <c r="F763" s="7" t="s">
        <v>47</v>
      </c>
    </row>
    <row r="764">
      <c r="A764" s="7" t="s">
        <v>1989</v>
      </c>
      <c r="B764" s="8">
        <v>9.0</v>
      </c>
      <c r="C764" s="7" t="s">
        <v>172</v>
      </c>
      <c r="D764" s="7" t="s">
        <v>1654</v>
      </c>
      <c r="E764" s="7" t="s">
        <v>2185</v>
      </c>
      <c r="F764" s="7" t="s">
        <v>47</v>
      </c>
    </row>
    <row r="765">
      <c r="A765" s="7" t="s">
        <v>609</v>
      </c>
      <c r="B765" s="8">
        <v>9.0</v>
      </c>
      <c r="C765" s="7" t="s">
        <v>172</v>
      </c>
      <c r="D765" s="7" t="s">
        <v>1654</v>
      </c>
      <c r="E765" s="7" t="s">
        <v>2185</v>
      </c>
      <c r="F765" s="7" t="s">
        <v>47</v>
      </c>
    </row>
    <row r="766">
      <c r="A766" s="7" t="s">
        <v>15</v>
      </c>
      <c r="B766" s="8">
        <v>9.0</v>
      </c>
      <c r="C766" s="7" t="s">
        <v>172</v>
      </c>
      <c r="D766" s="7" t="s">
        <v>1654</v>
      </c>
      <c r="E766" s="7" t="s">
        <v>2185</v>
      </c>
      <c r="F766" s="7" t="s">
        <v>47</v>
      </c>
    </row>
    <row r="767">
      <c r="A767" s="7" t="s">
        <v>610</v>
      </c>
      <c r="B767" s="8">
        <v>9.0</v>
      </c>
      <c r="C767" s="7" t="s">
        <v>172</v>
      </c>
      <c r="D767" s="7" t="s">
        <v>1654</v>
      </c>
      <c r="E767" s="7" t="s">
        <v>2185</v>
      </c>
      <c r="F767" s="7" t="s">
        <v>47</v>
      </c>
    </row>
    <row r="768">
      <c r="A768" s="7" t="s">
        <v>16</v>
      </c>
      <c r="B768" s="8">
        <v>9.0</v>
      </c>
      <c r="C768" s="7" t="s">
        <v>172</v>
      </c>
      <c r="D768" s="7" t="s">
        <v>1654</v>
      </c>
      <c r="E768" s="7" t="s">
        <v>2185</v>
      </c>
      <c r="F768" s="7" t="s">
        <v>47</v>
      </c>
    </row>
    <row r="769">
      <c r="A769" s="7" t="s">
        <v>1990</v>
      </c>
      <c r="B769" s="8">
        <v>9.0</v>
      </c>
      <c r="C769" s="7" t="s">
        <v>172</v>
      </c>
      <c r="D769" s="7" t="s">
        <v>1654</v>
      </c>
      <c r="E769" s="7" t="s">
        <v>2185</v>
      </c>
      <c r="F769" s="7" t="s">
        <v>47</v>
      </c>
    </row>
    <row r="770">
      <c r="A770" s="7" t="s">
        <v>611</v>
      </c>
      <c r="B770" s="8">
        <v>9.0</v>
      </c>
      <c r="C770" s="7" t="s">
        <v>172</v>
      </c>
      <c r="D770" s="7" t="s">
        <v>1654</v>
      </c>
      <c r="E770" s="7" t="s">
        <v>2185</v>
      </c>
      <c r="F770" s="7" t="s">
        <v>47</v>
      </c>
    </row>
    <row r="771">
      <c r="A771" s="7" t="s">
        <v>612</v>
      </c>
      <c r="B771" s="8">
        <v>9.0</v>
      </c>
      <c r="C771" s="7" t="s">
        <v>172</v>
      </c>
      <c r="D771" s="7" t="s">
        <v>1654</v>
      </c>
      <c r="E771" s="7" t="s">
        <v>2185</v>
      </c>
      <c r="F771" s="7" t="s">
        <v>47</v>
      </c>
    </row>
    <row r="772">
      <c r="A772" s="7" t="s">
        <v>18</v>
      </c>
      <c r="B772" s="8">
        <v>9.0</v>
      </c>
      <c r="C772" s="7" t="s">
        <v>172</v>
      </c>
      <c r="D772" s="7" t="s">
        <v>1654</v>
      </c>
      <c r="E772" s="7" t="s">
        <v>2185</v>
      </c>
      <c r="F772" s="7" t="s">
        <v>47</v>
      </c>
    </row>
    <row r="773">
      <c r="A773" s="7" t="s">
        <v>19</v>
      </c>
      <c r="B773" s="8">
        <v>9.0</v>
      </c>
      <c r="C773" s="7" t="s">
        <v>172</v>
      </c>
      <c r="D773" s="7" t="s">
        <v>1654</v>
      </c>
      <c r="E773" s="7" t="s">
        <v>2185</v>
      </c>
      <c r="F773" s="7" t="s">
        <v>47</v>
      </c>
    </row>
    <row r="774">
      <c r="A774" s="7" t="s">
        <v>1986</v>
      </c>
      <c r="B774" s="8">
        <v>9.0</v>
      </c>
      <c r="C774" s="7" t="s">
        <v>267</v>
      </c>
      <c r="D774" s="7" t="s">
        <v>1658</v>
      </c>
      <c r="E774" s="7" t="s">
        <v>2186</v>
      </c>
      <c r="F774" s="7" t="s">
        <v>271</v>
      </c>
    </row>
    <row r="775">
      <c r="A775" s="7" t="s">
        <v>188</v>
      </c>
      <c r="B775" s="8">
        <v>9.0</v>
      </c>
      <c r="C775" s="7" t="s">
        <v>267</v>
      </c>
      <c r="D775" s="7" t="s">
        <v>1658</v>
      </c>
      <c r="E775" s="7" t="s">
        <v>2186</v>
      </c>
      <c r="F775" s="7" t="s">
        <v>271</v>
      </c>
    </row>
    <row r="776">
      <c r="A776" s="7" t="s">
        <v>597</v>
      </c>
      <c r="B776" s="8">
        <v>9.0</v>
      </c>
      <c r="C776" s="7" t="s">
        <v>267</v>
      </c>
      <c r="D776" s="7" t="s">
        <v>1658</v>
      </c>
      <c r="E776" s="7" t="s">
        <v>2186</v>
      </c>
      <c r="F776" s="7" t="s">
        <v>523</v>
      </c>
    </row>
    <row r="777">
      <c r="A777" s="7" t="s">
        <v>386</v>
      </c>
      <c r="B777" s="8">
        <v>9.0</v>
      </c>
      <c r="C777" s="7" t="s">
        <v>267</v>
      </c>
      <c r="D777" s="7" t="s">
        <v>1658</v>
      </c>
      <c r="E777" s="7" t="s">
        <v>2186</v>
      </c>
      <c r="F777" s="7" t="s">
        <v>2119</v>
      </c>
    </row>
    <row r="778">
      <c r="A778" s="7" t="s">
        <v>598</v>
      </c>
      <c r="B778" s="8">
        <v>9.0</v>
      </c>
      <c r="C778" s="7" t="s">
        <v>267</v>
      </c>
      <c r="D778" s="7" t="s">
        <v>1658</v>
      </c>
      <c r="E778" s="7" t="s">
        <v>2186</v>
      </c>
      <c r="F778" s="7" t="s">
        <v>271</v>
      </c>
    </row>
    <row r="779">
      <c r="A779" s="7" t="s">
        <v>867</v>
      </c>
      <c r="B779" s="8">
        <v>9.0</v>
      </c>
      <c r="C779" s="7" t="s">
        <v>267</v>
      </c>
      <c r="D779" s="7" t="s">
        <v>1658</v>
      </c>
      <c r="E779" s="7" t="s">
        <v>2186</v>
      </c>
      <c r="F779" s="7" t="s">
        <v>523</v>
      </c>
    </row>
    <row r="780">
      <c r="A780" s="7" t="s">
        <v>1987</v>
      </c>
      <c r="B780" s="8">
        <v>9.0</v>
      </c>
      <c r="C780" s="7" t="s">
        <v>267</v>
      </c>
      <c r="D780" s="7" t="s">
        <v>1658</v>
      </c>
      <c r="E780" s="7" t="s">
        <v>2186</v>
      </c>
      <c r="F780" s="7" t="s">
        <v>238</v>
      </c>
    </row>
    <row r="781">
      <c r="A781" s="7" t="s">
        <v>868</v>
      </c>
      <c r="B781" s="8">
        <v>9.0</v>
      </c>
      <c r="C781" s="7" t="s">
        <v>267</v>
      </c>
      <c r="D781" s="7" t="s">
        <v>1658</v>
      </c>
      <c r="E781" s="7" t="s">
        <v>2186</v>
      </c>
      <c r="F781" s="7" t="s">
        <v>238</v>
      </c>
    </row>
    <row r="782">
      <c r="A782" s="7" t="s">
        <v>869</v>
      </c>
      <c r="B782" s="8">
        <v>9.0</v>
      </c>
      <c r="C782" s="7" t="s">
        <v>267</v>
      </c>
      <c r="D782" s="7" t="s">
        <v>1658</v>
      </c>
      <c r="E782" s="7" t="s">
        <v>2186</v>
      </c>
      <c r="F782" s="7" t="s">
        <v>238</v>
      </c>
    </row>
    <row r="783">
      <c r="A783" s="7" t="s">
        <v>600</v>
      </c>
      <c r="B783" s="8">
        <v>9.0</v>
      </c>
      <c r="C783" s="7" t="s">
        <v>267</v>
      </c>
      <c r="D783" s="7" t="s">
        <v>1658</v>
      </c>
      <c r="E783" s="7" t="s">
        <v>2186</v>
      </c>
      <c r="F783" s="7" t="s">
        <v>1656</v>
      </c>
    </row>
    <row r="784">
      <c r="A784" s="7" t="s">
        <v>870</v>
      </c>
      <c r="B784" s="8">
        <v>9.0</v>
      </c>
      <c r="C784" s="7" t="s">
        <v>267</v>
      </c>
      <c r="D784" s="7" t="s">
        <v>1658</v>
      </c>
      <c r="E784" s="7" t="s">
        <v>2186</v>
      </c>
      <c r="F784" s="7" t="s">
        <v>238</v>
      </c>
    </row>
    <row r="785">
      <c r="A785" s="7" t="s">
        <v>1293</v>
      </c>
      <c r="B785" s="8">
        <v>9.0</v>
      </c>
      <c r="C785" s="7" t="s">
        <v>267</v>
      </c>
      <c r="D785" s="7" t="s">
        <v>1658</v>
      </c>
      <c r="E785" s="7" t="s">
        <v>2186</v>
      </c>
      <c r="F785" s="7" t="s">
        <v>271</v>
      </c>
    </row>
    <row r="786">
      <c r="A786" s="7" t="s">
        <v>601</v>
      </c>
      <c r="B786" s="8">
        <v>9.0</v>
      </c>
      <c r="C786" s="7" t="s">
        <v>267</v>
      </c>
      <c r="D786" s="7" t="s">
        <v>1658</v>
      </c>
      <c r="E786" s="7" t="s">
        <v>2186</v>
      </c>
      <c r="F786" s="7" t="s">
        <v>238</v>
      </c>
    </row>
    <row r="787">
      <c r="A787" s="7" t="s">
        <v>871</v>
      </c>
      <c r="B787" s="8">
        <v>9.0</v>
      </c>
      <c r="C787" s="7" t="s">
        <v>267</v>
      </c>
      <c r="D787" s="7" t="s">
        <v>1658</v>
      </c>
      <c r="E787" s="7" t="s">
        <v>2186</v>
      </c>
      <c r="F787" s="7" t="s">
        <v>2028</v>
      </c>
    </row>
    <row r="788">
      <c r="A788" s="7" t="s">
        <v>602</v>
      </c>
      <c r="B788" s="8">
        <v>9.0</v>
      </c>
      <c r="C788" s="7" t="s">
        <v>267</v>
      </c>
      <c r="D788" s="7" t="s">
        <v>1658</v>
      </c>
      <c r="E788" s="7" t="s">
        <v>2186</v>
      </c>
      <c r="F788" s="7" t="s">
        <v>238</v>
      </c>
    </row>
    <row r="789">
      <c r="A789" s="7" t="s">
        <v>603</v>
      </c>
      <c r="B789" s="8">
        <v>9.0</v>
      </c>
      <c r="C789" s="7" t="s">
        <v>267</v>
      </c>
      <c r="D789" s="7" t="s">
        <v>1658</v>
      </c>
      <c r="E789" s="7" t="s">
        <v>2186</v>
      </c>
      <c r="F789" s="7" t="s">
        <v>238</v>
      </c>
    </row>
    <row r="790">
      <c r="A790" s="7" t="s">
        <v>604</v>
      </c>
      <c r="B790" s="8">
        <v>9.0</v>
      </c>
      <c r="C790" s="7" t="s">
        <v>267</v>
      </c>
      <c r="D790" s="7" t="s">
        <v>1658</v>
      </c>
      <c r="E790" s="7" t="s">
        <v>2186</v>
      </c>
      <c r="F790" s="7" t="s">
        <v>2121</v>
      </c>
    </row>
    <row r="791">
      <c r="A791" s="7" t="s">
        <v>189</v>
      </c>
      <c r="B791" s="8">
        <v>9.0</v>
      </c>
      <c r="C791" s="7" t="s">
        <v>267</v>
      </c>
      <c r="D791" s="7" t="s">
        <v>1658</v>
      </c>
      <c r="E791" s="7" t="s">
        <v>2186</v>
      </c>
      <c r="F791" s="7" t="s">
        <v>238</v>
      </c>
    </row>
    <row r="792">
      <c r="A792" s="7" t="s">
        <v>605</v>
      </c>
      <c r="B792" s="8">
        <v>9.0</v>
      </c>
      <c r="C792" s="7" t="s">
        <v>267</v>
      </c>
      <c r="D792" s="7" t="s">
        <v>1658</v>
      </c>
      <c r="E792" s="7" t="s">
        <v>2186</v>
      </c>
      <c r="F792" s="7" t="s">
        <v>238</v>
      </c>
    </row>
    <row r="793">
      <c r="A793" s="7" t="s">
        <v>10</v>
      </c>
      <c r="B793" s="8">
        <v>9.0</v>
      </c>
      <c r="C793" s="7" t="s">
        <v>267</v>
      </c>
      <c r="D793" s="7" t="s">
        <v>1658</v>
      </c>
      <c r="E793" s="7" t="s">
        <v>2186</v>
      </c>
      <c r="F793" s="7" t="s">
        <v>271</v>
      </c>
    </row>
    <row r="794">
      <c r="A794" s="7" t="s">
        <v>1988</v>
      </c>
      <c r="B794" s="8">
        <v>9.0</v>
      </c>
      <c r="C794" s="7" t="s">
        <v>267</v>
      </c>
      <c r="D794" s="7" t="s">
        <v>1658</v>
      </c>
      <c r="E794" s="7" t="s">
        <v>2186</v>
      </c>
      <c r="F794" s="7" t="s">
        <v>271</v>
      </c>
    </row>
    <row r="795">
      <c r="A795" s="7" t="s">
        <v>872</v>
      </c>
      <c r="B795" s="8">
        <v>9.0</v>
      </c>
      <c r="C795" s="7" t="s">
        <v>267</v>
      </c>
      <c r="D795" s="7" t="s">
        <v>1658</v>
      </c>
      <c r="E795" s="7" t="s">
        <v>2186</v>
      </c>
      <c r="F795" s="7" t="s">
        <v>238</v>
      </c>
    </row>
    <row r="796">
      <c r="A796" s="7" t="s">
        <v>606</v>
      </c>
      <c r="B796" s="8">
        <v>9.0</v>
      </c>
      <c r="C796" s="7" t="s">
        <v>267</v>
      </c>
      <c r="D796" s="7" t="s">
        <v>1658</v>
      </c>
      <c r="E796" s="7" t="s">
        <v>2186</v>
      </c>
      <c r="F796" s="7" t="s">
        <v>238</v>
      </c>
    </row>
    <row r="797">
      <c r="A797" s="7" t="s">
        <v>11</v>
      </c>
      <c r="B797" s="8">
        <v>9.0</v>
      </c>
      <c r="C797" s="7" t="s">
        <v>267</v>
      </c>
      <c r="D797" s="7" t="s">
        <v>1658</v>
      </c>
      <c r="E797" s="7" t="s">
        <v>2186</v>
      </c>
      <c r="F797" s="7" t="s">
        <v>238</v>
      </c>
    </row>
    <row r="798">
      <c r="A798" s="7" t="s">
        <v>607</v>
      </c>
      <c r="B798" s="8">
        <v>9.0</v>
      </c>
      <c r="C798" s="7" t="s">
        <v>267</v>
      </c>
      <c r="D798" s="7" t="s">
        <v>1658</v>
      </c>
      <c r="E798" s="7" t="s">
        <v>2186</v>
      </c>
      <c r="F798" s="7" t="s">
        <v>271</v>
      </c>
    </row>
    <row r="799">
      <c r="A799" s="7" t="s">
        <v>874</v>
      </c>
      <c r="B799" s="8">
        <v>9.0</v>
      </c>
      <c r="C799" s="7" t="s">
        <v>267</v>
      </c>
      <c r="D799" s="7" t="s">
        <v>1658</v>
      </c>
      <c r="E799" s="7" t="s">
        <v>2186</v>
      </c>
      <c r="F799" s="7" t="s">
        <v>238</v>
      </c>
    </row>
    <row r="800">
      <c r="A800" s="7" t="s">
        <v>608</v>
      </c>
      <c r="B800" s="8">
        <v>9.0</v>
      </c>
      <c r="C800" s="7" t="s">
        <v>267</v>
      </c>
      <c r="D800" s="7" t="s">
        <v>1658</v>
      </c>
      <c r="E800" s="7" t="s">
        <v>2186</v>
      </c>
      <c r="F800" s="7" t="s">
        <v>271</v>
      </c>
    </row>
    <row r="801">
      <c r="A801" s="7" t="s">
        <v>875</v>
      </c>
      <c r="B801" s="8">
        <v>9.0</v>
      </c>
      <c r="C801" s="7" t="s">
        <v>267</v>
      </c>
      <c r="D801" s="7" t="s">
        <v>1658</v>
      </c>
      <c r="E801" s="7" t="s">
        <v>2186</v>
      </c>
      <c r="F801" s="7" t="s">
        <v>271</v>
      </c>
    </row>
    <row r="802">
      <c r="A802" s="7" t="s">
        <v>14</v>
      </c>
      <c r="B802" s="8">
        <v>9.0</v>
      </c>
      <c r="C802" s="7" t="s">
        <v>267</v>
      </c>
      <c r="D802" s="7" t="s">
        <v>1658</v>
      </c>
      <c r="E802" s="7" t="s">
        <v>2186</v>
      </c>
      <c r="F802" s="7" t="s">
        <v>238</v>
      </c>
    </row>
    <row r="803">
      <c r="A803" s="7" t="s">
        <v>1989</v>
      </c>
      <c r="B803" s="8">
        <v>9.0</v>
      </c>
      <c r="C803" s="7" t="s">
        <v>267</v>
      </c>
      <c r="D803" s="7" t="s">
        <v>1658</v>
      </c>
      <c r="E803" s="7" t="s">
        <v>2186</v>
      </c>
      <c r="F803" s="7" t="s">
        <v>271</v>
      </c>
    </row>
    <row r="804">
      <c r="A804" s="7" t="s">
        <v>609</v>
      </c>
      <c r="B804" s="8">
        <v>9.0</v>
      </c>
      <c r="C804" s="7" t="s">
        <v>267</v>
      </c>
      <c r="D804" s="7" t="s">
        <v>1658</v>
      </c>
      <c r="E804" s="7" t="s">
        <v>2186</v>
      </c>
      <c r="F804" s="7" t="s">
        <v>238</v>
      </c>
    </row>
    <row r="805">
      <c r="A805" s="7" t="s">
        <v>15</v>
      </c>
      <c r="B805" s="8">
        <v>9.0</v>
      </c>
      <c r="C805" s="7" t="s">
        <v>267</v>
      </c>
      <c r="D805" s="7" t="s">
        <v>1658</v>
      </c>
      <c r="E805" s="7" t="s">
        <v>2186</v>
      </c>
      <c r="F805" s="7" t="s">
        <v>238</v>
      </c>
    </row>
    <row r="806">
      <c r="A806" s="7" t="s">
        <v>16</v>
      </c>
      <c r="B806" s="8">
        <v>9.0</v>
      </c>
      <c r="C806" s="7" t="s">
        <v>267</v>
      </c>
      <c r="D806" s="7" t="s">
        <v>1658</v>
      </c>
      <c r="E806" s="7" t="s">
        <v>2186</v>
      </c>
      <c r="F806" s="7" t="s">
        <v>238</v>
      </c>
    </row>
    <row r="807">
      <c r="A807" s="7" t="s">
        <v>1990</v>
      </c>
      <c r="B807" s="8">
        <v>9.0</v>
      </c>
      <c r="C807" s="7" t="s">
        <v>267</v>
      </c>
      <c r="D807" s="7" t="s">
        <v>1658</v>
      </c>
      <c r="E807" s="7" t="s">
        <v>2186</v>
      </c>
      <c r="F807" s="7" t="s">
        <v>238</v>
      </c>
    </row>
    <row r="808">
      <c r="A808" s="7" t="s">
        <v>612</v>
      </c>
      <c r="B808" s="8">
        <v>9.0</v>
      </c>
      <c r="C808" s="7" t="s">
        <v>267</v>
      </c>
      <c r="D808" s="7" t="s">
        <v>1658</v>
      </c>
      <c r="E808" s="7" t="s">
        <v>2186</v>
      </c>
      <c r="F808" s="7" t="s">
        <v>238</v>
      </c>
    </row>
    <row r="809">
      <c r="A809" s="7" t="s">
        <v>18</v>
      </c>
      <c r="B809" s="8">
        <v>9.0</v>
      </c>
      <c r="C809" s="7" t="s">
        <v>267</v>
      </c>
      <c r="D809" s="7" t="s">
        <v>1658</v>
      </c>
      <c r="E809" s="7" t="s">
        <v>2186</v>
      </c>
      <c r="F809" s="7" t="s">
        <v>238</v>
      </c>
    </row>
    <row r="810">
      <c r="A810" s="7" t="s">
        <v>19</v>
      </c>
      <c r="B810" s="8">
        <v>9.0</v>
      </c>
      <c r="C810" s="7" t="s">
        <v>267</v>
      </c>
      <c r="D810" s="7" t="s">
        <v>1658</v>
      </c>
      <c r="E810" s="7" t="s">
        <v>2186</v>
      </c>
      <c r="F810" s="7" t="s">
        <v>238</v>
      </c>
    </row>
    <row r="811">
      <c r="A811" s="7" t="s">
        <v>1986</v>
      </c>
      <c r="B811" s="8">
        <v>9.0</v>
      </c>
      <c r="C811" s="7" t="s">
        <v>274</v>
      </c>
      <c r="D811" s="7" t="s">
        <v>2188</v>
      </c>
      <c r="E811" s="7" t="s">
        <v>2189</v>
      </c>
      <c r="F811" s="7" t="s">
        <v>2190</v>
      </c>
    </row>
    <row r="812">
      <c r="A812" s="7" t="s">
        <v>188</v>
      </c>
      <c r="B812" s="8">
        <v>9.0</v>
      </c>
      <c r="C812" s="7" t="s">
        <v>274</v>
      </c>
      <c r="D812" s="7" t="s">
        <v>2188</v>
      </c>
      <c r="E812" s="7" t="s">
        <v>2189</v>
      </c>
      <c r="F812" s="7" t="s">
        <v>2137</v>
      </c>
    </row>
    <row r="813">
      <c r="A813" s="7" t="s">
        <v>597</v>
      </c>
      <c r="B813" s="8">
        <v>9.0</v>
      </c>
      <c r="C813" s="7" t="s">
        <v>274</v>
      </c>
      <c r="D813" s="7" t="s">
        <v>2188</v>
      </c>
      <c r="E813" s="7" t="s">
        <v>2189</v>
      </c>
      <c r="F813" s="7" t="s">
        <v>1363</v>
      </c>
    </row>
    <row r="814">
      <c r="A814" s="7" t="s">
        <v>386</v>
      </c>
      <c r="B814" s="8">
        <v>9.0</v>
      </c>
      <c r="C814" s="7" t="s">
        <v>274</v>
      </c>
      <c r="D814" s="7" t="s">
        <v>2188</v>
      </c>
      <c r="E814" s="7" t="s">
        <v>2189</v>
      </c>
      <c r="F814" s="7" t="s">
        <v>1035</v>
      </c>
    </row>
    <row r="815">
      <c r="A815" s="7" t="s">
        <v>598</v>
      </c>
      <c r="B815" s="8">
        <v>9.0</v>
      </c>
      <c r="C815" s="7" t="s">
        <v>274</v>
      </c>
      <c r="D815" s="7" t="s">
        <v>2188</v>
      </c>
      <c r="E815" s="7" t="s">
        <v>2189</v>
      </c>
      <c r="F815" s="7" t="s">
        <v>1363</v>
      </c>
    </row>
    <row r="816">
      <c r="A816" s="7" t="s">
        <v>867</v>
      </c>
      <c r="B816" s="8">
        <v>9.0</v>
      </c>
      <c r="C816" s="7" t="s">
        <v>274</v>
      </c>
      <c r="D816" s="7" t="s">
        <v>2188</v>
      </c>
      <c r="E816" s="7" t="s">
        <v>2189</v>
      </c>
      <c r="F816" s="7" t="s">
        <v>1363</v>
      </c>
    </row>
    <row r="817">
      <c r="A817" s="7" t="s">
        <v>1987</v>
      </c>
      <c r="B817" s="8">
        <v>9.0</v>
      </c>
      <c r="C817" s="7" t="s">
        <v>274</v>
      </c>
      <c r="D817" s="7" t="s">
        <v>2188</v>
      </c>
      <c r="E817" s="7" t="s">
        <v>2189</v>
      </c>
      <c r="F817" s="7" t="s">
        <v>2128</v>
      </c>
    </row>
    <row r="818">
      <c r="A818" s="7" t="s">
        <v>868</v>
      </c>
      <c r="B818" s="8">
        <v>9.0</v>
      </c>
      <c r="C818" s="7" t="s">
        <v>274</v>
      </c>
      <c r="D818" s="7" t="s">
        <v>2188</v>
      </c>
      <c r="E818" s="7" t="s">
        <v>2189</v>
      </c>
      <c r="F818" s="7" t="s">
        <v>2128</v>
      </c>
    </row>
    <row r="819">
      <c r="A819" s="7" t="s">
        <v>869</v>
      </c>
      <c r="B819" s="8">
        <v>9.0</v>
      </c>
      <c r="C819" s="7" t="s">
        <v>274</v>
      </c>
      <c r="D819" s="7" t="s">
        <v>2188</v>
      </c>
      <c r="E819" s="7" t="s">
        <v>2189</v>
      </c>
      <c r="F819" s="7" t="s">
        <v>780</v>
      </c>
    </row>
    <row r="820">
      <c r="A820" s="7" t="s">
        <v>600</v>
      </c>
      <c r="B820" s="8">
        <v>9.0</v>
      </c>
      <c r="C820" s="7" t="s">
        <v>274</v>
      </c>
      <c r="D820" s="7" t="s">
        <v>2188</v>
      </c>
      <c r="E820" s="7" t="s">
        <v>2189</v>
      </c>
      <c r="F820" s="7" t="s">
        <v>2191</v>
      </c>
    </row>
    <row r="821">
      <c r="A821" s="7" t="s">
        <v>870</v>
      </c>
      <c r="B821" s="8">
        <v>9.0</v>
      </c>
      <c r="C821" s="7" t="s">
        <v>274</v>
      </c>
      <c r="D821" s="7" t="s">
        <v>2188</v>
      </c>
      <c r="E821" s="7" t="s">
        <v>2189</v>
      </c>
      <c r="F821" s="7" t="s">
        <v>2175</v>
      </c>
    </row>
    <row r="822">
      <c r="A822" s="7" t="s">
        <v>1293</v>
      </c>
      <c r="B822" s="8">
        <v>9.0</v>
      </c>
      <c r="C822" s="7" t="s">
        <v>274</v>
      </c>
      <c r="D822" s="7" t="s">
        <v>2188</v>
      </c>
      <c r="E822" s="7" t="s">
        <v>2189</v>
      </c>
      <c r="F822" s="7" t="s">
        <v>780</v>
      </c>
    </row>
    <row r="823">
      <c r="A823" s="7" t="s">
        <v>601</v>
      </c>
      <c r="B823" s="8">
        <v>9.0</v>
      </c>
      <c r="C823" s="7" t="s">
        <v>274</v>
      </c>
      <c r="D823" s="7" t="s">
        <v>2188</v>
      </c>
      <c r="E823" s="7" t="s">
        <v>2189</v>
      </c>
      <c r="F823" s="7" t="s">
        <v>2192</v>
      </c>
    </row>
    <row r="824">
      <c r="A824" s="7" t="s">
        <v>871</v>
      </c>
      <c r="B824" s="8">
        <v>9.0</v>
      </c>
      <c r="C824" s="7" t="s">
        <v>274</v>
      </c>
      <c r="D824" s="7" t="s">
        <v>2188</v>
      </c>
      <c r="E824" s="7" t="s">
        <v>2189</v>
      </c>
      <c r="F824" s="7" t="s">
        <v>1096</v>
      </c>
    </row>
    <row r="825">
      <c r="A825" s="7" t="s">
        <v>602</v>
      </c>
      <c r="B825" s="8">
        <v>9.0</v>
      </c>
      <c r="C825" s="7" t="s">
        <v>274</v>
      </c>
      <c r="D825" s="7" t="s">
        <v>2188</v>
      </c>
      <c r="E825" s="7" t="s">
        <v>2189</v>
      </c>
      <c r="F825" s="7" t="s">
        <v>2132</v>
      </c>
    </row>
    <row r="826">
      <c r="A826" s="7" t="s">
        <v>603</v>
      </c>
      <c r="B826" s="8">
        <v>9.0</v>
      </c>
      <c r="C826" s="7" t="s">
        <v>274</v>
      </c>
      <c r="D826" s="7" t="s">
        <v>2188</v>
      </c>
      <c r="E826" s="7" t="s">
        <v>2189</v>
      </c>
      <c r="F826" s="7" t="s">
        <v>1098</v>
      </c>
    </row>
    <row r="827">
      <c r="A827" s="7" t="s">
        <v>604</v>
      </c>
      <c r="B827" s="8">
        <v>9.0</v>
      </c>
      <c r="C827" s="7" t="s">
        <v>274</v>
      </c>
      <c r="D827" s="7" t="s">
        <v>2188</v>
      </c>
      <c r="E827" s="7" t="s">
        <v>2189</v>
      </c>
      <c r="F827" s="7" t="s">
        <v>2193</v>
      </c>
    </row>
    <row r="828">
      <c r="A828" s="7" t="s">
        <v>189</v>
      </c>
      <c r="B828" s="8">
        <v>9.0</v>
      </c>
      <c r="C828" s="7" t="s">
        <v>274</v>
      </c>
      <c r="D828" s="7" t="s">
        <v>2188</v>
      </c>
      <c r="E828" s="7" t="s">
        <v>2189</v>
      </c>
      <c r="F828" s="7" t="s">
        <v>1096</v>
      </c>
    </row>
    <row r="829">
      <c r="A829" s="7" t="s">
        <v>605</v>
      </c>
      <c r="B829" s="8">
        <v>9.0</v>
      </c>
      <c r="C829" s="7" t="s">
        <v>274</v>
      </c>
      <c r="D829" s="7" t="s">
        <v>2188</v>
      </c>
      <c r="E829" s="7" t="s">
        <v>2189</v>
      </c>
      <c r="F829" s="7" t="s">
        <v>1664</v>
      </c>
    </row>
    <row r="830">
      <c r="A830" s="7" t="s">
        <v>10</v>
      </c>
      <c r="B830" s="8">
        <v>9.0</v>
      </c>
      <c r="C830" s="7" t="s">
        <v>274</v>
      </c>
      <c r="D830" s="7" t="s">
        <v>2188</v>
      </c>
      <c r="E830" s="7" t="s">
        <v>2189</v>
      </c>
      <c r="F830" s="7" t="s">
        <v>1096</v>
      </c>
    </row>
    <row r="831">
      <c r="A831" s="7" t="s">
        <v>1988</v>
      </c>
      <c r="B831" s="8">
        <v>9.0</v>
      </c>
      <c r="C831" s="7" t="s">
        <v>274</v>
      </c>
      <c r="D831" s="7" t="s">
        <v>2188</v>
      </c>
      <c r="E831" s="7" t="s">
        <v>2189</v>
      </c>
      <c r="F831" s="7" t="s">
        <v>1096</v>
      </c>
    </row>
    <row r="832">
      <c r="A832" s="7" t="s">
        <v>872</v>
      </c>
      <c r="B832" s="8">
        <v>9.0</v>
      </c>
      <c r="C832" s="7" t="s">
        <v>274</v>
      </c>
      <c r="D832" s="7" t="s">
        <v>2188</v>
      </c>
      <c r="E832" s="7" t="s">
        <v>2189</v>
      </c>
      <c r="F832" s="7" t="s">
        <v>2134</v>
      </c>
    </row>
    <row r="833">
      <c r="A833" s="7" t="s">
        <v>606</v>
      </c>
      <c r="B833" s="8">
        <v>9.0</v>
      </c>
      <c r="C833" s="7" t="s">
        <v>274</v>
      </c>
      <c r="D833" s="7" t="s">
        <v>2188</v>
      </c>
      <c r="E833" s="7" t="s">
        <v>2189</v>
      </c>
      <c r="F833" s="7" t="s">
        <v>2194</v>
      </c>
    </row>
    <row r="834">
      <c r="A834" s="7" t="s">
        <v>11</v>
      </c>
      <c r="B834" s="8">
        <v>9.0</v>
      </c>
      <c r="C834" s="7" t="s">
        <v>274</v>
      </c>
      <c r="D834" s="7" t="s">
        <v>2188</v>
      </c>
      <c r="E834" s="7" t="s">
        <v>2189</v>
      </c>
      <c r="F834" s="7" t="s">
        <v>1776</v>
      </c>
    </row>
    <row r="835">
      <c r="A835" s="7" t="s">
        <v>607</v>
      </c>
      <c r="B835" s="8">
        <v>9.0</v>
      </c>
      <c r="C835" s="7" t="s">
        <v>274</v>
      </c>
      <c r="D835" s="7" t="s">
        <v>2188</v>
      </c>
      <c r="E835" s="7" t="s">
        <v>2189</v>
      </c>
      <c r="F835" s="7" t="s">
        <v>785</v>
      </c>
    </row>
    <row r="836">
      <c r="A836" s="7" t="s">
        <v>874</v>
      </c>
      <c r="B836" s="8">
        <v>9.0</v>
      </c>
      <c r="C836" s="7" t="s">
        <v>274</v>
      </c>
      <c r="D836" s="7" t="s">
        <v>2188</v>
      </c>
      <c r="E836" s="7" t="s">
        <v>2189</v>
      </c>
      <c r="F836" s="7" t="s">
        <v>2137</v>
      </c>
    </row>
    <row r="837">
      <c r="A837" s="7" t="s">
        <v>608</v>
      </c>
      <c r="B837" s="8">
        <v>9.0</v>
      </c>
      <c r="C837" s="7" t="s">
        <v>274</v>
      </c>
      <c r="D837" s="7" t="s">
        <v>2188</v>
      </c>
      <c r="E837" s="7" t="s">
        <v>2189</v>
      </c>
      <c r="F837" s="7" t="s">
        <v>1664</v>
      </c>
    </row>
    <row r="838">
      <c r="A838" s="7" t="s">
        <v>875</v>
      </c>
      <c r="B838" s="8">
        <v>9.0</v>
      </c>
      <c r="C838" s="7" t="s">
        <v>274</v>
      </c>
      <c r="D838" s="7" t="s">
        <v>2188</v>
      </c>
      <c r="E838" s="7" t="s">
        <v>2189</v>
      </c>
      <c r="F838" s="7" t="s">
        <v>1664</v>
      </c>
    </row>
    <row r="839">
      <c r="A839" s="7" t="s">
        <v>14</v>
      </c>
      <c r="B839" s="8">
        <v>9.0</v>
      </c>
      <c r="C839" s="7" t="s">
        <v>274</v>
      </c>
      <c r="D839" s="7" t="s">
        <v>2188</v>
      </c>
      <c r="E839" s="7" t="s">
        <v>2189</v>
      </c>
      <c r="F839" s="7" t="s">
        <v>2128</v>
      </c>
    </row>
    <row r="840">
      <c r="A840" s="7" t="s">
        <v>1989</v>
      </c>
      <c r="B840" s="8">
        <v>9.0</v>
      </c>
      <c r="C840" s="7" t="s">
        <v>274</v>
      </c>
      <c r="D840" s="7" t="s">
        <v>2188</v>
      </c>
      <c r="E840" s="7" t="s">
        <v>2189</v>
      </c>
      <c r="F840" s="7" t="s">
        <v>2195</v>
      </c>
    </row>
    <row r="841">
      <c r="A841" s="7" t="s">
        <v>609</v>
      </c>
      <c r="B841" s="8">
        <v>9.0</v>
      </c>
      <c r="C841" s="7" t="s">
        <v>274</v>
      </c>
      <c r="D841" s="7" t="s">
        <v>2188</v>
      </c>
      <c r="E841" s="7" t="s">
        <v>2189</v>
      </c>
      <c r="F841" s="7" t="s">
        <v>1664</v>
      </c>
    </row>
    <row r="842">
      <c r="A842" s="7" t="s">
        <v>15</v>
      </c>
      <c r="B842" s="8">
        <v>9.0</v>
      </c>
      <c r="C842" s="7" t="s">
        <v>274</v>
      </c>
      <c r="D842" s="7" t="s">
        <v>2188</v>
      </c>
      <c r="E842" s="7" t="s">
        <v>2189</v>
      </c>
      <c r="F842" s="7" t="s">
        <v>1664</v>
      </c>
    </row>
    <row r="843">
      <c r="A843" s="7" t="s">
        <v>610</v>
      </c>
      <c r="B843" s="8">
        <v>9.0</v>
      </c>
      <c r="C843" s="7" t="s">
        <v>274</v>
      </c>
      <c r="D843" s="7" t="s">
        <v>2188</v>
      </c>
      <c r="E843" s="7" t="s">
        <v>2189</v>
      </c>
      <c r="F843" s="7" t="s">
        <v>1664</v>
      </c>
    </row>
    <row r="844">
      <c r="A844" s="7" t="s">
        <v>16</v>
      </c>
      <c r="B844" s="8">
        <v>9.0</v>
      </c>
      <c r="C844" s="7" t="s">
        <v>274</v>
      </c>
      <c r="D844" s="7" t="s">
        <v>2188</v>
      </c>
      <c r="E844" s="7" t="s">
        <v>2189</v>
      </c>
      <c r="F844" s="7" t="s">
        <v>1436</v>
      </c>
    </row>
    <row r="845">
      <c r="A845" s="7" t="s">
        <v>1990</v>
      </c>
      <c r="B845" s="8">
        <v>9.0</v>
      </c>
      <c r="C845" s="7" t="s">
        <v>274</v>
      </c>
      <c r="D845" s="7" t="s">
        <v>2188</v>
      </c>
      <c r="E845" s="7" t="s">
        <v>2189</v>
      </c>
      <c r="F845" s="7" t="s">
        <v>2137</v>
      </c>
    </row>
    <row r="846">
      <c r="A846" s="7" t="s">
        <v>611</v>
      </c>
      <c r="B846" s="8">
        <v>9.0</v>
      </c>
      <c r="C846" s="7" t="s">
        <v>274</v>
      </c>
      <c r="D846" s="7" t="s">
        <v>2188</v>
      </c>
      <c r="E846" s="7" t="s">
        <v>2189</v>
      </c>
      <c r="F846" s="7" t="s">
        <v>2196</v>
      </c>
    </row>
    <row r="847">
      <c r="A847" s="7" t="s">
        <v>612</v>
      </c>
      <c r="B847" s="8">
        <v>9.0</v>
      </c>
      <c r="C847" s="7" t="s">
        <v>274</v>
      </c>
      <c r="D847" s="7" t="s">
        <v>2188</v>
      </c>
      <c r="E847" s="7" t="s">
        <v>2189</v>
      </c>
      <c r="F847" s="7" t="s">
        <v>2197</v>
      </c>
    </row>
    <row r="848">
      <c r="A848" s="7" t="s">
        <v>18</v>
      </c>
      <c r="B848" s="8">
        <v>9.0</v>
      </c>
      <c r="C848" s="7" t="s">
        <v>274</v>
      </c>
      <c r="D848" s="7" t="s">
        <v>2188</v>
      </c>
      <c r="E848" s="7" t="s">
        <v>2189</v>
      </c>
      <c r="F848" s="7" t="s">
        <v>1664</v>
      </c>
    </row>
    <row r="849">
      <c r="A849" s="7" t="s">
        <v>19</v>
      </c>
      <c r="B849" s="8">
        <v>9.0</v>
      </c>
      <c r="C849" s="7" t="s">
        <v>274</v>
      </c>
      <c r="D849" s="7" t="s">
        <v>2188</v>
      </c>
      <c r="E849" s="7" t="s">
        <v>2189</v>
      </c>
      <c r="F849" s="7" t="s">
        <v>1664</v>
      </c>
    </row>
    <row r="850">
      <c r="A850" s="7" t="s">
        <v>1986</v>
      </c>
      <c r="B850" s="8">
        <v>9.0</v>
      </c>
      <c r="C850" s="7" t="s">
        <v>794</v>
      </c>
      <c r="D850" s="7" t="s">
        <v>2198</v>
      </c>
      <c r="E850" s="7" t="s">
        <v>2199</v>
      </c>
      <c r="F850" s="7" t="s">
        <v>2200</v>
      </c>
    </row>
    <row r="851">
      <c r="A851" s="7" t="s">
        <v>188</v>
      </c>
      <c r="B851" s="8">
        <v>9.0</v>
      </c>
      <c r="C851" s="7" t="s">
        <v>794</v>
      </c>
      <c r="D851" s="7" t="s">
        <v>2198</v>
      </c>
      <c r="E851" s="7" t="s">
        <v>2199</v>
      </c>
      <c r="F851" s="7" t="s">
        <v>2201</v>
      </c>
    </row>
    <row r="852">
      <c r="A852" s="7" t="s">
        <v>597</v>
      </c>
      <c r="B852" s="8">
        <v>9.0</v>
      </c>
      <c r="C852" s="7" t="s">
        <v>794</v>
      </c>
      <c r="D852" s="7" t="s">
        <v>2198</v>
      </c>
      <c r="E852" s="7" t="s">
        <v>2199</v>
      </c>
      <c r="F852" s="7" t="s">
        <v>2202</v>
      </c>
    </row>
    <row r="853">
      <c r="A853" s="7" t="s">
        <v>386</v>
      </c>
      <c r="B853" s="8">
        <v>9.0</v>
      </c>
      <c r="C853" s="7" t="s">
        <v>794</v>
      </c>
      <c r="D853" s="7" t="s">
        <v>2198</v>
      </c>
      <c r="E853" s="7" t="s">
        <v>2199</v>
      </c>
      <c r="F853" s="7" t="s">
        <v>2201</v>
      </c>
    </row>
    <row r="854">
      <c r="A854" s="7" t="s">
        <v>598</v>
      </c>
      <c r="B854" s="8">
        <v>9.0</v>
      </c>
      <c r="C854" s="7" t="s">
        <v>794</v>
      </c>
      <c r="D854" s="7" t="s">
        <v>2198</v>
      </c>
      <c r="E854" s="7" t="s">
        <v>2199</v>
      </c>
      <c r="F854" s="7" t="s">
        <v>1736</v>
      </c>
    </row>
    <row r="855">
      <c r="A855" s="7" t="s">
        <v>1987</v>
      </c>
      <c r="B855" s="8">
        <v>9.0</v>
      </c>
      <c r="C855" s="7" t="s">
        <v>794</v>
      </c>
      <c r="D855" s="7" t="s">
        <v>2198</v>
      </c>
      <c r="E855" s="7" t="s">
        <v>2199</v>
      </c>
      <c r="F855" s="7" t="s">
        <v>2201</v>
      </c>
    </row>
    <row r="856">
      <c r="A856" s="7" t="s">
        <v>868</v>
      </c>
      <c r="B856" s="8">
        <v>9.0</v>
      </c>
      <c r="C856" s="7" t="s">
        <v>794</v>
      </c>
      <c r="D856" s="7" t="s">
        <v>2198</v>
      </c>
      <c r="E856" s="7" t="s">
        <v>2199</v>
      </c>
      <c r="F856" s="7" t="s">
        <v>2201</v>
      </c>
    </row>
    <row r="857">
      <c r="A857" s="7" t="s">
        <v>869</v>
      </c>
      <c r="B857" s="8">
        <v>9.0</v>
      </c>
      <c r="C857" s="7" t="s">
        <v>794</v>
      </c>
      <c r="D857" s="7" t="s">
        <v>2198</v>
      </c>
      <c r="E857" s="7" t="s">
        <v>2199</v>
      </c>
      <c r="F857" s="7" t="s">
        <v>2203</v>
      </c>
    </row>
    <row r="858">
      <c r="A858" s="7" t="s">
        <v>600</v>
      </c>
      <c r="B858" s="8">
        <v>9.0</v>
      </c>
      <c r="C858" s="7" t="s">
        <v>794</v>
      </c>
      <c r="D858" s="7" t="s">
        <v>2198</v>
      </c>
      <c r="E858" s="7" t="s">
        <v>2199</v>
      </c>
      <c r="F858" s="7" t="s">
        <v>2204</v>
      </c>
    </row>
    <row r="859">
      <c r="A859" s="7" t="s">
        <v>870</v>
      </c>
      <c r="B859" s="8">
        <v>9.0</v>
      </c>
      <c r="C859" s="7" t="s">
        <v>794</v>
      </c>
      <c r="D859" s="7" t="s">
        <v>2198</v>
      </c>
      <c r="E859" s="7" t="s">
        <v>2199</v>
      </c>
      <c r="F859" s="7" t="s">
        <v>2201</v>
      </c>
    </row>
    <row r="860">
      <c r="A860" s="7" t="s">
        <v>1293</v>
      </c>
      <c r="B860" s="8">
        <v>9.0</v>
      </c>
      <c r="C860" s="7" t="s">
        <v>794</v>
      </c>
      <c r="D860" s="7" t="s">
        <v>2198</v>
      </c>
      <c r="E860" s="7" t="s">
        <v>2199</v>
      </c>
      <c r="F860" s="7" t="s">
        <v>2205</v>
      </c>
    </row>
    <row r="861">
      <c r="A861" s="7" t="s">
        <v>601</v>
      </c>
      <c r="B861" s="8">
        <v>9.0</v>
      </c>
      <c r="C861" s="7" t="s">
        <v>794</v>
      </c>
      <c r="D861" s="7" t="s">
        <v>2198</v>
      </c>
      <c r="E861" s="7" t="s">
        <v>2199</v>
      </c>
      <c r="F861" s="7" t="s">
        <v>2206</v>
      </c>
    </row>
    <row r="862">
      <c r="A862" s="7" t="s">
        <v>871</v>
      </c>
      <c r="B862" s="8">
        <v>9.0</v>
      </c>
      <c r="C862" s="7" t="s">
        <v>794</v>
      </c>
      <c r="D862" s="7" t="s">
        <v>2198</v>
      </c>
      <c r="E862" s="7" t="s">
        <v>2199</v>
      </c>
      <c r="F862" s="7" t="s">
        <v>2201</v>
      </c>
    </row>
    <row r="863">
      <c r="A863" s="7" t="s">
        <v>602</v>
      </c>
      <c r="B863" s="8">
        <v>9.0</v>
      </c>
      <c r="C863" s="7" t="s">
        <v>794</v>
      </c>
      <c r="D863" s="7" t="s">
        <v>2198</v>
      </c>
      <c r="E863" s="7" t="s">
        <v>2199</v>
      </c>
      <c r="F863" s="7" t="s">
        <v>2207</v>
      </c>
    </row>
    <row r="864">
      <c r="A864" s="7" t="s">
        <v>603</v>
      </c>
      <c r="B864" s="8">
        <v>9.0</v>
      </c>
      <c r="C864" s="7" t="s">
        <v>794</v>
      </c>
      <c r="D864" s="7" t="s">
        <v>2198</v>
      </c>
      <c r="E864" s="7" t="s">
        <v>2199</v>
      </c>
      <c r="F864" s="7" t="s">
        <v>1125</v>
      </c>
    </row>
    <row r="865">
      <c r="A865" s="7" t="s">
        <v>604</v>
      </c>
      <c r="B865" s="8">
        <v>9.0</v>
      </c>
      <c r="C865" s="7" t="s">
        <v>794</v>
      </c>
      <c r="D865" s="7" t="s">
        <v>2198</v>
      </c>
      <c r="E865" s="7" t="s">
        <v>2199</v>
      </c>
      <c r="F865" s="7" t="s">
        <v>2208</v>
      </c>
    </row>
    <row r="866">
      <c r="A866" s="7" t="s">
        <v>189</v>
      </c>
      <c r="B866" s="8">
        <v>9.0</v>
      </c>
      <c r="C866" s="7" t="s">
        <v>794</v>
      </c>
      <c r="D866" s="7" t="s">
        <v>2198</v>
      </c>
      <c r="E866" s="7" t="s">
        <v>2199</v>
      </c>
      <c r="F866" s="7" t="s">
        <v>2201</v>
      </c>
    </row>
    <row r="867">
      <c r="A867" s="7" t="s">
        <v>605</v>
      </c>
      <c r="B867" s="8">
        <v>9.0</v>
      </c>
      <c r="C867" s="7" t="s">
        <v>794</v>
      </c>
      <c r="D867" s="7" t="s">
        <v>2198</v>
      </c>
      <c r="E867" s="7" t="s">
        <v>2199</v>
      </c>
      <c r="F867" s="7" t="s">
        <v>2209</v>
      </c>
    </row>
    <row r="868">
      <c r="A868" s="7" t="s">
        <v>10</v>
      </c>
      <c r="B868" s="8">
        <v>9.0</v>
      </c>
      <c r="C868" s="7" t="s">
        <v>794</v>
      </c>
      <c r="D868" s="7" t="s">
        <v>2198</v>
      </c>
      <c r="E868" s="7" t="s">
        <v>2199</v>
      </c>
      <c r="F868" s="7" t="s">
        <v>2201</v>
      </c>
    </row>
    <row r="869">
      <c r="A869" s="7" t="s">
        <v>1988</v>
      </c>
      <c r="B869" s="8">
        <v>9.0</v>
      </c>
      <c r="C869" s="7" t="s">
        <v>794</v>
      </c>
      <c r="D869" s="7" t="s">
        <v>2198</v>
      </c>
      <c r="E869" s="7" t="s">
        <v>2199</v>
      </c>
      <c r="F869" s="7" t="s">
        <v>2201</v>
      </c>
    </row>
    <row r="870">
      <c r="A870" s="7" t="s">
        <v>872</v>
      </c>
      <c r="B870" s="8">
        <v>9.0</v>
      </c>
      <c r="C870" s="7" t="s">
        <v>794</v>
      </c>
      <c r="D870" s="7" t="s">
        <v>2198</v>
      </c>
      <c r="E870" s="7" t="s">
        <v>2199</v>
      </c>
      <c r="F870" s="7" t="s">
        <v>2210</v>
      </c>
    </row>
    <row r="871">
      <c r="A871" s="7" t="s">
        <v>606</v>
      </c>
      <c r="B871" s="8">
        <v>9.0</v>
      </c>
      <c r="C871" s="7" t="s">
        <v>794</v>
      </c>
      <c r="D871" s="7" t="s">
        <v>2198</v>
      </c>
      <c r="E871" s="7" t="s">
        <v>2199</v>
      </c>
      <c r="F871" s="7" t="s">
        <v>2211</v>
      </c>
    </row>
    <row r="872">
      <c r="A872" s="7" t="s">
        <v>11</v>
      </c>
      <c r="B872" s="8">
        <v>9.0</v>
      </c>
      <c r="C872" s="7" t="s">
        <v>794</v>
      </c>
      <c r="D872" s="7" t="s">
        <v>2198</v>
      </c>
      <c r="E872" s="7" t="s">
        <v>2199</v>
      </c>
      <c r="F872" s="7" t="s">
        <v>2212</v>
      </c>
    </row>
    <row r="873">
      <c r="A873" s="7" t="s">
        <v>607</v>
      </c>
      <c r="B873" s="8">
        <v>9.0</v>
      </c>
      <c r="C873" s="7" t="s">
        <v>794</v>
      </c>
      <c r="D873" s="7" t="s">
        <v>2198</v>
      </c>
      <c r="E873" s="7" t="s">
        <v>2199</v>
      </c>
      <c r="F873" s="7" t="s">
        <v>2213</v>
      </c>
    </row>
    <row r="874">
      <c r="A874" s="7" t="s">
        <v>874</v>
      </c>
      <c r="B874" s="8">
        <v>9.0</v>
      </c>
      <c r="C874" s="7" t="s">
        <v>794</v>
      </c>
      <c r="D874" s="7" t="s">
        <v>2198</v>
      </c>
      <c r="E874" s="7" t="s">
        <v>2199</v>
      </c>
      <c r="F874" s="7" t="s">
        <v>2201</v>
      </c>
    </row>
    <row r="875">
      <c r="A875" s="7" t="s">
        <v>608</v>
      </c>
      <c r="B875" s="8">
        <v>9.0</v>
      </c>
      <c r="C875" s="7" t="s">
        <v>794</v>
      </c>
      <c r="D875" s="7" t="s">
        <v>2198</v>
      </c>
      <c r="E875" s="7" t="s">
        <v>2199</v>
      </c>
      <c r="F875" s="7" t="s">
        <v>2214</v>
      </c>
    </row>
    <row r="876">
      <c r="A876" s="7" t="s">
        <v>875</v>
      </c>
      <c r="B876" s="8">
        <v>9.0</v>
      </c>
      <c r="C876" s="7" t="s">
        <v>794</v>
      </c>
      <c r="D876" s="7" t="s">
        <v>2198</v>
      </c>
      <c r="E876" s="7" t="s">
        <v>2199</v>
      </c>
      <c r="F876" s="7" t="s">
        <v>2215</v>
      </c>
    </row>
    <row r="877">
      <c r="A877" s="7" t="s">
        <v>14</v>
      </c>
      <c r="B877" s="8">
        <v>9.0</v>
      </c>
      <c r="C877" s="7" t="s">
        <v>794</v>
      </c>
      <c r="D877" s="7" t="s">
        <v>2198</v>
      </c>
      <c r="E877" s="7" t="s">
        <v>2199</v>
      </c>
      <c r="F877" s="7" t="s">
        <v>2201</v>
      </c>
    </row>
    <row r="878">
      <c r="A878" s="7" t="s">
        <v>1989</v>
      </c>
      <c r="B878" s="8">
        <v>9.0</v>
      </c>
      <c r="C878" s="7" t="s">
        <v>794</v>
      </c>
      <c r="D878" s="7" t="s">
        <v>2198</v>
      </c>
      <c r="E878" s="7" t="s">
        <v>2199</v>
      </c>
      <c r="F878" s="7" t="s">
        <v>2216</v>
      </c>
    </row>
    <row r="879">
      <c r="A879" s="7" t="s">
        <v>609</v>
      </c>
      <c r="B879" s="8">
        <v>9.0</v>
      </c>
      <c r="C879" s="7" t="s">
        <v>794</v>
      </c>
      <c r="D879" s="7" t="s">
        <v>2198</v>
      </c>
      <c r="E879" s="7" t="s">
        <v>2199</v>
      </c>
      <c r="F879" s="7" t="s">
        <v>2217</v>
      </c>
    </row>
    <row r="880">
      <c r="A880" s="7" t="s">
        <v>15</v>
      </c>
      <c r="B880" s="8">
        <v>9.0</v>
      </c>
      <c r="C880" s="7" t="s">
        <v>794</v>
      </c>
      <c r="D880" s="7" t="s">
        <v>2198</v>
      </c>
      <c r="E880" s="7" t="s">
        <v>2199</v>
      </c>
      <c r="F880" s="7" t="s">
        <v>2218</v>
      </c>
    </row>
    <row r="881">
      <c r="A881" s="7" t="s">
        <v>610</v>
      </c>
      <c r="B881" s="8">
        <v>9.0</v>
      </c>
      <c r="C881" s="7" t="s">
        <v>794</v>
      </c>
      <c r="D881" s="7" t="s">
        <v>2198</v>
      </c>
      <c r="E881" s="7" t="s">
        <v>2199</v>
      </c>
      <c r="F881" s="7" t="s">
        <v>2219</v>
      </c>
    </row>
    <row r="882">
      <c r="A882" s="7" t="s">
        <v>16</v>
      </c>
      <c r="B882" s="8">
        <v>9.0</v>
      </c>
      <c r="C882" s="7" t="s">
        <v>794</v>
      </c>
      <c r="D882" s="7" t="s">
        <v>2198</v>
      </c>
      <c r="E882" s="7" t="s">
        <v>2199</v>
      </c>
      <c r="F882" s="7" t="s">
        <v>2220</v>
      </c>
    </row>
    <row r="883">
      <c r="A883" s="7" t="s">
        <v>1990</v>
      </c>
      <c r="B883" s="8">
        <v>9.0</v>
      </c>
      <c r="C883" s="7" t="s">
        <v>794</v>
      </c>
      <c r="D883" s="7" t="s">
        <v>2198</v>
      </c>
      <c r="E883" s="7" t="s">
        <v>2199</v>
      </c>
      <c r="F883" s="7" t="s">
        <v>2221</v>
      </c>
    </row>
    <row r="884">
      <c r="A884" s="7" t="s">
        <v>611</v>
      </c>
      <c r="B884" s="8">
        <v>9.0</v>
      </c>
      <c r="C884" s="7" t="s">
        <v>794</v>
      </c>
      <c r="D884" s="7" t="s">
        <v>2198</v>
      </c>
      <c r="E884" s="7" t="s">
        <v>2199</v>
      </c>
      <c r="F884" s="7" t="s">
        <v>2222</v>
      </c>
    </row>
    <row r="885">
      <c r="A885" s="7" t="s">
        <v>612</v>
      </c>
      <c r="B885" s="8">
        <v>9.0</v>
      </c>
      <c r="C885" s="7" t="s">
        <v>794</v>
      </c>
      <c r="D885" s="7" t="s">
        <v>2198</v>
      </c>
      <c r="E885" s="7" t="s">
        <v>2199</v>
      </c>
      <c r="F885" s="7" t="s">
        <v>1750</v>
      </c>
    </row>
    <row r="886">
      <c r="A886" s="7" t="s">
        <v>18</v>
      </c>
      <c r="B886" s="8">
        <v>9.0</v>
      </c>
      <c r="C886" s="7" t="s">
        <v>794</v>
      </c>
      <c r="D886" s="7" t="s">
        <v>2198</v>
      </c>
      <c r="E886" s="7" t="s">
        <v>2199</v>
      </c>
      <c r="F886" s="7" t="s">
        <v>2223</v>
      </c>
    </row>
    <row r="887">
      <c r="A887" s="7" t="s">
        <v>19</v>
      </c>
      <c r="B887" s="8">
        <v>9.0</v>
      </c>
      <c r="C887" s="7" t="s">
        <v>794</v>
      </c>
      <c r="D887" s="7" t="s">
        <v>2198</v>
      </c>
      <c r="E887" s="7" t="s">
        <v>2199</v>
      </c>
      <c r="F887" s="7" t="s">
        <v>2224</v>
      </c>
    </row>
    <row r="888">
      <c r="A888" s="7" t="s">
        <v>1986</v>
      </c>
      <c r="B888" s="8">
        <v>9.0</v>
      </c>
      <c r="C888" s="7" t="s">
        <v>122</v>
      </c>
      <c r="D888" s="7" t="s">
        <v>2225</v>
      </c>
      <c r="E888" s="7" t="s">
        <v>2226</v>
      </c>
      <c r="F888" s="7" t="s">
        <v>2227</v>
      </c>
    </row>
    <row r="889">
      <c r="A889" s="7" t="s">
        <v>188</v>
      </c>
      <c r="B889" s="8">
        <v>9.0</v>
      </c>
      <c r="C889" s="7" t="s">
        <v>122</v>
      </c>
      <c r="D889" s="7" t="s">
        <v>2225</v>
      </c>
      <c r="E889" s="7" t="s">
        <v>2226</v>
      </c>
      <c r="F889" s="7" t="s">
        <v>2228</v>
      </c>
    </row>
    <row r="890">
      <c r="A890" s="7" t="s">
        <v>597</v>
      </c>
      <c r="B890" s="8">
        <v>9.0</v>
      </c>
      <c r="C890" s="7" t="s">
        <v>122</v>
      </c>
      <c r="D890" s="7" t="s">
        <v>2225</v>
      </c>
      <c r="E890" s="7" t="s">
        <v>2226</v>
      </c>
      <c r="F890" s="7" t="s">
        <v>1820</v>
      </c>
    </row>
    <row r="891">
      <c r="A891" s="7" t="s">
        <v>386</v>
      </c>
      <c r="B891" s="8">
        <v>9.0</v>
      </c>
      <c r="C891" s="7" t="s">
        <v>122</v>
      </c>
      <c r="D891" s="7" t="s">
        <v>2225</v>
      </c>
      <c r="E891" s="7" t="s">
        <v>2226</v>
      </c>
      <c r="F891" s="7" t="s">
        <v>2229</v>
      </c>
    </row>
    <row r="892">
      <c r="A892" s="7" t="s">
        <v>598</v>
      </c>
      <c r="B892" s="8">
        <v>9.0</v>
      </c>
      <c r="C892" s="7" t="s">
        <v>122</v>
      </c>
      <c r="D892" s="7" t="s">
        <v>2225</v>
      </c>
      <c r="E892" s="7" t="s">
        <v>2226</v>
      </c>
      <c r="F892" s="7" t="s">
        <v>2230</v>
      </c>
    </row>
    <row r="893">
      <c r="A893" s="7" t="s">
        <v>867</v>
      </c>
      <c r="B893" s="8">
        <v>9.0</v>
      </c>
      <c r="C893" s="7" t="s">
        <v>122</v>
      </c>
      <c r="D893" s="7" t="s">
        <v>2225</v>
      </c>
      <c r="E893" s="7" t="s">
        <v>2226</v>
      </c>
      <c r="F893" s="7" t="s">
        <v>1170</v>
      </c>
    </row>
    <row r="894">
      <c r="A894" s="7" t="s">
        <v>1987</v>
      </c>
      <c r="B894" s="8">
        <v>9.0</v>
      </c>
      <c r="C894" s="7" t="s">
        <v>122</v>
      </c>
      <c r="D894" s="7" t="s">
        <v>2225</v>
      </c>
      <c r="E894" s="7" t="s">
        <v>2226</v>
      </c>
      <c r="F894" s="7" t="s">
        <v>2231</v>
      </c>
    </row>
    <row r="895">
      <c r="A895" s="7" t="s">
        <v>868</v>
      </c>
      <c r="B895" s="8">
        <v>9.0</v>
      </c>
      <c r="C895" s="7" t="s">
        <v>122</v>
      </c>
      <c r="D895" s="7" t="s">
        <v>2225</v>
      </c>
      <c r="E895" s="7" t="s">
        <v>2226</v>
      </c>
      <c r="F895" s="7" t="s">
        <v>1462</v>
      </c>
    </row>
    <row r="896">
      <c r="A896" s="7" t="s">
        <v>869</v>
      </c>
      <c r="B896" s="8">
        <v>9.0</v>
      </c>
      <c r="C896" s="7" t="s">
        <v>122</v>
      </c>
      <c r="D896" s="7" t="s">
        <v>2225</v>
      </c>
      <c r="E896" s="7" t="s">
        <v>2226</v>
      </c>
      <c r="F896" s="7" t="s">
        <v>2232</v>
      </c>
    </row>
    <row r="897">
      <c r="A897" s="7" t="s">
        <v>600</v>
      </c>
      <c r="B897" s="8">
        <v>9.0</v>
      </c>
      <c r="C897" s="7" t="s">
        <v>122</v>
      </c>
      <c r="D897" s="7" t="s">
        <v>2225</v>
      </c>
      <c r="E897" s="7" t="s">
        <v>2226</v>
      </c>
      <c r="F897" s="7" t="s">
        <v>1824</v>
      </c>
    </row>
    <row r="898">
      <c r="A898" s="7" t="s">
        <v>870</v>
      </c>
      <c r="B898" s="8">
        <v>9.0</v>
      </c>
      <c r="C898" s="7" t="s">
        <v>122</v>
      </c>
      <c r="D898" s="7" t="s">
        <v>2225</v>
      </c>
      <c r="E898" s="7" t="s">
        <v>2226</v>
      </c>
      <c r="F898" s="7" t="s">
        <v>1174</v>
      </c>
    </row>
    <row r="899">
      <c r="A899" s="7" t="s">
        <v>1293</v>
      </c>
      <c r="B899" s="8">
        <v>9.0</v>
      </c>
      <c r="C899" s="7" t="s">
        <v>122</v>
      </c>
      <c r="D899" s="7" t="s">
        <v>2225</v>
      </c>
      <c r="E899" s="7" t="s">
        <v>2226</v>
      </c>
      <c r="F899" s="7" t="s">
        <v>1463</v>
      </c>
    </row>
    <row r="900">
      <c r="A900" s="7" t="s">
        <v>601</v>
      </c>
      <c r="B900" s="8">
        <v>9.0</v>
      </c>
      <c r="C900" s="7" t="s">
        <v>122</v>
      </c>
      <c r="D900" s="7" t="s">
        <v>2225</v>
      </c>
      <c r="E900" s="7" t="s">
        <v>2226</v>
      </c>
      <c r="F900" s="7" t="s">
        <v>2233</v>
      </c>
    </row>
    <row r="901">
      <c r="A901" s="7" t="s">
        <v>871</v>
      </c>
      <c r="B901" s="8">
        <v>9.0</v>
      </c>
      <c r="C901" s="7" t="s">
        <v>122</v>
      </c>
      <c r="D901" s="7" t="s">
        <v>2225</v>
      </c>
      <c r="E901" s="7" t="s">
        <v>2226</v>
      </c>
      <c r="F901" s="7" t="s">
        <v>2234</v>
      </c>
    </row>
    <row r="902">
      <c r="A902" s="7" t="s">
        <v>602</v>
      </c>
      <c r="B902" s="8">
        <v>9.0</v>
      </c>
      <c r="C902" s="7" t="s">
        <v>122</v>
      </c>
      <c r="D902" s="7" t="s">
        <v>2225</v>
      </c>
      <c r="E902" s="7" t="s">
        <v>2226</v>
      </c>
      <c r="F902" s="7" t="s">
        <v>1177</v>
      </c>
    </row>
    <row r="903">
      <c r="A903" s="7" t="s">
        <v>603</v>
      </c>
      <c r="B903" s="8">
        <v>9.0</v>
      </c>
      <c r="C903" s="7" t="s">
        <v>122</v>
      </c>
      <c r="D903" s="7" t="s">
        <v>2225</v>
      </c>
      <c r="E903" s="7" t="s">
        <v>2226</v>
      </c>
      <c r="F903" s="7" t="s">
        <v>2235</v>
      </c>
    </row>
    <row r="904">
      <c r="A904" s="7" t="s">
        <v>604</v>
      </c>
      <c r="B904" s="8">
        <v>9.0</v>
      </c>
      <c r="C904" s="7" t="s">
        <v>122</v>
      </c>
      <c r="D904" s="7" t="s">
        <v>2225</v>
      </c>
      <c r="E904" s="7" t="s">
        <v>2226</v>
      </c>
      <c r="F904" s="7" t="s">
        <v>1467</v>
      </c>
    </row>
    <row r="905">
      <c r="A905" s="7" t="s">
        <v>189</v>
      </c>
      <c r="B905" s="8">
        <v>9.0</v>
      </c>
      <c r="C905" s="7" t="s">
        <v>122</v>
      </c>
      <c r="D905" s="7" t="s">
        <v>2225</v>
      </c>
      <c r="E905" s="7" t="s">
        <v>2226</v>
      </c>
      <c r="F905" s="7" t="s">
        <v>2236</v>
      </c>
    </row>
    <row r="906">
      <c r="A906" s="7" t="s">
        <v>605</v>
      </c>
      <c r="B906" s="8">
        <v>9.0</v>
      </c>
      <c r="C906" s="7" t="s">
        <v>122</v>
      </c>
      <c r="D906" s="7" t="s">
        <v>2225</v>
      </c>
      <c r="E906" s="7" t="s">
        <v>2226</v>
      </c>
      <c r="F906" s="7" t="s">
        <v>2237</v>
      </c>
    </row>
    <row r="907">
      <c r="A907" s="7" t="s">
        <v>10</v>
      </c>
      <c r="B907" s="8">
        <v>9.0</v>
      </c>
      <c r="C907" s="7" t="s">
        <v>122</v>
      </c>
      <c r="D907" s="7" t="s">
        <v>2225</v>
      </c>
      <c r="E907" s="7" t="s">
        <v>2226</v>
      </c>
      <c r="F907" s="7" t="s">
        <v>2238</v>
      </c>
    </row>
    <row r="908">
      <c r="A908" s="7" t="s">
        <v>1988</v>
      </c>
      <c r="B908" s="8">
        <v>9.0</v>
      </c>
      <c r="C908" s="7" t="s">
        <v>122</v>
      </c>
      <c r="D908" s="7" t="s">
        <v>2225</v>
      </c>
      <c r="E908" s="7" t="s">
        <v>2226</v>
      </c>
      <c r="F908" s="7" t="s">
        <v>2239</v>
      </c>
    </row>
    <row r="909">
      <c r="A909" s="7" t="s">
        <v>872</v>
      </c>
      <c r="B909" s="8">
        <v>9.0</v>
      </c>
      <c r="C909" s="7" t="s">
        <v>122</v>
      </c>
      <c r="D909" s="7" t="s">
        <v>2225</v>
      </c>
      <c r="E909" s="7" t="s">
        <v>2226</v>
      </c>
      <c r="F909" s="7" t="s">
        <v>2240</v>
      </c>
    </row>
    <row r="910">
      <c r="A910" s="7" t="s">
        <v>606</v>
      </c>
      <c r="B910" s="8">
        <v>9.0</v>
      </c>
      <c r="C910" s="7" t="s">
        <v>122</v>
      </c>
      <c r="D910" s="7" t="s">
        <v>2225</v>
      </c>
      <c r="E910" s="7" t="s">
        <v>2226</v>
      </c>
      <c r="F910" s="7" t="s">
        <v>2241</v>
      </c>
    </row>
    <row r="911">
      <c r="A911" s="7" t="s">
        <v>11</v>
      </c>
      <c r="B911" s="8">
        <v>9.0</v>
      </c>
      <c r="C911" s="7" t="s">
        <v>122</v>
      </c>
      <c r="D911" s="7" t="s">
        <v>2225</v>
      </c>
      <c r="E911" s="7" t="s">
        <v>2226</v>
      </c>
      <c r="F911" s="7" t="s">
        <v>2242</v>
      </c>
    </row>
    <row r="912">
      <c r="A912" s="7" t="s">
        <v>607</v>
      </c>
      <c r="B912" s="8">
        <v>9.0</v>
      </c>
      <c r="C912" s="7" t="s">
        <v>122</v>
      </c>
      <c r="D912" s="7" t="s">
        <v>2225</v>
      </c>
      <c r="E912" s="7" t="s">
        <v>2226</v>
      </c>
      <c r="F912" s="7" t="s">
        <v>1827</v>
      </c>
    </row>
    <row r="913">
      <c r="A913" s="7" t="s">
        <v>874</v>
      </c>
      <c r="B913" s="8">
        <v>9.0</v>
      </c>
      <c r="C913" s="7" t="s">
        <v>122</v>
      </c>
      <c r="D913" s="7" t="s">
        <v>2225</v>
      </c>
      <c r="E913" s="7" t="s">
        <v>2226</v>
      </c>
      <c r="F913" s="7" t="s">
        <v>2243</v>
      </c>
    </row>
    <row r="914">
      <c r="A914" s="7" t="s">
        <v>608</v>
      </c>
      <c r="B914" s="8">
        <v>9.0</v>
      </c>
      <c r="C914" s="7" t="s">
        <v>122</v>
      </c>
      <c r="D914" s="7" t="s">
        <v>2225</v>
      </c>
      <c r="E914" s="7" t="s">
        <v>2226</v>
      </c>
      <c r="F914" s="7" t="s">
        <v>1475</v>
      </c>
    </row>
    <row r="915">
      <c r="A915" s="7" t="s">
        <v>875</v>
      </c>
      <c r="B915" s="8">
        <v>9.0</v>
      </c>
      <c r="C915" s="7" t="s">
        <v>122</v>
      </c>
      <c r="D915" s="7" t="s">
        <v>2225</v>
      </c>
      <c r="E915" s="7" t="s">
        <v>2226</v>
      </c>
      <c r="F915" s="7" t="s">
        <v>2244</v>
      </c>
    </row>
    <row r="916">
      <c r="A916" s="7" t="s">
        <v>14</v>
      </c>
      <c r="B916" s="8">
        <v>9.0</v>
      </c>
      <c r="C916" s="7" t="s">
        <v>122</v>
      </c>
      <c r="D916" s="7" t="s">
        <v>2225</v>
      </c>
      <c r="E916" s="7" t="s">
        <v>2226</v>
      </c>
      <c r="F916" s="7" t="s">
        <v>2245</v>
      </c>
    </row>
    <row r="917">
      <c r="A917" s="7" t="s">
        <v>1989</v>
      </c>
      <c r="B917" s="8">
        <v>9.0</v>
      </c>
      <c r="C917" s="7" t="s">
        <v>122</v>
      </c>
      <c r="D917" s="7" t="s">
        <v>2225</v>
      </c>
      <c r="E917" s="7" t="s">
        <v>2226</v>
      </c>
      <c r="F917" s="7" t="s">
        <v>2246</v>
      </c>
    </row>
    <row r="918">
      <c r="A918" s="7" t="s">
        <v>609</v>
      </c>
      <c r="B918" s="8">
        <v>9.0</v>
      </c>
      <c r="C918" s="7" t="s">
        <v>122</v>
      </c>
      <c r="D918" s="7" t="s">
        <v>2225</v>
      </c>
      <c r="E918" s="7" t="s">
        <v>2226</v>
      </c>
      <c r="F918" s="7" t="s">
        <v>1828</v>
      </c>
    </row>
    <row r="919">
      <c r="A919" s="7" t="s">
        <v>15</v>
      </c>
      <c r="B919" s="8">
        <v>9.0</v>
      </c>
      <c r="C919" s="7" t="s">
        <v>122</v>
      </c>
      <c r="D919" s="7" t="s">
        <v>2225</v>
      </c>
      <c r="E919" s="7" t="s">
        <v>2226</v>
      </c>
      <c r="F919" s="7" t="s">
        <v>1829</v>
      </c>
    </row>
    <row r="920">
      <c r="A920" s="7" t="s">
        <v>610</v>
      </c>
      <c r="B920" s="8">
        <v>9.0</v>
      </c>
      <c r="C920" s="7" t="s">
        <v>122</v>
      </c>
      <c r="D920" s="7" t="s">
        <v>2225</v>
      </c>
      <c r="E920" s="7" t="s">
        <v>2226</v>
      </c>
      <c r="F920" s="7" t="s">
        <v>2247</v>
      </c>
    </row>
    <row r="921">
      <c r="A921" s="7" t="s">
        <v>16</v>
      </c>
      <c r="B921" s="8">
        <v>9.0</v>
      </c>
      <c r="C921" s="7" t="s">
        <v>122</v>
      </c>
      <c r="D921" s="7" t="s">
        <v>2225</v>
      </c>
      <c r="E921" s="7" t="s">
        <v>2226</v>
      </c>
      <c r="F921" s="7" t="s">
        <v>2248</v>
      </c>
    </row>
    <row r="922">
      <c r="A922" s="7" t="s">
        <v>1990</v>
      </c>
      <c r="B922" s="8">
        <v>9.0</v>
      </c>
      <c r="C922" s="7" t="s">
        <v>122</v>
      </c>
      <c r="D922" s="7" t="s">
        <v>2225</v>
      </c>
      <c r="E922" s="7" t="s">
        <v>2226</v>
      </c>
      <c r="F922" s="7" t="s">
        <v>2249</v>
      </c>
    </row>
    <row r="923">
      <c r="A923" s="7" t="s">
        <v>611</v>
      </c>
      <c r="B923" s="8">
        <v>9.0</v>
      </c>
      <c r="C923" s="7" t="s">
        <v>122</v>
      </c>
      <c r="D923" s="7" t="s">
        <v>2225</v>
      </c>
      <c r="E923" s="7" t="s">
        <v>2226</v>
      </c>
      <c r="F923" s="7" t="s">
        <v>2250</v>
      </c>
    </row>
    <row r="924">
      <c r="A924" s="7" t="s">
        <v>612</v>
      </c>
      <c r="B924" s="8">
        <v>9.0</v>
      </c>
      <c r="C924" s="7" t="s">
        <v>122</v>
      </c>
      <c r="D924" s="7" t="s">
        <v>2225</v>
      </c>
      <c r="E924" s="7" t="s">
        <v>2226</v>
      </c>
      <c r="F924" s="7" t="s">
        <v>2251</v>
      </c>
    </row>
    <row r="925">
      <c r="A925" s="7" t="s">
        <v>18</v>
      </c>
      <c r="B925" s="8">
        <v>9.0</v>
      </c>
      <c r="C925" s="7" t="s">
        <v>122</v>
      </c>
      <c r="D925" s="7" t="s">
        <v>2225</v>
      </c>
      <c r="E925" s="7" t="s">
        <v>2226</v>
      </c>
      <c r="F925" s="7" t="s">
        <v>2252</v>
      </c>
    </row>
    <row r="926">
      <c r="A926" s="7" t="s">
        <v>19</v>
      </c>
      <c r="B926" s="8">
        <v>9.0</v>
      </c>
      <c r="C926" s="7" t="s">
        <v>122</v>
      </c>
      <c r="D926" s="7" t="s">
        <v>2225</v>
      </c>
      <c r="E926" s="7" t="s">
        <v>2226</v>
      </c>
      <c r="F926" s="7" t="s">
        <v>1832</v>
      </c>
    </row>
    <row r="927">
      <c r="A927" s="7" t="s">
        <v>1986</v>
      </c>
      <c r="B927" s="8">
        <v>9.0</v>
      </c>
      <c r="C927" s="7" t="s">
        <v>139</v>
      </c>
      <c r="D927" s="7" t="s">
        <v>2253</v>
      </c>
      <c r="E927" s="7" t="s">
        <v>2254</v>
      </c>
      <c r="F927" s="7" t="s">
        <v>305</v>
      </c>
    </row>
    <row r="928">
      <c r="A928" s="7" t="s">
        <v>188</v>
      </c>
      <c r="B928" s="8">
        <v>9.0</v>
      </c>
      <c r="C928" s="7" t="s">
        <v>139</v>
      </c>
      <c r="D928" s="7" t="s">
        <v>2253</v>
      </c>
      <c r="E928" s="7" t="s">
        <v>2254</v>
      </c>
      <c r="F928" s="7" t="s">
        <v>305</v>
      </c>
    </row>
    <row r="929">
      <c r="A929" s="7" t="s">
        <v>597</v>
      </c>
      <c r="B929" s="8">
        <v>9.0</v>
      </c>
      <c r="C929" s="7" t="s">
        <v>139</v>
      </c>
      <c r="D929" s="7" t="s">
        <v>2253</v>
      </c>
      <c r="E929" s="7" t="s">
        <v>2254</v>
      </c>
      <c r="F929" s="7" t="s">
        <v>1203</v>
      </c>
    </row>
    <row r="930">
      <c r="A930" s="7" t="s">
        <v>386</v>
      </c>
      <c r="B930" s="8">
        <v>9.0</v>
      </c>
      <c r="C930" s="7" t="s">
        <v>139</v>
      </c>
      <c r="D930" s="7" t="s">
        <v>2253</v>
      </c>
      <c r="E930" s="7" t="s">
        <v>2254</v>
      </c>
      <c r="F930" s="7" t="s">
        <v>2026</v>
      </c>
    </row>
    <row r="931">
      <c r="A931" s="7" t="s">
        <v>598</v>
      </c>
      <c r="B931" s="8">
        <v>9.0</v>
      </c>
      <c r="C931" s="7" t="s">
        <v>139</v>
      </c>
      <c r="D931" s="7" t="s">
        <v>2253</v>
      </c>
      <c r="E931" s="7" t="s">
        <v>2254</v>
      </c>
      <c r="F931" s="7" t="s">
        <v>305</v>
      </c>
    </row>
    <row r="932">
      <c r="A932" s="7" t="s">
        <v>867</v>
      </c>
      <c r="B932" s="8">
        <v>9.0</v>
      </c>
      <c r="C932" s="7" t="s">
        <v>139</v>
      </c>
      <c r="D932" s="7" t="s">
        <v>2253</v>
      </c>
      <c r="E932" s="7" t="s">
        <v>2254</v>
      </c>
      <c r="F932" s="7" t="s">
        <v>1203</v>
      </c>
    </row>
    <row r="933">
      <c r="A933" s="7" t="s">
        <v>1987</v>
      </c>
      <c r="B933" s="8">
        <v>9.0</v>
      </c>
      <c r="C933" s="7" t="s">
        <v>139</v>
      </c>
      <c r="D933" s="7" t="s">
        <v>2253</v>
      </c>
      <c r="E933" s="7" t="s">
        <v>2254</v>
      </c>
      <c r="F933" s="7" t="s">
        <v>305</v>
      </c>
    </row>
    <row r="934">
      <c r="A934" s="7" t="s">
        <v>868</v>
      </c>
      <c r="B934" s="8">
        <v>9.0</v>
      </c>
      <c r="C934" s="7" t="s">
        <v>139</v>
      </c>
      <c r="D934" s="7" t="s">
        <v>2253</v>
      </c>
      <c r="E934" s="7" t="s">
        <v>2254</v>
      </c>
      <c r="F934" s="7" t="s">
        <v>305</v>
      </c>
    </row>
    <row r="935">
      <c r="A935" s="7" t="s">
        <v>869</v>
      </c>
      <c r="B935" s="8">
        <v>9.0</v>
      </c>
      <c r="C935" s="7" t="s">
        <v>139</v>
      </c>
      <c r="D935" s="7" t="s">
        <v>2253</v>
      </c>
      <c r="E935" s="7" t="s">
        <v>2254</v>
      </c>
      <c r="F935" s="7" t="s">
        <v>1203</v>
      </c>
    </row>
    <row r="936">
      <c r="A936" s="7" t="s">
        <v>600</v>
      </c>
      <c r="B936" s="8">
        <v>9.0</v>
      </c>
      <c r="C936" s="7" t="s">
        <v>139</v>
      </c>
      <c r="D936" s="7" t="s">
        <v>2253</v>
      </c>
      <c r="E936" s="7" t="s">
        <v>2254</v>
      </c>
      <c r="F936" s="7" t="s">
        <v>2255</v>
      </c>
    </row>
    <row r="937">
      <c r="A937" s="7" t="s">
        <v>870</v>
      </c>
      <c r="B937" s="8">
        <v>9.0</v>
      </c>
      <c r="C937" s="7" t="s">
        <v>139</v>
      </c>
      <c r="D937" s="7" t="s">
        <v>2253</v>
      </c>
      <c r="E937" s="7" t="s">
        <v>2254</v>
      </c>
      <c r="F937" s="7" t="s">
        <v>305</v>
      </c>
    </row>
    <row r="938">
      <c r="A938" s="7" t="s">
        <v>1293</v>
      </c>
      <c r="B938" s="8">
        <v>9.0</v>
      </c>
      <c r="C938" s="7" t="s">
        <v>139</v>
      </c>
      <c r="D938" s="7" t="s">
        <v>2253</v>
      </c>
      <c r="E938" s="7" t="s">
        <v>2254</v>
      </c>
      <c r="F938" s="7" t="s">
        <v>305</v>
      </c>
    </row>
    <row r="939">
      <c r="A939" s="7" t="s">
        <v>601</v>
      </c>
      <c r="B939" s="8">
        <v>9.0</v>
      </c>
      <c r="C939" s="7" t="s">
        <v>139</v>
      </c>
      <c r="D939" s="7" t="s">
        <v>2253</v>
      </c>
      <c r="E939" s="7" t="s">
        <v>2254</v>
      </c>
      <c r="F939" s="7" t="s">
        <v>1203</v>
      </c>
    </row>
    <row r="940">
      <c r="A940" s="7" t="s">
        <v>602</v>
      </c>
      <c r="B940" s="8">
        <v>9.0</v>
      </c>
      <c r="C940" s="7" t="s">
        <v>139</v>
      </c>
      <c r="D940" s="7" t="s">
        <v>2253</v>
      </c>
      <c r="E940" s="7" t="s">
        <v>2254</v>
      </c>
      <c r="F940" s="7" t="s">
        <v>1203</v>
      </c>
    </row>
    <row r="941">
      <c r="A941" s="7" t="s">
        <v>603</v>
      </c>
      <c r="B941" s="8">
        <v>9.0</v>
      </c>
      <c r="C941" s="7" t="s">
        <v>139</v>
      </c>
      <c r="D941" s="7" t="s">
        <v>2253</v>
      </c>
      <c r="E941" s="7" t="s">
        <v>2254</v>
      </c>
      <c r="F941" s="7" t="s">
        <v>1203</v>
      </c>
    </row>
    <row r="942">
      <c r="A942" s="7" t="s">
        <v>604</v>
      </c>
      <c r="B942" s="8">
        <v>9.0</v>
      </c>
      <c r="C942" s="7" t="s">
        <v>139</v>
      </c>
      <c r="D942" s="7" t="s">
        <v>2253</v>
      </c>
      <c r="E942" s="7" t="s">
        <v>2254</v>
      </c>
      <c r="F942" s="7" t="s">
        <v>1835</v>
      </c>
    </row>
    <row r="943">
      <c r="A943" s="7" t="s">
        <v>189</v>
      </c>
      <c r="B943" s="8">
        <v>9.0</v>
      </c>
      <c r="C943" s="7" t="s">
        <v>139</v>
      </c>
      <c r="D943" s="7" t="s">
        <v>2253</v>
      </c>
      <c r="E943" s="7" t="s">
        <v>2254</v>
      </c>
      <c r="F943" s="7" t="s">
        <v>561</v>
      </c>
    </row>
    <row r="944">
      <c r="A944" s="7" t="s">
        <v>605</v>
      </c>
      <c r="B944" s="8">
        <v>9.0</v>
      </c>
      <c r="C944" s="7" t="s">
        <v>139</v>
      </c>
      <c r="D944" s="7" t="s">
        <v>2253</v>
      </c>
      <c r="E944" s="7" t="s">
        <v>2254</v>
      </c>
      <c r="F944" s="7" t="s">
        <v>142</v>
      </c>
    </row>
    <row r="945">
      <c r="A945" s="7" t="s">
        <v>10</v>
      </c>
      <c r="B945" s="8">
        <v>9.0</v>
      </c>
      <c r="C945" s="7" t="s">
        <v>139</v>
      </c>
      <c r="D945" s="7" t="s">
        <v>2253</v>
      </c>
      <c r="E945" s="7" t="s">
        <v>2254</v>
      </c>
      <c r="F945" s="7" t="s">
        <v>561</v>
      </c>
    </row>
    <row r="946">
      <c r="A946" s="7" t="s">
        <v>1988</v>
      </c>
      <c r="B946" s="8">
        <v>9.0</v>
      </c>
      <c r="C946" s="7" t="s">
        <v>139</v>
      </c>
      <c r="D946" s="7" t="s">
        <v>2253</v>
      </c>
      <c r="E946" s="7" t="s">
        <v>2254</v>
      </c>
      <c r="F946" s="7" t="s">
        <v>561</v>
      </c>
    </row>
    <row r="947">
      <c r="A947" s="7" t="s">
        <v>872</v>
      </c>
      <c r="B947" s="8">
        <v>9.0</v>
      </c>
      <c r="C947" s="7" t="s">
        <v>139</v>
      </c>
      <c r="D947" s="7" t="s">
        <v>2253</v>
      </c>
      <c r="E947" s="7" t="s">
        <v>2254</v>
      </c>
      <c r="F947" s="7" t="s">
        <v>561</v>
      </c>
    </row>
    <row r="948">
      <c r="A948" s="7" t="s">
        <v>606</v>
      </c>
      <c r="B948" s="8">
        <v>9.0</v>
      </c>
      <c r="C948" s="7" t="s">
        <v>139</v>
      </c>
      <c r="D948" s="7" t="s">
        <v>2253</v>
      </c>
      <c r="E948" s="7" t="s">
        <v>2254</v>
      </c>
      <c r="F948" s="7" t="s">
        <v>1203</v>
      </c>
    </row>
    <row r="949">
      <c r="A949" s="7" t="s">
        <v>11</v>
      </c>
      <c r="B949" s="8">
        <v>9.0</v>
      </c>
      <c r="C949" s="7" t="s">
        <v>139</v>
      </c>
      <c r="D949" s="7" t="s">
        <v>2253</v>
      </c>
      <c r="E949" s="7" t="s">
        <v>2254</v>
      </c>
      <c r="F949" s="7" t="s">
        <v>1203</v>
      </c>
    </row>
    <row r="950">
      <c r="A950" s="7" t="s">
        <v>607</v>
      </c>
      <c r="B950" s="8">
        <v>9.0</v>
      </c>
      <c r="C950" s="7" t="s">
        <v>139</v>
      </c>
      <c r="D950" s="7" t="s">
        <v>2253</v>
      </c>
      <c r="E950" s="7" t="s">
        <v>2254</v>
      </c>
      <c r="F950" s="7" t="s">
        <v>271</v>
      </c>
    </row>
    <row r="951">
      <c r="A951" s="7" t="s">
        <v>874</v>
      </c>
      <c r="B951" s="8">
        <v>9.0</v>
      </c>
      <c r="C951" s="7" t="s">
        <v>139</v>
      </c>
      <c r="D951" s="7" t="s">
        <v>2253</v>
      </c>
      <c r="E951" s="7" t="s">
        <v>2254</v>
      </c>
      <c r="F951" s="7" t="s">
        <v>271</v>
      </c>
    </row>
    <row r="952">
      <c r="A952" s="7" t="s">
        <v>608</v>
      </c>
      <c r="B952" s="8">
        <v>9.0</v>
      </c>
      <c r="C952" s="7" t="s">
        <v>139</v>
      </c>
      <c r="D952" s="7" t="s">
        <v>2253</v>
      </c>
      <c r="E952" s="7" t="s">
        <v>2254</v>
      </c>
      <c r="F952" s="7" t="s">
        <v>271</v>
      </c>
    </row>
    <row r="953">
      <c r="A953" s="7" t="s">
        <v>875</v>
      </c>
      <c r="B953" s="8">
        <v>9.0</v>
      </c>
      <c r="C953" s="7" t="s">
        <v>139</v>
      </c>
      <c r="D953" s="7" t="s">
        <v>2253</v>
      </c>
      <c r="E953" s="7" t="s">
        <v>2254</v>
      </c>
      <c r="F953" s="7" t="s">
        <v>271</v>
      </c>
    </row>
    <row r="954">
      <c r="A954" s="7" t="s">
        <v>14</v>
      </c>
      <c r="B954" s="8">
        <v>9.0</v>
      </c>
      <c r="C954" s="7" t="s">
        <v>139</v>
      </c>
      <c r="D954" s="7" t="s">
        <v>2253</v>
      </c>
      <c r="E954" s="7" t="s">
        <v>2254</v>
      </c>
      <c r="F954" s="7" t="s">
        <v>271</v>
      </c>
    </row>
    <row r="955">
      <c r="A955" s="7" t="s">
        <v>1989</v>
      </c>
      <c r="B955" s="8">
        <v>9.0</v>
      </c>
      <c r="C955" s="7" t="s">
        <v>139</v>
      </c>
      <c r="D955" s="7" t="s">
        <v>2253</v>
      </c>
      <c r="E955" s="7" t="s">
        <v>2254</v>
      </c>
      <c r="F955" s="7" t="s">
        <v>2256</v>
      </c>
    </row>
    <row r="956">
      <c r="A956" s="7" t="s">
        <v>609</v>
      </c>
      <c r="B956" s="8">
        <v>9.0</v>
      </c>
      <c r="C956" s="7" t="s">
        <v>139</v>
      </c>
      <c r="D956" s="7" t="s">
        <v>2253</v>
      </c>
      <c r="E956" s="7" t="s">
        <v>2254</v>
      </c>
      <c r="F956" s="7" t="s">
        <v>1203</v>
      </c>
    </row>
    <row r="957">
      <c r="A957" s="7" t="s">
        <v>15</v>
      </c>
      <c r="B957" s="8">
        <v>9.0</v>
      </c>
      <c r="C957" s="7" t="s">
        <v>139</v>
      </c>
      <c r="D957" s="7" t="s">
        <v>2253</v>
      </c>
      <c r="E957" s="7" t="s">
        <v>2254</v>
      </c>
      <c r="F957" s="7" t="s">
        <v>1203</v>
      </c>
    </row>
    <row r="958">
      <c r="A958" s="7" t="s">
        <v>16</v>
      </c>
      <c r="B958" s="8">
        <v>9.0</v>
      </c>
      <c r="C958" s="7" t="s">
        <v>139</v>
      </c>
      <c r="D958" s="7" t="s">
        <v>2253</v>
      </c>
      <c r="E958" s="7" t="s">
        <v>2254</v>
      </c>
      <c r="F958" s="7" t="s">
        <v>1203</v>
      </c>
    </row>
    <row r="959">
      <c r="A959" s="7" t="s">
        <v>1990</v>
      </c>
      <c r="B959" s="8">
        <v>9.0</v>
      </c>
      <c r="C959" s="7" t="s">
        <v>139</v>
      </c>
      <c r="D959" s="7" t="s">
        <v>2253</v>
      </c>
      <c r="E959" s="7" t="s">
        <v>2254</v>
      </c>
      <c r="F959" s="7" t="s">
        <v>561</v>
      </c>
    </row>
    <row r="960">
      <c r="A960" s="7" t="s">
        <v>611</v>
      </c>
      <c r="B960" s="8">
        <v>9.0</v>
      </c>
      <c r="C960" s="7" t="s">
        <v>139</v>
      </c>
      <c r="D960" s="7" t="s">
        <v>2253</v>
      </c>
      <c r="E960" s="7" t="s">
        <v>2254</v>
      </c>
      <c r="F960" s="7" t="s">
        <v>2257</v>
      </c>
    </row>
    <row r="961">
      <c r="A961" s="7" t="s">
        <v>612</v>
      </c>
      <c r="B961" s="8">
        <v>9.0</v>
      </c>
      <c r="C961" s="7" t="s">
        <v>139</v>
      </c>
      <c r="D961" s="7" t="s">
        <v>2253</v>
      </c>
      <c r="E961" s="7" t="s">
        <v>2254</v>
      </c>
      <c r="F961" s="7" t="s">
        <v>1203</v>
      </c>
    </row>
    <row r="962">
      <c r="A962" s="7" t="s">
        <v>18</v>
      </c>
      <c r="B962" s="8">
        <v>9.0</v>
      </c>
      <c r="C962" s="7" t="s">
        <v>139</v>
      </c>
      <c r="D962" s="7" t="s">
        <v>2253</v>
      </c>
      <c r="E962" s="7" t="s">
        <v>2254</v>
      </c>
      <c r="F962" s="7" t="s">
        <v>1203</v>
      </c>
    </row>
    <row r="963">
      <c r="A963" s="7" t="s">
        <v>19</v>
      </c>
      <c r="B963" s="8">
        <v>9.0</v>
      </c>
      <c r="C963" s="7" t="s">
        <v>139</v>
      </c>
      <c r="D963" s="7" t="s">
        <v>2253</v>
      </c>
      <c r="E963" s="7" t="s">
        <v>2254</v>
      </c>
      <c r="F963" s="7" t="s">
        <v>1203</v>
      </c>
    </row>
    <row r="964">
      <c r="A964" s="7" t="s">
        <v>1986</v>
      </c>
      <c r="B964" s="8">
        <v>9.0</v>
      </c>
      <c r="C964" s="7" t="s">
        <v>162</v>
      </c>
      <c r="D964" s="7" t="s">
        <v>2258</v>
      </c>
      <c r="E964" s="7" t="s">
        <v>843</v>
      </c>
      <c r="F964" s="7" t="s">
        <v>2126</v>
      </c>
    </row>
    <row r="965">
      <c r="A965" s="7" t="s">
        <v>188</v>
      </c>
      <c r="B965" s="8">
        <v>9.0</v>
      </c>
      <c r="C965" s="7" t="s">
        <v>162</v>
      </c>
      <c r="D965" s="7" t="s">
        <v>2258</v>
      </c>
      <c r="E965" s="7" t="s">
        <v>843</v>
      </c>
      <c r="F965" s="7" t="s">
        <v>2137</v>
      </c>
    </row>
    <row r="966">
      <c r="A966" s="7" t="s">
        <v>597</v>
      </c>
      <c r="B966" s="8">
        <v>9.0</v>
      </c>
      <c r="C966" s="7" t="s">
        <v>162</v>
      </c>
      <c r="D966" s="7" t="s">
        <v>2258</v>
      </c>
      <c r="E966" s="7" t="s">
        <v>843</v>
      </c>
      <c r="F966" s="7" t="s">
        <v>1221</v>
      </c>
    </row>
    <row r="967">
      <c r="A967" s="7" t="s">
        <v>386</v>
      </c>
      <c r="B967" s="8">
        <v>9.0</v>
      </c>
      <c r="C967" s="7" t="s">
        <v>162</v>
      </c>
      <c r="D967" s="7" t="s">
        <v>2258</v>
      </c>
      <c r="E967" s="7" t="s">
        <v>843</v>
      </c>
      <c r="F967" s="7" t="s">
        <v>2259</v>
      </c>
    </row>
    <row r="968">
      <c r="A968" s="7" t="s">
        <v>598</v>
      </c>
      <c r="B968" s="8">
        <v>9.0</v>
      </c>
      <c r="C968" s="7" t="s">
        <v>162</v>
      </c>
      <c r="D968" s="7" t="s">
        <v>2258</v>
      </c>
      <c r="E968" s="7" t="s">
        <v>843</v>
      </c>
      <c r="F968" s="7" t="s">
        <v>1221</v>
      </c>
    </row>
    <row r="969">
      <c r="A969" s="7" t="s">
        <v>867</v>
      </c>
      <c r="B969" s="8">
        <v>9.0</v>
      </c>
      <c r="C969" s="7" t="s">
        <v>162</v>
      </c>
      <c r="D969" s="7" t="s">
        <v>2258</v>
      </c>
      <c r="E969" s="7" t="s">
        <v>843</v>
      </c>
      <c r="F969" s="7" t="s">
        <v>1221</v>
      </c>
    </row>
    <row r="970">
      <c r="A970" s="7" t="s">
        <v>1987</v>
      </c>
      <c r="B970" s="8">
        <v>9.0</v>
      </c>
      <c r="C970" s="7" t="s">
        <v>162</v>
      </c>
      <c r="D970" s="7" t="s">
        <v>2258</v>
      </c>
      <c r="E970" s="7" t="s">
        <v>843</v>
      </c>
      <c r="F970" s="7" t="s">
        <v>2137</v>
      </c>
    </row>
    <row r="971">
      <c r="A971" s="7" t="s">
        <v>868</v>
      </c>
      <c r="B971" s="8">
        <v>9.0</v>
      </c>
      <c r="C971" s="7" t="s">
        <v>162</v>
      </c>
      <c r="D971" s="7" t="s">
        <v>2258</v>
      </c>
      <c r="E971" s="7" t="s">
        <v>843</v>
      </c>
      <c r="F971" s="7" t="s">
        <v>2128</v>
      </c>
    </row>
    <row r="972">
      <c r="A972" s="7" t="s">
        <v>869</v>
      </c>
      <c r="B972" s="8">
        <v>9.0</v>
      </c>
      <c r="C972" s="7" t="s">
        <v>162</v>
      </c>
      <c r="D972" s="7" t="s">
        <v>2258</v>
      </c>
      <c r="E972" s="7" t="s">
        <v>843</v>
      </c>
      <c r="F972" s="7" t="s">
        <v>1221</v>
      </c>
    </row>
    <row r="973">
      <c r="A973" s="7" t="s">
        <v>600</v>
      </c>
      <c r="B973" s="8">
        <v>9.0</v>
      </c>
      <c r="C973" s="7" t="s">
        <v>162</v>
      </c>
      <c r="D973" s="7" t="s">
        <v>2258</v>
      </c>
      <c r="E973" s="7" t="s">
        <v>843</v>
      </c>
      <c r="F973" s="7" t="s">
        <v>2260</v>
      </c>
    </row>
    <row r="974">
      <c r="A974" s="7" t="s">
        <v>870</v>
      </c>
      <c r="B974" s="8">
        <v>9.0</v>
      </c>
      <c r="C974" s="7" t="s">
        <v>162</v>
      </c>
      <c r="D974" s="7" t="s">
        <v>2258</v>
      </c>
      <c r="E974" s="7" t="s">
        <v>843</v>
      </c>
      <c r="F974" s="7" t="s">
        <v>2128</v>
      </c>
    </row>
    <row r="975">
      <c r="A975" s="7" t="s">
        <v>1293</v>
      </c>
      <c r="B975" s="8">
        <v>9.0</v>
      </c>
      <c r="C975" s="7" t="s">
        <v>162</v>
      </c>
      <c r="D975" s="7" t="s">
        <v>2258</v>
      </c>
      <c r="E975" s="7" t="s">
        <v>843</v>
      </c>
      <c r="F975" s="7" t="s">
        <v>1221</v>
      </c>
    </row>
    <row r="976">
      <c r="A976" s="7" t="s">
        <v>601</v>
      </c>
      <c r="B976" s="8">
        <v>9.0</v>
      </c>
      <c r="C976" s="7" t="s">
        <v>162</v>
      </c>
      <c r="D976" s="7" t="s">
        <v>2258</v>
      </c>
      <c r="E976" s="7" t="s">
        <v>843</v>
      </c>
      <c r="F976" s="7" t="s">
        <v>2261</v>
      </c>
    </row>
    <row r="977">
      <c r="A977" s="7" t="s">
        <v>871</v>
      </c>
      <c r="B977" s="8">
        <v>9.0</v>
      </c>
      <c r="C977" s="7" t="s">
        <v>162</v>
      </c>
      <c r="D977" s="7" t="s">
        <v>2258</v>
      </c>
      <c r="E977" s="7" t="s">
        <v>843</v>
      </c>
      <c r="F977" s="7" t="s">
        <v>1096</v>
      </c>
    </row>
    <row r="978">
      <c r="A978" s="7" t="s">
        <v>602</v>
      </c>
      <c r="B978" s="8">
        <v>9.0</v>
      </c>
      <c r="C978" s="7" t="s">
        <v>162</v>
      </c>
      <c r="D978" s="7" t="s">
        <v>2258</v>
      </c>
      <c r="E978" s="7" t="s">
        <v>843</v>
      </c>
      <c r="F978" s="7" t="s">
        <v>2262</v>
      </c>
    </row>
    <row r="979">
      <c r="A979" s="7" t="s">
        <v>603</v>
      </c>
      <c r="B979" s="8">
        <v>9.0</v>
      </c>
      <c r="C979" s="7" t="s">
        <v>162</v>
      </c>
      <c r="D979" s="7" t="s">
        <v>2258</v>
      </c>
      <c r="E979" s="7" t="s">
        <v>843</v>
      </c>
      <c r="F979" s="7" t="s">
        <v>2263</v>
      </c>
    </row>
    <row r="980">
      <c r="A980" s="7" t="s">
        <v>189</v>
      </c>
      <c r="B980" s="8">
        <v>9.0</v>
      </c>
      <c r="C980" s="7" t="s">
        <v>162</v>
      </c>
      <c r="D980" s="7" t="s">
        <v>2258</v>
      </c>
      <c r="E980" s="7" t="s">
        <v>843</v>
      </c>
      <c r="F980" s="7" t="s">
        <v>2264</v>
      </c>
    </row>
    <row r="981">
      <c r="A981" s="7" t="s">
        <v>605</v>
      </c>
      <c r="B981" s="8">
        <v>9.0</v>
      </c>
      <c r="C981" s="7" t="s">
        <v>162</v>
      </c>
      <c r="D981" s="7" t="s">
        <v>2258</v>
      </c>
      <c r="E981" s="7" t="s">
        <v>843</v>
      </c>
      <c r="F981" s="7" t="s">
        <v>1221</v>
      </c>
    </row>
    <row r="982">
      <c r="A982" s="7" t="s">
        <v>10</v>
      </c>
      <c r="B982" s="8">
        <v>9.0</v>
      </c>
      <c r="C982" s="7" t="s">
        <v>162</v>
      </c>
      <c r="D982" s="7" t="s">
        <v>2258</v>
      </c>
      <c r="E982" s="7" t="s">
        <v>843</v>
      </c>
      <c r="F982" s="7" t="s">
        <v>2265</v>
      </c>
    </row>
    <row r="983">
      <c r="A983" s="7" t="s">
        <v>1988</v>
      </c>
      <c r="B983" s="8">
        <v>9.0</v>
      </c>
      <c r="C983" s="7" t="s">
        <v>162</v>
      </c>
      <c r="D983" s="7" t="s">
        <v>2258</v>
      </c>
      <c r="E983" s="7" t="s">
        <v>843</v>
      </c>
      <c r="F983" s="7" t="s">
        <v>2266</v>
      </c>
    </row>
    <row r="984">
      <c r="A984" s="7" t="s">
        <v>872</v>
      </c>
      <c r="B984" s="8">
        <v>9.0</v>
      </c>
      <c r="C984" s="7" t="s">
        <v>162</v>
      </c>
      <c r="D984" s="7" t="s">
        <v>2258</v>
      </c>
      <c r="E984" s="7" t="s">
        <v>843</v>
      </c>
      <c r="F984" s="7" t="s">
        <v>2267</v>
      </c>
    </row>
    <row r="985">
      <c r="A985" s="7" t="s">
        <v>606</v>
      </c>
      <c r="B985" s="8">
        <v>9.0</v>
      </c>
      <c r="C985" s="7" t="s">
        <v>162</v>
      </c>
      <c r="D985" s="7" t="s">
        <v>2258</v>
      </c>
      <c r="E985" s="7" t="s">
        <v>843</v>
      </c>
      <c r="F985" s="7" t="s">
        <v>2268</v>
      </c>
    </row>
    <row r="986">
      <c r="A986" s="7" t="s">
        <v>11</v>
      </c>
      <c r="B986" s="8">
        <v>9.0</v>
      </c>
      <c r="C986" s="7" t="s">
        <v>162</v>
      </c>
      <c r="D986" s="7" t="s">
        <v>2258</v>
      </c>
      <c r="E986" s="7" t="s">
        <v>843</v>
      </c>
      <c r="F986" s="7" t="s">
        <v>2269</v>
      </c>
    </row>
    <row r="987">
      <c r="A987" s="7" t="s">
        <v>607</v>
      </c>
      <c r="B987" s="8">
        <v>9.0</v>
      </c>
      <c r="C987" s="7" t="s">
        <v>162</v>
      </c>
      <c r="D987" s="7" t="s">
        <v>2258</v>
      </c>
      <c r="E987" s="7" t="s">
        <v>843</v>
      </c>
      <c r="F987" s="7" t="s">
        <v>2270</v>
      </c>
    </row>
    <row r="988">
      <c r="A988" s="7" t="s">
        <v>874</v>
      </c>
      <c r="B988" s="8">
        <v>9.0</v>
      </c>
      <c r="C988" s="7" t="s">
        <v>162</v>
      </c>
      <c r="D988" s="7" t="s">
        <v>2258</v>
      </c>
      <c r="E988" s="7" t="s">
        <v>843</v>
      </c>
      <c r="F988" s="7" t="s">
        <v>2183</v>
      </c>
    </row>
    <row r="989">
      <c r="A989" s="7" t="s">
        <v>608</v>
      </c>
      <c r="B989" s="8">
        <v>9.0</v>
      </c>
      <c r="C989" s="7" t="s">
        <v>162</v>
      </c>
      <c r="D989" s="7" t="s">
        <v>2258</v>
      </c>
      <c r="E989" s="7" t="s">
        <v>843</v>
      </c>
      <c r="F989" s="7" t="s">
        <v>1221</v>
      </c>
    </row>
    <row r="990">
      <c r="A990" s="7" t="s">
        <v>875</v>
      </c>
      <c r="B990" s="8">
        <v>9.0</v>
      </c>
      <c r="C990" s="7" t="s">
        <v>162</v>
      </c>
      <c r="D990" s="7" t="s">
        <v>2258</v>
      </c>
      <c r="E990" s="7" t="s">
        <v>843</v>
      </c>
      <c r="F990" s="7" t="s">
        <v>1221</v>
      </c>
    </row>
    <row r="991">
      <c r="A991" s="7" t="s">
        <v>14</v>
      </c>
      <c r="B991" s="8">
        <v>9.0</v>
      </c>
      <c r="C991" s="7" t="s">
        <v>162</v>
      </c>
      <c r="D991" s="7" t="s">
        <v>2258</v>
      </c>
      <c r="E991" s="7" t="s">
        <v>843</v>
      </c>
      <c r="F991" s="7" t="s">
        <v>2271</v>
      </c>
    </row>
    <row r="992">
      <c r="A992" s="7" t="s">
        <v>1989</v>
      </c>
      <c r="B992" s="8">
        <v>9.0</v>
      </c>
      <c r="C992" s="7" t="s">
        <v>162</v>
      </c>
      <c r="D992" s="7" t="s">
        <v>2258</v>
      </c>
      <c r="E992" s="7" t="s">
        <v>843</v>
      </c>
      <c r="F992" s="7" t="s">
        <v>2272</v>
      </c>
    </row>
    <row r="993">
      <c r="A993" s="7" t="s">
        <v>609</v>
      </c>
      <c r="B993" s="8">
        <v>9.0</v>
      </c>
      <c r="C993" s="7" t="s">
        <v>162</v>
      </c>
      <c r="D993" s="7" t="s">
        <v>2258</v>
      </c>
      <c r="E993" s="7" t="s">
        <v>843</v>
      </c>
      <c r="F993" s="7" t="s">
        <v>1221</v>
      </c>
    </row>
    <row r="994">
      <c r="A994" s="7" t="s">
        <v>15</v>
      </c>
      <c r="B994" s="8">
        <v>9.0</v>
      </c>
      <c r="C994" s="7" t="s">
        <v>162</v>
      </c>
      <c r="D994" s="7" t="s">
        <v>2258</v>
      </c>
      <c r="E994" s="7" t="s">
        <v>843</v>
      </c>
      <c r="F994" s="7" t="s">
        <v>1221</v>
      </c>
    </row>
    <row r="995">
      <c r="A995" s="7" t="s">
        <v>610</v>
      </c>
      <c r="B995" s="8">
        <v>9.0</v>
      </c>
      <c r="C995" s="7" t="s">
        <v>162</v>
      </c>
      <c r="D995" s="7" t="s">
        <v>2258</v>
      </c>
      <c r="E995" s="7" t="s">
        <v>843</v>
      </c>
      <c r="F995" s="7" t="s">
        <v>2273</v>
      </c>
    </row>
    <row r="996">
      <c r="A996" s="7" t="s">
        <v>16</v>
      </c>
      <c r="B996" s="8">
        <v>9.0</v>
      </c>
      <c r="C996" s="7" t="s">
        <v>162</v>
      </c>
      <c r="D996" s="7" t="s">
        <v>2258</v>
      </c>
      <c r="E996" s="7" t="s">
        <v>843</v>
      </c>
      <c r="F996" s="7" t="s">
        <v>1848</v>
      </c>
    </row>
    <row r="997">
      <c r="A997" s="7" t="s">
        <v>1990</v>
      </c>
      <c r="B997" s="8">
        <v>9.0</v>
      </c>
      <c r="C997" s="7" t="s">
        <v>162</v>
      </c>
      <c r="D997" s="7" t="s">
        <v>2258</v>
      </c>
      <c r="E997" s="7" t="s">
        <v>843</v>
      </c>
      <c r="F997" s="7" t="s">
        <v>2183</v>
      </c>
    </row>
    <row r="998">
      <c r="A998" s="7" t="s">
        <v>611</v>
      </c>
      <c r="B998" s="8">
        <v>9.0</v>
      </c>
      <c r="C998" s="7" t="s">
        <v>162</v>
      </c>
      <c r="D998" s="7" t="s">
        <v>2258</v>
      </c>
      <c r="E998" s="7" t="s">
        <v>843</v>
      </c>
      <c r="F998" s="7" t="s">
        <v>1849</v>
      </c>
    </row>
    <row r="999">
      <c r="A999" s="7" t="s">
        <v>612</v>
      </c>
      <c r="B999" s="8">
        <v>9.0</v>
      </c>
      <c r="C999" s="7" t="s">
        <v>162</v>
      </c>
      <c r="D999" s="7" t="s">
        <v>2258</v>
      </c>
      <c r="E999" s="7" t="s">
        <v>843</v>
      </c>
      <c r="F999" s="7" t="s">
        <v>2274</v>
      </c>
    </row>
    <row r="1000">
      <c r="A1000" s="7" t="s">
        <v>18</v>
      </c>
      <c r="B1000" s="8">
        <v>9.0</v>
      </c>
      <c r="C1000" s="7" t="s">
        <v>162</v>
      </c>
      <c r="D1000" s="7" t="s">
        <v>2258</v>
      </c>
      <c r="E1000" s="7" t="s">
        <v>843</v>
      </c>
      <c r="F1000" s="7" t="s">
        <v>1221</v>
      </c>
    </row>
    <row r="1001">
      <c r="A1001" s="7" t="s">
        <v>19</v>
      </c>
      <c r="B1001" s="8">
        <v>9.0</v>
      </c>
      <c r="C1001" s="7" t="s">
        <v>162</v>
      </c>
      <c r="D1001" s="7" t="s">
        <v>2258</v>
      </c>
      <c r="E1001" s="7" t="s">
        <v>843</v>
      </c>
      <c r="F1001" s="7" t="s">
        <v>1221</v>
      </c>
    </row>
    <row r="1002">
      <c r="A1002" s="7" t="s">
        <v>1986</v>
      </c>
      <c r="B1002" s="8">
        <v>9.0</v>
      </c>
      <c r="C1002" s="7" t="s">
        <v>347</v>
      </c>
      <c r="D1002" s="7" t="s">
        <v>123</v>
      </c>
      <c r="E1002" s="7" t="s">
        <v>2275</v>
      </c>
      <c r="F1002" s="7" t="s">
        <v>305</v>
      </c>
    </row>
    <row r="1003">
      <c r="A1003" s="7" t="s">
        <v>188</v>
      </c>
      <c r="B1003" s="8">
        <v>9.0</v>
      </c>
      <c r="C1003" s="7" t="s">
        <v>347</v>
      </c>
      <c r="D1003" s="7" t="s">
        <v>123</v>
      </c>
      <c r="E1003" s="7" t="s">
        <v>2275</v>
      </c>
      <c r="F1003" s="7" t="s">
        <v>305</v>
      </c>
    </row>
    <row r="1004">
      <c r="A1004" s="7" t="s">
        <v>597</v>
      </c>
      <c r="B1004" s="8">
        <v>9.0</v>
      </c>
      <c r="C1004" s="7" t="s">
        <v>347</v>
      </c>
      <c r="D1004" s="7" t="s">
        <v>123</v>
      </c>
      <c r="E1004" s="7" t="s">
        <v>2275</v>
      </c>
      <c r="F1004" s="7" t="s">
        <v>523</v>
      </c>
    </row>
    <row r="1005">
      <c r="A1005" s="7" t="s">
        <v>386</v>
      </c>
      <c r="B1005" s="8">
        <v>9.0</v>
      </c>
      <c r="C1005" s="7" t="s">
        <v>347</v>
      </c>
      <c r="D1005" s="7" t="s">
        <v>123</v>
      </c>
      <c r="E1005" s="7" t="s">
        <v>2275</v>
      </c>
      <c r="F1005" s="7" t="s">
        <v>2026</v>
      </c>
    </row>
    <row r="1006">
      <c r="A1006" s="7" t="s">
        <v>598</v>
      </c>
      <c r="B1006" s="8">
        <v>9.0</v>
      </c>
      <c r="C1006" s="7" t="s">
        <v>347</v>
      </c>
      <c r="D1006" s="7" t="s">
        <v>123</v>
      </c>
      <c r="E1006" s="7" t="s">
        <v>2275</v>
      </c>
      <c r="F1006" s="7" t="s">
        <v>305</v>
      </c>
    </row>
    <row r="1007">
      <c r="A1007" s="7" t="s">
        <v>867</v>
      </c>
      <c r="B1007" s="8">
        <v>9.0</v>
      </c>
      <c r="C1007" s="7" t="s">
        <v>347</v>
      </c>
      <c r="D1007" s="7" t="s">
        <v>123</v>
      </c>
      <c r="E1007" s="7" t="s">
        <v>2275</v>
      </c>
      <c r="F1007" s="7" t="s">
        <v>523</v>
      </c>
    </row>
    <row r="1008">
      <c r="A1008" s="7" t="s">
        <v>1987</v>
      </c>
      <c r="B1008" s="8">
        <v>9.0</v>
      </c>
      <c r="C1008" s="7" t="s">
        <v>347</v>
      </c>
      <c r="D1008" s="7" t="s">
        <v>123</v>
      </c>
      <c r="E1008" s="7" t="s">
        <v>2275</v>
      </c>
      <c r="F1008" s="7" t="s">
        <v>305</v>
      </c>
    </row>
    <row r="1009">
      <c r="A1009" s="7" t="s">
        <v>868</v>
      </c>
      <c r="B1009" s="8">
        <v>9.0</v>
      </c>
      <c r="C1009" s="7" t="s">
        <v>347</v>
      </c>
      <c r="D1009" s="7" t="s">
        <v>123</v>
      </c>
      <c r="E1009" s="7" t="s">
        <v>2275</v>
      </c>
      <c r="F1009" s="7" t="s">
        <v>523</v>
      </c>
    </row>
    <row r="1010">
      <c r="A1010" s="7" t="s">
        <v>869</v>
      </c>
      <c r="B1010" s="8">
        <v>9.0</v>
      </c>
      <c r="C1010" s="7" t="s">
        <v>347</v>
      </c>
      <c r="D1010" s="7" t="s">
        <v>123</v>
      </c>
      <c r="E1010" s="7" t="s">
        <v>2275</v>
      </c>
      <c r="F1010" s="7" t="s">
        <v>523</v>
      </c>
    </row>
    <row r="1011">
      <c r="A1011" s="7" t="s">
        <v>600</v>
      </c>
      <c r="B1011" s="8">
        <v>9.0</v>
      </c>
      <c r="C1011" s="7" t="s">
        <v>347</v>
      </c>
      <c r="D1011" s="7" t="s">
        <v>123</v>
      </c>
      <c r="E1011" s="7" t="s">
        <v>2275</v>
      </c>
      <c r="F1011" s="7" t="s">
        <v>1656</v>
      </c>
    </row>
    <row r="1012">
      <c r="A1012" s="7" t="s">
        <v>870</v>
      </c>
      <c r="B1012" s="8">
        <v>9.0</v>
      </c>
      <c r="C1012" s="7" t="s">
        <v>347</v>
      </c>
      <c r="D1012" s="7" t="s">
        <v>123</v>
      </c>
      <c r="E1012" s="7" t="s">
        <v>2275</v>
      </c>
      <c r="F1012" s="7" t="s">
        <v>523</v>
      </c>
    </row>
    <row r="1013">
      <c r="A1013" s="7" t="s">
        <v>1293</v>
      </c>
      <c r="B1013" s="8">
        <v>9.0</v>
      </c>
      <c r="C1013" s="7" t="s">
        <v>347</v>
      </c>
      <c r="D1013" s="7" t="s">
        <v>123</v>
      </c>
      <c r="E1013" s="7" t="s">
        <v>2275</v>
      </c>
      <c r="F1013" s="7" t="s">
        <v>305</v>
      </c>
    </row>
    <row r="1014">
      <c r="A1014" s="7" t="s">
        <v>601</v>
      </c>
      <c r="B1014" s="8">
        <v>9.0</v>
      </c>
      <c r="C1014" s="7" t="s">
        <v>347</v>
      </c>
      <c r="D1014" s="7" t="s">
        <v>123</v>
      </c>
      <c r="E1014" s="7" t="s">
        <v>2275</v>
      </c>
      <c r="F1014" s="7" t="s">
        <v>523</v>
      </c>
    </row>
    <row r="1015">
      <c r="A1015" s="7" t="s">
        <v>871</v>
      </c>
      <c r="B1015" s="8">
        <v>9.0</v>
      </c>
      <c r="C1015" s="7" t="s">
        <v>347</v>
      </c>
      <c r="D1015" s="7" t="s">
        <v>123</v>
      </c>
      <c r="E1015" s="7" t="s">
        <v>2275</v>
      </c>
      <c r="F1015" s="7" t="s">
        <v>2028</v>
      </c>
    </row>
    <row r="1016">
      <c r="A1016" s="7" t="s">
        <v>602</v>
      </c>
      <c r="B1016" s="8">
        <v>9.0</v>
      </c>
      <c r="C1016" s="7" t="s">
        <v>347</v>
      </c>
      <c r="D1016" s="7" t="s">
        <v>123</v>
      </c>
      <c r="E1016" s="7" t="s">
        <v>2275</v>
      </c>
      <c r="F1016" s="7" t="s">
        <v>523</v>
      </c>
    </row>
    <row r="1017">
      <c r="A1017" s="7" t="s">
        <v>603</v>
      </c>
      <c r="B1017" s="8">
        <v>9.0</v>
      </c>
      <c r="C1017" s="7" t="s">
        <v>347</v>
      </c>
      <c r="D1017" s="7" t="s">
        <v>123</v>
      </c>
      <c r="E1017" s="7" t="s">
        <v>2275</v>
      </c>
      <c r="F1017" s="7" t="s">
        <v>523</v>
      </c>
    </row>
    <row r="1018">
      <c r="A1018" s="7" t="s">
        <v>189</v>
      </c>
      <c r="B1018" s="8">
        <v>9.0</v>
      </c>
      <c r="C1018" s="7" t="s">
        <v>347</v>
      </c>
      <c r="D1018" s="7" t="s">
        <v>123</v>
      </c>
      <c r="E1018" s="7" t="s">
        <v>2275</v>
      </c>
      <c r="F1018" s="7" t="s">
        <v>271</v>
      </c>
    </row>
    <row r="1019">
      <c r="A1019" s="7" t="s">
        <v>605</v>
      </c>
      <c r="B1019" s="8">
        <v>9.0</v>
      </c>
      <c r="C1019" s="7" t="s">
        <v>347</v>
      </c>
      <c r="D1019" s="7" t="s">
        <v>123</v>
      </c>
      <c r="E1019" s="7" t="s">
        <v>2275</v>
      </c>
      <c r="F1019" s="7" t="s">
        <v>523</v>
      </c>
    </row>
    <row r="1020">
      <c r="A1020" s="7" t="s">
        <v>10</v>
      </c>
      <c r="B1020" s="8">
        <v>9.0</v>
      </c>
      <c r="C1020" s="7" t="s">
        <v>347</v>
      </c>
      <c r="D1020" s="7" t="s">
        <v>123</v>
      </c>
      <c r="E1020" s="7" t="s">
        <v>2275</v>
      </c>
      <c r="F1020" s="7" t="s">
        <v>271</v>
      </c>
    </row>
    <row r="1021">
      <c r="A1021" s="7" t="s">
        <v>1988</v>
      </c>
      <c r="B1021" s="8">
        <v>9.0</v>
      </c>
      <c r="C1021" s="7" t="s">
        <v>347</v>
      </c>
      <c r="D1021" s="7" t="s">
        <v>123</v>
      </c>
      <c r="E1021" s="7" t="s">
        <v>2275</v>
      </c>
      <c r="F1021" s="7" t="s">
        <v>271</v>
      </c>
    </row>
    <row r="1022">
      <c r="A1022" s="7" t="s">
        <v>872</v>
      </c>
      <c r="B1022" s="8">
        <v>9.0</v>
      </c>
      <c r="C1022" s="7" t="s">
        <v>347</v>
      </c>
      <c r="D1022" s="7" t="s">
        <v>123</v>
      </c>
      <c r="E1022" s="7" t="s">
        <v>2275</v>
      </c>
      <c r="F1022" s="7" t="s">
        <v>271</v>
      </c>
    </row>
    <row r="1023">
      <c r="A1023" s="7" t="s">
        <v>606</v>
      </c>
      <c r="B1023" s="8">
        <v>9.0</v>
      </c>
      <c r="C1023" s="7" t="s">
        <v>347</v>
      </c>
      <c r="D1023" s="7" t="s">
        <v>123</v>
      </c>
      <c r="E1023" s="7" t="s">
        <v>2275</v>
      </c>
      <c r="F1023" s="7" t="s">
        <v>523</v>
      </c>
    </row>
    <row r="1024">
      <c r="A1024" s="7" t="s">
        <v>11</v>
      </c>
      <c r="B1024" s="8">
        <v>9.0</v>
      </c>
      <c r="C1024" s="7" t="s">
        <v>347</v>
      </c>
      <c r="D1024" s="7" t="s">
        <v>123</v>
      </c>
      <c r="E1024" s="7" t="s">
        <v>2275</v>
      </c>
      <c r="F1024" s="7" t="s">
        <v>523</v>
      </c>
    </row>
    <row r="1025">
      <c r="A1025" s="7" t="s">
        <v>607</v>
      </c>
      <c r="B1025" s="8">
        <v>9.0</v>
      </c>
      <c r="C1025" s="7" t="s">
        <v>347</v>
      </c>
      <c r="D1025" s="7" t="s">
        <v>123</v>
      </c>
      <c r="E1025" s="7" t="s">
        <v>2275</v>
      </c>
      <c r="F1025" s="7" t="s">
        <v>271</v>
      </c>
    </row>
    <row r="1026">
      <c r="A1026" s="7" t="s">
        <v>874</v>
      </c>
      <c r="B1026" s="8">
        <v>9.0</v>
      </c>
      <c r="C1026" s="7" t="s">
        <v>347</v>
      </c>
      <c r="D1026" s="7" t="s">
        <v>123</v>
      </c>
      <c r="E1026" s="7" t="s">
        <v>2275</v>
      </c>
      <c r="F1026" s="7" t="s">
        <v>271</v>
      </c>
    </row>
    <row r="1027">
      <c r="A1027" s="7" t="s">
        <v>608</v>
      </c>
      <c r="B1027" s="8">
        <v>9.0</v>
      </c>
      <c r="C1027" s="7" t="s">
        <v>347</v>
      </c>
      <c r="D1027" s="7" t="s">
        <v>123</v>
      </c>
      <c r="E1027" s="7" t="s">
        <v>2275</v>
      </c>
      <c r="F1027" s="7" t="s">
        <v>271</v>
      </c>
    </row>
    <row r="1028">
      <c r="A1028" s="7" t="s">
        <v>875</v>
      </c>
      <c r="B1028" s="8">
        <v>9.0</v>
      </c>
      <c r="C1028" s="7" t="s">
        <v>347</v>
      </c>
      <c r="D1028" s="7" t="s">
        <v>123</v>
      </c>
      <c r="E1028" s="7" t="s">
        <v>2275</v>
      </c>
      <c r="F1028" s="7" t="s">
        <v>271</v>
      </c>
    </row>
    <row r="1029">
      <c r="A1029" s="7" t="s">
        <v>14</v>
      </c>
      <c r="B1029" s="8">
        <v>9.0</v>
      </c>
      <c r="C1029" s="7" t="s">
        <v>347</v>
      </c>
      <c r="D1029" s="7" t="s">
        <v>123</v>
      </c>
      <c r="E1029" s="7" t="s">
        <v>2275</v>
      </c>
      <c r="F1029" s="7" t="s">
        <v>271</v>
      </c>
    </row>
    <row r="1030">
      <c r="A1030" s="7" t="s">
        <v>1989</v>
      </c>
      <c r="B1030" s="8">
        <v>9.0</v>
      </c>
      <c r="C1030" s="7" t="s">
        <v>347</v>
      </c>
      <c r="D1030" s="7" t="s">
        <v>123</v>
      </c>
      <c r="E1030" s="7" t="s">
        <v>2275</v>
      </c>
      <c r="F1030" s="7" t="s">
        <v>271</v>
      </c>
    </row>
    <row r="1031">
      <c r="A1031" s="7" t="s">
        <v>609</v>
      </c>
      <c r="B1031" s="8">
        <v>9.0</v>
      </c>
      <c r="C1031" s="7" t="s">
        <v>347</v>
      </c>
      <c r="D1031" s="7" t="s">
        <v>123</v>
      </c>
      <c r="E1031" s="7" t="s">
        <v>2275</v>
      </c>
      <c r="F1031" s="7" t="s">
        <v>523</v>
      </c>
    </row>
    <row r="1032">
      <c r="A1032" s="7" t="s">
        <v>15</v>
      </c>
      <c r="B1032" s="8">
        <v>9.0</v>
      </c>
      <c r="C1032" s="7" t="s">
        <v>347</v>
      </c>
      <c r="D1032" s="7" t="s">
        <v>123</v>
      </c>
      <c r="E1032" s="7" t="s">
        <v>2275</v>
      </c>
      <c r="F1032" s="7" t="s">
        <v>523</v>
      </c>
    </row>
    <row r="1033">
      <c r="A1033" s="7" t="s">
        <v>610</v>
      </c>
      <c r="B1033" s="8">
        <v>9.0</v>
      </c>
      <c r="C1033" s="7" t="s">
        <v>347</v>
      </c>
      <c r="D1033" s="7" t="s">
        <v>123</v>
      </c>
      <c r="E1033" s="7" t="s">
        <v>2275</v>
      </c>
      <c r="F1033" s="7" t="s">
        <v>523</v>
      </c>
    </row>
    <row r="1034">
      <c r="A1034" s="7" t="s">
        <v>16</v>
      </c>
      <c r="B1034" s="8">
        <v>9.0</v>
      </c>
      <c r="C1034" s="7" t="s">
        <v>347</v>
      </c>
      <c r="D1034" s="7" t="s">
        <v>123</v>
      </c>
      <c r="E1034" s="7" t="s">
        <v>2275</v>
      </c>
      <c r="F1034" s="7" t="s">
        <v>523</v>
      </c>
    </row>
    <row r="1035">
      <c r="A1035" s="7" t="s">
        <v>1990</v>
      </c>
      <c r="B1035" s="8">
        <v>9.0</v>
      </c>
      <c r="C1035" s="7" t="s">
        <v>347</v>
      </c>
      <c r="D1035" s="7" t="s">
        <v>123</v>
      </c>
      <c r="E1035" s="7" t="s">
        <v>2275</v>
      </c>
      <c r="F1035" s="7" t="s">
        <v>271</v>
      </c>
    </row>
    <row r="1036">
      <c r="A1036" s="7" t="s">
        <v>611</v>
      </c>
      <c r="B1036" s="8">
        <v>9.0</v>
      </c>
      <c r="C1036" s="7" t="s">
        <v>347</v>
      </c>
      <c r="D1036" s="7" t="s">
        <v>123</v>
      </c>
      <c r="E1036" s="7" t="s">
        <v>2275</v>
      </c>
      <c r="F1036" s="7" t="s">
        <v>2122</v>
      </c>
    </row>
    <row r="1037">
      <c r="A1037" s="7" t="s">
        <v>612</v>
      </c>
      <c r="B1037" s="8">
        <v>9.0</v>
      </c>
      <c r="C1037" s="7" t="s">
        <v>347</v>
      </c>
      <c r="D1037" s="7" t="s">
        <v>123</v>
      </c>
      <c r="E1037" s="7" t="s">
        <v>2275</v>
      </c>
      <c r="F1037" s="7" t="s">
        <v>523</v>
      </c>
    </row>
    <row r="1038">
      <c r="A1038" s="7" t="s">
        <v>18</v>
      </c>
      <c r="B1038" s="8">
        <v>9.0</v>
      </c>
      <c r="C1038" s="7" t="s">
        <v>347</v>
      </c>
      <c r="D1038" s="7" t="s">
        <v>123</v>
      </c>
      <c r="E1038" s="7" t="s">
        <v>2275</v>
      </c>
      <c r="F1038" s="7" t="s">
        <v>523</v>
      </c>
    </row>
    <row r="1039">
      <c r="A1039" s="7" t="s">
        <v>19</v>
      </c>
      <c r="B1039" s="8">
        <v>9.0</v>
      </c>
      <c r="C1039" s="7" t="s">
        <v>347</v>
      </c>
      <c r="D1039" s="7" t="s">
        <v>123</v>
      </c>
      <c r="E1039" s="7" t="s">
        <v>2275</v>
      </c>
      <c r="F1039" s="7" t="s">
        <v>523</v>
      </c>
    </row>
    <row r="1040">
      <c r="A1040" s="7" t="s">
        <v>1986</v>
      </c>
      <c r="B1040" s="8">
        <v>9.0</v>
      </c>
      <c r="C1040" s="7" t="s">
        <v>590</v>
      </c>
      <c r="D1040" s="7" t="s">
        <v>140</v>
      </c>
      <c r="E1040" s="7" t="s">
        <v>2276</v>
      </c>
      <c r="F1040" s="7" t="s">
        <v>65</v>
      </c>
    </row>
    <row r="1041">
      <c r="A1041" s="7" t="s">
        <v>188</v>
      </c>
      <c r="B1041" s="8">
        <v>9.0</v>
      </c>
      <c r="C1041" s="7" t="s">
        <v>590</v>
      </c>
      <c r="D1041" s="7" t="s">
        <v>140</v>
      </c>
      <c r="E1041" s="7" t="s">
        <v>2276</v>
      </c>
      <c r="F1041" s="7" t="s">
        <v>65</v>
      </c>
    </row>
    <row r="1042">
      <c r="A1042" s="7" t="s">
        <v>597</v>
      </c>
      <c r="B1042" s="8">
        <v>9.0</v>
      </c>
      <c r="C1042" s="7" t="s">
        <v>590</v>
      </c>
      <c r="D1042" s="7" t="s">
        <v>140</v>
      </c>
      <c r="E1042" s="7" t="s">
        <v>2276</v>
      </c>
      <c r="F1042" s="7" t="s">
        <v>65</v>
      </c>
    </row>
    <row r="1043">
      <c r="A1043" s="7" t="s">
        <v>386</v>
      </c>
      <c r="B1043" s="8">
        <v>9.0</v>
      </c>
      <c r="C1043" s="7" t="s">
        <v>590</v>
      </c>
      <c r="D1043" s="7" t="s">
        <v>140</v>
      </c>
      <c r="E1043" s="7" t="s">
        <v>2276</v>
      </c>
      <c r="F1043" s="7" t="s">
        <v>65</v>
      </c>
    </row>
    <row r="1044">
      <c r="A1044" s="7" t="s">
        <v>598</v>
      </c>
      <c r="B1044" s="8">
        <v>9.0</v>
      </c>
      <c r="C1044" s="7" t="s">
        <v>590</v>
      </c>
      <c r="D1044" s="7" t="s">
        <v>140</v>
      </c>
      <c r="E1044" s="7" t="s">
        <v>2276</v>
      </c>
      <c r="F1044" s="7" t="s">
        <v>65</v>
      </c>
    </row>
    <row r="1045">
      <c r="A1045" s="7" t="s">
        <v>867</v>
      </c>
      <c r="B1045" s="8">
        <v>9.0</v>
      </c>
      <c r="C1045" s="7" t="s">
        <v>590</v>
      </c>
      <c r="D1045" s="7" t="s">
        <v>140</v>
      </c>
      <c r="E1045" s="7" t="s">
        <v>2276</v>
      </c>
      <c r="F1045" s="7" t="s">
        <v>65</v>
      </c>
    </row>
    <row r="1046">
      <c r="A1046" s="7" t="s">
        <v>1987</v>
      </c>
      <c r="B1046" s="8">
        <v>9.0</v>
      </c>
      <c r="C1046" s="7" t="s">
        <v>590</v>
      </c>
      <c r="D1046" s="7" t="s">
        <v>140</v>
      </c>
      <c r="E1046" s="7" t="s">
        <v>2276</v>
      </c>
      <c r="F1046" s="7" t="s">
        <v>65</v>
      </c>
    </row>
    <row r="1047">
      <c r="A1047" s="7" t="s">
        <v>868</v>
      </c>
      <c r="B1047" s="8">
        <v>9.0</v>
      </c>
      <c r="C1047" s="7" t="s">
        <v>590</v>
      </c>
      <c r="D1047" s="7" t="s">
        <v>140</v>
      </c>
      <c r="E1047" s="7" t="s">
        <v>2276</v>
      </c>
      <c r="F1047" s="7" t="s">
        <v>65</v>
      </c>
    </row>
    <row r="1048">
      <c r="A1048" s="7" t="s">
        <v>869</v>
      </c>
      <c r="B1048" s="8">
        <v>9.0</v>
      </c>
      <c r="C1048" s="7" t="s">
        <v>590</v>
      </c>
      <c r="D1048" s="7" t="s">
        <v>140</v>
      </c>
      <c r="E1048" s="7" t="s">
        <v>2276</v>
      </c>
      <c r="F1048" s="7" t="s">
        <v>66</v>
      </c>
    </row>
    <row r="1049">
      <c r="A1049" s="7" t="s">
        <v>600</v>
      </c>
      <c r="B1049" s="8">
        <v>9.0</v>
      </c>
      <c r="C1049" s="7" t="s">
        <v>590</v>
      </c>
      <c r="D1049" s="7" t="s">
        <v>140</v>
      </c>
      <c r="E1049" s="7" t="s">
        <v>2276</v>
      </c>
      <c r="F1049" s="7" t="s">
        <v>66</v>
      </c>
    </row>
    <row r="1050">
      <c r="A1050" s="7" t="s">
        <v>870</v>
      </c>
      <c r="B1050" s="8">
        <v>9.0</v>
      </c>
      <c r="C1050" s="7" t="s">
        <v>590</v>
      </c>
      <c r="D1050" s="7" t="s">
        <v>140</v>
      </c>
      <c r="E1050" s="7" t="s">
        <v>2276</v>
      </c>
      <c r="F1050" s="7" t="s">
        <v>65</v>
      </c>
    </row>
    <row r="1051">
      <c r="A1051" s="7" t="s">
        <v>1293</v>
      </c>
      <c r="B1051" s="8">
        <v>9.0</v>
      </c>
      <c r="C1051" s="7" t="s">
        <v>590</v>
      </c>
      <c r="D1051" s="7" t="s">
        <v>140</v>
      </c>
      <c r="E1051" s="7" t="s">
        <v>2276</v>
      </c>
      <c r="F1051" s="7" t="s">
        <v>65</v>
      </c>
    </row>
    <row r="1052">
      <c r="A1052" s="7" t="s">
        <v>601</v>
      </c>
      <c r="B1052" s="8">
        <v>9.0</v>
      </c>
      <c r="C1052" s="7" t="s">
        <v>590</v>
      </c>
      <c r="D1052" s="7" t="s">
        <v>140</v>
      </c>
      <c r="E1052" s="7" t="s">
        <v>2276</v>
      </c>
      <c r="F1052" s="7" t="s">
        <v>65</v>
      </c>
    </row>
    <row r="1053">
      <c r="A1053" s="7" t="s">
        <v>871</v>
      </c>
      <c r="B1053" s="8">
        <v>9.0</v>
      </c>
      <c r="C1053" s="7" t="s">
        <v>590</v>
      </c>
      <c r="D1053" s="7" t="s">
        <v>140</v>
      </c>
      <c r="E1053" s="7" t="s">
        <v>2276</v>
      </c>
      <c r="F1053" s="7" t="s">
        <v>2063</v>
      </c>
    </row>
    <row r="1054">
      <c r="A1054" s="7" t="s">
        <v>602</v>
      </c>
      <c r="B1054" s="8">
        <v>9.0</v>
      </c>
      <c r="C1054" s="7" t="s">
        <v>590</v>
      </c>
      <c r="D1054" s="7" t="s">
        <v>140</v>
      </c>
      <c r="E1054" s="7" t="s">
        <v>2276</v>
      </c>
      <c r="F1054" s="7" t="s">
        <v>65</v>
      </c>
    </row>
    <row r="1055">
      <c r="A1055" s="7" t="s">
        <v>603</v>
      </c>
      <c r="B1055" s="8">
        <v>9.0</v>
      </c>
      <c r="C1055" s="7" t="s">
        <v>590</v>
      </c>
      <c r="D1055" s="7" t="s">
        <v>140</v>
      </c>
      <c r="E1055" s="7" t="s">
        <v>2276</v>
      </c>
      <c r="F1055" s="7" t="s">
        <v>66</v>
      </c>
    </row>
    <row r="1056">
      <c r="A1056" s="7" t="s">
        <v>604</v>
      </c>
      <c r="B1056" s="8">
        <v>9.0</v>
      </c>
      <c r="C1056" s="7" t="s">
        <v>590</v>
      </c>
      <c r="D1056" s="7" t="s">
        <v>140</v>
      </c>
      <c r="E1056" s="7" t="s">
        <v>2276</v>
      </c>
      <c r="F1056" s="7" t="s">
        <v>65</v>
      </c>
    </row>
    <row r="1057">
      <c r="A1057" s="7" t="s">
        <v>189</v>
      </c>
      <c r="B1057" s="8">
        <v>9.0</v>
      </c>
      <c r="C1057" s="7" t="s">
        <v>590</v>
      </c>
      <c r="D1057" s="7" t="s">
        <v>140</v>
      </c>
      <c r="E1057" s="7" t="s">
        <v>2276</v>
      </c>
      <c r="F1057" s="7" t="s">
        <v>65</v>
      </c>
    </row>
    <row r="1058">
      <c r="A1058" s="7" t="s">
        <v>605</v>
      </c>
      <c r="B1058" s="8">
        <v>9.0</v>
      </c>
      <c r="C1058" s="7" t="s">
        <v>590</v>
      </c>
      <c r="D1058" s="7" t="s">
        <v>140</v>
      </c>
      <c r="E1058" s="7" t="s">
        <v>2276</v>
      </c>
      <c r="F1058" s="7" t="s">
        <v>65</v>
      </c>
    </row>
    <row r="1059">
      <c r="A1059" s="7" t="s">
        <v>10</v>
      </c>
      <c r="B1059" s="8">
        <v>9.0</v>
      </c>
      <c r="C1059" s="7" t="s">
        <v>590</v>
      </c>
      <c r="D1059" s="7" t="s">
        <v>140</v>
      </c>
      <c r="E1059" s="7" t="s">
        <v>2276</v>
      </c>
      <c r="F1059" s="7" t="s">
        <v>65</v>
      </c>
    </row>
    <row r="1060">
      <c r="A1060" s="7" t="s">
        <v>1988</v>
      </c>
      <c r="B1060" s="8">
        <v>9.0</v>
      </c>
      <c r="C1060" s="7" t="s">
        <v>590</v>
      </c>
      <c r="D1060" s="7" t="s">
        <v>140</v>
      </c>
      <c r="E1060" s="7" t="s">
        <v>2276</v>
      </c>
      <c r="F1060" s="7" t="s">
        <v>65</v>
      </c>
    </row>
    <row r="1061">
      <c r="A1061" s="7" t="s">
        <v>872</v>
      </c>
      <c r="B1061" s="8">
        <v>9.0</v>
      </c>
      <c r="C1061" s="7" t="s">
        <v>590</v>
      </c>
      <c r="D1061" s="7" t="s">
        <v>140</v>
      </c>
      <c r="E1061" s="7" t="s">
        <v>2276</v>
      </c>
      <c r="F1061" s="7" t="s">
        <v>66</v>
      </c>
    </row>
    <row r="1062">
      <c r="A1062" s="7" t="s">
        <v>606</v>
      </c>
      <c r="B1062" s="8">
        <v>9.0</v>
      </c>
      <c r="C1062" s="7" t="s">
        <v>590</v>
      </c>
      <c r="D1062" s="7" t="s">
        <v>140</v>
      </c>
      <c r="E1062" s="7" t="s">
        <v>2276</v>
      </c>
      <c r="F1062" s="7" t="s">
        <v>65</v>
      </c>
    </row>
    <row r="1063">
      <c r="A1063" s="7" t="s">
        <v>11</v>
      </c>
      <c r="B1063" s="8">
        <v>9.0</v>
      </c>
      <c r="C1063" s="7" t="s">
        <v>590</v>
      </c>
      <c r="D1063" s="7" t="s">
        <v>140</v>
      </c>
      <c r="E1063" s="7" t="s">
        <v>2276</v>
      </c>
      <c r="F1063" s="7" t="s">
        <v>65</v>
      </c>
    </row>
    <row r="1064">
      <c r="A1064" s="7" t="s">
        <v>607</v>
      </c>
      <c r="B1064" s="8">
        <v>9.0</v>
      </c>
      <c r="C1064" s="7" t="s">
        <v>590</v>
      </c>
      <c r="D1064" s="7" t="s">
        <v>140</v>
      </c>
      <c r="E1064" s="7" t="s">
        <v>2276</v>
      </c>
      <c r="F1064" s="7" t="s">
        <v>65</v>
      </c>
    </row>
    <row r="1065">
      <c r="A1065" s="7" t="s">
        <v>874</v>
      </c>
      <c r="B1065" s="8">
        <v>9.0</v>
      </c>
      <c r="C1065" s="7" t="s">
        <v>590</v>
      </c>
      <c r="D1065" s="7" t="s">
        <v>140</v>
      </c>
      <c r="E1065" s="7" t="s">
        <v>2276</v>
      </c>
      <c r="F1065" s="7" t="s">
        <v>65</v>
      </c>
    </row>
    <row r="1066">
      <c r="A1066" s="7" t="s">
        <v>608</v>
      </c>
      <c r="B1066" s="8">
        <v>9.0</v>
      </c>
      <c r="C1066" s="7" t="s">
        <v>590</v>
      </c>
      <c r="D1066" s="7" t="s">
        <v>140</v>
      </c>
      <c r="E1066" s="7" t="s">
        <v>2276</v>
      </c>
      <c r="F1066" s="7" t="s">
        <v>65</v>
      </c>
    </row>
    <row r="1067">
      <c r="A1067" s="7" t="s">
        <v>875</v>
      </c>
      <c r="B1067" s="8">
        <v>9.0</v>
      </c>
      <c r="C1067" s="7" t="s">
        <v>590</v>
      </c>
      <c r="D1067" s="7" t="s">
        <v>140</v>
      </c>
      <c r="E1067" s="7" t="s">
        <v>2276</v>
      </c>
      <c r="F1067" s="7" t="s">
        <v>65</v>
      </c>
    </row>
    <row r="1068">
      <c r="A1068" s="7" t="s">
        <v>14</v>
      </c>
      <c r="B1068" s="8">
        <v>9.0</v>
      </c>
      <c r="C1068" s="7" t="s">
        <v>590</v>
      </c>
      <c r="D1068" s="7" t="s">
        <v>140</v>
      </c>
      <c r="E1068" s="7" t="s">
        <v>2276</v>
      </c>
      <c r="F1068" s="7" t="s">
        <v>65</v>
      </c>
    </row>
    <row r="1069">
      <c r="A1069" s="7" t="s">
        <v>1989</v>
      </c>
      <c r="B1069" s="8">
        <v>9.0</v>
      </c>
      <c r="C1069" s="7" t="s">
        <v>590</v>
      </c>
      <c r="D1069" s="7" t="s">
        <v>140</v>
      </c>
      <c r="E1069" s="7" t="s">
        <v>2276</v>
      </c>
      <c r="F1069" s="7" t="s">
        <v>65</v>
      </c>
    </row>
    <row r="1070">
      <c r="A1070" s="7" t="s">
        <v>609</v>
      </c>
      <c r="B1070" s="8">
        <v>9.0</v>
      </c>
      <c r="C1070" s="7" t="s">
        <v>590</v>
      </c>
      <c r="D1070" s="7" t="s">
        <v>140</v>
      </c>
      <c r="E1070" s="7" t="s">
        <v>2276</v>
      </c>
      <c r="F1070" s="7" t="s">
        <v>65</v>
      </c>
    </row>
    <row r="1071">
      <c r="A1071" s="7" t="s">
        <v>15</v>
      </c>
      <c r="B1071" s="8">
        <v>9.0</v>
      </c>
      <c r="C1071" s="7" t="s">
        <v>590</v>
      </c>
      <c r="D1071" s="7" t="s">
        <v>140</v>
      </c>
      <c r="E1071" s="7" t="s">
        <v>2276</v>
      </c>
      <c r="F1071" s="7" t="s">
        <v>65</v>
      </c>
    </row>
    <row r="1072">
      <c r="A1072" s="7" t="s">
        <v>610</v>
      </c>
      <c r="B1072" s="8">
        <v>9.0</v>
      </c>
      <c r="C1072" s="7" t="s">
        <v>590</v>
      </c>
      <c r="D1072" s="7" t="s">
        <v>140</v>
      </c>
      <c r="E1072" s="7" t="s">
        <v>2276</v>
      </c>
      <c r="F1072" s="7" t="s">
        <v>65</v>
      </c>
    </row>
    <row r="1073">
      <c r="A1073" s="7" t="s">
        <v>16</v>
      </c>
      <c r="B1073" s="8">
        <v>9.0</v>
      </c>
      <c r="C1073" s="7" t="s">
        <v>590</v>
      </c>
      <c r="D1073" s="7" t="s">
        <v>140</v>
      </c>
      <c r="E1073" s="7" t="s">
        <v>2276</v>
      </c>
      <c r="F1073" s="7" t="s">
        <v>65</v>
      </c>
    </row>
    <row r="1074">
      <c r="A1074" s="7" t="s">
        <v>1990</v>
      </c>
      <c r="B1074" s="8">
        <v>9.0</v>
      </c>
      <c r="C1074" s="7" t="s">
        <v>590</v>
      </c>
      <c r="D1074" s="7" t="s">
        <v>140</v>
      </c>
      <c r="E1074" s="7" t="s">
        <v>2276</v>
      </c>
      <c r="F1074" s="7" t="s">
        <v>65</v>
      </c>
    </row>
    <row r="1075">
      <c r="A1075" s="7" t="s">
        <v>611</v>
      </c>
      <c r="B1075" s="8">
        <v>9.0</v>
      </c>
      <c r="C1075" s="7" t="s">
        <v>590</v>
      </c>
      <c r="D1075" s="7" t="s">
        <v>140</v>
      </c>
      <c r="E1075" s="7" t="s">
        <v>2276</v>
      </c>
      <c r="F1075" s="7" t="s">
        <v>65</v>
      </c>
    </row>
    <row r="1076">
      <c r="A1076" s="7" t="s">
        <v>612</v>
      </c>
      <c r="B1076" s="8">
        <v>9.0</v>
      </c>
      <c r="C1076" s="7" t="s">
        <v>590</v>
      </c>
      <c r="D1076" s="7" t="s">
        <v>140</v>
      </c>
      <c r="E1076" s="7" t="s">
        <v>2276</v>
      </c>
      <c r="F1076" s="7" t="s">
        <v>65</v>
      </c>
    </row>
    <row r="1077">
      <c r="A1077" s="7" t="s">
        <v>18</v>
      </c>
      <c r="B1077" s="8">
        <v>9.0</v>
      </c>
      <c r="C1077" s="7" t="s">
        <v>590</v>
      </c>
      <c r="D1077" s="7" t="s">
        <v>140</v>
      </c>
      <c r="E1077" s="7" t="s">
        <v>2276</v>
      </c>
      <c r="F1077" s="7" t="s">
        <v>65</v>
      </c>
    </row>
    <row r="1078">
      <c r="A1078" s="7" t="s">
        <v>19</v>
      </c>
      <c r="B1078" s="8">
        <v>9.0</v>
      </c>
      <c r="C1078" s="7" t="s">
        <v>590</v>
      </c>
      <c r="D1078" s="7" t="s">
        <v>140</v>
      </c>
      <c r="E1078" s="7" t="s">
        <v>2276</v>
      </c>
      <c r="F1078" s="7" t="s">
        <v>65</v>
      </c>
    </row>
    <row r="1079">
      <c r="A1079" s="7" t="s">
        <v>1986</v>
      </c>
      <c r="B1079" s="8">
        <v>9.0</v>
      </c>
      <c r="C1079" s="7" t="s">
        <v>2277</v>
      </c>
      <c r="D1079" s="7" t="s">
        <v>2278</v>
      </c>
      <c r="E1079" s="7" t="s">
        <v>2279</v>
      </c>
      <c r="F1079" s="7" t="s">
        <v>2280</v>
      </c>
    </row>
    <row r="1080">
      <c r="A1080" s="7" t="s">
        <v>188</v>
      </c>
      <c r="B1080" s="8">
        <v>9.0</v>
      </c>
      <c r="C1080" s="7" t="s">
        <v>2277</v>
      </c>
      <c r="D1080" s="7" t="s">
        <v>2278</v>
      </c>
      <c r="E1080" s="7" t="s">
        <v>2279</v>
      </c>
      <c r="F1080" s="7" t="s">
        <v>2281</v>
      </c>
    </row>
    <row r="1081">
      <c r="A1081" s="7" t="s">
        <v>597</v>
      </c>
      <c r="B1081" s="8">
        <v>9.0</v>
      </c>
      <c r="C1081" s="7" t="s">
        <v>2277</v>
      </c>
      <c r="D1081" s="7" t="s">
        <v>2278</v>
      </c>
      <c r="E1081" s="7" t="s">
        <v>2279</v>
      </c>
      <c r="F1081" s="7" t="s">
        <v>2282</v>
      </c>
    </row>
    <row r="1082">
      <c r="A1082" s="7" t="s">
        <v>386</v>
      </c>
      <c r="B1082" s="8">
        <v>9.0</v>
      </c>
      <c r="C1082" s="7" t="s">
        <v>2277</v>
      </c>
      <c r="D1082" s="7" t="s">
        <v>2278</v>
      </c>
      <c r="E1082" s="7" t="s">
        <v>2279</v>
      </c>
      <c r="F1082" s="7" t="s">
        <v>2283</v>
      </c>
    </row>
    <row r="1083">
      <c r="A1083" s="7" t="s">
        <v>598</v>
      </c>
      <c r="B1083" s="8">
        <v>9.0</v>
      </c>
      <c r="C1083" s="7" t="s">
        <v>2277</v>
      </c>
      <c r="D1083" s="7" t="s">
        <v>2278</v>
      </c>
      <c r="E1083" s="7" t="s">
        <v>2279</v>
      </c>
      <c r="F1083" s="7" t="s">
        <v>2284</v>
      </c>
    </row>
    <row r="1084">
      <c r="A1084" s="7" t="s">
        <v>867</v>
      </c>
      <c r="B1084" s="8">
        <v>9.0</v>
      </c>
      <c r="C1084" s="7" t="s">
        <v>2277</v>
      </c>
      <c r="D1084" s="7" t="s">
        <v>2278</v>
      </c>
      <c r="E1084" s="7" t="s">
        <v>2279</v>
      </c>
      <c r="F1084" s="7" t="s">
        <v>2285</v>
      </c>
    </row>
    <row r="1085">
      <c r="A1085" s="7" t="s">
        <v>1987</v>
      </c>
      <c r="B1085" s="8">
        <v>9.0</v>
      </c>
      <c r="C1085" s="7" t="s">
        <v>2277</v>
      </c>
      <c r="D1085" s="7" t="s">
        <v>2278</v>
      </c>
      <c r="E1085" s="7" t="s">
        <v>2279</v>
      </c>
      <c r="F1085" s="7" t="s">
        <v>2286</v>
      </c>
    </row>
    <row r="1086">
      <c r="A1086" s="7" t="s">
        <v>868</v>
      </c>
      <c r="B1086" s="8">
        <v>9.0</v>
      </c>
      <c r="C1086" s="7" t="s">
        <v>2277</v>
      </c>
      <c r="D1086" s="7" t="s">
        <v>2278</v>
      </c>
      <c r="E1086" s="7" t="s">
        <v>2279</v>
      </c>
      <c r="F1086" s="7" t="s">
        <v>2287</v>
      </c>
    </row>
    <row r="1087">
      <c r="A1087" s="7" t="s">
        <v>869</v>
      </c>
      <c r="B1087" s="8">
        <v>9.0</v>
      </c>
      <c r="C1087" s="7" t="s">
        <v>2277</v>
      </c>
      <c r="D1087" s="7" t="s">
        <v>2278</v>
      </c>
      <c r="E1087" s="7" t="s">
        <v>2279</v>
      </c>
      <c r="F1087" s="7" t="s">
        <v>2288</v>
      </c>
    </row>
    <row r="1088">
      <c r="A1088" s="7" t="s">
        <v>600</v>
      </c>
      <c r="B1088" s="8">
        <v>9.0</v>
      </c>
      <c r="C1088" s="7" t="s">
        <v>2277</v>
      </c>
      <c r="D1088" s="7" t="s">
        <v>2278</v>
      </c>
      <c r="E1088" s="7" t="s">
        <v>2279</v>
      </c>
      <c r="F1088" s="7" t="s">
        <v>2289</v>
      </c>
    </row>
    <row r="1089">
      <c r="A1089" s="7" t="s">
        <v>870</v>
      </c>
      <c r="B1089" s="8">
        <v>9.0</v>
      </c>
      <c r="C1089" s="7" t="s">
        <v>2277</v>
      </c>
      <c r="D1089" s="7" t="s">
        <v>2278</v>
      </c>
      <c r="E1089" s="7" t="s">
        <v>2279</v>
      </c>
      <c r="F1089" s="7" t="s">
        <v>2290</v>
      </c>
    </row>
    <row r="1090">
      <c r="A1090" s="7" t="s">
        <v>1293</v>
      </c>
      <c r="B1090" s="8">
        <v>9.0</v>
      </c>
      <c r="C1090" s="7" t="s">
        <v>2277</v>
      </c>
      <c r="D1090" s="7" t="s">
        <v>2278</v>
      </c>
      <c r="E1090" s="7" t="s">
        <v>2279</v>
      </c>
      <c r="F1090" s="7" t="s">
        <v>2291</v>
      </c>
    </row>
    <row r="1091">
      <c r="A1091" s="7" t="s">
        <v>601</v>
      </c>
      <c r="B1091" s="8">
        <v>9.0</v>
      </c>
      <c r="C1091" s="7" t="s">
        <v>2277</v>
      </c>
      <c r="D1091" s="7" t="s">
        <v>2278</v>
      </c>
      <c r="E1091" s="7" t="s">
        <v>2279</v>
      </c>
      <c r="F1091" s="7" t="s">
        <v>2292</v>
      </c>
    </row>
    <row r="1092">
      <c r="A1092" s="7" t="s">
        <v>871</v>
      </c>
      <c r="B1092" s="8">
        <v>9.0</v>
      </c>
      <c r="C1092" s="7" t="s">
        <v>2277</v>
      </c>
      <c r="D1092" s="7" t="s">
        <v>2278</v>
      </c>
      <c r="E1092" s="7" t="s">
        <v>2279</v>
      </c>
      <c r="F1092" s="7" t="s">
        <v>2293</v>
      </c>
    </row>
    <row r="1093">
      <c r="A1093" s="7" t="s">
        <v>602</v>
      </c>
      <c r="B1093" s="8">
        <v>9.0</v>
      </c>
      <c r="C1093" s="7" t="s">
        <v>2277</v>
      </c>
      <c r="D1093" s="7" t="s">
        <v>2278</v>
      </c>
      <c r="E1093" s="7" t="s">
        <v>2279</v>
      </c>
      <c r="F1093" s="7" t="s">
        <v>2294</v>
      </c>
    </row>
    <row r="1094">
      <c r="A1094" s="7" t="s">
        <v>603</v>
      </c>
      <c r="B1094" s="8">
        <v>9.0</v>
      </c>
      <c r="C1094" s="7" t="s">
        <v>2277</v>
      </c>
      <c r="D1094" s="7" t="s">
        <v>2278</v>
      </c>
      <c r="E1094" s="7" t="s">
        <v>2279</v>
      </c>
      <c r="F1094" s="7" t="s">
        <v>1952</v>
      </c>
    </row>
    <row r="1095">
      <c r="A1095" s="7" t="s">
        <v>604</v>
      </c>
      <c r="B1095" s="8">
        <v>9.0</v>
      </c>
      <c r="C1095" s="7" t="s">
        <v>2277</v>
      </c>
      <c r="D1095" s="7" t="s">
        <v>2278</v>
      </c>
      <c r="E1095" s="7" t="s">
        <v>2279</v>
      </c>
      <c r="F1095" s="7" t="s">
        <v>2295</v>
      </c>
    </row>
    <row r="1096">
      <c r="A1096" s="7" t="s">
        <v>189</v>
      </c>
      <c r="B1096" s="8">
        <v>9.0</v>
      </c>
      <c r="C1096" s="7" t="s">
        <v>2277</v>
      </c>
      <c r="D1096" s="7" t="s">
        <v>2278</v>
      </c>
      <c r="E1096" s="7" t="s">
        <v>2279</v>
      </c>
      <c r="F1096" s="7" t="s">
        <v>2296</v>
      </c>
    </row>
    <row r="1097">
      <c r="A1097" s="7" t="s">
        <v>605</v>
      </c>
      <c r="B1097" s="8">
        <v>9.0</v>
      </c>
      <c r="C1097" s="7" t="s">
        <v>2277</v>
      </c>
      <c r="D1097" s="7" t="s">
        <v>2278</v>
      </c>
      <c r="E1097" s="7" t="s">
        <v>2279</v>
      </c>
      <c r="F1097" s="7" t="s">
        <v>2297</v>
      </c>
    </row>
    <row r="1098">
      <c r="A1098" s="7" t="s">
        <v>10</v>
      </c>
      <c r="B1098" s="8">
        <v>9.0</v>
      </c>
      <c r="C1098" s="7" t="s">
        <v>2277</v>
      </c>
      <c r="D1098" s="7" t="s">
        <v>2278</v>
      </c>
      <c r="E1098" s="7" t="s">
        <v>2279</v>
      </c>
      <c r="F1098" s="7" t="s">
        <v>2298</v>
      </c>
    </row>
    <row r="1099">
      <c r="A1099" s="7" t="s">
        <v>1988</v>
      </c>
      <c r="B1099" s="8">
        <v>9.0</v>
      </c>
      <c r="C1099" s="7" t="s">
        <v>2277</v>
      </c>
      <c r="D1099" s="7" t="s">
        <v>2278</v>
      </c>
      <c r="E1099" s="7" t="s">
        <v>2279</v>
      </c>
      <c r="F1099" s="7" t="s">
        <v>2299</v>
      </c>
    </row>
    <row r="1100">
      <c r="A1100" s="7" t="s">
        <v>872</v>
      </c>
      <c r="B1100" s="8">
        <v>9.0</v>
      </c>
      <c r="C1100" s="7" t="s">
        <v>2277</v>
      </c>
      <c r="D1100" s="7" t="s">
        <v>2278</v>
      </c>
      <c r="E1100" s="7" t="s">
        <v>2279</v>
      </c>
      <c r="F1100" s="7" t="s">
        <v>2300</v>
      </c>
    </row>
    <row r="1101">
      <c r="A1101" s="7" t="s">
        <v>606</v>
      </c>
      <c r="B1101" s="8">
        <v>9.0</v>
      </c>
      <c r="C1101" s="7" t="s">
        <v>2277</v>
      </c>
      <c r="D1101" s="7" t="s">
        <v>2278</v>
      </c>
      <c r="E1101" s="7" t="s">
        <v>2279</v>
      </c>
      <c r="F1101" s="7" t="s">
        <v>2301</v>
      </c>
    </row>
    <row r="1102">
      <c r="A1102" s="7" t="s">
        <v>11</v>
      </c>
      <c r="B1102" s="8">
        <v>9.0</v>
      </c>
      <c r="C1102" s="7" t="s">
        <v>2277</v>
      </c>
      <c r="D1102" s="7" t="s">
        <v>2278</v>
      </c>
      <c r="E1102" s="7" t="s">
        <v>2279</v>
      </c>
      <c r="F1102" s="7" t="s">
        <v>2289</v>
      </c>
    </row>
    <row r="1103">
      <c r="A1103" s="7" t="s">
        <v>607</v>
      </c>
      <c r="B1103" s="8">
        <v>9.0</v>
      </c>
      <c r="C1103" s="7" t="s">
        <v>2277</v>
      </c>
      <c r="D1103" s="7" t="s">
        <v>2278</v>
      </c>
      <c r="E1103" s="7" t="s">
        <v>2279</v>
      </c>
      <c r="F1103" s="7" t="s">
        <v>2302</v>
      </c>
    </row>
    <row r="1104">
      <c r="A1104" s="7" t="s">
        <v>874</v>
      </c>
      <c r="B1104" s="8">
        <v>9.0</v>
      </c>
      <c r="C1104" s="7" t="s">
        <v>2277</v>
      </c>
      <c r="D1104" s="7" t="s">
        <v>2278</v>
      </c>
      <c r="E1104" s="7" t="s">
        <v>2279</v>
      </c>
      <c r="F1104" s="7" t="s">
        <v>2303</v>
      </c>
    </row>
    <row r="1105">
      <c r="A1105" s="7" t="s">
        <v>608</v>
      </c>
      <c r="B1105" s="8">
        <v>9.0</v>
      </c>
      <c r="C1105" s="7" t="s">
        <v>2277</v>
      </c>
      <c r="D1105" s="7" t="s">
        <v>2278</v>
      </c>
      <c r="E1105" s="7" t="s">
        <v>2279</v>
      </c>
      <c r="F1105" s="7" t="s">
        <v>2289</v>
      </c>
    </row>
    <row r="1106">
      <c r="A1106" s="7" t="s">
        <v>875</v>
      </c>
      <c r="B1106" s="8">
        <v>9.0</v>
      </c>
      <c r="C1106" s="7" t="s">
        <v>2277</v>
      </c>
      <c r="D1106" s="7" t="s">
        <v>2278</v>
      </c>
      <c r="E1106" s="7" t="s">
        <v>2279</v>
      </c>
      <c r="F1106" s="7" t="s">
        <v>2304</v>
      </c>
    </row>
    <row r="1107">
      <c r="A1107" s="7" t="s">
        <v>14</v>
      </c>
      <c r="B1107" s="8">
        <v>9.0</v>
      </c>
      <c r="C1107" s="7" t="s">
        <v>2277</v>
      </c>
      <c r="D1107" s="7" t="s">
        <v>2278</v>
      </c>
      <c r="E1107" s="7" t="s">
        <v>2279</v>
      </c>
      <c r="F1107" s="7" t="s">
        <v>2305</v>
      </c>
    </row>
    <row r="1108">
      <c r="A1108" s="7" t="s">
        <v>1989</v>
      </c>
      <c r="B1108" s="8">
        <v>9.0</v>
      </c>
      <c r="C1108" s="7" t="s">
        <v>2277</v>
      </c>
      <c r="D1108" s="7" t="s">
        <v>2278</v>
      </c>
      <c r="E1108" s="7" t="s">
        <v>2279</v>
      </c>
      <c r="F1108" s="7" t="s">
        <v>2306</v>
      </c>
    </row>
    <row r="1109">
      <c r="A1109" s="7" t="s">
        <v>609</v>
      </c>
      <c r="B1109" s="8">
        <v>9.0</v>
      </c>
      <c r="C1109" s="7" t="s">
        <v>2277</v>
      </c>
      <c r="D1109" s="7" t="s">
        <v>2278</v>
      </c>
      <c r="E1109" s="7" t="s">
        <v>2279</v>
      </c>
      <c r="F1109" s="7" t="s">
        <v>2307</v>
      </c>
    </row>
    <row r="1110">
      <c r="A1110" s="7" t="s">
        <v>15</v>
      </c>
      <c r="B1110" s="8">
        <v>9.0</v>
      </c>
      <c r="C1110" s="7" t="s">
        <v>2277</v>
      </c>
      <c r="D1110" s="7" t="s">
        <v>2278</v>
      </c>
      <c r="E1110" s="7" t="s">
        <v>2279</v>
      </c>
      <c r="F1110" s="7" t="s">
        <v>1958</v>
      </c>
    </row>
    <row r="1111">
      <c r="A1111" s="7" t="s">
        <v>610</v>
      </c>
      <c r="B1111" s="8">
        <v>9.0</v>
      </c>
      <c r="C1111" s="7" t="s">
        <v>2277</v>
      </c>
      <c r="D1111" s="7" t="s">
        <v>2278</v>
      </c>
      <c r="E1111" s="7" t="s">
        <v>2279</v>
      </c>
      <c r="F1111" s="7" t="s">
        <v>1959</v>
      </c>
    </row>
    <row r="1112">
      <c r="A1112" s="7" t="s">
        <v>16</v>
      </c>
      <c r="B1112" s="8">
        <v>9.0</v>
      </c>
      <c r="C1112" s="7" t="s">
        <v>2277</v>
      </c>
      <c r="D1112" s="7" t="s">
        <v>2278</v>
      </c>
      <c r="E1112" s="7" t="s">
        <v>2279</v>
      </c>
      <c r="F1112" s="7" t="s">
        <v>2289</v>
      </c>
    </row>
    <row r="1113">
      <c r="A1113" s="7" t="s">
        <v>1990</v>
      </c>
      <c r="B1113" s="8">
        <v>9.0</v>
      </c>
      <c r="C1113" s="7" t="s">
        <v>2277</v>
      </c>
      <c r="D1113" s="7" t="s">
        <v>2278</v>
      </c>
      <c r="E1113" s="7" t="s">
        <v>2279</v>
      </c>
      <c r="F1113" s="7" t="s">
        <v>2308</v>
      </c>
    </row>
    <row r="1114">
      <c r="A1114" s="7" t="s">
        <v>611</v>
      </c>
      <c r="B1114" s="8">
        <v>9.0</v>
      </c>
      <c r="C1114" s="7" t="s">
        <v>2277</v>
      </c>
      <c r="D1114" s="7" t="s">
        <v>2278</v>
      </c>
      <c r="E1114" s="7" t="s">
        <v>2279</v>
      </c>
      <c r="F1114" s="7" t="s">
        <v>2309</v>
      </c>
    </row>
    <row r="1115">
      <c r="A1115" s="7" t="s">
        <v>612</v>
      </c>
      <c r="B1115" s="8">
        <v>9.0</v>
      </c>
      <c r="C1115" s="7" t="s">
        <v>2277</v>
      </c>
      <c r="D1115" s="7" t="s">
        <v>2278</v>
      </c>
      <c r="E1115" s="7" t="s">
        <v>2279</v>
      </c>
      <c r="F1115" s="7" t="s">
        <v>2310</v>
      </c>
    </row>
    <row r="1116">
      <c r="A1116" s="7" t="s">
        <v>18</v>
      </c>
      <c r="B1116" s="8">
        <v>9.0</v>
      </c>
      <c r="C1116" s="7" t="s">
        <v>2277</v>
      </c>
      <c r="D1116" s="7" t="s">
        <v>2278</v>
      </c>
      <c r="E1116" s="7" t="s">
        <v>2279</v>
      </c>
      <c r="F1116" s="7" t="s">
        <v>1962</v>
      </c>
    </row>
    <row r="1117">
      <c r="A1117" s="7" t="s">
        <v>19</v>
      </c>
      <c r="B1117" s="8">
        <v>9.0</v>
      </c>
      <c r="C1117" s="7" t="s">
        <v>2277</v>
      </c>
      <c r="D1117" s="7" t="s">
        <v>2278</v>
      </c>
      <c r="E1117" s="7" t="s">
        <v>2279</v>
      </c>
      <c r="F1117" s="7" t="s">
        <v>1963</v>
      </c>
    </row>
    <row r="1118">
      <c r="B1118" s="8"/>
    </row>
    <row r="1119">
      <c r="B1119" s="8"/>
    </row>
    <row r="1120">
      <c r="B1120" s="8"/>
    </row>
    <row r="1121">
      <c r="B1121" s="8"/>
    </row>
    <row r="1122">
      <c r="B1122" s="8"/>
    </row>
    <row r="1123">
      <c r="B1123" s="8"/>
    </row>
    <row r="1124">
      <c r="B1124" s="8"/>
    </row>
    <row r="1125">
      <c r="B1125" s="8"/>
    </row>
    <row r="1126">
      <c r="B1126" s="8"/>
    </row>
    <row r="1127">
      <c r="B1127" s="8"/>
    </row>
    <row r="1128">
      <c r="B1128" s="8"/>
    </row>
    <row r="1129">
      <c r="B1129" s="8"/>
    </row>
    <row r="1130">
      <c r="B1130" s="8"/>
    </row>
    <row r="1131">
      <c r="B1131" s="8"/>
    </row>
    <row r="1132">
      <c r="B1132" s="8"/>
    </row>
    <row r="1133">
      <c r="B1133" s="8"/>
    </row>
    <row r="1134">
      <c r="B1134" s="8"/>
    </row>
    <row r="1135">
      <c r="B1135" s="8"/>
    </row>
    <row r="1136">
      <c r="B1136" s="8"/>
    </row>
    <row r="1137">
      <c r="B1137" s="8"/>
    </row>
    <row r="1138">
      <c r="B1138" s="8"/>
    </row>
    <row r="1139">
      <c r="B1139" s="8"/>
    </row>
    <row r="1140">
      <c r="B1140" s="8"/>
    </row>
    <row r="1141">
      <c r="B1141" s="8"/>
    </row>
    <row r="1142">
      <c r="B1142" s="8"/>
    </row>
    <row r="1143">
      <c r="B1143" s="8"/>
    </row>
    <row r="1144">
      <c r="B1144" s="8"/>
    </row>
    <row r="1145">
      <c r="B1145" s="8"/>
    </row>
    <row r="1146">
      <c r="B1146" s="8"/>
    </row>
    <row r="1147">
      <c r="B1147" s="8"/>
    </row>
    <row r="1148">
      <c r="B1148" s="8"/>
    </row>
    <row r="1149">
      <c r="B1149" s="8"/>
    </row>
    <row r="1150">
      <c r="B1150" s="8"/>
    </row>
    <row r="1151">
      <c r="B1151" s="8"/>
    </row>
    <row r="1152">
      <c r="B1152" s="8"/>
    </row>
    <row r="1153">
      <c r="B1153" s="8"/>
    </row>
    <row r="1154">
      <c r="B1154" s="8"/>
    </row>
    <row r="1155">
      <c r="B1155" s="8"/>
    </row>
    <row r="1156">
      <c r="B1156" s="8"/>
    </row>
    <row r="1157">
      <c r="B1157" s="8"/>
    </row>
    <row r="1158">
      <c r="B1158" s="8"/>
    </row>
    <row r="1159">
      <c r="B1159" s="8"/>
    </row>
    <row r="1160">
      <c r="B1160" s="8"/>
    </row>
    <row r="1161">
      <c r="B1161" s="8"/>
    </row>
    <row r="1162">
      <c r="B1162" s="8"/>
    </row>
    <row r="1163">
      <c r="B1163" s="8"/>
    </row>
    <row r="1164">
      <c r="B1164" s="8"/>
    </row>
    <row r="1165">
      <c r="B1165" s="8"/>
    </row>
    <row r="1166">
      <c r="B1166" s="8"/>
    </row>
    <row r="1167">
      <c r="B1167" s="8"/>
    </row>
    <row r="1168">
      <c r="B1168" s="8"/>
    </row>
    <row r="1169">
      <c r="B1169" s="8"/>
    </row>
    <row r="1170">
      <c r="B1170" s="8"/>
    </row>
    <row r="1171">
      <c r="B1171" s="8"/>
    </row>
    <row r="1172">
      <c r="B1172" s="8"/>
    </row>
    <row r="1173">
      <c r="B1173" s="8"/>
    </row>
    <row r="1174">
      <c r="B1174" s="8"/>
    </row>
    <row r="1175">
      <c r="B1175" s="8"/>
    </row>
    <row r="1176">
      <c r="B1176" s="8"/>
    </row>
    <row r="1177">
      <c r="B1177" s="8"/>
    </row>
    <row r="1178">
      <c r="B1178" s="8"/>
    </row>
    <row r="1179">
      <c r="B1179" s="8"/>
    </row>
    <row r="1180">
      <c r="B1180" s="8"/>
    </row>
    <row r="1181">
      <c r="B1181" s="8"/>
    </row>
    <row r="1182">
      <c r="B1182" s="8"/>
    </row>
    <row r="1183">
      <c r="B1183" s="8"/>
    </row>
    <row r="1184">
      <c r="B1184" s="8"/>
    </row>
    <row r="1185">
      <c r="B1185" s="8"/>
    </row>
    <row r="1186">
      <c r="B1186" s="8"/>
    </row>
    <row r="1187">
      <c r="B1187" s="8"/>
    </row>
    <row r="1188">
      <c r="B1188" s="8"/>
    </row>
    <row r="1189">
      <c r="B1189" s="8"/>
    </row>
    <row r="1190">
      <c r="B1190" s="8"/>
    </row>
    <row r="1191">
      <c r="B1191" s="8"/>
    </row>
    <row r="1192">
      <c r="B1192" s="8"/>
    </row>
    <row r="1193">
      <c r="B1193" s="8"/>
    </row>
    <row r="1194">
      <c r="B1194" s="8"/>
    </row>
    <row r="1195">
      <c r="B1195" s="8"/>
    </row>
    <row r="1196">
      <c r="B1196" s="8"/>
    </row>
    <row r="1197">
      <c r="B1197" s="8"/>
    </row>
    <row r="1198">
      <c r="B1198" s="8"/>
    </row>
    <row r="1199">
      <c r="B1199" s="8"/>
    </row>
    <row r="1200">
      <c r="B1200" s="8"/>
    </row>
    <row r="1201">
      <c r="B1201" s="8"/>
    </row>
    <row r="1202">
      <c r="B1202" s="8"/>
    </row>
    <row r="1203">
      <c r="B1203" s="8"/>
    </row>
    <row r="1204">
      <c r="B1204" s="8"/>
    </row>
    <row r="1205">
      <c r="B1205" s="8"/>
    </row>
    <row r="1206">
      <c r="B1206" s="8"/>
    </row>
    <row r="1207">
      <c r="B1207" s="8"/>
    </row>
    <row r="1208">
      <c r="B1208" s="8"/>
    </row>
    <row r="1209">
      <c r="B1209" s="8"/>
    </row>
    <row r="1210">
      <c r="B1210" s="8"/>
    </row>
    <row r="1211">
      <c r="B1211" s="8"/>
    </row>
    <row r="1212">
      <c r="B1212" s="8"/>
    </row>
    <row r="1213">
      <c r="B1213" s="8"/>
    </row>
    <row r="1214">
      <c r="B1214" s="8"/>
    </row>
    <row r="1215">
      <c r="B1215" s="8"/>
    </row>
    <row r="1216">
      <c r="B1216" s="8"/>
    </row>
    <row r="1217">
      <c r="B1217" s="8"/>
    </row>
    <row r="1218">
      <c r="B1218" s="8"/>
    </row>
    <row r="1219">
      <c r="B1219" s="8"/>
    </row>
    <row r="1220">
      <c r="B1220" s="8"/>
    </row>
    <row r="1221">
      <c r="B1221" s="8"/>
    </row>
    <row r="1222">
      <c r="B1222" s="8"/>
    </row>
    <row r="1223">
      <c r="B1223" s="8"/>
    </row>
    <row r="1224">
      <c r="B1224" s="8"/>
    </row>
    <row r="1225">
      <c r="B1225" s="8"/>
    </row>
    <row r="1226">
      <c r="B1226" s="8"/>
    </row>
    <row r="1227">
      <c r="B1227" s="8"/>
    </row>
    <row r="1228">
      <c r="B1228" s="8"/>
    </row>
    <row r="1229">
      <c r="B1229" s="8"/>
    </row>
    <row r="1230">
      <c r="B1230" s="8"/>
    </row>
    <row r="1231">
      <c r="B1231" s="8"/>
    </row>
    <row r="1232">
      <c r="B1232" s="8"/>
    </row>
    <row r="1233">
      <c r="B1233" s="8"/>
    </row>
    <row r="1234">
      <c r="B1234" s="8"/>
    </row>
    <row r="1235">
      <c r="B1235" s="8"/>
    </row>
    <row r="1236">
      <c r="B1236" s="8"/>
    </row>
    <row r="1237">
      <c r="B1237" s="8"/>
    </row>
    <row r="1238">
      <c r="B1238" s="8"/>
    </row>
    <row r="1239">
      <c r="B1239" s="8"/>
    </row>
    <row r="1240">
      <c r="B1240" s="8"/>
    </row>
    <row r="1241">
      <c r="B1241" s="8"/>
    </row>
    <row r="1242">
      <c r="B1242" s="8"/>
    </row>
    <row r="1243">
      <c r="B1243" s="8"/>
    </row>
    <row r="1244">
      <c r="B1244" s="8"/>
    </row>
    <row r="1245">
      <c r="B1245" s="8"/>
    </row>
    <row r="1246">
      <c r="B1246" s="8"/>
    </row>
    <row r="1247">
      <c r="B1247" s="8"/>
    </row>
    <row r="1248">
      <c r="B1248" s="8"/>
    </row>
    <row r="1249">
      <c r="B1249" s="8"/>
    </row>
    <row r="1250">
      <c r="B1250" s="8"/>
    </row>
    <row r="1251">
      <c r="B1251" s="8"/>
    </row>
    <row r="1252">
      <c r="B1252" s="8"/>
    </row>
    <row r="1253">
      <c r="B1253" s="8"/>
    </row>
    <row r="1254">
      <c r="B1254" s="8"/>
    </row>
    <row r="1255">
      <c r="B1255" s="8"/>
    </row>
    <row r="1256">
      <c r="B1256" s="8"/>
    </row>
    <row r="1257">
      <c r="B1257" s="8"/>
    </row>
    <row r="1258">
      <c r="B1258" s="8"/>
    </row>
    <row r="1259">
      <c r="B1259" s="8"/>
    </row>
    <row r="1260">
      <c r="B1260" s="8"/>
    </row>
    <row r="1261">
      <c r="B1261" s="8"/>
    </row>
    <row r="1262">
      <c r="B1262" s="8"/>
    </row>
    <row r="1263">
      <c r="B1263" s="8"/>
    </row>
    <row r="1264">
      <c r="B1264" s="8"/>
    </row>
    <row r="1265">
      <c r="B1265" s="8"/>
    </row>
    <row r="1266">
      <c r="B1266" s="8"/>
    </row>
    <row r="1267">
      <c r="B1267" s="8"/>
    </row>
    <row r="1268">
      <c r="B1268" s="8"/>
    </row>
    <row r="1269">
      <c r="B1269" s="8"/>
    </row>
    <row r="1270">
      <c r="B1270" s="8"/>
    </row>
    <row r="1271">
      <c r="B1271" s="8"/>
    </row>
    <row r="1272">
      <c r="B1272" s="8"/>
    </row>
    <row r="1273">
      <c r="B1273" s="8"/>
    </row>
    <row r="1274">
      <c r="B1274" s="8"/>
    </row>
    <row r="1275">
      <c r="B1275" s="8"/>
    </row>
    <row r="1276">
      <c r="B1276" s="8"/>
    </row>
    <row r="1277">
      <c r="B1277" s="8"/>
    </row>
    <row r="1278">
      <c r="B1278" s="8"/>
    </row>
    <row r="1279">
      <c r="B1279" s="8"/>
    </row>
    <row r="1280">
      <c r="B1280" s="8"/>
    </row>
    <row r="1281">
      <c r="B1281" s="8"/>
    </row>
    <row r="1282">
      <c r="B1282" s="8"/>
    </row>
    <row r="1283">
      <c r="B1283" s="8"/>
    </row>
    <row r="1284">
      <c r="B1284" s="8"/>
    </row>
    <row r="1285">
      <c r="B1285" s="8"/>
    </row>
    <row r="1286">
      <c r="B1286" s="8"/>
    </row>
    <row r="1287">
      <c r="B1287" s="8"/>
    </row>
    <row r="1288">
      <c r="B1288" s="8"/>
    </row>
    <row r="1289">
      <c r="B1289" s="8"/>
    </row>
    <row r="1290">
      <c r="B1290" s="8"/>
    </row>
    <row r="1291">
      <c r="B1291" s="8"/>
    </row>
    <row r="1292">
      <c r="B1292" s="8"/>
    </row>
    <row r="1293">
      <c r="B1293" s="8"/>
    </row>
    <row r="1294">
      <c r="B1294" s="8"/>
    </row>
    <row r="1295">
      <c r="B1295" s="8"/>
    </row>
    <row r="1296">
      <c r="B1296" s="8"/>
    </row>
    <row r="1297">
      <c r="B1297" s="8"/>
    </row>
    <row r="1298">
      <c r="B1298" s="8"/>
    </row>
    <row r="1299">
      <c r="B1299" s="8"/>
    </row>
    <row r="1300">
      <c r="B1300" s="8"/>
    </row>
    <row r="1301">
      <c r="B1301" s="8"/>
    </row>
    <row r="1302">
      <c r="B1302" s="8"/>
    </row>
    <row r="1303">
      <c r="B1303" s="8"/>
    </row>
    <row r="1304">
      <c r="B1304" s="8"/>
    </row>
    <row r="1305">
      <c r="B1305" s="8"/>
    </row>
    <row r="1306">
      <c r="B1306" s="8"/>
    </row>
    <row r="1307">
      <c r="B1307" s="8"/>
    </row>
    <row r="1308">
      <c r="B1308" s="8"/>
    </row>
    <row r="1309">
      <c r="B1309" s="8"/>
    </row>
    <row r="1310">
      <c r="B1310" s="8"/>
    </row>
    <row r="1311">
      <c r="B1311" s="8"/>
    </row>
    <row r="1312">
      <c r="B1312" s="8"/>
    </row>
    <row r="1313">
      <c r="B1313" s="8"/>
    </row>
    <row r="1314">
      <c r="B1314" s="8"/>
    </row>
    <row r="1315">
      <c r="B1315" s="8"/>
    </row>
    <row r="1316">
      <c r="B1316" s="8"/>
    </row>
    <row r="1317">
      <c r="B1317" s="8"/>
    </row>
    <row r="1318">
      <c r="B1318" s="8"/>
    </row>
    <row r="1319">
      <c r="B1319" s="8"/>
    </row>
    <row r="1320">
      <c r="B1320" s="8"/>
    </row>
    <row r="1321">
      <c r="B1321" s="8"/>
    </row>
    <row r="1322">
      <c r="B1322" s="8"/>
    </row>
    <row r="1323">
      <c r="B1323" s="8"/>
    </row>
    <row r="1324">
      <c r="B1324" s="8"/>
    </row>
    <row r="1325">
      <c r="B1325" s="8"/>
    </row>
    <row r="1326">
      <c r="B1326" s="8"/>
    </row>
    <row r="1327">
      <c r="B1327" s="8"/>
    </row>
    <row r="1328">
      <c r="B1328" s="8"/>
    </row>
    <row r="1329">
      <c r="B1329" s="8"/>
    </row>
    <row r="1330">
      <c r="B1330" s="8"/>
    </row>
    <row r="1331">
      <c r="B1331" s="8"/>
    </row>
    <row r="1332">
      <c r="B1332" s="8"/>
    </row>
    <row r="1333">
      <c r="B1333" s="8"/>
    </row>
    <row r="1334">
      <c r="B1334" s="8"/>
    </row>
    <row r="1335">
      <c r="B1335" s="8"/>
    </row>
    <row r="1336">
      <c r="B1336" s="8"/>
    </row>
    <row r="1337">
      <c r="B1337" s="8"/>
    </row>
    <row r="1338">
      <c r="B1338" s="8"/>
    </row>
    <row r="1339">
      <c r="B1339" s="8"/>
    </row>
    <row r="1340">
      <c r="B1340" s="8"/>
    </row>
    <row r="1341">
      <c r="B1341" s="8"/>
    </row>
    <row r="1342">
      <c r="B1342" s="8"/>
    </row>
    <row r="1343">
      <c r="B1343" s="8"/>
    </row>
    <row r="1344">
      <c r="B1344" s="8"/>
    </row>
    <row r="1345">
      <c r="B1345" s="8"/>
    </row>
    <row r="1346">
      <c r="B1346" s="8"/>
    </row>
    <row r="1347">
      <c r="B1347" s="8"/>
    </row>
    <row r="1348">
      <c r="B1348" s="8"/>
    </row>
    <row r="1349">
      <c r="B1349" s="8"/>
    </row>
    <row r="1350">
      <c r="B1350" s="8"/>
    </row>
    <row r="1351">
      <c r="B1351" s="8"/>
    </row>
    <row r="1352">
      <c r="B1352" s="8"/>
    </row>
    <row r="1353">
      <c r="B1353" s="8"/>
    </row>
    <row r="1354">
      <c r="B1354" s="8"/>
    </row>
    <row r="1355">
      <c r="B1355" s="8"/>
    </row>
    <row r="1356">
      <c r="B1356" s="8"/>
    </row>
    <row r="1357">
      <c r="B1357" s="8"/>
    </row>
    <row r="1358">
      <c r="B1358" s="8"/>
    </row>
    <row r="1359">
      <c r="B1359" s="8"/>
    </row>
    <row r="1360">
      <c r="B1360" s="8"/>
    </row>
    <row r="1361">
      <c r="B1361" s="8"/>
    </row>
    <row r="1362">
      <c r="B1362" s="8"/>
    </row>
    <row r="1363">
      <c r="B1363" s="8"/>
    </row>
    <row r="1364">
      <c r="B1364" s="8"/>
    </row>
    <row r="1365">
      <c r="B1365" s="8"/>
    </row>
    <row r="1366">
      <c r="B1366" s="8"/>
    </row>
    <row r="1367">
      <c r="B1367" s="8"/>
    </row>
    <row r="1368">
      <c r="B1368" s="8"/>
    </row>
    <row r="1369">
      <c r="B1369" s="8"/>
    </row>
    <row r="1370">
      <c r="B1370" s="8"/>
    </row>
    <row r="1371">
      <c r="B1371" s="8"/>
    </row>
    <row r="1372">
      <c r="B1372" s="8"/>
    </row>
    <row r="1373">
      <c r="B1373" s="8"/>
    </row>
    <row r="1374">
      <c r="B1374" s="8"/>
    </row>
    <row r="1375">
      <c r="B1375" s="8"/>
    </row>
    <row r="1376">
      <c r="B1376" s="8"/>
    </row>
    <row r="1377">
      <c r="B1377" s="8"/>
    </row>
    <row r="1378">
      <c r="B1378" s="8"/>
    </row>
    <row r="1379">
      <c r="B1379" s="8"/>
    </row>
    <row r="1380">
      <c r="B1380" s="8"/>
    </row>
    <row r="1381">
      <c r="B1381" s="8"/>
    </row>
    <row r="1382">
      <c r="B1382" s="8"/>
    </row>
    <row r="1383">
      <c r="B1383" s="8"/>
    </row>
    <row r="1384">
      <c r="B1384" s="8"/>
    </row>
    <row r="1385">
      <c r="B1385" s="8"/>
    </row>
    <row r="1386">
      <c r="B1386" s="8"/>
    </row>
    <row r="1387">
      <c r="B1387" s="8"/>
    </row>
    <row r="1388">
      <c r="B1388" s="8"/>
    </row>
    <row r="1389">
      <c r="B1389" s="8"/>
    </row>
    <row r="1390">
      <c r="B1390" s="8"/>
    </row>
    <row r="1391">
      <c r="B1391" s="8"/>
    </row>
    <row r="1392">
      <c r="B1392" s="8"/>
    </row>
    <row r="1393">
      <c r="B1393" s="8"/>
    </row>
    <row r="1394">
      <c r="B1394" s="8"/>
    </row>
    <row r="1395">
      <c r="B1395" s="8"/>
    </row>
    <row r="1396">
      <c r="B1396" s="8"/>
    </row>
    <row r="1397">
      <c r="B1397" s="8"/>
    </row>
    <row r="1398">
      <c r="B1398" s="8"/>
    </row>
    <row r="1399">
      <c r="B1399" s="8"/>
    </row>
    <row r="1400">
      <c r="B1400" s="8"/>
    </row>
    <row r="1401">
      <c r="B1401" s="8"/>
    </row>
    <row r="1402">
      <c r="B1402" s="8"/>
    </row>
    <row r="1403">
      <c r="B1403" s="8"/>
    </row>
    <row r="1404">
      <c r="B1404" s="8"/>
    </row>
    <row r="1405">
      <c r="B1405" s="8"/>
    </row>
    <row r="1406">
      <c r="B1406" s="8"/>
    </row>
    <row r="1407">
      <c r="B1407" s="8"/>
    </row>
    <row r="1408">
      <c r="B1408" s="8"/>
    </row>
    <row r="1409">
      <c r="B1409" s="8"/>
    </row>
    <row r="1410">
      <c r="B1410" s="8"/>
    </row>
    <row r="1411">
      <c r="B1411" s="8"/>
    </row>
    <row r="1412">
      <c r="B1412" s="8"/>
    </row>
    <row r="1413">
      <c r="B1413" s="8"/>
    </row>
    <row r="1414">
      <c r="B1414" s="8"/>
    </row>
    <row r="1415">
      <c r="B1415" s="8"/>
    </row>
    <row r="1416">
      <c r="B1416" s="8"/>
    </row>
    <row r="1417">
      <c r="B1417" s="8"/>
    </row>
    <row r="1418">
      <c r="B1418" s="8"/>
    </row>
    <row r="1419">
      <c r="B1419" s="8"/>
    </row>
    <row r="1420">
      <c r="B1420" s="8"/>
    </row>
    <row r="1421">
      <c r="B1421" s="8"/>
    </row>
    <row r="1422">
      <c r="B1422" s="8"/>
    </row>
    <row r="1423">
      <c r="B1423" s="8"/>
    </row>
    <row r="1424">
      <c r="B1424" s="8"/>
    </row>
    <row r="1425">
      <c r="B1425" s="8"/>
    </row>
    <row r="1426">
      <c r="B1426" s="8"/>
    </row>
    <row r="1427">
      <c r="B1427" s="8"/>
    </row>
    <row r="1428">
      <c r="B1428" s="8"/>
    </row>
    <row r="1429">
      <c r="B1429" s="8"/>
    </row>
    <row r="1430">
      <c r="B1430" s="8"/>
    </row>
    <row r="1431">
      <c r="B1431" s="8"/>
    </row>
    <row r="1432">
      <c r="B1432" s="8"/>
    </row>
    <row r="1433">
      <c r="B1433" s="8"/>
    </row>
    <row r="1434">
      <c r="B1434" s="8"/>
    </row>
    <row r="1435">
      <c r="B1435" s="8"/>
    </row>
    <row r="1436">
      <c r="B1436" s="8"/>
    </row>
    <row r="1437">
      <c r="B1437" s="8"/>
    </row>
    <row r="1438">
      <c r="B1438" s="8"/>
    </row>
    <row r="1439">
      <c r="B1439" s="8"/>
    </row>
    <row r="1440">
      <c r="B1440" s="8"/>
    </row>
    <row r="1441">
      <c r="B1441" s="8"/>
    </row>
    <row r="1442">
      <c r="B1442" s="8"/>
    </row>
    <row r="1443">
      <c r="B1443" s="8"/>
    </row>
    <row r="1444">
      <c r="B1444" s="8"/>
    </row>
    <row r="1445">
      <c r="B1445" s="8"/>
    </row>
    <row r="1446">
      <c r="B1446" s="8"/>
    </row>
    <row r="1447">
      <c r="B1447" s="8"/>
    </row>
    <row r="1448">
      <c r="B1448" s="8"/>
    </row>
    <row r="1449">
      <c r="B1449" s="8"/>
    </row>
    <row r="1450">
      <c r="B1450" s="8"/>
    </row>
    <row r="1451">
      <c r="B1451" s="8"/>
    </row>
    <row r="1452">
      <c r="B1452" s="8"/>
    </row>
    <row r="1453">
      <c r="B1453" s="8"/>
    </row>
    <row r="1454">
      <c r="B1454" s="8"/>
    </row>
    <row r="1455">
      <c r="B1455" s="8"/>
    </row>
    <row r="1456">
      <c r="B1456" s="8"/>
    </row>
    <row r="1457">
      <c r="B1457" s="8"/>
    </row>
    <row r="1458">
      <c r="B1458" s="8"/>
    </row>
    <row r="1459">
      <c r="B1459" s="8"/>
    </row>
    <row r="1460">
      <c r="B1460" s="8"/>
    </row>
    <row r="1461">
      <c r="B1461" s="8"/>
    </row>
    <row r="1462">
      <c r="B1462" s="8"/>
    </row>
    <row r="1463">
      <c r="B1463" s="8"/>
    </row>
    <row r="1464">
      <c r="B1464" s="8"/>
    </row>
    <row r="1465">
      <c r="B1465" s="8"/>
    </row>
    <row r="1466">
      <c r="B1466" s="8"/>
    </row>
    <row r="1467">
      <c r="B1467" s="8"/>
    </row>
    <row r="1468">
      <c r="B1468" s="8"/>
    </row>
    <row r="1469">
      <c r="B1469" s="8"/>
    </row>
    <row r="1470">
      <c r="B1470" s="8"/>
    </row>
    <row r="1471">
      <c r="B1471" s="8"/>
    </row>
    <row r="1472">
      <c r="B1472" s="8"/>
    </row>
    <row r="1473">
      <c r="B1473" s="8"/>
    </row>
    <row r="1474">
      <c r="B1474" s="8"/>
    </row>
    <row r="1475">
      <c r="B1475" s="8"/>
    </row>
    <row r="1476">
      <c r="B1476" s="8"/>
    </row>
    <row r="1477">
      <c r="B1477" s="8"/>
    </row>
    <row r="1478">
      <c r="B1478" s="8"/>
    </row>
    <row r="1479">
      <c r="B1479" s="8"/>
    </row>
    <row r="1480">
      <c r="B1480" s="8"/>
    </row>
    <row r="1481">
      <c r="B1481" s="8"/>
    </row>
    <row r="1482">
      <c r="B1482" s="8"/>
    </row>
    <row r="1483">
      <c r="B1483" s="8"/>
    </row>
    <row r="1484">
      <c r="B1484" s="8"/>
    </row>
    <row r="1485">
      <c r="B1485" s="8"/>
    </row>
    <row r="1486">
      <c r="B1486" s="8"/>
    </row>
    <row r="1487">
      <c r="B1487" s="8"/>
    </row>
    <row r="1488">
      <c r="B1488" s="8"/>
    </row>
    <row r="1489">
      <c r="B1489" s="8"/>
    </row>
    <row r="1490">
      <c r="B1490" s="8"/>
    </row>
    <row r="1491">
      <c r="B1491" s="8"/>
    </row>
    <row r="1492">
      <c r="B1492" s="8"/>
    </row>
    <row r="1493">
      <c r="B1493" s="8"/>
    </row>
    <row r="1494">
      <c r="B1494" s="8"/>
    </row>
    <row r="1495">
      <c r="B1495" s="8"/>
    </row>
    <row r="1496">
      <c r="B1496" s="8"/>
    </row>
    <row r="1497">
      <c r="B1497" s="8"/>
    </row>
    <row r="1498">
      <c r="B1498" s="8"/>
    </row>
    <row r="1499">
      <c r="B1499" s="8"/>
    </row>
    <row r="1500">
      <c r="B1500" s="8"/>
    </row>
    <row r="1501">
      <c r="B1501" s="8"/>
    </row>
    <row r="1502">
      <c r="B1502" s="8"/>
    </row>
    <row r="1503">
      <c r="B1503" s="8"/>
    </row>
    <row r="1504">
      <c r="B1504" s="8"/>
    </row>
    <row r="1505">
      <c r="B1505" s="8"/>
    </row>
    <row r="1506">
      <c r="B1506" s="8"/>
    </row>
    <row r="1507">
      <c r="B1507" s="8"/>
    </row>
    <row r="1508">
      <c r="B1508" s="8"/>
    </row>
    <row r="1509">
      <c r="B1509" s="8"/>
    </row>
    <row r="1510">
      <c r="B1510" s="8"/>
    </row>
    <row r="1511">
      <c r="B1511" s="8"/>
    </row>
    <row r="1512">
      <c r="B1512" s="8"/>
    </row>
    <row r="1513">
      <c r="B1513" s="8"/>
    </row>
    <row r="1514">
      <c r="B1514" s="8"/>
    </row>
    <row r="1515">
      <c r="B1515" s="8"/>
    </row>
    <row r="1516">
      <c r="B1516" s="8"/>
    </row>
    <row r="1517">
      <c r="B1517" s="8"/>
    </row>
    <row r="1518">
      <c r="B1518" s="8"/>
    </row>
    <row r="1519">
      <c r="B1519" s="8"/>
    </row>
    <row r="1520">
      <c r="B1520" s="8"/>
    </row>
    <row r="1521">
      <c r="B1521" s="8"/>
    </row>
    <row r="1522">
      <c r="B1522" s="8"/>
    </row>
    <row r="1523">
      <c r="B1523" s="8"/>
    </row>
    <row r="1524">
      <c r="B1524" s="8"/>
    </row>
    <row r="1525">
      <c r="B1525" s="8"/>
    </row>
    <row r="1526">
      <c r="B1526" s="8"/>
    </row>
    <row r="1527">
      <c r="B1527" s="8"/>
    </row>
    <row r="1528">
      <c r="B1528" s="8"/>
    </row>
    <row r="1529">
      <c r="B1529" s="8"/>
    </row>
    <row r="1530">
      <c r="B1530" s="8"/>
    </row>
    <row r="1531">
      <c r="B1531" s="8"/>
    </row>
    <row r="1532">
      <c r="B1532" s="8"/>
    </row>
    <row r="1533">
      <c r="B1533" s="8"/>
    </row>
    <row r="1534">
      <c r="B1534" s="8"/>
    </row>
    <row r="1535">
      <c r="B1535" s="8"/>
    </row>
    <row r="1536">
      <c r="B1536" s="8"/>
    </row>
    <row r="1537">
      <c r="B1537" s="8"/>
    </row>
    <row r="1538">
      <c r="B1538" s="8"/>
    </row>
    <row r="1539">
      <c r="B1539" s="8"/>
    </row>
    <row r="1540">
      <c r="B1540" s="8"/>
    </row>
    <row r="1541">
      <c r="B1541" s="8"/>
    </row>
    <row r="1542">
      <c r="B1542" s="8"/>
    </row>
    <row r="1543">
      <c r="B1543" s="8"/>
    </row>
    <row r="1544">
      <c r="B1544" s="8"/>
    </row>
    <row r="1545">
      <c r="B1545" s="8"/>
    </row>
    <row r="1546">
      <c r="B1546" s="8"/>
    </row>
    <row r="1547">
      <c r="B1547" s="8"/>
    </row>
    <row r="1548">
      <c r="B1548" s="8"/>
    </row>
    <row r="1549">
      <c r="B1549" s="8"/>
    </row>
    <row r="1550">
      <c r="B1550" s="8"/>
    </row>
    <row r="1551">
      <c r="B1551" s="8"/>
    </row>
    <row r="1552">
      <c r="B1552" s="8"/>
    </row>
    <row r="1553">
      <c r="B1553" s="8"/>
    </row>
    <row r="1554">
      <c r="B1554" s="8"/>
    </row>
    <row r="1555">
      <c r="B1555" s="8"/>
    </row>
    <row r="1556">
      <c r="B1556" s="8"/>
    </row>
    <row r="1557">
      <c r="B1557" s="8"/>
    </row>
    <row r="1558">
      <c r="B1558" s="8"/>
    </row>
    <row r="1559">
      <c r="B1559" s="8"/>
    </row>
    <row r="1560">
      <c r="B1560" s="8"/>
    </row>
    <row r="1561">
      <c r="B1561" s="8"/>
    </row>
    <row r="1562">
      <c r="B1562" s="8"/>
    </row>
    <row r="1563">
      <c r="B1563" s="8"/>
    </row>
    <row r="1564">
      <c r="B1564" s="8"/>
    </row>
    <row r="1565">
      <c r="B1565" s="8"/>
    </row>
    <row r="1566">
      <c r="B1566" s="8"/>
    </row>
    <row r="1567">
      <c r="B1567" s="8"/>
    </row>
    <row r="1568">
      <c r="B1568" s="8"/>
    </row>
    <row r="1569">
      <c r="B1569" s="8"/>
    </row>
    <row r="1570">
      <c r="B1570" s="8"/>
    </row>
    <row r="1571">
      <c r="B1571" s="8"/>
    </row>
    <row r="1572">
      <c r="B1572" s="8"/>
    </row>
    <row r="1573">
      <c r="B1573" s="8"/>
    </row>
    <row r="1574">
      <c r="B1574" s="8"/>
    </row>
    <row r="1575">
      <c r="B1575" s="8"/>
    </row>
    <row r="1576">
      <c r="B1576" s="8"/>
    </row>
    <row r="1577">
      <c r="B1577" s="8"/>
    </row>
    <row r="1578">
      <c r="B1578" s="8"/>
    </row>
    <row r="1579">
      <c r="B1579" s="8"/>
    </row>
    <row r="1580">
      <c r="B1580" s="8"/>
    </row>
    <row r="1581">
      <c r="B1581" s="8"/>
    </row>
    <row r="1582">
      <c r="B1582" s="8"/>
    </row>
    <row r="1583">
      <c r="B1583" s="8"/>
    </row>
    <row r="1584">
      <c r="B1584" s="8"/>
    </row>
    <row r="1585">
      <c r="B1585" s="8"/>
    </row>
    <row r="1586">
      <c r="B1586" s="8"/>
    </row>
    <row r="1587">
      <c r="B1587" s="8"/>
    </row>
    <row r="1588">
      <c r="B1588" s="8"/>
    </row>
    <row r="1589">
      <c r="B1589" s="8"/>
    </row>
    <row r="1590">
      <c r="B1590" s="8"/>
    </row>
    <row r="1591">
      <c r="B1591" s="8"/>
    </row>
    <row r="1592">
      <c r="B1592" s="8"/>
    </row>
    <row r="1593">
      <c r="B1593" s="8"/>
    </row>
    <row r="1594">
      <c r="B1594" s="8"/>
    </row>
    <row r="1595">
      <c r="B1595" s="8"/>
    </row>
    <row r="1596">
      <c r="B1596" s="8"/>
    </row>
    <row r="1597">
      <c r="B1597" s="8"/>
    </row>
    <row r="1598">
      <c r="B1598" s="8"/>
    </row>
    <row r="1599">
      <c r="B1599" s="8"/>
    </row>
    <row r="1600">
      <c r="B1600" s="8"/>
    </row>
    <row r="1601">
      <c r="B1601" s="8"/>
    </row>
    <row r="1602">
      <c r="B1602" s="8"/>
    </row>
    <row r="1603">
      <c r="B1603" s="8"/>
    </row>
    <row r="1604">
      <c r="B1604" s="8"/>
    </row>
    <row r="1605">
      <c r="B1605" s="8"/>
    </row>
    <row r="1606">
      <c r="B1606" s="8"/>
    </row>
    <row r="1607">
      <c r="B1607" s="8"/>
    </row>
    <row r="1608">
      <c r="B1608" s="8"/>
    </row>
    <row r="1609">
      <c r="B1609" s="8"/>
    </row>
    <row r="1610">
      <c r="B1610" s="8"/>
    </row>
    <row r="1611">
      <c r="B1611" s="8"/>
    </row>
    <row r="1612">
      <c r="B1612" s="8"/>
    </row>
    <row r="1613">
      <c r="B1613" s="8"/>
    </row>
    <row r="1614">
      <c r="B1614" s="8"/>
    </row>
    <row r="1615">
      <c r="B1615" s="8"/>
    </row>
    <row r="1616">
      <c r="B1616" s="8"/>
    </row>
    <row r="1617">
      <c r="B1617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88"/>
    <col customWidth="1" min="4" max="4" width="52.88"/>
    <col customWidth="1" min="5" max="5" width="19.38"/>
    <col customWidth="1" min="6" max="6" width="23.63"/>
    <col customWidth="1" min="7" max="7" width="23.5"/>
    <col customWidth="1" min="8" max="8" width="21.88"/>
    <col customWidth="1" min="9" max="9" width="24.63"/>
    <col customWidth="1" min="10" max="10" width="24.0"/>
    <col customWidth="1" min="11" max="11" width="22.38"/>
    <col customWidth="1" min="12" max="12" width="44.13"/>
    <col customWidth="1" min="13" max="13" width="25.63"/>
    <col customWidth="1" min="14" max="14" width="14.5"/>
    <col customWidth="1" min="15" max="15" width="19.13"/>
    <col customWidth="1" min="16" max="16" width="28.13"/>
    <col customWidth="1" min="17" max="17" width="17.0"/>
    <col customWidth="1" min="18" max="18" width="20.0"/>
    <col customWidth="1" min="19" max="19" width="15.5"/>
    <col customWidth="1" min="20" max="20" width="25.38"/>
    <col customWidth="1" min="21" max="21" width="15.13"/>
    <col customWidth="1" min="22" max="22" width="13.38"/>
    <col customWidth="1" min="23" max="27" width="10.88"/>
    <col customWidth="1" min="28" max="28" width="16.5"/>
    <col customWidth="1" min="29" max="29" width="20.13"/>
    <col customWidth="1" min="30" max="30" width="21.38"/>
    <col customWidth="1" min="31" max="31" width="18.88"/>
    <col customWidth="1" min="32" max="32" width="22.0"/>
    <col customWidth="1" min="33" max="33" width="15.38"/>
    <col customWidth="1" min="34" max="34" width="17.0"/>
    <col customWidth="1" min="35" max="35" width="19.5"/>
    <col customWidth="1" min="36" max="36" width="17.13"/>
    <col customWidth="1" min="37" max="37" width="23.88"/>
    <col customWidth="1" min="38" max="38" width="18.38"/>
    <col customWidth="1" min="39" max="39" width="20.0"/>
    <col customWidth="1" min="40" max="40" width="20.6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70" t="s">
        <v>1986</v>
      </c>
      <c r="F1" s="70" t="s">
        <v>188</v>
      </c>
      <c r="G1" s="70" t="s">
        <v>597</v>
      </c>
      <c r="H1" s="70" t="s">
        <v>598</v>
      </c>
      <c r="I1" s="70" t="s">
        <v>867</v>
      </c>
      <c r="J1" s="70" t="s">
        <v>2318</v>
      </c>
      <c r="K1" s="70" t="s">
        <v>2319</v>
      </c>
      <c r="L1" s="70" t="s">
        <v>1987</v>
      </c>
      <c r="M1" s="70" t="s">
        <v>868</v>
      </c>
      <c r="N1" s="70" t="s">
        <v>869</v>
      </c>
      <c r="O1" s="70" t="s">
        <v>870</v>
      </c>
      <c r="P1" s="70" t="s">
        <v>1293</v>
      </c>
      <c r="Q1" s="70" t="s">
        <v>601</v>
      </c>
      <c r="R1" s="70" t="s">
        <v>871</v>
      </c>
      <c r="S1" s="70" t="s">
        <v>602</v>
      </c>
      <c r="T1" s="70" t="s">
        <v>603</v>
      </c>
      <c r="U1" s="70" t="s">
        <v>604</v>
      </c>
      <c r="V1" s="70" t="s">
        <v>189</v>
      </c>
      <c r="W1" s="70" t="s">
        <v>605</v>
      </c>
      <c r="X1" s="70" t="s">
        <v>10</v>
      </c>
      <c r="Y1" s="70" t="s">
        <v>1988</v>
      </c>
      <c r="Z1" s="70" t="s">
        <v>872</v>
      </c>
      <c r="AA1" s="70" t="s">
        <v>606</v>
      </c>
      <c r="AB1" s="70" t="s">
        <v>11</v>
      </c>
      <c r="AC1" s="70" t="s">
        <v>607</v>
      </c>
      <c r="AD1" s="70" t="s">
        <v>608</v>
      </c>
      <c r="AE1" s="70" t="s">
        <v>875</v>
      </c>
      <c r="AF1" s="70" t="s">
        <v>14</v>
      </c>
      <c r="AG1" s="70" t="s">
        <v>1989</v>
      </c>
      <c r="AH1" s="70" t="s">
        <v>15</v>
      </c>
      <c r="AI1" s="70" t="s">
        <v>16</v>
      </c>
      <c r="AJ1" s="70" t="s">
        <v>1990</v>
      </c>
      <c r="AK1" s="70" t="s">
        <v>611</v>
      </c>
      <c r="AL1" s="70" t="s">
        <v>612</v>
      </c>
      <c r="AM1" s="70" t="s">
        <v>18</v>
      </c>
      <c r="AN1" s="70" t="s">
        <v>19</v>
      </c>
    </row>
    <row r="2" ht="60.0" customHeight="1">
      <c r="A2" s="40">
        <v>10.0</v>
      </c>
      <c r="B2" s="50" t="s">
        <v>35</v>
      </c>
      <c r="C2" s="51" t="s">
        <v>2320</v>
      </c>
      <c r="D2" s="51" t="s">
        <v>1541</v>
      </c>
      <c r="E2" s="52" t="s">
        <v>305</v>
      </c>
      <c r="F2" s="52" t="s">
        <v>2321</v>
      </c>
      <c r="G2" s="52" t="s">
        <v>240</v>
      </c>
      <c r="H2" s="52" t="s">
        <v>305</v>
      </c>
      <c r="I2" s="52" t="s">
        <v>305</v>
      </c>
      <c r="J2" s="52" t="s">
        <v>305</v>
      </c>
      <c r="K2" s="52" t="s">
        <v>305</v>
      </c>
      <c r="L2" s="52" t="s">
        <v>305</v>
      </c>
      <c r="M2" s="52" t="s">
        <v>305</v>
      </c>
      <c r="N2" s="52" t="s">
        <v>240</v>
      </c>
      <c r="O2" s="52" t="s">
        <v>305</v>
      </c>
      <c r="P2" s="52" t="s">
        <v>305</v>
      </c>
      <c r="Q2" s="52" t="s">
        <v>240</v>
      </c>
      <c r="R2" s="55" t="s">
        <v>2322</v>
      </c>
      <c r="S2" s="52" t="s">
        <v>240</v>
      </c>
      <c r="T2" s="52" t="s">
        <v>240</v>
      </c>
      <c r="U2" s="55" t="s">
        <v>2323</v>
      </c>
      <c r="V2" s="52" t="s">
        <v>305</v>
      </c>
      <c r="W2" s="52" t="s">
        <v>240</v>
      </c>
      <c r="X2" s="55" t="s">
        <v>2322</v>
      </c>
      <c r="Y2" s="52" t="s">
        <v>305</v>
      </c>
      <c r="Z2" s="52" t="s">
        <v>305</v>
      </c>
      <c r="AA2" s="52" t="s">
        <v>240</v>
      </c>
      <c r="AB2" s="52" t="s">
        <v>240</v>
      </c>
      <c r="AC2" s="52" t="s">
        <v>305</v>
      </c>
      <c r="AD2" s="52" t="s">
        <v>305</v>
      </c>
      <c r="AE2" s="52" t="s">
        <v>305</v>
      </c>
      <c r="AF2" s="52" t="s">
        <v>305</v>
      </c>
      <c r="AG2" s="52" t="s">
        <v>305</v>
      </c>
      <c r="AH2" s="52" t="s">
        <v>240</v>
      </c>
      <c r="AI2" s="52" t="s">
        <v>240</v>
      </c>
      <c r="AJ2" s="52" t="s">
        <v>305</v>
      </c>
      <c r="AK2" s="55" t="s">
        <v>2324</v>
      </c>
      <c r="AL2" s="52" t="s">
        <v>240</v>
      </c>
      <c r="AM2" s="52" t="s">
        <v>240</v>
      </c>
      <c r="AN2" s="52" t="s">
        <v>240</v>
      </c>
    </row>
    <row r="3" ht="15.75" customHeight="1">
      <c r="A3" s="40">
        <v>10.0</v>
      </c>
      <c r="B3" s="50" t="s">
        <v>193</v>
      </c>
      <c r="C3" s="54" t="s">
        <v>2325</v>
      </c>
      <c r="D3" s="54" t="s">
        <v>614</v>
      </c>
      <c r="E3" s="55">
        <v>2022.0</v>
      </c>
      <c r="F3" s="55">
        <v>2023.0</v>
      </c>
      <c r="G3" s="55">
        <v>2019.0</v>
      </c>
      <c r="H3" s="55">
        <v>2021.0</v>
      </c>
      <c r="I3" s="55">
        <v>2020.0</v>
      </c>
      <c r="J3" s="55">
        <v>2024.0</v>
      </c>
      <c r="K3" s="55">
        <v>2025.0</v>
      </c>
      <c r="L3" s="55">
        <v>2022.0</v>
      </c>
      <c r="M3" s="55">
        <v>2021.0</v>
      </c>
      <c r="N3" s="55">
        <v>2023.0</v>
      </c>
      <c r="O3" s="55">
        <v>2023.0</v>
      </c>
      <c r="P3" s="55">
        <v>2023.0</v>
      </c>
      <c r="Q3" s="55">
        <v>2020.0</v>
      </c>
      <c r="R3" s="55">
        <v>2020.0</v>
      </c>
      <c r="S3" s="55">
        <v>2022.0</v>
      </c>
      <c r="T3" s="55">
        <v>2022.0</v>
      </c>
      <c r="U3" s="55">
        <v>2023.0</v>
      </c>
      <c r="V3" s="55">
        <v>2024.0</v>
      </c>
      <c r="W3" s="55">
        <v>2020.0</v>
      </c>
      <c r="X3" s="55">
        <v>2020.0</v>
      </c>
      <c r="Y3" s="55">
        <v>2024.0</v>
      </c>
      <c r="Z3" s="55">
        <v>2019.0</v>
      </c>
      <c r="AA3" s="55">
        <v>2021.0</v>
      </c>
      <c r="AB3" s="55">
        <v>2024.0</v>
      </c>
      <c r="AC3" s="55">
        <v>2019.0</v>
      </c>
      <c r="AD3" s="55">
        <v>2023.0</v>
      </c>
      <c r="AE3" s="55">
        <v>2022.0</v>
      </c>
      <c r="AF3" s="55">
        <v>2024.0</v>
      </c>
      <c r="AG3" s="55">
        <v>2020.0</v>
      </c>
      <c r="AH3" s="55">
        <v>2024.0</v>
      </c>
      <c r="AI3" s="55">
        <v>2020.0</v>
      </c>
      <c r="AJ3" s="55">
        <v>2024.0</v>
      </c>
      <c r="AK3" s="55">
        <v>2023.0</v>
      </c>
      <c r="AL3" s="56">
        <v>2021.0</v>
      </c>
      <c r="AM3" s="56">
        <v>2021.0</v>
      </c>
      <c r="AN3" s="56">
        <v>2023.0</v>
      </c>
    </row>
    <row r="4" ht="15.75" customHeight="1">
      <c r="A4" s="40">
        <v>10.0</v>
      </c>
      <c r="B4" s="50" t="s">
        <v>2326</v>
      </c>
      <c r="C4" s="54" t="s">
        <v>2327</v>
      </c>
      <c r="D4" s="54" t="s">
        <v>2328</v>
      </c>
      <c r="E4" s="55">
        <v>2027.0</v>
      </c>
      <c r="F4" s="55">
        <v>2026.0</v>
      </c>
      <c r="G4" s="55">
        <v>2024.0</v>
      </c>
      <c r="H4" s="55">
        <v>2026.0</v>
      </c>
      <c r="I4" s="55">
        <v>2025.0</v>
      </c>
      <c r="J4" s="55">
        <v>2029.0</v>
      </c>
      <c r="K4" s="55">
        <v>2029.0</v>
      </c>
      <c r="L4" s="55">
        <v>2026.0</v>
      </c>
      <c r="M4" s="55">
        <v>2025.0</v>
      </c>
      <c r="N4" s="55">
        <v>2028.0</v>
      </c>
      <c r="O4" s="55">
        <v>2025.0</v>
      </c>
      <c r="P4" s="55">
        <v>2026.0</v>
      </c>
      <c r="Q4" s="55">
        <v>2024.0</v>
      </c>
      <c r="R4" s="55"/>
      <c r="S4" s="55">
        <v>2027.0</v>
      </c>
      <c r="T4" s="55">
        <v>2027.0</v>
      </c>
      <c r="U4" s="55">
        <v>2029.0</v>
      </c>
      <c r="V4" s="55">
        <v>2028.0</v>
      </c>
      <c r="W4" s="55">
        <v>2025.0</v>
      </c>
      <c r="X4" s="55"/>
      <c r="Y4" s="55">
        <v>2028.0</v>
      </c>
      <c r="Z4" s="55">
        <v>2024.0</v>
      </c>
      <c r="AA4" s="55">
        <v>2026.0</v>
      </c>
      <c r="AB4" s="55">
        <v>2029.0</v>
      </c>
      <c r="AC4" s="55">
        <v>2024.0</v>
      </c>
      <c r="AD4" s="55">
        <v>2027.0</v>
      </c>
      <c r="AE4" s="55">
        <v>2026.0</v>
      </c>
      <c r="AF4" s="55">
        <v>2029.0</v>
      </c>
      <c r="AG4" s="55">
        <v>2025.0</v>
      </c>
      <c r="AH4" s="55">
        <v>2029.0</v>
      </c>
      <c r="AI4" s="55">
        <v>2025.0</v>
      </c>
      <c r="AJ4" s="55">
        <v>2025.0</v>
      </c>
      <c r="AK4" s="55">
        <v>2024.0</v>
      </c>
      <c r="AL4" s="56">
        <v>2026.0</v>
      </c>
      <c r="AM4" s="56">
        <v>2026.0</v>
      </c>
      <c r="AN4" s="56">
        <v>2028.0</v>
      </c>
    </row>
    <row r="5" ht="15.75" customHeight="1">
      <c r="A5" s="40">
        <v>10.0</v>
      </c>
      <c r="B5" s="50" t="s">
        <v>2329</v>
      </c>
      <c r="C5" s="54" t="s">
        <v>2330</v>
      </c>
      <c r="D5" s="54" t="s">
        <v>2331</v>
      </c>
      <c r="E5" s="55">
        <v>18.0</v>
      </c>
      <c r="F5" s="55">
        <v>18.0</v>
      </c>
      <c r="G5" s="55">
        <v>18.0</v>
      </c>
      <c r="H5" s="55">
        <v>18.0</v>
      </c>
      <c r="I5" s="55">
        <v>18.0</v>
      </c>
      <c r="J5" s="55">
        <v>18.0</v>
      </c>
      <c r="K5" s="55">
        <v>18.0</v>
      </c>
      <c r="L5" s="55">
        <v>18.0</v>
      </c>
      <c r="M5" s="55">
        <v>18.0</v>
      </c>
      <c r="N5" s="55">
        <v>18.0</v>
      </c>
      <c r="O5" s="55">
        <v>18.0</v>
      </c>
      <c r="P5" s="55">
        <v>18.0</v>
      </c>
      <c r="Q5" s="55">
        <v>18.0</v>
      </c>
      <c r="R5" s="55">
        <v>18.0</v>
      </c>
      <c r="S5" s="55">
        <v>18.0</v>
      </c>
      <c r="T5" s="55">
        <v>18.0</v>
      </c>
      <c r="U5" s="55">
        <v>18.0</v>
      </c>
      <c r="V5" s="55">
        <v>18.0</v>
      </c>
      <c r="W5" s="55">
        <v>18.0</v>
      </c>
      <c r="X5" s="55">
        <v>18.0</v>
      </c>
      <c r="Y5" s="55">
        <v>18.0</v>
      </c>
      <c r="Z5" s="55">
        <v>18.0</v>
      </c>
      <c r="AA5" s="55">
        <v>18.0</v>
      </c>
      <c r="AB5" s="55">
        <v>18.0</v>
      </c>
      <c r="AC5" s="55">
        <v>18.0</v>
      </c>
      <c r="AD5" s="55">
        <v>18.0</v>
      </c>
      <c r="AE5" s="55">
        <v>18.0</v>
      </c>
      <c r="AF5" s="55">
        <v>18.0</v>
      </c>
      <c r="AG5" s="55">
        <v>18.0</v>
      </c>
      <c r="AH5" s="55">
        <v>18.0</v>
      </c>
      <c r="AI5" s="55">
        <v>18.0</v>
      </c>
      <c r="AJ5" s="55">
        <v>18.0</v>
      </c>
      <c r="AK5" s="55">
        <v>18.0</v>
      </c>
      <c r="AL5" s="56">
        <v>18.0</v>
      </c>
      <c r="AM5" s="56">
        <v>18.0</v>
      </c>
      <c r="AN5" s="56">
        <v>18.0</v>
      </c>
    </row>
    <row r="6" ht="15.75" customHeight="1">
      <c r="A6" s="40">
        <v>10.0</v>
      </c>
      <c r="B6" s="50" t="s">
        <v>227</v>
      </c>
      <c r="C6" s="54" t="s">
        <v>2332</v>
      </c>
      <c r="D6" s="54" t="s">
        <v>616</v>
      </c>
      <c r="E6" s="55">
        <v>2022.0</v>
      </c>
      <c r="F6" s="55">
        <v>2023.0</v>
      </c>
      <c r="G6" s="55">
        <v>2019.0</v>
      </c>
      <c r="H6" s="55">
        <v>2021.0</v>
      </c>
      <c r="I6" s="55">
        <v>2020.0</v>
      </c>
      <c r="J6" s="55">
        <v>2024.0</v>
      </c>
      <c r="K6" s="55">
        <v>2025.0</v>
      </c>
      <c r="L6" s="55">
        <v>2022.0</v>
      </c>
      <c r="M6" s="55">
        <v>2021.0</v>
      </c>
      <c r="N6" s="55">
        <v>2023.0</v>
      </c>
      <c r="O6" s="55">
        <v>2023.0</v>
      </c>
      <c r="P6" s="55">
        <v>2023.0</v>
      </c>
      <c r="Q6" s="55">
        <v>2020.0</v>
      </c>
      <c r="R6" s="55">
        <v>2020.0</v>
      </c>
      <c r="S6" s="55">
        <v>2022.0</v>
      </c>
      <c r="T6" s="55">
        <v>2022.0</v>
      </c>
      <c r="U6" s="55">
        <v>2023.0</v>
      </c>
      <c r="V6" s="55">
        <v>2024.0</v>
      </c>
      <c r="W6" s="55">
        <v>2020.0</v>
      </c>
      <c r="X6" s="55">
        <v>2020.0</v>
      </c>
      <c r="Y6" s="55">
        <v>2024.0</v>
      </c>
      <c r="Z6" s="55">
        <v>2019.0</v>
      </c>
      <c r="AA6" s="55">
        <v>2021.0</v>
      </c>
      <c r="AB6" s="55">
        <v>2024.0</v>
      </c>
      <c r="AC6" s="55">
        <v>2019.0</v>
      </c>
      <c r="AD6" s="55">
        <v>2023.0</v>
      </c>
      <c r="AE6" s="55">
        <v>2022.0</v>
      </c>
      <c r="AF6" s="55">
        <v>2024.0</v>
      </c>
      <c r="AG6" s="55">
        <v>2020.0</v>
      </c>
      <c r="AH6" s="55">
        <v>2024.0</v>
      </c>
      <c r="AI6" s="55">
        <v>2020.0</v>
      </c>
      <c r="AJ6" s="55">
        <v>2024.0</v>
      </c>
      <c r="AK6" s="55">
        <v>2023.0</v>
      </c>
      <c r="AL6" s="56">
        <v>2021.0</v>
      </c>
      <c r="AM6" s="56">
        <v>2021.0</v>
      </c>
      <c r="AN6" s="56">
        <v>2023.0</v>
      </c>
    </row>
    <row r="7" ht="15.75" customHeight="1">
      <c r="A7" s="40">
        <v>10.0</v>
      </c>
      <c r="B7" s="50" t="s">
        <v>2033</v>
      </c>
      <c r="C7" s="54" t="s">
        <v>2333</v>
      </c>
      <c r="D7" s="54" t="s">
        <v>2334</v>
      </c>
      <c r="E7" s="55">
        <v>2022.0</v>
      </c>
      <c r="F7" s="55">
        <v>2023.0</v>
      </c>
      <c r="G7" s="55">
        <v>2019.0</v>
      </c>
      <c r="H7" s="55">
        <v>2021.0</v>
      </c>
      <c r="I7" s="55">
        <v>2020.0</v>
      </c>
      <c r="J7" s="55">
        <v>2024.0</v>
      </c>
      <c r="K7" s="55">
        <v>2025.0</v>
      </c>
      <c r="L7" s="55">
        <v>2022.0</v>
      </c>
      <c r="M7" s="55">
        <v>2021.0</v>
      </c>
      <c r="N7" s="55">
        <v>2023.0</v>
      </c>
      <c r="O7" s="55">
        <v>2023.0</v>
      </c>
      <c r="P7" s="55">
        <v>2023.0</v>
      </c>
      <c r="Q7" s="55">
        <v>2020.0</v>
      </c>
      <c r="R7" s="55">
        <v>2020.0</v>
      </c>
      <c r="S7" s="55">
        <v>2022.0</v>
      </c>
      <c r="T7" s="55">
        <v>2022.0</v>
      </c>
      <c r="U7" s="55">
        <v>2023.0</v>
      </c>
      <c r="V7" s="55">
        <v>2024.0</v>
      </c>
      <c r="W7" s="55">
        <v>2020.0</v>
      </c>
      <c r="X7" s="55">
        <v>2020.0</v>
      </c>
      <c r="Y7" s="55">
        <v>2024.0</v>
      </c>
      <c r="Z7" s="55">
        <v>2019.0</v>
      </c>
      <c r="AA7" s="55">
        <v>2021.0</v>
      </c>
      <c r="AB7" s="55">
        <v>2024.0</v>
      </c>
      <c r="AC7" s="55">
        <v>2019.0</v>
      </c>
      <c r="AD7" s="55">
        <v>2023.0</v>
      </c>
      <c r="AE7" s="55">
        <v>2022.0</v>
      </c>
      <c r="AF7" s="55">
        <v>2024.0</v>
      </c>
      <c r="AG7" s="55">
        <v>2020.0</v>
      </c>
      <c r="AH7" s="55">
        <v>2024.0</v>
      </c>
      <c r="AI7" s="55">
        <v>2020.0</v>
      </c>
      <c r="AJ7" s="55">
        <v>2024.0</v>
      </c>
      <c r="AK7" s="55">
        <v>2023.0</v>
      </c>
      <c r="AL7" s="56">
        <v>2021.0</v>
      </c>
      <c r="AM7" s="56">
        <v>2021.0</v>
      </c>
      <c r="AN7" s="56">
        <v>2023.0</v>
      </c>
    </row>
    <row r="8" ht="63.75" customHeight="1">
      <c r="A8" s="40">
        <v>10.0</v>
      </c>
      <c r="B8" s="50" t="s">
        <v>49</v>
      </c>
      <c r="C8" s="51" t="s">
        <v>2335</v>
      </c>
      <c r="D8" s="51" t="s">
        <v>2336</v>
      </c>
      <c r="E8" s="55" t="s">
        <v>2337</v>
      </c>
      <c r="F8" s="55" t="s">
        <v>2338</v>
      </c>
      <c r="G8" s="52" t="s">
        <v>2339</v>
      </c>
      <c r="H8" s="55" t="s">
        <v>2337</v>
      </c>
      <c r="I8" s="55" t="s">
        <v>2337</v>
      </c>
      <c r="J8" s="55" t="s">
        <v>2337</v>
      </c>
      <c r="K8" s="55" t="s">
        <v>2337</v>
      </c>
      <c r="L8" s="55" t="s">
        <v>2337</v>
      </c>
      <c r="M8" s="55" t="s">
        <v>2337</v>
      </c>
      <c r="N8" s="52" t="s">
        <v>2340</v>
      </c>
      <c r="O8" s="55" t="s">
        <v>2337</v>
      </c>
      <c r="P8" s="55" t="s">
        <v>2337</v>
      </c>
      <c r="Q8" s="52" t="s">
        <v>2339</v>
      </c>
      <c r="R8" s="55" t="s">
        <v>2341</v>
      </c>
      <c r="S8" s="52" t="s">
        <v>2339</v>
      </c>
      <c r="T8" s="52" t="s">
        <v>2342</v>
      </c>
      <c r="U8" s="55" t="s">
        <v>2044</v>
      </c>
      <c r="V8" s="55" t="s">
        <v>2337</v>
      </c>
      <c r="W8" s="52" t="s">
        <v>2339</v>
      </c>
      <c r="X8" s="55" t="s">
        <v>2341</v>
      </c>
      <c r="Y8" s="55" t="s">
        <v>2337</v>
      </c>
      <c r="Z8" s="71" t="s">
        <v>2343</v>
      </c>
      <c r="AA8" s="52" t="s">
        <v>2339</v>
      </c>
      <c r="AB8" s="52" t="s">
        <v>2339</v>
      </c>
      <c r="AC8" s="55" t="s">
        <v>2337</v>
      </c>
      <c r="AD8" s="55" t="s">
        <v>2337</v>
      </c>
      <c r="AE8" s="55" t="s">
        <v>2337</v>
      </c>
      <c r="AF8" s="55" t="s">
        <v>2337</v>
      </c>
      <c r="AG8" s="55" t="s">
        <v>2337</v>
      </c>
      <c r="AH8" s="55" t="s">
        <v>2339</v>
      </c>
      <c r="AI8" s="55" t="s">
        <v>2339</v>
      </c>
      <c r="AJ8" s="55" t="s">
        <v>2337</v>
      </c>
      <c r="AK8" s="52" t="s">
        <v>2344</v>
      </c>
      <c r="AL8" s="55" t="s">
        <v>2339</v>
      </c>
      <c r="AM8" s="55" t="s">
        <v>2339</v>
      </c>
      <c r="AN8" s="55" t="s">
        <v>2339</v>
      </c>
    </row>
    <row r="9" ht="63.75" customHeight="1">
      <c r="A9" s="40">
        <v>10.0</v>
      </c>
      <c r="B9" s="50" t="s">
        <v>437</v>
      </c>
      <c r="C9" s="51" t="s">
        <v>2345</v>
      </c>
      <c r="D9" s="51" t="s">
        <v>2346</v>
      </c>
      <c r="E9" s="55" t="s">
        <v>2347</v>
      </c>
      <c r="F9" s="55" t="s">
        <v>2347</v>
      </c>
      <c r="G9" s="52" t="s">
        <v>2348</v>
      </c>
      <c r="H9" s="52" t="s">
        <v>2349</v>
      </c>
      <c r="I9" s="55" t="s">
        <v>2347</v>
      </c>
      <c r="J9" s="55" t="s">
        <v>2347</v>
      </c>
      <c r="K9" s="55" t="s">
        <v>2347</v>
      </c>
      <c r="L9" s="55" t="s">
        <v>2347</v>
      </c>
      <c r="M9" s="55" t="s">
        <v>2347</v>
      </c>
      <c r="N9" s="52" t="s">
        <v>2350</v>
      </c>
      <c r="O9" s="55" t="s">
        <v>2347</v>
      </c>
      <c r="P9" s="55" t="s">
        <v>2347</v>
      </c>
      <c r="Q9" s="52" t="s">
        <v>2348</v>
      </c>
      <c r="R9" s="55" t="s">
        <v>2351</v>
      </c>
      <c r="S9" s="52" t="s">
        <v>2348</v>
      </c>
      <c r="T9" s="55" t="s">
        <v>2352</v>
      </c>
      <c r="U9" s="55" t="s">
        <v>2353</v>
      </c>
      <c r="V9" s="55" t="s">
        <v>2347</v>
      </c>
      <c r="W9" s="52" t="s">
        <v>2348</v>
      </c>
      <c r="X9" s="55" t="s">
        <v>2351</v>
      </c>
      <c r="Y9" s="55" t="s">
        <v>2347</v>
      </c>
      <c r="Z9" s="55" t="s">
        <v>2354</v>
      </c>
      <c r="AA9" s="52" t="s">
        <v>2348</v>
      </c>
      <c r="AB9" s="52" t="s">
        <v>2348</v>
      </c>
      <c r="AC9" s="55" t="s">
        <v>2347</v>
      </c>
      <c r="AD9" s="55" t="s">
        <v>2347</v>
      </c>
      <c r="AE9" s="55" t="s">
        <v>2355</v>
      </c>
      <c r="AF9" s="52" t="s">
        <v>2348</v>
      </c>
      <c r="AG9" s="55" t="s">
        <v>2347</v>
      </c>
      <c r="AH9" s="52" t="s">
        <v>2348</v>
      </c>
      <c r="AI9" s="52" t="s">
        <v>2356</v>
      </c>
      <c r="AJ9" s="55" t="s">
        <v>2347</v>
      </c>
      <c r="AK9" s="55" t="s">
        <v>2357</v>
      </c>
      <c r="AL9" s="52" t="s">
        <v>2348</v>
      </c>
      <c r="AM9" s="52" t="s">
        <v>2348</v>
      </c>
      <c r="AN9" s="52" t="s">
        <v>2348</v>
      </c>
    </row>
    <row r="10" ht="31.5" customHeight="1">
      <c r="A10" s="40">
        <v>10.0</v>
      </c>
      <c r="B10" s="50" t="s">
        <v>223</v>
      </c>
      <c r="C10" s="54" t="s">
        <v>2358</v>
      </c>
      <c r="D10" s="54" t="s">
        <v>2060</v>
      </c>
      <c r="E10" s="55" t="s">
        <v>47</v>
      </c>
      <c r="F10" s="55" t="s">
        <v>47</v>
      </c>
      <c r="G10" s="55" t="s">
        <v>47</v>
      </c>
      <c r="H10" s="55" t="s">
        <v>47</v>
      </c>
      <c r="I10" s="55" t="s">
        <v>47</v>
      </c>
      <c r="J10" s="55" t="s">
        <v>47</v>
      </c>
      <c r="K10" s="55" t="s">
        <v>47</v>
      </c>
      <c r="L10" s="55" t="s">
        <v>47</v>
      </c>
      <c r="M10" s="55" t="s">
        <v>47</v>
      </c>
      <c r="N10" s="55" t="s">
        <v>48</v>
      </c>
      <c r="O10" s="55" t="s">
        <v>47</v>
      </c>
      <c r="P10" s="55" t="s">
        <v>47</v>
      </c>
      <c r="Q10" s="55" t="s">
        <v>47</v>
      </c>
      <c r="R10" s="55" t="s">
        <v>47</v>
      </c>
      <c r="S10" s="55" t="s">
        <v>47</v>
      </c>
      <c r="T10" s="55" t="s">
        <v>48</v>
      </c>
      <c r="U10" s="55" t="s">
        <v>47</v>
      </c>
      <c r="V10" s="55" t="s">
        <v>47</v>
      </c>
      <c r="W10" s="55" t="s">
        <v>47</v>
      </c>
      <c r="X10" s="55" t="s">
        <v>47</v>
      </c>
      <c r="Y10" s="55" t="s">
        <v>47</v>
      </c>
      <c r="Z10" s="55" t="s">
        <v>48</v>
      </c>
      <c r="AA10" s="55" t="s">
        <v>47</v>
      </c>
      <c r="AB10" s="55" t="s">
        <v>47</v>
      </c>
      <c r="AC10" s="55" t="s">
        <v>47</v>
      </c>
      <c r="AD10" s="55" t="s">
        <v>47</v>
      </c>
      <c r="AE10" s="55" t="s">
        <v>48</v>
      </c>
      <c r="AF10" s="55" t="s">
        <v>47</v>
      </c>
      <c r="AG10" s="55" t="s">
        <v>47</v>
      </c>
      <c r="AH10" s="55" t="s">
        <v>47</v>
      </c>
      <c r="AI10" s="55" t="s">
        <v>2359</v>
      </c>
      <c r="AJ10" s="55" t="s">
        <v>47</v>
      </c>
      <c r="AK10" s="55" t="s">
        <v>47</v>
      </c>
      <c r="AL10" s="55" t="s">
        <v>47</v>
      </c>
      <c r="AM10" s="55" t="s">
        <v>47</v>
      </c>
      <c r="AN10" s="55" t="s">
        <v>47</v>
      </c>
    </row>
    <row r="11" ht="31.5" customHeight="1">
      <c r="A11" s="40">
        <v>10.0</v>
      </c>
      <c r="B11" s="50" t="s">
        <v>43</v>
      </c>
      <c r="C11" s="54" t="s">
        <v>2360</v>
      </c>
      <c r="D11" s="54" t="s">
        <v>1617</v>
      </c>
      <c r="E11" s="55" t="s">
        <v>65</v>
      </c>
      <c r="F11" s="55" t="s">
        <v>65</v>
      </c>
      <c r="G11" s="55" t="s">
        <v>65</v>
      </c>
      <c r="H11" s="55" t="s">
        <v>65</v>
      </c>
      <c r="I11" s="55" t="s">
        <v>65</v>
      </c>
      <c r="J11" s="55" t="s">
        <v>65</v>
      </c>
      <c r="K11" s="55" t="s">
        <v>65</v>
      </c>
      <c r="L11" s="55" t="s">
        <v>65</v>
      </c>
      <c r="M11" s="55" t="s">
        <v>65</v>
      </c>
      <c r="N11" s="55" t="s">
        <v>66</v>
      </c>
      <c r="O11" s="55" t="s">
        <v>65</v>
      </c>
      <c r="P11" s="55" t="s">
        <v>65</v>
      </c>
      <c r="Q11" s="55" t="s">
        <v>65</v>
      </c>
      <c r="R11" s="55" t="s">
        <v>65</v>
      </c>
      <c r="S11" s="55" t="s">
        <v>65</v>
      </c>
      <c r="T11" s="55" t="s">
        <v>66</v>
      </c>
      <c r="U11" s="55" t="s">
        <v>65</v>
      </c>
      <c r="V11" s="55" t="s">
        <v>65</v>
      </c>
      <c r="W11" s="55" t="s">
        <v>65</v>
      </c>
      <c r="X11" s="55" t="s">
        <v>65</v>
      </c>
      <c r="Y11" s="55" t="s">
        <v>65</v>
      </c>
      <c r="Z11" s="55" t="s">
        <v>2361</v>
      </c>
      <c r="AA11" s="55" t="s">
        <v>65</v>
      </c>
      <c r="AB11" s="55" t="s">
        <v>65</v>
      </c>
      <c r="AC11" s="55" t="s">
        <v>65</v>
      </c>
      <c r="AD11" s="55" t="s">
        <v>65</v>
      </c>
      <c r="AE11" s="55" t="s">
        <v>65</v>
      </c>
      <c r="AF11" s="55" t="s">
        <v>65</v>
      </c>
      <c r="AG11" s="55" t="s">
        <v>65</v>
      </c>
      <c r="AH11" s="55" t="s">
        <v>65</v>
      </c>
      <c r="AI11" s="55" t="s">
        <v>65</v>
      </c>
      <c r="AJ11" s="55" t="s">
        <v>65</v>
      </c>
      <c r="AK11" s="55" t="s">
        <v>65</v>
      </c>
      <c r="AL11" s="55" t="s">
        <v>65</v>
      </c>
      <c r="AM11" s="55" t="s">
        <v>65</v>
      </c>
      <c r="AN11" s="55" t="s">
        <v>65</v>
      </c>
    </row>
    <row r="12" ht="48.0" customHeight="1">
      <c r="A12" s="40">
        <v>10.0</v>
      </c>
      <c r="B12" s="50" t="s">
        <v>2064</v>
      </c>
      <c r="C12" s="51" t="s">
        <v>2362</v>
      </c>
      <c r="D12" s="51" t="s">
        <v>2363</v>
      </c>
      <c r="E12" s="52" t="s">
        <v>2364</v>
      </c>
      <c r="F12" s="52" t="s">
        <v>2365</v>
      </c>
      <c r="G12" s="52" t="s">
        <v>2366</v>
      </c>
      <c r="H12" s="52" t="s">
        <v>2070</v>
      </c>
      <c r="I12" s="55" t="s">
        <v>2367</v>
      </c>
      <c r="J12" s="52" t="s">
        <v>2368</v>
      </c>
      <c r="K12" s="52" t="s">
        <v>2369</v>
      </c>
      <c r="L12" s="52" t="s">
        <v>2370</v>
      </c>
      <c r="M12" s="52" t="s">
        <v>2073</v>
      </c>
      <c r="N12" s="52" t="s">
        <v>2371</v>
      </c>
      <c r="O12" s="55" t="s">
        <v>2372</v>
      </c>
      <c r="P12" s="52" t="s">
        <v>2373</v>
      </c>
      <c r="Q12" s="55" t="s">
        <v>2374</v>
      </c>
      <c r="R12" s="55" t="s">
        <v>2375</v>
      </c>
      <c r="S12" s="55" t="s">
        <v>2376</v>
      </c>
      <c r="T12" s="55" t="s">
        <v>2081</v>
      </c>
      <c r="U12" s="55" t="s">
        <v>2377</v>
      </c>
      <c r="V12" s="55" t="s">
        <v>2378</v>
      </c>
      <c r="W12" s="55" t="s">
        <v>1722</v>
      </c>
      <c r="X12" s="55" t="s">
        <v>2379</v>
      </c>
      <c r="Y12" s="55" t="s">
        <v>2380</v>
      </c>
      <c r="Z12" s="55" t="s">
        <v>2381</v>
      </c>
      <c r="AA12" s="55" t="s">
        <v>2088</v>
      </c>
      <c r="AB12" s="55" t="s">
        <v>2089</v>
      </c>
      <c r="AC12" s="55" t="s">
        <v>2090</v>
      </c>
      <c r="AD12" s="55" t="s">
        <v>2092</v>
      </c>
      <c r="AE12" s="55" t="s">
        <v>2382</v>
      </c>
      <c r="AF12" s="55" t="s">
        <v>2383</v>
      </c>
      <c r="AG12" s="55" t="s">
        <v>2384</v>
      </c>
      <c r="AH12" s="55" t="s">
        <v>2097</v>
      </c>
      <c r="AI12" s="55" t="s">
        <v>2385</v>
      </c>
      <c r="AJ12" s="55" t="s">
        <v>2386</v>
      </c>
      <c r="AK12" s="55" t="s">
        <v>2101</v>
      </c>
      <c r="AL12" s="52" t="s">
        <v>2387</v>
      </c>
      <c r="AM12" s="51" t="s">
        <v>2388</v>
      </c>
      <c r="AN12" s="56" t="s">
        <v>2104</v>
      </c>
    </row>
    <row r="13" ht="31.5" customHeight="1">
      <c r="A13" s="40">
        <v>10.0</v>
      </c>
      <c r="B13" s="50" t="s">
        <v>62</v>
      </c>
      <c r="C13" s="54" t="s">
        <v>2389</v>
      </c>
      <c r="D13" s="54" t="s">
        <v>2390</v>
      </c>
      <c r="E13" s="55" t="s">
        <v>65</v>
      </c>
      <c r="F13" s="55" t="s">
        <v>65</v>
      </c>
      <c r="G13" s="55" t="s">
        <v>65</v>
      </c>
      <c r="H13" s="55" t="s">
        <v>65</v>
      </c>
      <c r="I13" s="55" t="s">
        <v>65</v>
      </c>
      <c r="J13" s="55" t="s">
        <v>65</v>
      </c>
      <c r="K13" s="55" t="s">
        <v>65</v>
      </c>
      <c r="L13" s="55" t="s">
        <v>65</v>
      </c>
      <c r="M13" s="55" t="s">
        <v>65</v>
      </c>
      <c r="N13" s="55" t="s">
        <v>66</v>
      </c>
      <c r="O13" s="55" t="s">
        <v>65</v>
      </c>
      <c r="P13" s="55" t="s">
        <v>65</v>
      </c>
      <c r="Q13" s="55" t="s">
        <v>65</v>
      </c>
      <c r="R13" s="55" t="s">
        <v>65</v>
      </c>
      <c r="S13" s="55" t="s">
        <v>65</v>
      </c>
      <c r="T13" s="55" t="s">
        <v>66</v>
      </c>
      <c r="U13" s="55" t="s">
        <v>65</v>
      </c>
      <c r="V13" s="55" t="s">
        <v>65</v>
      </c>
      <c r="W13" s="55" t="s">
        <v>65</v>
      </c>
      <c r="X13" s="55" t="s">
        <v>65</v>
      </c>
      <c r="Y13" s="55" t="s">
        <v>65</v>
      </c>
      <c r="Z13" s="55" t="s">
        <v>66</v>
      </c>
      <c r="AA13" s="55" t="s">
        <v>65</v>
      </c>
      <c r="AB13" s="55" t="s">
        <v>65</v>
      </c>
      <c r="AC13" s="55" t="s">
        <v>65</v>
      </c>
      <c r="AD13" s="55" t="s">
        <v>65</v>
      </c>
      <c r="AE13" s="55" t="s">
        <v>65</v>
      </c>
      <c r="AF13" s="55" t="s">
        <v>65</v>
      </c>
      <c r="AG13" s="55" t="s">
        <v>65</v>
      </c>
      <c r="AH13" s="55" t="s">
        <v>65</v>
      </c>
      <c r="AI13" s="55" t="s">
        <v>65</v>
      </c>
      <c r="AJ13" s="55" t="s">
        <v>65</v>
      </c>
      <c r="AK13" s="55" t="s">
        <v>65</v>
      </c>
      <c r="AL13" s="55" t="s">
        <v>65</v>
      </c>
      <c r="AM13" s="55" t="s">
        <v>65</v>
      </c>
      <c r="AN13" s="55" t="s">
        <v>65</v>
      </c>
    </row>
    <row r="14" ht="15.75" customHeight="1">
      <c r="A14" s="40">
        <v>10.0</v>
      </c>
      <c r="B14" s="50" t="s">
        <v>966</v>
      </c>
      <c r="C14" s="51" t="s">
        <v>2391</v>
      </c>
      <c r="D14" s="51" t="s">
        <v>2392</v>
      </c>
      <c r="E14" s="55" t="s">
        <v>2347</v>
      </c>
      <c r="F14" s="55" t="s">
        <v>2347</v>
      </c>
      <c r="G14" s="52" t="s">
        <v>2348</v>
      </c>
      <c r="H14" s="55" t="s">
        <v>2347</v>
      </c>
      <c r="I14" s="55" t="s">
        <v>2347</v>
      </c>
      <c r="J14" s="55" t="s">
        <v>2347</v>
      </c>
      <c r="K14" s="55" t="s">
        <v>2347</v>
      </c>
      <c r="L14" s="55" t="s">
        <v>2347</v>
      </c>
      <c r="M14" s="55" t="s">
        <v>2347</v>
      </c>
      <c r="N14" s="52" t="s">
        <v>2350</v>
      </c>
      <c r="O14" s="55" t="s">
        <v>2347</v>
      </c>
      <c r="P14" s="55" t="s">
        <v>2347</v>
      </c>
      <c r="Q14" s="52" t="s">
        <v>2348</v>
      </c>
      <c r="R14" s="55" t="s">
        <v>2351</v>
      </c>
      <c r="S14" s="52" t="s">
        <v>2348</v>
      </c>
      <c r="T14" s="55" t="s">
        <v>2352</v>
      </c>
      <c r="U14" s="55" t="s">
        <v>2393</v>
      </c>
      <c r="V14" s="55" t="s">
        <v>2347</v>
      </c>
      <c r="W14" s="52" t="s">
        <v>2348</v>
      </c>
      <c r="X14" s="55" t="s">
        <v>2351</v>
      </c>
      <c r="Y14" s="55" t="s">
        <v>2347</v>
      </c>
      <c r="Z14" s="55" t="s">
        <v>2355</v>
      </c>
      <c r="AA14" s="52" t="s">
        <v>2348</v>
      </c>
      <c r="AB14" s="52" t="s">
        <v>2348</v>
      </c>
      <c r="AC14" s="55" t="s">
        <v>2347</v>
      </c>
      <c r="AD14" s="55" t="s">
        <v>2347</v>
      </c>
      <c r="AE14" s="55" t="s">
        <v>2347</v>
      </c>
      <c r="AF14" s="55" t="s">
        <v>2347</v>
      </c>
      <c r="AG14" s="55" t="s">
        <v>2347</v>
      </c>
      <c r="AH14" s="52" t="s">
        <v>2348</v>
      </c>
      <c r="AI14" s="52" t="s">
        <v>2356</v>
      </c>
      <c r="AJ14" s="55" t="s">
        <v>2347</v>
      </c>
      <c r="AK14" s="55" t="s">
        <v>2357</v>
      </c>
      <c r="AL14" s="52" t="s">
        <v>2348</v>
      </c>
      <c r="AM14" s="52" t="s">
        <v>2348</v>
      </c>
      <c r="AN14" s="52" t="s">
        <v>2348</v>
      </c>
    </row>
    <row r="15" ht="15.75" customHeight="1">
      <c r="A15" s="40">
        <v>10.0</v>
      </c>
      <c r="B15" s="50" t="s">
        <v>309</v>
      </c>
      <c r="C15" s="51" t="s">
        <v>2394</v>
      </c>
      <c r="D15" s="51" t="s">
        <v>820</v>
      </c>
      <c r="E15" s="55" t="s">
        <v>271</v>
      </c>
      <c r="F15" s="55" t="s">
        <v>2321</v>
      </c>
      <c r="G15" s="52" t="s">
        <v>238</v>
      </c>
      <c r="H15" s="55" t="s">
        <v>271</v>
      </c>
      <c r="I15" s="55" t="s">
        <v>271</v>
      </c>
      <c r="J15" s="55" t="s">
        <v>271</v>
      </c>
      <c r="K15" s="55" t="s">
        <v>271</v>
      </c>
      <c r="L15" s="55" t="s">
        <v>271</v>
      </c>
      <c r="M15" s="55" t="s">
        <v>271</v>
      </c>
      <c r="N15" s="52" t="s">
        <v>240</v>
      </c>
      <c r="O15" s="55" t="s">
        <v>271</v>
      </c>
      <c r="P15" s="55" t="s">
        <v>271</v>
      </c>
      <c r="Q15" s="52" t="s">
        <v>238</v>
      </c>
      <c r="R15" s="55" t="s">
        <v>2395</v>
      </c>
      <c r="S15" s="52" t="s">
        <v>238</v>
      </c>
      <c r="T15" s="52" t="s">
        <v>238</v>
      </c>
      <c r="U15" s="55" t="s">
        <v>770</v>
      </c>
      <c r="V15" s="55" t="s">
        <v>271</v>
      </c>
      <c r="W15" s="52" t="s">
        <v>238</v>
      </c>
      <c r="X15" s="55" t="s">
        <v>2395</v>
      </c>
      <c r="Y15" s="55" t="s">
        <v>271</v>
      </c>
      <c r="Z15" s="55" t="s">
        <v>271</v>
      </c>
      <c r="AA15" s="52" t="s">
        <v>238</v>
      </c>
      <c r="AB15" s="52" t="s">
        <v>238</v>
      </c>
      <c r="AC15" s="55" t="s">
        <v>271</v>
      </c>
      <c r="AD15" s="55" t="s">
        <v>271</v>
      </c>
      <c r="AE15" s="55" t="s">
        <v>271</v>
      </c>
      <c r="AF15" s="55" t="s">
        <v>271</v>
      </c>
      <c r="AG15" s="55" t="s">
        <v>271</v>
      </c>
      <c r="AH15" s="55" t="s">
        <v>238</v>
      </c>
      <c r="AI15" s="55" t="s">
        <v>238</v>
      </c>
      <c r="AJ15" s="55" t="s">
        <v>271</v>
      </c>
      <c r="AK15" s="52" t="s">
        <v>2396</v>
      </c>
      <c r="AL15" s="55" t="s">
        <v>238</v>
      </c>
      <c r="AM15" s="55" t="s">
        <v>238</v>
      </c>
      <c r="AN15" s="55" t="s">
        <v>238</v>
      </c>
    </row>
    <row r="16" ht="63.75" customHeight="1">
      <c r="A16" s="40">
        <v>10.0</v>
      </c>
      <c r="B16" s="50" t="s">
        <v>314</v>
      </c>
      <c r="C16" s="51" t="s">
        <v>2397</v>
      </c>
      <c r="D16" s="51" t="s">
        <v>822</v>
      </c>
      <c r="E16" s="55"/>
      <c r="F16" s="52" t="s">
        <v>2171</v>
      </c>
      <c r="G16" s="52" t="s">
        <v>1659</v>
      </c>
      <c r="H16" s="52" t="s">
        <v>1659</v>
      </c>
      <c r="I16" s="52" t="s">
        <v>1659</v>
      </c>
      <c r="J16" s="52" t="s">
        <v>1659</v>
      </c>
      <c r="K16" s="52" t="s">
        <v>1659</v>
      </c>
      <c r="L16" s="52" t="s">
        <v>1659</v>
      </c>
      <c r="M16" s="52" t="s">
        <v>1659</v>
      </c>
      <c r="N16" s="52" t="s">
        <v>1659</v>
      </c>
      <c r="O16" s="52" t="s">
        <v>1659</v>
      </c>
      <c r="P16" s="52" t="s">
        <v>1659</v>
      </c>
      <c r="Q16" s="55" t="s">
        <v>824</v>
      </c>
      <c r="R16" s="55" t="s">
        <v>2398</v>
      </c>
      <c r="S16" s="55" t="s">
        <v>1661</v>
      </c>
      <c r="T16" s="55" t="s">
        <v>2399</v>
      </c>
      <c r="U16" s="55" t="s">
        <v>2400</v>
      </c>
      <c r="V16" s="55" t="s">
        <v>2398</v>
      </c>
      <c r="W16" s="55" t="s">
        <v>780</v>
      </c>
      <c r="X16" s="55" t="s">
        <v>2398</v>
      </c>
      <c r="Y16" s="55" t="s">
        <v>2398</v>
      </c>
      <c r="Z16" s="55" t="s">
        <v>2401</v>
      </c>
      <c r="AA16" s="55" t="s">
        <v>2135</v>
      </c>
      <c r="AB16" s="55" t="s">
        <v>2136</v>
      </c>
      <c r="AC16" s="55" t="s">
        <v>2402</v>
      </c>
      <c r="AD16" s="55" t="s">
        <v>2403</v>
      </c>
      <c r="AE16" s="55" t="s">
        <v>2403</v>
      </c>
      <c r="AF16" s="55" t="s">
        <v>2128</v>
      </c>
      <c r="AG16" s="55" t="s">
        <v>2404</v>
      </c>
      <c r="AH16" s="55" t="s">
        <v>2403</v>
      </c>
      <c r="AI16" s="55" t="s">
        <v>2403</v>
      </c>
      <c r="AJ16" s="55" t="s">
        <v>2405</v>
      </c>
      <c r="AK16" s="55"/>
      <c r="AL16" s="55" t="s">
        <v>2406</v>
      </c>
      <c r="AM16" s="58" t="s">
        <v>1104</v>
      </c>
      <c r="AN16" s="55" t="s">
        <v>2403</v>
      </c>
    </row>
    <row r="17" ht="31.5" customHeight="1">
      <c r="A17" s="40">
        <v>10.0</v>
      </c>
      <c r="B17" s="50" t="s">
        <v>67</v>
      </c>
      <c r="C17" s="54" t="s">
        <v>2407</v>
      </c>
      <c r="D17" s="54" t="s">
        <v>1671</v>
      </c>
      <c r="E17" s="55" t="s">
        <v>65</v>
      </c>
      <c r="F17" s="55" t="s">
        <v>65</v>
      </c>
      <c r="G17" s="55" t="s">
        <v>65</v>
      </c>
      <c r="H17" s="55" t="s">
        <v>65</v>
      </c>
      <c r="I17" s="55" t="s">
        <v>65</v>
      </c>
      <c r="J17" s="55" t="s">
        <v>65</v>
      </c>
      <c r="K17" s="55" t="s">
        <v>65</v>
      </c>
      <c r="L17" s="55" t="s">
        <v>65</v>
      </c>
      <c r="M17" s="55" t="s">
        <v>65</v>
      </c>
      <c r="N17" s="55" t="s">
        <v>66</v>
      </c>
      <c r="O17" s="55" t="s">
        <v>65</v>
      </c>
      <c r="P17" s="55" t="s">
        <v>65</v>
      </c>
      <c r="Q17" s="55" t="s">
        <v>65</v>
      </c>
      <c r="R17" s="55" t="s">
        <v>65</v>
      </c>
      <c r="S17" s="55" t="s">
        <v>65</v>
      </c>
      <c r="T17" s="55" t="s">
        <v>66</v>
      </c>
      <c r="U17" s="55" t="s">
        <v>65</v>
      </c>
      <c r="V17" s="55" t="s">
        <v>65</v>
      </c>
      <c r="W17" s="55" t="s">
        <v>65</v>
      </c>
      <c r="X17" s="55" t="s">
        <v>65</v>
      </c>
      <c r="Y17" s="55" t="s">
        <v>65</v>
      </c>
      <c r="Z17" s="55" t="s">
        <v>71</v>
      </c>
      <c r="AA17" s="55" t="s">
        <v>65</v>
      </c>
      <c r="AB17" s="55" t="s">
        <v>65</v>
      </c>
      <c r="AC17" s="55"/>
      <c r="AD17" s="55" t="s">
        <v>65</v>
      </c>
      <c r="AE17" s="55" t="s">
        <v>65</v>
      </c>
      <c r="AF17" s="55" t="s">
        <v>65</v>
      </c>
      <c r="AG17" s="55" t="s">
        <v>65</v>
      </c>
      <c r="AH17" s="55" t="s">
        <v>65</v>
      </c>
      <c r="AI17" s="55" t="s">
        <v>65</v>
      </c>
      <c r="AJ17" s="55" t="s">
        <v>65</v>
      </c>
      <c r="AK17" s="55" t="s">
        <v>65</v>
      </c>
      <c r="AL17" s="55" t="s">
        <v>65</v>
      </c>
      <c r="AM17" s="55" t="s">
        <v>65</v>
      </c>
      <c r="AN17" s="55" t="s">
        <v>65</v>
      </c>
    </row>
    <row r="18" ht="15.75" customHeight="1">
      <c r="A18" s="40">
        <v>10.0</v>
      </c>
      <c r="B18" s="50" t="s">
        <v>72</v>
      </c>
      <c r="C18" s="54" t="s">
        <v>2408</v>
      </c>
      <c r="D18" s="54" t="s">
        <v>683</v>
      </c>
      <c r="E18" s="55" t="s">
        <v>76</v>
      </c>
      <c r="F18" s="55" t="s">
        <v>76</v>
      </c>
      <c r="G18" s="52" t="s">
        <v>77</v>
      </c>
      <c r="H18" s="55" t="s">
        <v>76</v>
      </c>
      <c r="I18" s="55" t="s">
        <v>76</v>
      </c>
      <c r="J18" s="55" t="s">
        <v>76</v>
      </c>
      <c r="K18" s="55" t="s">
        <v>76</v>
      </c>
      <c r="L18" s="55" t="s">
        <v>76</v>
      </c>
      <c r="M18" s="55" t="s">
        <v>76</v>
      </c>
      <c r="N18" s="52" t="s">
        <v>77</v>
      </c>
      <c r="O18" s="55" t="s">
        <v>76</v>
      </c>
      <c r="P18" s="55" t="s">
        <v>76</v>
      </c>
      <c r="Q18" s="52" t="s">
        <v>77</v>
      </c>
      <c r="R18" s="55" t="s">
        <v>2409</v>
      </c>
      <c r="S18" s="52" t="s">
        <v>77</v>
      </c>
      <c r="T18" s="55" t="s">
        <v>77</v>
      </c>
      <c r="U18" s="55" t="s">
        <v>687</v>
      </c>
      <c r="V18" s="55" t="s">
        <v>76</v>
      </c>
      <c r="W18" s="52" t="s">
        <v>77</v>
      </c>
      <c r="X18" s="55" t="s">
        <v>2409</v>
      </c>
      <c r="Y18" s="55" t="s">
        <v>76</v>
      </c>
      <c r="Z18" s="55" t="s">
        <v>76</v>
      </c>
      <c r="AA18" s="52" t="s">
        <v>77</v>
      </c>
      <c r="AB18" s="52" t="s">
        <v>77</v>
      </c>
      <c r="AC18" s="55" t="s">
        <v>76</v>
      </c>
      <c r="AD18" s="55" t="s">
        <v>76</v>
      </c>
      <c r="AE18" s="55" t="s">
        <v>76</v>
      </c>
      <c r="AF18" s="55" t="s">
        <v>76</v>
      </c>
      <c r="AG18" s="55" t="s">
        <v>76</v>
      </c>
      <c r="AH18" s="55" t="s">
        <v>2410</v>
      </c>
      <c r="AI18" s="55" t="s">
        <v>2410</v>
      </c>
      <c r="AJ18" s="55" t="s">
        <v>76</v>
      </c>
      <c r="AK18" s="55" t="s">
        <v>2411</v>
      </c>
      <c r="AL18" s="56" t="s">
        <v>77</v>
      </c>
      <c r="AM18" s="56" t="s">
        <v>77</v>
      </c>
      <c r="AN18" s="56" t="s">
        <v>77</v>
      </c>
    </row>
    <row r="19" ht="15.75" customHeight="1">
      <c r="A19" s="40">
        <v>10.0</v>
      </c>
      <c r="B19" s="50" t="s">
        <v>78</v>
      </c>
      <c r="C19" s="51" t="s">
        <v>2412</v>
      </c>
      <c r="D19" s="51" t="s">
        <v>690</v>
      </c>
      <c r="E19" s="52" t="s">
        <v>2413</v>
      </c>
      <c r="F19" s="55" t="s">
        <v>243</v>
      </c>
      <c r="G19" s="52" t="s">
        <v>2153</v>
      </c>
      <c r="H19" s="52" t="s">
        <v>2414</v>
      </c>
      <c r="I19" s="52" t="s">
        <v>2415</v>
      </c>
      <c r="J19" s="52" t="s">
        <v>2416</v>
      </c>
      <c r="K19" s="52" t="s">
        <v>1338</v>
      </c>
      <c r="L19" s="52" t="s">
        <v>988</v>
      </c>
      <c r="M19" s="52" t="s">
        <v>988</v>
      </c>
      <c r="N19" s="52" t="s">
        <v>990</v>
      </c>
      <c r="O19" s="55" t="s">
        <v>2417</v>
      </c>
      <c r="P19" s="52" t="s">
        <v>988</v>
      </c>
      <c r="Q19" s="52" t="s">
        <v>1690</v>
      </c>
      <c r="R19" s="55" t="s">
        <v>2418</v>
      </c>
      <c r="S19" s="55" t="s">
        <v>1682</v>
      </c>
      <c r="T19" s="52" t="s">
        <v>2153</v>
      </c>
      <c r="U19" s="55" t="s">
        <v>1683</v>
      </c>
      <c r="V19" s="52" t="s">
        <v>988</v>
      </c>
      <c r="W19" s="55" t="s">
        <v>1340</v>
      </c>
      <c r="X19" s="55" t="s">
        <v>2419</v>
      </c>
      <c r="Y19" s="52" t="s">
        <v>988</v>
      </c>
      <c r="Z19" s="55" t="s">
        <v>2160</v>
      </c>
      <c r="AA19" s="55"/>
      <c r="AB19" s="55" t="s">
        <v>2420</v>
      </c>
      <c r="AC19" s="55" t="s">
        <v>2421</v>
      </c>
      <c r="AD19" s="55" t="s">
        <v>2422</v>
      </c>
      <c r="AE19" s="55" t="s">
        <v>2423</v>
      </c>
      <c r="AF19" s="55" t="s">
        <v>2424</v>
      </c>
      <c r="AG19" s="55" t="s">
        <v>2425</v>
      </c>
      <c r="AH19" s="55" t="s">
        <v>2426</v>
      </c>
      <c r="AI19" s="55" t="s">
        <v>2427</v>
      </c>
      <c r="AJ19" s="55" t="s">
        <v>2422</v>
      </c>
      <c r="AK19" s="55" t="s">
        <v>2428</v>
      </c>
      <c r="AL19" s="55" t="s">
        <v>2429</v>
      </c>
      <c r="AM19" s="58" t="s">
        <v>2430</v>
      </c>
      <c r="AN19" s="55" t="s">
        <v>2431</v>
      </c>
    </row>
    <row r="20" ht="63.75" customHeight="1">
      <c r="A20" s="40">
        <v>10.0</v>
      </c>
      <c r="B20" s="50" t="s">
        <v>101</v>
      </c>
      <c r="C20" s="51" t="s">
        <v>2432</v>
      </c>
      <c r="D20" s="51" t="s">
        <v>721</v>
      </c>
      <c r="E20" s="55"/>
      <c r="F20" s="55" t="s">
        <v>2171</v>
      </c>
      <c r="G20" s="52" t="s">
        <v>2433</v>
      </c>
      <c r="H20" s="52" t="s">
        <v>2433</v>
      </c>
      <c r="I20" s="52" t="s">
        <v>2433</v>
      </c>
      <c r="J20" s="52" t="s">
        <v>2433</v>
      </c>
      <c r="K20" s="52" t="s">
        <v>2433</v>
      </c>
      <c r="L20" s="52" t="s">
        <v>2433</v>
      </c>
      <c r="M20" s="52" t="s">
        <v>2433</v>
      </c>
      <c r="N20" s="52" t="s">
        <v>2433</v>
      </c>
      <c r="O20" s="52" t="s">
        <v>2433</v>
      </c>
      <c r="P20" s="52" t="s">
        <v>2433</v>
      </c>
      <c r="Q20" s="52" t="s">
        <v>2433</v>
      </c>
      <c r="R20" s="55" t="s">
        <v>251</v>
      </c>
      <c r="S20" s="55" t="s">
        <v>2434</v>
      </c>
      <c r="T20" s="55" t="s">
        <v>2435</v>
      </c>
      <c r="U20" s="55" t="s">
        <v>105</v>
      </c>
      <c r="V20" s="55" t="s">
        <v>251</v>
      </c>
      <c r="W20" s="52" t="s">
        <v>2433</v>
      </c>
      <c r="X20" s="55" t="s">
        <v>251</v>
      </c>
      <c r="Y20" s="55" t="s">
        <v>251</v>
      </c>
      <c r="Z20" s="55" t="s">
        <v>2436</v>
      </c>
      <c r="AA20" s="55" t="s">
        <v>2182</v>
      </c>
      <c r="AB20" s="55" t="s">
        <v>2437</v>
      </c>
      <c r="AC20" s="55" t="s">
        <v>2438</v>
      </c>
      <c r="AD20" s="52" t="s">
        <v>2433</v>
      </c>
      <c r="AE20" s="52" t="s">
        <v>2433</v>
      </c>
      <c r="AF20" s="55" t="s">
        <v>251</v>
      </c>
      <c r="AG20" s="55" t="s">
        <v>2439</v>
      </c>
      <c r="AH20" s="55" t="s">
        <v>2172</v>
      </c>
      <c r="AI20" s="55" t="s">
        <v>2172</v>
      </c>
      <c r="AJ20" s="55" t="s">
        <v>251</v>
      </c>
      <c r="AK20" s="55"/>
      <c r="AL20" s="55" t="s">
        <v>2440</v>
      </c>
      <c r="AM20" s="58" t="s">
        <v>2172</v>
      </c>
      <c r="AN20" s="55" t="s">
        <v>2172</v>
      </c>
    </row>
    <row r="21" ht="63.75" customHeight="1">
      <c r="A21" s="40">
        <v>10.0</v>
      </c>
      <c r="B21" s="50" t="s">
        <v>2441</v>
      </c>
      <c r="C21" s="51" t="s">
        <v>2442</v>
      </c>
      <c r="D21" s="51" t="s">
        <v>2443</v>
      </c>
      <c r="E21" s="52" t="s">
        <v>2444</v>
      </c>
      <c r="F21" s="52" t="s">
        <v>2444</v>
      </c>
      <c r="G21" s="52" t="s">
        <v>2444</v>
      </c>
      <c r="H21" s="52" t="s">
        <v>2444</v>
      </c>
      <c r="I21" s="52" t="s">
        <v>2444</v>
      </c>
      <c r="J21" s="52" t="s">
        <v>2445</v>
      </c>
      <c r="K21" s="52" t="s">
        <v>2444</v>
      </c>
      <c r="L21" s="52" t="s">
        <v>2446</v>
      </c>
      <c r="M21" s="52" t="s">
        <v>2447</v>
      </c>
      <c r="N21" s="52" t="s">
        <v>2444</v>
      </c>
      <c r="O21" s="52" t="s">
        <v>2444</v>
      </c>
      <c r="P21" s="52" t="s">
        <v>2444</v>
      </c>
      <c r="Q21" s="52" t="s">
        <v>2444</v>
      </c>
      <c r="R21" s="55" t="s">
        <v>2448</v>
      </c>
      <c r="S21" s="52" t="s">
        <v>2444</v>
      </c>
      <c r="T21" s="55" t="s">
        <v>2449</v>
      </c>
      <c r="U21" s="55" t="s">
        <v>2444</v>
      </c>
      <c r="V21" s="52" t="s">
        <v>2445</v>
      </c>
      <c r="W21" s="55" t="s">
        <v>2444</v>
      </c>
      <c r="X21" s="55" t="s">
        <v>2444</v>
      </c>
      <c r="Y21" s="55" t="s">
        <v>2449</v>
      </c>
      <c r="Z21" s="55" t="s">
        <v>2450</v>
      </c>
      <c r="AA21" s="71" t="s">
        <v>2451</v>
      </c>
      <c r="AB21" s="71" t="s">
        <v>2452</v>
      </c>
      <c r="AC21" s="72" t="s">
        <v>2453</v>
      </c>
      <c r="AD21" s="55" t="s">
        <v>2454</v>
      </c>
      <c r="AE21" s="55" t="s">
        <v>2455</v>
      </c>
      <c r="AF21" s="55" t="s">
        <v>2456</v>
      </c>
      <c r="AG21" s="55" t="s">
        <v>2444</v>
      </c>
      <c r="AH21" s="55" t="s">
        <v>2457</v>
      </c>
      <c r="AI21" s="55" t="s">
        <v>2458</v>
      </c>
      <c r="AJ21" s="55" t="s">
        <v>2448</v>
      </c>
      <c r="AK21" s="55" t="s">
        <v>2459</v>
      </c>
      <c r="AL21" s="55" t="s">
        <v>2460</v>
      </c>
      <c r="AM21" s="55" t="s">
        <v>2460</v>
      </c>
      <c r="AN21" s="55" t="s">
        <v>2461</v>
      </c>
    </row>
    <row r="22" ht="31.5" customHeight="1">
      <c r="A22" s="40">
        <v>10.0</v>
      </c>
      <c r="B22" s="50" t="s">
        <v>172</v>
      </c>
      <c r="C22" s="54" t="s">
        <v>2462</v>
      </c>
      <c r="D22" s="54" t="s">
        <v>1761</v>
      </c>
      <c r="E22" s="55" t="s">
        <v>175</v>
      </c>
      <c r="F22" s="55" t="s">
        <v>175</v>
      </c>
      <c r="G22" s="55" t="s">
        <v>175</v>
      </c>
      <c r="H22" s="55" t="s">
        <v>175</v>
      </c>
      <c r="I22" s="55" t="s">
        <v>175</v>
      </c>
      <c r="J22" s="55" t="s">
        <v>175</v>
      </c>
      <c r="K22" s="55" t="s">
        <v>175</v>
      </c>
      <c r="L22" s="55" t="s">
        <v>175</v>
      </c>
      <c r="M22" s="55" t="s">
        <v>175</v>
      </c>
      <c r="N22" s="55" t="s">
        <v>66</v>
      </c>
      <c r="O22" s="55" t="s">
        <v>175</v>
      </c>
      <c r="P22" s="55" t="s">
        <v>175</v>
      </c>
      <c r="Q22" s="55" t="s">
        <v>175</v>
      </c>
      <c r="R22" s="55" t="s">
        <v>175</v>
      </c>
      <c r="S22" s="55" t="s">
        <v>175</v>
      </c>
      <c r="T22" s="55" t="s">
        <v>66</v>
      </c>
      <c r="U22" s="55" t="s">
        <v>65</v>
      </c>
      <c r="V22" s="55" t="s">
        <v>175</v>
      </c>
      <c r="W22" s="55" t="s">
        <v>175</v>
      </c>
      <c r="X22" s="55" t="s">
        <v>2463</v>
      </c>
      <c r="Y22" s="55" t="s">
        <v>175</v>
      </c>
      <c r="Z22" s="55" t="s">
        <v>71</v>
      </c>
      <c r="AA22" s="55" t="s">
        <v>175</v>
      </c>
      <c r="AB22" s="55" t="s">
        <v>175</v>
      </c>
      <c r="AC22" s="55"/>
      <c r="AD22" s="55" t="s">
        <v>175</v>
      </c>
      <c r="AE22" s="55" t="s">
        <v>175</v>
      </c>
      <c r="AF22" s="55" t="s">
        <v>175</v>
      </c>
      <c r="AG22" s="55" t="s">
        <v>175</v>
      </c>
      <c r="AH22" s="55" t="s">
        <v>175</v>
      </c>
      <c r="AI22" s="55" t="s">
        <v>2359</v>
      </c>
      <c r="AJ22" s="55" t="s">
        <v>175</v>
      </c>
      <c r="AK22" s="55" t="s">
        <v>175</v>
      </c>
      <c r="AL22" s="55" t="s">
        <v>175</v>
      </c>
      <c r="AM22" s="55" t="s">
        <v>175</v>
      </c>
      <c r="AN22" s="55" t="s">
        <v>175</v>
      </c>
    </row>
    <row r="23" ht="15.75" customHeight="1">
      <c r="A23" s="40">
        <v>10.0</v>
      </c>
      <c r="B23" s="50" t="s">
        <v>267</v>
      </c>
      <c r="C23" s="51" t="s">
        <v>2464</v>
      </c>
      <c r="D23" s="51" t="s">
        <v>767</v>
      </c>
      <c r="E23" s="55" t="s">
        <v>271</v>
      </c>
      <c r="F23" s="55" t="s">
        <v>271</v>
      </c>
      <c r="G23" s="52" t="s">
        <v>238</v>
      </c>
      <c r="H23" s="55" t="s">
        <v>271</v>
      </c>
      <c r="I23" s="55" t="s">
        <v>271</v>
      </c>
      <c r="J23" s="55" t="s">
        <v>271</v>
      </c>
      <c r="K23" s="55" t="s">
        <v>271</v>
      </c>
      <c r="L23" s="55" t="s">
        <v>271</v>
      </c>
      <c r="M23" s="55" t="s">
        <v>271</v>
      </c>
      <c r="N23" s="52" t="s">
        <v>238</v>
      </c>
      <c r="O23" s="55" t="s">
        <v>271</v>
      </c>
      <c r="P23" s="55" t="s">
        <v>271</v>
      </c>
      <c r="Q23" s="52" t="s">
        <v>238</v>
      </c>
      <c r="R23" s="55" t="s">
        <v>2395</v>
      </c>
      <c r="S23" s="52" t="s">
        <v>238</v>
      </c>
      <c r="T23" s="52" t="s">
        <v>238</v>
      </c>
      <c r="U23" s="55" t="s">
        <v>2465</v>
      </c>
      <c r="V23" s="55" t="s">
        <v>271</v>
      </c>
      <c r="W23" s="52" t="s">
        <v>238</v>
      </c>
      <c r="X23" s="55" t="s">
        <v>2395</v>
      </c>
      <c r="Y23" s="55" t="s">
        <v>271</v>
      </c>
      <c r="Z23" s="55" t="s">
        <v>271</v>
      </c>
      <c r="AA23" s="52" t="s">
        <v>238</v>
      </c>
      <c r="AB23" s="52" t="s">
        <v>238</v>
      </c>
      <c r="AC23" s="55" t="s">
        <v>271</v>
      </c>
      <c r="AD23" s="55" t="s">
        <v>271</v>
      </c>
      <c r="AE23" s="55" t="s">
        <v>271</v>
      </c>
      <c r="AF23" s="55" t="s">
        <v>271</v>
      </c>
      <c r="AG23" s="55" t="s">
        <v>271</v>
      </c>
      <c r="AH23" s="55" t="s">
        <v>238</v>
      </c>
      <c r="AI23" s="55" t="s">
        <v>238</v>
      </c>
      <c r="AJ23" s="55" t="s">
        <v>271</v>
      </c>
      <c r="AK23" s="55" t="s">
        <v>2466</v>
      </c>
      <c r="AL23" s="55" t="s">
        <v>238</v>
      </c>
      <c r="AM23" s="55" t="s">
        <v>238</v>
      </c>
      <c r="AN23" s="55" t="s">
        <v>238</v>
      </c>
    </row>
    <row r="24" ht="15.75" customHeight="1">
      <c r="A24" s="40">
        <v>10.0</v>
      </c>
      <c r="B24" s="50" t="s">
        <v>274</v>
      </c>
      <c r="C24" s="51" t="s">
        <v>2467</v>
      </c>
      <c r="D24" s="51" t="s">
        <v>779</v>
      </c>
      <c r="E24" s="55"/>
      <c r="F24" s="52" t="s">
        <v>1435</v>
      </c>
      <c r="G24" s="55" t="s">
        <v>1104</v>
      </c>
      <c r="H24" s="55" t="s">
        <v>1104</v>
      </c>
      <c r="I24" s="55" t="s">
        <v>1104</v>
      </c>
      <c r="J24" s="55" t="s">
        <v>1104</v>
      </c>
      <c r="K24" s="55" t="s">
        <v>1104</v>
      </c>
      <c r="L24" s="55" t="s">
        <v>1104</v>
      </c>
      <c r="M24" s="55" t="s">
        <v>1104</v>
      </c>
      <c r="N24" s="55" t="s">
        <v>1104</v>
      </c>
      <c r="O24" s="55" t="s">
        <v>1104</v>
      </c>
      <c r="P24" s="55" t="s">
        <v>1104</v>
      </c>
      <c r="Q24" s="52" t="s">
        <v>824</v>
      </c>
      <c r="R24" s="52" t="s">
        <v>2398</v>
      </c>
      <c r="S24" s="55" t="s">
        <v>2468</v>
      </c>
      <c r="T24" s="55" t="s">
        <v>2469</v>
      </c>
      <c r="U24" s="55" t="s">
        <v>2400</v>
      </c>
      <c r="V24" s="55" t="s">
        <v>1164</v>
      </c>
      <c r="W24" s="55" t="s">
        <v>780</v>
      </c>
      <c r="X24" s="52" t="s">
        <v>2398</v>
      </c>
      <c r="Y24" s="55" t="s">
        <v>1164</v>
      </c>
      <c r="Z24" s="55" t="s">
        <v>2401</v>
      </c>
      <c r="AA24" s="55" t="s">
        <v>2194</v>
      </c>
      <c r="AB24" s="55" t="s">
        <v>2470</v>
      </c>
      <c r="AC24" s="55" t="s">
        <v>787</v>
      </c>
      <c r="AD24" s="55" t="s">
        <v>1104</v>
      </c>
      <c r="AE24" s="55" t="s">
        <v>1104</v>
      </c>
      <c r="AF24" s="55" t="s">
        <v>2128</v>
      </c>
      <c r="AG24" s="55" t="s">
        <v>2471</v>
      </c>
      <c r="AH24" s="55" t="s">
        <v>1104</v>
      </c>
      <c r="AI24" s="55" t="s">
        <v>2472</v>
      </c>
      <c r="AJ24" s="55" t="s">
        <v>2137</v>
      </c>
      <c r="AK24" s="55"/>
      <c r="AL24" s="55" t="s">
        <v>2473</v>
      </c>
      <c r="AM24" s="58" t="s">
        <v>1104</v>
      </c>
      <c r="AN24" s="55" t="s">
        <v>1104</v>
      </c>
    </row>
    <row r="25" ht="79.5" customHeight="1">
      <c r="A25" s="40">
        <v>10.0</v>
      </c>
      <c r="B25" s="50" t="s">
        <v>794</v>
      </c>
      <c r="C25" s="51" t="s">
        <v>2474</v>
      </c>
      <c r="D25" s="51" t="s">
        <v>1788</v>
      </c>
      <c r="E25" s="52" t="s">
        <v>2475</v>
      </c>
      <c r="F25" s="52" t="s">
        <v>2476</v>
      </c>
      <c r="G25" s="52" t="s">
        <v>2477</v>
      </c>
      <c r="H25" s="52" t="s">
        <v>2478</v>
      </c>
      <c r="I25" s="52" t="s">
        <v>2201</v>
      </c>
      <c r="J25" s="52" t="s">
        <v>2201</v>
      </c>
      <c r="K25" s="52" t="s">
        <v>2201</v>
      </c>
      <c r="L25" s="52" t="s">
        <v>2201</v>
      </c>
      <c r="M25" s="52" t="s">
        <v>2201</v>
      </c>
      <c r="N25" s="52" t="s">
        <v>2479</v>
      </c>
      <c r="O25" s="52" t="s">
        <v>2201</v>
      </c>
      <c r="P25" s="55" t="s">
        <v>2205</v>
      </c>
      <c r="Q25" s="52" t="s">
        <v>2480</v>
      </c>
      <c r="R25" s="52" t="s">
        <v>2201</v>
      </c>
      <c r="S25" s="55" t="s">
        <v>2207</v>
      </c>
      <c r="T25" s="55" t="s">
        <v>2481</v>
      </c>
      <c r="U25" s="52" t="s">
        <v>2208</v>
      </c>
      <c r="V25" s="52" t="s">
        <v>2201</v>
      </c>
      <c r="W25" s="55" t="s">
        <v>2482</v>
      </c>
      <c r="X25" s="52" t="s">
        <v>2201</v>
      </c>
      <c r="Y25" s="52" t="s">
        <v>2201</v>
      </c>
      <c r="Z25" s="55" t="s">
        <v>2483</v>
      </c>
      <c r="AA25" s="52" t="s">
        <v>2201</v>
      </c>
      <c r="AB25" s="55" t="s">
        <v>2212</v>
      </c>
      <c r="AC25" s="55" t="s">
        <v>2213</v>
      </c>
      <c r="AD25" s="55" t="s">
        <v>2484</v>
      </c>
      <c r="AE25" s="55" t="s">
        <v>2485</v>
      </c>
      <c r="AF25" s="52" t="s">
        <v>2201</v>
      </c>
      <c r="AG25" s="52" t="s">
        <v>2216</v>
      </c>
      <c r="AH25" s="52" t="s">
        <v>2218</v>
      </c>
      <c r="AI25" s="52" t="s">
        <v>2220</v>
      </c>
      <c r="AJ25" s="52" t="s">
        <v>2486</v>
      </c>
      <c r="AK25" s="52" t="s">
        <v>2222</v>
      </c>
      <c r="AL25" s="52" t="s">
        <v>2487</v>
      </c>
      <c r="AM25" s="59" t="s">
        <v>2488</v>
      </c>
      <c r="AN25" s="52" t="s">
        <v>2224</v>
      </c>
    </row>
    <row r="26" ht="96.0" customHeight="1">
      <c r="A26" s="40">
        <v>10.0</v>
      </c>
      <c r="B26" s="50" t="s">
        <v>122</v>
      </c>
      <c r="C26" s="51" t="s">
        <v>2489</v>
      </c>
      <c r="D26" s="51" t="s">
        <v>1819</v>
      </c>
      <c r="E26" s="52" t="s">
        <v>2227</v>
      </c>
      <c r="F26" s="52" t="s">
        <v>2228</v>
      </c>
      <c r="G26" s="52" t="s">
        <v>2490</v>
      </c>
      <c r="H26" s="52" t="s">
        <v>2491</v>
      </c>
      <c r="I26" s="52" t="s">
        <v>1170</v>
      </c>
      <c r="J26" s="52" t="s">
        <v>2492</v>
      </c>
      <c r="K26" s="52" t="s">
        <v>2493</v>
      </c>
      <c r="L26" s="52" t="s">
        <v>2494</v>
      </c>
      <c r="M26" s="52" t="s">
        <v>1171</v>
      </c>
      <c r="N26" s="52" t="s">
        <v>2495</v>
      </c>
      <c r="O26" s="52" t="s">
        <v>2496</v>
      </c>
      <c r="P26" s="52" t="s">
        <v>1463</v>
      </c>
      <c r="Q26" s="52" t="s">
        <v>2497</v>
      </c>
      <c r="R26" s="52" t="s">
        <v>2498</v>
      </c>
      <c r="S26" s="52" t="s">
        <v>2499</v>
      </c>
      <c r="T26" s="55" t="s">
        <v>2500</v>
      </c>
      <c r="U26" s="55" t="s">
        <v>2501</v>
      </c>
      <c r="V26" s="55" t="s">
        <v>2236</v>
      </c>
      <c r="W26" s="55" t="s">
        <v>2237</v>
      </c>
      <c r="X26" s="55" t="s">
        <v>2502</v>
      </c>
      <c r="Y26" s="55" t="s">
        <v>2503</v>
      </c>
      <c r="Z26" s="55" t="s">
        <v>2504</v>
      </c>
      <c r="AA26" s="55" t="s">
        <v>2505</v>
      </c>
      <c r="AB26" s="55" t="s">
        <v>2506</v>
      </c>
      <c r="AC26" s="55"/>
      <c r="AD26" s="55" t="s">
        <v>2507</v>
      </c>
      <c r="AE26" s="55" t="s">
        <v>2508</v>
      </c>
      <c r="AF26" s="55" t="s">
        <v>2509</v>
      </c>
      <c r="AG26" s="55" t="s">
        <v>2510</v>
      </c>
      <c r="AH26" s="55" t="s">
        <v>2511</v>
      </c>
      <c r="AI26" s="55" t="s">
        <v>2512</v>
      </c>
      <c r="AJ26" s="55" t="s">
        <v>2249</v>
      </c>
      <c r="AK26" s="55" t="s">
        <v>2513</v>
      </c>
      <c r="AL26" s="55" t="s">
        <v>2514</v>
      </c>
      <c r="AM26" s="52" t="s">
        <v>2515</v>
      </c>
      <c r="AN26" s="55" t="s">
        <v>2516</v>
      </c>
    </row>
    <row r="27" ht="15.75" customHeight="1">
      <c r="A27" s="40">
        <v>10.0</v>
      </c>
      <c r="B27" s="50" t="s">
        <v>139</v>
      </c>
      <c r="C27" s="51" t="s">
        <v>2517</v>
      </c>
      <c r="D27" s="51" t="s">
        <v>840</v>
      </c>
      <c r="E27" s="55" t="s">
        <v>271</v>
      </c>
      <c r="F27" s="55" t="s">
        <v>271</v>
      </c>
      <c r="G27" s="52" t="s">
        <v>238</v>
      </c>
      <c r="H27" s="55" t="s">
        <v>271</v>
      </c>
      <c r="I27" s="55" t="s">
        <v>271</v>
      </c>
      <c r="J27" s="55" t="s">
        <v>271</v>
      </c>
      <c r="K27" s="55" t="s">
        <v>271</v>
      </c>
      <c r="L27" s="55" t="s">
        <v>271</v>
      </c>
      <c r="M27" s="55" t="s">
        <v>271</v>
      </c>
      <c r="N27" s="52" t="s">
        <v>238</v>
      </c>
      <c r="O27" s="55" t="s">
        <v>271</v>
      </c>
      <c r="P27" s="55" t="s">
        <v>271</v>
      </c>
      <c r="Q27" s="52" t="s">
        <v>238</v>
      </c>
      <c r="R27" s="55" t="s">
        <v>2395</v>
      </c>
      <c r="S27" s="52" t="s">
        <v>238</v>
      </c>
      <c r="T27" s="52" t="s">
        <v>238</v>
      </c>
      <c r="U27" s="55" t="s">
        <v>770</v>
      </c>
      <c r="V27" s="55" t="s">
        <v>271</v>
      </c>
      <c r="W27" s="52" t="s">
        <v>238</v>
      </c>
      <c r="X27" s="55" t="s">
        <v>2395</v>
      </c>
      <c r="Y27" s="55" t="s">
        <v>271</v>
      </c>
      <c r="Z27" s="55" t="s">
        <v>271</v>
      </c>
      <c r="AA27" s="52" t="s">
        <v>238</v>
      </c>
      <c r="AB27" s="52" t="s">
        <v>238</v>
      </c>
      <c r="AC27" s="55" t="s">
        <v>271</v>
      </c>
      <c r="AD27" s="55" t="s">
        <v>271</v>
      </c>
      <c r="AE27" s="55" t="s">
        <v>271</v>
      </c>
      <c r="AF27" s="55" t="s">
        <v>271</v>
      </c>
      <c r="AG27" s="55" t="s">
        <v>271</v>
      </c>
      <c r="AH27" s="55" t="s">
        <v>2518</v>
      </c>
      <c r="AI27" s="55" t="s">
        <v>2518</v>
      </c>
      <c r="AJ27" s="55" t="s">
        <v>271</v>
      </c>
      <c r="AK27" s="55" t="s">
        <v>2519</v>
      </c>
      <c r="AL27" s="55" t="s">
        <v>2520</v>
      </c>
      <c r="AM27" s="55" t="s">
        <v>2520</v>
      </c>
      <c r="AN27" s="55" t="s">
        <v>2520</v>
      </c>
    </row>
    <row r="28" ht="15.75" customHeight="1">
      <c r="A28" s="40">
        <v>10.0</v>
      </c>
      <c r="B28" s="50" t="s">
        <v>2521</v>
      </c>
      <c r="C28" s="51" t="s">
        <v>2522</v>
      </c>
      <c r="D28" s="51" t="s">
        <v>1900</v>
      </c>
      <c r="E28" s="52" t="s">
        <v>1904</v>
      </c>
      <c r="F28" s="52" t="s">
        <v>1903</v>
      </c>
      <c r="G28" s="52" t="s">
        <v>2523</v>
      </c>
      <c r="H28" s="52" t="s">
        <v>1904</v>
      </c>
      <c r="I28" s="52" t="s">
        <v>1903</v>
      </c>
      <c r="J28" s="52" t="s">
        <v>1903</v>
      </c>
      <c r="K28" s="52" t="s">
        <v>1903</v>
      </c>
      <c r="L28" s="52" t="s">
        <v>1903</v>
      </c>
      <c r="M28" s="52" t="s">
        <v>1903</v>
      </c>
      <c r="N28" s="52" t="s">
        <v>1901</v>
      </c>
      <c r="O28" s="52" t="s">
        <v>1903</v>
      </c>
      <c r="P28" s="52" t="s">
        <v>1901</v>
      </c>
      <c r="Q28" s="52" t="s">
        <v>1901</v>
      </c>
      <c r="R28" s="52" t="s">
        <v>1903</v>
      </c>
      <c r="S28" s="52" t="s">
        <v>1901</v>
      </c>
      <c r="T28" s="52" t="s">
        <v>1901</v>
      </c>
      <c r="U28" s="52"/>
      <c r="V28" s="52" t="s">
        <v>1903</v>
      </c>
      <c r="W28" s="52" t="s">
        <v>1901</v>
      </c>
      <c r="X28" s="52" t="s">
        <v>1903</v>
      </c>
      <c r="Y28" s="52" t="s">
        <v>1903</v>
      </c>
      <c r="Z28" s="52" t="s">
        <v>1901</v>
      </c>
      <c r="AA28" s="52" t="s">
        <v>1903</v>
      </c>
      <c r="AB28" s="52" t="s">
        <v>1904</v>
      </c>
      <c r="AC28" s="52" t="s">
        <v>1905</v>
      </c>
      <c r="AD28" s="52" t="s">
        <v>1901</v>
      </c>
      <c r="AE28" s="55" t="s">
        <v>2524</v>
      </c>
      <c r="AF28" s="52" t="s">
        <v>1903</v>
      </c>
      <c r="AG28" s="52" t="s">
        <v>2525</v>
      </c>
      <c r="AH28" s="52" t="s">
        <v>1901</v>
      </c>
      <c r="AI28" s="52" t="s">
        <v>1901</v>
      </c>
      <c r="AJ28" s="52" t="s">
        <v>1903</v>
      </c>
      <c r="AK28" s="52" t="s">
        <v>1903</v>
      </c>
      <c r="AL28" s="52" t="s">
        <v>1901</v>
      </c>
      <c r="AM28" s="52" t="s">
        <v>1901</v>
      </c>
      <c r="AN28" s="52" t="s">
        <v>1901</v>
      </c>
    </row>
    <row r="29" ht="15.75" customHeight="1">
      <c r="A29" s="40">
        <v>10.0</v>
      </c>
      <c r="B29" s="50" t="s">
        <v>2526</v>
      </c>
      <c r="C29" s="54" t="s">
        <v>2527</v>
      </c>
      <c r="D29" s="54" t="s">
        <v>2528</v>
      </c>
      <c r="E29" s="55" t="s">
        <v>1279</v>
      </c>
      <c r="F29" s="55" t="s">
        <v>1272</v>
      </c>
      <c r="G29" s="55" t="s">
        <v>1279</v>
      </c>
      <c r="H29" s="55" t="s">
        <v>1272</v>
      </c>
      <c r="I29" s="55" t="s">
        <v>2529</v>
      </c>
      <c r="J29" s="55" t="s">
        <v>2529</v>
      </c>
      <c r="K29" s="55" t="s">
        <v>1279</v>
      </c>
      <c r="L29" s="55" t="s">
        <v>2529</v>
      </c>
      <c r="M29" s="55" t="s">
        <v>1272</v>
      </c>
      <c r="N29" s="55" t="s">
        <v>1279</v>
      </c>
      <c r="O29" s="55" t="s">
        <v>2529</v>
      </c>
      <c r="P29" s="55" t="s">
        <v>1272</v>
      </c>
      <c r="Q29" s="55" t="s">
        <v>1272</v>
      </c>
      <c r="R29" s="55" t="s">
        <v>1272</v>
      </c>
      <c r="S29" s="55" t="s">
        <v>1894</v>
      </c>
      <c r="T29" s="55" t="s">
        <v>1279</v>
      </c>
      <c r="U29" s="55" t="s">
        <v>1272</v>
      </c>
      <c r="V29" s="55" t="s">
        <v>1279</v>
      </c>
      <c r="W29" s="55" t="s">
        <v>1279</v>
      </c>
      <c r="X29" s="55" t="s">
        <v>1272</v>
      </c>
      <c r="Y29" s="55"/>
      <c r="Z29" s="55" t="s">
        <v>1279</v>
      </c>
      <c r="AA29" s="55" t="s">
        <v>2530</v>
      </c>
      <c r="AB29" s="55" t="s">
        <v>1279</v>
      </c>
      <c r="AC29" s="55" t="s">
        <v>1279</v>
      </c>
      <c r="AD29" s="55" t="s">
        <v>1272</v>
      </c>
      <c r="AE29" s="55" t="s">
        <v>2531</v>
      </c>
      <c r="AF29" s="55" t="s">
        <v>1272</v>
      </c>
      <c r="AG29" s="55" t="s">
        <v>1279</v>
      </c>
      <c r="AH29" s="55" t="s">
        <v>1279</v>
      </c>
      <c r="AI29" s="55" t="s">
        <v>2532</v>
      </c>
      <c r="AJ29" s="55" t="s">
        <v>1272</v>
      </c>
      <c r="AK29" s="55" t="s">
        <v>2533</v>
      </c>
      <c r="AL29" s="55" t="s">
        <v>1894</v>
      </c>
      <c r="AM29" s="55" t="s">
        <v>1279</v>
      </c>
      <c r="AN29" s="55" t="s">
        <v>1279</v>
      </c>
    </row>
    <row r="30" ht="15.75" customHeight="1">
      <c r="A30" s="40">
        <v>10.0</v>
      </c>
      <c r="B30" s="50" t="s">
        <v>2534</v>
      </c>
      <c r="C30" s="54" t="s">
        <v>2535</v>
      </c>
      <c r="D30" s="54" t="s">
        <v>2536</v>
      </c>
      <c r="E30" s="55" t="s">
        <v>1279</v>
      </c>
      <c r="F30" s="55" t="s">
        <v>1272</v>
      </c>
      <c r="G30" s="55" t="s">
        <v>1279</v>
      </c>
      <c r="H30" s="55" t="s">
        <v>1272</v>
      </c>
      <c r="I30" s="55" t="s">
        <v>2529</v>
      </c>
      <c r="J30" s="55" t="s">
        <v>2529</v>
      </c>
      <c r="K30" s="55" t="s">
        <v>1279</v>
      </c>
      <c r="L30" s="55" t="s">
        <v>2529</v>
      </c>
      <c r="M30" s="55" t="s">
        <v>1272</v>
      </c>
      <c r="N30" s="55" t="s">
        <v>1279</v>
      </c>
      <c r="O30" s="55" t="s">
        <v>2529</v>
      </c>
      <c r="P30" s="55" t="s">
        <v>1272</v>
      </c>
      <c r="Q30" s="55" t="s">
        <v>1272</v>
      </c>
      <c r="R30" s="55" t="s">
        <v>1272</v>
      </c>
      <c r="S30" s="55" t="s">
        <v>1894</v>
      </c>
      <c r="T30" s="55" t="s">
        <v>1279</v>
      </c>
      <c r="U30" s="55" t="s">
        <v>1272</v>
      </c>
      <c r="V30" s="55" t="s">
        <v>1279</v>
      </c>
      <c r="W30" s="55" t="s">
        <v>1279</v>
      </c>
      <c r="X30" s="55" t="s">
        <v>1272</v>
      </c>
      <c r="Y30" s="55"/>
      <c r="Z30" s="55" t="s">
        <v>1279</v>
      </c>
      <c r="AA30" s="55" t="s">
        <v>2530</v>
      </c>
      <c r="AB30" s="55" t="s">
        <v>1279</v>
      </c>
      <c r="AC30" s="55" t="s">
        <v>1279</v>
      </c>
      <c r="AD30" s="55" t="s">
        <v>1272</v>
      </c>
      <c r="AE30" s="55" t="s">
        <v>2531</v>
      </c>
      <c r="AF30" s="55" t="s">
        <v>1272</v>
      </c>
      <c r="AG30" s="55" t="s">
        <v>1279</v>
      </c>
      <c r="AH30" s="55" t="s">
        <v>1279</v>
      </c>
      <c r="AI30" s="55" t="s">
        <v>2532</v>
      </c>
      <c r="AJ30" s="55" t="s">
        <v>1272</v>
      </c>
      <c r="AK30" s="55" t="s">
        <v>2533</v>
      </c>
      <c r="AL30" s="55" t="s">
        <v>2532</v>
      </c>
      <c r="AM30" s="55" t="s">
        <v>1279</v>
      </c>
      <c r="AN30" s="55" t="s">
        <v>1279</v>
      </c>
    </row>
    <row r="31" ht="15.75" customHeight="1">
      <c r="A31" s="40">
        <v>10.0</v>
      </c>
      <c r="B31" s="50" t="s">
        <v>2537</v>
      </c>
      <c r="C31" s="51" t="s">
        <v>2538</v>
      </c>
      <c r="D31" s="51" t="s">
        <v>1880</v>
      </c>
      <c r="E31" s="52" t="s">
        <v>2539</v>
      </c>
      <c r="F31" s="52" t="s">
        <v>2540</v>
      </c>
      <c r="G31" s="73" t="s">
        <v>2539</v>
      </c>
      <c r="H31" s="52" t="s">
        <v>2540</v>
      </c>
      <c r="I31" s="52" t="s">
        <v>2541</v>
      </c>
      <c r="J31" s="52" t="s">
        <v>2541</v>
      </c>
      <c r="K31" s="73" t="s">
        <v>2539</v>
      </c>
      <c r="L31" s="52" t="s">
        <v>2541</v>
      </c>
      <c r="M31" s="52" t="s">
        <v>2540</v>
      </c>
      <c r="N31" s="73" t="s">
        <v>2539</v>
      </c>
      <c r="O31" s="52" t="s">
        <v>2541</v>
      </c>
      <c r="P31" s="52" t="s">
        <v>2540</v>
      </c>
      <c r="Q31" s="52" t="s">
        <v>2540</v>
      </c>
      <c r="R31" s="52" t="s">
        <v>2540</v>
      </c>
      <c r="S31" s="55" t="s">
        <v>2542</v>
      </c>
      <c r="T31" s="52" t="s">
        <v>2539</v>
      </c>
      <c r="U31" s="55" t="s">
        <v>1262</v>
      </c>
      <c r="V31" s="52" t="s">
        <v>2539</v>
      </c>
      <c r="W31" s="52" t="s">
        <v>2539</v>
      </c>
      <c r="X31" s="55" t="s">
        <v>1262</v>
      </c>
      <c r="Y31" s="55" t="s">
        <v>1262</v>
      </c>
      <c r="Z31" s="52" t="s">
        <v>2539</v>
      </c>
      <c r="AA31" s="55" t="s">
        <v>2543</v>
      </c>
      <c r="AB31" s="52" t="s">
        <v>2539</v>
      </c>
      <c r="AC31" s="52" t="s">
        <v>2539</v>
      </c>
      <c r="AD31" s="52" t="s">
        <v>2540</v>
      </c>
      <c r="AE31" s="55" t="s">
        <v>1265</v>
      </c>
      <c r="AF31" s="52" t="s">
        <v>2540</v>
      </c>
      <c r="AG31" s="52" t="s">
        <v>2539</v>
      </c>
      <c r="AH31" s="52" t="s">
        <v>2539</v>
      </c>
      <c r="AI31" s="55" t="s">
        <v>1264</v>
      </c>
      <c r="AJ31" s="52" t="s">
        <v>2540</v>
      </c>
      <c r="AK31" s="55" t="s">
        <v>1261</v>
      </c>
      <c r="AL31" s="55" t="s">
        <v>1264</v>
      </c>
      <c r="AM31" s="52" t="s">
        <v>2539</v>
      </c>
      <c r="AN31" s="52" t="s">
        <v>2539</v>
      </c>
    </row>
    <row r="32" ht="15.75" customHeight="1">
      <c r="A32" s="40">
        <v>10.0</v>
      </c>
      <c r="B32" s="50" t="s">
        <v>2544</v>
      </c>
      <c r="C32" s="51" t="s">
        <v>2545</v>
      </c>
      <c r="D32" s="51" t="s">
        <v>2546</v>
      </c>
      <c r="E32" s="52" t="s">
        <v>2547</v>
      </c>
      <c r="F32" s="52" t="s">
        <v>2548</v>
      </c>
      <c r="G32" s="52" t="s">
        <v>2547</v>
      </c>
      <c r="H32" s="52" t="s">
        <v>2548</v>
      </c>
      <c r="I32" s="52" t="s">
        <v>2549</v>
      </c>
      <c r="J32" s="52" t="s">
        <v>2541</v>
      </c>
      <c r="K32" s="52" t="s">
        <v>2547</v>
      </c>
      <c r="L32" s="52" t="s">
        <v>2541</v>
      </c>
      <c r="M32" s="52" t="s">
        <v>2548</v>
      </c>
      <c r="N32" s="52" t="s">
        <v>2547</v>
      </c>
      <c r="O32" s="52" t="s">
        <v>2541</v>
      </c>
      <c r="P32" s="52" t="s">
        <v>2548</v>
      </c>
      <c r="Q32" s="52" t="s">
        <v>2548</v>
      </c>
      <c r="R32" s="52" t="s">
        <v>2548</v>
      </c>
      <c r="S32" s="55" t="s">
        <v>2550</v>
      </c>
      <c r="T32" s="52" t="s">
        <v>2547</v>
      </c>
      <c r="U32" s="52" t="s">
        <v>2548</v>
      </c>
      <c r="V32" s="52" t="s">
        <v>2547</v>
      </c>
      <c r="W32" s="52" t="s">
        <v>2547</v>
      </c>
      <c r="X32" s="52" t="s">
        <v>2548</v>
      </c>
      <c r="Y32" s="52" t="s">
        <v>2548</v>
      </c>
      <c r="Z32" s="52" t="s">
        <v>2547</v>
      </c>
      <c r="AA32" s="55" t="s">
        <v>2551</v>
      </c>
      <c r="AB32" s="52" t="s">
        <v>2547</v>
      </c>
      <c r="AC32" s="52" t="s">
        <v>2547</v>
      </c>
      <c r="AD32" s="52" t="s">
        <v>2548</v>
      </c>
      <c r="AE32" s="55" t="s">
        <v>2549</v>
      </c>
      <c r="AF32" s="52" t="s">
        <v>2548</v>
      </c>
      <c r="AG32" s="52" t="s">
        <v>2547</v>
      </c>
      <c r="AH32" s="52" t="s">
        <v>2547</v>
      </c>
      <c r="AI32" s="55" t="s">
        <v>2552</v>
      </c>
      <c r="AJ32" s="52" t="s">
        <v>2548</v>
      </c>
      <c r="AK32" s="55" t="s">
        <v>2553</v>
      </c>
      <c r="AL32" s="55" t="s">
        <v>2552</v>
      </c>
      <c r="AM32" s="52" t="s">
        <v>2547</v>
      </c>
      <c r="AN32" s="52" t="s">
        <v>2547</v>
      </c>
    </row>
    <row r="33" ht="15.75" customHeight="1">
      <c r="A33" s="40">
        <v>10.0</v>
      </c>
      <c r="B33" s="50" t="s">
        <v>2554</v>
      </c>
      <c r="C33" s="51" t="s">
        <v>2555</v>
      </c>
      <c r="D33" s="51" t="s">
        <v>1877</v>
      </c>
      <c r="E33" s="52" t="s">
        <v>1263</v>
      </c>
      <c r="F33" s="52" t="s">
        <v>1262</v>
      </c>
      <c r="G33" s="52" t="s">
        <v>1263</v>
      </c>
      <c r="H33" s="52" t="s">
        <v>1262</v>
      </c>
      <c r="I33" s="52" t="s">
        <v>1265</v>
      </c>
      <c r="J33" s="52" t="s">
        <v>1265</v>
      </c>
      <c r="K33" s="52" t="s">
        <v>1263</v>
      </c>
      <c r="L33" s="73" t="s">
        <v>1265</v>
      </c>
      <c r="M33" s="52" t="s">
        <v>1262</v>
      </c>
      <c r="N33" s="52" t="s">
        <v>1263</v>
      </c>
      <c r="O33" s="73" t="s">
        <v>1265</v>
      </c>
      <c r="P33" s="52" t="s">
        <v>1262</v>
      </c>
      <c r="Q33" s="52" t="s">
        <v>1262</v>
      </c>
      <c r="R33" s="52" t="s">
        <v>1262</v>
      </c>
      <c r="S33" s="55" t="s">
        <v>1264</v>
      </c>
      <c r="T33" s="52" t="s">
        <v>1263</v>
      </c>
      <c r="U33" s="52" t="s">
        <v>1262</v>
      </c>
      <c r="V33" s="52" t="s">
        <v>1263</v>
      </c>
      <c r="W33" s="52" t="s">
        <v>1263</v>
      </c>
      <c r="X33" s="52" t="s">
        <v>1262</v>
      </c>
      <c r="Y33" s="52" t="s">
        <v>1262</v>
      </c>
      <c r="Z33" s="52" t="s">
        <v>1263</v>
      </c>
      <c r="AA33" s="55" t="s">
        <v>1261</v>
      </c>
      <c r="AB33" s="52" t="s">
        <v>1263</v>
      </c>
      <c r="AC33" s="52" t="s">
        <v>1263</v>
      </c>
      <c r="AD33" s="52" t="s">
        <v>1262</v>
      </c>
      <c r="AE33" s="55" t="s">
        <v>1265</v>
      </c>
      <c r="AF33" s="52" t="s">
        <v>1262</v>
      </c>
      <c r="AG33" s="52" t="s">
        <v>1263</v>
      </c>
      <c r="AH33" s="52" t="s">
        <v>1263</v>
      </c>
      <c r="AI33" s="55" t="s">
        <v>1264</v>
      </c>
      <c r="AJ33" s="52" t="s">
        <v>1262</v>
      </c>
      <c r="AK33" s="55" t="s">
        <v>1261</v>
      </c>
      <c r="AL33" s="55" t="s">
        <v>1264</v>
      </c>
      <c r="AM33" s="52" t="s">
        <v>1263</v>
      </c>
      <c r="AN33" s="52" t="s">
        <v>1263</v>
      </c>
    </row>
    <row r="34" ht="15.75" customHeight="1">
      <c r="A34" s="40">
        <v>10.0</v>
      </c>
      <c r="B34" s="50" t="s">
        <v>2277</v>
      </c>
      <c r="C34" s="51" t="s">
        <v>2556</v>
      </c>
      <c r="D34" s="51" t="s">
        <v>1944</v>
      </c>
      <c r="E34" s="52" t="s">
        <v>2280</v>
      </c>
      <c r="F34" s="52" t="s">
        <v>2557</v>
      </c>
      <c r="G34" s="52" t="s">
        <v>2282</v>
      </c>
      <c r="H34" s="52" t="s">
        <v>2558</v>
      </c>
      <c r="I34" s="52" t="s">
        <v>2559</v>
      </c>
      <c r="J34" s="52" t="s">
        <v>2560</v>
      </c>
      <c r="K34" s="52" t="s">
        <v>2561</v>
      </c>
      <c r="L34" s="52" t="s">
        <v>2562</v>
      </c>
      <c r="M34" s="52" t="s">
        <v>2563</v>
      </c>
      <c r="N34" s="52" t="s">
        <v>2564</v>
      </c>
      <c r="O34" s="52" t="s">
        <v>2565</v>
      </c>
      <c r="P34" s="52" t="s">
        <v>2291</v>
      </c>
      <c r="Q34" s="52" t="s">
        <v>2566</v>
      </c>
      <c r="R34" s="52" t="s">
        <v>2567</v>
      </c>
      <c r="S34" s="52" t="s">
        <v>2568</v>
      </c>
      <c r="T34" s="52" t="s">
        <v>1952</v>
      </c>
      <c r="U34" s="52" t="s">
        <v>2295</v>
      </c>
      <c r="V34" s="55" t="s">
        <v>2569</v>
      </c>
      <c r="W34" s="55" t="s">
        <v>2570</v>
      </c>
      <c r="X34" s="55" t="s">
        <v>2571</v>
      </c>
      <c r="Y34" s="55" t="s">
        <v>2572</v>
      </c>
      <c r="Z34" s="55" t="s">
        <v>2573</v>
      </c>
      <c r="AA34" s="55" t="s">
        <v>2301</v>
      </c>
      <c r="AB34" s="55" t="s">
        <v>2574</v>
      </c>
      <c r="AC34" s="55" t="s">
        <v>2575</v>
      </c>
      <c r="AD34" s="55" t="s">
        <v>2576</v>
      </c>
      <c r="AE34" s="55" t="s">
        <v>2577</v>
      </c>
      <c r="AF34" s="55" t="s">
        <v>2578</v>
      </c>
      <c r="AG34" s="55" t="s">
        <v>2579</v>
      </c>
      <c r="AH34" s="55" t="s">
        <v>1958</v>
      </c>
      <c r="AI34" s="55" t="s">
        <v>2580</v>
      </c>
      <c r="AJ34" s="55" t="s">
        <v>2581</v>
      </c>
      <c r="AK34" s="55" t="s">
        <v>2309</v>
      </c>
      <c r="AL34" s="52" t="s">
        <v>2582</v>
      </c>
      <c r="AM34" s="59" t="s">
        <v>1962</v>
      </c>
      <c r="AN34" s="55" t="s">
        <v>1963</v>
      </c>
    </row>
    <row r="35" ht="15.75" customHeight="1">
      <c r="A35" s="40">
        <v>10.0</v>
      </c>
      <c r="B35" s="50" t="s">
        <v>2583</v>
      </c>
      <c r="C35" s="51" t="s">
        <v>2584</v>
      </c>
      <c r="D35" s="74" t="s">
        <v>2585</v>
      </c>
      <c r="E35" s="52" t="s">
        <v>2280</v>
      </c>
      <c r="F35" s="52" t="s">
        <v>2557</v>
      </c>
      <c r="G35" s="52" t="s">
        <v>2282</v>
      </c>
      <c r="H35" s="52" t="s">
        <v>2558</v>
      </c>
      <c r="I35" s="52" t="s">
        <v>2559</v>
      </c>
      <c r="J35" s="52" t="s">
        <v>2560</v>
      </c>
      <c r="K35" s="52" t="s">
        <v>2561</v>
      </c>
      <c r="L35" s="52" t="s">
        <v>2562</v>
      </c>
      <c r="M35" s="52" t="s">
        <v>2563</v>
      </c>
      <c r="N35" s="52" t="s">
        <v>2564</v>
      </c>
      <c r="O35" s="52" t="s">
        <v>2565</v>
      </c>
      <c r="P35" s="52" t="s">
        <v>2291</v>
      </c>
      <c r="Q35" s="52" t="s">
        <v>2566</v>
      </c>
      <c r="R35" s="52" t="s">
        <v>2567</v>
      </c>
      <c r="S35" s="52" t="s">
        <v>2568</v>
      </c>
      <c r="T35" s="52" t="s">
        <v>1952</v>
      </c>
      <c r="U35" s="52" t="s">
        <v>2295</v>
      </c>
      <c r="V35" s="55" t="s">
        <v>2569</v>
      </c>
      <c r="W35" s="55" t="s">
        <v>2570</v>
      </c>
      <c r="X35" s="55" t="s">
        <v>2571</v>
      </c>
      <c r="Y35" s="55" t="s">
        <v>2572</v>
      </c>
      <c r="Z35" s="55" t="s">
        <v>2573</v>
      </c>
      <c r="AA35" s="55" t="s">
        <v>2301</v>
      </c>
      <c r="AB35" s="55" t="s">
        <v>2574</v>
      </c>
      <c r="AC35" s="55" t="s">
        <v>2575</v>
      </c>
      <c r="AD35" s="55" t="s">
        <v>2576</v>
      </c>
      <c r="AE35" s="55" t="s">
        <v>2577</v>
      </c>
      <c r="AF35" s="55" t="s">
        <v>2578</v>
      </c>
      <c r="AG35" s="55" t="s">
        <v>2579</v>
      </c>
      <c r="AH35" s="55" t="s">
        <v>1958</v>
      </c>
      <c r="AI35" s="55" t="s">
        <v>2580</v>
      </c>
      <c r="AJ35" s="55" t="s">
        <v>2581</v>
      </c>
      <c r="AK35" s="55" t="s">
        <v>2309</v>
      </c>
      <c r="AL35" s="52" t="s">
        <v>2582</v>
      </c>
      <c r="AM35" s="59" t="s">
        <v>1962</v>
      </c>
      <c r="AN35" s="55" t="s">
        <v>1963</v>
      </c>
    </row>
    <row r="36" ht="15.75" customHeight="1">
      <c r="A36" s="60"/>
      <c r="B36" s="60"/>
      <c r="C36" s="60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6"/>
      <c r="AM36" s="60"/>
      <c r="AN36" s="56"/>
    </row>
    <row r="37" ht="15.75" customHeight="1">
      <c r="A37" s="60"/>
      <c r="B37" s="60"/>
      <c r="C37" s="60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60"/>
      <c r="AN37" s="56"/>
    </row>
    <row r="38" ht="15.75" customHeight="1">
      <c r="A38" s="60"/>
      <c r="B38" s="60"/>
      <c r="C38" s="60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60"/>
      <c r="AN38" s="56"/>
    </row>
    <row r="39" ht="15.75" customHeight="1">
      <c r="A39" s="60"/>
      <c r="B39" s="60"/>
      <c r="C39" s="60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60"/>
      <c r="AN39" s="56"/>
    </row>
    <row r="40" ht="15.75" customHeight="1">
      <c r="A40" s="60"/>
      <c r="B40" s="60"/>
      <c r="C40" s="60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6"/>
      <c r="AM40" s="60"/>
      <c r="AN40" s="56"/>
    </row>
    <row r="41" ht="15.75" customHeight="1">
      <c r="A41" s="60"/>
      <c r="B41" s="60"/>
      <c r="C41" s="60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6"/>
      <c r="AM41" s="60"/>
      <c r="AN41" s="56"/>
    </row>
    <row r="42" ht="15.75" customHeight="1">
      <c r="A42" s="60"/>
      <c r="B42" s="60"/>
      <c r="C42" s="60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60"/>
      <c r="AN42" s="56"/>
    </row>
    <row r="43" ht="15.75" customHeight="1">
      <c r="A43" s="60"/>
      <c r="B43" s="60"/>
      <c r="C43" s="60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60"/>
      <c r="AN43" s="56"/>
    </row>
    <row r="44" ht="15.75" customHeight="1">
      <c r="A44" s="60"/>
      <c r="B44" s="60"/>
      <c r="C44" s="60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60"/>
      <c r="AN44" s="56"/>
    </row>
    <row r="45" ht="15.75" customHeight="1">
      <c r="A45" s="60"/>
      <c r="B45" s="60"/>
      <c r="C45" s="60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6"/>
      <c r="AM45" s="60"/>
      <c r="AN45" s="56"/>
    </row>
    <row r="46" ht="15.75" customHeight="1">
      <c r="A46" s="60"/>
      <c r="B46" s="60"/>
      <c r="C46" s="60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6"/>
      <c r="AM46" s="60"/>
      <c r="AN46" s="56"/>
    </row>
    <row r="47" ht="15.75" customHeight="1">
      <c r="A47" s="60"/>
      <c r="B47" s="60"/>
      <c r="C47" s="60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6"/>
      <c r="AM47" s="60"/>
      <c r="AN47" s="56"/>
    </row>
    <row r="48" ht="15.75" customHeight="1">
      <c r="A48" s="60"/>
      <c r="B48" s="60"/>
      <c r="C48" s="60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6"/>
      <c r="AM48" s="60"/>
      <c r="AN48" s="56"/>
    </row>
    <row r="49" ht="15.75" customHeight="1">
      <c r="A49" s="60"/>
      <c r="B49" s="60"/>
      <c r="C49" s="60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6"/>
      <c r="AM49" s="60"/>
      <c r="AN49" s="56"/>
    </row>
    <row r="50" ht="15.75" customHeight="1">
      <c r="A50" s="60"/>
      <c r="B50" s="60"/>
      <c r="C50" s="60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6"/>
      <c r="AM50" s="60"/>
      <c r="AN50" s="56"/>
    </row>
    <row r="51" ht="15.75" customHeight="1">
      <c r="A51" s="60"/>
      <c r="B51" s="60"/>
      <c r="C51" s="60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6"/>
      <c r="AM51" s="60"/>
      <c r="AN51" s="56"/>
    </row>
    <row r="52" ht="15.75" customHeight="1">
      <c r="A52" s="60"/>
      <c r="B52" s="60"/>
      <c r="C52" s="60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6"/>
      <c r="AM52" s="60"/>
      <c r="AN52" s="56"/>
    </row>
    <row r="53" ht="15.75" customHeight="1">
      <c r="A53" s="60"/>
      <c r="B53" s="60"/>
      <c r="C53" s="60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6"/>
      <c r="AM53" s="60"/>
      <c r="AN53" s="56"/>
    </row>
    <row r="54" ht="15.75" customHeight="1">
      <c r="A54" s="60"/>
      <c r="B54" s="60"/>
      <c r="C54" s="60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6"/>
      <c r="AM54" s="60"/>
      <c r="AN54" s="56"/>
    </row>
    <row r="55" ht="15.75" customHeight="1">
      <c r="A55" s="60"/>
      <c r="B55" s="60"/>
      <c r="C55" s="60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6"/>
      <c r="AM55" s="60"/>
      <c r="AN55" s="56"/>
    </row>
    <row r="56" ht="15.75" customHeight="1">
      <c r="A56" s="60"/>
      <c r="B56" s="60"/>
      <c r="C56" s="60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6"/>
      <c r="AM56" s="60"/>
      <c r="AN56" s="56"/>
    </row>
    <row r="57" ht="15.75" customHeight="1">
      <c r="A57" s="60"/>
      <c r="B57" s="60"/>
      <c r="C57" s="60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6"/>
      <c r="AM57" s="60"/>
      <c r="AN57" s="56"/>
    </row>
    <row r="58" ht="15.75" customHeight="1">
      <c r="A58" s="60"/>
      <c r="B58" s="60"/>
      <c r="C58" s="60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6"/>
      <c r="AM58" s="60"/>
      <c r="AN58" s="56"/>
    </row>
    <row r="59" ht="15.75" customHeight="1">
      <c r="A59" s="60"/>
      <c r="B59" s="60"/>
      <c r="C59" s="60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6"/>
      <c r="AM59" s="60"/>
      <c r="AN59" s="56"/>
    </row>
    <row r="60" ht="15.75" customHeight="1">
      <c r="A60" s="60"/>
      <c r="B60" s="60"/>
      <c r="C60" s="60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6"/>
      <c r="AM60" s="60"/>
      <c r="AN60" s="56"/>
    </row>
    <row r="61" ht="15.75" customHeight="1">
      <c r="A61" s="60"/>
      <c r="B61" s="60"/>
      <c r="C61" s="60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6"/>
      <c r="AM61" s="60"/>
      <c r="AN61" s="56"/>
    </row>
    <row r="62" ht="15.75" customHeight="1">
      <c r="A62" s="60"/>
      <c r="B62" s="60"/>
      <c r="C62" s="60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6"/>
      <c r="AM62" s="60"/>
      <c r="AN62" s="56"/>
    </row>
    <row r="63" ht="15.75" customHeight="1">
      <c r="A63" s="60"/>
      <c r="B63" s="60"/>
      <c r="C63" s="60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6"/>
      <c r="AM63" s="60"/>
      <c r="AN63" s="56"/>
    </row>
    <row r="64" ht="15.75" customHeight="1">
      <c r="A64" s="60"/>
      <c r="B64" s="60"/>
      <c r="C64" s="60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6"/>
      <c r="AM64" s="60"/>
      <c r="AN64" s="56"/>
    </row>
    <row r="65" ht="15.75" customHeight="1">
      <c r="A65" s="60"/>
      <c r="B65" s="60"/>
      <c r="C65" s="60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6"/>
      <c r="AM65" s="60"/>
      <c r="AN65" s="56"/>
    </row>
    <row r="66" ht="15.75" customHeight="1">
      <c r="A66" s="60"/>
      <c r="B66" s="60"/>
      <c r="C66" s="60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6"/>
      <c r="AM66" s="60"/>
      <c r="AN66" s="56"/>
    </row>
    <row r="67" ht="15.75" customHeight="1">
      <c r="A67" s="60"/>
      <c r="B67" s="60"/>
      <c r="C67" s="60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6"/>
      <c r="AM67" s="60"/>
      <c r="AN67" s="56"/>
    </row>
    <row r="68" ht="15.75" customHeight="1">
      <c r="A68" s="60"/>
      <c r="B68" s="60"/>
      <c r="C68" s="60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6"/>
      <c r="AM68" s="60"/>
      <c r="AN68" s="56"/>
    </row>
    <row r="69" ht="15.75" customHeight="1">
      <c r="A69" s="60"/>
      <c r="B69" s="60"/>
      <c r="C69" s="60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6"/>
      <c r="AM69" s="60"/>
      <c r="AN69" s="56"/>
    </row>
    <row r="70" ht="15.75" customHeight="1">
      <c r="A70" s="60"/>
      <c r="B70" s="60"/>
      <c r="C70" s="60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6"/>
      <c r="AM70" s="60"/>
      <c r="AN70" s="56"/>
    </row>
    <row r="71" ht="15.75" customHeight="1">
      <c r="A71" s="60"/>
      <c r="B71" s="60"/>
      <c r="C71" s="60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6"/>
      <c r="AM71" s="60"/>
      <c r="AN71" s="56"/>
    </row>
    <row r="72" ht="15.75" customHeight="1">
      <c r="A72" s="60"/>
      <c r="B72" s="60"/>
      <c r="C72" s="60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6"/>
      <c r="AM72" s="60"/>
      <c r="AN72" s="56"/>
    </row>
    <row r="73" ht="15.75" customHeight="1">
      <c r="A73" s="60"/>
      <c r="B73" s="60"/>
      <c r="C73" s="60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6"/>
      <c r="AM73" s="60"/>
      <c r="AN73" s="56"/>
    </row>
    <row r="74" ht="15.75" customHeight="1">
      <c r="A74" s="60"/>
      <c r="B74" s="60"/>
      <c r="C74" s="60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6"/>
      <c r="AM74" s="60"/>
      <c r="AN74" s="56"/>
    </row>
    <row r="75" ht="15.75" customHeight="1">
      <c r="A75" s="60"/>
      <c r="B75" s="60"/>
      <c r="C75" s="60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6"/>
      <c r="AM75" s="60"/>
      <c r="AN75" s="56"/>
    </row>
    <row r="76" ht="15.75" customHeight="1">
      <c r="A76" s="60"/>
      <c r="B76" s="60"/>
      <c r="C76" s="60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6"/>
      <c r="AM76" s="60"/>
      <c r="AN76" s="56"/>
    </row>
    <row r="77" ht="15.75" customHeight="1">
      <c r="A77" s="60"/>
      <c r="B77" s="60"/>
      <c r="C77" s="60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6"/>
      <c r="AM77" s="60"/>
      <c r="AN77" s="56"/>
    </row>
    <row r="78" ht="15.75" customHeight="1">
      <c r="A78" s="60"/>
      <c r="B78" s="60"/>
      <c r="C78" s="60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6"/>
      <c r="AM78" s="60"/>
      <c r="AN78" s="56"/>
    </row>
    <row r="79" ht="15.75" customHeight="1">
      <c r="A79" s="60"/>
      <c r="B79" s="60"/>
      <c r="C79" s="60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6"/>
      <c r="AM79" s="60"/>
      <c r="AN79" s="56"/>
    </row>
    <row r="80" ht="15.75" customHeight="1">
      <c r="A80" s="60"/>
      <c r="B80" s="60"/>
      <c r="C80" s="60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6"/>
      <c r="AM80" s="60"/>
      <c r="AN80" s="56"/>
    </row>
    <row r="81" ht="15.75" customHeight="1">
      <c r="A81" s="60"/>
      <c r="B81" s="60"/>
      <c r="C81" s="60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6"/>
      <c r="AM81" s="60"/>
      <c r="AN81" s="56"/>
    </row>
    <row r="82" ht="15.75" customHeight="1">
      <c r="A82" s="60"/>
      <c r="B82" s="60"/>
      <c r="C82" s="60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6"/>
      <c r="AM82" s="60"/>
      <c r="AN82" s="56"/>
    </row>
    <row r="83" ht="15.75" customHeight="1">
      <c r="A83" s="60"/>
      <c r="B83" s="60"/>
      <c r="C83" s="60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6"/>
      <c r="AM83" s="60"/>
      <c r="AN83" s="56"/>
    </row>
    <row r="84" ht="15.75" customHeight="1">
      <c r="A84" s="60"/>
      <c r="B84" s="60"/>
      <c r="C84" s="60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6"/>
      <c r="AM84" s="60"/>
      <c r="AN84" s="56"/>
    </row>
    <row r="85" ht="15.75" customHeight="1">
      <c r="A85" s="60"/>
      <c r="B85" s="60"/>
      <c r="C85" s="60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6"/>
      <c r="AM85" s="60"/>
      <c r="AN85" s="56"/>
    </row>
    <row r="86" ht="15.75" customHeight="1">
      <c r="A86" s="60"/>
      <c r="B86" s="60"/>
      <c r="C86" s="60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6"/>
      <c r="AM86" s="60"/>
      <c r="AN86" s="56"/>
    </row>
    <row r="87" ht="15.75" customHeight="1">
      <c r="A87" s="60"/>
      <c r="B87" s="60"/>
      <c r="C87" s="60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6"/>
      <c r="AM87" s="60"/>
      <c r="AN87" s="56"/>
    </row>
    <row r="88" ht="15.75" customHeight="1">
      <c r="A88" s="60"/>
      <c r="B88" s="60"/>
      <c r="C88" s="60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6"/>
      <c r="AM88" s="60"/>
      <c r="AN88" s="56"/>
    </row>
    <row r="89" ht="15.75" customHeight="1">
      <c r="A89" s="60"/>
      <c r="B89" s="60"/>
      <c r="C89" s="60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6"/>
      <c r="AM89" s="60"/>
      <c r="AN89" s="56"/>
    </row>
    <row r="90" ht="15.75" customHeight="1">
      <c r="A90" s="60"/>
      <c r="B90" s="60"/>
      <c r="C90" s="60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6"/>
      <c r="AM90" s="60"/>
      <c r="AN90" s="56"/>
    </row>
    <row r="91" ht="15.75" customHeight="1">
      <c r="A91" s="60"/>
      <c r="B91" s="60"/>
      <c r="C91" s="60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6"/>
      <c r="AM91" s="60"/>
      <c r="AN91" s="56"/>
    </row>
    <row r="92" ht="15.75" customHeight="1">
      <c r="A92" s="60"/>
      <c r="B92" s="60"/>
      <c r="C92" s="60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6"/>
      <c r="AM92" s="60"/>
      <c r="AN92" s="56"/>
    </row>
    <row r="93" ht="15.75" customHeight="1">
      <c r="A93" s="60"/>
      <c r="B93" s="60"/>
      <c r="C93" s="60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6"/>
      <c r="AM93" s="60"/>
      <c r="AN93" s="56"/>
    </row>
    <row r="94" ht="15.75" customHeight="1">
      <c r="A94" s="60"/>
      <c r="B94" s="60"/>
      <c r="C94" s="60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6"/>
      <c r="AM94" s="60"/>
      <c r="AN94" s="56"/>
    </row>
    <row r="95" ht="15.75" customHeight="1">
      <c r="A95" s="60"/>
      <c r="B95" s="60"/>
      <c r="C95" s="60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6"/>
      <c r="AM95" s="60"/>
      <c r="AN95" s="56"/>
    </row>
    <row r="96" ht="15.75" customHeight="1">
      <c r="A96" s="60"/>
      <c r="B96" s="60"/>
      <c r="C96" s="60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6"/>
      <c r="AM96" s="60"/>
      <c r="AN96" s="56"/>
    </row>
    <row r="97" ht="15.75" customHeight="1">
      <c r="A97" s="60"/>
      <c r="B97" s="60"/>
      <c r="C97" s="60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6"/>
      <c r="AM97" s="60"/>
      <c r="AN97" s="56"/>
    </row>
    <row r="98" ht="15.75" customHeight="1">
      <c r="A98" s="60"/>
      <c r="B98" s="60"/>
      <c r="C98" s="60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6"/>
      <c r="AM98" s="60"/>
      <c r="AN98" s="56"/>
    </row>
    <row r="99" ht="15.75" customHeight="1">
      <c r="A99" s="60"/>
      <c r="B99" s="60"/>
      <c r="C99" s="60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6"/>
      <c r="AM99" s="60"/>
      <c r="AN99" s="56"/>
    </row>
    <row r="100" ht="15.75" customHeight="1">
      <c r="A100" s="60"/>
      <c r="B100" s="60"/>
      <c r="C100" s="60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6"/>
      <c r="AM100" s="60"/>
      <c r="AN100" s="56"/>
    </row>
    <row r="101" ht="15.75" customHeight="1">
      <c r="A101" s="60"/>
      <c r="B101" s="60"/>
      <c r="C101" s="60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6"/>
      <c r="AM101" s="60"/>
      <c r="AN101" s="56"/>
    </row>
    <row r="102" ht="15.75" customHeight="1">
      <c r="A102" s="60"/>
      <c r="B102" s="60"/>
      <c r="C102" s="60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6"/>
      <c r="AM102" s="60"/>
      <c r="AN102" s="56"/>
    </row>
    <row r="103" ht="15.75" customHeight="1">
      <c r="A103" s="60"/>
      <c r="B103" s="60"/>
      <c r="C103" s="60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6"/>
      <c r="AM103" s="60"/>
      <c r="AN103" s="56"/>
    </row>
    <row r="104" ht="15.75" customHeight="1">
      <c r="A104" s="60"/>
      <c r="B104" s="60"/>
      <c r="C104" s="60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6"/>
      <c r="AM104" s="60"/>
      <c r="AN104" s="56"/>
    </row>
    <row r="105" ht="15.75" customHeight="1">
      <c r="A105" s="60"/>
      <c r="B105" s="60"/>
      <c r="C105" s="60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6"/>
      <c r="AM105" s="60"/>
      <c r="AN105" s="56"/>
    </row>
    <row r="106" ht="15.75" customHeight="1">
      <c r="A106" s="60"/>
      <c r="B106" s="60"/>
      <c r="C106" s="60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6"/>
      <c r="AM106" s="60"/>
      <c r="AN106" s="56"/>
    </row>
    <row r="107" ht="15.75" customHeight="1">
      <c r="A107" s="60"/>
      <c r="B107" s="60"/>
      <c r="C107" s="60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6"/>
      <c r="AM107" s="60"/>
      <c r="AN107" s="56"/>
    </row>
    <row r="108" ht="15.75" customHeight="1">
      <c r="A108" s="60"/>
      <c r="B108" s="60"/>
      <c r="C108" s="60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6"/>
      <c r="AM108" s="60"/>
      <c r="AN108" s="56"/>
    </row>
    <row r="109" ht="15.75" customHeight="1">
      <c r="A109" s="60"/>
      <c r="B109" s="60"/>
      <c r="C109" s="60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6"/>
      <c r="AM109" s="60"/>
      <c r="AN109" s="56"/>
    </row>
    <row r="110" ht="15.75" customHeight="1">
      <c r="A110" s="60"/>
      <c r="B110" s="60"/>
      <c r="C110" s="60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6"/>
      <c r="AM110" s="60"/>
      <c r="AN110" s="56"/>
    </row>
    <row r="111" ht="15.75" customHeight="1">
      <c r="A111" s="60"/>
      <c r="B111" s="60"/>
      <c r="C111" s="60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6"/>
      <c r="AM111" s="60"/>
      <c r="AN111" s="56"/>
    </row>
    <row r="112" ht="15.75" customHeight="1">
      <c r="A112" s="60"/>
      <c r="B112" s="60"/>
      <c r="C112" s="60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6"/>
      <c r="AM112" s="60"/>
      <c r="AN112" s="56"/>
    </row>
    <row r="113" ht="15.75" customHeight="1">
      <c r="A113" s="60"/>
      <c r="B113" s="60"/>
      <c r="C113" s="60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6"/>
      <c r="AM113" s="60"/>
      <c r="AN113" s="56"/>
    </row>
    <row r="114" ht="15.75" customHeight="1">
      <c r="A114" s="60"/>
      <c r="B114" s="60"/>
      <c r="C114" s="60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6"/>
      <c r="AM114" s="60"/>
      <c r="AN114" s="56"/>
    </row>
    <row r="115" ht="15.75" customHeight="1">
      <c r="A115" s="60"/>
      <c r="B115" s="60"/>
      <c r="C115" s="60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6"/>
      <c r="AM115" s="60"/>
      <c r="AN115" s="56"/>
    </row>
    <row r="116" ht="15.75" customHeight="1">
      <c r="A116" s="60"/>
      <c r="B116" s="60"/>
      <c r="C116" s="60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6"/>
      <c r="AM116" s="60"/>
      <c r="AN116" s="56"/>
    </row>
    <row r="117" ht="15.75" customHeight="1">
      <c r="A117" s="60"/>
      <c r="B117" s="60"/>
      <c r="C117" s="60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6"/>
      <c r="AM117" s="60"/>
      <c r="AN117" s="56"/>
    </row>
    <row r="118" ht="15.75" customHeight="1">
      <c r="A118" s="60"/>
      <c r="B118" s="60"/>
      <c r="C118" s="60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6"/>
      <c r="AM118" s="60"/>
      <c r="AN118" s="56"/>
    </row>
    <row r="119" ht="15.75" customHeight="1">
      <c r="A119" s="60"/>
      <c r="B119" s="60"/>
      <c r="C119" s="60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6"/>
      <c r="AM119" s="60"/>
      <c r="AN119" s="56"/>
    </row>
    <row r="120" ht="15.75" customHeight="1">
      <c r="A120" s="60"/>
      <c r="B120" s="60"/>
      <c r="C120" s="60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6"/>
      <c r="AM120" s="60"/>
      <c r="AN120" s="56"/>
    </row>
    <row r="121" ht="15.75" customHeight="1">
      <c r="A121" s="60"/>
      <c r="B121" s="60"/>
      <c r="C121" s="60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6"/>
      <c r="AM121" s="60"/>
      <c r="AN121" s="56"/>
    </row>
    <row r="122" ht="15.75" customHeight="1">
      <c r="A122" s="60"/>
      <c r="B122" s="60"/>
      <c r="C122" s="60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6"/>
      <c r="AM122" s="60"/>
      <c r="AN122" s="56"/>
    </row>
    <row r="123" ht="15.75" customHeight="1">
      <c r="A123" s="60"/>
      <c r="B123" s="60"/>
      <c r="C123" s="60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6"/>
      <c r="AM123" s="60"/>
      <c r="AN123" s="56"/>
    </row>
    <row r="124" ht="15.75" customHeight="1">
      <c r="A124" s="60"/>
      <c r="B124" s="60"/>
      <c r="C124" s="60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6"/>
      <c r="AM124" s="60"/>
      <c r="AN124" s="56"/>
    </row>
    <row r="125" ht="15.75" customHeight="1">
      <c r="A125" s="60"/>
      <c r="B125" s="60"/>
      <c r="C125" s="60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6"/>
      <c r="AM125" s="60"/>
      <c r="AN125" s="56"/>
    </row>
    <row r="126" ht="15.75" customHeight="1">
      <c r="A126" s="60"/>
      <c r="B126" s="60"/>
      <c r="C126" s="60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6"/>
      <c r="AM126" s="60"/>
      <c r="AN126" s="56"/>
    </row>
    <row r="127" ht="15.75" customHeight="1">
      <c r="A127" s="60"/>
      <c r="B127" s="60"/>
      <c r="C127" s="60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6"/>
      <c r="AM127" s="60"/>
      <c r="AN127" s="56"/>
    </row>
    <row r="128" ht="15.75" customHeight="1">
      <c r="A128" s="60"/>
      <c r="B128" s="60"/>
      <c r="C128" s="60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6"/>
      <c r="AM128" s="60"/>
      <c r="AN128" s="56"/>
    </row>
    <row r="129" ht="15.75" customHeight="1">
      <c r="A129" s="60"/>
      <c r="B129" s="60"/>
      <c r="C129" s="60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6"/>
      <c r="AM129" s="60"/>
      <c r="AN129" s="56"/>
    </row>
    <row r="130" ht="15.75" customHeight="1">
      <c r="A130" s="60"/>
      <c r="B130" s="60"/>
      <c r="C130" s="60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6"/>
      <c r="AM130" s="60"/>
      <c r="AN130" s="56"/>
    </row>
    <row r="131" ht="15.75" customHeight="1">
      <c r="A131" s="60"/>
      <c r="B131" s="60"/>
      <c r="C131" s="60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6"/>
      <c r="AM131" s="60"/>
      <c r="AN131" s="56"/>
    </row>
    <row r="132" ht="15.75" customHeight="1">
      <c r="A132" s="60"/>
      <c r="B132" s="60"/>
      <c r="C132" s="60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6"/>
      <c r="AM132" s="60"/>
      <c r="AN132" s="56"/>
    </row>
    <row r="133" ht="15.75" customHeight="1">
      <c r="A133" s="60"/>
      <c r="B133" s="60"/>
      <c r="C133" s="60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6"/>
      <c r="AM133" s="60"/>
      <c r="AN133" s="56"/>
    </row>
    <row r="134" ht="15.75" customHeight="1">
      <c r="A134" s="60"/>
      <c r="B134" s="60"/>
      <c r="C134" s="60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6"/>
      <c r="AM134" s="60"/>
      <c r="AN134" s="56"/>
    </row>
    <row r="135" ht="15.75" customHeight="1">
      <c r="A135" s="60"/>
      <c r="B135" s="60"/>
      <c r="C135" s="60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6"/>
      <c r="AM135" s="60"/>
      <c r="AN135" s="56"/>
    </row>
    <row r="136" ht="15.75" customHeight="1">
      <c r="A136" s="60"/>
      <c r="B136" s="60"/>
      <c r="C136" s="60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6"/>
      <c r="AM136" s="60"/>
      <c r="AN136" s="56"/>
    </row>
    <row r="137" ht="15.75" customHeight="1">
      <c r="A137" s="60"/>
      <c r="B137" s="60"/>
      <c r="C137" s="60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6"/>
      <c r="AM137" s="60"/>
      <c r="AN137" s="56"/>
    </row>
    <row r="138" ht="15.75" customHeight="1">
      <c r="A138" s="60"/>
      <c r="B138" s="60"/>
      <c r="C138" s="60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6"/>
      <c r="AM138" s="60"/>
      <c r="AN138" s="56"/>
    </row>
    <row r="139" ht="15.75" customHeight="1">
      <c r="A139" s="60"/>
      <c r="B139" s="60"/>
      <c r="C139" s="60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6"/>
      <c r="AM139" s="60"/>
      <c r="AN139" s="56"/>
    </row>
    <row r="140" ht="15.75" customHeight="1">
      <c r="A140" s="60"/>
      <c r="B140" s="60"/>
      <c r="C140" s="60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6"/>
      <c r="AM140" s="60"/>
      <c r="AN140" s="56"/>
    </row>
    <row r="141" ht="15.75" customHeight="1">
      <c r="A141" s="60"/>
      <c r="B141" s="60"/>
      <c r="C141" s="60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6"/>
      <c r="AM141" s="60"/>
      <c r="AN141" s="56"/>
    </row>
    <row r="142" ht="15.75" customHeight="1">
      <c r="A142" s="60"/>
      <c r="B142" s="60"/>
      <c r="C142" s="60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6"/>
      <c r="AM142" s="60"/>
      <c r="AN142" s="56"/>
    </row>
    <row r="143" ht="15.75" customHeight="1">
      <c r="A143" s="60"/>
      <c r="B143" s="60"/>
      <c r="C143" s="60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6"/>
      <c r="AM143" s="60"/>
      <c r="AN143" s="56"/>
    </row>
    <row r="144" ht="15.75" customHeight="1">
      <c r="A144" s="60"/>
      <c r="B144" s="60"/>
      <c r="C144" s="60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6"/>
      <c r="AM144" s="60"/>
      <c r="AN144" s="56"/>
    </row>
    <row r="145" ht="15.75" customHeight="1">
      <c r="A145" s="60"/>
      <c r="B145" s="60"/>
      <c r="C145" s="60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6"/>
      <c r="AM145" s="60"/>
      <c r="AN145" s="56"/>
    </row>
    <row r="146" ht="15.75" customHeight="1">
      <c r="A146" s="60"/>
      <c r="B146" s="60"/>
      <c r="C146" s="60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6"/>
      <c r="AM146" s="60"/>
      <c r="AN146" s="56"/>
    </row>
    <row r="147" ht="15.75" customHeight="1">
      <c r="A147" s="60"/>
      <c r="B147" s="60"/>
      <c r="C147" s="60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6"/>
      <c r="AM147" s="60"/>
      <c r="AN147" s="56"/>
    </row>
    <row r="148" ht="15.75" customHeight="1">
      <c r="A148" s="60"/>
      <c r="B148" s="60"/>
      <c r="C148" s="60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6"/>
      <c r="AM148" s="60"/>
      <c r="AN148" s="56"/>
    </row>
    <row r="149" ht="15.75" customHeight="1">
      <c r="A149" s="60"/>
      <c r="B149" s="60"/>
      <c r="C149" s="60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6"/>
      <c r="AM149" s="60"/>
      <c r="AN149" s="56"/>
    </row>
    <row r="150" ht="15.75" customHeight="1">
      <c r="A150" s="60"/>
      <c r="B150" s="60"/>
      <c r="C150" s="60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6"/>
      <c r="AM150" s="60"/>
      <c r="AN150" s="56"/>
    </row>
    <row r="151" ht="15.75" customHeight="1">
      <c r="A151" s="60"/>
      <c r="B151" s="60"/>
      <c r="C151" s="60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6"/>
      <c r="AM151" s="60"/>
      <c r="AN151" s="56"/>
    </row>
    <row r="152" ht="15.75" customHeight="1">
      <c r="A152" s="60"/>
      <c r="B152" s="60"/>
      <c r="C152" s="60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6"/>
      <c r="AM152" s="60"/>
      <c r="AN152" s="56"/>
    </row>
    <row r="153" ht="15.75" customHeight="1">
      <c r="A153" s="60"/>
      <c r="B153" s="60"/>
      <c r="C153" s="60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6"/>
      <c r="AM153" s="60"/>
      <c r="AN153" s="56"/>
    </row>
    <row r="154" ht="15.75" customHeight="1">
      <c r="A154" s="60"/>
      <c r="B154" s="60"/>
      <c r="C154" s="60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6"/>
      <c r="AM154" s="60"/>
      <c r="AN154" s="56"/>
    </row>
    <row r="155" ht="15.75" customHeight="1">
      <c r="A155" s="60"/>
      <c r="B155" s="60"/>
      <c r="C155" s="60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6"/>
      <c r="AM155" s="60"/>
      <c r="AN155" s="56"/>
    </row>
    <row r="156" ht="15.75" customHeight="1">
      <c r="A156" s="60"/>
      <c r="B156" s="60"/>
      <c r="C156" s="60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6"/>
      <c r="AM156" s="60"/>
      <c r="AN156" s="56"/>
    </row>
    <row r="157" ht="15.75" customHeight="1">
      <c r="A157" s="60"/>
      <c r="B157" s="60"/>
      <c r="C157" s="60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6"/>
      <c r="AM157" s="60"/>
      <c r="AN157" s="56"/>
    </row>
    <row r="158" ht="15.75" customHeight="1">
      <c r="A158" s="60"/>
      <c r="B158" s="60"/>
      <c r="C158" s="60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6"/>
      <c r="AM158" s="60"/>
      <c r="AN158" s="56"/>
    </row>
    <row r="159" ht="15.75" customHeight="1">
      <c r="A159" s="60"/>
      <c r="B159" s="60"/>
      <c r="C159" s="60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6"/>
      <c r="AM159" s="60"/>
      <c r="AN159" s="56"/>
    </row>
    <row r="160" ht="15.75" customHeight="1">
      <c r="A160" s="60"/>
      <c r="B160" s="60"/>
      <c r="C160" s="60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6"/>
      <c r="AM160" s="60"/>
      <c r="AN160" s="56"/>
    </row>
    <row r="161" ht="15.75" customHeight="1">
      <c r="A161" s="60"/>
      <c r="B161" s="60"/>
      <c r="C161" s="60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6"/>
      <c r="AM161" s="60"/>
      <c r="AN161" s="56"/>
    </row>
    <row r="162" ht="15.75" customHeight="1">
      <c r="A162" s="60"/>
      <c r="B162" s="60"/>
      <c r="C162" s="60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6"/>
      <c r="AM162" s="60"/>
      <c r="AN162" s="56"/>
    </row>
    <row r="163" ht="15.75" customHeight="1">
      <c r="A163" s="60"/>
      <c r="B163" s="60"/>
      <c r="C163" s="60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6"/>
      <c r="AM163" s="60"/>
      <c r="AN163" s="56"/>
    </row>
    <row r="164" ht="15.75" customHeight="1">
      <c r="A164" s="60"/>
      <c r="B164" s="60"/>
      <c r="C164" s="60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6"/>
      <c r="AM164" s="60"/>
      <c r="AN164" s="56"/>
    </row>
    <row r="165" ht="15.75" customHeight="1">
      <c r="A165" s="60"/>
      <c r="B165" s="60"/>
      <c r="C165" s="60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6"/>
      <c r="AM165" s="60"/>
      <c r="AN165" s="56"/>
    </row>
    <row r="166" ht="15.75" customHeight="1">
      <c r="A166" s="60"/>
      <c r="B166" s="60"/>
      <c r="C166" s="60"/>
      <c r="D166" s="54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6"/>
      <c r="AM166" s="60"/>
      <c r="AN166" s="56"/>
    </row>
    <row r="167" ht="15.75" customHeight="1">
      <c r="A167" s="60"/>
      <c r="B167" s="60"/>
      <c r="C167" s="60"/>
      <c r="D167" s="54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6"/>
      <c r="AM167" s="60"/>
      <c r="AN167" s="56"/>
    </row>
    <row r="168" ht="15.75" customHeight="1">
      <c r="A168" s="60"/>
      <c r="B168" s="60"/>
      <c r="C168" s="60"/>
      <c r="D168" s="54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6"/>
      <c r="AM168" s="60"/>
      <c r="AN168" s="56"/>
    </row>
    <row r="169" ht="15.75" customHeight="1">
      <c r="A169" s="60"/>
      <c r="B169" s="60"/>
      <c r="C169" s="60"/>
      <c r="D169" s="54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6"/>
      <c r="AM169" s="60"/>
      <c r="AN169" s="56"/>
    </row>
    <row r="170" ht="15.75" customHeight="1">
      <c r="A170" s="60"/>
      <c r="B170" s="60"/>
      <c r="C170" s="60"/>
      <c r="D170" s="54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6"/>
      <c r="AM170" s="60"/>
      <c r="AN170" s="56"/>
    </row>
    <row r="171" ht="15.75" customHeight="1">
      <c r="A171" s="60"/>
      <c r="B171" s="60"/>
      <c r="C171" s="60"/>
      <c r="D171" s="54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6"/>
      <c r="AM171" s="60"/>
      <c r="AN171" s="56"/>
    </row>
    <row r="172" ht="15.75" customHeight="1">
      <c r="A172" s="60"/>
      <c r="B172" s="60"/>
      <c r="C172" s="60"/>
      <c r="D172" s="54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6"/>
      <c r="AM172" s="60"/>
      <c r="AN172" s="56"/>
    </row>
    <row r="173" ht="15.75" customHeight="1">
      <c r="A173" s="60"/>
      <c r="B173" s="60"/>
      <c r="C173" s="60"/>
      <c r="D173" s="54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6"/>
      <c r="AM173" s="60"/>
      <c r="AN173" s="56"/>
    </row>
    <row r="174" ht="15.75" customHeight="1">
      <c r="A174" s="60"/>
      <c r="B174" s="60"/>
      <c r="C174" s="60"/>
      <c r="D174" s="54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6"/>
      <c r="AM174" s="60"/>
      <c r="AN174" s="56"/>
    </row>
    <row r="175" ht="15.75" customHeight="1">
      <c r="A175" s="60"/>
      <c r="B175" s="60"/>
      <c r="C175" s="60"/>
      <c r="D175" s="54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6"/>
      <c r="AM175" s="60"/>
      <c r="AN175" s="56"/>
    </row>
    <row r="176" ht="15.75" customHeight="1">
      <c r="A176" s="60"/>
      <c r="B176" s="60"/>
      <c r="C176" s="60"/>
      <c r="D176" s="54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6"/>
      <c r="AM176" s="60"/>
      <c r="AN176" s="56"/>
    </row>
    <row r="177" ht="15.75" customHeight="1">
      <c r="A177" s="60"/>
      <c r="B177" s="60"/>
      <c r="C177" s="60"/>
      <c r="D177" s="54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6"/>
      <c r="AM177" s="60"/>
      <c r="AN177" s="56"/>
    </row>
    <row r="178" ht="15.75" customHeight="1">
      <c r="A178" s="60"/>
      <c r="B178" s="60"/>
      <c r="C178" s="60"/>
      <c r="D178" s="54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6"/>
      <c r="AM178" s="60"/>
      <c r="AN178" s="56"/>
    </row>
    <row r="179" ht="15.75" customHeight="1">
      <c r="A179" s="60"/>
      <c r="B179" s="60"/>
      <c r="C179" s="60"/>
      <c r="D179" s="54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6"/>
      <c r="AM179" s="60"/>
      <c r="AN179" s="56"/>
    </row>
    <row r="180" ht="15.75" customHeight="1">
      <c r="A180" s="60"/>
      <c r="B180" s="60"/>
      <c r="C180" s="60"/>
      <c r="D180" s="54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6"/>
      <c r="AM180" s="60"/>
      <c r="AN180" s="56"/>
    </row>
    <row r="181" ht="15.75" customHeight="1">
      <c r="A181" s="60"/>
      <c r="B181" s="60"/>
      <c r="C181" s="60"/>
      <c r="D181" s="54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6"/>
      <c r="AM181" s="60"/>
      <c r="AN181" s="56"/>
    </row>
    <row r="182" ht="15.75" customHeight="1">
      <c r="A182" s="60"/>
      <c r="B182" s="60"/>
      <c r="C182" s="60"/>
      <c r="D182" s="54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6"/>
      <c r="AM182" s="60"/>
      <c r="AN182" s="56"/>
    </row>
    <row r="183" ht="15.75" customHeight="1">
      <c r="A183" s="60"/>
      <c r="B183" s="60"/>
      <c r="C183" s="60"/>
      <c r="D183" s="54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6"/>
      <c r="AM183" s="60"/>
      <c r="AN183" s="56"/>
    </row>
    <row r="184" ht="15.75" customHeight="1">
      <c r="A184" s="60"/>
      <c r="B184" s="60"/>
      <c r="C184" s="60"/>
      <c r="D184" s="54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6"/>
      <c r="AM184" s="60"/>
      <c r="AN184" s="56"/>
    </row>
    <row r="185" ht="15.75" customHeight="1">
      <c r="A185" s="60"/>
      <c r="B185" s="60"/>
      <c r="C185" s="60"/>
      <c r="D185" s="54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6"/>
      <c r="AM185" s="60"/>
      <c r="AN185" s="56"/>
    </row>
    <row r="186" ht="15.75" customHeight="1">
      <c r="A186" s="60"/>
      <c r="B186" s="60"/>
      <c r="C186" s="60"/>
      <c r="D186" s="54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6"/>
      <c r="AM186" s="60"/>
      <c r="AN186" s="56"/>
    </row>
    <row r="187" ht="15.75" customHeight="1">
      <c r="A187" s="60"/>
      <c r="B187" s="60"/>
      <c r="C187" s="60"/>
      <c r="D187" s="54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6"/>
      <c r="AM187" s="60"/>
      <c r="AN187" s="56"/>
    </row>
    <row r="188" ht="15.75" customHeight="1">
      <c r="A188" s="60"/>
      <c r="B188" s="60"/>
      <c r="C188" s="60"/>
      <c r="D188" s="54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6"/>
      <c r="AM188" s="60"/>
      <c r="AN188" s="56"/>
    </row>
    <row r="189" ht="15.75" customHeight="1">
      <c r="A189" s="60"/>
      <c r="B189" s="60"/>
      <c r="C189" s="60"/>
      <c r="D189" s="54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6"/>
      <c r="AM189" s="60"/>
      <c r="AN189" s="56"/>
    </row>
    <row r="190" ht="15.75" customHeight="1">
      <c r="A190" s="60"/>
      <c r="B190" s="60"/>
      <c r="C190" s="60"/>
      <c r="D190" s="54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6"/>
      <c r="AM190" s="60"/>
      <c r="AN190" s="56"/>
    </row>
    <row r="191" ht="15.75" customHeight="1">
      <c r="A191" s="60"/>
      <c r="B191" s="60"/>
      <c r="C191" s="60"/>
      <c r="D191" s="54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6"/>
      <c r="AM191" s="60"/>
      <c r="AN191" s="56"/>
    </row>
    <row r="192" ht="15.75" customHeight="1">
      <c r="A192" s="60"/>
      <c r="B192" s="60"/>
      <c r="C192" s="60"/>
      <c r="D192" s="54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6"/>
      <c r="AM192" s="60"/>
      <c r="AN192" s="56"/>
    </row>
    <row r="193" ht="15.75" customHeight="1">
      <c r="A193" s="60"/>
      <c r="B193" s="60"/>
      <c r="C193" s="60"/>
      <c r="D193" s="54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6"/>
      <c r="AM193" s="60"/>
      <c r="AN193" s="56"/>
    </row>
    <row r="194" ht="15.75" customHeight="1">
      <c r="A194" s="60"/>
      <c r="B194" s="60"/>
      <c r="C194" s="60"/>
      <c r="D194" s="54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6"/>
      <c r="AM194" s="60"/>
      <c r="AN194" s="56"/>
    </row>
    <row r="195" ht="15.75" customHeight="1">
      <c r="A195" s="60"/>
      <c r="B195" s="60"/>
      <c r="C195" s="60"/>
      <c r="D195" s="54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6"/>
      <c r="AM195" s="60"/>
      <c r="AN195" s="56"/>
    </row>
    <row r="196" ht="15.75" customHeight="1">
      <c r="A196" s="60"/>
      <c r="B196" s="60"/>
      <c r="C196" s="60"/>
      <c r="D196" s="54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6"/>
      <c r="AM196" s="60"/>
      <c r="AN196" s="56"/>
    </row>
    <row r="197" ht="15.75" customHeight="1">
      <c r="A197" s="60"/>
      <c r="B197" s="60"/>
      <c r="C197" s="60"/>
      <c r="D197" s="54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6"/>
      <c r="AM197" s="60"/>
      <c r="AN197" s="56"/>
    </row>
    <row r="198" ht="15.75" customHeight="1">
      <c r="A198" s="60"/>
      <c r="B198" s="60"/>
      <c r="C198" s="60"/>
      <c r="D198" s="54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6"/>
      <c r="AM198" s="60"/>
      <c r="AN198" s="56"/>
    </row>
    <row r="199" ht="15.75" customHeight="1">
      <c r="A199" s="60"/>
      <c r="B199" s="60"/>
      <c r="C199" s="60"/>
      <c r="D199" s="54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6"/>
      <c r="AM199" s="60"/>
      <c r="AN199" s="56"/>
    </row>
    <row r="200" ht="15.75" customHeight="1">
      <c r="A200" s="60"/>
      <c r="B200" s="60"/>
      <c r="C200" s="60"/>
      <c r="D200" s="54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6"/>
      <c r="AM200" s="60"/>
      <c r="AN200" s="56"/>
    </row>
    <row r="201" ht="15.75" customHeight="1">
      <c r="A201" s="60"/>
      <c r="B201" s="60"/>
      <c r="C201" s="60"/>
      <c r="D201" s="54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6"/>
      <c r="AM201" s="60"/>
      <c r="AN201" s="56"/>
    </row>
    <row r="202" ht="15.75" customHeight="1">
      <c r="A202" s="60"/>
      <c r="B202" s="60"/>
      <c r="C202" s="60"/>
      <c r="D202" s="54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6"/>
      <c r="AM202" s="60"/>
      <c r="AN202" s="56"/>
    </row>
    <row r="203" ht="15.75" customHeight="1">
      <c r="A203" s="60"/>
      <c r="B203" s="60"/>
      <c r="C203" s="60"/>
      <c r="D203" s="54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6"/>
      <c r="AM203" s="60"/>
      <c r="AN203" s="56"/>
    </row>
    <row r="204" ht="15.75" customHeight="1">
      <c r="A204" s="60"/>
      <c r="B204" s="60"/>
      <c r="C204" s="60"/>
      <c r="D204" s="54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6"/>
      <c r="AM204" s="60"/>
      <c r="AN204" s="56"/>
    </row>
    <row r="205" ht="15.75" customHeight="1">
      <c r="A205" s="60"/>
      <c r="B205" s="60"/>
      <c r="C205" s="60"/>
      <c r="D205" s="54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6"/>
      <c r="AM205" s="60"/>
      <c r="AN205" s="56"/>
    </row>
    <row r="206" ht="15.75" customHeight="1">
      <c r="A206" s="60"/>
      <c r="B206" s="60"/>
      <c r="C206" s="60"/>
      <c r="D206" s="54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6"/>
      <c r="AM206" s="60"/>
      <c r="AN206" s="56"/>
    </row>
    <row r="207" ht="15.75" customHeight="1">
      <c r="A207" s="60"/>
      <c r="B207" s="60"/>
      <c r="C207" s="60"/>
      <c r="D207" s="54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6"/>
      <c r="AM207" s="60"/>
      <c r="AN207" s="56"/>
    </row>
    <row r="208" ht="15.75" customHeight="1">
      <c r="A208" s="60"/>
      <c r="B208" s="60"/>
      <c r="C208" s="60"/>
      <c r="D208" s="54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6"/>
      <c r="AM208" s="60"/>
      <c r="AN208" s="56"/>
    </row>
    <row r="209" ht="15.75" customHeight="1">
      <c r="A209" s="60"/>
      <c r="B209" s="60"/>
      <c r="C209" s="60"/>
      <c r="D209" s="54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6"/>
      <c r="AM209" s="60"/>
      <c r="AN209" s="56"/>
    </row>
    <row r="210" ht="15.75" customHeight="1">
      <c r="A210" s="60"/>
      <c r="B210" s="60"/>
      <c r="C210" s="60"/>
      <c r="D210" s="54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6"/>
      <c r="AM210" s="60"/>
      <c r="AN210" s="56"/>
    </row>
    <row r="211" ht="15.75" customHeight="1">
      <c r="A211" s="60"/>
      <c r="B211" s="60"/>
      <c r="C211" s="60"/>
      <c r="D211" s="54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6"/>
      <c r="AM211" s="60"/>
      <c r="AN211" s="56"/>
    </row>
    <row r="212" ht="15.75" customHeight="1">
      <c r="A212" s="60"/>
      <c r="B212" s="60"/>
      <c r="C212" s="60"/>
      <c r="D212" s="54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6"/>
      <c r="AM212" s="60"/>
      <c r="AN212" s="56"/>
    </row>
    <row r="213" ht="15.75" customHeight="1">
      <c r="A213" s="60"/>
      <c r="B213" s="60"/>
      <c r="C213" s="60"/>
      <c r="D213" s="54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6"/>
      <c r="AM213" s="60"/>
      <c r="AN213" s="56"/>
    </row>
    <row r="214" ht="15.75" customHeight="1">
      <c r="A214" s="60"/>
      <c r="B214" s="60"/>
      <c r="C214" s="60"/>
      <c r="D214" s="54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6"/>
      <c r="AM214" s="60"/>
      <c r="AN214" s="56"/>
    </row>
    <row r="215" ht="15.75" customHeight="1">
      <c r="A215" s="60"/>
      <c r="B215" s="60"/>
      <c r="C215" s="60"/>
      <c r="D215" s="54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6"/>
      <c r="AM215" s="60"/>
      <c r="AN215" s="56"/>
    </row>
    <row r="216" ht="15.75" customHeight="1">
      <c r="A216" s="60"/>
      <c r="B216" s="60"/>
      <c r="C216" s="60"/>
      <c r="D216" s="54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6"/>
      <c r="AM216" s="60"/>
      <c r="AN216" s="56"/>
    </row>
    <row r="217" ht="15.75" customHeight="1">
      <c r="A217" s="60"/>
      <c r="B217" s="60"/>
      <c r="C217" s="60"/>
      <c r="D217" s="54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6"/>
      <c r="AM217" s="60"/>
      <c r="AN217" s="56"/>
    </row>
    <row r="218" ht="15.75" customHeight="1">
      <c r="A218" s="60"/>
      <c r="B218" s="60"/>
      <c r="C218" s="60"/>
      <c r="D218" s="54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6"/>
      <c r="AM218" s="60"/>
      <c r="AN218" s="56"/>
    </row>
    <row r="219" ht="15.75" customHeight="1">
      <c r="A219" s="60"/>
      <c r="B219" s="60"/>
      <c r="C219" s="60"/>
      <c r="D219" s="54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6"/>
      <c r="AM219" s="60"/>
      <c r="AN219" s="56"/>
    </row>
    <row r="220" ht="15.75" customHeight="1">
      <c r="A220" s="60"/>
      <c r="B220" s="60"/>
      <c r="C220" s="60"/>
      <c r="D220" s="54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6"/>
      <c r="AM220" s="60"/>
      <c r="AN220" s="56"/>
    </row>
    <row r="221" ht="15.75" customHeight="1">
      <c r="A221" s="60"/>
      <c r="B221" s="60"/>
      <c r="C221" s="60"/>
      <c r="D221" s="54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6"/>
      <c r="AM221" s="60"/>
      <c r="AN221" s="56"/>
    </row>
    <row r="222" ht="15.75" customHeight="1">
      <c r="A222" s="60"/>
      <c r="B222" s="60"/>
      <c r="C222" s="60"/>
      <c r="D222" s="54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6"/>
      <c r="AM222" s="60"/>
      <c r="AN222" s="56"/>
    </row>
    <row r="223" ht="15.75" customHeight="1">
      <c r="A223" s="60"/>
      <c r="B223" s="60"/>
      <c r="C223" s="60"/>
      <c r="D223" s="54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6"/>
      <c r="AM223" s="60"/>
      <c r="AN223" s="56"/>
    </row>
    <row r="224" ht="15.75" customHeight="1">
      <c r="A224" s="60"/>
      <c r="B224" s="60"/>
      <c r="C224" s="60"/>
      <c r="D224" s="54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6"/>
      <c r="AM224" s="60"/>
      <c r="AN224" s="56"/>
    </row>
    <row r="225" ht="15.75" customHeight="1">
      <c r="A225" s="60"/>
      <c r="B225" s="60"/>
      <c r="C225" s="60"/>
      <c r="D225" s="54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6"/>
      <c r="AM225" s="60"/>
      <c r="AN225" s="56"/>
    </row>
    <row r="226" ht="15.75" customHeight="1">
      <c r="A226" s="60"/>
      <c r="B226" s="60"/>
      <c r="C226" s="60"/>
      <c r="D226" s="54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6"/>
      <c r="AM226" s="60"/>
      <c r="AN226" s="56"/>
    </row>
    <row r="227" ht="15.75" customHeight="1">
      <c r="A227" s="60"/>
      <c r="B227" s="60"/>
      <c r="C227" s="60"/>
      <c r="D227" s="54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6"/>
      <c r="AM227" s="60"/>
      <c r="AN227" s="56"/>
    </row>
    <row r="228" ht="15.75" customHeight="1">
      <c r="A228" s="60"/>
      <c r="B228" s="60"/>
      <c r="C228" s="60"/>
      <c r="D228" s="54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6"/>
      <c r="AM228" s="60"/>
      <c r="AN228" s="56"/>
    </row>
    <row r="229" ht="15.75" customHeight="1">
      <c r="A229" s="60"/>
      <c r="B229" s="60"/>
      <c r="C229" s="60"/>
      <c r="D229" s="54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6"/>
      <c r="AM229" s="60"/>
      <c r="AN229" s="56"/>
    </row>
    <row r="230" ht="15.75" customHeight="1">
      <c r="A230" s="60"/>
      <c r="B230" s="60"/>
      <c r="C230" s="60"/>
      <c r="D230" s="54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6"/>
      <c r="AM230" s="60"/>
      <c r="AN230" s="56"/>
    </row>
    <row r="231" ht="15.75" customHeight="1">
      <c r="A231" s="60"/>
      <c r="B231" s="60"/>
      <c r="C231" s="60"/>
      <c r="D231" s="54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6"/>
      <c r="AM231" s="60"/>
      <c r="AN231" s="56"/>
    </row>
    <row r="232" ht="15.75" customHeight="1">
      <c r="A232" s="60"/>
      <c r="B232" s="60"/>
      <c r="C232" s="60"/>
      <c r="D232" s="54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6"/>
      <c r="AM232" s="60"/>
      <c r="AN232" s="56"/>
    </row>
    <row r="233" ht="15.75" customHeight="1">
      <c r="A233" s="60"/>
      <c r="B233" s="60"/>
      <c r="C233" s="60"/>
      <c r="D233" s="54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6"/>
      <c r="AM233" s="60"/>
      <c r="AN233" s="56"/>
    </row>
    <row r="234" ht="15.75" customHeight="1">
      <c r="A234" s="60"/>
      <c r="B234" s="60"/>
      <c r="C234" s="60"/>
      <c r="D234" s="54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6"/>
      <c r="AM234" s="60"/>
      <c r="AN234" s="56"/>
    </row>
    <row r="235" ht="15.75" customHeight="1">
      <c r="A235" s="60"/>
      <c r="B235" s="60"/>
      <c r="C235" s="60"/>
      <c r="D235" s="54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6"/>
      <c r="AM235" s="60"/>
      <c r="AN235" s="56"/>
    </row>
    <row r="236" ht="15.75" customHeight="1">
      <c r="A236" s="60"/>
      <c r="B236" s="60"/>
      <c r="C236" s="60"/>
      <c r="D236" s="54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6"/>
      <c r="AM236" s="60"/>
      <c r="AN236" s="56"/>
    </row>
    <row r="237" ht="15.75" customHeight="1">
      <c r="A237" s="60"/>
      <c r="B237" s="60"/>
      <c r="C237" s="60"/>
      <c r="D237" s="54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6"/>
      <c r="AM237" s="60"/>
      <c r="AN237" s="56"/>
    </row>
    <row r="238" ht="15.75" customHeight="1">
      <c r="A238" s="60"/>
      <c r="B238" s="60"/>
      <c r="C238" s="60"/>
      <c r="D238" s="54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6"/>
      <c r="AM238" s="60"/>
      <c r="AN238" s="56"/>
    </row>
    <row r="239" ht="15.75" customHeight="1">
      <c r="A239" s="60"/>
      <c r="B239" s="60"/>
      <c r="C239" s="60"/>
      <c r="D239" s="54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6"/>
      <c r="AM239" s="60"/>
      <c r="AN239" s="56"/>
    </row>
    <row r="240" ht="15.75" customHeight="1">
      <c r="A240" s="60"/>
      <c r="B240" s="60"/>
      <c r="C240" s="60"/>
      <c r="D240" s="54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6"/>
      <c r="AM240" s="60"/>
      <c r="AN240" s="56"/>
    </row>
    <row r="241" ht="15.75" customHeight="1">
      <c r="A241" s="60"/>
      <c r="B241" s="60"/>
      <c r="C241" s="60"/>
      <c r="D241" s="54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6"/>
      <c r="AM241" s="60"/>
      <c r="AN241" s="56"/>
    </row>
    <row r="242" ht="15.75" customHeight="1">
      <c r="A242" s="60"/>
      <c r="B242" s="60"/>
      <c r="C242" s="60"/>
      <c r="D242" s="54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6"/>
      <c r="AM242" s="60"/>
      <c r="AN242" s="56"/>
    </row>
    <row r="243" ht="15.75" customHeight="1">
      <c r="A243" s="60"/>
      <c r="B243" s="60"/>
      <c r="C243" s="60"/>
      <c r="D243" s="54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6"/>
      <c r="AM243" s="60"/>
      <c r="AN243" s="56"/>
    </row>
    <row r="244" ht="15.75" customHeight="1">
      <c r="A244" s="60"/>
      <c r="B244" s="60"/>
      <c r="C244" s="60"/>
      <c r="D244" s="54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6"/>
      <c r="AM244" s="60"/>
      <c r="AN244" s="56"/>
    </row>
    <row r="245" ht="15.75" customHeight="1">
      <c r="A245" s="60"/>
      <c r="B245" s="60"/>
      <c r="C245" s="60"/>
      <c r="D245" s="54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6"/>
      <c r="AM245" s="60"/>
      <c r="AN245" s="56"/>
    </row>
    <row r="246" ht="15.75" customHeight="1">
      <c r="A246" s="60"/>
      <c r="B246" s="60"/>
      <c r="C246" s="60"/>
      <c r="D246" s="54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6"/>
      <c r="AM246" s="60"/>
      <c r="AN246" s="56"/>
    </row>
    <row r="247" ht="15.75" customHeight="1">
      <c r="A247" s="60"/>
      <c r="B247" s="60"/>
      <c r="C247" s="60"/>
      <c r="D247" s="54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6"/>
      <c r="AM247" s="60"/>
      <c r="AN247" s="56"/>
    </row>
    <row r="248" ht="15.75" customHeight="1">
      <c r="A248" s="60"/>
      <c r="B248" s="60"/>
      <c r="C248" s="60"/>
      <c r="D248" s="54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6"/>
      <c r="AM248" s="60"/>
      <c r="AN248" s="56"/>
    </row>
    <row r="249" ht="15.75" customHeight="1">
      <c r="A249" s="60"/>
      <c r="B249" s="60"/>
      <c r="C249" s="60"/>
      <c r="D249" s="54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6"/>
      <c r="AM249" s="60"/>
      <c r="AN249" s="56"/>
    </row>
    <row r="250" ht="15.75" customHeight="1">
      <c r="A250" s="60"/>
      <c r="B250" s="60"/>
      <c r="C250" s="60"/>
      <c r="D250" s="54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6"/>
      <c r="AM250" s="60"/>
      <c r="AN250" s="56"/>
    </row>
    <row r="251" ht="15.75" customHeight="1">
      <c r="A251" s="60"/>
      <c r="B251" s="60"/>
      <c r="C251" s="60"/>
      <c r="D251" s="54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6"/>
      <c r="AM251" s="60"/>
      <c r="AN251" s="56"/>
    </row>
    <row r="252" ht="15.75" customHeight="1">
      <c r="A252" s="60"/>
      <c r="B252" s="60"/>
      <c r="C252" s="60"/>
      <c r="D252" s="54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6"/>
      <c r="AM252" s="60"/>
      <c r="AN252" s="56"/>
    </row>
    <row r="253" ht="15.75" customHeight="1">
      <c r="A253" s="60"/>
      <c r="B253" s="60"/>
      <c r="C253" s="60"/>
      <c r="D253" s="54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6"/>
      <c r="AM253" s="60"/>
      <c r="AN253" s="56"/>
    </row>
    <row r="254" ht="15.75" customHeight="1">
      <c r="A254" s="60"/>
      <c r="B254" s="60"/>
      <c r="C254" s="60"/>
      <c r="D254" s="54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6"/>
      <c r="AM254" s="60"/>
      <c r="AN254" s="56"/>
    </row>
    <row r="255" ht="15.75" customHeight="1">
      <c r="A255" s="60"/>
      <c r="B255" s="60"/>
      <c r="C255" s="60"/>
      <c r="D255" s="54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6"/>
      <c r="AM255" s="60"/>
      <c r="AN255" s="56"/>
    </row>
    <row r="256" ht="15.75" customHeight="1">
      <c r="A256" s="60"/>
      <c r="B256" s="60"/>
      <c r="C256" s="60"/>
      <c r="D256" s="54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6"/>
      <c r="AM256" s="60"/>
      <c r="AN256" s="56"/>
    </row>
    <row r="257" ht="15.75" customHeight="1">
      <c r="A257" s="60"/>
      <c r="B257" s="60"/>
      <c r="C257" s="60"/>
      <c r="D257" s="54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6"/>
      <c r="AM257" s="60"/>
      <c r="AN257" s="56"/>
    </row>
    <row r="258" ht="15.75" customHeight="1">
      <c r="A258" s="60"/>
      <c r="B258" s="60"/>
      <c r="C258" s="60"/>
      <c r="D258" s="54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6"/>
      <c r="AM258" s="60"/>
      <c r="AN258" s="56"/>
    </row>
    <row r="259" ht="15.75" customHeight="1">
      <c r="A259" s="60"/>
      <c r="B259" s="60"/>
      <c r="C259" s="60"/>
      <c r="D259" s="54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6"/>
      <c r="AM259" s="60"/>
      <c r="AN259" s="56"/>
    </row>
    <row r="260" ht="15.75" customHeight="1">
      <c r="A260" s="60"/>
      <c r="B260" s="60"/>
      <c r="C260" s="60"/>
      <c r="D260" s="54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6"/>
      <c r="AM260" s="60"/>
      <c r="AN260" s="56"/>
    </row>
    <row r="261" ht="15.75" customHeight="1">
      <c r="A261" s="60"/>
      <c r="B261" s="60"/>
      <c r="C261" s="60"/>
      <c r="D261" s="54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6"/>
      <c r="AM261" s="60"/>
      <c r="AN261" s="56"/>
    </row>
    <row r="262" ht="15.75" customHeight="1">
      <c r="A262" s="60"/>
      <c r="B262" s="60"/>
      <c r="C262" s="60"/>
      <c r="D262" s="54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6"/>
      <c r="AM262" s="60"/>
      <c r="AN262" s="56"/>
    </row>
    <row r="263" ht="15.75" customHeight="1">
      <c r="A263" s="60"/>
      <c r="B263" s="60"/>
      <c r="C263" s="60"/>
      <c r="D263" s="54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6"/>
      <c r="AM263" s="60"/>
      <c r="AN263" s="56"/>
    </row>
    <row r="264" ht="15.75" customHeight="1">
      <c r="A264" s="60"/>
      <c r="B264" s="60"/>
      <c r="C264" s="60"/>
      <c r="D264" s="54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6"/>
      <c r="AM264" s="60"/>
      <c r="AN264" s="56"/>
    </row>
    <row r="265" ht="15.75" customHeight="1">
      <c r="A265" s="60"/>
      <c r="B265" s="60"/>
      <c r="C265" s="60"/>
      <c r="D265" s="54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6"/>
      <c r="AM265" s="60"/>
      <c r="AN265" s="56"/>
    </row>
    <row r="266" ht="15.75" customHeight="1">
      <c r="A266" s="60"/>
      <c r="B266" s="60"/>
      <c r="C266" s="60"/>
      <c r="D266" s="54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6"/>
      <c r="AM266" s="60"/>
      <c r="AN266" s="56"/>
    </row>
    <row r="267" ht="15.75" customHeight="1">
      <c r="A267" s="60"/>
      <c r="B267" s="60"/>
      <c r="C267" s="60"/>
      <c r="D267" s="54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6"/>
      <c r="AM267" s="60"/>
      <c r="AN267" s="56"/>
    </row>
    <row r="268" ht="15.75" customHeight="1">
      <c r="A268" s="60"/>
      <c r="B268" s="60"/>
      <c r="C268" s="60"/>
      <c r="D268" s="54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6"/>
      <c r="AM268" s="60"/>
      <c r="AN268" s="56"/>
    </row>
    <row r="269" ht="15.75" customHeight="1">
      <c r="A269" s="60"/>
      <c r="B269" s="60"/>
      <c r="C269" s="60"/>
      <c r="D269" s="54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6"/>
      <c r="AM269" s="60"/>
      <c r="AN269" s="56"/>
    </row>
    <row r="270" ht="15.75" customHeight="1">
      <c r="A270" s="60"/>
      <c r="B270" s="60"/>
      <c r="C270" s="60"/>
      <c r="D270" s="54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6"/>
      <c r="AM270" s="60"/>
      <c r="AN270" s="56"/>
    </row>
    <row r="271" ht="15.75" customHeight="1">
      <c r="A271" s="60"/>
      <c r="B271" s="60"/>
      <c r="C271" s="60"/>
      <c r="D271" s="54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6"/>
      <c r="AM271" s="60"/>
      <c r="AN271" s="56"/>
    </row>
    <row r="272" ht="15.75" customHeight="1">
      <c r="A272" s="60"/>
      <c r="B272" s="60"/>
      <c r="C272" s="60"/>
      <c r="D272" s="54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6"/>
      <c r="AM272" s="60"/>
      <c r="AN272" s="56"/>
    </row>
    <row r="273" ht="15.75" customHeight="1">
      <c r="A273" s="60"/>
      <c r="B273" s="60"/>
      <c r="C273" s="60"/>
      <c r="D273" s="54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6"/>
      <c r="AM273" s="60"/>
      <c r="AN273" s="56"/>
    </row>
    <row r="274" ht="15.75" customHeight="1">
      <c r="A274" s="60"/>
      <c r="B274" s="60"/>
      <c r="C274" s="60"/>
      <c r="D274" s="54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6"/>
      <c r="AM274" s="60"/>
      <c r="AN274" s="56"/>
    </row>
    <row r="275" ht="15.75" customHeight="1">
      <c r="A275" s="60"/>
      <c r="B275" s="60"/>
      <c r="C275" s="60"/>
      <c r="D275" s="54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6"/>
      <c r="AM275" s="60"/>
      <c r="AN275" s="56"/>
    </row>
    <row r="276" ht="15.75" customHeight="1">
      <c r="A276" s="60"/>
      <c r="B276" s="60"/>
      <c r="C276" s="60"/>
      <c r="D276" s="54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6"/>
      <c r="AM276" s="60"/>
      <c r="AN276" s="56"/>
    </row>
    <row r="277" ht="15.75" customHeight="1">
      <c r="A277" s="60"/>
      <c r="B277" s="60"/>
      <c r="C277" s="60"/>
      <c r="D277" s="54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6"/>
      <c r="AM277" s="60"/>
      <c r="AN277" s="56"/>
    </row>
    <row r="278" ht="15.75" customHeight="1">
      <c r="A278" s="60"/>
      <c r="B278" s="60"/>
      <c r="C278" s="60"/>
      <c r="D278" s="54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6"/>
      <c r="AM278" s="60"/>
      <c r="AN278" s="56"/>
    </row>
    <row r="279" ht="15.75" customHeight="1">
      <c r="A279" s="60"/>
      <c r="B279" s="60"/>
      <c r="C279" s="60"/>
      <c r="D279" s="54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6"/>
      <c r="AM279" s="60"/>
      <c r="AN279" s="56"/>
    </row>
    <row r="280" ht="15.75" customHeight="1">
      <c r="A280" s="60"/>
      <c r="B280" s="60"/>
      <c r="C280" s="60"/>
      <c r="D280" s="54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6"/>
      <c r="AM280" s="60"/>
      <c r="AN280" s="56"/>
    </row>
    <row r="281" ht="15.75" customHeight="1">
      <c r="A281" s="60"/>
      <c r="B281" s="60"/>
      <c r="C281" s="60"/>
      <c r="D281" s="54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6"/>
      <c r="AM281" s="60"/>
      <c r="AN281" s="56"/>
    </row>
    <row r="282" ht="15.75" customHeight="1">
      <c r="A282" s="60"/>
      <c r="B282" s="60"/>
      <c r="C282" s="60"/>
      <c r="D282" s="54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6"/>
      <c r="AM282" s="60"/>
      <c r="AN282" s="56"/>
    </row>
    <row r="283" ht="15.75" customHeight="1">
      <c r="A283" s="60"/>
      <c r="B283" s="60"/>
      <c r="C283" s="60"/>
      <c r="D283" s="54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6"/>
      <c r="AM283" s="60"/>
      <c r="AN283" s="56"/>
    </row>
    <row r="284" ht="15.75" customHeight="1">
      <c r="A284" s="60"/>
      <c r="B284" s="60"/>
      <c r="C284" s="60"/>
      <c r="D284" s="54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6"/>
      <c r="AM284" s="60"/>
      <c r="AN284" s="56"/>
    </row>
    <row r="285" ht="15.75" customHeight="1">
      <c r="A285" s="60"/>
      <c r="B285" s="60"/>
      <c r="C285" s="60"/>
      <c r="D285" s="54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6"/>
      <c r="AM285" s="60"/>
      <c r="AN285" s="56"/>
    </row>
    <row r="286" ht="15.75" customHeight="1">
      <c r="A286" s="60"/>
      <c r="B286" s="60"/>
      <c r="C286" s="60"/>
      <c r="D286" s="54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6"/>
      <c r="AM286" s="60"/>
      <c r="AN286" s="56"/>
    </row>
    <row r="287" ht="15.75" customHeight="1">
      <c r="A287" s="60"/>
      <c r="B287" s="60"/>
      <c r="C287" s="60"/>
      <c r="D287" s="54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6"/>
      <c r="AM287" s="60"/>
      <c r="AN287" s="56"/>
    </row>
    <row r="288" ht="15.75" customHeight="1">
      <c r="A288" s="60"/>
      <c r="B288" s="60"/>
      <c r="C288" s="60"/>
      <c r="D288" s="54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6"/>
      <c r="AM288" s="60"/>
      <c r="AN288" s="56"/>
    </row>
    <row r="289" ht="15.75" customHeight="1">
      <c r="A289" s="60"/>
      <c r="B289" s="60"/>
      <c r="C289" s="60"/>
      <c r="D289" s="54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6"/>
      <c r="AM289" s="60"/>
      <c r="AN289" s="56"/>
    </row>
    <row r="290" ht="15.75" customHeight="1">
      <c r="A290" s="60"/>
      <c r="B290" s="60"/>
      <c r="C290" s="60"/>
      <c r="D290" s="54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6"/>
      <c r="AM290" s="60"/>
      <c r="AN290" s="56"/>
    </row>
    <row r="291" ht="15.75" customHeight="1">
      <c r="A291" s="60"/>
      <c r="B291" s="60"/>
      <c r="C291" s="60"/>
      <c r="D291" s="54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6"/>
      <c r="AM291" s="60"/>
      <c r="AN291" s="56"/>
    </row>
    <row r="292" ht="15.75" customHeight="1">
      <c r="A292" s="60"/>
      <c r="B292" s="60"/>
      <c r="C292" s="60"/>
      <c r="D292" s="54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6"/>
      <c r="AM292" s="60"/>
      <c r="AN292" s="56"/>
    </row>
    <row r="293" ht="15.75" customHeight="1">
      <c r="A293" s="60"/>
      <c r="B293" s="60"/>
      <c r="C293" s="60"/>
      <c r="D293" s="54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6"/>
      <c r="AM293" s="60"/>
      <c r="AN293" s="56"/>
    </row>
    <row r="294" ht="15.75" customHeight="1">
      <c r="A294" s="60"/>
      <c r="B294" s="60"/>
      <c r="C294" s="60"/>
      <c r="D294" s="54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6"/>
      <c r="AM294" s="60"/>
      <c r="AN294" s="56"/>
    </row>
    <row r="295" ht="15.75" customHeight="1">
      <c r="A295" s="60"/>
      <c r="B295" s="60"/>
      <c r="C295" s="60"/>
      <c r="D295" s="54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6"/>
      <c r="AM295" s="60"/>
      <c r="AN295" s="56"/>
    </row>
    <row r="296" ht="15.75" customHeight="1">
      <c r="A296" s="60"/>
      <c r="B296" s="60"/>
      <c r="C296" s="60"/>
      <c r="D296" s="54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6"/>
      <c r="AM296" s="60"/>
      <c r="AN296" s="56"/>
    </row>
    <row r="297" ht="15.75" customHeight="1">
      <c r="A297" s="60"/>
      <c r="B297" s="60"/>
      <c r="C297" s="60"/>
      <c r="D297" s="54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6"/>
      <c r="AM297" s="60"/>
      <c r="AN297" s="56"/>
    </row>
    <row r="298" ht="15.75" customHeight="1">
      <c r="A298" s="60"/>
      <c r="B298" s="60"/>
      <c r="C298" s="60"/>
      <c r="D298" s="54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6"/>
      <c r="AM298" s="60"/>
      <c r="AN298" s="56"/>
    </row>
    <row r="299" ht="15.75" customHeight="1">
      <c r="A299" s="60"/>
      <c r="B299" s="60"/>
      <c r="C299" s="60"/>
      <c r="D299" s="54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6"/>
      <c r="AM299" s="60"/>
      <c r="AN299" s="56"/>
    </row>
    <row r="300" ht="15.75" customHeight="1">
      <c r="A300" s="60"/>
      <c r="B300" s="60"/>
      <c r="C300" s="60"/>
      <c r="D300" s="54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6"/>
      <c r="AM300" s="60"/>
      <c r="AN300" s="56"/>
    </row>
    <row r="301" ht="15.75" customHeight="1">
      <c r="A301" s="60"/>
      <c r="B301" s="60"/>
      <c r="C301" s="60"/>
      <c r="D301" s="54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6"/>
      <c r="AM301" s="60"/>
      <c r="AN301" s="56"/>
    </row>
    <row r="302" ht="15.75" customHeight="1">
      <c r="A302" s="60"/>
      <c r="B302" s="60"/>
      <c r="C302" s="60"/>
      <c r="D302" s="54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6"/>
      <c r="AM302" s="60"/>
      <c r="AN302" s="56"/>
    </row>
    <row r="303" ht="15.75" customHeight="1">
      <c r="A303" s="60"/>
      <c r="B303" s="60"/>
      <c r="C303" s="60"/>
      <c r="D303" s="54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6"/>
      <c r="AM303" s="60"/>
      <c r="AN303" s="56"/>
    </row>
    <row r="304" ht="15.75" customHeight="1">
      <c r="A304" s="60"/>
      <c r="B304" s="60"/>
      <c r="C304" s="60"/>
      <c r="D304" s="54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6"/>
      <c r="AM304" s="60"/>
      <c r="AN304" s="56"/>
    </row>
    <row r="305" ht="15.75" customHeight="1">
      <c r="A305" s="60"/>
      <c r="B305" s="60"/>
      <c r="C305" s="60"/>
      <c r="D305" s="54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6"/>
      <c r="AM305" s="60"/>
      <c r="AN305" s="56"/>
    </row>
    <row r="306" ht="15.75" customHeight="1">
      <c r="A306" s="60"/>
      <c r="B306" s="60"/>
      <c r="C306" s="60"/>
      <c r="D306" s="54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6"/>
      <c r="AM306" s="60"/>
      <c r="AN306" s="56"/>
    </row>
    <row r="307" ht="15.75" customHeight="1">
      <c r="A307" s="60"/>
      <c r="B307" s="60"/>
      <c r="C307" s="60"/>
      <c r="D307" s="54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6"/>
      <c r="AM307" s="60"/>
      <c r="AN307" s="56"/>
    </row>
    <row r="308" ht="15.75" customHeight="1">
      <c r="A308" s="60"/>
      <c r="B308" s="60"/>
      <c r="C308" s="60"/>
      <c r="D308" s="54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6"/>
      <c r="AM308" s="60"/>
      <c r="AN308" s="56"/>
    </row>
    <row r="309" ht="15.75" customHeight="1">
      <c r="A309" s="60"/>
      <c r="B309" s="60"/>
      <c r="C309" s="60"/>
      <c r="D309" s="54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6"/>
      <c r="AM309" s="60"/>
      <c r="AN309" s="56"/>
    </row>
    <row r="310" ht="15.75" customHeight="1">
      <c r="A310" s="60"/>
      <c r="B310" s="60"/>
      <c r="C310" s="60"/>
      <c r="D310" s="54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6"/>
      <c r="AM310" s="60"/>
      <c r="AN310" s="56"/>
    </row>
    <row r="311" ht="15.75" customHeight="1">
      <c r="A311" s="60"/>
      <c r="B311" s="60"/>
      <c r="C311" s="60"/>
      <c r="D311" s="54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6"/>
      <c r="AM311" s="60"/>
      <c r="AN311" s="56"/>
    </row>
    <row r="312" ht="15.75" customHeight="1">
      <c r="A312" s="60"/>
      <c r="B312" s="60"/>
      <c r="C312" s="60"/>
      <c r="D312" s="54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6"/>
      <c r="AM312" s="60"/>
      <c r="AN312" s="56"/>
    </row>
    <row r="313" ht="15.75" customHeight="1">
      <c r="A313" s="60"/>
      <c r="B313" s="60"/>
      <c r="C313" s="60"/>
      <c r="D313" s="54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6"/>
      <c r="AM313" s="60"/>
      <c r="AN313" s="56"/>
    </row>
    <row r="314" ht="15.75" customHeight="1">
      <c r="A314" s="60"/>
      <c r="B314" s="60"/>
      <c r="C314" s="60"/>
      <c r="D314" s="54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6"/>
      <c r="AM314" s="60"/>
      <c r="AN314" s="56"/>
    </row>
    <row r="315" ht="15.75" customHeight="1">
      <c r="A315" s="60"/>
      <c r="B315" s="60"/>
      <c r="C315" s="60"/>
      <c r="D315" s="54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6"/>
      <c r="AM315" s="60"/>
      <c r="AN315" s="56"/>
    </row>
    <row r="316" ht="15.75" customHeight="1">
      <c r="A316" s="60"/>
      <c r="B316" s="60"/>
      <c r="C316" s="60"/>
      <c r="D316" s="54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6"/>
      <c r="AM316" s="60"/>
      <c r="AN316" s="56"/>
    </row>
    <row r="317" ht="15.75" customHeight="1">
      <c r="A317" s="60"/>
      <c r="B317" s="60"/>
      <c r="C317" s="60"/>
      <c r="D317" s="54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6"/>
      <c r="AM317" s="60"/>
      <c r="AN317" s="56"/>
    </row>
    <row r="318" ht="15.75" customHeight="1">
      <c r="A318" s="60"/>
      <c r="B318" s="60"/>
      <c r="C318" s="60"/>
      <c r="D318" s="54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6"/>
      <c r="AM318" s="60"/>
      <c r="AN318" s="56"/>
    </row>
    <row r="319" ht="15.75" customHeight="1">
      <c r="A319" s="60"/>
      <c r="B319" s="60"/>
      <c r="C319" s="60"/>
      <c r="D319" s="54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6"/>
      <c r="AM319" s="60"/>
      <c r="AN319" s="56"/>
    </row>
    <row r="320" ht="15.75" customHeight="1">
      <c r="A320" s="60"/>
      <c r="B320" s="60"/>
      <c r="C320" s="60"/>
      <c r="D320" s="54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6"/>
      <c r="AM320" s="60"/>
      <c r="AN320" s="56"/>
    </row>
    <row r="321" ht="15.75" customHeight="1">
      <c r="A321" s="60"/>
      <c r="B321" s="60"/>
      <c r="C321" s="60"/>
      <c r="D321" s="54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6"/>
      <c r="AM321" s="60"/>
      <c r="AN321" s="56"/>
    </row>
    <row r="322" ht="15.75" customHeight="1">
      <c r="A322" s="60"/>
      <c r="B322" s="60"/>
      <c r="C322" s="60"/>
      <c r="D322" s="54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6"/>
      <c r="AM322" s="60"/>
      <c r="AN322" s="56"/>
    </row>
    <row r="323" ht="15.75" customHeight="1">
      <c r="A323" s="60"/>
      <c r="B323" s="60"/>
      <c r="C323" s="60"/>
      <c r="D323" s="54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6"/>
      <c r="AM323" s="60"/>
      <c r="AN323" s="56"/>
    </row>
    <row r="324" ht="15.75" customHeight="1">
      <c r="A324" s="60"/>
      <c r="B324" s="60"/>
      <c r="C324" s="60"/>
      <c r="D324" s="54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6"/>
      <c r="AM324" s="60"/>
      <c r="AN324" s="56"/>
    </row>
    <row r="325" ht="15.75" customHeight="1">
      <c r="A325" s="60"/>
      <c r="B325" s="60"/>
      <c r="C325" s="60"/>
      <c r="D325" s="54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6"/>
      <c r="AM325" s="60"/>
      <c r="AN325" s="56"/>
    </row>
    <row r="326" ht="15.75" customHeight="1">
      <c r="A326" s="60"/>
      <c r="B326" s="60"/>
      <c r="C326" s="60"/>
      <c r="D326" s="54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6"/>
      <c r="AM326" s="60"/>
      <c r="AN326" s="56"/>
    </row>
    <row r="327" ht="15.75" customHeight="1">
      <c r="A327" s="60"/>
      <c r="B327" s="60"/>
      <c r="C327" s="60"/>
      <c r="D327" s="54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6"/>
      <c r="AM327" s="60"/>
      <c r="AN327" s="56"/>
    </row>
    <row r="328" ht="15.75" customHeight="1">
      <c r="A328" s="60"/>
      <c r="B328" s="60"/>
      <c r="C328" s="60"/>
      <c r="D328" s="54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6"/>
      <c r="AM328" s="60"/>
      <c r="AN328" s="56"/>
    </row>
    <row r="329" ht="15.75" customHeight="1">
      <c r="A329" s="60"/>
      <c r="B329" s="60"/>
      <c r="C329" s="60"/>
      <c r="D329" s="54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6"/>
      <c r="AM329" s="60"/>
      <c r="AN329" s="56"/>
    </row>
    <row r="330" ht="15.75" customHeight="1">
      <c r="A330" s="60"/>
      <c r="B330" s="60"/>
      <c r="C330" s="60"/>
      <c r="D330" s="54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6"/>
      <c r="AM330" s="60"/>
      <c r="AN330" s="56"/>
    </row>
    <row r="331" ht="15.75" customHeight="1">
      <c r="A331" s="60"/>
      <c r="B331" s="60"/>
      <c r="C331" s="60"/>
      <c r="D331" s="54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6"/>
      <c r="AM331" s="60"/>
      <c r="AN331" s="56"/>
    </row>
    <row r="332" ht="15.75" customHeight="1">
      <c r="A332" s="60"/>
      <c r="B332" s="60"/>
      <c r="C332" s="60"/>
      <c r="D332" s="54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6"/>
      <c r="AM332" s="60"/>
      <c r="AN332" s="56"/>
    </row>
    <row r="333" ht="15.75" customHeight="1">
      <c r="A333" s="60"/>
      <c r="B333" s="60"/>
      <c r="C333" s="60"/>
      <c r="D333" s="54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6"/>
      <c r="AM333" s="60"/>
      <c r="AN333" s="56"/>
    </row>
    <row r="334" ht="15.75" customHeight="1">
      <c r="A334" s="60"/>
      <c r="B334" s="60"/>
      <c r="C334" s="60"/>
      <c r="D334" s="54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6"/>
      <c r="AM334" s="60"/>
      <c r="AN334" s="56"/>
    </row>
    <row r="335" ht="15.75" customHeight="1">
      <c r="A335" s="60"/>
      <c r="B335" s="60"/>
      <c r="C335" s="60"/>
      <c r="D335" s="54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6"/>
      <c r="AM335" s="60"/>
      <c r="AN335" s="56"/>
    </row>
    <row r="336" ht="15.75" customHeight="1">
      <c r="A336" s="60"/>
      <c r="B336" s="60"/>
      <c r="C336" s="60"/>
      <c r="D336" s="54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6"/>
      <c r="AM336" s="60"/>
      <c r="AN336" s="56"/>
    </row>
    <row r="337" ht="15.75" customHeight="1">
      <c r="A337" s="60"/>
      <c r="B337" s="60"/>
      <c r="C337" s="60"/>
      <c r="D337" s="54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6"/>
      <c r="AM337" s="60"/>
      <c r="AN337" s="56"/>
    </row>
    <row r="338" ht="15.75" customHeight="1">
      <c r="A338" s="60"/>
      <c r="B338" s="60"/>
      <c r="C338" s="60"/>
      <c r="D338" s="54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6"/>
      <c r="AM338" s="60"/>
      <c r="AN338" s="56"/>
    </row>
    <row r="339" ht="15.75" customHeight="1">
      <c r="A339" s="60"/>
      <c r="B339" s="60"/>
      <c r="C339" s="60"/>
      <c r="D339" s="54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6"/>
      <c r="AM339" s="60"/>
      <c r="AN339" s="56"/>
    </row>
    <row r="340" ht="15.75" customHeight="1">
      <c r="A340" s="60"/>
      <c r="B340" s="60"/>
      <c r="C340" s="60"/>
      <c r="D340" s="54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6"/>
      <c r="AM340" s="60"/>
      <c r="AN340" s="56"/>
    </row>
    <row r="341" ht="15.75" customHeight="1">
      <c r="A341" s="60"/>
      <c r="B341" s="60"/>
      <c r="C341" s="60"/>
      <c r="D341" s="54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6"/>
      <c r="AM341" s="60"/>
      <c r="AN341" s="56"/>
    </row>
    <row r="342" ht="15.75" customHeight="1">
      <c r="A342" s="60"/>
      <c r="B342" s="60"/>
      <c r="C342" s="60"/>
      <c r="D342" s="54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6"/>
      <c r="AM342" s="60"/>
      <c r="AN342" s="56"/>
    </row>
    <row r="343" ht="15.75" customHeight="1">
      <c r="A343" s="60"/>
      <c r="B343" s="60"/>
      <c r="C343" s="60"/>
      <c r="D343" s="54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6"/>
      <c r="AM343" s="60"/>
      <c r="AN343" s="56"/>
    </row>
    <row r="344" ht="15.75" customHeight="1">
      <c r="A344" s="60"/>
      <c r="B344" s="60"/>
      <c r="C344" s="60"/>
      <c r="D344" s="54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6"/>
      <c r="AM344" s="60"/>
      <c r="AN344" s="56"/>
    </row>
    <row r="345" ht="15.75" customHeight="1">
      <c r="A345" s="60"/>
      <c r="B345" s="60"/>
      <c r="C345" s="60"/>
      <c r="D345" s="54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6"/>
      <c r="AM345" s="60"/>
      <c r="AN345" s="56"/>
    </row>
    <row r="346" ht="15.75" customHeight="1">
      <c r="A346" s="60"/>
      <c r="B346" s="60"/>
      <c r="C346" s="60"/>
      <c r="D346" s="54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6"/>
      <c r="AM346" s="60"/>
      <c r="AN346" s="56"/>
    </row>
    <row r="347" ht="15.75" customHeight="1">
      <c r="A347" s="60"/>
      <c r="B347" s="60"/>
      <c r="C347" s="60"/>
      <c r="D347" s="54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6"/>
      <c r="AM347" s="60"/>
      <c r="AN347" s="56"/>
    </row>
    <row r="348" ht="15.75" customHeight="1">
      <c r="A348" s="60"/>
      <c r="B348" s="60"/>
      <c r="C348" s="60"/>
      <c r="D348" s="54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6"/>
      <c r="AM348" s="60"/>
      <c r="AN348" s="56"/>
    </row>
    <row r="349" ht="15.75" customHeight="1">
      <c r="A349" s="60"/>
      <c r="B349" s="60"/>
      <c r="C349" s="60"/>
      <c r="D349" s="54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6"/>
      <c r="AM349" s="60"/>
      <c r="AN349" s="56"/>
    </row>
    <row r="350" ht="15.75" customHeight="1">
      <c r="A350" s="60"/>
      <c r="B350" s="60"/>
      <c r="C350" s="60"/>
      <c r="D350" s="54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6"/>
      <c r="AM350" s="60"/>
      <c r="AN350" s="56"/>
    </row>
    <row r="351" ht="15.75" customHeight="1">
      <c r="A351" s="60"/>
      <c r="B351" s="60"/>
      <c r="C351" s="60"/>
      <c r="D351" s="54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6"/>
      <c r="AM351" s="60"/>
      <c r="AN351" s="56"/>
    </row>
    <row r="352" ht="15.75" customHeight="1">
      <c r="A352" s="60"/>
      <c r="B352" s="60"/>
      <c r="C352" s="60"/>
      <c r="D352" s="54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6"/>
      <c r="AM352" s="60"/>
      <c r="AN352" s="56"/>
    </row>
    <row r="353" ht="15.75" customHeight="1">
      <c r="A353" s="60"/>
      <c r="B353" s="60"/>
      <c r="C353" s="60"/>
      <c r="D353" s="54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6"/>
      <c r="AM353" s="60"/>
      <c r="AN353" s="56"/>
    </row>
    <row r="354" ht="15.75" customHeight="1">
      <c r="A354" s="60"/>
      <c r="B354" s="60"/>
      <c r="C354" s="60"/>
      <c r="D354" s="54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6"/>
      <c r="AM354" s="60"/>
      <c r="AN354" s="56"/>
    </row>
    <row r="355" ht="15.75" customHeight="1">
      <c r="A355" s="60"/>
      <c r="B355" s="60"/>
      <c r="C355" s="60"/>
      <c r="D355" s="54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6"/>
      <c r="AM355" s="60"/>
      <c r="AN355" s="56"/>
    </row>
    <row r="356" ht="15.75" customHeight="1">
      <c r="A356" s="60"/>
      <c r="B356" s="60"/>
      <c r="C356" s="60"/>
      <c r="D356" s="54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6"/>
      <c r="AM356" s="60"/>
      <c r="AN356" s="56"/>
    </row>
    <row r="357" ht="15.75" customHeight="1">
      <c r="A357" s="60"/>
      <c r="B357" s="60"/>
      <c r="C357" s="60"/>
      <c r="D357" s="54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6"/>
      <c r="AM357" s="60"/>
      <c r="AN357" s="56"/>
    </row>
    <row r="358" ht="15.75" customHeight="1">
      <c r="A358" s="60"/>
      <c r="B358" s="60"/>
      <c r="C358" s="60"/>
      <c r="D358" s="54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6"/>
      <c r="AM358" s="60"/>
      <c r="AN358" s="56"/>
    </row>
    <row r="359" ht="15.75" customHeight="1">
      <c r="A359" s="60"/>
      <c r="B359" s="60"/>
      <c r="C359" s="60"/>
      <c r="D359" s="54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6"/>
      <c r="AM359" s="60"/>
      <c r="AN359" s="56"/>
    </row>
    <row r="360" ht="15.75" customHeight="1">
      <c r="A360" s="60"/>
      <c r="B360" s="60"/>
      <c r="C360" s="60"/>
      <c r="D360" s="54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6"/>
      <c r="AM360" s="60"/>
      <c r="AN360" s="56"/>
    </row>
    <row r="361" ht="15.75" customHeight="1">
      <c r="A361" s="60"/>
      <c r="B361" s="60"/>
      <c r="C361" s="60"/>
      <c r="D361" s="54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6"/>
      <c r="AM361" s="60"/>
      <c r="AN361" s="56"/>
    </row>
    <row r="362" ht="15.75" customHeight="1">
      <c r="A362" s="60"/>
      <c r="B362" s="60"/>
      <c r="C362" s="60"/>
      <c r="D362" s="54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6"/>
      <c r="AM362" s="60"/>
      <c r="AN362" s="56"/>
    </row>
    <row r="363" ht="15.75" customHeight="1">
      <c r="A363" s="60"/>
      <c r="B363" s="60"/>
      <c r="C363" s="60"/>
      <c r="D363" s="54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6"/>
      <c r="AM363" s="60"/>
      <c r="AN363" s="56"/>
    </row>
    <row r="364" ht="15.75" customHeight="1">
      <c r="A364" s="60"/>
      <c r="B364" s="60"/>
      <c r="C364" s="60"/>
      <c r="D364" s="54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6"/>
      <c r="AM364" s="60"/>
      <c r="AN364" s="56"/>
    </row>
    <row r="365" ht="15.75" customHeight="1">
      <c r="A365" s="60"/>
      <c r="B365" s="60"/>
      <c r="C365" s="60"/>
      <c r="D365" s="54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6"/>
      <c r="AM365" s="60"/>
      <c r="AN365" s="56"/>
    </row>
    <row r="366" ht="15.75" customHeight="1">
      <c r="A366" s="60"/>
      <c r="B366" s="60"/>
      <c r="C366" s="60"/>
      <c r="D366" s="54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6"/>
      <c r="AM366" s="60"/>
      <c r="AN366" s="56"/>
    </row>
    <row r="367" ht="15.75" customHeight="1">
      <c r="A367" s="60"/>
      <c r="B367" s="60"/>
      <c r="C367" s="60"/>
      <c r="D367" s="54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6"/>
      <c r="AM367" s="60"/>
      <c r="AN367" s="56"/>
    </row>
    <row r="368" ht="15.75" customHeight="1">
      <c r="A368" s="60"/>
      <c r="B368" s="60"/>
      <c r="C368" s="60"/>
      <c r="D368" s="54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6"/>
      <c r="AM368" s="60"/>
      <c r="AN368" s="56"/>
    </row>
    <row r="369" ht="15.75" customHeight="1">
      <c r="A369" s="60"/>
      <c r="B369" s="60"/>
      <c r="C369" s="60"/>
      <c r="D369" s="54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6"/>
      <c r="AM369" s="60"/>
      <c r="AN369" s="56"/>
    </row>
    <row r="370" ht="15.75" customHeight="1">
      <c r="A370" s="60"/>
      <c r="B370" s="60"/>
      <c r="C370" s="60"/>
      <c r="D370" s="54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6"/>
      <c r="AM370" s="60"/>
      <c r="AN370" s="56"/>
    </row>
    <row r="371" ht="15.75" customHeight="1">
      <c r="A371" s="60"/>
      <c r="B371" s="60"/>
      <c r="C371" s="60"/>
      <c r="D371" s="54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6"/>
      <c r="AM371" s="60"/>
      <c r="AN371" s="56"/>
    </row>
    <row r="372" ht="15.75" customHeight="1">
      <c r="A372" s="60"/>
      <c r="B372" s="60"/>
      <c r="C372" s="60"/>
      <c r="D372" s="54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6"/>
      <c r="AM372" s="60"/>
      <c r="AN372" s="56"/>
    </row>
    <row r="373" ht="15.75" customHeight="1">
      <c r="A373" s="60"/>
      <c r="B373" s="60"/>
      <c r="C373" s="60"/>
      <c r="D373" s="54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6"/>
      <c r="AM373" s="60"/>
      <c r="AN373" s="56"/>
    </row>
    <row r="374" ht="15.75" customHeight="1">
      <c r="A374" s="60"/>
      <c r="B374" s="60"/>
      <c r="C374" s="60"/>
      <c r="D374" s="54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6"/>
      <c r="AM374" s="60"/>
      <c r="AN374" s="56"/>
    </row>
    <row r="375" ht="15.75" customHeight="1">
      <c r="A375" s="60"/>
      <c r="B375" s="60"/>
      <c r="C375" s="60"/>
      <c r="D375" s="54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6"/>
      <c r="AM375" s="60"/>
      <c r="AN375" s="56"/>
    </row>
    <row r="376" ht="15.75" customHeight="1">
      <c r="A376" s="60"/>
      <c r="B376" s="60"/>
      <c r="C376" s="60"/>
      <c r="D376" s="54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6"/>
      <c r="AM376" s="60"/>
      <c r="AN376" s="56"/>
    </row>
    <row r="377" ht="15.75" customHeight="1">
      <c r="A377" s="60"/>
      <c r="B377" s="60"/>
      <c r="C377" s="60"/>
      <c r="D377" s="54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6"/>
      <c r="AM377" s="60"/>
      <c r="AN377" s="56"/>
    </row>
    <row r="378" ht="15.75" customHeight="1">
      <c r="A378" s="60"/>
      <c r="B378" s="60"/>
      <c r="C378" s="60"/>
      <c r="D378" s="54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6"/>
      <c r="AM378" s="60"/>
      <c r="AN378" s="56"/>
    </row>
    <row r="379" ht="15.75" customHeight="1">
      <c r="A379" s="60"/>
      <c r="B379" s="60"/>
      <c r="C379" s="60"/>
      <c r="D379" s="54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6"/>
      <c r="AM379" s="60"/>
      <c r="AN379" s="56"/>
    </row>
    <row r="380" ht="15.75" customHeight="1">
      <c r="A380" s="60"/>
      <c r="B380" s="60"/>
      <c r="C380" s="60"/>
      <c r="D380" s="54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6"/>
      <c r="AM380" s="60"/>
      <c r="AN380" s="56"/>
    </row>
    <row r="381" ht="15.75" customHeight="1">
      <c r="A381" s="60"/>
      <c r="B381" s="60"/>
      <c r="C381" s="60"/>
      <c r="D381" s="54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6"/>
      <c r="AM381" s="60"/>
      <c r="AN381" s="56"/>
    </row>
    <row r="382" ht="15.75" customHeight="1">
      <c r="A382" s="60"/>
      <c r="B382" s="60"/>
      <c r="C382" s="60"/>
      <c r="D382" s="54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6"/>
      <c r="AM382" s="60"/>
      <c r="AN382" s="56"/>
    </row>
    <row r="383" ht="15.75" customHeight="1">
      <c r="A383" s="60"/>
      <c r="B383" s="60"/>
      <c r="C383" s="60"/>
      <c r="D383" s="54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6"/>
      <c r="AM383" s="60"/>
      <c r="AN383" s="56"/>
    </row>
    <row r="384" ht="15.75" customHeight="1">
      <c r="A384" s="60"/>
      <c r="B384" s="60"/>
      <c r="C384" s="60"/>
      <c r="D384" s="54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6"/>
      <c r="AM384" s="60"/>
      <c r="AN384" s="56"/>
    </row>
    <row r="385" ht="15.75" customHeight="1">
      <c r="A385" s="60"/>
      <c r="B385" s="60"/>
      <c r="C385" s="60"/>
      <c r="D385" s="54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6"/>
      <c r="AM385" s="60"/>
      <c r="AN385" s="56"/>
    </row>
    <row r="386" ht="15.75" customHeight="1">
      <c r="A386" s="60"/>
      <c r="B386" s="60"/>
      <c r="C386" s="60"/>
      <c r="D386" s="54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6"/>
      <c r="AM386" s="60"/>
      <c r="AN386" s="56"/>
    </row>
    <row r="387" ht="15.75" customHeight="1">
      <c r="A387" s="60"/>
      <c r="B387" s="60"/>
      <c r="C387" s="60"/>
      <c r="D387" s="54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6"/>
      <c r="AM387" s="60"/>
      <c r="AN387" s="56"/>
    </row>
    <row r="388" ht="15.75" customHeight="1">
      <c r="A388" s="60"/>
      <c r="B388" s="60"/>
      <c r="C388" s="60"/>
      <c r="D388" s="54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6"/>
      <c r="AM388" s="60"/>
      <c r="AN388" s="56"/>
    </row>
    <row r="389" ht="15.75" customHeight="1">
      <c r="A389" s="60"/>
      <c r="B389" s="60"/>
      <c r="C389" s="60"/>
      <c r="D389" s="54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6"/>
      <c r="AM389" s="60"/>
      <c r="AN389" s="56"/>
    </row>
    <row r="390" ht="15.75" customHeight="1">
      <c r="A390" s="60"/>
      <c r="B390" s="60"/>
      <c r="C390" s="60"/>
      <c r="D390" s="54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6"/>
      <c r="AM390" s="60"/>
      <c r="AN390" s="56"/>
    </row>
    <row r="391" ht="15.75" customHeight="1">
      <c r="A391" s="60"/>
      <c r="B391" s="60"/>
      <c r="C391" s="60"/>
      <c r="D391" s="54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6"/>
      <c r="AM391" s="60"/>
      <c r="AN391" s="56"/>
    </row>
    <row r="392" ht="15.75" customHeight="1">
      <c r="A392" s="60"/>
      <c r="B392" s="60"/>
      <c r="C392" s="60"/>
      <c r="D392" s="54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6"/>
      <c r="AM392" s="60"/>
      <c r="AN392" s="56"/>
    </row>
    <row r="393" ht="15.75" customHeight="1">
      <c r="A393" s="60"/>
      <c r="B393" s="60"/>
      <c r="C393" s="60"/>
      <c r="D393" s="54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6"/>
      <c r="AM393" s="60"/>
      <c r="AN393" s="56"/>
    </row>
    <row r="394" ht="15.75" customHeight="1">
      <c r="A394" s="60"/>
      <c r="B394" s="60"/>
      <c r="C394" s="60"/>
      <c r="D394" s="54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6"/>
      <c r="AM394" s="60"/>
      <c r="AN394" s="56"/>
    </row>
    <row r="395" ht="15.75" customHeight="1">
      <c r="A395" s="60"/>
      <c r="B395" s="60"/>
      <c r="C395" s="60"/>
      <c r="D395" s="54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6"/>
      <c r="AM395" s="60"/>
      <c r="AN395" s="56"/>
    </row>
    <row r="396" ht="15.75" customHeight="1">
      <c r="A396" s="60"/>
      <c r="B396" s="60"/>
      <c r="C396" s="60"/>
      <c r="D396" s="54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6"/>
      <c r="AM396" s="60"/>
      <c r="AN396" s="56"/>
    </row>
    <row r="397" ht="15.75" customHeight="1">
      <c r="A397" s="60"/>
      <c r="B397" s="60"/>
      <c r="C397" s="60"/>
      <c r="D397" s="54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6"/>
      <c r="AM397" s="60"/>
      <c r="AN397" s="56"/>
    </row>
    <row r="398" ht="15.75" customHeight="1">
      <c r="A398" s="60"/>
      <c r="B398" s="60"/>
      <c r="C398" s="60"/>
      <c r="D398" s="54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6"/>
      <c r="AM398" s="60"/>
      <c r="AN398" s="56"/>
    </row>
    <row r="399" ht="15.75" customHeight="1">
      <c r="A399" s="60"/>
      <c r="B399" s="60"/>
      <c r="C399" s="60"/>
      <c r="D399" s="54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6"/>
      <c r="AM399" s="60"/>
      <c r="AN399" s="56"/>
    </row>
    <row r="400" ht="15.75" customHeight="1">
      <c r="A400" s="60"/>
      <c r="B400" s="60"/>
      <c r="C400" s="60"/>
      <c r="D400" s="54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6"/>
      <c r="AM400" s="60"/>
      <c r="AN400" s="56"/>
    </row>
    <row r="401" ht="15.75" customHeight="1">
      <c r="A401" s="60"/>
      <c r="B401" s="60"/>
      <c r="C401" s="60"/>
      <c r="D401" s="54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6"/>
      <c r="AM401" s="60"/>
      <c r="AN401" s="56"/>
    </row>
    <row r="402" ht="15.75" customHeight="1">
      <c r="A402" s="60"/>
      <c r="B402" s="60"/>
      <c r="C402" s="60"/>
      <c r="D402" s="54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6"/>
      <c r="AM402" s="60"/>
      <c r="AN402" s="56"/>
    </row>
    <row r="403" ht="15.75" customHeight="1">
      <c r="A403" s="60"/>
      <c r="B403" s="60"/>
      <c r="C403" s="60"/>
      <c r="D403" s="54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6"/>
      <c r="AM403" s="60"/>
      <c r="AN403" s="56"/>
    </row>
    <row r="404" ht="15.75" customHeight="1">
      <c r="A404" s="60"/>
      <c r="B404" s="60"/>
      <c r="C404" s="60"/>
      <c r="D404" s="54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6"/>
      <c r="AM404" s="60"/>
      <c r="AN404" s="56"/>
    </row>
    <row r="405" ht="15.75" customHeight="1">
      <c r="A405" s="60"/>
      <c r="B405" s="60"/>
      <c r="C405" s="60"/>
      <c r="D405" s="54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6"/>
      <c r="AM405" s="60"/>
      <c r="AN405" s="56"/>
    </row>
    <row r="406" ht="15.75" customHeight="1">
      <c r="A406" s="60"/>
      <c r="B406" s="60"/>
      <c r="C406" s="60"/>
      <c r="D406" s="54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6"/>
      <c r="AM406" s="60"/>
      <c r="AN406" s="56"/>
    </row>
    <row r="407" ht="15.75" customHeight="1">
      <c r="A407" s="60"/>
      <c r="B407" s="60"/>
      <c r="C407" s="60"/>
      <c r="D407" s="54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6"/>
      <c r="AM407" s="60"/>
      <c r="AN407" s="56"/>
    </row>
    <row r="408" ht="15.75" customHeight="1">
      <c r="A408" s="60"/>
      <c r="B408" s="60"/>
      <c r="C408" s="60"/>
      <c r="D408" s="54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6"/>
      <c r="AM408" s="60"/>
      <c r="AN408" s="56"/>
    </row>
    <row r="409" ht="15.75" customHeight="1">
      <c r="A409" s="60"/>
      <c r="B409" s="60"/>
      <c r="C409" s="60"/>
      <c r="D409" s="54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6"/>
      <c r="AM409" s="60"/>
      <c r="AN409" s="56"/>
    </row>
    <row r="410" ht="15.75" customHeight="1">
      <c r="A410" s="60"/>
      <c r="B410" s="60"/>
      <c r="C410" s="60"/>
      <c r="D410" s="54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6"/>
      <c r="AM410" s="60"/>
      <c r="AN410" s="56"/>
    </row>
    <row r="411" ht="15.75" customHeight="1">
      <c r="A411" s="60"/>
      <c r="B411" s="60"/>
      <c r="C411" s="60"/>
      <c r="D411" s="54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6"/>
      <c r="AM411" s="60"/>
      <c r="AN411" s="56"/>
    </row>
    <row r="412" ht="15.75" customHeight="1">
      <c r="A412" s="60"/>
      <c r="B412" s="60"/>
      <c r="C412" s="60"/>
      <c r="D412" s="54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6"/>
      <c r="AM412" s="60"/>
      <c r="AN412" s="56"/>
    </row>
    <row r="413" ht="15.75" customHeight="1">
      <c r="A413" s="60"/>
      <c r="B413" s="60"/>
      <c r="C413" s="60"/>
      <c r="D413" s="54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6"/>
      <c r="AM413" s="60"/>
      <c r="AN413" s="56"/>
    </row>
    <row r="414" ht="15.75" customHeight="1">
      <c r="A414" s="60"/>
      <c r="B414" s="60"/>
      <c r="C414" s="60"/>
      <c r="D414" s="54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6"/>
      <c r="AM414" s="60"/>
      <c r="AN414" s="56"/>
    </row>
    <row r="415" ht="15.75" customHeight="1">
      <c r="A415" s="60"/>
      <c r="B415" s="60"/>
      <c r="C415" s="60"/>
      <c r="D415" s="54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6"/>
      <c r="AM415" s="60"/>
      <c r="AN415" s="56"/>
    </row>
    <row r="416" ht="15.75" customHeight="1">
      <c r="A416" s="60"/>
      <c r="B416" s="60"/>
      <c r="C416" s="60"/>
      <c r="D416" s="54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6"/>
      <c r="AM416" s="60"/>
      <c r="AN416" s="56"/>
    </row>
    <row r="417" ht="15.75" customHeight="1">
      <c r="A417" s="60"/>
      <c r="B417" s="60"/>
      <c r="C417" s="60"/>
      <c r="D417" s="54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6"/>
      <c r="AM417" s="60"/>
      <c r="AN417" s="56"/>
    </row>
    <row r="418" ht="15.75" customHeight="1">
      <c r="A418" s="60"/>
      <c r="B418" s="60"/>
      <c r="C418" s="60"/>
      <c r="D418" s="54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6"/>
      <c r="AM418" s="60"/>
      <c r="AN418" s="56"/>
    </row>
    <row r="419" ht="15.75" customHeight="1">
      <c r="A419" s="60"/>
      <c r="B419" s="60"/>
      <c r="C419" s="60"/>
      <c r="D419" s="54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6"/>
      <c r="AM419" s="60"/>
      <c r="AN419" s="56"/>
    </row>
    <row r="420" ht="15.75" customHeight="1">
      <c r="A420" s="60"/>
      <c r="B420" s="60"/>
      <c r="C420" s="60"/>
      <c r="D420" s="54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6"/>
      <c r="AM420" s="60"/>
      <c r="AN420" s="56"/>
    </row>
    <row r="421" ht="15.75" customHeight="1">
      <c r="A421" s="60"/>
      <c r="B421" s="60"/>
      <c r="C421" s="60"/>
      <c r="D421" s="54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6"/>
      <c r="AM421" s="60"/>
      <c r="AN421" s="56"/>
    </row>
    <row r="422" ht="15.75" customHeight="1">
      <c r="A422" s="60"/>
      <c r="B422" s="60"/>
      <c r="C422" s="60"/>
      <c r="D422" s="54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6"/>
      <c r="AM422" s="60"/>
      <c r="AN422" s="56"/>
    </row>
    <row r="423" ht="15.75" customHeight="1">
      <c r="A423" s="60"/>
      <c r="B423" s="60"/>
      <c r="C423" s="60"/>
      <c r="D423" s="54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6"/>
      <c r="AM423" s="60"/>
      <c r="AN423" s="56"/>
    </row>
    <row r="424" ht="15.75" customHeight="1">
      <c r="A424" s="60"/>
      <c r="B424" s="60"/>
      <c r="C424" s="60"/>
      <c r="D424" s="54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6"/>
      <c r="AM424" s="60"/>
      <c r="AN424" s="56"/>
    </row>
    <row r="425" ht="15.75" customHeight="1">
      <c r="A425" s="60"/>
      <c r="B425" s="60"/>
      <c r="C425" s="60"/>
      <c r="D425" s="54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6"/>
      <c r="AM425" s="60"/>
      <c r="AN425" s="56"/>
    </row>
    <row r="426" ht="15.75" customHeight="1">
      <c r="A426" s="60"/>
      <c r="B426" s="60"/>
      <c r="C426" s="60"/>
      <c r="D426" s="54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6"/>
      <c r="AM426" s="60"/>
      <c r="AN426" s="56"/>
    </row>
    <row r="427" ht="15.75" customHeight="1">
      <c r="A427" s="60"/>
      <c r="B427" s="60"/>
      <c r="C427" s="60"/>
      <c r="D427" s="54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6"/>
      <c r="AM427" s="60"/>
      <c r="AN427" s="56"/>
    </row>
    <row r="428" ht="15.75" customHeight="1">
      <c r="A428" s="60"/>
      <c r="B428" s="60"/>
      <c r="C428" s="60"/>
      <c r="D428" s="54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6"/>
      <c r="AM428" s="60"/>
      <c r="AN428" s="56"/>
    </row>
    <row r="429" ht="15.75" customHeight="1">
      <c r="A429" s="60"/>
      <c r="B429" s="60"/>
      <c r="C429" s="60"/>
      <c r="D429" s="54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6"/>
      <c r="AM429" s="60"/>
      <c r="AN429" s="56"/>
    </row>
    <row r="430" ht="15.75" customHeight="1">
      <c r="A430" s="60"/>
      <c r="B430" s="60"/>
      <c r="C430" s="60"/>
      <c r="D430" s="54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6"/>
      <c r="AM430" s="60"/>
      <c r="AN430" s="56"/>
    </row>
    <row r="431" ht="15.75" customHeight="1">
      <c r="A431" s="60"/>
      <c r="B431" s="60"/>
      <c r="C431" s="60"/>
      <c r="D431" s="54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6"/>
      <c r="AM431" s="60"/>
      <c r="AN431" s="56"/>
    </row>
    <row r="432" ht="15.75" customHeight="1">
      <c r="A432" s="60"/>
      <c r="B432" s="60"/>
      <c r="C432" s="60"/>
      <c r="D432" s="54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6"/>
      <c r="AM432" s="60"/>
      <c r="AN432" s="56"/>
    </row>
    <row r="433" ht="15.75" customHeight="1">
      <c r="A433" s="60"/>
      <c r="B433" s="60"/>
      <c r="C433" s="60"/>
      <c r="D433" s="54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6"/>
      <c r="AM433" s="60"/>
      <c r="AN433" s="56"/>
    </row>
    <row r="434" ht="15.75" customHeight="1">
      <c r="A434" s="60"/>
      <c r="B434" s="60"/>
      <c r="C434" s="60"/>
      <c r="D434" s="54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6"/>
      <c r="AM434" s="60"/>
      <c r="AN434" s="56"/>
    </row>
    <row r="435" ht="15.75" customHeight="1">
      <c r="A435" s="60"/>
      <c r="B435" s="60"/>
      <c r="C435" s="60"/>
      <c r="D435" s="54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6"/>
      <c r="AM435" s="60"/>
      <c r="AN435" s="56"/>
    </row>
    <row r="436" ht="15.75" customHeight="1">
      <c r="A436" s="60"/>
      <c r="B436" s="60"/>
      <c r="C436" s="60"/>
      <c r="D436" s="54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6"/>
      <c r="AM436" s="60"/>
      <c r="AN436" s="56"/>
    </row>
    <row r="437" ht="15.75" customHeight="1">
      <c r="A437" s="60"/>
      <c r="B437" s="60"/>
      <c r="C437" s="60"/>
      <c r="D437" s="54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6"/>
      <c r="AM437" s="60"/>
      <c r="AN437" s="56"/>
    </row>
    <row r="438" ht="15.75" customHeight="1">
      <c r="A438" s="60"/>
      <c r="B438" s="60"/>
      <c r="C438" s="60"/>
      <c r="D438" s="54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6"/>
      <c r="AM438" s="60"/>
      <c r="AN438" s="56"/>
    </row>
    <row r="439" ht="15.75" customHeight="1">
      <c r="A439" s="60"/>
      <c r="B439" s="60"/>
      <c r="C439" s="60"/>
      <c r="D439" s="54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6"/>
      <c r="AM439" s="60"/>
      <c r="AN439" s="56"/>
    </row>
    <row r="440" ht="15.75" customHeight="1">
      <c r="A440" s="60"/>
      <c r="B440" s="60"/>
      <c r="C440" s="60"/>
      <c r="D440" s="54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6"/>
      <c r="AM440" s="60"/>
      <c r="AN440" s="56"/>
    </row>
    <row r="441" ht="15.75" customHeight="1">
      <c r="A441" s="60"/>
      <c r="B441" s="60"/>
      <c r="C441" s="60"/>
      <c r="D441" s="54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6"/>
      <c r="AM441" s="60"/>
      <c r="AN441" s="56"/>
    </row>
    <row r="442" ht="15.75" customHeight="1">
      <c r="A442" s="60"/>
      <c r="B442" s="60"/>
      <c r="C442" s="60"/>
      <c r="D442" s="54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6"/>
      <c r="AM442" s="60"/>
      <c r="AN442" s="56"/>
    </row>
    <row r="443" ht="15.75" customHeight="1">
      <c r="A443" s="60"/>
      <c r="B443" s="60"/>
      <c r="C443" s="60"/>
      <c r="D443" s="54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6"/>
      <c r="AM443" s="60"/>
      <c r="AN443" s="56"/>
    </row>
    <row r="444" ht="15.75" customHeight="1">
      <c r="A444" s="60"/>
      <c r="B444" s="60"/>
      <c r="C444" s="60"/>
      <c r="D444" s="54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6"/>
      <c r="AM444" s="60"/>
      <c r="AN444" s="56"/>
    </row>
    <row r="445" ht="15.75" customHeight="1">
      <c r="A445" s="60"/>
      <c r="B445" s="60"/>
      <c r="C445" s="60"/>
      <c r="D445" s="54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6"/>
      <c r="AM445" s="60"/>
      <c r="AN445" s="56"/>
    </row>
    <row r="446" ht="15.75" customHeight="1">
      <c r="A446" s="60"/>
      <c r="B446" s="60"/>
      <c r="C446" s="60"/>
      <c r="D446" s="54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6"/>
      <c r="AM446" s="60"/>
      <c r="AN446" s="56"/>
    </row>
    <row r="447" ht="15.75" customHeight="1">
      <c r="A447" s="60"/>
      <c r="B447" s="60"/>
      <c r="C447" s="60"/>
      <c r="D447" s="54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6"/>
      <c r="AM447" s="60"/>
      <c r="AN447" s="56"/>
    </row>
    <row r="448" ht="15.75" customHeight="1">
      <c r="A448" s="60"/>
      <c r="B448" s="60"/>
      <c r="C448" s="60"/>
      <c r="D448" s="54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6"/>
      <c r="AM448" s="60"/>
      <c r="AN448" s="56"/>
    </row>
    <row r="449" ht="15.75" customHeight="1">
      <c r="A449" s="60"/>
      <c r="B449" s="60"/>
      <c r="C449" s="60"/>
      <c r="D449" s="54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6"/>
      <c r="AM449" s="60"/>
      <c r="AN449" s="56"/>
    </row>
    <row r="450" ht="15.75" customHeight="1">
      <c r="A450" s="60"/>
      <c r="B450" s="60"/>
      <c r="C450" s="60"/>
      <c r="D450" s="54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6"/>
      <c r="AM450" s="60"/>
      <c r="AN450" s="56"/>
    </row>
    <row r="451" ht="15.75" customHeight="1">
      <c r="A451" s="60"/>
      <c r="B451" s="60"/>
      <c r="C451" s="60"/>
      <c r="D451" s="54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6"/>
      <c r="AM451" s="60"/>
      <c r="AN451" s="56"/>
    </row>
    <row r="452" ht="15.75" customHeight="1">
      <c r="A452" s="60"/>
      <c r="B452" s="60"/>
      <c r="C452" s="60"/>
      <c r="D452" s="54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6"/>
      <c r="AM452" s="60"/>
      <c r="AN452" s="56"/>
    </row>
    <row r="453" ht="15.75" customHeight="1">
      <c r="A453" s="60"/>
      <c r="B453" s="60"/>
      <c r="C453" s="60"/>
      <c r="D453" s="54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6"/>
      <c r="AM453" s="60"/>
      <c r="AN453" s="56"/>
    </row>
    <row r="454" ht="15.75" customHeight="1">
      <c r="A454" s="60"/>
      <c r="B454" s="60"/>
      <c r="C454" s="60"/>
      <c r="D454" s="54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6"/>
      <c r="AM454" s="60"/>
      <c r="AN454" s="56"/>
    </row>
    <row r="455" ht="15.75" customHeight="1">
      <c r="A455" s="60"/>
      <c r="B455" s="60"/>
      <c r="C455" s="60"/>
      <c r="D455" s="54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6"/>
      <c r="AM455" s="60"/>
      <c r="AN455" s="56"/>
    </row>
    <row r="456" ht="15.75" customHeight="1">
      <c r="A456" s="60"/>
      <c r="B456" s="60"/>
      <c r="C456" s="60"/>
      <c r="D456" s="54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6"/>
      <c r="AM456" s="60"/>
      <c r="AN456" s="56"/>
    </row>
    <row r="457" ht="15.75" customHeight="1">
      <c r="A457" s="60"/>
      <c r="B457" s="60"/>
      <c r="C457" s="60"/>
      <c r="D457" s="54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6"/>
      <c r="AM457" s="60"/>
      <c r="AN457" s="56"/>
    </row>
    <row r="458" ht="15.75" customHeight="1">
      <c r="A458" s="60"/>
      <c r="B458" s="60"/>
      <c r="C458" s="60"/>
      <c r="D458" s="54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6"/>
      <c r="AM458" s="60"/>
      <c r="AN458" s="56"/>
    </row>
    <row r="459" ht="15.75" customHeight="1">
      <c r="A459" s="60"/>
      <c r="B459" s="60"/>
      <c r="C459" s="60"/>
      <c r="D459" s="54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6"/>
      <c r="AM459" s="60"/>
      <c r="AN459" s="56"/>
    </row>
    <row r="460" ht="15.75" customHeight="1">
      <c r="A460" s="60"/>
      <c r="B460" s="60"/>
      <c r="C460" s="60"/>
      <c r="D460" s="54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6"/>
      <c r="AM460" s="60"/>
      <c r="AN460" s="56"/>
    </row>
    <row r="461" ht="15.75" customHeight="1">
      <c r="A461" s="60"/>
      <c r="B461" s="60"/>
      <c r="C461" s="60"/>
      <c r="D461" s="54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6"/>
      <c r="AM461" s="60"/>
      <c r="AN461" s="56"/>
    </row>
    <row r="462" ht="15.75" customHeight="1">
      <c r="A462" s="60"/>
      <c r="B462" s="60"/>
      <c r="C462" s="60"/>
      <c r="D462" s="54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6"/>
      <c r="AM462" s="60"/>
      <c r="AN462" s="56"/>
    </row>
    <row r="463" ht="15.75" customHeight="1">
      <c r="A463" s="60"/>
      <c r="B463" s="60"/>
      <c r="C463" s="60"/>
      <c r="D463" s="54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6"/>
      <c r="AM463" s="60"/>
      <c r="AN463" s="56"/>
    </row>
    <row r="464" ht="15.75" customHeight="1">
      <c r="A464" s="60"/>
      <c r="B464" s="60"/>
      <c r="C464" s="60"/>
      <c r="D464" s="54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6"/>
      <c r="AM464" s="60"/>
      <c r="AN464" s="56"/>
    </row>
    <row r="465" ht="15.75" customHeight="1">
      <c r="A465" s="60"/>
      <c r="B465" s="60"/>
      <c r="C465" s="60"/>
      <c r="D465" s="54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6"/>
      <c r="AM465" s="60"/>
      <c r="AN465" s="56"/>
    </row>
    <row r="466" ht="15.75" customHeight="1">
      <c r="A466" s="60"/>
      <c r="B466" s="60"/>
      <c r="C466" s="60"/>
      <c r="D466" s="54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6"/>
      <c r="AM466" s="60"/>
      <c r="AN466" s="56"/>
    </row>
    <row r="467" ht="15.75" customHeight="1">
      <c r="A467" s="60"/>
      <c r="B467" s="60"/>
      <c r="C467" s="60"/>
      <c r="D467" s="54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6"/>
      <c r="AM467" s="60"/>
      <c r="AN467" s="56"/>
    </row>
    <row r="468" ht="15.75" customHeight="1">
      <c r="A468" s="60"/>
      <c r="B468" s="60"/>
      <c r="C468" s="60"/>
      <c r="D468" s="54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6"/>
      <c r="AM468" s="60"/>
      <c r="AN468" s="56"/>
    </row>
    <row r="469" ht="15.75" customHeight="1">
      <c r="A469" s="60"/>
      <c r="B469" s="60"/>
      <c r="C469" s="60"/>
      <c r="D469" s="54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6"/>
      <c r="AM469" s="60"/>
      <c r="AN469" s="56"/>
    </row>
    <row r="470" ht="15.75" customHeight="1">
      <c r="A470" s="60"/>
      <c r="B470" s="60"/>
      <c r="C470" s="60"/>
      <c r="D470" s="54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6"/>
      <c r="AM470" s="60"/>
      <c r="AN470" s="56"/>
    </row>
    <row r="471" ht="15.75" customHeight="1">
      <c r="A471" s="60"/>
      <c r="B471" s="60"/>
      <c r="C471" s="60"/>
      <c r="D471" s="54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6"/>
      <c r="AM471" s="60"/>
      <c r="AN471" s="56"/>
    </row>
    <row r="472" ht="15.75" customHeight="1">
      <c r="A472" s="60"/>
      <c r="B472" s="60"/>
      <c r="C472" s="60"/>
      <c r="D472" s="54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6"/>
      <c r="AM472" s="60"/>
      <c r="AN472" s="56"/>
    </row>
    <row r="473" ht="15.75" customHeight="1">
      <c r="A473" s="60"/>
      <c r="B473" s="60"/>
      <c r="C473" s="60"/>
      <c r="D473" s="54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6"/>
      <c r="AM473" s="60"/>
      <c r="AN473" s="56"/>
    </row>
    <row r="474" ht="15.75" customHeight="1">
      <c r="A474" s="60"/>
      <c r="B474" s="60"/>
      <c r="C474" s="60"/>
      <c r="D474" s="54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6"/>
      <c r="AM474" s="60"/>
      <c r="AN474" s="56"/>
    </row>
    <row r="475" ht="15.75" customHeight="1">
      <c r="A475" s="60"/>
      <c r="B475" s="60"/>
      <c r="C475" s="60"/>
      <c r="D475" s="54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6"/>
      <c r="AM475" s="60"/>
      <c r="AN475" s="56"/>
    </row>
    <row r="476" ht="15.75" customHeight="1">
      <c r="A476" s="60"/>
      <c r="B476" s="60"/>
      <c r="C476" s="60"/>
      <c r="D476" s="54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6"/>
      <c r="AM476" s="60"/>
      <c r="AN476" s="56"/>
    </row>
    <row r="477" ht="15.75" customHeight="1">
      <c r="A477" s="60"/>
      <c r="B477" s="60"/>
      <c r="C477" s="60"/>
      <c r="D477" s="54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6"/>
      <c r="AM477" s="60"/>
      <c r="AN477" s="56"/>
    </row>
    <row r="478" ht="15.75" customHeight="1">
      <c r="A478" s="60"/>
      <c r="B478" s="60"/>
      <c r="C478" s="60"/>
      <c r="D478" s="54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6"/>
      <c r="AM478" s="60"/>
      <c r="AN478" s="56"/>
    </row>
    <row r="479" ht="15.75" customHeight="1">
      <c r="A479" s="60"/>
      <c r="B479" s="60"/>
      <c r="C479" s="60"/>
      <c r="D479" s="54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6"/>
      <c r="AM479" s="60"/>
      <c r="AN479" s="56"/>
    </row>
    <row r="480" ht="15.75" customHeight="1">
      <c r="A480" s="60"/>
      <c r="B480" s="60"/>
      <c r="C480" s="60"/>
      <c r="D480" s="54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6"/>
      <c r="AM480" s="60"/>
      <c r="AN480" s="56"/>
    </row>
    <row r="481" ht="15.75" customHeight="1">
      <c r="A481" s="60"/>
      <c r="B481" s="60"/>
      <c r="C481" s="60"/>
      <c r="D481" s="54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6"/>
      <c r="AM481" s="60"/>
      <c r="AN481" s="56"/>
    </row>
    <row r="482" ht="15.75" customHeight="1">
      <c r="A482" s="60"/>
      <c r="B482" s="60"/>
      <c r="C482" s="60"/>
      <c r="D482" s="54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6"/>
      <c r="AM482" s="60"/>
      <c r="AN482" s="56"/>
    </row>
    <row r="483" ht="15.75" customHeight="1">
      <c r="A483" s="60"/>
      <c r="B483" s="60"/>
      <c r="C483" s="60"/>
      <c r="D483" s="54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6"/>
      <c r="AM483" s="60"/>
      <c r="AN483" s="56"/>
    </row>
    <row r="484" ht="15.75" customHeight="1">
      <c r="A484" s="60"/>
      <c r="B484" s="60"/>
      <c r="C484" s="60"/>
      <c r="D484" s="54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6"/>
      <c r="AM484" s="60"/>
      <c r="AN484" s="56"/>
    </row>
    <row r="485" ht="15.75" customHeight="1">
      <c r="A485" s="60"/>
      <c r="B485" s="60"/>
      <c r="C485" s="60"/>
      <c r="D485" s="54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6"/>
      <c r="AM485" s="60"/>
      <c r="AN485" s="56"/>
    </row>
    <row r="486" ht="15.75" customHeight="1">
      <c r="A486" s="60"/>
      <c r="B486" s="60"/>
      <c r="C486" s="60"/>
      <c r="D486" s="54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6"/>
      <c r="AM486" s="60"/>
      <c r="AN486" s="56"/>
    </row>
    <row r="487" ht="15.75" customHeight="1">
      <c r="A487" s="60"/>
      <c r="B487" s="60"/>
      <c r="C487" s="60"/>
      <c r="D487" s="54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6"/>
      <c r="AM487" s="60"/>
      <c r="AN487" s="56"/>
    </row>
    <row r="488" ht="15.75" customHeight="1">
      <c r="A488" s="60"/>
      <c r="B488" s="60"/>
      <c r="C488" s="60"/>
      <c r="D488" s="54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6"/>
      <c r="AM488" s="60"/>
      <c r="AN488" s="56"/>
    </row>
    <row r="489" ht="15.75" customHeight="1">
      <c r="A489" s="60"/>
      <c r="B489" s="60"/>
      <c r="C489" s="60"/>
      <c r="D489" s="54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6"/>
      <c r="AM489" s="60"/>
      <c r="AN489" s="56"/>
    </row>
    <row r="490" ht="15.75" customHeight="1">
      <c r="A490" s="60"/>
      <c r="B490" s="60"/>
      <c r="C490" s="60"/>
      <c r="D490" s="54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6"/>
      <c r="AM490" s="60"/>
      <c r="AN490" s="56"/>
    </row>
    <row r="491" ht="15.75" customHeight="1">
      <c r="A491" s="60"/>
      <c r="B491" s="60"/>
      <c r="C491" s="60"/>
      <c r="D491" s="54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6"/>
      <c r="AM491" s="60"/>
      <c r="AN491" s="56"/>
    </row>
    <row r="492" ht="15.75" customHeight="1">
      <c r="A492" s="60"/>
      <c r="B492" s="60"/>
      <c r="C492" s="60"/>
      <c r="D492" s="54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6"/>
      <c r="AM492" s="60"/>
      <c r="AN492" s="56"/>
    </row>
    <row r="493" ht="15.75" customHeight="1">
      <c r="A493" s="60"/>
      <c r="B493" s="60"/>
      <c r="C493" s="60"/>
      <c r="D493" s="54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6"/>
      <c r="AM493" s="60"/>
      <c r="AN493" s="56"/>
    </row>
    <row r="494" ht="15.75" customHeight="1">
      <c r="A494" s="60"/>
      <c r="B494" s="60"/>
      <c r="C494" s="60"/>
      <c r="D494" s="54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6"/>
      <c r="AM494" s="60"/>
      <c r="AN494" s="56"/>
    </row>
    <row r="495" ht="15.75" customHeight="1">
      <c r="A495" s="60"/>
      <c r="B495" s="60"/>
      <c r="C495" s="60"/>
      <c r="D495" s="54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6"/>
      <c r="AM495" s="60"/>
      <c r="AN495" s="56"/>
    </row>
    <row r="496" ht="15.75" customHeight="1">
      <c r="A496" s="60"/>
      <c r="B496" s="60"/>
      <c r="C496" s="60"/>
      <c r="D496" s="54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6"/>
      <c r="AM496" s="60"/>
      <c r="AN496" s="56"/>
    </row>
    <row r="497" ht="15.75" customHeight="1">
      <c r="A497" s="60"/>
      <c r="B497" s="60"/>
      <c r="C497" s="60"/>
      <c r="D497" s="54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6"/>
      <c r="AM497" s="60"/>
      <c r="AN497" s="56"/>
    </row>
    <row r="498" ht="15.75" customHeight="1">
      <c r="A498" s="60"/>
      <c r="B498" s="60"/>
      <c r="C498" s="60"/>
      <c r="D498" s="54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6"/>
      <c r="AM498" s="60"/>
      <c r="AN498" s="56"/>
    </row>
    <row r="499" ht="15.75" customHeight="1">
      <c r="A499" s="60"/>
      <c r="B499" s="60"/>
      <c r="C499" s="60"/>
      <c r="D499" s="54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6"/>
      <c r="AM499" s="60"/>
      <c r="AN499" s="56"/>
    </row>
    <row r="500" ht="15.75" customHeight="1">
      <c r="A500" s="60"/>
      <c r="B500" s="60"/>
      <c r="C500" s="60"/>
      <c r="D500" s="54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6"/>
      <c r="AM500" s="60"/>
      <c r="AN500" s="56"/>
    </row>
    <row r="501" ht="15.75" customHeight="1">
      <c r="A501" s="60"/>
      <c r="B501" s="60"/>
      <c r="C501" s="60"/>
      <c r="D501" s="54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6"/>
      <c r="AM501" s="60"/>
      <c r="AN501" s="56"/>
    </row>
    <row r="502" ht="15.75" customHeight="1">
      <c r="A502" s="60"/>
      <c r="B502" s="60"/>
      <c r="C502" s="60"/>
      <c r="D502" s="54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6"/>
      <c r="AM502" s="60"/>
      <c r="AN502" s="56"/>
    </row>
    <row r="503" ht="15.75" customHeight="1">
      <c r="A503" s="60"/>
      <c r="B503" s="60"/>
      <c r="C503" s="60"/>
      <c r="D503" s="54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6"/>
      <c r="AM503" s="60"/>
      <c r="AN503" s="56"/>
    </row>
    <row r="504" ht="15.75" customHeight="1">
      <c r="A504" s="60"/>
      <c r="B504" s="60"/>
      <c r="C504" s="60"/>
      <c r="D504" s="54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6"/>
      <c r="AM504" s="60"/>
      <c r="AN504" s="56"/>
    </row>
    <row r="505" ht="15.75" customHeight="1">
      <c r="A505" s="60"/>
      <c r="B505" s="60"/>
      <c r="C505" s="60"/>
      <c r="D505" s="54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6"/>
      <c r="AM505" s="60"/>
      <c r="AN505" s="56"/>
    </row>
    <row r="506" ht="15.75" customHeight="1">
      <c r="A506" s="60"/>
      <c r="B506" s="60"/>
      <c r="C506" s="60"/>
      <c r="D506" s="54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6"/>
      <c r="AM506" s="60"/>
      <c r="AN506" s="56"/>
    </row>
    <row r="507" ht="15.75" customHeight="1">
      <c r="A507" s="60"/>
      <c r="B507" s="60"/>
      <c r="C507" s="60"/>
      <c r="D507" s="54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6"/>
      <c r="AM507" s="60"/>
      <c r="AN507" s="56"/>
    </row>
    <row r="508" ht="15.75" customHeight="1">
      <c r="A508" s="60"/>
      <c r="B508" s="60"/>
      <c r="C508" s="60"/>
      <c r="D508" s="54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6"/>
      <c r="AM508" s="60"/>
      <c r="AN508" s="56"/>
    </row>
    <row r="509" ht="15.75" customHeight="1">
      <c r="A509" s="60"/>
      <c r="B509" s="60"/>
      <c r="C509" s="60"/>
      <c r="D509" s="54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6"/>
      <c r="AM509" s="60"/>
      <c r="AN509" s="56"/>
    </row>
    <row r="510" ht="15.75" customHeight="1">
      <c r="A510" s="60"/>
      <c r="B510" s="60"/>
      <c r="C510" s="60"/>
      <c r="D510" s="54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6"/>
      <c r="AM510" s="60"/>
      <c r="AN510" s="56"/>
    </row>
    <row r="511" ht="15.75" customHeight="1">
      <c r="A511" s="60"/>
      <c r="B511" s="60"/>
      <c r="C511" s="60"/>
      <c r="D511" s="54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6"/>
      <c r="AM511" s="60"/>
      <c r="AN511" s="56"/>
    </row>
    <row r="512" ht="15.75" customHeight="1">
      <c r="A512" s="60"/>
      <c r="B512" s="60"/>
      <c r="C512" s="60"/>
      <c r="D512" s="54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6"/>
      <c r="AM512" s="60"/>
      <c r="AN512" s="56"/>
    </row>
    <row r="513" ht="15.75" customHeight="1">
      <c r="A513" s="60"/>
      <c r="B513" s="60"/>
      <c r="C513" s="60"/>
      <c r="D513" s="54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6"/>
      <c r="AM513" s="60"/>
      <c r="AN513" s="56"/>
    </row>
    <row r="514" ht="15.75" customHeight="1">
      <c r="A514" s="60"/>
      <c r="B514" s="60"/>
      <c r="C514" s="60"/>
      <c r="D514" s="54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6"/>
      <c r="AM514" s="60"/>
      <c r="AN514" s="56"/>
    </row>
    <row r="515" ht="15.75" customHeight="1">
      <c r="A515" s="60"/>
      <c r="B515" s="60"/>
      <c r="C515" s="60"/>
      <c r="D515" s="54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6"/>
      <c r="AM515" s="60"/>
      <c r="AN515" s="56"/>
    </row>
    <row r="516" ht="15.75" customHeight="1">
      <c r="A516" s="60"/>
      <c r="B516" s="60"/>
      <c r="C516" s="60"/>
      <c r="D516" s="54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6"/>
      <c r="AM516" s="60"/>
      <c r="AN516" s="56"/>
    </row>
    <row r="517" ht="15.75" customHeight="1">
      <c r="A517" s="60"/>
      <c r="B517" s="60"/>
      <c r="C517" s="60"/>
      <c r="D517" s="54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6"/>
      <c r="AM517" s="60"/>
      <c r="AN517" s="56"/>
    </row>
    <row r="518" ht="15.75" customHeight="1">
      <c r="A518" s="60"/>
      <c r="B518" s="60"/>
      <c r="C518" s="60"/>
      <c r="D518" s="54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6"/>
      <c r="AM518" s="60"/>
      <c r="AN518" s="56"/>
    </row>
    <row r="519" ht="15.75" customHeight="1">
      <c r="A519" s="60"/>
      <c r="B519" s="60"/>
      <c r="C519" s="60"/>
      <c r="D519" s="54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6"/>
      <c r="AM519" s="60"/>
      <c r="AN519" s="56"/>
    </row>
    <row r="520" ht="15.75" customHeight="1">
      <c r="A520" s="60"/>
      <c r="B520" s="60"/>
      <c r="C520" s="60"/>
      <c r="D520" s="54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6"/>
      <c r="AM520" s="60"/>
      <c r="AN520" s="56"/>
    </row>
    <row r="521" ht="15.75" customHeight="1">
      <c r="A521" s="60"/>
      <c r="B521" s="60"/>
      <c r="C521" s="60"/>
      <c r="D521" s="54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6"/>
      <c r="AM521" s="60"/>
      <c r="AN521" s="56"/>
    </row>
    <row r="522" ht="15.75" customHeight="1">
      <c r="A522" s="60"/>
      <c r="B522" s="60"/>
      <c r="C522" s="60"/>
      <c r="D522" s="54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6"/>
      <c r="AM522" s="60"/>
      <c r="AN522" s="56"/>
    </row>
    <row r="523" ht="15.75" customHeight="1">
      <c r="A523" s="60"/>
      <c r="B523" s="60"/>
      <c r="C523" s="60"/>
      <c r="D523" s="54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6"/>
      <c r="AM523" s="60"/>
      <c r="AN523" s="56"/>
    </row>
    <row r="524" ht="15.75" customHeight="1">
      <c r="A524" s="60"/>
      <c r="B524" s="60"/>
      <c r="C524" s="60"/>
      <c r="D524" s="54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6"/>
      <c r="AM524" s="60"/>
      <c r="AN524" s="56"/>
    </row>
    <row r="525" ht="15.75" customHeight="1">
      <c r="A525" s="60"/>
      <c r="B525" s="60"/>
      <c r="C525" s="60"/>
      <c r="D525" s="54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6"/>
      <c r="AM525" s="60"/>
      <c r="AN525" s="56"/>
    </row>
    <row r="526" ht="15.75" customHeight="1">
      <c r="A526" s="60"/>
      <c r="B526" s="60"/>
      <c r="C526" s="60"/>
      <c r="D526" s="54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6"/>
      <c r="AM526" s="60"/>
      <c r="AN526" s="56"/>
    </row>
    <row r="527" ht="15.75" customHeight="1">
      <c r="A527" s="60"/>
      <c r="B527" s="60"/>
      <c r="C527" s="60"/>
      <c r="D527" s="54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6"/>
      <c r="AM527" s="60"/>
      <c r="AN527" s="56"/>
    </row>
    <row r="528" ht="15.75" customHeight="1">
      <c r="A528" s="60"/>
      <c r="B528" s="60"/>
      <c r="C528" s="60"/>
      <c r="D528" s="54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6"/>
      <c r="AM528" s="60"/>
      <c r="AN528" s="56"/>
    </row>
    <row r="529" ht="15.75" customHeight="1">
      <c r="A529" s="60"/>
      <c r="B529" s="60"/>
      <c r="C529" s="60"/>
      <c r="D529" s="54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6"/>
      <c r="AM529" s="60"/>
      <c r="AN529" s="56"/>
    </row>
    <row r="530" ht="15.75" customHeight="1">
      <c r="A530" s="60"/>
      <c r="B530" s="60"/>
      <c r="C530" s="60"/>
      <c r="D530" s="54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6"/>
      <c r="AM530" s="60"/>
      <c r="AN530" s="56"/>
    </row>
    <row r="531" ht="15.75" customHeight="1">
      <c r="A531" s="60"/>
      <c r="B531" s="60"/>
      <c r="C531" s="60"/>
      <c r="D531" s="54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6"/>
      <c r="AM531" s="60"/>
      <c r="AN531" s="56"/>
    </row>
    <row r="532" ht="15.75" customHeight="1">
      <c r="A532" s="60"/>
      <c r="B532" s="60"/>
      <c r="C532" s="60"/>
      <c r="D532" s="54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6"/>
      <c r="AM532" s="60"/>
      <c r="AN532" s="56"/>
    </row>
    <row r="533" ht="15.75" customHeight="1">
      <c r="A533" s="60"/>
      <c r="B533" s="60"/>
      <c r="C533" s="60"/>
      <c r="D533" s="54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6"/>
      <c r="AM533" s="60"/>
      <c r="AN533" s="56"/>
    </row>
    <row r="534" ht="15.75" customHeight="1">
      <c r="A534" s="60"/>
      <c r="B534" s="60"/>
      <c r="C534" s="60"/>
      <c r="D534" s="54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6"/>
      <c r="AM534" s="60"/>
      <c r="AN534" s="56"/>
    </row>
    <row r="535" ht="15.75" customHeight="1">
      <c r="A535" s="60"/>
      <c r="B535" s="60"/>
      <c r="C535" s="60"/>
      <c r="D535" s="54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6"/>
      <c r="AM535" s="60"/>
      <c r="AN535" s="56"/>
    </row>
    <row r="536" ht="15.75" customHeight="1">
      <c r="A536" s="60"/>
      <c r="B536" s="60"/>
      <c r="C536" s="60"/>
      <c r="D536" s="54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6"/>
      <c r="AM536" s="60"/>
      <c r="AN536" s="56"/>
    </row>
    <row r="537" ht="15.75" customHeight="1">
      <c r="A537" s="60"/>
      <c r="B537" s="60"/>
      <c r="C537" s="60"/>
      <c r="D537" s="54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6"/>
      <c r="AM537" s="60"/>
      <c r="AN537" s="56"/>
    </row>
    <row r="538" ht="15.75" customHeight="1">
      <c r="A538" s="60"/>
      <c r="B538" s="60"/>
      <c r="C538" s="60"/>
      <c r="D538" s="54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6"/>
      <c r="AM538" s="60"/>
      <c r="AN538" s="56"/>
    </row>
    <row r="539" ht="15.75" customHeight="1">
      <c r="A539" s="60"/>
      <c r="B539" s="60"/>
      <c r="C539" s="60"/>
      <c r="D539" s="54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6"/>
      <c r="AM539" s="60"/>
      <c r="AN539" s="56"/>
    </row>
    <row r="540" ht="15.75" customHeight="1">
      <c r="A540" s="60"/>
      <c r="B540" s="60"/>
      <c r="C540" s="60"/>
      <c r="D540" s="54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6"/>
      <c r="AM540" s="60"/>
      <c r="AN540" s="56"/>
    </row>
    <row r="541" ht="15.75" customHeight="1">
      <c r="A541" s="60"/>
      <c r="B541" s="60"/>
      <c r="C541" s="60"/>
      <c r="D541" s="54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6"/>
      <c r="AM541" s="60"/>
      <c r="AN541" s="56"/>
    </row>
    <row r="542" ht="15.75" customHeight="1">
      <c r="A542" s="60"/>
      <c r="B542" s="60"/>
      <c r="C542" s="60"/>
      <c r="D542" s="54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6"/>
      <c r="AM542" s="60"/>
      <c r="AN542" s="56"/>
    </row>
    <row r="543" ht="15.75" customHeight="1">
      <c r="A543" s="60"/>
      <c r="B543" s="60"/>
      <c r="C543" s="60"/>
      <c r="D543" s="54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6"/>
      <c r="AM543" s="60"/>
      <c r="AN543" s="56"/>
    </row>
    <row r="544" ht="15.75" customHeight="1">
      <c r="A544" s="60"/>
      <c r="B544" s="60"/>
      <c r="C544" s="60"/>
      <c r="D544" s="54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6"/>
      <c r="AM544" s="60"/>
      <c r="AN544" s="56"/>
    </row>
    <row r="545" ht="15.75" customHeight="1">
      <c r="A545" s="60"/>
      <c r="B545" s="60"/>
      <c r="C545" s="60"/>
      <c r="D545" s="54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6"/>
      <c r="AM545" s="60"/>
      <c r="AN545" s="56"/>
    </row>
    <row r="546" ht="15.75" customHeight="1">
      <c r="A546" s="60"/>
      <c r="B546" s="60"/>
      <c r="C546" s="60"/>
      <c r="D546" s="54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6"/>
      <c r="AM546" s="60"/>
      <c r="AN546" s="56"/>
    </row>
    <row r="547" ht="15.75" customHeight="1">
      <c r="A547" s="60"/>
      <c r="B547" s="60"/>
      <c r="C547" s="60"/>
      <c r="D547" s="54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6"/>
      <c r="AM547" s="60"/>
      <c r="AN547" s="56"/>
    </row>
    <row r="548" ht="15.75" customHeight="1">
      <c r="A548" s="60"/>
      <c r="B548" s="60"/>
      <c r="C548" s="60"/>
      <c r="D548" s="54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6"/>
      <c r="AM548" s="60"/>
      <c r="AN548" s="56"/>
    </row>
    <row r="549" ht="15.75" customHeight="1">
      <c r="A549" s="60"/>
      <c r="B549" s="60"/>
      <c r="C549" s="60"/>
      <c r="D549" s="54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6"/>
      <c r="AM549" s="60"/>
      <c r="AN549" s="56"/>
    </row>
    <row r="550" ht="15.75" customHeight="1">
      <c r="A550" s="60"/>
      <c r="B550" s="60"/>
      <c r="C550" s="60"/>
      <c r="D550" s="54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6"/>
      <c r="AM550" s="60"/>
      <c r="AN550" s="56"/>
    </row>
    <row r="551" ht="15.75" customHeight="1">
      <c r="A551" s="60"/>
      <c r="B551" s="60"/>
      <c r="C551" s="60"/>
      <c r="D551" s="54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6"/>
      <c r="AM551" s="60"/>
      <c r="AN551" s="56"/>
    </row>
    <row r="552" ht="15.75" customHeight="1">
      <c r="A552" s="60"/>
      <c r="B552" s="60"/>
      <c r="C552" s="60"/>
      <c r="D552" s="54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6"/>
      <c r="AM552" s="60"/>
      <c r="AN552" s="56"/>
    </row>
    <row r="553" ht="15.75" customHeight="1">
      <c r="A553" s="60"/>
      <c r="B553" s="60"/>
      <c r="C553" s="60"/>
      <c r="D553" s="54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6"/>
      <c r="AM553" s="60"/>
      <c r="AN553" s="56"/>
    </row>
    <row r="554" ht="15.75" customHeight="1">
      <c r="A554" s="60"/>
      <c r="B554" s="60"/>
      <c r="C554" s="60"/>
      <c r="D554" s="54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6"/>
      <c r="AM554" s="60"/>
      <c r="AN554" s="56"/>
    </row>
    <row r="555" ht="15.75" customHeight="1">
      <c r="A555" s="60"/>
      <c r="B555" s="60"/>
      <c r="C555" s="60"/>
      <c r="D555" s="54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6"/>
      <c r="AM555" s="60"/>
      <c r="AN555" s="56"/>
    </row>
    <row r="556" ht="15.75" customHeight="1">
      <c r="A556" s="60"/>
      <c r="B556" s="60"/>
      <c r="C556" s="60"/>
      <c r="D556" s="54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6"/>
      <c r="AM556" s="60"/>
      <c r="AN556" s="56"/>
    </row>
    <row r="557" ht="15.75" customHeight="1">
      <c r="A557" s="60"/>
      <c r="B557" s="60"/>
      <c r="C557" s="60"/>
      <c r="D557" s="54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6"/>
      <c r="AM557" s="60"/>
      <c r="AN557" s="56"/>
    </row>
    <row r="558" ht="15.75" customHeight="1">
      <c r="A558" s="60"/>
      <c r="B558" s="60"/>
      <c r="C558" s="60"/>
      <c r="D558" s="54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6"/>
      <c r="AM558" s="60"/>
      <c r="AN558" s="56"/>
    </row>
    <row r="559" ht="15.75" customHeight="1">
      <c r="A559" s="60"/>
      <c r="B559" s="60"/>
      <c r="C559" s="60"/>
      <c r="D559" s="54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6"/>
      <c r="AM559" s="60"/>
      <c r="AN559" s="56"/>
    </row>
    <row r="560" ht="15.75" customHeight="1">
      <c r="A560" s="60"/>
      <c r="B560" s="60"/>
      <c r="C560" s="60"/>
      <c r="D560" s="54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6"/>
      <c r="AM560" s="60"/>
      <c r="AN560" s="56"/>
    </row>
    <row r="561" ht="15.75" customHeight="1">
      <c r="A561" s="60"/>
      <c r="B561" s="60"/>
      <c r="C561" s="60"/>
      <c r="D561" s="54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6"/>
      <c r="AM561" s="60"/>
      <c r="AN561" s="56"/>
    </row>
    <row r="562" ht="15.75" customHeight="1">
      <c r="A562" s="60"/>
      <c r="B562" s="60"/>
      <c r="C562" s="60"/>
      <c r="D562" s="54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6"/>
      <c r="AM562" s="60"/>
      <c r="AN562" s="56"/>
    </row>
    <row r="563" ht="15.75" customHeight="1">
      <c r="A563" s="60"/>
      <c r="B563" s="60"/>
      <c r="C563" s="60"/>
      <c r="D563" s="54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6"/>
      <c r="AM563" s="60"/>
      <c r="AN563" s="56"/>
    </row>
    <row r="564" ht="15.75" customHeight="1">
      <c r="A564" s="60"/>
      <c r="B564" s="60"/>
      <c r="C564" s="60"/>
      <c r="D564" s="54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6"/>
      <c r="AM564" s="60"/>
      <c r="AN564" s="56"/>
    </row>
    <row r="565" ht="15.75" customHeight="1">
      <c r="A565" s="60"/>
      <c r="B565" s="60"/>
      <c r="C565" s="60"/>
      <c r="D565" s="54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6"/>
      <c r="AM565" s="60"/>
      <c r="AN565" s="56"/>
    </row>
    <row r="566" ht="15.75" customHeight="1">
      <c r="A566" s="60"/>
      <c r="B566" s="60"/>
      <c r="C566" s="60"/>
      <c r="D566" s="54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6"/>
      <c r="AM566" s="60"/>
      <c r="AN566" s="56"/>
    </row>
    <row r="567" ht="15.75" customHeight="1">
      <c r="A567" s="60"/>
      <c r="B567" s="60"/>
      <c r="C567" s="60"/>
      <c r="D567" s="54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6"/>
      <c r="AM567" s="60"/>
      <c r="AN567" s="56"/>
    </row>
    <row r="568" ht="15.75" customHeight="1">
      <c r="A568" s="60"/>
      <c r="B568" s="60"/>
      <c r="C568" s="60"/>
      <c r="D568" s="54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6"/>
      <c r="AM568" s="60"/>
      <c r="AN568" s="56"/>
    </row>
    <row r="569" ht="15.75" customHeight="1">
      <c r="A569" s="60"/>
      <c r="B569" s="60"/>
      <c r="C569" s="60"/>
      <c r="D569" s="54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6"/>
      <c r="AM569" s="60"/>
      <c r="AN569" s="56"/>
    </row>
    <row r="570" ht="15.75" customHeight="1">
      <c r="A570" s="60"/>
      <c r="B570" s="60"/>
      <c r="C570" s="60"/>
      <c r="D570" s="54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6"/>
      <c r="AM570" s="60"/>
      <c r="AN570" s="56"/>
    </row>
    <row r="571" ht="15.75" customHeight="1">
      <c r="A571" s="60"/>
      <c r="B571" s="60"/>
      <c r="C571" s="60"/>
      <c r="D571" s="54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6"/>
      <c r="AM571" s="60"/>
      <c r="AN571" s="56"/>
    </row>
    <row r="572" ht="15.75" customHeight="1">
      <c r="A572" s="60"/>
      <c r="B572" s="60"/>
      <c r="C572" s="60"/>
      <c r="D572" s="54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6"/>
      <c r="AM572" s="60"/>
      <c r="AN572" s="56"/>
    </row>
    <row r="573" ht="15.75" customHeight="1">
      <c r="A573" s="60"/>
      <c r="B573" s="60"/>
      <c r="C573" s="60"/>
      <c r="D573" s="54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6"/>
      <c r="AM573" s="60"/>
      <c r="AN573" s="56"/>
    </row>
    <row r="574" ht="15.75" customHeight="1">
      <c r="A574" s="60"/>
      <c r="B574" s="60"/>
      <c r="C574" s="60"/>
      <c r="D574" s="54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6"/>
      <c r="AM574" s="60"/>
      <c r="AN574" s="56"/>
    </row>
    <row r="575" ht="15.75" customHeight="1">
      <c r="A575" s="60"/>
      <c r="B575" s="60"/>
      <c r="C575" s="60"/>
      <c r="D575" s="54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6"/>
      <c r="AM575" s="60"/>
      <c r="AN575" s="56"/>
    </row>
    <row r="576" ht="15.75" customHeight="1">
      <c r="A576" s="60"/>
      <c r="B576" s="60"/>
      <c r="C576" s="60"/>
      <c r="D576" s="54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6"/>
      <c r="AM576" s="60"/>
      <c r="AN576" s="56"/>
    </row>
    <row r="577" ht="15.75" customHeight="1">
      <c r="A577" s="60"/>
      <c r="B577" s="60"/>
      <c r="C577" s="60"/>
      <c r="D577" s="54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6"/>
      <c r="AM577" s="60"/>
      <c r="AN577" s="56"/>
    </row>
    <row r="578" ht="15.75" customHeight="1">
      <c r="A578" s="60"/>
      <c r="B578" s="60"/>
      <c r="C578" s="60"/>
      <c r="D578" s="54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6"/>
      <c r="AM578" s="60"/>
      <c r="AN578" s="56"/>
    </row>
    <row r="579" ht="15.75" customHeight="1">
      <c r="A579" s="60"/>
      <c r="B579" s="60"/>
      <c r="C579" s="60"/>
      <c r="D579" s="54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6"/>
      <c r="AM579" s="60"/>
      <c r="AN579" s="56"/>
    </row>
    <row r="580" ht="15.75" customHeight="1">
      <c r="A580" s="60"/>
      <c r="B580" s="60"/>
      <c r="C580" s="60"/>
      <c r="D580" s="54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6"/>
      <c r="AM580" s="60"/>
      <c r="AN580" s="56"/>
    </row>
    <row r="581" ht="15.75" customHeight="1">
      <c r="A581" s="60"/>
      <c r="B581" s="60"/>
      <c r="C581" s="60"/>
      <c r="D581" s="54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6"/>
      <c r="AM581" s="60"/>
      <c r="AN581" s="56"/>
    </row>
    <row r="582" ht="15.75" customHeight="1">
      <c r="A582" s="60"/>
      <c r="B582" s="60"/>
      <c r="C582" s="60"/>
      <c r="D582" s="54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6"/>
      <c r="AM582" s="60"/>
      <c r="AN582" s="56"/>
    </row>
    <row r="583" ht="15.75" customHeight="1">
      <c r="A583" s="60"/>
      <c r="B583" s="60"/>
      <c r="C583" s="60"/>
      <c r="D583" s="54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6"/>
      <c r="AM583" s="60"/>
      <c r="AN583" s="56"/>
    </row>
    <row r="584" ht="15.75" customHeight="1">
      <c r="A584" s="60"/>
      <c r="B584" s="60"/>
      <c r="C584" s="60"/>
      <c r="D584" s="54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6"/>
      <c r="AM584" s="60"/>
      <c r="AN584" s="56"/>
    </row>
    <row r="585" ht="15.75" customHeight="1">
      <c r="A585" s="60"/>
      <c r="B585" s="60"/>
      <c r="C585" s="60"/>
      <c r="D585" s="54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6"/>
      <c r="AM585" s="60"/>
      <c r="AN585" s="56"/>
    </row>
    <row r="586" ht="15.75" customHeight="1">
      <c r="A586" s="60"/>
      <c r="B586" s="60"/>
      <c r="C586" s="60"/>
      <c r="D586" s="54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6"/>
      <c r="AM586" s="60"/>
      <c r="AN586" s="56"/>
    </row>
    <row r="587" ht="15.75" customHeight="1">
      <c r="A587" s="60"/>
      <c r="B587" s="60"/>
      <c r="C587" s="60"/>
      <c r="D587" s="54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6"/>
      <c r="AM587" s="60"/>
      <c r="AN587" s="56"/>
    </row>
    <row r="588" ht="15.75" customHeight="1">
      <c r="A588" s="60"/>
      <c r="B588" s="60"/>
      <c r="C588" s="60"/>
      <c r="D588" s="54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6"/>
      <c r="AM588" s="60"/>
      <c r="AN588" s="56"/>
    </row>
    <row r="589" ht="15.75" customHeight="1">
      <c r="A589" s="60"/>
      <c r="B589" s="60"/>
      <c r="C589" s="60"/>
      <c r="D589" s="54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6"/>
      <c r="AM589" s="60"/>
      <c r="AN589" s="56"/>
    </row>
    <row r="590" ht="15.75" customHeight="1">
      <c r="A590" s="60"/>
      <c r="B590" s="60"/>
      <c r="C590" s="60"/>
      <c r="D590" s="54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6"/>
      <c r="AM590" s="60"/>
      <c r="AN590" s="56"/>
    </row>
    <row r="591" ht="15.75" customHeight="1">
      <c r="A591" s="60"/>
      <c r="B591" s="60"/>
      <c r="C591" s="60"/>
      <c r="D591" s="54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6"/>
      <c r="AM591" s="60"/>
      <c r="AN591" s="56"/>
    </row>
    <row r="592" ht="15.75" customHeight="1">
      <c r="A592" s="60"/>
      <c r="B592" s="60"/>
      <c r="C592" s="60"/>
      <c r="D592" s="54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6"/>
      <c r="AM592" s="60"/>
      <c r="AN592" s="56"/>
    </row>
    <row r="593" ht="15.75" customHeight="1">
      <c r="A593" s="60"/>
      <c r="B593" s="60"/>
      <c r="C593" s="60"/>
      <c r="D593" s="54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6"/>
      <c r="AM593" s="60"/>
      <c r="AN593" s="56"/>
    </row>
    <row r="594" ht="15.75" customHeight="1">
      <c r="A594" s="60"/>
      <c r="B594" s="60"/>
      <c r="C594" s="60"/>
      <c r="D594" s="54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6"/>
      <c r="AM594" s="60"/>
      <c r="AN594" s="56"/>
    </row>
    <row r="595" ht="15.75" customHeight="1">
      <c r="A595" s="60"/>
      <c r="B595" s="60"/>
      <c r="C595" s="60"/>
      <c r="D595" s="54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6"/>
      <c r="AM595" s="60"/>
      <c r="AN595" s="56"/>
    </row>
    <row r="596" ht="15.75" customHeight="1">
      <c r="A596" s="60"/>
      <c r="B596" s="60"/>
      <c r="C596" s="60"/>
      <c r="D596" s="54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6"/>
      <c r="AM596" s="60"/>
      <c r="AN596" s="56"/>
    </row>
    <row r="597" ht="15.75" customHeight="1">
      <c r="A597" s="60"/>
      <c r="B597" s="60"/>
      <c r="C597" s="60"/>
      <c r="D597" s="54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6"/>
      <c r="AM597" s="60"/>
      <c r="AN597" s="56"/>
    </row>
    <row r="598" ht="15.75" customHeight="1">
      <c r="A598" s="60"/>
      <c r="B598" s="60"/>
      <c r="C598" s="60"/>
      <c r="D598" s="54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6"/>
      <c r="AM598" s="60"/>
      <c r="AN598" s="56"/>
    </row>
    <row r="599" ht="15.75" customHeight="1">
      <c r="A599" s="60"/>
      <c r="B599" s="60"/>
      <c r="C599" s="60"/>
      <c r="D599" s="54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6"/>
      <c r="AM599" s="60"/>
      <c r="AN599" s="56"/>
    </row>
    <row r="600" ht="15.75" customHeight="1">
      <c r="A600" s="60"/>
      <c r="B600" s="60"/>
      <c r="C600" s="60"/>
      <c r="D600" s="54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6"/>
      <c r="AM600" s="60"/>
      <c r="AN600" s="56"/>
    </row>
    <row r="601" ht="15.75" customHeight="1">
      <c r="A601" s="60"/>
      <c r="B601" s="60"/>
      <c r="C601" s="60"/>
      <c r="D601" s="54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6"/>
      <c r="AM601" s="60"/>
      <c r="AN601" s="56"/>
    </row>
    <row r="602" ht="15.75" customHeight="1">
      <c r="A602" s="60"/>
      <c r="B602" s="60"/>
      <c r="C602" s="60"/>
      <c r="D602" s="54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6"/>
      <c r="AM602" s="60"/>
      <c r="AN602" s="56"/>
    </row>
    <row r="603" ht="15.75" customHeight="1">
      <c r="A603" s="60"/>
      <c r="B603" s="60"/>
      <c r="C603" s="60"/>
      <c r="D603" s="54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6"/>
      <c r="AM603" s="60"/>
      <c r="AN603" s="56"/>
    </row>
    <row r="604" ht="15.75" customHeight="1">
      <c r="A604" s="60"/>
      <c r="B604" s="60"/>
      <c r="C604" s="60"/>
      <c r="D604" s="54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6"/>
      <c r="AM604" s="60"/>
      <c r="AN604" s="56"/>
    </row>
    <row r="605" ht="15.75" customHeight="1">
      <c r="A605" s="60"/>
      <c r="B605" s="60"/>
      <c r="C605" s="60"/>
      <c r="D605" s="54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6"/>
      <c r="AM605" s="60"/>
      <c r="AN605" s="56"/>
    </row>
    <row r="606" ht="15.75" customHeight="1">
      <c r="A606" s="60"/>
      <c r="B606" s="60"/>
      <c r="C606" s="60"/>
      <c r="D606" s="54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6"/>
      <c r="AM606" s="60"/>
      <c r="AN606" s="56"/>
    </row>
    <row r="607" ht="15.75" customHeight="1">
      <c r="A607" s="60"/>
      <c r="B607" s="60"/>
      <c r="C607" s="60"/>
      <c r="D607" s="54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6"/>
      <c r="AM607" s="60"/>
      <c r="AN607" s="56"/>
    </row>
    <row r="608" ht="15.75" customHeight="1">
      <c r="A608" s="60"/>
      <c r="B608" s="60"/>
      <c r="C608" s="60"/>
      <c r="D608" s="54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6"/>
      <c r="AM608" s="60"/>
      <c r="AN608" s="56"/>
    </row>
    <row r="609" ht="15.75" customHeight="1">
      <c r="A609" s="60"/>
      <c r="B609" s="60"/>
      <c r="C609" s="60"/>
      <c r="D609" s="54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6"/>
      <c r="AM609" s="60"/>
      <c r="AN609" s="56"/>
    </row>
    <row r="610" ht="15.75" customHeight="1">
      <c r="A610" s="60"/>
      <c r="B610" s="60"/>
      <c r="C610" s="60"/>
      <c r="D610" s="54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6"/>
      <c r="AM610" s="60"/>
      <c r="AN610" s="56"/>
    </row>
    <row r="611" ht="15.75" customHeight="1">
      <c r="A611" s="60"/>
      <c r="B611" s="60"/>
      <c r="C611" s="60"/>
      <c r="D611" s="54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6"/>
      <c r="AM611" s="60"/>
      <c r="AN611" s="56"/>
    </row>
    <row r="612" ht="15.75" customHeight="1">
      <c r="A612" s="60"/>
      <c r="B612" s="60"/>
      <c r="C612" s="60"/>
      <c r="D612" s="54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6"/>
      <c r="AM612" s="60"/>
      <c r="AN612" s="56"/>
    </row>
    <row r="613" ht="15.75" customHeight="1">
      <c r="A613" s="60"/>
      <c r="B613" s="60"/>
      <c r="C613" s="60"/>
      <c r="D613" s="54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6"/>
      <c r="AM613" s="60"/>
      <c r="AN613" s="56"/>
    </row>
    <row r="614" ht="15.75" customHeight="1">
      <c r="A614" s="60"/>
      <c r="B614" s="60"/>
      <c r="C614" s="60"/>
      <c r="D614" s="54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6"/>
      <c r="AM614" s="60"/>
      <c r="AN614" s="56"/>
    </row>
    <row r="615" ht="15.75" customHeight="1">
      <c r="A615" s="60"/>
      <c r="B615" s="60"/>
      <c r="C615" s="60"/>
      <c r="D615" s="54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6"/>
      <c r="AM615" s="60"/>
      <c r="AN615" s="56"/>
    </row>
    <row r="616" ht="15.75" customHeight="1">
      <c r="A616" s="60"/>
      <c r="B616" s="60"/>
      <c r="C616" s="60"/>
      <c r="D616" s="54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6"/>
      <c r="AM616" s="60"/>
      <c r="AN616" s="56"/>
    </row>
    <row r="617" ht="15.75" customHeight="1">
      <c r="A617" s="60"/>
      <c r="B617" s="60"/>
      <c r="C617" s="60"/>
      <c r="D617" s="54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6"/>
      <c r="AM617" s="60"/>
      <c r="AN617" s="56"/>
    </row>
    <row r="618" ht="15.75" customHeight="1">
      <c r="A618" s="60"/>
      <c r="B618" s="60"/>
      <c r="C618" s="60"/>
      <c r="D618" s="54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6"/>
      <c r="AM618" s="60"/>
      <c r="AN618" s="56"/>
    </row>
    <row r="619" ht="15.75" customHeight="1">
      <c r="A619" s="60"/>
      <c r="B619" s="60"/>
      <c r="C619" s="60"/>
      <c r="D619" s="54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6"/>
      <c r="AM619" s="60"/>
      <c r="AN619" s="56"/>
    </row>
    <row r="620" ht="15.75" customHeight="1">
      <c r="A620" s="60"/>
      <c r="B620" s="60"/>
      <c r="C620" s="60"/>
      <c r="D620" s="54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6"/>
      <c r="AM620" s="60"/>
      <c r="AN620" s="56"/>
    </row>
    <row r="621" ht="15.75" customHeight="1">
      <c r="A621" s="60"/>
      <c r="B621" s="60"/>
      <c r="C621" s="60"/>
      <c r="D621" s="54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6"/>
      <c r="AM621" s="60"/>
      <c r="AN621" s="56"/>
    </row>
    <row r="622" ht="15.75" customHeight="1">
      <c r="A622" s="60"/>
      <c r="B622" s="60"/>
      <c r="C622" s="60"/>
      <c r="D622" s="54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6"/>
      <c r="AM622" s="60"/>
      <c r="AN622" s="56"/>
    </row>
    <row r="623" ht="15.75" customHeight="1">
      <c r="A623" s="60"/>
      <c r="B623" s="60"/>
      <c r="C623" s="60"/>
      <c r="D623" s="54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6"/>
      <c r="AM623" s="60"/>
      <c r="AN623" s="56"/>
    </row>
    <row r="624" ht="15.75" customHeight="1">
      <c r="A624" s="60"/>
      <c r="B624" s="60"/>
      <c r="C624" s="60"/>
      <c r="D624" s="54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6"/>
      <c r="AM624" s="60"/>
      <c r="AN624" s="56"/>
    </row>
    <row r="625" ht="15.75" customHeight="1">
      <c r="A625" s="60"/>
      <c r="B625" s="60"/>
      <c r="C625" s="60"/>
      <c r="D625" s="54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6"/>
      <c r="AM625" s="60"/>
      <c r="AN625" s="56"/>
    </row>
    <row r="626" ht="15.75" customHeight="1">
      <c r="A626" s="60"/>
      <c r="B626" s="60"/>
      <c r="C626" s="60"/>
      <c r="D626" s="54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6"/>
      <c r="AM626" s="60"/>
      <c r="AN626" s="56"/>
    </row>
    <row r="627" ht="15.75" customHeight="1">
      <c r="A627" s="60"/>
      <c r="B627" s="60"/>
      <c r="C627" s="60"/>
      <c r="D627" s="54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6"/>
      <c r="AM627" s="60"/>
      <c r="AN627" s="56"/>
    </row>
    <row r="628" ht="15.75" customHeight="1">
      <c r="A628" s="60"/>
      <c r="B628" s="60"/>
      <c r="C628" s="60"/>
      <c r="D628" s="54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6"/>
      <c r="AM628" s="60"/>
      <c r="AN628" s="56"/>
    </row>
    <row r="629" ht="15.75" customHeight="1">
      <c r="A629" s="60"/>
      <c r="B629" s="60"/>
      <c r="C629" s="60"/>
      <c r="D629" s="54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6"/>
      <c r="AM629" s="60"/>
      <c r="AN629" s="56"/>
    </row>
    <row r="630" ht="15.75" customHeight="1">
      <c r="A630" s="60"/>
      <c r="B630" s="60"/>
      <c r="C630" s="60"/>
      <c r="D630" s="54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6"/>
      <c r="AM630" s="60"/>
      <c r="AN630" s="56"/>
    </row>
    <row r="631" ht="15.75" customHeight="1">
      <c r="A631" s="60"/>
      <c r="B631" s="60"/>
      <c r="C631" s="60"/>
      <c r="D631" s="54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6"/>
      <c r="AM631" s="60"/>
      <c r="AN631" s="56"/>
    </row>
    <row r="632" ht="15.75" customHeight="1">
      <c r="A632" s="60"/>
      <c r="B632" s="60"/>
      <c r="C632" s="60"/>
      <c r="D632" s="54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6"/>
      <c r="AM632" s="60"/>
      <c r="AN632" s="56"/>
    </row>
    <row r="633" ht="15.75" customHeight="1">
      <c r="A633" s="60"/>
      <c r="B633" s="60"/>
      <c r="C633" s="60"/>
      <c r="D633" s="54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6"/>
      <c r="AM633" s="60"/>
      <c r="AN633" s="56"/>
    </row>
    <row r="634" ht="15.75" customHeight="1">
      <c r="A634" s="60"/>
      <c r="B634" s="60"/>
      <c r="C634" s="60"/>
      <c r="D634" s="54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6"/>
      <c r="AM634" s="60"/>
      <c r="AN634" s="56"/>
    </row>
    <row r="635" ht="15.75" customHeight="1">
      <c r="A635" s="60"/>
      <c r="B635" s="60"/>
      <c r="C635" s="60"/>
      <c r="D635" s="54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6"/>
      <c r="AM635" s="60"/>
      <c r="AN635" s="56"/>
    </row>
    <row r="636" ht="15.75" customHeight="1">
      <c r="A636" s="60"/>
      <c r="B636" s="60"/>
      <c r="C636" s="60"/>
      <c r="D636" s="54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6"/>
      <c r="AM636" s="60"/>
      <c r="AN636" s="56"/>
    </row>
    <row r="637" ht="15.75" customHeight="1">
      <c r="A637" s="60"/>
      <c r="B637" s="60"/>
      <c r="C637" s="60"/>
      <c r="D637" s="54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6"/>
      <c r="AM637" s="60"/>
      <c r="AN637" s="56"/>
    </row>
    <row r="638" ht="15.75" customHeight="1">
      <c r="A638" s="60"/>
      <c r="B638" s="60"/>
      <c r="C638" s="60"/>
      <c r="D638" s="54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6"/>
      <c r="AM638" s="60"/>
      <c r="AN638" s="56"/>
    </row>
    <row r="639" ht="15.75" customHeight="1">
      <c r="A639" s="60"/>
      <c r="B639" s="60"/>
      <c r="C639" s="60"/>
      <c r="D639" s="54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6"/>
      <c r="AM639" s="60"/>
      <c r="AN639" s="56"/>
    </row>
    <row r="640" ht="15.75" customHeight="1">
      <c r="A640" s="60"/>
      <c r="B640" s="60"/>
      <c r="C640" s="60"/>
      <c r="D640" s="54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6"/>
      <c r="AM640" s="60"/>
      <c r="AN640" s="56"/>
    </row>
    <row r="641" ht="15.75" customHeight="1">
      <c r="A641" s="60"/>
      <c r="B641" s="60"/>
      <c r="C641" s="60"/>
      <c r="D641" s="54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6"/>
      <c r="AM641" s="60"/>
      <c r="AN641" s="56"/>
    </row>
    <row r="642" ht="15.75" customHeight="1">
      <c r="A642" s="60"/>
      <c r="B642" s="60"/>
      <c r="C642" s="60"/>
      <c r="D642" s="54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6"/>
      <c r="AM642" s="60"/>
      <c r="AN642" s="56"/>
    </row>
    <row r="643" ht="15.75" customHeight="1">
      <c r="A643" s="60"/>
      <c r="B643" s="60"/>
      <c r="C643" s="60"/>
      <c r="D643" s="54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6"/>
      <c r="AM643" s="60"/>
      <c r="AN643" s="56"/>
    </row>
    <row r="644" ht="15.75" customHeight="1">
      <c r="A644" s="60"/>
      <c r="B644" s="60"/>
      <c r="C644" s="60"/>
      <c r="D644" s="54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6"/>
      <c r="AM644" s="60"/>
      <c r="AN644" s="56"/>
    </row>
    <row r="645" ht="15.75" customHeight="1">
      <c r="A645" s="60"/>
      <c r="B645" s="60"/>
      <c r="C645" s="60"/>
      <c r="D645" s="54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6"/>
      <c r="AM645" s="60"/>
      <c r="AN645" s="56"/>
    </row>
    <row r="646" ht="15.75" customHeight="1">
      <c r="A646" s="60"/>
      <c r="B646" s="60"/>
      <c r="C646" s="60"/>
      <c r="D646" s="54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6"/>
      <c r="AM646" s="60"/>
      <c r="AN646" s="56"/>
    </row>
    <row r="647" ht="15.75" customHeight="1">
      <c r="A647" s="60"/>
      <c r="B647" s="60"/>
      <c r="C647" s="60"/>
      <c r="D647" s="54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6"/>
      <c r="AM647" s="60"/>
      <c r="AN647" s="56"/>
    </row>
    <row r="648" ht="15.75" customHeight="1">
      <c r="A648" s="60"/>
      <c r="B648" s="60"/>
      <c r="C648" s="60"/>
      <c r="D648" s="54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6"/>
      <c r="AM648" s="60"/>
      <c r="AN648" s="56"/>
    </row>
    <row r="649" ht="15.75" customHeight="1">
      <c r="A649" s="60"/>
      <c r="B649" s="60"/>
      <c r="C649" s="60"/>
      <c r="D649" s="54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6"/>
      <c r="AM649" s="60"/>
      <c r="AN649" s="56"/>
    </row>
    <row r="650" ht="15.75" customHeight="1">
      <c r="A650" s="60"/>
      <c r="B650" s="60"/>
      <c r="C650" s="60"/>
      <c r="D650" s="54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6"/>
      <c r="AM650" s="60"/>
      <c r="AN650" s="56"/>
    </row>
    <row r="651" ht="15.75" customHeight="1">
      <c r="A651" s="60"/>
      <c r="B651" s="60"/>
      <c r="C651" s="60"/>
      <c r="D651" s="54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6"/>
      <c r="AM651" s="60"/>
      <c r="AN651" s="56"/>
    </row>
    <row r="652" ht="15.75" customHeight="1">
      <c r="A652" s="60"/>
      <c r="B652" s="60"/>
      <c r="C652" s="60"/>
      <c r="D652" s="54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6"/>
      <c r="AM652" s="60"/>
      <c r="AN652" s="56"/>
    </row>
    <row r="653" ht="15.75" customHeight="1">
      <c r="A653" s="60"/>
      <c r="B653" s="60"/>
      <c r="C653" s="60"/>
      <c r="D653" s="54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6"/>
      <c r="AM653" s="60"/>
      <c r="AN653" s="56"/>
    </row>
    <row r="654" ht="15.75" customHeight="1">
      <c r="A654" s="60"/>
      <c r="B654" s="60"/>
      <c r="C654" s="60"/>
      <c r="D654" s="54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6"/>
      <c r="AM654" s="60"/>
      <c r="AN654" s="56"/>
    </row>
    <row r="655" ht="15.75" customHeight="1">
      <c r="A655" s="60"/>
      <c r="B655" s="60"/>
      <c r="C655" s="60"/>
      <c r="D655" s="54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6"/>
      <c r="AM655" s="60"/>
      <c r="AN655" s="56"/>
    </row>
    <row r="656" ht="15.75" customHeight="1">
      <c r="A656" s="60"/>
      <c r="B656" s="60"/>
      <c r="C656" s="60"/>
      <c r="D656" s="54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6"/>
      <c r="AM656" s="60"/>
      <c r="AN656" s="56"/>
    </row>
    <row r="657" ht="15.75" customHeight="1">
      <c r="A657" s="60"/>
      <c r="B657" s="60"/>
      <c r="C657" s="60"/>
      <c r="D657" s="54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6"/>
      <c r="AM657" s="60"/>
      <c r="AN657" s="56"/>
    </row>
    <row r="658" ht="15.75" customHeight="1">
      <c r="A658" s="60"/>
      <c r="B658" s="60"/>
      <c r="C658" s="60"/>
      <c r="D658" s="54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6"/>
      <c r="AM658" s="60"/>
      <c r="AN658" s="56"/>
    </row>
    <row r="659" ht="15.75" customHeight="1">
      <c r="A659" s="60"/>
      <c r="B659" s="60"/>
      <c r="C659" s="60"/>
      <c r="D659" s="54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6"/>
      <c r="AM659" s="60"/>
      <c r="AN659" s="56"/>
    </row>
    <row r="660" ht="15.75" customHeight="1">
      <c r="A660" s="60"/>
      <c r="B660" s="60"/>
      <c r="C660" s="60"/>
      <c r="D660" s="54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6"/>
      <c r="AM660" s="60"/>
      <c r="AN660" s="56"/>
    </row>
    <row r="661" ht="15.75" customHeight="1">
      <c r="A661" s="60"/>
      <c r="B661" s="60"/>
      <c r="C661" s="60"/>
      <c r="D661" s="54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6"/>
      <c r="AM661" s="60"/>
      <c r="AN661" s="56"/>
    </row>
    <row r="662" ht="15.75" customHeight="1">
      <c r="A662" s="60"/>
      <c r="B662" s="60"/>
      <c r="C662" s="60"/>
      <c r="D662" s="54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6"/>
      <c r="AM662" s="60"/>
      <c r="AN662" s="56"/>
    </row>
    <row r="663" ht="15.75" customHeight="1">
      <c r="A663" s="60"/>
      <c r="B663" s="60"/>
      <c r="C663" s="60"/>
      <c r="D663" s="54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6"/>
      <c r="AM663" s="60"/>
      <c r="AN663" s="56"/>
    </row>
    <row r="664" ht="15.75" customHeight="1">
      <c r="A664" s="60"/>
      <c r="B664" s="60"/>
      <c r="C664" s="60"/>
      <c r="D664" s="54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6"/>
      <c r="AM664" s="60"/>
      <c r="AN664" s="56"/>
    </row>
    <row r="665" ht="15.75" customHeight="1">
      <c r="A665" s="60"/>
      <c r="B665" s="60"/>
      <c r="C665" s="60"/>
      <c r="D665" s="54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6"/>
      <c r="AM665" s="60"/>
      <c r="AN665" s="56"/>
    </row>
    <row r="666" ht="15.75" customHeight="1">
      <c r="A666" s="60"/>
      <c r="B666" s="60"/>
      <c r="C666" s="60"/>
      <c r="D666" s="54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6"/>
      <c r="AM666" s="60"/>
      <c r="AN666" s="56"/>
    </row>
    <row r="667" ht="15.75" customHeight="1">
      <c r="A667" s="60"/>
      <c r="B667" s="60"/>
      <c r="C667" s="60"/>
      <c r="D667" s="54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6"/>
      <c r="AM667" s="60"/>
      <c r="AN667" s="56"/>
    </row>
    <row r="668" ht="15.75" customHeight="1">
      <c r="A668" s="60"/>
      <c r="B668" s="60"/>
      <c r="C668" s="60"/>
      <c r="D668" s="54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6"/>
      <c r="AM668" s="60"/>
      <c r="AN668" s="56"/>
    </row>
    <row r="669" ht="15.75" customHeight="1">
      <c r="A669" s="60"/>
      <c r="B669" s="60"/>
      <c r="C669" s="60"/>
      <c r="D669" s="54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6"/>
      <c r="AM669" s="60"/>
      <c r="AN669" s="56"/>
    </row>
    <row r="670" ht="15.75" customHeight="1">
      <c r="A670" s="60"/>
      <c r="B670" s="60"/>
      <c r="C670" s="60"/>
      <c r="D670" s="54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6"/>
      <c r="AM670" s="60"/>
      <c r="AN670" s="56"/>
    </row>
    <row r="671" ht="15.75" customHeight="1">
      <c r="A671" s="60"/>
      <c r="B671" s="60"/>
      <c r="C671" s="60"/>
      <c r="D671" s="54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6"/>
      <c r="AM671" s="60"/>
      <c r="AN671" s="56"/>
    </row>
    <row r="672" ht="15.75" customHeight="1">
      <c r="A672" s="60"/>
      <c r="B672" s="60"/>
      <c r="C672" s="60"/>
      <c r="D672" s="54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6"/>
      <c r="AM672" s="60"/>
      <c r="AN672" s="56"/>
    </row>
    <row r="673" ht="15.75" customHeight="1">
      <c r="A673" s="60"/>
      <c r="B673" s="60"/>
      <c r="C673" s="60"/>
      <c r="D673" s="54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6"/>
      <c r="AM673" s="60"/>
      <c r="AN673" s="56"/>
    </row>
    <row r="674" ht="15.75" customHeight="1">
      <c r="A674" s="60"/>
      <c r="B674" s="60"/>
      <c r="C674" s="60"/>
      <c r="D674" s="54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6"/>
      <c r="AM674" s="60"/>
      <c r="AN674" s="56"/>
    </row>
    <row r="675" ht="15.75" customHeight="1">
      <c r="A675" s="60"/>
      <c r="B675" s="60"/>
      <c r="C675" s="60"/>
      <c r="D675" s="54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6"/>
      <c r="AM675" s="60"/>
      <c r="AN675" s="56"/>
    </row>
    <row r="676" ht="15.75" customHeight="1">
      <c r="A676" s="60"/>
      <c r="B676" s="60"/>
      <c r="C676" s="60"/>
      <c r="D676" s="54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6"/>
      <c r="AM676" s="60"/>
      <c r="AN676" s="56"/>
    </row>
    <row r="677" ht="15.75" customHeight="1">
      <c r="A677" s="60"/>
      <c r="B677" s="60"/>
      <c r="C677" s="60"/>
      <c r="D677" s="54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6"/>
      <c r="AM677" s="60"/>
      <c r="AN677" s="56"/>
    </row>
    <row r="678" ht="15.75" customHeight="1">
      <c r="A678" s="60"/>
      <c r="B678" s="60"/>
      <c r="C678" s="60"/>
      <c r="D678" s="54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6"/>
      <c r="AM678" s="60"/>
      <c r="AN678" s="56"/>
    </row>
    <row r="679" ht="15.75" customHeight="1">
      <c r="A679" s="60"/>
      <c r="B679" s="60"/>
      <c r="C679" s="60"/>
      <c r="D679" s="54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6"/>
      <c r="AM679" s="60"/>
      <c r="AN679" s="56"/>
    </row>
    <row r="680" ht="15.75" customHeight="1">
      <c r="A680" s="60"/>
      <c r="B680" s="60"/>
      <c r="C680" s="60"/>
      <c r="D680" s="54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6"/>
      <c r="AM680" s="60"/>
      <c r="AN680" s="56"/>
    </row>
    <row r="681" ht="15.75" customHeight="1">
      <c r="A681" s="60"/>
      <c r="B681" s="60"/>
      <c r="C681" s="60"/>
      <c r="D681" s="54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6"/>
      <c r="AM681" s="60"/>
      <c r="AN681" s="56"/>
    </row>
    <row r="682" ht="15.75" customHeight="1">
      <c r="A682" s="60"/>
      <c r="B682" s="60"/>
      <c r="C682" s="60"/>
      <c r="D682" s="54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6"/>
      <c r="AM682" s="60"/>
      <c r="AN682" s="56"/>
    </row>
    <row r="683" ht="15.75" customHeight="1">
      <c r="A683" s="60"/>
      <c r="B683" s="60"/>
      <c r="C683" s="60"/>
      <c r="D683" s="54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6"/>
      <c r="AM683" s="60"/>
      <c r="AN683" s="56"/>
    </row>
    <row r="684" ht="15.75" customHeight="1">
      <c r="A684" s="60"/>
      <c r="B684" s="60"/>
      <c r="C684" s="60"/>
      <c r="D684" s="54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6"/>
      <c r="AM684" s="60"/>
      <c r="AN684" s="56"/>
    </row>
    <row r="685" ht="15.75" customHeight="1">
      <c r="A685" s="60"/>
      <c r="B685" s="60"/>
      <c r="C685" s="60"/>
      <c r="D685" s="54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6"/>
      <c r="AM685" s="60"/>
      <c r="AN685" s="56"/>
    </row>
    <row r="686" ht="15.75" customHeight="1">
      <c r="A686" s="60"/>
      <c r="B686" s="60"/>
      <c r="C686" s="60"/>
      <c r="D686" s="54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6"/>
      <c r="AM686" s="60"/>
      <c r="AN686" s="56"/>
    </row>
    <row r="687" ht="15.75" customHeight="1">
      <c r="A687" s="60"/>
      <c r="B687" s="60"/>
      <c r="C687" s="60"/>
      <c r="D687" s="54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6"/>
      <c r="AM687" s="60"/>
      <c r="AN687" s="56"/>
    </row>
    <row r="688" ht="15.75" customHeight="1">
      <c r="A688" s="60"/>
      <c r="B688" s="60"/>
      <c r="C688" s="60"/>
      <c r="D688" s="54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6"/>
      <c r="AM688" s="60"/>
      <c r="AN688" s="56"/>
    </row>
    <row r="689" ht="15.75" customHeight="1">
      <c r="A689" s="60"/>
      <c r="B689" s="60"/>
      <c r="C689" s="60"/>
      <c r="D689" s="54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6"/>
      <c r="AM689" s="60"/>
      <c r="AN689" s="56"/>
    </row>
    <row r="690" ht="15.75" customHeight="1">
      <c r="A690" s="60"/>
      <c r="B690" s="60"/>
      <c r="C690" s="60"/>
      <c r="D690" s="54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6"/>
      <c r="AM690" s="60"/>
      <c r="AN690" s="56"/>
    </row>
    <row r="691" ht="15.75" customHeight="1">
      <c r="A691" s="60"/>
      <c r="B691" s="60"/>
      <c r="C691" s="60"/>
      <c r="D691" s="54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6"/>
      <c r="AM691" s="60"/>
      <c r="AN691" s="56"/>
    </row>
    <row r="692" ht="15.75" customHeight="1">
      <c r="A692" s="60"/>
      <c r="B692" s="60"/>
      <c r="C692" s="60"/>
      <c r="D692" s="54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6"/>
      <c r="AM692" s="60"/>
      <c r="AN692" s="56"/>
    </row>
    <row r="693" ht="15.75" customHeight="1">
      <c r="A693" s="60"/>
      <c r="B693" s="60"/>
      <c r="C693" s="60"/>
      <c r="D693" s="54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6"/>
      <c r="AM693" s="60"/>
      <c r="AN693" s="56"/>
    </row>
    <row r="694" ht="15.75" customHeight="1">
      <c r="A694" s="60"/>
      <c r="B694" s="60"/>
      <c r="C694" s="60"/>
      <c r="D694" s="54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6"/>
      <c r="AM694" s="60"/>
      <c r="AN694" s="56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0.25"/>
    <col customWidth="1" min="6" max="6" width="38.88"/>
  </cols>
  <sheetData>
    <row r="1">
      <c r="B1" s="8"/>
    </row>
    <row r="2">
      <c r="A2" s="7" t="str">
        <f>IFERROR(__xludf.DUMMYFUNCTION("ARRAYFORMULA(
  QUERY(
    SPLIT(
      FLATTEN(
        'R10_indigenization'!E1:AN1 &amp; ""♦"" &amp; 
        'R10_indigenization'!A2:A1710 &amp; ""♦"" &amp; 
        'R10_indigenization'!B2:B1710 &amp; ""♦"" &amp; 
        'R10_indigenization'!C2:C1710 &amp; ""♦"" &amp; 
        'R10"&amp;"_indigenization'!D2:D1710 &amp; ""♦"" &amp; 
        'R10_indigenization'!E2:AN1710
      ),
      ""♦""
    ),
    ""SELECT * WHERE Col6 IS NOT NULL"",
    1
  )
)"),"ANGOLA ")</f>
        <v>ANGOLA </v>
      </c>
      <c r="B2" s="8" t="str">
        <f>IFERROR(__xludf.DUMMYFUNCTION("""COMPUTED_VALUE"""),"10")</f>
        <v>10</v>
      </c>
      <c r="C2" s="7" t="str">
        <f>IFERROR(__xludf.DUMMYFUNCTION("""COMPUTED_VALUE"""),"A_05_09")</f>
        <v>A_05_09</v>
      </c>
      <c r="D2" s="7" t="str">
        <f>IFERROR(__xludf.DUMMYFUNCTION("""COMPUTED_VALUE"""),"Q12a. ")</f>
        <v>Q12a. </v>
      </c>
      <c r="E2" s="7" t="str">
        <f>IFERROR(__xludf.DUMMYFUNCTION("""COMPUTED_VALUE"""),"Contact MP")</f>
        <v>Contact MP</v>
      </c>
      <c r="F2" s="7" t="str">
        <f>IFERROR(__xludf.DUMMYFUNCTION("""COMPUTED_VALUE"""),"Member of the National Assembly")</f>
        <v>Member of the National Assembly</v>
      </c>
    </row>
    <row r="3">
      <c r="A3" s="7" t="str">
        <f>IFERROR(__xludf.DUMMYFUNCTION("""COMPUTED_VALUE"""),"BENIN")</f>
        <v>BENIN</v>
      </c>
      <c r="B3" s="8">
        <f>IFERROR(__xludf.DUMMYFUNCTION("""COMPUTED_VALUE"""),10.0)</f>
        <v>10</v>
      </c>
      <c r="C3" s="7" t="str">
        <f>IFERROR(__xludf.DUMMYFUNCTION("""COMPUTED_VALUE"""),"A_05_09")</f>
        <v>A_05_09</v>
      </c>
      <c r="D3" s="7" t="str">
        <f>IFERROR(__xludf.DUMMYFUNCTION("""COMPUTED_VALUE"""),"Q12a. ")</f>
        <v>Q12a. </v>
      </c>
      <c r="E3" s="7" t="str">
        <f>IFERROR(__xludf.DUMMYFUNCTION("""COMPUTED_VALUE"""),"Contact MP")</f>
        <v>Contact MP</v>
      </c>
      <c r="F3" s="7" t="str">
        <f>IFERROR(__xludf.DUMMYFUNCTION("""COMPUTED_VALUE"""),"Representative to National Assemply")</f>
        <v>Representative to National Assemply</v>
      </c>
    </row>
    <row r="4">
      <c r="A4" s="7" t="str">
        <f>IFERROR(__xludf.DUMMYFUNCTION("""COMPUTED_VALUE"""),"BOTSWANA ")</f>
        <v>BOTSWANA </v>
      </c>
      <c r="B4" s="8">
        <f>IFERROR(__xludf.DUMMYFUNCTION("""COMPUTED_VALUE"""),10.0)</f>
        <v>10</v>
      </c>
      <c r="C4" s="7" t="str">
        <f>IFERROR(__xludf.DUMMYFUNCTION("""COMPUTED_VALUE"""),"A_05_09")</f>
        <v>A_05_09</v>
      </c>
      <c r="D4" s="7" t="str">
        <f>IFERROR(__xludf.DUMMYFUNCTION("""COMPUTED_VALUE"""),"Q12a. ")</f>
        <v>Q12a. </v>
      </c>
      <c r="E4" s="7" t="str">
        <f>IFERROR(__xludf.DUMMYFUNCTION("""COMPUTED_VALUE"""),"Contact MP")</f>
        <v>Contact MP</v>
      </c>
      <c r="F4" s="7" t="str">
        <f>IFERROR(__xludf.DUMMYFUNCTION("""COMPUTED_VALUE"""),"Member of Parliament")</f>
        <v>Member of Parliament</v>
      </c>
    </row>
    <row r="5">
      <c r="A5" s="7" t="str">
        <f>IFERROR(__xludf.DUMMYFUNCTION("""COMPUTED_VALUE"""),"CABO VERDE ")</f>
        <v>CABO VERDE </v>
      </c>
      <c r="B5" s="8">
        <f>IFERROR(__xludf.DUMMYFUNCTION("""COMPUTED_VALUE"""),10.0)</f>
        <v>10</v>
      </c>
      <c r="C5" s="7" t="str">
        <f>IFERROR(__xludf.DUMMYFUNCTION("""COMPUTED_VALUE"""),"A_05_09")</f>
        <v>A_05_09</v>
      </c>
      <c r="D5" s="7" t="str">
        <f>IFERROR(__xludf.DUMMYFUNCTION("""COMPUTED_VALUE"""),"Q12a. ")</f>
        <v>Q12a. </v>
      </c>
      <c r="E5" s="7" t="str">
        <f>IFERROR(__xludf.DUMMYFUNCTION("""COMPUTED_VALUE"""),"Contact MP")</f>
        <v>Contact MP</v>
      </c>
      <c r="F5" s="7" t="str">
        <f>IFERROR(__xludf.DUMMYFUNCTION("""COMPUTED_VALUE"""),"Member of the National Assembly")</f>
        <v>Member of the National Assembly</v>
      </c>
    </row>
    <row r="6">
      <c r="A6" s="7" t="str">
        <f>IFERROR(__xludf.DUMMYFUNCTION("""COMPUTED_VALUE"""),"CAMEROON")</f>
        <v>CAMEROON</v>
      </c>
      <c r="B6" s="8">
        <f>IFERROR(__xludf.DUMMYFUNCTION("""COMPUTED_VALUE"""),10.0)</f>
        <v>10</v>
      </c>
      <c r="C6" s="7" t="str">
        <f>IFERROR(__xludf.DUMMYFUNCTION("""COMPUTED_VALUE"""),"A_05_09")</f>
        <v>A_05_09</v>
      </c>
      <c r="D6" s="7" t="str">
        <f>IFERROR(__xludf.DUMMYFUNCTION("""COMPUTED_VALUE"""),"Q12a. ")</f>
        <v>Q12a. </v>
      </c>
      <c r="E6" s="7" t="str">
        <f>IFERROR(__xludf.DUMMYFUNCTION("""COMPUTED_VALUE"""),"Contact MP")</f>
        <v>Contact MP</v>
      </c>
      <c r="F6" s="7" t="str">
        <f>IFERROR(__xludf.DUMMYFUNCTION("""COMPUTED_VALUE"""),"Member of the National Assembly")</f>
        <v>Member of the National Assembly</v>
      </c>
    </row>
    <row r="7">
      <c r="A7" s="7" t="str">
        <f>IFERROR(__xludf.DUMMYFUNCTION("""COMPUTED_VALUE"""),"CHAD")</f>
        <v>CHAD</v>
      </c>
      <c r="B7" s="8">
        <f>IFERROR(__xludf.DUMMYFUNCTION("""COMPUTED_VALUE"""),10.0)</f>
        <v>10</v>
      </c>
      <c r="C7" s="7" t="str">
        <f>IFERROR(__xludf.DUMMYFUNCTION("""COMPUTED_VALUE"""),"A_05_09")</f>
        <v>A_05_09</v>
      </c>
      <c r="D7" s="7" t="str">
        <f>IFERROR(__xludf.DUMMYFUNCTION("""COMPUTED_VALUE"""),"Q12a. ")</f>
        <v>Q12a. </v>
      </c>
      <c r="E7" s="7" t="str">
        <f>IFERROR(__xludf.DUMMYFUNCTION("""COMPUTED_VALUE"""),"Contact MP")</f>
        <v>Contact MP</v>
      </c>
      <c r="F7" s="7" t="str">
        <f>IFERROR(__xludf.DUMMYFUNCTION("""COMPUTED_VALUE"""),"Member of the National Assembly")</f>
        <v>Member of the National Assembly</v>
      </c>
    </row>
    <row r="8">
      <c r="A8" s="7" t="str">
        <f>IFERROR(__xludf.DUMMYFUNCTION("""COMPUTED_VALUE"""),"COMOROS")</f>
        <v>COMOROS</v>
      </c>
      <c r="B8" s="8">
        <f>IFERROR(__xludf.DUMMYFUNCTION("""COMPUTED_VALUE"""),10.0)</f>
        <v>10</v>
      </c>
      <c r="C8" s="7" t="str">
        <f>IFERROR(__xludf.DUMMYFUNCTION("""COMPUTED_VALUE"""),"A_05_09")</f>
        <v>A_05_09</v>
      </c>
      <c r="D8" s="7" t="str">
        <f>IFERROR(__xludf.DUMMYFUNCTION("""COMPUTED_VALUE"""),"Q12a. ")</f>
        <v>Q12a. </v>
      </c>
      <c r="E8" s="7" t="str">
        <f>IFERROR(__xludf.DUMMYFUNCTION("""COMPUTED_VALUE"""),"Contact MP")</f>
        <v>Contact MP</v>
      </c>
      <c r="F8" s="7" t="str">
        <f>IFERROR(__xludf.DUMMYFUNCTION("""COMPUTED_VALUE"""),"Member of the National Assembly")</f>
        <v>Member of the National Assembly</v>
      </c>
    </row>
    <row r="9">
      <c r="A9" s="7" t="str">
        <f>IFERROR(__xludf.DUMMYFUNCTION("""COMPUTED_VALUE"""),"CONGO BRAZZAVILLE")</f>
        <v>CONGO BRAZZAVILLE</v>
      </c>
      <c r="B9" s="8">
        <f>IFERROR(__xludf.DUMMYFUNCTION("""COMPUTED_VALUE"""),10.0)</f>
        <v>10</v>
      </c>
      <c r="C9" s="7" t="str">
        <f>IFERROR(__xludf.DUMMYFUNCTION("""COMPUTED_VALUE"""),"A_05_09")</f>
        <v>A_05_09</v>
      </c>
      <c r="D9" s="7" t="str">
        <f>IFERROR(__xludf.DUMMYFUNCTION("""COMPUTED_VALUE"""),"Q12a. ")</f>
        <v>Q12a. </v>
      </c>
      <c r="E9" s="7" t="str">
        <f>IFERROR(__xludf.DUMMYFUNCTION("""COMPUTED_VALUE"""),"Contact MP")</f>
        <v>Contact MP</v>
      </c>
      <c r="F9" s="7" t="str">
        <f>IFERROR(__xludf.DUMMYFUNCTION("""COMPUTED_VALUE"""),"Member of the National Assembly")</f>
        <v>Member of the National Assembly</v>
      </c>
    </row>
    <row r="10">
      <c r="A10" s="7" t="str">
        <f>IFERROR(__xludf.DUMMYFUNCTION("""COMPUTED_VALUE"""),"COTE D'IVOIRE")</f>
        <v>COTE D'IVOIRE</v>
      </c>
      <c r="B10" s="8">
        <f>IFERROR(__xludf.DUMMYFUNCTION("""COMPUTED_VALUE"""),10.0)</f>
        <v>10</v>
      </c>
      <c r="C10" s="7" t="str">
        <f>IFERROR(__xludf.DUMMYFUNCTION("""COMPUTED_VALUE"""),"A_05_09")</f>
        <v>A_05_09</v>
      </c>
      <c r="D10" s="7" t="str">
        <f>IFERROR(__xludf.DUMMYFUNCTION("""COMPUTED_VALUE"""),"Q12a. ")</f>
        <v>Q12a. </v>
      </c>
      <c r="E10" s="7" t="str">
        <f>IFERROR(__xludf.DUMMYFUNCTION("""COMPUTED_VALUE"""),"Contact MP")</f>
        <v>Contact MP</v>
      </c>
      <c r="F10" s="7" t="str">
        <f>IFERROR(__xludf.DUMMYFUNCTION("""COMPUTED_VALUE"""),"Member of the National Assembly")</f>
        <v>Member of the National Assembly</v>
      </c>
    </row>
    <row r="11">
      <c r="A11" s="7" t="str">
        <f>IFERROR(__xludf.DUMMYFUNCTION("""COMPUTED_VALUE"""),"ESWATINI")</f>
        <v>ESWATINI</v>
      </c>
      <c r="B11" s="8">
        <f>IFERROR(__xludf.DUMMYFUNCTION("""COMPUTED_VALUE"""),10.0)</f>
        <v>10</v>
      </c>
      <c r="C11" s="7" t="str">
        <f>IFERROR(__xludf.DUMMYFUNCTION("""COMPUTED_VALUE"""),"A_05_09")</f>
        <v>A_05_09</v>
      </c>
      <c r="D11" s="7" t="str">
        <f>IFERROR(__xludf.DUMMYFUNCTION("""COMPUTED_VALUE"""),"Q12a. ")</f>
        <v>Q12a. </v>
      </c>
      <c r="E11" s="7" t="str">
        <f>IFERROR(__xludf.DUMMYFUNCTION("""COMPUTED_VALUE"""),"Contact MP")</f>
        <v>Contact MP</v>
      </c>
      <c r="F11" s="7" t="str">
        <f>IFERROR(__xludf.DUMMYFUNCTION("""COMPUTED_VALUE"""),"Member of Parliament")</f>
        <v>Member of Parliament</v>
      </c>
    </row>
    <row r="12">
      <c r="A12" s="7" t="str">
        <f>IFERROR(__xludf.DUMMYFUNCTION("""COMPUTED_VALUE"""),"GABON")</f>
        <v>GABON</v>
      </c>
      <c r="B12" s="8">
        <f>IFERROR(__xludf.DUMMYFUNCTION("""COMPUTED_VALUE"""),10.0)</f>
        <v>10</v>
      </c>
      <c r="C12" s="7" t="str">
        <f>IFERROR(__xludf.DUMMYFUNCTION("""COMPUTED_VALUE"""),"A_05_09")</f>
        <v>A_05_09</v>
      </c>
      <c r="D12" s="7" t="str">
        <f>IFERROR(__xludf.DUMMYFUNCTION("""COMPUTED_VALUE"""),"Q12a. ")</f>
        <v>Q12a. </v>
      </c>
      <c r="E12" s="7" t="str">
        <f>IFERROR(__xludf.DUMMYFUNCTION("""COMPUTED_VALUE"""),"Contact MP")</f>
        <v>Contact MP</v>
      </c>
      <c r="F12" s="7" t="str">
        <f>IFERROR(__xludf.DUMMYFUNCTION("""COMPUTED_VALUE"""),"Member of the National Assembly")</f>
        <v>Member of the National Assembly</v>
      </c>
    </row>
    <row r="13">
      <c r="A13" s="7" t="str">
        <f>IFERROR(__xludf.DUMMYFUNCTION("""COMPUTED_VALUE"""),"GAMBIA")</f>
        <v>GAMBIA</v>
      </c>
      <c r="B13" s="8">
        <f>IFERROR(__xludf.DUMMYFUNCTION("""COMPUTED_VALUE"""),10.0)</f>
        <v>10</v>
      </c>
      <c r="C13" s="7" t="str">
        <f>IFERROR(__xludf.DUMMYFUNCTION("""COMPUTED_VALUE"""),"A_05_09")</f>
        <v>A_05_09</v>
      </c>
      <c r="D13" s="7" t="str">
        <f>IFERROR(__xludf.DUMMYFUNCTION("""COMPUTED_VALUE"""),"Q12a. ")</f>
        <v>Q12a. </v>
      </c>
      <c r="E13" s="7" t="str">
        <f>IFERROR(__xludf.DUMMYFUNCTION("""COMPUTED_VALUE"""),"Contact MP")</f>
        <v>Contact MP</v>
      </c>
      <c r="F13" s="7" t="str">
        <f>IFERROR(__xludf.DUMMYFUNCTION("""COMPUTED_VALUE"""),"Member of the National Assembly")</f>
        <v>Member of the National Assembly</v>
      </c>
    </row>
    <row r="14">
      <c r="A14" s="7" t="str">
        <f>IFERROR(__xludf.DUMMYFUNCTION("""COMPUTED_VALUE"""),"GHANA ")</f>
        <v>GHANA </v>
      </c>
      <c r="B14" s="8">
        <f>IFERROR(__xludf.DUMMYFUNCTION("""COMPUTED_VALUE"""),10.0)</f>
        <v>10</v>
      </c>
      <c r="C14" s="7" t="str">
        <f>IFERROR(__xludf.DUMMYFUNCTION("""COMPUTED_VALUE"""),"A_05_09")</f>
        <v>A_05_09</v>
      </c>
      <c r="D14" s="7" t="str">
        <f>IFERROR(__xludf.DUMMYFUNCTION("""COMPUTED_VALUE"""),"Q12a. ")</f>
        <v>Q12a. </v>
      </c>
      <c r="E14" s="7" t="str">
        <f>IFERROR(__xludf.DUMMYFUNCTION("""COMPUTED_VALUE"""),"Contact MP")</f>
        <v>Contact MP</v>
      </c>
      <c r="F14" s="7" t="str">
        <f>IFERROR(__xludf.DUMMYFUNCTION("""COMPUTED_VALUE"""),"Member of Parliament")</f>
        <v>Member of Parliament</v>
      </c>
    </row>
    <row r="15">
      <c r="A15" s="7" t="str">
        <f>IFERROR(__xludf.DUMMYFUNCTION("""COMPUTED_VALUE"""),"GUINEA")</f>
        <v>GUINEA</v>
      </c>
      <c r="B15" s="8">
        <f>IFERROR(__xludf.DUMMYFUNCTION("""COMPUTED_VALUE"""),10.0)</f>
        <v>10</v>
      </c>
      <c r="C15" s="7" t="str">
        <f>IFERROR(__xludf.DUMMYFUNCTION("""COMPUTED_VALUE"""),"A_05_09")</f>
        <v>A_05_09</v>
      </c>
      <c r="D15" s="7" t="str">
        <f>IFERROR(__xludf.DUMMYFUNCTION("""COMPUTED_VALUE"""),"Q12a. ")</f>
        <v>Q12a. </v>
      </c>
      <c r="E15" s="7" t="str">
        <f>IFERROR(__xludf.DUMMYFUNCTION("""COMPUTED_VALUE"""),"Contact MP")</f>
        <v>Contact MP</v>
      </c>
      <c r="F15" s="7" t="str">
        <f>IFERROR(__xludf.DUMMYFUNCTION("""COMPUTED_VALUE"""),"National Transition Council (NTC)")</f>
        <v>National Transition Council (NTC)</v>
      </c>
    </row>
    <row r="16">
      <c r="A16" s="7" t="str">
        <f>IFERROR(__xludf.DUMMYFUNCTION("""COMPUTED_VALUE"""),"KENYA  ")</f>
        <v>KENYA  </v>
      </c>
      <c r="B16" s="8">
        <f>IFERROR(__xludf.DUMMYFUNCTION("""COMPUTED_VALUE"""),10.0)</f>
        <v>10</v>
      </c>
      <c r="C16" s="7" t="str">
        <f>IFERROR(__xludf.DUMMYFUNCTION("""COMPUTED_VALUE"""),"A_05_09")</f>
        <v>A_05_09</v>
      </c>
      <c r="D16" s="7" t="str">
        <f>IFERROR(__xludf.DUMMYFUNCTION("""COMPUTED_VALUE"""),"Q12a. ")</f>
        <v>Q12a. </v>
      </c>
      <c r="E16" s="7" t="str">
        <f>IFERROR(__xludf.DUMMYFUNCTION("""COMPUTED_VALUE"""),"Contact MP")</f>
        <v>Contact MP</v>
      </c>
      <c r="F16" s="7" t="str">
        <f>IFERROR(__xludf.DUMMYFUNCTION("""COMPUTED_VALUE"""),"Member of Parliament")</f>
        <v>Member of Parliament</v>
      </c>
    </row>
    <row r="17">
      <c r="A17" s="7" t="str">
        <f>IFERROR(__xludf.DUMMYFUNCTION("""COMPUTED_VALUE"""),"LESOTHO ")</f>
        <v>LESOTHO </v>
      </c>
      <c r="B17" s="8">
        <f>IFERROR(__xludf.DUMMYFUNCTION("""COMPUTED_VALUE"""),10.0)</f>
        <v>10</v>
      </c>
      <c r="C17" s="7" t="str">
        <f>IFERROR(__xludf.DUMMYFUNCTION("""COMPUTED_VALUE"""),"A_05_09")</f>
        <v>A_05_09</v>
      </c>
      <c r="D17" s="7" t="str">
        <f>IFERROR(__xludf.DUMMYFUNCTION("""COMPUTED_VALUE"""),"Q12a. ")</f>
        <v>Q12a. </v>
      </c>
      <c r="E17" s="7" t="str">
        <f>IFERROR(__xludf.DUMMYFUNCTION("""COMPUTED_VALUE"""),"Contact MP")</f>
        <v>Contact MP</v>
      </c>
      <c r="F17" s="7" t="str">
        <f>IFERROR(__xludf.DUMMYFUNCTION("""COMPUTED_VALUE"""),"Member of Parliament")</f>
        <v>Member of Parliament</v>
      </c>
    </row>
    <row r="18">
      <c r="A18" s="7" t="str">
        <f>IFERROR(__xludf.DUMMYFUNCTION("""COMPUTED_VALUE"""),"LIBERIA  ")</f>
        <v>LIBERIA  </v>
      </c>
      <c r="B18" s="8">
        <f>IFERROR(__xludf.DUMMYFUNCTION("""COMPUTED_VALUE"""),10.0)</f>
        <v>10</v>
      </c>
      <c r="C18" s="7" t="str">
        <f>IFERROR(__xludf.DUMMYFUNCTION("""COMPUTED_VALUE"""),"A_05_09")</f>
        <v>A_05_09</v>
      </c>
      <c r="D18" s="7" t="str">
        <f>IFERROR(__xludf.DUMMYFUNCTION("""COMPUTED_VALUE"""),"Q12a. ")</f>
        <v>Q12a. </v>
      </c>
      <c r="E18" s="7" t="str">
        <f>IFERROR(__xludf.DUMMYFUNCTION("""COMPUTED_VALUE"""),"Contact MP")</f>
        <v>Contact MP</v>
      </c>
      <c r="F18" s="7" t="str">
        <f>IFERROR(__xludf.DUMMYFUNCTION("""COMPUTED_VALUE"""),"Member of the house of Representatives")</f>
        <v>Member of the house of Representatives</v>
      </c>
    </row>
    <row r="19">
      <c r="A19" s="7" t="str">
        <f>IFERROR(__xludf.DUMMYFUNCTION("""COMPUTED_VALUE"""),"MADAGASCAR")</f>
        <v>MADAGASCAR</v>
      </c>
      <c r="B19" s="8">
        <f>IFERROR(__xludf.DUMMYFUNCTION("""COMPUTED_VALUE"""),10.0)</f>
        <v>10</v>
      </c>
      <c r="C19" s="7" t="str">
        <f>IFERROR(__xludf.DUMMYFUNCTION("""COMPUTED_VALUE"""),"A_05_09")</f>
        <v>A_05_09</v>
      </c>
      <c r="D19" s="7" t="str">
        <f>IFERROR(__xludf.DUMMYFUNCTION("""COMPUTED_VALUE"""),"Q12a. ")</f>
        <v>Q12a. </v>
      </c>
      <c r="E19" s="7" t="str">
        <f>IFERROR(__xludf.DUMMYFUNCTION("""COMPUTED_VALUE"""),"Contact MP")</f>
        <v>Contact MP</v>
      </c>
      <c r="F19" s="7" t="str">
        <f>IFERROR(__xludf.DUMMYFUNCTION("""COMPUTED_VALUE"""),"Member of the National Assembly")</f>
        <v>Member of the National Assembly</v>
      </c>
    </row>
    <row r="20">
      <c r="A20" s="7" t="str">
        <f>IFERROR(__xludf.DUMMYFUNCTION("""COMPUTED_VALUE"""),"MALAWI ")</f>
        <v>MALAWI </v>
      </c>
      <c r="B20" s="8">
        <f>IFERROR(__xludf.DUMMYFUNCTION("""COMPUTED_VALUE"""),10.0)</f>
        <v>10</v>
      </c>
      <c r="C20" s="7" t="str">
        <f>IFERROR(__xludf.DUMMYFUNCTION("""COMPUTED_VALUE"""),"A_05_09")</f>
        <v>A_05_09</v>
      </c>
      <c r="D20" s="7" t="str">
        <f>IFERROR(__xludf.DUMMYFUNCTION("""COMPUTED_VALUE"""),"Q12a. ")</f>
        <v>Q12a. </v>
      </c>
      <c r="E20" s="7" t="str">
        <f>IFERROR(__xludf.DUMMYFUNCTION("""COMPUTED_VALUE"""),"Contact MP")</f>
        <v>Contact MP</v>
      </c>
      <c r="F20" s="7" t="str">
        <f>IFERROR(__xludf.DUMMYFUNCTION("""COMPUTED_VALUE"""),"Member of Parliament")</f>
        <v>Member of Parliament</v>
      </c>
    </row>
    <row r="21">
      <c r="A21" s="7" t="str">
        <f>IFERROR(__xludf.DUMMYFUNCTION("""COMPUTED_VALUE"""),"MALI")</f>
        <v>MALI</v>
      </c>
      <c r="B21" s="8">
        <f>IFERROR(__xludf.DUMMYFUNCTION("""COMPUTED_VALUE"""),10.0)</f>
        <v>10</v>
      </c>
      <c r="C21" s="7" t="str">
        <f>IFERROR(__xludf.DUMMYFUNCTION("""COMPUTED_VALUE"""),"A_05_09")</f>
        <v>A_05_09</v>
      </c>
      <c r="D21" s="7" t="str">
        <f>IFERROR(__xludf.DUMMYFUNCTION("""COMPUTED_VALUE"""),"Q12a. ")</f>
        <v>Q12a. </v>
      </c>
      <c r="E21" s="7" t="str">
        <f>IFERROR(__xludf.DUMMYFUNCTION("""COMPUTED_VALUE"""),"Contact MP")</f>
        <v>Contact MP</v>
      </c>
      <c r="F21" s="7" t="str">
        <f>IFERROR(__xludf.DUMMYFUNCTION("""COMPUTED_VALUE"""),"National Transition Council (NTC)")</f>
        <v>National Transition Council (NTC)</v>
      </c>
    </row>
    <row r="22">
      <c r="A22" s="7" t="str">
        <f>IFERROR(__xludf.DUMMYFUNCTION("""COMPUTED_VALUE"""),"MAURITANIA")</f>
        <v>MAURITANIA</v>
      </c>
      <c r="B22" s="8">
        <f>IFERROR(__xludf.DUMMYFUNCTION("""COMPUTED_VALUE"""),10.0)</f>
        <v>10</v>
      </c>
      <c r="C22" s="7" t="str">
        <f>IFERROR(__xludf.DUMMYFUNCTION("""COMPUTED_VALUE"""),"A_05_09")</f>
        <v>A_05_09</v>
      </c>
      <c r="D22" s="7" t="str">
        <f>IFERROR(__xludf.DUMMYFUNCTION("""COMPUTED_VALUE"""),"Q12a. ")</f>
        <v>Q12a. </v>
      </c>
      <c r="E22" s="7" t="str">
        <f>IFERROR(__xludf.DUMMYFUNCTION("""COMPUTED_VALUE"""),"Contact MP")</f>
        <v>Contact MP</v>
      </c>
      <c r="F22" s="7" t="str">
        <f>IFERROR(__xludf.DUMMYFUNCTION("""COMPUTED_VALUE"""),"Member of the National Assembly")</f>
        <v>Member of the National Assembly</v>
      </c>
    </row>
    <row r="23">
      <c r="A23" s="7" t="str">
        <f>IFERROR(__xludf.DUMMYFUNCTION("""COMPUTED_VALUE"""),"MAURITIUS")</f>
        <v>MAURITIUS</v>
      </c>
      <c r="B23" s="8">
        <f>IFERROR(__xludf.DUMMYFUNCTION("""COMPUTED_VALUE"""),10.0)</f>
        <v>10</v>
      </c>
      <c r="C23" s="7" t="str">
        <f>IFERROR(__xludf.DUMMYFUNCTION("""COMPUTED_VALUE"""),"A_05_09")</f>
        <v>A_05_09</v>
      </c>
      <c r="D23" s="7" t="str">
        <f>IFERROR(__xludf.DUMMYFUNCTION("""COMPUTED_VALUE"""),"Q12a. ")</f>
        <v>Q12a. </v>
      </c>
      <c r="E23" s="7" t="str">
        <f>IFERROR(__xludf.DUMMYFUNCTION("""COMPUTED_VALUE"""),"Contact MP")</f>
        <v>Contact MP</v>
      </c>
      <c r="F23" s="7" t="str">
        <f>IFERROR(__xludf.DUMMYFUNCTION("""COMPUTED_VALUE"""),"Member of the National Assembly")</f>
        <v>Member of the National Assembly</v>
      </c>
    </row>
    <row r="24">
      <c r="A24" s="7" t="str">
        <f>IFERROR(__xludf.DUMMYFUNCTION("""COMPUTED_VALUE"""),"MOROCCO ")</f>
        <v>MOROCCO </v>
      </c>
      <c r="B24" s="8">
        <f>IFERROR(__xludf.DUMMYFUNCTION("""COMPUTED_VALUE"""),10.0)</f>
        <v>10</v>
      </c>
      <c r="C24" s="7" t="str">
        <f>IFERROR(__xludf.DUMMYFUNCTION("""COMPUTED_VALUE"""),"A_05_09")</f>
        <v>A_05_09</v>
      </c>
      <c r="D24" s="7" t="str">
        <f>IFERROR(__xludf.DUMMYFUNCTION("""COMPUTED_VALUE"""),"Q12a. ")</f>
        <v>Q12a. </v>
      </c>
      <c r="E24" s="7" t="str">
        <f>IFERROR(__xludf.DUMMYFUNCTION("""COMPUTED_VALUE"""),"Contact MP")</f>
        <v>Contact MP</v>
      </c>
      <c r="F24" s="7" t="str">
        <f>IFERROR(__xludf.DUMMYFUNCTION("""COMPUTED_VALUE"""),"Member of Parliament")</f>
        <v>Member of Parliament</v>
      </c>
    </row>
    <row r="25">
      <c r="A25" s="7" t="str">
        <f>IFERROR(__xludf.DUMMYFUNCTION("""COMPUTED_VALUE"""),"MOZAMBIQUE")</f>
        <v>MOZAMBIQUE</v>
      </c>
      <c r="B25" s="8">
        <f>IFERROR(__xludf.DUMMYFUNCTION("""COMPUTED_VALUE"""),10.0)</f>
        <v>10</v>
      </c>
      <c r="C25" s="7" t="str">
        <f>IFERROR(__xludf.DUMMYFUNCTION("""COMPUTED_VALUE"""),"A_05_09")</f>
        <v>A_05_09</v>
      </c>
      <c r="D25" s="7" t="str">
        <f>IFERROR(__xludf.DUMMYFUNCTION("""COMPUTED_VALUE"""),"Q12a. ")</f>
        <v>Q12a. </v>
      </c>
      <c r="E25" s="7" t="str">
        <f>IFERROR(__xludf.DUMMYFUNCTION("""COMPUTED_VALUE"""),"Contact MP")</f>
        <v>Contact MP</v>
      </c>
      <c r="F25" s="7" t="str">
        <f>IFERROR(__xludf.DUMMYFUNCTION("""COMPUTED_VALUE"""),"Member of Parliament")</f>
        <v>Member of Parliament</v>
      </c>
    </row>
    <row r="26">
      <c r="A26" s="7" t="str">
        <f>IFERROR(__xludf.DUMMYFUNCTION("""COMPUTED_VALUE"""),"NAMIBIA ")</f>
        <v>NAMIBIA </v>
      </c>
      <c r="B26" s="8">
        <f>IFERROR(__xludf.DUMMYFUNCTION("""COMPUTED_VALUE"""),10.0)</f>
        <v>10</v>
      </c>
      <c r="C26" s="7" t="str">
        <f>IFERROR(__xludf.DUMMYFUNCTION("""COMPUTED_VALUE"""),"A_05_09")</f>
        <v>A_05_09</v>
      </c>
      <c r="D26" s="7" t="str">
        <f>IFERROR(__xludf.DUMMYFUNCTION("""COMPUTED_VALUE"""),"Q12a. ")</f>
        <v>Q12a. </v>
      </c>
      <c r="E26" s="7" t="str">
        <f>IFERROR(__xludf.DUMMYFUNCTION("""COMPUTED_VALUE"""),"Contact MP")</f>
        <v>Contact MP</v>
      </c>
      <c r="F26" s="7" t="str">
        <f>IFERROR(__xludf.DUMMYFUNCTION("""COMPUTED_VALUE"""),"Member of the National Assembly")</f>
        <v>Member of the National Assembly</v>
      </c>
    </row>
    <row r="27">
      <c r="A27" s="7" t="str">
        <f>IFERROR(__xludf.DUMMYFUNCTION("""COMPUTED_VALUE"""),"NIGERIA ")</f>
        <v>NIGERIA </v>
      </c>
      <c r="B27" s="8">
        <f>IFERROR(__xludf.DUMMYFUNCTION("""COMPUTED_VALUE"""),10.0)</f>
        <v>10</v>
      </c>
      <c r="C27" s="7" t="str">
        <f>IFERROR(__xludf.DUMMYFUNCTION("""COMPUTED_VALUE"""),"A_05_09")</f>
        <v>A_05_09</v>
      </c>
      <c r="D27" s="7" t="str">
        <f>IFERROR(__xludf.DUMMYFUNCTION("""COMPUTED_VALUE"""),"Q12a. ")</f>
        <v>Q12a. </v>
      </c>
      <c r="E27" s="7" t="str">
        <f>IFERROR(__xludf.DUMMYFUNCTION("""COMPUTED_VALUE"""),"Contact MP")</f>
        <v>Contact MP</v>
      </c>
      <c r="F27" s="7" t="str">
        <f>IFERROR(__xludf.DUMMYFUNCTION("""COMPUTED_VALUE"""),"Member of the National Assembly")</f>
        <v>Member of the National Assembly</v>
      </c>
    </row>
    <row r="28">
      <c r="A28" s="7" t="str">
        <f>IFERROR(__xludf.DUMMYFUNCTION("""COMPUTED_VALUE"""),"SAO TOME AND PRINCIPE")</f>
        <v>SAO TOME AND PRINCIPE</v>
      </c>
      <c r="B28" s="8">
        <f>IFERROR(__xludf.DUMMYFUNCTION("""COMPUTED_VALUE"""),10.0)</f>
        <v>10</v>
      </c>
      <c r="C28" s="7" t="str">
        <f>IFERROR(__xludf.DUMMYFUNCTION("""COMPUTED_VALUE"""),"A_05_09")</f>
        <v>A_05_09</v>
      </c>
      <c r="D28" s="7" t="str">
        <f>IFERROR(__xludf.DUMMYFUNCTION("""COMPUTED_VALUE"""),"Q12a. ")</f>
        <v>Q12a. </v>
      </c>
      <c r="E28" s="7" t="str">
        <f>IFERROR(__xludf.DUMMYFUNCTION("""COMPUTED_VALUE"""),"Contact MP")</f>
        <v>Contact MP</v>
      </c>
      <c r="F28" s="7" t="str">
        <f>IFERROR(__xludf.DUMMYFUNCTION("""COMPUTED_VALUE"""),"Member of the National Assembly")</f>
        <v>Member of the National Assembly</v>
      </c>
    </row>
    <row r="29">
      <c r="A29" s="7" t="str">
        <f>IFERROR(__xludf.DUMMYFUNCTION("""COMPUTED_VALUE"""),"SENEGAL")</f>
        <v>SENEGAL</v>
      </c>
      <c r="B29" s="8">
        <f>IFERROR(__xludf.DUMMYFUNCTION("""COMPUTED_VALUE"""),10.0)</f>
        <v>10</v>
      </c>
      <c r="C29" s="7" t="str">
        <f>IFERROR(__xludf.DUMMYFUNCTION("""COMPUTED_VALUE"""),"A_05_09")</f>
        <v>A_05_09</v>
      </c>
      <c r="D29" s="7" t="str">
        <f>IFERROR(__xludf.DUMMYFUNCTION("""COMPUTED_VALUE"""),"Q12a. ")</f>
        <v>Q12a. </v>
      </c>
      <c r="E29" s="7" t="str">
        <f>IFERROR(__xludf.DUMMYFUNCTION("""COMPUTED_VALUE"""),"Contact MP")</f>
        <v>Contact MP</v>
      </c>
      <c r="F29" s="7" t="str">
        <f>IFERROR(__xludf.DUMMYFUNCTION("""COMPUTED_VALUE"""),"Member of the National Assembly")</f>
        <v>Member of the National Assembly</v>
      </c>
    </row>
    <row r="30">
      <c r="A30" s="7" t="str">
        <f>IFERROR(__xludf.DUMMYFUNCTION("""COMPUTED_VALUE"""),"SEYCHELLES")</f>
        <v>SEYCHELLES</v>
      </c>
      <c r="B30" s="8">
        <f>IFERROR(__xludf.DUMMYFUNCTION("""COMPUTED_VALUE"""),10.0)</f>
        <v>10</v>
      </c>
      <c r="C30" s="7" t="str">
        <f>IFERROR(__xludf.DUMMYFUNCTION("""COMPUTED_VALUE"""),"A_05_09")</f>
        <v>A_05_09</v>
      </c>
      <c r="D30" s="7" t="str">
        <f>IFERROR(__xludf.DUMMYFUNCTION("""COMPUTED_VALUE"""),"Q12a. ")</f>
        <v>Q12a. </v>
      </c>
      <c r="E30" s="7" t="str">
        <f>IFERROR(__xludf.DUMMYFUNCTION("""COMPUTED_VALUE"""),"Contact MP")</f>
        <v>Contact MP</v>
      </c>
      <c r="F30" s="7" t="str">
        <f>IFERROR(__xludf.DUMMYFUNCTION("""COMPUTED_VALUE"""),"Member of the National Assembly")</f>
        <v>Member of the National Assembly</v>
      </c>
    </row>
    <row r="31">
      <c r="A31" s="7" t="str">
        <f>IFERROR(__xludf.DUMMYFUNCTION("""COMPUTED_VALUE"""),"SOUTH AFRICA")</f>
        <v>SOUTH AFRICA</v>
      </c>
      <c r="B31" s="8">
        <f>IFERROR(__xludf.DUMMYFUNCTION("""COMPUTED_VALUE"""),10.0)</f>
        <v>10</v>
      </c>
      <c r="C31" s="7" t="str">
        <f>IFERROR(__xludf.DUMMYFUNCTION("""COMPUTED_VALUE"""),"A_05_09")</f>
        <v>A_05_09</v>
      </c>
      <c r="D31" s="7" t="str">
        <f>IFERROR(__xludf.DUMMYFUNCTION("""COMPUTED_VALUE"""),"Q12a. ")</f>
        <v>Q12a. </v>
      </c>
      <c r="E31" s="7" t="str">
        <f>IFERROR(__xludf.DUMMYFUNCTION("""COMPUTED_VALUE"""),"Contact MP")</f>
        <v>Contact MP</v>
      </c>
      <c r="F31" s="7" t="str">
        <f>IFERROR(__xludf.DUMMYFUNCTION("""COMPUTED_VALUE"""),"Member of Parliament")</f>
        <v>Member of Parliament</v>
      </c>
    </row>
    <row r="32">
      <c r="A32" s="7" t="str">
        <f>IFERROR(__xludf.DUMMYFUNCTION("""COMPUTED_VALUE"""),"TANZANIA")</f>
        <v>TANZANIA</v>
      </c>
      <c r="B32" s="8">
        <f>IFERROR(__xludf.DUMMYFUNCTION("""COMPUTED_VALUE"""),10.0)</f>
        <v>10</v>
      </c>
      <c r="C32" s="7" t="str">
        <f>IFERROR(__xludf.DUMMYFUNCTION("""COMPUTED_VALUE"""),"A_05_09")</f>
        <v>A_05_09</v>
      </c>
      <c r="D32" s="7" t="str">
        <f>IFERROR(__xludf.DUMMYFUNCTION("""COMPUTED_VALUE"""),"Q12a. ")</f>
        <v>Q12a. </v>
      </c>
      <c r="E32" s="7" t="str">
        <f>IFERROR(__xludf.DUMMYFUNCTION("""COMPUTED_VALUE"""),"Contact MP")</f>
        <v>Contact MP</v>
      </c>
      <c r="F32" s="7" t="str">
        <f>IFERROR(__xludf.DUMMYFUNCTION("""COMPUTED_VALUE"""),"Member of Parliament")</f>
        <v>Member of Parliament</v>
      </c>
    </row>
    <row r="33">
      <c r="A33" s="7" t="str">
        <f>IFERROR(__xludf.DUMMYFUNCTION("""COMPUTED_VALUE"""),"TOGO ")</f>
        <v>TOGO </v>
      </c>
      <c r="B33" s="8">
        <f>IFERROR(__xludf.DUMMYFUNCTION("""COMPUTED_VALUE"""),10.0)</f>
        <v>10</v>
      </c>
      <c r="C33" s="7" t="str">
        <f>IFERROR(__xludf.DUMMYFUNCTION("""COMPUTED_VALUE"""),"A_05_09")</f>
        <v>A_05_09</v>
      </c>
      <c r="D33" s="7" t="str">
        <f>IFERROR(__xludf.DUMMYFUNCTION("""COMPUTED_VALUE"""),"Q12a. ")</f>
        <v>Q12a. </v>
      </c>
      <c r="E33" s="7" t="str">
        <f>IFERROR(__xludf.DUMMYFUNCTION("""COMPUTED_VALUE"""),"Contact MP")</f>
        <v>Contact MP</v>
      </c>
      <c r="F33" s="7" t="str">
        <f>IFERROR(__xludf.DUMMYFUNCTION("""COMPUTED_VALUE"""),"Member of the National Assembly")</f>
        <v>Member of the National Assembly</v>
      </c>
    </row>
    <row r="34">
      <c r="A34" s="7" t="str">
        <f>IFERROR(__xludf.DUMMYFUNCTION("""COMPUTED_VALUE"""),"TUNISIA ")</f>
        <v>TUNISIA </v>
      </c>
      <c r="B34" s="8">
        <f>IFERROR(__xludf.DUMMYFUNCTION("""COMPUTED_VALUE"""),10.0)</f>
        <v>10</v>
      </c>
      <c r="C34" s="7" t="str">
        <f>IFERROR(__xludf.DUMMYFUNCTION("""COMPUTED_VALUE"""),"A_05_09")</f>
        <v>A_05_09</v>
      </c>
      <c r="D34" s="7" t="str">
        <f>IFERROR(__xludf.DUMMYFUNCTION("""COMPUTED_VALUE"""),"Q12a. ")</f>
        <v>Q12a. </v>
      </c>
      <c r="E34" s="7" t="str">
        <f>IFERROR(__xludf.DUMMYFUNCTION("""COMPUTED_VALUE"""),"Contact MP")</f>
        <v>Contact MP</v>
      </c>
      <c r="F34" s="7" t="str">
        <f>IFERROR(__xludf.DUMMYFUNCTION("""COMPUTED_VALUE"""),"Member of the Assembly of the People’s Representatives")</f>
        <v>Member of the Assembly of the People’s Representatives</v>
      </c>
    </row>
    <row r="35">
      <c r="A35" s="7" t="str">
        <f>IFERROR(__xludf.DUMMYFUNCTION("""COMPUTED_VALUE"""),"UGANDA  ")</f>
        <v>UGANDA  </v>
      </c>
      <c r="B35" s="8">
        <f>IFERROR(__xludf.DUMMYFUNCTION("""COMPUTED_VALUE"""),10.0)</f>
        <v>10</v>
      </c>
      <c r="C35" s="7" t="str">
        <f>IFERROR(__xludf.DUMMYFUNCTION("""COMPUTED_VALUE"""),"A_05_09")</f>
        <v>A_05_09</v>
      </c>
      <c r="D35" s="7" t="str">
        <f>IFERROR(__xludf.DUMMYFUNCTION("""COMPUTED_VALUE"""),"Q12a. ")</f>
        <v>Q12a. </v>
      </c>
      <c r="E35" s="7" t="str">
        <f>IFERROR(__xludf.DUMMYFUNCTION("""COMPUTED_VALUE"""),"Contact MP")</f>
        <v>Contact MP</v>
      </c>
      <c r="F35" s="7" t="str">
        <f>IFERROR(__xludf.DUMMYFUNCTION("""COMPUTED_VALUE"""),"Member of Parliament")</f>
        <v>Member of Parliament</v>
      </c>
    </row>
    <row r="36">
      <c r="A36" s="7" t="str">
        <f>IFERROR(__xludf.DUMMYFUNCTION("""COMPUTED_VALUE"""),"ZAMBIA")</f>
        <v>ZAMBIA</v>
      </c>
      <c r="B36" s="8">
        <f>IFERROR(__xludf.DUMMYFUNCTION("""COMPUTED_VALUE"""),10.0)</f>
        <v>10</v>
      </c>
      <c r="C36" s="7" t="str">
        <f>IFERROR(__xludf.DUMMYFUNCTION("""COMPUTED_VALUE"""),"A_05_09")</f>
        <v>A_05_09</v>
      </c>
      <c r="D36" s="7" t="str">
        <f>IFERROR(__xludf.DUMMYFUNCTION("""COMPUTED_VALUE"""),"Q12a. ")</f>
        <v>Q12a. </v>
      </c>
      <c r="E36" s="7" t="str">
        <f>IFERROR(__xludf.DUMMYFUNCTION("""COMPUTED_VALUE"""),"Contact MP")</f>
        <v>Contact MP</v>
      </c>
      <c r="F36" s="7" t="str">
        <f>IFERROR(__xludf.DUMMYFUNCTION("""COMPUTED_VALUE"""),"Member of Parliament")</f>
        <v>Member of Parliament</v>
      </c>
    </row>
    <row r="37">
      <c r="A37" s="7" t="str">
        <f>IFERROR(__xludf.DUMMYFUNCTION("""COMPUTED_VALUE"""),"ZIMBABWE")</f>
        <v>ZIMBABWE</v>
      </c>
      <c r="B37" s="8">
        <f>IFERROR(__xludf.DUMMYFUNCTION("""COMPUTED_VALUE"""),10.0)</f>
        <v>10</v>
      </c>
      <c r="C37" s="7" t="str">
        <f>IFERROR(__xludf.DUMMYFUNCTION("""COMPUTED_VALUE"""),"A_05_09")</f>
        <v>A_05_09</v>
      </c>
      <c r="D37" s="7" t="str">
        <f>IFERROR(__xludf.DUMMYFUNCTION("""COMPUTED_VALUE"""),"Q12a. ")</f>
        <v>Q12a. </v>
      </c>
      <c r="E37" s="7" t="str">
        <f>IFERROR(__xludf.DUMMYFUNCTION("""COMPUTED_VALUE"""),"Contact MP")</f>
        <v>Contact MP</v>
      </c>
      <c r="F37" s="7" t="str">
        <f>IFERROR(__xludf.DUMMYFUNCTION("""COMPUTED_VALUE"""),"Member of Parliament")</f>
        <v>Member of Parliament</v>
      </c>
    </row>
    <row r="38">
      <c r="A38" s="7" t="str">
        <f>IFERROR(__xludf.DUMMYFUNCTION("""COMPUTED_VALUE"""),"ANGOLA ")</f>
        <v>ANGOLA </v>
      </c>
      <c r="B38" s="8">
        <f>IFERROR(__xludf.DUMMYFUNCTION("""COMPUTED_VALUE"""),10.0)</f>
        <v>10</v>
      </c>
      <c r="C38" s="7" t="str">
        <f>IFERROR(__xludf.DUMMYFUNCTION("""COMPUTED_VALUE"""),"A_10_33")</f>
        <v>A_10_33</v>
      </c>
      <c r="D38" s="7" t="str">
        <f>IFERROR(__xludf.DUMMYFUNCTION("""COMPUTED_VALUE"""),"Q13a. ")</f>
        <v>Q13a. </v>
      </c>
      <c r="E38" s="7" t="str">
        <f>IFERROR(__xludf.DUMMYFUNCTION("""COMPUTED_VALUE"""),"Voting in the most recent national election")</f>
        <v>Voting in the most recent national election</v>
      </c>
      <c r="F38" s="7" t="str">
        <f>IFERROR(__xludf.DUMMYFUNCTION("""COMPUTED_VALUE"""),"2022")</f>
        <v>2022</v>
      </c>
    </row>
    <row r="39">
      <c r="A39" s="7" t="str">
        <f>IFERROR(__xludf.DUMMYFUNCTION("""COMPUTED_VALUE"""),"BENIN")</f>
        <v>BENIN</v>
      </c>
      <c r="B39" s="8">
        <f>IFERROR(__xludf.DUMMYFUNCTION("""COMPUTED_VALUE"""),10.0)</f>
        <v>10</v>
      </c>
      <c r="C39" s="7" t="str">
        <f>IFERROR(__xludf.DUMMYFUNCTION("""COMPUTED_VALUE"""),"A_10_33")</f>
        <v>A_10_33</v>
      </c>
      <c r="D39" s="7" t="str">
        <f>IFERROR(__xludf.DUMMYFUNCTION("""COMPUTED_VALUE"""),"Q13a. ")</f>
        <v>Q13a. </v>
      </c>
      <c r="E39" s="7" t="str">
        <f>IFERROR(__xludf.DUMMYFUNCTION("""COMPUTED_VALUE"""),"Voting in the most recent national election")</f>
        <v>Voting in the most recent national election</v>
      </c>
      <c r="F39" s="7" t="str">
        <f>IFERROR(__xludf.DUMMYFUNCTION("""COMPUTED_VALUE"""),"2023")</f>
        <v>2023</v>
      </c>
    </row>
    <row r="40">
      <c r="A40" s="7" t="str">
        <f>IFERROR(__xludf.DUMMYFUNCTION("""COMPUTED_VALUE"""),"BOTSWANA ")</f>
        <v>BOTSWANA </v>
      </c>
      <c r="B40" s="8">
        <f>IFERROR(__xludf.DUMMYFUNCTION("""COMPUTED_VALUE"""),10.0)</f>
        <v>10</v>
      </c>
      <c r="C40" s="7" t="str">
        <f>IFERROR(__xludf.DUMMYFUNCTION("""COMPUTED_VALUE"""),"A_10_33")</f>
        <v>A_10_33</v>
      </c>
      <c r="D40" s="7" t="str">
        <f>IFERROR(__xludf.DUMMYFUNCTION("""COMPUTED_VALUE"""),"Q13a. ")</f>
        <v>Q13a. </v>
      </c>
      <c r="E40" s="7" t="str">
        <f>IFERROR(__xludf.DUMMYFUNCTION("""COMPUTED_VALUE"""),"Voting in the most recent national election")</f>
        <v>Voting in the most recent national election</v>
      </c>
      <c r="F40" s="7" t="str">
        <f>IFERROR(__xludf.DUMMYFUNCTION("""COMPUTED_VALUE"""),"2019")</f>
        <v>2019</v>
      </c>
    </row>
    <row r="41">
      <c r="A41" s="7" t="str">
        <f>IFERROR(__xludf.DUMMYFUNCTION("""COMPUTED_VALUE"""),"CABO VERDE ")</f>
        <v>CABO VERDE </v>
      </c>
      <c r="B41" s="8">
        <f>IFERROR(__xludf.DUMMYFUNCTION("""COMPUTED_VALUE"""),10.0)</f>
        <v>10</v>
      </c>
      <c r="C41" s="7" t="str">
        <f>IFERROR(__xludf.DUMMYFUNCTION("""COMPUTED_VALUE"""),"A_10_33")</f>
        <v>A_10_33</v>
      </c>
      <c r="D41" s="7" t="str">
        <f>IFERROR(__xludf.DUMMYFUNCTION("""COMPUTED_VALUE"""),"Q13a. ")</f>
        <v>Q13a. </v>
      </c>
      <c r="E41" s="7" t="str">
        <f>IFERROR(__xludf.DUMMYFUNCTION("""COMPUTED_VALUE"""),"Voting in the most recent national election")</f>
        <v>Voting in the most recent national election</v>
      </c>
      <c r="F41" s="7" t="str">
        <f>IFERROR(__xludf.DUMMYFUNCTION("""COMPUTED_VALUE"""),"2021")</f>
        <v>2021</v>
      </c>
    </row>
    <row r="42">
      <c r="A42" s="7" t="str">
        <f>IFERROR(__xludf.DUMMYFUNCTION("""COMPUTED_VALUE"""),"CAMEROON")</f>
        <v>CAMEROON</v>
      </c>
      <c r="B42" s="8">
        <f>IFERROR(__xludf.DUMMYFUNCTION("""COMPUTED_VALUE"""),10.0)</f>
        <v>10</v>
      </c>
      <c r="C42" s="7" t="str">
        <f>IFERROR(__xludf.DUMMYFUNCTION("""COMPUTED_VALUE"""),"A_10_33")</f>
        <v>A_10_33</v>
      </c>
      <c r="D42" s="7" t="str">
        <f>IFERROR(__xludf.DUMMYFUNCTION("""COMPUTED_VALUE"""),"Q13a. ")</f>
        <v>Q13a. </v>
      </c>
      <c r="E42" s="7" t="str">
        <f>IFERROR(__xludf.DUMMYFUNCTION("""COMPUTED_VALUE"""),"Voting in the most recent national election")</f>
        <v>Voting in the most recent national election</v>
      </c>
      <c r="F42" s="7" t="str">
        <f>IFERROR(__xludf.DUMMYFUNCTION("""COMPUTED_VALUE"""),"2020")</f>
        <v>2020</v>
      </c>
    </row>
    <row r="43">
      <c r="A43" s="7" t="str">
        <f>IFERROR(__xludf.DUMMYFUNCTION("""COMPUTED_VALUE"""),"CHAD")</f>
        <v>CHAD</v>
      </c>
      <c r="B43" s="8">
        <f>IFERROR(__xludf.DUMMYFUNCTION("""COMPUTED_VALUE"""),10.0)</f>
        <v>10</v>
      </c>
      <c r="C43" s="7" t="str">
        <f>IFERROR(__xludf.DUMMYFUNCTION("""COMPUTED_VALUE"""),"A_10_33")</f>
        <v>A_10_33</v>
      </c>
      <c r="D43" s="7" t="str">
        <f>IFERROR(__xludf.DUMMYFUNCTION("""COMPUTED_VALUE"""),"Q13a. ")</f>
        <v>Q13a. </v>
      </c>
      <c r="E43" s="7" t="str">
        <f>IFERROR(__xludf.DUMMYFUNCTION("""COMPUTED_VALUE"""),"Voting in the most recent national election")</f>
        <v>Voting in the most recent national election</v>
      </c>
      <c r="F43" s="7" t="str">
        <f>IFERROR(__xludf.DUMMYFUNCTION("""COMPUTED_VALUE"""),"2024")</f>
        <v>2024</v>
      </c>
    </row>
    <row r="44">
      <c r="A44" s="7" t="str">
        <f>IFERROR(__xludf.DUMMYFUNCTION("""COMPUTED_VALUE"""),"COMOROS")</f>
        <v>COMOROS</v>
      </c>
      <c r="B44" s="8">
        <f>IFERROR(__xludf.DUMMYFUNCTION("""COMPUTED_VALUE"""),10.0)</f>
        <v>10</v>
      </c>
      <c r="C44" s="7" t="str">
        <f>IFERROR(__xludf.DUMMYFUNCTION("""COMPUTED_VALUE"""),"A_10_33")</f>
        <v>A_10_33</v>
      </c>
      <c r="D44" s="7" t="str">
        <f>IFERROR(__xludf.DUMMYFUNCTION("""COMPUTED_VALUE"""),"Q13a. ")</f>
        <v>Q13a. </v>
      </c>
      <c r="E44" s="7" t="str">
        <f>IFERROR(__xludf.DUMMYFUNCTION("""COMPUTED_VALUE"""),"Voting in the most recent national election")</f>
        <v>Voting in the most recent national election</v>
      </c>
      <c r="F44" s="7" t="str">
        <f>IFERROR(__xludf.DUMMYFUNCTION("""COMPUTED_VALUE"""),"2025")</f>
        <v>2025</v>
      </c>
    </row>
    <row r="45">
      <c r="A45" s="7" t="str">
        <f>IFERROR(__xludf.DUMMYFUNCTION("""COMPUTED_VALUE"""),"CONGO BRAZZAVILLE")</f>
        <v>CONGO BRAZZAVILLE</v>
      </c>
      <c r="B45" s="8">
        <f>IFERROR(__xludf.DUMMYFUNCTION("""COMPUTED_VALUE"""),10.0)</f>
        <v>10</v>
      </c>
      <c r="C45" s="7" t="str">
        <f>IFERROR(__xludf.DUMMYFUNCTION("""COMPUTED_VALUE"""),"A_10_33")</f>
        <v>A_10_33</v>
      </c>
      <c r="D45" s="7" t="str">
        <f>IFERROR(__xludf.DUMMYFUNCTION("""COMPUTED_VALUE"""),"Q13a. ")</f>
        <v>Q13a. </v>
      </c>
      <c r="E45" s="7" t="str">
        <f>IFERROR(__xludf.DUMMYFUNCTION("""COMPUTED_VALUE"""),"Voting in the most recent national election")</f>
        <v>Voting in the most recent national election</v>
      </c>
      <c r="F45" s="7" t="str">
        <f>IFERROR(__xludf.DUMMYFUNCTION("""COMPUTED_VALUE"""),"2022")</f>
        <v>2022</v>
      </c>
    </row>
    <row r="46">
      <c r="A46" s="7" t="str">
        <f>IFERROR(__xludf.DUMMYFUNCTION("""COMPUTED_VALUE"""),"COTE D'IVOIRE")</f>
        <v>COTE D'IVOIRE</v>
      </c>
      <c r="B46" s="8">
        <f>IFERROR(__xludf.DUMMYFUNCTION("""COMPUTED_VALUE"""),10.0)</f>
        <v>10</v>
      </c>
      <c r="C46" s="7" t="str">
        <f>IFERROR(__xludf.DUMMYFUNCTION("""COMPUTED_VALUE"""),"A_10_33")</f>
        <v>A_10_33</v>
      </c>
      <c r="D46" s="7" t="str">
        <f>IFERROR(__xludf.DUMMYFUNCTION("""COMPUTED_VALUE"""),"Q13a. ")</f>
        <v>Q13a. </v>
      </c>
      <c r="E46" s="7" t="str">
        <f>IFERROR(__xludf.DUMMYFUNCTION("""COMPUTED_VALUE"""),"Voting in the most recent national election")</f>
        <v>Voting in the most recent national election</v>
      </c>
      <c r="F46" s="7" t="str">
        <f>IFERROR(__xludf.DUMMYFUNCTION("""COMPUTED_VALUE"""),"2021")</f>
        <v>2021</v>
      </c>
    </row>
    <row r="47">
      <c r="A47" s="7" t="str">
        <f>IFERROR(__xludf.DUMMYFUNCTION("""COMPUTED_VALUE"""),"ESWATINI")</f>
        <v>ESWATINI</v>
      </c>
      <c r="B47" s="8">
        <f>IFERROR(__xludf.DUMMYFUNCTION("""COMPUTED_VALUE"""),10.0)</f>
        <v>10</v>
      </c>
      <c r="C47" s="7" t="str">
        <f>IFERROR(__xludf.DUMMYFUNCTION("""COMPUTED_VALUE"""),"A_10_33")</f>
        <v>A_10_33</v>
      </c>
      <c r="D47" s="7" t="str">
        <f>IFERROR(__xludf.DUMMYFUNCTION("""COMPUTED_VALUE"""),"Q13a. ")</f>
        <v>Q13a. </v>
      </c>
      <c r="E47" s="7" t="str">
        <f>IFERROR(__xludf.DUMMYFUNCTION("""COMPUTED_VALUE"""),"Voting in the most recent national election")</f>
        <v>Voting in the most recent national election</v>
      </c>
      <c r="F47" s="7" t="str">
        <f>IFERROR(__xludf.DUMMYFUNCTION("""COMPUTED_VALUE"""),"2023")</f>
        <v>2023</v>
      </c>
    </row>
    <row r="48">
      <c r="A48" s="7" t="str">
        <f>IFERROR(__xludf.DUMMYFUNCTION("""COMPUTED_VALUE"""),"GABON")</f>
        <v>GABON</v>
      </c>
      <c r="B48" s="8">
        <f>IFERROR(__xludf.DUMMYFUNCTION("""COMPUTED_VALUE"""),10.0)</f>
        <v>10</v>
      </c>
      <c r="C48" s="7" t="str">
        <f>IFERROR(__xludf.DUMMYFUNCTION("""COMPUTED_VALUE"""),"A_10_33")</f>
        <v>A_10_33</v>
      </c>
      <c r="D48" s="7" t="str">
        <f>IFERROR(__xludf.DUMMYFUNCTION("""COMPUTED_VALUE"""),"Q13a. ")</f>
        <v>Q13a. </v>
      </c>
      <c r="E48" s="7" t="str">
        <f>IFERROR(__xludf.DUMMYFUNCTION("""COMPUTED_VALUE"""),"Voting in the most recent national election")</f>
        <v>Voting in the most recent national election</v>
      </c>
      <c r="F48" s="7" t="str">
        <f>IFERROR(__xludf.DUMMYFUNCTION("""COMPUTED_VALUE"""),"2023")</f>
        <v>2023</v>
      </c>
    </row>
    <row r="49">
      <c r="A49" s="7" t="str">
        <f>IFERROR(__xludf.DUMMYFUNCTION("""COMPUTED_VALUE"""),"GAMBIA")</f>
        <v>GAMBIA</v>
      </c>
      <c r="B49" s="8">
        <f>IFERROR(__xludf.DUMMYFUNCTION("""COMPUTED_VALUE"""),10.0)</f>
        <v>10</v>
      </c>
      <c r="C49" s="7" t="str">
        <f>IFERROR(__xludf.DUMMYFUNCTION("""COMPUTED_VALUE"""),"A_10_33")</f>
        <v>A_10_33</v>
      </c>
      <c r="D49" s="7" t="str">
        <f>IFERROR(__xludf.DUMMYFUNCTION("""COMPUTED_VALUE"""),"Q13a. ")</f>
        <v>Q13a. </v>
      </c>
      <c r="E49" s="7" t="str">
        <f>IFERROR(__xludf.DUMMYFUNCTION("""COMPUTED_VALUE"""),"Voting in the most recent national election")</f>
        <v>Voting in the most recent national election</v>
      </c>
      <c r="F49" s="7" t="str">
        <f>IFERROR(__xludf.DUMMYFUNCTION("""COMPUTED_VALUE"""),"2023")</f>
        <v>2023</v>
      </c>
    </row>
    <row r="50">
      <c r="A50" s="7" t="str">
        <f>IFERROR(__xludf.DUMMYFUNCTION("""COMPUTED_VALUE"""),"GHANA ")</f>
        <v>GHANA </v>
      </c>
      <c r="B50" s="8">
        <f>IFERROR(__xludf.DUMMYFUNCTION("""COMPUTED_VALUE"""),10.0)</f>
        <v>10</v>
      </c>
      <c r="C50" s="7" t="str">
        <f>IFERROR(__xludf.DUMMYFUNCTION("""COMPUTED_VALUE"""),"A_10_33")</f>
        <v>A_10_33</v>
      </c>
      <c r="D50" s="7" t="str">
        <f>IFERROR(__xludf.DUMMYFUNCTION("""COMPUTED_VALUE"""),"Q13a. ")</f>
        <v>Q13a. </v>
      </c>
      <c r="E50" s="7" t="str">
        <f>IFERROR(__xludf.DUMMYFUNCTION("""COMPUTED_VALUE"""),"Voting in the most recent national election")</f>
        <v>Voting in the most recent national election</v>
      </c>
      <c r="F50" s="7" t="str">
        <f>IFERROR(__xludf.DUMMYFUNCTION("""COMPUTED_VALUE"""),"2020")</f>
        <v>2020</v>
      </c>
    </row>
    <row r="51">
      <c r="A51" s="7" t="str">
        <f>IFERROR(__xludf.DUMMYFUNCTION("""COMPUTED_VALUE"""),"GUINEA")</f>
        <v>GUINEA</v>
      </c>
      <c r="B51" s="8">
        <f>IFERROR(__xludf.DUMMYFUNCTION("""COMPUTED_VALUE"""),10.0)</f>
        <v>10</v>
      </c>
      <c r="C51" s="7" t="str">
        <f>IFERROR(__xludf.DUMMYFUNCTION("""COMPUTED_VALUE"""),"A_10_33")</f>
        <v>A_10_33</v>
      </c>
      <c r="D51" s="7" t="str">
        <f>IFERROR(__xludf.DUMMYFUNCTION("""COMPUTED_VALUE"""),"Q13a. ")</f>
        <v>Q13a. </v>
      </c>
      <c r="E51" s="7" t="str">
        <f>IFERROR(__xludf.DUMMYFUNCTION("""COMPUTED_VALUE"""),"Voting in the most recent national election")</f>
        <v>Voting in the most recent national election</v>
      </c>
      <c r="F51" s="7" t="str">
        <f>IFERROR(__xludf.DUMMYFUNCTION("""COMPUTED_VALUE"""),"2020")</f>
        <v>2020</v>
      </c>
    </row>
    <row r="52">
      <c r="A52" s="7" t="str">
        <f>IFERROR(__xludf.DUMMYFUNCTION("""COMPUTED_VALUE"""),"KENYA  ")</f>
        <v>KENYA  </v>
      </c>
      <c r="B52" s="8">
        <f>IFERROR(__xludf.DUMMYFUNCTION("""COMPUTED_VALUE"""),10.0)</f>
        <v>10</v>
      </c>
      <c r="C52" s="7" t="str">
        <f>IFERROR(__xludf.DUMMYFUNCTION("""COMPUTED_VALUE"""),"A_10_33")</f>
        <v>A_10_33</v>
      </c>
      <c r="D52" s="7" t="str">
        <f>IFERROR(__xludf.DUMMYFUNCTION("""COMPUTED_VALUE"""),"Q13a. ")</f>
        <v>Q13a. </v>
      </c>
      <c r="E52" s="7" t="str">
        <f>IFERROR(__xludf.DUMMYFUNCTION("""COMPUTED_VALUE"""),"Voting in the most recent national election")</f>
        <v>Voting in the most recent national election</v>
      </c>
      <c r="F52" s="7" t="str">
        <f>IFERROR(__xludf.DUMMYFUNCTION("""COMPUTED_VALUE"""),"2022")</f>
        <v>2022</v>
      </c>
    </row>
    <row r="53">
      <c r="A53" s="7" t="str">
        <f>IFERROR(__xludf.DUMMYFUNCTION("""COMPUTED_VALUE"""),"LESOTHO ")</f>
        <v>LESOTHO </v>
      </c>
      <c r="B53" s="8">
        <f>IFERROR(__xludf.DUMMYFUNCTION("""COMPUTED_VALUE"""),10.0)</f>
        <v>10</v>
      </c>
      <c r="C53" s="7" t="str">
        <f>IFERROR(__xludf.DUMMYFUNCTION("""COMPUTED_VALUE"""),"A_10_33")</f>
        <v>A_10_33</v>
      </c>
      <c r="D53" s="7" t="str">
        <f>IFERROR(__xludf.DUMMYFUNCTION("""COMPUTED_VALUE"""),"Q13a. ")</f>
        <v>Q13a. </v>
      </c>
      <c r="E53" s="7" t="str">
        <f>IFERROR(__xludf.DUMMYFUNCTION("""COMPUTED_VALUE"""),"Voting in the most recent national election")</f>
        <v>Voting in the most recent national election</v>
      </c>
      <c r="F53" s="7" t="str">
        <f>IFERROR(__xludf.DUMMYFUNCTION("""COMPUTED_VALUE"""),"2022")</f>
        <v>2022</v>
      </c>
    </row>
    <row r="54">
      <c r="A54" s="7" t="str">
        <f>IFERROR(__xludf.DUMMYFUNCTION("""COMPUTED_VALUE"""),"LIBERIA  ")</f>
        <v>LIBERIA  </v>
      </c>
      <c r="B54" s="8">
        <f>IFERROR(__xludf.DUMMYFUNCTION("""COMPUTED_VALUE"""),10.0)</f>
        <v>10</v>
      </c>
      <c r="C54" s="7" t="str">
        <f>IFERROR(__xludf.DUMMYFUNCTION("""COMPUTED_VALUE"""),"A_10_33")</f>
        <v>A_10_33</v>
      </c>
      <c r="D54" s="7" t="str">
        <f>IFERROR(__xludf.DUMMYFUNCTION("""COMPUTED_VALUE"""),"Q13a. ")</f>
        <v>Q13a. </v>
      </c>
      <c r="E54" s="7" t="str">
        <f>IFERROR(__xludf.DUMMYFUNCTION("""COMPUTED_VALUE"""),"Voting in the most recent national election")</f>
        <v>Voting in the most recent national election</v>
      </c>
      <c r="F54" s="7" t="str">
        <f>IFERROR(__xludf.DUMMYFUNCTION("""COMPUTED_VALUE"""),"2023")</f>
        <v>2023</v>
      </c>
    </row>
    <row r="55">
      <c r="A55" s="7" t="str">
        <f>IFERROR(__xludf.DUMMYFUNCTION("""COMPUTED_VALUE"""),"MADAGASCAR")</f>
        <v>MADAGASCAR</v>
      </c>
      <c r="B55" s="8">
        <f>IFERROR(__xludf.DUMMYFUNCTION("""COMPUTED_VALUE"""),10.0)</f>
        <v>10</v>
      </c>
      <c r="C55" s="7" t="str">
        <f>IFERROR(__xludf.DUMMYFUNCTION("""COMPUTED_VALUE"""),"A_10_33")</f>
        <v>A_10_33</v>
      </c>
      <c r="D55" s="7" t="str">
        <f>IFERROR(__xludf.DUMMYFUNCTION("""COMPUTED_VALUE"""),"Q13a. ")</f>
        <v>Q13a. </v>
      </c>
      <c r="E55" s="7" t="str">
        <f>IFERROR(__xludf.DUMMYFUNCTION("""COMPUTED_VALUE"""),"Voting in the most recent national election")</f>
        <v>Voting in the most recent national election</v>
      </c>
      <c r="F55" s="7" t="str">
        <f>IFERROR(__xludf.DUMMYFUNCTION("""COMPUTED_VALUE"""),"2024")</f>
        <v>2024</v>
      </c>
    </row>
    <row r="56">
      <c r="A56" s="7" t="str">
        <f>IFERROR(__xludf.DUMMYFUNCTION("""COMPUTED_VALUE"""),"MALAWI ")</f>
        <v>MALAWI </v>
      </c>
      <c r="B56" s="8">
        <f>IFERROR(__xludf.DUMMYFUNCTION("""COMPUTED_VALUE"""),10.0)</f>
        <v>10</v>
      </c>
      <c r="C56" s="7" t="str">
        <f>IFERROR(__xludf.DUMMYFUNCTION("""COMPUTED_VALUE"""),"A_10_33")</f>
        <v>A_10_33</v>
      </c>
      <c r="D56" s="7" t="str">
        <f>IFERROR(__xludf.DUMMYFUNCTION("""COMPUTED_VALUE"""),"Q13a. ")</f>
        <v>Q13a. </v>
      </c>
      <c r="E56" s="7" t="str">
        <f>IFERROR(__xludf.DUMMYFUNCTION("""COMPUTED_VALUE"""),"Voting in the most recent national election")</f>
        <v>Voting in the most recent national election</v>
      </c>
      <c r="F56" s="7" t="str">
        <f>IFERROR(__xludf.DUMMYFUNCTION("""COMPUTED_VALUE"""),"2020")</f>
        <v>2020</v>
      </c>
    </row>
    <row r="57">
      <c r="A57" s="7" t="str">
        <f>IFERROR(__xludf.DUMMYFUNCTION("""COMPUTED_VALUE"""),"MALI")</f>
        <v>MALI</v>
      </c>
      <c r="B57" s="8">
        <f>IFERROR(__xludf.DUMMYFUNCTION("""COMPUTED_VALUE"""),10.0)</f>
        <v>10</v>
      </c>
      <c r="C57" s="7" t="str">
        <f>IFERROR(__xludf.DUMMYFUNCTION("""COMPUTED_VALUE"""),"A_10_33")</f>
        <v>A_10_33</v>
      </c>
      <c r="D57" s="7" t="str">
        <f>IFERROR(__xludf.DUMMYFUNCTION("""COMPUTED_VALUE"""),"Q13a. ")</f>
        <v>Q13a. </v>
      </c>
      <c r="E57" s="7" t="str">
        <f>IFERROR(__xludf.DUMMYFUNCTION("""COMPUTED_VALUE"""),"Voting in the most recent national election")</f>
        <v>Voting in the most recent national election</v>
      </c>
      <c r="F57" s="7" t="str">
        <f>IFERROR(__xludf.DUMMYFUNCTION("""COMPUTED_VALUE"""),"2020")</f>
        <v>2020</v>
      </c>
    </row>
    <row r="58">
      <c r="A58" s="7" t="str">
        <f>IFERROR(__xludf.DUMMYFUNCTION("""COMPUTED_VALUE"""),"MAURITANIA")</f>
        <v>MAURITANIA</v>
      </c>
      <c r="B58" s="8">
        <f>IFERROR(__xludf.DUMMYFUNCTION("""COMPUTED_VALUE"""),10.0)</f>
        <v>10</v>
      </c>
      <c r="C58" s="7" t="str">
        <f>IFERROR(__xludf.DUMMYFUNCTION("""COMPUTED_VALUE"""),"A_10_33")</f>
        <v>A_10_33</v>
      </c>
      <c r="D58" s="7" t="str">
        <f>IFERROR(__xludf.DUMMYFUNCTION("""COMPUTED_VALUE"""),"Q13a. ")</f>
        <v>Q13a. </v>
      </c>
      <c r="E58" s="7" t="str">
        <f>IFERROR(__xludf.DUMMYFUNCTION("""COMPUTED_VALUE"""),"Voting in the most recent national election")</f>
        <v>Voting in the most recent national election</v>
      </c>
      <c r="F58" s="7" t="str">
        <f>IFERROR(__xludf.DUMMYFUNCTION("""COMPUTED_VALUE"""),"2024")</f>
        <v>2024</v>
      </c>
    </row>
    <row r="59">
      <c r="A59" s="7" t="str">
        <f>IFERROR(__xludf.DUMMYFUNCTION("""COMPUTED_VALUE"""),"MAURITIUS")</f>
        <v>MAURITIUS</v>
      </c>
      <c r="B59" s="8">
        <f>IFERROR(__xludf.DUMMYFUNCTION("""COMPUTED_VALUE"""),10.0)</f>
        <v>10</v>
      </c>
      <c r="C59" s="7" t="str">
        <f>IFERROR(__xludf.DUMMYFUNCTION("""COMPUTED_VALUE"""),"A_10_33")</f>
        <v>A_10_33</v>
      </c>
      <c r="D59" s="7" t="str">
        <f>IFERROR(__xludf.DUMMYFUNCTION("""COMPUTED_VALUE"""),"Q13a. ")</f>
        <v>Q13a. </v>
      </c>
      <c r="E59" s="7" t="str">
        <f>IFERROR(__xludf.DUMMYFUNCTION("""COMPUTED_VALUE"""),"Voting in the most recent national election")</f>
        <v>Voting in the most recent national election</v>
      </c>
      <c r="F59" s="7" t="str">
        <f>IFERROR(__xludf.DUMMYFUNCTION("""COMPUTED_VALUE"""),"2019")</f>
        <v>2019</v>
      </c>
    </row>
    <row r="60">
      <c r="A60" s="7" t="str">
        <f>IFERROR(__xludf.DUMMYFUNCTION("""COMPUTED_VALUE"""),"MOROCCO ")</f>
        <v>MOROCCO </v>
      </c>
      <c r="B60" s="8">
        <f>IFERROR(__xludf.DUMMYFUNCTION("""COMPUTED_VALUE"""),10.0)</f>
        <v>10</v>
      </c>
      <c r="C60" s="7" t="str">
        <f>IFERROR(__xludf.DUMMYFUNCTION("""COMPUTED_VALUE"""),"A_10_33")</f>
        <v>A_10_33</v>
      </c>
      <c r="D60" s="7" t="str">
        <f>IFERROR(__xludf.DUMMYFUNCTION("""COMPUTED_VALUE"""),"Q13a. ")</f>
        <v>Q13a. </v>
      </c>
      <c r="E60" s="7" t="str">
        <f>IFERROR(__xludf.DUMMYFUNCTION("""COMPUTED_VALUE"""),"Voting in the most recent national election")</f>
        <v>Voting in the most recent national election</v>
      </c>
      <c r="F60" s="7" t="str">
        <f>IFERROR(__xludf.DUMMYFUNCTION("""COMPUTED_VALUE"""),"2021")</f>
        <v>2021</v>
      </c>
    </row>
    <row r="61">
      <c r="A61" s="7" t="str">
        <f>IFERROR(__xludf.DUMMYFUNCTION("""COMPUTED_VALUE"""),"MOZAMBIQUE")</f>
        <v>MOZAMBIQUE</v>
      </c>
      <c r="B61" s="8">
        <f>IFERROR(__xludf.DUMMYFUNCTION("""COMPUTED_VALUE"""),10.0)</f>
        <v>10</v>
      </c>
      <c r="C61" s="7" t="str">
        <f>IFERROR(__xludf.DUMMYFUNCTION("""COMPUTED_VALUE"""),"A_10_33")</f>
        <v>A_10_33</v>
      </c>
      <c r="D61" s="7" t="str">
        <f>IFERROR(__xludf.DUMMYFUNCTION("""COMPUTED_VALUE"""),"Q13a. ")</f>
        <v>Q13a. </v>
      </c>
      <c r="E61" s="7" t="str">
        <f>IFERROR(__xludf.DUMMYFUNCTION("""COMPUTED_VALUE"""),"Voting in the most recent national election")</f>
        <v>Voting in the most recent national election</v>
      </c>
      <c r="F61" s="7" t="str">
        <f>IFERROR(__xludf.DUMMYFUNCTION("""COMPUTED_VALUE"""),"2024")</f>
        <v>2024</v>
      </c>
    </row>
    <row r="62">
      <c r="A62" s="7" t="str">
        <f>IFERROR(__xludf.DUMMYFUNCTION("""COMPUTED_VALUE"""),"NAMIBIA ")</f>
        <v>NAMIBIA </v>
      </c>
      <c r="B62" s="8">
        <f>IFERROR(__xludf.DUMMYFUNCTION("""COMPUTED_VALUE"""),10.0)</f>
        <v>10</v>
      </c>
      <c r="C62" s="7" t="str">
        <f>IFERROR(__xludf.DUMMYFUNCTION("""COMPUTED_VALUE"""),"A_10_33")</f>
        <v>A_10_33</v>
      </c>
      <c r="D62" s="7" t="str">
        <f>IFERROR(__xludf.DUMMYFUNCTION("""COMPUTED_VALUE"""),"Q13a. ")</f>
        <v>Q13a. </v>
      </c>
      <c r="E62" s="7" t="str">
        <f>IFERROR(__xludf.DUMMYFUNCTION("""COMPUTED_VALUE"""),"Voting in the most recent national election")</f>
        <v>Voting in the most recent national election</v>
      </c>
      <c r="F62" s="7" t="str">
        <f>IFERROR(__xludf.DUMMYFUNCTION("""COMPUTED_VALUE"""),"2019")</f>
        <v>2019</v>
      </c>
    </row>
    <row r="63">
      <c r="A63" s="7" t="str">
        <f>IFERROR(__xludf.DUMMYFUNCTION("""COMPUTED_VALUE"""),"NIGERIA ")</f>
        <v>NIGERIA </v>
      </c>
      <c r="B63" s="8">
        <f>IFERROR(__xludf.DUMMYFUNCTION("""COMPUTED_VALUE"""),10.0)</f>
        <v>10</v>
      </c>
      <c r="C63" s="7" t="str">
        <f>IFERROR(__xludf.DUMMYFUNCTION("""COMPUTED_VALUE"""),"A_10_33")</f>
        <v>A_10_33</v>
      </c>
      <c r="D63" s="7" t="str">
        <f>IFERROR(__xludf.DUMMYFUNCTION("""COMPUTED_VALUE"""),"Q13a. ")</f>
        <v>Q13a. </v>
      </c>
      <c r="E63" s="7" t="str">
        <f>IFERROR(__xludf.DUMMYFUNCTION("""COMPUTED_VALUE"""),"Voting in the most recent national election")</f>
        <v>Voting in the most recent national election</v>
      </c>
      <c r="F63" s="7" t="str">
        <f>IFERROR(__xludf.DUMMYFUNCTION("""COMPUTED_VALUE"""),"2023")</f>
        <v>2023</v>
      </c>
    </row>
    <row r="64">
      <c r="A64" s="7" t="str">
        <f>IFERROR(__xludf.DUMMYFUNCTION("""COMPUTED_VALUE"""),"SAO TOME AND PRINCIPE")</f>
        <v>SAO TOME AND PRINCIPE</v>
      </c>
      <c r="B64" s="8">
        <f>IFERROR(__xludf.DUMMYFUNCTION("""COMPUTED_VALUE"""),10.0)</f>
        <v>10</v>
      </c>
      <c r="C64" s="7" t="str">
        <f>IFERROR(__xludf.DUMMYFUNCTION("""COMPUTED_VALUE"""),"A_10_33")</f>
        <v>A_10_33</v>
      </c>
      <c r="D64" s="7" t="str">
        <f>IFERROR(__xludf.DUMMYFUNCTION("""COMPUTED_VALUE"""),"Q13a. ")</f>
        <v>Q13a. </v>
      </c>
      <c r="E64" s="7" t="str">
        <f>IFERROR(__xludf.DUMMYFUNCTION("""COMPUTED_VALUE"""),"Voting in the most recent national election")</f>
        <v>Voting in the most recent national election</v>
      </c>
      <c r="F64" s="7" t="str">
        <f>IFERROR(__xludf.DUMMYFUNCTION("""COMPUTED_VALUE"""),"2022")</f>
        <v>2022</v>
      </c>
    </row>
    <row r="65">
      <c r="A65" s="7" t="str">
        <f>IFERROR(__xludf.DUMMYFUNCTION("""COMPUTED_VALUE"""),"SENEGAL")</f>
        <v>SENEGAL</v>
      </c>
      <c r="B65" s="8">
        <f>IFERROR(__xludf.DUMMYFUNCTION("""COMPUTED_VALUE"""),10.0)</f>
        <v>10</v>
      </c>
      <c r="C65" s="7" t="str">
        <f>IFERROR(__xludf.DUMMYFUNCTION("""COMPUTED_VALUE"""),"A_10_33")</f>
        <v>A_10_33</v>
      </c>
      <c r="D65" s="7" t="str">
        <f>IFERROR(__xludf.DUMMYFUNCTION("""COMPUTED_VALUE"""),"Q13a. ")</f>
        <v>Q13a. </v>
      </c>
      <c r="E65" s="7" t="str">
        <f>IFERROR(__xludf.DUMMYFUNCTION("""COMPUTED_VALUE"""),"Voting in the most recent national election")</f>
        <v>Voting in the most recent national election</v>
      </c>
      <c r="F65" s="7" t="str">
        <f>IFERROR(__xludf.DUMMYFUNCTION("""COMPUTED_VALUE"""),"2024")</f>
        <v>2024</v>
      </c>
    </row>
    <row r="66">
      <c r="A66" s="7" t="str">
        <f>IFERROR(__xludf.DUMMYFUNCTION("""COMPUTED_VALUE"""),"SEYCHELLES")</f>
        <v>SEYCHELLES</v>
      </c>
      <c r="B66" s="8">
        <f>IFERROR(__xludf.DUMMYFUNCTION("""COMPUTED_VALUE"""),10.0)</f>
        <v>10</v>
      </c>
      <c r="C66" s="7" t="str">
        <f>IFERROR(__xludf.DUMMYFUNCTION("""COMPUTED_VALUE"""),"A_10_33")</f>
        <v>A_10_33</v>
      </c>
      <c r="D66" s="7" t="str">
        <f>IFERROR(__xludf.DUMMYFUNCTION("""COMPUTED_VALUE"""),"Q13a. ")</f>
        <v>Q13a. </v>
      </c>
      <c r="E66" s="7" t="str">
        <f>IFERROR(__xludf.DUMMYFUNCTION("""COMPUTED_VALUE"""),"Voting in the most recent national election")</f>
        <v>Voting in the most recent national election</v>
      </c>
      <c r="F66" s="7" t="str">
        <f>IFERROR(__xludf.DUMMYFUNCTION("""COMPUTED_VALUE"""),"2020")</f>
        <v>2020</v>
      </c>
    </row>
    <row r="67">
      <c r="A67" s="7" t="str">
        <f>IFERROR(__xludf.DUMMYFUNCTION("""COMPUTED_VALUE"""),"SOUTH AFRICA")</f>
        <v>SOUTH AFRICA</v>
      </c>
      <c r="B67" s="8">
        <f>IFERROR(__xludf.DUMMYFUNCTION("""COMPUTED_VALUE"""),10.0)</f>
        <v>10</v>
      </c>
      <c r="C67" s="7" t="str">
        <f>IFERROR(__xludf.DUMMYFUNCTION("""COMPUTED_VALUE"""),"A_10_33")</f>
        <v>A_10_33</v>
      </c>
      <c r="D67" s="7" t="str">
        <f>IFERROR(__xludf.DUMMYFUNCTION("""COMPUTED_VALUE"""),"Q13a. ")</f>
        <v>Q13a. </v>
      </c>
      <c r="E67" s="7" t="str">
        <f>IFERROR(__xludf.DUMMYFUNCTION("""COMPUTED_VALUE"""),"Voting in the most recent national election")</f>
        <v>Voting in the most recent national election</v>
      </c>
      <c r="F67" s="7" t="str">
        <f>IFERROR(__xludf.DUMMYFUNCTION("""COMPUTED_VALUE"""),"2024")</f>
        <v>2024</v>
      </c>
    </row>
    <row r="68">
      <c r="A68" s="7" t="str">
        <f>IFERROR(__xludf.DUMMYFUNCTION("""COMPUTED_VALUE"""),"TANZANIA")</f>
        <v>TANZANIA</v>
      </c>
      <c r="B68" s="8">
        <f>IFERROR(__xludf.DUMMYFUNCTION("""COMPUTED_VALUE"""),10.0)</f>
        <v>10</v>
      </c>
      <c r="C68" s="7" t="str">
        <f>IFERROR(__xludf.DUMMYFUNCTION("""COMPUTED_VALUE"""),"A_10_33")</f>
        <v>A_10_33</v>
      </c>
      <c r="D68" s="7" t="str">
        <f>IFERROR(__xludf.DUMMYFUNCTION("""COMPUTED_VALUE"""),"Q13a. ")</f>
        <v>Q13a. </v>
      </c>
      <c r="E68" s="7" t="str">
        <f>IFERROR(__xludf.DUMMYFUNCTION("""COMPUTED_VALUE"""),"Voting in the most recent national election")</f>
        <v>Voting in the most recent national election</v>
      </c>
      <c r="F68" s="7" t="str">
        <f>IFERROR(__xludf.DUMMYFUNCTION("""COMPUTED_VALUE"""),"2020")</f>
        <v>2020</v>
      </c>
    </row>
    <row r="69">
      <c r="A69" s="7" t="str">
        <f>IFERROR(__xludf.DUMMYFUNCTION("""COMPUTED_VALUE"""),"TOGO ")</f>
        <v>TOGO </v>
      </c>
      <c r="B69" s="8">
        <f>IFERROR(__xludf.DUMMYFUNCTION("""COMPUTED_VALUE"""),10.0)</f>
        <v>10</v>
      </c>
      <c r="C69" s="7" t="str">
        <f>IFERROR(__xludf.DUMMYFUNCTION("""COMPUTED_VALUE"""),"A_10_33")</f>
        <v>A_10_33</v>
      </c>
      <c r="D69" s="7" t="str">
        <f>IFERROR(__xludf.DUMMYFUNCTION("""COMPUTED_VALUE"""),"Q13a. ")</f>
        <v>Q13a. </v>
      </c>
      <c r="E69" s="7" t="str">
        <f>IFERROR(__xludf.DUMMYFUNCTION("""COMPUTED_VALUE"""),"Voting in the most recent national election")</f>
        <v>Voting in the most recent national election</v>
      </c>
      <c r="F69" s="7" t="str">
        <f>IFERROR(__xludf.DUMMYFUNCTION("""COMPUTED_VALUE"""),"2024")</f>
        <v>2024</v>
      </c>
    </row>
    <row r="70">
      <c r="A70" s="7" t="str">
        <f>IFERROR(__xludf.DUMMYFUNCTION("""COMPUTED_VALUE"""),"TUNISIA ")</f>
        <v>TUNISIA </v>
      </c>
      <c r="B70" s="8">
        <f>IFERROR(__xludf.DUMMYFUNCTION("""COMPUTED_VALUE"""),10.0)</f>
        <v>10</v>
      </c>
      <c r="C70" s="7" t="str">
        <f>IFERROR(__xludf.DUMMYFUNCTION("""COMPUTED_VALUE"""),"A_10_33")</f>
        <v>A_10_33</v>
      </c>
      <c r="D70" s="7" t="str">
        <f>IFERROR(__xludf.DUMMYFUNCTION("""COMPUTED_VALUE"""),"Q13a. ")</f>
        <v>Q13a. </v>
      </c>
      <c r="E70" s="7" t="str">
        <f>IFERROR(__xludf.DUMMYFUNCTION("""COMPUTED_VALUE"""),"Voting in the most recent national election")</f>
        <v>Voting in the most recent national election</v>
      </c>
      <c r="F70" s="7" t="str">
        <f>IFERROR(__xludf.DUMMYFUNCTION("""COMPUTED_VALUE"""),"2023")</f>
        <v>2023</v>
      </c>
    </row>
    <row r="71">
      <c r="A71" s="7" t="str">
        <f>IFERROR(__xludf.DUMMYFUNCTION("""COMPUTED_VALUE"""),"UGANDA  ")</f>
        <v>UGANDA  </v>
      </c>
      <c r="B71" s="8">
        <f>IFERROR(__xludf.DUMMYFUNCTION("""COMPUTED_VALUE"""),10.0)</f>
        <v>10</v>
      </c>
      <c r="C71" s="7" t="str">
        <f>IFERROR(__xludf.DUMMYFUNCTION("""COMPUTED_VALUE"""),"A_10_33")</f>
        <v>A_10_33</v>
      </c>
      <c r="D71" s="7" t="str">
        <f>IFERROR(__xludf.DUMMYFUNCTION("""COMPUTED_VALUE"""),"Q13a. ")</f>
        <v>Q13a. </v>
      </c>
      <c r="E71" s="7" t="str">
        <f>IFERROR(__xludf.DUMMYFUNCTION("""COMPUTED_VALUE"""),"Voting in the most recent national election")</f>
        <v>Voting in the most recent national election</v>
      </c>
      <c r="F71" s="7" t="str">
        <f>IFERROR(__xludf.DUMMYFUNCTION("""COMPUTED_VALUE"""),"2021")</f>
        <v>2021</v>
      </c>
    </row>
    <row r="72">
      <c r="A72" s="7" t="str">
        <f>IFERROR(__xludf.DUMMYFUNCTION("""COMPUTED_VALUE"""),"ZAMBIA")</f>
        <v>ZAMBIA</v>
      </c>
      <c r="B72" s="8">
        <f>IFERROR(__xludf.DUMMYFUNCTION("""COMPUTED_VALUE"""),10.0)</f>
        <v>10</v>
      </c>
      <c r="C72" s="7" t="str">
        <f>IFERROR(__xludf.DUMMYFUNCTION("""COMPUTED_VALUE"""),"A_10_33")</f>
        <v>A_10_33</v>
      </c>
      <c r="D72" s="7" t="str">
        <f>IFERROR(__xludf.DUMMYFUNCTION("""COMPUTED_VALUE"""),"Q13a. ")</f>
        <v>Q13a. </v>
      </c>
      <c r="E72" s="7" t="str">
        <f>IFERROR(__xludf.DUMMYFUNCTION("""COMPUTED_VALUE"""),"Voting in the most recent national election")</f>
        <v>Voting in the most recent national election</v>
      </c>
      <c r="F72" s="7" t="str">
        <f>IFERROR(__xludf.DUMMYFUNCTION("""COMPUTED_VALUE"""),"2021")</f>
        <v>2021</v>
      </c>
    </row>
    <row r="73">
      <c r="A73" s="7" t="str">
        <f>IFERROR(__xludf.DUMMYFUNCTION("""COMPUTED_VALUE"""),"ZIMBABWE")</f>
        <v>ZIMBABWE</v>
      </c>
      <c r="B73" s="8">
        <f>IFERROR(__xludf.DUMMYFUNCTION("""COMPUTED_VALUE"""),10.0)</f>
        <v>10</v>
      </c>
      <c r="C73" s="7" t="str">
        <f>IFERROR(__xludf.DUMMYFUNCTION("""COMPUTED_VALUE"""),"A_10_33")</f>
        <v>A_10_33</v>
      </c>
      <c r="D73" s="7" t="str">
        <f>IFERROR(__xludf.DUMMYFUNCTION("""COMPUTED_VALUE"""),"Q13a. ")</f>
        <v>Q13a. </v>
      </c>
      <c r="E73" s="7" t="str">
        <f>IFERROR(__xludf.DUMMYFUNCTION("""COMPUTED_VALUE"""),"Voting in the most recent national election")</f>
        <v>Voting in the most recent national election</v>
      </c>
      <c r="F73" s="7" t="str">
        <f>IFERROR(__xludf.DUMMYFUNCTION("""COMPUTED_VALUE"""),"2023")</f>
        <v>2023</v>
      </c>
    </row>
    <row r="74">
      <c r="A74" s="7" t="str">
        <f>IFERROR(__xludf.DUMMYFUNCTION("""COMPUTED_VALUE"""),"ANGOLA ")</f>
        <v>ANGOLA </v>
      </c>
      <c r="B74" s="8">
        <f>IFERROR(__xludf.DUMMYFUNCTION("""COMPUTED_VALUE"""),10.0)</f>
        <v>10</v>
      </c>
      <c r="C74" s="7" t="str">
        <f>IFERROR(__xludf.DUMMYFUNCTION("""COMPUTED_VALUE"""),"A_10_34")</f>
        <v>A_10_34</v>
      </c>
      <c r="D74" s="7" t="str">
        <f>IFERROR(__xludf.DUMMYFUNCTION("""COMPUTED_VALUE"""),"Q13b. ")</f>
        <v>Q13b. </v>
      </c>
      <c r="E74" s="7" t="str">
        <f>IFERROR(__xludf.DUMMYFUNCTION("""COMPUTED_VALUE"""),"Intend to vote in the next national election (if too young)")</f>
        <v>Intend to vote in the next national election (if too young)</v>
      </c>
      <c r="F74" s="7" t="str">
        <f>IFERROR(__xludf.DUMMYFUNCTION("""COMPUTED_VALUE"""),"2027")</f>
        <v>2027</v>
      </c>
    </row>
    <row r="75">
      <c r="A75" s="7" t="str">
        <f>IFERROR(__xludf.DUMMYFUNCTION("""COMPUTED_VALUE"""),"BENIN")</f>
        <v>BENIN</v>
      </c>
      <c r="B75" s="8">
        <f>IFERROR(__xludf.DUMMYFUNCTION("""COMPUTED_VALUE"""),10.0)</f>
        <v>10</v>
      </c>
      <c r="C75" s="7" t="str">
        <f>IFERROR(__xludf.DUMMYFUNCTION("""COMPUTED_VALUE"""),"A_10_34")</f>
        <v>A_10_34</v>
      </c>
      <c r="D75" s="7" t="str">
        <f>IFERROR(__xludf.DUMMYFUNCTION("""COMPUTED_VALUE"""),"Q13b. ")</f>
        <v>Q13b. </v>
      </c>
      <c r="E75" s="7" t="str">
        <f>IFERROR(__xludf.DUMMYFUNCTION("""COMPUTED_VALUE"""),"Intend to vote in the next national election (if too young)")</f>
        <v>Intend to vote in the next national election (if too young)</v>
      </c>
      <c r="F75" s="7" t="str">
        <f>IFERROR(__xludf.DUMMYFUNCTION("""COMPUTED_VALUE"""),"2026")</f>
        <v>2026</v>
      </c>
    </row>
    <row r="76">
      <c r="A76" s="7" t="str">
        <f>IFERROR(__xludf.DUMMYFUNCTION("""COMPUTED_VALUE"""),"BOTSWANA ")</f>
        <v>BOTSWANA </v>
      </c>
      <c r="B76" s="8">
        <f>IFERROR(__xludf.DUMMYFUNCTION("""COMPUTED_VALUE"""),10.0)</f>
        <v>10</v>
      </c>
      <c r="C76" s="7" t="str">
        <f>IFERROR(__xludf.DUMMYFUNCTION("""COMPUTED_VALUE"""),"A_10_34")</f>
        <v>A_10_34</v>
      </c>
      <c r="D76" s="7" t="str">
        <f>IFERROR(__xludf.DUMMYFUNCTION("""COMPUTED_VALUE"""),"Q13b. ")</f>
        <v>Q13b. </v>
      </c>
      <c r="E76" s="7" t="str">
        <f>IFERROR(__xludf.DUMMYFUNCTION("""COMPUTED_VALUE"""),"Intend to vote in the next national election (if too young)")</f>
        <v>Intend to vote in the next national election (if too young)</v>
      </c>
      <c r="F76" s="7" t="str">
        <f>IFERROR(__xludf.DUMMYFUNCTION("""COMPUTED_VALUE"""),"2024")</f>
        <v>2024</v>
      </c>
    </row>
    <row r="77">
      <c r="A77" s="7" t="str">
        <f>IFERROR(__xludf.DUMMYFUNCTION("""COMPUTED_VALUE"""),"CABO VERDE ")</f>
        <v>CABO VERDE </v>
      </c>
      <c r="B77" s="8">
        <f>IFERROR(__xludf.DUMMYFUNCTION("""COMPUTED_VALUE"""),10.0)</f>
        <v>10</v>
      </c>
      <c r="C77" s="7" t="str">
        <f>IFERROR(__xludf.DUMMYFUNCTION("""COMPUTED_VALUE"""),"A_10_34")</f>
        <v>A_10_34</v>
      </c>
      <c r="D77" s="7" t="str">
        <f>IFERROR(__xludf.DUMMYFUNCTION("""COMPUTED_VALUE"""),"Q13b. ")</f>
        <v>Q13b. </v>
      </c>
      <c r="E77" s="7" t="str">
        <f>IFERROR(__xludf.DUMMYFUNCTION("""COMPUTED_VALUE"""),"Intend to vote in the next national election (if too young)")</f>
        <v>Intend to vote in the next national election (if too young)</v>
      </c>
      <c r="F77" s="7" t="str">
        <f>IFERROR(__xludf.DUMMYFUNCTION("""COMPUTED_VALUE"""),"2026")</f>
        <v>2026</v>
      </c>
    </row>
    <row r="78">
      <c r="A78" s="7" t="str">
        <f>IFERROR(__xludf.DUMMYFUNCTION("""COMPUTED_VALUE"""),"CAMEROON")</f>
        <v>CAMEROON</v>
      </c>
      <c r="B78" s="8">
        <f>IFERROR(__xludf.DUMMYFUNCTION("""COMPUTED_VALUE"""),10.0)</f>
        <v>10</v>
      </c>
      <c r="C78" s="7" t="str">
        <f>IFERROR(__xludf.DUMMYFUNCTION("""COMPUTED_VALUE"""),"A_10_34")</f>
        <v>A_10_34</v>
      </c>
      <c r="D78" s="7" t="str">
        <f>IFERROR(__xludf.DUMMYFUNCTION("""COMPUTED_VALUE"""),"Q13b. ")</f>
        <v>Q13b. </v>
      </c>
      <c r="E78" s="7" t="str">
        <f>IFERROR(__xludf.DUMMYFUNCTION("""COMPUTED_VALUE"""),"Intend to vote in the next national election (if too young)")</f>
        <v>Intend to vote in the next national election (if too young)</v>
      </c>
      <c r="F78" s="7" t="str">
        <f>IFERROR(__xludf.DUMMYFUNCTION("""COMPUTED_VALUE"""),"2025")</f>
        <v>2025</v>
      </c>
    </row>
    <row r="79">
      <c r="A79" s="7" t="str">
        <f>IFERROR(__xludf.DUMMYFUNCTION("""COMPUTED_VALUE"""),"CHAD")</f>
        <v>CHAD</v>
      </c>
      <c r="B79" s="8">
        <f>IFERROR(__xludf.DUMMYFUNCTION("""COMPUTED_VALUE"""),10.0)</f>
        <v>10</v>
      </c>
      <c r="C79" s="7" t="str">
        <f>IFERROR(__xludf.DUMMYFUNCTION("""COMPUTED_VALUE"""),"A_10_34")</f>
        <v>A_10_34</v>
      </c>
      <c r="D79" s="7" t="str">
        <f>IFERROR(__xludf.DUMMYFUNCTION("""COMPUTED_VALUE"""),"Q13b. ")</f>
        <v>Q13b. </v>
      </c>
      <c r="E79" s="7" t="str">
        <f>IFERROR(__xludf.DUMMYFUNCTION("""COMPUTED_VALUE"""),"Intend to vote in the next national election (if too young)")</f>
        <v>Intend to vote in the next national election (if too young)</v>
      </c>
      <c r="F79" s="7" t="str">
        <f>IFERROR(__xludf.DUMMYFUNCTION("""COMPUTED_VALUE"""),"2029")</f>
        <v>2029</v>
      </c>
    </row>
    <row r="80">
      <c r="A80" s="7" t="str">
        <f>IFERROR(__xludf.DUMMYFUNCTION("""COMPUTED_VALUE"""),"COMOROS")</f>
        <v>COMOROS</v>
      </c>
      <c r="B80" s="8">
        <f>IFERROR(__xludf.DUMMYFUNCTION("""COMPUTED_VALUE"""),10.0)</f>
        <v>10</v>
      </c>
      <c r="C80" s="7" t="str">
        <f>IFERROR(__xludf.DUMMYFUNCTION("""COMPUTED_VALUE"""),"A_10_34")</f>
        <v>A_10_34</v>
      </c>
      <c r="D80" s="7" t="str">
        <f>IFERROR(__xludf.DUMMYFUNCTION("""COMPUTED_VALUE"""),"Q13b. ")</f>
        <v>Q13b. </v>
      </c>
      <c r="E80" s="7" t="str">
        <f>IFERROR(__xludf.DUMMYFUNCTION("""COMPUTED_VALUE"""),"Intend to vote in the next national election (if too young)")</f>
        <v>Intend to vote in the next national election (if too young)</v>
      </c>
      <c r="F80" s="7" t="str">
        <f>IFERROR(__xludf.DUMMYFUNCTION("""COMPUTED_VALUE"""),"2029")</f>
        <v>2029</v>
      </c>
    </row>
    <row r="81">
      <c r="A81" s="7" t="str">
        <f>IFERROR(__xludf.DUMMYFUNCTION("""COMPUTED_VALUE"""),"CONGO BRAZZAVILLE")</f>
        <v>CONGO BRAZZAVILLE</v>
      </c>
      <c r="B81" s="8">
        <f>IFERROR(__xludf.DUMMYFUNCTION("""COMPUTED_VALUE"""),10.0)</f>
        <v>10</v>
      </c>
      <c r="C81" s="7" t="str">
        <f>IFERROR(__xludf.DUMMYFUNCTION("""COMPUTED_VALUE"""),"A_10_34")</f>
        <v>A_10_34</v>
      </c>
      <c r="D81" s="7" t="str">
        <f>IFERROR(__xludf.DUMMYFUNCTION("""COMPUTED_VALUE"""),"Q13b. ")</f>
        <v>Q13b. </v>
      </c>
      <c r="E81" s="7" t="str">
        <f>IFERROR(__xludf.DUMMYFUNCTION("""COMPUTED_VALUE"""),"Intend to vote in the next national election (if too young)")</f>
        <v>Intend to vote in the next national election (if too young)</v>
      </c>
      <c r="F81" s="7" t="str">
        <f>IFERROR(__xludf.DUMMYFUNCTION("""COMPUTED_VALUE"""),"2026")</f>
        <v>2026</v>
      </c>
    </row>
    <row r="82">
      <c r="A82" s="7" t="str">
        <f>IFERROR(__xludf.DUMMYFUNCTION("""COMPUTED_VALUE"""),"COTE D'IVOIRE")</f>
        <v>COTE D'IVOIRE</v>
      </c>
      <c r="B82" s="8">
        <f>IFERROR(__xludf.DUMMYFUNCTION("""COMPUTED_VALUE"""),10.0)</f>
        <v>10</v>
      </c>
      <c r="C82" s="7" t="str">
        <f>IFERROR(__xludf.DUMMYFUNCTION("""COMPUTED_VALUE"""),"A_10_34")</f>
        <v>A_10_34</v>
      </c>
      <c r="D82" s="7" t="str">
        <f>IFERROR(__xludf.DUMMYFUNCTION("""COMPUTED_VALUE"""),"Q13b. ")</f>
        <v>Q13b. </v>
      </c>
      <c r="E82" s="7" t="str">
        <f>IFERROR(__xludf.DUMMYFUNCTION("""COMPUTED_VALUE"""),"Intend to vote in the next national election (if too young)")</f>
        <v>Intend to vote in the next national election (if too young)</v>
      </c>
      <c r="F82" s="7" t="str">
        <f>IFERROR(__xludf.DUMMYFUNCTION("""COMPUTED_VALUE"""),"2025")</f>
        <v>2025</v>
      </c>
    </row>
    <row r="83">
      <c r="A83" s="7" t="str">
        <f>IFERROR(__xludf.DUMMYFUNCTION("""COMPUTED_VALUE"""),"ESWATINI")</f>
        <v>ESWATINI</v>
      </c>
      <c r="B83" s="8">
        <f>IFERROR(__xludf.DUMMYFUNCTION("""COMPUTED_VALUE"""),10.0)</f>
        <v>10</v>
      </c>
      <c r="C83" s="7" t="str">
        <f>IFERROR(__xludf.DUMMYFUNCTION("""COMPUTED_VALUE"""),"A_10_34")</f>
        <v>A_10_34</v>
      </c>
      <c r="D83" s="7" t="str">
        <f>IFERROR(__xludf.DUMMYFUNCTION("""COMPUTED_VALUE"""),"Q13b. ")</f>
        <v>Q13b. </v>
      </c>
      <c r="E83" s="7" t="str">
        <f>IFERROR(__xludf.DUMMYFUNCTION("""COMPUTED_VALUE"""),"Intend to vote in the next national election (if too young)")</f>
        <v>Intend to vote in the next national election (if too young)</v>
      </c>
      <c r="F83" s="7" t="str">
        <f>IFERROR(__xludf.DUMMYFUNCTION("""COMPUTED_VALUE"""),"2028")</f>
        <v>2028</v>
      </c>
    </row>
    <row r="84">
      <c r="A84" s="7" t="str">
        <f>IFERROR(__xludf.DUMMYFUNCTION("""COMPUTED_VALUE"""),"GABON")</f>
        <v>GABON</v>
      </c>
      <c r="B84" s="8">
        <f>IFERROR(__xludf.DUMMYFUNCTION("""COMPUTED_VALUE"""),10.0)</f>
        <v>10</v>
      </c>
      <c r="C84" s="7" t="str">
        <f>IFERROR(__xludf.DUMMYFUNCTION("""COMPUTED_VALUE"""),"A_10_34")</f>
        <v>A_10_34</v>
      </c>
      <c r="D84" s="7" t="str">
        <f>IFERROR(__xludf.DUMMYFUNCTION("""COMPUTED_VALUE"""),"Q13b. ")</f>
        <v>Q13b. </v>
      </c>
      <c r="E84" s="7" t="str">
        <f>IFERROR(__xludf.DUMMYFUNCTION("""COMPUTED_VALUE"""),"Intend to vote in the next national election (if too young)")</f>
        <v>Intend to vote in the next national election (if too young)</v>
      </c>
      <c r="F84" s="7" t="str">
        <f>IFERROR(__xludf.DUMMYFUNCTION("""COMPUTED_VALUE"""),"2025")</f>
        <v>2025</v>
      </c>
    </row>
    <row r="85">
      <c r="A85" s="7" t="str">
        <f>IFERROR(__xludf.DUMMYFUNCTION("""COMPUTED_VALUE"""),"GAMBIA")</f>
        <v>GAMBIA</v>
      </c>
      <c r="B85" s="8">
        <f>IFERROR(__xludf.DUMMYFUNCTION("""COMPUTED_VALUE"""),10.0)</f>
        <v>10</v>
      </c>
      <c r="C85" s="7" t="str">
        <f>IFERROR(__xludf.DUMMYFUNCTION("""COMPUTED_VALUE"""),"A_10_34")</f>
        <v>A_10_34</v>
      </c>
      <c r="D85" s="7" t="str">
        <f>IFERROR(__xludf.DUMMYFUNCTION("""COMPUTED_VALUE"""),"Q13b. ")</f>
        <v>Q13b. </v>
      </c>
      <c r="E85" s="7" t="str">
        <f>IFERROR(__xludf.DUMMYFUNCTION("""COMPUTED_VALUE"""),"Intend to vote in the next national election (if too young)")</f>
        <v>Intend to vote in the next national election (if too young)</v>
      </c>
      <c r="F85" s="7" t="str">
        <f>IFERROR(__xludf.DUMMYFUNCTION("""COMPUTED_VALUE"""),"2026")</f>
        <v>2026</v>
      </c>
    </row>
    <row r="86">
      <c r="A86" s="7" t="str">
        <f>IFERROR(__xludf.DUMMYFUNCTION("""COMPUTED_VALUE"""),"GHANA ")</f>
        <v>GHANA </v>
      </c>
      <c r="B86" s="8">
        <f>IFERROR(__xludf.DUMMYFUNCTION("""COMPUTED_VALUE"""),10.0)</f>
        <v>10</v>
      </c>
      <c r="C86" s="7" t="str">
        <f>IFERROR(__xludf.DUMMYFUNCTION("""COMPUTED_VALUE"""),"A_10_34")</f>
        <v>A_10_34</v>
      </c>
      <c r="D86" s="7" t="str">
        <f>IFERROR(__xludf.DUMMYFUNCTION("""COMPUTED_VALUE"""),"Q13b. ")</f>
        <v>Q13b. </v>
      </c>
      <c r="E86" s="7" t="str">
        <f>IFERROR(__xludf.DUMMYFUNCTION("""COMPUTED_VALUE"""),"Intend to vote in the next national election (if too young)")</f>
        <v>Intend to vote in the next national election (if too young)</v>
      </c>
      <c r="F86" s="7" t="str">
        <f>IFERROR(__xludf.DUMMYFUNCTION("""COMPUTED_VALUE"""),"2024")</f>
        <v>2024</v>
      </c>
    </row>
    <row r="87">
      <c r="A87" s="7" t="str">
        <f>IFERROR(__xludf.DUMMYFUNCTION("""COMPUTED_VALUE"""),"KENYA  ")</f>
        <v>KENYA  </v>
      </c>
      <c r="B87" s="8">
        <f>IFERROR(__xludf.DUMMYFUNCTION("""COMPUTED_VALUE"""),10.0)</f>
        <v>10</v>
      </c>
      <c r="C87" s="7" t="str">
        <f>IFERROR(__xludf.DUMMYFUNCTION("""COMPUTED_VALUE"""),"A_10_34")</f>
        <v>A_10_34</v>
      </c>
      <c r="D87" s="7" t="str">
        <f>IFERROR(__xludf.DUMMYFUNCTION("""COMPUTED_VALUE"""),"Q13b. ")</f>
        <v>Q13b. </v>
      </c>
      <c r="E87" s="7" t="str">
        <f>IFERROR(__xludf.DUMMYFUNCTION("""COMPUTED_VALUE"""),"Intend to vote in the next national election (if too young)")</f>
        <v>Intend to vote in the next national election (if too young)</v>
      </c>
      <c r="F87" s="7" t="str">
        <f>IFERROR(__xludf.DUMMYFUNCTION("""COMPUTED_VALUE"""),"2027")</f>
        <v>2027</v>
      </c>
    </row>
    <row r="88">
      <c r="A88" s="7" t="str">
        <f>IFERROR(__xludf.DUMMYFUNCTION("""COMPUTED_VALUE"""),"LESOTHO ")</f>
        <v>LESOTHO </v>
      </c>
      <c r="B88" s="8">
        <f>IFERROR(__xludf.DUMMYFUNCTION("""COMPUTED_VALUE"""),10.0)</f>
        <v>10</v>
      </c>
      <c r="C88" s="7" t="str">
        <f>IFERROR(__xludf.DUMMYFUNCTION("""COMPUTED_VALUE"""),"A_10_34")</f>
        <v>A_10_34</v>
      </c>
      <c r="D88" s="7" t="str">
        <f>IFERROR(__xludf.DUMMYFUNCTION("""COMPUTED_VALUE"""),"Q13b. ")</f>
        <v>Q13b. </v>
      </c>
      <c r="E88" s="7" t="str">
        <f>IFERROR(__xludf.DUMMYFUNCTION("""COMPUTED_VALUE"""),"Intend to vote in the next national election (if too young)")</f>
        <v>Intend to vote in the next national election (if too young)</v>
      </c>
      <c r="F88" s="7" t="str">
        <f>IFERROR(__xludf.DUMMYFUNCTION("""COMPUTED_VALUE"""),"2027")</f>
        <v>2027</v>
      </c>
    </row>
    <row r="89">
      <c r="A89" s="7" t="str">
        <f>IFERROR(__xludf.DUMMYFUNCTION("""COMPUTED_VALUE"""),"LIBERIA  ")</f>
        <v>LIBERIA  </v>
      </c>
      <c r="B89" s="8">
        <f>IFERROR(__xludf.DUMMYFUNCTION("""COMPUTED_VALUE"""),10.0)</f>
        <v>10</v>
      </c>
      <c r="C89" s="7" t="str">
        <f>IFERROR(__xludf.DUMMYFUNCTION("""COMPUTED_VALUE"""),"A_10_34")</f>
        <v>A_10_34</v>
      </c>
      <c r="D89" s="7" t="str">
        <f>IFERROR(__xludf.DUMMYFUNCTION("""COMPUTED_VALUE"""),"Q13b. ")</f>
        <v>Q13b. </v>
      </c>
      <c r="E89" s="7" t="str">
        <f>IFERROR(__xludf.DUMMYFUNCTION("""COMPUTED_VALUE"""),"Intend to vote in the next national election (if too young)")</f>
        <v>Intend to vote in the next national election (if too young)</v>
      </c>
      <c r="F89" s="7" t="str">
        <f>IFERROR(__xludf.DUMMYFUNCTION("""COMPUTED_VALUE"""),"2029")</f>
        <v>2029</v>
      </c>
    </row>
    <row r="90">
      <c r="A90" s="7" t="str">
        <f>IFERROR(__xludf.DUMMYFUNCTION("""COMPUTED_VALUE"""),"MADAGASCAR")</f>
        <v>MADAGASCAR</v>
      </c>
      <c r="B90" s="8">
        <f>IFERROR(__xludf.DUMMYFUNCTION("""COMPUTED_VALUE"""),10.0)</f>
        <v>10</v>
      </c>
      <c r="C90" s="7" t="str">
        <f>IFERROR(__xludf.DUMMYFUNCTION("""COMPUTED_VALUE"""),"A_10_34")</f>
        <v>A_10_34</v>
      </c>
      <c r="D90" s="7" t="str">
        <f>IFERROR(__xludf.DUMMYFUNCTION("""COMPUTED_VALUE"""),"Q13b. ")</f>
        <v>Q13b. </v>
      </c>
      <c r="E90" s="7" t="str">
        <f>IFERROR(__xludf.DUMMYFUNCTION("""COMPUTED_VALUE"""),"Intend to vote in the next national election (if too young)")</f>
        <v>Intend to vote in the next national election (if too young)</v>
      </c>
      <c r="F90" s="7" t="str">
        <f>IFERROR(__xludf.DUMMYFUNCTION("""COMPUTED_VALUE"""),"2028")</f>
        <v>2028</v>
      </c>
    </row>
    <row r="91">
      <c r="A91" s="7" t="str">
        <f>IFERROR(__xludf.DUMMYFUNCTION("""COMPUTED_VALUE"""),"MALAWI ")</f>
        <v>MALAWI </v>
      </c>
      <c r="B91" s="8">
        <f>IFERROR(__xludf.DUMMYFUNCTION("""COMPUTED_VALUE"""),10.0)</f>
        <v>10</v>
      </c>
      <c r="C91" s="7" t="str">
        <f>IFERROR(__xludf.DUMMYFUNCTION("""COMPUTED_VALUE"""),"A_10_34")</f>
        <v>A_10_34</v>
      </c>
      <c r="D91" s="7" t="str">
        <f>IFERROR(__xludf.DUMMYFUNCTION("""COMPUTED_VALUE"""),"Q13b. ")</f>
        <v>Q13b. </v>
      </c>
      <c r="E91" s="7" t="str">
        <f>IFERROR(__xludf.DUMMYFUNCTION("""COMPUTED_VALUE"""),"Intend to vote in the next national election (if too young)")</f>
        <v>Intend to vote in the next national election (if too young)</v>
      </c>
      <c r="F91" s="7" t="str">
        <f>IFERROR(__xludf.DUMMYFUNCTION("""COMPUTED_VALUE"""),"2025")</f>
        <v>2025</v>
      </c>
    </row>
    <row r="92">
      <c r="A92" s="7" t="str">
        <f>IFERROR(__xludf.DUMMYFUNCTION("""COMPUTED_VALUE"""),"MAURITANIA")</f>
        <v>MAURITANIA</v>
      </c>
      <c r="B92" s="8">
        <f>IFERROR(__xludf.DUMMYFUNCTION("""COMPUTED_VALUE"""),10.0)</f>
        <v>10</v>
      </c>
      <c r="C92" s="7" t="str">
        <f>IFERROR(__xludf.DUMMYFUNCTION("""COMPUTED_VALUE"""),"A_10_34")</f>
        <v>A_10_34</v>
      </c>
      <c r="D92" s="7" t="str">
        <f>IFERROR(__xludf.DUMMYFUNCTION("""COMPUTED_VALUE"""),"Q13b. ")</f>
        <v>Q13b. </v>
      </c>
      <c r="E92" s="7" t="str">
        <f>IFERROR(__xludf.DUMMYFUNCTION("""COMPUTED_VALUE"""),"Intend to vote in the next national election (if too young)")</f>
        <v>Intend to vote in the next national election (if too young)</v>
      </c>
      <c r="F92" s="7" t="str">
        <f>IFERROR(__xludf.DUMMYFUNCTION("""COMPUTED_VALUE"""),"2028")</f>
        <v>2028</v>
      </c>
    </row>
    <row r="93">
      <c r="A93" s="7" t="str">
        <f>IFERROR(__xludf.DUMMYFUNCTION("""COMPUTED_VALUE"""),"MAURITIUS")</f>
        <v>MAURITIUS</v>
      </c>
      <c r="B93" s="8">
        <f>IFERROR(__xludf.DUMMYFUNCTION("""COMPUTED_VALUE"""),10.0)</f>
        <v>10</v>
      </c>
      <c r="C93" s="7" t="str">
        <f>IFERROR(__xludf.DUMMYFUNCTION("""COMPUTED_VALUE"""),"A_10_34")</f>
        <v>A_10_34</v>
      </c>
      <c r="D93" s="7" t="str">
        <f>IFERROR(__xludf.DUMMYFUNCTION("""COMPUTED_VALUE"""),"Q13b. ")</f>
        <v>Q13b. </v>
      </c>
      <c r="E93" s="7" t="str">
        <f>IFERROR(__xludf.DUMMYFUNCTION("""COMPUTED_VALUE"""),"Intend to vote in the next national election (if too young)")</f>
        <v>Intend to vote in the next national election (if too young)</v>
      </c>
      <c r="F93" s="7" t="str">
        <f>IFERROR(__xludf.DUMMYFUNCTION("""COMPUTED_VALUE"""),"2024")</f>
        <v>2024</v>
      </c>
    </row>
    <row r="94">
      <c r="A94" s="7" t="str">
        <f>IFERROR(__xludf.DUMMYFUNCTION("""COMPUTED_VALUE"""),"MOROCCO ")</f>
        <v>MOROCCO </v>
      </c>
      <c r="B94" s="8">
        <f>IFERROR(__xludf.DUMMYFUNCTION("""COMPUTED_VALUE"""),10.0)</f>
        <v>10</v>
      </c>
      <c r="C94" s="7" t="str">
        <f>IFERROR(__xludf.DUMMYFUNCTION("""COMPUTED_VALUE"""),"A_10_34")</f>
        <v>A_10_34</v>
      </c>
      <c r="D94" s="7" t="str">
        <f>IFERROR(__xludf.DUMMYFUNCTION("""COMPUTED_VALUE"""),"Q13b. ")</f>
        <v>Q13b. </v>
      </c>
      <c r="E94" s="7" t="str">
        <f>IFERROR(__xludf.DUMMYFUNCTION("""COMPUTED_VALUE"""),"Intend to vote in the next national election (if too young)")</f>
        <v>Intend to vote in the next national election (if too young)</v>
      </c>
      <c r="F94" s="7" t="str">
        <f>IFERROR(__xludf.DUMMYFUNCTION("""COMPUTED_VALUE"""),"2026")</f>
        <v>2026</v>
      </c>
    </row>
    <row r="95">
      <c r="A95" s="7" t="str">
        <f>IFERROR(__xludf.DUMMYFUNCTION("""COMPUTED_VALUE"""),"MOZAMBIQUE")</f>
        <v>MOZAMBIQUE</v>
      </c>
      <c r="B95" s="8">
        <f>IFERROR(__xludf.DUMMYFUNCTION("""COMPUTED_VALUE"""),10.0)</f>
        <v>10</v>
      </c>
      <c r="C95" s="7" t="str">
        <f>IFERROR(__xludf.DUMMYFUNCTION("""COMPUTED_VALUE"""),"A_10_34")</f>
        <v>A_10_34</v>
      </c>
      <c r="D95" s="7" t="str">
        <f>IFERROR(__xludf.DUMMYFUNCTION("""COMPUTED_VALUE"""),"Q13b. ")</f>
        <v>Q13b. </v>
      </c>
      <c r="E95" s="7" t="str">
        <f>IFERROR(__xludf.DUMMYFUNCTION("""COMPUTED_VALUE"""),"Intend to vote in the next national election (if too young)")</f>
        <v>Intend to vote in the next national election (if too young)</v>
      </c>
      <c r="F95" s="7" t="str">
        <f>IFERROR(__xludf.DUMMYFUNCTION("""COMPUTED_VALUE"""),"2029")</f>
        <v>2029</v>
      </c>
    </row>
    <row r="96">
      <c r="A96" s="7" t="str">
        <f>IFERROR(__xludf.DUMMYFUNCTION("""COMPUTED_VALUE"""),"NAMIBIA ")</f>
        <v>NAMIBIA </v>
      </c>
      <c r="B96" s="8">
        <f>IFERROR(__xludf.DUMMYFUNCTION("""COMPUTED_VALUE"""),10.0)</f>
        <v>10</v>
      </c>
      <c r="C96" s="7" t="str">
        <f>IFERROR(__xludf.DUMMYFUNCTION("""COMPUTED_VALUE"""),"A_10_34")</f>
        <v>A_10_34</v>
      </c>
      <c r="D96" s="7" t="str">
        <f>IFERROR(__xludf.DUMMYFUNCTION("""COMPUTED_VALUE"""),"Q13b. ")</f>
        <v>Q13b. </v>
      </c>
      <c r="E96" s="7" t="str">
        <f>IFERROR(__xludf.DUMMYFUNCTION("""COMPUTED_VALUE"""),"Intend to vote in the next national election (if too young)")</f>
        <v>Intend to vote in the next national election (if too young)</v>
      </c>
      <c r="F96" s="7" t="str">
        <f>IFERROR(__xludf.DUMMYFUNCTION("""COMPUTED_VALUE"""),"2024")</f>
        <v>2024</v>
      </c>
    </row>
    <row r="97">
      <c r="A97" s="7" t="str">
        <f>IFERROR(__xludf.DUMMYFUNCTION("""COMPUTED_VALUE"""),"NIGERIA ")</f>
        <v>NIGERIA </v>
      </c>
      <c r="B97" s="8">
        <f>IFERROR(__xludf.DUMMYFUNCTION("""COMPUTED_VALUE"""),10.0)</f>
        <v>10</v>
      </c>
      <c r="C97" s="7" t="str">
        <f>IFERROR(__xludf.DUMMYFUNCTION("""COMPUTED_VALUE"""),"A_10_34")</f>
        <v>A_10_34</v>
      </c>
      <c r="D97" s="7" t="str">
        <f>IFERROR(__xludf.DUMMYFUNCTION("""COMPUTED_VALUE"""),"Q13b. ")</f>
        <v>Q13b. </v>
      </c>
      <c r="E97" s="7" t="str">
        <f>IFERROR(__xludf.DUMMYFUNCTION("""COMPUTED_VALUE"""),"Intend to vote in the next national election (if too young)")</f>
        <v>Intend to vote in the next national election (if too young)</v>
      </c>
      <c r="F97" s="7" t="str">
        <f>IFERROR(__xludf.DUMMYFUNCTION("""COMPUTED_VALUE"""),"2027")</f>
        <v>2027</v>
      </c>
    </row>
    <row r="98">
      <c r="A98" s="7" t="str">
        <f>IFERROR(__xludf.DUMMYFUNCTION("""COMPUTED_VALUE"""),"SAO TOME AND PRINCIPE")</f>
        <v>SAO TOME AND PRINCIPE</v>
      </c>
      <c r="B98" s="8">
        <f>IFERROR(__xludf.DUMMYFUNCTION("""COMPUTED_VALUE"""),10.0)</f>
        <v>10</v>
      </c>
      <c r="C98" s="7" t="str">
        <f>IFERROR(__xludf.DUMMYFUNCTION("""COMPUTED_VALUE"""),"A_10_34")</f>
        <v>A_10_34</v>
      </c>
      <c r="D98" s="7" t="str">
        <f>IFERROR(__xludf.DUMMYFUNCTION("""COMPUTED_VALUE"""),"Q13b. ")</f>
        <v>Q13b. </v>
      </c>
      <c r="E98" s="7" t="str">
        <f>IFERROR(__xludf.DUMMYFUNCTION("""COMPUTED_VALUE"""),"Intend to vote in the next national election (if too young)")</f>
        <v>Intend to vote in the next national election (if too young)</v>
      </c>
      <c r="F98" s="7" t="str">
        <f>IFERROR(__xludf.DUMMYFUNCTION("""COMPUTED_VALUE"""),"2026")</f>
        <v>2026</v>
      </c>
    </row>
    <row r="99">
      <c r="A99" s="7" t="str">
        <f>IFERROR(__xludf.DUMMYFUNCTION("""COMPUTED_VALUE"""),"SENEGAL")</f>
        <v>SENEGAL</v>
      </c>
      <c r="B99" s="8">
        <f>IFERROR(__xludf.DUMMYFUNCTION("""COMPUTED_VALUE"""),10.0)</f>
        <v>10</v>
      </c>
      <c r="C99" s="7" t="str">
        <f>IFERROR(__xludf.DUMMYFUNCTION("""COMPUTED_VALUE"""),"A_10_34")</f>
        <v>A_10_34</v>
      </c>
      <c r="D99" s="7" t="str">
        <f>IFERROR(__xludf.DUMMYFUNCTION("""COMPUTED_VALUE"""),"Q13b. ")</f>
        <v>Q13b. </v>
      </c>
      <c r="E99" s="7" t="str">
        <f>IFERROR(__xludf.DUMMYFUNCTION("""COMPUTED_VALUE"""),"Intend to vote in the next national election (if too young)")</f>
        <v>Intend to vote in the next national election (if too young)</v>
      </c>
      <c r="F99" s="7" t="str">
        <f>IFERROR(__xludf.DUMMYFUNCTION("""COMPUTED_VALUE"""),"2029")</f>
        <v>2029</v>
      </c>
    </row>
    <row r="100">
      <c r="A100" s="7" t="str">
        <f>IFERROR(__xludf.DUMMYFUNCTION("""COMPUTED_VALUE"""),"SEYCHELLES")</f>
        <v>SEYCHELLES</v>
      </c>
      <c r="B100" s="8">
        <f>IFERROR(__xludf.DUMMYFUNCTION("""COMPUTED_VALUE"""),10.0)</f>
        <v>10</v>
      </c>
      <c r="C100" s="7" t="str">
        <f>IFERROR(__xludf.DUMMYFUNCTION("""COMPUTED_VALUE"""),"A_10_34")</f>
        <v>A_10_34</v>
      </c>
      <c r="D100" s="7" t="str">
        <f>IFERROR(__xludf.DUMMYFUNCTION("""COMPUTED_VALUE"""),"Q13b. ")</f>
        <v>Q13b. </v>
      </c>
      <c r="E100" s="7" t="str">
        <f>IFERROR(__xludf.DUMMYFUNCTION("""COMPUTED_VALUE"""),"Intend to vote in the next national election (if too young)")</f>
        <v>Intend to vote in the next national election (if too young)</v>
      </c>
      <c r="F100" s="7" t="str">
        <f>IFERROR(__xludf.DUMMYFUNCTION("""COMPUTED_VALUE"""),"2025")</f>
        <v>2025</v>
      </c>
    </row>
    <row r="101">
      <c r="A101" s="7" t="str">
        <f>IFERROR(__xludf.DUMMYFUNCTION("""COMPUTED_VALUE"""),"SOUTH AFRICA")</f>
        <v>SOUTH AFRICA</v>
      </c>
      <c r="B101" s="8">
        <f>IFERROR(__xludf.DUMMYFUNCTION("""COMPUTED_VALUE"""),10.0)</f>
        <v>10</v>
      </c>
      <c r="C101" s="7" t="str">
        <f>IFERROR(__xludf.DUMMYFUNCTION("""COMPUTED_VALUE"""),"A_10_34")</f>
        <v>A_10_34</v>
      </c>
      <c r="D101" s="7" t="str">
        <f>IFERROR(__xludf.DUMMYFUNCTION("""COMPUTED_VALUE"""),"Q13b. ")</f>
        <v>Q13b. </v>
      </c>
      <c r="E101" s="7" t="str">
        <f>IFERROR(__xludf.DUMMYFUNCTION("""COMPUTED_VALUE"""),"Intend to vote in the next national election (if too young)")</f>
        <v>Intend to vote in the next national election (if too young)</v>
      </c>
      <c r="F101" s="7" t="str">
        <f>IFERROR(__xludf.DUMMYFUNCTION("""COMPUTED_VALUE"""),"2029")</f>
        <v>2029</v>
      </c>
    </row>
    <row r="102">
      <c r="A102" s="7" t="str">
        <f>IFERROR(__xludf.DUMMYFUNCTION("""COMPUTED_VALUE"""),"TANZANIA")</f>
        <v>TANZANIA</v>
      </c>
      <c r="B102" s="8">
        <f>IFERROR(__xludf.DUMMYFUNCTION("""COMPUTED_VALUE"""),10.0)</f>
        <v>10</v>
      </c>
      <c r="C102" s="7" t="str">
        <f>IFERROR(__xludf.DUMMYFUNCTION("""COMPUTED_VALUE"""),"A_10_34")</f>
        <v>A_10_34</v>
      </c>
      <c r="D102" s="7" t="str">
        <f>IFERROR(__xludf.DUMMYFUNCTION("""COMPUTED_VALUE"""),"Q13b. ")</f>
        <v>Q13b. </v>
      </c>
      <c r="E102" s="7" t="str">
        <f>IFERROR(__xludf.DUMMYFUNCTION("""COMPUTED_VALUE"""),"Intend to vote in the next national election (if too young)")</f>
        <v>Intend to vote in the next national election (if too young)</v>
      </c>
      <c r="F102" s="7" t="str">
        <f>IFERROR(__xludf.DUMMYFUNCTION("""COMPUTED_VALUE"""),"2025")</f>
        <v>2025</v>
      </c>
    </row>
    <row r="103">
      <c r="A103" s="7" t="str">
        <f>IFERROR(__xludf.DUMMYFUNCTION("""COMPUTED_VALUE"""),"TOGO ")</f>
        <v>TOGO </v>
      </c>
      <c r="B103" s="8">
        <f>IFERROR(__xludf.DUMMYFUNCTION("""COMPUTED_VALUE"""),10.0)</f>
        <v>10</v>
      </c>
      <c r="C103" s="7" t="str">
        <f>IFERROR(__xludf.DUMMYFUNCTION("""COMPUTED_VALUE"""),"A_10_34")</f>
        <v>A_10_34</v>
      </c>
      <c r="D103" s="7" t="str">
        <f>IFERROR(__xludf.DUMMYFUNCTION("""COMPUTED_VALUE"""),"Q13b. ")</f>
        <v>Q13b. </v>
      </c>
      <c r="E103" s="7" t="str">
        <f>IFERROR(__xludf.DUMMYFUNCTION("""COMPUTED_VALUE"""),"Intend to vote in the next national election (if too young)")</f>
        <v>Intend to vote in the next national election (if too young)</v>
      </c>
      <c r="F103" s="7" t="str">
        <f>IFERROR(__xludf.DUMMYFUNCTION("""COMPUTED_VALUE"""),"2025")</f>
        <v>2025</v>
      </c>
    </row>
    <row r="104">
      <c r="A104" s="7" t="str">
        <f>IFERROR(__xludf.DUMMYFUNCTION("""COMPUTED_VALUE"""),"TUNISIA ")</f>
        <v>TUNISIA </v>
      </c>
      <c r="B104" s="8">
        <f>IFERROR(__xludf.DUMMYFUNCTION("""COMPUTED_VALUE"""),10.0)</f>
        <v>10</v>
      </c>
      <c r="C104" s="7" t="str">
        <f>IFERROR(__xludf.DUMMYFUNCTION("""COMPUTED_VALUE"""),"A_10_34")</f>
        <v>A_10_34</v>
      </c>
      <c r="D104" s="7" t="str">
        <f>IFERROR(__xludf.DUMMYFUNCTION("""COMPUTED_VALUE"""),"Q13b. ")</f>
        <v>Q13b. </v>
      </c>
      <c r="E104" s="7" t="str">
        <f>IFERROR(__xludf.DUMMYFUNCTION("""COMPUTED_VALUE"""),"Intend to vote in the next national election (if too young)")</f>
        <v>Intend to vote in the next national election (if too young)</v>
      </c>
      <c r="F104" s="7" t="str">
        <f>IFERROR(__xludf.DUMMYFUNCTION("""COMPUTED_VALUE"""),"2024")</f>
        <v>2024</v>
      </c>
    </row>
    <row r="105">
      <c r="A105" s="7" t="str">
        <f>IFERROR(__xludf.DUMMYFUNCTION("""COMPUTED_VALUE"""),"UGANDA  ")</f>
        <v>UGANDA  </v>
      </c>
      <c r="B105" s="8">
        <f>IFERROR(__xludf.DUMMYFUNCTION("""COMPUTED_VALUE"""),10.0)</f>
        <v>10</v>
      </c>
      <c r="C105" s="7" t="str">
        <f>IFERROR(__xludf.DUMMYFUNCTION("""COMPUTED_VALUE"""),"A_10_34")</f>
        <v>A_10_34</v>
      </c>
      <c r="D105" s="7" t="str">
        <f>IFERROR(__xludf.DUMMYFUNCTION("""COMPUTED_VALUE"""),"Q13b. ")</f>
        <v>Q13b. </v>
      </c>
      <c r="E105" s="7" t="str">
        <f>IFERROR(__xludf.DUMMYFUNCTION("""COMPUTED_VALUE"""),"Intend to vote in the next national election (if too young)")</f>
        <v>Intend to vote in the next national election (if too young)</v>
      </c>
      <c r="F105" s="7" t="str">
        <f>IFERROR(__xludf.DUMMYFUNCTION("""COMPUTED_VALUE"""),"2026")</f>
        <v>2026</v>
      </c>
    </row>
    <row r="106">
      <c r="A106" s="7" t="str">
        <f>IFERROR(__xludf.DUMMYFUNCTION("""COMPUTED_VALUE"""),"ZAMBIA")</f>
        <v>ZAMBIA</v>
      </c>
      <c r="B106" s="8">
        <f>IFERROR(__xludf.DUMMYFUNCTION("""COMPUTED_VALUE"""),10.0)</f>
        <v>10</v>
      </c>
      <c r="C106" s="7" t="str">
        <f>IFERROR(__xludf.DUMMYFUNCTION("""COMPUTED_VALUE"""),"A_10_34")</f>
        <v>A_10_34</v>
      </c>
      <c r="D106" s="7" t="str">
        <f>IFERROR(__xludf.DUMMYFUNCTION("""COMPUTED_VALUE"""),"Q13b. ")</f>
        <v>Q13b. </v>
      </c>
      <c r="E106" s="7" t="str">
        <f>IFERROR(__xludf.DUMMYFUNCTION("""COMPUTED_VALUE"""),"Intend to vote in the next national election (if too young)")</f>
        <v>Intend to vote in the next national election (if too young)</v>
      </c>
      <c r="F106" s="7" t="str">
        <f>IFERROR(__xludf.DUMMYFUNCTION("""COMPUTED_VALUE"""),"2026")</f>
        <v>2026</v>
      </c>
    </row>
    <row r="107">
      <c r="A107" s="7" t="str">
        <f>IFERROR(__xludf.DUMMYFUNCTION("""COMPUTED_VALUE"""),"ZIMBABWE")</f>
        <v>ZIMBABWE</v>
      </c>
      <c r="B107" s="8">
        <f>IFERROR(__xludf.DUMMYFUNCTION("""COMPUTED_VALUE"""),10.0)</f>
        <v>10</v>
      </c>
      <c r="C107" s="7" t="str">
        <f>IFERROR(__xludf.DUMMYFUNCTION("""COMPUTED_VALUE"""),"A_10_34")</f>
        <v>A_10_34</v>
      </c>
      <c r="D107" s="7" t="str">
        <f>IFERROR(__xludf.DUMMYFUNCTION("""COMPUTED_VALUE"""),"Q13b. ")</f>
        <v>Q13b. </v>
      </c>
      <c r="E107" s="7" t="str">
        <f>IFERROR(__xludf.DUMMYFUNCTION("""COMPUTED_VALUE"""),"Intend to vote in the next national election (if too young)")</f>
        <v>Intend to vote in the next national election (if too young)</v>
      </c>
      <c r="F107" s="7" t="str">
        <f>IFERROR(__xludf.DUMMYFUNCTION("""COMPUTED_VALUE"""),"2028")</f>
        <v>2028</v>
      </c>
    </row>
    <row r="108">
      <c r="A108" s="7" t="str">
        <f>IFERROR(__xludf.DUMMYFUNCTION("""COMPUTED_VALUE"""),"ANGOLA ")</f>
        <v>ANGOLA </v>
      </c>
      <c r="B108" s="8">
        <f>IFERROR(__xludf.DUMMYFUNCTION("""COMPUTED_VALUE"""),10.0)</f>
        <v>10</v>
      </c>
      <c r="C108" s="7" t="str">
        <f>IFERROR(__xludf.DUMMYFUNCTION("""COMPUTED_VALUE"""),"A_10_37")</f>
        <v>A_10_37</v>
      </c>
      <c r="D108" s="7" t="str">
        <f>IFERROR(__xludf.DUMMYFUNCTION("""COMPUTED_VALUE"""),"Q14. ")</f>
        <v>Q14. </v>
      </c>
      <c r="E108" s="7" t="str">
        <f>IFERROR(__xludf.DUMMYFUNCTION("""COMPUTED_VALUE"""),"Lower voting age")</f>
        <v>Lower voting age</v>
      </c>
      <c r="F108" s="7" t="str">
        <f>IFERROR(__xludf.DUMMYFUNCTION("""COMPUTED_VALUE"""),"18")</f>
        <v>18</v>
      </c>
    </row>
    <row r="109">
      <c r="A109" s="7" t="str">
        <f>IFERROR(__xludf.DUMMYFUNCTION("""COMPUTED_VALUE"""),"BENIN")</f>
        <v>BENIN</v>
      </c>
      <c r="B109" s="8">
        <f>IFERROR(__xludf.DUMMYFUNCTION("""COMPUTED_VALUE"""),10.0)</f>
        <v>10</v>
      </c>
      <c r="C109" s="7" t="str">
        <f>IFERROR(__xludf.DUMMYFUNCTION("""COMPUTED_VALUE"""),"A_10_37")</f>
        <v>A_10_37</v>
      </c>
      <c r="D109" s="7" t="str">
        <f>IFERROR(__xludf.DUMMYFUNCTION("""COMPUTED_VALUE"""),"Q14. ")</f>
        <v>Q14. </v>
      </c>
      <c r="E109" s="7" t="str">
        <f>IFERROR(__xludf.DUMMYFUNCTION("""COMPUTED_VALUE"""),"Lower voting age")</f>
        <v>Lower voting age</v>
      </c>
      <c r="F109" s="7" t="str">
        <f>IFERROR(__xludf.DUMMYFUNCTION("""COMPUTED_VALUE"""),"18")</f>
        <v>18</v>
      </c>
    </row>
    <row r="110">
      <c r="A110" s="7" t="str">
        <f>IFERROR(__xludf.DUMMYFUNCTION("""COMPUTED_VALUE"""),"BOTSWANA ")</f>
        <v>BOTSWANA </v>
      </c>
      <c r="B110" s="8">
        <f>IFERROR(__xludf.DUMMYFUNCTION("""COMPUTED_VALUE"""),10.0)</f>
        <v>10</v>
      </c>
      <c r="C110" s="7" t="str">
        <f>IFERROR(__xludf.DUMMYFUNCTION("""COMPUTED_VALUE"""),"A_10_37")</f>
        <v>A_10_37</v>
      </c>
      <c r="D110" s="7" t="str">
        <f>IFERROR(__xludf.DUMMYFUNCTION("""COMPUTED_VALUE"""),"Q14. ")</f>
        <v>Q14. </v>
      </c>
      <c r="E110" s="7" t="str">
        <f>IFERROR(__xludf.DUMMYFUNCTION("""COMPUTED_VALUE"""),"Lower voting age")</f>
        <v>Lower voting age</v>
      </c>
      <c r="F110" s="7" t="str">
        <f>IFERROR(__xludf.DUMMYFUNCTION("""COMPUTED_VALUE"""),"18")</f>
        <v>18</v>
      </c>
    </row>
    <row r="111">
      <c r="A111" s="7" t="str">
        <f>IFERROR(__xludf.DUMMYFUNCTION("""COMPUTED_VALUE"""),"CABO VERDE ")</f>
        <v>CABO VERDE </v>
      </c>
      <c r="B111" s="8">
        <f>IFERROR(__xludf.DUMMYFUNCTION("""COMPUTED_VALUE"""),10.0)</f>
        <v>10</v>
      </c>
      <c r="C111" s="7" t="str">
        <f>IFERROR(__xludf.DUMMYFUNCTION("""COMPUTED_VALUE"""),"A_10_37")</f>
        <v>A_10_37</v>
      </c>
      <c r="D111" s="7" t="str">
        <f>IFERROR(__xludf.DUMMYFUNCTION("""COMPUTED_VALUE"""),"Q14. ")</f>
        <v>Q14. </v>
      </c>
      <c r="E111" s="7" t="str">
        <f>IFERROR(__xludf.DUMMYFUNCTION("""COMPUTED_VALUE"""),"Lower voting age")</f>
        <v>Lower voting age</v>
      </c>
      <c r="F111" s="7" t="str">
        <f>IFERROR(__xludf.DUMMYFUNCTION("""COMPUTED_VALUE"""),"18")</f>
        <v>18</v>
      </c>
    </row>
    <row r="112">
      <c r="A112" s="7" t="str">
        <f>IFERROR(__xludf.DUMMYFUNCTION("""COMPUTED_VALUE"""),"CAMEROON")</f>
        <v>CAMEROON</v>
      </c>
      <c r="B112" s="8">
        <f>IFERROR(__xludf.DUMMYFUNCTION("""COMPUTED_VALUE"""),10.0)</f>
        <v>10</v>
      </c>
      <c r="C112" s="7" t="str">
        <f>IFERROR(__xludf.DUMMYFUNCTION("""COMPUTED_VALUE"""),"A_10_37")</f>
        <v>A_10_37</v>
      </c>
      <c r="D112" s="7" t="str">
        <f>IFERROR(__xludf.DUMMYFUNCTION("""COMPUTED_VALUE"""),"Q14. ")</f>
        <v>Q14. </v>
      </c>
      <c r="E112" s="7" t="str">
        <f>IFERROR(__xludf.DUMMYFUNCTION("""COMPUTED_VALUE"""),"Lower voting age")</f>
        <v>Lower voting age</v>
      </c>
      <c r="F112" s="7" t="str">
        <f>IFERROR(__xludf.DUMMYFUNCTION("""COMPUTED_VALUE"""),"18")</f>
        <v>18</v>
      </c>
    </row>
    <row r="113">
      <c r="A113" s="7" t="str">
        <f>IFERROR(__xludf.DUMMYFUNCTION("""COMPUTED_VALUE"""),"CHAD")</f>
        <v>CHAD</v>
      </c>
      <c r="B113" s="8">
        <f>IFERROR(__xludf.DUMMYFUNCTION("""COMPUTED_VALUE"""),10.0)</f>
        <v>10</v>
      </c>
      <c r="C113" s="7" t="str">
        <f>IFERROR(__xludf.DUMMYFUNCTION("""COMPUTED_VALUE"""),"A_10_37")</f>
        <v>A_10_37</v>
      </c>
      <c r="D113" s="7" t="str">
        <f>IFERROR(__xludf.DUMMYFUNCTION("""COMPUTED_VALUE"""),"Q14. ")</f>
        <v>Q14. </v>
      </c>
      <c r="E113" s="7" t="str">
        <f>IFERROR(__xludf.DUMMYFUNCTION("""COMPUTED_VALUE"""),"Lower voting age")</f>
        <v>Lower voting age</v>
      </c>
      <c r="F113" s="7" t="str">
        <f>IFERROR(__xludf.DUMMYFUNCTION("""COMPUTED_VALUE"""),"18")</f>
        <v>18</v>
      </c>
    </row>
    <row r="114">
      <c r="A114" s="7" t="str">
        <f>IFERROR(__xludf.DUMMYFUNCTION("""COMPUTED_VALUE"""),"COMOROS")</f>
        <v>COMOROS</v>
      </c>
      <c r="B114" s="8">
        <f>IFERROR(__xludf.DUMMYFUNCTION("""COMPUTED_VALUE"""),10.0)</f>
        <v>10</v>
      </c>
      <c r="C114" s="7" t="str">
        <f>IFERROR(__xludf.DUMMYFUNCTION("""COMPUTED_VALUE"""),"A_10_37")</f>
        <v>A_10_37</v>
      </c>
      <c r="D114" s="7" t="str">
        <f>IFERROR(__xludf.DUMMYFUNCTION("""COMPUTED_VALUE"""),"Q14. ")</f>
        <v>Q14. </v>
      </c>
      <c r="E114" s="7" t="str">
        <f>IFERROR(__xludf.DUMMYFUNCTION("""COMPUTED_VALUE"""),"Lower voting age")</f>
        <v>Lower voting age</v>
      </c>
      <c r="F114" s="7" t="str">
        <f>IFERROR(__xludf.DUMMYFUNCTION("""COMPUTED_VALUE"""),"18")</f>
        <v>18</v>
      </c>
    </row>
    <row r="115">
      <c r="A115" s="7" t="str">
        <f>IFERROR(__xludf.DUMMYFUNCTION("""COMPUTED_VALUE"""),"CONGO BRAZZAVILLE")</f>
        <v>CONGO BRAZZAVILLE</v>
      </c>
      <c r="B115" s="8">
        <f>IFERROR(__xludf.DUMMYFUNCTION("""COMPUTED_VALUE"""),10.0)</f>
        <v>10</v>
      </c>
      <c r="C115" s="7" t="str">
        <f>IFERROR(__xludf.DUMMYFUNCTION("""COMPUTED_VALUE"""),"A_10_37")</f>
        <v>A_10_37</v>
      </c>
      <c r="D115" s="7" t="str">
        <f>IFERROR(__xludf.DUMMYFUNCTION("""COMPUTED_VALUE"""),"Q14. ")</f>
        <v>Q14. </v>
      </c>
      <c r="E115" s="7" t="str">
        <f>IFERROR(__xludf.DUMMYFUNCTION("""COMPUTED_VALUE"""),"Lower voting age")</f>
        <v>Lower voting age</v>
      </c>
      <c r="F115" s="7" t="str">
        <f>IFERROR(__xludf.DUMMYFUNCTION("""COMPUTED_VALUE"""),"18")</f>
        <v>18</v>
      </c>
    </row>
    <row r="116">
      <c r="A116" s="7" t="str">
        <f>IFERROR(__xludf.DUMMYFUNCTION("""COMPUTED_VALUE"""),"COTE D'IVOIRE")</f>
        <v>COTE D'IVOIRE</v>
      </c>
      <c r="B116" s="8">
        <f>IFERROR(__xludf.DUMMYFUNCTION("""COMPUTED_VALUE"""),10.0)</f>
        <v>10</v>
      </c>
      <c r="C116" s="7" t="str">
        <f>IFERROR(__xludf.DUMMYFUNCTION("""COMPUTED_VALUE"""),"A_10_37")</f>
        <v>A_10_37</v>
      </c>
      <c r="D116" s="7" t="str">
        <f>IFERROR(__xludf.DUMMYFUNCTION("""COMPUTED_VALUE"""),"Q14. ")</f>
        <v>Q14. </v>
      </c>
      <c r="E116" s="7" t="str">
        <f>IFERROR(__xludf.DUMMYFUNCTION("""COMPUTED_VALUE"""),"Lower voting age")</f>
        <v>Lower voting age</v>
      </c>
      <c r="F116" s="7" t="str">
        <f>IFERROR(__xludf.DUMMYFUNCTION("""COMPUTED_VALUE"""),"18")</f>
        <v>18</v>
      </c>
    </row>
    <row r="117">
      <c r="A117" s="7" t="str">
        <f>IFERROR(__xludf.DUMMYFUNCTION("""COMPUTED_VALUE"""),"ESWATINI")</f>
        <v>ESWATINI</v>
      </c>
      <c r="B117" s="8">
        <f>IFERROR(__xludf.DUMMYFUNCTION("""COMPUTED_VALUE"""),10.0)</f>
        <v>10</v>
      </c>
      <c r="C117" s="7" t="str">
        <f>IFERROR(__xludf.DUMMYFUNCTION("""COMPUTED_VALUE"""),"A_10_37")</f>
        <v>A_10_37</v>
      </c>
      <c r="D117" s="7" t="str">
        <f>IFERROR(__xludf.DUMMYFUNCTION("""COMPUTED_VALUE"""),"Q14. ")</f>
        <v>Q14. </v>
      </c>
      <c r="E117" s="7" t="str">
        <f>IFERROR(__xludf.DUMMYFUNCTION("""COMPUTED_VALUE"""),"Lower voting age")</f>
        <v>Lower voting age</v>
      </c>
      <c r="F117" s="7" t="str">
        <f>IFERROR(__xludf.DUMMYFUNCTION("""COMPUTED_VALUE"""),"18")</f>
        <v>18</v>
      </c>
    </row>
    <row r="118">
      <c r="A118" s="7" t="str">
        <f>IFERROR(__xludf.DUMMYFUNCTION("""COMPUTED_VALUE"""),"GABON")</f>
        <v>GABON</v>
      </c>
      <c r="B118" s="8">
        <f>IFERROR(__xludf.DUMMYFUNCTION("""COMPUTED_VALUE"""),10.0)</f>
        <v>10</v>
      </c>
      <c r="C118" s="7" t="str">
        <f>IFERROR(__xludf.DUMMYFUNCTION("""COMPUTED_VALUE"""),"A_10_37")</f>
        <v>A_10_37</v>
      </c>
      <c r="D118" s="7" t="str">
        <f>IFERROR(__xludf.DUMMYFUNCTION("""COMPUTED_VALUE"""),"Q14. ")</f>
        <v>Q14. </v>
      </c>
      <c r="E118" s="7" t="str">
        <f>IFERROR(__xludf.DUMMYFUNCTION("""COMPUTED_VALUE"""),"Lower voting age")</f>
        <v>Lower voting age</v>
      </c>
      <c r="F118" s="7" t="str">
        <f>IFERROR(__xludf.DUMMYFUNCTION("""COMPUTED_VALUE"""),"18")</f>
        <v>18</v>
      </c>
    </row>
    <row r="119">
      <c r="A119" s="7" t="str">
        <f>IFERROR(__xludf.DUMMYFUNCTION("""COMPUTED_VALUE"""),"GAMBIA")</f>
        <v>GAMBIA</v>
      </c>
      <c r="B119" s="8">
        <f>IFERROR(__xludf.DUMMYFUNCTION("""COMPUTED_VALUE"""),10.0)</f>
        <v>10</v>
      </c>
      <c r="C119" s="7" t="str">
        <f>IFERROR(__xludf.DUMMYFUNCTION("""COMPUTED_VALUE"""),"A_10_37")</f>
        <v>A_10_37</v>
      </c>
      <c r="D119" s="7" t="str">
        <f>IFERROR(__xludf.DUMMYFUNCTION("""COMPUTED_VALUE"""),"Q14. ")</f>
        <v>Q14. </v>
      </c>
      <c r="E119" s="7" t="str">
        <f>IFERROR(__xludf.DUMMYFUNCTION("""COMPUTED_VALUE"""),"Lower voting age")</f>
        <v>Lower voting age</v>
      </c>
      <c r="F119" s="7" t="str">
        <f>IFERROR(__xludf.DUMMYFUNCTION("""COMPUTED_VALUE"""),"18")</f>
        <v>18</v>
      </c>
    </row>
    <row r="120">
      <c r="A120" s="7" t="str">
        <f>IFERROR(__xludf.DUMMYFUNCTION("""COMPUTED_VALUE"""),"GHANA ")</f>
        <v>GHANA </v>
      </c>
      <c r="B120" s="8">
        <f>IFERROR(__xludf.DUMMYFUNCTION("""COMPUTED_VALUE"""),10.0)</f>
        <v>10</v>
      </c>
      <c r="C120" s="7" t="str">
        <f>IFERROR(__xludf.DUMMYFUNCTION("""COMPUTED_VALUE"""),"A_10_37")</f>
        <v>A_10_37</v>
      </c>
      <c r="D120" s="7" t="str">
        <f>IFERROR(__xludf.DUMMYFUNCTION("""COMPUTED_VALUE"""),"Q14. ")</f>
        <v>Q14. </v>
      </c>
      <c r="E120" s="7" t="str">
        <f>IFERROR(__xludf.DUMMYFUNCTION("""COMPUTED_VALUE"""),"Lower voting age")</f>
        <v>Lower voting age</v>
      </c>
      <c r="F120" s="7" t="str">
        <f>IFERROR(__xludf.DUMMYFUNCTION("""COMPUTED_VALUE"""),"18")</f>
        <v>18</v>
      </c>
    </row>
    <row r="121">
      <c r="A121" s="7" t="str">
        <f>IFERROR(__xludf.DUMMYFUNCTION("""COMPUTED_VALUE"""),"GUINEA")</f>
        <v>GUINEA</v>
      </c>
      <c r="B121" s="8">
        <f>IFERROR(__xludf.DUMMYFUNCTION("""COMPUTED_VALUE"""),10.0)</f>
        <v>10</v>
      </c>
      <c r="C121" s="7" t="str">
        <f>IFERROR(__xludf.DUMMYFUNCTION("""COMPUTED_VALUE"""),"A_10_37")</f>
        <v>A_10_37</v>
      </c>
      <c r="D121" s="7" t="str">
        <f>IFERROR(__xludf.DUMMYFUNCTION("""COMPUTED_VALUE"""),"Q14. ")</f>
        <v>Q14. </v>
      </c>
      <c r="E121" s="7" t="str">
        <f>IFERROR(__xludf.DUMMYFUNCTION("""COMPUTED_VALUE"""),"Lower voting age")</f>
        <v>Lower voting age</v>
      </c>
      <c r="F121" s="7" t="str">
        <f>IFERROR(__xludf.DUMMYFUNCTION("""COMPUTED_VALUE"""),"18")</f>
        <v>18</v>
      </c>
    </row>
    <row r="122">
      <c r="A122" s="7" t="str">
        <f>IFERROR(__xludf.DUMMYFUNCTION("""COMPUTED_VALUE"""),"KENYA  ")</f>
        <v>KENYA  </v>
      </c>
      <c r="B122" s="8">
        <f>IFERROR(__xludf.DUMMYFUNCTION("""COMPUTED_VALUE"""),10.0)</f>
        <v>10</v>
      </c>
      <c r="C122" s="7" t="str">
        <f>IFERROR(__xludf.DUMMYFUNCTION("""COMPUTED_VALUE"""),"A_10_37")</f>
        <v>A_10_37</v>
      </c>
      <c r="D122" s="7" t="str">
        <f>IFERROR(__xludf.DUMMYFUNCTION("""COMPUTED_VALUE"""),"Q14. ")</f>
        <v>Q14. </v>
      </c>
      <c r="E122" s="7" t="str">
        <f>IFERROR(__xludf.DUMMYFUNCTION("""COMPUTED_VALUE"""),"Lower voting age")</f>
        <v>Lower voting age</v>
      </c>
      <c r="F122" s="7" t="str">
        <f>IFERROR(__xludf.DUMMYFUNCTION("""COMPUTED_VALUE"""),"18")</f>
        <v>18</v>
      </c>
    </row>
    <row r="123">
      <c r="A123" s="7" t="str">
        <f>IFERROR(__xludf.DUMMYFUNCTION("""COMPUTED_VALUE"""),"LESOTHO ")</f>
        <v>LESOTHO </v>
      </c>
      <c r="B123" s="8">
        <f>IFERROR(__xludf.DUMMYFUNCTION("""COMPUTED_VALUE"""),10.0)</f>
        <v>10</v>
      </c>
      <c r="C123" s="7" t="str">
        <f>IFERROR(__xludf.DUMMYFUNCTION("""COMPUTED_VALUE"""),"A_10_37")</f>
        <v>A_10_37</v>
      </c>
      <c r="D123" s="7" t="str">
        <f>IFERROR(__xludf.DUMMYFUNCTION("""COMPUTED_VALUE"""),"Q14. ")</f>
        <v>Q14. </v>
      </c>
      <c r="E123" s="7" t="str">
        <f>IFERROR(__xludf.DUMMYFUNCTION("""COMPUTED_VALUE"""),"Lower voting age")</f>
        <v>Lower voting age</v>
      </c>
      <c r="F123" s="7" t="str">
        <f>IFERROR(__xludf.DUMMYFUNCTION("""COMPUTED_VALUE"""),"18")</f>
        <v>18</v>
      </c>
    </row>
    <row r="124">
      <c r="A124" s="7" t="str">
        <f>IFERROR(__xludf.DUMMYFUNCTION("""COMPUTED_VALUE"""),"LIBERIA  ")</f>
        <v>LIBERIA  </v>
      </c>
      <c r="B124" s="8">
        <f>IFERROR(__xludf.DUMMYFUNCTION("""COMPUTED_VALUE"""),10.0)</f>
        <v>10</v>
      </c>
      <c r="C124" s="7" t="str">
        <f>IFERROR(__xludf.DUMMYFUNCTION("""COMPUTED_VALUE"""),"A_10_37")</f>
        <v>A_10_37</v>
      </c>
      <c r="D124" s="7" t="str">
        <f>IFERROR(__xludf.DUMMYFUNCTION("""COMPUTED_VALUE"""),"Q14. ")</f>
        <v>Q14. </v>
      </c>
      <c r="E124" s="7" t="str">
        <f>IFERROR(__xludf.DUMMYFUNCTION("""COMPUTED_VALUE"""),"Lower voting age")</f>
        <v>Lower voting age</v>
      </c>
      <c r="F124" s="7" t="str">
        <f>IFERROR(__xludf.DUMMYFUNCTION("""COMPUTED_VALUE"""),"18")</f>
        <v>18</v>
      </c>
    </row>
    <row r="125">
      <c r="A125" s="7" t="str">
        <f>IFERROR(__xludf.DUMMYFUNCTION("""COMPUTED_VALUE"""),"MADAGASCAR")</f>
        <v>MADAGASCAR</v>
      </c>
      <c r="B125" s="8">
        <f>IFERROR(__xludf.DUMMYFUNCTION("""COMPUTED_VALUE"""),10.0)</f>
        <v>10</v>
      </c>
      <c r="C125" s="7" t="str">
        <f>IFERROR(__xludf.DUMMYFUNCTION("""COMPUTED_VALUE"""),"A_10_37")</f>
        <v>A_10_37</v>
      </c>
      <c r="D125" s="7" t="str">
        <f>IFERROR(__xludf.DUMMYFUNCTION("""COMPUTED_VALUE"""),"Q14. ")</f>
        <v>Q14. </v>
      </c>
      <c r="E125" s="7" t="str">
        <f>IFERROR(__xludf.DUMMYFUNCTION("""COMPUTED_VALUE"""),"Lower voting age")</f>
        <v>Lower voting age</v>
      </c>
      <c r="F125" s="7" t="str">
        <f>IFERROR(__xludf.DUMMYFUNCTION("""COMPUTED_VALUE"""),"18")</f>
        <v>18</v>
      </c>
    </row>
    <row r="126">
      <c r="A126" s="7" t="str">
        <f>IFERROR(__xludf.DUMMYFUNCTION("""COMPUTED_VALUE"""),"MALAWI ")</f>
        <v>MALAWI </v>
      </c>
      <c r="B126" s="8">
        <f>IFERROR(__xludf.DUMMYFUNCTION("""COMPUTED_VALUE"""),10.0)</f>
        <v>10</v>
      </c>
      <c r="C126" s="7" t="str">
        <f>IFERROR(__xludf.DUMMYFUNCTION("""COMPUTED_VALUE"""),"A_10_37")</f>
        <v>A_10_37</v>
      </c>
      <c r="D126" s="7" t="str">
        <f>IFERROR(__xludf.DUMMYFUNCTION("""COMPUTED_VALUE"""),"Q14. ")</f>
        <v>Q14. </v>
      </c>
      <c r="E126" s="7" t="str">
        <f>IFERROR(__xludf.DUMMYFUNCTION("""COMPUTED_VALUE"""),"Lower voting age")</f>
        <v>Lower voting age</v>
      </c>
      <c r="F126" s="7" t="str">
        <f>IFERROR(__xludf.DUMMYFUNCTION("""COMPUTED_VALUE"""),"18")</f>
        <v>18</v>
      </c>
    </row>
    <row r="127">
      <c r="A127" s="7" t="str">
        <f>IFERROR(__xludf.DUMMYFUNCTION("""COMPUTED_VALUE"""),"MALI")</f>
        <v>MALI</v>
      </c>
      <c r="B127" s="8">
        <f>IFERROR(__xludf.DUMMYFUNCTION("""COMPUTED_VALUE"""),10.0)</f>
        <v>10</v>
      </c>
      <c r="C127" s="7" t="str">
        <f>IFERROR(__xludf.DUMMYFUNCTION("""COMPUTED_VALUE"""),"A_10_37")</f>
        <v>A_10_37</v>
      </c>
      <c r="D127" s="7" t="str">
        <f>IFERROR(__xludf.DUMMYFUNCTION("""COMPUTED_VALUE"""),"Q14. ")</f>
        <v>Q14. </v>
      </c>
      <c r="E127" s="7" t="str">
        <f>IFERROR(__xludf.DUMMYFUNCTION("""COMPUTED_VALUE"""),"Lower voting age")</f>
        <v>Lower voting age</v>
      </c>
      <c r="F127" s="7" t="str">
        <f>IFERROR(__xludf.DUMMYFUNCTION("""COMPUTED_VALUE"""),"18")</f>
        <v>18</v>
      </c>
    </row>
    <row r="128">
      <c r="A128" s="7" t="str">
        <f>IFERROR(__xludf.DUMMYFUNCTION("""COMPUTED_VALUE"""),"MAURITANIA")</f>
        <v>MAURITANIA</v>
      </c>
      <c r="B128" s="8">
        <f>IFERROR(__xludf.DUMMYFUNCTION("""COMPUTED_VALUE"""),10.0)</f>
        <v>10</v>
      </c>
      <c r="C128" s="7" t="str">
        <f>IFERROR(__xludf.DUMMYFUNCTION("""COMPUTED_VALUE"""),"A_10_37")</f>
        <v>A_10_37</v>
      </c>
      <c r="D128" s="7" t="str">
        <f>IFERROR(__xludf.DUMMYFUNCTION("""COMPUTED_VALUE"""),"Q14. ")</f>
        <v>Q14. </v>
      </c>
      <c r="E128" s="7" t="str">
        <f>IFERROR(__xludf.DUMMYFUNCTION("""COMPUTED_VALUE"""),"Lower voting age")</f>
        <v>Lower voting age</v>
      </c>
      <c r="F128" s="7" t="str">
        <f>IFERROR(__xludf.DUMMYFUNCTION("""COMPUTED_VALUE"""),"18")</f>
        <v>18</v>
      </c>
    </row>
    <row r="129">
      <c r="A129" s="7" t="str">
        <f>IFERROR(__xludf.DUMMYFUNCTION("""COMPUTED_VALUE"""),"MAURITIUS")</f>
        <v>MAURITIUS</v>
      </c>
      <c r="B129" s="8">
        <f>IFERROR(__xludf.DUMMYFUNCTION("""COMPUTED_VALUE"""),10.0)</f>
        <v>10</v>
      </c>
      <c r="C129" s="7" t="str">
        <f>IFERROR(__xludf.DUMMYFUNCTION("""COMPUTED_VALUE"""),"A_10_37")</f>
        <v>A_10_37</v>
      </c>
      <c r="D129" s="7" t="str">
        <f>IFERROR(__xludf.DUMMYFUNCTION("""COMPUTED_VALUE"""),"Q14. ")</f>
        <v>Q14. </v>
      </c>
      <c r="E129" s="7" t="str">
        <f>IFERROR(__xludf.DUMMYFUNCTION("""COMPUTED_VALUE"""),"Lower voting age")</f>
        <v>Lower voting age</v>
      </c>
      <c r="F129" s="7" t="str">
        <f>IFERROR(__xludf.DUMMYFUNCTION("""COMPUTED_VALUE"""),"18")</f>
        <v>18</v>
      </c>
    </row>
    <row r="130">
      <c r="A130" s="7" t="str">
        <f>IFERROR(__xludf.DUMMYFUNCTION("""COMPUTED_VALUE"""),"MOROCCO ")</f>
        <v>MOROCCO </v>
      </c>
      <c r="B130" s="8">
        <f>IFERROR(__xludf.DUMMYFUNCTION("""COMPUTED_VALUE"""),10.0)</f>
        <v>10</v>
      </c>
      <c r="C130" s="7" t="str">
        <f>IFERROR(__xludf.DUMMYFUNCTION("""COMPUTED_VALUE"""),"A_10_37")</f>
        <v>A_10_37</v>
      </c>
      <c r="D130" s="7" t="str">
        <f>IFERROR(__xludf.DUMMYFUNCTION("""COMPUTED_VALUE"""),"Q14. ")</f>
        <v>Q14. </v>
      </c>
      <c r="E130" s="7" t="str">
        <f>IFERROR(__xludf.DUMMYFUNCTION("""COMPUTED_VALUE"""),"Lower voting age")</f>
        <v>Lower voting age</v>
      </c>
      <c r="F130" s="7" t="str">
        <f>IFERROR(__xludf.DUMMYFUNCTION("""COMPUTED_VALUE"""),"18")</f>
        <v>18</v>
      </c>
    </row>
    <row r="131">
      <c r="A131" s="7" t="str">
        <f>IFERROR(__xludf.DUMMYFUNCTION("""COMPUTED_VALUE"""),"MOZAMBIQUE")</f>
        <v>MOZAMBIQUE</v>
      </c>
      <c r="B131" s="8">
        <f>IFERROR(__xludf.DUMMYFUNCTION("""COMPUTED_VALUE"""),10.0)</f>
        <v>10</v>
      </c>
      <c r="C131" s="7" t="str">
        <f>IFERROR(__xludf.DUMMYFUNCTION("""COMPUTED_VALUE"""),"A_10_37")</f>
        <v>A_10_37</v>
      </c>
      <c r="D131" s="7" t="str">
        <f>IFERROR(__xludf.DUMMYFUNCTION("""COMPUTED_VALUE"""),"Q14. ")</f>
        <v>Q14. </v>
      </c>
      <c r="E131" s="7" t="str">
        <f>IFERROR(__xludf.DUMMYFUNCTION("""COMPUTED_VALUE"""),"Lower voting age")</f>
        <v>Lower voting age</v>
      </c>
      <c r="F131" s="7" t="str">
        <f>IFERROR(__xludf.DUMMYFUNCTION("""COMPUTED_VALUE"""),"18")</f>
        <v>18</v>
      </c>
    </row>
    <row r="132">
      <c r="A132" s="7" t="str">
        <f>IFERROR(__xludf.DUMMYFUNCTION("""COMPUTED_VALUE"""),"NAMIBIA ")</f>
        <v>NAMIBIA </v>
      </c>
      <c r="B132" s="8">
        <f>IFERROR(__xludf.DUMMYFUNCTION("""COMPUTED_VALUE"""),10.0)</f>
        <v>10</v>
      </c>
      <c r="C132" s="7" t="str">
        <f>IFERROR(__xludf.DUMMYFUNCTION("""COMPUTED_VALUE"""),"A_10_37")</f>
        <v>A_10_37</v>
      </c>
      <c r="D132" s="7" t="str">
        <f>IFERROR(__xludf.DUMMYFUNCTION("""COMPUTED_VALUE"""),"Q14. ")</f>
        <v>Q14. </v>
      </c>
      <c r="E132" s="7" t="str">
        <f>IFERROR(__xludf.DUMMYFUNCTION("""COMPUTED_VALUE"""),"Lower voting age")</f>
        <v>Lower voting age</v>
      </c>
      <c r="F132" s="7" t="str">
        <f>IFERROR(__xludf.DUMMYFUNCTION("""COMPUTED_VALUE"""),"18")</f>
        <v>18</v>
      </c>
    </row>
    <row r="133">
      <c r="A133" s="7" t="str">
        <f>IFERROR(__xludf.DUMMYFUNCTION("""COMPUTED_VALUE"""),"NIGERIA ")</f>
        <v>NIGERIA </v>
      </c>
      <c r="B133" s="8">
        <f>IFERROR(__xludf.DUMMYFUNCTION("""COMPUTED_VALUE"""),10.0)</f>
        <v>10</v>
      </c>
      <c r="C133" s="7" t="str">
        <f>IFERROR(__xludf.DUMMYFUNCTION("""COMPUTED_VALUE"""),"A_10_37")</f>
        <v>A_10_37</v>
      </c>
      <c r="D133" s="7" t="str">
        <f>IFERROR(__xludf.DUMMYFUNCTION("""COMPUTED_VALUE"""),"Q14. ")</f>
        <v>Q14. </v>
      </c>
      <c r="E133" s="7" t="str">
        <f>IFERROR(__xludf.DUMMYFUNCTION("""COMPUTED_VALUE"""),"Lower voting age")</f>
        <v>Lower voting age</v>
      </c>
      <c r="F133" s="7" t="str">
        <f>IFERROR(__xludf.DUMMYFUNCTION("""COMPUTED_VALUE"""),"18")</f>
        <v>18</v>
      </c>
    </row>
    <row r="134">
      <c r="A134" s="7" t="str">
        <f>IFERROR(__xludf.DUMMYFUNCTION("""COMPUTED_VALUE"""),"SAO TOME AND PRINCIPE")</f>
        <v>SAO TOME AND PRINCIPE</v>
      </c>
      <c r="B134" s="8">
        <f>IFERROR(__xludf.DUMMYFUNCTION("""COMPUTED_VALUE"""),10.0)</f>
        <v>10</v>
      </c>
      <c r="C134" s="7" t="str">
        <f>IFERROR(__xludf.DUMMYFUNCTION("""COMPUTED_VALUE"""),"A_10_37")</f>
        <v>A_10_37</v>
      </c>
      <c r="D134" s="7" t="str">
        <f>IFERROR(__xludf.DUMMYFUNCTION("""COMPUTED_VALUE"""),"Q14. ")</f>
        <v>Q14. </v>
      </c>
      <c r="E134" s="7" t="str">
        <f>IFERROR(__xludf.DUMMYFUNCTION("""COMPUTED_VALUE"""),"Lower voting age")</f>
        <v>Lower voting age</v>
      </c>
      <c r="F134" s="7" t="str">
        <f>IFERROR(__xludf.DUMMYFUNCTION("""COMPUTED_VALUE"""),"18")</f>
        <v>18</v>
      </c>
    </row>
    <row r="135">
      <c r="A135" s="7" t="str">
        <f>IFERROR(__xludf.DUMMYFUNCTION("""COMPUTED_VALUE"""),"SENEGAL")</f>
        <v>SENEGAL</v>
      </c>
      <c r="B135" s="8">
        <f>IFERROR(__xludf.DUMMYFUNCTION("""COMPUTED_VALUE"""),10.0)</f>
        <v>10</v>
      </c>
      <c r="C135" s="7" t="str">
        <f>IFERROR(__xludf.DUMMYFUNCTION("""COMPUTED_VALUE"""),"A_10_37")</f>
        <v>A_10_37</v>
      </c>
      <c r="D135" s="7" t="str">
        <f>IFERROR(__xludf.DUMMYFUNCTION("""COMPUTED_VALUE"""),"Q14. ")</f>
        <v>Q14. </v>
      </c>
      <c r="E135" s="7" t="str">
        <f>IFERROR(__xludf.DUMMYFUNCTION("""COMPUTED_VALUE"""),"Lower voting age")</f>
        <v>Lower voting age</v>
      </c>
      <c r="F135" s="7" t="str">
        <f>IFERROR(__xludf.DUMMYFUNCTION("""COMPUTED_VALUE"""),"18")</f>
        <v>18</v>
      </c>
    </row>
    <row r="136">
      <c r="A136" s="7" t="str">
        <f>IFERROR(__xludf.DUMMYFUNCTION("""COMPUTED_VALUE"""),"SEYCHELLES")</f>
        <v>SEYCHELLES</v>
      </c>
      <c r="B136" s="8">
        <f>IFERROR(__xludf.DUMMYFUNCTION("""COMPUTED_VALUE"""),10.0)</f>
        <v>10</v>
      </c>
      <c r="C136" s="7" t="str">
        <f>IFERROR(__xludf.DUMMYFUNCTION("""COMPUTED_VALUE"""),"A_10_37")</f>
        <v>A_10_37</v>
      </c>
      <c r="D136" s="7" t="str">
        <f>IFERROR(__xludf.DUMMYFUNCTION("""COMPUTED_VALUE"""),"Q14. ")</f>
        <v>Q14. </v>
      </c>
      <c r="E136" s="7" t="str">
        <f>IFERROR(__xludf.DUMMYFUNCTION("""COMPUTED_VALUE"""),"Lower voting age")</f>
        <v>Lower voting age</v>
      </c>
      <c r="F136" s="7" t="str">
        <f>IFERROR(__xludf.DUMMYFUNCTION("""COMPUTED_VALUE"""),"18")</f>
        <v>18</v>
      </c>
    </row>
    <row r="137">
      <c r="A137" s="7" t="str">
        <f>IFERROR(__xludf.DUMMYFUNCTION("""COMPUTED_VALUE"""),"SOUTH AFRICA")</f>
        <v>SOUTH AFRICA</v>
      </c>
      <c r="B137" s="8">
        <f>IFERROR(__xludf.DUMMYFUNCTION("""COMPUTED_VALUE"""),10.0)</f>
        <v>10</v>
      </c>
      <c r="C137" s="7" t="str">
        <f>IFERROR(__xludf.DUMMYFUNCTION("""COMPUTED_VALUE"""),"A_10_37")</f>
        <v>A_10_37</v>
      </c>
      <c r="D137" s="7" t="str">
        <f>IFERROR(__xludf.DUMMYFUNCTION("""COMPUTED_VALUE"""),"Q14. ")</f>
        <v>Q14. </v>
      </c>
      <c r="E137" s="7" t="str">
        <f>IFERROR(__xludf.DUMMYFUNCTION("""COMPUTED_VALUE"""),"Lower voting age")</f>
        <v>Lower voting age</v>
      </c>
      <c r="F137" s="7" t="str">
        <f>IFERROR(__xludf.DUMMYFUNCTION("""COMPUTED_VALUE"""),"18")</f>
        <v>18</v>
      </c>
    </row>
    <row r="138">
      <c r="A138" s="7" t="str">
        <f>IFERROR(__xludf.DUMMYFUNCTION("""COMPUTED_VALUE"""),"TANZANIA")</f>
        <v>TANZANIA</v>
      </c>
      <c r="B138" s="8">
        <f>IFERROR(__xludf.DUMMYFUNCTION("""COMPUTED_VALUE"""),10.0)</f>
        <v>10</v>
      </c>
      <c r="C138" s="7" t="str">
        <f>IFERROR(__xludf.DUMMYFUNCTION("""COMPUTED_VALUE"""),"A_10_37")</f>
        <v>A_10_37</v>
      </c>
      <c r="D138" s="7" t="str">
        <f>IFERROR(__xludf.DUMMYFUNCTION("""COMPUTED_VALUE"""),"Q14. ")</f>
        <v>Q14. </v>
      </c>
      <c r="E138" s="7" t="str">
        <f>IFERROR(__xludf.DUMMYFUNCTION("""COMPUTED_VALUE"""),"Lower voting age")</f>
        <v>Lower voting age</v>
      </c>
      <c r="F138" s="7" t="str">
        <f>IFERROR(__xludf.DUMMYFUNCTION("""COMPUTED_VALUE"""),"18")</f>
        <v>18</v>
      </c>
    </row>
    <row r="139">
      <c r="A139" s="7" t="str">
        <f>IFERROR(__xludf.DUMMYFUNCTION("""COMPUTED_VALUE"""),"TOGO ")</f>
        <v>TOGO </v>
      </c>
      <c r="B139" s="8">
        <f>IFERROR(__xludf.DUMMYFUNCTION("""COMPUTED_VALUE"""),10.0)</f>
        <v>10</v>
      </c>
      <c r="C139" s="7" t="str">
        <f>IFERROR(__xludf.DUMMYFUNCTION("""COMPUTED_VALUE"""),"A_10_37")</f>
        <v>A_10_37</v>
      </c>
      <c r="D139" s="7" t="str">
        <f>IFERROR(__xludf.DUMMYFUNCTION("""COMPUTED_VALUE"""),"Q14. ")</f>
        <v>Q14. </v>
      </c>
      <c r="E139" s="7" t="str">
        <f>IFERROR(__xludf.DUMMYFUNCTION("""COMPUTED_VALUE"""),"Lower voting age")</f>
        <v>Lower voting age</v>
      </c>
      <c r="F139" s="7" t="str">
        <f>IFERROR(__xludf.DUMMYFUNCTION("""COMPUTED_VALUE"""),"18")</f>
        <v>18</v>
      </c>
    </row>
    <row r="140">
      <c r="A140" s="7" t="str">
        <f>IFERROR(__xludf.DUMMYFUNCTION("""COMPUTED_VALUE"""),"TUNISIA ")</f>
        <v>TUNISIA </v>
      </c>
      <c r="B140" s="8">
        <f>IFERROR(__xludf.DUMMYFUNCTION("""COMPUTED_VALUE"""),10.0)</f>
        <v>10</v>
      </c>
      <c r="C140" s="7" t="str">
        <f>IFERROR(__xludf.DUMMYFUNCTION("""COMPUTED_VALUE"""),"A_10_37")</f>
        <v>A_10_37</v>
      </c>
      <c r="D140" s="7" t="str">
        <f>IFERROR(__xludf.DUMMYFUNCTION("""COMPUTED_VALUE"""),"Q14. ")</f>
        <v>Q14. </v>
      </c>
      <c r="E140" s="7" t="str">
        <f>IFERROR(__xludf.DUMMYFUNCTION("""COMPUTED_VALUE"""),"Lower voting age")</f>
        <v>Lower voting age</v>
      </c>
      <c r="F140" s="7" t="str">
        <f>IFERROR(__xludf.DUMMYFUNCTION("""COMPUTED_VALUE"""),"18")</f>
        <v>18</v>
      </c>
    </row>
    <row r="141">
      <c r="A141" s="7" t="str">
        <f>IFERROR(__xludf.DUMMYFUNCTION("""COMPUTED_VALUE"""),"UGANDA  ")</f>
        <v>UGANDA  </v>
      </c>
      <c r="B141" s="8">
        <f>IFERROR(__xludf.DUMMYFUNCTION("""COMPUTED_VALUE"""),10.0)</f>
        <v>10</v>
      </c>
      <c r="C141" s="7" t="str">
        <f>IFERROR(__xludf.DUMMYFUNCTION("""COMPUTED_VALUE"""),"A_10_37")</f>
        <v>A_10_37</v>
      </c>
      <c r="D141" s="7" t="str">
        <f>IFERROR(__xludf.DUMMYFUNCTION("""COMPUTED_VALUE"""),"Q14. ")</f>
        <v>Q14. </v>
      </c>
      <c r="E141" s="7" t="str">
        <f>IFERROR(__xludf.DUMMYFUNCTION("""COMPUTED_VALUE"""),"Lower voting age")</f>
        <v>Lower voting age</v>
      </c>
      <c r="F141" s="7" t="str">
        <f>IFERROR(__xludf.DUMMYFUNCTION("""COMPUTED_VALUE"""),"18")</f>
        <v>18</v>
      </c>
    </row>
    <row r="142">
      <c r="A142" s="7" t="str">
        <f>IFERROR(__xludf.DUMMYFUNCTION("""COMPUTED_VALUE"""),"ZAMBIA")</f>
        <v>ZAMBIA</v>
      </c>
      <c r="B142" s="8">
        <f>IFERROR(__xludf.DUMMYFUNCTION("""COMPUTED_VALUE"""),10.0)</f>
        <v>10</v>
      </c>
      <c r="C142" s="7" t="str">
        <f>IFERROR(__xludf.DUMMYFUNCTION("""COMPUTED_VALUE"""),"A_10_37")</f>
        <v>A_10_37</v>
      </c>
      <c r="D142" s="7" t="str">
        <f>IFERROR(__xludf.DUMMYFUNCTION("""COMPUTED_VALUE"""),"Q14. ")</f>
        <v>Q14. </v>
      </c>
      <c r="E142" s="7" t="str">
        <f>IFERROR(__xludf.DUMMYFUNCTION("""COMPUTED_VALUE"""),"Lower voting age")</f>
        <v>Lower voting age</v>
      </c>
      <c r="F142" s="7" t="str">
        <f>IFERROR(__xludf.DUMMYFUNCTION("""COMPUTED_VALUE"""),"18")</f>
        <v>18</v>
      </c>
    </row>
    <row r="143">
      <c r="A143" s="7" t="str">
        <f>IFERROR(__xludf.DUMMYFUNCTION("""COMPUTED_VALUE"""),"ZIMBABWE")</f>
        <v>ZIMBABWE</v>
      </c>
      <c r="B143" s="8">
        <f>IFERROR(__xludf.DUMMYFUNCTION("""COMPUTED_VALUE"""),10.0)</f>
        <v>10</v>
      </c>
      <c r="C143" s="7" t="str">
        <f>IFERROR(__xludf.DUMMYFUNCTION("""COMPUTED_VALUE"""),"A_10_37")</f>
        <v>A_10_37</v>
      </c>
      <c r="D143" s="7" t="str">
        <f>IFERROR(__xludf.DUMMYFUNCTION("""COMPUTED_VALUE"""),"Q14. ")</f>
        <v>Q14. </v>
      </c>
      <c r="E143" s="7" t="str">
        <f>IFERROR(__xludf.DUMMYFUNCTION("""COMPUTED_VALUE"""),"Lower voting age")</f>
        <v>Lower voting age</v>
      </c>
      <c r="F143" s="7" t="str">
        <f>IFERROR(__xludf.DUMMYFUNCTION("""COMPUTED_VALUE"""),"18")</f>
        <v>18</v>
      </c>
    </row>
    <row r="144">
      <c r="A144" s="7" t="str">
        <f>IFERROR(__xludf.DUMMYFUNCTION("""COMPUTED_VALUE"""),"ANGOLA ")</f>
        <v>ANGOLA </v>
      </c>
      <c r="B144" s="8">
        <f>IFERROR(__xludf.DUMMYFUNCTION("""COMPUTED_VALUE"""),10.0)</f>
        <v>10</v>
      </c>
      <c r="C144" s="7" t="str">
        <f>IFERROR(__xludf.DUMMYFUNCTION("""COMPUTED_VALUE"""),"A_10_10")</f>
        <v>A_10_10</v>
      </c>
      <c r="D144" s="7" t="str">
        <f>IFERROR(__xludf.DUMMYFUNCTION("""COMPUTED_VALUE"""),"Q15.")</f>
        <v>Q15.</v>
      </c>
      <c r="E144" s="7" t="str">
        <f>IFERROR(__xludf.DUMMYFUNCTION("""COMPUTED_VALUE"""),"Freeness and fairness of the last national election")</f>
        <v>Freeness and fairness of the last national election</v>
      </c>
      <c r="F144" s="7" t="str">
        <f>IFERROR(__xludf.DUMMYFUNCTION("""COMPUTED_VALUE"""),"2022")</f>
        <v>2022</v>
      </c>
    </row>
    <row r="145">
      <c r="A145" s="7" t="str">
        <f>IFERROR(__xludf.DUMMYFUNCTION("""COMPUTED_VALUE"""),"BENIN")</f>
        <v>BENIN</v>
      </c>
      <c r="B145" s="8">
        <f>IFERROR(__xludf.DUMMYFUNCTION("""COMPUTED_VALUE"""),10.0)</f>
        <v>10</v>
      </c>
      <c r="C145" s="7" t="str">
        <f>IFERROR(__xludf.DUMMYFUNCTION("""COMPUTED_VALUE"""),"A_10_10")</f>
        <v>A_10_10</v>
      </c>
      <c r="D145" s="7" t="str">
        <f>IFERROR(__xludf.DUMMYFUNCTION("""COMPUTED_VALUE"""),"Q15.")</f>
        <v>Q15.</v>
      </c>
      <c r="E145" s="7" t="str">
        <f>IFERROR(__xludf.DUMMYFUNCTION("""COMPUTED_VALUE"""),"Freeness and fairness of the last national election")</f>
        <v>Freeness and fairness of the last national election</v>
      </c>
      <c r="F145" s="7" t="str">
        <f>IFERROR(__xludf.DUMMYFUNCTION("""COMPUTED_VALUE"""),"2023")</f>
        <v>2023</v>
      </c>
    </row>
    <row r="146">
      <c r="A146" s="7" t="str">
        <f>IFERROR(__xludf.DUMMYFUNCTION("""COMPUTED_VALUE"""),"BOTSWANA ")</f>
        <v>BOTSWANA </v>
      </c>
      <c r="B146" s="8">
        <f>IFERROR(__xludf.DUMMYFUNCTION("""COMPUTED_VALUE"""),10.0)</f>
        <v>10</v>
      </c>
      <c r="C146" s="7" t="str">
        <f>IFERROR(__xludf.DUMMYFUNCTION("""COMPUTED_VALUE"""),"A_10_10")</f>
        <v>A_10_10</v>
      </c>
      <c r="D146" s="7" t="str">
        <f>IFERROR(__xludf.DUMMYFUNCTION("""COMPUTED_VALUE"""),"Q15.")</f>
        <v>Q15.</v>
      </c>
      <c r="E146" s="7" t="str">
        <f>IFERROR(__xludf.DUMMYFUNCTION("""COMPUTED_VALUE"""),"Freeness and fairness of the last national election")</f>
        <v>Freeness and fairness of the last national election</v>
      </c>
      <c r="F146" s="7" t="str">
        <f>IFERROR(__xludf.DUMMYFUNCTION("""COMPUTED_VALUE"""),"2019")</f>
        <v>2019</v>
      </c>
    </row>
    <row r="147">
      <c r="A147" s="7" t="str">
        <f>IFERROR(__xludf.DUMMYFUNCTION("""COMPUTED_VALUE"""),"CABO VERDE ")</f>
        <v>CABO VERDE </v>
      </c>
      <c r="B147" s="8">
        <f>IFERROR(__xludf.DUMMYFUNCTION("""COMPUTED_VALUE"""),10.0)</f>
        <v>10</v>
      </c>
      <c r="C147" s="7" t="str">
        <f>IFERROR(__xludf.DUMMYFUNCTION("""COMPUTED_VALUE"""),"A_10_10")</f>
        <v>A_10_10</v>
      </c>
      <c r="D147" s="7" t="str">
        <f>IFERROR(__xludf.DUMMYFUNCTION("""COMPUTED_VALUE"""),"Q15.")</f>
        <v>Q15.</v>
      </c>
      <c r="E147" s="7" t="str">
        <f>IFERROR(__xludf.DUMMYFUNCTION("""COMPUTED_VALUE"""),"Freeness and fairness of the last national election")</f>
        <v>Freeness and fairness of the last national election</v>
      </c>
      <c r="F147" s="7" t="str">
        <f>IFERROR(__xludf.DUMMYFUNCTION("""COMPUTED_VALUE"""),"2021")</f>
        <v>2021</v>
      </c>
    </row>
    <row r="148">
      <c r="A148" s="7" t="str">
        <f>IFERROR(__xludf.DUMMYFUNCTION("""COMPUTED_VALUE"""),"CAMEROON")</f>
        <v>CAMEROON</v>
      </c>
      <c r="B148" s="8">
        <f>IFERROR(__xludf.DUMMYFUNCTION("""COMPUTED_VALUE"""),10.0)</f>
        <v>10</v>
      </c>
      <c r="C148" s="7" t="str">
        <f>IFERROR(__xludf.DUMMYFUNCTION("""COMPUTED_VALUE"""),"A_10_10")</f>
        <v>A_10_10</v>
      </c>
      <c r="D148" s="7" t="str">
        <f>IFERROR(__xludf.DUMMYFUNCTION("""COMPUTED_VALUE"""),"Q15.")</f>
        <v>Q15.</v>
      </c>
      <c r="E148" s="7" t="str">
        <f>IFERROR(__xludf.DUMMYFUNCTION("""COMPUTED_VALUE"""),"Freeness and fairness of the last national election")</f>
        <v>Freeness and fairness of the last national election</v>
      </c>
      <c r="F148" s="7" t="str">
        <f>IFERROR(__xludf.DUMMYFUNCTION("""COMPUTED_VALUE"""),"2020")</f>
        <v>2020</v>
      </c>
    </row>
    <row r="149">
      <c r="A149" s="7" t="str">
        <f>IFERROR(__xludf.DUMMYFUNCTION("""COMPUTED_VALUE"""),"CHAD")</f>
        <v>CHAD</v>
      </c>
      <c r="B149" s="8">
        <f>IFERROR(__xludf.DUMMYFUNCTION("""COMPUTED_VALUE"""),10.0)</f>
        <v>10</v>
      </c>
      <c r="C149" s="7" t="str">
        <f>IFERROR(__xludf.DUMMYFUNCTION("""COMPUTED_VALUE"""),"A_10_10")</f>
        <v>A_10_10</v>
      </c>
      <c r="D149" s="7" t="str">
        <f>IFERROR(__xludf.DUMMYFUNCTION("""COMPUTED_VALUE"""),"Q15.")</f>
        <v>Q15.</v>
      </c>
      <c r="E149" s="7" t="str">
        <f>IFERROR(__xludf.DUMMYFUNCTION("""COMPUTED_VALUE"""),"Freeness and fairness of the last national election")</f>
        <v>Freeness and fairness of the last national election</v>
      </c>
      <c r="F149" s="7" t="str">
        <f>IFERROR(__xludf.DUMMYFUNCTION("""COMPUTED_VALUE"""),"2024")</f>
        <v>2024</v>
      </c>
    </row>
    <row r="150">
      <c r="A150" s="7" t="str">
        <f>IFERROR(__xludf.DUMMYFUNCTION("""COMPUTED_VALUE"""),"COMOROS")</f>
        <v>COMOROS</v>
      </c>
      <c r="B150" s="8">
        <f>IFERROR(__xludf.DUMMYFUNCTION("""COMPUTED_VALUE"""),10.0)</f>
        <v>10</v>
      </c>
      <c r="C150" s="7" t="str">
        <f>IFERROR(__xludf.DUMMYFUNCTION("""COMPUTED_VALUE"""),"A_10_10")</f>
        <v>A_10_10</v>
      </c>
      <c r="D150" s="7" t="str">
        <f>IFERROR(__xludf.DUMMYFUNCTION("""COMPUTED_VALUE"""),"Q15.")</f>
        <v>Q15.</v>
      </c>
      <c r="E150" s="7" t="str">
        <f>IFERROR(__xludf.DUMMYFUNCTION("""COMPUTED_VALUE"""),"Freeness and fairness of the last national election")</f>
        <v>Freeness and fairness of the last national election</v>
      </c>
      <c r="F150" s="7" t="str">
        <f>IFERROR(__xludf.DUMMYFUNCTION("""COMPUTED_VALUE"""),"2025")</f>
        <v>2025</v>
      </c>
    </row>
    <row r="151">
      <c r="A151" s="7" t="str">
        <f>IFERROR(__xludf.DUMMYFUNCTION("""COMPUTED_VALUE"""),"CONGO BRAZZAVILLE")</f>
        <v>CONGO BRAZZAVILLE</v>
      </c>
      <c r="B151" s="8">
        <f>IFERROR(__xludf.DUMMYFUNCTION("""COMPUTED_VALUE"""),10.0)</f>
        <v>10</v>
      </c>
      <c r="C151" s="7" t="str">
        <f>IFERROR(__xludf.DUMMYFUNCTION("""COMPUTED_VALUE"""),"A_10_10")</f>
        <v>A_10_10</v>
      </c>
      <c r="D151" s="7" t="str">
        <f>IFERROR(__xludf.DUMMYFUNCTION("""COMPUTED_VALUE"""),"Q15.")</f>
        <v>Q15.</v>
      </c>
      <c r="E151" s="7" t="str">
        <f>IFERROR(__xludf.DUMMYFUNCTION("""COMPUTED_VALUE"""),"Freeness and fairness of the last national election")</f>
        <v>Freeness and fairness of the last national election</v>
      </c>
      <c r="F151" s="7" t="str">
        <f>IFERROR(__xludf.DUMMYFUNCTION("""COMPUTED_VALUE"""),"2022")</f>
        <v>2022</v>
      </c>
    </row>
    <row r="152">
      <c r="A152" s="7" t="str">
        <f>IFERROR(__xludf.DUMMYFUNCTION("""COMPUTED_VALUE"""),"COTE D'IVOIRE")</f>
        <v>COTE D'IVOIRE</v>
      </c>
      <c r="B152" s="8">
        <f>IFERROR(__xludf.DUMMYFUNCTION("""COMPUTED_VALUE"""),10.0)</f>
        <v>10</v>
      </c>
      <c r="C152" s="7" t="str">
        <f>IFERROR(__xludf.DUMMYFUNCTION("""COMPUTED_VALUE"""),"A_10_10")</f>
        <v>A_10_10</v>
      </c>
      <c r="D152" s="7" t="str">
        <f>IFERROR(__xludf.DUMMYFUNCTION("""COMPUTED_VALUE"""),"Q15.")</f>
        <v>Q15.</v>
      </c>
      <c r="E152" s="7" t="str">
        <f>IFERROR(__xludf.DUMMYFUNCTION("""COMPUTED_VALUE"""),"Freeness and fairness of the last national election")</f>
        <v>Freeness and fairness of the last national election</v>
      </c>
      <c r="F152" s="7" t="str">
        <f>IFERROR(__xludf.DUMMYFUNCTION("""COMPUTED_VALUE"""),"2021")</f>
        <v>2021</v>
      </c>
    </row>
    <row r="153">
      <c r="A153" s="7" t="str">
        <f>IFERROR(__xludf.DUMMYFUNCTION("""COMPUTED_VALUE"""),"ESWATINI")</f>
        <v>ESWATINI</v>
      </c>
      <c r="B153" s="8">
        <f>IFERROR(__xludf.DUMMYFUNCTION("""COMPUTED_VALUE"""),10.0)</f>
        <v>10</v>
      </c>
      <c r="C153" s="7" t="str">
        <f>IFERROR(__xludf.DUMMYFUNCTION("""COMPUTED_VALUE"""),"A_10_10")</f>
        <v>A_10_10</v>
      </c>
      <c r="D153" s="7" t="str">
        <f>IFERROR(__xludf.DUMMYFUNCTION("""COMPUTED_VALUE"""),"Q15.")</f>
        <v>Q15.</v>
      </c>
      <c r="E153" s="7" t="str">
        <f>IFERROR(__xludf.DUMMYFUNCTION("""COMPUTED_VALUE"""),"Freeness and fairness of the last national election")</f>
        <v>Freeness and fairness of the last national election</v>
      </c>
      <c r="F153" s="7" t="str">
        <f>IFERROR(__xludf.DUMMYFUNCTION("""COMPUTED_VALUE"""),"2023")</f>
        <v>2023</v>
      </c>
    </row>
    <row r="154">
      <c r="A154" s="7" t="str">
        <f>IFERROR(__xludf.DUMMYFUNCTION("""COMPUTED_VALUE"""),"GABON")</f>
        <v>GABON</v>
      </c>
      <c r="B154" s="8">
        <f>IFERROR(__xludf.DUMMYFUNCTION("""COMPUTED_VALUE"""),10.0)</f>
        <v>10</v>
      </c>
      <c r="C154" s="7" t="str">
        <f>IFERROR(__xludf.DUMMYFUNCTION("""COMPUTED_VALUE"""),"A_10_10")</f>
        <v>A_10_10</v>
      </c>
      <c r="D154" s="7" t="str">
        <f>IFERROR(__xludf.DUMMYFUNCTION("""COMPUTED_VALUE"""),"Q15.")</f>
        <v>Q15.</v>
      </c>
      <c r="E154" s="7" t="str">
        <f>IFERROR(__xludf.DUMMYFUNCTION("""COMPUTED_VALUE"""),"Freeness and fairness of the last national election")</f>
        <v>Freeness and fairness of the last national election</v>
      </c>
      <c r="F154" s="7" t="str">
        <f>IFERROR(__xludf.DUMMYFUNCTION("""COMPUTED_VALUE"""),"2023")</f>
        <v>2023</v>
      </c>
    </row>
    <row r="155">
      <c r="A155" s="7" t="str">
        <f>IFERROR(__xludf.DUMMYFUNCTION("""COMPUTED_VALUE"""),"GAMBIA")</f>
        <v>GAMBIA</v>
      </c>
      <c r="B155" s="8">
        <f>IFERROR(__xludf.DUMMYFUNCTION("""COMPUTED_VALUE"""),10.0)</f>
        <v>10</v>
      </c>
      <c r="C155" s="7" t="str">
        <f>IFERROR(__xludf.DUMMYFUNCTION("""COMPUTED_VALUE"""),"A_10_10")</f>
        <v>A_10_10</v>
      </c>
      <c r="D155" s="7" t="str">
        <f>IFERROR(__xludf.DUMMYFUNCTION("""COMPUTED_VALUE"""),"Q15.")</f>
        <v>Q15.</v>
      </c>
      <c r="E155" s="7" t="str">
        <f>IFERROR(__xludf.DUMMYFUNCTION("""COMPUTED_VALUE"""),"Freeness and fairness of the last national election")</f>
        <v>Freeness and fairness of the last national election</v>
      </c>
      <c r="F155" s="7" t="str">
        <f>IFERROR(__xludf.DUMMYFUNCTION("""COMPUTED_VALUE"""),"2023")</f>
        <v>2023</v>
      </c>
    </row>
    <row r="156">
      <c r="A156" s="7" t="str">
        <f>IFERROR(__xludf.DUMMYFUNCTION("""COMPUTED_VALUE"""),"GHANA ")</f>
        <v>GHANA </v>
      </c>
      <c r="B156" s="8">
        <f>IFERROR(__xludf.DUMMYFUNCTION("""COMPUTED_VALUE"""),10.0)</f>
        <v>10</v>
      </c>
      <c r="C156" s="7" t="str">
        <f>IFERROR(__xludf.DUMMYFUNCTION("""COMPUTED_VALUE"""),"A_10_10")</f>
        <v>A_10_10</v>
      </c>
      <c r="D156" s="7" t="str">
        <f>IFERROR(__xludf.DUMMYFUNCTION("""COMPUTED_VALUE"""),"Q15.")</f>
        <v>Q15.</v>
      </c>
      <c r="E156" s="7" t="str">
        <f>IFERROR(__xludf.DUMMYFUNCTION("""COMPUTED_VALUE"""),"Freeness and fairness of the last national election")</f>
        <v>Freeness and fairness of the last national election</v>
      </c>
      <c r="F156" s="7" t="str">
        <f>IFERROR(__xludf.DUMMYFUNCTION("""COMPUTED_VALUE"""),"2020")</f>
        <v>2020</v>
      </c>
    </row>
    <row r="157">
      <c r="A157" s="7" t="str">
        <f>IFERROR(__xludf.DUMMYFUNCTION("""COMPUTED_VALUE"""),"GUINEA")</f>
        <v>GUINEA</v>
      </c>
      <c r="B157" s="8">
        <f>IFERROR(__xludf.DUMMYFUNCTION("""COMPUTED_VALUE"""),10.0)</f>
        <v>10</v>
      </c>
      <c r="C157" s="7" t="str">
        <f>IFERROR(__xludf.DUMMYFUNCTION("""COMPUTED_VALUE"""),"A_10_10")</f>
        <v>A_10_10</v>
      </c>
      <c r="D157" s="7" t="str">
        <f>IFERROR(__xludf.DUMMYFUNCTION("""COMPUTED_VALUE"""),"Q15.")</f>
        <v>Q15.</v>
      </c>
      <c r="E157" s="7" t="str">
        <f>IFERROR(__xludf.DUMMYFUNCTION("""COMPUTED_VALUE"""),"Freeness and fairness of the last national election")</f>
        <v>Freeness and fairness of the last national election</v>
      </c>
      <c r="F157" s="7" t="str">
        <f>IFERROR(__xludf.DUMMYFUNCTION("""COMPUTED_VALUE"""),"2020")</f>
        <v>2020</v>
      </c>
    </row>
    <row r="158">
      <c r="A158" s="7" t="str">
        <f>IFERROR(__xludf.DUMMYFUNCTION("""COMPUTED_VALUE"""),"KENYA  ")</f>
        <v>KENYA  </v>
      </c>
      <c r="B158" s="8">
        <f>IFERROR(__xludf.DUMMYFUNCTION("""COMPUTED_VALUE"""),10.0)</f>
        <v>10</v>
      </c>
      <c r="C158" s="7" t="str">
        <f>IFERROR(__xludf.DUMMYFUNCTION("""COMPUTED_VALUE"""),"A_10_10")</f>
        <v>A_10_10</v>
      </c>
      <c r="D158" s="7" t="str">
        <f>IFERROR(__xludf.DUMMYFUNCTION("""COMPUTED_VALUE"""),"Q15.")</f>
        <v>Q15.</v>
      </c>
      <c r="E158" s="7" t="str">
        <f>IFERROR(__xludf.DUMMYFUNCTION("""COMPUTED_VALUE"""),"Freeness and fairness of the last national election")</f>
        <v>Freeness and fairness of the last national election</v>
      </c>
      <c r="F158" s="7" t="str">
        <f>IFERROR(__xludf.DUMMYFUNCTION("""COMPUTED_VALUE"""),"2022")</f>
        <v>2022</v>
      </c>
    </row>
    <row r="159">
      <c r="A159" s="7" t="str">
        <f>IFERROR(__xludf.DUMMYFUNCTION("""COMPUTED_VALUE"""),"LESOTHO ")</f>
        <v>LESOTHO </v>
      </c>
      <c r="B159" s="8">
        <f>IFERROR(__xludf.DUMMYFUNCTION("""COMPUTED_VALUE"""),10.0)</f>
        <v>10</v>
      </c>
      <c r="C159" s="7" t="str">
        <f>IFERROR(__xludf.DUMMYFUNCTION("""COMPUTED_VALUE"""),"A_10_10")</f>
        <v>A_10_10</v>
      </c>
      <c r="D159" s="7" t="str">
        <f>IFERROR(__xludf.DUMMYFUNCTION("""COMPUTED_VALUE"""),"Q15.")</f>
        <v>Q15.</v>
      </c>
      <c r="E159" s="7" t="str">
        <f>IFERROR(__xludf.DUMMYFUNCTION("""COMPUTED_VALUE"""),"Freeness and fairness of the last national election")</f>
        <v>Freeness and fairness of the last national election</v>
      </c>
      <c r="F159" s="7" t="str">
        <f>IFERROR(__xludf.DUMMYFUNCTION("""COMPUTED_VALUE"""),"2022")</f>
        <v>2022</v>
      </c>
    </row>
    <row r="160">
      <c r="A160" s="7" t="str">
        <f>IFERROR(__xludf.DUMMYFUNCTION("""COMPUTED_VALUE"""),"LIBERIA  ")</f>
        <v>LIBERIA  </v>
      </c>
      <c r="B160" s="8">
        <f>IFERROR(__xludf.DUMMYFUNCTION("""COMPUTED_VALUE"""),10.0)</f>
        <v>10</v>
      </c>
      <c r="C160" s="7" t="str">
        <f>IFERROR(__xludf.DUMMYFUNCTION("""COMPUTED_VALUE"""),"A_10_10")</f>
        <v>A_10_10</v>
      </c>
      <c r="D160" s="7" t="str">
        <f>IFERROR(__xludf.DUMMYFUNCTION("""COMPUTED_VALUE"""),"Q15.")</f>
        <v>Q15.</v>
      </c>
      <c r="E160" s="7" t="str">
        <f>IFERROR(__xludf.DUMMYFUNCTION("""COMPUTED_VALUE"""),"Freeness and fairness of the last national election")</f>
        <v>Freeness and fairness of the last national election</v>
      </c>
      <c r="F160" s="7" t="str">
        <f>IFERROR(__xludf.DUMMYFUNCTION("""COMPUTED_VALUE"""),"2023")</f>
        <v>2023</v>
      </c>
    </row>
    <row r="161">
      <c r="A161" s="7" t="str">
        <f>IFERROR(__xludf.DUMMYFUNCTION("""COMPUTED_VALUE"""),"MADAGASCAR")</f>
        <v>MADAGASCAR</v>
      </c>
      <c r="B161" s="8">
        <f>IFERROR(__xludf.DUMMYFUNCTION("""COMPUTED_VALUE"""),10.0)</f>
        <v>10</v>
      </c>
      <c r="C161" s="7" t="str">
        <f>IFERROR(__xludf.DUMMYFUNCTION("""COMPUTED_VALUE"""),"A_10_10")</f>
        <v>A_10_10</v>
      </c>
      <c r="D161" s="7" t="str">
        <f>IFERROR(__xludf.DUMMYFUNCTION("""COMPUTED_VALUE"""),"Q15.")</f>
        <v>Q15.</v>
      </c>
      <c r="E161" s="7" t="str">
        <f>IFERROR(__xludf.DUMMYFUNCTION("""COMPUTED_VALUE"""),"Freeness and fairness of the last national election")</f>
        <v>Freeness and fairness of the last national election</v>
      </c>
      <c r="F161" s="7" t="str">
        <f>IFERROR(__xludf.DUMMYFUNCTION("""COMPUTED_VALUE"""),"2024")</f>
        <v>2024</v>
      </c>
    </row>
    <row r="162">
      <c r="A162" s="7" t="str">
        <f>IFERROR(__xludf.DUMMYFUNCTION("""COMPUTED_VALUE"""),"MALAWI ")</f>
        <v>MALAWI </v>
      </c>
      <c r="B162" s="8">
        <f>IFERROR(__xludf.DUMMYFUNCTION("""COMPUTED_VALUE"""),10.0)</f>
        <v>10</v>
      </c>
      <c r="C162" s="7" t="str">
        <f>IFERROR(__xludf.DUMMYFUNCTION("""COMPUTED_VALUE"""),"A_10_10")</f>
        <v>A_10_10</v>
      </c>
      <c r="D162" s="7" t="str">
        <f>IFERROR(__xludf.DUMMYFUNCTION("""COMPUTED_VALUE"""),"Q15.")</f>
        <v>Q15.</v>
      </c>
      <c r="E162" s="7" t="str">
        <f>IFERROR(__xludf.DUMMYFUNCTION("""COMPUTED_VALUE"""),"Freeness and fairness of the last national election")</f>
        <v>Freeness and fairness of the last national election</v>
      </c>
      <c r="F162" s="7" t="str">
        <f>IFERROR(__xludf.DUMMYFUNCTION("""COMPUTED_VALUE"""),"2020")</f>
        <v>2020</v>
      </c>
    </row>
    <row r="163">
      <c r="A163" s="7" t="str">
        <f>IFERROR(__xludf.DUMMYFUNCTION("""COMPUTED_VALUE"""),"MALI")</f>
        <v>MALI</v>
      </c>
      <c r="B163" s="8">
        <f>IFERROR(__xludf.DUMMYFUNCTION("""COMPUTED_VALUE"""),10.0)</f>
        <v>10</v>
      </c>
      <c r="C163" s="7" t="str">
        <f>IFERROR(__xludf.DUMMYFUNCTION("""COMPUTED_VALUE"""),"A_10_10")</f>
        <v>A_10_10</v>
      </c>
      <c r="D163" s="7" t="str">
        <f>IFERROR(__xludf.DUMMYFUNCTION("""COMPUTED_VALUE"""),"Q15.")</f>
        <v>Q15.</v>
      </c>
      <c r="E163" s="7" t="str">
        <f>IFERROR(__xludf.DUMMYFUNCTION("""COMPUTED_VALUE"""),"Freeness and fairness of the last national election")</f>
        <v>Freeness and fairness of the last national election</v>
      </c>
      <c r="F163" s="7" t="str">
        <f>IFERROR(__xludf.DUMMYFUNCTION("""COMPUTED_VALUE"""),"2020")</f>
        <v>2020</v>
      </c>
    </row>
    <row r="164">
      <c r="A164" s="7" t="str">
        <f>IFERROR(__xludf.DUMMYFUNCTION("""COMPUTED_VALUE"""),"MAURITANIA")</f>
        <v>MAURITANIA</v>
      </c>
      <c r="B164" s="8">
        <f>IFERROR(__xludf.DUMMYFUNCTION("""COMPUTED_VALUE"""),10.0)</f>
        <v>10</v>
      </c>
      <c r="C164" s="7" t="str">
        <f>IFERROR(__xludf.DUMMYFUNCTION("""COMPUTED_VALUE"""),"A_10_10")</f>
        <v>A_10_10</v>
      </c>
      <c r="D164" s="7" t="str">
        <f>IFERROR(__xludf.DUMMYFUNCTION("""COMPUTED_VALUE"""),"Q15.")</f>
        <v>Q15.</v>
      </c>
      <c r="E164" s="7" t="str">
        <f>IFERROR(__xludf.DUMMYFUNCTION("""COMPUTED_VALUE"""),"Freeness and fairness of the last national election")</f>
        <v>Freeness and fairness of the last national election</v>
      </c>
      <c r="F164" s="7" t="str">
        <f>IFERROR(__xludf.DUMMYFUNCTION("""COMPUTED_VALUE"""),"2024")</f>
        <v>2024</v>
      </c>
    </row>
    <row r="165">
      <c r="A165" s="7" t="str">
        <f>IFERROR(__xludf.DUMMYFUNCTION("""COMPUTED_VALUE"""),"MAURITIUS")</f>
        <v>MAURITIUS</v>
      </c>
      <c r="B165" s="8">
        <f>IFERROR(__xludf.DUMMYFUNCTION("""COMPUTED_VALUE"""),10.0)</f>
        <v>10</v>
      </c>
      <c r="C165" s="7" t="str">
        <f>IFERROR(__xludf.DUMMYFUNCTION("""COMPUTED_VALUE"""),"A_10_10")</f>
        <v>A_10_10</v>
      </c>
      <c r="D165" s="7" t="str">
        <f>IFERROR(__xludf.DUMMYFUNCTION("""COMPUTED_VALUE"""),"Q15.")</f>
        <v>Q15.</v>
      </c>
      <c r="E165" s="7" t="str">
        <f>IFERROR(__xludf.DUMMYFUNCTION("""COMPUTED_VALUE"""),"Freeness and fairness of the last national election")</f>
        <v>Freeness and fairness of the last national election</v>
      </c>
      <c r="F165" s="7" t="str">
        <f>IFERROR(__xludf.DUMMYFUNCTION("""COMPUTED_VALUE"""),"2019")</f>
        <v>2019</v>
      </c>
    </row>
    <row r="166">
      <c r="A166" s="7" t="str">
        <f>IFERROR(__xludf.DUMMYFUNCTION("""COMPUTED_VALUE"""),"MOROCCO ")</f>
        <v>MOROCCO </v>
      </c>
      <c r="B166" s="8">
        <f>IFERROR(__xludf.DUMMYFUNCTION("""COMPUTED_VALUE"""),10.0)</f>
        <v>10</v>
      </c>
      <c r="C166" s="7" t="str">
        <f>IFERROR(__xludf.DUMMYFUNCTION("""COMPUTED_VALUE"""),"A_10_10")</f>
        <v>A_10_10</v>
      </c>
      <c r="D166" s="7" t="str">
        <f>IFERROR(__xludf.DUMMYFUNCTION("""COMPUTED_VALUE"""),"Q15.")</f>
        <v>Q15.</v>
      </c>
      <c r="E166" s="7" t="str">
        <f>IFERROR(__xludf.DUMMYFUNCTION("""COMPUTED_VALUE"""),"Freeness and fairness of the last national election")</f>
        <v>Freeness and fairness of the last national election</v>
      </c>
      <c r="F166" s="7" t="str">
        <f>IFERROR(__xludf.DUMMYFUNCTION("""COMPUTED_VALUE"""),"2021")</f>
        <v>2021</v>
      </c>
    </row>
    <row r="167">
      <c r="A167" s="7" t="str">
        <f>IFERROR(__xludf.DUMMYFUNCTION("""COMPUTED_VALUE"""),"MOZAMBIQUE")</f>
        <v>MOZAMBIQUE</v>
      </c>
      <c r="B167" s="8">
        <f>IFERROR(__xludf.DUMMYFUNCTION("""COMPUTED_VALUE"""),10.0)</f>
        <v>10</v>
      </c>
      <c r="C167" s="7" t="str">
        <f>IFERROR(__xludf.DUMMYFUNCTION("""COMPUTED_VALUE"""),"A_10_10")</f>
        <v>A_10_10</v>
      </c>
      <c r="D167" s="7" t="str">
        <f>IFERROR(__xludf.DUMMYFUNCTION("""COMPUTED_VALUE"""),"Q15.")</f>
        <v>Q15.</v>
      </c>
      <c r="E167" s="7" t="str">
        <f>IFERROR(__xludf.DUMMYFUNCTION("""COMPUTED_VALUE"""),"Freeness and fairness of the last national election")</f>
        <v>Freeness and fairness of the last national election</v>
      </c>
      <c r="F167" s="7" t="str">
        <f>IFERROR(__xludf.DUMMYFUNCTION("""COMPUTED_VALUE"""),"2024")</f>
        <v>2024</v>
      </c>
    </row>
    <row r="168">
      <c r="A168" s="7" t="str">
        <f>IFERROR(__xludf.DUMMYFUNCTION("""COMPUTED_VALUE"""),"NAMIBIA ")</f>
        <v>NAMIBIA </v>
      </c>
      <c r="B168" s="8">
        <f>IFERROR(__xludf.DUMMYFUNCTION("""COMPUTED_VALUE"""),10.0)</f>
        <v>10</v>
      </c>
      <c r="C168" s="7" t="str">
        <f>IFERROR(__xludf.DUMMYFUNCTION("""COMPUTED_VALUE"""),"A_10_10")</f>
        <v>A_10_10</v>
      </c>
      <c r="D168" s="7" t="str">
        <f>IFERROR(__xludf.DUMMYFUNCTION("""COMPUTED_VALUE"""),"Q15.")</f>
        <v>Q15.</v>
      </c>
      <c r="E168" s="7" t="str">
        <f>IFERROR(__xludf.DUMMYFUNCTION("""COMPUTED_VALUE"""),"Freeness and fairness of the last national election")</f>
        <v>Freeness and fairness of the last national election</v>
      </c>
      <c r="F168" s="7" t="str">
        <f>IFERROR(__xludf.DUMMYFUNCTION("""COMPUTED_VALUE"""),"2019")</f>
        <v>2019</v>
      </c>
    </row>
    <row r="169">
      <c r="A169" s="7" t="str">
        <f>IFERROR(__xludf.DUMMYFUNCTION("""COMPUTED_VALUE"""),"NIGERIA ")</f>
        <v>NIGERIA </v>
      </c>
      <c r="B169" s="8">
        <f>IFERROR(__xludf.DUMMYFUNCTION("""COMPUTED_VALUE"""),10.0)</f>
        <v>10</v>
      </c>
      <c r="C169" s="7" t="str">
        <f>IFERROR(__xludf.DUMMYFUNCTION("""COMPUTED_VALUE"""),"A_10_10")</f>
        <v>A_10_10</v>
      </c>
      <c r="D169" s="7" t="str">
        <f>IFERROR(__xludf.DUMMYFUNCTION("""COMPUTED_VALUE"""),"Q15.")</f>
        <v>Q15.</v>
      </c>
      <c r="E169" s="7" t="str">
        <f>IFERROR(__xludf.DUMMYFUNCTION("""COMPUTED_VALUE"""),"Freeness and fairness of the last national election")</f>
        <v>Freeness and fairness of the last national election</v>
      </c>
      <c r="F169" s="7" t="str">
        <f>IFERROR(__xludf.DUMMYFUNCTION("""COMPUTED_VALUE"""),"2023")</f>
        <v>2023</v>
      </c>
    </row>
    <row r="170">
      <c r="A170" s="7" t="str">
        <f>IFERROR(__xludf.DUMMYFUNCTION("""COMPUTED_VALUE"""),"SAO TOME AND PRINCIPE")</f>
        <v>SAO TOME AND PRINCIPE</v>
      </c>
      <c r="B170" s="8">
        <f>IFERROR(__xludf.DUMMYFUNCTION("""COMPUTED_VALUE"""),10.0)</f>
        <v>10</v>
      </c>
      <c r="C170" s="7" t="str">
        <f>IFERROR(__xludf.DUMMYFUNCTION("""COMPUTED_VALUE"""),"A_10_10")</f>
        <v>A_10_10</v>
      </c>
      <c r="D170" s="7" t="str">
        <f>IFERROR(__xludf.DUMMYFUNCTION("""COMPUTED_VALUE"""),"Q15.")</f>
        <v>Q15.</v>
      </c>
      <c r="E170" s="7" t="str">
        <f>IFERROR(__xludf.DUMMYFUNCTION("""COMPUTED_VALUE"""),"Freeness and fairness of the last national election")</f>
        <v>Freeness and fairness of the last national election</v>
      </c>
      <c r="F170" s="7" t="str">
        <f>IFERROR(__xludf.DUMMYFUNCTION("""COMPUTED_VALUE"""),"2022")</f>
        <v>2022</v>
      </c>
    </row>
    <row r="171">
      <c r="A171" s="7" t="str">
        <f>IFERROR(__xludf.DUMMYFUNCTION("""COMPUTED_VALUE"""),"SENEGAL")</f>
        <v>SENEGAL</v>
      </c>
      <c r="B171" s="8">
        <f>IFERROR(__xludf.DUMMYFUNCTION("""COMPUTED_VALUE"""),10.0)</f>
        <v>10</v>
      </c>
      <c r="C171" s="7" t="str">
        <f>IFERROR(__xludf.DUMMYFUNCTION("""COMPUTED_VALUE"""),"A_10_10")</f>
        <v>A_10_10</v>
      </c>
      <c r="D171" s="7" t="str">
        <f>IFERROR(__xludf.DUMMYFUNCTION("""COMPUTED_VALUE"""),"Q15.")</f>
        <v>Q15.</v>
      </c>
      <c r="E171" s="7" t="str">
        <f>IFERROR(__xludf.DUMMYFUNCTION("""COMPUTED_VALUE"""),"Freeness and fairness of the last national election")</f>
        <v>Freeness and fairness of the last national election</v>
      </c>
      <c r="F171" s="7" t="str">
        <f>IFERROR(__xludf.DUMMYFUNCTION("""COMPUTED_VALUE"""),"2024")</f>
        <v>2024</v>
      </c>
    </row>
    <row r="172">
      <c r="A172" s="7" t="str">
        <f>IFERROR(__xludf.DUMMYFUNCTION("""COMPUTED_VALUE"""),"SEYCHELLES")</f>
        <v>SEYCHELLES</v>
      </c>
      <c r="B172" s="8">
        <f>IFERROR(__xludf.DUMMYFUNCTION("""COMPUTED_VALUE"""),10.0)</f>
        <v>10</v>
      </c>
      <c r="C172" s="7" t="str">
        <f>IFERROR(__xludf.DUMMYFUNCTION("""COMPUTED_VALUE"""),"A_10_10")</f>
        <v>A_10_10</v>
      </c>
      <c r="D172" s="7" t="str">
        <f>IFERROR(__xludf.DUMMYFUNCTION("""COMPUTED_VALUE"""),"Q15.")</f>
        <v>Q15.</v>
      </c>
      <c r="E172" s="7" t="str">
        <f>IFERROR(__xludf.DUMMYFUNCTION("""COMPUTED_VALUE"""),"Freeness and fairness of the last national election")</f>
        <v>Freeness and fairness of the last national election</v>
      </c>
      <c r="F172" s="7" t="str">
        <f>IFERROR(__xludf.DUMMYFUNCTION("""COMPUTED_VALUE"""),"2020")</f>
        <v>2020</v>
      </c>
    </row>
    <row r="173">
      <c r="A173" s="7" t="str">
        <f>IFERROR(__xludf.DUMMYFUNCTION("""COMPUTED_VALUE"""),"SOUTH AFRICA")</f>
        <v>SOUTH AFRICA</v>
      </c>
      <c r="B173" s="8">
        <f>IFERROR(__xludf.DUMMYFUNCTION("""COMPUTED_VALUE"""),10.0)</f>
        <v>10</v>
      </c>
      <c r="C173" s="7" t="str">
        <f>IFERROR(__xludf.DUMMYFUNCTION("""COMPUTED_VALUE"""),"A_10_10")</f>
        <v>A_10_10</v>
      </c>
      <c r="D173" s="7" t="str">
        <f>IFERROR(__xludf.DUMMYFUNCTION("""COMPUTED_VALUE"""),"Q15.")</f>
        <v>Q15.</v>
      </c>
      <c r="E173" s="7" t="str">
        <f>IFERROR(__xludf.DUMMYFUNCTION("""COMPUTED_VALUE"""),"Freeness and fairness of the last national election")</f>
        <v>Freeness and fairness of the last national election</v>
      </c>
      <c r="F173" s="7" t="str">
        <f>IFERROR(__xludf.DUMMYFUNCTION("""COMPUTED_VALUE"""),"2024")</f>
        <v>2024</v>
      </c>
    </row>
    <row r="174">
      <c r="A174" s="7" t="str">
        <f>IFERROR(__xludf.DUMMYFUNCTION("""COMPUTED_VALUE"""),"TANZANIA")</f>
        <v>TANZANIA</v>
      </c>
      <c r="B174" s="8">
        <f>IFERROR(__xludf.DUMMYFUNCTION("""COMPUTED_VALUE"""),10.0)</f>
        <v>10</v>
      </c>
      <c r="C174" s="7" t="str">
        <f>IFERROR(__xludf.DUMMYFUNCTION("""COMPUTED_VALUE"""),"A_10_10")</f>
        <v>A_10_10</v>
      </c>
      <c r="D174" s="7" t="str">
        <f>IFERROR(__xludf.DUMMYFUNCTION("""COMPUTED_VALUE"""),"Q15.")</f>
        <v>Q15.</v>
      </c>
      <c r="E174" s="7" t="str">
        <f>IFERROR(__xludf.DUMMYFUNCTION("""COMPUTED_VALUE"""),"Freeness and fairness of the last national election")</f>
        <v>Freeness and fairness of the last national election</v>
      </c>
      <c r="F174" s="7" t="str">
        <f>IFERROR(__xludf.DUMMYFUNCTION("""COMPUTED_VALUE"""),"2020")</f>
        <v>2020</v>
      </c>
    </row>
    <row r="175">
      <c r="A175" s="7" t="str">
        <f>IFERROR(__xludf.DUMMYFUNCTION("""COMPUTED_VALUE"""),"TOGO ")</f>
        <v>TOGO </v>
      </c>
      <c r="B175" s="8">
        <f>IFERROR(__xludf.DUMMYFUNCTION("""COMPUTED_VALUE"""),10.0)</f>
        <v>10</v>
      </c>
      <c r="C175" s="7" t="str">
        <f>IFERROR(__xludf.DUMMYFUNCTION("""COMPUTED_VALUE"""),"A_10_10")</f>
        <v>A_10_10</v>
      </c>
      <c r="D175" s="7" t="str">
        <f>IFERROR(__xludf.DUMMYFUNCTION("""COMPUTED_VALUE"""),"Q15.")</f>
        <v>Q15.</v>
      </c>
      <c r="E175" s="7" t="str">
        <f>IFERROR(__xludf.DUMMYFUNCTION("""COMPUTED_VALUE"""),"Freeness and fairness of the last national election")</f>
        <v>Freeness and fairness of the last national election</v>
      </c>
      <c r="F175" s="7" t="str">
        <f>IFERROR(__xludf.DUMMYFUNCTION("""COMPUTED_VALUE"""),"2024")</f>
        <v>2024</v>
      </c>
    </row>
    <row r="176">
      <c r="A176" s="7" t="str">
        <f>IFERROR(__xludf.DUMMYFUNCTION("""COMPUTED_VALUE"""),"TUNISIA ")</f>
        <v>TUNISIA </v>
      </c>
      <c r="B176" s="8">
        <f>IFERROR(__xludf.DUMMYFUNCTION("""COMPUTED_VALUE"""),10.0)</f>
        <v>10</v>
      </c>
      <c r="C176" s="7" t="str">
        <f>IFERROR(__xludf.DUMMYFUNCTION("""COMPUTED_VALUE"""),"A_10_10")</f>
        <v>A_10_10</v>
      </c>
      <c r="D176" s="7" t="str">
        <f>IFERROR(__xludf.DUMMYFUNCTION("""COMPUTED_VALUE"""),"Q15.")</f>
        <v>Q15.</v>
      </c>
      <c r="E176" s="7" t="str">
        <f>IFERROR(__xludf.DUMMYFUNCTION("""COMPUTED_VALUE"""),"Freeness and fairness of the last national election")</f>
        <v>Freeness and fairness of the last national election</v>
      </c>
      <c r="F176" s="7" t="str">
        <f>IFERROR(__xludf.DUMMYFUNCTION("""COMPUTED_VALUE"""),"2023")</f>
        <v>2023</v>
      </c>
    </row>
    <row r="177">
      <c r="A177" s="7" t="str">
        <f>IFERROR(__xludf.DUMMYFUNCTION("""COMPUTED_VALUE"""),"UGANDA  ")</f>
        <v>UGANDA  </v>
      </c>
      <c r="B177" s="8">
        <f>IFERROR(__xludf.DUMMYFUNCTION("""COMPUTED_VALUE"""),10.0)</f>
        <v>10</v>
      </c>
      <c r="C177" s="7" t="str">
        <f>IFERROR(__xludf.DUMMYFUNCTION("""COMPUTED_VALUE"""),"A_10_10")</f>
        <v>A_10_10</v>
      </c>
      <c r="D177" s="7" t="str">
        <f>IFERROR(__xludf.DUMMYFUNCTION("""COMPUTED_VALUE"""),"Q15.")</f>
        <v>Q15.</v>
      </c>
      <c r="E177" s="7" t="str">
        <f>IFERROR(__xludf.DUMMYFUNCTION("""COMPUTED_VALUE"""),"Freeness and fairness of the last national election")</f>
        <v>Freeness and fairness of the last national election</v>
      </c>
      <c r="F177" s="7" t="str">
        <f>IFERROR(__xludf.DUMMYFUNCTION("""COMPUTED_VALUE"""),"2021")</f>
        <v>2021</v>
      </c>
    </row>
    <row r="178">
      <c r="A178" s="7" t="str">
        <f>IFERROR(__xludf.DUMMYFUNCTION("""COMPUTED_VALUE"""),"ZAMBIA")</f>
        <v>ZAMBIA</v>
      </c>
      <c r="B178" s="8">
        <f>IFERROR(__xludf.DUMMYFUNCTION("""COMPUTED_VALUE"""),10.0)</f>
        <v>10</v>
      </c>
      <c r="C178" s="7" t="str">
        <f>IFERROR(__xludf.DUMMYFUNCTION("""COMPUTED_VALUE"""),"A_10_10")</f>
        <v>A_10_10</v>
      </c>
      <c r="D178" s="7" t="str">
        <f>IFERROR(__xludf.DUMMYFUNCTION("""COMPUTED_VALUE"""),"Q15.")</f>
        <v>Q15.</v>
      </c>
      <c r="E178" s="7" t="str">
        <f>IFERROR(__xludf.DUMMYFUNCTION("""COMPUTED_VALUE"""),"Freeness and fairness of the last national election")</f>
        <v>Freeness and fairness of the last national election</v>
      </c>
      <c r="F178" s="7" t="str">
        <f>IFERROR(__xludf.DUMMYFUNCTION("""COMPUTED_VALUE"""),"2021")</f>
        <v>2021</v>
      </c>
    </row>
    <row r="179">
      <c r="A179" s="7" t="str">
        <f>IFERROR(__xludf.DUMMYFUNCTION("""COMPUTED_VALUE"""),"ZIMBABWE")</f>
        <v>ZIMBABWE</v>
      </c>
      <c r="B179" s="8">
        <f>IFERROR(__xludf.DUMMYFUNCTION("""COMPUTED_VALUE"""),10.0)</f>
        <v>10</v>
      </c>
      <c r="C179" s="7" t="str">
        <f>IFERROR(__xludf.DUMMYFUNCTION("""COMPUTED_VALUE"""),"A_10_10")</f>
        <v>A_10_10</v>
      </c>
      <c r="D179" s="7" t="str">
        <f>IFERROR(__xludf.DUMMYFUNCTION("""COMPUTED_VALUE"""),"Q15.")</f>
        <v>Q15.</v>
      </c>
      <c r="E179" s="7" t="str">
        <f>IFERROR(__xludf.DUMMYFUNCTION("""COMPUTED_VALUE"""),"Freeness and fairness of the last national election")</f>
        <v>Freeness and fairness of the last national election</v>
      </c>
      <c r="F179" s="7" t="str">
        <f>IFERROR(__xludf.DUMMYFUNCTION("""COMPUTED_VALUE"""),"2023")</f>
        <v>2023</v>
      </c>
    </row>
    <row r="180">
      <c r="A180" s="7" t="str">
        <f>IFERROR(__xludf.DUMMYFUNCTION("""COMPUTED_VALUE"""),"ANGOLA ")</f>
        <v>ANGOLA </v>
      </c>
      <c r="B180" s="8">
        <f>IFERROR(__xludf.DUMMYFUNCTION("""COMPUTED_VALUE"""),10.0)</f>
        <v>10</v>
      </c>
      <c r="C180" s="7" t="str">
        <f>IFERROR(__xludf.DUMMYFUNCTION("""COMPUTED_VALUE"""),"I_19")</f>
        <v>I_19</v>
      </c>
      <c r="D180" s="7" t="str">
        <f>IFERROR(__xludf.DUMMYFUNCTION("""COMPUTED_VALUE"""),"Q16b. ")</f>
        <v>Q16b. </v>
      </c>
      <c r="E180" s="7" t="str">
        <f>IFERROR(__xludf.DUMMYFUNCTION("""COMPUTED_VALUE"""),"Last national election: fear political intimidation or violence")</f>
        <v>Last national election: fear political intimidation or violence</v>
      </c>
      <c r="F180" s="7" t="str">
        <f>IFERROR(__xludf.DUMMYFUNCTION("""COMPUTED_VALUE"""),"2022")</f>
        <v>2022</v>
      </c>
    </row>
    <row r="181">
      <c r="A181" s="7" t="str">
        <f>IFERROR(__xludf.DUMMYFUNCTION("""COMPUTED_VALUE"""),"BENIN")</f>
        <v>BENIN</v>
      </c>
      <c r="B181" s="8">
        <f>IFERROR(__xludf.DUMMYFUNCTION("""COMPUTED_VALUE"""),10.0)</f>
        <v>10</v>
      </c>
      <c r="C181" s="7" t="str">
        <f>IFERROR(__xludf.DUMMYFUNCTION("""COMPUTED_VALUE"""),"I_19")</f>
        <v>I_19</v>
      </c>
      <c r="D181" s="7" t="str">
        <f>IFERROR(__xludf.DUMMYFUNCTION("""COMPUTED_VALUE"""),"Q16b. ")</f>
        <v>Q16b. </v>
      </c>
      <c r="E181" s="7" t="str">
        <f>IFERROR(__xludf.DUMMYFUNCTION("""COMPUTED_VALUE"""),"Last national election: fear political intimidation or violence")</f>
        <v>Last national election: fear political intimidation or violence</v>
      </c>
      <c r="F181" s="7" t="str">
        <f>IFERROR(__xludf.DUMMYFUNCTION("""COMPUTED_VALUE"""),"2023")</f>
        <v>2023</v>
      </c>
    </row>
    <row r="182">
      <c r="A182" s="7" t="str">
        <f>IFERROR(__xludf.DUMMYFUNCTION("""COMPUTED_VALUE"""),"BOTSWANA ")</f>
        <v>BOTSWANA </v>
      </c>
      <c r="B182" s="8">
        <f>IFERROR(__xludf.DUMMYFUNCTION("""COMPUTED_VALUE"""),10.0)</f>
        <v>10</v>
      </c>
      <c r="C182" s="7" t="str">
        <f>IFERROR(__xludf.DUMMYFUNCTION("""COMPUTED_VALUE"""),"I_19")</f>
        <v>I_19</v>
      </c>
      <c r="D182" s="7" t="str">
        <f>IFERROR(__xludf.DUMMYFUNCTION("""COMPUTED_VALUE"""),"Q16b. ")</f>
        <v>Q16b. </v>
      </c>
      <c r="E182" s="7" t="str">
        <f>IFERROR(__xludf.DUMMYFUNCTION("""COMPUTED_VALUE"""),"Last national election: fear political intimidation or violence")</f>
        <v>Last national election: fear political intimidation or violence</v>
      </c>
      <c r="F182" s="7" t="str">
        <f>IFERROR(__xludf.DUMMYFUNCTION("""COMPUTED_VALUE"""),"2019")</f>
        <v>2019</v>
      </c>
    </row>
    <row r="183">
      <c r="A183" s="7" t="str">
        <f>IFERROR(__xludf.DUMMYFUNCTION("""COMPUTED_VALUE"""),"CABO VERDE ")</f>
        <v>CABO VERDE </v>
      </c>
      <c r="B183" s="8">
        <f>IFERROR(__xludf.DUMMYFUNCTION("""COMPUTED_VALUE"""),10.0)</f>
        <v>10</v>
      </c>
      <c r="C183" s="7" t="str">
        <f>IFERROR(__xludf.DUMMYFUNCTION("""COMPUTED_VALUE"""),"I_19")</f>
        <v>I_19</v>
      </c>
      <c r="D183" s="7" t="str">
        <f>IFERROR(__xludf.DUMMYFUNCTION("""COMPUTED_VALUE"""),"Q16b. ")</f>
        <v>Q16b. </v>
      </c>
      <c r="E183" s="7" t="str">
        <f>IFERROR(__xludf.DUMMYFUNCTION("""COMPUTED_VALUE"""),"Last national election: fear political intimidation or violence")</f>
        <v>Last national election: fear political intimidation or violence</v>
      </c>
      <c r="F183" s="7" t="str">
        <f>IFERROR(__xludf.DUMMYFUNCTION("""COMPUTED_VALUE"""),"2021")</f>
        <v>2021</v>
      </c>
    </row>
    <row r="184">
      <c r="A184" s="7" t="str">
        <f>IFERROR(__xludf.DUMMYFUNCTION("""COMPUTED_VALUE"""),"CAMEROON")</f>
        <v>CAMEROON</v>
      </c>
      <c r="B184" s="8">
        <f>IFERROR(__xludf.DUMMYFUNCTION("""COMPUTED_VALUE"""),10.0)</f>
        <v>10</v>
      </c>
      <c r="C184" s="7" t="str">
        <f>IFERROR(__xludf.DUMMYFUNCTION("""COMPUTED_VALUE"""),"I_19")</f>
        <v>I_19</v>
      </c>
      <c r="D184" s="7" t="str">
        <f>IFERROR(__xludf.DUMMYFUNCTION("""COMPUTED_VALUE"""),"Q16b. ")</f>
        <v>Q16b. </v>
      </c>
      <c r="E184" s="7" t="str">
        <f>IFERROR(__xludf.DUMMYFUNCTION("""COMPUTED_VALUE"""),"Last national election: fear political intimidation or violence")</f>
        <v>Last national election: fear political intimidation or violence</v>
      </c>
      <c r="F184" s="7" t="str">
        <f>IFERROR(__xludf.DUMMYFUNCTION("""COMPUTED_VALUE"""),"2020")</f>
        <v>2020</v>
      </c>
    </row>
    <row r="185">
      <c r="A185" s="7" t="str">
        <f>IFERROR(__xludf.DUMMYFUNCTION("""COMPUTED_VALUE"""),"CHAD")</f>
        <v>CHAD</v>
      </c>
      <c r="B185" s="8">
        <f>IFERROR(__xludf.DUMMYFUNCTION("""COMPUTED_VALUE"""),10.0)</f>
        <v>10</v>
      </c>
      <c r="C185" s="7" t="str">
        <f>IFERROR(__xludf.DUMMYFUNCTION("""COMPUTED_VALUE"""),"I_19")</f>
        <v>I_19</v>
      </c>
      <c r="D185" s="7" t="str">
        <f>IFERROR(__xludf.DUMMYFUNCTION("""COMPUTED_VALUE"""),"Q16b. ")</f>
        <v>Q16b. </v>
      </c>
      <c r="E185" s="7" t="str">
        <f>IFERROR(__xludf.DUMMYFUNCTION("""COMPUTED_VALUE"""),"Last national election: fear political intimidation or violence")</f>
        <v>Last national election: fear political intimidation or violence</v>
      </c>
      <c r="F185" s="7" t="str">
        <f>IFERROR(__xludf.DUMMYFUNCTION("""COMPUTED_VALUE"""),"2024")</f>
        <v>2024</v>
      </c>
    </row>
    <row r="186">
      <c r="A186" s="7" t="str">
        <f>IFERROR(__xludf.DUMMYFUNCTION("""COMPUTED_VALUE"""),"COMOROS")</f>
        <v>COMOROS</v>
      </c>
      <c r="B186" s="8">
        <f>IFERROR(__xludf.DUMMYFUNCTION("""COMPUTED_VALUE"""),10.0)</f>
        <v>10</v>
      </c>
      <c r="C186" s="7" t="str">
        <f>IFERROR(__xludf.DUMMYFUNCTION("""COMPUTED_VALUE"""),"I_19")</f>
        <v>I_19</v>
      </c>
      <c r="D186" s="7" t="str">
        <f>IFERROR(__xludf.DUMMYFUNCTION("""COMPUTED_VALUE"""),"Q16b. ")</f>
        <v>Q16b. </v>
      </c>
      <c r="E186" s="7" t="str">
        <f>IFERROR(__xludf.DUMMYFUNCTION("""COMPUTED_VALUE"""),"Last national election: fear political intimidation or violence")</f>
        <v>Last national election: fear political intimidation or violence</v>
      </c>
      <c r="F186" s="7" t="str">
        <f>IFERROR(__xludf.DUMMYFUNCTION("""COMPUTED_VALUE"""),"2025")</f>
        <v>2025</v>
      </c>
    </row>
    <row r="187">
      <c r="A187" s="7" t="str">
        <f>IFERROR(__xludf.DUMMYFUNCTION("""COMPUTED_VALUE"""),"CONGO BRAZZAVILLE")</f>
        <v>CONGO BRAZZAVILLE</v>
      </c>
      <c r="B187" s="8">
        <f>IFERROR(__xludf.DUMMYFUNCTION("""COMPUTED_VALUE"""),10.0)</f>
        <v>10</v>
      </c>
      <c r="C187" s="7" t="str">
        <f>IFERROR(__xludf.DUMMYFUNCTION("""COMPUTED_VALUE"""),"I_19")</f>
        <v>I_19</v>
      </c>
      <c r="D187" s="7" t="str">
        <f>IFERROR(__xludf.DUMMYFUNCTION("""COMPUTED_VALUE"""),"Q16b. ")</f>
        <v>Q16b. </v>
      </c>
      <c r="E187" s="7" t="str">
        <f>IFERROR(__xludf.DUMMYFUNCTION("""COMPUTED_VALUE"""),"Last national election: fear political intimidation or violence")</f>
        <v>Last national election: fear political intimidation or violence</v>
      </c>
      <c r="F187" s="7" t="str">
        <f>IFERROR(__xludf.DUMMYFUNCTION("""COMPUTED_VALUE"""),"2022")</f>
        <v>2022</v>
      </c>
    </row>
    <row r="188">
      <c r="A188" s="7" t="str">
        <f>IFERROR(__xludf.DUMMYFUNCTION("""COMPUTED_VALUE"""),"COTE D'IVOIRE")</f>
        <v>COTE D'IVOIRE</v>
      </c>
      <c r="B188" s="8">
        <f>IFERROR(__xludf.DUMMYFUNCTION("""COMPUTED_VALUE"""),10.0)</f>
        <v>10</v>
      </c>
      <c r="C188" s="7" t="str">
        <f>IFERROR(__xludf.DUMMYFUNCTION("""COMPUTED_VALUE"""),"I_19")</f>
        <v>I_19</v>
      </c>
      <c r="D188" s="7" t="str">
        <f>IFERROR(__xludf.DUMMYFUNCTION("""COMPUTED_VALUE"""),"Q16b. ")</f>
        <v>Q16b. </v>
      </c>
      <c r="E188" s="7" t="str">
        <f>IFERROR(__xludf.DUMMYFUNCTION("""COMPUTED_VALUE"""),"Last national election: fear political intimidation or violence")</f>
        <v>Last national election: fear political intimidation or violence</v>
      </c>
      <c r="F188" s="7" t="str">
        <f>IFERROR(__xludf.DUMMYFUNCTION("""COMPUTED_VALUE"""),"2021")</f>
        <v>2021</v>
      </c>
    </row>
    <row r="189">
      <c r="A189" s="7" t="str">
        <f>IFERROR(__xludf.DUMMYFUNCTION("""COMPUTED_VALUE"""),"ESWATINI")</f>
        <v>ESWATINI</v>
      </c>
      <c r="B189" s="8">
        <f>IFERROR(__xludf.DUMMYFUNCTION("""COMPUTED_VALUE"""),10.0)</f>
        <v>10</v>
      </c>
      <c r="C189" s="7" t="str">
        <f>IFERROR(__xludf.DUMMYFUNCTION("""COMPUTED_VALUE"""),"I_19")</f>
        <v>I_19</v>
      </c>
      <c r="D189" s="7" t="str">
        <f>IFERROR(__xludf.DUMMYFUNCTION("""COMPUTED_VALUE"""),"Q16b. ")</f>
        <v>Q16b. </v>
      </c>
      <c r="E189" s="7" t="str">
        <f>IFERROR(__xludf.DUMMYFUNCTION("""COMPUTED_VALUE"""),"Last national election: fear political intimidation or violence")</f>
        <v>Last national election: fear political intimidation or violence</v>
      </c>
      <c r="F189" s="7" t="str">
        <f>IFERROR(__xludf.DUMMYFUNCTION("""COMPUTED_VALUE"""),"2023")</f>
        <v>2023</v>
      </c>
    </row>
    <row r="190">
      <c r="A190" s="7" t="str">
        <f>IFERROR(__xludf.DUMMYFUNCTION("""COMPUTED_VALUE"""),"GABON")</f>
        <v>GABON</v>
      </c>
      <c r="B190" s="8">
        <f>IFERROR(__xludf.DUMMYFUNCTION("""COMPUTED_VALUE"""),10.0)</f>
        <v>10</v>
      </c>
      <c r="C190" s="7" t="str">
        <f>IFERROR(__xludf.DUMMYFUNCTION("""COMPUTED_VALUE"""),"I_19")</f>
        <v>I_19</v>
      </c>
      <c r="D190" s="7" t="str">
        <f>IFERROR(__xludf.DUMMYFUNCTION("""COMPUTED_VALUE"""),"Q16b. ")</f>
        <v>Q16b. </v>
      </c>
      <c r="E190" s="7" t="str">
        <f>IFERROR(__xludf.DUMMYFUNCTION("""COMPUTED_VALUE"""),"Last national election: fear political intimidation or violence")</f>
        <v>Last national election: fear political intimidation or violence</v>
      </c>
      <c r="F190" s="7" t="str">
        <f>IFERROR(__xludf.DUMMYFUNCTION("""COMPUTED_VALUE"""),"2023")</f>
        <v>2023</v>
      </c>
    </row>
    <row r="191">
      <c r="A191" s="7" t="str">
        <f>IFERROR(__xludf.DUMMYFUNCTION("""COMPUTED_VALUE"""),"GAMBIA")</f>
        <v>GAMBIA</v>
      </c>
      <c r="B191" s="8">
        <f>IFERROR(__xludf.DUMMYFUNCTION("""COMPUTED_VALUE"""),10.0)</f>
        <v>10</v>
      </c>
      <c r="C191" s="7" t="str">
        <f>IFERROR(__xludf.DUMMYFUNCTION("""COMPUTED_VALUE"""),"I_19")</f>
        <v>I_19</v>
      </c>
      <c r="D191" s="7" t="str">
        <f>IFERROR(__xludf.DUMMYFUNCTION("""COMPUTED_VALUE"""),"Q16b. ")</f>
        <v>Q16b. </v>
      </c>
      <c r="E191" s="7" t="str">
        <f>IFERROR(__xludf.DUMMYFUNCTION("""COMPUTED_VALUE"""),"Last national election: fear political intimidation or violence")</f>
        <v>Last national election: fear political intimidation or violence</v>
      </c>
      <c r="F191" s="7" t="str">
        <f>IFERROR(__xludf.DUMMYFUNCTION("""COMPUTED_VALUE"""),"2023")</f>
        <v>2023</v>
      </c>
    </row>
    <row r="192">
      <c r="A192" s="7" t="str">
        <f>IFERROR(__xludf.DUMMYFUNCTION("""COMPUTED_VALUE"""),"GHANA ")</f>
        <v>GHANA </v>
      </c>
      <c r="B192" s="8">
        <f>IFERROR(__xludf.DUMMYFUNCTION("""COMPUTED_VALUE"""),10.0)</f>
        <v>10</v>
      </c>
      <c r="C192" s="7" t="str">
        <f>IFERROR(__xludf.DUMMYFUNCTION("""COMPUTED_VALUE"""),"I_19")</f>
        <v>I_19</v>
      </c>
      <c r="D192" s="7" t="str">
        <f>IFERROR(__xludf.DUMMYFUNCTION("""COMPUTED_VALUE"""),"Q16b. ")</f>
        <v>Q16b. </v>
      </c>
      <c r="E192" s="7" t="str">
        <f>IFERROR(__xludf.DUMMYFUNCTION("""COMPUTED_VALUE"""),"Last national election: fear political intimidation or violence")</f>
        <v>Last national election: fear political intimidation or violence</v>
      </c>
      <c r="F192" s="7" t="str">
        <f>IFERROR(__xludf.DUMMYFUNCTION("""COMPUTED_VALUE"""),"2020")</f>
        <v>2020</v>
      </c>
    </row>
    <row r="193">
      <c r="A193" s="7" t="str">
        <f>IFERROR(__xludf.DUMMYFUNCTION("""COMPUTED_VALUE"""),"GUINEA")</f>
        <v>GUINEA</v>
      </c>
      <c r="B193" s="8">
        <f>IFERROR(__xludf.DUMMYFUNCTION("""COMPUTED_VALUE"""),10.0)</f>
        <v>10</v>
      </c>
      <c r="C193" s="7" t="str">
        <f>IFERROR(__xludf.DUMMYFUNCTION("""COMPUTED_VALUE"""),"I_19")</f>
        <v>I_19</v>
      </c>
      <c r="D193" s="7" t="str">
        <f>IFERROR(__xludf.DUMMYFUNCTION("""COMPUTED_VALUE"""),"Q16b. ")</f>
        <v>Q16b. </v>
      </c>
      <c r="E193" s="7" t="str">
        <f>IFERROR(__xludf.DUMMYFUNCTION("""COMPUTED_VALUE"""),"Last national election: fear political intimidation or violence")</f>
        <v>Last national election: fear political intimidation or violence</v>
      </c>
      <c r="F193" s="7" t="str">
        <f>IFERROR(__xludf.DUMMYFUNCTION("""COMPUTED_VALUE"""),"2020")</f>
        <v>2020</v>
      </c>
    </row>
    <row r="194">
      <c r="A194" s="7" t="str">
        <f>IFERROR(__xludf.DUMMYFUNCTION("""COMPUTED_VALUE"""),"KENYA  ")</f>
        <v>KENYA  </v>
      </c>
      <c r="B194" s="8">
        <f>IFERROR(__xludf.DUMMYFUNCTION("""COMPUTED_VALUE"""),10.0)</f>
        <v>10</v>
      </c>
      <c r="C194" s="7" t="str">
        <f>IFERROR(__xludf.DUMMYFUNCTION("""COMPUTED_VALUE"""),"I_19")</f>
        <v>I_19</v>
      </c>
      <c r="D194" s="7" t="str">
        <f>IFERROR(__xludf.DUMMYFUNCTION("""COMPUTED_VALUE"""),"Q16b. ")</f>
        <v>Q16b. </v>
      </c>
      <c r="E194" s="7" t="str">
        <f>IFERROR(__xludf.DUMMYFUNCTION("""COMPUTED_VALUE"""),"Last national election: fear political intimidation or violence")</f>
        <v>Last national election: fear political intimidation or violence</v>
      </c>
      <c r="F194" s="7" t="str">
        <f>IFERROR(__xludf.DUMMYFUNCTION("""COMPUTED_VALUE"""),"2022")</f>
        <v>2022</v>
      </c>
    </row>
    <row r="195">
      <c r="A195" s="7" t="str">
        <f>IFERROR(__xludf.DUMMYFUNCTION("""COMPUTED_VALUE"""),"LESOTHO ")</f>
        <v>LESOTHO </v>
      </c>
      <c r="B195" s="8">
        <f>IFERROR(__xludf.DUMMYFUNCTION("""COMPUTED_VALUE"""),10.0)</f>
        <v>10</v>
      </c>
      <c r="C195" s="7" t="str">
        <f>IFERROR(__xludf.DUMMYFUNCTION("""COMPUTED_VALUE"""),"I_19")</f>
        <v>I_19</v>
      </c>
      <c r="D195" s="7" t="str">
        <f>IFERROR(__xludf.DUMMYFUNCTION("""COMPUTED_VALUE"""),"Q16b. ")</f>
        <v>Q16b. </v>
      </c>
      <c r="E195" s="7" t="str">
        <f>IFERROR(__xludf.DUMMYFUNCTION("""COMPUTED_VALUE"""),"Last national election: fear political intimidation or violence")</f>
        <v>Last national election: fear political intimidation or violence</v>
      </c>
      <c r="F195" s="7" t="str">
        <f>IFERROR(__xludf.DUMMYFUNCTION("""COMPUTED_VALUE"""),"2022")</f>
        <v>2022</v>
      </c>
    </row>
    <row r="196">
      <c r="A196" s="7" t="str">
        <f>IFERROR(__xludf.DUMMYFUNCTION("""COMPUTED_VALUE"""),"LIBERIA  ")</f>
        <v>LIBERIA  </v>
      </c>
      <c r="B196" s="8">
        <f>IFERROR(__xludf.DUMMYFUNCTION("""COMPUTED_VALUE"""),10.0)</f>
        <v>10</v>
      </c>
      <c r="C196" s="7" t="str">
        <f>IFERROR(__xludf.DUMMYFUNCTION("""COMPUTED_VALUE"""),"I_19")</f>
        <v>I_19</v>
      </c>
      <c r="D196" s="7" t="str">
        <f>IFERROR(__xludf.DUMMYFUNCTION("""COMPUTED_VALUE"""),"Q16b. ")</f>
        <v>Q16b. </v>
      </c>
      <c r="E196" s="7" t="str">
        <f>IFERROR(__xludf.DUMMYFUNCTION("""COMPUTED_VALUE"""),"Last national election: fear political intimidation or violence")</f>
        <v>Last national election: fear political intimidation or violence</v>
      </c>
      <c r="F196" s="7" t="str">
        <f>IFERROR(__xludf.DUMMYFUNCTION("""COMPUTED_VALUE"""),"2023")</f>
        <v>2023</v>
      </c>
    </row>
    <row r="197">
      <c r="A197" s="7" t="str">
        <f>IFERROR(__xludf.DUMMYFUNCTION("""COMPUTED_VALUE"""),"MADAGASCAR")</f>
        <v>MADAGASCAR</v>
      </c>
      <c r="B197" s="8">
        <f>IFERROR(__xludf.DUMMYFUNCTION("""COMPUTED_VALUE"""),10.0)</f>
        <v>10</v>
      </c>
      <c r="C197" s="7" t="str">
        <f>IFERROR(__xludf.DUMMYFUNCTION("""COMPUTED_VALUE"""),"I_19")</f>
        <v>I_19</v>
      </c>
      <c r="D197" s="7" t="str">
        <f>IFERROR(__xludf.DUMMYFUNCTION("""COMPUTED_VALUE"""),"Q16b. ")</f>
        <v>Q16b. </v>
      </c>
      <c r="E197" s="7" t="str">
        <f>IFERROR(__xludf.DUMMYFUNCTION("""COMPUTED_VALUE"""),"Last national election: fear political intimidation or violence")</f>
        <v>Last national election: fear political intimidation or violence</v>
      </c>
      <c r="F197" s="7" t="str">
        <f>IFERROR(__xludf.DUMMYFUNCTION("""COMPUTED_VALUE"""),"2024")</f>
        <v>2024</v>
      </c>
    </row>
    <row r="198">
      <c r="A198" s="7" t="str">
        <f>IFERROR(__xludf.DUMMYFUNCTION("""COMPUTED_VALUE"""),"MALAWI ")</f>
        <v>MALAWI </v>
      </c>
      <c r="B198" s="8">
        <f>IFERROR(__xludf.DUMMYFUNCTION("""COMPUTED_VALUE"""),10.0)</f>
        <v>10</v>
      </c>
      <c r="C198" s="7" t="str">
        <f>IFERROR(__xludf.DUMMYFUNCTION("""COMPUTED_VALUE"""),"I_19")</f>
        <v>I_19</v>
      </c>
      <c r="D198" s="7" t="str">
        <f>IFERROR(__xludf.DUMMYFUNCTION("""COMPUTED_VALUE"""),"Q16b. ")</f>
        <v>Q16b. </v>
      </c>
      <c r="E198" s="7" t="str">
        <f>IFERROR(__xludf.DUMMYFUNCTION("""COMPUTED_VALUE"""),"Last national election: fear political intimidation or violence")</f>
        <v>Last national election: fear political intimidation or violence</v>
      </c>
      <c r="F198" s="7" t="str">
        <f>IFERROR(__xludf.DUMMYFUNCTION("""COMPUTED_VALUE"""),"2020")</f>
        <v>2020</v>
      </c>
    </row>
    <row r="199">
      <c r="A199" s="7" t="str">
        <f>IFERROR(__xludf.DUMMYFUNCTION("""COMPUTED_VALUE"""),"MALI")</f>
        <v>MALI</v>
      </c>
      <c r="B199" s="8">
        <f>IFERROR(__xludf.DUMMYFUNCTION("""COMPUTED_VALUE"""),10.0)</f>
        <v>10</v>
      </c>
      <c r="C199" s="7" t="str">
        <f>IFERROR(__xludf.DUMMYFUNCTION("""COMPUTED_VALUE"""),"I_19")</f>
        <v>I_19</v>
      </c>
      <c r="D199" s="7" t="str">
        <f>IFERROR(__xludf.DUMMYFUNCTION("""COMPUTED_VALUE"""),"Q16b. ")</f>
        <v>Q16b. </v>
      </c>
      <c r="E199" s="7" t="str">
        <f>IFERROR(__xludf.DUMMYFUNCTION("""COMPUTED_VALUE"""),"Last national election: fear political intimidation or violence")</f>
        <v>Last national election: fear political intimidation or violence</v>
      </c>
      <c r="F199" s="7" t="str">
        <f>IFERROR(__xludf.DUMMYFUNCTION("""COMPUTED_VALUE"""),"2020")</f>
        <v>2020</v>
      </c>
    </row>
    <row r="200">
      <c r="A200" s="7" t="str">
        <f>IFERROR(__xludf.DUMMYFUNCTION("""COMPUTED_VALUE"""),"MAURITANIA")</f>
        <v>MAURITANIA</v>
      </c>
      <c r="B200" s="8">
        <f>IFERROR(__xludf.DUMMYFUNCTION("""COMPUTED_VALUE"""),10.0)</f>
        <v>10</v>
      </c>
      <c r="C200" s="7" t="str">
        <f>IFERROR(__xludf.DUMMYFUNCTION("""COMPUTED_VALUE"""),"I_19")</f>
        <v>I_19</v>
      </c>
      <c r="D200" s="7" t="str">
        <f>IFERROR(__xludf.DUMMYFUNCTION("""COMPUTED_VALUE"""),"Q16b. ")</f>
        <v>Q16b. </v>
      </c>
      <c r="E200" s="7" t="str">
        <f>IFERROR(__xludf.DUMMYFUNCTION("""COMPUTED_VALUE"""),"Last national election: fear political intimidation or violence")</f>
        <v>Last national election: fear political intimidation or violence</v>
      </c>
      <c r="F200" s="7" t="str">
        <f>IFERROR(__xludf.DUMMYFUNCTION("""COMPUTED_VALUE"""),"2024")</f>
        <v>2024</v>
      </c>
    </row>
    <row r="201">
      <c r="A201" s="7" t="str">
        <f>IFERROR(__xludf.DUMMYFUNCTION("""COMPUTED_VALUE"""),"MAURITIUS")</f>
        <v>MAURITIUS</v>
      </c>
      <c r="B201" s="8">
        <f>IFERROR(__xludf.DUMMYFUNCTION("""COMPUTED_VALUE"""),10.0)</f>
        <v>10</v>
      </c>
      <c r="C201" s="7" t="str">
        <f>IFERROR(__xludf.DUMMYFUNCTION("""COMPUTED_VALUE"""),"I_19")</f>
        <v>I_19</v>
      </c>
      <c r="D201" s="7" t="str">
        <f>IFERROR(__xludf.DUMMYFUNCTION("""COMPUTED_VALUE"""),"Q16b. ")</f>
        <v>Q16b. </v>
      </c>
      <c r="E201" s="7" t="str">
        <f>IFERROR(__xludf.DUMMYFUNCTION("""COMPUTED_VALUE"""),"Last national election: fear political intimidation or violence")</f>
        <v>Last national election: fear political intimidation or violence</v>
      </c>
      <c r="F201" s="7" t="str">
        <f>IFERROR(__xludf.DUMMYFUNCTION("""COMPUTED_VALUE"""),"2019")</f>
        <v>2019</v>
      </c>
    </row>
    <row r="202">
      <c r="A202" s="7" t="str">
        <f>IFERROR(__xludf.DUMMYFUNCTION("""COMPUTED_VALUE"""),"MOROCCO ")</f>
        <v>MOROCCO </v>
      </c>
      <c r="B202" s="8">
        <f>IFERROR(__xludf.DUMMYFUNCTION("""COMPUTED_VALUE"""),10.0)</f>
        <v>10</v>
      </c>
      <c r="C202" s="7" t="str">
        <f>IFERROR(__xludf.DUMMYFUNCTION("""COMPUTED_VALUE"""),"I_19")</f>
        <v>I_19</v>
      </c>
      <c r="D202" s="7" t="str">
        <f>IFERROR(__xludf.DUMMYFUNCTION("""COMPUTED_VALUE"""),"Q16b. ")</f>
        <v>Q16b. </v>
      </c>
      <c r="E202" s="7" t="str">
        <f>IFERROR(__xludf.DUMMYFUNCTION("""COMPUTED_VALUE"""),"Last national election: fear political intimidation or violence")</f>
        <v>Last national election: fear political intimidation or violence</v>
      </c>
      <c r="F202" s="7" t="str">
        <f>IFERROR(__xludf.DUMMYFUNCTION("""COMPUTED_VALUE"""),"2021")</f>
        <v>2021</v>
      </c>
    </row>
    <row r="203">
      <c r="A203" s="7" t="str">
        <f>IFERROR(__xludf.DUMMYFUNCTION("""COMPUTED_VALUE"""),"MOZAMBIQUE")</f>
        <v>MOZAMBIQUE</v>
      </c>
      <c r="B203" s="8">
        <f>IFERROR(__xludf.DUMMYFUNCTION("""COMPUTED_VALUE"""),10.0)</f>
        <v>10</v>
      </c>
      <c r="C203" s="7" t="str">
        <f>IFERROR(__xludf.DUMMYFUNCTION("""COMPUTED_VALUE"""),"I_19")</f>
        <v>I_19</v>
      </c>
      <c r="D203" s="7" t="str">
        <f>IFERROR(__xludf.DUMMYFUNCTION("""COMPUTED_VALUE"""),"Q16b. ")</f>
        <v>Q16b. </v>
      </c>
      <c r="E203" s="7" t="str">
        <f>IFERROR(__xludf.DUMMYFUNCTION("""COMPUTED_VALUE"""),"Last national election: fear political intimidation or violence")</f>
        <v>Last national election: fear political intimidation or violence</v>
      </c>
      <c r="F203" s="7" t="str">
        <f>IFERROR(__xludf.DUMMYFUNCTION("""COMPUTED_VALUE"""),"2024")</f>
        <v>2024</v>
      </c>
    </row>
    <row r="204">
      <c r="A204" s="7" t="str">
        <f>IFERROR(__xludf.DUMMYFUNCTION("""COMPUTED_VALUE"""),"NAMIBIA ")</f>
        <v>NAMIBIA </v>
      </c>
      <c r="B204" s="8">
        <f>IFERROR(__xludf.DUMMYFUNCTION("""COMPUTED_VALUE"""),10.0)</f>
        <v>10</v>
      </c>
      <c r="C204" s="7" t="str">
        <f>IFERROR(__xludf.DUMMYFUNCTION("""COMPUTED_VALUE"""),"I_19")</f>
        <v>I_19</v>
      </c>
      <c r="D204" s="7" t="str">
        <f>IFERROR(__xludf.DUMMYFUNCTION("""COMPUTED_VALUE"""),"Q16b. ")</f>
        <v>Q16b. </v>
      </c>
      <c r="E204" s="7" t="str">
        <f>IFERROR(__xludf.DUMMYFUNCTION("""COMPUTED_VALUE"""),"Last national election: fear political intimidation or violence")</f>
        <v>Last national election: fear political intimidation or violence</v>
      </c>
      <c r="F204" s="7" t="str">
        <f>IFERROR(__xludf.DUMMYFUNCTION("""COMPUTED_VALUE"""),"2019")</f>
        <v>2019</v>
      </c>
    </row>
    <row r="205">
      <c r="A205" s="7" t="str">
        <f>IFERROR(__xludf.DUMMYFUNCTION("""COMPUTED_VALUE"""),"NIGERIA ")</f>
        <v>NIGERIA </v>
      </c>
      <c r="B205" s="8">
        <f>IFERROR(__xludf.DUMMYFUNCTION("""COMPUTED_VALUE"""),10.0)</f>
        <v>10</v>
      </c>
      <c r="C205" s="7" t="str">
        <f>IFERROR(__xludf.DUMMYFUNCTION("""COMPUTED_VALUE"""),"I_19")</f>
        <v>I_19</v>
      </c>
      <c r="D205" s="7" t="str">
        <f>IFERROR(__xludf.DUMMYFUNCTION("""COMPUTED_VALUE"""),"Q16b. ")</f>
        <v>Q16b. </v>
      </c>
      <c r="E205" s="7" t="str">
        <f>IFERROR(__xludf.DUMMYFUNCTION("""COMPUTED_VALUE"""),"Last national election: fear political intimidation or violence")</f>
        <v>Last national election: fear political intimidation or violence</v>
      </c>
      <c r="F205" s="7" t="str">
        <f>IFERROR(__xludf.DUMMYFUNCTION("""COMPUTED_VALUE"""),"2023")</f>
        <v>2023</v>
      </c>
    </row>
    <row r="206">
      <c r="A206" s="7" t="str">
        <f>IFERROR(__xludf.DUMMYFUNCTION("""COMPUTED_VALUE"""),"SAO TOME AND PRINCIPE")</f>
        <v>SAO TOME AND PRINCIPE</v>
      </c>
      <c r="B206" s="8">
        <f>IFERROR(__xludf.DUMMYFUNCTION("""COMPUTED_VALUE"""),10.0)</f>
        <v>10</v>
      </c>
      <c r="C206" s="7" t="str">
        <f>IFERROR(__xludf.DUMMYFUNCTION("""COMPUTED_VALUE"""),"I_19")</f>
        <v>I_19</v>
      </c>
      <c r="D206" s="7" t="str">
        <f>IFERROR(__xludf.DUMMYFUNCTION("""COMPUTED_VALUE"""),"Q16b. ")</f>
        <v>Q16b. </v>
      </c>
      <c r="E206" s="7" t="str">
        <f>IFERROR(__xludf.DUMMYFUNCTION("""COMPUTED_VALUE"""),"Last national election: fear political intimidation or violence")</f>
        <v>Last national election: fear political intimidation or violence</v>
      </c>
      <c r="F206" s="7" t="str">
        <f>IFERROR(__xludf.DUMMYFUNCTION("""COMPUTED_VALUE"""),"2022")</f>
        <v>2022</v>
      </c>
    </row>
    <row r="207">
      <c r="A207" s="7" t="str">
        <f>IFERROR(__xludf.DUMMYFUNCTION("""COMPUTED_VALUE"""),"SENEGAL")</f>
        <v>SENEGAL</v>
      </c>
      <c r="B207" s="8">
        <f>IFERROR(__xludf.DUMMYFUNCTION("""COMPUTED_VALUE"""),10.0)</f>
        <v>10</v>
      </c>
      <c r="C207" s="7" t="str">
        <f>IFERROR(__xludf.DUMMYFUNCTION("""COMPUTED_VALUE"""),"I_19")</f>
        <v>I_19</v>
      </c>
      <c r="D207" s="7" t="str">
        <f>IFERROR(__xludf.DUMMYFUNCTION("""COMPUTED_VALUE"""),"Q16b. ")</f>
        <v>Q16b. </v>
      </c>
      <c r="E207" s="7" t="str">
        <f>IFERROR(__xludf.DUMMYFUNCTION("""COMPUTED_VALUE"""),"Last national election: fear political intimidation or violence")</f>
        <v>Last national election: fear political intimidation or violence</v>
      </c>
      <c r="F207" s="7" t="str">
        <f>IFERROR(__xludf.DUMMYFUNCTION("""COMPUTED_VALUE"""),"2024")</f>
        <v>2024</v>
      </c>
    </row>
    <row r="208">
      <c r="A208" s="7" t="str">
        <f>IFERROR(__xludf.DUMMYFUNCTION("""COMPUTED_VALUE"""),"SEYCHELLES")</f>
        <v>SEYCHELLES</v>
      </c>
      <c r="B208" s="8">
        <f>IFERROR(__xludf.DUMMYFUNCTION("""COMPUTED_VALUE"""),10.0)</f>
        <v>10</v>
      </c>
      <c r="C208" s="7" t="str">
        <f>IFERROR(__xludf.DUMMYFUNCTION("""COMPUTED_VALUE"""),"I_19")</f>
        <v>I_19</v>
      </c>
      <c r="D208" s="7" t="str">
        <f>IFERROR(__xludf.DUMMYFUNCTION("""COMPUTED_VALUE"""),"Q16b. ")</f>
        <v>Q16b. </v>
      </c>
      <c r="E208" s="7" t="str">
        <f>IFERROR(__xludf.DUMMYFUNCTION("""COMPUTED_VALUE"""),"Last national election: fear political intimidation or violence")</f>
        <v>Last national election: fear political intimidation or violence</v>
      </c>
      <c r="F208" s="7" t="str">
        <f>IFERROR(__xludf.DUMMYFUNCTION("""COMPUTED_VALUE"""),"2020")</f>
        <v>2020</v>
      </c>
    </row>
    <row r="209">
      <c r="A209" s="7" t="str">
        <f>IFERROR(__xludf.DUMMYFUNCTION("""COMPUTED_VALUE"""),"SOUTH AFRICA")</f>
        <v>SOUTH AFRICA</v>
      </c>
      <c r="B209" s="8">
        <f>IFERROR(__xludf.DUMMYFUNCTION("""COMPUTED_VALUE"""),10.0)</f>
        <v>10</v>
      </c>
      <c r="C209" s="7" t="str">
        <f>IFERROR(__xludf.DUMMYFUNCTION("""COMPUTED_VALUE"""),"I_19")</f>
        <v>I_19</v>
      </c>
      <c r="D209" s="7" t="str">
        <f>IFERROR(__xludf.DUMMYFUNCTION("""COMPUTED_VALUE"""),"Q16b. ")</f>
        <v>Q16b. </v>
      </c>
      <c r="E209" s="7" t="str">
        <f>IFERROR(__xludf.DUMMYFUNCTION("""COMPUTED_VALUE"""),"Last national election: fear political intimidation or violence")</f>
        <v>Last national election: fear political intimidation or violence</v>
      </c>
      <c r="F209" s="7" t="str">
        <f>IFERROR(__xludf.DUMMYFUNCTION("""COMPUTED_VALUE"""),"2024")</f>
        <v>2024</v>
      </c>
    </row>
    <row r="210">
      <c r="A210" s="7" t="str">
        <f>IFERROR(__xludf.DUMMYFUNCTION("""COMPUTED_VALUE"""),"TANZANIA")</f>
        <v>TANZANIA</v>
      </c>
      <c r="B210" s="8">
        <f>IFERROR(__xludf.DUMMYFUNCTION("""COMPUTED_VALUE"""),10.0)</f>
        <v>10</v>
      </c>
      <c r="C210" s="7" t="str">
        <f>IFERROR(__xludf.DUMMYFUNCTION("""COMPUTED_VALUE"""),"I_19")</f>
        <v>I_19</v>
      </c>
      <c r="D210" s="7" t="str">
        <f>IFERROR(__xludf.DUMMYFUNCTION("""COMPUTED_VALUE"""),"Q16b. ")</f>
        <v>Q16b. </v>
      </c>
      <c r="E210" s="7" t="str">
        <f>IFERROR(__xludf.DUMMYFUNCTION("""COMPUTED_VALUE"""),"Last national election: fear political intimidation or violence")</f>
        <v>Last national election: fear political intimidation or violence</v>
      </c>
      <c r="F210" s="7" t="str">
        <f>IFERROR(__xludf.DUMMYFUNCTION("""COMPUTED_VALUE"""),"2020")</f>
        <v>2020</v>
      </c>
    </row>
    <row r="211">
      <c r="A211" s="7" t="str">
        <f>IFERROR(__xludf.DUMMYFUNCTION("""COMPUTED_VALUE"""),"TOGO ")</f>
        <v>TOGO </v>
      </c>
      <c r="B211" s="8">
        <f>IFERROR(__xludf.DUMMYFUNCTION("""COMPUTED_VALUE"""),10.0)</f>
        <v>10</v>
      </c>
      <c r="C211" s="7" t="str">
        <f>IFERROR(__xludf.DUMMYFUNCTION("""COMPUTED_VALUE"""),"I_19")</f>
        <v>I_19</v>
      </c>
      <c r="D211" s="7" t="str">
        <f>IFERROR(__xludf.DUMMYFUNCTION("""COMPUTED_VALUE"""),"Q16b. ")</f>
        <v>Q16b. </v>
      </c>
      <c r="E211" s="7" t="str">
        <f>IFERROR(__xludf.DUMMYFUNCTION("""COMPUTED_VALUE"""),"Last national election: fear political intimidation or violence")</f>
        <v>Last national election: fear political intimidation or violence</v>
      </c>
      <c r="F211" s="7" t="str">
        <f>IFERROR(__xludf.DUMMYFUNCTION("""COMPUTED_VALUE"""),"2024")</f>
        <v>2024</v>
      </c>
    </row>
    <row r="212">
      <c r="A212" s="7" t="str">
        <f>IFERROR(__xludf.DUMMYFUNCTION("""COMPUTED_VALUE"""),"TUNISIA ")</f>
        <v>TUNISIA </v>
      </c>
      <c r="B212" s="8">
        <f>IFERROR(__xludf.DUMMYFUNCTION("""COMPUTED_VALUE"""),10.0)</f>
        <v>10</v>
      </c>
      <c r="C212" s="7" t="str">
        <f>IFERROR(__xludf.DUMMYFUNCTION("""COMPUTED_VALUE"""),"I_19")</f>
        <v>I_19</v>
      </c>
      <c r="D212" s="7" t="str">
        <f>IFERROR(__xludf.DUMMYFUNCTION("""COMPUTED_VALUE"""),"Q16b. ")</f>
        <v>Q16b. </v>
      </c>
      <c r="E212" s="7" t="str">
        <f>IFERROR(__xludf.DUMMYFUNCTION("""COMPUTED_VALUE"""),"Last national election: fear political intimidation or violence")</f>
        <v>Last national election: fear political intimidation or violence</v>
      </c>
      <c r="F212" s="7" t="str">
        <f>IFERROR(__xludf.DUMMYFUNCTION("""COMPUTED_VALUE"""),"2023")</f>
        <v>2023</v>
      </c>
    </row>
    <row r="213">
      <c r="A213" s="7" t="str">
        <f>IFERROR(__xludf.DUMMYFUNCTION("""COMPUTED_VALUE"""),"UGANDA  ")</f>
        <v>UGANDA  </v>
      </c>
      <c r="B213" s="8">
        <f>IFERROR(__xludf.DUMMYFUNCTION("""COMPUTED_VALUE"""),10.0)</f>
        <v>10</v>
      </c>
      <c r="C213" s="7" t="str">
        <f>IFERROR(__xludf.DUMMYFUNCTION("""COMPUTED_VALUE"""),"I_19")</f>
        <v>I_19</v>
      </c>
      <c r="D213" s="7" t="str">
        <f>IFERROR(__xludf.DUMMYFUNCTION("""COMPUTED_VALUE"""),"Q16b. ")</f>
        <v>Q16b. </v>
      </c>
      <c r="E213" s="7" t="str">
        <f>IFERROR(__xludf.DUMMYFUNCTION("""COMPUTED_VALUE"""),"Last national election: fear political intimidation or violence")</f>
        <v>Last national election: fear political intimidation or violence</v>
      </c>
      <c r="F213" s="7" t="str">
        <f>IFERROR(__xludf.DUMMYFUNCTION("""COMPUTED_VALUE"""),"2021")</f>
        <v>2021</v>
      </c>
    </row>
    <row r="214">
      <c r="A214" s="7" t="str">
        <f>IFERROR(__xludf.DUMMYFUNCTION("""COMPUTED_VALUE"""),"ZAMBIA")</f>
        <v>ZAMBIA</v>
      </c>
      <c r="B214" s="8">
        <f>IFERROR(__xludf.DUMMYFUNCTION("""COMPUTED_VALUE"""),10.0)</f>
        <v>10</v>
      </c>
      <c r="C214" s="7" t="str">
        <f>IFERROR(__xludf.DUMMYFUNCTION("""COMPUTED_VALUE"""),"I_19")</f>
        <v>I_19</v>
      </c>
      <c r="D214" s="7" t="str">
        <f>IFERROR(__xludf.DUMMYFUNCTION("""COMPUTED_VALUE"""),"Q16b. ")</f>
        <v>Q16b. </v>
      </c>
      <c r="E214" s="7" t="str">
        <f>IFERROR(__xludf.DUMMYFUNCTION("""COMPUTED_VALUE"""),"Last national election: fear political intimidation or violence")</f>
        <v>Last national election: fear political intimidation or violence</v>
      </c>
      <c r="F214" s="7" t="str">
        <f>IFERROR(__xludf.DUMMYFUNCTION("""COMPUTED_VALUE"""),"2021")</f>
        <v>2021</v>
      </c>
    </row>
    <row r="215">
      <c r="A215" s="7" t="str">
        <f>IFERROR(__xludf.DUMMYFUNCTION("""COMPUTED_VALUE"""),"ZIMBABWE")</f>
        <v>ZIMBABWE</v>
      </c>
      <c r="B215" s="8">
        <f>IFERROR(__xludf.DUMMYFUNCTION("""COMPUTED_VALUE"""),10.0)</f>
        <v>10</v>
      </c>
      <c r="C215" s="7" t="str">
        <f>IFERROR(__xludf.DUMMYFUNCTION("""COMPUTED_VALUE"""),"I_19")</f>
        <v>I_19</v>
      </c>
      <c r="D215" s="7" t="str">
        <f>IFERROR(__xludf.DUMMYFUNCTION("""COMPUTED_VALUE"""),"Q16b. ")</f>
        <v>Q16b. </v>
      </c>
      <c r="E215" s="7" t="str">
        <f>IFERROR(__xludf.DUMMYFUNCTION("""COMPUTED_VALUE"""),"Last national election: fear political intimidation or violence")</f>
        <v>Last national election: fear political intimidation or violence</v>
      </c>
      <c r="F215" s="7" t="str">
        <f>IFERROR(__xludf.DUMMYFUNCTION("""COMPUTED_VALUE"""),"2023")</f>
        <v>2023</v>
      </c>
    </row>
    <row r="216">
      <c r="A216" s="7" t="str">
        <f>IFERROR(__xludf.DUMMYFUNCTION("""COMPUTED_VALUE"""),"ANGOLA ")</f>
        <v>ANGOLA </v>
      </c>
      <c r="B216" s="8">
        <f>IFERROR(__xludf.DUMMYFUNCTION("""COMPUTED_VALUE"""),10.0)</f>
        <v>10</v>
      </c>
      <c r="C216" s="7" t="str">
        <f>IFERROR(__xludf.DUMMYFUNCTION("""COMPUTED_VALUE"""),"B_01_06")</f>
        <v>B_01_06</v>
      </c>
      <c r="D216" s="7" t="str">
        <f>IFERROR(__xludf.DUMMYFUNCTION("""COMPUTED_VALUE"""),"Q26a.")</f>
        <v>Q26a.</v>
      </c>
      <c r="E216" s="7" t="str">
        <f>IFERROR(__xludf.DUMMYFUNCTION("""COMPUTED_VALUE"""),"Parliament makes laws vs president does")</f>
        <v>Parliament makes laws vs president does</v>
      </c>
      <c r="F216" s="7" t="str">
        <f>IFERROR(__xludf.DUMMYFUNCTION("""COMPUTED_VALUE"""),"Member of the National Assembly vs President")</f>
        <v>Member of the National Assembly vs President</v>
      </c>
    </row>
    <row r="217">
      <c r="A217" s="7" t="str">
        <f>IFERROR(__xludf.DUMMYFUNCTION("""COMPUTED_VALUE"""),"BENIN")</f>
        <v>BENIN</v>
      </c>
      <c r="B217" s="8">
        <f>IFERROR(__xludf.DUMMYFUNCTION("""COMPUTED_VALUE"""),10.0)</f>
        <v>10</v>
      </c>
      <c r="C217" s="7" t="str">
        <f>IFERROR(__xludf.DUMMYFUNCTION("""COMPUTED_VALUE"""),"B_01_06")</f>
        <v>B_01_06</v>
      </c>
      <c r="D217" s="7" t="str">
        <f>IFERROR(__xludf.DUMMYFUNCTION("""COMPUTED_VALUE"""),"Q26a.")</f>
        <v>Q26a.</v>
      </c>
      <c r="E217" s="7" t="str">
        <f>IFERROR(__xludf.DUMMYFUNCTION("""COMPUTED_VALUE"""),"Parliament makes laws vs president does")</f>
        <v>Parliament makes laws vs president does</v>
      </c>
      <c r="F217" s="7" t="str">
        <f>IFERROR(__xludf.DUMMYFUNCTION("""COMPUTED_VALUE"""),"Representative to National Assemply vs President")</f>
        <v>Representative to National Assemply vs President</v>
      </c>
    </row>
    <row r="218">
      <c r="A218" s="7" t="str">
        <f>IFERROR(__xludf.DUMMYFUNCTION("""COMPUTED_VALUE"""),"BOTSWANA ")</f>
        <v>BOTSWANA </v>
      </c>
      <c r="B218" s="8">
        <f>IFERROR(__xludf.DUMMYFUNCTION("""COMPUTED_VALUE"""),10.0)</f>
        <v>10</v>
      </c>
      <c r="C218" s="7" t="str">
        <f>IFERROR(__xludf.DUMMYFUNCTION("""COMPUTED_VALUE"""),"B_01_06")</f>
        <v>B_01_06</v>
      </c>
      <c r="D218" s="7" t="str">
        <f>IFERROR(__xludf.DUMMYFUNCTION("""COMPUTED_VALUE"""),"Q26a.")</f>
        <v>Q26a.</v>
      </c>
      <c r="E218" s="7" t="str">
        <f>IFERROR(__xludf.DUMMYFUNCTION("""COMPUTED_VALUE"""),"Parliament makes laws vs president does")</f>
        <v>Parliament makes laws vs president does</v>
      </c>
      <c r="F218" s="7" t="str">
        <f>IFERROR(__xludf.DUMMYFUNCTION("""COMPUTED_VALUE"""),"Member of Parliament vs President")</f>
        <v>Member of Parliament vs President</v>
      </c>
    </row>
    <row r="219">
      <c r="A219" s="7" t="str">
        <f>IFERROR(__xludf.DUMMYFUNCTION("""COMPUTED_VALUE"""),"CABO VERDE ")</f>
        <v>CABO VERDE </v>
      </c>
      <c r="B219" s="8">
        <f>IFERROR(__xludf.DUMMYFUNCTION("""COMPUTED_VALUE"""),10.0)</f>
        <v>10</v>
      </c>
      <c r="C219" s="7" t="str">
        <f>IFERROR(__xludf.DUMMYFUNCTION("""COMPUTED_VALUE"""),"B_01_06")</f>
        <v>B_01_06</v>
      </c>
      <c r="D219" s="7" t="str">
        <f>IFERROR(__xludf.DUMMYFUNCTION("""COMPUTED_VALUE"""),"Q26a.")</f>
        <v>Q26a.</v>
      </c>
      <c r="E219" s="7" t="str">
        <f>IFERROR(__xludf.DUMMYFUNCTION("""COMPUTED_VALUE"""),"Parliament makes laws vs president does")</f>
        <v>Parliament makes laws vs president does</v>
      </c>
      <c r="F219" s="7" t="str">
        <f>IFERROR(__xludf.DUMMYFUNCTION("""COMPUTED_VALUE"""),"Member of the National Assembly vs President")</f>
        <v>Member of the National Assembly vs President</v>
      </c>
    </row>
    <row r="220">
      <c r="A220" s="7" t="str">
        <f>IFERROR(__xludf.DUMMYFUNCTION("""COMPUTED_VALUE"""),"CAMEROON")</f>
        <v>CAMEROON</v>
      </c>
      <c r="B220" s="8">
        <f>IFERROR(__xludf.DUMMYFUNCTION("""COMPUTED_VALUE"""),10.0)</f>
        <v>10</v>
      </c>
      <c r="C220" s="7" t="str">
        <f>IFERROR(__xludf.DUMMYFUNCTION("""COMPUTED_VALUE"""),"B_01_06")</f>
        <v>B_01_06</v>
      </c>
      <c r="D220" s="7" t="str">
        <f>IFERROR(__xludf.DUMMYFUNCTION("""COMPUTED_VALUE"""),"Q26a.")</f>
        <v>Q26a.</v>
      </c>
      <c r="E220" s="7" t="str">
        <f>IFERROR(__xludf.DUMMYFUNCTION("""COMPUTED_VALUE"""),"Parliament makes laws vs president does")</f>
        <v>Parliament makes laws vs president does</v>
      </c>
      <c r="F220" s="7" t="str">
        <f>IFERROR(__xludf.DUMMYFUNCTION("""COMPUTED_VALUE"""),"Member of the National Assembly vs President")</f>
        <v>Member of the National Assembly vs President</v>
      </c>
    </row>
    <row r="221">
      <c r="A221" s="7" t="str">
        <f>IFERROR(__xludf.DUMMYFUNCTION("""COMPUTED_VALUE"""),"CHAD")</f>
        <v>CHAD</v>
      </c>
      <c r="B221" s="8">
        <f>IFERROR(__xludf.DUMMYFUNCTION("""COMPUTED_VALUE"""),10.0)</f>
        <v>10</v>
      </c>
      <c r="C221" s="7" t="str">
        <f>IFERROR(__xludf.DUMMYFUNCTION("""COMPUTED_VALUE"""),"B_01_06")</f>
        <v>B_01_06</v>
      </c>
      <c r="D221" s="7" t="str">
        <f>IFERROR(__xludf.DUMMYFUNCTION("""COMPUTED_VALUE"""),"Q26a.")</f>
        <v>Q26a.</v>
      </c>
      <c r="E221" s="7" t="str">
        <f>IFERROR(__xludf.DUMMYFUNCTION("""COMPUTED_VALUE"""),"Parliament makes laws vs president does")</f>
        <v>Parliament makes laws vs president does</v>
      </c>
      <c r="F221" s="7" t="str">
        <f>IFERROR(__xludf.DUMMYFUNCTION("""COMPUTED_VALUE"""),"Member of the National Assembly vs President")</f>
        <v>Member of the National Assembly vs President</v>
      </c>
    </row>
    <row r="222">
      <c r="A222" s="7" t="str">
        <f>IFERROR(__xludf.DUMMYFUNCTION("""COMPUTED_VALUE"""),"COMOROS")</f>
        <v>COMOROS</v>
      </c>
      <c r="B222" s="8">
        <f>IFERROR(__xludf.DUMMYFUNCTION("""COMPUTED_VALUE"""),10.0)</f>
        <v>10</v>
      </c>
      <c r="C222" s="7" t="str">
        <f>IFERROR(__xludf.DUMMYFUNCTION("""COMPUTED_VALUE"""),"B_01_06")</f>
        <v>B_01_06</v>
      </c>
      <c r="D222" s="7" t="str">
        <f>IFERROR(__xludf.DUMMYFUNCTION("""COMPUTED_VALUE"""),"Q26a.")</f>
        <v>Q26a.</v>
      </c>
      <c r="E222" s="7" t="str">
        <f>IFERROR(__xludf.DUMMYFUNCTION("""COMPUTED_VALUE"""),"Parliament makes laws vs president does")</f>
        <v>Parliament makes laws vs president does</v>
      </c>
      <c r="F222" s="7" t="str">
        <f>IFERROR(__xludf.DUMMYFUNCTION("""COMPUTED_VALUE"""),"Member of the National Assembly vs President")</f>
        <v>Member of the National Assembly vs President</v>
      </c>
    </row>
    <row r="223">
      <c r="A223" s="7" t="str">
        <f>IFERROR(__xludf.DUMMYFUNCTION("""COMPUTED_VALUE"""),"CONGO BRAZZAVILLE")</f>
        <v>CONGO BRAZZAVILLE</v>
      </c>
      <c r="B223" s="8">
        <f>IFERROR(__xludf.DUMMYFUNCTION("""COMPUTED_VALUE"""),10.0)</f>
        <v>10</v>
      </c>
      <c r="C223" s="7" t="str">
        <f>IFERROR(__xludf.DUMMYFUNCTION("""COMPUTED_VALUE"""),"B_01_06")</f>
        <v>B_01_06</v>
      </c>
      <c r="D223" s="7" t="str">
        <f>IFERROR(__xludf.DUMMYFUNCTION("""COMPUTED_VALUE"""),"Q26a.")</f>
        <v>Q26a.</v>
      </c>
      <c r="E223" s="7" t="str">
        <f>IFERROR(__xludf.DUMMYFUNCTION("""COMPUTED_VALUE"""),"Parliament makes laws vs president does")</f>
        <v>Parliament makes laws vs president does</v>
      </c>
      <c r="F223" s="7" t="str">
        <f>IFERROR(__xludf.DUMMYFUNCTION("""COMPUTED_VALUE"""),"Member of the National Assembly vs President")</f>
        <v>Member of the National Assembly vs President</v>
      </c>
    </row>
    <row r="224">
      <c r="A224" s="7" t="str">
        <f>IFERROR(__xludf.DUMMYFUNCTION("""COMPUTED_VALUE"""),"COTE D'IVOIRE")</f>
        <v>COTE D'IVOIRE</v>
      </c>
      <c r="B224" s="8">
        <f>IFERROR(__xludf.DUMMYFUNCTION("""COMPUTED_VALUE"""),10.0)</f>
        <v>10</v>
      </c>
      <c r="C224" s="7" t="str">
        <f>IFERROR(__xludf.DUMMYFUNCTION("""COMPUTED_VALUE"""),"B_01_06")</f>
        <v>B_01_06</v>
      </c>
      <c r="D224" s="7" t="str">
        <f>IFERROR(__xludf.DUMMYFUNCTION("""COMPUTED_VALUE"""),"Q26a.")</f>
        <v>Q26a.</v>
      </c>
      <c r="E224" s="7" t="str">
        <f>IFERROR(__xludf.DUMMYFUNCTION("""COMPUTED_VALUE"""),"Parliament makes laws vs president does")</f>
        <v>Parliament makes laws vs president does</v>
      </c>
      <c r="F224" s="7" t="str">
        <f>IFERROR(__xludf.DUMMYFUNCTION("""COMPUTED_VALUE"""),"Member of the National Assembly vs President")</f>
        <v>Member of the National Assembly vs President</v>
      </c>
    </row>
    <row r="225">
      <c r="A225" s="7" t="str">
        <f>IFERROR(__xludf.DUMMYFUNCTION("""COMPUTED_VALUE"""),"ESWATINI")</f>
        <v>ESWATINI</v>
      </c>
      <c r="B225" s="8">
        <f>IFERROR(__xludf.DUMMYFUNCTION("""COMPUTED_VALUE"""),10.0)</f>
        <v>10</v>
      </c>
      <c r="C225" s="7" t="str">
        <f>IFERROR(__xludf.DUMMYFUNCTION("""COMPUTED_VALUE"""),"B_01_06")</f>
        <v>B_01_06</v>
      </c>
      <c r="D225" s="7" t="str">
        <f>IFERROR(__xludf.DUMMYFUNCTION("""COMPUTED_VALUE"""),"Q26a.")</f>
        <v>Q26a.</v>
      </c>
      <c r="E225" s="7" t="str">
        <f>IFERROR(__xludf.DUMMYFUNCTION("""COMPUTED_VALUE"""),"Parliament makes laws vs president does")</f>
        <v>Parliament makes laws vs president does</v>
      </c>
      <c r="F225" s="7" t="str">
        <f>IFERROR(__xludf.DUMMYFUNCTION("""COMPUTED_VALUE"""),"Member of Parliament vs King")</f>
        <v>Member of Parliament vs King</v>
      </c>
    </row>
    <row r="226">
      <c r="A226" s="7" t="str">
        <f>IFERROR(__xludf.DUMMYFUNCTION("""COMPUTED_VALUE"""),"GABON")</f>
        <v>GABON</v>
      </c>
      <c r="B226" s="8">
        <f>IFERROR(__xludf.DUMMYFUNCTION("""COMPUTED_VALUE"""),10.0)</f>
        <v>10</v>
      </c>
      <c r="C226" s="7" t="str">
        <f>IFERROR(__xludf.DUMMYFUNCTION("""COMPUTED_VALUE"""),"B_01_06")</f>
        <v>B_01_06</v>
      </c>
      <c r="D226" s="7" t="str">
        <f>IFERROR(__xludf.DUMMYFUNCTION("""COMPUTED_VALUE"""),"Q26a.")</f>
        <v>Q26a.</v>
      </c>
      <c r="E226" s="7" t="str">
        <f>IFERROR(__xludf.DUMMYFUNCTION("""COMPUTED_VALUE"""),"Parliament makes laws vs president does")</f>
        <v>Parliament makes laws vs president does</v>
      </c>
      <c r="F226" s="7" t="str">
        <f>IFERROR(__xludf.DUMMYFUNCTION("""COMPUTED_VALUE"""),"Member of the National Assembly vs President")</f>
        <v>Member of the National Assembly vs President</v>
      </c>
    </row>
    <row r="227">
      <c r="A227" s="7" t="str">
        <f>IFERROR(__xludf.DUMMYFUNCTION("""COMPUTED_VALUE"""),"GAMBIA")</f>
        <v>GAMBIA</v>
      </c>
      <c r="B227" s="8">
        <f>IFERROR(__xludf.DUMMYFUNCTION("""COMPUTED_VALUE"""),10.0)</f>
        <v>10</v>
      </c>
      <c r="C227" s="7" t="str">
        <f>IFERROR(__xludf.DUMMYFUNCTION("""COMPUTED_VALUE"""),"B_01_06")</f>
        <v>B_01_06</v>
      </c>
      <c r="D227" s="7" t="str">
        <f>IFERROR(__xludf.DUMMYFUNCTION("""COMPUTED_VALUE"""),"Q26a.")</f>
        <v>Q26a.</v>
      </c>
      <c r="E227" s="7" t="str">
        <f>IFERROR(__xludf.DUMMYFUNCTION("""COMPUTED_VALUE"""),"Parliament makes laws vs president does")</f>
        <v>Parliament makes laws vs president does</v>
      </c>
      <c r="F227" s="7" t="str">
        <f>IFERROR(__xludf.DUMMYFUNCTION("""COMPUTED_VALUE"""),"Member of the National Assembly vs President")</f>
        <v>Member of the National Assembly vs President</v>
      </c>
    </row>
    <row r="228">
      <c r="A228" s="7" t="str">
        <f>IFERROR(__xludf.DUMMYFUNCTION("""COMPUTED_VALUE"""),"GHANA ")</f>
        <v>GHANA </v>
      </c>
      <c r="B228" s="8">
        <f>IFERROR(__xludf.DUMMYFUNCTION("""COMPUTED_VALUE"""),10.0)</f>
        <v>10</v>
      </c>
      <c r="C228" s="7" t="str">
        <f>IFERROR(__xludf.DUMMYFUNCTION("""COMPUTED_VALUE"""),"B_01_06")</f>
        <v>B_01_06</v>
      </c>
      <c r="D228" s="7" t="str">
        <f>IFERROR(__xludf.DUMMYFUNCTION("""COMPUTED_VALUE"""),"Q26a.")</f>
        <v>Q26a.</v>
      </c>
      <c r="E228" s="7" t="str">
        <f>IFERROR(__xludf.DUMMYFUNCTION("""COMPUTED_VALUE"""),"Parliament makes laws vs president does")</f>
        <v>Parliament makes laws vs president does</v>
      </c>
      <c r="F228" s="7" t="str">
        <f>IFERROR(__xludf.DUMMYFUNCTION("""COMPUTED_VALUE"""),"Member of Parliament vs President")</f>
        <v>Member of Parliament vs President</v>
      </c>
    </row>
    <row r="229">
      <c r="A229" s="7" t="str">
        <f>IFERROR(__xludf.DUMMYFUNCTION("""COMPUTED_VALUE"""),"GUINEA")</f>
        <v>GUINEA</v>
      </c>
      <c r="B229" s="8">
        <f>IFERROR(__xludf.DUMMYFUNCTION("""COMPUTED_VALUE"""),10.0)</f>
        <v>10</v>
      </c>
      <c r="C229" s="7" t="str">
        <f>IFERROR(__xludf.DUMMYFUNCTION("""COMPUTED_VALUE"""),"B_01_06")</f>
        <v>B_01_06</v>
      </c>
      <c r="D229" s="7" t="str">
        <f>IFERROR(__xludf.DUMMYFUNCTION("""COMPUTED_VALUE"""),"Q26a.")</f>
        <v>Q26a.</v>
      </c>
      <c r="E229" s="7" t="str">
        <f>IFERROR(__xludf.DUMMYFUNCTION("""COMPUTED_VALUE"""),"Parliament makes laws vs president does")</f>
        <v>Parliament makes laws vs president does</v>
      </c>
      <c r="F229" s="7" t="str">
        <f>IFERROR(__xludf.DUMMYFUNCTION("""COMPUTED_VALUE"""),"The National Transition Councilora vs President")</f>
        <v>The National Transition Councilora vs President</v>
      </c>
    </row>
    <row r="230">
      <c r="A230" s="7" t="str">
        <f>IFERROR(__xludf.DUMMYFUNCTION("""COMPUTED_VALUE"""),"KENYA  ")</f>
        <v>KENYA  </v>
      </c>
      <c r="B230" s="8">
        <f>IFERROR(__xludf.DUMMYFUNCTION("""COMPUTED_VALUE"""),10.0)</f>
        <v>10</v>
      </c>
      <c r="C230" s="7" t="str">
        <f>IFERROR(__xludf.DUMMYFUNCTION("""COMPUTED_VALUE"""),"B_01_06")</f>
        <v>B_01_06</v>
      </c>
      <c r="D230" s="7" t="str">
        <f>IFERROR(__xludf.DUMMYFUNCTION("""COMPUTED_VALUE"""),"Q26a.")</f>
        <v>Q26a.</v>
      </c>
      <c r="E230" s="7" t="str">
        <f>IFERROR(__xludf.DUMMYFUNCTION("""COMPUTED_VALUE"""),"Parliament makes laws vs president does")</f>
        <v>Parliament makes laws vs president does</v>
      </c>
      <c r="F230" s="7" t="str">
        <f>IFERROR(__xludf.DUMMYFUNCTION("""COMPUTED_VALUE"""),"Member of Parliament vs President")</f>
        <v>Member of Parliament vs President</v>
      </c>
    </row>
    <row r="231">
      <c r="A231" s="7" t="str">
        <f>IFERROR(__xludf.DUMMYFUNCTION("""COMPUTED_VALUE"""),"LESOTHO ")</f>
        <v>LESOTHO </v>
      </c>
      <c r="B231" s="8">
        <f>IFERROR(__xludf.DUMMYFUNCTION("""COMPUTED_VALUE"""),10.0)</f>
        <v>10</v>
      </c>
      <c r="C231" s="7" t="str">
        <f>IFERROR(__xludf.DUMMYFUNCTION("""COMPUTED_VALUE"""),"B_01_06")</f>
        <v>B_01_06</v>
      </c>
      <c r="D231" s="7" t="str">
        <f>IFERROR(__xludf.DUMMYFUNCTION("""COMPUTED_VALUE"""),"Q26a.")</f>
        <v>Q26a.</v>
      </c>
      <c r="E231" s="7" t="str">
        <f>IFERROR(__xludf.DUMMYFUNCTION("""COMPUTED_VALUE"""),"Parliament makes laws vs president does")</f>
        <v>Parliament makes laws vs president does</v>
      </c>
      <c r="F231" s="7" t="str">
        <f>IFERROR(__xludf.DUMMYFUNCTION("""COMPUTED_VALUE"""),"Member of Parliament vs Prime Minister")</f>
        <v>Member of Parliament vs Prime Minister</v>
      </c>
    </row>
    <row r="232">
      <c r="A232" s="7" t="str">
        <f>IFERROR(__xludf.DUMMYFUNCTION("""COMPUTED_VALUE"""),"LIBERIA  ")</f>
        <v>LIBERIA  </v>
      </c>
      <c r="B232" s="8">
        <f>IFERROR(__xludf.DUMMYFUNCTION("""COMPUTED_VALUE"""),10.0)</f>
        <v>10</v>
      </c>
      <c r="C232" s="7" t="str">
        <f>IFERROR(__xludf.DUMMYFUNCTION("""COMPUTED_VALUE"""),"B_01_06")</f>
        <v>B_01_06</v>
      </c>
      <c r="D232" s="7" t="str">
        <f>IFERROR(__xludf.DUMMYFUNCTION("""COMPUTED_VALUE"""),"Q26a.")</f>
        <v>Q26a.</v>
      </c>
      <c r="E232" s="7" t="str">
        <f>IFERROR(__xludf.DUMMYFUNCTION("""COMPUTED_VALUE"""),"Parliament makes laws vs president does")</f>
        <v>Parliament makes laws vs president does</v>
      </c>
      <c r="F232" s="7" t="str">
        <f>IFERROR(__xludf.DUMMYFUNCTION("""COMPUTED_VALUE"""),"Members of the National Legislature vs President")</f>
        <v>Members of the National Legislature vs President</v>
      </c>
    </row>
    <row r="233">
      <c r="A233" s="7" t="str">
        <f>IFERROR(__xludf.DUMMYFUNCTION("""COMPUTED_VALUE"""),"MADAGASCAR")</f>
        <v>MADAGASCAR</v>
      </c>
      <c r="B233" s="8">
        <f>IFERROR(__xludf.DUMMYFUNCTION("""COMPUTED_VALUE"""),10.0)</f>
        <v>10</v>
      </c>
      <c r="C233" s="7" t="str">
        <f>IFERROR(__xludf.DUMMYFUNCTION("""COMPUTED_VALUE"""),"B_01_06")</f>
        <v>B_01_06</v>
      </c>
      <c r="D233" s="7" t="str">
        <f>IFERROR(__xludf.DUMMYFUNCTION("""COMPUTED_VALUE"""),"Q26a.")</f>
        <v>Q26a.</v>
      </c>
      <c r="E233" s="7" t="str">
        <f>IFERROR(__xludf.DUMMYFUNCTION("""COMPUTED_VALUE"""),"Parliament makes laws vs president does")</f>
        <v>Parliament makes laws vs president does</v>
      </c>
      <c r="F233" s="7" t="str">
        <f>IFERROR(__xludf.DUMMYFUNCTION("""COMPUTED_VALUE"""),"Member of the National Assembly vs President")</f>
        <v>Member of the National Assembly vs President</v>
      </c>
    </row>
    <row r="234">
      <c r="A234" s="7" t="str">
        <f>IFERROR(__xludf.DUMMYFUNCTION("""COMPUTED_VALUE"""),"MALAWI ")</f>
        <v>MALAWI </v>
      </c>
      <c r="B234" s="8">
        <f>IFERROR(__xludf.DUMMYFUNCTION("""COMPUTED_VALUE"""),10.0)</f>
        <v>10</v>
      </c>
      <c r="C234" s="7" t="str">
        <f>IFERROR(__xludf.DUMMYFUNCTION("""COMPUTED_VALUE"""),"B_01_06")</f>
        <v>B_01_06</v>
      </c>
      <c r="D234" s="7" t="str">
        <f>IFERROR(__xludf.DUMMYFUNCTION("""COMPUTED_VALUE"""),"Q26a.")</f>
        <v>Q26a.</v>
      </c>
      <c r="E234" s="7" t="str">
        <f>IFERROR(__xludf.DUMMYFUNCTION("""COMPUTED_VALUE"""),"Parliament makes laws vs president does")</f>
        <v>Parliament makes laws vs president does</v>
      </c>
      <c r="F234" s="7" t="str">
        <f>IFERROR(__xludf.DUMMYFUNCTION("""COMPUTED_VALUE"""),"Member of Parliament vs President")</f>
        <v>Member of Parliament vs President</v>
      </c>
    </row>
    <row r="235">
      <c r="A235" s="7" t="str">
        <f>IFERROR(__xludf.DUMMYFUNCTION("""COMPUTED_VALUE"""),"MALI")</f>
        <v>MALI</v>
      </c>
      <c r="B235" s="8">
        <f>IFERROR(__xludf.DUMMYFUNCTION("""COMPUTED_VALUE"""),10.0)</f>
        <v>10</v>
      </c>
      <c r="C235" s="7" t="str">
        <f>IFERROR(__xludf.DUMMYFUNCTION("""COMPUTED_VALUE"""),"B_01_06")</f>
        <v>B_01_06</v>
      </c>
      <c r="D235" s="7" t="str">
        <f>IFERROR(__xludf.DUMMYFUNCTION("""COMPUTED_VALUE"""),"Q26a.")</f>
        <v>Q26a.</v>
      </c>
      <c r="E235" s="7" t="str">
        <f>IFERROR(__xludf.DUMMYFUNCTION("""COMPUTED_VALUE"""),"Parliament makes laws vs president does")</f>
        <v>Parliament makes laws vs president does</v>
      </c>
      <c r="F235" s="7" t="str">
        <f>IFERROR(__xludf.DUMMYFUNCTION("""COMPUTED_VALUE"""),"The National Transition Councilora vs President")</f>
        <v>The National Transition Councilora vs President</v>
      </c>
    </row>
    <row r="236">
      <c r="A236" s="7" t="str">
        <f>IFERROR(__xludf.DUMMYFUNCTION("""COMPUTED_VALUE"""),"MAURITANIA")</f>
        <v>MAURITANIA</v>
      </c>
      <c r="B236" s="8">
        <f>IFERROR(__xludf.DUMMYFUNCTION("""COMPUTED_VALUE"""),10.0)</f>
        <v>10</v>
      </c>
      <c r="C236" s="7" t="str">
        <f>IFERROR(__xludf.DUMMYFUNCTION("""COMPUTED_VALUE"""),"B_01_06")</f>
        <v>B_01_06</v>
      </c>
      <c r="D236" s="7" t="str">
        <f>IFERROR(__xludf.DUMMYFUNCTION("""COMPUTED_VALUE"""),"Q26a.")</f>
        <v>Q26a.</v>
      </c>
      <c r="E236" s="7" t="str">
        <f>IFERROR(__xludf.DUMMYFUNCTION("""COMPUTED_VALUE"""),"Parliament makes laws vs president does")</f>
        <v>Parliament makes laws vs president does</v>
      </c>
      <c r="F236" s="7" t="str">
        <f>IFERROR(__xludf.DUMMYFUNCTION("""COMPUTED_VALUE"""),"Member of the National Assembly vs President")</f>
        <v>Member of the National Assembly vs President</v>
      </c>
    </row>
    <row r="237">
      <c r="A237" s="7" t="str">
        <f>IFERROR(__xludf.DUMMYFUNCTION("""COMPUTED_VALUE"""),"MAURITIUS")</f>
        <v>MAURITIUS</v>
      </c>
      <c r="B237" s="8">
        <f>IFERROR(__xludf.DUMMYFUNCTION("""COMPUTED_VALUE"""),10.0)</f>
        <v>10</v>
      </c>
      <c r="C237" s="7" t="str">
        <f>IFERROR(__xludf.DUMMYFUNCTION("""COMPUTED_VALUE"""),"B_01_06")</f>
        <v>B_01_06</v>
      </c>
      <c r="D237" s="7" t="str">
        <f>IFERROR(__xludf.DUMMYFUNCTION("""COMPUTED_VALUE"""),"Q26a.")</f>
        <v>Q26a.</v>
      </c>
      <c r="E237" s="7" t="str">
        <f>IFERROR(__xludf.DUMMYFUNCTION("""COMPUTED_VALUE"""),"Parliament makes laws vs president does")</f>
        <v>Parliament makes laws vs president does</v>
      </c>
      <c r="F237" s="7" t="str">
        <f>IFERROR(__xludf.DUMMYFUNCTION("""COMPUTED_VALUE"""),"Member of the National Assembly vs Prime Minister")</f>
        <v>Member of the National Assembly vs Prime Minister</v>
      </c>
    </row>
    <row r="238">
      <c r="A238" s="7" t="str">
        <f>IFERROR(__xludf.DUMMYFUNCTION("""COMPUTED_VALUE"""),"MOROCCO ")</f>
        <v>MOROCCO </v>
      </c>
      <c r="B238" s="8">
        <f>IFERROR(__xludf.DUMMYFUNCTION("""COMPUTED_VALUE"""),10.0)</f>
        <v>10</v>
      </c>
      <c r="C238" s="7" t="str">
        <f>IFERROR(__xludf.DUMMYFUNCTION("""COMPUTED_VALUE"""),"B_01_06")</f>
        <v>B_01_06</v>
      </c>
      <c r="D238" s="7" t="str">
        <f>IFERROR(__xludf.DUMMYFUNCTION("""COMPUTED_VALUE"""),"Q26a.")</f>
        <v>Q26a.</v>
      </c>
      <c r="E238" s="7" t="str">
        <f>IFERROR(__xludf.DUMMYFUNCTION("""COMPUTED_VALUE"""),"Parliament makes laws vs president does")</f>
        <v>Parliament makes laws vs president does</v>
      </c>
      <c r="F238" s="7" t="str">
        <f>IFERROR(__xludf.DUMMYFUNCTION("""COMPUTED_VALUE"""),"Member of Parliament vs President")</f>
        <v>Member of Parliament vs President</v>
      </c>
    </row>
    <row r="239">
      <c r="A239" s="7" t="str">
        <f>IFERROR(__xludf.DUMMYFUNCTION("""COMPUTED_VALUE"""),"MOZAMBIQUE")</f>
        <v>MOZAMBIQUE</v>
      </c>
      <c r="B239" s="8">
        <f>IFERROR(__xludf.DUMMYFUNCTION("""COMPUTED_VALUE"""),10.0)</f>
        <v>10</v>
      </c>
      <c r="C239" s="7" t="str">
        <f>IFERROR(__xludf.DUMMYFUNCTION("""COMPUTED_VALUE"""),"B_01_06")</f>
        <v>B_01_06</v>
      </c>
      <c r="D239" s="7" t="str">
        <f>IFERROR(__xludf.DUMMYFUNCTION("""COMPUTED_VALUE"""),"Q26a.")</f>
        <v>Q26a.</v>
      </c>
      <c r="E239" s="7" t="str">
        <f>IFERROR(__xludf.DUMMYFUNCTION("""COMPUTED_VALUE"""),"Parliament makes laws vs president does")</f>
        <v>Parliament makes laws vs president does</v>
      </c>
      <c r="F239" s="7" t="str">
        <f>IFERROR(__xludf.DUMMYFUNCTION("""COMPUTED_VALUE"""),"Member of Parliament vs President")</f>
        <v>Member of Parliament vs President</v>
      </c>
    </row>
    <row r="240">
      <c r="A240" s="7" t="str">
        <f>IFERROR(__xludf.DUMMYFUNCTION("""COMPUTED_VALUE"""),"NAMIBIA ")</f>
        <v>NAMIBIA </v>
      </c>
      <c r="B240" s="8">
        <f>IFERROR(__xludf.DUMMYFUNCTION("""COMPUTED_VALUE"""),10.0)</f>
        <v>10</v>
      </c>
      <c r="C240" s="7" t="str">
        <f>IFERROR(__xludf.DUMMYFUNCTION("""COMPUTED_VALUE"""),"B_01_06")</f>
        <v>B_01_06</v>
      </c>
      <c r="D240" s="7" t="str">
        <f>IFERROR(__xludf.DUMMYFUNCTION("""COMPUTED_VALUE"""),"Q26a.")</f>
        <v>Q26a.</v>
      </c>
      <c r="E240" s="7" t="str">
        <f>IFERROR(__xludf.DUMMYFUNCTION("""COMPUTED_VALUE"""),"Parliament makes laws vs president does")</f>
        <v>Parliament makes laws vs president does</v>
      </c>
      <c r="F240" s="7" t="str">
        <f>IFERROR(__xludf.DUMMYFUNCTION("""COMPUTED_VALUE"""),"Member of the National Assembly vs President")</f>
        <v>Member of the National Assembly vs President</v>
      </c>
    </row>
    <row r="241">
      <c r="A241" s="7" t="str">
        <f>IFERROR(__xludf.DUMMYFUNCTION("""COMPUTED_VALUE"""),"NIGERIA ")</f>
        <v>NIGERIA </v>
      </c>
      <c r="B241" s="8">
        <f>IFERROR(__xludf.DUMMYFUNCTION("""COMPUTED_VALUE"""),10.0)</f>
        <v>10</v>
      </c>
      <c r="C241" s="7" t="str">
        <f>IFERROR(__xludf.DUMMYFUNCTION("""COMPUTED_VALUE"""),"B_01_06")</f>
        <v>B_01_06</v>
      </c>
      <c r="D241" s="7" t="str">
        <f>IFERROR(__xludf.DUMMYFUNCTION("""COMPUTED_VALUE"""),"Q26a.")</f>
        <v>Q26a.</v>
      </c>
      <c r="E241" s="7" t="str">
        <f>IFERROR(__xludf.DUMMYFUNCTION("""COMPUTED_VALUE"""),"Parliament makes laws vs president does")</f>
        <v>Parliament makes laws vs president does</v>
      </c>
      <c r="F241" s="7" t="str">
        <f>IFERROR(__xludf.DUMMYFUNCTION("""COMPUTED_VALUE"""),"Member of the National Assembly vs President")</f>
        <v>Member of the National Assembly vs President</v>
      </c>
    </row>
    <row r="242">
      <c r="A242" s="7" t="str">
        <f>IFERROR(__xludf.DUMMYFUNCTION("""COMPUTED_VALUE"""),"SAO TOME AND PRINCIPE")</f>
        <v>SAO TOME AND PRINCIPE</v>
      </c>
      <c r="B242" s="8">
        <f>IFERROR(__xludf.DUMMYFUNCTION("""COMPUTED_VALUE"""),10.0)</f>
        <v>10</v>
      </c>
      <c r="C242" s="7" t="str">
        <f>IFERROR(__xludf.DUMMYFUNCTION("""COMPUTED_VALUE"""),"B_01_06")</f>
        <v>B_01_06</v>
      </c>
      <c r="D242" s="7" t="str">
        <f>IFERROR(__xludf.DUMMYFUNCTION("""COMPUTED_VALUE"""),"Q26a.")</f>
        <v>Q26a.</v>
      </c>
      <c r="E242" s="7" t="str">
        <f>IFERROR(__xludf.DUMMYFUNCTION("""COMPUTED_VALUE"""),"Parliament makes laws vs president does")</f>
        <v>Parliament makes laws vs president does</v>
      </c>
      <c r="F242" s="7" t="str">
        <f>IFERROR(__xludf.DUMMYFUNCTION("""COMPUTED_VALUE"""),"Member of the National Assembly vs President")</f>
        <v>Member of the National Assembly vs President</v>
      </c>
    </row>
    <row r="243">
      <c r="A243" s="7" t="str">
        <f>IFERROR(__xludf.DUMMYFUNCTION("""COMPUTED_VALUE"""),"SENEGAL")</f>
        <v>SENEGAL</v>
      </c>
      <c r="B243" s="8">
        <f>IFERROR(__xludf.DUMMYFUNCTION("""COMPUTED_VALUE"""),10.0)</f>
        <v>10</v>
      </c>
      <c r="C243" s="7" t="str">
        <f>IFERROR(__xludf.DUMMYFUNCTION("""COMPUTED_VALUE"""),"B_01_06")</f>
        <v>B_01_06</v>
      </c>
      <c r="D243" s="7" t="str">
        <f>IFERROR(__xludf.DUMMYFUNCTION("""COMPUTED_VALUE"""),"Q26a.")</f>
        <v>Q26a.</v>
      </c>
      <c r="E243" s="7" t="str">
        <f>IFERROR(__xludf.DUMMYFUNCTION("""COMPUTED_VALUE"""),"Parliament makes laws vs president does")</f>
        <v>Parliament makes laws vs president does</v>
      </c>
      <c r="F243" s="7" t="str">
        <f>IFERROR(__xludf.DUMMYFUNCTION("""COMPUTED_VALUE"""),"Member of the National Assembly vs President")</f>
        <v>Member of the National Assembly vs President</v>
      </c>
    </row>
    <row r="244">
      <c r="A244" s="7" t="str">
        <f>IFERROR(__xludf.DUMMYFUNCTION("""COMPUTED_VALUE"""),"SEYCHELLES")</f>
        <v>SEYCHELLES</v>
      </c>
      <c r="B244" s="8">
        <f>IFERROR(__xludf.DUMMYFUNCTION("""COMPUTED_VALUE"""),10.0)</f>
        <v>10</v>
      </c>
      <c r="C244" s="7" t="str">
        <f>IFERROR(__xludf.DUMMYFUNCTION("""COMPUTED_VALUE"""),"B_01_06")</f>
        <v>B_01_06</v>
      </c>
      <c r="D244" s="7" t="str">
        <f>IFERROR(__xludf.DUMMYFUNCTION("""COMPUTED_VALUE"""),"Q26a.")</f>
        <v>Q26a.</v>
      </c>
      <c r="E244" s="7" t="str">
        <f>IFERROR(__xludf.DUMMYFUNCTION("""COMPUTED_VALUE"""),"Parliament makes laws vs president does")</f>
        <v>Parliament makes laws vs president does</v>
      </c>
      <c r="F244" s="7" t="str">
        <f>IFERROR(__xludf.DUMMYFUNCTION("""COMPUTED_VALUE"""),"Member of the National Assembly vs President")</f>
        <v>Member of the National Assembly vs President</v>
      </c>
    </row>
    <row r="245">
      <c r="A245" s="7" t="str">
        <f>IFERROR(__xludf.DUMMYFUNCTION("""COMPUTED_VALUE"""),"SOUTH AFRICA")</f>
        <v>SOUTH AFRICA</v>
      </c>
      <c r="B245" s="8">
        <f>IFERROR(__xludf.DUMMYFUNCTION("""COMPUTED_VALUE"""),10.0)</f>
        <v>10</v>
      </c>
      <c r="C245" s="7" t="str">
        <f>IFERROR(__xludf.DUMMYFUNCTION("""COMPUTED_VALUE"""),"B_01_06")</f>
        <v>B_01_06</v>
      </c>
      <c r="D245" s="7" t="str">
        <f>IFERROR(__xludf.DUMMYFUNCTION("""COMPUTED_VALUE"""),"Q26a.")</f>
        <v>Q26a.</v>
      </c>
      <c r="E245" s="7" t="str">
        <f>IFERROR(__xludf.DUMMYFUNCTION("""COMPUTED_VALUE"""),"Parliament makes laws vs president does")</f>
        <v>Parliament makes laws vs president does</v>
      </c>
      <c r="F245" s="7" t="str">
        <f>IFERROR(__xludf.DUMMYFUNCTION("""COMPUTED_VALUE"""),"Member of Parliament vs President")</f>
        <v>Member of Parliament vs President</v>
      </c>
    </row>
    <row r="246">
      <c r="A246" s="7" t="str">
        <f>IFERROR(__xludf.DUMMYFUNCTION("""COMPUTED_VALUE"""),"TANZANIA")</f>
        <v>TANZANIA</v>
      </c>
      <c r="B246" s="8">
        <f>IFERROR(__xludf.DUMMYFUNCTION("""COMPUTED_VALUE"""),10.0)</f>
        <v>10</v>
      </c>
      <c r="C246" s="7" t="str">
        <f>IFERROR(__xludf.DUMMYFUNCTION("""COMPUTED_VALUE"""),"B_01_06")</f>
        <v>B_01_06</v>
      </c>
      <c r="D246" s="7" t="str">
        <f>IFERROR(__xludf.DUMMYFUNCTION("""COMPUTED_VALUE"""),"Q26a.")</f>
        <v>Q26a.</v>
      </c>
      <c r="E246" s="7" t="str">
        <f>IFERROR(__xludf.DUMMYFUNCTION("""COMPUTED_VALUE"""),"Parliament makes laws vs president does")</f>
        <v>Parliament makes laws vs president does</v>
      </c>
      <c r="F246" s="7" t="str">
        <f>IFERROR(__xludf.DUMMYFUNCTION("""COMPUTED_VALUE"""),"Member of Parliament vs President")</f>
        <v>Member of Parliament vs President</v>
      </c>
    </row>
    <row r="247">
      <c r="A247" s="7" t="str">
        <f>IFERROR(__xludf.DUMMYFUNCTION("""COMPUTED_VALUE"""),"TOGO ")</f>
        <v>TOGO </v>
      </c>
      <c r="B247" s="8">
        <f>IFERROR(__xludf.DUMMYFUNCTION("""COMPUTED_VALUE"""),10.0)</f>
        <v>10</v>
      </c>
      <c r="C247" s="7" t="str">
        <f>IFERROR(__xludf.DUMMYFUNCTION("""COMPUTED_VALUE"""),"B_01_06")</f>
        <v>B_01_06</v>
      </c>
      <c r="D247" s="7" t="str">
        <f>IFERROR(__xludf.DUMMYFUNCTION("""COMPUTED_VALUE"""),"Q26a.")</f>
        <v>Q26a.</v>
      </c>
      <c r="E247" s="7" t="str">
        <f>IFERROR(__xludf.DUMMYFUNCTION("""COMPUTED_VALUE"""),"Parliament makes laws vs president does")</f>
        <v>Parliament makes laws vs president does</v>
      </c>
      <c r="F247" s="7" t="str">
        <f>IFERROR(__xludf.DUMMYFUNCTION("""COMPUTED_VALUE"""),"Member of the National Assembly vs President")</f>
        <v>Member of the National Assembly vs President</v>
      </c>
    </row>
    <row r="248">
      <c r="A248" s="7" t="str">
        <f>IFERROR(__xludf.DUMMYFUNCTION("""COMPUTED_VALUE"""),"TUNISIA ")</f>
        <v>TUNISIA </v>
      </c>
      <c r="B248" s="8">
        <f>IFERROR(__xludf.DUMMYFUNCTION("""COMPUTED_VALUE"""),10.0)</f>
        <v>10</v>
      </c>
      <c r="C248" s="7" t="str">
        <f>IFERROR(__xludf.DUMMYFUNCTION("""COMPUTED_VALUE"""),"B_01_06")</f>
        <v>B_01_06</v>
      </c>
      <c r="D248" s="7" t="str">
        <f>IFERROR(__xludf.DUMMYFUNCTION("""COMPUTED_VALUE"""),"Q26a.")</f>
        <v>Q26a.</v>
      </c>
      <c r="E248" s="7" t="str">
        <f>IFERROR(__xludf.DUMMYFUNCTION("""COMPUTED_VALUE"""),"Parliament makes laws vs president does")</f>
        <v>Parliament makes laws vs president does</v>
      </c>
      <c r="F248" s="7" t="str">
        <f>IFERROR(__xludf.DUMMYFUNCTION("""COMPUTED_VALUE"""),"Members of the Assembly of the People’s Representatives vs President")</f>
        <v>Members of the Assembly of the People’s Representatives vs President</v>
      </c>
    </row>
    <row r="249">
      <c r="A249" s="7" t="str">
        <f>IFERROR(__xludf.DUMMYFUNCTION("""COMPUTED_VALUE"""),"UGANDA  ")</f>
        <v>UGANDA  </v>
      </c>
      <c r="B249" s="8">
        <f>IFERROR(__xludf.DUMMYFUNCTION("""COMPUTED_VALUE"""),10.0)</f>
        <v>10</v>
      </c>
      <c r="C249" s="7" t="str">
        <f>IFERROR(__xludf.DUMMYFUNCTION("""COMPUTED_VALUE"""),"B_01_06")</f>
        <v>B_01_06</v>
      </c>
      <c r="D249" s="7" t="str">
        <f>IFERROR(__xludf.DUMMYFUNCTION("""COMPUTED_VALUE"""),"Q26a.")</f>
        <v>Q26a.</v>
      </c>
      <c r="E249" s="7" t="str">
        <f>IFERROR(__xludf.DUMMYFUNCTION("""COMPUTED_VALUE"""),"Parliament makes laws vs president does")</f>
        <v>Parliament makes laws vs president does</v>
      </c>
      <c r="F249" s="7" t="str">
        <f>IFERROR(__xludf.DUMMYFUNCTION("""COMPUTED_VALUE"""),"Member of Parliament vs President")</f>
        <v>Member of Parliament vs President</v>
      </c>
    </row>
    <row r="250">
      <c r="A250" s="7" t="str">
        <f>IFERROR(__xludf.DUMMYFUNCTION("""COMPUTED_VALUE"""),"ZAMBIA")</f>
        <v>ZAMBIA</v>
      </c>
      <c r="B250" s="8">
        <f>IFERROR(__xludf.DUMMYFUNCTION("""COMPUTED_VALUE"""),10.0)</f>
        <v>10</v>
      </c>
      <c r="C250" s="7" t="str">
        <f>IFERROR(__xludf.DUMMYFUNCTION("""COMPUTED_VALUE"""),"B_01_06")</f>
        <v>B_01_06</v>
      </c>
      <c r="D250" s="7" t="str">
        <f>IFERROR(__xludf.DUMMYFUNCTION("""COMPUTED_VALUE"""),"Q26a.")</f>
        <v>Q26a.</v>
      </c>
      <c r="E250" s="7" t="str">
        <f>IFERROR(__xludf.DUMMYFUNCTION("""COMPUTED_VALUE"""),"Parliament makes laws vs president does")</f>
        <v>Parliament makes laws vs president does</v>
      </c>
      <c r="F250" s="7" t="str">
        <f>IFERROR(__xludf.DUMMYFUNCTION("""COMPUTED_VALUE"""),"Member of Parliament vs President")</f>
        <v>Member of Parliament vs President</v>
      </c>
    </row>
    <row r="251">
      <c r="A251" s="7" t="str">
        <f>IFERROR(__xludf.DUMMYFUNCTION("""COMPUTED_VALUE"""),"ZIMBABWE")</f>
        <v>ZIMBABWE</v>
      </c>
      <c r="B251" s="8">
        <f>IFERROR(__xludf.DUMMYFUNCTION("""COMPUTED_VALUE"""),10.0)</f>
        <v>10</v>
      </c>
      <c r="C251" s="7" t="str">
        <f>IFERROR(__xludf.DUMMYFUNCTION("""COMPUTED_VALUE"""),"B_01_06")</f>
        <v>B_01_06</v>
      </c>
      <c r="D251" s="7" t="str">
        <f>IFERROR(__xludf.DUMMYFUNCTION("""COMPUTED_VALUE"""),"Q26a.")</f>
        <v>Q26a.</v>
      </c>
      <c r="E251" s="7" t="str">
        <f>IFERROR(__xludf.DUMMYFUNCTION("""COMPUTED_VALUE"""),"Parliament makes laws vs president does")</f>
        <v>Parliament makes laws vs president does</v>
      </c>
      <c r="F251" s="7" t="str">
        <f>IFERROR(__xludf.DUMMYFUNCTION("""COMPUTED_VALUE"""),"Member of Parliament vs President")</f>
        <v>Member of Parliament vs President</v>
      </c>
    </row>
    <row r="252">
      <c r="A252" s="7" t="str">
        <f>IFERROR(__xludf.DUMMYFUNCTION("""COMPUTED_VALUE"""),"ANGOLA ")</f>
        <v>ANGOLA </v>
      </c>
      <c r="B252" s="8">
        <f>IFERROR(__xludf.DUMMYFUNCTION("""COMPUTED_VALUE"""),10.0)</f>
        <v>10</v>
      </c>
      <c r="C252" s="7" t="str">
        <f>IFERROR(__xludf.DUMMYFUNCTION("""COMPUTED_VALUE"""),"B_01_09")</f>
        <v>B_01_09</v>
      </c>
      <c r="D252" s="7" t="str">
        <f>IFERROR(__xludf.DUMMYFUNCTION("""COMPUTED_VALUE"""),"Q26b.")</f>
        <v>Q26b.</v>
      </c>
      <c r="E252" s="7" t="str">
        <f>IFERROR(__xludf.DUMMYFUNCTION("""COMPUTED_VALUE"""),"President monitored by parliament vs free to act on own")</f>
        <v>President monitored by parliament vs free to act on own</v>
      </c>
      <c r="F252" s="7" t="str">
        <f>IFERROR(__xludf.DUMMYFUNCTION("""COMPUTED_VALUE"""),"President/He vs National Assembly")</f>
        <v>President/He vs National Assembly</v>
      </c>
    </row>
    <row r="253">
      <c r="A253" s="7" t="str">
        <f>IFERROR(__xludf.DUMMYFUNCTION("""COMPUTED_VALUE"""),"BENIN")</f>
        <v>BENIN</v>
      </c>
      <c r="B253" s="8">
        <f>IFERROR(__xludf.DUMMYFUNCTION("""COMPUTED_VALUE"""),10.0)</f>
        <v>10</v>
      </c>
      <c r="C253" s="7" t="str">
        <f>IFERROR(__xludf.DUMMYFUNCTION("""COMPUTED_VALUE"""),"B_01_09")</f>
        <v>B_01_09</v>
      </c>
      <c r="D253" s="7" t="str">
        <f>IFERROR(__xludf.DUMMYFUNCTION("""COMPUTED_VALUE"""),"Q26b.")</f>
        <v>Q26b.</v>
      </c>
      <c r="E253" s="7" t="str">
        <f>IFERROR(__xludf.DUMMYFUNCTION("""COMPUTED_VALUE"""),"President monitored by parliament vs free to act on own")</f>
        <v>President monitored by parliament vs free to act on own</v>
      </c>
      <c r="F253" s="7" t="str">
        <f>IFERROR(__xludf.DUMMYFUNCTION("""COMPUTED_VALUE"""),"President/He vs National Assembly")</f>
        <v>President/He vs National Assembly</v>
      </c>
    </row>
    <row r="254">
      <c r="A254" s="7" t="str">
        <f>IFERROR(__xludf.DUMMYFUNCTION("""COMPUTED_VALUE"""),"BOTSWANA ")</f>
        <v>BOTSWANA </v>
      </c>
      <c r="B254" s="8">
        <f>IFERROR(__xludf.DUMMYFUNCTION("""COMPUTED_VALUE"""),10.0)</f>
        <v>10</v>
      </c>
      <c r="C254" s="7" t="str">
        <f>IFERROR(__xludf.DUMMYFUNCTION("""COMPUTED_VALUE"""),"B_01_09")</f>
        <v>B_01_09</v>
      </c>
      <c r="D254" s="7" t="str">
        <f>IFERROR(__xludf.DUMMYFUNCTION("""COMPUTED_VALUE"""),"Q26b.")</f>
        <v>Q26b.</v>
      </c>
      <c r="E254" s="7" t="str">
        <f>IFERROR(__xludf.DUMMYFUNCTION("""COMPUTED_VALUE"""),"President monitored by parliament vs free to act on own")</f>
        <v>President monitored by parliament vs free to act on own</v>
      </c>
      <c r="F254" s="7" t="str">
        <f>IFERROR(__xludf.DUMMYFUNCTION("""COMPUTED_VALUE"""),"President/He vs Parliament")</f>
        <v>President/He vs Parliament</v>
      </c>
    </row>
    <row r="255">
      <c r="A255" s="7" t="str">
        <f>IFERROR(__xludf.DUMMYFUNCTION("""COMPUTED_VALUE"""),"CABO VERDE ")</f>
        <v>CABO VERDE </v>
      </c>
      <c r="B255" s="8">
        <f>IFERROR(__xludf.DUMMYFUNCTION("""COMPUTED_VALUE"""),10.0)</f>
        <v>10</v>
      </c>
      <c r="C255" s="7" t="str">
        <f>IFERROR(__xludf.DUMMYFUNCTION("""COMPUTED_VALUE"""),"B_01_09")</f>
        <v>B_01_09</v>
      </c>
      <c r="D255" s="7" t="str">
        <f>IFERROR(__xludf.DUMMYFUNCTION("""COMPUTED_VALUE"""),"Q26b.")</f>
        <v>Q26b.</v>
      </c>
      <c r="E255" s="7" t="str">
        <f>IFERROR(__xludf.DUMMYFUNCTION("""COMPUTED_VALUE"""),"President monitored by parliament vs free to act on own")</f>
        <v>President monitored by parliament vs free to act on own</v>
      </c>
      <c r="F255" s="7" t="str">
        <f>IFERROR(__xludf.DUMMYFUNCTION("""COMPUTED_VALUE"""),"Prime-Minister/He vs National Assembly")</f>
        <v>Prime-Minister/He vs National Assembly</v>
      </c>
    </row>
    <row r="256">
      <c r="A256" s="7" t="str">
        <f>IFERROR(__xludf.DUMMYFUNCTION("""COMPUTED_VALUE"""),"CAMEROON")</f>
        <v>CAMEROON</v>
      </c>
      <c r="B256" s="8">
        <f>IFERROR(__xludf.DUMMYFUNCTION("""COMPUTED_VALUE"""),10.0)</f>
        <v>10</v>
      </c>
      <c r="C256" s="7" t="str">
        <f>IFERROR(__xludf.DUMMYFUNCTION("""COMPUTED_VALUE"""),"B_01_09")</f>
        <v>B_01_09</v>
      </c>
      <c r="D256" s="7" t="str">
        <f>IFERROR(__xludf.DUMMYFUNCTION("""COMPUTED_VALUE"""),"Q26b.")</f>
        <v>Q26b.</v>
      </c>
      <c r="E256" s="7" t="str">
        <f>IFERROR(__xludf.DUMMYFUNCTION("""COMPUTED_VALUE"""),"President monitored by parliament vs free to act on own")</f>
        <v>President monitored by parliament vs free to act on own</v>
      </c>
      <c r="F256" s="7" t="str">
        <f>IFERROR(__xludf.DUMMYFUNCTION("""COMPUTED_VALUE"""),"President/He vs National Assembly")</f>
        <v>President/He vs National Assembly</v>
      </c>
    </row>
    <row r="257">
      <c r="A257" s="7" t="str">
        <f>IFERROR(__xludf.DUMMYFUNCTION("""COMPUTED_VALUE"""),"CHAD")</f>
        <v>CHAD</v>
      </c>
      <c r="B257" s="8">
        <f>IFERROR(__xludf.DUMMYFUNCTION("""COMPUTED_VALUE"""),10.0)</f>
        <v>10</v>
      </c>
      <c r="C257" s="7" t="str">
        <f>IFERROR(__xludf.DUMMYFUNCTION("""COMPUTED_VALUE"""),"B_01_09")</f>
        <v>B_01_09</v>
      </c>
      <c r="D257" s="7" t="str">
        <f>IFERROR(__xludf.DUMMYFUNCTION("""COMPUTED_VALUE"""),"Q26b.")</f>
        <v>Q26b.</v>
      </c>
      <c r="E257" s="7" t="str">
        <f>IFERROR(__xludf.DUMMYFUNCTION("""COMPUTED_VALUE"""),"President monitored by parliament vs free to act on own")</f>
        <v>President monitored by parliament vs free to act on own</v>
      </c>
      <c r="F257" s="7" t="str">
        <f>IFERROR(__xludf.DUMMYFUNCTION("""COMPUTED_VALUE"""),"President/He vs National Assembly")</f>
        <v>President/He vs National Assembly</v>
      </c>
    </row>
    <row r="258">
      <c r="A258" s="7" t="str">
        <f>IFERROR(__xludf.DUMMYFUNCTION("""COMPUTED_VALUE"""),"COMOROS")</f>
        <v>COMOROS</v>
      </c>
      <c r="B258" s="8">
        <f>IFERROR(__xludf.DUMMYFUNCTION("""COMPUTED_VALUE"""),10.0)</f>
        <v>10</v>
      </c>
      <c r="C258" s="7" t="str">
        <f>IFERROR(__xludf.DUMMYFUNCTION("""COMPUTED_VALUE"""),"B_01_09")</f>
        <v>B_01_09</v>
      </c>
      <c r="D258" s="7" t="str">
        <f>IFERROR(__xludf.DUMMYFUNCTION("""COMPUTED_VALUE"""),"Q26b.")</f>
        <v>Q26b.</v>
      </c>
      <c r="E258" s="7" t="str">
        <f>IFERROR(__xludf.DUMMYFUNCTION("""COMPUTED_VALUE"""),"President monitored by parliament vs free to act on own")</f>
        <v>President monitored by parliament vs free to act on own</v>
      </c>
      <c r="F258" s="7" t="str">
        <f>IFERROR(__xludf.DUMMYFUNCTION("""COMPUTED_VALUE"""),"President/He vs National Assembly")</f>
        <v>President/He vs National Assembly</v>
      </c>
    </row>
    <row r="259">
      <c r="A259" s="7" t="str">
        <f>IFERROR(__xludf.DUMMYFUNCTION("""COMPUTED_VALUE"""),"CONGO BRAZZAVILLE")</f>
        <v>CONGO BRAZZAVILLE</v>
      </c>
      <c r="B259" s="8">
        <f>IFERROR(__xludf.DUMMYFUNCTION("""COMPUTED_VALUE"""),10.0)</f>
        <v>10</v>
      </c>
      <c r="C259" s="7" t="str">
        <f>IFERROR(__xludf.DUMMYFUNCTION("""COMPUTED_VALUE"""),"B_01_09")</f>
        <v>B_01_09</v>
      </c>
      <c r="D259" s="7" t="str">
        <f>IFERROR(__xludf.DUMMYFUNCTION("""COMPUTED_VALUE"""),"Q26b.")</f>
        <v>Q26b.</v>
      </c>
      <c r="E259" s="7" t="str">
        <f>IFERROR(__xludf.DUMMYFUNCTION("""COMPUTED_VALUE"""),"President monitored by parliament vs free to act on own")</f>
        <v>President monitored by parliament vs free to act on own</v>
      </c>
      <c r="F259" s="7" t="str">
        <f>IFERROR(__xludf.DUMMYFUNCTION("""COMPUTED_VALUE"""),"President/He vs National Assembly")</f>
        <v>President/He vs National Assembly</v>
      </c>
    </row>
    <row r="260">
      <c r="A260" s="7" t="str">
        <f>IFERROR(__xludf.DUMMYFUNCTION("""COMPUTED_VALUE"""),"COTE D'IVOIRE")</f>
        <v>COTE D'IVOIRE</v>
      </c>
      <c r="B260" s="8">
        <f>IFERROR(__xludf.DUMMYFUNCTION("""COMPUTED_VALUE"""),10.0)</f>
        <v>10</v>
      </c>
      <c r="C260" s="7" t="str">
        <f>IFERROR(__xludf.DUMMYFUNCTION("""COMPUTED_VALUE"""),"B_01_09")</f>
        <v>B_01_09</v>
      </c>
      <c r="D260" s="7" t="str">
        <f>IFERROR(__xludf.DUMMYFUNCTION("""COMPUTED_VALUE"""),"Q26b.")</f>
        <v>Q26b.</v>
      </c>
      <c r="E260" s="7" t="str">
        <f>IFERROR(__xludf.DUMMYFUNCTION("""COMPUTED_VALUE"""),"President monitored by parliament vs free to act on own")</f>
        <v>President monitored by parliament vs free to act on own</v>
      </c>
      <c r="F260" s="7" t="str">
        <f>IFERROR(__xludf.DUMMYFUNCTION("""COMPUTED_VALUE"""),"President/He vs National Assembly")</f>
        <v>President/He vs National Assembly</v>
      </c>
    </row>
    <row r="261">
      <c r="A261" s="7" t="str">
        <f>IFERROR(__xludf.DUMMYFUNCTION("""COMPUTED_VALUE"""),"ESWATINI")</f>
        <v>ESWATINI</v>
      </c>
      <c r="B261" s="8">
        <f>IFERROR(__xludf.DUMMYFUNCTION("""COMPUTED_VALUE"""),10.0)</f>
        <v>10</v>
      </c>
      <c r="C261" s="7" t="str">
        <f>IFERROR(__xludf.DUMMYFUNCTION("""COMPUTED_VALUE"""),"B_01_09")</f>
        <v>B_01_09</v>
      </c>
      <c r="D261" s="7" t="str">
        <f>IFERROR(__xludf.DUMMYFUNCTION("""COMPUTED_VALUE"""),"Q26b.")</f>
        <v>Q26b.</v>
      </c>
      <c r="E261" s="7" t="str">
        <f>IFERROR(__xludf.DUMMYFUNCTION("""COMPUTED_VALUE"""),"President monitored by parliament vs free to act on own")</f>
        <v>President monitored by parliament vs free to act on own</v>
      </c>
      <c r="F261" s="7" t="str">
        <f>IFERROR(__xludf.DUMMYFUNCTION("""COMPUTED_VALUE"""),"Prime-Minister/He vs Parliament")</f>
        <v>Prime-Minister/He vs Parliament</v>
      </c>
    </row>
    <row r="262">
      <c r="A262" s="7" t="str">
        <f>IFERROR(__xludf.DUMMYFUNCTION("""COMPUTED_VALUE"""),"GABON")</f>
        <v>GABON</v>
      </c>
      <c r="B262" s="8">
        <f>IFERROR(__xludf.DUMMYFUNCTION("""COMPUTED_VALUE"""),10.0)</f>
        <v>10</v>
      </c>
      <c r="C262" s="7" t="str">
        <f>IFERROR(__xludf.DUMMYFUNCTION("""COMPUTED_VALUE"""),"B_01_09")</f>
        <v>B_01_09</v>
      </c>
      <c r="D262" s="7" t="str">
        <f>IFERROR(__xludf.DUMMYFUNCTION("""COMPUTED_VALUE"""),"Q26b.")</f>
        <v>Q26b.</v>
      </c>
      <c r="E262" s="7" t="str">
        <f>IFERROR(__xludf.DUMMYFUNCTION("""COMPUTED_VALUE"""),"President monitored by parliament vs free to act on own")</f>
        <v>President monitored by parliament vs free to act on own</v>
      </c>
      <c r="F262" s="7" t="str">
        <f>IFERROR(__xludf.DUMMYFUNCTION("""COMPUTED_VALUE"""),"President/He vs National Assembly")</f>
        <v>President/He vs National Assembly</v>
      </c>
    </row>
    <row r="263">
      <c r="A263" s="7" t="str">
        <f>IFERROR(__xludf.DUMMYFUNCTION("""COMPUTED_VALUE"""),"GAMBIA")</f>
        <v>GAMBIA</v>
      </c>
      <c r="B263" s="8">
        <f>IFERROR(__xludf.DUMMYFUNCTION("""COMPUTED_VALUE"""),10.0)</f>
        <v>10</v>
      </c>
      <c r="C263" s="7" t="str">
        <f>IFERROR(__xludf.DUMMYFUNCTION("""COMPUTED_VALUE"""),"B_01_09")</f>
        <v>B_01_09</v>
      </c>
      <c r="D263" s="7" t="str">
        <f>IFERROR(__xludf.DUMMYFUNCTION("""COMPUTED_VALUE"""),"Q26b.")</f>
        <v>Q26b.</v>
      </c>
      <c r="E263" s="7" t="str">
        <f>IFERROR(__xludf.DUMMYFUNCTION("""COMPUTED_VALUE"""),"President monitored by parliament vs free to act on own")</f>
        <v>President monitored by parliament vs free to act on own</v>
      </c>
      <c r="F263" s="7" t="str">
        <f>IFERROR(__xludf.DUMMYFUNCTION("""COMPUTED_VALUE"""),"President/He vs National Assembly")</f>
        <v>President/He vs National Assembly</v>
      </c>
    </row>
    <row r="264">
      <c r="A264" s="7" t="str">
        <f>IFERROR(__xludf.DUMMYFUNCTION("""COMPUTED_VALUE"""),"GHANA ")</f>
        <v>GHANA </v>
      </c>
      <c r="B264" s="8">
        <f>IFERROR(__xludf.DUMMYFUNCTION("""COMPUTED_VALUE"""),10.0)</f>
        <v>10</v>
      </c>
      <c r="C264" s="7" t="str">
        <f>IFERROR(__xludf.DUMMYFUNCTION("""COMPUTED_VALUE"""),"B_01_09")</f>
        <v>B_01_09</v>
      </c>
      <c r="D264" s="7" t="str">
        <f>IFERROR(__xludf.DUMMYFUNCTION("""COMPUTED_VALUE"""),"Q26b.")</f>
        <v>Q26b.</v>
      </c>
      <c r="E264" s="7" t="str">
        <f>IFERROR(__xludf.DUMMYFUNCTION("""COMPUTED_VALUE"""),"President monitored by parliament vs free to act on own")</f>
        <v>President monitored by parliament vs free to act on own</v>
      </c>
      <c r="F264" s="7" t="str">
        <f>IFERROR(__xludf.DUMMYFUNCTION("""COMPUTED_VALUE"""),"President/He vs Parliament")</f>
        <v>President/He vs Parliament</v>
      </c>
    </row>
    <row r="265">
      <c r="A265" s="7" t="str">
        <f>IFERROR(__xludf.DUMMYFUNCTION("""COMPUTED_VALUE"""),"GUINEA")</f>
        <v>GUINEA</v>
      </c>
      <c r="B265" s="8">
        <f>IFERROR(__xludf.DUMMYFUNCTION("""COMPUTED_VALUE"""),10.0)</f>
        <v>10</v>
      </c>
      <c r="C265" s="7" t="str">
        <f>IFERROR(__xludf.DUMMYFUNCTION("""COMPUTED_VALUE"""),"B_01_09")</f>
        <v>B_01_09</v>
      </c>
      <c r="D265" s="7" t="str">
        <f>IFERROR(__xludf.DUMMYFUNCTION("""COMPUTED_VALUE"""),"Q26b.")</f>
        <v>Q26b.</v>
      </c>
      <c r="E265" s="7" t="str">
        <f>IFERROR(__xludf.DUMMYFUNCTION("""COMPUTED_VALUE"""),"President monitored by parliament vs free to act on own")</f>
        <v>President monitored by parliament vs free to act on own</v>
      </c>
      <c r="F265" s="7" t="str">
        <f>IFERROR(__xludf.DUMMYFUNCTION("""COMPUTED_VALUE"""),"President/He vs National Transition Council")</f>
        <v>President/He vs National Transition Council</v>
      </c>
    </row>
    <row r="266">
      <c r="A266" s="7" t="str">
        <f>IFERROR(__xludf.DUMMYFUNCTION("""COMPUTED_VALUE"""),"KENYA  ")</f>
        <v>KENYA  </v>
      </c>
      <c r="B266" s="8">
        <f>IFERROR(__xludf.DUMMYFUNCTION("""COMPUTED_VALUE"""),10.0)</f>
        <v>10</v>
      </c>
      <c r="C266" s="7" t="str">
        <f>IFERROR(__xludf.DUMMYFUNCTION("""COMPUTED_VALUE"""),"B_01_09")</f>
        <v>B_01_09</v>
      </c>
      <c r="D266" s="7" t="str">
        <f>IFERROR(__xludf.DUMMYFUNCTION("""COMPUTED_VALUE"""),"Q26b.")</f>
        <v>Q26b.</v>
      </c>
      <c r="E266" s="7" t="str">
        <f>IFERROR(__xludf.DUMMYFUNCTION("""COMPUTED_VALUE"""),"President monitored by parliament vs free to act on own")</f>
        <v>President monitored by parliament vs free to act on own</v>
      </c>
      <c r="F266" s="7" t="str">
        <f>IFERROR(__xludf.DUMMYFUNCTION("""COMPUTED_VALUE"""),"President/He vs Parliament")</f>
        <v>President/He vs Parliament</v>
      </c>
    </row>
    <row r="267">
      <c r="A267" s="7" t="str">
        <f>IFERROR(__xludf.DUMMYFUNCTION("""COMPUTED_VALUE"""),"LESOTHO ")</f>
        <v>LESOTHO </v>
      </c>
      <c r="B267" s="8">
        <f>IFERROR(__xludf.DUMMYFUNCTION("""COMPUTED_VALUE"""),10.0)</f>
        <v>10</v>
      </c>
      <c r="C267" s="7" t="str">
        <f>IFERROR(__xludf.DUMMYFUNCTION("""COMPUTED_VALUE"""),"B_01_09")</f>
        <v>B_01_09</v>
      </c>
      <c r="D267" s="7" t="str">
        <f>IFERROR(__xludf.DUMMYFUNCTION("""COMPUTED_VALUE"""),"Q26b.")</f>
        <v>Q26b.</v>
      </c>
      <c r="E267" s="7" t="str">
        <f>IFERROR(__xludf.DUMMYFUNCTION("""COMPUTED_VALUE"""),"President monitored by parliament vs free to act on own")</f>
        <v>President monitored by parliament vs free to act on own</v>
      </c>
      <c r="F267" s="7" t="str">
        <f>IFERROR(__xludf.DUMMYFUNCTION("""COMPUTED_VALUE"""),"Prime Minister/He vs Parliament")</f>
        <v>Prime Minister/He vs Parliament</v>
      </c>
    </row>
    <row r="268">
      <c r="A268" s="7" t="str">
        <f>IFERROR(__xludf.DUMMYFUNCTION("""COMPUTED_VALUE"""),"LIBERIA  ")</f>
        <v>LIBERIA  </v>
      </c>
      <c r="B268" s="8">
        <f>IFERROR(__xludf.DUMMYFUNCTION("""COMPUTED_VALUE"""),10.0)</f>
        <v>10</v>
      </c>
      <c r="C268" s="7" t="str">
        <f>IFERROR(__xludf.DUMMYFUNCTION("""COMPUTED_VALUE"""),"B_01_09")</f>
        <v>B_01_09</v>
      </c>
      <c r="D268" s="7" t="str">
        <f>IFERROR(__xludf.DUMMYFUNCTION("""COMPUTED_VALUE"""),"Q26b.")</f>
        <v>Q26b.</v>
      </c>
      <c r="E268" s="7" t="str">
        <f>IFERROR(__xludf.DUMMYFUNCTION("""COMPUTED_VALUE"""),"President monitored by parliament vs free to act on own")</f>
        <v>President monitored by parliament vs free to act on own</v>
      </c>
      <c r="F268" s="7" t="str">
        <f>IFERROR(__xludf.DUMMYFUNCTION("""COMPUTED_VALUE"""),"President/He vs National Legislature")</f>
        <v>President/He vs National Legislature</v>
      </c>
    </row>
    <row r="269">
      <c r="A269" s="7" t="str">
        <f>IFERROR(__xludf.DUMMYFUNCTION("""COMPUTED_VALUE"""),"MADAGASCAR")</f>
        <v>MADAGASCAR</v>
      </c>
      <c r="B269" s="8">
        <f>IFERROR(__xludf.DUMMYFUNCTION("""COMPUTED_VALUE"""),10.0)</f>
        <v>10</v>
      </c>
      <c r="C269" s="7" t="str">
        <f>IFERROR(__xludf.DUMMYFUNCTION("""COMPUTED_VALUE"""),"B_01_09")</f>
        <v>B_01_09</v>
      </c>
      <c r="D269" s="7" t="str">
        <f>IFERROR(__xludf.DUMMYFUNCTION("""COMPUTED_VALUE"""),"Q26b.")</f>
        <v>Q26b.</v>
      </c>
      <c r="E269" s="7" t="str">
        <f>IFERROR(__xludf.DUMMYFUNCTION("""COMPUTED_VALUE"""),"President monitored by parliament vs free to act on own")</f>
        <v>President monitored by parliament vs free to act on own</v>
      </c>
      <c r="F269" s="7" t="str">
        <f>IFERROR(__xludf.DUMMYFUNCTION("""COMPUTED_VALUE"""),"President/He vs National Assembly")</f>
        <v>President/He vs National Assembly</v>
      </c>
    </row>
    <row r="270">
      <c r="A270" s="7" t="str">
        <f>IFERROR(__xludf.DUMMYFUNCTION("""COMPUTED_VALUE"""),"MALAWI ")</f>
        <v>MALAWI </v>
      </c>
      <c r="B270" s="8">
        <f>IFERROR(__xludf.DUMMYFUNCTION("""COMPUTED_VALUE"""),10.0)</f>
        <v>10</v>
      </c>
      <c r="C270" s="7" t="str">
        <f>IFERROR(__xludf.DUMMYFUNCTION("""COMPUTED_VALUE"""),"B_01_09")</f>
        <v>B_01_09</v>
      </c>
      <c r="D270" s="7" t="str">
        <f>IFERROR(__xludf.DUMMYFUNCTION("""COMPUTED_VALUE"""),"Q26b.")</f>
        <v>Q26b.</v>
      </c>
      <c r="E270" s="7" t="str">
        <f>IFERROR(__xludf.DUMMYFUNCTION("""COMPUTED_VALUE"""),"President monitored by parliament vs free to act on own")</f>
        <v>President monitored by parliament vs free to act on own</v>
      </c>
      <c r="F270" s="7" t="str">
        <f>IFERROR(__xludf.DUMMYFUNCTION("""COMPUTED_VALUE"""),"President/He vs Parliament")</f>
        <v>President/He vs Parliament</v>
      </c>
    </row>
    <row r="271">
      <c r="A271" s="7" t="str">
        <f>IFERROR(__xludf.DUMMYFUNCTION("""COMPUTED_VALUE"""),"MALI")</f>
        <v>MALI</v>
      </c>
      <c r="B271" s="8">
        <f>IFERROR(__xludf.DUMMYFUNCTION("""COMPUTED_VALUE"""),10.0)</f>
        <v>10</v>
      </c>
      <c r="C271" s="7" t="str">
        <f>IFERROR(__xludf.DUMMYFUNCTION("""COMPUTED_VALUE"""),"B_01_09")</f>
        <v>B_01_09</v>
      </c>
      <c r="D271" s="7" t="str">
        <f>IFERROR(__xludf.DUMMYFUNCTION("""COMPUTED_VALUE"""),"Q26b.")</f>
        <v>Q26b.</v>
      </c>
      <c r="E271" s="7" t="str">
        <f>IFERROR(__xludf.DUMMYFUNCTION("""COMPUTED_VALUE"""),"President monitored by parliament vs free to act on own")</f>
        <v>President monitored by parliament vs free to act on own</v>
      </c>
      <c r="F271" s="7" t="str">
        <f>IFERROR(__xludf.DUMMYFUNCTION("""COMPUTED_VALUE"""),"President/He vs National Transition Council")</f>
        <v>President/He vs National Transition Council</v>
      </c>
    </row>
    <row r="272">
      <c r="A272" s="7" t="str">
        <f>IFERROR(__xludf.DUMMYFUNCTION("""COMPUTED_VALUE"""),"MAURITANIA")</f>
        <v>MAURITANIA</v>
      </c>
      <c r="B272" s="8">
        <f>IFERROR(__xludf.DUMMYFUNCTION("""COMPUTED_VALUE"""),10.0)</f>
        <v>10</v>
      </c>
      <c r="C272" s="7" t="str">
        <f>IFERROR(__xludf.DUMMYFUNCTION("""COMPUTED_VALUE"""),"B_01_09")</f>
        <v>B_01_09</v>
      </c>
      <c r="D272" s="7" t="str">
        <f>IFERROR(__xludf.DUMMYFUNCTION("""COMPUTED_VALUE"""),"Q26b.")</f>
        <v>Q26b.</v>
      </c>
      <c r="E272" s="7" t="str">
        <f>IFERROR(__xludf.DUMMYFUNCTION("""COMPUTED_VALUE"""),"President monitored by parliament vs free to act on own")</f>
        <v>President monitored by parliament vs free to act on own</v>
      </c>
      <c r="F272" s="7" t="str">
        <f>IFERROR(__xludf.DUMMYFUNCTION("""COMPUTED_VALUE"""),"President/He vs National Assembly")</f>
        <v>President/He vs National Assembly</v>
      </c>
    </row>
    <row r="273">
      <c r="A273" s="7" t="str">
        <f>IFERROR(__xludf.DUMMYFUNCTION("""COMPUTED_VALUE"""),"MAURITIUS")</f>
        <v>MAURITIUS</v>
      </c>
      <c r="B273" s="8">
        <f>IFERROR(__xludf.DUMMYFUNCTION("""COMPUTED_VALUE"""),10.0)</f>
        <v>10</v>
      </c>
      <c r="C273" s="7" t="str">
        <f>IFERROR(__xludf.DUMMYFUNCTION("""COMPUTED_VALUE"""),"B_01_09")</f>
        <v>B_01_09</v>
      </c>
      <c r="D273" s="7" t="str">
        <f>IFERROR(__xludf.DUMMYFUNCTION("""COMPUTED_VALUE"""),"Q26b.")</f>
        <v>Q26b.</v>
      </c>
      <c r="E273" s="7" t="str">
        <f>IFERROR(__xludf.DUMMYFUNCTION("""COMPUTED_VALUE"""),"President monitored by parliament vs free to act on own")</f>
        <v>President monitored by parliament vs free to act on own</v>
      </c>
      <c r="F273" s="7" t="str">
        <f>IFERROR(__xludf.DUMMYFUNCTION("""COMPUTED_VALUE"""),"Prime Minister/He vs Members of the National Assembly")</f>
        <v>Prime Minister/He vs Members of the National Assembly</v>
      </c>
    </row>
    <row r="274">
      <c r="A274" s="7" t="str">
        <f>IFERROR(__xludf.DUMMYFUNCTION("""COMPUTED_VALUE"""),"MOROCCO ")</f>
        <v>MOROCCO </v>
      </c>
      <c r="B274" s="8">
        <f>IFERROR(__xludf.DUMMYFUNCTION("""COMPUTED_VALUE"""),10.0)</f>
        <v>10</v>
      </c>
      <c r="C274" s="7" t="str">
        <f>IFERROR(__xludf.DUMMYFUNCTION("""COMPUTED_VALUE"""),"B_01_09")</f>
        <v>B_01_09</v>
      </c>
      <c r="D274" s="7" t="str">
        <f>IFERROR(__xludf.DUMMYFUNCTION("""COMPUTED_VALUE"""),"Q26b.")</f>
        <v>Q26b.</v>
      </c>
      <c r="E274" s="7" t="str">
        <f>IFERROR(__xludf.DUMMYFUNCTION("""COMPUTED_VALUE"""),"President monitored by parliament vs free to act on own")</f>
        <v>President monitored by parliament vs free to act on own</v>
      </c>
      <c r="F274" s="7" t="str">
        <f>IFERROR(__xludf.DUMMYFUNCTION("""COMPUTED_VALUE"""),"President/He vs Parliament")</f>
        <v>President/He vs Parliament</v>
      </c>
    </row>
    <row r="275">
      <c r="A275" s="7" t="str">
        <f>IFERROR(__xludf.DUMMYFUNCTION("""COMPUTED_VALUE"""),"MOZAMBIQUE")</f>
        <v>MOZAMBIQUE</v>
      </c>
      <c r="B275" s="8">
        <f>IFERROR(__xludf.DUMMYFUNCTION("""COMPUTED_VALUE"""),10.0)</f>
        <v>10</v>
      </c>
      <c r="C275" s="7" t="str">
        <f>IFERROR(__xludf.DUMMYFUNCTION("""COMPUTED_VALUE"""),"B_01_09")</f>
        <v>B_01_09</v>
      </c>
      <c r="D275" s="7" t="str">
        <f>IFERROR(__xludf.DUMMYFUNCTION("""COMPUTED_VALUE"""),"Q26b.")</f>
        <v>Q26b.</v>
      </c>
      <c r="E275" s="7" t="str">
        <f>IFERROR(__xludf.DUMMYFUNCTION("""COMPUTED_VALUE"""),"President monitored by parliament vs free to act on own")</f>
        <v>President monitored by parliament vs free to act on own</v>
      </c>
      <c r="F275" s="7" t="str">
        <f>IFERROR(__xludf.DUMMYFUNCTION("""COMPUTED_VALUE"""),"President/He vs Parliament")</f>
        <v>President/He vs Parliament</v>
      </c>
    </row>
    <row r="276">
      <c r="A276" s="7" t="str">
        <f>IFERROR(__xludf.DUMMYFUNCTION("""COMPUTED_VALUE"""),"NAMIBIA ")</f>
        <v>NAMIBIA </v>
      </c>
      <c r="B276" s="8">
        <f>IFERROR(__xludf.DUMMYFUNCTION("""COMPUTED_VALUE"""),10.0)</f>
        <v>10</v>
      </c>
      <c r="C276" s="7" t="str">
        <f>IFERROR(__xludf.DUMMYFUNCTION("""COMPUTED_VALUE"""),"B_01_09")</f>
        <v>B_01_09</v>
      </c>
      <c r="D276" s="7" t="str">
        <f>IFERROR(__xludf.DUMMYFUNCTION("""COMPUTED_VALUE"""),"Q26b.")</f>
        <v>Q26b.</v>
      </c>
      <c r="E276" s="7" t="str">
        <f>IFERROR(__xludf.DUMMYFUNCTION("""COMPUTED_VALUE"""),"President monitored by parliament vs free to act on own")</f>
        <v>President monitored by parliament vs free to act on own</v>
      </c>
      <c r="F276" s="7" t="str">
        <f>IFERROR(__xludf.DUMMYFUNCTION("""COMPUTED_VALUE"""),"President/He vs National Assembly")</f>
        <v>President/He vs National Assembly</v>
      </c>
    </row>
    <row r="277">
      <c r="A277" s="7" t="str">
        <f>IFERROR(__xludf.DUMMYFUNCTION("""COMPUTED_VALUE"""),"NIGERIA ")</f>
        <v>NIGERIA </v>
      </c>
      <c r="B277" s="8">
        <f>IFERROR(__xludf.DUMMYFUNCTION("""COMPUTED_VALUE"""),10.0)</f>
        <v>10</v>
      </c>
      <c r="C277" s="7" t="str">
        <f>IFERROR(__xludf.DUMMYFUNCTION("""COMPUTED_VALUE"""),"B_01_09")</f>
        <v>B_01_09</v>
      </c>
      <c r="D277" s="7" t="str">
        <f>IFERROR(__xludf.DUMMYFUNCTION("""COMPUTED_VALUE"""),"Q26b.")</f>
        <v>Q26b.</v>
      </c>
      <c r="E277" s="7" t="str">
        <f>IFERROR(__xludf.DUMMYFUNCTION("""COMPUTED_VALUE"""),"President monitored by parliament vs free to act on own")</f>
        <v>President monitored by parliament vs free to act on own</v>
      </c>
      <c r="F277" s="7" t="str">
        <f>IFERROR(__xludf.DUMMYFUNCTION("""COMPUTED_VALUE"""),"President/He vs National Assembly")</f>
        <v>President/He vs National Assembly</v>
      </c>
    </row>
    <row r="278">
      <c r="A278" s="7" t="str">
        <f>IFERROR(__xludf.DUMMYFUNCTION("""COMPUTED_VALUE"""),"SAO TOME AND PRINCIPE")</f>
        <v>SAO TOME AND PRINCIPE</v>
      </c>
      <c r="B278" s="8">
        <f>IFERROR(__xludf.DUMMYFUNCTION("""COMPUTED_VALUE"""),10.0)</f>
        <v>10</v>
      </c>
      <c r="C278" s="7" t="str">
        <f>IFERROR(__xludf.DUMMYFUNCTION("""COMPUTED_VALUE"""),"B_01_09")</f>
        <v>B_01_09</v>
      </c>
      <c r="D278" s="7" t="str">
        <f>IFERROR(__xludf.DUMMYFUNCTION("""COMPUTED_VALUE"""),"Q26b.")</f>
        <v>Q26b.</v>
      </c>
      <c r="E278" s="7" t="str">
        <f>IFERROR(__xludf.DUMMYFUNCTION("""COMPUTED_VALUE"""),"President monitored by parliament vs free to act on own")</f>
        <v>President monitored by parliament vs free to act on own</v>
      </c>
      <c r="F278" s="7" t="str">
        <f>IFERROR(__xludf.DUMMYFUNCTION("""COMPUTED_VALUE"""),"Prime Minister/He vs National Assembly")</f>
        <v>Prime Minister/He vs National Assembly</v>
      </c>
    </row>
    <row r="279">
      <c r="A279" s="7" t="str">
        <f>IFERROR(__xludf.DUMMYFUNCTION("""COMPUTED_VALUE"""),"SENEGAL")</f>
        <v>SENEGAL</v>
      </c>
      <c r="B279" s="8">
        <f>IFERROR(__xludf.DUMMYFUNCTION("""COMPUTED_VALUE"""),10.0)</f>
        <v>10</v>
      </c>
      <c r="C279" s="7" t="str">
        <f>IFERROR(__xludf.DUMMYFUNCTION("""COMPUTED_VALUE"""),"B_01_09")</f>
        <v>B_01_09</v>
      </c>
      <c r="D279" s="7" t="str">
        <f>IFERROR(__xludf.DUMMYFUNCTION("""COMPUTED_VALUE"""),"Q26b.")</f>
        <v>Q26b.</v>
      </c>
      <c r="E279" s="7" t="str">
        <f>IFERROR(__xludf.DUMMYFUNCTION("""COMPUTED_VALUE"""),"President monitored by parliament vs free to act on own")</f>
        <v>President monitored by parliament vs free to act on own</v>
      </c>
      <c r="F279" s="7" t="str">
        <f>IFERROR(__xludf.DUMMYFUNCTION("""COMPUTED_VALUE"""),"President/He vs Parliament")</f>
        <v>President/He vs Parliament</v>
      </c>
    </row>
    <row r="280">
      <c r="A280" s="7" t="str">
        <f>IFERROR(__xludf.DUMMYFUNCTION("""COMPUTED_VALUE"""),"SEYCHELLES")</f>
        <v>SEYCHELLES</v>
      </c>
      <c r="B280" s="8">
        <f>IFERROR(__xludf.DUMMYFUNCTION("""COMPUTED_VALUE"""),10.0)</f>
        <v>10</v>
      </c>
      <c r="C280" s="7" t="str">
        <f>IFERROR(__xludf.DUMMYFUNCTION("""COMPUTED_VALUE"""),"B_01_09")</f>
        <v>B_01_09</v>
      </c>
      <c r="D280" s="7" t="str">
        <f>IFERROR(__xludf.DUMMYFUNCTION("""COMPUTED_VALUE"""),"Q26b.")</f>
        <v>Q26b.</v>
      </c>
      <c r="E280" s="7" t="str">
        <f>IFERROR(__xludf.DUMMYFUNCTION("""COMPUTED_VALUE"""),"President monitored by parliament vs free to act on own")</f>
        <v>President monitored by parliament vs free to act on own</v>
      </c>
      <c r="F280" s="7" t="str">
        <f>IFERROR(__xludf.DUMMYFUNCTION("""COMPUTED_VALUE"""),"President/He vs National Assembly")</f>
        <v>President/He vs National Assembly</v>
      </c>
    </row>
    <row r="281">
      <c r="A281" s="7" t="str">
        <f>IFERROR(__xludf.DUMMYFUNCTION("""COMPUTED_VALUE"""),"SOUTH AFRICA")</f>
        <v>SOUTH AFRICA</v>
      </c>
      <c r="B281" s="8">
        <f>IFERROR(__xludf.DUMMYFUNCTION("""COMPUTED_VALUE"""),10.0)</f>
        <v>10</v>
      </c>
      <c r="C281" s="7" t="str">
        <f>IFERROR(__xludf.DUMMYFUNCTION("""COMPUTED_VALUE"""),"B_01_09")</f>
        <v>B_01_09</v>
      </c>
      <c r="D281" s="7" t="str">
        <f>IFERROR(__xludf.DUMMYFUNCTION("""COMPUTED_VALUE"""),"Q26b.")</f>
        <v>Q26b.</v>
      </c>
      <c r="E281" s="7" t="str">
        <f>IFERROR(__xludf.DUMMYFUNCTION("""COMPUTED_VALUE"""),"President monitored by parliament vs free to act on own")</f>
        <v>President monitored by parliament vs free to act on own</v>
      </c>
      <c r="F281" s="7" t="str">
        <f>IFERROR(__xludf.DUMMYFUNCTION("""COMPUTED_VALUE"""),"President/He vs Parliament")</f>
        <v>President/He vs Parliament</v>
      </c>
    </row>
    <row r="282">
      <c r="A282" s="7" t="str">
        <f>IFERROR(__xludf.DUMMYFUNCTION("""COMPUTED_VALUE"""),"TANZANIA")</f>
        <v>TANZANIA</v>
      </c>
      <c r="B282" s="8">
        <f>IFERROR(__xludf.DUMMYFUNCTION("""COMPUTED_VALUE"""),10.0)</f>
        <v>10</v>
      </c>
      <c r="C282" s="7" t="str">
        <f>IFERROR(__xludf.DUMMYFUNCTION("""COMPUTED_VALUE"""),"B_01_09")</f>
        <v>B_01_09</v>
      </c>
      <c r="D282" s="7" t="str">
        <f>IFERROR(__xludf.DUMMYFUNCTION("""COMPUTED_VALUE"""),"Q26b.")</f>
        <v>Q26b.</v>
      </c>
      <c r="E282" s="7" t="str">
        <f>IFERROR(__xludf.DUMMYFUNCTION("""COMPUTED_VALUE"""),"President monitored by parliament vs free to act on own")</f>
        <v>President monitored by parliament vs free to act on own</v>
      </c>
      <c r="F282" s="7" t="str">
        <f>IFERROR(__xludf.DUMMYFUNCTION("""COMPUTED_VALUE"""),"President/Her vs Parliament")</f>
        <v>President/Her vs Parliament</v>
      </c>
    </row>
    <row r="283">
      <c r="A283" s="7" t="str">
        <f>IFERROR(__xludf.DUMMYFUNCTION("""COMPUTED_VALUE"""),"TOGO ")</f>
        <v>TOGO </v>
      </c>
      <c r="B283" s="8">
        <f>IFERROR(__xludf.DUMMYFUNCTION("""COMPUTED_VALUE"""),10.0)</f>
        <v>10</v>
      </c>
      <c r="C283" s="7" t="str">
        <f>IFERROR(__xludf.DUMMYFUNCTION("""COMPUTED_VALUE"""),"B_01_09")</f>
        <v>B_01_09</v>
      </c>
      <c r="D283" s="7" t="str">
        <f>IFERROR(__xludf.DUMMYFUNCTION("""COMPUTED_VALUE"""),"Q26b.")</f>
        <v>Q26b.</v>
      </c>
      <c r="E283" s="7" t="str">
        <f>IFERROR(__xludf.DUMMYFUNCTION("""COMPUTED_VALUE"""),"President monitored by parliament vs free to act on own")</f>
        <v>President monitored by parliament vs free to act on own</v>
      </c>
      <c r="F283" s="7" t="str">
        <f>IFERROR(__xludf.DUMMYFUNCTION("""COMPUTED_VALUE"""),"President/He vs National Assembly")</f>
        <v>President/He vs National Assembly</v>
      </c>
    </row>
    <row r="284">
      <c r="A284" s="7" t="str">
        <f>IFERROR(__xludf.DUMMYFUNCTION("""COMPUTED_VALUE"""),"TUNISIA ")</f>
        <v>TUNISIA </v>
      </c>
      <c r="B284" s="8">
        <f>IFERROR(__xludf.DUMMYFUNCTION("""COMPUTED_VALUE"""),10.0)</f>
        <v>10</v>
      </c>
      <c r="C284" s="7" t="str">
        <f>IFERROR(__xludf.DUMMYFUNCTION("""COMPUTED_VALUE"""),"B_01_09")</f>
        <v>B_01_09</v>
      </c>
      <c r="D284" s="7" t="str">
        <f>IFERROR(__xludf.DUMMYFUNCTION("""COMPUTED_VALUE"""),"Q26b.")</f>
        <v>Q26b.</v>
      </c>
      <c r="E284" s="7" t="str">
        <f>IFERROR(__xludf.DUMMYFUNCTION("""COMPUTED_VALUE"""),"President monitored by parliament vs free to act on own")</f>
        <v>President monitored by parliament vs free to act on own</v>
      </c>
      <c r="F284" s="7" t="str">
        <f>IFERROR(__xludf.DUMMYFUNCTION("""COMPUTED_VALUE"""),"President/He vs The Assembly of the People’s Representatives")</f>
        <v>President/He vs The Assembly of the People’s Representatives</v>
      </c>
    </row>
    <row r="285">
      <c r="A285" s="7" t="str">
        <f>IFERROR(__xludf.DUMMYFUNCTION("""COMPUTED_VALUE"""),"UGANDA  ")</f>
        <v>UGANDA  </v>
      </c>
      <c r="B285" s="8">
        <f>IFERROR(__xludf.DUMMYFUNCTION("""COMPUTED_VALUE"""),10.0)</f>
        <v>10</v>
      </c>
      <c r="C285" s="7" t="str">
        <f>IFERROR(__xludf.DUMMYFUNCTION("""COMPUTED_VALUE"""),"B_01_09")</f>
        <v>B_01_09</v>
      </c>
      <c r="D285" s="7" t="str">
        <f>IFERROR(__xludf.DUMMYFUNCTION("""COMPUTED_VALUE"""),"Q26b.")</f>
        <v>Q26b.</v>
      </c>
      <c r="E285" s="7" t="str">
        <f>IFERROR(__xludf.DUMMYFUNCTION("""COMPUTED_VALUE"""),"President monitored by parliament vs free to act on own")</f>
        <v>President monitored by parliament vs free to act on own</v>
      </c>
      <c r="F285" s="7" t="str">
        <f>IFERROR(__xludf.DUMMYFUNCTION("""COMPUTED_VALUE"""),"President/He vs Parliament")</f>
        <v>President/He vs Parliament</v>
      </c>
    </row>
    <row r="286">
      <c r="A286" s="7" t="str">
        <f>IFERROR(__xludf.DUMMYFUNCTION("""COMPUTED_VALUE"""),"ZAMBIA")</f>
        <v>ZAMBIA</v>
      </c>
      <c r="B286" s="8">
        <f>IFERROR(__xludf.DUMMYFUNCTION("""COMPUTED_VALUE"""),10.0)</f>
        <v>10</v>
      </c>
      <c r="C286" s="7" t="str">
        <f>IFERROR(__xludf.DUMMYFUNCTION("""COMPUTED_VALUE"""),"B_01_09")</f>
        <v>B_01_09</v>
      </c>
      <c r="D286" s="7" t="str">
        <f>IFERROR(__xludf.DUMMYFUNCTION("""COMPUTED_VALUE"""),"Q26b.")</f>
        <v>Q26b.</v>
      </c>
      <c r="E286" s="7" t="str">
        <f>IFERROR(__xludf.DUMMYFUNCTION("""COMPUTED_VALUE"""),"President monitored by parliament vs free to act on own")</f>
        <v>President monitored by parliament vs free to act on own</v>
      </c>
      <c r="F286" s="7" t="str">
        <f>IFERROR(__xludf.DUMMYFUNCTION("""COMPUTED_VALUE"""),"President/He vs Parliament")</f>
        <v>President/He vs Parliament</v>
      </c>
    </row>
    <row r="287">
      <c r="A287" s="7" t="str">
        <f>IFERROR(__xludf.DUMMYFUNCTION("""COMPUTED_VALUE"""),"ZIMBABWE")</f>
        <v>ZIMBABWE</v>
      </c>
      <c r="B287" s="8">
        <f>IFERROR(__xludf.DUMMYFUNCTION("""COMPUTED_VALUE"""),10.0)</f>
        <v>10</v>
      </c>
      <c r="C287" s="7" t="str">
        <f>IFERROR(__xludf.DUMMYFUNCTION("""COMPUTED_VALUE"""),"B_01_09")</f>
        <v>B_01_09</v>
      </c>
      <c r="D287" s="7" t="str">
        <f>IFERROR(__xludf.DUMMYFUNCTION("""COMPUTED_VALUE"""),"Q26b.")</f>
        <v>Q26b.</v>
      </c>
      <c r="E287" s="7" t="str">
        <f>IFERROR(__xludf.DUMMYFUNCTION("""COMPUTED_VALUE"""),"President monitored by parliament vs free to act on own")</f>
        <v>President monitored by parliament vs free to act on own</v>
      </c>
      <c r="F287" s="7" t="str">
        <f>IFERROR(__xludf.DUMMYFUNCTION("""COMPUTED_VALUE"""),"President/He vs Parliament")</f>
        <v>President/He vs Parliament</v>
      </c>
    </row>
    <row r="288">
      <c r="A288" s="7" t="str">
        <f>IFERROR(__xludf.DUMMYFUNCTION("""COMPUTED_VALUE"""),"ANGOLA ")</f>
        <v>ANGOLA </v>
      </c>
      <c r="B288" s="8">
        <f>IFERROR(__xludf.DUMMYFUNCTION("""COMPUTED_VALUE"""),10.0)</f>
        <v>10</v>
      </c>
      <c r="C288" s="7" t="str">
        <f>IFERROR(__xludf.DUMMYFUNCTION("""COMPUTED_VALUE"""),"B_01_08")</f>
        <v>B_01_08</v>
      </c>
      <c r="D288" s="7" t="str">
        <f>IFERROR(__xludf.DUMMYFUNCTION("""COMPUTED_VALUE"""),"Q28.")</f>
        <v>Q28.</v>
      </c>
      <c r="E288" s="7" t="str">
        <f>IFERROR(__xludf.DUMMYFUNCTION("""COMPUTED_VALUE"""),"President free to act vs obey the laws and courts")</f>
        <v>President free to act vs obey the laws and courts</v>
      </c>
      <c r="F288" s="7" t="str">
        <f>IFERROR(__xludf.DUMMYFUNCTION("""COMPUTED_VALUE"""),"President/He")</f>
        <v>President/He</v>
      </c>
    </row>
    <row r="289">
      <c r="A289" s="7" t="str">
        <f>IFERROR(__xludf.DUMMYFUNCTION("""COMPUTED_VALUE"""),"BENIN")</f>
        <v>BENIN</v>
      </c>
      <c r="B289" s="8">
        <f>IFERROR(__xludf.DUMMYFUNCTION("""COMPUTED_VALUE"""),10.0)</f>
        <v>10</v>
      </c>
      <c r="C289" s="7" t="str">
        <f>IFERROR(__xludf.DUMMYFUNCTION("""COMPUTED_VALUE"""),"B_01_08")</f>
        <v>B_01_08</v>
      </c>
      <c r="D289" s="7" t="str">
        <f>IFERROR(__xludf.DUMMYFUNCTION("""COMPUTED_VALUE"""),"Q28.")</f>
        <v>Q28.</v>
      </c>
      <c r="E289" s="7" t="str">
        <f>IFERROR(__xludf.DUMMYFUNCTION("""COMPUTED_VALUE"""),"President free to act vs obey the laws and courts")</f>
        <v>President free to act vs obey the laws and courts</v>
      </c>
      <c r="F289" s="7" t="str">
        <f>IFERROR(__xludf.DUMMYFUNCTION("""COMPUTED_VALUE"""),"President/He")</f>
        <v>President/He</v>
      </c>
    </row>
    <row r="290">
      <c r="A290" s="7" t="str">
        <f>IFERROR(__xludf.DUMMYFUNCTION("""COMPUTED_VALUE"""),"BOTSWANA ")</f>
        <v>BOTSWANA </v>
      </c>
      <c r="B290" s="8">
        <f>IFERROR(__xludf.DUMMYFUNCTION("""COMPUTED_VALUE"""),10.0)</f>
        <v>10</v>
      </c>
      <c r="C290" s="7" t="str">
        <f>IFERROR(__xludf.DUMMYFUNCTION("""COMPUTED_VALUE"""),"B_01_08")</f>
        <v>B_01_08</v>
      </c>
      <c r="D290" s="7" t="str">
        <f>IFERROR(__xludf.DUMMYFUNCTION("""COMPUTED_VALUE"""),"Q28.")</f>
        <v>Q28.</v>
      </c>
      <c r="E290" s="7" t="str">
        <f>IFERROR(__xludf.DUMMYFUNCTION("""COMPUTED_VALUE"""),"President free to act vs obey the laws and courts")</f>
        <v>President free to act vs obey the laws and courts</v>
      </c>
      <c r="F290" s="7" t="str">
        <f>IFERROR(__xludf.DUMMYFUNCTION("""COMPUTED_VALUE"""),"President/He")</f>
        <v>President/He</v>
      </c>
    </row>
    <row r="291">
      <c r="A291" s="7" t="str">
        <f>IFERROR(__xludf.DUMMYFUNCTION("""COMPUTED_VALUE"""),"CABO VERDE ")</f>
        <v>CABO VERDE </v>
      </c>
      <c r="B291" s="8">
        <f>IFERROR(__xludf.DUMMYFUNCTION("""COMPUTED_VALUE"""),10.0)</f>
        <v>10</v>
      </c>
      <c r="C291" s="7" t="str">
        <f>IFERROR(__xludf.DUMMYFUNCTION("""COMPUTED_VALUE"""),"B_01_08")</f>
        <v>B_01_08</v>
      </c>
      <c r="D291" s="7" t="str">
        <f>IFERROR(__xludf.DUMMYFUNCTION("""COMPUTED_VALUE"""),"Q28.")</f>
        <v>Q28.</v>
      </c>
      <c r="E291" s="7" t="str">
        <f>IFERROR(__xludf.DUMMYFUNCTION("""COMPUTED_VALUE"""),"President free to act vs obey the laws and courts")</f>
        <v>President free to act vs obey the laws and courts</v>
      </c>
      <c r="F291" s="7" t="str">
        <f>IFERROR(__xludf.DUMMYFUNCTION("""COMPUTED_VALUE"""),"President/He")</f>
        <v>President/He</v>
      </c>
    </row>
    <row r="292">
      <c r="A292" s="7" t="str">
        <f>IFERROR(__xludf.DUMMYFUNCTION("""COMPUTED_VALUE"""),"CAMEROON")</f>
        <v>CAMEROON</v>
      </c>
      <c r="B292" s="8">
        <f>IFERROR(__xludf.DUMMYFUNCTION("""COMPUTED_VALUE"""),10.0)</f>
        <v>10</v>
      </c>
      <c r="C292" s="7" t="str">
        <f>IFERROR(__xludf.DUMMYFUNCTION("""COMPUTED_VALUE"""),"B_01_08")</f>
        <v>B_01_08</v>
      </c>
      <c r="D292" s="7" t="str">
        <f>IFERROR(__xludf.DUMMYFUNCTION("""COMPUTED_VALUE"""),"Q28.")</f>
        <v>Q28.</v>
      </c>
      <c r="E292" s="7" t="str">
        <f>IFERROR(__xludf.DUMMYFUNCTION("""COMPUTED_VALUE"""),"President free to act vs obey the laws and courts")</f>
        <v>President free to act vs obey the laws and courts</v>
      </c>
      <c r="F292" s="7" t="str">
        <f>IFERROR(__xludf.DUMMYFUNCTION("""COMPUTED_VALUE"""),"President/He")</f>
        <v>President/He</v>
      </c>
    </row>
    <row r="293">
      <c r="A293" s="7" t="str">
        <f>IFERROR(__xludf.DUMMYFUNCTION("""COMPUTED_VALUE"""),"CHAD")</f>
        <v>CHAD</v>
      </c>
      <c r="B293" s="8">
        <f>IFERROR(__xludf.DUMMYFUNCTION("""COMPUTED_VALUE"""),10.0)</f>
        <v>10</v>
      </c>
      <c r="C293" s="7" t="str">
        <f>IFERROR(__xludf.DUMMYFUNCTION("""COMPUTED_VALUE"""),"B_01_08")</f>
        <v>B_01_08</v>
      </c>
      <c r="D293" s="7" t="str">
        <f>IFERROR(__xludf.DUMMYFUNCTION("""COMPUTED_VALUE"""),"Q28.")</f>
        <v>Q28.</v>
      </c>
      <c r="E293" s="7" t="str">
        <f>IFERROR(__xludf.DUMMYFUNCTION("""COMPUTED_VALUE"""),"President free to act vs obey the laws and courts")</f>
        <v>President free to act vs obey the laws and courts</v>
      </c>
      <c r="F293" s="7" t="str">
        <f>IFERROR(__xludf.DUMMYFUNCTION("""COMPUTED_VALUE"""),"President/He")</f>
        <v>President/He</v>
      </c>
    </row>
    <row r="294">
      <c r="A294" s="7" t="str">
        <f>IFERROR(__xludf.DUMMYFUNCTION("""COMPUTED_VALUE"""),"COMOROS")</f>
        <v>COMOROS</v>
      </c>
      <c r="B294" s="8">
        <f>IFERROR(__xludf.DUMMYFUNCTION("""COMPUTED_VALUE"""),10.0)</f>
        <v>10</v>
      </c>
      <c r="C294" s="7" t="str">
        <f>IFERROR(__xludf.DUMMYFUNCTION("""COMPUTED_VALUE"""),"B_01_08")</f>
        <v>B_01_08</v>
      </c>
      <c r="D294" s="7" t="str">
        <f>IFERROR(__xludf.DUMMYFUNCTION("""COMPUTED_VALUE"""),"Q28.")</f>
        <v>Q28.</v>
      </c>
      <c r="E294" s="7" t="str">
        <f>IFERROR(__xludf.DUMMYFUNCTION("""COMPUTED_VALUE"""),"President free to act vs obey the laws and courts")</f>
        <v>President free to act vs obey the laws and courts</v>
      </c>
      <c r="F294" s="7" t="str">
        <f>IFERROR(__xludf.DUMMYFUNCTION("""COMPUTED_VALUE"""),"President/He")</f>
        <v>President/He</v>
      </c>
    </row>
    <row r="295">
      <c r="A295" s="7" t="str">
        <f>IFERROR(__xludf.DUMMYFUNCTION("""COMPUTED_VALUE"""),"CONGO BRAZZAVILLE")</f>
        <v>CONGO BRAZZAVILLE</v>
      </c>
      <c r="B295" s="8">
        <f>IFERROR(__xludf.DUMMYFUNCTION("""COMPUTED_VALUE"""),10.0)</f>
        <v>10</v>
      </c>
      <c r="C295" s="7" t="str">
        <f>IFERROR(__xludf.DUMMYFUNCTION("""COMPUTED_VALUE"""),"B_01_08")</f>
        <v>B_01_08</v>
      </c>
      <c r="D295" s="7" t="str">
        <f>IFERROR(__xludf.DUMMYFUNCTION("""COMPUTED_VALUE"""),"Q28.")</f>
        <v>Q28.</v>
      </c>
      <c r="E295" s="7" t="str">
        <f>IFERROR(__xludf.DUMMYFUNCTION("""COMPUTED_VALUE"""),"President free to act vs obey the laws and courts")</f>
        <v>President free to act vs obey the laws and courts</v>
      </c>
      <c r="F295" s="7" t="str">
        <f>IFERROR(__xludf.DUMMYFUNCTION("""COMPUTED_VALUE"""),"President/He")</f>
        <v>President/He</v>
      </c>
    </row>
    <row r="296">
      <c r="A296" s="7" t="str">
        <f>IFERROR(__xludf.DUMMYFUNCTION("""COMPUTED_VALUE"""),"COTE D'IVOIRE")</f>
        <v>COTE D'IVOIRE</v>
      </c>
      <c r="B296" s="8">
        <f>IFERROR(__xludf.DUMMYFUNCTION("""COMPUTED_VALUE"""),10.0)</f>
        <v>10</v>
      </c>
      <c r="C296" s="7" t="str">
        <f>IFERROR(__xludf.DUMMYFUNCTION("""COMPUTED_VALUE"""),"B_01_08")</f>
        <v>B_01_08</v>
      </c>
      <c r="D296" s="7" t="str">
        <f>IFERROR(__xludf.DUMMYFUNCTION("""COMPUTED_VALUE"""),"Q28.")</f>
        <v>Q28.</v>
      </c>
      <c r="E296" s="7" t="str">
        <f>IFERROR(__xludf.DUMMYFUNCTION("""COMPUTED_VALUE"""),"President free to act vs obey the laws and courts")</f>
        <v>President free to act vs obey the laws and courts</v>
      </c>
      <c r="F296" s="7" t="str">
        <f>IFERROR(__xludf.DUMMYFUNCTION("""COMPUTED_VALUE"""),"President/He")</f>
        <v>President/He</v>
      </c>
    </row>
    <row r="297">
      <c r="A297" s="7" t="str">
        <f>IFERROR(__xludf.DUMMYFUNCTION("""COMPUTED_VALUE"""),"ESWATINI")</f>
        <v>ESWATINI</v>
      </c>
      <c r="B297" s="8">
        <f>IFERROR(__xludf.DUMMYFUNCTION("""COMPUTED_VALUE"""),10.0)</f>
        <v>10</v>
      </c>
      <c r="C297" s="7" t="str">
        <f>IFERROR(__xludf.DUMMYFUNCTION("""COMPUTED_VALUE"""),"B_01_08")</f>
        <v>B_01_08</v>
      </c>
      <c r="D297" s="7" t="str">
        <f>IFERROR(__xludf.DUMMYFUNCTION("""COMPUTED_VALUE"""),"Q28.")</f>
        <v>Q28.</v>
      </c>
      <c r="E297" s="7" t="str">
        <f>IFERROR(__xludf.DUMMYFUNCTION("""COMPUTED_VALUE"""),"President free to act vs obey the laws and courts")</f>
        <v>President free to act vs obey the laws and courts</v>
      </c>
      <c r="F297" s="7" t="str">
        <f>IFERROR(__xludf.DUMMYFUNCTION("""COMPUTED_VALUE"""),"Prime Minister/He")</f>
        <v>Prime Minister/He</v>
      </c>
    </row>
    <row r="298">
      <c r="A298" s="7" t="str">
        <f>IFERROR(__xludf.DUMMYFUNCTION("""COMPUTED_VALUE"""),"GABON")</f>
        <v>GABON</v>
      </c>
      <c r="B298" s="8">
        <f>IFERROR(__xludf.DUMMYFUNCTION("""COMPUTED_VALUE"""),10.0)</f>
        <v>10</v>
      </c>
      <c r="C298" s="7" t="str">
        <f>IFERROR(__xludf.DUMMYFUNCTION("""COMPUTED_VALUE"""),"B_01_08")</f>
        <v>B_01_08</v>
      </c>
      <c r="D298" s="7" t="str">
        <f>IFERROR(__xludf.DUMMYFUNCTION("""COMPUTED_VALUE"""),"Q28.")</f>
        <v>Q28.</v>
      </c>
      <c r="E298" s="7" t="str">
        <f>IFERROR(__xludf.DUMMYFUNCTION("""COMPUTED_VALUE"""),"President free to act vs obey the laws and courts")</f>
        <v>President free to act vs obey the laws and courts</v>
      </c>
      <c r="F298" s="7" t="str">
        <f>IFERROR(__xludf.DUMMYFUNCTION("""COMPUTED_VALUE"""),"President/He")</f>
        <v>President/He</v>
      </c>
    </row>
    <row r="299">
      <c r="A299" s="7" t="str">
        <f>IFERROR(__xludf.DUMMYFUNCTION("""COMPUTED_VALUE"""),"GAMBIA")</f>
        <v>GAMBIA</v>
      </c>
      <c r="B299" s="8">
        <f>IFERROR(__xludf.DUMMYFUNCTION("""COMPUTED_VALUE"""),10.0)</f>
        <v>10</v>
      </c>
      <c r="C299" s="7" t="str">
        <f>IFERROR(__xludf.DUMMYFUNCTION("""COMPUTED_VALUE"""),"B_01_08")</f>
        <v>B_01_08</v>
      </c>
      <c r="D299" s="7" t="str">
        <f>IFERROR(__xludf.DUMMYFUNCTION("""COMPUTED_VALUE"""),"Q28.")</f>
        <v>Q28.</v>
      </c>
      <c r="E299" s="7" t="str">
        <f>IFERROR(__xludf.DUMMYFUNCTION("""COMPUTED_VALUE"""),"President free to act vs obey the laws and courts")</f>
        <v>President free to act vs obey the laws and courts</v>
      </c>
      <c r="F299" s="7" t="str">
        <f>IFERROR(__xludf.DUMMYFUNCTION("""COMPUTED_VALUE"""),"President/He")</f>
        <v>President/He</v>
      </c>
    </row>
    <row r="300">
      <c r="A300" s="7" t="str">
        <f>IFERROR(__xludf.DUMMYFUNCTION("""COMPUTED_VALUE"""),"GHANA ")</f>
        <v>GHANA </v>
      </c>
      <c r="B300" s="8">
        <f>IFERROR(__xludf.DUMMYFUNCTION("""COMPUTED_VALUE"""),10.0)</f>
        <v>10</v>
      </c>
      <c r="C300" s="7" t="str">
        <f>IFERROR(__xludf.DUMMYFUNCTION("""COMPUTED_VALUE"""),"B_01_08")</f>
        <v>B_01_08</v>
      </c>
      <c r="D300" s="7" t="str">
        <f>IFERROR(__xludf.DUMMYFUNCTION("""COMPUTED_VALUE"""),"Q28.")</f>
        <v>Q28.</v>
      </c>
      <c r="E300" s="7" t="str">
        <f>IFERROR(__xludf.DUMMYFUNCTION("""COMPUTED_VALUE"""),"President free to act vs obey the laws and courts")</f>
        <v>President free to act vs obey the laws and courts</v>
      </c>
      <c r="F300" s="7" t="str">
        <f>IFERROR(__xludf.DUMMYFUNCTION("""COMPUTED_VALUE"""),"President/He")</f>
        <v>President/He</v>
      </c>
    </row>
    <row r="301">
      <c r="A301" s="7" t="str">
        <f>IFERROR(__xludf.DUMMYFUNCTION("""COMPUTED_VALUE"""),"GUINEA")</f>
        <v>GUINEA</v>
      </c>
      <c r="B301" s="8">
        <f>IFERROR(__xludf.DUMMYFUNCTION("""COMPUTED_VALUE"""),10.0)</f>
        <v>10</v>
      </c>
      <c r="C301" s="7" t="str">
        <f>IFERROR(__xludf.DUMMYFUNCTION("""COMPUTED_VALUE"""),"B_01_08")</f>
        <v>B_01_08</v>
      </c>
      <c r="D301" s="7" t="str">
        <f>IFERROR(__xludf.DUMMYFUNCTION("""COMPUTED_VALUE"""),"Q28.")</f>
        <v>Q28.</v>
      </c>
      <c r="E301" s="7" t="str">
        <f>IFERROR(__xludf.DUMMYFUNCTION("""COMPUTED_VALUE"""),"President free to act vs obey the laws and courts")</f>
        <v>President free to act vs obey the laws and courts</v>
      </c>
      <c r="F301" s="7" t="str">
        <f>IFERROR(__xludf.DUMMYFUNCTION("""COMPUTED_VALUE"""),"President/He")</f>
        <v>President/He</v>
      </c>
    </row>
    <row r="302">
      <c r="A302" s="7" t="str">
        <f>IFERROR(__xludf.DUMMYFUNCTION("""COMPUTED_VALUE"""),"KENYA  ")</f>
        <v>KENYA  </v>
      </c>
      <c r="B302" s="8">
        <f>IFERROR(__xludf.DUMMYFUNCTION("""COMPUTED_VALUE"""),10.0)</f>
        <v>10</v>
      </c>
      <c r="C302" s="7" t="str">
        <f>IFERROR(__xludf.DUMMYFUNCTION("""COMPUTED_VALUE"""),"B_01_08")</f>
        <v>B_01_08</v>
      </c>
      <c r="D302" s="7" t="str">
        <f>IFERROR(__xludf.DUMMYFUNCTION("""COMPUTED_VALUE"""),"Q28.")</f>
        <v>Q28.</v>
      </c>
      <c r="E302" s="7" t="str">
        <f>IFERROR(__xludf.DUMMYFUNCTION("""COMPUTED_VALUE"""),"President free to act vs obey the laws and courts")</f>
        <v>President free to act vs obey the laws and courts</v>
      </c>
      <c r="F302" s="7" t="str">
        <f>IFERROR(__xludf.DUMMYFUNCTION("""COMPUTED_VALUE"""),"President/He")</f>
        <v>President/He</v>
      </c>
    </row>
    <row r="303">
      <c r="A303" s="7" t="str">
        <f>IFERROR(__xludf.DUMMYFUNCTION("""COMPUTED_VALUE"""),"LESOTHO ")</f>
        <v>LESOTHO </v>
      </c>
      <c r="B303" s="8">
        <f>IFERROR(__xludf.DUMMYFUNCTION("""COMPUTED_VALUE"""),10.0)</f>
        <v>10</v>
      </c>
      <c r="C303" s="7" t="str">
        <f>IFERROR(__xludf.DUMMYFUNCTION("""COMPUTED_VALUE"""),"B_01_08")</f>
        <v>B_01_08</v>
      </c>
      <c r="D303" s="7" t="str">
        <f>IFERROR(__xludf.DUMMYFUNCTION("""COMPUTED_VALUE"""),"Q28.")</f>
        <v>Q28.</v>
      </c>
      <c r="E303" s="7" t="str">
        <f>IFERROR(__xludf.DUMMYFUNCTION("""COMPUTED_VALUE"""),"President free to act vs obey the laws and courts")</f>
        <v>President free to act vs obey the laws and courts</v>
      </c>
      <c r="F303" s="7" t="str">
        <f>IFERROR(__xludf.DUMMYFUNCTION("""COMPUTED_VALUE"""),"Prime Minister/He")</f>
        <v>Prime Minister/He</v>
      </c>
    </row>
    <row r="304">
      <c r="A304" s="7" t="str">
        <f>IFERROR(__xludf.DUMMYFUNCTION("""COMPUTED_VALUE"""),"LIBERIA  ")</f>
        <v>LIBERIA  </v>
      </c>
      <c r="B304" s="8">
        <f>IFERROR(__xludf.DUMMYFUNCTION("""COMPUTED_VALUE"""),10.0)</f>
        <v>10</v>
      </c>
      <c r="C304" s="7" t="str">
        <f>IFERROR(__xludf.DUMMYFUNCTION("""COMPUTED_VALUE"""),"B_01_08")</f>
        <v>B_01_08</v>
      </c>
      <c r="D304" s="7" t="str">
        <f>IFERROR(__xludf.DUMMYFUNCTION("""COMPUTED_VALUE"""),"Q28.")</f>
        <v>Q28.</v>
      </c>
      <c r="E304" s="7" t="str">
        <f>IFERROR(__xludf.DUMMYFUNCTION("""COMPUTED_VALUE"""),"President free to act vs obey the laws and courts")</f>
        <v>President free to act vs obey the laws and courts</v>
      </c>
      <c r="F304" s="7" t="str">
        <f>IFERROR(__xludf.DUMMYFUNCTION("""COMPUTED_VALUE"""),"President/He")</f>
        <v>President/He</v>
      </c>
    </row>
    <row r="305">
      <c r="A305" s="7" t="str">
        <f>IFERROR(__xludf.DUMMYFUNCTION("""COMPUTED_VALUE"""),"MADAGASCAR")</f>
        <v>MADAGASCAR</v>
      </c>
      <c r="B305" s="8">
        <f>IFERROR(__xludf.DUMMYFUNCTION("""COMPUTED_VALUE"""),10.0)</f>
        <v>10</v>
      </c>
      <c r="C305" s="7" t="str">
        <f>IFERROR(__xludf.DUMMYFUNCTION("""COMPUTED_VALUE"""),"B_01_08")</f>
        <v>B_01_08</v>
      </c>
      <c r="D305" s="7" t="str">
        <f>IFERROR(__xludf.DUMMYFUNCTION("""COMPUTED_VALUE"""),"Q28.")</f>
        <v>Q28.</v>
      </c>
      <c r="E305" s="7" t="str">
        <f>IFERROR(__xludf.DUMMYFUNCTION("""COMPUTED_VALUE"""),"President free to act vs obey the laws and courts")</f>
        <v>President free to act vs obey the laws and courts</v>
      </c>
      <c r="F305" s="7" t="str">
        <f>IFERROR(__xludf.DUMMYFUNCTION("""COMPUTED_VALUE"""),"President/He")</f>
        <v>President/He</v>
      </c>
    </row>
    <row r="306">
      <c r="A306" s="7" t="str">
        <f>IFERROR(__xludf.DUMMYFUNCTION("""COMPUTED_VALUE"""),"MALAWI ")</f>
        <v>MALAWI </v>
      </c>
      <c r="B306" s="8">
        <f>IFERROR(__xludf.DUMMYFUNCTION("""COMPUTED_VALUE"""),10.0)</f>
        <v>10</v>
      </c>
      <c r="C306" s="7" t="str">
        <f>IFERROR(__xludf.DUMMYFUNCTION("""COMPUTED_VALUE"""),"B_01_08")</f>
        <v>B_01_08</v>
      </c>
      <c r="D306" s="7" t="str">
        <f>IFERROR(__xludf.DUMMYFUNCTION("""COMPUTED_VALUE"""),"Q28.")</f>
        <v>Q28.</v>
      </c>
      <c r="E306" s="7" t="str">
        <f>IFERROR(__xludf.DUMMYFUNCTION("""COMPUTED_VALUE"""),"President free to act vs obey the laws and courts")</f>
        <v>President free to act vs obey the laws and courts</v>
      </c>
      <c r="F306" s="7" t="str">
        <f>IFERROR(__xludf.DUMMYFUNCTION("""COMPUTED_VALUE"""),"President/He")</f>
        <v>President/He</v>
      </c>
    </row>
    <row r="307">
      <c r="A307" s="7" t="str">
        <f>IFERROR(__xludf.DUMMYFUNCTION("""COMPUTED_VALUE"""),"MALI")</f>
        <v>MALI</v>
      </c>
      <c r="B307" s="8">
        <f>IFERROR(__xludf.DUMMYFUNCTION("""COMPUTED_VALUE"""),10.0)</f>
        <v>10</v>
      </c>
      <c r="C307" s="7" t="str">
        <f>IFERROR(__xludf.DUMMYFUNCTION("""COMPUTED_VALUE"""),"B_01_08")</f>
        <v>B_01_08</v>
      </c>
      <c r="D307" s="7" t="str">
        <f>IFERROR(__xludf.DUMMYFUNCTION("""COMPUTED_VALUE"""),"Q28.")</f>
        <v>Q28.</v>
      </c>
      <c r="E307" s="7" t="str">
        <f>IFERROR(__xludf.DUMMYFUNCTION("""COMPUTED_VALUE"""),"President free to act vs obey the laws and courts")</f>
        <v>President free to act vs obey the laws and courts</v>
      </c>
      <c r="F307" s="7" t="str">
        <f>IFERROR(__xludf.DUMMYFUNCTION("""COMPUTED_VALUE"""),"President/He")</f>
        <v>President/He</v>
      </c>
    </row>
    <row r="308">
      <c r="A308" s="7" t="str">
        <f>IFERROR(__xludf.DUMMYFUNCTION("""COMPUTED_VALUE"""),"MAURITANIA")</f>
        <v>MAURITANIA</v>
      </c>
      <c r="B308" s="8">
        <f>IFERROR(__xludf.DUMMYFUNCTION("""COMPUTED_VALUE"""),10.0)</f>
        <v>10</v>
      </c>
      <c r="C308" s="7" t="str">
        <f>IFERROR(__xludf.DUMMYFUNCTION("""COMPUTED_VALUE"""),"B_01_08")</f>
        <v>B_01_08</v>
      </c>
      <c r="D308" s="7" t="str">
        <f>IFERROR(__xludf.DUMMYFUNCTION("""COMPUTED_VALUE"""),"Q28.")</f>
        <v>Q28.</v>
      </c>
      <c r="E308" s="7" t="str">
        <f>IFERROR(__xludf.DUMMYFUNCTION("""COMPUTED_VALUE"""),"President free to act vs obey the laws and courts")</f>
        <v>President free to act vs obey the laws and courts</v>
      </c>
      <c r="F308" s="7" t="str">
        <f>IFERROR(__xludf.DUMMYFUNCTION("""COMPUTED_VALUE"""),"President/He")</f>
        <v>President/He</v>
      </c>
    </row>
    <row r="309">
      <c r="A309" s="7" t="str">
        <f>IFERROR(__xludf.DUMMYFUNCTION("""COMPUTED_VALUE"""),"MAURITIUS")</f>
        <v>MAURITIUS</v>
      </c>
      <c r="B309" s="8">
        <f>IFERROR(__xludf.DUMMYFUNCTION("""COMPUTED_VALUE"""),10.0)</f>
        <v>10</v>
      </c>
      <c r="C309" s="7" t="str">
        <f>IFERROR(__xludf.DUMMYFUNCTION("""COMPUTED_VALUE"""),"B_01_08")</f>
        <v>B_01_08</v>
      </c>
      <c r="D309" s="7" t="str">
        <f>IFERROR(__xludf.DUMMYFUNCTION("""COMPUTED_VALUE"""),"Q28.")</f>
        <v>Q28.</v>
      </c>
      <c r="E309" s="7" t="str">
        <f>IFERROR(__xludf.DUMMYFUNCTION("""COMPUTED_VALUE"""),"President free to act vs obey the laws and courts")</f>
        <v>President free to act vs obey the laws and courts</v>
      </c>
      <c r="F309" s="7" t="str">
        <f>IFERROR(__xludf.DUMMYFUNCTION("""COMPUTED_VALUE"""),"Prime Minister/He")</f>
        <v>Prime Minister/He</v>
      </c>
    </row>
    <row r="310">
      <c r="A310" s="7" t="str">
        <f>IFERROR(__xludf.DUMMYFUNCTION("""COMPUTED_VALUE"""),"MOROCCO ")</f>
        <v>MOROCCO </v>
      </c>
      <c r="B310" s="8">
        <f>IFERROR(__xludf.DUMMYFUNCTION("""COMPUTED_VALUE"""),10.0)</f>
        <v>10</v>
      </c>
      <c r="C310" s="7" t="str">
        <f>IFERROR(__xludf.DUMMYFUNCTION("""COMPUTED_VALUE"""),"B_01_08")</f>
        <v>B_01_08</v>
      </c>
      <c r="D310" s="7" t="str">
        <f>IFERROR(__xludf.DUMMYFUNCTION("""COMPUTED_VALUE"""),"Q28.")</f>
        <v>Q28.</v>
      </c>
      <c r="E310" s="7" t="str">
        <f>IFERROR(__xludf.DUMMYFUNCTION("""COMPUTED_VALUE"""),"President free to act vs obey the laws and courts")</f>
        <v>President free to act vs obey the laws and courts</v>
      </c>
      <c r="F310" s="7" t="str">
        <f>IFERROR(__xludf.DUMMYFUNCTION("""COMPUTED_VALUE"""),"President/He")</f>
        <v>President/He</v>
      </c>
    </row>
    <row r="311">
      <c r="A311" s="7" t="str">
        <f>IFERROR(__xludf.DUMMYFUNCTION("""COMPUTED_VALUE"""),"MOZAMBIQUE")</f>
        <v>MOZAMBIQUE</v>
      </c>
      <c r="B311" s="8">
        <f>IFERROR(__xludf.DUMMYFUNCTION("""COMPUTED_VALUE"""),10.0)</f>
        <v>10</v>
      </c>
      <c r="C311" s="7" t="str">
        <f>IFERROR(__xludf.DUMMYFUNCTION("""COMPUTED_VALUE"""),"B_01_08")</f>
        <v>B_01_08</v>
      </c>
      <c r="D311" s="7" t="str">
        <f>IFERROR(__xludf.DUMMYFUNCTION("""COMPUTED_VALUE"""),"Q28.")</f>
        <v>Q28.</v>
      </c>
      <c r="E311" s="7" t="str">
        <f>IFERROR(__xludf.DUMMYFUNCTION("""COMPUTED_VALUE"""),"President free to act vs obey the laws and courts")</f>
        <v>President free to act vs obey the laws and courts</v>
      </c>
      <c r="F311" s="7" t="str">
        <f>IFERROR(__xludf.DUMMYFUNCTION("""COMPUTED_VALUE"""),"President/He")</f>
        <v>President/He</v>
      </c>
    </row>
    <row r="312">
      <c r="A312" s="7" t="str">
        <f>IFERROR(__xludf.DUMMYFUNCTION("""COMPUTED_VALUE"""),"NAMIBIA ")</f>
        <v>NAMIBIA </v>
      </c>
      <c r="B312" s="8">
        <f>IFERROR(__xludf.DUMMYFUNCTION("""COMPUTED_VALUE"""),10.0)</f>
        <v>10</v>
      </c>
      <c r="C312" s="7" t="str">
        <f>IFERROR(__xludf.DUMMYFUNCTION("""COMPUTED_VALUE"""),"B_01_08")</f>
        <v>B_01_08</v>
      </c>
      <c r="D312" s="7" t="str">
        <f>IFERROR(__xludf.DUMMYFUNCTION("""COMPUTED_VALUE"""),"Q28.")</f>
        <v>Q28.</v>
      </c>
      <c r="E312" s="7" t="str">
        <f>IFERROR(__xludf.DUMMYFUNCTION("""COMPUTED_VALUE"""),"President free to act vs obey the laws and courts")</f>
        <v>President free to act vs obey the laws and courts</v>
      </c>
      <c r="F312" s="7" t="str">
        <f>IFERROR(__xludf.DUMMYFUNCTION("""COMPUTED_VALUE"""),"President/He")</f>
        <v>President/He</v>
      </c>
    </row>
    <row r="313">
      <c r="A313" s="7" t="str">
        <f>IFERROR(__xludf.DUMMYFUNCTION("""COMPUTED_VALUE"""),"NIGERIA ")</f>
        <v>NIGERIA </v>
      </c>
      <c r="B313" s="8">
        <f>IFERROR(__xludf.DUMMYFUNCTION("""COMPUTED_VALUE"""),10.0)</f>
        <v>10</v>
      </c>
      <c r="C313" s="7" t="str">
        <f>IFERROR(__xludf.DUMMYFUNCTION("""COMPUTED_VALUE"""),"B_01_08")</f>
        <v>B_01_08</v>
      </c>
      <c r="D313" s="7" t="str">
        <f>IFERROR(__xludf.DUMMYFUNCTION("""COMPUTED_VALUE"""),"Q28.")</f>
        <v>Q28.</v>
      </c>
      <c r="E313" s="7" t="str">
        <f>IFERROR(__xludf.DUMMYFUNCTION("""COMPUTED_VALUE"""),"President free to act vs obey the laws and courts")</f>
        <v>President free to act vs obey the laws and courts</v>
      </c>
      <c r="F313" s="7" t="str">
        <f>IFERROR(__xludf.DUMMYFUNCTION("""COMPUTED_VALUE"""),"President/He")</f>
        <v>President/He</v>
      </c>
    </row>
    <row r="314">
      <c r="A314" s="7" t="str">
        <f>IFERROR(__xludf.DUMMYFUNCTION("""COMPUTED_VALUE"""),"SAO TOME AND PRINCIPE")</f>
        <v>SAO TOME AND PRINCIPE</v>
      </c>
      <c r="B314" s="8">
        <f>IFERROR(__xludf.DUMMYFUNCTION("""COMPUTED_VALUE"""),10.0)</f>
        <v>10</v>
      </c>
      <c r="C314" s="7" t="str">
        <f>IFERROR(__xludf.DUMMYFUNCTION("""COMPUTED_VALUE"""),"B_01_08")</f>
        <v>B_01_08</v>
      </c>
      <c r="D314" s="7" t="str">
        <f>IFERROR(__xludf.DUMMYFUNCTION("""COMPUTED_VALUE"""),"Q28.")</f>
        <v>Q28.</v>
      </c>
      <c r="E314" s="7" t="str">
        <f>IFERROR(__xludf.DUMMYFUNCTION("""COMPUTED_VALUE"""),"President free to act vs obey the laws and courts")</f>
        <v>President free to act vs obey the laws and courts</v>
      </c>
      <c r="F314" s="7" t="str">
        <f>IFERROR(__xludf.DUMMYFUNCTION("""COMPUTED_VALUE"""),"Prime Minister/He")</f>
        <v>Prime Minister/He</v>
      </c>
    </row>
    <row r="315">
      <c r="A315" s="7" t="str">
        <f>IFERROR(__xludf.DUMMYFUNCTION("""COMPUTED_VALUE"""),"SENEGAL")</f>
        <v>SENEGAL</v>
      </c>
      <c r="B315" s="8">
        <f>IFERROR(__xludf.DUMMYFUNCTION("""COMPUTED_VALUE"""),10.0)</f>
        <v>10</v>
      </c>
      <c r="C315" s="7" t="str">
        <f>IFERROR(__xludf.DUMMYFUNCTION("""COMPUTED_VALUE"""),"B_01_08")</f>
        <v>B_01_08</v>
      </c>
      <c r="D315" s="7" t="str">
        <f>IFERROR(__xludf.DUMMYFUNCTION("""COMPUTED_VALUE"""),"Q28.")</f>
        <v>Q28.</v>
      </c>
      <c r="E315" s="7" t="str">
        <f>IFERROR(__xludf.DUMMYFUNCTION("""COMPUTED_VALUE"""),"President free to act vs obey the laws and courts")</f>
        <v>President free to act vs obey the laws and courts</v>
      </c>
      <c r="F315" s="7" t="str">
        <f>IFERROR(__xludf.DUMMYFUNCTION("""COMPUTED_VALUE"""),"President/He")</f>
        <v>President/He</v>
      </c>
    </row>
    <row r="316">
      <c r="A316" s="7" t="str">
        <f>IFERROR(__xludf.DUMMYFUNCTION("""COMPUTED_VALUE"""),"SEYCHELLES")</f>
        <v>SEYCHELLES</v>
      </c>
      <c r="B316" s="8">
        <f>IFERROR(__xludf.DUMMYFUNCTION("""COMPUTED_VALUE"""),10.0)</f>
        <v>10</v>
      </c>
      <c r="C316" s="7" t="str">
        <f>IFERROR(__xludf.DUMMYFUNCTION("""COMPUTED_VALUE"""),"B_01_08")</f>
        <v>B_01_08</v>
      </c>
      <c r="D316" s="7" t="str">
        <f>IFERROR(__xludf.DUMMYFUNCTION("""COMPUTED_VALUE"""),"Q28.")</f>
        <v>Q28.</v>
      </c>
      <c r="E316" s="7" t="str">
        <f>IFERROR(__xludf.DUMMYFUNCTION("""COMPUTED_VALUE"""),"President free to act vs obey the laws and courts")</f>
        <v>President free to act vs obey the laws and courts</v>
      </c>
      <c r="F316" s="7" t="str">
        <f>IFERROR(__xludf.DUMMYFUNCTION("""COMPUTED_VALUE"""),"President/He")</f>
        <v>President/He</v>
      </c>
    </row>
    <row r="317">
      <c r="A317" s="7" t="str">
        <f>IFERROR(__xludf.DUMMYFUNCTION("""COMPUTED_VALUE"""),"SOUTH AFRICA")</f>
        <v>SOUTH AFRICA</v>
      </c>
      <c r="B317" s="8">
        <f>IFERROR(__xludf.DUMMYFUNCTION("""COMPUTED_VALUE"""),10.0)</f>
        <v>10</v>
      </c>
      <c r="C317" s="7" t="str">
        <f>IFERROR(__xludf.DUMMYFUNCTION("""COMPUTED_VALUE"""),"B_01_08")</f>
        <v>B_01_08</v>
      </c>
      <c r="D317" s="7" t="str">
        <f>IFERROR(__xludf.DUMMYFUNCTION("""COMPUTED_VALUE"""),"Q28.")</f>
        <v>Q28.</v>
      </c>
      <c r="E317" s="7" t="str">
        <f>IFERROR(__xludf.DUMMYFUNCTION("""COMPUTED_VALUE"""),"President free to act vs obey the laws and courts")</f>
        <v>President free to act vs obey the laws and courts</v>
      </c>
      <c r="F317" s="7" t="str">
        <f>IFERROR(__xludf.DUMMYFUNCTION("""COMPUTED_VALUE"""),"President/He")</f>
        <v>President/He</v>
      </c>
    </row>
    <row r="318">
      <c r="A318" s="7" t="str">
        <f>IFERROR(__xludf.DUMMYFUNCTION("""COMPUTED_VALUE"""),"TANZANIA")</f>
        <v>TANZANIA</v>
      </c>
      <c r="B318" s="8">
        <f>IFERROR(__xludf.DUMMYFUNCTION("""COMPUTED_VALUE"""),10.0)</f>
        <v>10</v>
      </c>
      <c r="C318" s="7" t="str">
        <f>IFERROR(__xludf.DUMMYFUNCTION("""COMPUTED_VALUE"""),"B_01_08")</f>
        <v>B_01_08</v>
      </c>
      <c r="D318" s="7" t="str">
        <f>IFERROR(__xludf.DUMMYFUNCTION("""COMPUTED_VALUE"""),"Q28.")</f>
        <v>Q28.</v>
      </c>
      <c r="E318" s="7" t="str">
        <f>IFERROR(__xludf.DUMMYFUNCTION("""COMPUTED_VALUE"""),"President free to act vs obey the laws and courts")</f>
        <v>President free to act vs obey the laws and courts</v>
      </c>
      <c r="F318" s="7" t="str">
        <f>IFERROR(__xludf.DUMMYFUNCTION("""COMPUTED_VALUE"""),"President/Her")</f>
        <v>President/Her</v>
      </c>
    </row>
    <row r="319">
      <c r="A319" s="7" t="str">
        <f>IFERROR(__xludf.DUMMYFUNCTION("""COMPUTED_VALUE"""),"TOGO ")</f>
        <v>TOGO </v>
      </c>
      <c r="B319" s="8">
        <f>IFERROR(__xludf.DUMMYFUNCTION("""COMPUTED_VALUE"""),10.0)</f>
        <v>10</v>
      </c>
      <c r="C319" s="7" t="str">
        <f>IFERROR(__xludf.DUMMYFUNCTION("""COMPUTED_VALUE"""),"B_01_08")</f>
        <v>B_01_08</v>
      </c>
      <c r="D319" s="7" t="str">
        <f>IFERROR(__xludf.DUMMYFUNCTION("""COMPUTED_VALUE"""),"Q28.")</f>
        <v>Q28.</v>
      </c>
      <c r="E319" s="7" t="str">
        <f>IFERROR(__xludf.DUMMYFUNCTION("""COMPUTED_VALUE"""),"President free to act vs obey the laws and courts")</f>
        <v>President free to act vs obey the laws and courts</v>
      </c>
      <c r="F319" s="7" t="str">
        <f>IFERROR(__xludf.DUMMYFUNCTION("""COMPUTED_VALUE"""),"President/He")</f>
        <v>President/He</v>
      </c>
    </row>
    <row r="320">
      <c r="A320" s="7" t="str">
        <f>IFERROR(__xludf.DUMMYFUNCTION("""COMPUTED_VALUE"""),"TUNISIA ")</f>
        <v>TUNISIA </v>
      </c>
      <c r="B320" s="8">
        <f>IFERROR(__xludf.DUMMYFUNCTION("""COMPUTED_VALUE"""),10.0)</f>
        <v>10</v>
      </c>
      <c r="C320" s="7" t="str">
        <f>IFERROR(__xludf.DUMMYFUNCTION("""COMPUTED_VALUE"""),"B_01_08")</f>
        <v>B_01_08</v>
      </c>
      <c r="D320" s="7" t="str">
        <f>IFERROR(__xludf.DUMMYFUNCTION("""COMPUTED_VALUE"""),"Q28.")</f>
        <v>Q28.</v>
      </c>
      <c r="E320" s="7" t="str">
        <f>IFERROR(__xludf.DUMMYFUNCTION("""COMPUTED_VALUE"""),"President free to act vs obey the laws and courts")</f>
        <v>President free to act vs obey the laws and courts</v>
      </c>
      <c r="F320" s="7" t="str">
        <f>IFERROR(__xludf.DUMMYFUNCTION("""COMPUTED_VALUE"""),"President/He")</f>
        <v>President/He</v>
      </c>
    </row>
    <row r="321">
      <c r="A321" s="7" t="str">
        <f>IFERROR(__xludf.DUMMYFUNCTION("""COMPUTED_VALUE"""),"UGANDA  ")</f>
        <v>UGANDA  </v>
      </c>
      <c r="B321" s="8">
        <f>IFERROR(__xludf.DUMMYFUNCTION("""COMPUTED_VALUE"""),10.0)</f>
        <v>10</v>
      </c>
      <c r="C321" s="7" t="str">
        <f>IFERROR(__xludf.DUMMYFUNCTION("""COMPUTED_VALUE"""),"B_01_08")</f>
        <v>B_01_08</v>
      </c>
      <c r="D321" s="7" t="str">
        <f>IFERROR(__xludf.DUMMYFUNCTION("""COMPUTED_VALUE"""),"Q28.")</f>
        <v>Q28.</v>
      </c>
      <c r="E321" s="7" t="str">
        <f>IFERROR(__xludf.DUMMYFUNCTION("""COMPUTED_VALUE"""),"President free to act vs obey the laws and courts")</f>
        <v>President free to act vs obey the laws and courts</v>
      </c>
      <c r="F321" s="7" t="str">
        <f>IFERROR(__xludf.DUMMYFUNCTION("""COMPUTED_VALUE"""),"President/He")</f>
        <v>President/He</v>
      </c>
    </row>
    <row r="322">
      <c r="A322" s="7" t="str">
        <f>IFERROR(__xludf.DUMMYFUNCTION("""COMPUTED_VALUE"""),"ZAMBIA")</f>
        <v>ZAMBIA</v>
      </c>
      <c r="B322" s="8">
        <f>IFERROR(__xludf.DUMMYFUNCTION("""COMPUTED_VALUE"""),10.0)</f>
        <v>10</v>
      </c>
      <c r="C322" s="7" t="str">
        <f>IFERROR(__xludf.DUMMYFUNCTION("""COMPUTED_VALUE"""),"B_01_08")</f>
        <v>B_01_08</v>
      </c>
      <c r="D322" s="7" t="str">
        <f>IFERROR(__xludf.DUMMYFUNCTION("""COMPUTED_VALUE"""),"Q28.")</f>
        <v>Q28.</v>
      </c>
      <c r="E322" s="7" t="str">
        <f>IFERROR(__xludf.DUMMYFUNCTION("""COMPUTED_VALUE"""),"President free to act vs obey the laws and courts")</f>
        <v>President free to act vs obey the laws and courts</v>
      </c>
      <c r="F322" s="7" t="str">
        <f>IFERROR(__xludf.DUMMYFUNCTION("""COMPUTED_VALUE"""),"President/He")</f>
        <v>President/He</v>
      </c>
    </row>
    <row r="323">
      <c r="A323" s="7" t="str">
        <f>IFERROR(__xludf.DUMMYFUNCTION("""COMPUTED_VALUE"""),"ZIMBABWE")</f>
        <v>ZIMBABWE</v>
      </c>
      <c r="B323" s="8">
        <f>IFERROR(__xludf.DUMMYFUNCTION("""COMPUTED_VALUE"""),10.0)</f>
        <v>10</v>
      </c>
      <c r="C323" s="7" t="str">
        <f>IFERROR(__xludf.DUMMYFUNCTION("""COMPUTED_VALUE"""),"B_01_08")</f>
        <v>B_01_08</v>
      </c>
      <c r="D323" s="7" t="str">
        <f>IFERROR(__xludf.DUMMYFUNCTION("""COMPUTED_VALUE"""),"Q28.")</f>
        <v>Q28.</v>
      </c>
      <c r="E323" s="7" t="str">
        <f>IFERROR(__xludf.DUMMYFUNCTION("""COMPUTED_VALUE"""),"President free to act vs obey the laws and courts")</f>
        <v>President free to act vs obey the laws and courts</v>
      </c>
      <c r="F323" s="7" t="str">
        <f>IFERROR(__xludf.DUMMYFUNCTION("""COMPUTED_VALUE"""),"President/He")</f>
        <v>President/He</v>
      </c>
    </row>
    <row r="324">
      <c r="A324" s="7" t="str">
        <f>IFERROR(__xludf.DUMMYFUNCTION("""COMPUTED_VALUE"""),"ANGOLA ")</f>
        <v>ANGOLA </v>
      </c>
      <c r="B324" s="8">
        <f>IFERROR(__xludf.DUMMYFUNCTION("""COMPUTED_VALUE"""),10.0)</f>
        <v>10</v>
      </c>
      <c r="C324" s="7" t="str">
        <f>IFERROR(__xludf.DUMMYFUNCTION("""COMPUTED_VALUE"""),"B_01_05")</f>
        <v>B_01_05</v>
      </c>
      <c r="D324" s="7" t="str">
        <f>IFERROR(__xludf.DUMMYFUNCTION("""COMPUTED_VALUE"""),"Q29. ")</f>
        <v>Q29. </v>
      </c>
      <c r="E324" s="7" t="str">
        <f>IFERROR(__xludf.DUMMYFUNCTION("""COMPUTED_VALUE"""),"Presidential two term limit vs no term limits")</f>
        <v>Presidential two term limit vs no term limits</v>
      </c>
      <c r="F324" s="7" t="str">
        <f>IFERROR(__xludf.DUMMYFUNCTION("""COMPUTED_VALUE"""),"President")</f>
        <v>President</v>
      </c>
    </row>
    <row r="325">
      <c r="A325" s="7" t="str">
        <f>IFERROR(__xludf.DUMMYFUNCTION("""COMPUTED_VALUE"""),"BENIN")</f>
        <v>BENIN</v>
      </c>
      <c r="B325" s="8">
        <f>IFERROR(__xludf.DUMMYFUNCTION("""COMPUTED_VALUE"""),10.0)</f>
        <v>10</v>
      </c>
      <c r="C325" s="7" t="str">
        <f>IFERROR(__xludf.DUMMYFUNCTION("""COMPUTED_VALUE"""),"B_01_05")</f>
        <v>B_01_05</v>
      </c>
      <c r="D325" s="7" t="str">
        <f>IFERROR(__xludf.DUMMYFUNCTION("""COMPUTED_VALUE"""),"Q29. ")</f>
        <v>Q29. </v>
      </c>
      <c r="E325" s="7" t="str">
        <f>IFERROR(__xludf.DUMMYFUNCTION("""COMPUTED_VALUE"""),"Presidential two term limit vs no term limits")</f>
        <v>Presidential two term limit vs no term limits</v>
      </c>
      <c r="F325" s="7" t="str">
        <f>IFERROR(__xludf.DUMMYFUNCTION("""COMPUTED_VALUE"""),"President")</f>
        <v>President</v>
      </c>
    </row>
    <row r="326">
      <c r="A326" s="7" t="str">
        <f>IFERROR(__xludf.DUMMYFUNCTION("""COMPUTED_VALUE"""),"BOTSWANA ")</f>
        <v>BOTSWANA </v>
      </c>
      <c r="B326" s="8">
        <f>IFERROR(__xludf.DUMMYFUNCTION("""COMPUTED_VALUE"""),10.0)</f>
        <v>10</v>
      </c>
      <c r="C326" s="7" t="str">
        <f>IFERROR(__xludf.DUMMYFUNCTION("""COMPUTED_VALUE"""),"B_01_05")</f>
        <v>B_01_05</v>
      </c>
      <c r="D326" s="7" t="str">
        <f>IFERROR(__xludf.DUMMYFUNCTION("""COMPUTED_VALUE"""),"Q29. ")</f>
        <v>Q29. </v>
      </c>
      <c r="E326" s="7" t="str">
        <f>IFERROR(__xludf.DUMMYFUNCTION("""COMPUTED_VALUE"""),"Presidential two term limit vs no term limits")</f>
        <v>Presidential two term limit vs no term limits</v>
      </c>
      <c r="F326" s="7" t="str">
        <f>IFERROR(__xludf.DUMMYFUNCTION("""COMPUTED_VALUE"""),"President")</f>
        <v>President</v>
      </c>
    </row>
    <row r="327">
      <c r="A327" s="7" t="str">
        <f>IFERROR(__xludf.DUMMYFUNCTION("""COMPUTED_VALUE"""),"CABO VERDE ")</f>
        <v>CABO VERDE </v>
      </c>
      <c r="B327" s="8">
        <f>IFERROR(__xludf.DUMMYFUNCTION("""COMPUTED_VALUE"""),10.0)</f>
        <v>10</v>
      </c>
      <c r="C327" s="7" t="str">
        <f>IFERROR(__xludf.DUMMYFUNCTION("""COMPUTED_VALUE"""),"B_01_05")</f>
        <v>B_01_05</v>
      </c>
      <c r="D327" s="7" t="str">
        <f>IFERROR(__xludf.DUMMYFUNCTION("""COMPUTED_VALUE"""),"Q29. ")</f>
        <v>Q29. </v>
      </c>
      <c r="E327" s="7" t="str">
        <f>IFERROR(__xludf.DUMMYFUNCTION("""COMPUTED_VALUE"""),"Presidential two term limit vs no term limits")</f>
        <v>Presidential two term limit vs no term limits</v>
      </c>
      <c r="F327" s="7" t="str">
        <f>IFERROR(__xludf.DUMMYFUNCTION("""COMPUTED_VALUE"""),"President")</f>
        <v>President</v>
      </c>
    </row>
    <row r="328">
      <c r="A328" s="7" t="str">
        <f>IFERROR(__xludf.DUMMYFUNCTION("""COMPUTED_VALUE"""),"CAMEROON")</f>
        <v>CAMEROON</v>
      </c>
      <c r="B328" s="8">
        <f>IFERROR(__xludf.DUMMYFUNCTION("""COMPUTED_VALUE"""),10.0)</f>
        <v>10</v>
      </c>
      <c r="C328" s="7" t="str">
        <f>IFERROR(__xludf.DUMMYFUNCTION("""COMPUTED_VALUE"""),"B_01_05")</f>
        <v>B_01_05</v>
      </c>
      <c r="D328" s="7" t="str">
        <f>IFERROR(__xludf.DUMMYFUNCTION("""COMPUTED_VALUE"""),"Q29. ")</f>
        <v>Q29. </v>
      </c>
      <c r="E328" s="7" t="str">
        <f>IFERROR(__xludf.DUMMYFUNCTION("""COMPUTED_VALUE"""),"Presidential two term limit vs no term limits")</f>
        <v>Presidential two term limit vs no term limits</v>
      </c>
      <c r="F328" s="7" t="str">
        <f>IFERROR(__xludf.DUMMYFUNCTION("""COMPUTED_VALUE"""),"President")</f>
        <v>President</v>
      </c>
    </row>
    <row r="329">
      <c r="A329" s="7" t="str">
        <f>IFERROR(__xludf.DUMMYFUNCTION("""COMPUTED_VALUE"""),"CHAD")</f>
        <v>CHAD</v>
      </c>
      <c r="B329" s="8">
        <f>IFERROR(__xludf.DUMMYFUNCTION("""COMPUTED_VALUE"""),10.0)</f>
        <v>10</v>
      </c>
      <c r="C329" s="7" t="str">
        <f>IFERROR(__xludf.DUMMYFUNCTION("""COMPUTED_VALUE"""),"B_01_05")</f>
        <v>B_01_05</v>
      </c>
      <c r="D329" s="7" t="str">
        <f>IFERROR(__xludf.DUMMYFUNCTION("""COMPUTED_VALUE"""),"Q29. ")</f>
        <v>Q29. </v>
      </c>
      <c r="E329" s="7" t="str">
        <f>IFERROR(__xludf.DUMMYFUNCTION("""COMPUTED_VALUE"""),"Presidential two term limit vs no term limits")</f>
        <v>Presidential two term limit vs no term limits</v>
      </c>
      <c r="F329" s="7" t="str">
        <f>IFERROR(__xludf.DUMMYFUNCTION("""COMPUTED_VALUE"""),"President")</f>
        <v>President</v>
      </c>
    </row>
    <row r="330">
      <c r="A330" s="7" t="str">
        <f>IFERROR(__xludf.DUMMYFUNCTION("""COMPUTED_VALUE"""),"COMOROS")</f>
        <v>COMOROS</v>
      </c>
      <c r="B330" s="8">
        <f>IFERROR(__xludf.DUMMYFUNCTION("""COMPUTED_VALUE"""),10.0)</f>
        <v>10</v>
      </c>
      <c r="C330" s="7" t="str">
        <f>IFERROR(__xludf.DUMMYFUNCTION("""COMPUTED_VALUE"""),"B_01_05")</f>
        <v>B_01_05</v>
      </c>
      <c r="D330" s="7" t="str">
        <f>IFERROR(__xludf.DUMMYFUNCTION("""COMPUTED_VALUE"""),"Q29. ")</f>
        <v>Q29. </v>
      </c>
      <c r="E330" s="7" t="str">
        <f>IFERROR(__xludf.DUMMYFUNCTION("""COMPUTED_VALUE"""),"Presidential two term limit vs no term limits")</f>
        <v>Presidential two term limit vs no term limits</v>
      </c>
      <c r="F330" s="7" t="str">
        <f>IFERROR(__xludf.DUMMYFUNCTION("""COMPUTED_VALUE"""),"President")</f>
        <v>President</v>
      </c>
    </row>
    <row r="331">
      <c r="A331" s="7" t="str">
        <f>IFERROR(__xludf.DUMMYFUNCTION("""COMPUTED_VALUE"""),"CONGO BRAZZAVILLE")</f>
        <v>CONGO BRAZZAVILLE</v>
      </c>
      <c r="B331" s="8">
        <f>IFERROR(__xludf.DUMMYFUNCTION("""COMPUTED_VALUE"""),10.0)</f>
        <v>10</v>
      </c>
      <c r="C331" s="7" t="str">
        <f>IFERROR(__xludf.DUMMYFUNCTION("""COMPUTED_VALUE"""),"B_01_05")</f>
        <v>B_01_05</v>
      </c>
      <c r="D331" s="7" t="str">
        <f>IFERROR(__xludf.DUMMYFUNCTION("""COMPUTED_VALUE"""),"Q29. ")</f>
        <v>Q29. </v>
      </c>
      <c r="E331" s="7" t="str">
        <f>IFERROR(__xludf.DUMMYFUNCTION("""COMPUTED_VALUE"""),"Presidential two term limit vs no term limits")</f>
        <v>Presidential two term limit vs no term limits</v>
      </c>
      <c r="F331" s="7" t="str">
        <f>IFERROR(__xludf.DUMMYFUNCTION("""COMPUTED_VALUE"""),"President")</f>
        <v>President</v>
      </c>
    </row>
    <row r="332">
      <c r="A332" s="7" t="str">
        <f>IFERROR(__xludf.DUMMYFUNCTION("""COMPUTED_VALUE"""),"COTE D'IVOIRE")</f>
        <v>COTE D'IVOIRE</v>
      </c>
      <c r="B332" s="8">
        <f>IFERROR(__xludf.DUMMYFUNCTION("""COMPUTED_VALUE"""),10.0)</f>
        <v>10</v>
      </c>
      <c r="C332" s="7" t="str">
        <f>IFERROR(__xludf.DUMMYFUNCTION("""COMPUTED_VALUE"""),"B_01_05")</f>
        <v>B_01_05</v>
      </c>
      <c r="D332" s="7" t="str">
        <f>IFERROR(__xludf.DUMMYFUNCTION("""COMPUTED_VALUE"""),"Q29. ")</f>
        <v>Q29. </v>
      </c>
      <c r="E332" s="7" t="str">
        <f>IFERROR(__xludf.DUMMYFUNCTION("""COMPUTED_VALUE"""),"Presidential two term limit vs no term limits")</f>
        <v>Presidential two term limit vs no term limits</v>
      </c>
      <c r="F332" s="7" t="str">
        <f>IFERROR(__xludf.DUMMYFUNCTION("""COMPUTED_VALUE"""),"President")</f>
        <v>President</v>
      </c>
    </row>
    <row r="333">
      <c r="A333" s="7" t="str">
        <f>IFERROR(__xludf.DUMMYFUNCTION("""COMPUTED_VALUE"""),"ESWATINI")</f>
        <v>ESWATINI</v>
      </c>
      <c r="B333" s="8">
        <f>IFERROR(__xludf.DUMMYFUNCTION("""COMPUTED_VALUE"""),10.0)</f>
        <v>10</v>
      </c>
      <c r="C333" s="7" t="str">
        <f>IFERROR(__xludf.DUMMYFUNCTION("""COMPUTED_VALUE"""),"B_01_05")</f>
        <v>B_01_05</v>
      </c>
      <c r="D333" s="7" t="str">
        <f>IFERROR(__xludf.DUMMYFUNCTION("""COMPUTED_VALUE"""),"Q29. ")</f>
        <v>Q29. </v>
      </c>
      <c r="E333" s="7" t="str">
        <f>IFERROR(__xludf.DUMMYFUNCTION("""COMPUTED_VALUE"""),"Presidential two term limit vs no term limits")</f>
        <v>Presidential two term limit vs no term limits</v>
      </c>
      <c r="F333" s="7" t="str">
        <f>IFERROR(__xludf.DUMMYFUNCTION("""COMPUTED_VALUE"""),"Prime Minister")</f>
        <v>Prime Minister</v>
      </c>
    </row>
    <row r="334">
      <c r="A334" s="7" t="str">
        <f>IFERROR(__xludf.DUMMYFUNCTION("""COMPUTED_VALUE"""),"GABON")</f>
        <v>GABON</v>
      </c>
      <c r="B334" s="8">
        <f>IFERROR(__xludf.DUMMYFUNCTION("""COMPUTED_VALUE"""),10.0)</f>
        <v>10</v>
      </c>
      <c r="C334" s="7" t="str">
        <f>IFERROR(__xludf.DUMMYFUNCTION("""COMPUTED_VALUE"""),"B_01_05")</f>
        <v>B_01_05</v>
      </c>
      <c r="D334" s="7" t="str">
        <f>IFERROR(__xludf.DUMMYFUNCTION("""COMPUTED_VALUE"""),"Q29. ")</f>
        <v>Q29. </v>
      </c>
      <c r="E334" s="7" t="str">
        <f>IFERROR(__xludf.DUMMYFUNCTION("""COMPUTED_VALUE"""),"Presidential two term limit vs no term limits")</f>
        <v>Presidential two term limit vs no term limits</v>
      </c>
      <c r="F334" s="7" t="str">
        <f>IFERROR(__xludf.DUMMYFUNCTION("""COMPUTED_VALUE"""),"President")</f>
        <v>President</v>
      </c>
    </row>
    <row r="335">
      <c r="A335" s="7" t="str">
        <f>IFERROR(__xludf.DUMMYFUNCTION("""COMPUTED_VALUE"""),"GAMBIA")</f>
        <v>GAMBIA</v>
      </c>
      <c r="B335" s="8">
        <f>IFERROR(__xludf.DUMMYFUNCTION("""COMPUTED_VALUE"""),10.0)</f>
        <v>10</v>
      </c>
      <c r="C335" s="7" t="str">
        <f>IFERROR(__xludf.DUMMYFUNCTION("""COMPUTED_VALUE"""),"B_01_05")</f>
        <v>B_01_05</v>
      </c>
      <c r="D335" s="7" t="str">
        <f>IFERROR(__xludf.DUMMYFUNCTION("""COMPUTED_VALUE"""),"Q29. ")</f>
        <v>Q29. </v>
      </c>
      <c r="E335" s="7" t="str">
        <f>IFERROR(__xludf.DUMMYFUNCTION("""COMPUTED_VALUE"""),"Presidential two term limit vs no term limits")</f>
        <v>Presidential two term limit vs no term limits</v>
      </c>
      <c r="F335" s="7" t="str">
        <f>IFERROR(__xludf.DUMMYFUNCTION("""COMPUTED_VALUE"""),"President")</f>
        <v>President</v>
      </c>
    </row>
    <row r="336">
      <c r="A336" s="7" t="str">
        <f>IFERROR(__xludf.DUMMYFUNCTION("""COMPUTED_VALUE"""),"GHANA ")</f>
        <v>GHANA </v>
      </c>
      <c r="B336" s="8">
        <f>IFERROR(__xludf.DUMMYFUNCTION("""COMPUTED_VALUE"""),10.0)</f>
        <v>10</v>
      </c>
      <c r="C336" s="7" t="str">
        <f>IFERROR(__xludf.DUMMYFUNCTION("""COMPUTED_VALUE"""),"B_01_05")</f>
        <v>B_01_05</v>
      </c>
      <c r="D336" s="7" t="str">
        <f>IFERROR(__xludf.DUMMYFUNCTION("""COMPUTED_VALUE"""),"Q29. ")</f>
        <v>Q29. </v>
      </c>
      <c r="E336" s="7" t="str">
        <f>IFERROR(__xludf.DUMMYFUNCTION("""COMPUTED_VALUE"""),"Presidential two term limit vs no term limits")</f>
        <v>Presidential two term limit vs no term limits</v>
      </c>
      <c r="F336" s="7" t="str">
        <f>IFERROR(__xludf.DUMMYFUNCTION("""COMPUTED_VALUE"""),"President")</f>
        <v>President</v>
      </c>
    </row>
    <row r="337">
      <c r="A337" s="7" t="str">
        <f>IFERROR(__xludf.DUMMYFUNCTION("""COMPUTED_VALUE"""),"GUINEA")</f>
        <v>GUINEA</v>
      </c>
      <c r="B337" s="8">
        <f>IFERROR(__xludf.DUMMYFUNCTION("""COMPUTED_VALUE"""),10.0)</f>
        <v>10</v>
      </c>
      <c r="C337" s="7" t="str">
        <f>IFERROR(__xludf.DUMMYFUNCTION("""COMPUTED_VALUE"""),"B_01_05")</f>
        <v>B_01_05</v>
      </c>
      <c r="D337" s="7" t="str">
        <f>IFERROR(__xludf.DUMMYFUNCTION("""COMPUTED_VALUE"""),"Q29. ")</f>
        <v>Q29. </v>
      </c>
      <c r="E337" s="7" t="str">
        <f>IFERROR(__xludf.DUMMYFUNCTION("""COMPUTED_VALUE"""),"Presidential two term limit vs no term limits")</f>
        <v>Presidential two term limit vs no term limits</v>
      </c>
      <c r="F337" s="7" t="str">
        <f>IFERROR(__xludf.DUMMYFUNCTION("""COMPUTED_VALUE"""),"President")</f>
        <v>President</v>
      </c>
    </row>
    <row r="338">
      <c r="A338" s="7" t="str">
        <f>IFERROR(__xludf.DUMMYFUNCTION("""COMPUTED_VALUE"""),"KENYA  ")</f>
        <v>KENYA  </v>
      </c>
      <c r="B338" s="8">
        <f>IFERROR(__xludf.DUMMYFUNCTION("""COMPUTED_VALUE"""),10.0)</f>
        <v>10</v>
      </c>
      <c r="C338" s="7" t="str">
        <f>IFERROR(__xludf.DUMMYFUNCTION("""COMPUTED_VALUE"""),"B_01_05")</f>
        <v>B_01_05</v>
      </c>
      <c r="D338" s="7" t="str">
        <f>IFERROR(__xludf.DUMMYFUNCTION("""COMPUTED_VALUE"""),"Q29. ")</f>
        <v>Q29. </v>
      </c>
      <c r="E338" s="7" t="str">
        <f>IFERROR(__xludf.DUMMYFUNCTION("""COMPUTED_VALUE"""),"Presidential two term limit vs no term limits")</f>
        <v>Presidential two term limit vs no term limits</v>
      </c>
      <c r="F338" s="7" t="str">
        <f>IFERROR(__xludf.DUMMYFUNCTION("""COMPUTED_VALUE"""),"President")</f>
        <v>President</v>
      </c>
    </row>
    <row r="339">
      <c r="A339" s="7" t="str">
        <f>IFERROR(__xludf.DUMMYFUNCTION("""COMPUTED_VALUE"""),"LESOTHO ")</f>
        <v>LESOTHO </v>
      </c>
      <c r="B339" s="8">
        <f>IFERROR(__xludf.DUMMYFUNCTION("""COMPUTED_VALUE"""),10.0)</f>
        <v>10</v>
      </c>
      <c r="C339" s="7" t="str">
        <f>IFERROR(__xludf.DUMMYFUNCTION("""COMPUTED_VALUE"""),"B_01_05")</f>
        <v>B_01_05</v>
      </c>
      <c r="D339" s="7" t="str">
        <f>IFERROR(__xludf.DUMMYFUNCTION("""COMPUTED_VALUE"""),"Q29. ")</f>
        <v>Q29. </v>
      </c>
      <c r="E339" s="7" t="str">
        <f>IFERROR(__xludf.DUMMYFUNCTION("""COMPUTED_VALUE"""),"Presidential two term limit vs no term limits")</f>
        <v>Presidential two term limit vs no term limits</v>
      </c>
      <c r="F339" s="7" t="str">
        <f>IFERROR(__xludf.DUMMYFUNCTION("""COMPUTED_VALUE"""),"Prime Minister")</f>
        <v>Prime Minister</v>
      </c>
    </row>
    <row r="340">
      <c r="A340" s="7" t="str">
        <f>IFERROR(__xludf.DUMMYFUNCTION("""COMPUTED_VALUE"""),"LIBERIA  ")</f>
        <v>LIBERIA  </v>
      </c>
      <c r="B340" s="8">
        <f>IFERROR(__xludf.DUMMYFUNCTION("""COMPUTED_VALUE"""),10.0)</f>
        <v>10</v>
      </c>
      <c r="C340" s="7" t="str">
        <f>IFERROR(__xludf.DUMMYFUNCTION("""COMPUTED_VALUE"""),"B_01_05")</f>
        <v>B_01_05</v>
      </c>
      <c r="D340" s="7" t="str">
        <f>IFERROR(__xludf.DUMMYFUNCTION("""COMPUTED_VALUE"""),"Q29. ")</f>
        <v>Q29. </v>
      </c>
      <c r="E340" s="7" t="str">
        <f>IFERROR(__xludf.DUMMYFUNCTION("""COMPUTED_VALUE"""),"Presidential two term limit vs no term limits")</f>
        <v>Presidential two term limit vs no term limits</v>
      </c>
      <c r="F340" s="7" t="str">
        <f>IFERROR(__xludf.DUMMYFUNCTION("""COMPUTED_VALUE"""),"President")</f>
        <v>President</v>
      </c>
    </row>
    <row r="341">
      <c r="A341" s="7" t="str">
        <f>IFERROR(__xludf.DUMMYFUNCTION("""COMPUTED_VALUE"""),"MADAGASCAR")</f>
        <v>MADAGASCAR</v>
      </c>
      <c r="B341" s="8">
        <f>IFERROR(__xludf.DUMMYFUNCTION("""COMPUTED_VALUE"""),10.0)</f>
        <v>10</v>
      </c>
      <c r="C341" s="7" t="str">
        <f>IFERROR(__xludf.DUMMYFUNCTION("""COMPUTED_VALUE"""),"B_01_05")</f>
        <v>B_01_05</v>
      </c>
      <c r="D341" s="7" t="str">
        <f>IFERROR(__xludf.DUMMYFUNCTION("""COMPUTED_VALUE"""),"Q29. ")</f>
        <v>Q29. </v>
      </c>
      <c r="E341" s="7" t="str">
        <f>IFERROR(__xludf.DUMMYFUNCTION("""COMPUTED_VALUE"""),"Presidential two term limit vs no term limits")</f>
        <v>Presidential two term limit vs no term limits</v>
      </c>
      <c r="F341" s="7" t="str">
        <f>IFERROR(__xludf.DUMMYFUNCTION("""COMPUTED_VALUE"""),"President")</f>
        <v>President</v>
      </c>
    </row>
    <row r="342">
      <c r="A342" s="7" t="str">
        <f>IFERROR(__xludf.DUMMYFUNCTION("""COMPUTED_VALUE"""),"MALAWI ")</f>
        <v>MALAWI </v>
      </c>
      <c r="B342" s="8">
        <f>IFERROR(__xludf.DUMMYFUNCTION("""COMPUTED_VALUE"""),10.0)</f>
        <v>10</v>
      </c>
      <c r="C342" s="7" t="str">
        <f>IFERROR(__xludf.DUMMYFUNCTION("""COMPUTED_VALUE"""),"B_01_05")</f>
        <v>B_01_05</v>
      </c>
      <c r="D342" s="7" t="str">
        <f>IFERROR(__xludf.DUMMYFUNCTION("""COMPUTED_VALUE"""),"Q29. ")</f>
        <v>Q29. </v>
      </c>
      <c r="E342" s="7" t="str">
        <f>IFERROR(__xludf.DUMMYFUNCTION("""COMPUTED_VALUE"""),"Presidential two term limit vs no term limits")</f>
        <v>Presidential two term limit vs no term limits</v>
      </c>
      <c r="F342" s="7" t="str">
        <f>IFERROR(__xludf.DUMMYFUNCTION("""COMPUTED_VALUE"""),"President")</f>
        <v>President</v>
      </c>
    </row>
    <row r="343">
      <c r="A343" s="7" t="str">
        <f>IFERROR(__xludf.DUMMYFUNCTION("""COMPUTED_VALUE"""),"MALI")</f>
        <v>MALI</v>
      </c>
      <c r="B343" s="8">
        <f>IFERROR(__xludf.DUMMYFUNCTION("""COMPUTED_VALUE"""),10.0)</f>
        <v>10</v>
      </c>
      <c r="C343" s="7" t="str">
        <f>IFERROR(__xludf.DUMMYFUNCTION("""COMPUTED_VALUE"""),"B_01_05")</f>
        <v>B_01_05</v>
      </c>
      <c r="D343" s="7" t="str">
        <f>IFERROR(__xludf.DUMMYFUNCTION("""COMPUTED_VALUE"""),"Q29. ")</f>
        <v>Q29. </v>
      </c>
      <c r="E343" s="7" t="str">
        <f>IFERROR(__xludf.DUMMYFUNCTION("""COMPUTED_VALUE"""),"Presidential two term limit vs no term limits")</f>
        <v>Presidential two term limit vs no term limits</v>
      </c>
      <c r="F343" s="7" t="str">
        <f>IFERROR(__xludf.DUMMYFUNCTION("""COMPUTED_VALUE"""),"President")</f>
        <v>President</v>
      </c>
    </row>
    <row r="344">
      <c r="A344" s="7" t="str">
        <f>IFERROR(__xludf.DUMMYFUNCTION("""COMPUTED_VALUE"""),"MAURITANIA")</f>
        <v>MAURITANIA</v>
      </c>
      <c r="B344" s="8">
        <f>IFERROR(__xludf.DUMMYFUNCTION("""COMPUTED_VALUE"""),10.0)</f>
        <v>10</v>
      </c>
      <c r="C344" s="7" t="str">
        <f>IFERROR(__xludf.DUMMYFUNCTION("""COMPUTED_VALUE"""),"B_01_05")</f>
        <v>B_01_05</v>
      </c>
      <c r="D344" s="7" t="str">
        <f>IFERROR(__xludf.DUMMYFUNCTION("""COMPUTED_VALUE"""),"Q29. ")</f>
        <v>Q29. </v>
      </c>
      <c r="E344" s="7" t="str">
        <f>IFERROR(__xludf.DUMMYFUNCTION("""COMPUTED_VALUE"""),"Presidential two term limit vs no term limits")</f>
        <v>Presidential two term limit vs no term limits</v>
      </c>
      <c r="F344" s="7" t="str">
        <f>IFERROR(__xludf.DUMMYFUNCTION("""COMPUTED_VALUE"""),"President")</f>
        <v>President</v>
      </c>
    </row>
    <row r="345">
      <c r="A345" s="7" t="str">
        <f>IFERROR(__xludf.DUMMYFUNCTION("""COMPUTED_VALUE"""),"MAURITIUS")</f>
        <v>MAURITIUS</v>
      </c>
      <c r="B345" s="8">
        <f>IFERROR(__xludf.DUMMYFUNCTION("""COMPUTED_VALUE"""),10.0)</f>
        <v>10</v>
      </c>
      <c r="C345" s="7" t="str">
        <f>IFERROR(__xludf.DUMMYFUNCTION("""COMPUTED_VALUE"""),"B_01_05")</f>
        <v>B_01_05</v>
      </c>
      <c r="D345" s="7" t="str">
        <f>IFERROR(__xludf.DUMMYFUNCTION("""COMPUTED_VALUE"""),"Q29. ")</f>
        <v>Q29. </v>
      </c>
      <c r="E345" s="7" t="str">
        <f>IFERROR(__xludf.DUMMYFUNCTION("""COMPUTED_VALUE"""),"Presidential two term limit vs no term limits")</f>
        <v>Presidential two term limit vs no term limits</v>
      </c>
      <c r="F345" s="7" t="str">
        <f>IFERROR(__xludf.DUMMYFUNCTION("""COMPUTED_VALUE"""),"Prime Minister ")</f>
        <v>Prime Minister </v>
      </c>
    </row>
    <row r="346">
      <c r="A346" s="7" t="str">
        <f>IFERROR(__xludf.DUMMYFUNCTION("""COMPUTED_VALUE"""),"MOROCCO ")</f>
        <v>MOROCCO </v>
      </c>
      <c r="B346" s="8">
        <f>IFERROR(__xludf.DUMMYFUNCTION("""COMPUTED_VALUE"""),10.0)</f>
        <v>10</v>
      </c>
      <c r="C346" s="7" t="str">
        <f>IFERROR(__xludf.DUMMYFUNCTION("""COMPUTED_VALUE"""),"B_01_05")</f>
        <v>B_01_05</v>
      </c>
      <c r="D346" s="7" t="str">
        <f>IFERROR(__xludf.DUMMYFUNCTION("""COMPUTED_VALUE"""),"Q29. ")</f>
        <v>Q29. </v>
      </c>
      <c r="E346" s="7" t="str">
        <f>IFERROR(__xludf.DUMMYFUNCTION("""COMPUTED_VALUE"""),"Presidential two term limit vs no term limits")</f>
        <v>Presidential two term limit vs no term limits</v>
      </c>
      <c r="F346" s="7" t="str">
        <f>IFERROR(__xludf.DUMMYFUNCTION("""COMPUTED_VALUE"""),"President")</f>
        <v>President</v>
      </c>
    </row>
    <row r="347">
      <c r="A347" s="7" t="str">
        <f>IFERROR(__xludf.DUMMYFUNCTION("""COMPUTED_VALUE"""),"MOZAMBIQUE")</f>
        <v>MOZAMBIQUE</v>
      </c>
      <c r="B347" s="8">
        <f>IFERROR(__xludf.DUMMYFUNCTION("""COMPUTED_VALUE"""),10.0)</f>
        <v>10</v>
      </c>
      <c r="C347" s="7" t="str">
        <f>IFERROR(__xludf.DUMMYFUNCTION("""COMPUTED_VALUE"""),"B_01_05")</f>
        <v>B_01_05</v>
      </c>
      <c r="D347" s="7" t="str">
        <f>IFERROR(__xludf.DUMMYFUNCTION("""COMPUTED_VALUE"""),"Q29. ")</f>
        <v>Q29. </v>
      </c>
      <c r="E347" s="7" t="str">
        <f>IFERROR(__xludf.DUMMYFUNCTION("""COMPUTED_VALUE"""),"Presidential two term limit vs no term limits")</f>
        <v>Presidential two term limit vs no term limits</v>
      </c>
      <c r="F347" s="7" t="str">
        <f>IFERROR(__xludf.DUMMYFUNCTION("""COMPUTED_VALUE"""),"President")</f>
        <v>President</v>
      </c>
    </row>
    <row r="348">
      <c r="A348" s="7" t="str">
        <f>IFERROR(__xludf.DUMMYFUNCTION("""COMPUTED_VALUE"""),"NAMIBIA ")</f>
        <v>NAMIBIA </v>
      </c>
      <c r="B348" s="8">
        <f>IFERROR(__xludf.DUMMYFUNCTION("""COMPUTED_VALUE"""),10.0)</f>
        <v>10</v>
      </c>
      <c r="C348" s="7" t="str">
        <f>IFERROR(__xludf.DUMMYFUNCTION("""COMPUTED_VALUE"""),"B_01_05")</f>
        <v>B_01_05</v>
      </c>
      <c r="D348" s="7" t="str">
        <f>IFERROR(__xludf.DUMMYFUNCTION("""COMPUTED_VALUE"""),"Q29. ")</f>
        <v>Q29. </v>
      </c>
      <c r="E348" s="7" t="str">
        <f>IFERROR(__xludf.DUMMYFUNCTION("""COMPUTED_VALUE"""),"Presidential two term limit vs no term limits")</f>
        <v>Presidential two term limit vs no term limits</v>
      </c>
      <c r="F348" s="7" t="str">
        <f>IFERROR(__xludf.DUMMYFUNCTION("""COMPUTED_VALUE"""),"President")</f>
        <v>President</v>
      </c>
    </row>
    <row r="349">
      <c r="A349" s="7" t="str">
        <f>IFERROR(__xludf.DUMMYFUNCTION("""COMPUTED_VALUE"""),"NIGERIA ")</f>
        <v>NIGERIA </v>
      </c>
      <c r="B349" s="8">
        <f>IFERROR(__xludf.DUMMYFUNCTION("""COMPUTED_VALUE"""),10.0)</f>
        <v>10</v>
      </c>
      <c r="C349" s="7" t="str">
        <f>IFERROR(__xludf.DUMMYFUNCTION("""COMPUTED_VALUE"""),"B_01_05")</f>
        <v>B_01_05</v>
      </c>
      <c r="D349" s="7" t="str">
        <f>IFERROR(__xludf.DUMMYFUNCTION("""COMPUTED_VALUE"""),"Q29. ")</f>
        <v>Q29. </v>
      </c>
      <c r="E349" s="7" t="str">
        <f>IFERROR(__xludf.DUMMYFUNCTION("""COMPUTED_VALUE"""),"Presidential two term limit vs no term limits")</f>
        <v>Presidential two term limit vs no term limits</v>
      </c>
      <c r="F349" s="7" t="str">
        <f>IFERROR(__xludf.DUMMYFUNCTION("""COMPUTED_VALUE"""),"President")</f>
        <v>President</v>
      </c>
    </row>
    <row r="350">
      <c r="A350" s="7" t="str">
        <f>IFERROR(__xludf.DUMMYFUNCTION("""COMPUTED_VALUE"""),"SAO TOME AND PRINCIPE")</f>
        <v>SAO TOME AND PRINCIPE</v>
      </c>
      <c r="B350" s="8">
        <f>IFERROR(__xludf.DUMMYFUNCTION("""COMPUTED_VALUE"""),10.0)</f>
        <v>10</v>
      </c>
      <c r="C350" s="7" t="str">
        <f>IFERROR(__xludf.DUMMYFUNCTION("""COMPUTED_VALUE"""),"B_01_05")</f>
        <v>B_01_05</v>
      </c>
      <c r="D350" s="7" t="str">
        <f>IFERROR(__xludf.DUMMYFUNCTION("""COMPUTED_VALUE"""),"Q29. ")</f>
        <v>Q29. </v>
      </c>
      <c r="E350" s="7" t="str">
        <f>IFERROR(__xludf.DUMMYFUNCTION("""COMPUTED_VALUE"""),"Presidential two term limit vs no term limits")</f>
        <v>Presidential two term limit vs no term limits</v>
      </c>
      <c r="F350" s="7" t="str">
        <f>IFERROR(__xludf.DUMMYFUNCTION("""COMPUTED_VALUE"""),"President")</f>
        <v>President</v>
      </c>
    </row>
    <row r="351">
      <c r="A351" s="7" t="str">
        <f>IFERROR(__xludf.DUMMYFUNCTION("""COMPUTED_VALUE"""),"SENEGAL")</f>
        <v>SENEGAL</v>
      </c>
      <c r="B351" s="8">
        <f>IFERROR(__xludf.DUMMYFUNCTION("""COMPUTED_VALUE"""),10.0)</f>
        <v>10</v>
      </c>
      <c r="C351" s="7" t="str">
        <f>IFERROR(__xludf.DUMMYFUNCTION("""COMPUTED_VALUE"""),"B_01_05")</f>
        <v>B_01_05</v>
      </c>
      <c r="D351" s="7" t="str">
        <f>IFERROR(__xludf.DUMMYFUNCTION("""COMPUTED_VALUE"""),"Q29. ")</f>
        <v>Q29. </v>
      </c>
      <c r="E351" s="7" t="str">
        <f>IFERROR(__xludf.DUMMYFUNCTION("""COMPUTED_VALUE"""),"Presidential two term limit vs no term limits")</f>
        <v>Presidential two term limit vs no term limits</v>
      </c>
      <c r="F351" s="7" t="str">
        <f>IFERROR(__xludf.DUMMYFUNCTION("""COMPUTED_VALUE"""),"President")</f>
        <v>President</v>
      </c>
    </row>
    <row r="352">
      <c r="A352" s="7" t="str">
        <f>IFERROR(__xludf.DUMMYFUNCTION("""COMPUTED_VALUE"""),"SEYCHELLES")</f>
        <v>SEYCHELLES</v>
      </c>
      <c r="B352" s="8">
        <f>IFERROR(__xludf.DUMMYFUNCTION("""COMPUTED_VALUE"""),10.0)</f>
        <v>10</v>
      </c>
      <c r="C352" s="7" t="str">
        <f>IFERROR(__xludf.DUMMYFUNCTION("""COMPUTED_VALUE"""),"B_01_05")</f>
        <v>B_01_05</v>
      </c>
      <c r="D352" s="7" t="str">
        <f>IFERROR(__xludf.DUMMYFUNCTION("""COMPUTED_VALUE"""),"Q29. ")</f>
        <v>Q29. </v>
      </c>
      <c r="E352" s="7" t="str">
        <f>IFERROR(__xludf.DUMMYFUNCTION("""COMPUTED_VALUE"""),"Presidential two term limit vs no term limits")</f>
        <v>Presidential two term limit vs no term limits</v>
      </c>
      <c r="F352" s="7" t="str">
        <f>IFERROR(__xludf.DUMMYFUNCTION("""COMPUTED_VALUE"""),"President")</f>
        <v>President</v>
      </c>
    </row>
    <row r="353">
      <c r="A353" s="7" t="str">
        <f>IFERROR(__xludf.DUMMYFUNCTION("""COMPUTED_VALUE"""),"SOUTH AFRICA")</f>
        <v>SOUTH AFRICA</v>
      </c>
      <c r="B353" s="8">
        <f>IFERROR(__xludf.DUMMYFUNCTION("""COMPUTED_VALUE"""),10.0)</f>
        <v>10</v>
      </c>
      <c r="C353" s="7" t="str">
        <f>IFERROR(__xludf.DUMMYFUNCTION("""COMPUTED_VALUE"""),"B_01_05")</f>
        <v>B_01_05</v>
      </c>
      <c r="D353" s="7" t="str">
        <f>IFERROR(__xludf.DUMMYFUNCTION("""COMPUTED_VALUE"""),"Q29. ")</f>
        <v>Q29. </v>
      </c>
      <c r="E353" s="7" t="str">
        <f>IFERROR(__xludf.DUMMYFUNCTION("""COMPUTED_VALUE"""),"Presidential two term limit vs no term limits")</f>
        <v>Presidential two term limit vs no term limits</v>
      </c>
      <c r="F353" s="7" t="str">
        <f>IFERROR(__xludf.DUMMYFUNCTION("""COMPUTED_VALUE"""),"President")</f>
        <v>President</v>
      </c>
    </row>
    <row r="354">
      <c r="A354" s="7" t="str">
        <f>IFERROR(__xludf.DUMMYFUNCTION("""COMPUTED_VALUE"""),"TANZANIA")</f>
        <v>TANZANIA</v>
      </c>
      <c r="B354" s="8">
        <f>IFERROR(__xludf.DUMMYFUNCTION("""COMPUTED_VALUE"""),10.0)</f>
        <v>10</v>
      </c>
      <c r="C354" s="7" t="str">
        <f>IFERROR(__xludf.DUMMYFUNCTION("""COMPUTED_VALUE"""),"B_01_05")</f>
        <v>B_01_05</v>
      </c>
      <c r="D354" s="7" t="str">
        <f>IFERROR(__xludf.DUMMYFUNCTION("""COMPUTED_VALUE"""),"Q29. ")</f>
        <v>Q29. </v>
      </c>
      <c r="E354" s="7" t="str">
        <f>IFERROR(__xludf.DUMMYFUNCTION("""COMPUTED_VALUE"""),"Presidential two term limit vs no term limits")</f>
        <v>Presidential two term limit vs no term limits</v>
      </c>
      <c r="F354" s="7" t="str">
        <f>IFERROR(__xludf.DUMMYFUNCTION("""COMPUTED_VALUE"""),"President")</f>
        <v>President</v>
      </c>
    </row>
    <row r="355">
      <c r="A355" s="7" t="str">
        <f>IFERROR(__xludf.DUMMYFUNCTION("""COMPUTED_VALUE"""),"TOGO ")</f>
        <v>TOGO </v>
      </c>
      <c r="B355" s="8">
        <f>IFERROR(__xludf.DUMMYFUNCTION("""COMPUTED_VALUE"""),10.0)</f>
        <v>10</v>
      </c>
      <c r="C355" s="7" t="str">
        <f>IFERROR(__xludf.DUMMYFUNCTION("""COMPUTED_VALUE"""),"B_01_05")</f>
        <v>B_01_05</v>
      </c>
      <c r="D355" s="7" t="str">
        <f>IFERROR(__xludf.DUMMYFUNCTION("""COMPUTED_VALUE"""),"Q29. ")</f>
        <v>Q29. </v>
      </c>
      <c r="E355" s="7" t="str">
        <f>IFERROR(__xludf.DUMMYFUNCTION("""COMPUTED_VALUE"""),"Presidential two term limit vs no term limits")</f>
        <v>Presidential two term limit vs no term limits</v>
      </c>
      <c r="F355" s="7" t="str">
        <f>IFERROR(__xludf.DUMMYFUNCTION("""COMPUTED_VALUE"""),"President")</f>
        <v>President</v>
      </c>
    </row>
    <row r="356">
      <c r="A356" s="7" t="str">
        <f>IFERROR(__xludf.DUMMYFUNCTION("""COMPUTED_VALUE"""),"TUNISIA ")</f>
        <v>TUNISIA </v>
      </c>
      <c r="B356" s="8">
        <f>IFERROR(__xludf.DUMMYFUNCTION("""COMPUTED_VALUE"""),10.0)</f>
        <v>10</v>
      </c>
      <c r="C356" s="7" t="str">
        <f>IFERROR(__xludf.DUMMYFUNCTION("""COMPUTED_VALUE"""),"B_01_05")</f>
        <v>B_01_05</v>
      </c>
      <c r="D356" s="7" t="str">
        <f>IFERROR(__xludf.DUMMYFUNCTION("""COMPUTED_VALUE"""),"Q29. ")</f>
        <v>Q29. </v>
      </c>
      <c r="E356" s="7" t="str">
        <f>IFERROR(__xludf.DUMMYFUNCTION("""COMPUTED_VALUE"""),"Presidential two term limit vs no term limits")</f>
        <v>Presidential two term limit vs no term limits</v>
      </c>
      <c r="F356" s="7" t="str">
        <f>IFERROR(__xludf.DUMMYFUNCTION("""COMPUTED_VALUE"""),"President")</f>
        <v>President</v>
      </c>
    </row>
    <row r="357">
      <c r="A357" s="7" t="str">
        <f>IFERROR(__xludf.DUMMYFUNCTION("""COMPUTED_VALUE"""),"UGANDA  ")</f>
        <v>UGANDA  </v>
      </c>
      <c r="B357" s="8">
        <f>IFERROR(__xludf.DUMMYFUNCTION("""COMPUTED_VALUE"""),10.0)</f>
        <v>10</v>
      </c>
      <c r="C357" s="7" t="str">
        <f>IFERROR(__xludf.DUMMYFUNCTION("""COMPUTED_VALUE"""),"B_01_05")</f>
        <v>B_01_05</v>
      </c>
      <c r="D357" s="7" t="str">
        <f>IFERROR(__xludf.DUMMYFUNCTION("""COMPUTED_VALUE"""),"Q29. ")</f>
        <v>Q29. </v>
      </c>
      <c r="E357" s="7" t="str">
        <f>IFERROR(__xludf.DUMMYFUNCTION("""COMPUTED_VALUE"""),"Presidential two term limit vs no term limits")</f>
        <v>Presidential two term limit vs no term limits</v>
      </c>
      <c r="F357" s="7" t="str">
        <f>IFERROR(__xludf.DUMMYFUNCTION("""COMPUTED_VALUE"""),"President")</f>
        <v>President</v>
      </c>
    </row>
    <row r="358">
      <c r="A358" s="7" t="str">
        <f>IFERROR(__xludf.DUMMYFUNCTION("""COMPUTED_VALUE"""),"ZAMBIA")</f>
        <v>ZAMBIA</v>
      </c>
      <c r="B358" s="8">
        <f>IFERROR(__xludf.DUMMYFUNCTION("""COMPUTED_VALUE"""),10.0)</f>
        <v>10</v>
      </c>
      <c r="C358" s="7" t="str">
        <f>IFERROR(__xludf.DUMMYFUNCTION("""COMPUTED_VALUE"""),"B_01_05")</f>
        <v>B_01_05</v>
      </c>
      <c r="D358" s="7" t="str">
        <f>IFERROR(__xludf.DUMMYFUNCTION("""COMPUTED_VALUE"""),"Q29. ")</f>
        <v>Q29. </v>
      </c>
      <c r="E358" s="7" t="str">
        <f>IFERROR(__xludf.DUMMYFUNCTION("""COMPUTED_VALUE"""),"Presidential two term limit vs no term limits")</f>
        <v>Presidential two term limit vs no term limits</v>
      </c>
      <c r="F358" s="7" t="str">
        <f>IFERROR(__xludf.DUMMYFUNCTION("""COMPUTED_VALUE"""),"President")</f>
        <v>President</v>
      </c>
    </row>
    <row r="359">
      <c r="A359" s="7" t="str">
        <f>IFERROR(__xludf.DUMMYFUNCTION("""COMPUTED_VALUE"""),"ZIMBABWE")</f>
        <v>ZIMBABWE</v>
      </c>
      <c r="B359" s="8">
        <f>IFERROR(__xludf.DUMMYFUNCTION("""COMPUTED_VALUE"""),10.0)</f>
        <v>10</v>
      </c>
      <c r="C359" s="7" t="str">
        <f>IFERROR(__xludf.DUMMYFUNCTION("""COMPUTED_VALUE"""),"B_01_05")</f>
        <v>B_01_05</v>
      </c>
      <c r="D359" s="7" t="str">
        <f>IFERROR(__xludf.DUMMYFUNCTION("""COMPUTED_VALUE"""),"Q29. ")</f>
        <v>Q29. </v>
      </c>
      <c r="E359" s="7" t="str">
        <f>IFERROR(__xludf.DUMMYFUNCTION("""COMPUTED_VALUE"""),"Presidential two term limit vs no term limits")</f>
        <v>Presidential two term limit vs no term limits</v>
      </c>
      <c r="F359" s="7" t="str">
        <f>IFERROR(__xludf.DUMMYFUNCTION("""COMPUTED_VALUE"""),"President")</f>
        <v>President</v>
      </c>
    </row>
    <row r="360">
      <c r="A360" s="7" t="str">
        <f>IFERROR(__xludf.DUMMYFUNCTION("""COMPUTED_VALUE"""),"ANGOLA ")</f>
        <v>ANGOLA </v>
      </c>
      <c r="B360" s="8">
        <f>IFERROR(__xludf.DUMMYFUNCTION("""COMPUTED_VALUE"""),10.0)</f>
        <v>10</v>
      </c>
      <c r="C360" s="7" t="str">
        <f>IFERROR(__xludf.DUMMYFUNCTION("""COMPUTED_VALUE"""),"B_06_03")</f>
        <v>B_06_03</v>
      </c>
      <c r="D360" s="7" t="str">
        <f>IFERROR(__xludf.DUMMYFUNCTION("""COMPUTED_VALUE"""),"Q31a. ")</f>
        <v>Q31a. </v>
      </c>
      <c r="E360" s="7" t="str">
        <f>IFERROR(__xludf.DUMMYFUNCTION("""COMPUTED_VALUE"""),"Armed forces never intervene vs when leaders abuse power")</f>
        <v>Armed forces never intervene vs when leaders abuse power</v>
      </c>
      <c r="F360" s="7" t="str">
        <f>IFERROR(__xludf.DUMMYFUNCTION("""COMPUTED_VALUE"""),"Angola's Armed Forces")</f>
        <v>Angola's Armed Forces</v>
      </c>
    </row>
    <row r="361">
      <c r="A361" s="7" t="str">
        <f>IFERROR(__xludf.DUMMYFUNCTION("""COMPUTED_VALUE"""),"BENIN")</f>
        <v>BENIN</v>
      </c>
      <c r="B361" s="8">
        <f>IFERROR(__xludf.DUMMYFUNCTION("""COMPUTED_VALUE"""),10.0)</f>
        <v>10</v>
      </c>
      <c r="C361" s="7" t="str">
        <f>IFERROR(__xludf.DUMMYFUNCTION("""COMPUTED_VALUE"""),"B_06_03")</f>
        <v>B_06_03</v>
      </c>
      <c r="D361" s="7" t="str">
        <f>IFERROR(__xludf.DUMMYFUNCTION("""COMPUTED_VALUE"""),"Q31a. ")</f>
        <v>Q31a. </v>
      </c>
      <c r="E361" s="7" t="str">
        <f>IFERROR(__xludf.DUMMYFUNCTION("""COMPUTED_VALUE"""),"Armed forces never intervene vs when leaders abuse power")</f>
        <v>Armed forces never intervene vs when leaders abuse power</v>
      </c>
      <c r="F361" s="7" t="str">
        <f>IFERROR(__xludf.DUMMYFUNCTION("""COMPUTED_VALUE"""),"Armed Forces of Benin")</f>
        <v>Armed Forces of Benin</v>
      </c>
    </row>
    <row r="362">
      <c r="A362" s="7" t="str">
        <f>IFERROR(__xludf.DUMMYFUNCTION("""COMPUTED_VALUE"""),"BOTSWANA ")</f>
        <v>BOTSWANA </v>
      </c>
      <c r="B362" s="8">
        <f>IFERROR(__xludf.DUMMYFUNCTION("""COMPUTED_VALUE"""),10.0)</f>
        <v>10</v>
      </c>
      <c r="C362" s="7" t="str">
        <f>IFERROR(__xludf.DUMMYFUNCTION("""COMPUTED_VALUE"""),"B_06_03")</f>
        <v>B_06_03</v>
      </c>
      <c r="D362" s="7" t="str">
        <f>IFERROR(__xludf.DUMMYFUNCTION("""COMPUTED_VALUE"""),"Q31a. ")</f>
        <v>Q31a. </v>
      </c>
      <c r="E362" s="7" t="str">
        <f>IFERROR(__xludf.DUMMYFUNCTION("""COMPUTED_VALUE"""),"Armed forces never intervene vs when leaders abuse power")</f>
        <v>Armed forces never intervene vs when leaders abuse power</v>
      </c>
      <c r="F362" s="7" t="str">
        <f>IFERROR(__xludf.DUMMYFUNCTION("""COMPUTED_VALUE"""),"Botswana’s Armed Forces")</f>
        <v>Botswana’s Armed Forces</v>
      </c>
    </row>
    <row r="363">
      <c r="A363" s="7" t="str">
        <f>IFERROR(__xludf.DUMMYFUNCTION("""COMPUTED_VALUE"""),"CABO VERDE ")</f>
        <v>CABO VERDE </v>
      </c>
      <c r="B363" s="8">
        <f>IFERROR(__xludf.DUMMYFUNCTION("""COMPUTED_VALUE"""),10.0)</f>
        <v>10</v>
      </c>
      <c r="C363" s="7" t="str">
        <f>IFERROR(__xludf.DUMMYFUNCTION("""COMPUTED_VALUE"""),"B_06_03")</f>
        <v>B_06_03</v>
      </c>
      <c r="D363" s="7" t="str">
        <f>IFERROR(__xludf.DUMMYFUNCTION("""COMPUTED_VALUE"""),"Q31a. ")</f>
        <v>Q31a. </v>
      </c>
      <c r="E363" s="7" t="str">
        <f>IFERROR(__xludf.DUMMYFUNCTION("""COMPUTED_VALUE"""),"Armed forces never intervene vs when leaders abuse power")</f>
        <v>Armed forces never intervene vs when leaders abuse power</v>
      </c>
      <c r="F363" s="7" t="str">
        <f>IFERROR(__xludf.DUMMYFUNCTION("""COMPUTED_VALUE"""),"Cabo Verde’s armed forces")</f>
        <v>Cabo Verde’s armed forces</v>
      </c>
    </row>
    <row r="364">
      <c r="A364" s="7" t="str">
        <f>IFERROR(__xludf.DUMMYFUNCTION("""COMPUTED_VALUE"""),"CAMEROON")</f>
        <v>CAMEROON</v>
      </c>
      <c r="B364" s="8">
        <f>IFERROR(__xludf.DUMMYFUNCTION("""COMPUTED_VALUE"""),10.0)</f>
        <v>10</v>
      </c>
      <c r="C364" s="7" t="str">
        <f>IFERROR(__xludf.DUMMYFUNCTION("""COMPUTED_VALUE"""),"B_06_03")</f>
        <v>B_06_03</v>
      </c>
      <c r="D364" s="7" t="str">
        <f>IFERROR(__xludf.DUMMYFUNCTION("""COMPUTED_VALUE"""),"Q31a. ")</f>
        <v>Q31a. </v>
      </c>
      <c r="E364" s="7" t="str">
        <f>IFERROR(__xludf.DUMMYFUNCTION("""COMPUTED_VALUE"""),"Armed forces never intervene vs when leaders abuse power")</f>
        <v>Armed forces never intervene vs when leaders abuse power</v>
      </c>
      <c r="F364" s="7" t="str">
        <f>IFERROR(__xludf.DUMMYFUNCTION("""COMPUTED_VALUE"""),"The armed forces of Cameroon")</f>
        <v>The armed forces of Cameroon</v>
      </c>
    </row>
    <row r="365">
      <c r="A365" s="7" t="str">
        <f>IFERROR(__xludf.DUMMYFUNCTION("""COMPUTED_VALUE"""),"CHAD")</f>
        <v>CHAD</v>
      </c>
      <c r="B365" s="8">
        <f>IFERROR(__xludf.DUMMYFUNCTION("""COMPUTED_VALUE"""),10.0)</f>
        <v>10</v>
      </c>
      <c r="C365" s="7" t="str">
        <f>IFERROR(__xludf.DUMMYFUNCTION("""COMPUTED_VALUE"""),"B_06_03")</f>
        <v>B_06_03</v>
      </c>
      <c r="D365" s="7" t="str">
        <f>IFERROR(__xludf.DUMMYFUNCTION("""COMPUTED_VALUE"""),"Q31a. ")</f>
        <v>Q31a. </v>
      </c>
      <c r="E365" s="7" t="str">
        <f>IFERROR(__xludf.DUMMYFUNCTION("""COMPUTED_VALUE"""),"Armed forces never intervene vs when leaders abuse power")</f>
        <v>Armed forces never intervene vs when leaders abuse power</v>
      </c>
      <c r="F365" s="7" t="str">
        <f>IFERROR(__xludf.DUMMYFUNCTION("""COMPUTED_VALUE"""),"Chad's Armed Forces")</f>
        <v>Chad's Armed Forces</v>
      </c>
    </row>
    <row r="366">
      <c r="A366" s="7" t="str">
        <f>IFERROR(__xludf.DUMMYFUNCTION("""COMPUTED_VALUE"""),"COMOROS")</f>
        <v>COMOROS</v>
      </c>
      <c r="B366" s="8">
        <f>IFERROR(__xludf.DUMMYFUNCTION("""COMPUTED_VALUE"""),10.0)</f>
        <v>10</v>
      </c>
      <c r="C366" s="7" t="str">
        <f>IFERROR(__xludf.DUMMYFUNCTION("""COMPUTED_VALUE"""),"B_06_03")</f>
        <v>B_06_03</v>
      </c>
      <c r="D366" s="7" t="str">
        <f>IFERROR(__xludf.DUMMYFUNCTION("""COMPUTED_VALUE"""),"Q31a. ")</f>
        <v>Q31a. </v>
      </c>
      <c r="E366" s="7" t="str">
        <f>IFERROR(__xludf.DUMMYFUNCTION("""COMPUTED_VALUE"""),"Armed forces never intervene vs when leaders abuse power")</f>
        <v>Armed forces never intervene vs when leaders abuse power</v>
      </c>
      <c r="F366" s="7" t="str">
        <f>IFERROR(__xludf.DUMMYFUNCTION("""COMPUTED_VALUE"""),"The armed forces of the Comoros")</f>
        <v>The armed forces of the Comoros</v>
      </c>
    </row>
    <row r="367">
      <c r="A367" s="7" t="str">
        <f>IFERROR(__xludf.DUMMYFUNCTION("""COMPUTED_VALUE"""),"CONGO BRAZZAVILLE")</f>
        <v>CONGO BRAZZAVILLE</v>
      </c>
      <c r="B367" s="8">
        <f>IFERROR(__xludf.DUMMYFUNCTION("""COMPUTED_VALUE"""),10.0)</f>
        <v>10</v>
      </c>
      <c r="C367" s="7" t="str">
        <f>IFERROR(__xludf.DUMMYFUNCTION("""COMPUTED_VALUE"""),"B_06_03")</f>
        <v>B_06_03</v>
      </c>
      <c r="D367" s="7" t="str">
        <f>IFERROR(__xludf.DUMMYFUNCTION("""COMPUTED_VALUE"""),"Q31a. ")</f>
        <v>Q31a. </v>
      </c>
      <c r="E367" s="7" t="str">
        <f>IFERROR(__xludf.DUMMYFUNCTION("""COMPUTED_VALUE"""),"Armed forces never intervene vs when leaders abuse power")</f>
        <v>Armed forces never intervene vs when leaders abuse power</v>
      </c>
      <c r="F367" s="7" t="str">
        <f>IFERROR(__xludf.DUMMYFUNCTION("""COMPUTED_VALUE"""),"The armed forces of Congo")</f>
        <v>The armed forces of Congo</v>
      </c>
    </row>
    <row r="368">
      <c r="A368" s="7" t="str">
        <f>IFERROR(__xludf.DUMMYFUNCTION("""COMPUTED_VALUE"""),"COTE D'IVOIRE")</f>
        <v>COTE D'IVOIRE</v>
      </c>
      <c r="B368" s="8">
        <f>IFERROR(__xludf.DUMMYFUNCTION("""COMPUTED_VALUE"""),10.0)</f>
        <v>10</v>
      </c>
      <c r="C368" s="7" t="str">
        <f>IFERROR(__xludf.DUMMYFUNCTION("""COMPUTED_VALUE"""),"B_06_03")</f>
        <v>B_06_03</v>
      </c>
      <c r="D368" s="7" t="str">
        <f>IFERROR(__xludf.DUMMYFUNCTION("""COMPUTED_VALUE"""),"Q31a. ")</f>
        <v>Q31a. </v>
      </c>
      <c r="E368" s="7" t="str">
        <f>IFERROR(__xludf.DUMMYFUNCTION("""COMPUTED_VALUE"""),"Armed forces never intervene vs when leaders abuse power")</f>
        <v>Armed forces never intervene vs when leaders abuse power</v>
      </c>
      <c r="F368" s="7" t="str">
        <f>IFERROR(__xludf.DUMMYFUNCTION("""COMPUTED_VALUE"""),"The armed forces of Côte d’Ivoire")</f>
        <v>The armed forces of Côte d’Ivoire</v>
      </c>
    </row>
    <row r="369">
      <c r="A369" s="7" t="str">
        <f>IFERROR(__xludf.DUMMYFUNCTION("""COMPUTED_VALUE"""),"ESWATINI")</f>
        <v>ESWATINI</v>
      </c>
      <c r="B369" s="8">
        <f>IFERROR(__xludf.DUMMYFUNCTION("""COMPUTED_VALUE"""),10.0)</f>
        <v>10</v>
      </c>
      <c r="C369" s="7" t="str">
        <f>IFERROR(__xludf.DUMMYFUNCTION("""COMPUTED_VALUE"""),"B_06_03")</f>
        <v>B_06_03</v>
      </c>
      <c r="D369" s="7" t="str">
        <f>IFERROR(__xludf.DUMMYFUNCTION("""COMPUTED_VALUE"""),"Q31a. ")</f>
        <v>Q31a. </v>
      </c>
      <c r="E369" s="7" t="str">
        <f>IFERROR(__xludf.DUMMYFUNCTION("""COMPUTED_VALUE"""),"Armed forces never intervene vs when leaders abuse power")</f>
        <v>Armed forces never intervene vs when leaders abuse power</v>
      </c>
      <c r="F369" s="7" t="str">
        <f>IFERROR(__xludf.DUMMYFUNCTION("""COMPUTED_VALUE"""),"Eswatini’s armed forces")</f>
        <v>Eswatini’s armed forces</v>
      </c>
    </row>
    <row r="370">
      <c r="A370" s="7" t="str">
        <f>IFERROR(__xludf.DUMMYFUNCTION("""COMPUTED_VALUE"""),"GABON")</f>
        <v>GABON</v>
      </c>
      <c r="B370" s="8">
        <f>IFERROR(__xludf.DUMMYFUNCTION("""COMPUTED_VALUE"""),10.0)</f>
        <v>10</v>
      </c>
      <c r="C370" s="7" t="str">
        <f>IFERROR(__xludf.DUMMYFUNCTION("""COMPUTED_VALUE"""),"B_06_03")</f>
        <v>B_06_03</v>
      </c>
      <c r="D370" s="7" t="str">
        <f>IFERROR(__xludf.DUMMYFUNCTION("""COMPUTED_VALUE"""),"Q31a. ")</f>
        <v>Q31a. </v>
      </c>
      <c r="E370" s="7" t="str">
        <f>IFERROR(__xludf.DUMMYFUNCTION("""COMPUTED_VALUE"""),"Armed forces never intervene vs when leaders abuse power")</f>
        <v>Armed forces never intervene vs when leaders abuse power</v>
      </c>
      <c r="F370" s="7" t="str">
        <f>IFERROR(__xludf.DUMMYFUNCTION("""COMPUTED_VALUE"""),"The armed forces of Gabon")</f>
        <v>The armed forces of Gabon</v>
      </c>
    </row>
    <row r="371">
      <c r="A371" s="7" t="str">
        <f>IFERROR(__xludf.DUMMYFUNCTION("""COMPUTED_VALUE"""),"GAMBIA")</f>
        <v>GAMBIA</v>
      </c>
      <c r="B371" s="8">
        <f>IFERROR(__xludf.DUMMYFUNCTION("""COMPUTED_VALUE"""),10.0)</f>
        <v>10</v>
      </c>
      <c r="C371" s="7" t="str">
        <f>IFERROR(__xludf.DUMMYFUNCTION("""COMPUTED_VALUE"""),"B_06_03")</f>
        <v>B_06_03</v>
      </c>
      <c r="D371" s="7" t="str">
        <f>IFERROR(__xludf.DUMMYFUNCTION("""COMPUTED_VALUE"""),"Q31a. ")</f>
        <v>Q31a. </v>
      </c>
      <c r="E371" s="7" t="str">
        <f>IFERROR(__xludf.DUMMYFUNCTION("""COMPUTED_VALUE"""),"Armed forces never intervene vs when leaders abuse power")</f>
        <v>Armed forces never intervene vs when leaders abuse power</v>
      </c>
      <c r="F371" s="7" t="str">
        <f>IFERROR(__xludf.DUMMYFUNCTION("""COMPUTED_VALUE"""),"Gambia's armed forces")</f>
        <v>Gambia's armed forces</v>
      </c>
    </row>
    <row r="372">
      <c r="A372" s="7" t="str">
        <f>IFERROR(__xludf.DUMMYFUNCTION("""COMPUTED_VALUE"""),"GHANA ")</f>
        <v>GHANA </v>
      </c>
      <c r="B372" s="8">
        <f>IFERROR(__xludf.DUMMYFUNCTION("""COMPUTED_VALUE"""),10.0)</f>
        <v>10</v>
      </c>
      <c r="C372" s="7" t="str">
        <f>IFERROR(__xludf.DUMMYFUNCTION("""COMPUTED_VALUE"""),"B_06_03")</f>
        <v>B_06_03</v>
      </c>
      <c r="D372" s="7" t="str">
        <f>IFERROR(__xludf.DUMMYFUNCTION("""COMPUTED_VALUE"""),"Q31a. ")</f>
        <v>Q31a. </v>
      </c>
      <c r="E372" s="7" t="str">
        <f>IFERROR(__xludf.DUMMYFUNCTION("""COMPUTED_VALUE"""),"Armed forces never intervene vs when leaders abuse power")</f>
        <v>Armed forces never intervene vs when leaders abuse power</v>
      </c>
      <c r="F372" s="7" t="str">
        <f>IFERROR(__xludf.DUMMYFUNCTION("""COMPUTED_VALUE"""),"The Ghana armed forces")</f>
        <v>The Ghana armed forces</v>
      </c>
    </row>
    <row r="373">
      <c r="A373" s="7" t="str">
        <f>IFERROR(__xludf.DUMMYFUNCTION("""COMPUTED_VALUE"""),"GUINEA")</f>
        <v>GUINEA</v>
      </c>
      <c r="B373" s="8">
        <f>IFERROR(__xludf.DUMMYFUNCTION("""COMPUTED_VALUE"""),10.0)</f>
        <v>10</v>
      </c>
      <c r="C373" s="7" t="str">
        <f>IFERROR(__xludf.DUMMYFUNCTION("""COMPUTED_VALUE"""),"B_06_03")</f>
        <v>B_06_03</v>
      </c>
      <c r="D373" s="7" t="str">
        <f>IFERROR(__xludf.DUMMYFUNCTION("""COMPUTED_VALUE"""),"Q31a. ")</f>
        <v>Q31a. </v>
      </c>
      <c r="E373" s="7" t="str">
        <f>IFERROR(__xludf.DUMMYFUNCTION("""COMPUTED_VALUE"""),"Armed forces never intervene vs when leaders abuse power")</f>
        <v>Armed forces never intervene vs when leaders abuse power</v>
      </c>
      <c r="F373" s="7" t="str">
        <f>IFERROR(__xludf.DUMMYFUNCTION("""COMPUTED_VALUE"""),"Republic of Guinea Armed Forces")</f>
        <v>Republic of Guinea Armed Forces</v>
      </c>
    </row>
    <row r="374">
      <c r="A374" s="7" t="str">
        <f>IFERROR(__xludf.DUMMYFUNCTION("""COMPUTED_VALUE"""),"KENYA  ")</f>
        <v>KENYA  </v>
      </c>
      <c r="B374" s="8">
        <f>IFERROR(__xludf.DUMMYFUNCTION("""COMPUTED_VALUE"""),10.0)</f>
        <v>10</v>
      </c>
      <c r="C374" s="7" t="str">
        <f>IFERROR(__xludf.DUMMYFUNCTION("""COMPUTED_VALUE"""),"B_06_03")</f>
        <v>B_06_03</v>
      </c>
      <c r="D374" s="7" t="str">
        <f>IFERROR(__xludf.DUMMYFUNCTION("""COMPUTED_VALUE"""),"Q31a. ")</f>
        <v>Q31a. </v>
      </c>
      <c r="E374" s="7" t="str">
        <f>IFERROR(__xludf.DUMMYFUNCTION("""COMPUTED_VALUE"""),"Armed forces never intervene vs when leaders abuse power")</f>
        <v>Armed forces never intervene vs when leaders abuse power</v>
      </c>
      <c r="F374" s="7" t="str">
        <f>IFERROR(__xludf.DUMMYFUNCTION("""COMPUTED_VALUE"""),"The Kenya Defence Forces or KDF")</f>
        <v>The Kenya Defence Forces or KDF</v>
      </c>
    </row>
    <row r="375">
      <c r="A375" s="7" t="str">
        <f>IFERROR(__xludf.DUMMYFUNCTION("""COMPUTED_VALUE"""),"LESOTHO ")</f>
        <v>LESOTHO </v>
      </c>
      <c r="B375" s="8">
        <f>IFERROR(__xludf.DUMMYFUNCTION("""COMPUTED_VALUE"""),10.0)</f>
        <v>10</v>
      </c>
      <c r="C375" s="7" t="str">
        <f>IFERROR(__xludf.DUMMYFUNCTION("""COMPUTED_VALUE"""),"B_06_03")</f>
        <v>B_06_03</v>
      </c>
      <c r="D375" s="7" t="str">
        <f>IFERROR(__xludf.DUMMYFUNCTION("""COMPUTED_VALUE"""),"Q31a. ")</f>
        <v>Q31a. </v>
      </c>
      <c r="E375" s="7" t="str">
        <f>IFERROR(__xludf.DUMMYFUNCTION("""COMPUTED_VALUE"""),"Armed forces never intervene vs when leaders abuse power")</f>
        <v>Armed forces never intervene vs when leaders abuse power</v>
      </c>
      <c r="F375" s="7" t="str">
        <f>IFERROR(__xludf.DUMMYFUNCTION("""COMPUTED_VALUE"""),"Lesotho’s armed forces")</f>
        <v>Lesotho’s armed forces</v>
      </c>
    </row>
    <row r="376">
      <c r="A376" s="7" t="str">
        <f>IFERROR(__xludf.DUMMYFUNCTION("""COMPUTED_VALUE"""),"LIBERIA  ")</f>
        <v>LIBERIA  </v>
      </c>
      <c r="B376" s="8">
        <f>IFERROR(__xludf.DUMMYFUNCTION("""COMPUTED_VALUE"""),10.0)</f>
        <v>10</v>
      </c>
      <c r="C376" s="7" t="str">
        <f>IFERROR(__xludf.DUMMYFUNCTION("""COMPUTED_VALUE"""),"B_06_03")</f>
        <v>B_06_03</v>
      </c>
      <c r="D376" s="7" t="str">
        <f>IFERROR(__xludf.DUMMYFUNCTION("""COMPUTED_VALUE"""),"Q31a. ")</f>
        <v>Q31a. </v>
      </c>
      <c r="E376" s="7" t="str">
        <f>IFERROR(__xludf.DUMMYFUNCTION("""COMPUTED_VALUE"""),"Armed forces never intervene vs when leaders abuse power")</f>
        <v>Armed forces never intervene vs when leaders abuse power</v>
      </c>
      <c r="F376" s="7" t="str">
        <f>IFERROR(__xludf.DUMMYFUNCTION("""COMPUTED_VALUE"""),"Lberia's armed forces")</f>
        <v>Lberia's armed forces</v>
      </c>
    </row>
    <row r="377">
      <c r="A377" s="7" t="str">
        <f>IFERROR(__xludf.DUMMYFUNCTION("""COMPUTED_VALUE"""),"MADAGASCAR")</f>
        <v>MADAGASCAR</v>
      </c>
      <c r="B377" s="8">
        <f>IFERROR(__xludf.DUMMYFUNCTION("""COMPUTED_VALUE"""),10.0)</f>
        <v>10</v>
      </c>
      <c r="C377" s="7" t="str">
        <f>IFERROR(__xludf.DUMMYFUNCTION("""COMPUTED_VALUE"""),"B_06_03")</f>
        <v>B_06_03</v>
      </c>
      <c r="D377" s="7" t="str">
        <f>IFERROR(__xludf.DUMMYFUNCTION("""COMPUTED_VALUE"""),"Q31a. ")</f>
        <v>Q31a. </v>
      </c>
      <c r="E377" s="7" t="str">
        <f>IFERROR(__xludf.DUMMYFUNCTION("""COMPUTED_VALUE"""),"Armed forces never intervene vs when leaders abuse power")</f>
        <v>Armed forces never intervene vs when leaders abuse power</v>
      </c>
      <c r="F377" s="7" t="str">
        <f>IFERROR(__xludf.DUMMYFUNCTION("""COMPUTED_VALUE"""),"The armed forces of Madagascar")</f>
        <v>The armed forces of Madagascar</v>
      </c>
    </row>
    <row r="378">
      <c r="A378" s="7" t="str">
        <f>IFERROR(__xludf.DUMMYFUNCTION("""COMPUTED_VALUE"""),"MALAWI ")</f>
        <v>MALAWI </v>
      </c>
      <c r="B378" s="8">
        <f>IFERROR(__xludf.DUMMYFUNCTION("""COMPUTED_VALUE"""),10.0)</f>
        <v>10</v>
      </c>
      <c r="C378" s="7" t="str">
        <f>IFERROR(__xludf.DUMMYFUNCTION("""COMPUTED_VALUE"""),"B_06_03")</f>
        <v>B_06_03</v>
      </c>
      <c r="D378" s="7" t="str">
        <f>IFERROR(__xludf.DUMMYFUNCTION("""COMPUTED_VALUE"""),"Q31a. ")</f>
        <v>Q31a. </v>
      </c>
      <c r="E378" s="7" t="str">
        <f>IFERROR(__xludf.DUMMYFUNCTION("""COMPUTED_VALUE"""),"Armed forces never intervene vs when leaders abuse power")</f>
        <v>Armed forces never intervene vs when leaders abuse power</v>
      </c>
      <c r="F378" s="7" t="str">
        <f>IFERROR(__xludf.DUMMYFUNCTION("""COMPUTED_VALUE"""),"The Malawi Defence Force")</f>
        <v>The Malawi Defence Force</v>
      </c>
    </row>
    <row r="379">
      <c r="A379" s="7" t="str">
        <f>IFERROR(__xludf.DUMMYFUNCTION("""COMPUTED_VALUE"""),"MALI")</f>
        <v>MALI</v>
      </c>
      <c r="B379" s="8">
        <f>IFERROR(__xludf.DUMMYFUNCTION("""COMPUTED_VALUE"""),10.0)</f>
        <v>10</v>
      </c>
      <c r="C379" s="7" t="str">
        <f>IFERROR(__xludf.DUMMYFUNCTION("""COMPUTED_VALUE"""),"B_06_03")</f>
        <v>B_06_03</v>
      </c>
      <c r="D379" s="7" t="str">
        <f>IFERROR(__xludf.DUMMYFUNCTION("""COMPUTED_VALUE"""),"Q31a. ")</f>
        <v>Q31a. </v>
      </c>
      <c r="E379" s="7" t="str">
        <f>IFERROR(__xludf.DUMMYFUNCTION("""COMPUTED_VALUE"""),"Armed forces never intervene vs when leaders abuse power")</f>
        <v>Armed forces never intervene vs when leaders abuse power</v>
      </c>
      <c r="F379" s="7" t="str">
        <f>IFERROR(__xludf.DUMMYFUNCTION("""COMPUTED_VALUE"""),"The armed forces of Mali")</f>
        <v>The armed forces of Mali</v>
      </c>
    </row>
    <row r="380">
      <c r="A380" s="7" t="str">
        <f>IFERROR(__xludf.DUMMYFUNCTION("""COMPUTED_VALUE"""),"MAURITANIA")</f>
        <v>MAURITANIA</v>
      </c>
      <c r="B380" s="8">
        <f>IFERROR(__xludf.DUMMYFUNCTION("""COMPUTED_VALUE"""),10.0)</f>
        <v>10</v>
      </c>
      <c r="C380" s="7" t="str">
        <f>IFERROR(__xludf.DUMMYFUNCTION("""COMPUTED_VALUE"""),"B_06_03")</f>
        <v>B_06_03</v>
      </c>
      <c r="D380" s="7" t="str">
        <f>IFERROR(__xludf.DUMMYFUNCTION("""COMPUTED_VALUE"""),"Q31a. ")</f>
        <v>Q31a. </v>
      </c>
      <c r="E380" s="7" t="str">
        <f>IFERROR(__xludf.DUMMYFUNCTION("""COMPUTED_VALUE"""),"Armed forces never intervene vs when leaders abuse power")</f>
        <v>Armed forces never intervene vs when leaders abuse power</v>
      </c>
      <c r="F380" s="7" t="str">
        <f>IFERROR(__xludf.DUMMYFUNCTION("""COMPUTED_VALUE"""),"The armed forces of Mauritania")</f>
        <v>The armed forces of Mauritania</v>
      </c>
    </row>
    <row r="381">
      <c r="A381" s="7" t="str">
        <f>IFERROR(__xludf.DUMMYFUNCTION("""COMPUTED_VALUE"""),"MAURITIUS")</f>
        <v>MAURITIUS</v>
      </c>
      <c r="B381" s="8">
        <f>IFERROR(__xludf.DUMMYFUNCTION("""COMPUTED_VALUE"""),10.0)</f>
        <v>10</v>
      </c>
      <c r="C381" s="7" t="str">
        <f>IFERROR(__xludf.DUMMYFUNCTION("""COMPUTED_VALUE"""),"B_06_03")</f>
        <v>B_06_03</v>
      </c>
      <c r="D381" s="7" t="str">
        <f>IFERROR(__xludf.DUMMYFUNCTION("""COMPUTED_VALUE"""),"Q31a. ")</f>
        <v>Q31a. </v>
      </c>
      <c r="E381" s="7" t="str">
        <f>IFERROR(__xludf.DUMMYFUNCTION("""COMPUTED_VALUE"""),"Armed forces never intervene vs when leaders abuse power")</f>
        <v>Armed forces never intervene vs when leaders abuse power</v>
      </c>
      <c r="F381" s="7" t="str">
        <f>IFERROR(__xludf.DUMMYFUNCTION("""COMPUTED_VALUE"""),"Mauritius' armed forces")</f>
        <v>Mauritius' armed forces</v>
      </c>
    </row>
    <row r="382">
      <c r="A382" s="7" t="str">
        <f>IFERROR(__xludf.DUMMYFUNCTION("""COMPUTED_VALUE"""),"MOROCCO ")</f>
        <v>MOROCCO </v>
      </c>
      <c r="B382" s="8">
        <f>IFERROR(__xludf.DUMMYFUNCTION("""COMPUTED_VALUE"""),10.0)</f>
        <v>10</v>
      </c>
      <c r="C382" s="7" t="str">
        <f>IFERROR(__xludf.DUMMYFUNCTION("""COMPUTED_VALUE"""),"B_06_03")</f>
        <v>B_06_03</v>
      </c>
      <c r="D382" s="7" t="str">
        <f>IFERROR(__xludf.DUMMYFUNCTION("""COMPUTED_VALUE"""),"Q31a. ")</f>
        <v>Q31a. </v>
      </c>
      <c r="E382" s="7" t="str">
        <f>IFERROR(__xludf.DUMMYFUNCTION("""COMPUTED_VALUE"""),"Armed forces never intervene vs when leaders abuse power")</f>
        <v>Armed forces never intervene vs when leaders abuse power</v>
      </c>
      <c r="F382" s="7" t="str">
        <f>IFERROR(__xludf.DUMMYFUNCTION("""COMPUTED_VALUE"""),"Morocco’s armed forces")</f>
        <v>Morocco’s armed forces</v>
      </c>
    </row>
    <row r="383">
      <c r="A383" s="7" t="str">
        <f>IFERROR(__xludf.DUMMYFUNCTION("""COMPUTED_VALUE"""),"MOZAMBIQUE")</f>
        <v>MOZAMBIQUE</v>
      </c>
      <c r="B383" s="8">
        <f>IFERROR(__xludf.DUMMYFUNCTION("""COMPUTED_VALUE"""),10.0)</f>
        <v>10</v>
      </c>
      <c r="C383" s="7" t="str">
        <f>IFERROR(__xludf.DUMMYFUNCTION("""COMPUTED_VALUE"""),"B_06_03")</f>
        <v>B_06_03</v>
      </c>
      <c r="D383" s="7" t="str">
        <f>IFERROR(__xludf.DUMMYFUNCTION("""COMPUTED_VALUE"""),"Q31a. ")</f>
        <v>Q31a. </v>
      </c>
      <c r="E383" s="7" t="str">
        <f>IFERROR(__xludf.DUMMYFUNCTION("""COMPUTED_VALUE"""),"Armed forces never intervene vs when leaders abuse power")</f>
        <v>Armed forces never intervene vs when leaders abuse power</v>
      </c>
      <c r="F383" s="7" t="str">
        <f>IFERROR(__xludf.DUMMYFUNCTION("""COMPUTED_VALUE"""),"Mozambique’s armed forces")</f>
        <v>Mozambique’s armed forces</v>
      </c>
    </row>
    <row r="384">
      <c r="A384" s="7" t="str">
        <f>IFERROR(__xludf.DUMMYFUNCTION("""COMPUTED_VALUE"""),"NAMIBIA ")</f>
        <v>NAMIBIA </v>
      </c>
      <c r="B384" s="8">
        <f>IFERROR(__xludf.DUMMYFUNCTION("""COMPUTED_VALUE"""),10.0)</f>
        <v>10</v>
      </c>
      <c r="C384" s="7" t="str">
        <f>IFERROR(__xludf.DUMMYFUNCTION("""COMPUTED_VALUE"""),"B_06_03")</f>
        <v>B_06_03</v>
      </c>
      <c r="D384" s="7" t="str">
        <f>IFERROR(__xludf.DUMMYFUNCTION("""COMPUTED_VALUE"""),"Q31a. ")</f>
        <v>Q31a. </v>
      </c>
      <c r="E384" s="7" t="str">
        <f>IFERROR(__xludf.DUMMYFUNCTION("""COMPUTED_VALUE"""),"Armed forces never intervene vs when leaders abuse power")</f>
        <v>Armed forces never intervene vs when leaders abuse power</v>
      </c>
      <c r="F384" s="7" t="str">
        <f>IFERROR(__xludf.DUMMYFUNCTION("""COMPUTED_VALUE"""),"Namibia’s armed forces")</f>
        <v>Namibia’s armed forces</v>
      </c>
    </row>
    <row r="385">
      <c r="A385" s="7" t="str">
        <f>IFERROR(__xludf.DUMMYFUNCTION("""COMPUTED_VALUE"""),"NIGERIA ")</f>
        <v>NIGERIA </v>
      </c>
      <c r="B385" s="8">
        <f>IFERROR(__xludf.DUMMYFUNCTION("""COMPUTED_VALUE"""),10.0)</f>
        <v>10</v>
      </c>
      <c r="C385" s="7" t="str">
        <f>IFERROR(__xludf.DUMMYFUNCTION("""COMPUTED_VALUE"""),"B_06_03")</f>
        <v>B_06_03</v>
      </c>
      <c r="D385" s="7" t="str">
        <f>IFERROR(__xludf.DUMMYFUNCTION("""COMPUTED_VALUE"""),"Q31a. ")</f>
        <v>Q31a. </v>
      </c>
      <c r="E385" s="7" t="str">
        <f>IFERROR(__xludf.DUMMYFUNCTION("""COMPUTED_VALUE"""),"Armed forces never intervene vs when leaders abuse power")</f>
        <v>Armed forces never intervene vs when leaders abuse power</v>
      </c>
      <c r="F385" s="7" t="str">
        <f>IFERROR(__xludf.DUMMYFUNCTION("""COMPUTED_VALUE"""),"Nigeria’s armed forces")</f>
        <v>Nigeria’s armed forces</v>
      </c>
    </row>
    <row r="386">
      <c r="A386" s="7" t="str">
        <f>IFERROR(__xludf.DUMMYFUNCTION("""COMPUTED_VALUE"""),"SAO TOME AND PRINCIPE")</f>
        <v>SAO TOME AND PRINCIPE</v>
      </c>
      <c r="B386" s="8">
        <f>IFERROR(__xludf.DUMMYFUNCTION("""COMPUTED_VALUE"""),10.0)</f>
        <v>10</v>
      </c>
      <c r="C386" s="7" t="str">
        <f>IFERROR(__xludf.DUMMYFUNCTION("""COMPUTED_VALUE"""),"B_06_03")</f>
        <v>B_06_03</v>
      </c>
      <c r="D386" s="7" t="str">
        <f>IFERROR(__xludf.DUMMYFUNCTION("""COMPUTED_VALUE"""),"Q31a. ")</f>
        <v>Q31a. </v>
      </c>
      <c r="E386" s="7" t="str">
        <f>IFERROR(__xludf.DUMMYFUNCTION("""COMPUTED_VALUE"""),"Armed forces never intervene vs when leaders abuse power")</f>
        <v>Armed forces never intervene vs when leaders abuse power</v>
      </c>
      <c r="F386" s="7" t="str">
        <f>IFERROR(__xludf.DUMMYFUNCTION("""COMPUTED_VALUE"""),"São Tomé e Príncipe’s armed forces")</f>
        <v>São Tomé e Príncipe’s armed forces</v>
      </c>
    </row>
    <row r="387">
      <c r="A387" s="7" t="str">
        <f>IFERROR(__xludf.DUMMYFUNCTION("""COMPUTED_VALUE"""),"SENEGAL")</f>
        <v>SENEGAL</v>
      </c>
      <c r="B387" s="8">
        <f>IFERROR(__xludf.DUMMYFUNCTION("""COMPUTED_VALUE"""),10.0)</f>
        <v>10</v>
      </c>
      <c r="C387" s="7" t="str">
        <f>IFERROR(__xludf.DUMMYFUNCTION("""COMPUTED_VALUE"""),"B_06_03")</f>
        <v>B_06_03</v>
      </c>
      <c r="D387" s="7" t="str">
        <f>IFERROR(__xludf.DUMMYFUNCTION("""COMPUTED_VALUE"""),"Q31a. ")</f>
        <v>Q31a. </v>
      </c>
      <c r="E387" s="7" t="str">
        <f>IFERROR(__xludf.DUMMYFUNCTION("""COMPUTED_VALUE"""),"Armed forces never intervene vs when leaders abuse power")</f>
        <v>Armed forces never intervene vs when leaders abuse power</v>
      </c>
      <c r="F387" s="7" t="str">
        <f>IFERROR(__xludf.DUMMYFUNCTION("""COMPUTED_VALUE"""),"The armed forces of Senegal")</f>
        <v>The armed forces of Senegal</v>
      </c>
    </row>
    <row r="388">
      <c r="A388" s="7" t="str">
        <f>IFERROR(__xludf.DUMMYFUNCTION("""COMPUTED_VALUE"""),"SEYCHELLES")</f>
        <v>SEYCHELLES</v>
      </c>
      <c r="B388" s="8">
        <f>IFERROR(__xludf.DUMMYFUNCTION("""COMPUTED_VALUE"""),10.0)</f>
        <v>10</v>
      </c>
      <c r="C388" s="7" t="str">
        <f>IFERROR(__xludf.DUMMYFUNCTION("""COMPUTED_VALUE"""),"B_06_03")</f>
        <v>B_06_03</v>
      </c>
      <c r="D388" s="7" t="str">
        <f>IFERROR(__xludf.DUMMYFUNCTION("""COMPUTED_VALUE"""),"Q31a. ")</f>
        <v>Q31a. </v>
      </c>
      <c r="E388" s="7" t="str">
        <f>IFERROR(__xludf.DUMMYFUNCTION("""COMPUTED_VALUE"""),"Armed forces never intervene vs when leaders abuse power")</f>
        <v>Armed forces never intervene vs when leaders abuse power</v>
      </c>
      <c r="F388" s="7" t="str">
        <f>IFERROR(__xludf.DUMMYFUNCTION("""COMPUTED_VALUE"""),"Seychelles armed forces")</f>
        <v>Seychelles armed forces</v>
      </c>
    </row>
    <row r="389">
      <c r="A389" s="7" t="str">
        <f>IFERROR(__xludf.DUMMYFUNCTION("""COMPUTED_VALUE"""),"SOUTH AFRICA")</f>
        <v>SOUTH AFRICA</v>
      </c>
      <c r="B389" s="8">
        <f>IFERROR(__xludf.DUMMYFUNCTION("""COMPUTED_VALUE"""),10.0)</f>
        <v>10</v>
      </c>
      <c r="C389" s="7" t="str">
        <f>IFERROR(__xludf.DUMMYFUNCTION("""COMPUTED_VALUE"""),"B_06_03")</f>
        <v>B_06_03</v>
      </c>
      <c r="D389" s="7" t="str">
        <f>IFERROR(__xludf.DUMMYFUNCTION("""COMPUTED_VALUE"""),"Q31a. ")</f>
        <v>Q31a. </v>
      </c>
      <c r="E389" s="7" t="str">
        <f>IFERROR(__xludf.DUMMYFUNCTION("""COMPUTED_VALUE"""),"Armed forces never intervene vs when leaders abuse power")</f>
        <v>Armed forces never intervene vs when leaders abuse power</v>
      </c>
      <c r="F389" s="7" t="str">
        <f>IFERROR(__xludf.DUMMYFUNCTION("""COMPUTED_VALUE"""),"South Africa’s armed forces")</f>
        <v>South Africa’s armed forces</v>
      </c>
    </row>
    <row r="390">
      <c r="A390" s="7" t="str">
        <f>IFERROR(__xludf.DUMMYFUNCTION("""COMPUTED_VALUE"""),"TANZANIA")</f>
        <v>TANZANIA</v>
      </c>
      <c r="B390" s="8">
        <f>IFERROR(__xludf.DUMMYFUNCTION("""COMPUTED_VALUE"""),10.0)</f>
        <v>10</v>
      </c>
      <c r="C390" s="7" t="str">
        <f>IFERROR(__xludf.DUMMYFUNCTION("""COMPUTED_VALUE"""),"B_06_03")</f>
        <v>B_06_03</v>
      </c>
      <c r="D390" s="7" t="str">
        <f>IFERROR(__xludf.DUMMYFUNCTION("""COMPUTED_VALUE"""),"Q31a. ")</f>
        <v>Q31a. </v>
      </c>
      <c r="E390" s="7" t="str">
        <f>IFERROR(__xludf.DUMMYFUNCTION("""COMPUTED_VALUE"""),"Armed forces never intervene vs when leaders abuse power")</f>
        <v>Armed forces never intervene vs when leaders abuse power</v>
      </c>
      <c r="F390" s="7" t="str">
        <f>IFERROR(__xludf.DUMMYFUNCTION("""COMPUTED_VALUE"""),"Tanzania’s armed forces")</f>
        <v>Tanzania’s armed forces</v>
      </c>
    </row>
    <row r="391">
      <c r="A391" s="7" t="str">
        <f>IFERROR(__xludf.DUMMYFUNCTION("""COMPUTED_VALUE"""),"TOGO ")</f>
        <v>TOGO </v>
      </c>
      <c r="B391" s="8">
        <f>IFERROR(__xludf.DUMMYFUNCTION("""COMPUTED_VALUE"""),10.0)</f>
        <v>10</v>
      </c>
      <c r="C391" s="7" t="str">
        <f>IFERROR(__xludf.DUMMYFUNCTION("""COMPUTED_VALUE"""),"B_06_03")</f>
        <v>B_06_03</v>
      </c>
      <c r="D391" s="7" t="str">
        <f>IFERROR(__xludf.DUMMYFUNCTION("""COMPUTED_VALUE"""),"Q31a. ")</f>
        <v>Q31a. </v>
      </c>
      <c r="E391" s="7" t="str">
        <f>IFERROR(__xludf.DUMMYFUNCTION("""COMPUTED_VALUE"""),"Armed forces never intervene vs when leaders abuse power")</f>
        <v>Armed forces never intervene vs when leaders abuse power</v>
      </c>
      <c r="F391" s="7" t="str">
        <f>IFERROR(__xludf.DUMMYFUNCTION("""COMPUTED_VALUE"""),"The armed forces of Togo")</f>
        <v>The armed forces of Togo</v>
      </c>
    </row>
    <row r="392">
      <c r="A392" s="7" t="str">
        <f>IFERROR(__xludf.DUMMYFUNCTION("""COMPUTED_VALUE"""),"TUNISIA ")</f>
        <v>TUNISIA </v>
      </c>
      <c r="B392" s="8">
        <f>IFERROR(__xludf.DUMMYFUNCTION("""COMPUTED_VALUE"""),10.0)</f>
        <v>10</v>
      </c>
      <c r="C392" s="7" t="str">
        <f>IFERROR(__xludf.DUMMYFUNCTION("""COMPUTED_VALUE"""),"B_06_03")</f>
        <v>B_06_03</v>
      </c>
      <c r="D392" s="7" t="str">
        <f>IFERROR(__xludf.DUMMYFUNCTION("""COMPUTED_VALUE"""),"Q31a. ")</f>
        <v>Q31a. </v>
      </c>
      <c r="E392" s="7" t="str">
        <f>IFERROR(__xludf.DUMMYFUNCTION("""COMPUTED_VALUE"""),"Armed forces never intervene vs when leaders abuse power")</f>
        <v>Armed forces never intervene vs when leaders abuse power</v>
      </c>
      <c r="F392" s="7" t="str">
        <f>IFERROR(__xludf.DUMMYFUNCTION("""COMPUTED_VALUE"""),"Tunisia’s armed forces")</f>
        <v>Tunisia’s armed forces</v>
      </c>
    </row>
    <row r="393">
      <c r="A393" s="7" t="str">
        <f>IFERROR(__xludf.DUMMYFUNCTION("""COMPUTED_VALUE"""),"UGANDA  ")</f>
        <v>UGANDA  </v>
      </c>
      <c r="B393" s="8">
        <f>IFERROR(__xludf.DUMMYFUNCTION("""COMPUTED_VALUE"""),10.0)</f>
        <v>10</v>
      </c>
      <c r="C393" s="7" t="str">
        <f>IFERROR(__xludf.DUMMYFUNCTION("""COMPUTED_VALUE"""),"B_06_03")</f>
        <v>B_06_03</v>
      </c>
      <c r="D393" s="7" t="str">
        <f>IFERROR(__xludf.DUMMYFUNCTION("""COMPUTED_VALUE"""),"Q31a. ")</f>
        <v>Q31a. </v>
      </c>
      <c r="E393" s="7" t="str">
        <f>IFERROR(__xludf.DUMMYFUNCTION("""COMPUTED_VALUE"""),"Armed forces never intervene vs when leaders abuse power")</f>
        <v>Armed forces never intervene vs when leaders abuse power</v>
      </c>
      <c r="F393" s="7" t="str">
        <f>IFERROR(__xludf.DUMMYFUNCTION("""COMPUTED_VALUE"""),"The Uganda Peoples Defense Forces or UPDF")</f>
        <v>The Uganda Peoples Defense Forces or UPDF</v>
      </c>
    </row>
    <row r="394">
      <c r="A394" s="7" t="str">
        <f>IFERROR(__xludf.DUMMYFUNCTION("""COMPUTED_VALUE"""),"ZAMBIA")</f>
        <v>ZAMBIA</v>
      </c>
      <c r="B394" s="8">
        <f>IFERROR(__xludf.DUMMYFUNCTION("""COMPUTED_VALUE"""),10.0)</f>
        <v>10</v>
      </c>
      <c r="C394" s="7" t="str">
        <f>IFERROR(__xludf.DUMMYFUNCTION("""COMPUTED_VALUE"""),"B_06_03")</f>
        <v>B_06_03</v>
      </c>
      <c r="D394" s="7" t="str">
        <f>IFERROR(__xludf.DUMMYFUNCTION("""COMPUTED_VALUE"""),"Q31a. ")</f>
        <v>Q31a. </v>
      </c>
      <c r="E394" s="7" t="str">
        <f>IFERROR(__xludf.DUMMYFUNCTION("""COMPUTED_VALUE"""),"Armed forces never intervene vs when leaders abuse power")</f>
        <v>Armed forces never intervene vs when leaders abuse power</v>
      </c>
      <c r="F394" s="7" t="str">
        <f>IFERROR(__xludf.DUMMYFUNCTION("""COMPUTED_VALUE"""),"Zambia’s armed forces")</f>
        <v>Zambia’s armed forces</v>
      </c>
    </row>
    <row r="395">
      <c r="A395" s="7" t="str">
        <f>IFERROR(__xludf.DUMMYFUNCTION("""COMPUTED_VALUE"""),"ZIMBABWE")</f>
        <v>ZIMBABWE</v>
      </c>
      <c r="B395" s="8">
        <f>IFERROR(__xludf.DUMMYFUNCTION("""COMPUTED_VALUE"""),10.0)</f>
        <v>10</v>
      </c>
      <c r="C395" s="7" t="str">
        <f>IFERROR(__xludf.DUMMYFUNCTION("""COMPUTED_VALUE"""),"B_06_03")</f>
        <v>B_06_03</v>
      </c>
      <c r="D395" s="7" t="str">
        <f>IFERROR(__xludf.DUMMYFUNCTION("""COMPUTED_VALUE"""),"Q31a. ")</f>
        <v>Q31a. </v>
      </c>
      <c r="E395" s="7" t="str">
        <f>IFERROR(__xludf.DUMMYFUNCTION("""COMPUTED_VALUE"""),"Armed forces never intervene vs when leaders abuse power")</f>
        <v>Armed forces never intervene vs when leaders abuse power</v>
      </c>
      <c r="F395" s="7" t="str">
        <f>IFERROR(__xludf.DUMMYFUNCTION("""COMPUTED_VALUE"""),"Zimbabwe’s armed forces")</f>
        <v>Zimbabwe’s armed forces</v>
      </c>
    </row>
    <row r="396">
      <c r="A396" s="7" t="str">
        <f>IFERROR(__xludf.DUMMYFUNCTION("""COMPUTED_VALUE"""),"ANGOLA ")</f>
        <v>ANGOLA </v>
      </c>
      <c r="B396" s="8">
        <f>IFERROR(__xludf.DUMMYFUNCTION("""COMPUTED_VALUE"""),10.0)</f>
        <v>10</v>
      </c>
      <c r="C396" s="7" t="str">
        <f>IFERROR(__xludf.DUMMYFUNCTION("""COMPUTED_VALUE"""),"B_01_01")</f>
        <v>B_01_01</v>
      </c>
      <c r="D396" s="7" t="str">
        <f>IFERROR(__xludf.DUMMYFUNCTION("""COMPUTED_VALUE"""),"Q34a. ")</f>
        <v>Q34a. </v>
      </c>
      <c r="E396" s="7" t="str">
        <f>IFERROR(__xludf.DUMMYFUNCTION("""COMPUTED_VALUE"""),"How often president ignores laws")</f>
        <v>How often president ignores laws</v>
      </c>
      <c r="F396" s="7" t="str">
        <f>IFERROR(__xludf.DUMMYFUNCTION("""COMPUTED_VALUE"""),"President")</f>
        <v>President</v>
      </c>
    </row>
    <row r="397">
      <c r="A397" s="7" t="str">
        <f>IFERROR(__xludf.DUMMYFUNCTION("""COMPUTED_VALUE"""),"BENIN")</f>
        <v>BENIN</v>
      </c>
      <c r="B397" s="8">
        <f>IFERROR(__xludf.DUMMYFUNCTION("""COMPUTED_VALUE"""),10.0)</f>
        <v>10</v>
      </c>
      <c r="C397" s="7" t="str">
        <f>IFERROR(__xludf.DUMMYFUNCTION("""COMPUTED_VALUE"""),"B_01_01")</f>
        <v>B_01_01</v>
      </c>
      <c r="D397" s="7" t="str">
        <f>IFERROR(__xludf.DUMMYFUNCTION("""COMPUTED_VALUE"""),"Q34a. ")</f>
        <v>Q34a. </v>
      </c>
      <c r="E397" s="7" t="str">
        <f>IFERROR(__xludf.DUMMYFUNCTION("""COMPUTED_VALUE"""),"How often president ignores laws")</f>
        <v>How often president ignores laws</v>
      </c>
      <c r="F397" s="7" t="str">
        <f>IFERROR(__xludf.DUMMYFUNCTION("""COMPUTED_VALUE"""),"President")</f>
        <v>President</v>
      </c>
    </row>
    <row r="398">
      <c r="A398" s="7" t="str">
        <f>IFERROR(__xludf.DUMMYFUNCTION("""COMPUTED_VALUE"""),"BOTSWANA ")</f>
        <v>BOTSWANA </v>
      </c>
      <c r="B398" s="8">
        <f>IFERROR(__xludf.DUMMYFUNCTION("""COMPUTED_VALUE"""),10.0)</f>
        <v>10</v>
      </c>
      <c r="C398" s="7" t="str">
        <f>IFERROR(__xludf.DUMMYFUNCTION("""COMPUTED_VALUE"""),"B_01_01")</f>
        <v>B_01_01</v>
      </c>
      <c r="D398" s="7" t="str">
        <f>IFERROR(__xludf.DUMMYFUNCTION("""COMPUTED_VALUE"""),"Q34a. ")</f>
        <v>Q34a. </v>
      </c>
      <c r="E398" s="7" t="str">
        <f>IFERROR(__xludf.DUMMYFUNCTION("""COMPUTED_VALUE"""),"How often president ignores laws")</f>
        <v>How often president ignores laws</v>
      </c>
      <c r="F398" s="7" t="str">
        <f>IFERROR(__xludf.DUMMYFUNCTION("""COMPUTED_VALUE"""),"President")</f>
        <v>President</v>
      </c>
    </row>
    <row r="399">
      <c r="A399" s="7" t="str">
        <f>IFERROR(__xludf.DUMMYFUNCTION("""COMPUTED_VALUE"""),"CABO VERDE ")</f>
        <v>CABO VERDE </v>
      </c>
      <c r="B399" s="8">
        <f>IFERROR(__xludf.DUMMYFUNCTION("""COMPUTED_VALUE"""),10.0)</f>
        <v>10</v>
      </c>
      <c r="C399" s="7" t="str">
        <f>IFERROR(__xludf.DUMMYFUNCTION("""COMPUTED_VALUE"""),"B_01_01")</f>
        <v>B_01_01</v>
      </c>
      <c r="D399" s="7" t="str">
        <f>IFERROR(__xludf.DUMMYFUNCTION("""COMPUTED_VALUE"""),"Q34a. ")</f>
        <v>Q34a. </v>
      </c>
      <c r="E399" s="7" t="str">
        <f>IFERROR(__xludf.DUMMYFUNCTION("""COMPUTED_VALUE"""),"How often president ignores laws")</f>
        <v>How often president ignores laws</v>
      </c>
      <c r="F399" s="7" t="str">
        <f>IFERROR(__xludf.DUMMYFUNCTION("""COMPUTED_VALUE"""),"President")</f>
        <v>President</v>
      </c>
    </row>
    <row r="400">
      <c r="A400" s="7" t="str">
        <f>IFERROR(__xludf.DUMMYFUNCTION("""COMPUTED_VALUE"""),"CAMEROON")</f>
        <v>CAMEROON</v>
      </c>
      <c r="B400" s="8">
        <f>IFERROR(__xludf.DUMMYFUNCTION("""COMPUTED_VALUE"""),10.0)</f>
        <v>10</v>
      </c>
      <c r="C400" s="7" t="str">
        <f>IFERROR(__xludf.DUMMYFUNCTION("""COMPUTED_VALUE"""),"B_01_01")</f>
        <v>B_01_01</v>
      </c>
      <c r="D400" s="7" t="str">
        <f>IFERROR(__xludf.DUMMYFUNCTION("""COMPUTED_VALUE"""),"Q34a. ")</f>
        <v>Q34a. </v>
      </c>
      <c r="E400" s="7" t="str">
        <f>IFERROR(__xludf.DUMMYFUNCTION("""COMPUTED_VALUE"""),"How often president ignores laws")</f>
        <v>How often president ignores laws</v>
      </c>
      <c r="F400" s="7" t="str">
        <f>IFERROR(__xludf.DUMMYFUNCTION("""COMPUTED_VALUE"""),"President")</f>
        <v>President</v>
      </c>
    </row>
    <row r="401">
      <c r="A401" s="7" t="str">
        <f>IFERROR(__xludf.DUMMYFUNCTION("""COMPUTED_VALUE"""),"CHAD")</f>
        <v>CHAD</v>
      </c>
      <c r="B401" s="8">
        <f>IFERROR(__xludf.DUMMYFUNCTION("""COMPUTED_VALUE"""),10.0)</f>
        <v>10</v>
      </c>
      <c r="C401" s="7" t="str">
        <f>IFERROR(__xludf.DUMMYFUNCTION("""COMPUTED_VALUE"""),"B_01_01")</f>
        <v>B_01_01</v>
      </c>
      <c r="D401" s="7" t="str">
        <f>IFERROR(__xludf.DUMMYFUNCTION("""COMPUTED_VALUE"""),"Q34a. ")</f>
        <v>Q34a. </v>
      </c>
      <c r="E401" s="7" t="str">
        <f>IFERROR(__xludf.DUMMYFUNCTION("""COMPUTED_VALUE"""),"How often president ignores laws")</f>
        <v>How often president ignores laws</v>
      </c>
      <c r="F401" s="7" t="str">
        <f>IFERROR(__xludf.DUMMYFUNCTION("""COMPUTED_VALUE"""),"President")</f>
        <v>President</v>
      </c>
    </row>
    <row r="402">
      <c r="A402" s="7" t="str">
        <f>IFERROR(__xludf.DUMMYFUNCTION("""COMPUTED_VALUE"""),"COMOROS")</f>
        <v>COMOROS</v>
      </c>
      <c r="B402" s="8">
        <f>IFERROR(__xludf.DUMMYFUNCTION("""COMPUTED_VALUE"""),10.0)</f>
        <v>10</v>
      </c>
      <c r="C402" s="7" t="str">
        <f>IFERROR(__xludf.DUMMYFUNCTION("""COMPUTED_VALUE"""),"B_01_01")</f>
        <v>B_01_01</v>
      </c>
      <c r="D402" s="7" t="str">
        <f>IFERROR(__xludf.DUMMYFUNCTION("""COMPUTED_VALUE"""),"Q34a. ")</f>
        <v>Q34a. </v>
      </c>
      <c r="E402" s="7" t="str">
        <f>IFERROR(__xludf.DUMMYFUNCTION("""COMPUTED_VALUE"""),"How often president ignores laws")</f>
        <v>How often president ignores laws</v>
      </c>
      <c r="F402" s="7" t="str">
        <f>IFERROR(__xludf.DUMMYFUNCTION("""COMPUTED_VALUE"""),"President")</f>
        <v>President</v>
      </c>
    </row>
    <row r="403">
      <c r="A403" s="7" t="str">
        <f>IFERROR(__xludf.DUMMYFUNCTION("""COMPUTED_VALUE"""),"CONGO BRAZZAVILLE")</f>
        <v>CONGO BRAZZAVILLE</v>
      </c>
      <c r="B403" s="8">
        <f>IFERROR(__xludf.DUMMYFUNCTION("""COMPUTED_VALUE"""),10.0)</f>
        <v>10</v>
      </c>
      <c r="C403" s="7" t="str">
        <f>IFERROR(__xludf.DUMMYFUNCTION("""COMPUTED_VALUE"""),"B_01_01")</f>
        <v>B_01_01</v>
      </c>
      <c r="D403" s="7" t="str">
        <f>IFERROR(__xludf.DUMMYFUNCTION("""COMPUTED_VALUE"""),"Q34a. ")</f>
        <v>Q34a. </v>
      </c>
      <c r="E403" s="7" t="str">
        <f>IFERROR(__xludf.DUMMYFUNCTION("""COMPUTED_VALUE"""),"How often president ignores laws")</f>
        <v>How often president ignores laws</v>
      </c>
      <c r="F403" s="7" t="str">
        <f>IFERROR(__xludf.DUMMYFUNCTION("""COMPUTED_VALUE"""),"President")</f>
        <v>President</v>
      </c>
    </row>
    <row r="404">
      <c r="A404" s="7" t="str">
        <f>IFERROR(__xludf.DUMMYFUNCTION("""COMPUTED_VALUE"""),"COTE D'IVOIRE")</f>
        <v>COTE D'IVOIRE</v>
      </c>
      <c r="B404" s="8">
        <f>IFERROR(__xludf.DUMMYFUNCTION("""COMPUTED_VALUE"""),10.0)</f>
        <v>10</v>
      </c>
      <c r="C404" s="7" t="str">
        <f>IFERROR(__xludf.DUMMYFUNCTION("""COMPUTED_VALUE"""),"B_01_01")</f>
        <v>B_01_01</v>
      </c>
      <c r="D404" s="7" t="str">
        <f>IFERROR(__xludf.DUMMYFUNCTION("""COMPUTED_VALUE"""),"Q34a. ")</f>
        <v>Q34a. </v>
      </c>
      <c r="E404" s="7" t="str">
        <f>IFERROR(__xludf.DUMMYFUNCTION("""COMPUTED_VALUE"""),"How often president ignores laws")</f>
        <v>How often president ignores laws</v>
      </c>
      <c r="F404" s="7" t="str">
        <f>IFERROR(__xludf.DUMMYFUNCTION("""COMPUTED_VALUE"""),"President")</f>
        <v>President</v>
      </c>
    </row>
    <row r="405">
      <c r="A405" s="7" t="str">
        <f>IFERROR(__xludf.DUMMYFUNCTION("""COMPUTED_VALUE"""),"ESWATINI")</f>
        <v>ESWATINI</v>
      </c>
      <c r="B405" s="8">
        <f>IFERROR(__xludf.DUMMYFUNCTION("""COMPUTED_VALUE"""),10.0)</f>
        <v>10</v>
      </c>
      <c r="C405" s="7" t="str">
        <f>IFERROR(__xludf.DUMMYFUNCTION("""COMPUTED_VALUE"""),"B_01_01")</f>
        <v>B_01_01</v>
      </c>
      <c r="D405" s="7" t="str">
        <f>IFERROR(__xludf.DUMMYFUNCTION("""COMPUTED_VALUE"""),"Q34a. ")</f>
        <v>Q34a. </v>
      </c>
      <c r="E405" s="7" t="str">
        <f>IFERROR(__xludf.DUMMYFUNCTION("""COMPUTED_VALUE"""),"How often president ignores laws")</f>
        <v>How often president ignores laws</v>
      </c>
      <c r="F405" s="7" t="str">
        <f>IFERROR(__xludf.DUMMYFUNCTION("""COMPUTED_VALUE"""),"Prime Minister")</f>
        <v>Prime Minister</v>
      </c>
    </row>
    <row r="406">
      <c r="A406" s="7" t="str">
        <f>IFERROR(__xludf.DUMMYFUNCTION("""COMPUTED_VALUE"""),"GABON")</f>
        <v>GABON</v>
      </c>
      <c r="B406" s="8">
        <f>IFERROR(__xludf.DUMMYFUNCTION("""COMPUTED_VALUE"""),10.0)</f>
        <v>10</v>
      </c>
      <c r="C406" s="7" t="str">
        <f>IFERROR(__xludf.DUMMYFUNCTION("""COMPUTED_VALUE"""),"B_01_01")</f>
        <v>B_01_01</v>
      </c>
      <c r="D406" s="7" t="str">
        <f>IFERROR(__xludf.DUMMYFUNCTION("""COMPUTED_VALUE"""),"Q34a. ")</f>
        <v>Q34a. </v>
      </c>
      <c r="E406" s="7" t="str">
        <f>IFERROR(__xludf.DUMMYFUNCTION("""COMPUTED_VALUE"""),"How often president ignores laws")</f>
        <v>How often president ignores laws</v>
      </c>
      <c r="F406" s="7" t="str">
        <f>IFERROR(__xludf.DUMMYFUNCTION("""COMPUTED_VALUE"""),"President")</f>
        <v>President</v>
      </c>
    </row>
    <row r="407">
      <c r="A407" s="7" t="str">
        <f>IFERROR(__xludf.DUMMYFUNCTION("""COMPUTED_VALUE"""),"GAMBIA")</f>
        <v>GAMBIA</v>
      </c>
      <c r="B407" s="8">
        <f>IFERROR(__xludf.DUMMYFUNCTION("""COMPUTED_VALUE"""),10.0)</f>
        <v>10</v>
      </c>
      <c r="C407" s="7" t="str">
        <f>IFERROR(__xludf.DUMMYFUNCTION("""COMPUTED_VALUE"""),"B_01_01")</f>
        <v>B_01_01</v>
      </c>
      <c r="D407" s="7" t="str">
        <f>IFERROR(__xludf.DUMMYFUNCTION("""COMPUTED_VALUE"""),"Q34a. ")</f>
        <v>Q34a. </v>
      </c>
      <c r="E407" s="7" t="str">
        <f>IFERROR(__xludf.DUMMYFUNCTION("""COMPUTED_VALUE"""),"How often president ignores laws")</f>
        <v>How often president ignores laws</v>
      </c>
      <c r="F407" s="7" t="str">
        <f>IFERROR(__xludf.DUMMYFUNCTION("""COMPUTED_VALUE"""),"President")</f>
        <v>President</v>
      </c>
    </row>
    <row r="408">
      <c r="A408" s="7" t="str">
        <f>IFERROR(__xludf.DUMMYFUNCTION("""COMPUTED_VALUE"""),"GHANA ")</f>
        <v>GHANA </v>
      </c>
      <c r="B408" s="8">
        <f>IFERROR(__xludf.DUMMYFUNCTION("""COMPUTED_VALUE"""),10.0)</f>
        <v>10</v>
      </c>
      <c r="C408" s="7" t="str">
        <f>IFERROR(__xludf.DUMMYFUNCTION("""COMPUTED_VALUE"""),"B_01_01")</f>
        <v>B_01_01</v>
      </c>
      <c r="D408" s="7" t="str">
        <f>IFERROR(__xludf.DUMMYFUNCTION("""COMPUTED_VALUE"""),"Q34a. ")</f>
        <v>Q34a. </v>
      </c>
      <c r="E408" s="7" t="str">
        <f>IFERROR(__xludf.DUMMYFUNCTION("""COMPUTED_VALUE"""),"How often president ignores laws")</f>
        <v>How often president ignores laws</v>
      </c>
      <c r="F408" s="7" t="str">
        <f>IFERROR(__xludf.DUMMYFUNCTION("""COMPUTED_VALUE"""),"President")</f>
        <v>President</v>
      </c>
    </row>
    <row r="409">
      <c r="A409" s="7" t="str">
        <f>IFERROR(__xludf.DUMMYFUNCTION("""COMPUTED_VALUE"""),"GUINEA")</f>
        <v>GUINEA</v>
      </c>
      <c r="B409" s="8">
        <f>IFERROR(__xludf.DUMMYFUNCTION("""COMPUTED_VALUE"""),10.0)</f>
        <v>10</v>
      </c>
      <c r="C409" s="7" t="str">
        <f>IFERROR(__xludf.DUMMYFUNCTION("""COMPUTED_VALUE"""),"B_01_01")</f>
        <v>B_01_01</v>
      </c>
      <c r="D409" s="7" t="str">
        <f>IFERROR(__xludf.DUMMYFUNCTION("""COMPUTED_VALUE"""),"Q34a. ")</f>
        <v>Q34a. </v>
      </c>
      <c r="E409" s="7" t="str">
        <f>IFERROR(__xludf.DUMMYFUNCTION("""COMPUTED_VALUE"""),"How often president ignores laws")</f>
        <v>How often president ignores laws</v>
      </c>
      <c r="F409" s="7" t="str">
        <f>IFERROR(__xludf.DUMMYFUNCTION("""COMPUTED_VALUE"""),"President")</f>
        <v>President</v>
      </c>
    </row>
    <row r="410">
      <c r="A410" s="7" t="str">
        <f>IFERROR(__xludf.DUMMYFUNCTION("""COMPUTED_VALUE"""),"KENYA  ")</f>
        <v>KENYA  </v>
      </c>
      <c r="B410" s="8">
        <f>IFERROR(__xludf.DUMMYFUNCTION("""COMPUTED_VALUE"""),10.0)</f>
        <v>10</v>
      </c>
      <c r="C410" s="7" t="str">
        <f>IFERROR(__xludf.DUMMYFUNCTION("""COMPUTED_VALUE"""),"B_01_01")</f>
        <v>B_01_01</v>
      </c>
      <c r="D410" s="7" t="str">
        <f>IFERROR(__xludf.DUMMYFUNCTION("""COMPUTED_VALUE"""),"Q34a. ")</f>
        <v>Q34a. </v>
      </c>
      <c r="E410" s="7" t="str">
        <f>IFERROR(__xludf.DUMMYFUNCTION("""COMPUTED_VALUE"""),"How often president ignores laws")</f>
        <v>How often president ignores laws</v>
      </c>
      <c r="F410" s="7" t="str">
        <f>IFERROR(__xludf.DUMMYFUNCTION("""COMPUTED_VALUE"""),"President")</f>
        <v>President</v>
      </c>
    </row>
    <row r="411">
      <c r="A411" s="7" t="str">
        <f>IFERROR(__xludf.DUMMYFUNCTION("""COMPUTED_VALUE"""),"LESOTHO ")</f>
        <v>LESOTHO </v>
      </c>
      <c r="B411" s="8">
        <f>IFERROR(__xludf.DUMMYFUNCTION("""COMPUTED_VALUE"""),10.0)</f>
        <v>10</v>
      </c>
      <c r="C411" s="7" t="str">
        <f>IFERROR(__xludf.DUMMYFUNCTION("""COMPUTED_VALUE"""),"B_01_01")</f>
        <v>B_01_01</v>
      </c>
      <c r="D411" s="7" t="str">
        <f>IFERROR(__xludf.DUMMYFUNCTION("""COMPUTED_VALUE"""),"Q34a. ")</f>
        <v>Q34a. </v>
      </c>
      <c r="E411" s="7" t="str">
        <f>IFERROR(__xludf.DUMMYFUNCTION("""COMPUTED_VALUE"""),"How often president ignores laws")</f>
        <v>How often president ignores laws</v>
      </c>
      <c r="F411" s="7" t="str">
        <f>IFERROR(__xludf.DUMMYFUNCTION("""COMPUTED_VALUE"""),"Prime Minister")</f>
        <v>Prime Minister</v>
      </c>
    </row>
    <row r="412">
      <c r="A412" s="7" t="str">
        <f>IFERROR(__xludf.DUMMYFUNCTION("""COMPUTED_VALUE"""),"LIBERIA  ")</f>
        <v>LIBERIA  </v>
      </c>
      <c r="B412" s="8">
        <f>IFERROR(__xludf.DUMMYFUNCTION("""COMPUTED_VALUE"""),10.0)</f>
        <v>10</v>
      </c>
      <c r="C412" s="7" t="str">
        <f>IFERROR(__xludf.DUMMYFUNCTION("""COMPUTED_VALUE"""),"B_01_01")</f>
        <v>B_01_01</v>
      </c>
      <c r="D412" s="7" t="str">
        <f>IFERROR(__xludf.DUMMYFUNCTION("""COMPUTED_VALUE"""),"Q34a. ")</f>
        <v>Q34a. </v>
      </c>
      <c r="E412" s="7" t="str">
        <f>IFERROR(__xludf.DUMMYFUNCTION("""COMPUTED_VALUE"""),"How often president ignores laws")</f>
        <v>How often president ignores laws</v>
      </c>
      <c r="F412" s="7" t="str">
        <f>IFERROR(__xludf.DUMMYFUNCTION("""COMPUTED_VALUE"""),"President")</f>
        <v>President</v>
      </c>
    </row>
    <row r="413">
      <c r="A413" s="7" t="str">
        <f>IFERROR(__xludf.DUMMYFUNCTION("""COMPUTED_VALUE"""),"MADAGASCAR")</f>
        <v>MADAGASCAR</v>
      </c>
      <c r="B413" s="8">
        <f>IFERROR(__xludf.DUMMYFUNCTION("""COMPUTED_VALUE"""),10.0)</f>
        <v>10</v>
      </c>
      <c r="C413" s="7" t="str">
        <f>IFERROR(__xludf.DUMMYFUNCTION("""COMPUTED_VALUE"""),"B_01_01")</f>
        <v>B_01_01</v>
      </c>
      <c r="D413" s="7" t="str">
        <f>IFERROR(__xludf.DUMMYFUNCTION("""COMPUTED_VALUE"""),"Q34a. ")</f>
        <v>Q34a. </v>
      </c>
      <c r="E413" s="7" t="str">
        <f>IFERROR(__xludf.DUMMYFUNCTION("""COMPUTED_VALUE"""),"How often president ignores laws")</f>
        <v>How often president ignores laws</v>
      </c>
      <c r="F413" s="7" t="str">
        <f>IFERROR(__xludf.DUMMYFUNCTION("""COMPUTED_VALUE"""),"President")</f>
        <v>President</v>
      </c>
    </row>
    <row r="414">
      <c r="A414" s="7" t="str">
        <f>IFERROR(__xludf.DUMMYFUNCTION("""COMPUTED_VALUE"""),"MALAWI ")</f>
        <v>MALAWI </v>
      </c>
      <c r="B414" s="8">
        <f>IFERROR(__xludf.DUMMYFUNCTION("""COMPUTED_VALUE"""),10.0)</f>
        <v>10</v>
      </c>
      <c r="C414" s="7" t="str">
        <f>IFERROR(__xludf.DUMMYFUNCTION("""COMPUTED_VALUE"""),"B_01_01")</f>
        <v>B_01_01</v>
      </c>
      <c r="D414" s="7" t="str">
        <f>IFERROR(__xludf.DUMMYFUNCTION("""COMPUTED_VALUE"""),"Q34a. ")</f>
        <v>Q34a. </v>
      </c>
      <c r="E414" s="7" t="str">
        <f>IFERROR(__xludf.DUMMYFUNCTION("""COMPUTED_VALUE"""),"How often president ignores laws")</f>
        <v>How often president ignores laws</v>
      </c>
      <c r="F414" s="7" t="str">
        <f>IFERROR(__xludf.DUMMYFUNCTION("""COMPUTED_VALUE"""),"President")</f>
        <v>President</v>
      </c>
    </row>
    <row r="415">
      <c r="A415" s="7" t="str">
        <f>IFERROR(__xludf.DUMMYFUNCTION("""COMPUTED_VALUE"""),"MALI")</f>
        <v>MALI</v>
      </c>
      <c r="B415" s="8">
        <f>IFERROR(__xludf.DUMMYFUNCTION("""COMPUTED_VALUE"""),10.0)</f>
        <v>10</v>
      </c>
      <c r="C415" s="7" t="str">
        <f>IFERROR(__xludf.DUMMYFUNCTION("""COMPUTED_VALUE"""),"B_01_01")</f>
        <v>B_01_01</v>
      </c>
      <c r="D415" s="7" t="str">
        <f>IFERROR(__xludf.DUMMYFUNCTION("""COMPUTED_VALUE"""),"Q34a. ")</f>
        <v>Q34a. </v>
      </c>
      <c r="E415" s="7" t="str">
        <f>IFERROR(__xludf.DUMMYFUNCTION("""COMPUTED_VALUE"""),"How often president ignores laws")</f>
        <v>How often president ignores laws</v>
      </c>
      <c r="F415" s="7" t="str">
        <f>IFERROR(__xludf.DUMMYFUNCTION("""COMPUTED_VALUE"""),"President")</f>
        <v>President</v>
      </c>
    </row>
    <row r="416">
      <c r="A416" s="7" t="str">
        <f>IFERROR(__xludf.DUMMYFUNCTION("""COMPUTED_VALUE"""),"MAURITANIA")</f>
        <v>MAURITANIA</v>
      </c>
      <c r="B416" s="8">
        <f>IFERROR(__xludf.DUMMYFUNCTION("""COMPUTED_VALUE"""),10.0)</f>
        <v>10</v>
      </c>
      <c r="C416" s="7" t="str">
        <f>IFERROR(__xludf.DUMMYFUNCTION("""COMPUTED_VALUE"""),"B_01_01")</f>
        <v>B_01_01</v>
      </c>
      <c r="D416" s="7" t="str">
        <f>IFERROR(__xludf.DUMMYFUNCTION("""COMPUTED_VALUE"""),"Q34a. ")</f>
        <v>Q34a. </v>
      </c>
      <c r="E416" s="7" t="str">
        <f>IFERROR(__xludf.DUMMYFUNCTION("""COMPUTED_VALUE"""),"How often president ignores laws")</f>
        <v>How often president ignores laws</v>
      </c>
      <c r="F416" s="7" t="str">
        <f>IFERROR(__xludf.DUMMYFUNCTION("""COMPUTED_VALUE"""),"President")</f>
        <v>President</v>
      </c>
    </row>
    <row r="417">
      <c r="A417" s="7" t="str">
        <f>IFERROR(__xludf.DUMMYFUNCTION("""COMPUTED_VALUE"""),"MAURITIUS")</f>
        <v>MAURITIUS</v>
      </c>
      <c r="B417" s="8">
        <f>IFERROR(__xludf.DUMMYFUNCTION("""COMPUTED_VALUE"""),10.0)</f>
        <v>10</v>
      </c>
      <c r="C417" s="7" t="str">
        <f>IFERROR(__xludf.DUMMYFUNCTION("""COMPUTED_VALUE"""),"B_01_01")</f>
        <v>B_01_01</v>
      </c>
      <c r="D417" s="7" t="str">
        <f>IFERROR(__xludf.DUMMYFUNCTION("""COMPUTED_VALUE"""),"Q34a. ")</f>
        <v>Q34a. </v>
      </c>
      <c r="E417" s="7" t="str">
        <f>IFERROR(__xludf.DUMMYFUNCTION("""COMPUTED_VALUE"""),"How often president ignores laws")</f>
        <v>How often president ignores laws</v>
      </c>
      <c r="F417" s="7" t="str">
        <f>IFERROR(__xludf.DUMMYFUNCTION("""COMPUTED_VALUE"""),"Prime Minister")</f>
        <v>Prime Minister</v>
      </c>
    </row>
    <row r="418">
      <c r="A418" s="7" t="str">
        <f>IFERROR(__xludf.DUMMYFUNCTION("""COMPUTED_VALUE"""),"MOROCCO ")</f>
        <v>MOROCCO </v>
      </c>
      <c r="B418" s="8">
        <f>IFERROR(__xludf.DUMMYFUNCTION("""COMPUTED_VALUE"""),10.0)</f>
        <v>10</v>
      </c>
      <c r="C418" s="7" t="str">
        <f>IFERROR(__xludf.DUMMYFUNCTION("""COMPUTED_VALUE"""),"B_01_01")</f>
        <v>B_01_01</v>
      </c>
      <c r="D418" s="7" t="str">
        <f>IFERROR(__xludf.DUMMYFUNCTION("""COMPUTED_VALUE"""),"Q34a. ")</f>
        <v>Q34a. </v>
      </c>
      <c r="E418" s="7" t="str">
        <f>IFERROR(__xludf.DUMMYFUNCTION("""COMPUTED_VALUE"""),"How often president ignores laws")</f>
        <v>How often president ignores laws</v>
      </c>
      <c r="F418" s="7" t="str">
        <f>IFERROR(__xludf.DUMMYFUNCTION("""COMPUTED_VALUE"""),"President")</f>
        <v>President</v>
      </c>
    </row>
    <row r="419">
      <c r="A419" s="7" t="str">
        <f>IFERROR(__xludf.DUMMYFUNCTION("""COMPUTED_VALUE"""),"MOZAMBIQUE")</f>
        <v>MOZAMBIQUE</v>
      </c>
      <c r="B419" s="8">
        <f>IFERROR(__xludf.DUMMYFUNCTION("""COMPUTED_VALUE"""),10.0)</f>
        <v>10</v>
      </c>
      <c r="C419" s="7" t="str">
        <f>IFERROR(__xludf.DUMMYFUNCTION("""COMPUTED_VALUE"""),"B_01_01")</f>
        <v>B_01_01</v>
      </c>
      <c r="D419" s="7" t="str">
        <f>IFERROR(__xludf.DUMMYFUNCTION("""COMPUTED_VALUE"""),"Q34a. ")</f>
        <v>Q34a. </v>
      </c>
      <c r="E419" s="7" t="str">
        <f>IFERROR(__xludf.DUMMYFUNCTION("""COMPUTED_VALUE"""),"How often president ignores laws")</f>
        <v>How often president ignores laws</v>
      </c>
      <c r="F419" s="7" t="str">
        <f>IFERROR(__xludf.DUMMYFUNCTION("""COMPUTED_VALUE"""),"President")</f>
        <v>President</v>
      </c>
    </row>
    <row r="420">
      <c r="A420" s="7" t="str">
        <f>IFERROR(__xludf.DUMMYFUNCTION("""COMPUTED_VALUE"""),"NAMIBIA ")</f>
        <v>NAMIBIA </v>
      </c>
      <c r="B420" s="8">
        <f>IFERROR(__xludf.DUMMYFUNCTION("""COMPUTED_VALUE"""),10.0)</f>
        <v>10</v>
      </c>
      <c r="C420" s="7" t="str">
        <f>IFERROR(__xludf.DUMMYFUNCTION("""COMPUTED_VALUE"""),"B_01_01")</f>
        <v>B_01_01</v>
      </c>
      <c r="D420" s="7" t="str">
        <f>IFERROR(__xludf.DUMMYFUNCTION("""COMPUTED_VALUE"""),"Q34a. ")</f>
        <v>Q34a. </v>
      </c>
      <c r="E420" s="7" t="str">
        <f>IFERROR(__xludf.DUMMYFUNCTION("""COMPUTED_VALUE"""),"How often president ignores laws")</f>
        <v>How often president ignores laws</v>
      </c>
      <c r="F420" s="7" t="str">
        <f>IFERROR(__xludf.DUMMYFUNCTION("""COMPUTED_VALUE"""),"President")</f>
        <v>President</v>
      </c>
    </row>
    <row r="421">
      <c r="A421" s="7" t="str">
        <f>IFERROR(__xludf.DUMMYFUNCTION("""COMPUTED_VALUE"""),"NIGERIA ")</f>
        <v>NIGERIA </v>
      </c>
      <c r="B421" s="8">
        <f>IFERROR(__xludf.DUMMYFUNCTION("""COMPUTED_VALUE"""),10.0)</f>
        <v>10</v>
      </c>
      <c r="C421" s="7" t="str">
        <f>IFERROR(__xludf.DUMMYFUNCTION("""COMPUTED_VALUE"""),"B_01_01")</f>
        <v>B_01_01</v>
      </c>
      <c r="D421" s="7" t="str">
        <f>IFERROR(__xludf.DUMMYFUNCTION("""COMPUTED_VALUE"""),"Q34a. ")</f>
        <v>Q34a. </v>
      </c>
      <c r="E421" s="7" t="str">
        <f>IFERROR(__xludf.DUMMYFUNCTION("""COMPUTED_VALUE"""),"How often president ignores laws")</f>
        <v>How often president ignores laws</v>
      </c>
      <c r="F421" s="7" t="str">
        <f>IFERROR(__xludf.DUMMYFUNCTION("""COMPUTED_VALUE"""),"President")</f>
        <v>President</v>
      </c>
    </row>
    <row r="422">
      <c r="A422" s="7" t="str">
        <f>IFERROR(__xludf.DUMMYFUNCTION("""COMPUTED_VALUE"""),"SAO TOME AND PRINCIPE")</f>
        <v>SAO TOME AND PRINCIPE</v>
      </c>
      <c r="B422" s="8">
        <f>IFERROR(__xludf.DUMMYFUNCTION("""COMPUTED_VALUE"""),10.0)</f>
        <v>10</v>
      </c>
      <c r="C422" s="7" t="str">
        <f>IFERROR(__xludf.DUMMYFUNCTION("""COMPUTED_VALUE"""),"B_01_01")</f>
        <v>B_01_01</v>
      </c>
      <c r="D422" s="7" t="str">
        <f>IFERROR(__xludf.DUMMYFUNCTION("""COMPUTED_VALUE"""),"Q34a. ")</f>
        <v>Q34a. </v>
      </c>
      <c r="E422" s="7" t="str">
        <f>IFERROR(__xludf.DUMMYFUNCTION("""COMPUTED_VALUE"""),"How often president ignores laws")</f>
        <v>How often president ignores laws</v>
      </c>
      <c r="F422" s="7" t="str">
        <f>IFERROR(__xludf.DUMMYFUNCTION("""COMPUTED_VALUE"""),"President")</f>
        <v>President</v>
      </c>
    </row>
    <row r="423">
      <c r="A423" s="7" t="str">
        <f>IFERROR(__xludf.DUMMYFUNCTION("""COMPUTED_VALUE"""),"SENEGAL")</f>
        <v>SENEGAL</v>
      </c>
      <c r="B423" s="8">
        <f>IFERROR(__xludf.DUMMYFUNCTION("""COMPUTED_VALUE"""),10.0)</f>
        <v>10</v>
      </c>
      <c r="C423" s="7" t="str">
        <f>IFERROR(__xludf.DUMMYFUNCTION("""COMPUTED_VALUE"""),"B_01_01")</f>
        <v>B_01_01</v>
      </c>
      <c r="D423" s="7" t="str">
        <f>IFERROR(__xludf.DUMMYFUNCTION("""COMPUTED_VALUE"""),"Q34a. ")</f>
        <v>Q34a. </v>
      </c>
      <c r="E423" s="7" t="str">
        <f>IFERROR(__xludf.DUMMYFUNCTION("""COMPUTED_VALUE"""),"How often president ignores laws")</f>
        <v>How often president ignores laws</v>
      </c>
      <c r="F423" s="7" t="str">
        <f>IFERROR(__xludf.DUMMYFUNCTION("""COMPUTED_VALUE"""),"President")</f>
        <v>President</v>
      </c>
    </row>
    <row r="424">
      <c r="A424" s="7" t="str">
        <f>IFERROR(__xludf.DUMMYFUNCTION("""COMPUTED_VALUE"""),"SEYCHELLES")</f>
        <v>SEYCHELLES</v>
      </c>
      <c r="B424" s="8">
        <f>IFERROR(__xludf.DUMMYFUNCTION("""COMPUTED_VALUE"""),10.0)</f>
        <v>10</v>
      </c>
      <c r="C424" s="7" t="str">
        <f>IFERROR(__xludf.DUMMYFUNCTION("""COMPUTED_VALUE"""),"B_01_01")</f>
        <v>B_01_01</v>
      </c>
      <c r="D424" s="7" t="str">
        <f>IFERROR(__xludf.DUMMYFUNCTION("""COMPUTED_VALUE"""),"Q34a. ")</f>
        <v>Q34a. </v>
      </c>
      <c r="E424" s="7" t="str">
        <f>IFERROR(__xludf.DUMMYFUNCTION("""COMPUTED_VALUE"""),"How often president ignores laws")</f>
        <v>How often president ignores laws</v>
      </c>
      <c r="F424" s="7" t="str">
        <f>IFERROR(__xludf.DUMMYFUNCTION("""COMPUTED_VALUE"""),"President")</f>
        <v>President</v>
      </c>
    </row>
    <row r="425">
      <c r="A425" s="7" t="str">
        <f>IFERROR(__xludf.DUMMYFUNCTION("""COMPUTED_VALUE"""),"SOUTH AFRICA")</f>
        <v>SOUTH AFRICA</v>
      </c>
      <c r="B425" s="8">
        <f>IFERROR(__xludf.DUMMYFUNCTION("""COMPUTED_VALUE"""),10.0)</f>
        <v>10</v>
      </c>
      <c r="C425" s="7" t="str">
        <f>IFERROR(__xludf.DUMMYFUNCTION("""COMPUTED_VALUE"""),"B_01_01")</f>
        <v>B_01_01</v>
      </c>
      <c r="D425" s="7" t="str">
        <f>IFERROR(__xludf.DUMMYFUNCTION("""COMPUTED_VALUE"""),"Q34a. ")</f>
        <v>Q34a. </v>
      </c>
      <c r="E425" s="7" t="str">
        <f>IFERROR(__xludf.DUMMYFUNCTION("""COMPUTED_VALUE"""),"How often president ignores laws")</f>
        <v>How often president ignores laws</v>
      </c>
      <c r="F425" s="7" t="str">
        <f>IFERROR(__xludf.DUMMYFUNCTION("""COMPUTED_VALUE"""),"President")</f>
        <v>President</v>
      </c>
    </row>
    <row r="426">
      <c r="A426" s="7" t="str">
        <f>IFERROR(__xludf.DUMMYFUNCTION("""COMPUTED_VALUE"""),"TANZANIA")</f>
        <v>TANZANIA</v>
      </c>
      <c r="B426" s="8">
        <f>IFERROR(__xludf.DUMMYFUNCTION("""COMPUTED_VALUE"""),10.0)</f>
        <v>10</v>
      </c>
      <c r="C426" s="7" t="str">
        <f>IFERROR(__xludf.DUMMYFUNCTION("""COMPUTED_VALUE"""),"B_01_01")</f>
        <v>B_01_01</v>
      </c>
      <c r="D426" s="7" t="str">
        <f>IFERROR(__xludf.DUMMYFUNCTION("""COMPUTED_VALUE"""),"Q34a. ")</f>
        <v>Q34a. </v>
      </c>
      <c r="E426" s="7" t="str">
        <f>IFERROR(__xludf.DUMMYFUNCTION("""COMPUTED_VALUE"""),"How often president ignores laws")</f>
        <v>How often president ignores laws</v>
      </c>
      <c r="F426" s="7" t="str">
        <f>IFERROR(__xludf.DUMMYFUNCTION("""COMPUTED_VALUE"""),"President")</f>
        <v>President</v>
      </c>
    </row>
    <row r="427">
      <c r="A427" s="7" t="str">
        <f>IFERROR(__xludf.DUMMYFUNCTION("""COMPUTED_VALUE"""),"TOGO ")</f>
        <v>TOGO </v>
      </c>
      <c r="B427" s="8">
        <f>IFERROR(__xludf.DUMMYFUNCTION("""COMPUTED_VALUE"""),10.0)</f>
        <v>10</v>
      </c>
      <c r="C427" s="7" t="str">
        <f>IFERROR(__xludf.DUMMYFUNCTION("""COMPUTED_VALUE"""),"B_01_01")</f>
        <v>B_01_01</v>
      </c>
      <c r="D427" s="7" t="str">
        <f>IFERROR(__xludf.DUMMYFUNCTION("""COMPUTED_VALUE"""),"Q34a. ")</f>
        <v>Q34a. </v>
      </c>
      <c r="E427" s="7" t="str">
        <f>IFERROR(__xludf.DUMMYFUNCTION("""COMPUTED_VALUE"""),"How often president ignores laws")</f>
        <v>How often president ignores laws</v>
      </c>
      <c r="F427" s="7" t="str">
        <f>IFERROR(__xludf.DUMMYFUNCTION("""COMPUTED_VALUE"""),"President")</f>
        <v>President</v>
      </c>
    </row>
    <row r="428">
      <c r="A428" s="7" t="str">
        <f>IFERROR(__xludf.DUMMYFUNCTION("""COMPUTED_VALUE"""),"TUNISIA ")</f>
        <v>TUNISIA </v>
      </c>
      <c r="B428" s="8">
        <f>IFERROR(__xludf.DUMMYFUNCTION("""COMPUTED_VALUE"""),10.0)</f>
        <v>10</v>
      </c>
      <c r="C428" s="7" t="str">
        <f>IFERROR(__xludf.DUMMYFUNCTION("""COMPUTED_VALUE"""),"B_01_01")</f>
        <v>B_01_01</v>
      </c>
      <c r="D428" s="7" t="str">
        <f>IFERROR(__xludf.DUMMYFUNCTION("""COMPUTED_VALUE"""),"Q34a. ")</f>
        <v>Q34a. </v>
      </c>
      <c r="E428" s="7" t="str">
        <f>IFERROR(__xludf.DUMMYFUNCTION("""COMPUTED_VALUE"""),"How often president ignores laws")</f>
        <v>How often president ignores laws</v>
      </c>
      <c r="F428" s="7" t="str">
        <f>IFERROR(__xludf.DUMMYFUNCTION("""COMPUTED_VALUE"""),"President")</f>
        <v>President</v>
      </c>
    </row>
    <row r="429">
      <c r="A429" s="7" t="str">
        <f>IFERROR(__xludf.DUMMYFUNCTION("""COMPUTED_VALUE"""),"UGANDA  ")</f>
        <v>UGANDA  </v>
      </c>
      <c r="B429" s="8">
        <f>IFERROR(__xludf.DUMMYFUNCTION("""COMPUTED_VALUE"""),10.0)</f>
        <v>10</v>
      </c>
      <c r="C429" s="7" t="str">
        <f>IFERROR(__xludf.DUMMYFUNCTION("""COMPUTED_VALUE"""),"B_01_01")</f>
        <v>B_01_01</v>
      </c>
      <c r="D429" s="7" t="str">
        <f>IFERROR(__xludf.DUMMYFUNCTION("""COMPUTED_VALUE"""),"Q34a. ")</f>
        <v>Q34a. </v>
      </c>
      <c r="E429" s="7" t="str">
        <f>IFERROR(__xludf.DUMMYFUNCTION("""COMPUTED_VALUE"""),"How often president ignores laws")</f>
        <v>How often president ignores laws</v>
      </c>
      <c r="F429" s="7" t="str">
        <f>IFERROR(__xludf.DUMMYFUNCTION("""COMPUTED_VALUE"""),"President")</f>
        <v>President</v>
      </c>
    </row>
    <row r="430">
      <c r="A430" s="7" t="str">
        <f>IFERROR(__xludf.DUMMYFUNCTION("""COMPUTED_VALUE"""),"ZAMBIA")</f>
        <v>ZAMBIA</v>
      </c>
      <c r="B430" s="8">
        <f>IFERROR(__xludf.DUMMYFUNCTION("""COMPUTED_VALUE"""),10.0)</f>
        <v>10</v>
      </c>
      <c r="C430" s="7" t="str">
        <f>IFERROR(__xludf.DUMMYFUNCTION("""COMPUTED_VALUE"""),"B_01_01")</f>
        <v>B_01_01</v>
      </c>
      <c r="D430" s="7" t="str">
        <f>IFERROR(__xludf.DUMMYFUNCTION("""COMPUTED_VALUE"""),"Q34a. ")</f>
        <v>Q34a. </v>
      </c>
      <c r="E430" s="7" t="str">
        <f>IFERROR(__xludf.DUMMYFUNCTION("""COMPUTED_VALUE"""),"How often president ignores laws")</f>
        <v>How often president ignores laws</v>
      </c>
      <c r="F430" s="7" t="str">
        <f>IFERROR(__xludf.DUMMYFUNCTION("""COMPUTED_VALUE"""),"President")</f>
        <v>President</v>
      </c>
    </row>
    <row r="431">
      <c r="A431" s="7" t="str">
        <f>IFERROR(__xludf.DUMMYFUNCTION("""COMPUTED_VALUE"""),"ZIMBABWE")</f>
        <v>ZIMBABWE</v>
      </c>
      <c r="B431" s="8">
        <f>IFERROR(__xludf.DUMMYFUNCTION("""COMPUTED_VALUE"""),10.0)</f>
        <v>10</v>
      </c>
      <c r="C431" s="7" t="str">
        <f>IFERROR(__xludf.DUMMYFUNCTION("""COMPUTED_VALUE"""),"B_01_01")</f>
        <v>B_01_01</v>
      </c>
      <c r="D431" s="7" t="str">
        <f>IFERROR(__xludf.DUMMYFUNCTION("""COMPUTED_VALUE"""),"Q34a. ")</f>
        <v>Q34a. </v>
      </c>
      <c r="E431" s="7" t="str">
        <f>IFERROR(__xludf.DUMMYFUNCTION("""COMPUTED_VALUE"""),"How often president ignores laws")</f>
        <v>How often president ignores laws</v>
      </c>
      <c r="F431" s="7" t="str">
        <f>IFERROR(__xludf.DUMMYFUNCTION("""COMPUTED_VALUE"""),"President")</f>
        <v>President</v>
      </c>
    </row>
    <row r="432">
      <c r="A432" s="7" t="str">
        <f>IFERROR(__xludf.DUMMYFUNCTION("""COMPUTED_VALUE"""),"ANGOLA ")</f>
        <v>ANGOLA </v>
      </c>
      <c r="B432" s="8">
        <f>IFERROR(__xludf.DUMMYFUNCTION("""COMPUTED_VALUE"""),10.0)</f>
        <v>10</v>
      </c>
      <c r="C432" s="7" t="str">
        <f>IFERROR(__xludf.DUMMYFUNCTION("""COMPUTED_VALUE"""),"B_01_02")</f>
        <v>B_01_02</v>
      </c>
      <c r="D432" s="7" t="str">
        <f>IFERROR(__xludf.DUMMYFUNCTION("""COMPUTED_VALUE"""),"Q34b. ")</f>
        <v>Q34b. </v>
      </c>
      <c r="E432" s="7" t="str">
        <f>IFERROR(__xludf.DUMMYFUNCTION("""COMPUTED_VALUE"""),"How often president ignores parliament")</f>
        <v>How often president ignores parliament</v>
      </c>
      <c r="F432" s="7" t="str">
        <f>IFERROR(__xludf.DUMMYFUNCTION("""COMPUTED_VALUE"""),"President/He vs National Assembly")</f>
        <v>President/He vs National Assembly</v>
      </c>
    </row>
    <row r="433">
      <c r="A433" s="7" t="str">
        <f>IFERROR(__xludf.DUMMYFUNCTION("""COMPUTED_VALUE"""),"BENIN")</f>
        <v>BENIN</v>
      </c>
      <c r="B433" s="8">
        <f>IFERROR(__xludf.DUMMYFUNCTION("""COMPUTED_VALUE"""),10.0)</f>
        <v>10</v>
      </c>
      <c r="C433" s="7" t="str">
        <f>IFERROR(__xludf.DUMMYFUNCTION("""COMPUTED_VALUE"""),"B_01_02")</f>
        <v>B_01_02</v>
      </c>
      <c r="D433" s="7" t="str">
        <f>IFERROR(__xludf.DUMMYFUNCTION("""COMPUTED_VALUE"""),"Q34b. ")</f>
        <v>Q34b. </v>
      </c>
      <c r="E433" s="7" t="str">
        <f>IFERROR(__xludf.DUMMYFUNCTION("""COMPUTED_VALUE"""),"How often president ignores parliament")</f>
        <v>How often president ignores parliament</v>
      </c>
      <c r="F433" s="7" t="str">
        <f>IFERROR(__xludf.DUMMYFUNCTION("""COMPUTED_VALUE"""),"President/He vs National Assembly")</f>
        <v>President/He vs National Assembly</v>
      </c>
    </row>
    <row r="434">
      <c r="A434" s="7" t="str">
        <f>IFERROR(__xludf.DUMMYFUNCTION("""COMPUTED_VALUE"""),"BOTSWANA ")</f>
        <v>BOTSWANA </v>
      </c>
      <c r="B434" s="8">
        <f>IFERROR(__xludf.DUMMYFUNCTION("""COMPUTED_VALUE"""),10.0)</f>
        <v>10</v>
      </c>
      <c r="C434" s="7" t="str">
        <f>IFERROR(__xludf.DUMMYFUNCTION("""COMPUTED_VALUE"""),"B_01_02")</f>
        <v>B_01_02</v>
      </c>
      <c r="D434" s="7" t="str">
        <f>IFERROR(__xludf.DUMMYFUNCTION("""COMPUTED_VALUE"""),"Q34b. ")</f>
        <v>Q34b. </v>
      </c>
      <c r="E434" s="7" t="str">
        <f>IFERROR(__xludf.DUMMYFUNCTION("""COMPUTED_VALUE"""),"How often president ignores parliament")</f>
        <v>How often president ignores parliament</v>
      </c>
      <c r="F434" s="7" t="str">
        <f>IFERROR(__xludf.DUMMYFUNCTION("""COMPUTED_VALUE"""),"President/He vs Parliament")</f>
        <v>President/He vs Parliament</v>
      </c>
    </row>
    <row r="435">
      <c r="A435" s="7" t="str">
        <f>IFERROR(__xludf.DUMMYFUNCTION("""COMPUTED_VALUE"""),"CABO VERDE ")</f>
        <v>CABO VERDE </v>
      </c>
      <c r="B435" s="8">
        <f>IFERROR(__xludf.DUMMYFUNCTION("""COMPUTED_VALUE"""),10.0)</f>
        <v>10</v>
      </c>
      <c r="C435" s="7" t="str">
        <f>IFERROR(__xludf.DUMMYFUNCTION("""COMPUTED_VALUE"""),"B_01_02")</f>
        <v>B_01_02</v>
      </c>
      <c r="D435" s="7" t="str">
        <f>IFERROR(__xludf.DUMMYFUNCTION("""COMPUTED_VALUE"""),"Q34b. ")</f>
        <v>Q34b. </v>
      </c>
      <c r="E435" s="7" t="str">
        <f>IFERROR(__xludf.DUMMYFUNCTION("""COMPUTED_VALUE"""),"How often president ignores parliament")</f>
        <v>How often president ignores parliament</v>
      </c>
      <c r="F435" s="7" t="str">
        <f>IFERROR(__xludf.DUMMYFUNCTION("""COMPUTED_VALUE"""),"President/He vs National Assembly")</f>
        <v>President/He vs National Assembly</v>
      </c>
    </row>
    <row r="436">
      <c r="A436" s="7" t="str">
        <f>IFERROR(__xludf.DUMMYFUNCTION("""COMPUTED_VALUE"""),"CAMEROON")</f>
        <v>CAMEROON</v>
      </c>
      <c r="B436" s="8">
        <f>IFERROR(__xludf.DUMMYFUNCTION("""COMPUTED_VALUE"""),10.0)</f>
        <v>10</v>
      </c>
      <c r="C436" s="7" t="str">
        <f>IFERROR(__xludf.DUMMYFUNCTION("""COMPUTED_VALUE"""),"B_01_02")</f>
        <v>B_01_02</v>
      </c>
      <c r="D436" s="7" t="str">
        <f>IFERROR(__xludf.DUMMYFUNCTION("""COMPUTED_VALUE"""),"Q34b. ")</f>
        <v>Q34b. </v>
      </c>
      <c r="E436" s="7" t="str">
        <f>IFERROR(__xludf.DUMMYFUNCTION("""COMPUTED_VALUE"""),"How often president ignores parliament")</f>
        <v>How often president ignores parliament</v>
      </c>
      <c r="F436" s="7" t="str">
        <f>IFERROR(__xludf.DUMMYFUNCTION("""COMPUTED_VALUE"""),"President/He vs National Assembly")</f>
        <v>President/He vs National Assembly</v>
      </c>
    </row>
    <row r="437">
      <c r="A437" s="7" t="str">
        <f>IFERROR(__xludf.DUMMYFUNCTION("""COMPUTED_VALUE"""),"CHAD")</f>
        <v>CHAD</v>
      </c>
      <c r="B437" s="8">
        <f>IFERROR(__xludf.DUMMYFUNCTION("""COMPUTED_VALUE"""),10.0)</f>
        <v>10</v>
      </c>
      <c r="C437" s="7" t="str">
        <f>IFERROR(__xludf.DUMMYFUNCTION("""COMPUTED_VALUE"""),"B_01_02")</f>
        <v>B_01_02</v>
      </c>
      <c r="D437" s="7" t="str">
        <f>IFERROR(__xludf.DUMMYFUNCTION("""COMPUTED_VALUE"""),"Q34b. ")</f>
        <v>Q34b. </v>
      </c>
      <c r="E437" s="7" t="str">
        <f>IFERROR(__xludf.DUMMYFUNCTION("""COMPUTED_VALUE"""),"How often president ignores parliament")</f>
        <v>How often president ignores parliament</v>
      </c>
      <c r="F437" s="7" t="str">
        <f>IFERROR(__xludf.DUMMYFUNCTION("""COMPUTED_VALUE"""),"President/He vs National Assembly")</f>
        <v>President/He vs National Assembly</v>
      </c>
    </row>
    <row r="438">
      <c r="A438" s="7" t="str">
        <f>IFERROR(__xludf.DUMMYFUNCTION("""COMPUTED_VALUE"""),"COMOROS")</f>
        <v>COMOROS</v>
      </c>
      <c r="B438" s="8">
        <f>IFERROR(__xludf.DUMMYFUNCTION("""COMPUTED_VALUE"""),10.0)</f>
        <v>10</v>
      </c>
      <c r="C438" s="7" t="str">
        <f>IFERROR(__xludf.DUMMYFUNCTION("""COMPUTED_VALUE"""),"B_01_02")</f>
        <v>B_01_02</v>
      </c>
      <c r="D438" s="7" t="str">
        <f>IFERROR(__xludf.DUMMYFUNCTION("""COMPUTED_VALUE"""),"Q34b. ")</f>
        <v>Q34b. </v>
      </c>
      <c r="E438" s="7" t="str">
        <f>IFERROR(__xludf.DUMMYFUNCTION("""COMPUTED_VALUE"""),"How often president ignores parliament")</f>
        <v>How often president ignores parliament</v>
      </c>
      <c r="F438" s="7" t="str">
        <f>IFERROR(__xludf.DUMMYFUNCTION("""COMPUTED_VALUE"""),"President/He vs National Assembly")</f>
        <v>President/He vs National Assembly</v>
      </c>
    </row>
    <row r="439">
      <c r="A439" s="7" t="str">
        <f>IFERROR(__xludf.DUMMYFUNCTION("""COMPUTED_VALUE"""),"CONGO BRAZZAVILLE")</f>
        <v>CONGO BRAZZAVILLE</v>
      </c>
      <c r="B439" s="8">
        <f>IFERROR(__xludf.DUMMYFUNCTION("""COMPUTED_VALUE"""),10.0)</f>
        <v>10</v>
      </c>
      <c r="C439" s="7" t="str">
        <f>IFERROR(__xludf.DUMMYFUNCTION("""COMPUTED_VALUE"""),"B_01_02")</f>
        <v>B_01_02</v>
      </c>
      <c r="D439" s="7" t="str">
        <f>IFERROR(__xludf.DUMMYFUNCTION("""COMPUTED_VALUE"""),"Q34b. ")</f>
        <v>Q34b. </v>
      </c>
      <c r="E439" s="7" t="str">
        <f>IFERROR(__xludf.DUMMYFUNCTION("""COMPUTED_VALUE"""),"How often president ignores parliament")</f>
        <v>How often president ignores parliament</v>
      </c>
      <c r="F439" s="7" t="str">
        <f>IFERROR(__xludf.DUMMYFUNCTION("""COMPUTED_VALUE"""),"President/He vs National Assembly")</f>
        <v>President/He vs National Assembly</v>
      </c>
    </row>
    <row r="440">
      <c r="A440" s="7" t="str">
        <f>IFERROR(__xludf.DUMMYFUNCTION("""COMPUTED_VALUE"""),"COTE D'IVOIRE")</f>
        <v>COTE D'IVOIRE</v>
      </c>
      <c r="B440" s="8">
        <f>IFERROR(__xludf.DUMMYFUNCTION("""COMPUTED_VALUE"""),10.0)</f>
        <v>10</v>
      </c>
      <c r="C440" s="7" t="str">
        <f>IFERROR(__xludf.DUMMYFUNCTION("""COMPUTED_VALUE"""),"B_01_02")</f>
        <v>B_01_02</v>
      </c>
      <c r="D440" s="7" t="str">
        <f>IFERROR(__xludf.DUMMYFUNCTION("""COMPUTED_VALUE"""),"Q34b. ")</f>
        <v>Q34b. </v>
      </c>
      <c r="E440" s="7" t="str">
        <f>IFERROR(__xludf.DUMMYFUNCTION("""COMPUTED_VALUE"""),"How often president ignores parliament")</f>
        <v>How often president ignores parliament</v>
      </c>
      <c r="F440" s="7" t="str">
        <f>IFERROR(__xludf.DUMMYFUNCTION("""COMPUTED_VALUE"""),"President/He vs National Assembly")</f>
        <v>President/He vs National Assembly</v>
      </c>
    </row>
    <row r="441">
      <c r="A441" s="7" t="str">
        <f>IFERROR(__xludf.DUMMYFUNCTION("""COMPUTED_VALUE"""),"ESWATINI")</f>
        <v>ESWATINI</v>
      </c>
      <c r="B441" s="8">
        <f>IFERROR(__xludf.DUMMYFUNCTION("""COMPUTED_VALUE"""),10.0)</f>
        <v>10</v>
      </c>
      <c r="C441" s="7" t="str">
        <f>IFERROR(__xludf.DUMMYFUNCTION("""COMPUTED_VALUE"""),"B_01_02")</f>
        <v>B_01_02</v>
      </c>
      <c r="D441" s="7" t="str">
        <f>IFERROR(__xludf.DUMMYFUNCTION("""COMPUTED_VALUE"""),"Q34b. ")</f>
        <v>Q34b. </v>
      </c>
      <c r="E441" s="7" t="str">
        <f>IFERROR(__xludf.DUMMYFUNCTION("""COMPUTED_VALUE"""),"How often president ignores parliament")</f>
        <v>How often president ignores parliament</v>
      </c>
      <c r="F441" s="7" t="str">
        <f>IFERROR(__xludf.DUMMYFUNCTION("""COMPUTED_VALUE"""),"Prime-Minister/He vs Parliament")</f>
        <v>Prime-Minister/He vs Parliament</v>
      </c>
    </row>
    <row r="442">
      <c r="A442" s="7" t="str">
        <f>IFERROR(__xludf.DUMMYFUNCTION("""COMPUTED_VALUE"""),"GABON")</f>
        <v>GABON</v>
      </c>
      <c r="B442" s="8">
        <f>IFERROR(__xludf.DUMMYFUNCTION("""COMPUTED_VALUE"""),10.0)</f>
        <v>10</v>
      </c>
      <c r="C442" s="7" t="str">
        <f>IFERROR(__xludf.DUMMYFUNCTION("""COMPUTED_VALUE"""),"B_01_02")</f>
        <v>B_01_02</v>
      </c>
      <c r="D442" s="7" t="str">
        <f>IFERROR(__xludf.DUMMYFUNCTION("""COMPUTED_VALUE"""),"Q34b. ")</f>
        <v>Q34b. </v>
      </c>
      <c r="E442" s="7" t="str">
        <f>IFERROR(__xludf.DUMMYFUNCTION("""COMPUTED_VALUE"""),"How often president ignores parliament")</f>
        <v>How often president ignores parliament</v>
      </c>
      <c r="F442" s="7" t="str">
        <f>IFERROR(__xludf.DUMMYFUNCTION("""COMPUTED_VALUE"""),"President/He vs National Assembly")</f>
        <v>President/He vs National Assembly</v>
      </c>
    </row>
    <row r="443">
      <c r="A443" s="7" t="str">
        <f>IFERROR(__xludf.DUMMYFUNCTION("""COMPUTED_VALUE"""),"GAMBIA")</f>
        <v>GAMBIA</v>
      </c>
      <c r="B443" s="8">
        <f>IFERROR(__xludf.DUMMYFUNCTION("""COMPUTED_VALUE"""),10.0)</f>
        <v>10</v>
      </c>
      <c r="C443" s="7" t="str">
        <f>IFERROR(__xludf.DUMMYFUNCTION("""COMPUTED_VALUE"""),"B_01_02")</f>
        <v>B_01_02</v>
      </c>
      <c r="D443" s="7" t="str">
        <f>IFERROR(__xludf.DUMMYFUNCTION("""COMPUTED_VALUE"""),"Q34b. ")</f>
        <v>Q34b. </v>
      </c>
      <c r="E443" s="7" t="str">
        <f>IFERROR(__xludf.DUMMYFUNCTION("""COMPUTED_VALUE"""),"How often president ignores parliament")</f>
        <v>How often president ignores parliament</v>
      </c>
      <c r="F443" s="7" t="str">
        <f>IFERROR(__xludf.DUMMYFUNCTION("""COMPUTED_VALUE"""),"President/He vs National Assembly")</f>
        <v>President/He vs National Assembly</v>
      </c>
    </row>
    <row r="444">
      <c r="A444" s="7" t="str">
        <f>IFERROR(__xludf.DUMMYFUNCTION("""COMPUTED_VALUE"""),"GHANA ")</f>
        <v>GHANA </v>
      </c>
      <c r="B444" s="8">
        <f>IFERROR(__xludf.DUMMYFUNCTION("""COMPUTED_VALUE"""),10.0)</f>
        <v>10</v>
      </c>
      <c r="C444" s="7" t="str">
        <f>IFERROR(__xludf.DUMMYFUNCTION("""COMPUTED_VALUE"""),"B_01_02")</f>
        <v>B_01_02</v>
      </c>
      <c r="D444" s="7" t="str">
        <f>IFERROR(__xludf.DUMMYFUNCTION("""COMPUTED_VALUE"""),"Q34b. ")</f>
        <v>Q34b. </v>
      </c>
      <c r="E444" s="7" t="str">
        <f>IFERROR(__xludf.DUMMYFUNCTION("""COMPUTED_VALUE"""),"How often president ignores parliament")</f>
        <v>How often president ignores parliament</v>
      </c>
      <c r="F444" s="7" t="str">
        <f>IFERROR(__xludf.DUMMYFUNCTION("""COMPUTED_VALUE"""),"President/He vs Parliament")</f>
        <v>President/He vs Parliament</v>
      </c>
    </row>
    <row r="445">
      <c r="A445" s="7" t="str">
        <f>IFERROR(__xludf.DUMMYFUNCTION("""COMPUTED_VALUE"""),"GUINEA")</f>
        <v>GUINEA</v>
      </c>
      <c r="B445" s="8">
        <f>IFERROR(__xludf.DUMMYFUNCTION("""COMPUTED_VALUE"""),10.0)</f>
        <v>10</v>
      </c>
      <c r="C445" s="7" t="str">
        <f>IFERROR(__xludf.DUMMYFUNCTION("""COMPUTED_VALUE"""),"B_01_02")</f>
        <v>B_01_02</v>
      </c>
      <c r="D445" s="7" t="str">
        <f>IFERROR(__xludf.DUMMYFUNCTION("""COMPUTED_VALUE"""),"Q34b. ")</f>
        <v>Q34b. </v>
      </c>
      <c r="E445" s="7" t="str">
        <f>IFERROR(__xludf.DUMMYFUNCTION("""COMPUTED_VALUE"""),"How often president ignores parliament")</f>
        <v>How often president ignores parliament</v>
      </c>
      <c r="F445" s="7" t="str">
        <f>IFERROR(__xludf.DUMMYFUNCTION("""COMPUTED_VALUE"""),"President/He vs National Transition Council")</f>
        <v>President/He vs National Transition Council</v>
      </c>
    </row>
    <row r="446">
      <c r="A446" s="7" t="str">
        <f>IFERROR(__xludf.DUMMYFUNCTION("""COMPUTED_VALUE"""),"KENYA  ")</f>
        <v>KENYA  </v>
      </c>
      <c r="B446" s="8">
        <f>IFERROR(__xludf.DUMMYFUNCTION("""COMPUTED_VALUE"""),10.0)</f>
        <v>10</v>
      </c>
      <c r="C446" s="7" t="str">
        <f>IFERROR(__xludf.DUMMYFUNCTION("""COMPUTED_VALUE"""),"B_01_02")</f>
        <v>B_01_02</v>
      </c>
      <c r="D446" s="7" t="str">
        <f>IFERROR(__xludf.DUMMYFUNCTION("""COMPUTED_VALUE"""),"Q34b. ")</f>
        <v>Q34b. </v>
      </c>
      <c r="E446" s="7" t="str">
        <f>IFERROR(__xludf.DUMMYFUNCTION("""COMPUTED_VALUE"""),"How often president ignores parliament")</f>
        <v>How often president ignores parliament</v>
      </c>
      <c r="F446" s="7" t="str">
        <f>IFERROR(__xludf.DUMMYFUNCTION("""COMPUTED_VALUE"""),"President/He vs Parliament")</f>
        <v>President/He vs Parliament</v>
      </c>
    </row>
    <row r="447">
      <c r="A447" s="7" t="str">
        <f>IFERROR(__xludf.DUMMYFUNCTION("""COMPUTED_VALUE"""),"LESOTHO ")</f>
        <v>LESOTHO </v>
      </c>
      <c r="B447" s="8">
        <f>IFERROR(__xludf.DUMMYFUNCTION("""COMPUTED_VALUE"""),10.0)</f>
        <v>10</v>
      </c>
      <c r="C447" s="7" t="str">
        <f>IFERROR(__xludf.DUMMYFUNCTION("""COMPUTED_VALUE"""),"B_01_02")</f>
        <v>B_01_02</v>
      </c>
      <c r="D447" s="7" t="str">
        <f>IFERROR(__xludf.DUMMYFUNCTION("""COMPUTED_VALUE"""),"Q34b. ")</f>
        <v>Q34b. </v>
      </c>
      <c r="E447" s="7" t="str">
        <f>IFERROR(__xludf.DUMMYFUNCTION("""COMPUTED_VALUE"""),"How often president ignores parliament")</f>
        <v>How often president ignores parliament</v>
      </c>
      <c r="F447" s="7" t="str">
        <f>IFERROR(__xludf.DUMMYFUNCTION("""COMPUTED_VALUE"""),"Prime Minister/He vs Parliament")</f>
        <v>Prime Minister/He vs Parliament</v>
      </c>
    </row>
    <row r="448">
      <c r="A448" s="7" t="str">
        <f>IFERROR(__xludf.DUMMYFUNCTION("""COMPUTED_VALUE"""),"LIBERIA  ")</f>
        <v>LIBERIA  </v>
      </c>
      <c r="B448" s="8">
        <f>IFERROR(__xludf.DUMMYFUNCTION("""COMPUTED_VALUE"""),10.0)</f>
        <v>10</v>
      </c>
      <c r="C448" s="7" t="str">
        <f>IFERROR(__xludf.DUMMYFUNCTION("""COMPUTED_VALUE"""),"B_01_02")</f>
        <v>B_01_02</v>
      </c>
      <c r="D448" s="7" t="str">
        <f>IFERROR(__xludf.DUMMYFUNCTION("""COMPUTED_VALUE"""),"Q34b. ")</f>
        <v>Q34b. </v>
      </c>
      <c r="E448" s="7" t="str">
        <f>IFERROR(__xludf.DUMMYFUNCTION("""COMPUTED_VALUE"""),"How often president ignores parliament")</f>
        <v>How often president ignores parliament</v>
      </c>
      <c r="F448" s="7" t="str">
        <f>IFERROR(__xludf.DUMMYFUNCTION("""COMPUTED_VALUE"""),"President/He vs National legislature")</f>
        <v>President/He vs National legislature</v>
      </c>
    </row>
    <row r="449">
      <c r="A449" s="7" t="str">
        <f>IFERROR(__xludf.DUMMYFUNCTION("""COMPUTED_VALUE"""),"MADAGASCAR")</f>
        <v>MADAGASCAR</v>
      </c>
      <c r="B449" s="8">
        <f>IFERROR(__xludf.DUMMYFUNCTION("""COMPUTED_VALUE"""),10.0)</f>
        <v>10</v>
      </c>
      <c r="C449" s="7" t="str">
        <f>IFERROR(__xludf.DUMMYFUNCTION("""COMPUTED_VALUE"""),"B_01_02")</f>
        <v>B_01_02</v>
      </c>
      <c r="D449" s="7" t="str">
        <f>IFERROR(__xludf.DUMMYFUNCTION("""COMPUTED_VALUE"""),"Q34b. ")</f>
        <v>Q34b. </v>
      </c>
      <c r="E449" s="7" t="str">
        <f>IFERROR(__xludf.DUMMYFUNCTION("""COMPUTED_VALUE"""),"How often president ignores parliament")</f>
        <v>How often president ignores parliament</v>
      </c>
      <c r="F449" s="7" t="str">
        <f>IFERROR(__xludf.DUMMYFUNCTION("""COMPUTED_VALUE"""),"President/He vs National Assembly")</f>
        <v>President/He vs National Assembly</v>
      </c>
    </row>
    <row r="450">
      <c r="A450" s="7" t="str">
        <f>IFERROR(__xludf.DUMMYFUNCTION("""COMPUTED_VALUE"""),"MALAWI ")</f>
        <v>MALAWI </v>
      </c>
      <c r="B450" s="8">
        <f>IFERROR(__xludf.DUMMYFUNCTION("""COMPUTED_VALUE"""),10.0)</f>
        <v>10</v>
      </c>
      <c r="C450" s="7" t="str">
        <f>IFERROR(__xludf.DUMMYFUNCTION("""COMPUTED_VALUE"""),"B_01_02")</f>
        <v>B_01_02</v>
      </c>
      <c r="D450" s="7" t="str">
        <f>IFERROR(__xludf.DUMMYFUNCTION("""COMPUTED_VALUE"""),"Q34b. ")</f>
        <v>Q34b. </v>
      </c>
      <c r="E450" s="7" t="str">
        <f>IFERROR(__xludf.DUMMYFUNCTION("""COMPUTED_VALUE"""),"How often president ignores parliament")</f>
        <v>How often president ignores parliament</v>
      </c>
      <c r="F450" s="7" t="str">
        <f>IFERROR(__xludf.DUMMYFUNCTION("""COMPUTED_VALUE"""),"President/He vs Parliament")</f>
        <v>President/He vs Parliament</v>
      </c>
    </row>
    <row r="451">
      <c r="A451" s="7" t="str">
        <f>IFERROR(__xludf.DUMMYFUNCTION("""COMPUTED_VALUE"""),"MALI")</f>
        <v>MALI</v>
      </c>
      <c r="B451" s="8">
        <f>IFERROR(__xludf.DUMMYFUNCTION("""COMPUTED_VALUE"""),10.0)</f>
        <v>10</v>
      </c>
      <c r="C451" s="7" t="str">
        <f>IFERROR(__xludf.DUMMYFUNCTION("""COMPUTED_VALUE"""),"B_01_02")</f>
        <v>B_01_02</v>
      </c>
      <c r="D451" s="7" t="str">
        <f>IFERROR(__xludf.DUMMYFUNCTION("""COMPUTED_VALUE"""),"Q34b. ")</f>
        <v>Q34b. </v>
      </c>
      <c r="E451" s="7" t="str">
        <f>IFERROR(__xludf.DUMMYFUNCTION("""COMPUTED_VALUE"""),"How often president ignores parliament")</f>
        <v>How often president ignores parliament</v>
      </c>
      <c r="F451" s="7" t="str">
        <f>IFERROR(__xludf.DUMMYFUNCTION("""COMPUTED_VALUE"""),"President/He vs National Transition Council")</f>
        <v>President/He vs National Transition Council</v>
      </c>
    </row>
    <row r="452">
      <c r="A452" s="7" t="str">
        <f>IFERROR(__xludf.DUMMYFUNCTION("""COMPUTED_VALUE"""),"MAURITANIA")</f>
        <v>MAURITANIA</v>
      </c>
      <c r="B452" s="8">
        <f>IFERROR(__xludf.DUMMYFUNCTION("""COMPUTED_VALUE"""),10.0)</f>
        <v>10</v>
      </c>
      <c r="C452" s="7" t="str">
        <f>IFERROR(__xludf.DUMMYFUNCTION("""COMPUTED_VALUE"""),"B_01_02")</f>
        <v>B_01_02</v>
      </c>
      <c r="D452" s="7" t="str">
        <f>IFERROR(__xludf.DUMMYFUNCTION("""COMPUTED_VALUE"""),"Q34b. ")</f>
        <v>Q34b. </v>
      </c>
      <c r="E452" s="7" t="str">
        <f>IFERROR(__xludf.DUMMYFUNCTION("""COMPUTED_VALUE"""),"How often president ignores parliament")</f>
        <v>How often president ignores parliament</v>
      </c>
      <c r="F452" s="7" t="str">
        <f>IFERROR(__xludf.DUMMYFUNCTION("""COMPUTED_VALUE"""),"President/He vs National Assembly")</f>
        <v>President/He vs National Assembly</v>
      </c>
    </row>
    <row r="453">
      <c r="A453" s="7" t="str">
        <f>IFERROR(__xludf.DUMMYFUNCTION("""COMPUTED_VALUE"""),"MAURITIUS")</f>
        <v>MAURITIUS</v>
      </c>
      <c r="B453" s="8">
        <f>IFERROR(__xludf.DUMMYFUNCTION("""COMPUTED_VALUE"""),10.0)</f>
        <v>10</v>
      </c>
      <c r="C453" s="7" t="str">
        <f>IFERROR(__xludf.DUMMYFUNCTION("""COMPUTED_VALUE"""),"B_01_02")</f>
        <v>B_01_02</v>
      </c>
      <c r="D453" s="7" t="str">
        <f>IFERROR(__xludf.DUMMYFUNCTION("""COMPUTED_VALUE"""),"Q34b. ")</f>
        <v>Q34b. </v>
      </c>
      <c r="E453" s="7" t="str">
        <f>IFERROR(__xludf.DUMMYFUNCTION("""COMPUTED_VALUE"""),"How often president ignores parliament")</f>
        <v>How often president ignores parliament</v>
      </c>
      <c r="F453" s="7" t="str">
        <f>IFERROR(__xludf.DUMMYFUNCTION("""COMPUTED_VALUE"""),"Prime Minister/He vs National Assembly")</f>
        <v>Prime Minister/He vs National Assembly</v>
      </c>
    </row>
    <row r="454">
      <c r="A454" s="7" t="str">
        <f>IFERROR(__xludf.DUMMYFUNCTION("""COMPUTED_VALUE"""),"MOROCCO ")</f>
        <v>MOROCCO </v>
      </c>
      <c r="B454" s="8">
        <f>IFERROR(__xludf.DUMMYFUNCTION("""COMPUTED_VALUE"""),10.0)</f>
        <v>10</v>
      </c>
      <c r="C454" s="7" t="str">
        <f>IFERROR(__xludf.DUMMYFUNCTION("""COMPUTED_VALUE"""),"B_01_02")</f>
        <v>B_01_02</v>
      </c>
      <c r="D454" s="7" t="str">
        <f>IFERROR(__xludf.DUMMYFUNCTION("""COMPUTED_VALUE"""),"Q34b. ")</f>
        <v>Q34b. </v>
      </c>
      <c r="E454" s="7" t="str">
        <f>IFERROR(__xludf.DUMMYFUNCTION("""COMPUTED_VALUE"""),"How often president ignores parliament")</f>
        <v>How often president ignores parliament</v>
      </c>
      <c r="F454" s="7" t="str">
        <f>IFERROR(__xludf.DUMMYFUNCTION("""COMPUTED_VALUE"""),"President/He vs Parliament")</f>
        <v>President/He vs Parliament</v>
      </c>
    </row>
    <row r="455">
      <c r="A455" s="7" t="str">
        <f>IFERROR(__xludf.DUMMYFUNCTION("""COMPUTED_VALUE"""),"MOZAMBIQUE")</f>
        <v>MOZAMBIQUE</v>
      </c>
      <c r="B455" s="8">
        <f>IFERROR(__xludf.DUMMYFUNCTION("""COMPUTED_VALUE"""),10.0)</f>
        <v>10</v>
      </c>
      <c r="C455" s="7" t="str">
        <f>IFERROR(__xludf.DUMMYFUNCTION("""COMPUTED_VALUE"""),"B_01_02")</f>
        <v>B_01_02</v>
      </c>
      <c r="D455" s="7" t="str">
        <f>IFERROR(__xludf.DUMMYFUNCTION("""COMPUTED_VALUE"""),"Q34b. ")</f>
        <v>Q34b. </v>
      </c>
      <c r="E455" s="7" t="str">
        <f>IFERROR(__xludf.DUMMYFUNCTION("""COMPUTED_VALUE"""),"How often president ignores parliament")</f>
        <v>How often president ignores parliament</v>
      </c>
      <c r="F455" s="7" t="str">
        <f>IFERROR(__xludf.DUMMYFUNCTION("""COMPUTED_VALUE"""),"President/He vs Parliament")</f>
        <v>President/He vs Parliament</v>
      </c>
    </row>
    <row r="456">
      <c r="A456" s="7" t="str">
        <f>IFERROR(__xludf.DUMMYFUNCTION("""COMPUTED_VALUE"""),"NAMIBIA ")</f>
        <v>NAMIBIA </v>
      </c>
      <c r="B456" s="8">
        <f>IFERROR(__xludf.DUMMYFUNCTION("""COMPUTED_VALUE"""),10.0)</f>
        <v>10</v>
      </c>
      <c r="C456" s="7" t="str">
        <f>IFERROR(__xludf.DUMMYFUNCTION("""COMPUTED_VALUE"""),"B_01_02")</f>
        <v>B_01_02</v>
      </c>
      <c r="D456" s="7" t="str">
        <f>IFERROR(__xludf.DUMMYFUNCTION("""COMPUTED_VALUE"""),"Q34b. ")</f>
        <v>Q34b. </v>
      </c>
      <c r="E456" s="7" t="str">
        <f>IFERROR(__xludf.DUMMYFUNCTION("""COMPUTED_VALUE"""),"How often president ignores parliament")</f>
        <v>How often president ignores parliament</v>
      </c>
      <c r="F456" s="7" t="str">
        <f>IFERROR(__xludf.DUMMYFUNCTION("""COMPUTED_VALUE"""),"President/He vs National Assembly")</f>
        <v>President/He vs National Assembly</v>
      </c>
    </row>
    <row r="457">
      <c r="A457" s="7" t="str">
        <f>IFERROR(__xludf.DUMMYFUNCTION("""COMPUTED_VALUE"""),"NIGERIA ")</f>
        <v>NIGERIA </v>
      </c>
      <c r="B457" s="8">
        <f>IFERROR(__xludf.DUMMYFUNCTION("""COMPUTED_VALUE"""),10.0)</f>
        <v>10</v>
      </c>
      <c r="C457" s="7" t="str">
        <f>IFERROR(__xludf.DUMMYFUNCTION("""COMPUTED_VALUE"""),"B_01_02")</f>
        <v>B_01_02</v>
      </c>
      <c r="D457" s="7" t="str">
        <f>IFERROR(__xludf.DUMMYFUNCTION("""COMPUTED_VALUE"""),"Q34b. ")</f>
        <v>Q34b. </v>
      </c>
      <c r="E457" s="7" t="str">
        <f>IFERROR(__xludf.DUMMYFUNCTION("""COMPUTED_VALUE"""),"How often president ignores parliament")</f>
        <v>How often president ignores parliament</v>
      </c>
      <c r="F457" s="7" t="str">
        <f>IFERROR(__xludf.DUMMYFUNCTION("""COMPUTED_VALUE"""),"President/He vs National Assembly")</f>
        <v>President/He vs National Assembly</v>
      </c>
    </row>
    <row r="458">
      <c r="A458" s="7" t="str">
        <f>IFERROR(__xludf.DUMMYFUNCTION("""COMPUTED_VALUE"""),"SAO TOME AND PRINCIPE")</f>
        <v>SAO TOME AND PRINCIPE</v>
      </c>
      <c r="B458" s="8">
        <f>IFERROR(__xludf.DUMMYFUNCTION("""COMPUTED_VALUE"""),10.0)</f>
        <v>10</v>
      </c>
      <c r="C458" s="7" t="str">
        <f>IFERROR(__xludf.DUMMYFUNCTION("""COMPUTED_VALUE"""),"B_01_02")</f>
        <v>B_01_02</v>
      </c>
      <c r="D458" s="7" t="str">
        <f>IFERROR(__xludf.DUMMYFUNCTION("""COMPUTED_VALUE"""),"Q34b. ")</f>
        <v>Q34b. </v>
      </c>
      <c r="E458" s="7" t="str">
        <f>IFERROR(__xludf.DUMMYFUNCTION("""COMPUTED_VALUE"""),"How often president ignores parliament")</f>
        <v>How often president ignores parliament</v>
      </c>
      <c r="F458" s="7" t="str">
        <f>IFERROR(__xludf.DUMMYFUNCTION("""COMPUTED_VALUE"""),"President/He vs National Assembly")</f>
        <v>President/He vs National Assembly</v>
      </c>
    </row>
    <row r="459">
      <c r="A459" s="7" t="str">
        <f>IFERROR(__xludf.DUMMYFUNCTION("""COMPUTED_VALUE"""),"SENEGAL")</f>
        <v>SENEGAL</v>
      </c>
      <c r="B459" s="8">
        <f>IFERROR(__xludf.DUMMYFUNCTION("""COMPUTED_VALUE"""),10.0)</f>
        <v>10</v>
      </c>
      <c r="C459" s="7" t="str">
        <f>IFERROR(__xludf.DUMMYFUNCTION("""COMPUTED_VALUE"""),"B_01_02")</f>
        <v>B_01_02</v>
      </c>
      <c r="D459" s="7" t="str">
        <f>IFERROR(__xludf.DUMMYFUNCTION("""COMPUTED_VALUE"""),"Q34b. ")</f>
        <v>Q34b. </v>
      </c>
      <c r="E459" s="7" t="str">
        <f>IFERROR(__xludf.DUMMYFUNCTION("""COMPUTED_VALUE"""),"How often president ignores parliament")</f>
        <v>How often president ignores parliament</v>
      </c>
      <c r="F459" s="7" t="str">
        <f>IFERROR(__xludf.DUMMYFUNCTION("""COMPUTED_VALUE"""),"President/He vs National Assembly")</f>
        <v>President/He vs National Assembly</v>
      </c>
    </row>
    <row r="460">
      <c r="A460" s="7" t="str">
        <f>IFERROR(__xludf.DUMMYFUNCTION("""COMPUTED_VALUE"""),"SEYCHELLES")</f>
        <v>SEYCHELLES</v>
      </c>
      <c r="B460" s="8">
        <f>IFERROR(__xludf.DUMMYFUNCTION("""COMPUTED_VALUE"""),10.0)</f>
        <v>10</v>
      </c>
      <c r="C460" s="7" t="str">
        <f>IFERROR(__xludf.DUMMYFUNCTION("""COMPUTED_VALUE"""),"B_01_02")</f>
        <v>B_01_02</v>
      </c>
      <c r="D460" s="7" t="str">
        <f>IFERROR(__xludf.DUMMYFUNCTION("""COMPUTED_VALUE"""),"Q34b. ")</f>
        <v>Q34b. </v>
      </c>
      <c r="E460" s="7" t="str">
        <f>IFERROR(__xludf.DUMMYFUNCTION("""COMPUTED_VALUE"""),"How often president ignores parliament")</f>
        <v>How often president ignores parliament</v>
      </c>
      <c r="F460" s="7" t="str">
        <f>IFERROR(__xludf.DUMMYFUNCTION("""COMPUTED_VALUE"""),"President/He vs National Assembly")</f>
        <v>President/He vs National Assembly</v>
      </c>
    </row>
    <row r="461">
      <c r="A461" s="7" t="str">
        <f>IFERROR(__xludf.DUMMYFUNCTION("""COMPUTED_VALUE"""),"SOUTH AFRICA")</f>
        <v>SOUTH AFRICA</v>
      </c>
      <c r="B461" s="8">
        <f>IFERROR(__xludf.DUMMYFUNCTION("""COMPUTED_VALUE"""),10.0)</f>
        <v>10</v>
      </c>
      <c r="C461" s="7" t="str">
        <f>IFERROR(__xludf.DUMMYFUNCTION("""COMPUTED_VALUE"""),"B_01_02")</f>
        <v>B_01_02</v>
      </c>
      <c r="D461" s="7" t="str">
        <f>IFERROR(__xludf.DUMMYFUNCTION("""COMPUTED_VALUE"""),"Q34b. ")</f>
        <v>Q34b. </v>
      </c>
      <c r="E461" s="7" t="str">
        <f>IFERROR(__xludf.DUMMYFUNCTION("""COMPUTED_VALUE"""),"How often president ignores parliament")</f>
        <v>How often president ignores parliament</v>
      </c>
      <c r="F461" s="7" t="str">
        <f>IFERROR(__xludf.DUMMYFUNCTION("""COMPUTED_VALUE"""),"President/He vs Parliament")</f>
        <v>President/He vs Parliament</v>
      </c>
    </row>
    <row r="462">
      <c r="A462" s="7" t="str">
        <f>IFERROR(__xludf.DUMMYFUNCTION("""COMPUTED_VALUE"""),"TANZANIA")</f>
        <v>TANZANIA</v>
      </c>
      <c r="B462" s="8">
        <f>IFERROR(__xludf.DUMMYFUNCTION("""COMPUTED_VALUE"""),10.0)</f>
        <v>10</v>
      </c>
      <c r="C462" s="7" t="str">
        <f>IFERROR(__xludf.DUMMYFUNCTION("""COMPUTED_VALUE"""),"B_01_02")</f>
        <v>B_01_02</v>
      </c>
      <c r="D462" s="7" t="str">
        <f>IFERROR(__xludf.DUMMYFUNCTION("""COMPUTED_VALUE"""),"Q34b. ")</f>
        <v>Q34b. </v>
      </c>
      <c r="E462" s="7" t="str">
        <f>IFERROR(__xludf.DUMMYFUNCTION("""COMPUTED_VALUE"""),"How often president ignores parliament")</f>
        <v>How often president ignores parliament</v>
      </c>
      <c r="F462" s="7" t="str">
        <f>IFERROR(__xludf.DUMMYFUNCTION("""COMPUTED_VALUE"""),"President/Her vs Parliament")</f>
        <v>President/Her vs Parliament</v>
      </c>
    </row>
    <row r="463">
      <c r="A463" s="7" t="str">
        <f>IFERROR(__xludf.DUMMYFUNCTION("""COMPUTED_VALUE"""),"TOGO ")</f>
        <v>TOGO </v>
      </c>
      <c r="B463" s="8">
        <f>IFERROR(__xludf.DUMMYFUNCTION("""COMPUTED_VALUE"""),10.0)</f>
        <v>10</v>
      </c>
      <c r="C463" s="7" t="str">
        <f>IFERROR(__xludf.DUMMYFUNCTION("""COMPUTED_VALUE"""),"B_01_02")</f>
        <v>B_01_02</v>
      </c>
      <c r="D463" s="7" t="str">
        <f>IFERROR(__xludf.DUMMYFUNCTION("""COMPUTED_VALUE"""),"Q34b. ")</f>
        <v>Q34b. </v>
      </c>
      <c r="E463" s="7" t="str">
        <f>IFERROR(__xludf.DUMMYFUNCTION("""COMPUTED_VALUE"""),"How often president ignores parliament")</f>
        <v>How often president ignores parliament</v>
      </c>
      <c r="F463" s="7" t="str">
        <f>IFERROR(__xludf.DUMMYFUNCTION("""COMPUTED_VALUE"""),"President/He vs National Assembly")</f>
        <v>President/He vs National Assembly</v>
      </c>
    </row>
    <row r="464">
      <c r="A464" s="7" t="str">
        <f>IFERROR(__xludf.DUMMYFUNCTION("""COMPUTED_VALUE"""),"TUNISIA ")</f>
        <v>TUNISIA </v>
      </c>
      <c r="B464" s="8">
        <f>IFERROR(__xludf.DUMMYFUNCTION("""COMPUTED_VALUE"""),10.0)</f>
        <v>10</v>
      </c>
      <c r="C464" s="7" t="str">
        <f>IFERROR(__xludf.DUMMYFUNCTION("""COMPUTED_VALUE"""),"B_01_02")</f>
        <v>B_01_02</v>
      </c>
      <c r="D464" s="7" t="str">
        <f>IFERROR(__xludf.DUMMYFUNCTION("""COMPUTED_VALUE"""),"Q34b. ")</f>
        <v>Q34b. </v>
      </c>
      <c r="E464" s="7" t="str">
        <f>IFERROR(__xludf.DUMMYFUNCTION("""COMPUTED_VALUE"""),"How often president ignores parliament")</f>
        <v>How often president ignores parliament</v>
      </c>
      <c r="F464" s="7" t="str">
        <f>IFERROR(__xludf.DUMMYFUNCTION("""COMPUTED_VALUE"""),"President/He vs The Assembly of the People’s Representatives")</f>
        <v>President/He vs The Assembly of the People’s Representatives</v>
      </c>
    </row>
    <row r="465">
      <c r="A465" s="7" t="str">
        <f>IFERROR(__xludf.DUMMYFUNCTION("""COMPUTED_VALUE"""),"UGANDA  ")</f>
        <v>UGANDA  </v>
      </c>
      <c r="B465" s="8">
        <f>IFERROR(__xludf.DUMMYFUNCTION("""COMPUTED_VALUE"""),10.0)</f>
        <v>10</v>
      </c>
      <c r="C465" s="7" t="str">
        <f>IFERROR(__xludf.DUMMYFUNCTION("""COMPUTED_VALUE"""),"B_01_02")</f>
        <v>B_01_02</v>
      </c>
      <c r="D465" s="7" t="str">
        <f>IFERROR(__xludf.DUMMYFUNCTION("""COMPUTED_VALUE"""),"Q34b. ")</f>
        <v>Q34b. </v>
      </c>
      <c r="E465" s="7" t="str">
        <f>IFERROR(__xludf.DUMMYFUNCTION("""COMPUTED_VALUE"""),"How often president ignores parliament")</f>
        <v>How often president ignores parliament</v>
      </c>
      <c r="F465" s="7" t="str">
        <f>IFERROR(__xludf.DUMMYFUNCTION("""COMPUTED_VALUE"""),"President/He vs Parliament")</f>
        <v>President/He vs Parliament</v>
      </c>
    </row>
    <row r="466">
      <c r="A466" s="7" t="str">
        <f>IFERROR(__xludf.DUMMYFUNCTION("""COMPUTED_VALUE"""),"ZAMBIA")</f>
        <v>ZAMBIA</v>
      </c>
      <c r="B466" s="8">
        <f>IFERROR(__xludf.DUMMYFUNCTION("""COMPUTED_VALUE"""),10.0)</f>
        <v>10</v>
      </c>
      <c r="C466" s="7" t="str">
        <f>IFERROR(__xludf.DUMMYFUNCTION("""COMPUTED_VALUE"""),"B_01_02")</f>
        <v>B_01_02</v>
      </c>
      <c r="D466" s="7" t="str">
        <f>IFERROR(__xludf.DUMMYFUNCTION("""COMPUTED_VALUE"""),"Q34b. ")</f>
        <v>Q34b. </v>
      </c>
      <c r="E466" s="7" t="str">
        <f>IFERROR(__xludf.DUMMYFUNCTION("""COMPUTED_VALUE"""),"How often president ignores parliament")</f>
        <v>How often president ignores parliament</v>
      </c>
      <c r="F466" s="7" t="str">
        <f>IFERROR(__xludf.DUMMYFUNCTION("""COMPUTED_VALUE"""),"President/He vs Parliament")</f>
        <v>President/He vs Parliament</v>
      </c>
    </row>
    <row r="467">
      <c r="A467" s="7" t="str">
        <f>IFERROR(__xludf.DUMMYFUNCTION("""COMPUTED_VALUE"""),"ZIMBABWE")</f>
        <v>ZIMBABWE</v>
      </c>
      <c r="B467" s="8">
        <f>IFERROR(__xludf.DUMMYFUNCTION("""COMPUTED_VALUE"""),10.0)</f>
        <v>10</v>
      </c>
      <c r="C467" s="7" t="str">
        <f>IFERROR(__xludf.DUMMYFUNCTION("""COMPUTED_VALUE"""),"B_01_02")</f>
        <v>B_01_02</v>
      </c>
      <c r="D467" s="7" t="str">
        <f>IFERROR(__xludf.DUMMYFUNCTION("""COMPUTED_VALUE"""),"Q34b. ")</f>
        <v>Q34b. </v>
      </c>
      <c r="E467" s="7" t="str">
        <f>IFERROR(__xludf.DUMMYFUNCTION("""COMPUTED_VALUE"""),"How often president ignores parliament")</f>
        <v>How often president ignores parliament</v>
      </c>
      <c r="F467" s="7" t="str">
        <f>IFERROR(__xludf.DUMMYFUNCTION("""COMPUTED_VALUE"""),"President/He vs Parliament")</f>
        <v>President/He vs Parliament</v>
      </c>
    </row>
    <row r="468">
      <c r="A468" s="7" t="str">
        <f>IFERROR(__xludf.DUMMYFUNCTION("""COMPUTED_VALUE"""),"ANGOLA ")</f>
        <v>ANGOLA </v>
      </c>
      <c r="B468" s="8">
        <f>IFERROR(__xludf.DUMMYFUNCTION("""COMPUTED_VALUE"""),10.0)</f>
        <v>10</v>
      </c>
      <c r="C468" s="7" t="str">
        <f>IFERROR(__xludf.DUMMYFUNCTION("""COMPUTED_VALUE"""),"B_04_06")</f>
        <v>B_04_06</v>
      </c>
      <c r="D468" s="7" t="str">
        <f>IFERROR(__xludf.DUMMYFUNCTION("""COMPUTED_VALUE"""),"Q36a.")</f>
        <v>Q36a.</v>
      </c>
      <c r="E468" s="7" t="str">
        <f>IFERROR(__xludf.DUMMYFUNCTION("""COMPUTED_VALUE"""),"MPs listen")</f>
        <v>MPs listen</v>
      </c>
      <c r="F468" s="7" t="str">
        <f>IFERROR(__xludf.DUMMYFUNCTION("""COMPUTED_VALUE"""),"Members of the National Assembly")</f>
        <v>Members of the National Assembly</v>
      </c>
    </row>
    <row r="469">
      <c r="A469" s="7" t="str">
        <f>IFERROR(__xludf.DUMMYFUNCTION("""COMPUTED_VALUE"""),"BENIN")</f>
        <v>BENIN</v>
      </c>
      <c r="B469" s="8">
        <f>IFERROR(__xludf.DUMMYFUNCTION("""COMPUTED_VALUE"""),10.0)</f>
        <v>10</v>
      </c>
      <c r="C469" s="7" t="str">
        <f>IFERROR(__xludf.DUMMYFUNCTION("""COMPUTED_VALUE"""),"B_04_06")</f>
        <v>B_04_06</v>
      </c>
      <c r="D469" s="7" t="str">
        <f>IFERROR(__xludf.DUMMYFUNCTION("""COMPUTED_VALUE"""),"Q36a.")</f>
        <v>Q36a.</v>
      </c>
      <c r="E469" s="7" t="str">
        <f>IFERROR(__xludf.DUMMYFUNCTION("""COMPUTED_VALUE"""),"MPs listen")</f>
        <v>MPs listen</v>
      </c>
      <c r="F469" s="7" t="str">
        <f>IFERROR(__xludf.DUMMYFUNCTION("""COMPUTED_VALUE"""),"Representative to National Assemply")</f>
        <v>Representative to National Assemply</v>
      </c>
    </row>
    <row r="470">
      <c r="A470" s="7" t="str">
        <f>IFERROR(__xludf.DUMMYFUNCTION("""COMPUTED_VALUE"""),"BOTSWANA ")</f>
        <v>BOTSWANA </v>
      </c>
      <c r="B470" s="8">
        <f>IFERROR(__xludf.DUMMYFUNCTION("""COMPUTED_VALUE"""),10.0)</f>
        <v>10</v>
      </c>
      <c r="C470" s="7" t="str">
        <f>IFERROR(__xludf.DUMMYFUNCTION("""COMPUTED_VALUE"""),"B_04_06")</f>
        <v>B_04_06</v>
      </c>
      <c r="D470" s="7" t="str">
        <f>IFERROR(__xludf.DUMMYFUNCTION("""COMPUTED_VALUE"""),"Q36a.")</f>
        <v>Q36a.</v>
      </c>
      <c r="E470" s="7" t="str">
        <f>IFERROR(__xludf.DUMMYFUNCTION("""COMPUTED_VALUE"""),"MPs listen")</f>
        <v>MPs listen</v>
      </c>
      <c r="F470" s="7" t="str">
        <f>IFERROR(__xludf.DUMMYFUNCTION("""COMPUTED_VALUE"""),"Members of Parliament")</f>
        <v>Members of Parliament</v>
      </c>
    </row>
    <row r="471">
      <c r="A471" s="7" t="str">
        <f>IFERROR(__xludf.DUMMYFUNCTION("""COMPUTED_VALUE"""),"CABO VERDE ")</f>
        <v>CABO VERDE </v>
      </c>
      <c r="B471" s="8">
        <f>IFERROR(__xludf.DUMMYFUNCTION("""COMPUTED_VALUE"""),10.0)</f>
        <v>10</v>
      </c>
      <c r="C471" s="7" t="str">
        <f>IFERROR(__xludf.DUMMYFUNCTION("""COMPUTED_VALUE"""),"B_04_06")</f>
        <v>B_04_06</v>
      </c>
      <c r="D471" s="7" t="str">
        <f>IFERROR(__xludf.DUMMYFUNCTION("""COMPUTED_VALUE"""),"Q36a.")</f>
        <v>Q36a.</v>
      </c>
      <c r="E471" s="7" t="str">
        <f>IFERROR(__xludf.DUMMYFUNCTION("""COMPUTED_VALUE"""),"MPs listen")</f>
        <v>MPs listen</v>
      </c>
      <c r="F471" s="7" t="str">
        <f>IFERROR(__xludf.DUMMYFUNCTION("""COMPUTED_VALUE"""),"Members of the National Assembly")</f>
        <v>Members of the National Assembly</v>
      </c>
    </row>
    <row r="472">
      <c r="A472" s="7" t="str">
        <f>IFERROR(__xludf.DUMMYFUNCTION("""COMPUTED_VALUE"""),"CAMEROON")</f>
        <v>CAMEROON</v>
      </c>
      <c r="B472" s="8">
        <f>IFERROR(__xludf.DUMMYFUNCTION("""COMPUTED_VALUE"""),10.0)</f>
        <v>10</v>
      </c>
      <c r="C472" s="7" t="str">
        <f>IFERROR(__xludf.DUMMYFUNCTION("""COMPUTED_VALUE"""),"B_04_06")</f>
        <v>B_04_06</v>
      </c>
      <c r="D472" s="7" t="str">
        <f>IFERROR(__xludf.DUMMYFUNCTION("""COMPUTED_VALUE"""),"Q36a.")</f>
        <v>Q36a.</v>
      </c>
      <c r="E472" s="7" t="str">
        <f>IFERROR(__xludf.DUMMYFUNCTION("""COMPUTED_VALUE"""),"MPs listen")</f>
        <v>MPs listen</v>
      </c>
      <c r="F472" s="7" t="str">
        <f>IFERROR(__xludf.DUMMYFUNCTION("""COMPUTED_VALUE"""),"Members of the National Assembly")</f>
        <v>Members of the National Assembly</v>
      </c>
    </row>
    <row r="473">
      <c r="A473" s="7" t="str">
        <f>IFERROR(__xludf.DUMMYFUNCTION("""COMPUTED_VALUE"""),"CHAD")</f>
        <v>CHAD</v>
      </c>
      <c r="B473" s="8">
        <f>IFERROR(__xludf.DUMMYFUNCTION("""COMPUTED_VALUE"""),10.0)</f>
        <v>10</v>
      </c>
      <c r="C473" s="7" t="str">
        <f>IFERROR(__xludf.DUMMYFUNCTION("""COMPUTED_VALUE"""),"B_04_06")</f>
        <v>B_04_06</v>
      </c>
      <c r="D473" s="7" t="str">
        <f>IFERROR(__xludf.DUMMYFUNCTION("""COMPUTED_VALUE"""),"Q36a.")</f>
        <v>Q36a.</v>
      </c>
      <c r="E473" s="7" t="str">
        <f>IFERROR(__xludf.DUMMYFUNCTION("""COMPUTED_VALUE"""),"MPs listen")</f>
        <v>MPs listen</v>
      </c>
      <c r="F473" s="7" t="str">
        <f>IFERROR(__xludf.DUMMYFUNCTION("""COMPUTED_VALUE"""),"Members of the National Assembly")</f>
        <v>Members of the National Assembly</v>
      </c>
    </row>
    <row r="474">
      <c r="A474" s="7" t="str">
        <f>IFERROR(__xludf.DUMMYFUNCTION("""COMPUTED_VALUE"""),"COMOROS")</f>
        <v>COMOROS</v>
      </c>
      <c r="B474" s="8">
        <f>IFERROR(__xludf.DUMMYFUNCTION("""COMPUTED_VALUE"""),10.0)</f>
        <v>10</v>
      </c>
      <c r="C474" s="7" t="str">
        <f>IFERROR(__xludf.DUMMYFUNCTION("""COMPUTED_VALUE"""),"B_04_06")</f>
        <v>B_04_06</v>
      </c>
      <c r="D474" s="7" t="str">
        <f>IFERROR(__xludf.DUMMYFUNCTION("""COMPUTED_VALUE"""),"Q36a.")</f>
        <v>Q36a.</v>
      </c>
      <c r="E474" s="7" t="str">
        <f>IFERROR(__xludf.DUMMYFUNCTION("""COMPUTED_VALUE"""),"MPs listen")</f>
        <v>MPs listen</v>
      </c>
      <c r="F474" s="7" t="str">
        <f>IFERROR(__xludf.DUMMYFUNCTION("""COMPUTED_VALUE"""),"Members of the National Assembly")</f>
        <v>Members of the National Assembly</v>
      </c>
    </row>
    <row r="475">
      <c r="A475" s="7" t="str">
        <f>IFERROR(__xludf.DUMMYFUNCTION("""COMPUTED_VALUE"""),"CONGO BRAZZAVILLE")</f>
        <v>CONGO BRAZZAVILLE</v>
      </c>
      <c r="B475" s="8">
        <f>IFERROR(__xludf.DUMMYFUNCTION("""COMPUTED_VALUE"""),10.0)</f>
        <v>10</v>
      </c>
      <c r="C475" s="7" t="str">
        <f>IFERROR(__xludf.DUMMYFUNCTION("""COMPUTED_VALUE"""),"B_04_06")</f>
        <v>B_04_06</v>
      </c>
      <c r="D475" s="7" t="str">
        <f>IFERROR(__xludf.DUMMYFUNCTION("""COMPUTED_VALUE"""),"Q36a.")</f>
        <v>Q36a.</v>
      </c>
      <c r="E475" s="7" t="str">
        <f>IFERROR(__xludf.DUMMYFUNCTION("""COMPUTED_VALUE"""),"MPs listen")</f>
        <v>MPs listen</v>
      </c>
      <c r="F475" s="7" t="str">
        <f>IFERROR(__xludf.DUMMYFUNCTION("""COMPUTED_VALUE"""),"Members of the National Assembly")</f>
        <v>Members of the National Assembly</v>
      </c>
    </row>
    <row r="476">
      <c r="A476" s="7" t="str">
        <f>IFERROR(__xludf.DUMMYFUNCTION("""COMPUTED_VALUE"""),"COTE D'IVOIRE")</f>
        <v>COTE D'IVOIRE</v>
      </c>
      <c r="B476" s="8">
        <f>IFERROR(__xludf.DUMMYFUNCTION("""COMPUTED_VALUE"""),10.0)</f>
        <v>10</v>
      </c>
      <c r="C476" s="7" t="str">
        <f>IFERROR(__xludf.DUMMYFUNCTION("""COMPUTED_VALUE"""),"B_04_06")</f>
        <v>B_04_06</v>
      </c>
      <c r="D476" s="7" t="str">
        <f>IFERROR(__xludf.DUMMYFUNCTION("""COMPUTED_VALUE"""),"Q36a.")</f>
        <v>Q36a.</v>
      </c>
      <c r="E476" s="7" t="str">
        <f>IFERROR(__xludf.DUMMYFUNCTION("""COMPUTED_VALUE"""),"MPs listen")</f>
        <v>MPs listen</v>
      </c>
      <c r="F476" s="7" t="str">
        <f>IFERROR(__xludf.DUMMYFUNCTION("""COMPUTED_VALUE"""),"Members of the National Assembly")</f>
        <v>Members of the National Assembly</v>
      </c>
    </row>
    <row r="477">
      <c r="A477" s="7" t="str">
        <f>IFERROR(__xludf.DUMMYFUNCTION("""COMPUTED_VALUE"""),"ESWATINI")</f>
        <v>ESWATINI</v>
      </c>
      <c r="B477" s="8">
        <f>IFERROR(__xludf.DUMMYFUNCTION("""COMPUTED_VALUE"""),10.0)</f>
        <v>10</v>
      </c>
      <c r="C477" s="7" t="str">
        <f>IFERROR(__xludf.DUMMYFUNCTION("""COMPUTED_VALUE"""),"B_04_06")</f>
        <v>B_04_06</v>
      </c>
      <c r="D477" s="7" t="str">
        <f>IFERROR(__xludf.DUMMYFUNCTION("""COMPUTED_VALUE"""),"Q36a.")</f>
        <v>Q36a.</v>
      </c>
      <c r="E477" s="7" t="str">
        <f>IFERROR(__xludf.DUMMYFUNCTION("""COMPUTED_VALUE"""),"MPs listen")</f>
        <v>MPs listen</v>
      </c>
      <c r="F477" s="7" t="str">
        <f>IFERROR(__xludf.DUMMYFUNCTION("""COMPUTED_VALUE"""),"Member of Parliament")</f>
        <v>Member of Parliament</v>
      </c>
    </row>
    <row r="478">
      <c r="A478" s="7" t="str">
        <f>IFERROR(__xludf.DUMMYFUNCTION("""COMPUTED_VALUE"""),"GABON")</f>
        <v>GABON</v>
      </c>
      <c r="B478" s="8">
        <f>IFERROR(__xludf.DUMMYFUNCTION("""COMPUTED_VALUE"""),10.0)</f>
        <v>10</v>
      </c>
      <c r="C478" s="7" t="str">
        <f>IFERROR(__xludf.DUMMYFUNCTION("""COMPUTED_VALUE"""),"B_04_06")</f>
        <v>B_04_06</v>
      </c>
      <c r="D478" s="7" t="str">
        <f>IFERROR(__xludf.DUMMYFUNCTION("""COMPUTED_VALUE"""),"Q36a.")</f>
        <v>Q36a.</v>
      </c>
      <c r="E478" s="7" t="str">
        <f>IFERROR(__xludf.DUMMYFUNCTION("""COMPUTED_VALUE"""),"MPs listen")</f>
        <v>MPs listen</v>
      </c>
      <c r="F478" s="7" t="str">
        <f>IFERROR(__xludf.DUMMYFUNCTION("""COMPUTED_VALUE"""),"Members of the National Assembly")</f>
        <v>Members of the National Assembly</v>
      </c>
    </row>
    <row r="479">
      <c r="A479" s="7" t="str">
        <f>IFERROR(__xludf.DUMMYFUNCTION("""COMPUTED_VALUE"""),"GAMBIA")</f>
        <v>GAMBIA</v>
      </c>
      <c r="B479" s="8">
        <f>IFERROR(__xludf.DUMMYFUNCTION("""COMPUTED_VALUE"""),10.0)</f>
        <v>10</v>
      </c>
      <c r="C479" s="7" t="str">
        <f>IFERROR(__xludf.DUMMYFUNCTION("""COMPUTED_VALUE"""),"B_04_06")</f>
        <v>B_04_06</v>
      </c>
      <c r="D479" s="7" t="str">
        <f>IFERROR(__xludf.DUMMYFUNCTION("""COMPUTED_VALUE"""),"Q36a.")</f>
        <v>Q36a.</v>
      </c>
      <c r="E479" s="7" t="str">
        <f>IFERROR(__xludf.DUMMYFUNCTION("""COMPUTED_VALUE"""),"MPs listen")</f>
        <v>MPs listen</v>
      </c>
      <c r="F479" s="7" t="str">
        <f>IFERROR(__xludf.DUMMYFUNCTION("""COMPUTED_VALUE"""),"Members of the National Assembly")</f>
        <v>Members of the National Assembly</v>
      </c>
    </row>
    <row r="480">
      <c r="A480" s="7" t="str">
        <f>IFERROR(__xludf.DUMMYFUNCTION("""COMPUTED_VALUE"""),"GHANA ")</f>
        <v>GHANA </v>
      </c>
      <c r="B480" s="8">
        <f>IFERROR(__xludf.DUMMYFUNCTION("""COMPUTED_VALUE"""),10.0)</f>
        <v>10</v>
      </c>
      <c r="C480" s="7" t="str">
        <f>IFERROR(__xludf.DUMMYFUNCTION("""COMPUTED_VALUE"""),"B_04_06")</f>
        <v>B_04_06</v>
      </c>
      <c r="D480" s="7" t="str">
        <f>IFERROR(__xludf.DUMMYFUNCTION("""COMPUTED_VALUE"""),"Q36a.")</f>
        <v>Q36a.</v>
      </c>
      <c r="E480" s="7" t="str">
        <f>IFERROR(__xludf.DUMMYFUNCTION("""COMPUTED_VALUE"""),"MPs listen")</f>
        <v>MPs listen</v>
      </c>
      <c r="F480" s="7" t="str">
        <f>IFERROR(__xludf.DUMMYFUNCTION("""COMPUTED_VALUE"""),"Members of Parliament")</f>
        <v>Members of Parliament</v>
      </c>
    </row>
    <row r="481">
      <c r="A481" s="7" t="str">
        <f>IFERROR(__xludf.DUMMYFUNCTION("""COMPUTED_VALUE"""),"GUINEA")</f>
        <v>GUINEA</v>
      </c>
      <c r="B481" s="8">
        <f>IFERROR(__xludf.DUMMYFUNCTION("""COMPUTED_VALUE"""),10.0)</f>
        <v>10</v>
      </c>
      <c r="C481" s="7" t="str">
        <f>IFERROR(__xludf.DUMMYFUNCTION("""COMPUTED_VALUE"""),"B_04_06")</f>
        <v>B_04_06</v>
      </c>
      <c r="D481" s="7" t="str">
        <f>IFERROR(__xludf.DUMMYFUNCTION("""COMPUTED_VALUE"""),"Q36a.")</f>
        <v>Q36a.</v>
      </c>
      <c r="E481" s="7" t="str">
        <f>IFERROR(__xludf.DUMMYFUNCTION("""COMPUTED_VALUE"""),"MPs listen")</f>
        <v>MPs listen</v>
      </c>
      <c r="F481" s="7" t="str">
        <f>IFERROR(__xludf.DUMMYFUNCTION("""COMPUTED_VALUE"""),"National Transition Councilors")</f>
        <v>National Transition Councilors</v>
      </c>
    </row>
    <row r="482">
      <c r="A482" s="7" t="str">
        <f>IFERROR(__xludf.DUMMYFUNCTION("""COMPUTED_VALUE"""),"KENYA  ")</f>
        <v>KENYA  </v>
      </c>
      <c r="B482" s="8">
        <f>IFERROR(__xludf.DUMMYFUNCTION("""COMPUTED_VALUE"""),10.0)</f>
        <v>10</v>
      </c>
      <c r="C482" s="7" t="str">
        <f>IFERROR(__xludf.DUMMYFUNCTION("""COMPUTED_VALUE"""),"B_04_06")</f>
        <v>B_04_06</v>
      </c>
      <c r="D482" s="7" t="str">
        <f>IFERROR(__xludf.DUMMYFUNCTION("""COMPUTED_VALUE"""),"Q36a.")</f>
        <v>Q36a.</v>
      </c>
      <c r="E482" s="7" t="str">
        <f>IFERROR(__xludf.DUMMYFUNCTION("""COMPUTED_VALUE"""),"MPs listen")</f>
        <v>MPs listen</v>
      </c>
      <c r="F482" s="7" t="str">
        <f>IFERROR(__xludf.DUMMYFUNCTION("""COMPUTED_VALUE"""),"Members of Parliament")</f>
        <v>Members of Parliament</v>
      </c>
    </row>
    <row r="483">
      <c r="A483" s="7" t="str">
        <f>IFERROR(__xludf.DUMMYFUNCTION("""COMPUTED_VALUE"""),"LESOTHO ")</f>
        <v>LESOTHO </v>
      </c>
      <c r="B483" s="8">
        <f>IFERROR(__xludf.DUMMYFUNCTION("""COMPUTED_VALUE"""),10.0)</f>
        <v>10</v>
      </c>
      <c r="C483" s="7" t="str">
        <f>IFERROR(__xludf.DUMMYFUNCTION("""COMPUTED_VALUE"""),"B_04_06")</f>
        <v>B_04_06</v>
      </c>
      <c r="D483" s="7" t="str">
        <f>IFERROR(__xludf.DUMMYFUNCTION("""COMPUTED_VALUE"""),"Q36a.")</f>
        <v>Q36a.</v>
      </c>
      <c r="E483" s="7" t="str">
        <f>IFERROR(__xludf.DUMMYFUNCTION("""COMPUTED_VALUE"""),"MPs listen")</f>
        <v>MPs listen</v>
      </c>
      <c r="F483" s="7" t="str">
        <f>IFERROR(__xludf.DUMMYFUNCTION("""COMPUTED_VALUE"""),"Members of Parliament")</f>
        <v>Members of Parliament</v>
      </c>
    </row>
    <row r="484">
      <c r="A484" s="7" t="str">
        <f>IFERROR(__xludf.DUMMYFUNCTION("""COMPUTED_VALUE"""),"LIBERIA  ")</f>
        <v>LIBERIA  </v>
      </c>
      <c r="B484" s="8">
        <f>IFERROR(__xludf.DUMMYFUNCTION("""COMPUTED_VALUE"""),10.0)</f>
        <v>10</v>
      </c>
      <c r="C484" s="7" t="str">
        <f>IFERROR(__xludf.DUMMYFUNCTION("""COMPUTED_VALUE"""),"B_04_06")</f>
        <v>B_04_06</v>
      </c>
      <c r="D484" s="7" t="str">
        <f>IFERROR(__xludf.DUMMYFUNCTION("""COMPUTED_VALUE"""),"Q36a.")</f>
        <v>Q36a.</v>
      </c>
      <c r="E484" s="7" t="str">
        <f>IFERROR(__xludf.DUMMYFUNCTION("""COMPUTED_VALUE"""),"MPs listen")</f>
        <v>MPs listen</v>
      </c>
      <c r="F484" s="7" t="str">
        <f>IFERROR(__xludf.DUMMYFUNCTION("""COMPUTED_VALUE"""),"Members of the House of Representatives")</f>
        <v>Members of the House of Representatives</v>
      </c>
    </row>
    <row r="485">
      <c r="A485" s="7" t="str">
        <f>IFERROR(__xludf.DUMMYFUNCTION("""COMPUTED_VALUE"""),"MADAGASCAR")</f>
        <v>MADAGASCAR</v>
      </c>
      <c r="B485" s="8">
        <f>IFERROR(__xludf.DUMMYFUNCTION("""COMPUTED_VALUE"""),10.0)</f>
        <v>10</v>
      </c>
      <c r="C485" s="7" t="str">
        <f>IFERROR(__xludf.DUMMYFUNCTION("""COMPUTED_VALUE"""),"B_04_06")</f>
        <v>B_04_06</v>
      </c>
      <c r="D485" s="7" t="str">
        <f>IFERROR(__xludf.DUMMYFUNCTION("""COMPUTED_VALUE"""),"Q36a.")</f>
        <v>Q36a.</v>
      </c>
      <c r="E485" s="7" t="str">
        <f>IFERROR(__xludf.DUMMYFUNCTION("""COMPUTED_VALUE"""),"MPs listen")</f>
        <v>MPs listen</v>
      </c>
      <c r="F485" s="7" t="str">
        <f>IFERROR(__xludf.DUMMYFUNCTION("""COMPUTED_VALUE"""),"Members of the National Assembly")</f>
        <v>Members of the National Assembly</v>
      </c>
    </row>
    <row r="486">
      <c r="A486" s="7" t="str">
        <f>IFERROR(__xludf.DUMMYFUNCTION("""COMPUTED_VALUE"""),"MALAWI ")</f>
        <v>MALAWI </v>
      </c>
      <c r="B486" s="8">
        <f>IFERROR(__xludf.DUMMYFUNCTION("""COMPUTED_VALUE"""),10.0)</f>
        <v>10</v>
      </c>
      <c r="C486" s="7" t="str">
        <f>IFERROR(__xludf.DUMMYFUNCTION("""COMPUTED_VALUE"""),"B_04_06")</f>
        <v>B_04_06</v>
      </c>
      <c r="D486" s="7" t="str">
        <f>IFERROR(__xludf.DUMMYFUNCTION("""COMPUTED_VALUE"""),"Q36a.")</f>
        <v>Q36a.</v>
      </c>
      <c r="E486" s="7" t="str">
        <f>IFERROR(__xludf.DUMMYFUNCTION("""COMPUTED_VALUE"""),"MPs listen")</f>
        <v>MPs listen</v>
      </c>
      <c r="F486" s="7" t="str">
        <f>IFERROR(__xludf.DUMMYFUNCTION("""COMPUTED_VALUE"""),"Members of Parliament")</f>
        <v>Members of Parliament</v>
      </c>
    </row>
    <row r="487">
      <c r="A487" s="7" t="str">
        <f>IFERROR(__xludf.DUMMYFUNCTION("""COMPUTED_VALUE"""),"MALI")</f>
        <v>MALI</v>
      </c>
      <c r="B487" s="8">
        <f>IFERROR(__xludf.DUMMYFUNCTION("""COMPUTED_VALUE"""),10.0)</f>
        <v>10</v>
      </c>
      <c r="C487" s="7" t="str">
        <f>IFERROR(__xludf.DUMMYFUNCTION("""COMPUTED_VALUE"""),"B_04_06")</f>
        <v>B_04_06</v>
      </c>
      <c r="D487" s="7" t="str">
        <f>IFERROR(__xludf.DUMMYFUNCTION("""COMPUTED_VALUE"""),"Q36a.")</f>
        <v>Q36a.</v>
      </c>
      <c r="E487" s="7" t="str">
        <f>IFERROR(__xludf.DUMMYFUNCTION("""COMPUTED_VALUE"""),"MPs listen")</f>
        <v>MPs listen</v>
      </c>
      <c r="F487" s="7" t="str">
        <f>IFERROR(__xludf.DUMMYFUNCTION("""COMPUTED_VALUE"""),"National Transition Councilors")</f>
        <v>National Transition Councilors</v>
      </c>
    </row>
    <row r="488">
      <c r="A488" s="7" t="str">
        <f>IFERROR(__xludf.DUMMYFUNCTION("""COMPUTED_VALUE"""),"MAURITANIA")</f>
        <v>MAURITANIA</v>
      </c>
      <c r="B488" s="8">
        <f>IFERROR(__xludf.DUMMYFUNCTION("""COMPUTED_VALUE"""),10.0)</f>
        <v>10</v>
      </c>
      <c r="C488" s="7" t="str">
        <f>IFERROR(__xludf.DUMMYFUNCTION("""COMPUTED_VALUE"""),"B_04_06")</f>
        <v>B_04_06</v>
      </c>
      <c r="D488" s="7" t="str">
        <f>IFERROR(__xludf.DUMMYFUNCTION("""COMPUTED_VALUE"""),"Q36a.")</f>
        <v>Q36a.</v>
      </c>
      <c r="E488" s="7" t="str">
        <f>IFERROR(__xludf.DUMMYFUNCTION("""COMPUTED_VALUE"""),"MPs listen")</f>
        <v>MPs listen</v>
      </c>
      <c r="F488" s="7" t="str">
        <f>IFERROR(__xludf.DUMMYFUNCTION("""COMPUTED_VALUE"""),"Members of the National Assembly")</f>
        <v>Members of the National Assembly</v>
      </c>
    </row>
    <row r="489">
      <c r="A489" s="7" t="str">
        <f>IFERROR(__xludf.DUMMYFUNCTION("""COMPUTED_VALUE"""),"MAURITIUS")</f>
        <v>MAURITIUS</v>
      </c>
      <c r="B489" s="8">
        <f>IFERROR(__xludf.DUMMYFUNCTION("""COMPUTED_VALUE"""),10.0)</f>
        <v>10</v>
      </c>
      <c r="C489" s="7" t="str">
        <f>IFERROR(__xludf.DUMMYFUNCTION("""COMPUTED_VALUE"""),"B_04_06")</f>
        <v>B_04_06</v>
      </c>
      <c r="D489" s="7" t="str">
        <f>IFERROR(__xludf.DUMMYFUNCTION("""COMPUTED_VALUE"""),"Q36a.")</f>
        <v>Q36a.</v>
      </c>
      <c r="E489" s="7" t="str">
        <f>IFERROR(__xludf.DUMMYFUNCTION("""COMPUTED_VALUE"""),"MPs listen")</f>
        <v>MPs listen</v>
      </c>
      <c r="F489" s="7" t="str">
        <f>IFERROR(__xludf.DUMMYFUNCTION("""COMPUTED_VALUE"""),"Members of the National Assembly")</f>
        <v>Members of the National Assembly</v>
      </c>
    </row>
    <row r="490">
      <c r="A490" s="7" t="str">
        <f>IFERROR(__xludf.DUMMYFUNCTION("""COMPUTED_VALUE"""),"MOROCCO ")</f>
        <v>MOROCCO </v>
      </c>
      <c r="B490" s="8">
        <f>IFERROR(__xludf.DUMMYFUNCTION("""COMPUTED_VALUE"""),10.0)</f>
        <v>10</v>
      </c>
      <c r="C490" s="7" t="str">
        <f>IFERROR(__xludf.DUMMYFUNCTION("""COMPUTED_VALUE"""),"B_04_06")</f>
        <v>B_04_06</v>
      </c>
      <c r="D490" s="7" t="str">
        <f>IFERROR(__xludf.DUMMYFUNCTION("""COMPUTED_VALUE"""),"Q36a.")</f>
        <v>Q36a.</v>
      </c>
      <c r="E490" s="7" t="str">
        <f>IFERROR(__xludf.DUMMYFUNCTION("""COMPUTED_VALUE"""),"MPs listen")</f>
        <v>MPs listen</v>
      </c>
      <c r="F490" s="7" t="str">
        <f>IFERROR(__xludf.DUMMYFUNCTION("""COMPUTED_VALUE"""),"Members of Parliament")</f>
        <v>Members of Parliament</v>
      </c>
    </row>
    <row r="491">
      <c r="A491" s="7" t="str">
        <f>IFERROR(__xludf.DUMMYFUNCTION("""COMPUTED_VALUE"""),"MOZAMBIQUE")</f>
        <v>MOZAMBIQUE</v>
      </c>
      <c r="B491" s="8">
        <f>IFERROR(__xludf.DUMMYFUNCTION("""COMPUTED_VALUE"""),10.0)</f>
        <v>10</v>
      </c>
      <c r="C491" s="7" t="str">
        <f>IFERROR(__xludf.DUMMYFUNCTION("""COMPUTED_VALUE"""),"B_04_06")</f>
        <v>B_04_06</v>
      </c>
      <c r="D491" s="7" t="str">
        <f>IFERROR(__xludf.DUMMYFUNCTION("""COMPUTED_VALUE"""),"Q36a.")</f>
        <v>Q36a.</v>
      </c>
      <c r="E491" s="7" t="str">
        <f>IFERROR(__xludf.DUMMYFUNCTION("""COMPUTED_VALUE"""),"MPs listen")</f>
        <v>MPs listen</v>
      </c>
      <c r="F491" s="7" t="str">
        <f>IFERROR(__xludf.DUMMYFUNCTION("""COMPUTED_VALUE"""),"Members of Parliament")</f>
        <v>Members of Parliament</v>
      </c>
    </row>
    <row r="492">
      <c r="A492" s="7" t="str">
        <f>IFERROR(__xludf.DUMMYFUNCTION("""COMPUTED_VALUE"""),"NAMIBIA ")</f>
        <v>NAMIBIA </v>
      </c>
      <c r="B492" s="8">
        <f>IFERROR(__xludf.DUMMYFUNCTION("""COMPUTED_VALUE"""),10.0)</f>
        <v>10</v>
      </c>
      <c r="C492" s="7" t="str">
        <f>IFERROR(__xludf.DUMMYFUNCTION("""COMPUTED_VALUE"""),"B_04_06")</f>
        <v>B_04_06</v>
      </c>
      <c r="D492" s="7" t="str">
        <f>IFERROR(__xludf.DUMMYFUNCTION("""COMPUTED_VALUE"""),"Q36a.")</f>
        <v>Q36a.</v>
      </c>
      <c r="E492" s="7" t="str">
        <f>IFERROR(__xludf.DUMMYFUNCTION("""COMPUTED_VALUE"""),"MPs listen")</f>
        <v>MPs listen</v>
      </c>
      <c r="F492" s="7" t="str">
        <f>IFERROR(__xludf.DUMMYFUNCTION("""COMPUTED_VALUE"""),"Members of the National Assembly")</f>
        <v>Members of the National Assembly</v>
      </c>
    </row>
    <row r="493">
      <c r="A493" s="7" t="str">
        <f>IFERROR(__xludf.DUMMYFUNCTION("""COMPUTED_VALUE"""),"NIGERIA ")</f>
        <v>NIGERIA </v>
      </c>
      <c r="B493" s="8">
        <f>IFERROR(__xludf.DUMMYFUNCTION("""COMPUTED_VALUE"""),10.0)</f>
        <v>10</v>
      </c>
      <c r="C493" s="7" t="str">
        <f>IFERROR(__xludf.DUMMYFUNCTION("""COMPUTED_VALUE"""),"B_04_06")</f>
        <v>B_04_06</v>
      </c>
      <c r="D493" s="7" t="str">
        <f>IFERROR(__xludf.DUMMYFUNCTION("""COMPUTED_VALUE"""),"Q36a.")</f>
        <v>Q36a.</v>
      </c>
      <c r="E493" s="7" t="str">
        <f>IFERROR(__xludf.DUMMYFUNCTION("""COMPUTED_VALUE"""),"MPs listen")</f>
        <v>MPs listen</v>
      </c>
      <c r="F493" s="7" t="str">
        <f>IFERROR(__xludf.DUMMYFUNCTION("""COMPUTED_VALUE"""),"Members of the National Assembly")</f>
        <v>Members of the National Assembly</v>
      </c>
    </row>
    <row r="494">
      <c r="A494" s="7" t="str">
        <f>IFERROR(__xludf.DUMMYFUNCTION("""COMPUTED_VALUE"""),"SAO TOME AND PRINCIPE")</f>
        <v>SAO TOME AND PRINCIPE</v>
      </c>
      <c r="B494" s="8">
        <f>IFERROR(__xludf.DUMMYFUNCTION("""COMPUTED_VALUE"""),10.0)</f>
        <v>10</v>
      </c>
      <c r="C494" s="7" t="str">
        <f>IFERROR(__xludf.DUMMYFUNCTION("""COMPUTED_VALUE"""),"B_04_06")</f>
        <v>B_04_06</v>
      </c>
      <c r="D494" s="7" t="str">
        <f>IFERROR(__xludf.DUMMYFUNCTION("""COMPUTED_VALUE"""),"Q36a.")</f>
        <v>Q36a.</v>
      </c>
      <c r="E494" s="7" t="str">
        <f>IFERROR(__xludf.DUMMYFUNCTION("""COMPUTED_VALUE"""),"MPs listen")</f>
        <v>MPs listen</v>
      </c>
      <c r="F494" s="7" t="str">
        <f>IFERROR(__xludf.DUMMYFUNCTION("""COMPUTED_VALUE"""),"Members of the National Assembly")</f>
        <v>Members of the National Assembly</v>
      </c>
    </row>
    <row r="495">
      <c r="A495" s="7" t="str">
        <f>IFERROR(__xludf.DUMMYFUNCTION("""COMPUTED_VALUE"""),"SENEGAL")</f>
        <v>SENEGAL</v>
      </c>
      <c r="B495" s="8">
        <f>IFERROR(__xludf.DUMMYFUNCTION("""COMPUTED_VALUE"""),10.0)</f>
        <v>10</v>
      </c>
      <c r="C495" s="7" t="str">
        <f>IFERROR(__xludf.DUMMYFUNCTION("""COMPUTED_VALUE"""),"B_04_06")</f>
        <v>B_04_06</v>
      </c>
      <c r="D495" s="7" t="str">
        <f>IFERROR(__xludf.DUMMYFUNCTION("""COMPUTED_VALUE"""),"Q36a.")</f>
        <v>Q36a.</v>
      </c>
      <c r="E495" s="7" t="str">
        <f>IFERROR(__xludf.DUMMYFUNCTION("""COMPUTED_VALUE"""),"MPs listen")</f>
        <v>MPs listen</v>
      </c>
      <c r="F495" s="7" t="str">
        <f>IFERROR(__xludf.DUMMYFUNCTION("""COMPUTED_VALUE"""),"Members of the National Assembly")</f>
        <v>Members of the National Assembly</v>
      </c>
    </row>
    <row r="496">
      <c r="A496" s="7" t="str">
        <f>IFERROR(__xludf.DUMMYFUNCTION("""COMPUTED_VALUE"""),"SEYCHELLES")</f>
        <v>SEYCHELLES</v>
      </c>
      <c r="B496" s="8">
        <f>IFERROR(__xludf.DUMMYFUNCTION("""COMPUTED_VALUE"""),10.0)</f>
        <v>10</v>
      </c>
      <c r="C496" s="7" t="str">
        <f>IFERROR(__xludf.DUMMYFUNCTION("""COMPUTED_VALUE"""),"B_04_06")</f>
        <v>B_04_06</v>
      </c>
      <c r="D496" s="7" t="str">
        <f>IFERROR(__xludf.DUMMYFUNCTION("""COMPUTED_VALUE"""),"Q36a.")</f>
        <v>Q36a.</v>
      </c>
      <c r="E496" s="7" t="str">
        <f>IFERROR(__xludf.DUMMYFUNCTION("""COMPUTED_VALUE"""),"MPs listen")</f>
        <v>MPs listen</v>
      </c>
      <c r="F496" s="7" t="str">
        <f>IFERROR(__xludf.DUMMYFUNCTION("""COMPUTED_VALUE"""),"Members of the National Assembly")</f>
        <v>Members of the National Assembly</v>
      </c>
    </row>
    <row r="497">
      <c r="A497" s="7" t="str">
        <f>IFERROR(__xludf.DUMMYFUNCTION("""COMPUTED_VALUE"""),"SOUTH AFRICA")</f>
        <v>SOUTH AFRICA</v>
      </c>
      <c r="B497" s="8">
        <f>IFERROR(__xludf.DUMMYFUNCTION("""COMPUTED_VALUE"""),10.0)</f>
        <v>10</v>
      </c>
      <c r="C497" s="7" t="str">
        <f>IFERROR(__xludf.DUMMYFUNCTION("""COMPUTED_VALUE"""),"B_04_06")</f>
        <v>B_04_06</v>
      </c>
      <c r="D497" s="7" t="str">
        <f>IFERROR(__xludf.DUMMYFUNCTION("""COMPUTED_VALUE"""),"Q36a.")</f>
        <v>Q36a.</v>
      </c>
      <c r="E497" s="7" t="str">
        <f>IFERROR(__xludf.DUMMYFUNCTION("""COMPUTED_VALUE"""),"MPs listen")</f>
        <v>MPs listen</v>
      </c>
      <c r="F497" s="7" t="str">
        <f>IFERROR(__xludf.DUMMYFUNCTION("""COMPUTED_VALUE"""),"Members of Parliament")</f>
        <v>Members of Parliament</v>
      </c>
    </row>
    <row r="498">
      <c r="A498" s="7" t="str">
        <f>IFERROR(__xludf.DUMMYFUNCTION("""COMPUTED_VALUE"""),"TANZANIA")</f>
        <v>TANZANIA</v>
      </c>
      <c r="B498" s="8">
        <f>IFERROR(__xludf.DUMMYFUNCTION("""COMPUTED_VALUE"""),10.0)</f>
        <v>10</v>
      </c>
      <c r="C498" s="7" t="str">
        <f>IFERROR(__xludf.DUMMYFUNCTION("""COMPUTED_VALUE"""),"B_04_06")</f>
        <v>B_04_06</v>
      </c>
      <c r="D498" s="7" t="str">
        <f>IFERROR(__xludf.DUMMYFUNCTION("""COMPUTED_VALUE"""),"Q36a.")</f>
        <v>Q36a.</v>
      </c>
      <c r="E498" s="7" t="str">
        <f>IFERROR(__xludf.DUMMYFUNCTION("""COMPUTED_VALUE"""),"MPs listen")</f>
        <v>MPs listen</v>
      </c>
      <c r="F498" s="7" t="str">
        <f>IFERROR(__xludf.DUMMYFUNCTION("""COMPUTED_VALUE"""),"Members of Parliament")</f>
        <v>Members of Parliament</v>
      </c>
    </row>
    <row r="499">
      <c r="A499" s="7" t="str">
        <f>IFERROR(__xludf.DUMMYFUNCTION("""COMPUTED_VALUE"""),"TOGO ")</f>
        <v>TOGO </v>
      </c>
      <c r="B499" s="8">
        <f>IFERROR(__xludf.DUMMYFUNCTION("""COMPUTED_VALUE"""),10.0)</f>
        <v>10</v>
      </c>
      <c r="C499" s="7" t="str">
        <f>IFERROR(__xludf.DUMMYFUNCTION("""COMPUTED_VALUE"""),"B_04_06")</f>
        <v>B_04_06</v>
      </c>
      <c r="D499" s="7" t="str">
        <f>IFERROR(__xludf.DUMMYFUNCTION("""COMPUTED_VALUE"""),"Q36a.")</f>
        <v>Q36a.</v>
      </c>
      <c r="E499" s="7" t="str">
        <f>IFERROR(__xludf.DUMMYFUNCTION("""COMPUTED_VALUE"""),"MPs listen")</f>
        <v>MPs listen</v>
      </c>
      <c r="F499" s="7" t="str">
        <f>IFERROR(__xludf.DUMMYFUNCTION("""COMPUTED_VALUE"""),"Members of the National Assembly")</f>
        <v>Members of the National Assembly</v>
      </c>
    </row>
    <row r="500">
      <c r="A500" s="7" t="str">
        <f>IFERROR(__xludf.DUMMYFUNCTION("""COMPUTED_VALUE"""),"TUNISIA ")</f>
        <v>TUNISIA </v>
      </c>
      <c r="B500" s="8">
        <f>IFERROR(__xludf.DUMMYFUNCTION("""COMPUTED_VALUE"""),10.0)</f>
        <v>10</v>
      </c>
      <c r="C500" s="7" t="str">
        <f>IFERROR(__xludf.DUMMYFUNCTION("""COMPUTED_VALUE"""),"B_04_06")</f>
        <v>B_04_06</v>
      </c>
      <c r="D500" s="7" t="str">
        <f>IFERROR(__xludf.DUMMYFUNCTION("""COMPUTED_VALUE"""),"Q36a.")</f>
        <v>Q36a.</v>
      </c>
      <c r="E500" s="7" t="str">
        <f>IFERROR(__xludf.DUMMYFUNCTION("""COMPUTED_VALUE"""),"MPs listen")</f>
        <v>MPs listen</v>
      </c>
      <c r="F500" s="7" t="str">
        <f>IFERROR(__xludf.DUMMYFUNCTION("""COMPUTED_VALUE"""),"Members of the Assembly of the People’s Representatives")</f>
        <v>Members of the Assembly of the People’s Representatives</v>
      </c>
    </row>
    <row r="501">
      <c r="A501" s="7" t="str">
        <f>IFERROR(__xludf.DUMMYFUNCTION("""COMPUTED_VALUE"""),"UGANDA  ")</f>
        <v>UGANDA  </v>
      </c>
      <c r="B501" s="8">
        <f>IFERROR(__xludf.DUMMYFUNCTION("""COMPUTED_VALUE"""),10.0)</f>
        <v>10</v>
      </c>
      <c r="C501" s="7" t="str">
        <f>IFERROR(__xludf.DUMMYFUNCTION("""COMPUTED_VALUE"""),"B_04_06")</f>
        <v>B_04_06</v>
      </c>
      <c r="D501" s="7" t="str">
        <f>IFERROR(__xludf.DUMMYFUNCTION("""COMPUTED_VALUE"""),"Q36a.")</f>
        <v>Q36a.</v>
      </c>
      <c r="E501" s="7" t="str">
        <f>IFERROR(__xludf.DUMMYFUNCTION("""COMPUTED_VALUE"""),"MPs listen")</f>
        <v>MPs listen</v>
      </c>
      <c r="F501" s="7" t="str">
        <f>IFERROR(__xludf.DUMMYFUNCTION("""COMPUTED_VALUE"""),"Members of Parliament")</f>
        <v>Members of Parliament</v>
      </c>
    </row>
    <row r="502">
      <c r="A502" s="7" t="str">
        <f>IFERROR(__xludf.DUMMYFUNCTION("""COMPUTED_VALUE"""),"ZAMBIA")</f>
        <v>ZAMBIA</v>
      </c>
      <c r="B502" s="8">
        <f>IFERROR(__xludf.DUMMYFUNCTION("""COMPUTED_VALUE"""),10.0)</f>
        <v>10</v>
      </c>
      <c r="C502" s="7" t="str">
        <f>IFERROR(__xludf.DUMMYFUNCTION("""COMPUTED_VALUE"""),"B_04_06")</f>
        <v>B_04_06</v>
      </c>
      <c r="D502" s="7" t="str">
        <f>IFERROR(__xludf.DUMMYFUNCTION("""COMPUTED_VALUE"""),"Q36a.")</f>
        <v>Q36a.</v>
      </c>
      <c r="E502" s="7" t="str">
        <f>IFERROR(__xludf.DUMMYFUNCTION("""COMPUTED_VALUE"""),"MPs listen")</f>
        <v>MPs listen</v>
      </c>
      <c r="F502" s="7" t="str">
        <f>IFERROR(__xludf.DUMMYFUNCTION("""COMPUTED_VALUE"""),"Members of Parliament")</f>
        <v>Members of Parliament</v>
      </c>
    </row>
    <row r="503">
      <c r="A503" s="7" t="str">
        <f>IFERROR(__xludf.DUMMYFUNCTION("""COMPUTED_VALUE"""),"ZIMBABWE")</f>
        <v>ZIMBABWE</v>
      </c>
      <c r="B503" s="8">
        <f>IFERROR(__xludf.DUMMYFUNCTION("""COMPUTED_VALUE"""),10.0)</f>
        <v>10</v>
      </c>
      <c r="C503" s="7" t="str">
        <f>IFERROR(__xludf.DUMMYFUNCTION("""COMPUTED_VALUE"""),"B_04_06")</f>
        <v>B_04_06</v>
      </c>
      <c r="D503" s="7" t="str">
        <f>IFERROR(__xludf.DUMMYFUNCTION("""COMPUTED_VALUE"""),"Q36a.")</f>
        <v>Q36a.</v>
      </c>
      <c r="E503" s="7" t="str">
        <f>IFERROR(__xludf.DUMMYFUNCTION("""COMPUTED_VALUE"""),"MPs listen")</f>
        <v>MPs listen</v>
      </c>
      <c r="F503" s="7" t="str">
        <f>IFERROR(__xludf.DUMMYFUNCTION("""COMPUTED_VALUE"""),"Members of Parliament")</f>
        <v>Members of Parliament</v>
      </c>
    </row>
    <row r="504">
      <c r="A504" s="7" t="str">
        <f>IFERROR(__xludf.DUMMYFUNCTION("""COMPUTED_VALUE"""),"BENIN")</f>
        <v>BENIN</v>
      </c>
      <c r="B504" s="8">
        <f>IFERROR(__xludf.DUMMYFUNCTION("""COMPUTED_VALUE"""),10.0)</f>
        <v>10</v>
      </c>
      <c r="C504" s="7" t="str">
        <f>IFERROR(__xludf.DUMMYFUNCTION("""COMPUTED_VALUE"""),"B_03_15")</f>
        <v>B_03_15</v>
      </c>
      <c r="D504" s="7" t="str">
        <f>IFERROR(__xludf.DUMMYFUNCTION("""COMPUTED_VALUE"""),"Q36b.")</f>
        <v>Q36b.</v>
      </c>
      <c r="E504" s="7" t="str">
        <f>IFERROR(__xludf.DUMMYFUNCTION("""COMPUTED_VALUE"""),"Local government councillors listen")</f>
        <v>Local government councillors listen</v>
      </c>
      <c r="F504" s="7" t="str">
        <f>IFERROR(__xludf.DUMMYFUNCTION("""COMPUTED_VALUE"""),"Your municipal or communal council")</f>
        <v>Your municipal or communal council</v>
      </c>
    </row>
    <row r="505">
      <c r="A505" s="7" t="str">
        <f>IFERROR(__xludf.DUMMYFUNCTION("""COMPUTED_VALUE"""),"BOTSWANA ")</f>
        <v>BOTSWANA </v>
      </c>
      <c r="B505" s="8">
        <f>IFERROR(__xludf.DUMMYFUNCTION("""COMPUTED_VALUE"""),10.0)</f>
        <v>10</v>
      </c>
      <c r="C505" s="7" t="str">
        <f>IFERROR(__xludf.DUMMYFUNCTION("""COMPUTED_VALUE"""),"B_03_15")</f>
        <v>B_03_15</v>
      </c>
      <c r="D505" s="7" t="str">
        <f>IFERROR(__xludf.DUMMYFUNCTION("""COMPUTED_VALUE"""),"Q36b.")</f>
        <v>Q36b.</v>
      </c>
      <c r="E505" s="7" t="str">
        <f>IFERROR(__xludf.DUMMYFUNCTION("""COMPUTED_VALUE"""),"Local government councillors listen")</f>
        <v>Local government councillors listen</v>
      </c>
      <c r="F505" s="7" t="str">
        <f>IFERROR(__xludf.DUMMYFUNCTION("""COMPUTED_VALUE"""),"Members of local government council")</f>
        <v>Members of local government council</v>
      </c>
    </row>
    <row r="506">
      <c r="A506" s="7" t="str">
        <f>IFERROR(__xludf.DUMMYFUNCTION("""COMPUTED_VALUE"""),"CABO VERDE ")</f>
        <v>CABO VERDE </v>
      </c>
      <c r="B506" s="8">
        <f>IFERROR(__xludf.DUMMYFUNCTION("""COMPUTED_VALUE"""),10.0)</f>
        <v>10</v>
      </c>
      <c r="C506" s="7" t="str">
        <f>IFERROR(__xludf.DUMMYFUNCTION("""COMPUTED_VALUE"""),"B_03_15")</f>
        <v>B_03_15</v>
      </c>
      <c r="D506" s="7" t="str">
        <f>IFERROR(__xludf.DUMMYFUNCTION("""COMPUTED_VALUE"""),"Q36b.")</f>
        <v>Q36b.</v>
      </c>
      <c r="E506" s="7" t="str">
        <f>IFERROR(__xludf.DUMMYFUNCTION("""COMPUTED_VALUE"""),"Local government councillors listen")</f>
        <v>Local government councillors listen</v>
      </c>
      <c r="F506" s="7" t="str">
        <f>IFERROR(__xludf.DUMMYFUNCTION("""COMPUTED_VALUE"""),"Members of local government council")</f>
        <v>Members of local government council</v>
      </c>
    </row>
    <row r="507">
      <c r="A507" s="7" t="str">
        <f>IFERROR(__xludf.DUMMYFUNCTION("""COMPUTED_VALUE"""),"CAMEROON")</f>
        <v>CAMEROON</v>
      </c>
      <c r="B507" s="8">
        <f>IFERROR(__xludf.DUMMYFUNCTION("""COMPUTED_VALUE"""),10.0)</f>
        <v>10</v>
      </c>
      <c r="C507" s="7" t="str">
        <f>IFERROR(__xludf.DUMMYFUNCTION("""COMPUTED_VALUE"""),"B_03_15")</f>
        <v>B_03_15</v>
      </c>
      <c r="D507" s="7" t="str">
        <f>IFERROR(__xludf.DUMMYFUNCTION("""COMPUTED_VALUE"""),"Q36b.")</f>
        <v>Q36b.</v>
      </c>
      <c r="E507" s="7" t="str">
        <f>IFERROR(__xludf.DUMMYFUNCTION("""COMPUTED_VALUE"""),"Local government councillors listen")</f>
        <v>Local government councillors listen</v>
      </c>
      <c r="F507" s="7" t="str">
        <f>IFERROR(__xludf.DUMMYFUNCTION("""COMPUTED_VALUE"""),"Members of local government council")</f>
        <v>Members of local government council</v>
      </c>
    </row>
    <row r="508">
      <c r="A508" s="7" t="str">
        <f>IFERROR(__xludf.DUMMYFUNCTION("""COMPUTED_VALUE"""),"CHAD")</f>
        <v>CHAD</v>
      </c>
      <c r="B508" s="8">
        <f>IFERROR(__xludf.DUMMYFUNCTION("""COMPUTED_VALUE"""),10.0)</f>
        <v>10</v>
      </c>
      <c r="C508" s="7" t="str">
        <f>IFERROR(__xludf.DUMMYFUNCTION("""COMPUTED_VALUE"""),"B_03_15")</f>
        <v>B_03_15</v>
      </c>
      <c r="D508" s="7" t="str">
        <f>IFERROR(__xludf.DUMMYFUNCTION("""COMPUTED_VALUE"""),"Q36b.")</f>
        <v>Q36b.</v>
      </c>
      <c r="E508" s="7" t="str">
        <f>IFERROR(__xludf.DUMMYFUNCTION("""COMPUTED_VALUE"""),"Local government councillors listen")</f>
        <v>Local government councillors listen</v>
      </c>
      <c r="F508" s="7" t="str">
        <f>IFERROR(__xludf.DUMMYFUNCTION("""COMPUTED_VALUE"""),"Members of local government council")</f>
        <v>Members of local government council</v>
      </c>
    </row>
    <row r="509">
      <c r="A509" s="7" t="str">
        <f>IFERROR(__xludf.DUMMYFUNCTION("""COMPUTED_VALUE"""),"COMOROS")</f>
        <v>COMOROS</v>
      </c>
      <c r="B509" s="8">
        <f>IFERROR(__xludf.DUMMYFUNCTION("""COMPUTED_VALUE"""),10.0)</f>
        <v>10</v>
      </c>
      <c r="C509" s="7" t="str">
        <f>IFERROR(__xludf.DUMMYFUNCTION("""COMPUTED_VALUE"""),"B_03_15")</f>
        <v>B_03_15</v>
      </c>
      <c r="D509" s="7" t="str">
        <f>IFERROR(__xludf.DUMMYFUNCTION("""COMPUTED_VALUE"""),"Q36b.")</f>
        <v>Q36b.</v>
      </c>
      <c r="E509" s="7" t="str">
        <f>IFERROR(__xludf.DUMMYFUNCTION("""COMPUTED_VALUE"""),"Local government councillors listen")</f>
        <v>Local government councillors listen</v>
      </c>
      <c r="F509" s="7" t="str">
        <f>IFERROR(__xludf.DUMMYFUNCTION("""COMPUTED_VALUE"""),"Members of local government council")</f>
        <v>Members of local government council</v>
      </c>
    </row>
    <row r="510">
      <c r="A510" s="7" t="str">
        <f>IFERROR(__xludf.DUMMYFUNCTION("""COMPUTED_VALUE"""),"CONGO BRAZZAVILLE")</f>
        <v>CONGO BRAZZAVILLE</v>
      </c>
      <c r="B510" s="8">
        <f>IFERROR(__xludf.DUMMYFUNCTION("""COMPUTED_VALUE"""),10.0)</f>
        <v>10</v>
      </c>
      <c r="C510" s="7" t="str">
        <f>IFERROR(__xludf.DUMMYFUNCTION("""COMPUTED_VALUE"""),"B_03_15")</f>
        <v>B_03_15</v>
      </c>
      <c r="D510" s="7" t="str">
        <f>IFERROR(__xludf.DUMMYFUNCTION("""COMPUTED_VALUE"""),"Q36b.")</f>
        <v>Q36b.</v>
      </c>
      <c r="E510" s="7" t="str">
        <f>IFERROR(__xludf.DUMMYFUNCTION("""COMPUTED_VALUE"""),"Local government councillors listen")</f>
        <v>Local government councillors listen</v>
      </c>
      <c r="F510" s="7" t="str">
        <f>IFERROR(__xludf.DUMMYFUNCTION("""COMPUTED_VALUE"""),"Members of local government council")</f>
        <v>Members of local government council</v>
      </c>
    </row>
    <row r="511">
      <c r="A511" s="7" t="str">
        <f>IFERROR(__xludf.DUMMYFUNCTION("""COMPUTED_VALUE"""),"COTE D'IVOIRE")</f>
        <v>COTE D'IVOIRE</v>
      </c>
      <c r="B511" s="8">
        <f>IFERROR(__xludf.DUMMYFUNCTION("""COMPUTED_VALUE"""),10.0)</f>
        <v>10</v>
      </c>
      <c r="C511" s="7" t="str">
        <f>IFERROR(__xludf.DUMMYFUNCTION("""COMPUTED_VALUE"""),"B_03_15")</f>
        <v>B_03_15</v>
      </c>
      <c r="D511" s="7" t="str">
        <f>IFERROR(__xludf.DUMMYFUNCTION("""COMPUTED_VALUE"""),"Q36b.")</f>
        <v>Q36b.</v>
      </c>
      <c r="E511" s="7" t="str">
        <f>IFERROR(__xludf.DUMMYFUNCTION("""COMPUTED_VALUE"""),"Local government councillors listen")</f>
        <v>Local government councillors listen</v>
      </c>
      <c r="F511" s="7" t="str">
        <f>IFERROR(__xludf.DUMMYFUNCTION("""COMPUTED_VALUE"""),"Members of local government council")</f>
        <v>Members of local government council</v>
      </c>
    </row>
    <row r="512">
      <c r="A512" s="7" t="str">
        <f>IFERROR(__xludf.DUMMYFUNCTION("""COMPUTED_VALUE"""),"ESWATINI")</f>
        <v>ESWATINI</v>
      </c>
      <c r="B512" s="8">
        <f>IFERROR(__xludf.DUMMYFUNCTION("""COMPUTED_VALUE"""),10.0)</f>
        <v>10</v>
      </c>
      <c r="C512" s="7" t="str">
        <f>IFERROR(__xludf.DUMMYFUNCTION("""COMPUTED_VALUE"""),"B_03_15")</f>
        <v>B_03_15</v>
      </c>
      <c r="D512" s="7" t="str">
        <f>IFERROR(__xludf.DUMMYFUNCTION("""COMPUTED_VALUE"""),"Q36b.")</f>
        <v>Q36b.</v>
      </c>
      <c r="E512" s="7" t="str">
        <f>IFERROR(__xludf.DUMMYFUNCTION("""COMPUTED_VALUE"""),"Local government councillors listen")</f>
        <v>Local government councillors listen</v>
      </c>
      <c r="F512" s="7" t="str">
        <f>IFERROR(__xludf.DUMMYFUNCTION("""COMPUTED_VALUE"""),"Members of local government council")</f>
        <v>Members of local government council</v>
      </c>
    </row>
    <row r="513">
      <c r="A513" s="7" t="str">
        <f>IFERROR(__xludf.DUMMYFUNCTION("""COMPUTED_VALUE"""),"GABON")</f>
        <v>GABON</v>
      </c>
      <c r="B513" s="8">
        <f>IFERROR(__xludf.DUMMYFUNCTION("""COMPUTED_VALUE"""),10.0)</f>
        <v>10</v>
      </c>
      <c r="C513" s="7" t="str">
        <f>IFERROR(__xludf.DUMMYFUNCTION("""COMPUTED_VALUE"""),"B_03_15")</f>
        <v>B_03_15</v>
      </c>
      <c r="D513" s="7" t="str">
        <f>IFERROR(__xludf.DUMMYFUNCTION("""COMPUTED_VALUE"""),"Q36b.")</f>
        <v>Q36b.</v>
      </c>
      <c r="E513" s="7" t="str">
        <f>IFERROR(__xludf.DUMMYFUNCTION("""COMPUTED_VALUE"""),"Local government councillors listen")</f>
        <v>Local government councillors listen</v>
      </c>
      <c r="F513" s="7" t="str">
        <f>IFERROR(__xludf.DUMMYFUNCTION("""COMPUTED_VALUE"""),"Members of local government council")</f>
        <v>Members of local government council</v>
      </c>
    </row>
    <row r="514">
      <c r="A514" s="7" t="str">
        <f>IFERROR(__xludf.DUMMYFUNCTION("""COMPUTED_VALUE"""),"GAMBIA")</f>
        <v>GAMBIA</v>
      </c>
      <c r="B514" s="8">
        <f>IFERROR(__xludf.DUMMYFUNCTION("""COMPUTED_VALUE"""),10.0)</f>
        <v>10</v>
      </c>
      <c r="C514" s="7" t="str">
        <f>IFERROR(__xludf.DUMMYFUNCTION("""COMPUTED_VALUE"""),"B_03_15")</f>
        <v>B_03_15</v>
      </c>
      <c r="D514" s="7" t="str">
        <f>IFERROR(__xludf.DUMMYFUNCTION("""COMPUTED_VALUE"""),"Q36b.")</f>
        <v>Q36b.</v>
      </c>
      <c r="E514" s="7" t="str">
        <f>IFERROR(__xludf.DUMMYFUNCTION("""COMPUTED_VALUE"""),"Local government councillors listen")</f>
        <v>Local government councillors listen</v>
      </c>
      <c r="F514" s="7" t="str">
        <f>IFERROR(__xludf.DUMMYFUNCTION("""COMPUTED_VALUE"""),"Members of local government council")</f>
        <v>Members of local government council</v>
      </c>
    </row>
    <row r="515">
      <c r="A515" s="7" t="str">
        <f>IFERROR(__xludf.DUMMYFUNCTION("""COMPUTED_VALUE"""),"GHANA ")</f>
        <v>GHANA </v>
      </c>
      <c r="B515" s="8">
        <f>IFERROR(__xludf.DUMMYFUNCTION("""COMPUTED_VALUE"""),10.0)</f>
        <v>10</v>
      </c>
      <c r="C515" s="7" t="str">
        <f>IFERROR(__xludf.DUMMYFUNCTION("""COMPUTED_VALUE"""),"B_03_15")</f>
        <v>B_03_15</v>
      </c>
      <c r="D515" s="7" t="str">
        <f>IFERROR(__xludf.DUMMYFUNCTION("""COMPUTED_VALUE"""),"Q36b.")</f>
        <v>Q36b.</v>
      </c>
      <c r="E515" s="7" t="str">
        <f>IFERROR(__xludf.DUMMYFUNCTION("""COMPUTED_VALUE"""),"Local government councillors listen")</f>
        <v>Local government councillors listen</v>
      </c>
      <c r="F515" s="7" t="str">
        <f>IFERROR(__xludf.DUMMYFUNCTION("""COMPUTED_VALUE"""),"Assembly men and women")</f>
        <v>Assembly men and women</v>
      </c>
    </row>
    <row r="516">
      <c r="A516" s="7" t="str">
        <f>IFERROR(__xludf.DUMMYFUNCTION("""COMPUTED_VALUE"""),"GUINEA")</f>
        <v>GUINEA</v>
      </c>
      <c r="B516" s="8">
        <f>IFERROR(__xludf.DUMMYFUNCTION("""COMPUTED_VALUE"""),10.0)</f>
        <v>10</v>
      </c>
      <c r="C516" s="7" t="str">
        <f>IFERROR(__xludf.DUMMYFUNCTION("""COMPUTED_VALUE"""),"B_03_15")</f>
        <v>B_03_15</v>
      </c>
      <c r="D516" s="7" t="str">
        <f>IFERROR(__xludf.DUMMYFUNCTION("""COMPUTED_VALUE"""),"Q36b.")</f>
        <v>Q36b.</v>
      </c>
      <c r="E516" s="7" t="str">
        <f>IFERROR(__xludf.DUMMYFUNCTION("""COMPUTED_VALUE"""),"Local government councillors listen")</f>
        <v>Local government councillors listen</v>
      </c>
      <c r="F516" s="7" t="str">
        <f>IFERROR(__xludf.DUMMYFUNCTION("""COMPUTED_VALUE"""),"Municipal Councilors")</f>
        <v>Municipal Councilors</v>
      </c>
    </row>
    <row r="517">
      <c r="A517" s="7" t="str">
        <f>IFERROR(__xludf.DUMMYFUNCTION("""COMPUTED_VALUE"""),"KENYA  ")</f>
        <v>KENYA  </v>
      </c>
      <c r="B517" s="8">
        <f>IFERROR(__xludf.DUMMYFUNCTION("""COMPUTED_VALUE"""),10.0)</f>
        <v>10</v>
      </c>
      <c r="C517" s="7" t="str">
        <f>IFERROR(__xludf.DUMMYFUNCTION("""COMPUTED_VALUE"""),"B_03_15")</f>
        <v>B_03_15</v>
      </c>
      <c r="D517" s="7" t="str">
        <f>IFERROR(__xludf.DUMMYFUNCTION("""COMPUTED_VALUE"""),"Q36b.")</f>
        <v>Q36b.</v>
      </c>
      <c r="E517" s="7" t="str">
        <f>IFERROR(__xludf.DUMMYFUNCTION("""COMPUTED_VALUE"""),"Local government councillors listen")</f>
        <v>Local government councillors listen</v>
      </c>
      <c r="F517" s="7" t="str">
        <f>IFERROR(__xludf.DUMMYFUNCTION("""COMPUTED_VALUE"""),"Members of the County Assembly or MCA")</f>
        <v>Members of the County Assembly or MCA</v>
      </c>
    </row>
    <row r="518">
      <c r="A518" s="7" t="str">
        <f>IFERROR(__xludf.DUMMYFUNCTION("""COMPUTED_VALUE"""),"LESOTHO ")</f>
        <v>LESOTHO </v>
      </c>
      <c r="B518" s="8">
        <f>IFERROR(__xludf.DUMMYFUNCTION("""COMPUTED_VALUE"""),10.0)</f>
        <v>10</v>
      </c>
      <c r="C518" s="7" t="str">
        <f>IFERROR(__xludf.DUMMYFUNCTION("""COMPUTED_VALUE"""),"B_03_15")</f>
        <v>B_03_15</v>
      </c>
      <c r="D518" s="7" t="str">
        <f>IFERROR(__xludf.DUMMYFUNCTION("""COMPUTED_VALUE"""),"Q36b.")</f>
        <v>Q36b.</v>
      </c>
      <c r="E518" s="7" t="str">
        <f>IFERROR(__xludf.DUMMYFUNCTION("""COMPUTED_VALUE"""),"Local government councillors listen")</f>
        <v>Local government councillors listen</v>
      </c>
      <c r="F518" s="7" t="str">
        <f>IFERROR(__xludf.DUMMYFUNCTION("""COMPUTED_VALUE"""),"Members of Urban or Community council")</f>
        <v>Members of Urban or Community council</v>
      </c>
    </row>
    <row r="519">
      <c r="A519" s="7" t="str">
        <f>IFERROR(__xludf.DUMMYFUNCTION("""COMPUTED_VALUE"""),"LIBERIA  ")</f>
        <v>LIBERIA  </v>
      </c>
      <c r="B519" s="8">
        <f>IFERROR(__xludf.DUMMYFUNCTION("""COMPUTED_VALUE"""),10.0)</f>
        <v>10</v>
      </c>
      <c r="C519" s="7" t="str">
        <f>IFERROR(__xludf.DUMMYFUNCTION("""COMPUTED_VALUE"""),"B_03_15")</f>
        <v>B_03_15</v>
      </c>
      <c r="D519" s="7" t="str">
        <f>IFERROR(__xludf.DUMMYFUNCTION("""COMPUTED_VALUE"""),"Q36b.")</f>
        <v>Q36b.</v>
      </c>
      <c r="E519" s="7" t="str">
        <f>IFERROR(__xludf.DUMMYFUNCTION("""COMPUTED_VALUE"""),"Local government councillors listen")</f>
        <v>Local government councillors listen</v>
      </c>
      <c r="F519" s="7" t="str">
        <f>IFERROR(__xludf.DUMMYFUNCTION("""COMPUTED_VALUE"""),"Members of the Local Authority Council")</f>
        <v>Members of the Local Authority Council</v>
      </c>
    </row>
    <row r="520">
      <c r="A520" s="7" t="str">
        <f>IFERROR(__xludf.DUMMYFUNCTION("""COMPUTED_VALUE"""),"MADAGASCAR")</f>
        <v>MADAGASCAR</v>
      </c>
      <c r="B520" s="8">
        <f>IFERROR(__xludf.DUMMYFUNCTION("""COMPUTED_VALUE"""),10.0)</f>
        <v>10</v>
      </c>
      <c r="C520" s="7" t="str">
        <f>IFERROR(__xludf.DUMMYFUNCTION("""COMPUTED_VALUE"""),"B_03_15")</f>
        <v>B_03_15</v>
      </c>
      <c r="D520" s="7" t="str">
        <f>IFERROR(__xludf.DUMMYFUNCTION("""COMPUTED_VALUE"""),"Q36b.")</f>
        <v>Q36b.</v>
      </c>
      <c r="E520" s="7" t="str">
        <f>IFERROR(__xludf.DUMMYFUNCTION("""COMPUTED_VALUE"""),"Local government councillors listen")</f>
        <v>Local government councillors listen</v>
      </c>
      <c r="F520" s="7" t="str">
        <f>IFERROR(__xludf.DUMMYFUNCTION("""COMPUTED_VALUE"""),"Municipal Councilors")</f>
        <v>Municipal Councilors</v>
      </c>
    </row>
    <row r="521">
      <c r="A521" s="7" t="str">
        <f>IFERROR(__xludf.DUMMYFUNCTION("""COMPUTED_VALUE"""),"MALAWI ")</f>
        <v>MALAWI </v>
      </c>
      <c r="B521" s="8">
        <f>IFERROR(__xludf.DUMMYFUNCTION("""COMPUTED_VALUE"""),10.0)</f>
        <v>10</v>
      </c>
      <c r="C521" s="7" t="str">
        <f>IFERROR(__xludf.DUMMYFUNCTION("""COMPUTED_VALUE"""),"B_03_15")</f>
        <v>B_03_15</v>
      </c>
      <c r="D521" s="7" t="str">
        <f>IFERROR(__xludf.DUMMYFUNCTION("""COMPUTED_VALUE"""),"Q36b.")</f>
        <v>Q36b.</v>
      </c>
      <c r="E521" s="7" t="str">
        <f>IFERROR(__xludf.DUMMYFUNCTION("""COMPUTED_VALUE"""),"Local government councillors listen")</f>
        <v>Local government councillors listen</v>
      </c>
      <c r="F521" s="7" t="str">
        <f>IFERROR(__xludf.DUMMYFUNCTION("""COMPUTED_VALUE"""),"Local government councilors")</f>
        <v>Local government councilors</v>
      </c>
    </row>
    <row r="522">
      <c r="A522" s="7" t="str">
        <f>IFERROR(__xludf.DUMMYFUNCTION("""COMPUTED_VALUE"""),"MALI")</f>
        <v>MALI</v>
      </c>
      <c r="B522" s="8">
        <f>IFERROR(__xludf.DUMMYFUNCTION("""COMPUTED_VALUE"""),10.0)</f>
        <v>10</v>
      </c>
      <c r="C522" s="7" t="str">
        <f>IFERROR(__xludf.DUMMYFUNCTION("""COMPUTED_VALUE"""),"B_03_15")</f>
        <v>B_03_15</v>
      </c>
      <c r="D522" s="7" t="str">
        <f>IFERROR(__xludf.DUMMYFUNCTION("""COMPUTED_VALUE"""),"Q36b.")</f>
        <v>Q36b.</v>
      </c>
      <c r="E522" s="7" t="str">
        <f>IFERROR(__xludf.DUMMYFUNCTION("""COMPUTED_VALUE"""),"Local government councillors listen")</f>
        <v>Local government councillors listen</v>
      </c>
      <c r="F522" s="7" t="str">
        <f>IFERROR(__xludf.DUMMYFUNCTION("""COMPUTED_VALUE"""),"Municipal Councilors")</f>
        <v>Municipal Councilors</v>
      </c>
    </row>
    <row r="523">
      <c r="A523" s="7" t="str">
        <f>IFERROR(__xludf.DUMMYFUNCTION("""COMPUTED_VALUE"""),"MAURITANIA")</f>
        <v>MAURITANIA</v>
      </c>
      <c r="B523" s="8">
        <f>IFERROR(__xludf.DUMMYFUNCTION("""COMPUTED_VALUE"""),10.0)</f>
        <v>10</v>
      </c>
      <c r="C523" s="7" t="str">
        <f>IFERROR(__xludf.DUMMYFUNCTION("""COMPUTED_VALUE"""),"B_03_15")</f>
        <v>B_03_15</v>
      </c>
      <c r="D523" s="7" t="str">
        <f>IFERROR(__xludf.DUMMYFUNCTION("""COMPUTED_VALUE"""),"Q36b.")</f>
        <v>Q36b.</v>
      </c>
      <c r="E523" s="7" t="str">
        <f>IFERROR(__xludf.DUMMYFUNCTION("""COMPUTED_VALUE"""),"Local government councillors listen")</f>
        <v>Local government councillors listen</v>
      </c>
      <c r="F523" s="7" t="str">
        <f>IFERROR(__xludf.DUMMYFUNCTION("""COMPUTED_VALUE"""),"Municipal Councilors")</f>
        <v>Municipal Councilors</v>
      </c>
    </row>
    <row r="524">
      <c r="A524" s="7" t="str">
        <f>IFERROR(__xludf.DUMMYFUNCTION("""COMPUTED_VALUE"""),"MAURITIUS")</f>
        <v>MAURITIUS</v>
      </c>
      <c r="B524" s="8">
        <f>IFERROR(__xludf.DUMMYFUNCTION("""COMPUTED_VALUE"""),10.0)</f>
        <v>10</v>
      </c>
      <c r="C524" s="7" t="str">
        <f>IFERROR(__xludf.DUMMYFUNCTION("""COMPUTED_VALUE"""),"B_03_15")</f>
        <v>B_03_15</v>
      </c>
      <c r="D524" s="7" t="str">
        <f>IFERROR(__xludf.DUMMYFUNCTION("""COMPUTED_VALUE"""),"Q36b.")</f>
        <v>Q36b.</v>
      </c>
      <c r="E524" s="7" t="str">
        <f>IFERROR(__xludf.DUMMYFUNCTION("""COMPUTED_VALUE"""),"Local government councillors listen")</f>
        <v>Local government councillors listen</v>
      </c>
      <c r="F524" s="7" t="str">
        <f>IFERROR(__xludf.DUMMYFUNCTION("""COMPUTED_VALUE"""),"Members of municipality or district council")</f>
        <v>Members of municipality or district council</v>
      </c>
    </row>
    <row r="525">
      <c r="A525" s="7" t="str">
        <f>IFERROR(__xludf.DUMMYFUNCTION("""COMPUTED_VALUE"""),"MOROCCO ")</f>
        <v>MOROCCO </v>
      </c>
      <c r="B525" s="8">
        <f>IFERROR(__xludf.DUMMYFUNCTION("""COMPUTED_VALUE"""),10.0)</f>
        <v>10</v>
      </c>
      <c r="C525" s="7" t="str">
        <f>IFERROR(__xludf.DUMMYFUNCTION("""COMPUTED_VALUE"""),"B_03_15")</f>
        <v>B_03_15</v>
      </c>
      <c r="D525" s="7" t="str">
        <f>IFERROR(__xludf.DUMMYFUNCTION("""COMPUTED_VALUE"""),"Q36b.")</f>
        <v>Q36b.</v>
      </c>
      <c r="E525" s="7" t="str">
        <f>IFERROR(__xludf.DUMMYFUNCTION("""COMPUTED_VALUE"""),"Local government councillors listen")</f>
        <v>Local government councillors listen</v>
      </c>
      <c r="F525" s="7" t="str">
        <f>IFERROR(__xludf.DUMMYFUNCTION("""COMPUTED_VALUE"""),"Members of collective councils")</f>
        <v>Members of collective councils</v>
      </c>
    </row>
    <row r="526">
      <c r="A526" s="7" t="str">
        <f>IFERROR(__xludf.DUMMYFUNCTION("""COMPUTED_VALUE"""),"MOZAMBIQUE")</f>
        <v>MOZAMBIQUE</v>
      </c>
      <c r="B526" s="8">
        <f>IFERROR(__xludf.DUMMYFUNCTION("""COMPUTED_VALUE"""),10.0)</f>
        <v>10</v>
      </c>
      <c r="C526" s="7" t="str">
        <f>IFERROR(__xludf.DUMMYFUNCTION("""COMPUTED_VALUE"""),"B_03_15")</f>
        <v>B_03_15</v>
      </c>
      <c r="D526" s="7" t="str">
        <f>IFERROR(__xludf.DUMMYFUNCTION("""COMPUTED_VALUE"""),"Q36b.")</f>
        <v>Q36b.</v>
      </c>
      <c r="E526" s="7" t="str">
        <f>IFERROR(__xludf.DUMMYFUNCTION("""COMPUTED_VALUE"""),"Local government councillors listen")</f>
        <v>Local government councillors listen</v>
      </c>
      <c r="F526" s="7" t="str">
        <f>IFERROR(__xludf.DUMMYFUNCTION("""COMPUTED_VALUE"""),"Members of Municipal Assembly")</f>
        <v>Members of Municipal Assembly</v>
      </c>
    </row>
    <row r="527">
      <c r="A527" s="7" t="str">
        <f>IFERROR(__xludf.DUMMYFUNCTION("""COMPUTED_VALUE"""),"NAMIBIA ")</f>
        <v>NAMIBIA </v>
      </c>
      <c r="B527" s="8">
        <f>IFERROR(__xludf.DUMMYFUNCTION("""COMPUTED_VALUE"""),10.0)</f>
        <v>10</v>
      </c>
      <c r="C527" s="7" t="str">
        <f>IFERROR(__xludf.DUMMYFUNCTION("""COMPUTED_VALUE"""),"B_03_15")</f>
        <v>B_03_15</v>
      </c>
      <c r="D527" s="7" t="str">
        <f>IFERROR(__xludf.DUMMYFUNCTION("""COMPUTED_VALUE"""),"Q36b.")</f>
        <v>Q36b.</v>
      </c>
      <c r="E527" s="7" t="str">
        <f>IFERROR(__xludf.DUMMYFUNCTION("""COMPUTED_VALUE"""),"Local government councillors listen")</f>
        <v>Local government councillors listen</v>
      </c>
      <c r="F527" s="7" t="str">
        <f>IFERROR(__xludf.DUMMYFUNCTION("""COMPUTED_VALUE"""),"Local Authority Councilors
")</f>
        <v>Local Authority Councilors
</v>
      </c>
    </row>
    <row r="528">
      <c r="A528" s="7" t="str">
        <f>IFERROR(__xludf.DUMMYFUNCTION("""COMPUTED_VALUE"""),"NIGERIA ")</f>
        <v>NIGERIA </v>
      </c>
      <c r="B528" s="8">
        <f>IFERROR(__xludf.DUMMYFUNCTION("""COMPUTED_VALUE"""),10.0)</f>
        <v>10</v>
      </c>
      <c r="C528" s="7" t="str">
        <f>IFERROR(__xludf.DUMMYFUNCTION("""COMPUTED_VALUE"""),"B_03_15")</f>
        <v>B_03_15</v>
      </c>
      <c r="D528" s="7" t="str">
        <f>IFERROR(__xludf.DUMMYFUNCTION("""COMPUTED_VALUE"""),"Q36b.")</f>
        <v>Q36b.</v>
      </c>
      <c r="E528" s="7" t="str">
        <f>IFERROR(__xludf.DUMMYFUNCTION("""COMPUTED_VALUE"""),"Local government councillors listen")</f>
        <v>Local government councillors listen</v>
      </c>
      <c r="F528" s="7" t="str">
        <f>IFERROR(__xludf.DUMMYFUNCTION("""COMPUTED_VALUE"""),"Members of local government council
")</f>
        <v>Members of local government council
</v>
      </c>
    </row>
    <row r="529">
      <c r="A529" s="7" t="str">
        <f>IFERROR(__xludf.DUMMYFUNCTION("""COMPUTED_VALUE"""),"SAO TOME AND PRINCIPE")</f>
        <v>SAO TOME AND PRINCIPE</v>
      </c>
      <c r="B529" s="8">
        <f>IFERROR(__xludf.DUMMYFUNCTION("""COMPUTED_VALUE"""),10.0)</f>
        <v>10</v>
      </c>
      <c r="C529" s="7" t="str">
        <f>IFERROR(__xludf.DUMMYFUNCTION("""COMPUTED_VALUE"""),"B_03_15")</f>
        <v>B_03_15</v>
      </c>
      <c r="D529" s="7" t="str">
        <f>IFERROR(__xludf.DUMMYFUNCTION("""COMPUTED_VALUE"""),"Q36b.")</f>
        <v>Q36b.</v>
      </c>
      <c r="E529" s="7" t="str">
        <f>IFERROR(__xludf.DUMMYFUNCTION("""COMPUTED_VALUE"""),"Local government councillors listen")</f>
        <v>Local government councillors listen</v>
      </c>
      <c r="F529" s="7" t="str">
        <f>IFERROR(__xludf.DUMMYFUNCTION("""COMPUTED_VALUE"""),"Members of local government council
")</f>
        <v>Members of local government council
</v>
      </c>
    </row>
    <row r="530">
      <c r="A530" s="7" t="str">
        <f>IFERROR(__xludf.DUMMYFUNCTION("""COMPUTED_VALUE"""),"SENEGAL")</f>
        <v>SENEGAL</v>
      </c>
      <c r="B530" s="8">
        <f>IFERROR(__xludf.DUMMYFUNCTION("""COMPUTED_VALUE"""),10.0)</f>
        <v>10</v>
      </c>
      <c r="C530" s="7" t="str">
        <f>IFERROR(__xludf.DUMMYFUNCTION("""COMPUTED_VALUE"""),"B_03_15")</f>
        <v>B_03_15</v>
      </c>
      <c r="D530" s="7" t="str">
        <f>IFERROR(__xludf.DUMMYFUNCTION("""COMPUTED_VALUE"""),"Q36b.")</f>
        <v>Q36b.</v>
      </c>
      <c r="E530" s="7" t="str">
        <f>IFERROR(__xludf.DUMMYFUNCTION("""COMPUTED_VALUE"""),"Local government councillors listen")</f>
        <v>Local government councillors listen</v>
      </c>
      <c r="F530" s="7" t="str">
        <f>IFERROR(__xludf.DUMMYFUNCTION("""COMPUTED_VALUE"""),"Municipal or departmental councilors")</f>
        <v>Municipal or departmental councilors</v>
      </c>
    </row>
    <row r="531">
      <c r="A531" s="7" t="str">
        <f>IFERROR(__xludf.DUMMYFUNCTION("""COMPUTED_VALUE"""),"SEYCHELLES")</f>
        <v>SEYCHELLES</v>
      </c>
      <c r="B531" s="8">
        <f>IFERROR(__xludf.DUMMYFUNCTION("""COMPUTED_VALUE"""),10.0)</f>
        <v>10</v>
      </c>
      <c r="C531" s="7" t="str">
        <f>IFERROR(__xludf.DUMMYFUNCTION("""COMPUTED_VALUE"""),"B_03_15")</f>
        <v>B_03_15</v>
      </c>
      <c r="D531" s="7" t="str">
        <f>IFERROR(__xludf.DUMMYFUNCTION("""COMPUTED_VALUE"""),"Q36b.")</f>
        <v>Q36b.</v>
      </c>
      <c r="E531" s="7" t="str">
        <f>IFERROR(__xludf.DUMMYFUNCTION("""COMPUTED_VALUE"""),"Local government councillors listen")</f>
        <v>Local government councillors listen</v>
      </c>
      <c r="F531" s="7" t="str">
        <f>IFERROR(__xludf.DUMMYFUNCTION("""COMPUTED_VALUE"""),"Members of the District Administration 
")</f>
        <v>Members of the District Administration 
</v>
      </c>
    </row>
    <row r="532">
      <c r="A532" s="7" t="str">
        <f>IFERROR(__xludf.DUMMYFUNCTION("""COMPUTED_VALUE"""),"SOUTH AFRICA")</f>
        <v>SOUTH AFRICA</v>
      </c>
      <c r="B532" s="8">
        <f>IFERROR(__xludf.DUMMYFUNCTION("""COMPUTED_VALUE"""),10.0)</f>
        <v>10</v>
      </c>
      <c r="C532" s="7" t="str">
        <f>IFERROR(__xludf.DUMMYFUNCTION("""COMPUTED_VALUE"""),"B_03_15")</f>
        <v>B_03_15</v>
      </c>
      <c r="D532" s="7" t="str">
        <f>IFERROR(__xludf.DUMMYFUNCTION("""COMPUTED_VALUE"""),"Q36b.")</f>
        <v>Q36b.</v>
      </c>
      <c r="E532" s="7" t="str">
        <f>IFERROR(__xludf.DUMMYFUNCTION("""COMPUTED_VALUE"""),"Local government councillors listen")</f>
        <v>Local government councillors listen</v>
      </c>
      <c r="F532" s="7" t="str">
        <f>IFERROR(__xludf.DUMMYFUNCTION("""COMPUTED_VALUE"""),"Members of local government council
")</f>
        <v>Members of local government council
</v>
      </c>
    </row>
    <row r="533">
      <c r="A533" s="7" t="str">
        <f>IFERROR(__xludf.DUMMYFUNCTION("""COMPUTED_VALUE"""),"TANZANIA")</f>
        <v>TANZANIA</v>
      </c>
      <c r="B533" s="8">
        <f>IFERROR(__xludf.DUMMYFUNCTION("""COMPUTED_VALUE"""),10.0)</f>
        <v>10</v>
      </c>
      <c r="C533" s="7" t="str">
        <f>IFERROR(__xludf.DUMMYFUNCTION("""COMPUTED_VALUE"""),"B_03_15")</f>
        <v>B_03_15</v>
      </c>
      <c r="D533" s="7" t="str">
        <f>IFERROR(__xludf.DUMMYFUNCTION("""COMPUTED_VALUE"""),"Q36b.")</f>
        <v>Q36b.</v>
      </c>
      <c r="E533" s="7" t="str">
        <f>IFERROR(__xludf.DUMMYFUNCTION("""COMPUTED_VALUE"""),"Local government councillors listen")</f>
        <v>Local government councillors listen</v>
      </c>
      <c r="F533" s="7" t="str">
        <f>IFERROR(__xludf.DUMMYFUNCTION("""COMPUTED_VALUE"""),"Members of local government council
")</f>
        <v>Members of local government council
</v>
      </c>
    </row>
    <row r="534">
      <c r="A534" s="7" t="str">
        <f>IFERROR(__xludf.DUMMYFUNCTION("""COMPUTED_VALUE"""),"TOGO ")</f>
        <v>TOGO </v>
      </c>
      <c r="B534" s="8">
        <f>IFERROR(__xludf.DUMMYFUNCTION("""COMPUTED_VALUE"""),10.0)</f>
        <v>10</v>
      </c>
      <c r="C534" s="7" t="str">
        <f>IFERROR(__xludf.DUMMYFUNCTION("""COMPUTED_VALUE"""),"B_03_15")</f>
        <v>B_03_15</v>
      </c>
      <c r="D534" s="7" t="str">
        <f>IFERROR(__xludf.DUMMYFUNCTION("""COMPUTED_VALUE"""),"Q36b.")</f>
        <v>Q36b.</v>
      </c>
      <c r="E534" s="7" t="str">
        <f>IFERROR(__xludf.DUMMYFUNCTION("""COMPUTED_VALUE"""),"Local government councillors listen")</f>
        <v>Local government councillors listen</v>
      </c>
      <c r="F534" s="7" t="str">
        <f>IFERROR(__xludf.DUMMYFUNCTION("""COMPUTED_VALUE"""),"municipal or communal councilors")</f>
        <v>municipal or communal councilors</v>
      </c>
    </row>
    <row r="535">
      <c r="A535" s="7" t="str">
        <f>IFERROR(__xludf.DUMMYFUNCTION("""COMPUTED_VALUE"""),"UGANDA  ")</f>
        <v>UGANDA  </v>
      </c>
      <c r="B535" s="8">
        <f>IFERROR(__xludf.DUMMYFUNCTION("""COMPUTED_VALUE"""),10.0)</f>
        <v>10</v>
      </c>
      <c r="C535" s="7" t="str">
        <f>IFERROR(__xludf.DUMMYFUNCTION("""COMPUTED_VALUE"""),"B_03_15")</f>
        <v>B_03_15</v>
      </c>
      <c r="D535" s="7" t="str">
        <f>IFERROR(__xludf.DUMMYFUNCTION("""COMPUTED_VALUE"""),"Q36b.")</f>
        <v>Q36b.</v>
      </c>
      <c r="E535" s="7" t="str">
        <f>IFERROR(__xludf.DUMMYFUNCTION("""COMPUTED_VALUE"""),"Local government councillors listen")</f>
        <v>Local government councillors listen</v>
      </c>
      <c r="F535" s="7" t="str">
        <f>IFERROR(__xludf.DUMMYFUNCTION("""COMPUTED_VALUE"""),"Members of the district or city council
")</f>
        <v>Members of the district or city council
</v>
      </c>
    </row>
    <row r="536">
      <c r="A536" s="7" t="str">
        <f>IFERROR(__xludf.DUMMYFUNCTION("""COMPUTED_VALUE"""),"ZAMBIA")</f>
        <v>ZAMBIA</v>
      </c>
      <c r="B536" s="8">
        <f>IFERROR(__xludf.DUMMYFUNCTION("""COMPUTED_VALUE"""),10.0)</f>
        <v>10</v>
      </c>
      <c r="C536" s="7" t="str">
        <f>IFERROR(__xludf.DUMMYFUNCTION("""COMPUTED_VALUE"""),"B_03_15")</f>
        <v>B_03_15</v>
      </c>
      <c r="D536" s="7" t="str">
        <f>IFERROR(__xludf.DUMMYFUNCTION("""COMPUTED_VALUE"""),"Q36b.")</f>
        <v>Q36b.</v>
      </c>
      <c r="E536" s="7" t="str">
        <f>IFERROR(__xludf.DUMMYFUNCTION("""COMPUTED_VALUE"""),"Local government councillors listen")</f>
        <v>Local government councillors listen</v>
      </c>
      <c r="F536" s="7" t="str">
        <f>IFERROR(__xludf.DUMMYFUNCTION("""COMPUTED_VALUE"""),"Local government councilors
")</f>
        <v>Local government councilors
</v>
      </c>
    </row>
    <row r="537">
      <c r="A537" s="7" t="str">
        <f>IFERROR(__xludf.DUMMYFUNCTION("""COMPUTED_VALUE"""),"ZIMBABWE")</f>
        <v>ZIMBABWE</v>
      </c>
      <c r="B537" s="8">
        <f>IFERROR(__xludf.DUMMYFUNCTION("""COMPUTED_VALUE"""),10.0)</f>
        <v>10</v>
      </c>
      <c r="C537" s="7" t="str">
        <f>IFERROR(__xludf.DUMMYFUNCTION("""COMPUTED_VALUE"""),"B_03_15")</f>
        <v>B_03_15</v>
      </c>
      <c r="D537" s="7" t="str">
        <f>IFERROR(__xludf.DUMMYFUNCTION("""COMPUTED_VALUE"""),"Q36b.")</f>
        <v>Q36b.</v>
      </c>
      <c r="E537" s="7" t="str">
        <f>IFERROR(__xludf.DUMMYFUNCTION("""COMPUTED_VALUE"""),"Local government councillors listen")</f>
        <v>Local government councillors listen</v>
      </c>
      <c r="F537" s="7" t="str">
        <f>IFERROR(__xludf.DUMMYFUNCTION("""COMPUTED_VALUE"""),"Members of local government council
")</f>
        <v>Members of local government council
</v>
      </c>
    </row>
    <row r="538">
      <c r="A538" s="7" t="str">
        <f>IFERROR(__xludf.DUMMYFUNCTION("""COMPUTED_VALUE"""),"ANGOLA ")</f>
        <v>ANGOLA </v>
      </c>
      <c r="B538" s="8">
        <f>IFERROR(__xludf.DUMMYFUNCTION("""COMPUTED_VALUE"""),10.0)</f>
        <v>10</v>
      </c>
      <c r="C538" s="7" t="str">
        <f>IFERROR(__xludf.DUMMYFUNCTION("""COMPUTED_VALUE"""),"H_18")</f>
        <v>H_18</v>
      </c>
      <c r="D538" s="7" t="str">
        <f>IFERROR(__xludf.DUMMYFUNCTION("""COMPUTED_VALUE"""),"Q37a. ")</f>
        <v>Q37a. </v>
      </c>
      <c r="E538" s="7" t="str">
        <f>IFERROR(__xludf.DUMMYFUNCTION("""COMPUTED_VALUE"""),"Trust president")</f>
        <v>Trust president</v>
      </c>
      <c r="F538" s="7" t="str">
        <f>IFERROR(__xludf.DUMMYFUNCTION("""COMPUTED_VALUE"""),"President")</f>
        <v>President</v>
      </c>
    </row>
    <row r="539">
      <c r="A539" s="7" t="str">
        <f>IFERROR(__xludf.DUMMYFUNCTION("""COMPUTED_VALUE"""),"BENIN")</f>
        <v>BENIN</v>
      </c>
      <c r="B539" s="8">
        <f>IFERROR(__xludf.DUMMYFUNCTION("""COMPUTED_VALUE"""),10.0)</f>
        <v>10</v>
      </c>
      <c r="C539" s="7" t="str">
        <f>IFERROR(__xludf.DUMMYFUNCTION("""COMPUTED_VALUE"""),"H_18")</f>
        <v>H_18</v>
      </c>
      <c r="D539" s="7" t="str">
        <f>IFERROR(__xludf.DUMMYFUNCTION("""COMPUTED_VALUE"""),"Q37a. ")</f>
        <v>Q37a. </v>
      </c>
      <c r="E539" s="7" t="str">
        <f>IFERROR(__xludf.DUMMYFUNCTION("""COMPUTED_VALUE"""),"Trust president")</f>
        <v>Trust president</v>
      </c>
      <c r="F539" s="7" t="str">
        <f>IFERROR(__xludf.DUMMYFUNCTION("""COMPUTED_VALUE"""),"President")</f>
        <v>President</v>
      </c>
    </row>
    <row r="540">
      <c r="A540" s="7" t="str">
        <f>IFERROR(__xludf.DUMMYFUNCTION("""COMPUTED_VALUE"""),"BOTSWANA ")</f>
        <v>BOTSWANA </v>
      </c>
      <c r="B540" s="8">
        <f>IFERROR(__xludf.DUMMYFUNCTION("""COMPUTED_VALUE"""),10.0)</f>
        <v>10</v>
      </c>
      <c r="C540" s="7" t="str">
        <f>IFERROR(__xludf.DUMMYFUNCTION("""COMPUTED_VALUE"""),"H_18")</f>
        <v>H_18</v>
      </c>
      <c r="D540" s="7" t="str">
        <f>IFERROR(__xludf.DUMMYFUNCTION("""COMPUTED_VALUE"""),"Q37a. ")</f>
        <v>Q37a. </v>
      </c>
      <c r="E540" s="7" t="str">
        <f>IFERROR(__xludf.DUMMYFUNCTION("""COMPUTED_VALUE"""),"Trust president")</f>
        <v>Trust president</v>
      </c>
      <c r="F540" s="7" t="str">
        <f>IFERROR(__xludf.DUMMYFUNCTION("""COMPUTED_VALUE"""),"President")</f>
        <v>President</v>
      </c>
    </row>
    <row r="541">
      <c r="A541" s="7" t="str">
        <f>IFERROR(__xludf.DUMMYFUNCTION("""COMPUTED_VALUE"""),"CABO VERDE ")</f>
        <v>CABO VERDE </v>
      </c>
      <c r="B541" s="8">
        <f>IFERROR(__xludf.DUMMYFUNCTION("""COMPUTED_VALUE"""),10.0)</f>
        <v>10</v>
      </c>
      <c r="C541" s="7" t="str">
        <f>IFERROR(__xludf.DUMMYFUNCTION("""COMPUTED_VALUE"""),"H_18")</f>
        <v>H_18</v>
      </c>
      <c r="D541" s="7" t="str">
        <f>IFERROR(__xludf.DUMMYFUNCTION("""COMPUTED_VALUE"""),"Q37a. ")</f>
        <v>Q37a. </v>
      </c>
      <c r="E541" s="7" t="str">
        <f>IFERROR(__xludf.DUMMYFUNCTION("""COMPUTED_VALUE"""),"Trust president")</f>
        <v>Trust president</v>
      </c>
      <c r="F541" s="7" t="str">
        <f>IFERROR(__xludf.DUMMYFUNCTION("""COMPUTED_VALUE"""),"President")</f>
        <v>President</v>
      </c>
    </row>
    <row r="542">
      <c r="A542" s="7" t="str">
        <f>IFERROR(__xludf.DUMMYFUNCTION("""COMPUTED_VALUE"""),"CAMEROON")</f>
        <v>CAMEROON</v>
      </c>
      <c r="B542" s="8">
        <f>IFERROR(__xludf.DUMMYFUNCTION("""COMPUTED_VALUE"""),10.0)</f>
        <v>10</v>
      </c>
      <c r="C542" s="7" t="str">
        <f>IFERROR(__xludf.DUMMYFUNCTION("""COMPUTED_VALUE"""),"H_18")</f>
        <v>H_18</v>
      </c>
      <c r="D542" s="7" t="str">
        <f>IFERROR(__xludf.DUMMYFUNCTION("""COMPUTED_VALUE"""),"Q37a. ")</f>
        <v>Q37a. </v>
      </c>
      <c r="E542" s="7" t="str">
        <f>IFERROR(__xludf.DUMMYFUNCTION("""COMPUTED_VALUE"""),"Trust president")</f>
        <v>Trust president</v>
      </c>
      <c r="F542" s="7" t="str">
        <f>IFERROR(__xludf.DUMMYFUNCTION("""COMPUTED_VALUE"""),"President")</f>
        <v>President</v>
      </c>
    </row>
    <row r="543">
      <c r="A543" s="7" t="str">
        <f>IFERROR(__xludf.DUMMYFUNCTION("""COMPUTED_VALUE"""),"CHAD")</f>
        <v>CHAD</v>
      </c>
      <c r="B543" s="8">
        <f>IFERROR(__xludf.DUMMYFUNCTION("""COMPUTED_VALUE"""),10.0)</f>
        <v>10</v>
      </c>
      <c r="C543" s="7" t="str">
        <f>IFERROR(__xludf.DUMMYFUNCTION("""COMPUTED_VALUE"""),"H_18")</f>
        <v>H_18</v>
      </c>
      <c r="D543" s="7" t="str">
        <f>IFERROR(__xludf.DUMMYFUNCTION("""COMPUTED_VALUE"""),"Q37a. ")</f>
        <v>Q37a. </v>
      </c>
      <c r="E543" s="7" t="str">
        <f>IFERROR(__xludf.DUMMYFUNCTION("""COMPUTED_VALUE"""),"Trust president")</f>
        <v>Trust president</v>
      </c>
      <c r="F543" s="7" t="str">
        <f>IFERROR(__xludf.DUMMYFUNCTION("""COMPUTED_VALUE"""),"President")</f>
        <v>President</v>
      </c>
    </row>
    <row r="544">
      <c r="A544" s="7" t="str">
        <f>IFERROR(__xludf.DUMMYFUNCTION("""COMPUTED_VALUE"""),"COMOROS")</f>
        <v>COMOROS</v>
      </c>
      <c r="B544" s="8">
        <f>IFERROR(__xludf.DUMMYFUNCTION("""COMPUTED_VALUE"""),10.0)</f>
        <v>10</v>
      </c>
      <c r="C544" s="7" t="str">
        <f>IFERROR(__xludf.DUMMYFUNCTION("""COMPUTED_VALUE"""),"H_18")</f>
        <v>H_18</v>
      </c>
      <c r="D544" s="7" t="str">
        <f>IFERROR(__xludf.DUMMYFUNCTION("""COMPUTED_VALUE"""),"Q37a. ")</f>
        <v>Q37a. </v>
      </c>
      <c r="E544" s="7" t="str">
        <f>IFERROR(__xludf.DUMMYFUNCTION("""COMPUTED_VALUE"""),"Trust president")</f>
        <v>Trust president</v>
      </c>
      <c r="F544" s="7" t="str">
        <f>IFERROR(__xludf.DUMMYFUNCTION("""COMPUTED_VALUE"""),"President")</f>
        <v>President</v>
      </c>
    </row>
    <row r="545">
      <c r="A545" s="7" t="str">
        <f>IFERROR(__xludf.DUMMYFUNCTION("""COMPUTED_VALUE"""),"CONGO BRAZZAVILLE")</f>
        <v>CONGO BRAZZAVILLE</v>
      </c>
      <c r="B545" s="8">
        <f>IFERROR(__xludf.DUMMYFUNCTION("""COMPUTED_VALUE"""),10.0)</f>
        <v>10</v>
      </c>
      <c r="C545" s="7" t="str">
        <f>IFERROR(__xludf.DUMMYFUNCTION("""COMPUTED_VALUE"""),"H_18")</f>
        <v>H_18</v>
      </c>
      <c r="D545" s="7" t="str">
        <f>IFERROR(__xludf.DUMMYFUNCTION("""COMPUTED_VALUE"""),"Q37a. ")</f>
        <v>Q37a. </v>
      </c>
      <c r="E545" s="7" t="str">
        <f>IFERROR(__xludf.DUMMYFUNCTION("""COMPUTED_VALUE"""),"Trust president")</f>
        <v>Trust president</v>
      </c>
      <c r="F545" s="7" t="str">
        <f>IFERROR(__xludf.DUMMYFUNCTION("""COMPUTED_VALUE"""),"President")</f>
        <v>President</v>
      </c>
    </row>
    <row r="546">
      <c r="A546" s="7" t="str">
        <f>IFERROR(__xludf.DUMMYFUNCTION("""COMPUTED_VALUE"""),"COTE D'IVOIRE")</f>
        <v>COTE D'IVOIRE</v>
      </c>
      <c r="B546" s="8">
        <f>IFERROR(__xludf.DUMMYFUNCTION("""COMPUTED_VALUE"""),10.0)</f>
        <v>10</v>
      </c>
      <c r="C546" s="7" t="str">
        <f>IFERROR(__xludf.DUMMYFUNCTION("""COMPUTED_VALUE"""),"H_18")</f>
        <v>H_18</v>
      </c>
      <c r="D546" s="7" t="str">
        <f>IFERROR(__xludf.DUMMYFUNCTION("""COMPUTED_VALUE"""),"Q37a. ")</f>
        <v>Q37a. </v>
      </c>
      <c r="E546" s="7" t="str">
        <f>IFERROR(__xludf.DUMMYFUNCTION("""COMPUTED_VALUE"""),"Trust president")</f>
        <v>Trust president</v>
      </c>
      <c r="F546" s="7" t="str">
        <f>IFERROR(__xludf.DUMMYFUNCTION("""COMPUTED_VALUE"""),"President")</f>
        <v>President</v>
      </c>
    </row>
    <row r="547">
      <c r="A547" s="7" t="str">
        <f>IFERROR(__xludf.DUMMYFUNCTION("""COMPUTED_VALUE"""),"ESWATINI")</f>
        <v>ESWATINI</v>
      </c>
      <c r="B547" s="8">
        <f>IFERROR(__xludf.DUMMYFUNCTION("""COMPUTED_VALUE"""),10.0)</f>
        <v>10</v>
      </c>
      <c r="C547" s="7" t="str">
        <f>IFERROR(__xludf.DUMMYFUNCTION("""COMPUTED_VALUE"""),"H_18")</f>
        <v>H_18</v>
      </c>
      <c r="D547" s="7" t="str">
        <f>IFERROR(__xludf.DUMMYFUNCTION("""COMPUTED_VALUE"""),"Q37a. ")</f>
        <v>Q37a. </v>
      </c>
      <c r="E547" s="7" t="str">
        <f>IFERROR(__xludf.DUMMYFUNCTION("""COMPUTED_VALUE"""),"Trust president")</f>
        <v>Trust president</v>
      </c>
      <c r="F547" s="7" t="str">
        <f>IFERROR(__xludf.DUMMYFUNCTION("""COMPUTED_VALUE"""),"Prime Minister")</f>
        <v>Prime Minister</v>
      </c>
    </row>
    <row r="548">
      <c r="A548" s="7" t="str">
        <f>IFERROR(__xludf.DUMMYFUNCTION("""COMPUTED_VALUE"""),"GABON")</f>
        <v>GABON</v>
      </c>
      <c r="B548" s="8">
        <f>IFERROR(__xludf.DUMMYFUNCTION("""COMPUTED_VALUE"""),10.0)</f>
        <v>10</v>
      </c>
      <c r="C548" s="7" t="str">
        <f>IFERROR(__xludf.DUMMYFUNCTION("""COMPUTED_VALUE"""),"H_18")</f>
        <v>H_18</v>
      </c>
      <c r="D548" s="7" t="str">
        <f>IFERROR(__xludf.DUMMYFUNCTION("""COMPUTED_VALUE"""),"Q37a. ")</f>
        <v>Q37a. </v>
      </c>
      <c r="E548" s="7" t="str">
        <f>IFERROR(__xludf.DUMMYFUNCTION("""COMPUTED_VALUE"""),"Trust president")</f>
        <v>Trust president</v>
      </c>
      <c r="F548" s="7" t="str">
        <f>IFERROR(__xludf.DUMMYFUNCTION("""COMPUTED_VALUE"""),"President")</f>
        <v>President</v>
      </c>
    </row>
    <row r="549">
      <c r="A549" s="7" t="str">
        <f>IFERROR(__xludf.DUMMYFUNCTION("""COMPUTED_VALUE"""),"GAMBIA")</f>
        <v>GAMBIA</v>
      </c>
      <c r="B549" s="8">
        <f>IFERROR(__xludf.DUMMYFUNCTION("""COMPUTED_VALUE"""),10.0)</f>
        <v>10</v>
      </c>
      <c r="C549" s="7" t="str">
        <f>IFERROR(__xludf.DUMMYFUNCTION("""COMPUTED_VALUE"""),"H_18")</f>
        <v>H_18</v>
      </c>
      <c r="D549" s="7" t="str">
        <f>IFERROR(__xludf.DUMMYFUNCTION("""COMPUTED_VALUE"""),"Q37a. ")</f>
        <v>Q37a. </v>
      </c>
      <c r="E549" s="7" t="str">
        <f>IFERROR(__xludf.DUMMYFUNCTION("""COMPUTED_VALUE"""),"Trust president")</f>
        <v>Trust president</v>
      </c>
      <c r="F549" s="7" t="str">
        <f>IFERROR(__xludf.DUMMYFUNCTION("""COMPUTED_VALUE"""),"President")</f>
        <v>President</v>
      </c>
    </row>
    <row r="550">
      <c r="A550" s="7" t="str">
        <f>IFERROR(__xludf.DUMMYFUNCTION("""COMPUTED_VALUE"""),"GHANA ")</f>
        <v>GHANA </v>
      </c>
      <c r="B550" s="8">
        <f>IFERROR(__xludf.DUMMYFUNCTION("""COMPUTED_VALUE"""),10.0)</f>
        <v>10</v>
      </c>
      <c r="C550" s="7" t="str">
        <f>IFERROR(__xludf.DUMMYFUNCTION("""COMPUTED_VALUE"""),"H_18")</f>
        <v>H_18</v>
      </c>
      <c r="D550" s="7" t="str">
        <f>IFERROR(__xludf.DUMMYFUNCTION("""COMPUTED_VALUE"""),"Q37a. ")</f>
        <v>Q37a. </v>
      </c>
      <c r="E550" s="7" t="str">
        <f>IFERROR(__xludf.DUMMYFUNCTION("""COMPUTED_VALUE"""),"Trust president")</f>
        <v>Trust president</v>
      </c>
      <c r="F550" s="7" t="str">
        <f>IFERROR(__xludf.DUMMYFUNCTION("""COMPUTED_VALUE"""),"President")</f>
        <v>President</v>
      </c>
    </row>
    <row r="551">
      <c r="A551" s="7" t="str">
        <f>IFERROR(__xludf.DUMMYFUNCTION("""COMPUTED_VALUE"""),"GUINEA")</f>
        <v>GUINEA</v>
      </c>
      <c r="B551" s="8">
        <f>IFERROR(__xludf.DUMMYFUNCTION("""COMPUTED_VALUE"""),10.0)</f>
        <v>10</v>
      </c>
      <c r="C551" s="7" t="str">
        <f>IFERROR(__xludf.DUMMYFUNCTION("""COMPUTED_VALUE"""),"H_18")</f>
        <v>H_18</v>
      </c>
      <c r="D551" s="7" t="str">
        <f>IFERROR(__xludf.DUMMYFUNCTION("""COMPUTED_VALUE"""),"Q37a. ")</f>
        <v>Q37a. </v>
      </c>
      <c r="E551" s="7" t="str">
        <f>IFERROR(__xludf.DUMMYFUNCTION("""COMPUTED_VALUE"""),"Trust president")</f>
        <v>Trust president</v>
      </c>
      <c r="F551" s="7" t="str">
        <f>IFERROR(__xludf.DUMMYFUNCTION("""COMPUTED_VALUE"""),"President")</f>
        <v>President</v>
      </c>
    </row>
    <row r="552">
      <c r="A552" s="7" t="str">
        <f>IFERROR(__xludf.DUMMYFUNCTION("""COMPUTED_VALUE"""),"KENYA  ")</f>
        <v>KENYA  </v>
      </c>
      <c r="B552" s="8">
        <f>IFERROR(__xludf.DUMMYFUNCTION("""COMPUTED_VALUE"""),10.0)</f>
        <v>10</v>
      </c>
      <c r="C552" s="7" t="str">
        <f>IFERROR(__xludf.DUMMYFUNCTION("""COMPUTED_VALUE"""),"H_18")</f>
        <v>H_18</v>
      </c>
      <c r="D552" s="7" t="str">
        <f>IFERROR(__xludf.DUMMYFUNCTION("""COMPUTED_VALUE"""),"Q37a. ")</f>
        <v>Q37a. </v>
      </c>
      <c r="E552" s="7" t="str">
        <f>IFERROR(__xludf.DUMMYFUNCTION("""COMPUTED_VALUE"""),"Trust president")</f>
        <v>Trust president</v>
      </c>
      <c r="F552" s="7" t="str">
        <f>IFERROR(__xludf.DUMMYFUNCTION("""COMPUTED_VALUE"""),"President")</f>
        <v>President</v>
      </c>
    </row>
    <row r="553">
      <c r="A553" s="7" t="str">
        <f>IFERROR(__xludf.DUMMYFUNCTION("""COMPUTED_VALUE"""),"LESOTHO ")</f>
        <v>LESOTHO </v>
      </c>
      <c r="B553" s="8">
        <f>IFERROR(__xludf.DUMMYFUNCTION("""COMPUTED_VALUE"""),10.0)</f>
        <v>10</v>
      </c>
      <c r="C553" s="7" t="str">
        <f>IFERROR(__xludf.DUMMYFUNCTION("""COMPUTED_VALUE"""),"H_18")</f>
        <v>H_18</v>
      </c>
      <c r="D553" s="7" t="str">
        <f>IFERROR(__xludf.DUMMYFUNCTION("""COMPUTED_VALUE"""),"Q37a. ")</f>
        <v>Q37a. </v>
      </c>
      <c r="E553" s="7" t="str">
        <f>IFERROR(__xludf.DUMMYFUNCTION("""COMPUTED_VALUE"""),"Trust president")</f>
        <v>Trust president</v>
      </c>
      <c r="F553" s="7" t="str">
        <f>IFERROR(__xludf.DUMMYFUNCTION("""COMPUTED_VALUE"""),"Prime Minister")</f>
        <v>Prime Minister</v>
      </c>
    </row>
    <row r="554">
      <c r="A554" s="7" t="str">
        <f>IFERROR(__xludf.DUMMYFUNCTION("""COMPUTED_VALUE"""),"LIBERIA  ")</f>
        <v>LIBERIA  </v>
      </c>
      <c r="B554" s="8">
        <f>IFERROR(__xludf.DUMMYFUNCTION("""COMPUTED_VALUE"""),10.0)</f>
        <v>10</v>
      </c>
      <c r="C554" s="7" t="str">
        <f>IFERROR(__xludf.DUMMYFUNCTION("""COMPUTED_VALUE"""),"H_18")</f>
        <v>H_18</v>
      </c>
      <c r="D554" s="7" t="str">
        <f>IFERROR(__xludf.DUMMYFUNCTION("""COMPUTED_VALUE"""),"Q37a. ")</f>
        <v>Q37a. </v>
      </c>
      <c r="E554" s="7" t="str">
        <f>IFERROR(__xludf.DUMMYFUNCTION("""COMPUTED_VALUE"""),"Trust president")</f>
        <v>Trust president</v>
      </c>
      <c r="F554" s="7" t="str">
        <f>IFERROR(__xludf.DUMMYFUNCTION("""COMPUTED_VALUE"""),"President")</f>
        <v>President</v>
      </c>
    </row>
    <row r="555">
      <c r="A555" s="7" t="str">
        <f>IFERROR(__xludf.DUMMYFUNCTION("""COMPUTED_VALUE"""),"MADAGASCAR")</f>
        <v>MADAGASCAR</v>
      </c>
      <c r="B555" s="8">
        <f>IFERROR(__xludf.DUMMYFUNCTION("""COMPUTED_VALUE"""),10.0)</f>
        <v>10</v>
      </c>
      <c r="C555" s="7" t="str">
        <f>IFERROR(__xludf.DUMMYFUNCTION("""COMPUTED_VALUE"""),"H_18")</f>
        <v>H_18</v>
      </c>
      <c r="D555" s="7" t="str">
        <f>IFERROR(__xludf.DUMMYFUNCTION("""COMPUTED_VALUE"""),"Q37a. ")</f>
        <v>Q37a. </v>
      </c>
      <c r="E555" s="7" t="str">
        <f>IFERROR(__xludf.DUMMYFUNCTION("""COMPUTED_VALUE"""),"Trust president")</f>
        <v>Trust president</v>
      </c>
      <c r="F555" s="7" t="str">
        <f>IFERROR(__xludf.DUMMYFUNCTION("""COMPUTED_VALUE"""),"President")</f>
        <v>President</v>
      </c>
    </row>
    <row r="556">
      <c r="A556" s="7" t="str">
        <f>IFERROR(__xludf.DUMMYFUNCTION("""COMPUTED_VALUE"""),"MALAWI ")</f>
        <v>MALAWI </v>
      </c>
      <c r="B556" s="8">
        <f>IFERROR(__xludf.DUMMYFUNCTION("""COMPUTED_VALUE"""),10.0)</f>
        <v>10</v>
      </c>
      <c r="C556" s="7" t="str">
        <f>IFERROR(__xludf.DUMMYFUNCTION("""COMPUTED_VALUE"""),"H_18")</f>
        <v>H_18</v>
      </c>
      <c r="D556" s="7" t="str">
        <f>IFERROR(__xludf.DUMMYFUNCTION("""COMPUTED_VALUE"""),"Q37a. ")</f>
        <v>Q37a. </v>
      </c>
      <c r="E556" s="7" t="str">
        <f>IFERROR(__xludf.DUMMYFUNCTION("""COMPUTED_VALUE"""),"Trust president")</f>
        <v>Trust president</v>
      </c>
      <c r="F556" s="7" t="str">
        <f>IFERROR(__xludf.DUMMYFUNCTION("""COMPUTED_VALUE"""),"President")</f>
        <v>President</v>
      </c>
    </row>
    <row r="557">
      <c r="A557" s="7" t="str">
        <f>IFERROR(__xludf.DUMMYFUNCTION("""COMPUTED_VALUE"""),"MALI")</f>
        <v>MALI</v>
      </c>
      <c r="B557" s="8">
        <f>IFERROR(__xludf.DUMMYFUNCTION("""COMPUTED_VALUE"""),10.0)</f>
        <v>10</v>
      </c>
      <c r="C557" s="7" t="str">
        <f>IFERROR(__xludf.DUMMYFUNCTION("""COMPUTED_VALUE"""),"H_18")</f>
        <v>H_18</v>
      </c>
      <c r="D557" s="7" t="str">
        <f>IFERROR(__xludf.DUMMYFUNCTION("""COMPUTED_VALUE"""),"Q37a. ")</f>
        <v>Q37a. </v>
      </c>
      <c r="E557" s="7" t="str">
        <f>IFERROR(__xludf.DUMMYFUNCTION("""COMPUTED_VALUE"""),"Trust president")</f>
        <v>Trust president</v>
      </c>
      <c r="F557" s="7" t="str">
        <f>IFERROR(__xludf.DUMMYFUNCTION("""COMPUTED_VALUE"""),"President")</f>
        <v>President</v>
      </c>
    </row>
    <row r="558">
      <c r="A558" s="7" t="str">
        <f>IFERROR(__xludf.DUMMYFUNCTION("""COMPUTED_VALUE"""),"MAURITANIA")</f>
        <v>MAURITANIA</v>
      </c>
      <c r="B558" s="8">
        <f>IFERROR(__xludf.DUMMYFUNCTION("""COMPUTED_VALUE"""),10.0)</f>
        <v>10</v>
      </c>
      <c r="C558" s="7" t="str">
        <f>IFERROR(__xludf.DUMMYFUNCTION("""COMPUTED_VALUE"""),"H_18")</f>
        <v>H_18</v>
      </c>
      <c r="D558" s="7" t="str">
        <f>IFERROR(__xludf.DUMMYFUNCTION("""COMPUTED_VALUE"""),"Q37a. ")</f>
        <v>Q37a. </v>
      </c>
      <c r="E558" s="7" t="str">
        <f>IFERROR(__xludf.DUMMYFUNCTION("""COMPUTED_VALUE"""),"Trust president")</f>
        <v>Trust president</v>
      </c>
      <c r="F558" s="7" t="str">
        <f>IFERROR(__xludf.DUMMYFUNCTION("""COMPUTED_VALUE"""),"President")</f>
        <v>President</v>
      </c>
    </row>
    <row r="559">
      <c r="A559" s="7" t="str">
        <f>IFERROR(__xludf.DUMMYFUNCTION("""COMPUTED_VALUE"""),"MAURITIUS")</f>
        <v>MAURITIUS</v>
      </c>
      <c r="B559" s="8">
        <f>IFERROR(__xludf.DUMMYFUNCTION("""COMPUTED_VALUE"""),10.0)</f>
        <v>10</v>
      </c>
      <c r="C559" s="7" t="str">
        <f>IFERROR(__xludf.DUMMYFUNCTION("""COMPUTED_VALUE"""),"H_18")</f>
        <v>H_18</v>
      </c>
      <c r="D559" s="7" t="str">
        <f>IFERROR(__xludf.DUMMYFUNCTION("""COMPUTED_VALUE"""),"Q37a. ")</f>
        <v>Q37a. </v>
      </c>
      <c r="E559" s="7" t="str">
        <f>IFERROR(__xludf.DUMMYFUNCTION("""COMPUTED_VALUE"""),"Trust president")</f>
        <v>Trust president</v>
      </c>
      <c r="F559" s="7" t="str">
        <f>IFERROR(__xludf.DUMMYFUNCTION("""COMPUTED_VALUE"""),"The Prime Minister")</f>
        <v>The Prime Minister</v>
      </c>
    </row>
    <row r="560">
      <c r="A560" s="7" t="str">
        <f>IFERROR(__xludf.DUMMYFUNCTION("""COMPUTED_VALUE"""),"MOROCCO ")</f>
        <v>MOROCCO </v>
      </c>
      <c r="B560" s="8">
        <f>IFERROR(__xludf.DUMMYFUNCTION("""COMPUTED_VALUE"""),10.0)</f>
        <v>10</v>
      </c>
      <c r="C560" s="7" t="str">
        <f>IFERROR(__xludf.DUMMYFUNCTION("""COMPUTED_VALUE"""),"H_18")</f>
        <v>H_18</v>
      </c>
      <c r="D560" s="7" t="str">
        <f>IFERROR(__xludf.DUMMYFUNCTION("""COMPUTED_VALUE"""),"Q37a. ")</f>
        <v>Q37a. </v>
      </c>
      <c r="E560" s="7" t="str">
        <f>IFERROR(__xludf.DUMMYFUNCTION("""COMPUTED_VALUE"""),"Trust president")</f>
        <v>Trust president</v>
      </c>
      <c r="F560" s="7" t="str">
        <f>IFERROR(__xludf.DUMMYFUNCTION("""COMPUTED_VALUE"""),"President")</f>
        <v>President</v>
      </c>
    </row>
    <row r="561">
      <c r="A561" s="7" t="str">
        <f>IFERROR(__xludf.DUMMYFUNCTION("""COMPUTED_VALUE"""),"MOZAMBIQUE")</f>
        <v>MOZAMBIQUE</v>
      </c>
      <c r="B561" s="8">
        <f>IFERROR(__xludf.DUMMYFUNCTION("""COMPUTED_VALUE"""),10.0)</f>
        <v>10</v>
      </c>
      <c r="C561" s="7" t="str">
        <f>IFERROR(__xludf.DUMMYFUNCTION("""COMPUTED_VALUE"""),"H_18")</f>
        <v>H_18</v>
      </c>
      <c r="D561" s="7" t="str">
        <f>IFERROR(__xludf.DUMMYFUNCTION("""COMPUTED_VALUE"""),"Q37a. ")</f>
        <v>Q37a. </v>
      </c>
      <c r="E561" s="7" t="str">
        <f>IFERROR(__xludf.DUMMYFUNCTION("""COMPUTED_VALUE"""),"Trust president")</f>
        <v>Trust president</v>
      </c>
      <c r="F561" s="7" t="str">
        <f>IFERROR(__xludf.DUMMYFUNCTION("""COMPUTED_VALUE"""),"President")</f>
        <v>President</v>
      </c>
    </row>
    <row r="562">
      <c r="A562" s="7" t="str">
        <f>IFERROR(__xludf.DUMMYFUNCTION("""COMPUTED_VALUE"""),"NIGERIA ")</f>
        <v>NIGERIA </v>
      </c>
      <c r="B562" s="8">
        <f>IFERROR(__xludf.DUMMYFUNCTION("""COMPUTED_VALUE"""),10.0)</f>
        <v>10</v>
      </c>
      <c r="C562" s="7" t="str">
        <f>IFERROR(__xludf.DUMMYFUNCTION("""COMPUTED_VALUE"""),"H_18")</f>
        <v>H_18</v>
      </c>
      <c r="D562" s="7" t="str">
        <f>IFERROR(__xludf.DUMMYFUNCTION("""COMPUTED_VALUE"""),"Q37a. ")</f>
        <v>Q37a. </v>
      </c>
      <c r="E562" s="7" t="str">
        <f>IFERROR(__xludf.DUMMYFUNCTION("""COMPUTED_VALUE"""),"Trust president")</f>
        <v>Trust president</v>
      </c>
      <c r="F562" s="7" t="str">
        <f>IFERROR(__xludf.DUMMYFUNCTION("""COMPUTED_VALUE"""),"President")</f>
        <v>President</v>
      </c>
    </row>
    <row r="563">
      <c r="A563" s="7" t="str">
        <f>IFERROR(__xludf.DUMMYFUNCTION("""COMPUTED_VALUE"""),"SAO TOME AND PRINCIPE")</f>
        <v>SAO TOME AND PRINCIPE</v>
      </c>
      <c r="B563" s="8">
        <f>IFERROR(__xludf.DUMMYFUNCTION("""COMPUTED_VALUE"""),10.0)</f>
        <v>10</v>
      </c>
      <c r="C563" s="7" t="str">
        <f>IFERROR(__xludf.DUMMYFUNCTION("""COMPUTED_VALUE"""),"H_18")</f>
        <v>H_18</v>
      </c>
      <c r="D563" s="7" t="str">
        <f>IFERROR(__xludf.DUMMYFUNCTION("""COMPUTED_VALUE"""),"Q37a. ")</f>
        <v>Q37a. </v>
      </c>
      <c r="E563" s="7" t="str">
        <f>IFERROR(__xludf.DUMMYFUNCTION("""COMPUTED_VALUE"""),"Trust president")</f>
        <v>Trust president</v>
      </c>
      <c r="F563" s="7" t="str">
        <f>IFERROR(__xludf.DUMMYFUNCTION("""COMPUTED_VALUE"""),"President")</f>
        <v>President</v>
      </c>
    </row>
    <row r="564">
      <c r="A564" s="7" t="str">
        <f>IFERROR(__xludf.DUMMYFUNCTION("""COMPUTED_VALUE"""),"SENEGAL")</f>
        <v>SENEGAL</v>
      </c>
      <c r="B564" s="8">
        <f>IFERROR(__xludf.DUMMYFUNCTION("""COMPUTED_VALUE"""),10.0)</f>
        <v>10</v>
      </c>
      <c r="C564" s="7" t="str">
        <f>IFERROR(__xludf.DUMMYFUNCTION("""COMPUTED_VALUE"""),"H_18")</f>
        <v>H_18</v>
      </c>
      <c r="D564" s="7" t="str">
        <f>IFERROR(__xludf.DUMMYFUNCTION("""COMPUTED_VALUE"""),"Q37a. ")</f>
        <v>Q37a. </v>
      </c>
      <c r="E564" s="7" t="str">
        <f>IFERROR(__xludf.DUMMYFUNCTION("""COMPUTED_VALUE"""),"Trust president")</f>
        <v>Trust president</v>
      </c>
      <c r="F564" s="7" t="str">
        <f>IFERROR(__xludf.DUMMYFUNCTION("""COMPUTED_VALUE"""),"President")</f>
        <v>President</v>
      </c>
    </row>
    <row r="565">
      <c r="A565" s="7" t="str">
        <f>IFERROR(__xludf.DUMMYFUNCTION("""COMPUTED_VALUE"""),"SEYCHELLES")</f>
        <v>SEYCHELLES</v>
      </c>
      <c r="B565" s="8">
        <f>IFERROR(__xludf.DUMMYFUNCTION("""COMPUTED_VALUE"""),10.0)</f>
        <v>10</v>
      </c>
      <c r="C565" s="7" t="str">
        <f>IFERROR(__xludf.DUMMYFUNCTION("""COMPUTED_VALUE"""),"H_18")</f>
        <v>H_18</v>
      </c>
      <c r="D565" s="7" t="str">
        <f>IFERROR(__xludf.DUMMYFUNCTION("""COMPUTED_VALUE"""),"Q37a. ")</f>
        <v>Q37a. </v>
      </c>
      <c r="E565" s="7" t="str">
        <f>IFERROR(__xludf.DUMMYFUNCTION("""COMPUTED_VALUE"""),"Trust president")</f>
        <v>Trust president</v>
      </c>
      <c r="F565" s="7" t="str">
        <f>IFERROR(__xludf.DUMMYFUNCTION("""COMPUTED_VALUE"""),"President")</f>
        <v>President</v>
      </c>
    </row>
    <row r="566">
      <c r="A566" s="7" t="str">
        <f>IFERROR(__xludf.DUMMYFUNCTION("""COMPUTED_VALUE"""),"SOUTH AFRICA")</f>
        <v>SOUTH AFRICA</v>
      </c>
      <c r="B566" s="8">
        <f>IFERROR(__xludf.DUMMYFUNCTION("""COMPUTED_VALUE"""),10.0)</f>
        <v>10</v>
      </c>
      <c r="C566" s="7" t="str">
        <f>IFERROR(__xludf.DUMMYFUNCTION("""COMPUTED_VALUE"""),"H_18")</f>
        <v>H_18</v>
      </c>
      <c r="D566" s="7" t="str">
        <f>IFERROR(__xludf.DUMMYFUNCTION("""COMPUTED_VALUE"""),"Q37a. ")</f>
        <v>Q37a. </v>
      </c>
      <c r="E566" s="7" t="str">
        <f>IFERROR(__xludf.DUMMYFUNCTION("""COMPUTED_VALUE"""),"Trust president")</f>
        <v>Trust president</v>
      </c>
      <c r="F566" s="7" t="str">
        <f>IFERROR(__xludf.DUMMYFUNCTION("""COMPUTED_VALUE"""),"President")</f>
        <v>President</v>
      </c>
    </row>
    <row r="567">
      <c r="A567" s="7" t="str">
        <f>IFERROR(__xludf.DUMMYFUNCTION("""COMPUTED_VALUE"""),"TANZANIA")</f>
        <v>TANZANIA</v>
      </c>
      <c r="B567" s="8">
        <f>IFERROR(__xludf.DUMMYFUNCTION("""COMPUTED_VALUE"""),10.0)</f>
        <v>10</v>
      </c>
      <c r="C567" s="7" t="str">
        <f>IFERROR(__xludf.DUMMYFUNCTION("""COMPUTED_VALUE"""),"H_18")</f>
        <v>H_18</v>
      </c>
      <c r="D567" s="7" t="str">
        <f>IFERROR(__xludf.DUMMYFUNCTION("""COMPUTED_VALUE"""),"Q37a. ")</f>
        <v>Q37a. </v>
      </c>
      <c r="E567" s="7" t="str">
        <f>IFERROR(__xludf.DUMMYFUNCTION("""COMPUTED_VALUE"""),"Trust president")</f>
        <v>Trust president</v>
      </c>
      <c r="F567" s="7" t="str">
        <f>IFERROR(__xludf.DUMMYFUNCTION("""COMPUTED_VALUE"""),"President")</f>
        <v>President</v>
      </c>
    </row>
    <row r="568">
      <c r="A568" s="7" t="str">
        <f>IFERROR(__xludf.DUMMYFUNCTION("""COMPUTED_VALUE"""),"TOGO ")</f>
        <v>TOGO </v>
      </c>
      <c r="B568" s="8">
        <f>IFERROR(__xludf.DUMMYFUNCTION("""COMPUTED_VALUE"""),10.0)</f>
        <v>10</v>
      </c>
      <c r="C568" s="7" t="str">
        <f>IFERROR(__xludf.DUMMYFUNCTION("""COMPUTED_VALUE"""),"H_18")</f>
        <v>H_18</v>
      </c>
      <c r="D568" s="7" t="str">
        <f>IFERROR(__xludf.DUMMYFUNCTION("""COMPUTED_VALUE"""),"Q37a. ")</f>
        <v>Q37a. </v>
      </c>
      <c r="E568" s="7" t="str">
        <f>IFERROR(__xludf.DUMMYFUNCTION("""COMPUTED_VALUE"""),"Trust president")</f>
        <v>Trust president</v>
      </c>
      <c r="F568" s="7" t="str">
        <f>IFERROR(__xludf.DUMMYFUNCTION("""COMPUTED_VALUE"""),"President")</f>
        <v>President</v>
      </c>
    </row>
    <row r="569">
      <c r="A569" s="7" t="str">
        <f>IFERROR(__xludf.DUMMYFUNCTION("""COMPUTED_VALUE"""),"TUNISIA ")</f>
        <v>TUNISIA </v>
      </c>
      <c r="B569" s="8">
        <f>IFERROR(__xludf.DUMMYFUNCTION("""COMPUTED_VALUE"""),10.0)</f>
        <v>10</v>
      </c>
      <c r="C569" s="7" t="str">
        <f>IFERROR(__xludf.DUMMYFUNCTION("""COMPUTED_VALUE"""),"H_18")</f>
        <v>H_18</v>
      </c>
      <c r="D569" s="7" t="str">
        <f>IFERROR(__xludf.DUMMYFUNCTION("""COMPUTED_VALUE"""),"Q37a. ")</f>
        <v>Q37a. </v>
      </c>
      <c r="E569" s="7" t="str">
        <f>IFERROR(__xludf.DUMMYFUNCTION("""COMPUTED_VALUE"""),"Trust president")</f>
        <v>Trust president</v>
      </c>
      <c r="F569" s="7" t="str">
        <f>IFERROR(__xludf.DUMMYFUNCTION("""COMPUTED_VALUE"""),"President")</f>
        <v>President</v>
      </c>
    </row>
    <row r="570">
      <c r="A570" s="7" t="str">
        <f>IFERROR(__xludf.DUMMYFUNCTION("""COMPUTED_VALUE"""),"UGANDA  ")</f>
        <v>UGANDA  </v>
      </c>
      <c r="B570" s="8">
        <f>IFERROR(__xludf.DUMMYFUNCTION("""COMPUTED_VALUE"""),10.0)</f>
        <v>10</v>
      </c>
      <c r="C570" s="7" t="str">
        <f>IFERROR(__xludf.DUMMYFUNCTION("""COMPUTED_VALUE"""),"H_18")</f>
        <v>H_18</v>
      </c>
      <c r="D570" s="7" t="str">
        <f>IFERROR(__xludf.DUMMYFUNCTION("""COMPUTED_VALUE"""),"Q37a. ")</f>
        <v>Q37a. </v>
      </c>
      <c r="E570" s="7" t="str">
        <f>IFERROR(__xludf.DUMMYFUNCTION("""COMPUTED_VALUE"""),"Trust president")</f>
        <v>Trust president</v>
      </c>
      <c r="F570" s="7" t="str">
        <f>IFERROR(__xludf.DUMMYFUNCTION("""COMPUTED_VALUE"""),"President")</f>
        <v>President</v>
      </c>
    </row>
    <row r="571">
      <c r="A571" s="7" t="str">
        <f>IFERROR(__xludf.DUMMYFUNCTION("""COMPUTED_VALUE"""),"ZAMBIA")</f>
        <v>ZAMBIA</v>
      </c>
      <c r="B571" s="8">
        <f>IFERROR(__xludf.DUMMYFUNCTION("""COMPUTED_VALUE"""),10.0)</f>
        <v>10</v>
      </c>
      <c r="C571" s="7" t="str">
        <f>IFERROR(__xludf.DUMMYFUNCTION("""COMPUTED_VALUE"""),"H_18")</f>
        <v>H_18</v>
      </c>
      <c r="D571" s="7" t="str">
        <f>IFERROR(__xludf.DUMMYFUNCTION("""COMPUTED_VALUE"""),"Q37a. ")</f>
        <v>Q37a. </v>
      </c>
      <c r="E571" s="7" t="str">
        <f>IFERROR(__xludf.DUMMYFUNCTION("""COMPUTED_VALUE"""),"Trust president")</f>
        <v>Trust president</v>
      </c>
      <c r="F571" s="7" t="str">
        <f>IFERROR(__xludf.DUMMYFUNCTION("""COMPUTED_VALUE"""),"President")</f>
        <v>President</v>
      </c>
    </row>
    <row r="572">
      <c r="A572" s="7" t="str">
        <f>IFERROR(__xludf.DUMMYFUNCTION("""COMPUTED_VALUE"""),"ZIMBABWE")</f>
        <v>ZIMBABWE</v>
      </c>
      <c r="B572" s="8">
        <f>IFERROR(__xludf.DUMMYFUNCTION("""COMPUTED_VALUE"""),10.0)</f>
        <v>10</v>
      </c>
      <c r="C572" s="7" t="str">
        <f>IFERROR(__xludf.DUMMYFUNCTION("""COMPUTED_VALUE"""),"H_18")</f>
        <v>H_18</v>
      </c>
      <c r="D572" s="7" t="str">
        <f>IFERROR(__xludf.DUMMYFUNCTION("""COMPUTED_VALUE"""),"Q37a. ")</f>
        <v>Q37a. </v>
      </c>
      <c r="E572" s="7" t="str">
        <f>IFERROR(__xludf.DUMMYFUNCTION("""COMPUTED_VALUE"""),"Trust president")</f>
        <v>Trust president</v>
      </c>
      <c r="F572" s="7" t="str">
        <f>IFERROR(__xludf.DUMMYFUNCTION("""COMPUTED_VALUE"""),"President")</f>
        <v>President</v>
      </c>
    </row>
    <row r="573">
      <c r="A573" s="7" t="str">
        <f>IFERROR(__xludf.DUMMYFUNCTION("""COMPUTED_VALUE"""),"ANGOLA ")</f>
        <v>ANGOLA </v>
      </c>
      <c r="B573" s="8">
        <f>IFERROR(__xludf.DUMMYFUNCTION("""COMPUTED_VALUE"""),10.0)</f>
        <v>10</v>
      </c>
      <c r="C573" s="7" t="str">
        <f>IFERROR(__xludf.DUMMYFUNCTION("""COMPUTED_VALUE"""),"H_14")</f>
        <v>H_14</v>
      </c>
      <c r="D573" s="7" t="str">
        <f>IFERROR(__xludf.DUMMYFUNCTION("""COMPUTED_VALUE"""),"Q37b. ")</f>
        <v>Q37b. </v>
      </c>
      <c r="E573" s="7" t="str">
        <f>IFERROR(__xludf.DUMMYFUNCTION("""COMPUTED_VALUE"""),"Trust parliament/national assembly")</f>
        <v>Trust parliament/national assembly</v>
      </c>
      <c r="F573" s="7" t="str">
        <f>IFERROR(__xludf.DUMMYFUNCTION("""COMPUTED_VALUE"""),"The National Assembly")</f>
        <v>The National Assembly</v>
      </c>
    </row>
    <row r="574">
      <c r="A574" s="7" t="str">
        <f>IFERROR(__xludf.DUMMYFUNCTION("""COMPUTED_VALUE"""),"BENIN")</f>
        <v>BENIN</v>
      </c>
      <c r="B574" s="8">
        <f>IFERROR(__xludf.DUMMYFUNCTION("""COMPUTED_VALUE"""),10.0)</f>
        <v>10</v>
      </c>
      <c r="C574" s="7" t="str">
        <f>IFERROR(__xludf.DUMMYFUNCTION("""COMPUTED_VALUE"""),"H_14")</f>
        <v>H_14</v>
      </c>
      <c r="D574" s="7" t="str">
        <f>IFERROR(__xludf.DUMMYFUNCTION("""COMPUTED_VALUE"""),"Q37b. ")</f>
        <v>Q37b. </v>
      </c>
      <c r="E574" s="7" t="str">
        <f>IFERROR(__xludf.DUMMYFUNCTION("""COMPUTED_VALUE"""),"Trust parliament/national assembly")</f>
        <v>Trust parliament/national assembly</v>
      </c>
      <c r="F574" s="7" t="str">
        <f>IFERROR(__xludf.DUMMYFUNCTION("""COMPUTED_VALUE"""),"The National Assembly")</f>
        <v>The National Assembly</v>
      </c>
    </row>
    <row r="575">
      <c r="A575" s="7" t="str">
        <f>IFERROR(__xludf.DUMMYFUNCTION("""COMPUTED_VALUE"""),"BOTSWANA ")</f>
        <v>BOTSWANA </v>
      </c>
      <c r="B575" s="8">
        <f>IFERROR(__xludf.DUMMYFUNCTION("""COMPUTED_VALUE"""),10.0)</f>
        <v>10</v>
      </c>
      <c r="C575" s="7" t="str">
        <f>IFERROR(__xludf.DUMMYFUNCTION("""COMPUTED_VALUE"""),"H_14")</f>
        <v>H_14</v>
      </c>
      <c r="D575" s="7" t="str">
        <f>IFERROR(__xludf.DUMMYFUNCTION("""COMPUTED_VALUE"""),"Q37b. ")</f>
        <v>Q37b. </v>
      </c>
      <c r="E575" s="7" t="str">
        <f>IFERROR(__xludf.DUMMYFUNCTION("""COMPUTED_VALUE"""),"Trust parliament/national assembly")</f>
        <v>Trust parliament/national assembly</v>
      </c>
      <c r="F575" s="7" t="str">
        <f>IFERROR(__xludf.DUMMYFUNCTION("""COMPUTED_VALUE"""),"Parliament")</f>
        <v>Parliament</v>
      </c>
    </row>
    <row r="576">
      <c r="A576" s="7" t="str">
        <f>IFERROR(__xludf.DUMMYFUNCTION("""COMPUTED_VALUE"""),"CABO VERDE ")</f>
        <v>CABO VERDE </v>
      </c>
      <c r="B576" s="8">
        <f>IFERROR(__xludf.DUMMYFUNCTION("""COMPUTED_VALUE"""),10.0)</f>
        <v>10</v>
      </c>
      <c r="C576" s="7" t="str">
        <f>IFERROR(__xludf.DUMMYFUNCTION("""COMPUTED_VALUE"""),"H_14")</f>
        <v>H_14</v>
      </c>
      <c r="D576" s="7" t="str">
        <f>IFERROR(__xludf.DUMMYFUNCTION("""COMPUTED_VALUE"""),"Q37b. ")</f>
        <v>Q37b. </v>
      </c>
      <c r="E576" s="7" t="str">
        <f>IFERROR(__xludf.DUMMYFUNCTION("""COMPUTED_VALUE"""),"Trust parliament/national assembly")</f>
        <v>Trust parliament/national assembly</v>
      </c>
      <c r="F576" s="7" t="str">
        <f>IFERROR(__xludf.DUMMYFUNCTION("""COMPUTED_VALUE"""),"The National Assembly")</f>
        <v>The National Assembly</v>
      </c>
    </row>
    <row r="577">
      <c r="A577" s="7" t="str">
        <f>IFERROR(__xludf.DUMMYFUNCTION("""COMPUTED_VALUE"""),"CAMEROON")</f>
        <v>CAMEROON</v>
      </c>
      <c r="B577" s="8">
        <f>IFERROR(__xludf.DUMMYFUNCTION("""COMPUTED_VALUE"""),10.0)</f>
        <v>10</v>
      </c>
      <c r="C577" s="7" t="str">
        <f>IFERROR(__xludf.DUMMYFUNCTION("""COMPUTED_VALUE"""),"H_14")</f>
        <v>H_14</v>
      </c>
      <c r="D577" s="7" t="str">
        <f>IFERROR(__xludf.DUMMYFUNCTION("""COMPUTED_VALUE"""),"Q37b. ")</f>
        <v>Q37b. </v>
      </c>
      <c r="E577" s="7" t="str">
        <f>IFERROR(__xludf.DUMMYFUNCTION("""COMPUTED_VALUE"""),"Trust parliament/national assembly")</f>
        <v>Trust parliament/national assembly</v>
      </c>
      <c r="F577" s="7" t="str">
        <f>IFERROR(__xludf.DUMMYFUNCTION("""COMPUTED_VALUE"""),"The National Assembly")</f>
        <v>The National Assembly</v>
      </c>
    </row>
    <row r="578">
      <c r="A578" s="7" t="str">
        <f>IFERROR(__xludf.DUMMYFUNCTION("""COMPUTED_VALUE"""),"CHAD")</f>
        <v>CHAD</v>
      </c>
      <c r="B578" s="8">
        <f>IFERROR(__xludf.DUMMYFUNCTION("""COMPUTED_VALUE"""),10.0)</f>
        <v>10</v>
      </c>
      <c r="C578" s="7" t="str">
        <f>IFERROR(__xludf.DUMMYFUNCTION("""COMPUTED_VALUE"""),"H_14")</f>
        <v>H_14</v>
      </c>
      <c r="D578" s="7" t="str">
        <f>IFERROR(__xludf.DUMMYFUNCTION("""COMPUTED_VALUE"""),"Q37b. ")</f>
        <v>Q37b. </v>
      </c>
      <c r="E578" s="7" t="str">
        <f>IFERROR(__xludf.DUMMYFUNCTION("""COMPUTED_VALUE"""),"Trust parliament/national assembly")</f>
        <v>Trust parliament/national assembly</v>
      </c>
      <c r="F578" s="7" t="str">
        <f>IFERROR(__xludf.DUMMYFUNCTION("""COMPUTED_VALUE"""),"The National Assembly")</f>
        <v>The National Assembly</v>
      </c>
    </row>
    <row r="579">
      <c r="A579" s="7" t="str">
        <f>IFERROR(__xludf.DUMMYFUNCTION("""COMPUTED_VALUE"""),"COMOROS")</f>
        <v>COMOROS</v>
      </c>
      <c r="B579" s="8">
        <f>IFERROR(__xludf.DUMMYFUNCTION("""COMPUTED_VALUE"""),10.0)</f>
        <v>10</v>
      </c>
      <c r="C579" s="7" t="str">
        <f>IFERROR(__xludf.DUMMYFUNCTION("""COMPUTED_VALUE"""),"H_14")</f>
        <v>H_14</v>
      </c>
      <c r="D579" s="7" t="str">
        <f>IFERROR(__xludf.DUMMYFUNCTION("""COMPUTED_VALUE"""),"Q37b. ")</f>
        <v>Q37b. </v>
      </c>
      <c r="E579" s="7" t="str">
        <f>IFERROR(__xludf.DUMMYFUNCTION("""COMPUTED_VALUE"""),"Trust parliament/national assembly")</f>
        <v>Trust parliament/national assembly</v>
      </c>
      <c r="F579" s="7" t="str">
        <f>IFERROR(__xludf.DUMMYFUNCTION("""COMPUTED_VALUE"""),"The National Assembly")</f>
        <v>The National Assembly</v>
      </c>
    </row>
    <row r="580">
      <c r="A580" s="7" t="str">
        <f>IFERROR(__xludf.DUMMYFUNCTION("""COMPUTED_VALUE"""),"CONGO BRAZZAVILLE")</f>
        <v>CONGO BRAZZAVILLE</v>
      </c>
      <c r="B580" s="8">
        <f>IFERROR(__xludf.DUMMYFUNCTION("""COMPUTED_VALUE"""),10.0)</f>
        <v>10</v>
      </c>
      <c r="C580" s="7" t="str">
        <f>IFERROR(__xludf.DUMMYFUNCTION("""COMPUTED_VALUE"""),"H_14")</f>
        <v>H_14</v>
      </c>
      <c r="D580" s="7" t="str">
        <f>IFERROR(__xludf.DUMMYFUNCTION("""COMPUTED_VALUE"""),"Q37b. ")</f>
        <v>Q37b. </v>
      </c>
      <c r="E580" s="7" t="str">
        <f>IFERROR(__xludf.DUMMYFUNCTION("""COMPUTED_VALUE"""),"Trust parliament/national assembly")</f>
        <v>Trust parliament/national assembly</v>
      </c>
      <c r="F580" s="7" t="str">
        <f>IFERROR(__xludf.DUMMYFUNCTION("""COMPUTED_VALUE"""),"The National Assembly")</f>
        <v>The National Assembly</v>
      </c>
    </row>
    <row r="581">
      <c r="A581" s="7" t="str">
        <f>IFERROR(__xludf.DUMMYFUNCTION("""COMPUTED_VALUE"""),"COTE D'IVOIRE")</f>
        <v>COTE D'IVOIRE</v>
      </c>
      <c r="B581" s="8">
        <f>IFERROR(__xludf.DUMMYFUNCTION("""COMPUTED_VALUE"""),10.0)</f>
        <v>10</v>
      </c>
      <c r="C581" s="7" t="str">
        <f>IFERROR(__xludf.DUMMYFUNCTION("""COMPUTED_VALUE"""),"H_14")</f>
        <v>H_14</v>
      </c>
      <c r="D581" s="7" t="str">
        <f>IFERROR(__xludf.DUMMYFUNCTION("""COMPUTED_VALUE"""),"Q37b. ")</f>
        <v>Q37b. </v>
      </c>
      <c r="E581" s="7" t="str">
        <f>IFERROR(__xludf.DUMMYFUNCTION("""COMPUTED_VALUE"""),"Trust parliament/national assembly")</f>
        <v>Trust parliament/national assembly</v>
      </c>
      <c r="F581" s="7" t="str">
        <f>IFERROR(__xludf.DUMMYFUNCTION("""COMPUTED_VALUE"""),"The National Assembly")</f>
        <v>The National Assembly</v>
      </c>
    </row>
    <row r="582">
      <c r="A582" s="7" t="str">
        <f>IFERROR(__xludf.DUMMYFUNCTION("""COMPUTED_VALUE"""),"ESWATINI")</f>
        <v>ESWATINI</v>
      </c>
      <c r="B582" s="8">
        <f>IFERROR(__xludf.DUMMYFUNCTION("""COMPUTED_VALUE"""),10.0)</f>
        <v>10</v>
      </c>
      <c r="C582" s="7" t="str">
        <f>IFERROR(__xludf.DUMMYFUNCTION("""COMPUTED_VALUE"""),"H_14")</f>
        <v>H_14</v>
      </c>
      <c r="D582" s="7" t="str">
        <f>IFERROR(__xludf.DUMMYFUNCTION("""COMPUTED_VALUE"""),"Q37b. ")</f>
        <v>Q37b. </v>
      </c>
      <c r="E582" s="7" t="str">
        <f>IFERROR(__xludf.DUMMYFUNCTION("""COMPUTED_VALUE"""),"Trust parliament/national assembly")</f>
        <v>Trust parliament/national assembly</v>
      </c>
      <c r="F582" s="7" t="str">
        <f>IFERROR(__xludf.DUMMYFUNCTION("""COMPUTED_VALUE"""),"Parliament")</f>
        <v>Parliament</v>
      </c>
    </row>
    <row r="583">
      <c r="A583" s="7" t="str">
        <f>IFERROR(__xludf.DUMMYFUNCTION("""COMPUTED_VALUE"""),"GABON")</f>
        <v>GABON</v>
      </c>
      <c r="B583" s="8">
        <f>IFERROR(__xludf.DUMMYFUNCTION("""COMPUTED_VALUE"""),10.0)</f>
        <v>10</v>
      </c>
      <c r="C583" s="7" t="str">
        <f>IFERROR(__xludf.DUMMYFUNCTION("""COMPUTED_VALUE"""),"H_14")</f>
        <v>H_14</v>
      </c>
      <c r="D583" s="7" t="str">
        <f>IFERROR(__xludf.DUMMYFUNCTION("""COMPUTED_VALUE"""),"Q37b. ")</f>
        <v>Q37b. </v>
      </c>
      <c r="E583" s="7" t="str">
        <f>IFERROR(__xludf.DUMMYFUNCTION("""COMPUTED_VALUE"""),"Trust parliament/national assembly")</f>
        <v>Trust parliament/national assembly</v>
      </c>
      <c r="F583" s="7" t="str">
        <f>IFERROR(__xludf.DUMMYFUNCTION("""COMPUTED_VALUE"""),"The National Assembly")</f>
        <v>The National Assembly</v>
      </c>
    </row>
    <row r="584">
      <c r="A584" s="7" t="str">
        <f>IFERROR(__xludf.DUMMYFUNCTION("""COMPUTED_VALUE"""),"GAMBIA")</f>
        <v>GAMBIA</v>
      </c>
      <c r="B584" s="8">
        <f>IFERROR(__xludf.DUMMYFUNCTION("""COMPUTED_VALUE"""),10.0)</f>
        <v>10</v>
      </c>
      <c r="C584" s="7" t="str">
        <f>IFERROR(__xludf.DUMMYFUNCTION("""COMPUTED_VALUE"""),"H_14")</f>
        <v>H_14</v>
      </c>
      <c r="D584" s="7" t="str">
        <f>IFERROR(__xludf.DUMMYFUNCTION("""COMPUTED_VALUE"""),"Q37b. ")</f>
        <v>Q37b. </v>
      </c>
      <c r="E584" s="7" t="str">
        <f>IFERROR(__xludf.DUMMYFUNCTION("""COMPUTED_VALUE"""),"Trust parliament/national assembly")</f>
        <v>Trust parliament/national assembly</v>
      </c>
      <c r="F584" s="7" t="str">
        <f>IFERROR(__xludf.DUMMYFUNCTION("""COMPUTED_VALUE"""),"The National Assembly")</f>
        <v>The National Assembly</v>
      </c>
    </row>
    <row r="585">
      <c r="A585" s="7" t="str">
        <f>IFERROR(__xludf.DUMMYFUNCTION("""COMPUTED_VALUE"""),"GHANA ")</f>
        <v>GHANA </v>
      </c>
      <c r="B585" s="8">
        <f>IFERROR(__xludf.DUMMYFUNCTION("""COMPUTED_VALUE"""),10.0)</f>
        <v>10</v>
      </c>
      <c r="C585" s="7" t="str">
        <f>IFERROR(__xludf.DUMMYFUNCTION("""COMPUTED_VALUE"""),"H_14")</f>
        <v>H_14</v>
      </c>
      <c r="D585" s="7" t="str">
        <f>IFERROR(__xludf.DUMMYFUNCTION("""COMPUTED_VALUE"""),"Q37b. ")</f>
        <v>Q37b. </v>
      </c>
      <c r="E585" s="7" t="str">
        <f>IFERROR(__xludf.DUMMYFUNCTION("""COMPUTED_VALUE"""),"Trust parliament/national assembly")</f>
        <v>Trust parliament/national assembly</v>
      </c>
      <c r="F585" s="7" t="str">
        <f>IFERROR(__xludf.DUMMYFUNCTION("""COMPUTED_VALUE"""),"Parliament")</f>
        <v>Parliament</v>
      </c>
    </row>
    <row r="586">
      <c r="A586" s="7" t="str">
        <f>IFERROR(__xludf.DUMMYFUNCTION("""COMPUTED_VALUE"""),"GUINEA")</f>
        <v>GUINEA</v>
      </c>
      <c r="B586" s="8">
        <f>IFERROR(__xludf.DUMMYFUNCTION("""COMPUTED_VALUE"""),10.0)</f>
        <v>10</v>
      </c>
      <c r="C586" s="7" t="str">
        <f>IFERROR(__xludf.DUMMYFUNCTION("""COMPUTED_VALUE"""),"H_14")</f>
        <v>H_14</v>
      </c>
      <c r="D586" s="7" t="str">
        <f>IFERROR(__xludf.DUMMYFUNCTION("""COMPUTED_VALUE"""),"Q37b. ")</f>
        <v>Q37b. </v>
      </c>
      <c r="E586" s="7" t="str">
        <f>IFERROR(__xludf.DUMMYFUNCTION("""COMPUTED_VALUE"""),"Trust parliament/national assembly")</f>
        <v>Trust parliament/national assembly</v>
      </c>
      <c r="F586" s="7" t="str">
        <f>IFERROR(__xludf.DUMMYFUNCTION("""COMPUTED_VALUE"""),"National Transition Council")</f>
        <v>National Transition Council</v>
      </c>
    </row>
    <row r="587">
      <c r="A587" s="7" t="str">
        <f>IFERROR(__xludf.DUMMYFUNCTION("""COMPUTED_VALUE"""),"KENYA  ")</f>
        <v>KENYA  </v>
      </c>
      <c r="B587" s="8">
        <f>IFERROR(__xludf.DUMMYFUNCTION("""COMPUTED_VALUE"""),10.0)</f>
        <v>10</v>
      </c>
      <c r="C587" s="7" t="str">
        <f>IFERROR(__xludf.DUMMYFUNCTION("""COMPUTED_VALUE"""),"H_14")</f>
        <v>H_14</v>
      </c>
      <c r="D587" s="7" t="str">
        <f>IFERROR(__xludf.DUMMYFUNCTION("""COMPUTED_VALUE"""),"Q37b. ")</f>
        <v>Q37b. </v>
      </c>
      <c r="E587" s="7" t="str">
        <f>IFERROR(__xludf.DUMMYFUNCTION("""COMPUTED_VALUE"""),"Trust parliament/national assembly")</f>
        <v>Trust parliament/national assembly</v>
      </c>
      <c r="F587" s="7" t="str">
        <f>IFERROR(__xludf.DUMMYFUNCTION("""COMPUTED_VALUE"""),"Parliament")</f>
        <v>Parliament</v>
      </c>
    </row>
    <row r="588">
      <c r="A588" s="7" t="str">
        <f>IFERROR(__xludf.DUMMYFUNCTION("""COMPUTED_VALUE"""),"LESOTHO ")</f>
        <v>LESOTHO </v>
      </c>
      <c r="B588" s="8">
        <f>IFERROR(__xludf.DUMMYFUNCTION("""COMPUTED_VALUE"""),10.0)</f>
        <v>10</v>
      </c>
      <c r="C588" s="7" t="str">
        <f>IFERROR(__xludf.DUMMYFUNCTION("""COMPUTED_VALUE"""),"H_14")</f>
        <v>H_14</v>
      </c>
      <c r="D588" s="7" t="str">
        <f>IFERROR(__xludf.DUMMYFUNCTION("""COMPUTED_VALUE"""),"Q37b. ")</f>
        <v>Q37b. </v>
      </c>
      <c r="E588" s="7" t="str">
        <f>IFERROR(__xludf.DUMMYFUNCTION("""COMPUTED_VALUE"""),"Trust parliament/national assembly")</f>
        <v>Trust parliament/national assembly</v>
      </c>
      <c r="F588" s="7" t="str">
        <f>IFERROR(__xludf.DUMMYFUNCTION("""COMPUTED_VALUE"""),"Parliament")</f>
        <v>Parliament</v>
      </c>
    </row>
    <row r="589">
      <c r="A589" s="7" t="str">
        <f>IFERROR(__xludf.DUMMYFUNCTION("""COMPUTED_VALUE"""),"LIBERIA  ")</f>
        <v>LIBERIA  </v>
      </c>
      <c r="B589" s="8">
        <f>IFERROR(__xludf.DUMMYFUNCTION("""COMPUTED_VALUE"""),10.0)</f>
        <v>10</v>
      </c>
      <c r="C589" s="7" t="str">
        <f>IFERROR(__xludf.DUMMYFUNCTION("""COMPUTED_VALUE"""),"H_14")</f>
        <v>H_14</v>
      </c>
      <c r="D589" s="7" t="str">
        <f>IFERROR(__xludf.DUMMYFUNCTION("""COMPUTED_VALUE"""),"Q37b. ")</f>
        <v>Q37b. </v>
      </c>
      <c r="E589" s="7" t="str">
        <f>IFERROR(__xludf.DUMMYFUNCTION("""COMPUTED_VALUE"""),"Trust parliament/national assembly")</f>
        <v>Trust parliament/national assembly</v>
      </c>
      <c r="F589" s="7" t="str">
        <f>IFERROR(__xludf.DUMMYFUNCTION("""COMPUTED_VALUE"""),"The House of Representatives")</f>
        <v>The House of Representatives</v>
      </c>
    </row>
    <row r="590">
      <c r="A590" s="7" t="str">
        <f>IFERROR(__xludf.DUMMYFUNCTION("""COMPUTED_VALUE"""),"MADAGASCAR")</f>
        <v>MADAGASCAR</v>
      </c>
      <c r="B590" s="8">
        <f>IFERROR(__xludf.DUMMYFUNCTION("""COMPUTED_VALUE"""),10.0)</f>
        <v>10</v>
      </c>
      <c r="C590" s="7" t="str">
        <f>IFERROR(__xludf.DUMMYFUNCTION("""COMPUTED_VALUE"""),"H_14")</f>
        <v>H_14</v>
      </c>
      <c r="D590" s="7" t="str">
        <f>IFERROR(__xludf.DUMMYFUNCTION("""COMPUTED_VALUE"""),"Q37b. ")</f>
        <v>Q37b. </v>
      </c>
      <c r="E590" s="7" t="str">
        <f>IFERROR(__xludf.DUMMYFUNCTION("""COMPUTED_VALUE"""),"Trust parliament/national assembly")</f>
        <v>Trust parliament/national assembly</v>
      </c>
      <c r="F590" s="7" t="str">
        <f>IFERROR(__xludf.DUMMYFUNCTION("""COMPUTED_VALUE"""),"The National Assembly")</f>
        <v>The National Assembly</v>
      </c>
    </row>
    <row r="591">
      <c r="A591" s="7" t="str">
        <f>IFERROR(__xludf.DUMMYFUNCTION("""COMPUTED_VALUE"""),"MALAWI ")</f>
        <v>MALAWI </v>
      </c>
      <c r="B591" s="8">
        <f>IFERROR(__xludf.DUMMYFUNCTION("""COMPUTED_VALUE"""),10.0)</f>
        <v>10</v>
      </c>
      <c r="C591" s="7" t="str">
        <f>IFERROR(__xludf.DUMMYFUNCTION("""COMPUTED_VALUE"""),"H_14")</f>
        <v>H_14</v>
      </c>
      <c r="D591" s="7" t="str">
        <f>IFERROR(__xludf.DUMMYFUNCTION("""COMPUTED_VALUE"""),"Q37b. ")</f>
        <v>Q37b. </v>
      </c>
      <c r="E591" s="7" t="str">
        <f>IFERROR(__xludf.DUMMYFUNCTION("""COMPUTED_VALUE"""),"Trust parliament/national assembly")</f>
        <v>Trust parliament/national assembly</v>
      </c>
      <c r="F591" s="7" t="str">
        <f>IFERROR(__xludf.DUMMYFUNCTION("""COMPUTED_VALUE"""),"Parliament")</f>
        <v>Parliament</v>
      </c>
    </row>
    <row r="592">
      <c r="A592" s="7" t="str">
        <f>IFERROR(__xludf.DUMMYFUNCTION("""COMPUTED_VALUE"""),"MALI")</f>
        <v>MALI</v>
      </c>
      <c r="B592" s="8">
        <f>IFERROR(__xludf.DUMMYFUNCTION("""COMPUTED_VALUE"""),10.0)</f>
        <v>10</v>
      </c>
      <c r="C592" s="7" t="str">
        <f>IFERROR(__xludf.DUMMYFUNCTION("""COMPUTED_VALUE"""),"H_14")</f>
        <v>H_14</v>
      </c>
      <c r="D592" s="7" t="str">
        <f>IFERROR(__xludf.DUMMYFUNCTION("""COMPUTED_VALUE"""),"Q37b. ")</f>
        <v>Q37b. </v>
      </c>
      <c r="E592" s="7" t="str">
        <f>IFERROR(__xludf.DUMMYFUNCTION("""COMPUTED_VALUE"""),"Trust parliament/national assembly")</f>
        <v>Trust parliament/national assembly</v>
      </c>
      <c r="F592" s="7" t="str">
        <f>IFERROR(__xludf.DUMMYFUNCTION("""COMPUTED_VALUE"""),"National Transition Council")</f>
        <v>National Transition Council</v>
      </c>
    </row>
    <row r="593">
      <c r="A593" s="7" t="str">
        <f>IFERROR(__xludf.DUMMYFUNCTION("""COMPUTED_VALUE"""),"MAURITANIA")</f>
        <v>MAURITANIA</v>
      </c>
      <c r="B593" s="8">
        <f>IFERROR(__xludf.DUMMYFUNCTION("""COMPUTED_VALUE"""),10.0)</f>
        <v>10</v>
      </c>
      <c r="C593" s="7" t="str">
        <f>IFERROR(__xludf.DUMMYFUNCTION("""COMPUTED_VALUE"""),"H_14")</f>
        <v>H_14</v>
      </c>
      <c r="D593" s="7" t="str">
        <f>IFERROR(__xludf.DUMMYFUNCTION("""COMPUTED_VALUE"""),"Q37b. ")</f>
        <v>Q37b. </v>
      </c>
      <c r="E593" s="7" t="str">
        <f>IFERROR(__xludf.DUMMYFUNCTION("""COMPUTED_VALUE"""),"Trust parliament/national assembly")</f>
        <v>Trust parliament/national assembly</v>
      </c>
      <c r="F593" s="7" t="str">
        <f>IFERROR(__xludf.DUMMYFUNCTION("""COMPUTED_VALUE"""),"The National Assembly")</f>
        <v>The National Assembly</v>
      </c>
    </row>
    <row r="594">
      <c r="A594" s="7" t="str">
        <f>IFERROR(__xludf.DUMMYFUNCTION("""COMPUTED_VALUE"""),"MAURITIUS")</f>
        <v>MAURITIUS</v>
      </c>
      <c r="B594" s="8">
        <f>IFERROR(__xludf.DUMMYFUNCTION("""COMPUTED_VALUE"""),10.0)</f>
        <v>10</v>
      </c>
      <c r="C594" s="7" t="str">
        <f>IFERROR(__xludf.DUMMYFUNCTION("""COMPUTED_VALUE"""),"H_14")</f>
        <v>H_14</v>
      </c>
      <c r="D594" s="7" t="str">
        <f>IFERROR(__xludf.DUMMYFUNCTION("""COMPUTED_VALUE"""),"Q37b. ")</f>
        <v>Q37b. </v>
      </c>
      <c r="E594" s="7" t="str">
        <f>IFERROR(__xludf.DUMMYFUNCTION("""COMPUTED_VALUE"""),"Trust parliament/national assembly")</f>
        <v>Trust parliament/national assembly</v>
      </c>
      <c r="F594" s="7" t="str">
        <f>IFERROR(__xludf.DUMMYFUNCTION("""COMPUTED_VALUE"""),"The National Assembly")</f>
        <v>The National Assembly</v>
      </c>
    </row>
    <row r="595">
      <c r="A595" s="7" t="str">
        <f>IFERROR(__xludf.DUMMYFUNCTION("""COMPUTED_VALUE"""),"MOROCCO ")</f>
        <v>MOROCCO </v>
      </c>
      <c r="B595" s="8">
        <f>IFERROR(__xludf.DUMMYFUNCTION("""COMPUTED_VALUE"""),10.0)</f>
        <v>10</v>
      </c>
      <c r="C595" s="7" t="str">
        <f>IFERROR(__xludf.DUMMYFUNCTION("""COMPUTED_VALUE"""),"H_14")</f>
        <v>H_14</v>
      </c>
      <c r="D595" s="7" t="str">
        <f>IFERROR(__xludf.DUMMYFUNCTION("""COMPUTED_VALUE"""),"Q37b. ")</f>
        <v>Q37b. </v>
      </c>
      <c r="E595" s="7" t="str">
        <f>IFERROR(__xludf.DUMMYFUNCTION("""COMPUTED_VALUE"""),"Trust parliament/national assembly")</f>
        <v>Trust parliament/national assembly</v>
      </c>
      <c r="F595" s="7" t="str">
        <f>IFERROR(__xludf.DUMMYFUNCTION("""COMPUTED_VALUE"""),"Parliament")</f>
        <v>Parliament</v>
      </c>
    </row>
    <row r="596">
      <c r="A596" s="7" t="str">
        <f>IFERROR(__xludf.DUMMYFUNCTION("""COMPUTED_VALUE"""),"MOZAMBIQUE")</f>
        <v>MOZAMBIQUE</v>
      </c>
      <c r="B596" s="8">
        <f>IFERROR(__xludf.DUMMYFUNCTION("""COMPUTED_VALUE"""),10.0)</f>
        <v>10</v>
      </c>
      <c r="C596" s="7" t="str">
        <f>IFERROR(__xludf.DUMMYFUNCTION("""COMPUTED_VALUE"""),"H_14")</f>
        <v>H_14</v>
      </c>
      <c r="D596" s="7" t="str">
        <f>IFERROR(__xludf.DUMMYFUNCTION("""COMPUTED_VALUE"""),"Q37b. ")</f>
        <v>Q37b. </v>
      </c>
      <c r="E596" s="7" t="str">
        <f>IFERROR(__xludf.DUMMYFUNCTION("""COMPUTED_VALUE"""),"Trust parliament/national assembly")</f>
        <v>Trust parliament/national assembly</v>
      </c>
      <c r="F596" s="7" t="str">
        <f>IFERROR(__xludf.DUMMYFUNCTION("""COMPUTED_VALUE"""),"Parliament")</f>
        <v>Parliament</v>
      </c>
    </row>
    <row r="597">
      <c r="A597" s="7" t="str">
        <f>IFERROR(__xludf.DUMMYFUNCTION("""COMPUTED_VALUE"""),"NAMIBIA ")</f>
        <v>NAMIBIA </v>
      </c>
      <c r="B597" s="8">
        <f>IFERROR(__xludf.DUMMYFUNCTION("""COMPUTED_VALUE"""),10.0)</f>
        <v>10</v>
      </c>
      <c r="C597" s="7" t="str">
        <f>IFERROR(__xludf.DUMMYFUNCTION("""COMPUTED_VALUE"""),"H_14")</f>
        <v>H_14</v>
      </c>
      <c r="D597" s="7" t="str">
        <f>IFERROR(__xludf.DUMMYFUNCTION("""COMPUTED_VALUE"""),"Q37b. ")</f>
        <v>Q37b. </v>
      </c>
      <c r="E597" s="7" t="str">
        <f>IFERROR(__xludf.DUMMYFUNCTION("""COMPUTED_VALUE"""),"Trust parliament/national assembly")</f>
        <v>Trust parliament/national assembly</v>
      </c>
      <c r="F597" s="7" t="str">
        <f>IFERROR(__xludf.DUMMYFUNCTION("""COMPUTED_VALUE"""),"The National Assembly")</f>
        <v>The National Assembly</v>
      </c>
    </row>
    <row r="598">
      <c r="A598" s="7" t="str">
        <f>IFERROR(__xludf.DUMMYFUNCTION("""COMPUTED_VALUE"""),"NIGERIA ")</f>
        <v>NIGERIA </v>
      </c>
      <c r="B598" s="8">
        <f>IFERROR(__xludf.DUMMYFUNCTION("""COMPUTED_VALUE"""),10.0)</f>
        <v>10</v>
      </c>
      <c r="C598" s="7" t="str">
        <f>IFERROR(__xludf.DUMMYFUNCTION("""COMPUTED_VALUE"""),"H_14")</f>
        <v>H_14</v>
      </c>
      <c r="D598" s="7" t="str">
        <f>IFERROR(__xludf.DUMMYFUNCTION("""COMPUTED_VALUE"""),"Q37b. ")</f>
        <v>Q37b. </v>
      </c>
      <c r="E598" s="7" t="str">
        <f>IFERROR(__xludf.DUMMYFUNCTION("""COMPUTED_VALUE"""),"Trust parliament/national assembly")</f>
        <v>Trust parliament/national assembly</v>
      </c>
      <c r="F598" s="7" t="str">
        <f>IFERROR(__xludf.DUMMYFUNCTION("""COMPUTED_VALUE"""),"The National Assembly")</f>
        <v>The National Assembly</v>
      </c>
    </row>
    <row r="599">
      <c r="A599" s="7" t="str">
        <f>IFERROR(__xludf.DUMMYFUNCTION("""COMPUTED_VALUE"""),"SAO TOME AND PRINCIPE")</f>
        <v>SAO TOME AND PRINCIPE</v>
      </c>
      <c r="B599" s="8">
        <f>IFERROR(__xludf.DUMMYFUNCTION("""COMPUTED_VALUE"""),10.0)</f>
        <v>10</v>
      </c>
      <c r="C599" s="7" t="str">
        <f>IFERROR(__xludf.DUMMYFUNCTION("""COMPUTED_VALUE"""),"H_14")</f>
        <v>H_14</v>
      </c>
      <c r="D599" s="7" t="str">
        <f>IFERROR(__xludf.DUMMYFUNCTION("""COMPUTED_VALUE"""),"Q37b. ")</f>
        <v>Q37b. </v>
      </c>
      <c r="E599" s="7" t="str">
        <f>IFERROR(__xludf.DUMMYFUNCTION("""COMPUTED_VALUE"""),"Trust parliament/national assembly")</f>
        <v>Trust parliament/national assembly</v>
      </c>
      <c r="F599" s="7" t="str">
        <f>IFERROR(__xludf.DUMMYFUNCTION("""COMPUTED_VALUE"""),"The National Assembly")</f>
        <v>The National Assembly</v>
      </c>
    </row>
    <row r="600">
      <c r="A600" s="7" t="str">
        <f>IFERROR(__xludf.DUMMYFUNCTION("""COMPUTED_VALUE"""),"SENEGAL")</f>
        <v>SENEGAL</v>
      </c>
      <c r="B600" s="8">
        <f>IFERROR(__xludf.DUMMYFUNCTION("""COMPUTED_VALUE"""),10.0)</f>
        <v>10</v>
      </c>
      <c r="C600" s="7" t="str">
        <f>IFERROR(__xludf.DUMMYFUNCTION("""COMPUTED_VALUE"""),"H_14")</f>
        <v>H_14</v>
      </c>
      <c r="D600" s="7" t="str">
        <f>IFERROR(__xludf.DUMMYFUNCTION("""COMPUTED_VALUE"""),"Q37b. ")</f>
        <v>Q37b. </v>
      </c>
      <c r="E600" s="7" t="str">
        <f>IFERROR(__xludf.DUMMYFUNCTION("""COMPUTED_VALUE"""),"Trust parliament/national assembly")</f>
        <v>Trust parliament/national assembly</v>
      </c>
      <c r="F600" s="7" t="str">
        <f>IFERROR(__xludf.DUMMYFUNCTION("""COMPUTED_VALUE"""),"The National Assembly")</f>
        <v>The National Assembly</v>
      </c>
    </row>
    <row r="601">
      <c r="A601" s="7" t="str">
        <f>IFERROR(__xludf.DUMMYFUNCTION("""COMPUTED_VALUE"""),"SEYCHELLES")</f>
        <v>SEYCHELLES</v>
      </c>
      <c r="B601" s="8">
        <f>IFERROR(__xludf.DUMMYFUNCTION("""COMPUTED_VALUE"""),10.0)</f>
        <v>10</v>
      </c>
      <c r="C601" s="7" t="str">
        <f>IFERROR(__xludf.DUMMYFUNCTION("""COMPUTED_VALUE"""),"H_14")</f>
        <v>H_14</v>
      </c>
      <c r="D601" s="7" t="str">
        <f>IFERROR(__xludf.DUMMYFUNCTION("""COMPUTED_VALUE"""),"Q37b. ")</f>
        <v>Q37b. </v>
      </c>
      <c r="E601" s="7" t="str">
        <f>IFERROR(__xludf.DUMMYFUNCTION("""COMPUTED_VALUE"""),"Trust parliament/national assembly")</f>
        <v>Trust parliament/national assembly</v>
      </c>
      <c r="F601" s="7" t="str">
        <f>IFERROR(__xludf.DUMMYFUNCTION("""COMPUTED_VALUE"""),"The National Assembly")</f>
        <v>The National Assembly</v>
      </c>
    </row>
    <row r="602">
      <c r="A602" s="7" t="str">
        <f>IFERROR(__xludf.DUMMYFUNCTION("""COMPUTED_VALUE"""),"SOUTH AFRICA")</f>
        <v>SOUTH AFRICA</v>
      </c>
      <c r="B602" s="8">
        <f>IFERROR(__xludf.DUMMYFUNCTION("""COMPUTED_VALUE"""),10.0)</f>
        <v>10</v>
      </c>
      <c r="C602" s="7" t="str">
        <f>IFERROR(__xludf.DUMMYFUNCTION("""COMPUTED_VALUE"""),"H_14")</f>
        <v>H_14</v>
      </c>
      <c r="D602" s="7" t="str">
        <f>IFERROR(__xludf.DUMMYFUNCTION("""COMPUTED_VALUE"""),"Q37b. ")</f>
        <v>Q37b. </v>
      </c>
      <c r="E602" s="7" t="str">
        <f>IFERROR(__xludf.DUMMYFUNCTION("""COMPUTED_VALUE"""),"Trust parliament/national assembly")</f>
        <v>Trust parliament/national assembly</v>
      </c>
      <c r="F602" s="7" t="str">
        <f>IFERROR(__xludf.DUMMYFUNCTION("""COMPUTED_VALUE"""),"Parliament
")</f>
        <v>Parliament
</v>
      </c>
    </row>
    <row r="603">
      <c r="A603" s="7" t="str">
        <f>IFERROR(__xludf.DUMMYFUNCTION("""COMPUTED_VALUE"""),"TANZANIA")</f>
        <v>TANZANIA</v>
      </c>
      <c r="B603" s="8">
        <f>IFERROR(__xludf.DUMMYFUNCTION("""COMPUTED_VALUE"""),10.0)</f>
        <v>10</v>
      </c>
      <c r="C603" s="7" t="str">
        <f>IFERROR(__xludf.DUMMYFUNCTION("""COMPUTED_VALUE"""),"H_14")</f>
        <v>H_14</v>
      </c>
      <c r="D603" s="7" t="str">
        <f>IFERROR(__xludf.DUMMYFUNCTION("""COMPUTED_VALUE"""),"Q37b. ")</f>
        <v>Q37b. </v>
      </c>
      <c r="E603" s="7" t="str">
        <f>IFERROR(__xludf.DUMMYFUNCTION("""COMPUTED_VALUE"""),"Trust parliament/national assembly")</f>
        <v>Trust parliament/national assembly</v>
      </c>
      <c r="F603" s="7" t="str">
        <f>IFERROR(__xludf.DUMMYFUNCTION("""COMPUTED_VALUE"""),"Parliament
")</f>
        <v>Parliament
</v>
      </c>
    </row>
    <row r="604">
      <c r="A604" s="7" t="str">
        <f>IFERROR(__xludf.DUMMYFUNCTION("""COMPUTED_VALUE"""),"TOGO ")</f>
        <v>TOGO </v>
      </c>
      <c r="B604" s="8">
        <f>IFERROR(__xludf.DUMMYFUNCTION("""COMPUTED_VALUE"""),10.0)</f>
        <v>10</v>
      </c>
      <c r="C604" s="7" t="str">
        <f>IFERROR(__xludf.DUMMYFUNCTION("""COMPUTED_VALUE"""),"H_14")</f>
        <v>H_14</v>
      </c>
      <c r="D604" s="7" t="str">
        <f>IFERROR(__xludf.DUMMYFUNCTION("""COMPUTED_VALUE"""),"Q37b. ")</f>
        <v>Q37b. </v>
      </c>
      <c r="E604" s="7" t="str">
        <f>IFERROR(__xludf.DUMMYFUNCTION("""COMPUTED_VALUE"""),"Trust parliament/national assembly")</f>
        <v>Trust parliament/national assembly</v>
      </c>
      <c r="F604" s="7" t="str">
        <f>IFERROR(__xludf.DUMMYFUNCTION("""COMPUTED_VALUE"""),"The National Assembly")</f>
        <v>The National Assembly</v>
      </c>
    </row>
    <row r="605">
      <c r="A605" s="7" t="str">
        <f>IFERROR(__xludf.DUMMYFUNCTION("""COMPUTED_VALUE"""),"TUNISIA ")</f>
        <v>TUNISIA </v>
      </c>
      <c r="B605" s="8">
        <f>IFERROR(__xludf.DUMMYFUNCTION("""COMPUTED_VALUE"""),10.0)</f>
        <v>10</v>
      </c>
      <c r="C605" s="7" t="str">
        <f>IFERROR(__xludf.DUMMYFUNCTION("""COMPUTED_VALUE"""),"H_14")</f>
        <v>H_14</v>
      </c>
      <c r="D605" s="7" t="str">
        <f>IFERROR(__xludf.DUMMYFUNCTION("""COMPUTED_VALUE"""),"Q37b. ")</f>
        <v>Q37b. </v>
      </c>
      <c r="E605" s="7" t="str">
        <f>IFERROR(__xludf.DUMMYFUNCTION("""COMPUTED_VALUE"""),"Trust parliament/national assembly")</f>
        <v>Trust parliament/national assembly</v>
      </c>
      <c r="F605" s="7" t="str">
        <f>IFERROR(__xludf.DUMMYFUNCTION("""COMPUTED_VALUE"""),"The Assembly of the People’s Representatives
")</f>
        <v>The Assembly of the People’s Representatives
</v>
      </c>
    </row>
    <row r="606">
      <c r="A606" s="7" t="str">
        <f>IFERROR(__xludf.DUMMYFUNCTION("""COMPUTED_VALUE"""),"UGANDA  ")</f>
        <v>UGANDA  </v>
      </c>
      <c r="B606" s="8">
        <f>IFERROR(__xludf.DUMMYFUNCTION("""COMPUTED_VALUE"""),10.0)</f>
        <v>10</v>
      </c>
      <c r="C606" s="7" t="str">
        <f>IFERROR(__xludf.DUMMYFUNCTION("""COMPUTED_VALUE"""),"H_14")</f>
        <v>H_14</v>
      </c>
      <c r="D606" s="7" t="str">
        <f>IFERROR(__xludf.DUMMYFUNCTION("""COMPUTED_VALUE"""),"Q37b. ")</f>
        <v>Q37b. </v>
      </c>
      <c r="E606" s="7" t="str">
        <f>IFERROR(__xludf.DUMMYFUNCTION("""COMPUTED_VALUE"""),"Trust parliament/national assembly")</f>
        <v>Trust parliament/national assembly</v>
      </c>
      <c r="F606" s="7" t="str">
        <f>IFERROR(__xludf.DUMMYFUNCTION("""COMPUTED_VALUE"""),"Parliament")</f>
        <v>Parliament</v>
      </c>
    </row>
    <row r="607">
      <c r="A607" s="7" t="str">
        <f>IFERROR(__xludf.DUMMYFUNCTION("""COMPUTED_VALUE"""),"ZAMBIA")</f>
        <v>ZAMBIA</v>
      </c>
      <c r="B607" s="8">
        <f>IFERROR(__xludf.DUMMYFUNCTION("""COMPUTED_VALUE"""),10.0)</f>
        <v>10</v>
      </c>
      <c r="C607" s="7" t="str">
        <f>IFERROR(__xludf.DUMMYFUNCTION("""COMPUTED_VALUE"""),"H_14")</f>
        <v>H_14</v>
      </c>
      <c r="D607" s="7" t="str">
        <f>IFERROR(__xludf.DUMMYFUNCTION("""COMPUTED_VALUE"""),"Q37b. ")</f>
        <v>Q37b. </v>
      </c>
      <c r="E607" s="7" t="str">
        <f>IFERROR(__xludf.DUMMYFUNCTION("""COMPUTED_VALUE"""),"Trust parliament/national assembly")</f>
        <v>Trust parliament/national assembly</v>
      </c>
      <c r="F607" s="7" t="str">
        <f>IFERROR(__xludf.DUMMYFUNCTION("""COMPUTED_VALUE"""),"Parliament")</f>
        <v>Parliament</v>
      </c>
    </row>
    <row r="608">
      <c r="A608" s="7" t="str">
        <f>IFERROR(__xludf.DUMMYFUNCTION("""COMPUTED_VALUE"""),"ZIMBABWE")</f>
        <v>ZIMBABWE</v>
      </c>
      <c r="B608" s="8">
        <f>IFERROR(__xludf.DUMMYFUNCTION("""COMPUTED_VALUE"""),10.0)</f>
        <v>10</v>
      </c>
      <c r="C608" s="7" t="str">
        <f>IFERROR(__xludf.DUMMYFUNCTION("""COMPUTED_VALUE"""),"H_14")</f>
        <v>H_14</v>
      </c>
      <c r="D608" s="7" t="str">
        <f>IFERROR(__xludf.DUMMYFUNCTION("""COMPUTED_VALUE"""),"Q37b. ")</f>
        <v>Q37b. </v>
      </c>
      <c r="E608" s="7" t="str">
        <f>IFERROR(__xludf.DUMMYFUNCTION("""COMPUTED_VALUE"""),"Trust parliament/national assembly")</f>
        <v>Trust parliament/national assembly</v>
      </c>
      <c r="F608" s="7" t="str">
        <f>IFERROR(__xludf.DUMMYFUNCTION("""COMPUTED_VALUE"""),"Parliament")</f>
        <v>Parliament</v>
      </c>
    </row>
    <row r="609">
      <c r="A609" s="7" t="str">
        <f>IFERROR(__xludf.DUMMYFUNCTION("""COMPUTED_VALUE"""),"ANGOLA ")</f>
        <v>ANGOLA </v>
      </c>
      <c r="B609" s="8">
        <f>IFERROR(__xludf.DUMMYFUNCTION("""COMPUTED_VALUE"""),10.0)</f>
        <v>10</v>
      </c>
      <c r="C609" s="7" t="str">
        <f>IFERROR(__xludf.DUMMYFUNCTION("""COMPUTED_VALUE"""),"H_09")</f>
        <v>H_09</v>
      </c>
      <c r="D609" s="7" t="str">
        <f>IFERROR(__xludf.DUMMYFUNCTION("""COMPUTED_VALUE"""),"Q37c.")</f>
        <v>Q37c.</v>
      </c>
      <c r="E609" s="7" t="str">
        <f>IFERROR(__xludf.DUMMYFUNCTION("""COMPUTED_VALUE"""),"Trust national electoral commission")</f>
        <v>Trust national electoral commission</v>
      </c>
      <c r="F609" s="7" t="str">
        <f>IFERROR(__xludf.DUMMYFUNCTION("""COMPUTED_VALUE"""),"The  National Electoral Commission")</f>
        <v>The  National Electoral Commission</v>
      </c>
    </row>
    <row r="610">
      <c r="A610" s="7" t="str">
        <f>IFERROR(__xludf.DUMMYFUNCTION("""COMPUTED_VALUE"""),"BENIN")</f>
        <v>BENIN</v>
      </c>
      <c r="B610" s="8">
        <f>IFERROR(__xludf.DUMMYFUNCTION("""COMPUTED_VALUE"""),10.0)</f>
        <v>10</v>
      </c>
      <c r="C610" s="7" t="str">
        <f>IFERROR(__xludf.DUMMYFUNCTION("""COMPUTED_VALUE"""),"H_09")</f>
        <v>H_09</v>
      </c>
      <c r="D610" s="7" t="str">
        <f>IFERROR(__xludf.DUMMYFUNCTION("""COMPUTED_VALUE"""),"Q37c.")</f>
        <v>Q37c.</v>
      </c>
      <c r="E610" s="7" t="str">
        <f>IFERROR(__xludf.DUMMYFUNCTION("""COMPUTED_VALUE"""),"Trust national electoral commission")</f>
        <v>Trust national electoral commission</v>
      </c>
      <c r="F610" s="7" t="str">
        <f>IFERROR(__xludf.DUMMYFUNCTION("""COMPUTED_VALUE"""),"The Autonomous National Electoral Commission")</f>
        <v>The Autonomous National Electoral Commission</v>
      </c>
    </row>
    <row r="611">
      <c r="A611" s="7" t="str">
        <f>IFERROR(__xludf.DUMMYFUNCTION("""COMPUTED_VALUE"""),"BOTSWANA ")</f>
        <v>BOTSWANA </v>
      </c>
      <c r="B611" s="8">
        <f>IFERROR(__xludf.DUMMYFUNCTION("""COMPUTED_VALUE"""),10.0)</f>
        <v>10</v>
      </c>
      <c r="C611" s="7" t="str">
        <f>IFERROR(__xludf.DUMMYFUNCTION("""COMPUTED_VALUE"""),"H_09")</f>
        <v>H_09</v>
      </c>
      <c r="D611" s="7" t="str">
        <f>IFERROR(__xludf.DUMMYFUNCTION("""COMPUTED_VALUE"""),"Q37c.")</f>
        <v>Q37c.</v>
      </c>
      <c r="E611" s="7" t="str">
        <f>IFERROR(__xludf.DUMMYFUNCTION("""COMPUTED_VALUE"""),"Trust national electoral commission")</f>
        <v>Trust national electoral commission</v>
      </c>
      <c r="F611" s="7" t="str">
        <f>IFERROR(__xludf.DUMMYFUNCTION("""COMPUTED_VALUE"""),"Independent Electoral Commission
")</f>
        <v>Independent Electoral Commission
</v>
      </c>
    </row>
    <row r="612">
      <c r="A612" s="7" t="str">
        <f>IFERROR(__xludf.DUMMYFUNCTION("""COMPUTED_VALUE"""),"CABO VERDE ")</f>
        <v>CABO VERDE </v>
      </c>
      <c r="B612" s="8">
        <f>IFERROR(__xludf.DUMMYFUNCTION("""COMPUTED_VALUE"""),10.0)</f>
        <v>10</v>
      </c>
      <c r="C612" s="7" t="str">
        <f>IFERROR(__xludf.DUMMYFUNCTION("""COMPUTED_VALUE"""),"H_09")</f>
        <v>H_09</v>
      </c>
      <c r="D612" s="7" t="str">
        <f>IFERROR(__xludf.DUMMYFUNCTION("""COMPUTED_VALUE"""),"Q37c.")</f>
        <v>Q37c.</v>
      </c>
      <c r="E612" s="7" t="str">
        <f>IFERROR(__xludf.DUMMYFUNCTION("""COMPUTED_VALUE"""),"Trust national electoral commission")</f>
        <v>Trust national electoral commission</v>
      </c>
      <c r="F612" s="7" t="str">
        <f>IFERROR(__xludf.DUMMYFUNCTION("""COMPUTED_VALUE"""),"The National Electoral Commission or CNE
")</f>
        <v>The National Electoral Commission or CNE
</v>
      </c>
    </row>
    <row r="613">
      <c r="A613" s="7" t="str">
        <f>IFERROR(__xludf.DUMMYFUNCTION("""COMPUTED_VALUE"""),"CAMEROON")</f>
        <v>CAMEROON</v>
      </c>
      <c r="B613" s="8">
        <f>IFERROR(__xludf.DUMMYFUNCTION("""COMPUTED_VALUE"""),10.0)</f>
        <v>10</v>
      </c>
      <c r="C613" s="7" t="str">
        <f>IFERROR(__xludf.DUMMYFUNCTION("""COMPUTED_VALUE"""),"H_09")</f>
        <v>H_09</v>
      </c>
      <c r="D613" s="7" t="str">
        <f>IFERROR(__xludf.DUMMYFUNCTION("""COMPUTED_VALUE"""),"Q37c.")</f>
        <v>Q37c.</v>
      </c>
      <c r="E613" s="7" t="str">
        <f>IFERROR(__xludf.DUMMYFUNCTION("""COMPUTED_VALUE"""),"Trust national electoral commission")</f>
        <v>Trust national electoral commission</v>
      </c>
      <c r="F613" s="7" t="str">
        <f>IFERROR(__xludf.DUMMYFUNCTION("""COMPUTED_VALUE"""),"The Independent Electoral Commission (ELECAM)")</f>
        <v>The Independent Electoral Commission (ELECAM)</v>
      </c>
    </row>
    <row r="614">
      <c r="A614" s="7" t="str">
        <f>IFERROR(__xludf.DUMMYFUNCTION("""COMPUTED_VALUE"""),"CHAD")</f>
        <v>CHAD</v>
      </c>
      <c r="B614" s="8">
        <f>IFERROR(__xludf.DUMMYFUNCTION("""COMPUTED_VALUE"""),10.0)</f>
        <v>10</v>
      </c>
      <c r="C614" s="7" t="str">
        <f>IFERROR(__xludf.DUMMYFUNCTION("""COMPUTED_VALUE"""),"H_09")</f>
        <v>H_09</v>
      </c>
      <c r="D614" s="7" t="str">
        <f>IFERROR(__xludf.DUMMYFUNCTION("""COMPUTED_VALUE"""),"Q37c.")</f>
        <v>Q37c.</v>
      </c>
      <c r="E614" s="7" t="str">
        <f>IFERROR(__xludf.DUMMYFUNCTION("""COMPUTED_VALUE"""),"Trust national electoral commission")</f>
        <v>Trust national electoral commission</v>
      </c>
      <c r="F614" s="7" t="str">
        <f>IFERROR(__xludf.DUMMYFUNCTION("""COMPUTED_VALUE"""),"National Agency for the Management of Elections")</f>
        <v>National Agency for the Management of Elections</v>
      </c>
    </row>
    <row r="615">
      <c r="A615" s="7" t="str">
        <f>IFERROR(__xludf.DUMMYFUNCTION("""COMPUTED_VALUE"""),"COMOROS")</f>
        <v>COMOROS</v>
      </c>
      <c r="B615" s="8">
        <f>IFERROR(__xludf.DUMMYFUNCTION("""COMPUTED_VALUE"""),10.0)</f>
        <v>10</v>
      </c>
      <c r="C615" s="7" t="str">
        <f>IFERROR(__xludf.DUMMYFUNCTION("""COMPUTED_VALUE"""),"H_09")</f>
        <v>H_09</v>
      </c>
      <c r="D615" s="7" t="str">
        <f>IFERROR(__xludf.DUMMYFUNCTION("""COMPUTED_VALUE"""),"Q37c.")</f>
        <v>Q37c.</v>
      </c>
      <c r="E615" s="7" t="str">
        <f>IFERROR(__xludf.DUMMYFUNCTION("""COMPUTED_VALUE"""),"Trust national electoral commission")</f>
        <v>Trust national electoral commission</v>
      </c>
      <c r="F615" s="7" t="str">
        <f>IFERROR(__xludf.DUMMYFUNCTION("""COMPUTED_VALUE"""),"The National Independent Electoral Commission (CENI)")</f>
        <v>The National Independent Electoral Commission (CENI)</v>
      </c>
    </row>
    <row r="616">
      <c r="A616" s="7" t="str">
        <f>IFERROR(__xludf.DUMMYFUNCTION("""COMPUTED_VALUE"""),"CONGO BRAZZAVILLE")</f>
        <v>CONGO BRAZZAVILLE</v>
      </c>
      <c r="B616" s="8">
        <f>IFERROR(__xludf.DUMMYFUNCTION("""COMPUTED_VALUE"""),10.0)</f>
        <v>10</v>
      </c>
      <c r="C616" s="7" t="str">
        <f>IFERROR(__xludf.DUMMYFUNCTION("""COMPUTED_VALUE"""),"H_09")</f>
        <v>H_09</v>
      </c>
      <c r="D616" s="7" t="str">
        <f>IFERROR(__xludf.DUMMYFUNCTION("""COMPUTED_VALUE"""),"Q37c.")</f>
        <v>Q37c.</v>
      </c>
      <c r="E616" s="7" t="str">
        <f>IFERROR(__xludf.DUMMYFUNCTION("""COMPUTED_VALUE"""),"Trust national electoral commission")</f>
        <v>Trust national electoral commission</v>
      </c>
      <c r="F616" s="7" t="str">
        <f>IFERROR(__xludf.DUMMYFUNCTION("""COMPUTED_VALUE"""),"The National Independent Electoral Commission")</f>
        <v>The National Independent Electoral Commission</v>
      </c>
    </row>
    <row r="617">
      <c r="A617" s="7" t="str">
        <f>IFERROR(__xludf.DUMMYFUNCTION("""COMPUTED_VALUE"""),"COTE D'IVOIRE")</f>
        <v>COTE D'IVOIRE</v>
      </c>
      <c r="B617" s="8">
        <f>IFERROR(__xludf.DUMMYFUNCTION("""COMPUTED_VALUE"""),10.0)</f>
        <v>10</v>
      </c>
      <c r="C617" s="7" t="str">
        <f>IFERROR(__xludf.DUMMYFUNCTION("""COMPUTED_VALUE"""),"H_09")</f>
        <v>H_09</v>
      </c>
      <c r="D617" s="7" t="str">
        <f>IFERROR(__xludf.DUMMYFUNCTION("""COMPUTED_VALUE"""),"Q37c.")</f>
        <v>Q37c.</v>
      </c>
      <c r="E617" s="7" t="str">
        <f>IFERROR(__xludf.DUMMYFUNCTION("""COMPUTED_VALUE"""),"Trust national electoral commission")</f>
        <v>Trust national electoral commission</v>
      </c>
      <c r="F617" s="7" t="str">
        <f>IFERROR(__xludf.DUMMYFUNCTION("""COMPUTED_VALUE"""),"The National Independent Electoral Commission")</f>
        <v>The National Independent Electoral Commission</v>
      </c>
    </row>
    <row r="618">
      <c r="A618" s="7" t="str">
        <f>IFERROR(__xludf.DUMMYFUNCTION("""COMPUTED_VALUE"""),"ESWATINI")</f>
        <v>ESWATINI</v>
      </c>
      <c r="B618" s="8">
        <f>IFERROR(__xludf.DUMMYFUNCTION("""COMPUTED_VALUE"""),10.0)</f>
        <v>10</v>
      </c>
      <c r="C618" s="7" t="str">
        <f>IFERROR(__xludf.DUMMYFUNCTION("""COMPUTED_VALUE"""),"H_09")</f>
        <v>H_09</v>
      </c>
      <c r="D618" s="7" t="str">
        <f>IFERROR(__xludf.DUMMYFUNCTION("""COMPUTED_VALUE"""),"Q37c.")</f>
        <v>Q37c.</v>
      </c>
      <c r="E618" s="7" t="str">
        <f>IFERROR(__xludf.DUMMYFUNCTION("""COMPUTED_VALUE"""),"Trust national electoral commission")</f>
        <v>Trust national electoral commission</v>
      </c>
      <c r="F618" s="7" t="str">
        <f>IFERROR(__xludf.DUMMYFUNCTION("""COMPUTED_VALUE"""),"The Elections and Boundaries Commission")</f>
        <v>The Elections and Boundaries Commission</v>
      </c>
    </row>
    <row r="619">
      <c r="A619" s="7" t="str">
        <f>IFERROR(__xludf.DUMMYFUNCTION("""COMPUTED_VALUE"""),"GABON")</f>
        <v>GABON</v>
      </c>
      <c r="B619" s="8">
        <f>IFERROR(__xludf.DUMMYFUNCTION("""COMPUTED_VALUE"""),10.0)</f>
        <v>10</v>
      </c>
      <c r="C619" s="7" t="str">
        <f>IFERROR(__xludf.DUMMYFUNCTION("""COMPUTED_VALUE"""),"H_09")</f>
        <v>H_09</v>
      </c>
      <c r="D619" s="7" t="str">
        <f>IFERROR(__xludf.DUMMYFUNCTION("""COMPUTED_VALUE"""),"Q37c.")</f>
        <v>Q37c.</v>
      </c>
      <c r="E619" s="7" t="str">
        <f>IFERROR(__xludf.DUMMYFUNCTION("""COMPUTED_VALUE"""),"Trust national electoral commission")</f>
        <v>Trust national electoral commission</v>
      </c>
      <c r="F619" s="7" t="str">
        <f>IFERROR(__xludf.DUMMYFUNCTION("""COMPUTED_VALUE"""),"The Gabonese Elections Council")</f>
        <v>The Gabonese Elections Council</v>
      </c>
    </row>
    <row r="620">
      <c r="A620" s="7" t="str">
        <f>IFERROR(__xludf.DUMMYFUNCTION("""COMPUTED_VALUE"""),"GAMBIA")</f>
        <v>GAMBIA</v>
      </c>
      <c r="B620" s="8">
        <f>IFERROR(__xludf.DUMMYFUNCTION("""COMPUTED_VALUE"""),10.0)</f>
        <v>10</v>
      </c>
      <c r="C620" s="7" t="str">
        <f>IFERROR(__xludf.DUMMYFUNCTION("""COMPUTED_VALUE"""),"H_09")</f>
        <v>H_09</v>
      </c>
      <c r="D620" s="7" t="str">
        <f>IFERROR(__xludf.DUMMYFUNCTION("""COMPUTED_VALUE"""),"Q37c.")</f>
        <v>Q37c.</v>
      </c>
      <c r="E620" s="7" t="str">
        <f>IFERROR(__xludf.DUMMYFUNCTION("""COMPUTED_VALUE"""),"Trust national electoral commission")</f>
        <v>Trust national electoral commission</v>
      </c>
      <c r="F620" s="7" t="str">
        <f>IFERROR(__xludf.DUMMYFUNCTION("""COMPUTED_VALUE"""),"The National Independent Electoral Commission")</f>
        <v>The National Independent Electoral Commission</v>
      </c>
    </row>
    <row r="621">
      <c r="A621" s="7" t="str">
        <f>IFERROR(__xludf.DUMMYFUNCTION("""COMPUTED_VALUE"""),"GHANA ")</f>
        <v>GHANA </v>
      </c>
      <c r="B621" s="8">
        <f>IFERROR(__xludf.DUMMYFUNCTION("""COMPUTED_VALUE"""),10.0)</f>
        <v>10</v>
      </c>
      <c r="C621" s="7" t="str">
        <f>IFERROR(__xludf.DUMMYFUNCTION("""COMPUTED_VALUE"""),"H_09")</f>
        <v>H_09</v>
      </c>
      <c r="D621" s="7" t="str">
        <f>IFERROR(__xludf.DUMMYFUNCTION("""COMPUTED_VALUE"""),"Q37c.")</f>
        <v>Q37c.</v>
      </c>
      <c r="E621" s="7" t="str">
        <f>IFERROR(__xludf.DUMMYFUNCTION("""COMPUTED_VALUE"""),"Trust national electoral commission")</f>
        <v>Trust national electoral commission</v>
      </c>
      <c r="F621" s="7" t="str">
        <f>IFERROR(__xludf.DUMMYFUNCTION("""COMPUTED_VALUE"""),"The Electoral Commission or EC")</f>
        <v>The Electoral Commission or EC</v>
      </c>
    </row>
    <row r="622">
      <c r="A622" s="7" t="str">
        <f>IFERROR(__xludf.DUMMYFUNCTION("""COMPUTED_VALUE"""),"GUINEA")</f>
        <v>GUINEA</v>
      </c>
      <c r="B622" s="8">
        <f>IFERROR(__xludf.DUMMYFUNCTION("""COMPUTED_VALUE"""),10.0)</f>
        <v>10</v>
      </c>
      <c r="C622" s="7" t="str">
        <f>IFERROR(__xludf.DUMMYFUNCTION("""COMPUTED_VALUE"""),"H_09")</f>
        <v>H_09</v>
      </c>
      <c r="D622" s="7" t="str">
        <f>IFERROR(__xludf.DUMMYFUNCTION("""COMPUTED_VALUE"""),"Q37c.")</f>
        <v>Q37c.</v>
      </c>
      <c r="E622" s="7" t="str">
        <f>IFERROR(__xludf.DUMMYFUNCTION("""COMPUTED_VALUE"""),"Trust national electoral commission")</f>
        <v>Trust national electoral commission</v>
      </c>
      <c r="F622" s="7" t="str">
        <f>IFERROR(__xludf.DUMMYFUNCTION("""COMPUTED_VALUE"""),"Ministry of Territorial Administration and Decentralization")</f>
        <v>Ministry of Territorial Administration and Decentralization</v>
      </c>
    </row>
    <row r="623">
      <c r="A623" s="7" t="str">
        <f>IFERROR(__xludf.DUMMYFUNCTION("""COMPUTED_VALUE"""),"KENYA  ")</f>
        <v>KENYA  </v>
      </c>
      <c r="B623" s="8">
        <f>IFERROR(__xludf.DUMMYFUNCTION("""COMPUTED_VALUE"""),10.0)</f>
        <v>10</v>
      </c>
      <c r="C623" s="7" t="str">
        <f>IFERROR(__xludf.DUMMYFUNCTION("""COMPUTED_VALUE"""),"H_09")</f>
        <v>H_09</v>
      </c>
      <c r="D623" s="7" t="str">
        <f>IFERROR(__xludf.DUMMYFUNCTION("""COMPUTED_VALUE"""),"Q37c.")</f>
        <v>Q37c.</v>
      </c>
      <c r="E623" s="7" t="str">
        <f>IFERROR(__xludf.DUMMYFUNCTION("""COMPUTED_VALUE"""),"Trust national electoral commission")</f>
        <v>Trust national electoral commission</v>
      </c>
      <c r="F623" s="7" t="str">
        <f>IFERROR(__xludf.DUMMYFUNCTION("""COMPUTED_VALUE"""),"Independent Electoral and Boundaries Commission or IEBC")</f>
        <v>Independent Electoral and Boundaries Commission or IEBC</v>
      </c>
    </row>
    <row r="624">
      <c r="A624" s="7" t="str">
        <f>IFERROR(__xludf.DUMMYFUNCTION("""COMPUTED_VALUE"""),"LESOTHO ")</f>
        <v>LESOTHO </v>
      </c>
      <c r="B624" s="8">
        <f>IFERROR(__xludf.DUMMYFUNCTION("""COMPUTED_VALUE"""),10.0)</f>
        <v>10</v>
      </c>
      <c r="C624" s="7" t="str">
        <f>IFERROR(__xludf.DUMMYFUNCTION("""COMPUTED_VALUE"""),"H_09")</f>
        <v>H_09</v>
      </c>
      <c r="D624" s="7" t="str">
        <f>IFERROR(__xludf.DUMMYFUNCTION("""COMPUTED_VALUE"""),"Q37c.")</f>
        <v>Q37c.</v>
      </c>
      <c r="E624" s="7" t="str">
        <f>IFERROR(__xludf.DUMMYFUNCTION("""COMPUTED_VALUE"""),"Trust national electoral commission")</f>
        <v>Trust national electoral commission</v>
      </c>
      <c r="F624" s="7" t="str">
        <f>IFERROR(__xludf.DUMMYFUNCTION("""COMPUTED_VALUE"""),"Independent Electoral Commission
")</f>
        <v>Independent Electoral Commission
</v>
      </c>
    </row>
    <row r="625">
      <c r="A625" s="7" t="str">
        <f>IFERROR(__xludf.DUMMYFUNCTION("""COMPUTED_VALUE"""),"LIBERIA  ")</f>
        <v>LIBERIA  </v>
      </c>
      <c r="B625" s="8">
        <f>IFERROR(__xludf.DUMMYFUNCTION("""COMPUTED_VALUE"""),10.0)</f>
        <v>10</v>
      </c>
      <c r="C625" s="7" t="str">
        <f>IFERROR(__xludf.DUMMYFUNCTION("""COMPUTED_VALUE"""),"H_09")</f>
        <v>H_09</v>
      </c>
      <c r="D625" s="7" t="str">
        <f>IFERROR(__xludf.DUMMYFUNCTION("""COMPUTED_VALUE"""),"Q37c.")</f>
        <v>Q37c.</v>
      </c>
      <c r="E625" s="7" t="str">
        <f>IFERROR(__xludf.DUMMYFUNCTION("""COMPUTED_VALUE"""),"Trust national electoral commission")</f>
        <v>Trust national electoral commission</v>
      </c>
      <c r="F625" s="7" t="str">
        <f>IFERROR(__xludf.DUMMYFUNCTION("""COMPUTED_VALUE"""),"National Elections Commission")</f>
        <v>National Elections Commission</v>
      </c>
    </row>
    <row r="626">
      <c r="A626" s="7" t="str">
        <f>IFERROR(__xludf.DUMMYFUNCTION("""COMPUTED_VALUE"""),"MADAGASCAR")</f>
        <v>MADAGASCAR</v>
      </c>
      <c r="B626" s="8">
        <f>IFERROR(__xludf.DUMMYFUNCTION("""COMPUTED_VALUE"""),10.0)</f>
        <v>10</v>
      </c>
      <c r="C626" s="7" t="str">
        <f>IFERROR(__xludf.DUMMYFUNCTION("""COMPUTED_VALUE"""),"H_09")</f>
        <v>H_09</v>
      </c>
      <c r="D626" s="7" t="str">
        <f>IFERROR(__xludf.DUMMYFUNCTION("""COMPUTED_VALUE"""),"Q37c.")</f>
        <v>Q37c.</v>
      </c>
      <c r="E626" s="7" t="str">
        <f>IFERROR(__xludf.DUMMYFUNCTION("""COMPUTED_VALUE"""),"Trust national electoral commission")</f>
        <v>Trust national electoral commission</v>
      </c>
      <c r="F626" s="7" t="str">
        <f>IFERROR(__xludf.DUMMYFUNCTION("""COMPUTED_VALUE"""),"The National Independent Electoral Commission")</f>
        <v>The National Independent Electoral Commission</v>
      </c>
    </row>
    <row r="627">
      <c r="A627" s="7" t="str">
        <f>IFERROR(__xludf.DUMMYFUNCTION("""COMPUTED_VALUE"""),"MALAWI ")</f>
        <v>MALAWI </v>
      </c>
      <c r="B627" s="8">
        <f>IFERROR(__xludf.DUMMYFUNCTION("""COMPUTED_VALUE"""),10.0)</f>
        <v>10</v>
      </c>
      <c r="C627" s="7" t="str">
        <f>IFERROR(__xludf.DUMMYFUNCTION("""COMPUTED_VALUE"""),"H_09")</f>
        <v>H_09</v>
      </c>
      <c r="D627" s="7" t="str">
        <f>IFERROR(__xludf.DUMMYFUNCTION("""COMPUTED_VALUE"""),"Q37c.")</f>
        <v>Q37c.</v>
      </c>
      <c r="E627" s="7" t="str">
        <f>IFERROR(__xludf.DUMMYFUNCTION("""COMPUTED_VALUE"""),"Trust national electoral commission")</f>
        <v>Trust national electoral commission</v>
      </c>
      <c r="F627" s="7" t="str">
        <f>IFERROR(__xludf.DUMMYFUNCTION("""COMPUTED_VALUE"""),"Malawi Electoral Commission")</f>
        <v>Malawi Electoral Commission</v>
      </c>
    </row>
    <row r="628">
      <c r="A628" s="7" t="str">
        <f>IFERROR(__xludf.DUMMYFUNCTION("""COMPUTED_VALUE"""),"MALI")</f>
        <v>MALI</v>
      </c>
      <c r="B628" s="8">
        <f>IFERROR(__xludf.DUMMYFUNCTION("""COMPUTED_VALUE"""),10.0)</f>
        <v>10</v>
      </c>
      <c r="C628" s="7" t="str">
        <f>IFERROR(__xludf.DUMMYFUNCTION("""COMPUTED_VALUE"""),"H_09")</f>
        <v>H_09</v>
      </c>
      <c r="D628" s="7" t="str">
        <f>IFERROR(__xludf.DUMMYFUNCTION("""COMPUTED_VALUE"""),"Q37c.")</f>
        <v>Q37c.</v>
      </c>
      <c r="E628" s="7" t="str">
        <f>IFERROR(__xludf.DUMMYFUNCTION("""COMPUTED_VALUE"""),"Trust national electoral commission")</f>
        <v>Trust national electoral commission</v>
      </c>
      <c r="F628" s="7" t="str">
        <f>IFERROR(__xludf.DUMMYFUNCTION("""COMPUTED_VALUE"""),"The Independent Authority for the Management of Elections")</f>
        <v>The Independent Authority for the Management of Elections</v>
      </c>
    </row>
    <row r="629">
      <c r="A629" s="7" t="str">
        <f>IFERROR(__xludf.DUMMYFUNCTION("""COMPUTED_VALUE"""),"MAURITANIA")</f>
        <v>MAURITANIA</v>
      </c>
      <c r="B629" s="8">
        <f>IFERROR(__xludf.DUMMYFUNCTION("""COMPUTED_VALUE"""),10.0)</f>
        <v>10</v>
      </c>
      <c r="C629" s="7" t="str">
        <f>IFERROR(__xludf.DUMMYFUNCTION("""COMPUTED_VALUE"""),"H_09")</f>
        <v>H_09</v>
      </c>
      <c r="D629" s="7" t="str">
        <f>IFERROR(__xludf.DUMMYFUNCTION("""COMPUTED_VALUE"""),"Q37c.")</f>
        <v>Q37c.</v>
      </c>
      <c r="E629" s="7" t="str">
        <f>IFERROR(__xludf.DUMMYFUNCTION("""COMPUTED_VALUE"""),"Trust national electoral commission")</f>
        <v>Trust national electoral commission</v>
      </c>
      <c r="F629" s="7" t="str">
        <f>IFERROR(__xludf.DUMMYFUNCTION("""COMPUTED_VALUE"""),"The National Independent Electoral Commission")</f>
        <v>The National Independent Electoral Commission</v>
      </c>
    </row>
    <row r="630">
      <c r="A630" s="7" t="str">
        <f>IFERROR(__xludf.DUMMYFUNCTION("""COMPUTED_VALUE"""),"MAURITIUS")</f>
        <v>MAURITIUS</v>
      </c>
      <c r="B630" s="8">
        <f>IFERROR(__xludf.DUMMYFUNCTION("""COMPUTED_VALUE"""),10.0)</f>
        <v>10</v>
      </c>
      <c r="C630" s="7" t="str">
        <f>IFERROR(__xludf.DUMMYFUNCTION("""COMPUTED_VALUE"""),"H_09")</f>
        <v>H_09</v>
      </c>
      <c r="D630" s="7" t="str">
        <f>IFERROR(__xludf.DUMMYFUNCTION("""COMPUTED_VALUE"""),"Q37c.")</f>
        <v>Q37c.</v>
      </c>
      <c r="E630" s="7" t="str">
        <f>IFERROR(__xludf.DUMMYFUNCTION("""COMPUTED_VALUE"""),"Trust national electoral commission")</f>
        <v>Trust national electoral commission</v>
      </c>
      <c r="F630" s="7" t="str">
        <f>IFERROR(__xludf.DUMMYFUNCTION("""COMPUTED_VALUE"""),"The Electoral Commission of Mauritius")</f>
        <v>The Electoral Commission of Mauritius</v>
      </c>
    </row>
    <row r="631">
      <c r="A631" s="7" t="str">
        <f>IFERROR(__xludf.DUMMYFUNCTION("""COMPUTED_VALUE"""),"MOZAMBIQUE")</f>
        <v>MOZAMBIQUE</v>
      </c>
      <c r="B631" s="8">
        <f>IFERROR(__xludf.DUMMYFUNCTION("""COMPUTED_VALUE"""),10.0)</f>
        <v>10</v>
      </c>
      <c r="C631" s="7" t="str">
        <f>IFERROR(__xludf.DUMMYFUNCTION("""COMPUTED_VALUE"""),"H_09")</f>
        <v>H_09</v>
      </c>
      <c r="D631" s="7" t="str">
        <f>IFERROR(__xludf.DUMMYFUNCTION("""COMPUTED_VALUE"""),"Q37c.")</f>
        <v>Q37c.</v>
      </c>
      <c r="E631" s="7" t="str">
        <f>IFERROR(__xludf.DUMMYFUNCTION("""COMPUTED_VALUE"""),"Trust national electoral commission")</f>
        <v>Trust national electoral commission</v>
      </c>
      <c r="F631" s="7" t="str">
        <f>IFERROR(__xludf.DUMMYFUNCTION("""COMPUTED_VALUE"""),"National Election Commission (CNE)
")</f>
        <v>National Election Commission (CNE)
</v>
      </c>
    </row>
    <row r="632">
      <c r="A632" s="7" t="str">
        <f>IFERROR(__xludf.DUMMYFUNCTION("""COMPUTED_VALUE"""),"NAMIBIA ")</f>
        <v>NAMIBIA </v>
      </c>
      <c r="B632" s="8">
        <f>IFERROR(__xludf.DUMMYFUNCTION("""COMPUTED_VALUE"""),10.0)</f>
        <v>10</v>
      </c>
      <c r="C632" s="7" t="str">
        <f>IFERROR(__xludf.DUMMYFUNCTION("""COMPUTED_VALUE"""),"H_09")</f>
        <v>H_09</v>
      </c>
      <c r="D632" s="7" t="str">
        <f>IFERROR(__xludf.DUMMYFUNCTION("""COMPUTED_VALUE"""),"Q37c.")</f>
        <v>Q37c.</v>
      </c>
      <c r="E632" s="7" t="str">
        <f>IFERROR(__xludf.DUMMYFUNCTION("""COMPUTED_VALUE"""),"Trust national electoral commission")</f>
        <v>Trust national electoral commission</v>
      </c>
      <c r="F632" s="7" t="str">
        <f>IFERROR(__xludf.DUMMYFUNCTION("""COMPUTED_VALUE"""),"The Electoral Commission of Namibia or ECN
")</f>
        <v>The Electoral Commission of Namibia or ECN
</v>
      </c>
    </row>
    <row r="633">
      <c r="A633" s="7" t="str">
        <f>IFERROR(__xludf.DUMMYFUNCTION("""COMPUTED_VALUE"""),"NIGERIA ")</f>
        <v>NIGERIA </v>
      </c>
      <c r="B633" s="8">
        <f>IFERROR(__xludf.DUMMYFUNCTION("""COMPUTED_VALUE"""),10.0)</f>
        <v>10</v>
      </c>
      <c r="C633" s="7" t="str">
        <f>IFERROR(__xludf.DUMMYFUNCTION("""COMPUTED_VALUE"""),"H_09")</f>
        <v>H_09</v>
      </c>
      <c r="D633" s="7" t="str">
        <f>IFERROR(__xludf.DUMMYFUNCTION("""COMPUTED_VALUE"""),"Q37c.")</f>
        <v>Q37c.</v>
      </c>
      <c r="E633" s="7" t="str">
        <f>IFERROR(__xludf.DUMMYFUNCTION("""COMPUTED_VALUE"""),"Trust national electoral commission")</f>
        <v>Trust national electoral commission</v>
      </c>
      <c r="F633" s="7" t="str">
        <f>IFERROR(__xludf.DUMMYFUNCTION("""COMPUTED_VALUE"""),"Independent National Electoral Commission or INEC
")</f>
        <v>Independent National Electoral Commission or INEC
</v>
      </c>
    </row>
    <row r="634">
      <c r="A634" s="7" t="str">
        <f>IFERROR(__xludf.DUMMYFUNCTION("""COMPUTED_VALUE"""),"SAO TOME AND PRINCIPE")</f>
        <v>SAO TOME AND PRINCIPE</v>
      </c>
      <c r="B634" s="8">
        <f>IFERROR(__xludf.DUMMYFUNCTION("""COMPUTED_VALUE"""),10.0)</f>
        <v>10</v>
      </c>
      <c r="C634" s="7" t="str">
        <f>IFERROR(__xludf.DUMMYFUNCTION("""COMPUTED_VALUE"""),"H_09")</f>
        <v>H_09</v>
      </c>
      <c r="D634" s="7" t="str">
        <f>IFERROR(__xludf.DUMMYFUNCTION("""COMPUTED_VALUE"""),"Q37c.")</f>
        <v>Q37c.</v>
      </c>
      <c r="E634" s="7" t="str">
        <f>IFERROR(__xludf.DUMMYFUNCTION("""COMPUTED_VALUE"""),"Trust national electoral commission")</f>
        <v>Trust national electoral commission</v>
      </c>
      <c r="F634" s="7" t="str">
        <f>IFERROR(__xludf.DUMMYFUNCTION("""COMPUTED_VALUE"""),"The National Electoral Commission
")</f>
        <v>The National Electoral Commission
</v>
      </c>
    </row>
    <row r="635">
      <c r="A635" s="7" t="str">
        <f>IFERROR(__xludf.DUMMYFUNCTION("""COMPUTED_VALUE"""),"SENEGAL")</f>
        <v>SENEGAL</v>
      </c>
      <c r="B635" s="8">
        <f>IFERROR(__xludf.DUMMYFUNCTION("""COMPUTED_VALUE"""),10.0)</f>
        <v>10</v>
      </c>
      <c r="C635" s="7" t="str">
        <f>IFERROR(__xludf.DUMMYFUNCTION("""COMPUTED_VALUE"""),"H_09")</f>
        <v>H_09</v>
      </c>
      <c r="D635" s="7" t="str">
        <f>IFERROR(__xludf.DUMMYFUNCTION("""COMPUTED_VALUE"""),"Q37c.")</f>
        <v>Q37c.</v>
      </c>
      <c r="E635" s="7" t="str">
        <f>IFERROR(__xludf.DUMMYFUNCTION("""COMPUTED_VALUE"""),"Trust national electoral commission")</f>
        <v>Trust national electoral commission</v>
      </c>
      <c r="F635" s="7" t="str">
        <f>IFERROR(__xludf.DUMMYFUNCTION("""COMPUTED_VALUE"""),"National Commission for the Census of Votes (CNRV)")</f>
        <v>National Commission for the Census of Votes (CNRV)</v>
      </c>
    </row>
    <row r="636">
      <c r="A636" s="7" t="str">
        <f>IFERROR(__xludf.DUMMYFUNCTION("""COMPUTED_VALUE"""),"SEYCHELLES")</f>
        <v>SEYCHELLES</v>
      </c>
      <c r="B636" s="8">
        <f>IFERROR(__xludf.DUMMYFUNCTION("""COMPUTED_VALUE"""),10.0)</f>
        <v>10</v>
      </c>
      <c r="C636" s="7" t="str">
        <f>IFERROR(__xludf.DUMMYFUNCTION("""COMPUTED_VALUE"""),"H_09")</f>
        <v>H_09</v>
      </c>
      <c r="D636" s="7" t="str">
        <f>IFERROR(__xludf.DUMMYFUNCTION("""COMPUTED_VALUE"""),"Q37c.")</f>
        <v>Q37c.</v>
      </c>
      <c r="E636" s="7" t="str">
        <f>IFERROR(__xludf.DUMMYFUNCTION("""COMPUTED_VALUE"""),"Trust national electoral commission")</f>
        <v>Trust national electoral commission</v>
      </c>
      <c r="F636" s="7" t="str">
        <f>IFERROR(__xludf.DUMMYFUNCTION("""COMPUTED_VALUE"""),"Electoral Commission of Seychelles")</f>
        <v>Electoral Commission of Seychelles</v>
      </c>
    </row>
    <row r="637">
      <c r="A637" s="7" t="str">
        <f>IFERROR(__xludf.DUMMYFUNCTION("""COMPUTED_VALUE"""),"SOUTH AFRICA")</f>
        <v>SOUTH AFRICA</v>
      </c>
      <c r="B637" s="8">
        <f>IFERROR(__xludf.DUMMYFUNCTION("""COMPUTED_VALUE"""),10.0)</f>
        <v>10</v>
      </c>
      <c r="C637" s="7" t="str">
        <f>IFERROR(__xludf.DUMMYFUNCTION("""COMPUTED_VALUE"""),"H_09")</f>
        <v>H_09</v>
      </c>
      <c r="D637" s="7" t="str">
        <f>IFERROR(__xludf.DUMMYFUNCTION("""COMPUTED_VALUE"""),"Q37c.")</f>
        <v>Q37c.</v>
      </c>
      <c r="E637" s="7" t="str">
        <f>IFERROR(__xludf.DUMMYFUNCTION("""COMPUTED_VALUE"""),"Trust national electoral commission")</f>
        <v>Trust national electoral commission</v>
      </c>
      <c r="F637" s="7" t="str">
        <f>IFERROR(__xludf.DUMMYFUNCTION("""COMPUTED_VALUE"""),"The South African Electoral Commission
")</f>
        <v>The South African Electoral Commission
</v>
      </c>
    </row>
    <row r="638">
      <c r="A638" s="7" t="str">
        <f>IFERROR(__xludf.DUMMYFUNCTION("""COMPUTED_VALUE"""),"TANZANIA")</f>
        <v>TANZANIA</v>
      </c>
      <c r="B638" s="8">
        <f>IFERROR(__xludf.DUMMYFUNCTION("""COMPUTED_VALUE"""),10.0)</f>
        <v>10</v>
      </c>
      <c r="C638" s="7" t="str">
        <f>IFERROR(__xludf.DUMMYFUNCTION("""COMPUTED_VALUE"""),"H_09")</f>
        <v>H_09</v>
      </c>
      <c r="D638" s="7" t="str">
        <f>IFERROR(__xludf.DUMMYFUNCTION("""COMPUTED_VALUE"""),"Q37c.")</f>
        <v>Q37c.</v>
      </c>
      <c r="E638" s="7" t="str">
        <f>IFERROR(__xludf.DUMMYFUNCTION("""COMPUTED_VALUE"""),"Trust national electoral commission")</f>
        <v>Trust national electoral commission</v>
      </c>
      <c r="F638" s="7" t="str">
        <f>IFERROR(__xludf.DUMMYFUNCTION("""COMPUTED_VALUE"""),"The National Electoral Commission or NEC
")</f>
        <v>The National Electoral Commission or NEC
</v>
      </c>
    </row>
    <row r="639">
      <c r="A639" s="7" t="str">
        <f>IFERROR(__xludf.DUMMYFUNCTION("""COMPUTED_VALUE"""),"TOGO ")</f>
        <v>TOGO </v>
      </c>
      <c r="B639" s="8">
        <f>IFERROR(__xludf.DUMMYFUNCTION("""COMPUTED_VALUE"""),10.0)</f>
        <v>10</v>
      </c>
      <c r="C639" s="7" t="str">
        <f>IFERROR(__xludf.DUMMYFUNCTION("""COMPUTED_VALUE"""),"H_09")</f>
        <v>H_09</v>
      </c>
      <c r="D639" s="7" t="str">
        <f>IFERROR(__xludf.DUMMYFUNCTION("""COMPUTED_VALUE"""),"Q37c.")</f>
        <v>Q37c.</v>
      </c>
      <c r="E639" s="7" t="str">
        <f>IFERROR(__xludf.DUMMYFUNCTION("""COMPUTED_VALUE"""),"Trust national electoral commission")</f>
        <v>Trust national electoral commission</v>
      </c>
      <c r="F639" s="7" t="str">
        <f>IFERROR(__xludf.DUMMYFUNCTION("""COMPUTED_VALUE"""),"Independent National Electoral Commission or INEC
")</f>
        <v>Independent National Electoral Commission or INEC
</v>
      </c>
    </row>
    <row r="640">
      <c r="A640" s="7" t="str">
        <f>IFERROR(__xludf.DUMMYFUNCTION("""COMPUTED_VALUE"""),"TUNISIA ")</f>
        <v>TUNISIA </v>
      </c>
      <c r="B640" s="8">
        <f>IFERROR(__xludf.DUMMYFUNCTION("""COMPUTED_VALUE"""),10.0)</f>
        <v>10</v>
      </c>
      <c r="C640" s="7" t="str">
        <f>IFERROR(__xludf.DUMMYFUNCTION("""COMPUTED_VALUE"""),"H_09")</f>
        <v>H_09</v>
      </c>
      <c r="D640" s="7" t="str">
        <f>IFERROR(__xludf.DUMMYFUNCTION("""COMPUTED_VALUE"""),"Q37c.")</f>
        <v>Q37c.</v>
      </c>
      <c r="E640" s="7" t="str">
        <f>IFERROR(__xludf.DUMMYFUNCTION("""COMPUTED_VALUE"""),"Trust national electoral commission")</f>
        <v>Trust national electoral commission</v>
      </c>
      <c r="F640" s="7" t="str">
        <f>IFERROR(__xludf.DUMMYFUNCTION("""COMPUTED_VALUE"""),"The Independent High Authority for the Elections (ISIE)
")</f>
        <v>The Independent High Authority for the Elections (ISIE)
</v>
      </c>
    </row>
    <row r="641">
      <c r="A641" s="7" t="str">
        <f>IFERROR(__xludf.DUMMYFUNCTION("""COMPUTED_VALUE"""),"UGANDA  ")</f>
        <v>UGANDA  </v>
      </c>
      <c r="B641" s="8">
        <f>IFERROR(__xludf.DUMMYFUNCTION("""COMPUTED_VALUE"""),10.0)</f>
        <v>10</v>
      </c>
      <c r="C641" s="7" t="str">
        <f>IFERROR(__xludf.DUMMYFUNCTION("""COMPUTED_VALUE"""),"H_09")</f>
        <v>H_09</v>
      </c>
      <c r="D641" s="7" t="str">
        <f>IFERROR(__xludf.DUMMYFUNCTION("""COMPUTED_VALUE"""),"Q37c.")</f>
        <v>Q37c.</v>
      </c>
      <c r="E641" s="7" t="str">
        <f>IFERROR(__xludf.DUMMYFUNCTION("""COMPUTED_VALUE"""),"Trust national electoral commission")</f>
        <v>Trust national electoral commission</v>
      </c>
      <c r="F641" s="7" t="str">
        <f>IFERROR(__xludf.DUMMYFUNCTION("""COMPUTED_VALUE"""),"The Electoral Commission of Uganda
")</f>
        <v>The Electoral Commission of Uganda
</v>
      </c>
    </row>
    <row r="642">
      <c r="A642" s="7" t="str">
        <f>IFERROR(__xludf.DUMMYFUNCTION("""COMPUTED_VALUE"""),"ZAMBIA")</f>
        <v>ZAMBIA</v>
      </c>
      <c r="B642" s="8">
        <f>IFERROR(__xludf.DUMMYFUNCTION("""COMPUTED_VALUE"""),10.0)</f>
        <v>10</v>
      </c>
      <c r="C642" s="7" t="str">
        <f>IFERROR(__xludf.DUMMYFUNCTION("""COMPUTED_VALUE"""),"H_09")</f>
        <v>H_09</v>
      </c>
      <c r="D642" s="7" t="str">
        <f>IFERROR(__xludf.DUMMYFUNCTION("""COMPUTED_VALUE"""),"Q37c.")</f>
        <v>Q37c.</v>
      </c>
      <c r="E642" s="7" t="str">
        <f>IFERROR(__xludf.DUMMYFUNCTION("""COMPUTED_VALUE"""),"Trust national electoral commission")</f>
        <v>Trust national electoral commission</v>
      </c>
      <c r="F642" s="7" t="str">
        <f>IFERROR(__xludf.DUMMYFUNCTION("""COMPUTED_VALUE"""),"Zambia Electoral Commission or ECZ 
")</f>
        <v>Zambia Electoral Commission or ECZ 
</v>
      </c>
    </row>
    <row r="643">
      <c r="A643" s="7" t="str">
        <f>IFERROR(__xludf.DUMMYFUNCTION("""COMPUTED_VALUE"""),"ZIMBABWE")</f>
        <v>ZIMBABWE</v>
      </c>
      <c r="B643" s="8">
        <f>IFERROR(__xludf.DUMMYFUNCTION("""COMPUTED_VALUE"""),10.0)</f>
        <v>10</v>
      </c>
      <c r="C643" s="7" t="str">
        <f>IFERROR(__xludf.DUMMYFUNCTION("""COMPUTED_VALUE"""),"H_09")</f>
        <v>H_09</v>
      </c>
      <c r="D643" s="7" t="str">
        <f>IFERROR(__xludf.DUMMYFUNCTION("""COMPUTED_VALUE"""),"Q37c.")</f>
        <v>Q37c.</v>
      </c>
      <c r="E643" s="7" t="str">
        <f>IFERROR(__xludf.DUMMYFUNCTION("""COMPUTED_VALUE"""),"Trust national electoral commission")</f>
        <v>Trust national electoral commission</v>
      </c>
      <c r="F643" s="7" t="str">
        <f>IFERROR(__xludf.DUMMYFUNCTION("""COMPUTED_VALUE"""),"Zimbabwe Electoral Commission or ZEC
")</f>
        <v>Zimbabwe Electoral Commission or ZEC
</v>
      </c>
    </row>
    <row r="644">
      <c r="A644" s="7" t="str">
        <f>IFERROR(__xludf.DUMMYFUNCTION("""COMPUTED_VALUE"""),"BENIN")</f>
        <v>BENIN</v>
      </c>
      <c r="B644" s="8">
        <f>IFERROR(__xludf.DUMMYFUNCTION("""COMPUTED_VALUE"""),10.0)</f>
        <v>10</v>
      </c>
      <c r="C644" s="7" t="str">
        <f>IFERROR(__xludf.DUMMYFUNCTION("""COMPUTED_VALUE"""),"H_30")</f>
        <v>H_30</v>
      </c>
      <c r="D644" s="7" t="str">
        <f>IFERROR(__xludf.DUMMYFUNCTION("""COMPUTED_VALUE"""),"Q37d. ")</f>
        <v>Q37d. </v>
      </c>
      <c r="E644" s="7" t="str">
        <f>IFERROR(__xludf.DUMMYFUNCTION("""COMPUTED_VALUE"""),"Trust your elected local government council")</f>
        <v>Trust your elected local government council</v>
      </c>
      <c r="F644" s="7" t="str">
        <f>IFERROR(__xludf.DUMMYFUNCTION("""COMPUTED_VALUE"""),"Your municipal or communal council")</f>
        <v>Your municipal or communal council</v>
      </c>
    </row>
    <row r="645">
      <c r="A645" s="7" t="str">
        <f>IFERROR(__xludf.DUMMYFUNCTION("""COMPUTED_VALUE"""),"BOTSWANA ")</f>
        <v>BOTSWANA </v>
      </c>
      <c r="B645" s="8">
        <f>IFERROR(__xludf.DUMMYFUNCTION("""COMPUTED_VALUE"""),10.0)</f>
        <v>10</v>
      </c>
      <c r="C645" s="7" t="str">
        <f>IFERROR(__xludf.DUMMYFUNCTION("""COMPUTED_VALUE"""),"H_30")</f>
        <v>H_30</v>
      </c>
      <c r="D645" s="7" t="str">
        <f>IFERROR(__xludf.DUMMYFUNCTION("""COMPUTED_VALUE"""),"Q37d. ")</f>
        <v>Q37d. </v>
      </c>
      <c r="E645" s="7" t="str">
        <f>IFERROR(__xludf.DUMMYFUNCTION("""COMPUTED_VALUE"""),"Trust your elected local government council")</f>
        <v>Trust your elected local government council</v>
      </c>
      <c r="F645" s="7" t="str">
        <f>IFERROR(__xludf.DUMMYFUNCTION("""COMPUTED_VALUE"""),"Your  local government council")</f>
        <v>Your  local government council</v>
      </c>
    </row>
    <row r="646">
      <c r="A646" s="7" t="str">
        <f>IFERROR(__xludf.DUMMYFUNCTION("""COMPUTED_VALUE"""),"CABO VERDE ")</f>
        <v>CABO VERDE </v>
      </c>
      <c r="B646" s="8">
        <f>IFERROR(__xludf.DUMMYFUNCTION("""COMPUTED_VALUE"""),10.0)</f>
        <v>10</v>
      </c>
      <c r="C646" s="7" t="str">
        <f>IFERROR(__xludf.DUMMYFUNCTION("""COMPUTED_VALUE"""),"H_30")</f>
        <v>H_30</v>
      </c>
      <c r="D646" s="7" t="str">
        <f>IFERROR(__xludf.DUMMYFUNCTION("""COMPUTED_VALUE"""),"Q37d. ")</f>
        <v>Q37d. </v>
      </c>
      <c r="E646" s="7" t="str">
        <f>IFERROR(__xludf.DUMMYFUNCTION("""COMPUTED_VALUE"""),"Trust your elected local government council")</f>
        <v>Trust your elected local government council</v>
      </c>
      <c r="F646" s="7" t="str">
        <f>IFERROR(__xludf.DUMMYFUNCTION("""COMPUTED_VALUE"""),"Your  local government council")</f>
        <v>Your  local government council</v>
      </c>
    </row>
    <row r="647">
      <c r="A647" s="7" t="str">
        <f>IFERROR(__xludf.DUMMYFUNCTION("""COMPUTED_VALUE"""),"CAMEROON")</f>
        <v>CAMEROON</v>
      </c>
      <c r="B647" s="8">
        <f>IFERROR(__xludf.DUMMYFUNCTION("""COMPUTED_VALUE"""),10.0)</f>
        <v>10</v>
      </c>
      <c r="C647" s="7" t="str">
        <f>IFERROR(__xludf.DUMMYFUNCTION("""COMPUTED_VALUE"""),"H_30")</f>
        <v>H_30</v>
      </c>
      <c r="D647" s="7" t="str">
        <f>IFERROR(__xludf.DUMMYFUNCTION("""COMPUTED_VALUE"""),"Q37d. ")</f>
        <v>Q37d. </v>
      </c>
      <c r="E647" s="7" t="str">
        <f>IFERROR(__xludf.DUMMYFUNCTION("""COMPUTED_VALUE"""),"Trust your elected local government council")</f>
        <v>Trust your elected local government council</v>
      </c>
      <c r="F647" s="7" t="str">
        <f>IFERROR(__xludf.DUMMYFUNCTION("""COMPUTED_VALUE"""),"Your  local government council")</f>
        <v>Your  local government council</v>
      </c>
    </row>
    <row r="648">
      <c r="A648" s="7" t="str">
        <f>IFERROR(__xludf.DUMMYFUNCTION("""COMPUTED_VALUE"""),"CHAD")</f>
        <v>CHAD</v>
      </c>
      <c r="B648" s="8">
        <f>IFERROR(__xludf.DUMMYFUNCTION("""COMPUTED_VALUE"""),10.0)</f>
        <v>10</v>
      </c>
      <c r="C648" s="7" t="str">
        <f>IFERROR(__xludf.DUMMYFUNCTION("""COMPUTED_VALUE"""),"H_30")</f>
        <v>H_30</v>
      </c>
      <c r="D648" s="7" t="str">
        <f>IFERROR(__xludf.DUMMYFUNCTION("""COMPUTED_VALUE"""),"Q37d. ")</f>
        <v>Q37d. </v>
      </c>
      <c r="E648" s="7" t="str">
        <f>IFERROR(__xludf.DUMMYFUNCTION("""COMPUTED_VALUE"""),"Trust your elected local government council")</f>
        <v>Trust your elected local government council</v>
      </c>
      <c r="F648" s="7" t="str">
        <f>IFERROR(__xludf.DUMMYFUNCTION("""COMPUTED_VALUE"""),"Your  local government council")</f>
        <v>Your  local government council</v>
      </c>
    </row>
    <row r="649">
      <c r="A649" s="7" t="str">
        <f>IFERROR(__xludf.DUMMYFUNCTION("""COMPUTED_VALUE"""),"COMOROS")</f>
        <v>COMOROS</v>
      </c>
      <c r="B649" s="8">
        <f>IFERROR(__xludf.DUMMYFUNCTION("""COMPUTED_VALUE"""),10.0)</f>
        <v>10</v>
      </c>
      <c r="C649" s="7" t="str">
        <f>IFERROR(__xludf.DUMMYFUNCTION("""COMPUTED_VALUE"""),"H_30")</f>
        <v>H_30</v>
      </c>
      <c r="D649" s="7" t="str">
        <f>IFERROR(__xludf.DUMMYFUNCTION("""COMPUTED_VALUE"""),"Q37d. ")</f>
        <v>Q37d. </v>
      </c>
      <c r="E649" s="7" t="str">
        <f>IFERROR(__xludf.DUMMYFUNCTION("""COMPUTED_VALUE"""),"Trust your elected local government council")</f>
        <v>Trust your elected local government council</v>
      </c>
      <c r="F649" s="7" t="str">
        <f>IFERROR(__xludf.DUMMYFUNCTION("""COMPUTED_VALUE"""),"Your  local government council")</f>
        <v>Your  local government council</v>
      </c>
    </row>
    <row r="650">
      <c r="A650" s="7" t="str">
        <f>IFERROR(__xludf.DUMMYFUNCTION("""COMPUTED_VALUE"""),"CONGO BRAZZAVILLE")</f>
        <v>CONGO BRAZZAVILLE</v>
      </c>
      <c r="B650" s="8">
        <f>IFERROR(__xludf.DUMMYFUNCTION("""COMPUTED_VALUE"""),10.0)</f>
        <v>10</v>
      </c>
      <c r="C650" s="7" t="str">
        <f>IFERROR(__xludf.DUMMYFUNCTION("""COMPUTED_VALUE"""),"H_30")</f>
        <v>H_30</v>
      </c>
      <c r="D650" s="7" t="str">
        <f>IFERROR(__xludf.DUMMYFUNCTION("""COMPUTED_VALUE"""),"Q37d. ")</f>
        <v>Q37d. </v>
      </c>
      <c r="E650" s="7" t="str">
        <f>IFERROR(__xludf.DUMMYFUNCTION("""COMPUTED_VALUE"""),"Trust your elected local government council")</f>
        <v>Trust your elected local government council</v>
      </c>
      <c r="F650" s="7" t="str">
        <f>IFERROR(__xludf.DUMMYFUNCTION("""COMPUTED_VALUE"""),"Your  local government council")</f>
        <v>Your  local government council</v>
      </c>
    </row>
    <row r="651">
      <c r="A651" s="7" t="str">
        <f>IFERROR(__xludf.DUMMYFUNCTION("""COMPUTED_VALUE"""),"COTE D'IVOIRE")</f>
        <v>COTE D'IVOIRE</v>
      </c>
      <c r="B651" s="8">
        <f>IFERROR(__xludf.DUMMYFUNCTION("""COMPUTED_VALUE"""),10.0)</f>
        <v>10</v>
      </c>
      <c r="C651" s="7" t="str">
        <f>IFERROR(__xludf.DUMMYFUNCTION("""COMPUTED_VALUE"""),"H_30")</f>
        <v>H_30</v>
      </c>
      <c r="D651" s="7" t="str">
        <f>IFERROR(__xludf.DUMMYFUNCTION("""COMPUTED_VALUE"""),"Q37d. ")</f>
        <v>Q37d. </v>
      </c>
      <c r="E651" s="7" t="str">
        <f>IFERROR(__xludf.DUMMYFUNCTION("""COMPUTED_VALUE"""),"Trust your elected local government council")</f>
        <v>Trust your elected local government council</v>
      </c>
      <c r="F651" s="7" t="str">
        <f>IFERROR(__xludf.DUMMYFUNCTION("""COMPUTED_VALUE"""),"Your  local government council")</f>
        <v>Your  local government council</v>
      </c>
    </row>
    <row r="652">
      <c r="A652" s="7" t="str">
        <f>IFERROR(__xludf.DUMMYFUNCTION("""COMPUTED_VALUE"""),"ESWATINI")</f>
        <v>ESWATINI</v>
      </c>
      <c r="B652" s="8">
        <f>IFERROR(__xludf.DUMMYFUNCTION("""COMPUTED_VALUE"""),10.0)</f>
        <v>10</v>
      </c>
      <c r="C652" s="7" t="str">
        <f>IFERROR(__xludf.DUMMYFUNCTION("""COMPUTED_VALUE"""),"H_30")</f>
        <v>H_30</v>
      </c>
      <c r="D652" s="7" t="str">
        <f>IFERROR(__xludf.DUMMYFUNCTION("""COMPUTED_VALUE"""),"Q37d. ")</f>
        <v>Q37d. </v>
      </c>
      <c r="E652" s="7" t="str">
        <f>IFERROR(__xludf.DUMMYFUNCTION("""COMPUTED_VALUE"""),"Trust your elected local government council")</f>
        <v>Trust your elected local government council</v>
      </c>
      <c r="F652" s="7" t="str">
        <f>IFERROR(__xludf.DUMMYFUNCTION("""COMPUTED_VALUE"""),"Your  local government council")</f>
        <v>Your  local government council</v>
      </c>
    </row>
    <row r="653">
      <c r="A653" s="7" t="str">
        <f>IFERROR(__xludf.DUMMYFUNCTION("""COMPUTED_VALUE"""),"GABON")</f>
        <v>GABON</v>
      </c>
      <c r="B653" s="8">
        <f>IFERROR(__xludf.DUMMYFUNCTION("""COMPUTED_VALUE"""),10.0)</f>
        <v>10</v>
      </c>
      <c r="C653" s="7" t="str">
        <f>IFERROR(__xludf.DUMMYFUNCTION("""COMPUTED_VALUE"""),"H_30")</f>
        <v>H_30</v>
      </c>
      <c r="D653" s="7" t="str">
        <f>IFERROR(__xludf.DUMMYFUNCTION("""COMPUTED_VALUE"""),"Q37d. ")</f>
        <v>Q37d. </v>
      </c>
      <c r="E653" s="7" t="str">
        <f>IFERROR(__xludf.DUMMYFUNCTION("""COMPUTED_VALUE"""),"Trust your elected local government council")</f>
        <v>Trust your elected local government council</v>
      </c>
      <c r="F653" s="7" t="str">
        <f>IFERROR(__xludf.DUMMYFUNCTION("""COMPUTED_VALUE"""),"Your  local government council")</f>
        <v>Your  local government council</v>
      </c>
    </row>
    <row r="654">
      <c r="A654" s="7" t="str">
        <f>IFERROR(__xludf.DUMMYFUNCTION("""COMPUTED_VALUE"""),"GAMBIA")</f>
        <v>GAMBIA</v>
      </c>
      <c r="B654" s="8">
        <f>IFERROR(__xludf.DUMMYFUNCTION("""COMPUTED_VALUE"""),10.0)</f>
        <v>10</v>
      </c>
      <c r="C654" s="7" t="str">
        <f>IFERROR(__xludf.DUMMYFUNCTION("""COMPUTED_VALUE"""),"H_30")</f>
        <v>H_30</v>
      </c>
      <c r="D654" s="7" t="str">
        <f>IFERROR(__xludf.DUMMYFUNCTION("""COMPUTED_VALUE"""),"Q37d. ")</f>
        <v>Q37d. </v>
      </c>
      <c r="E654" s="7" t="str">
        <f>IFERROR(__xludf.DUMMYFUNCTION("""COMPUTED_VALUE"""),"Trust your elected local government council")</f>
        <v>Trust your elected local government council</v>
      </c>
      <c r="F654" s="7" t="str">
        <f>IFERROR(__xludf.DUMMYFUNCTION("""COMPUTED_VALUE"""),"Your  local government council")</f>
        <v>Your  local government council</v>
      </c>
    </row>
    <row r="655">
      <c r="A655" s="7" t="str">
        <f>IFERROR(__xludf.DUMMYFUNCTION("""COMPUTED_VALUE"""),"GHANA ")</f>
        <v>GHANA </v>
      </c>
      <c r="B655" s="8">
        <f>IFERROR(__xludf.DUMMYFUNCTION("""COMPUTED_VALUE"""),10.0)</f>
        <v>10</v>
      </c>
      <c r="C655" s="7" t="str">
        <f>IFERROR(__xludf.DUMMYFUNCTION("""COMPUTED_VALUE"""),"H_30")</f>
        <v>H_30</v>
      </c>
      <c r="D655" s="7" t="str">
        <f>IFERROR(__xludf.DUMMYFUNCTION("""COMPUTED_VALUE"""),"Q37d. ")</f>
        <v>Q37d. </v>
      </c>
      <c r="E655" s="7" t="str">
        <f>IFERROR(__xludf.DUMMYFUNCTION("""COMPUTED_VALUE"""),"Trust your elected local government council")</f>
        <v>Trust your elected local government council</v>
      </c>
      <c r="F655" s="7" t="str">
        <f>IFERROR(__xludf.DUMMYFUNCTION("""COMPUTED_VALUE"""),"Your  local government council")</f>
        <v>Your  local government council</v>
      </c>
    </row>
    <row r="656">
      <c r="A656" s="7" t="str">
        <f>IFERROR(__xludf.DUMMYFUNCTION("""COMPUTED_VALUE"""),"GUINEA")</f>
        <v>GUINEA</v>
      </c>
      <c r="B656" s="8">
        <f>IFERROR(__xludf.DUMMYFUNCTION("""COMPUTED_VALUE"""),10.0)</f>
        <v>10</v>
      </c>
      <c r="C656" s="7" t="str">
        <f>IFERROR(__xludf.DUMMYFUNCTION("""COMPUTED_VALUE"""),"H_30")</f>
        <v>H_30</v>
      </c>
      <c r="D656" s="7" t="str">
        <f>IFERROR(__xludf.DUMMYFUNCTION("""COMPUTED_VALUE"""),"Q37d. ")</f>
        <v>Q37d. </v>
      </c>
      <c r="E656" s="7" t="str">
        <f>IFERROR(__xludf.DUMMYFUNCTION("""COMPUTED_VALUE"""),"Trust your elected local government council")</f>
        <v>Trust your elected local government council</v>
      </c>
      <c r="F656" s="7" t="str">
        <f>IFERROR(__xludf.DUMMYFUNCTION("""COMPUTED_VALUE"""),"Your municipal council")</f>
        <v>Your municipal council</v>
      </c>
    </row>
    <row r="657">
      <c r="A657" s="7" t="str">
        <f>IFERROR(__xludf.DUMMYFUNCTION("""COMPUTED_VALUE"""),"KENYA  ")</f>
        <v>KENYA  </v>
      </c>
      <c r="B657" s="8">
        <f>IFERROR(__xludf.DUMMYFUNCTION("""COMPUTED_VALUE"""),10.0)</f>
        <v>10</v>
      </c>
      <c r="C657" s="7" t="str">
        <f>IFERROR(__xludf.DUMMYFUNCTION("""COMPUTED_VALUE"""),"H_30")</f>
        <v>H_30</v>
      </c>
      <c r="D657" s="7" t="str">
        <f>IFERROR(__xludf.DUMMYFUNCTION("""COMPUTED_VALUE"""),"Q37d. ")</f>
        <v>Q37d. </v>
      </c>
      <c r="E657" s="7" t="str">
        <f>IFERROR(__xludf.DUMMYFUNCTION("""COMPUTED_VALUE"""),"Trust your elected local government council")</f>
        <v>Trust your elected local government council</v>
      </c>
      <c r="F657" s="7" t="str">
        <f>IFERROR(__xludf.DUMMYFUNCTION("""COMPUTED_VALUE"""),"Your County Assembly or CA")</f>
        <v>Your County Assembly or CA</v>
      </c>
    </row>
    <row r="658">
      <c r="A658" s="7" t="str">
        <f>IFERROR(__xludf.DUMMYFUNCTION("""COMPUTED_VALUE"""),"LESOTHO ")</f>
        <v>LESOTHO </v>
      </c>
      <c r="B658" s="8">
        <f>IFERROR(__xludf.DUMMYFUNCTION("""COMPUTED_VALUE"""),10.0)</f>
        <v>10</v>
      </c>
      <c r="C658" s="7" t="str">
        <f>IFERROR(__xludf.DUMMYFUNCTION("""COMPUTED_VALUE"""),"H_30")</f>
        <v>H_30</v>
      </c>
      <c r="D658" s="7" t="str">
        <f>IFERROR(__xludf.DUMMYFUNCTION("""COMPUTED_VALUE"""),"Q37d. ")</f>
        <v>Q37d. </v>
      </c>
      <c r="E658" s="7" t="str">
        <f>IFERROR(__xludf.DUMMYFUNCTION("""COMPUTED_VALUE"""),"Trust your elected local government council")</f>
        <v>Trust your elected local government council</v>
      </c>
      <c r="F658" s="7" t="str">
        <f>IFERROR(__xludf.DUMMYFUNCTION("""COMPUTED_VALUE"""),"Your Urban or Community Council")</f>
        <v>Your Urban or Community Council</v>
      </c>
    </row>
    <row r="659">
      <c r="A659" s="7" t="str">
        <f>IFERROR(__xludf.DUMMYFUNCTION("""COMPUTED_VALUE"""),"LIBERIA  ")</f>
        <v>LIBERIA  </v>
      </c>
      <c r="B659" s="8">
        <f>IFERROR(__xludf.DUMMYFUNCTION("""COMPUTED_VALUE"""),10.0)</f>
        <v>10</v>
      </c>
      <c r="C659" s="7" t="str">
        <f>IFERROR(__xludf.DUMMYFUNCTION("""COMPUTED_VALUE"""),"H_30")</f>
        <v>H_30</v>
      </c>
      <c r="D659" s="7" t="str">
        <f>IFERROR(__xludf.DUMMYFUNCTION("""COMPUTED_VALUE"""),"Q37d. ")</f>
        <v>Q37d. </v>
      </c>
      <c r="E659" s="7" t="str">
        <f>IFERROR(__xludf.DUMMYFUNCTION("""COMPUTED_VALUE"""),"Trust your elected local government council")</f>
        <v>Trust your elected local government council</v>
      </c>
      <c r="F659" s="7" t="str">
        <f>IFERROR(__xludf.DUMMYFUNCTION("""COMPUTED_VALUE"""),"Your Local Authority Council")</f>
        <v>Your Local Authority Council</v>
      </c>
    </row>
    <row r="660">
      <c r="A660" s="7" t="str">
        <f>IFERROR(__xludf.DUMMYFUNCTION("""COMPUTED_VALUE"""),"MADAGASCAR")</f>
        <v>MADAGASCAR</v>
      </c>
      <c r="B660" s="8">
        <f>IFERROR(__xludf.DUMMYFUNCTION("""COMPUTED_VALUE"""),10.0)</f>
        <v>10</v>
      </c>
      <c r="C660" s="7" t="str">
        <f>IFERROR(__xludf.DUMMYFUNCTION("""COMPUTED_VALUE"""),"H_30")</f>
        <v>H_30</v>
      </c>
      <c r="D660" s="7" t="str">
        <f>IFERROR(__xludf.DUMMYFUNCTION("""COMPUTED_VALUE"""),"Q37d. ")</f>
        <v>Q37d. </v>
      </c>
      <c r="E660" s="7" t="str">
        <f>IFERROR(__xludf.DUMMYFUNCTION("""COMPUTED_VALUE"""),"Trust your elected local government council")</f>
        <v>Trust your elected local government council</v>
      </c>
      <c r="F660" s="7" t="str">
        <f>IFERROR(__xludf.DUMMYFUNCTION("""COMPUTED_VALUE"""),"Your municipal council")</f>
        <v>Your municipal council</v>
      </c>
    </row>
    <row r="661">
      <c r="A661" s="7" t="str">
        <f>IFERROR(__xludf.DUMMYFUNCTION("""COMPUTED_VALUE"""),"MALAWI ")</f>
        <v>MALAWI </v>
      </c>
      <c r="B661" s="8">
        <f>IFERROR(__xludf.DUMMYFUNCTION("""COMPUTED_VALUE"""),10.0)</f>
        <v>10</v>
      </c>
      <c r="C661" s="7" t="str">
        <f>IFERROR(__xludf.DUMMYFUNCTION("""COMPUTED_VALUE"""),"H_30")</f>
        <v>H_30</v>
      </c>
      <c r="D661" s="7" t="str">
        <f>IFERROR(__xludf.DUMMYFUNCTION("""COMPUTED_VALUE"""),"Q37d. ")</f>
        <v>Q37d. </v>
      </c>
      <c r="E661" s="7" t="str">
        <f>IFERROR(__xludf.DUMMYFUNCTION("""COMPUTED_VALUE"""),"Trust your elected local government council")</f>
        <v>Trust your elected local government council</v>
      </c>
      <c r="F661" s="7" t="str">
        <f>IFERROR(__xludf.DUMMYFUNCTION("""COMPUTED_VALUE"""),"Your  local government council")</f>
        <v>Your  local government council</v>
      </c>
    </row>
    <row r="662">
      <c r="A662" s="7" t="str">
        <f>IFERROR(__xludf.DUMMYFUNCTION("""COMPUTED_VALUE"""),"MALI")</f>
        <v>MALI</v>
      </c>
      <c r="B662" s="8">
        <f>IFERROR(__xludf.DUMMYFUNCTION("""COMPUTED_VALUE"""),10.0)</f>
        <v>10</v>
      </c>
      <c r="C662" s="7" t="str">
        <f>IFERROR(__xludf.DUMMYFUNCTION("""COMPUTED_VALUE"""),"H_30")</f>
        <v>H_30</v>
      </c>
      <c r="D662" s="7" t="str">
        <f>IFERROR(__xludf.DUMMYFUNCTION("""COMPUTED_VALUE"""),"Q37d. ")</f>
        <v>Q37d. </v>
      </c>
      <c r="E662" s="7" t="str">
        <f>IFERROR(__xludf.DUMMYFUNCTION("""COMPUTED_VALUE"""),"Trust your elected local government council")</f>
        <v>Trust your elected local government council</v>
      </c>
      <c r="F662" s="7" t="str">
        <f>IFERROR(__xludf.DUMMYFUNCTION("""COMPUTED_VALUE"""),"Your municipal council")</f>
        <v>Your municipal council</v>
      </c>
    </row>
    <row r="663">
      <c r="A663" s="7" t="str">
        <f>IFERROR(__xludf.DUMMYFUNCTION("""COMPUTED_VALUE"""),"MAURITANIA")</f>
        <v>MAURITANIA</v>
      </c>
      <c r="B663" s="8">
        <f>IFERROR(__xludf.DUMMYFUNCTION("""COMPUTED_VALUE"""),10.0)</f>
        <v>10</v>
      </c>
      <c r="C663" s="7" t="str">
        <f>IFERROR(__xludf.DUMMYFUNCTION("""COMPUTED_VALUE"""),"H_30")</f>
        <v>H_30</v>
      </c>
      <c r="D663" s="7" t="str">
        <f>IFERROR(__xludf.DUMMYFUNCTION("""COMPUTED_VALUE"""),"Q37d. ")</f>
        <v>Q37d. </v>
      </c>
      <c r="E663" s="7" t="str">
        <f>IFERROR(__xludf.DUMMYFUNCTION("""COMPUTED_VALUE"""),"Trust your elected local government council")</f>
        <v>Trust your elected local government council</v>
      </c>
      <c r="F663" s="7" t="str">
        <f>IFERROR(__xludf.DUMMYFUNCTION("""COMPUTED_VALUE"""),"Your municipal council")</f>
        <v>Your municipal council</v>
      </c>
    </row>
    <row r="664">
      <c r="A664" s="7" t="str">
        <f>IFERROR(__xludf.DUMMYFUNCTION("""COMPUTED_VALUE"""),"MAURITIUS")</f>
        <v>MAURITIUS</v>
      </c>
      <c r="B664" s="8">
        <f>IFERROR(__xludf.DUMMYFUNCTION("""COMPUTED_VALUE"""),10.0)</f>
        <v>10</v>
      </c>
      <c r="C664" s="7" t="str">
        <f>IFERROR(__xludf.DUMMYFUNCTION("""COMPUTED_VALUE"""),"H_30")</f>
        <v>H_30</v>
      </c>
      <c r="D664" s="7" t="str">
        <f>IFERROR(__xludf.DUMMYFUNCTION("""COMPUTED_VALUE"""),"Q37d. ")</f>
        <v>Q37d. </v>
      </c>
      <c r="E664" s="7" t="str">
        <f>IFERROR(__xludf.DUMMYFUNCTION("""COMPUTED_VALUE"""),"Trust your elected local government council")</f>
        <v>Trust your elected local government council</v>
      </c>
      <c r="F664" s="7" t="str">
        <f>IFERROR(__xludf.DUMMYFUNCTION("""COMPUTED_VALUE"""),"Your municipal or district council")</f>
        <v>Your municipal or district council</v>
      </c>
    </row>
    <row r="665">
      <c r="A665" s="7" t="str">
        <f>IFERROR(__xludf.DUMMYFUNCTION("""COMPUTED_VALUE"""),"MOROCCO ")</f>
        <v>MOROCCO </v>
      </c>
      <c r="B665" s="8">
        <f>IFERROR(__xludf.DUMMYFUNCTION("""COMPUTED_VALUE"""),10.0)</f>
        <v>10</v>
      </c>
      <c r="C665" s="7" t="str">
        <f>IFERROR(__xludf.DUMMYFUNCTION("""COMPUTED_VALUE"""),"H_30")</f>
        <v>H_30</v>
      </c>
      <c r="D665" s="7" t="str">
        <f>IFERROR(__xludf.DUMMYFUNCTION("""COMPUTED_VALUE"""),"Q37d. ")</f>
        <v>Q37d. </v>
      </c>
      <c r="E665" s="7" t="str">
        <f>IFERROR(__xludf.DUMMYFUNCTION("""COMPUTED_VALUE"""),"Trust your elected local government council")</f>
        <v>Trust your elected local government council</v>
      </c>
      <c r="F665" s="7" t="str">
        <f>IFERROR(__xludf.DUMMYFUNCTION("""COMPUTED_VALUE"""),"Your Collective Council")</f>
        <v>Your Collective Council</v>
      </c>
    </row>
    <row r="666">
      <c r="A666" s="7" t="str">
        <f>IFERROR(__xludf.DUMMYFUNCTION("""COMPUTED_VALUE"""),"MOZAMBIQUE")</f>
        <v>MOZAMBIQUE</v>
      </c>
      <c r="B666" s="8">
        <f>IFERROR(__xludf.DUMMYFUNCTION("""COMPUTED_VALUE"""),10.0)</f>
        <v>10</v>
      </c>
      <c r="C666" s="7" t="str">
        <f>IFERROR(__xludf.DUMMYFUNCTION("""COMPUTED_VALUE"""),"H_30")</f>
        <v>H_30</v>
      </c>
      <c r="D666" s="7" t="str">
        <f>IFERROR(__xludf.DUMMYFUNCTION("""COMPUTED_VALUE"""),"Q37d. ")</f>
        <v>Q37d. </v>
      </c>
      <c r="E666" s="7" t="str">
        <f>IFERROR(__xludf.DUMMYFUNCTION("""COMPUTED_VALUE"""),"Trust your elected local government council")</f>
        <v>Trust your elected local government council</v>
      </c>
      <c r="F666" s="7" t="str">
        <f>IFERROR(__xludf.DUMMYFUNCTION("""COMPUTED_VALUE"""),"Your Municipal Assembly")</f>
        <v>Your Municipal Assembly</v>
      </c>
    </row>
    <row r="667">
      <c r="A667" s="7" t="str">
        <f>IFERROR(__xludf.DUMMYFUNCTION("""COMPUTED_VALUE"""),"NAMIBIA ")</f>
        <v>NAMIBIA </v>
      </c>
      <c r="B667" s="8">
        <f>IFERROR(__xludf.DUMMYFUNCTION("""COMPUTED_VALUE"""),10.0)</f>
        <v>10</v>
      </c>
      <c r="C667" s="7" t="str">
        <f>IFERROR(__xludf.DUMMYFUNCTION("""COMPUTED_VALUE"""),"H_30")</f>
        <v>H_30</v>
      </c>
      <c r="D667" s="7" t="str">
        <f>IFERROR(__xludf.DUMMYFUNCTION("""COMPUTED_VALUE"""),"Q37d. ")</f>
        <v>Q37d. </v>
      </c>
      <c r="E667" s="7" t="str">
        <f>IFERROR(__xludf.DUMMYFUNCTION("""COMPUTED_VALUE"""),"Trust your elected local government council")</f>
        <v>Trust your elected local government council</v>
      </c>
      <c r="F667" s="7" t="str">
        <f>IFERROR(__xludf.DUMMYFUNCTION("""COMPUTED_VALUE"""),"Your Local Authority Council
")</f>
        <v>Your Local Authority Council
</v>
      </c>
    </row>
    <row r="668">
      <c r="A668" s="7" t="str">
        <f>IFERROR(__xludf.DUMMYFUNCTION("""COMPUTED_VALUE"""),"NIGERIA ")</f>
        <v>NIGERIA </v>
      </c>
      <c r="B668" s="8">
        <f>IFERROR(__xludf.DUMMYFUNCTION("""COMPUTED_VALUE"""),10.0)</f>
        <v>10</v>
      </c>
      <c r="C668" s="7" t="str">
        <f>IFERROR(__xludf.DUMMYFUNCTION("""COMPUTED_VALUE"""),"H_30")</f>
        <v>H_30</v>
      </c>
      <c r="D668" s="7" t="str">
        <f>IFERROR(__xludf.DUMMYFUNCTION("""COMPUTED_VALUE"""),"Q37d. ")</f>
        <v>Q37d. </v>
      </c>
      <c r="E668" s="7" t="str">
        <f>IFERROR(__xludf.DUMMYFUNCTION("""COMPUTED_VALUE"""),"Trust your elected local government council")</f>
        <v>Trust your elected local government council</v>
      </c>
      <c r="F668" s="7" t="str">
        <f>IFERROR(__xludf.DUMMYFUNCTION("""COMPUTED_VALUE"""),"Your  local government council")</f>
        <v>Your  local government council</v>
      </c>
    </row>
    <row r="669">
      <c r="A669" s="7" t="str">
        <f>IFERROR(__xludf.DUMMYFUNCTION("""COMPUTED_VALUE"""),"SAO TOME AND PRINCIPE")</f>
        <v>SAO TOME AND PRINCIPE</v>
      </c>
      <c r="B669" s="8">
        <f>IFERROR(__xludf.DUMMYFUNCTION("""COMPUTED_VALUE"""),10.0)</f>
        <v>10</v>
      </c>
      <c r="C669" s="7" t="str">
        <f>IFERROR(__xludf.DUMMYFUNCTION("""COMPUTED_VALUE"""),"H_30")</f>
        <v>H_30</v>
      </c>
      <c r="D669" s="7" t="str">
        <f>IFERROR(__xludf.DUMMYFUNCTION("""COMPUTED_VALUE"""),"Q37d. ")</f>
        <v>Q37d. </v>
      </c>
      <c r="E669" s="7" t="str">
        <f>IFERROR(__xludf.DUMMYFUNCTION("""COMPUTED_VALUE"""),"Trust your elected local government council")</f>
        <v>Trust your elected local government council</v>
      </c>
      <c r="F669" s="7" t="str">
        <f>IFERROR(__xludf.DUMMYFUNCTION("""COMPUTED_VALUE"""),"Your  local government council")</f>
        <v>Your  local government council</v>
      </c>
    </row>
    <row r="670">
      <c r="A670" s="7" t="str">
        <f>IFERROR(__xludf.DUMMYFUNCTION("""COMPUTED_VALUE"""),"SENEGAL")</f>
        <v>SENEGAL</v>
      </c>
      <c r="B670" s="8">
        <f>IFERROR(__xludf.DUMMYFUNCTION("""COMPUTED_VALUE"""),10.0)</f>
        <v>10</v>
      </c>
      <c r="C670" s="7" t="str">
        <f>IFERROR(__xludf.DUMMYFUNCTION("""COMPUTED_VALUE"""),"H_30")</f>
        <v>H_30</v>
      </c>
      <c r="D670" s="7" t="str">
        <f>IFERROR(__xludf.DUMMYFUNCTION("""COMPUTED_VALUE"""),"Q37d. ")</f>
        <v>Q37d. </v>
      </c>
      <c r="E670" s="7" t="str">
        <f>IFERROR(__xludf.DUMMYFUNCTION("""COMPUTED_VALUE"""),"Trust your elected local government council")</f>
        <v>Trust your elected local government council</v>
      </c>
      <c r="F670" s="7" t="str">
        <f>IFERROR(__xludf.DUMMYFUNCTION("""COMPUTED_VALUE"""),"Your municipal council")</f>
        <v>Your municipal council</v>
      </c>
    </row>
    <row r="671">
      <c r="A671" s="7" t="str">
        <f>IFERROR(__xludf.DUMMYFUNCTION("""COMPUTED_VALUE"""),"SEYCHELLES")</f>
        <v>SEYCHELLES</v>
      </c>
      <c r="B671" s="8">
        <f>IFERROR(__xludf.DUMMYFUNCTION("""COMPUTED_VALUE"""),10.0)</f>
        <v>10</v>
      </c>
      <c r="C671" s="7" t="str">
        <f>IFERROR(__xludf.DUMMYFUNCTION("""COMPUTED_VALUE"""),"H_30")</f>
        <v>H_30</v>
      </c>
      <c r="D671" s="7" t="str">
        <f>IFERROR(__xludf.DUMMYFUNCTION("""COMPUTED_VALUE"""),"Q37d. ")</f>
        <v>Q37d. </v>
      </c>
      <c r="E671" s="7" t="str">
        <f>IFERROR(__xludf.DUMMYFUNCTION("""COMPUTED_VALUE"""),"Trust your elected local government council")</f>
        <v>Trust your elected local government council</v>
      </c>
      <c r="F671" s="7" t="str">
        <f>IFERROR(__xludf.DUMMYFUNCTION("""COMPUTED_VALUE"""),"Your District Administration
")</f>
        <v>Your District Administration
</v>
      </c>
    </row>
    <row r="672">
      <c r="A672" s="7" t="str">
        <f>IFERROR(__xludf.DUMMYFUNCTION("""COMPUTED_VALUE"""),"SOUTH AFRICA")</f>
        <v>SOUTH AFRICA</v>
      </c>
      <c r="B672" s="8">
        <f>IFERROR(__xludf.DUMMYFUNCTION("""COMPUTED_VALUE"""),10.0)</f>
        <v>10</v>
      </c>
      <c r="C672" s="7" t="str">
        <f>IFERROR(__xludf.DUMMYFUNCTION("""COMPUTED_VALUE"""),"H_30")</f>
        <v>H_30</v>
      </c>
      <c r="D672" s="7" t="str">
        <f>IFERROR(__xludf.DUMMYFUNCTION("""COMPUTED_VALUE"""),"Q37d. ")</f>
        <v>Q37d. </v>
      </c>
      <c r="E672" s="7" t="str">
        <f>IFERROR(__xludf.DUMMYFUNCTION("""COMPUTED_VALUE"""),"Trust your elected local government council")</f>
        <v>Trust your elected local government council</v>
      </c>
      <c r="F672" s="7" t="str">
        <f>IFERROR(__xludf.DUMMYFUNCTION("""COMPUTED_VALUE"""),"Your local government council
")</f>
        <v>Your local government council
</v>
      </c>
    </row>
    <row r="673">
      <c r="A673" s="7" t="str">
        <f>IFERROR(__xludf.DUMMYFUNCTION("""COMPUTED_VALUE"""),"TANZANIA")</f>
        <v>TANZANIA</v>
      </c>
      <c r="B673" s="8">
        <f>IFERROR(__xludf.DUMMYFUNCTION("""COMPUTED_VALUE"""),10.0)</f>
        <v>10</v>
      </c>
      <c r="C673" s="7" t="str">
        <f>IFERROR(__xludf.DUMMYFUNCTION("""COMPUTED_VALUE"""),"H_30")</f>
        <v>H_30</v>
      </c>
      <c r="D673" s="7" t="str">
        <f>IFERROR(__xludf.DUMMYFUNCTION("""COMPUTED_VALUE"""),"Q37d. ")</f>
        <v>Q37d. </v>
      </c>
      <c r="E673" s="7" t="str">
        <f>IFERROR(__xludf.DUMMYFUNCTION("""COMPUTED_VALUE"""),"Trust your elected local government council")</f>
        <v>Trust your elected local government council</v>
      </c>
      <c r="F673" s="7" t="str">
        <f>IFERROR(__xludf.DUMMYFUNCTION("""COMPUTED_VALUE"""),"Your local government council
")</f>
        <v>Your local government council
</v>
      </c>
    </row>
    <row r="674">
      <c r="A674" s="7" t="str">
        <f>IFERROR(__xludf.DUMMYFUNCTION("""COMPUTED_VALUE"""),"TOGO ")</f>
        <v>TOGO </v>
      </c>
      <c r="B674" s="8">
        <f>IFERROR(__xludf.DUMMYFUNCTION("""COMPUTED_VALUE"""),10.0)</f>
        <v>10</v>
      </c>
      <c r="C674" s="7" t="str">
        <f>IFERROR(__xludf.DUMMYFUNCTION("""COMPUTED_VALUE"""),"H_30")</f>
        <v>H_30</v>
      </c>
      <c r="D674" s="7" t="str">
        <f>IFERROR(__xludf.DUMMYFUNCTION("""COMPUTED_VALUE"""),"Q37d. ")</f>
        <v>Q37d. </v>
      </c>
      <c r="E674" s="7" t="str">
        <f>IFERROR(__xludf.DUMMYFUNCTION("""COMPUTED_VALUE"""),"Trust your elected local government council")</f>
        <v>Trust your elected local government council</v>
      </c>
      <c r="F674" s="7" t="str">
        <f>IFERROR(__xludf.DUMMYFUNCTION("""COMPUTED_VALUE"""),"Your municipal council")</f>
        <v>Your municipal council</v>
      </c>
    </row>
    <row r="675">
      <c r="A675" s="7" t="str">
        <f>IFERROR(__xludf.DUMMYFUNCTION("""COMPUTED_VALUE"""),"UGANDA  ")</f>
        <v>UGANDA  </v>
      </c>
      <c r="B675" s="8">
        <f>IFERROR(__xludf.DUMMYFUNCTION("""COMPUTED_VALUE"""),10.0)</f>
        <v>10</v>
      </c>
      <c r="C675" s="7" t="str">
        <f>IFERROR(__xludf.DUMMYFUNCTION("""COMPUTED_VALUE"""),"H_30")</f>
        <v>H_30</v>
      </c>
      <c r="D675" s="7" t="str">
        <f>IFERROR(__xludf.DUMMYFUNCTION("""COMPUTED_VALUE"""),"Q37d. ")</f>
        <v>Q37d. </v>
      </c>
      <c r="E675" s="7" t="str">
        <f>IFERROR(__xludf.DUMMYFUNCTION("""COMPUTED_VALUE"""),"Trust your elected local government council")</f>
        <v>Trust your elected local government council</v>
      </c>
      <c r="F675" s="7" t="str">
        <f>IFERROR(__xludf.DUMMYFUNCTION("""COMPUTED_VALUE"""),"Your district or city council
")</f>
        <v>Your district or city council
</v>
      </c>
    </row>
    <row r="676">
      <c r="A676" s="7" t="str">
        <f>IFERROR(__xludf.DUMMYFUNCTION("""COMPUTED_VALUE"""),"ZAMBIA")</f>
        <v>ZAMBIA</v>
      </c>
      <c r="B676" s="8">
        <f>IFERROR(__xludf.DUMMYFUNCTION("""COMPUTED_VALUE"""),10.0)</f>
        <v>10</v>
      </c>
      <c r="C676" s="7" t="str">
        <f>IFERROR(__xludf.DUMMYFUNCTION("""COMPUTED_VALUE"""),"H_30")</f>
        <v>H_30</v>
      </c>
      <c r="D676" s="7" t="str">
        <f>IFERROR(__xludf.DUMMYFUNCTION("""COMPUTED_VALUE"""),"Q37d. ")</f>
        <v>Q37d. </v>
      </c>
      <c r="E676" s="7" t="str">
        <f>IFERROR(__xludf.DUMMYFUNCTION("""COMPUTED_VALUE"""),"Trust your elected local government council")</f>
        <v>Trust your elected local government council</v>
      </c>
      <c r="F676" s="7" t="str">
        <f>IFERROR(__xludf.DUMMYFUNCTION("""COMPUTED_VALUE"""),"Your local government council
")</f>
        <v>Your local government council
</v>
      </c>
    </row>
    <row r="677">
      <c r="A677" s="7" t="str">
        <f>IFERROR(__xludf.DUMMYFUNCTION("""COMPUTED_VALUE"""),"ZIMBABWE")</f>
        <v>ZIMBABWE</v>
      </c>
      <c r="B677" s="8">
        <f>IFERROR(__xludf.DUMMYFUNCTION("""COMPUTED_VALUE"""),10.0)</f>
        <v>10</v>
      </c>
      <c r="C677" s="7" t="str">
        <f>IFERROR(__xludf.DUMMYFUNCTION("""COMPUTED_VALUE"""),"H_30")</f>
        <v>H_30</v>
      </c>
      <c r="D677" s="7" t="str">
        <f>IFERROR(__xludf.DUMMYFUNCTION("""COMPUTED_VALUE"""),"Q37d. ")</f>
        <v>Q37d. </v>
      </c>
      <c r="E677" s="7" t="str">
        <f>IFERROR(__xludf.DUMMYFUNCTION("""COMPUTED_VALUE"""),"Trust your elected local government council")</f>
        <v>Trust your elected local government council</v>
      </c>
      <c r="F677" s="7" t="str">
        <f>IFERROR(__xludf.DUMMYFUNCTION("""COMPUTED_VALUE"""),"Your local government council
")</f>
        <v>Your local government council
</v>
      </c>
    </row>
    <row r="678">
      <c r="A678" s="7" t="str">
        <f>IFERROR(__xludf.DUMMYFUNCTION("""COMPUTED_VALUE"""),"ANGOLA ")</f>
        <v>ANGOLA </v>
      </c>
      <c r="B678" s="8">
        <f>IFERROR(__xludf.DUMMYFUNCTION("""COMPUTED_VALUE"""),10.0)</f>
        <v>10</v>
      </c>
      <c r="C678" s="7" t="str">
        <f>IFERROR(__xludf.DUMMYFUNCTION("""COMPUTED_VALUE"""),"H_31")</f>
        <v>H_31</v>
      </c>
      <c r="D678" s="7" t="str">
        <f>IFERROR(__xludf.DUMMYFUNCTION("""COMPUTED_VALUE"""),"Q37j. ")</f>
        <v>Q37j. </v>
      </c>
      <c r="E678" s="7" t="str">
        <f>IFERROR(__xludf.DUMMYFUNCTION("""COMPUTED_VALUE"""),"Trust Ministry of Health or public health agency")</f>
        <v>Trust Ministry of Health or public health agency</v>
      </c>
      <c r="F678" s="7" t="str">
        <f>IFERROR(__xludf.DUMMYFUNCTION("""COMPUTED_VALUE"""),"Ministry of Health")</f>
        <v>Ministry of Health</v>
      </c>
    </row>
    <row r="679">
      <c r="A679" s="7" t="str">
        <f>IFERROR(__xludf.DUMMYFUNCTION("""COMPUTED_VALUE"""),"BENIN")</f>
        <v>BENIN</v>
      </c>
      <c r="B679" s="8">
        <f>IFERROR(__xludf.DUMMYFUNCTION("""COMPUTED_VALUE"""),10.0)</f>
        <v>10</v>
      </c>
      <c r="C679" s="7" t="str">
        <f>IFERROR(__xludf.DUMMYFUNCTION("""COMPUTED_VALUE"""),"H_31")</f>
        <v>H_31</v>
      </c>
      <c r="D679" s="7" t="str">
        <f>IFERROR(__xludf.DUMMYFUNCTION("""COMPUTED_VALUE"""),"Q37j. ")</f>
        <v>Q37j. </v>
      </c>
      <c r="E679" s="7" t="str">
        <f>IFERROR(__xludf.DUMMYFUNCTION("""COMPUTED_VALUE"""),"Trust Ministry of Health or public health agency")</f>
        <v>Trust Ministry of Health or public health agency</v>
      </c>
      <c r="F679" s="7" t="str">
        <f>IFERROR(__xludf.DUMMYFUNCTION("""COMPUTED_VALUE"""),"Ministry of Health")</f>
        <v>Ministry of Health</v>
      </c>
    </row>
    <row r="680">
      <c r="A680" s="7" t="str">
        <f>IFERROR(__xludf.DUMMYFUNCTION("""COMPUTED_VALUE"""),"BOTSWANA ")</f>
        <v>BOTSWANA </v>
      </c>
      <c r="B680" s="8">
        <f>IFERROR(__xludf.DUMMYFUNCTION("""COMPUTED_VALUE"""),10.0)</f>
        <v>10</v>
      </c>
      <c r="C680" s="7" t="str">
        <f>IFERROR(__xludf.DUMMYFUNCTION("""COMPUTED_VALUE"""),"H_31")</f>
        <v>H_31</v>
      </c>
      <c r="D680" s="7" t="str">
        <f>IFERROR(__xludf.DUMMYFUNCTION("""COMPUTED_VALUE"""),"Q37j. ")</f>
        <v>Q37j. </v>
      </c>
      <c r="E680" s="7" t="str">
        <f>IFERROR(__xludf.DUMMYFUNCTION("""COMPUTED_VALUE"""),"Trust Ministry of Health or public health agency")</f>
        <v>Trust Ministry of Health or public health agency</v>
      </c>
      <c r="F680" s="7" t="str">
        <f>IFERROR(__xludf.DUMMYFUNCTION("""COMPUTED_VALUE"""),"Ministry of Health")</f>
        <v>Ministry of Health</v>
      </c>
    </row>
    <row r="681">
      <c r="A681" s="7" t="str">
        <f>IFERROR(__xludf.DUMMYFUNCTION("""COMPUTED_VALUE"""),"CABO VERDE ")</f>
        <v>CABO VERDE </v>
      </c>
      <c r="B681" s="8">
        <f>IFERROR(__xludf.DUMMYFUNCTION("""COMPUTED_VALUE"""),10.0)</f>
        <v>10</v>
      </c>
      <c r="C681" s="7" t="str">
        <f>IFERROR(__xludf.DUMMYFUNCTION("""COMPUTED_VALUE"""),"H_31")</f>
        <v>H_31</v>
      </c>
      <c r="D681" s="7" t="str">
        <f>IFERROR(__xludf.DUMMYFUNCTION("""COMPUTED_VALUE"""),"Q37j. ")</f>
        <v>Q37j. </v>
      </c>
      <c r="E681" s="7" t="str">
        <f>IFERROR(__xludf.DUMMYFUNCTION("""COMPUTED_VALUE"""),"Trust Ministry of Health or public health agency")</f>
        <v>Trust Ministry of Health or public health agency</v>
      </c>
      <c r="F681" s="7" t="str">
        <f>IFERROR(__xludf.DUMMYFUNCTION("""COMPUTED_VALUE"""),"Ministry of Health")</f>
        <v>Ministry of Health</v>
      </c>
    </row>
    <row r="682">
      <c r="A682" s="7" t="str">
        <f>IFERROR(__xludf.DUMMYFUNCTION("""COMPUTED_VALUE"""),"CAMEROON")</f>
        <v>CAMEROON</v>
      </c>
      <c r="B682" s="8">
        <f>IFERROR(__xludf.DUMMYFUNCTION("""COMPUTED_VALUE"""),10.0)</f>
        <v>10</v>
      </c>
      <c r="C682" s="7" t="str">
        <f>IFERROR(__xludf.DUMMYFUNCTION("""COMPUTED_VALUE"""),"H_31")</f>
        <v>H_31</v>
      </c>
      <c r="D682" s="7" t="str">
        <f>IFERROR(__xludf.DUMMYFUNCTION("""COMPUTED_VALUE"""),"Q37j. ")</f>
        <v>Q37j. </v>
      </c>
      <c r="E682" s="7" t="str">
        <f>IFERROR(__xludf.DUMMYFUNCTION("""COMPUTED_VALUE"""),"Trust Ministry of Health or public health agency")</f>
        <v>Trust Ministry of Health or public health agency</v>
      </c>
      <c r="F682" s="7" t="str">
        <f>IFERROR(__xludf.DUMMYFUNCTION("""COMPUTED_VALUE"""),"Ministry of Health")</f>
        <v>Ministry of Health</v>
      </c>
    </row>
    <row r="683">
      <c r="A683" s="7" t="str">
        <f>IFERROR(__xludf.DUMMYFUNCTION("""COMPUTED_VALUE"""),"CHAD")</f>
        <v>CHAD</v>
      </c>
      <c r="B683" s="8">
        <f>IFERROR(__xludf.DUMMYFUNCTION("""COMPUTED_VALUE"""),10.0)</f>
        <v>10</v>
      </c>
      <c r="C683" s="7" t="str">
        <f>IFERROR(__xludf.DUMMYFUNCTION("""COMPUTED_VALUE"""),"H_31")</f>
        <v>H_31</v>
      </c>
      <c r="D683" s="7" t="str">
        <f>IFERROR(__xludf.DUMMYFUNCTION("""COMPUTED_VALUE"""),"Q37j. ")</f>
        <v>Q37j. </v>
      </c>
      <c r="E683" s="7" t="str">
        <f>IFERROR(__xludf.DUMMYFUNCTION("""COMPUTED_VALUE"""),"Trust Ministry of Health or public health agency")</f>
        <v>Trust Ministry of Health or public health agency</v>
      </c>
      <c r="F683" s="7" t="str">
        <f>IFERROR(__xludf.DUMMYFUNCTION("""COMPUTED_VALUE"""),"Ministry of Public Health")</f>
        <v>Ministry of Public Health</v>
      </c>
    </row>
    <row r="684">
      <c r="A684" s="7" t="str">
        <f>IFERROR(__xludf.DUMMYFUNCTION("""COMPUTED_VALUE"""),"COMOROS")</f>
        <v>COMOROS</v>
      </c>
      <c r="B684" s="8">
        <f>IFERROR(__xludf.DUMMYFUNCTION("""COMPUTED_VALUE"""),10.0)</f>
        <v>10</v>
      </c>
      <c r="C684" s="7" t="str">
        <f>IFERROR(__xludf.DUMMYFUNCTION("""COMPUTED_VALUE"""),"H_31")</f>
        <v>H_31</v>
      </c>
      <c r="D684" s="7" t="str">
        <f>IFERROR(__xludf.DUMMYFUNCTION("""COMPUTED_VALUE"""),"Q37j. ")</f>
        <v>Q37j. </v>
      </c>
      <c r="E684" s="7" t="str">
        <f>IFERROR(__xludf.DUMMYFUNCTION("""COMPUTED_VALUE"""),"Trust Ministry of Health or public health agency")</f>
        <v>Trust Ministry of Health or public health agency</v>
      </c>
      <c r="F684" s="7" t="str">
        <f>IFERROR(__xludf.DUMMYFUNCTION("""COMPUTED_VALUE"""),"Ministry of Health")</f>
        <v>Ministry of Health</v>
      </c>
    </row>
    <row r="685">
      <c r="A685" s="7" t="str">
        <f>IFERROR(__xludf.DUMMYFUNCTION("""COMPUTED_VALUE"""),"CONGO BRAZZAVILLE")</f>
        <v>CONGO BRAZZAVILLE</v>
      </c>
      <c r="B685" s="8">
        <f>IFERROR(__xludf.DUMMYFUNCTION("""COMPUTED_VALUE"""),10.0)</f>
        <v>10</v>
      </c>
      <c r="C685" s="7" t="str">
        <f>IFERROR(__xludf.DUMMYFUNCTION("""COMPUTED_VALUE"""),"H_31")</f>
        <v>H_31</v>
      </c>
      <c r="D685" s="7" t="str">
        <f>IFERROR(__xludf.DUMMYFUNCTION("""COMPUTED_VALUE"""),"Q37j. ")</f>
        <v>Q37j. </v>
      </c>
      <c r="E685" s="7" t="str">
        <f>IFERROR(__xludf.DUMMYFUNCTION("""COMPUTED_VALUE"""),"Trust Ministry of Health or public health agency")</f>
        <v>Trust Ministry of Health or public health agency</v>
      </c>
      <c r="F685" s="7" t="str">
        <f>IFERROR(__xludf.DUMMYFUNCTION("""COMPUTED_VALUE"""),"Ministry of Health and Population")</f>
        <v>Ministry of Health and Population</v>
      </c>
    </row>
    <row r="686">
      <c r="A686" s="7" t="str">
        <f>IFERROR(__xludf.DUMMYFUNCTION("""COMPUTED_VALUE"""),"COTE D'IVOIRE")</f>
        <v>COTE D'IVOIRE</v>
      </c>
      <c r="B686" s="8">
        <f>IFERROR(__xludf.DUMMYFUNCTION("""COMPUTED_VALUE"""),10.0)</f>
        <v>10</v>
      </c>
      <c r="C686" s="7" t="str">
        <f>IFERROR(__xludf.DUMMYFUNCTION("""COMPUTED_VALUE"""),"H_31")</f>
        <v>H_31</v>
      </c>
      <c r="D686" s="7" t="str">
        <f>IFERROR(__xludf.DUMMYFUNCTION("""COMPUTED_VALUE"""),"Q37j. ")</f>
        <v>Q37j. </v>
      </c>
      <c r="E686" s="7" t="str">
        <f>IFERROR(__xludf.DUMMYFUNCTION("""COMPUTED_VALUE"""),"Trust Ministry of Health or public health agency")</f>
        <v>Trust Ministry of Health or public health agency</v>
      </c>
      <c r="F686" s="7" t="str">
        <f>IFERROR(__xludf.DUMMYFUNCTION("""COMPUTED_VALUE"""),"Ministry of Health, Public Hygiene, and Universal Health Coverage")</f>
        <v>Ministry of Health, Public Hygiene, and Universal Health Coverage</v>
      </c>
    </row>
    <row r="687">
      <c r="A687" s="7" t="str">
        <f>IFERROR(__xludf.DUMMYFUNCTION("""COMPUTED_VALUE"""),"ESWATINI")</f>
        <v>ESWATINI</v>
      </c>
      <c r="B687" s="8">
        <f>IFERROR(__xludf.DUMMYFUNCTION("""COMPUTED_VALUE"""),10.0)</f>
        <v>10</v>
      </c>
      <c r="C687" s="7" t="str">
        <f>IFERROR(__xludf.DUMMYFUNCTION("""COMPUTED_VALUE"""),"H_31")</f>
        <v>H_31</v>
      </c>
      <c r="D687" s="7" t="str">
        <f>IFERROR(__xludf.DUMMYFUNCTION("""COMPUTED_VALUE"""),"Q37j. ")</f>
        <v>Q37j. </v>
      </c>
      <c r="E687" s="7" t="str">
        <f>IFERROR(__xludf.DUMMYFUNCTION("""COMPUTED_VALUE"""),"Trust Ministry of Health or public health agency")</f>
        <v>Trust Ministry of Health or public health agency</v>
      </c>
      <c r="F687" s="7" t="str">
        <f>IFERROR(__xludf.DUMMYFUNCTION("""COMPUTED_VALUE"""),"Ministry of Health")</f>
        <v>Ministry of Health</v>
      </c>
    </row>
    <row r="688">
      <c r="A688" s="7" t="str">
        <f>IFERROR(__xludf.DUMMYFUNCTION("""COMPUTED_VALUE"""),"GABON")</f>
        <v>GABON</v>
      </c>
      <c r="B688" s="8">
        <f>IFERROR(__xludf.DUMMYFUNCTION("""COMPUTED_VALUE"""),10.0)</f>
        <v>10</v>
      </c>
      <c r="C688" s="7" t="str">
        <f>IFERROR(__xludf.DUMMYFUNCTION("""COMPUTED_VALUE"""),"H_31")</f>
        <v>H_31</v>
      </c>
      <c r="D688" s="7" t="str">
        <f>IFERROR(__xludf.DUMMYFUNCTION("""COMPUTED_VALUE"""),"Q37j. ")</f>
        <v>Q37j. </v>
      </c>
      <c r="E688" s="7" t="str">
        <f>IFERROR(__xludf.DUMMYFUNCTION("""COMPUTED_VALUE"""),"Trust Ministry of Health or public health agency")</f>
        <v>Trust Ministry of Health or public health agency</v>
      </c>
      <c r="F688" s="7" t="str">
        <f>IFERROR(__xludf.DUMMYFUNCTION("""COMPUTED_VALUE"""),"Ministry of Health")</f>
        <v>Ministry of Health</v>
      </c>
    </row>
    <row r="689">
      <c r="A689" s="7" t="str">
        <f>IFERROR(__xludf.DUMMYFUNCTION("""COMPUTED_VALUE"""),"GAMBIA")</f>
        <v>GAMBIA</v>
      </c>
      <c r="B689" s="8">
        <f>IFERROR(__xludf.DUMMYFUNCTION("""COMPUTED_VALUE"""),10.0)</f>
        <v>10</v>
      </c>
      <c r="C689" s="7" t="str">
        <f>IFERROR(__xludf.DUMMYFUNCTION("""COMPUTED_VALUE"""),"H_31")</f>
        <v>H_31</v>
      </c>
      <c r="D689" s="7" t="str">
        <f>IFERROR(__xludf.DUMMYFUNCTION("""COMPUTED_VALUE"""),"Q37j. ")</f>
        <v>Q37j. </v>
      </c>
      <c r="E689" s="7" t="str">
        <f>IFERROR(__xludf.DUMMYFUNCTION("""COMPUTED_VALUE"""),"Trust Ministry of Health or public health agency")</f>
        <v>Trust Ministry of Health or public health agency</v>
      </c>
      <c r="F689" s="7" t="str">
        <f>IFERROR(__xludf.DUMMYFUNCTION("""COMPUTED_VALUE"""),"Ministry of Health")</f>
        <v>Ministry of Health</v>
      </c>
    </row>
    <row r="690">
      <c r="A690" s="7" t="str">
        <f>IFERROR(__xludf.DUMMYFUNCTION("""COMPUTED_VALUE"""),"GHANA ")</f>
        <v>GHANA </v>
      </c>
      <c r="B690" s="8">
        <f>IFERROR(__xludf.DUMMYFUNCTION("""COMPUTED_VALUE"""),10.0)</f>
        <v>10</v>
      </c>
      <c r="C690" s="7" t="str">
        <f>IFERROR(__xludf.DUMMYFUNCTION("""COMPUTED_VALUE"""),"H_31")</f>
        <v>H_31</v>
      </c>
      <c r="D690" s="7" t="str">
        <f>IFERROR(__xludf.DUMMYFUNCTION("""COMPUTED_VALUE"""),"Q37j. ")</f>
        <v>Q37j. </v>
      </c>
      <c r="E690" s="7" t="str">
        <f>IFERROR(__xludf.DUMMYFUNCTION("""COMPUTED_VALUE"""),"Trust Ministry of Health or public health agency")</f>
        <v>Trust Ministry of Health or public health agency</v>
      </c>
      <c r="F690" s="7" t="str">
        <f>IFERROR(__xludf.DUMMYFUNCTION("""COMPUTED_VALUE"""),"Ministry of Health")</f>
        <v>Ministry of Health</v>
      </c>
    </row>
    <row r="691">
      <c r="A691" s="7" t="str">
        <f>IFERROR(__xludf.DUMMYFUNCTION("""COMPUTED_VALUE"""),"GUINEA")</f>
        <v>GUINEA</v>
      </c>
      <c r="B691" s="8">
        <f>IFERROR(__xludf.DUMMYFUNCTION("""COMPUTED_VALUE"""),10.0)</f>
        <v>10</v>
      </c>
      <c r="C691" s="7" t="str">
        <f>IFERROR(__xludf.DUMMYFUNCTION("""COMPUTED_VALUE"""),"H_31")</f>
        <v>H_31</v>
      </c>
      <c r="D691" s="7" t="str">
        <f>IFERROR(__xludf.DUMMYFUNCTION("""COMPUTED_VALUE"""),"Q37j. ")</f>
        <v>Q37j. </v>
      </c>
      <c r="E691" s="7" t="str">
        <f>IFERROR(__xludf.DUMMYFUNCTION("""COMPUTED_VALUE"""),"Trust Ministry of Health or public health agency")</f>
        <v>Trust Ministry of Health or public health agency</v>
      </c>
      <c r="F691" s="7" t="str">
        <f>IFERROR(__xludf.DUMMYFUNCTION("""COMPUTED_VALUE"""),"Ministry of Health and Public Hygiene")</f>
        <v>Ministry of Health and Public Hygiene</v>
      </c>
    </row>
    <row r="692">
      <c r="A692" s="7" t="str">
        <f>IFERROR(__xludf.DUMMYFUNCTION("""COMPUTED_VALUE"""),"KENYA  ")</f>
        <v>KENYA  </v>
      </c>
      <c r="B692" s="8">
        <f>IFERROR(__xludf.DUMMYFUNCTION("""COMPUTED_VALUE"""),10.0)</f>
        <v>10</v>
      </c>
      <c r="C692" s="7" t="str">
        <f>IFERROR(__xludf.DUMMYFUNCTION("""COMPUTED_VALUE"""),"H_31")</f>
        <v>H_31</v>
      </c>
      <c r="D692" s="7" t="str">
        <f>IFERROR(__xludf.DUMMYFUNCTION("""COMPUTED_VALUE"""),"Q37j. ")</f>
        <v>Q37j. </v>
      </c>
      <c r="E692" s="7" t="str">
        <f>IFERROR(__xludf.DUMMYFUNCTION("""COMPUTED_VALUE"""),"Trust Ministry of Health or public health agency")</f>
        <v>Trust Ministry of Health or public health agency</v>
      </c>
      <c r="F692" s="7" t="str">
        <f>IFERROR(__xludf.DUMMYFUNCTION("""COMPUTED_VALUE"""),"Ministry of Health")</f>
        <v>Ministry of Health</v>
      </c>
    </row>
    <row r="693">
      <c r="A693" s="7" t="str">
        <f>IFERROR(__xludf.DUMMYFUNCTION("""COMPUTED_VALUE"""),"LESOTHO ")</f>
        <v>LESOTHO </v>
      </c>
      <c r="B693" s="8">
        <f>IFERROR(__xludf.DUMMYFUNCTION("""COMPUTED_VALUE"""),10.0)</f>
        <v>10</v>
      </c>
      <c r="C693" s="7" t="str">
        <f>IFERROR(__xludf.DUMMYFUNCTION("""COMPUTED_VALUE"""),"H_31")</f>
        <v>H_31</v>
      </c>
      <c r="D693" s="7" t="str">
        <f>IFERROR(__xludf.DUMMYFUNCTION("""COMPUTED_VALUE"""),"Q37j. ")</f>
        <v>Q37j. </v>
      </c>
      <c r="E693" s="7" t="str">
        <f>IFERROR(__xludf.DUMMYFUNCTION("""COMPUTED_VALUE"""),"Trust Ministry of Health or public health agency")</f>
        <v>Trust Ministry of Health or public health agency</v>
      </c>
      <c r="F693" s="7" t="str">
        <f>IFERROR(__xludf.DUMMYFUNCTION("""COMPUTED_VALUE"""),"Ministry Of Health or Public Health Institution")</f>
        <v>Ministry Of Health or Public Health Institution</v>
      </c>
    </row>
    <row r="694">
      <c r="A694" s="7" t="str">
        <f>IFERROR(__xludf.DUMMYFUNCTION("""COMPUTED_VALUE"""),"LIBERIA  ")</f>
        <v>LIBERIA  </v>
      </c>
      <c r="B694" s="8">
        <f>IFERROR(__xludf.DUMMYFUNCTION("""COMPUTED_VALUE"""),10.0)</f>
        <v>10</v>
      </c>
      <c r="C694" s="7" t="str">
        <f>IFERROR(__xludf.DUMMYFUNCTION("""COMPUTED_VALUE"""),"H_31")</f>
        <v>H_31</v>
      </c>
      <c r="D694" s="7" t="str">
        <f>IFERROR(__xludf.DUMMYFUNCTION("""COMPUTED_VALUE"""),"Q37j. ")</f>
        <v>Q37j. </v>
      </c>
      <c r="E694" s="7" t="str">
        <f>IFERROR(__xludf.DUMMYFUNCTION("""COMPUTED_VALUE"""),"Trust Ministry of Health or public health agency")</f>
        <v>Trust Ministry of Health or public health agency</v>
      </c>
      <c r="F694" s="7" t="str">
        <f>IFERROR(__xludf.DUMMYFUNCTION("""COMPUTED_VALUE"""),"Ministry of Health")</f>
        <v>Ministry of Health</v>
      </c>
    </row>
    <row r="695">
      <c r="A695" s="7" t="str">
        <f>IFERROR(__xludf.DUMMYFUNCTION("""COMPUTED_VALUE"""),"MADAGASCAR")</f>
        <v>MADAGASCAR</v>
      </c>
      <c r="B695" s="8">
        <f>IFERROR(__xludf.DUMMYFUNCTION("""COMPUTED_VALUE"""),10.0)</f>
        <v>10</v>
      </c>
      <c r="C695" s="7" t="str">
        <f>IFERROR(__xludf.DUMMYFUNCTION("""COMPUTED_VALUE"""),"H_31")</f>
        <v>H_31</v>
      </c>
      <c r="D695" s="7" t="str">
        <f>IFERROR(__xludf.DUMMYFUNCTION("""COMPUTED_VALUE"""),"Q37j. ")</f>
        <v>Q37j. </v>
      </c>
      <c r="E695" s="7" t="str">
        <f>IFERROR(__xludf.DUMMYFUNCTION("""COMPUTED_VALUE"""),"Trust Ministry of Health or public health agency")</f>
        <v>Trust Ministry of Health or public health agency</v>
      </c>
      <c r="F695" s="7" t="str">
        <f>IFERROR(__xludf.DUMMYFUNCTION("""COMPUTED_VALUE"""),"Ministry of Public Health")</f>
        <v>Ministry of Public Health</v>
      </c>
    </row>
    <row r="696">
      <c r="A696" s="7" t="str">
        <f>IFERROR(__xludf.DUMMYFUNCTION("""COMPUTED_VALUE"""),"MALAWI ")</f>
        <v>MALAWI </v>
      </c>
      <c r="B696" s="8">
        <f>IFERROR(__xludf.DUMMYFUNCTION("""COMPUTED_VALUE"""),10.0)</f>
        <v>10</v>
      </c>
      <c r="C696" s="7" t="str">
        <f>IFERROR(__xludf.DUMMYFUNCTION("""COMPUTED_VALUE"""),"H_31")</f>
        <v>H_31</v>
      </c>
      <c r="D696" s="7" t="str">
        <f>IFERROR(__xludf.DUMMYFUNCTION("""COMPUTED_VALUE"""),"Q37j. ")</f>
        <v>Q37j. </v>
      </c>
      <c r="E696" s="7" t="str">
        <f>IFERROR(__xludf.DUMMYFUNCTION("""COMPUTED_VALUE"""),"Trust Ministry of Health or public health agency")</f>
        <v>Trust Ministry of Health or public health agency</v>
      </c>
      <c r="F696" s="7" t="str">
        <f>IFERROR(__xludf.DUMMYFUNCTION("""COMPUTED_VALUE"""),"Ministry of Health")</f>
        <v>Ministry of Health</v>
      </c>
    </row>
    <row r="697">
      <c r="A697" s="7" t="str">
        <f>IFERROR(__xludf.DUMMYFUNCTION("""COMPUTED_VALUE"""),"MALI")</f>
        <v>MALI</v>
      </c>
      <c r="B697" s="8">
        <f>IFERROR(__xludf.DUMMYFUNCTION("""COMPUTED_VALUE"""),10.0)</f>
        <v>10</v>
      </c>
      <c r="C697" s="7" t="str">
        <f>IFERROR(__xludf.DUMMYFUNCTION("""COMPUTED_VALUE"""),"H_31")</f>
        <v>H_31</v>
      </c>
      <c r="D697" s="7" t="str">
        <f>IFERROR(__xludf.DUMMYFUNCTION("""COMPUTED_VALUE"""),"Q37j. ")</f>
        <v>Q37j. </v>
      </c>
      <c r="E697" s="7" t="str">
        <f>IFERROR(__xludf.DUMMYFUNCTION("""COMPUTED_VALUE"""),"Trust Ministry of Health or public health agency")</f>
        <v>Trust Ministry of Health or public health agency</v>
      </c>
      <c r="F697" s="7" t="str">
        <f>IFERROR(__xludf.DUMMYFUNCTION("""COMPUTED_VALUE"""),"Ministry of Health")</f>
        <v>Ministry of Health</v>
      </c>
    </row>
    <row r="698">
      <c r="A698" s="7" t="str">
        <f>IFERROR(__xludf.DUMMYFUNCTION("""COMPUTED_VALUE"""),"MAURITANIA")</f>
        <v>MAURITANIA</v>
      </c>
      <c r="B698" s="8">
        <f>IFERROR(__xludf.DUMMYFUNCTION("""COMPUTED_VALUE"""),10.0)</f>
        <v>10</v>
      </c>
      <c r="C698" s="7" t="str">
        <f>IFERROR(__xludf.DUMMYFUNCTION("""COMPUTED_VALUE"""),"H_31")</f>
        <v>H_31</v>
      </c>
      <c r="D698" s="7" t="str">
        <f>IFERROR(__xludf.DUMMYFUNCTION("""COMPUTED_VALUE"""),"Q37j. ")</f>
        <v>Q37j. </v>
      </c>
      <c r="E698" s="7" t="str">
        <f>IFERROR(__xludf.DUMMYFUNCTION("""COMPUTED_VALUE"""),"Trust Ministry of Health or public health agency")</f>
        <v>Trust Ministry of Health or public health agency</v>
      </c>
      <c r="F698" s="7" t="str">
        <f>IFERROR(__xludf.DUMMYFUNCTION("""COMPUTED_VALUE"""),"Ministry Of Health or Public Health Institution")</f>
        <v>Ministry Of Health or Public Health Institution</v>
      </c>
    </row>
    <row r="699">
      <c r="A699" s="7" t="str">
        <f>IFERROR(__xludf.DUMMYFUNCTION("""COMPUTED_VALUE"""),"MAURITIUS")</f>
        <v>MAURITIUS</v>
      </c>
      <c r="B699" s="8">
        <f>IFERROR(__xludf.DUMMYFUNCTION("""COMPUTED_VALUE"""),10.0)</f>
        <v>10</v>
      </c>
      <c r="C699" s="7" t="str">
        <f>IFERROR(__xludf.DUMMYFUNCTION("""COMPUTED_VALUE"""),"H_31")</f>
        <v>H_31</v>
      </c>
      <c r="D699" s="7" t="str">
        <f>IFERROR(__xludf.DUMMYFUNCTION("""COMPUTED_VALUE"""),"Q37j. ")</f>
        <v>Q37j. </v>
      </c>
      <c r="E699" s="7" t="str">
        <f>IFERROR(__xludf.DUMMYFUNCTION("""COMPUTED_VALUE"""),"Trust Ministry of Health or public health agency")</f>
        <v>Trust Ministry of Health or public health agency</v>
      </c>
      <c r="F699" s="7" t="str">
        <f>IFERROR(__xludf.DUMMYFUNCTION("""COMPUTED_VALUE"""),"Ministry of Health and Wellness")</f>
        <v>Ministry of Health and Wellness</v>
      </c>
    </row>
    <row r="700">
      <c r="A700" s="7" t="str">
        <f>IFERROR(__xludf.DUMMYFUNCTION("""COMPUTED_VALUE"""),"MOROCCO ")</f>
        <v>MOROCCO </v>
      </c>
      <c r="B700" s="8">
        <f>IFERROR(__xludf.DUMMYFUNCTION("""COMPUTED_VALUE"""),10.0)</f>
        <v>10</v>
      </c>
      <c r="C700" s="7" t="str">
        <f>IFERROR(__xludf.DUMMYFUNCTION("""COMPUTED_VALUE"""),"H_31")</f>
        <v>H_31</v>
      </c>
      <c r="D700" s="7" t="str">
        <f>IFERROR(__xludf.DUMMYFUNCTION("""COMPUTED_VALUE"""),"Q37j. ")</f>
        <v>Q37j. </v>
      </c>
      <c r="E700" s="7" t="str">
        <f>IFERROR(__xludf.DUMMYFUNCTION("""COMPUTED_VALUE"""),"Trust Ministry of Health or public health agency")</f>
        <v>Trust Ministry of Health or public health agency</v>
      </c>
      <c r="F700" s="7" t="str">
        <f>IFERROR(__xludf.DUMMYFUNCTION("""COMPUTED_VALUE"""),"Ministry of Health and Social Protection
")</f>
        <v>Ministry of Health and Social Protection
</v>
      </c>
    </row>
    <row r="701">
      <c r="A701" s="7" t="str">
        <f>IFERROR(__xludf.DUMMYFUNCTION("""COMPUTED_VALUE"""),"MOZAMBIQUE")</f>
        <v>MOZAMBIQUE</v>
      </c>
      <c r="B701" s="8">
        <f>IFERROR(__xludf.DUMMYFUNCTION("""COMPUTED_VALUE"""),10.0)</f>
        <v>10</v>
      </c>
      <c r="C701" s="7" t="str">
        <f>IFERROR(__xludf.DUMMYFUNCTION("""COMPUTED_VALUE"""),"H_31")</f>
        <v>H_31</v>
      </c>
      <c r="D701" s="7" t="str">
        <f>IFERROR(__xludf.DUMMYFUNCTION("""COMPUTED_VALUE"""),"Q37j. ")</f>
        <v>Q37j. </v>
      </c>
      <c r="E701" s="7" t="str">
        <f>IFERROR(__xludf.DUMMYFUNCTION("""COMPUTED_VALUE"""),"Trust Ministry of Health or public health agency")</f>
        <v>Trust Ministry of Health or public health agency</v>
      </c>
      <c r="F701" s="7" t="str">
        <f>IFERROR(__xludf.DUMMYFUNCTION("""COMPUTED_VALUE"""),"Ministry of Health (MISAU) or  National Institute of Health (INS)
")</f>
        <v>Ministry of Health (MISAU) or  National Institute of Health (INS)
</v>
      </c>
    </row>
    <row r="702">
      <c r="A702" s="7" t="str">
        <f>IFERROR(__xludf.DUMMYFUNCTION("""COMPUTED_VALUE"""),"NAMIBIA ")</f>
        <v>NAMIBIA </v>
      </c>
      <c r="B702" s="8">
        <f>IFERROR(__xludf.DUMMYFUNCTION("""COMPUTED_VALUE"""),10.0)</f>
        <v>10</v>
      </c>
      <c r="C702" s="7" t="str">
        <f>IFERROR(__xludf.DUMMYFUNCTION("""COMPUTED_VALUE"""),"H_31")</f>
        <v>H_31</v>
      </c>
      <c r="D702" s="7" t="str">
        <f>IFERROR(__xludf.DUMMYFUNCTION("""COMPUTED_VALUE"""),"Q37j. ")</f>
        <v>Q37j. </v>
      </c>
      <c r="E702" s="7" t="str">
        <f>IFERROR(__xludf.DUMMYFUNCTION("""COMPUTED_VALUE"""),"Trust Ministry of Health or public health agency")</f>
        <v>Trust Ministry of Health or public health agency</v>
      </c>
      <c r="F702" s="7" t="str">
        <f>IFERROR(__xludf.DUMMYFUNCTION("""COMPUTED_VALUE"""),"The Ministry of Health and Social Services
")</f>
        <v>The Ministry of Health and Social Services
</v>
      </c>
    </row>
    <row r="703">
      <c r="A703" s="7" t="str">
        <f>IFERROR(__xludf.DUMMYFUNCTION("""COMPUTED_VALUE"""),"NIGERIA ")</f>
        <v>NIGERIA </v>
      </c>
      <c r="B703" s="8">
        <f>IFERROR(__xludf.DUMMYFUNCTION("""COMPUTED_VALUE"""),10.0)</f>
        <v>10</v>
      </c>
      <c r="C703" s="7" t="str">
        <f>IFERROR(__xludf.DUMMYFUNCTION("""COMPUTED_VALUE"""),"H_31")</f>
        <v>H_31</v>
      </c>
      <c r="D703" s="7" t="str">
        <f>IFERROR(__xludf.DUMMYFUNCTION("""COMPUTED_VALUE"""),"Q37j. ")</f>
        <v>Q37j. </v>
      </c>
      <c r="E703" s="7" t="str">
        <f>IFERROR(__xludf.DUMMYFUNCTION("""COMPUTED_VALUE"""),"Trust Ministry of Health or public health agency")</f>
        <v>Trust Ministry of Health or public health agency</v>
      </c>
      <c r="F703" s="7" t="str">
        <f>IFERROR(__xludf.DUMMYFUNCTION("""COMPUTED_VALUE"""),"Federal Ministry of Health 
")</f>
        <v>Federal Ministry of Health 
</v>
      </c>
    </row>
    <row r="704">
      <c r="A704" s="7" t="str">
        <f>IFERROR(__xludf.DUMMYFUNCTION("""COMPUTED_VALUE"""),"SAO TOME AND PRINCIPE")</f>
        <v>SAO TOME AND PRINCIPE</v>
      </c>
      <c r="B704" s="8">
        <f>IFERROR(__xludf.DUMMYFUNCTION("""COMPUTED_VALUE"""),10.0)</f>
        <v>10</v>
      </c>
      <c r="C704" s="7" t="str">
        <f>IFERROR(__xludf.DUMMYFUNCTION("""COMPUTED_VALUE"""),"H_31")</f>
        <v>H_31</v>
      </c>
      <c r="D704" s="7" t="str">
        <f>IFERROR(__xludf.DUMMYFUNCTION("""COMPUTED_VALUE"""),"Q37j. ")</f>
        <v>Q37j. </v>
      </c>
      <c r="E704" s="7" t="str">
        <f>IFERROR(__xludf.DUMMYFUNCTION("""COMPUTED_VALUE"""),"Trust Ministry of Health or public health agency")</f>
        <v>Trust Ministry of Health or public health agency</v>
      </c>
      <c r="F704" s="7" t="str">
        <f>IFERROR(__xludf.DUMMYFUNCTION("""COMPUTED_VALUE"""),"The Ministry of Health and Women Rights")</f>
        <v>The Ministry of Health and Women Rights</v>
      </c>
    </row>
    <row r="705">
      <c r="A705" s="7" t="str">
        <f>IFERROR(__xludf.DUMMYFUNCTION("""COMPUTED_VALUE"""),"SENEGAL")</f>
        <v>SENEGAL</v>
      </c>
      <c r="B705" s="8">
        <f>IFERROR(__xludf.DUMMYFUNCTION("""COMPUTED_VALUE"""),10.0)</f>
        <v>10</v>
      </c>
      <c r="C705" s="7" t="str">
        <f>IFERROR(__xludf.DUMMYFUNCTION("""COMPUTED_VALUE"""),"H_31")</f>
        <v>H_31</v>
      </c>
      <c r="D705" s="7" t="str">
        <f>IFERROR(__xludf.DUMMYFUNCTION("""COMPUTED_VALUE"""),"Q37j. ")</f>
        <v>Q37j. </v>
      </c>
      <c r="E705" s="7" t="str">
        <f>IFERROR(__xludf.DUMMYFUNCTION("""COMPUTED_VALUE"""),"Trust Ministry of Health or public health agency")</f>
        <v>Trust Ministry of Health or public health agency</v>
      </c>
      <c r="F705" s="7" t="str">
        <f>IFERROR(__xludf.DUMMYFUNCTION("""COMPUTED_VALUE"""),"Ministry of Health and Social Action (MSAS)")</f>
        <v>Ministry of Health and Social Action (MSAS)</v>
      </c>
    </row>
    <row r="706">
      <c r="A706" s="7" t="str">
        <f>IFERROR(__xludf.DUMMYFUNCTION("""COMPUTED_VALUE"""),"SEYCHELLES")</f>
        <v>SEYCHELLES</v>
      </c>
      <c r="B706" s="8">
        <f>IFERROR(__xludf.DUMMYFUNCTION("""COMPUTED_VALUE"""),10.0)</f>
        <v>10</v>
      </c>
      <c r="C706" s="7" t="str">
        <f>IFERROR(__xludf.DUMMYFUNCTION("""COMPUTED_VALUE"""),"H_31")</f>
        <v>H_31</v>
      </c>
      <c r="D706" s="7" t="str">
        <f>IFERROR(__xludf.DUMMYFUNCTION("""COMPUTED_VALUE"""),"Q37j. ")</f>
        <v>Q37j. </v>
      </c>
      <c r="E706" s="7" t="str">
        <f>IFERROR(__xludf.DUMMYFUNCTION("""COMPUTED_VALUE"""),"Trust Ministry of Health or public health agency")</f>
        <v>Trust Ministry of Health or public health agency</v>
      </c>
      <c r="F706" s="7" t="str">
        <f>IFERROR(__xludf.DUMMYFUNCTION("""COMPUTED_VALUE"""),"Ministry of Health")</f>
        <v>Ministry of Health</v>
      </c>
    </row>
    <row r="707">
      <c r="A707" s="7" t="str">
        <f>IFERROR(__xludf.DUMMYFUNCTION("""COMPUTED_VALUE"""),"SOUTH AFRICA")</f>
        <v>SOUTH AFRICA</v>
      </c>
      <c r="B707" s="8">
        <f>IFERROR(__xludf.DUMMYFUNCTION("""COMPUTED_VALUE"""),10.0)</f>
        <v>10</v>
      </c>
      <c r="C707" s="7" t="str">
        <f>IFERROR(__xludf.DUMMYFUNCTION("""COMPUTED_VALUE"""),"H_31")</f>
        <v>H_31</v>
      </c>
      <c r="D707" s="7" t="str">
        <f>IFERROR(__xludf.DUMMYFUNCTION("""COMPUTED_VALUE"""),"Q37j. ")</f>
        <v>Q37j. </v>
      </c>
      <c r="E707" s="7" t="str">
        <f>IFERROR(__xludf.DUMMYFUNCTION("""COMPUTED_VALUE"""),"Trust Ministry of Health or public health agency")</f>
        <v>Trust Ministry of Health or public health agency</v>
      </c>
      <c r="F707" s="7" t="str">
        <f>IFERROR(__xludf.DUMMYFUNCTION("""COMPUTED_VALUE"""),"Ministry of Health or Department of Health
")</f>
        <v>Ministry of Health or Department of Health
</v>
      </c>
    </row>
    <row r="708">
      <c r="A708" s="7" t="str">
        <f>IFERROR(__xludf.DUMMYFUNCTION("""COMPUTED_VALUE"""),"TANZANIA")</f>
        <v>TANZANIA</v>
      </c>
      <c r="B708" s="8">
        <f>IFERROR(__xludf.DUMMYFUNCTION("""COMPUTED_VALUE"""),10.0)</f>
        <v>10</v>
      </c>
      <c r="C708" s="7" t="str">
        <f>IFERROR(__xludf.DUMMYFUNCTION("""COMPUTED_VALUE"""),"H_31")</f>
        <v>H_31</v>
      </c>
      <c r="D708" s="7" t="str">
        <f>IFERROR(__xludf.DUMMYFUNCTION("""COMPUTED_VALUE"""),"Q37j. ")</f>
        <v>Q37j. </v>
      </c>
      <c r="E708" s="7" t="str">
        <f>IFERROR(__xludf.DUMMYFUNCTION("""COMPUTED_VALUE"""),"Trust Ministry of Health or public health agency")</f>
        <v>Trust Ministry of Health or public health agency</v>
      </c>
      <c r="F708" s="7" t="str">
        <f>IFERROR(__xludf.DUMMYFUNCTION("""COMPUTED_VALUE"""),"Ministry Of Health
")</f>
        <v>Ministry Of Health
</v>
      </c>
    </row>
    <row r="709">
      <c r="A709" s="7" t="str">
        <f>IFERROR(__xludf.DUMMYFUNCTION("""COMPUTED_VALUE"""),"TOGO ")</f>
        <v>TOGO </v>
      </c>
      <c r="B709" s="8">
        <f>IFERROR(__xludf.DUMMYFUNCTION("""COMPUTED_VALUE"""),10.0)</f>
        <v>10</v>
      </c>
      <c r="C709" s="7" t="str">
        <f>IFERROR(__xludf.DUMMYFUNCTION("""COMPUTED_VALUE"""),"H_31")</f>
        <v>H_31</v>
      </c>
      <c r="D709" s="7" t="str">
        <f>IFERROR(__xludf.DUMMYFUNCTION("""COMPUTED_VALUE"""),"Q37j. ")</f>
        <v>Q37j. </v>
      </c>
      <c r="E709" s="7" t="str">
        <f>IFERROR(__xludf.DUMMYFUNCTION("""COMPUTED_VALUE"""),"Trust Ministry of Health or public health agency")</f>
        <v>Trust Ministry of Health or public health agency</v>
      </c>
      <c r="F709" s="7" t="str">
        <f>IFERROR(__xludf.DUMMYFUNCTION("""COMPUTED_VALUE"""),"Ministry of Health and Public Hygiene")</f>
        <v>Ministry of Health and Public Hygiene</v>
      </c>
    </row>
    <row r="710">
      <c r="A710" s="7" t="str">
        <f>IFERROR(__xludf.DUMMYFUNCTION("""COMPUTED_VALUE"""),"TUNISIA ")</f>
        <v>TUNISIA </v>
      </c>
      <c r="B710" s="8">
        <f>IFERROR(__xludf.DUMMYFUNCTION("""COMPUTED_VALUE"""),10.0)</f>
        <v>10</v>
      </c>
      <c r="C710" s="7" t="str">
        <f>IFERROR(__xludf.DUMMYFUNCTION("""COMPUTED_VALUE"""),"H_31")</f>
        <v>H_31</v>
      </c>
      <c r="D710" s="7" t="str">
        <f>IFERROR(__xludf.DUMMYFUNCTION("""COMPUTED_VALUE"""),"Q37j. ")</f>
        <v>Q37j. </v>
      </c>
      <c r="E710" s="7" t="str">
        <f>IFERROR(__xludf.DUMMYFUNCTION("""COMPUTED_VALUE"""),"Trust Ministry of Health or public health agency")</f>
        <v>Trust Ministry of Health or public health agency</v>
      </c>
      <c r="F710" s="7" t="str">
        <f>IFERROR(__xludf.DUMMYFUNCTION("""COMPUTED_VALUE"""),"Ministry of Health
")</f>
        <v>Ministry of Health
</v>
      </c>
    </row>
    <row r="711">
      <c r="A711" s="7" t="str">
        <f>IFERROR(__xludf.DUMMYFUNCTION("""COMPUTED_VALUE"""),"UGANDA  ")</f>
        <v>UGANDA  </v>
      </c>
      <c r="B711" s="8">
        <f>IFERROR(__xludf.DUMMYFUNCTION("""COMPUTED_VALUE"""),10.0)</f>
        <v>10</v>
      </c>
      <c r="C711" s="7" t="str">
        <f>IFERROR(__xludf.DUMMYFUNCTION("""COMPUTED_VALUE"""),"H_31")</f>
        <v>H_31</v>
      </c>
      <c r="D711" s="7" t="str">
        <f>IFERROR(__xludf.DUMMYFUNCTION("""COMPUTED_VALUE"""),"Q37j. ")</f>
        <v>Q37j. </v>
      </c>
      <c r="E711" s="7" t="str">
        <f>IFERROR(__xludf.DUMMYFUNCTION("""COMPUTED_VALUE"""),"Trust Ministry of Health or public health agency")</f>
        <v>Trust Ministry of Health or public health agency</v>
      </c>
      <c r="F711" s="7" t="str">
        <f>IFERROR(__xludf.DUMMYFUNCTION("""COMPUTED_VALUE"""),"Ministry of Health 
")</f>
        <v>Ministry of Health 
</v>
      </c>
    </row>
    <row r="712">
      <c r="A712" s="7" t="str">
        <f>IFERROR(__xludf.DUMMYFUNCTION("""COMPUTED_VALUE"""),"ZAMBIA")</f>
        <v>ZAMBIA</v>
      </c>
      <c r="B712" s="8">
        <f>IFERROR(__xludf.DUMMYFUNCTION("""COMPUTED_VALUE"""),10.0)</f>
        <v>10</v>
      </c>
      <c r="C712" s="7" t="str">
        <f>IFERROR(__xludf.DUMMYFUNCTION("""COMPUTED_VALUE"""),"H_31")</f>
        <v>H_31</v>
      </c>
      <c r="D712" s="7" t="str">
        <f>IFERROR(__xludf.DUMMYFUNCTION("""COMPUTED_VALUE"""),"Q37j. ")</f>
        <v>Q37j. </v>
      </c>
      <c r="E712" s="7" t="str">
        <f>IFERROR(__xludf.DUMMYFUNCTION("""COMPUTED_VALUE"""),"Trust Ministry of Health or public health agency")</f>
        <v>Trust Ministry of Health or public health agency</v>
      </c>
      <c r="F712" s="7" t="str">
        <f>IFERROR(__xludf.DUMMYFUNCTION("""COMPUTED_VALUE"""),"Ministry of Health 
")</f>
        <v>Ministry of Health 
</v>
      </c>
    </row>
    <row r="713">
      <c r="A713" s="7" t="str">
        <f>IFERROR(__xludf.DUMMYFUNCTION("""COMPUTED_VALUE"""),"ZIMBABWE")</f>
        <v>ZIMBABWE</v>
      </c>
      <c r="B713" s="8">
        <f>IFERROR(__xludf.DUMMYFUNCTION("""COMPUTED_VALUE"""),10.0)</f>
        <v>10</v>
      </c>
      <c r="C713" s="7" t="str">
        <f>IFERROR(__xludf.DUMMYFUNCTION("""COMPUTED_VALUE"""),"H_31")</f>
        <v>H_31</v>
      </c>
      <c r="D713" s="7" t="str">
        <f>IFERROR(__xludf.DUMMYFUNCTION("""COMPUTED_VALUE"""),"Q37j. ")</f>
        <v>Q37j. </v>
      </c>
      <c r="E713" s="7" t="str">
        <f>IFERROR(__xludf.DUMMYFUNCTION("""COMPUTED_VALUE"""),"Trust Ministry of Health or public health agency")</f>
        <v>Trust Ministry of Health or public health agency</v>
      </c>
      <c r="F713" s="7" t="str">
        <f>IFERROR(__xludf.DUMMYFUNCTION("""COMPUTED_VALUE"""),"Ministry of Health and Child Care 
")</f>
        <v>Ministry of Health and Child Care 
</v>
      </c>
    </row>
    <row r="714">
      <c r="A714" s="7" t="str">
        <f>IFERROR(__xludf.DUMMYFUNCTION("""COMPUTED_VALUE"""),"ANGOLA ")</f>
        <v>ANGOLA </v>
      </c>
      <c r="B714" s="8">
        <f>IFERROR(__xludf.DUMMYFUNCTION("""COMPUTED_VALUE"""),10.0)</f>
        <v>10</v>
      </c>
      <c r="C714" s="7" t="str">
        <f>IFERROR(__xludf.DUMMYFUNCTION("""COMPUTED_VALUE"""),"G_18")</f>
        <v>G_18</v>
      </c>
      <c r="D714" s="7" t="str">
        <f>IFERROR(__xludf.DUMMYFUNCTION("""COMPUTED_VALUE"""),"Q38a. ")</f>
        <v>Q38a. </v>
      </c>
      <c r="E714" s="7" t="str">
        <f>IFERROR(__xludf.DUMMYFUNCTION("""COMPUTED_VALUE"""),"Corruption: office of the Presidency")</f>
        <v>Corruption: office of the Presidency</v>
      </c>
      <c r="F714" s="7" t="str">
        <f>IFERROR(__xludf.DUMMYFUNCTION("""COMPUTED_VALUE"""),"President/His")</f>
        <v>President/His</v>
      </c>
    </row>
    <row r="715">
      <c r="A715" s="7" t="str">
        <f>IFERROR(__xludf.DUMMYFUNCTION("""COMPUTED_VALUE"""),"BENIN")</f>
        <v>BENIN</v>
      </c>
      <c r="B715" s="8">
        <f>IFERROR(__xludf.DUMMYFUNCTION("""COMPUTED_VALUE"""),10.0)</f>
        <v>10</v>
      </c>
      <c r="C715" s="7" t="str">
        <f>IFERROR(__xludf.DUMMYFUNCTION("""COMPUTED_VALUE"""),"G_18")</f>
        <v>G_18</v>
      </c>
      <c r="D715" s="7" t="str">
        <f>IFERROR(__xludf.DUMMYFUNCTION("""COMPUTED_VALUE"""),"Q38a. ")</f>
        <v>Q38a. </v>
      </c>
      <c r="E715" s="7" t="str">
        <f>IFERROR(__xludf.DUMMYFUNCTION("""COMPUTED_VALUE"""),"Corruption: office of the Presidency")</f>
        <v>Corruption: office of the Presidency</v>
      </c>
      <c r="F715" s="7" t="str">
        <f>IFERROR(__xludf.DUMMYFUNCTION("""COMPUTED_VALUE"""),"President/His")</f>
        <v>President/His</v>
      </c>
    </row>
    <row r="716">
      <c r="A716" s="7" t="str">
        <f>IFERROR(__xludf.DUMMYFUNCTION("""COMPUTED_VALUE"""),"BOTSWANA ")</f>
        <v>BOTSWANA </v>
      </c>
      <c r="B716" s="8">
        <f>IFERROR(__xludf.DUMMYFUNCTION("""COMPUTED_VALUE"""),10.0)</f>
        <v>10</v>
      </c>
      <c r="C716" s="7" t="str">
        <f>IFERROR(__xludf.DUMMYFUNCTION("""COMPUTED_VALUE"""),"G_18")</f>
        <v>G_18</v>
      </c>
      <c r="D716" s="7" t="str">
        <f>IFERROR(__xludf.DUMMYFUNCTION("""COMPUTED_VALUE"""),"Q38a. ")</f>
        <v>Q38a. </v>
      </c>
      <c r="E716" s="7" t="str">
        <f>IFERROR(__xludf.DUMMYFUNCTION("""COMPUTED_VALUE"""),"Corruption: office of the Presidency")</f>
        <v>Corruption: office of the Presidency</v>
      </c>
      <c r="F716" s="7" t="str">
        <f>IFERROR(__xludf.DUMMYFUNCTION("""COMPUTED_VALUE"""),"President/His")</f>
        <v>President/His</v>
      </c>
    </row>
    <row r="717">
      <c r="A717" s="7" t="str">
        <f>IFERROR(__xludf.DUMMYFUNCTION("""COMPUTED_VALUE"""),"CABO VERDE ")</f>
        <v>CABO VERDE </v>
      </c>
      <c r="B717" s="8">
        <f>IFERROR(__xludf.DUMMYFUNCTION("""COMPUTED_VALUE"""),10.0)</f>
        <v>10</v>
      </c>
      <c r="C717" s="7" t="str">
        <f>IFERROR(__xludf.DUMMYFUNCTION("""COMPUTED_VALUE"""),"G_18")</f>
        <v>G_18</v>
      </c>
      <c r="D717" s="7" t="str">
        <f>IFERROR(__xludf.DUMMYFUNCTION("""COMPUTED_VALUE"""),"Q38a. ")</f>
        <v>Q38a. </v>
      </c>
      <c r="E717" s="7" t="str">
        <f>IFERROR(__xludf.DUMMYFUNCTION("""COMPUTED_VALUE"""),"Corruption: office of the Presidency")</f>
        <v>Corruption: office of the Presidency</v>
      </c>
      <c r="F717" s="7" t="str">
        <f>IFERROR(__xludf.DUMMYFUNCTION("""COMPUTED_VALUE"""),"President/His")</f>
        <v>President/His</v>
      </c>
    </row>
    <row r="718">
      <c r="A718" s="7" t="str">
        <f>IFERROR(__xludf.DUMMYFUNCTION("""COMPUTED_VALUE"""),"CAMEROON")</f>
        <v>CAMEROON</v>
      </c>
      <c r="B718" s="8">
        <f>IFERROR(__xludf.DUMMYFUNCTION("""COMPUTED_VALUE"""),10.0)</f>
        <v>10</v>
      </c>
      <c r="C718" s="7" t="str">
        <f>IFERROR(__xludf.DUMMYFUNCTION("""COMPUTED_VALUE"""),"G_18")</f>
        <v>G_18</v>
      </c>
      <c r="D718" s="7" t="str">
        <f>IFERROR(__xludf.DUMMYFUNCTION("""COMPUTED_VALUE"""),"Q38a. ")</f>
        <v>Q38a. </v>
      </c>
      <c r="E718" s="7" t="str">
        <f>IFERROR(__xludf.DUMMYFUNCTION("""COMPUTED_VALUE"""),"Corruption: office of the Presidency")</f>
        <v>Corruption: office of the Presidency</v>
      </c>
      <c r="F718" s="7" t="str">
        <f>IFERROR(__xludf.DUMMYFUNCTION("""COMPUTED_VALUE"""),"President/His")</f>
        <v>President/His</v>
      </c>
    </row>
    <row r="719">
      <c r="A719" s="7" t="str">
        <f>IFERROR(__xludf.DUMMYFUNCTION("""COMPUTED_VALUE"""),"CHAD")</f>
        <v>CHAD</v>
      </c>
      <c r="B719" s="8">
        <f>IFERROR(__xludf.DUMMYFUNCTION("""COMPUTED_VALUE"""),10.0)</f>
        <v>10</v>
      </c>
      <c r="C719" s="7" t="str">
        <f>IFERROR(__xludf.DUMMYFUNCTION("""COMPUTED_VALUE"""),"G_18")</f>
        <v>G_18</v>
      </c>
      <c r="D719" s="7" t="str">
        <f>IFERROR(__xludf.DUMMYFUNCTION("""COMPUTED_VALUE"""),"Q38a. ")</f>
        <v>Q38a. </v>
      </c>
      <c r="E719" s="7" t="str">
        <f>IFERROR(__xludf.DUMMYFUNCTION("""COMPUTED_VALUE"""),"Corruption: office of the Presidency")</f>
        <v>Corruption: office of the Presidency</v>
      </c>
      <c r="F719" s="7" t="str">
        <f>IFERROR(__xludf.DUMMYFUNCTION("""COMPUTED_VALUE"""),"President/His")</f>
        <v>President/His</v>
      </c>
    </row>
    <row r="720">
      <c r="A720" s="7" t="str">
        <f>IFERROR(__xludf.DUMMYFUNCTION("""COMPUTED_VALUE"""),"COMOROS")</f>
        <v>COMOROS</v>
      </c>
      <c r="B720" s="8">
        <f>IFERROR(__xludf.DUMMYFUNCTION("""COMPUTED_VALUE"""),10.0)</f>
        <v>10</v>
      </c>
      <c r="C720" s="7" t="str">
        <f>IFERROR(__xludf.DUMMYFUNCTION("""COMPUTED_VALUE"""),"G_18")</f>
        <v>G_18</v>
      </c>
      <c r="D720" s="7" t="str">
        <f>IFERROR(__xludf.DUMMYFUNCTION("""COMPUTED_VALUE"""),"Q38a. ")</f>
        <v>Q38a. </v>
      </c>
      <c r="E720" s="7" t="str">
        <f>IFERROR(__xludf.DUMMYFUNCTION("""COMPUTED_VALUE"""),"Corruption: office of the Presidency")</f>
        <v>Corruption: office of the Presidency</v>
      </c>
      <c r="F720" s="7" t="str">
        <f>IFERROR(__xludf.DUMMYFUNCTION("""COMPUTED_VALUE"""),"President/His")</f>
        <v>President/His</v>
      </c>
    </row>
    <row r="721">
      <c r="A721" s="7" t="str">
        <f>IFERROR(__xludf.DUMMYFUNCTION("""COMPUTED_VALUE"""),"CONGO BRAZZAVILLE")</f>
        <v>CONGO BRAZZAVILLE</v>
      </c>
      <c r="B721" s="8">
        <f>IFERROR(__xludf.DUMMYFUNCTION("""COMPUTED_VALUE"""),10.0)</f>
        <v>10</v>
      </c>
      <c r="C721" s="7" t="str">
        <f>IFERROR(__xludf.DUMMYFUNCTION("""COMPUTED_VALUE"""),"G_18")</f>
        <v>G_18</v>
      </c>
      <c r="D721" s="7" t="str">
        <f>IFERROR(__xludf.DUMMYFUNCTION("""COMPUTED_VALUE"""),"Q38a. ")</f>
        <v>Q38a. </v>
      </c>
      <c r="E721" s="7" t="str">
        <f>IFERROR(__xludf.DUMMYFUNCTION("""COMPUTED_VALUE"""),"Corruption: office of the Presidency")</f>
        <v>Corruption: office of the Presidency</v>
      </c>
      <c r="F721" s="7" t="str">
        <f>IFERROR(__xludf.DUMMYFUNCTION("""COMPUTED_VALUE"""),"President/His")</f>
        <v>President/His</v>
      </c>
    </row>
    <row r="722">
      <c r="A722" s="7" t="str">
        <f>IFERROR(__xludf.DUMMYFUNCTION("""COMPUTED_VALUE"""),"COTE D'IVOIRE")</f>
        <v>COTE D'IVOIRE</v>
      </c>
      <c r="B722" s="8">
        <f>IFERROR(__xludf.DUMMYFUNCTION("""COMPUTED_VALUE"""),10.0)</f>
        <v>10</v>
      </c>
      <c r="C722" s="7" t="str">
        <f>IFERROR(__xludf.DUMMYFUNCTION("""COMPUTED_VALUE"""),"G_18")</f>
        <v>G_18</v>
      </c>
      <c r="D722" s="7" t="str">
        <f>IFERROR(__xludf.DUMMYFUNCTION("""COMPUTED_VALUE"""),"Q38a. ")</f>
        <v>Q38a. </v>
      </c>
      <c r="E722" s="7" t="str">
        <f>IFERROR(__xludf.DUMMYFUNCTION("""COMPUTED_VALUE"""),"Corruption: office of the Presidency")</f>
        <v>Corruption: office of the Presidency</v>
      </c>
      <c r="F722" s="7" t="str">
        <f>IFERROR(__xludf.DUMMYFUNCTION("""COMPUTED_VALUE"""),"President/His")</f>
        <v>President/His</v>
      </c>
    </row>
    <row r="723">
      <c r="A723" s="7" t="str">
        <f>IFERROR(__xludf.DUMMYFUNCTION("""COMPUTED_VALUE"""),"ESWATINI")</f>
        <v>ESWATINI</v>
      </c>
      <c r="B723" s="8">
        <f>IFERROR(__xludf.DUMMYFUNCTION("""COMPUTED_VALUE"""),10.0)</f>
        <v>10</v>
      </c>
      <c r="C723" s="7" t="str">
        <f>IFERROR(__xludf.DUMMYFUNCTION("""COMPUTED_VALUE"""),"G_18")</f>
        <v>G_18</v>
      </c>
      <c r="D723" s="7" t="str">
        <f>IFERROR(__xludf.DUMMYFUNCTION("""COMPUTED_VALUE"""),"Q38a. ")</f>
        <v>Q38a. </v>
      </c>
      <c r="E723" s="7" t="str">
        <f>IFERROR(__xludf.DUMMYFUNCTION("""COMPUTED_VALUE"""),"Corruption: office of the Presidency")</f>
        <v>Corruption: office of the Presidency</v>
      </c>
      <c r="F723" s="7" t="str">
        <f>IFERROR(__xludf.DUMMYFUNCTION("""COMPUTED_VALUE"""),"Prime Minister")</f>
        <v>Prime Minister</v>
      </c>
    </row>
    <row r="724">
      <c r="A724" s="7" t="str">
        <f>IFERROR(__xludf.DUMMYFUNCTION("""COMPUTED_VALUE"""),"GABON")</f>
        <v>GABON</v>
      </c>
      <c r="B724" s="8">
        <f>IFERROR(__xludf.DUMMYFUNCTION("""COMPUTED_VALUE"""),10.0)</f>
        <v>10</v>
      </c>
      <c r="C724" s="7" t="str">
        <f>IFERROR(__xludf.DUMMYFUNCTION("""COMPUTED_VALUE"""),"G_18")</f>
        <v>G_18</v>
      </c>
      <c r="D724" s="7" t="str">
        <f>IFERROR(__xludf.DUMMYFUNCTION("""COMPUTED_VALUE"""),"Q38a. ")</f>
        <v>Q38a. </v>
      </c>
      <c r="E724" s="7" t="str">
        <f>IFERROR(__xludf.DUMMYFUNCTION("""COMPUTED_VALUE"""),"Corruption: office of the Presidency")</f>
        <v>Corruption: office of the Presidency</v>
      </c>
      <c r="F724" s="7" t="str">
        <f>IFERROR(__xludf.DUMMYFUNCTION("""COMPUTED_VALUE"""),"President/His")</f>
        <v>President/His</v>
      </c>
    </row>
    <row r="725">
      <c r="A725" s="7" t="str">
        <f>IFERROR(__xludf.DUMMYFUNCTION("""COMPUTED_VALUE"""),"GAMBIA")</f>
        <v>GAMBIA</v>
      </c>
      <c r="B725" s="8">
        <f>IFERROR(__xludf.DUMMYFUNCTION("""COMPUTED_VALUE"""),10.0)</f>
        <v>10</v>
      </c>
      <c r="C725" s="7" t="str">
        <f>IFERROR(__xludf.DUMMYFUNCTION("""COMPUTED_VALUE"""),"G_18")</f>
        <v>G_18</v>
      </c>
      <c r="D725" s="7" t="str">
        <f>IFERROR(__xludf.DUMMYFUNCTION("""COMPUTED_VALUE"""),"Q38a. ")</f>
        <v>Q38a. </v>
      </c>
      <c r="E725" s="7" t="str">
        <f>IFERROR(__xludf.DUMMYFUNCTION("""COMPUTED_VALUE"""),"Corruption: office of the Presidency")</f>
        <v>Corruption: office of the Presidency</v>
      </c>
      <c r="F725" s="7" t="str">
        <f>IFERROR(__xludf.DUMMYFUNCTION("""COMPUTED_VALUE"""),"President/His")</f>
        <v>President/His</v>
      </c>
    </row>
    <row r="726">
      <c r="A726" s="7" t="str">
        <f>IFERROR(__xludf.DUMMYFUNCTION("""COMPUTED_VALUE"""),"GHANA ")</f>
        <v>GHANA </v>
      </c>
      <c r="B726" s="8">
        <f>IFERROR(__xludf.DUMMYFUNCTION("""COMPUTED_VALUE"""),10.0)</f>
        <v>10</v>
      </c>
      <c r="C726" s="7" t="str">
        <f>IFERROR(__xludf.DUMMYFUNCTION("""COMPUTED_VALUE"""),"G_18")</f>
        <v>G_18</v>
      </c>
      <c r="D726" s="7" t="str">
        <f>IFERROR(__xludf.DUMMYFUNCTION("""COMPUTED_VALUE"""),"Q38a. ")</f>
        <v>Q38a. </v>
      </c>
      <c r="E726" s="7" t="str">
        <f>IFERROR(__xludf.DUMMYFUNCTION("""COMPUTED_VALUE"""),"Corruption: office of the Presidency")</f>
        <v>Corruption: office of the Presidency</v>
      </c>
      <c r="F726" s="7" t="str">
        <f>IFERROR(__xludf.DUMMYFUNCTION("""COMPUTED_VALUE"""),"President/His")</f>
        <v>President/His</v>
      </c>
    </row>
    <row r="727">
      <c r="A727" s="7" t="str">
        <f>IFERROR(__xludf.DUMMYFUNCTION("""COMPUTED_VALUE"""),"GUINEA")</f>
        <v>GUINEA</v>
      </c>
      <c r="B727" s="8">
        <f>IFERROR(__xludf.DUMMYFUNCTION("""COMPUTED_VALUE"""),10.0)</f>
        <v>10</v>
      </c>
      <c r="C727" s="7" t="str">
        <f>IFERROR(__xludf.DUMMYFUNCTION("""COMPUTED_VALUE"""),"G_18")</f>
        <v>G_18</v>
      </c>
      <c r="D727" s="7" t="str">
        <f>IFERROR(__xludf.DUMMYFUNCTION("""COMPUTED_VALUE"""),"Q38a. ")</f>
        <v>Q38a. </v>
      </c>
      <c r="E727" s="7" t="str">
        <f>IFERROR(__xludf.DUMMYFUNCTION("""COMPUTED_VALUE"""),"Corruption: office of the Presidency")</f>
        <v>Corruption: office of the Presidency</v>
      </c>
      <c r="F727" s="7" t="str">
        <f>IFERROR(__xludf.DUMMYFUNCTION("""COMPUTED_VALUE"""),"President/His")</f>
        <v>President/His</v>
      </c>
    </row>
    <row r="728">
      <c r="A728" s="7" t="str">
        <f>IFERROR(__xludf.DUMMYFUNCTION("""COMPUTED_VALUE"""),"KENYA  ")</f>
        <v>KENYA  </v>
      </c>
      <c r="B728" s="8">
        <f>IFERROR(__xludf.DUMMYFUNCTION("""COMPUTED_VALUE"""),10.0)</f>
        <v>10</v>
      </c>
      <c r="C728" s="7" t="str">
        <f>IFERROR(__xludf.DUMMYFUNCTION("""COMPUTED_VALUE"""),"G_18")</f>
        <v>G_18</v>
      </c>
      <c r="D728" s="7" t="str">
        <f>IFERROR(__xludf.DUMMYFUNCTION("""COMPUTED_VALUE"""),"Q38a. ")</f>
        <v>Q38a. </v>
      </c>
      <c r="E728" s="7" t="str">
        <f>IFERROR(__xludf.DUMMYFUNCTION("""COMPUTED_VALUE"""),"Corruption: office of the Presidency")</f>
        <v>Corruption: office of the Presidency</v>
      </c>
      <c r="F728" s="7" t="str">
        <f>IFERROR(__xludf.DUMMYFUNCTION("""COMPUTED_VALUE"""),"President/His")</f>
        <v>President/His</v>
      </c>
    </row>
    <row r="729">
      <c r="A729" s="7" t="str">
        <f>IFERROR(__xludf.DUMMYFUNCTION("""COMPUTED_VALUE"""),"LESOTHO ")</f>
        <v>LESOTHO </v>
      </c>
      <c r="B729" s="8">
        <f>IFERROR(__xludf.DUMMYFUNCTION("""COMPUTED_VALUE"""),10.0)</f>
        <v>10</v>
      </c>
      <c r="C729" s="7" t="str">
        <f>IFERROR(__xludf.DUMMYFUNCTION("""COMPUTED_VALUE"""),"G_18")</f>
        <v>G_18</v>
      </c>
      <c r="D729" s="7" t="str">
        <f>IFERROR(__xludf.DUMMYFUNCTION("""COMPUTED_VALUE"""),"Q38a. ")</f>
        <v>Q38a. </v>
      </c>
      <c r="E729" s="7" t="str">
        <f>IFERROR(__xludf.DUMMYFUNCTION("""COMPUTED_VALUE"""),"Corruption: office of the Presidency")</f>
        <v>Corruption: office of the Presidency</v>
      </c>
      <c r="F729" s="7" t="str">
        <f>IFERROR(__xludf.DUMMYFUNCTION("""COMPUTED_VALUE"""),"Prime Minister")</f>
        <v>Prime Minister</v>
      </c>
    </row>
    <row r="730">
      <c r="A730" s="7" t="str">
        <f>IFERROR(__xludf.DUMMYFUNCTION("""COMPUTED_VALUE"""),"LIBERIA  ")</f>
        <v>LIBERIA  </v>
      </c>
      <c r="B730" s="8">
        <f>IFERROR(__xludf.DUMMYFUNCTION("""COMPUTED_VALUE"""),10.0)</f>
        <v>10</v>
      </c>
      <c r="C730" s="7" t="str">
        <f>IFERROR(__xludf.DUMMYFUNCTION("""COMPUTED_VALUE"""),"G_18")</f>
        <v>G_18</v>
      </c>
      <c r="D730" s="7" t="str">
        <f>IFERROR(__xludf.DUMMYFUNCTION("""COMPUTED_VALUE"""),"Q38a. ")</f>
        <v>Q38a. </v>
      </c>
      <c r="E730" s="7" t="str">
        <f>IFERROR(__xludf.DUMMYFUNCTION("""COMPUTED_VALUE"""),"Corruption: office of the Presidency")</f>
        <v>Corruption: office of the Presidency</v>
      </c>
      <c r="F730" s="7" t="str">
        <f>IFERROR(__xludf.DUMMYFUNCTION("""COMPUTED_VALUE"""),"President")</f>
        <v>President</v>
      </c>
    </row>
    <row r="731">
      <c r="A731" s="7" t="str">
        <f>IFERROR(__xludf.DUMMYFUNCTION("""COMPUTED_VALUE"""),"MADAGASCAR")</f>
        <v>MADAGASCAR</v>
      </c>
      <c r="B731" s="8">
        <f>IFERROR(__xludf.DUMMYFUNCTION("""COMPUTED_VALUE"""),10.0)</f>
        <v>10</v>
      </c>
      <c r="C731" s="7" t="str">
        <f>IFERROR(__xludf.DUMMYFUNCTION("""COMPUTED_VALUE"""),"G_18")</f>
        <v>G_18</v>
      </c>
      <c r="D731" s="7" t="str">
        <f>IFERROR(__xludf.DUMMYFUNCTION("""COMPUTED_VALUE"""),"Q38a. ")</f>
        <v>Q38a. </v>
      </c>
      <c r="E731" s="7" t="str">
        <f>IFERROR(__xludf.DUMMYFUNCTION("""COMPUTED_VALUE"""),"Corruption: office of the Presidency")</f>
        <v>Corruption: office of the Presidency</v>
      </c>
      <c r="F731" s="7" t="str">
        <f>IFERROR(__xludf.DUMMYFUNCTION("""COMPUTED_VALUE"""),"President/His")</f>
        <v>President/His</v>
      </c>
    </row>
    <row r="732">
      <c r="A732" s="7" t="str">
        <f>IFERROR(__xludf.DUMMYFUNCTION("""COMPUTED_VALUE"""),"MALAWI ")</f>
        <v>MALAWI </v>
      </c>
      <c r="B732" s="8">
        <f>IFERROR(__xludf.DUMMYFUNCTION("""COMPUTED_VALUE"""),10.0)</f>
        <v>10</v>
      </c>
      <c r="C732" s="7" t="str">
        <f>IFERROR(__xludf.DUMMYFUNCTION("""COMPUTED_VALUE"""),"G_18")</f>
        <v>G_18</v>
      </c>
      <c r="D732" s="7" t="str">
        <f>IFERROR(__xludf.DUMMYFUNCTION("""COMPUTED_VALUE"""),"Q38a. ")</f>
        <v>Q38a. </v>
      </c>
      <c r="E732" s="7" t="str">
        <f>IFERROR(__xludf.DUMMYFUNCTION("""COMPUTED_VALUE"""),"Corruption: office of the Presidency")</f>
        <v>Corruption: office of the Presidency</v>
      </c>
      <c r="F732" s="7" t="str">
        <f>IFERROR(__xludf.DUMMYFUNCTION("""COMPUTED_VALUE"""),"President/His")</f>
        <v>President/His</v>
      </c>
    </row>
    <row r="733">
      <c r="A733" s="7" t="str">
        <f>IFERROR(__xludf.DUMMYFUNCTION("""COMPUTED_VALUE"""),"MALI")</f>
        <v>MALI</v>
      </c>
      <c r="B733" s="8">
        <f>IFERROR(__xludf.DUMMYFUNCTION("""COMPUTED_VALUE"""),10.0)</f>
        <v>10</v>
      </c>
      <c r="C733" s="7" t="str">
        <f>IFERROR(__xludf.DUMMYFUNCTION("""COMPUTED_VALUE"""),"G_18")</f>
        <v>G_18</v>
      </c>
      <c r="D733" s="7" t="str">
        <f>IFERROR(__xludf.DUMMYFUNCTION("""COMPUTED_VALUE"""),"Q38a. ")</f>
        <v>Q38a. </v>
      </c>
      <c r="E733" s="7" t="str">
        <f>IFERROR(__xludf.DUMMYFUNCTION("""COMPUTED_VALUE"""),"Corruption: office of the Presidency")</f>
        <v>Corruption: office of the Presidency</v>
      </c>
      <c r="F733" s="7" t="str">
        <f>IFERROR(__xludf.DUMMYFUNCTION("""COMPUTED_VALUE"""),"The Transitional President")</f>
        <v>The Transitional President</v>
      </c>
    </row>
    <row r="734">
      <c r="A734" s="7" t="str">
        <f>IFERROR(__xludf.DUMMYFUNCTION("""COMPUTED_VALUE"""),"MAURITANIA")</f>
        <v>MAURITANIA</v>
      </c>
      <c r="B734" s="8">
        <f>IFERROR(__xludf.DUMMYFUNCTION("""COMPUTED_VALUE"""),10.0)</f>
        <v>10</v>
      </c>
      <c r="C734" s="7" t="str">
        <f>IFERROR(__xludf.DUMMYFUNCTION("""COMPUTED_VALUE"""),"G_18")</f>
        <v>G_18</v>
      </c>
      <c r="D734" s="7" t="str">
        <f>IFERROR(__xludf.DUMMYFUNCTION("""COMPUTED_VALUE"""),"Q38a. ")</f>
        <v>Q38a. </v>
      </c>
      <c r="E734" s="7" t="str">
        <f>IFERROR(__xludf.DUMMYFUNCTION("""COMPUTED_VALUE"""),"Corruption: office of the Presidency")</f>
        <v>Corruption: office of the Presidency</v>
      </c>
      <c r="F734" s="7" t="str">
        <f>IFERROR(__xludf.DUMMYFUNCTION("""COMPUTED_VALUE"""),"President/His")</f>
        <v>President/His</v>
      </c>
    </row>
    <row r="735">
      <c r="A735" s="7" t="str">
        <f>IFERROR(__xludf.DUMMYFUNCTION("""COMPUTED_VALUE"""),"MAURITIUS")</f>
        <v>MAURITIUS</v>
      </c>
      <c r="B735" s="8">
        <f>IFERROR(__xludf.DUMMYFUNCTION("""COMPUTED_VALUE"""),10.0)</f>
        <v>10</v>
      </c>
      <c r="C735" s="7" t="str">
        <f>IFERROR(__xludf.DUMMYFUNCTION("""COMPUTED_VALUE"""),"G_18")</f>
        <v>G_18</v>
      </c>
      <c r="D735" s="7" t="str">
        <f>IFERROR(__xludf.DUMMYFUNCTION("""COMPUTED_VALUE"""),"Q38a. ")</f>
        <v>Q38a. </v>
      </c>
      <c r="E735" s="7" t="str">
        <f>IFERROR(__xludf.DUMMYFUNCTION("""COMPUTED_VALUE"""),"Corruption: office of the Presidency")</f>
        <v>Corruption: office of the Presidency</v>
      </c>
      <c r="F735" s="7" t="str">
        <f>IFERROR(__xludf.DUMMYFUNCTION("""COMPUTED_VALUE"""),"The Prime Minister")</f>
        <v>The Prime Minister</v>
      </c>
    </row>
    <row r="736">
      <c r="A736" s="7" t="str">
        <f>IFERROR(__xludf.DUMMYFUNCTION("""COMPUTED_VALUE"""),"MOROCCO ")</f>
        <v>MOROCCO </v>
      </c>
      <c r="B736" s="8">
        <f>IFERROR(__xludf.DUMMYFUNCTION("""COMPUTED_VALUE"""),10.0)</f>
        <v>10</v>
      </c>
      <c r="C736" s="7" t="str">
        <f>IFERROR(__xludf.DUMMYFUNCTION("""COMPUTED_VALUE"""),"G_18")</f>
        <v>G_18</v>
      </c>
      <c r="D736" s="7" t="str">
        <f>IFERROR(__xludf.DUMMYFUNCTION("""COMPUTED_VALUE"""),"Q38a. ")</f>
        <v>Q38a. </v>
      </c>
      <c r="E736" s="7" t="str">
        <f>IFERROR(__xludf.DUMMYFUNCTION("""COMPUTED_VALUE"""),"Corruption: office of the Presidency")</f>
        <v>Corruption: office of the Presidency</v>
      </c>
      <c r="F736" s="7" t="str">
        <f>IFERROR(__xludf.DUMMYFUNCTION("""COMPUTED_VALUE"""),"President/His")</f>
        <v>President/His</v>
      </c>
    </row>
    <row r="737">
      <c r="A737" s="7" t="str">
        <f>IFERROR(__xludf.DUMMYFUNCTION("""COMPUTED_VALUE"""),"MOZAMBIQUE")</f>
        <v>MOZAMBIQUE</v>
      </c>
      <c r="B737" s="8">
        <f>IFERROR(__xludf.DUMMYFUNCTION("""COMPUTED_VALUE"""),10.0)</f>
        <v>10</v>
      </c>
      <c r="C737" s="7" t="str">
        <f>IFERROR(__xludf.DUMMYFUNCTION("""COMPUTED_VALUE"""),"G_18")</f>
        <v>G_18</v>
      </c>
      <c r="D737" s="7" t="str">
        <f>IFERROR(__xludf.DUMMYFUNCTION("""COMPUTED_VALUE"""),"Q38a. ")</f>
        <v>Q38a. </v>
      </c>
      <c r="E737" s="7" t="str">
        <f>IFERROR(__xludf.DUMMYFUNCTION("""COMPUTED_VALUE"""),"Corruption: office of the Presidency")</f>
        <v>Corruption: office of the Presidency</v>
      </c>
      <c r="F737" s="7" t="str">
        <f>IFERROR(__xludf.DUMMYFUNCTION("""COMPUTED_VALUE"""),"President/His")</f>
        <v>President/His</v>
      </c>
    </row>
    <row r="738">
      <c r="A738" s="7" t="str">
        <f>IFERROR(__xludf.DUMMYFUNCTION("""COMPUTED_VALUE"""),"NIGERIA ")</f>
        <v>NIGERIA </v>
      </c>
      <c r="B738" s="8">
        <f>IFERROR(__xludf.DUMMYFUNCTION("""COMPUTED_VALUE"""),10.0)</f>
        <v>10</v>
      </c>
      <c r="C738" s="7" t="str">
        <f>IFERROR(__xludf.DUMMYFUNCTION("""COMPUTED_VALUE"""),"G_18")</f>
        <v>G_18</v>
      </c>
      <c r="D738" s="7" t="str">
        <f>IFERROR(__xludf.DUMMYFUNCTION("""COMPUTED_VALUE"""),"Q38a. ")</f>
        <v>Q38a. </v>
      </c>
      <c r="E738" s="7" t="str">
        <f>IFERROR(__xludf.DUMMYFUNCTION("""COMPUTED_VALUE"""),"Corruption: office of the Presidency")</f>
        <v>Corruption: office of the Presidency</v>
      </c>
      <c r="F738" s="7" t="str">
        <f>IFERROR(__xludf.DUMMYFUNCTION("""COMPUTED_VALUE"""),"President/His")</f>
        <v>President/His</v>
      </c>
    </row>
    <row r="739">
      <c r="A739" s="7" t="str">
        <f>IFERROR(__xludf.DUMMYFUNCTION("""COMPUTED_VALUE"""),"SAO TOME AND PRINCIPE")</f>
        <v>SAO TOME AND PRINCIPE</v>
      </c>
      <c r="B739" s="8">
        <f>IFERROR(__xludf.DUMMYFUNCTION("""COMPUTED_VALUE"""),10.0)</f>
        <v>10</v>
      </c>
      <c r="C739" s="7" t="str">
        <f>IFERROR(__xludf.DUMMYFUNCTION("""COMPUTED_VALUE"""),"G_18")</f>
        <v>G_18</v>
      </c>
      <c r="D739" s="7" t="str">
        <f>IFERROR(__xludf.DUMMYFUNCTION("""COMPUTED_VALUE"""),"Q38a. ")</f>
        <v>Q38a. </v>
      </c>
      <c r="E739" s="7" t="str">
        <f>IFERROR(__xludf.DUMMYFUNCTION("""COMPUTED_VALUE"""),"Corruption: office of the Presidency")</f>
        <v>Corruption: office of the Presidency</v>
      </c>
      <c r="F739" s="7" t="str">
        <f>IFERROR(__xludf.DUMMYFUNCTION("""COMPUTED_VALUE"""),"President/His")</f>
        <v>President/His</v>
      </c>
    </row>
    <row r="740">
      <c r="A740" s="7" t="str">
        <f>IFERROR(__xludf.DUMMYFUNCTION("""COMPUTED_VALUE"""),"SENEGAL")</f>
        <v>SENEGAL</v>
      </c>
      <c r="B740" s="8">
        <f>IFERROR(__xludf.DUMMYFUNCTION("""COMPUTED_VALUE"""),10.0)</f>
        <v>10</v>
      </c>
      <c r="C740" s="7" t="str">
        <f>IFERROR(__xludf.DUMMYFUNCTION("""COMPUTED_VALUE"""),"G_18")</f>
        <v>G_18</v>
      </c>
      <c r="D740" s="7" t="str">
        <f>IFERROR(__xludf.DUMMYFUNCTION("""COMPUTED_VALUE"""),"Q38a. ")</f>
        <v>Q38a. </v>
      </c>
      <c r="E740" s="7" t="str">
        <f>IFERROR(__xludf.DUMMYFUNCTION("""COMPUTED_VALUE"""),"Corruption: office of the Presidency")</f>
        <v>Corruption: office of the Presidency</v>
      </c>
      <c r="F740" s="7" t="str">
        <f>IFERROR(__xludf.DUMMYFUNCTION("""COMPUTED_VALUE"""),"President/His")</f>
        <v>President/His</v>
      </c>
    </row>
    <row r="741">
      <c r="A741" s="7" t="str">
        <f>IFERROR(__xludf.DUMMYFUNCTION("""COMPUTED_VALUE"""),"SEYCHELLES")</f>
        <v>SEYCHELLES</v>
      </c>
      <c r="B741" s="8">
        <f>IFERROR(__xludf.DUMMYFUNCTION("""COMPUTED_VALUE"""),10.0)</f>
        <v>10</v>
      </c>
      <c r="C741" s="7" t="str">
        <f>IFERROR(__xludf.DUMMYFUNCTION("""COMPUTED_VALUE"""),"G_18")</f>
        <v>G_18</v>
      </c>
      <c r="D741" s="7" t="str">
        <f>IFERROR(__xludf.DUMMYFUNCTION("""COMPUTED_VALUE"""),"Q38a. ")</f>
        <v>Q38a. </v>
      </c>
      <c r="E741" s="7" t="str">
        <f>IFERROR(__xludf.DUMMYFUNCTION("""COMPUTED_VALUE"""),"Corruption: office of the Presidency")</f>
        <v>Corruption: office of the Presidency</v>
      </c>
      <c r="F741" s="7" t="str">
        <f>IFERROR(__xludf.DUMMYFUNCTION("""COMPUTED_VALUE"""),"President/His")</f>
        <v>President/His</v>
      </c>
    </row>
    <row r="742">
      <c r="A742" s="7" t="str">
        <f>IFERROR(__xludf.DUMMYFUNCTION("""COMPUTED_VALUE"""),"SOUTH AFRICA")</f>
        <v>SOUTH AFRICA</v>
      </c>
      <c r="B742" s="8">
        <f>IFERROR(__xludf.DUMMYFUNCTION("""COMPUTED_VALUE"""),10.0)</f>
        <v>10</v>
      </c>
      <c r="C742" s="7" t="str">
        <f>IFERROR(__xludf.DUMMYFUNCTION("""COMPUTED_VALUE"""),"G_18")</f>
        <v>G_18</v>
      </c>
      <c r="D742" s="7" t="str">
        <f>IFERROR(__xludf.DUMMYFUNCTION("""COMPUTED_VALUE"""),"Q38a. ")</f>
        <v>Q38a. </v>
      </c>
      <c r="E742" s="7" t="str">
        <f>IFERROR(__xludf.DUMMYFUNCTION("""COMPUTED_VALUE"""),"Corruption: office of the Presidency")</f>
        <v>Corruption: office of the Presidency</v>
      </c>
      <c r="F742" s="7" t="str">
        <f>IFERROR(__xludf.DUMMYFUNCTION("""COMPUTED_VALUE"""),"President/His")</f>
        <v>President/His</v>
      </c>
    </row>
    <row r="743">
      <c r="A743" s="7" t="str">
        <f>IFERROR(__xludf.DUMMYFUNCTION("""COMPUTED_VALUE"""),"TANZANIA")</f>
        <v>TANZANIA</v>
      </c>
      <c r="B743" s="8">
        <f>IFERROR(__xludf.DUMMYFUNCTION("""COMPUTED_VALUE"""),10.0)</f>
        <v>10</v>
      </c>
      <c r="C743" s="7" t="str">
        <f>IFERROR(__xludf.DUMMYFUNCTION("""COMPUTED_VALUE"""),"G_18")</f>
        <v>G_18</v>
      </c>
      <c r="D743" s="7" t="str">
        <f>IFERROR(__xludf.DUMMYFUNCTION("""COMPUTED_VALUE"""),"Q38a. ")</f>
        <v>Q38a. </v>
      </c>
      <c r="E743" s="7" t="str">
        <f>IFERROR(__xludf.DUMMYFUNCTION("""COMPUTED_VALUE"""),"Corruption: office of the Presidency")</f>
        <v>Corruption: office of the Presidency</v>
      </c>
      <c r="F743" s="7" t="str">
        <f>IFERROR(__xludf.DUMMYFUNCTION("""COMPUTED_VALUE"""),"President/Her")</f>
        <v>President/Her</v>
      </c>
    </row>
    <row r="744">
      <c r="A744" s="7" t="str">
        <f>IFERROR(__xludf.DUMMYFUNCTION("""COMPUTED_VALUE"""),"TOGO ")</f>
        <v>TOGO </v>
      </c>
      <c r="B744" s="8">
        <f>IFERROR(__xludf.DUMMYFUNCTION("""COMPUTED_VALUE"""),10.0)</f>
        <v>10</v>
      </c>
      <c r="C744" s="7" t="str">
        <f>IFERROR(__xludf.DUMMYFUNCTION("""COMPUTED_VALUE"""),"G_18")</f>
        <v>G_18</v>
      </c>
      <c r="D744" s="7" t="str">
        <f>IFERROR(__xludf.DUMMYFUNCTION("""COMPUTED_VALUE"""),"Q38a. ")</f>
        <v>Q38a. </v>
      </c>
      <c r="E744" s="7" t="str">
        <f>IFERROR(__xludf.DUMMYFUNCTION("""COMPUTED_VALUE"""),"Corruption: office of the Presidency")</f>
        <v>Corruption: office of the Presidency</v>
      </c>
      <c r="F744" s="7" t="str">
        <f>IFERROR(__xludf.DUMMYFUNCTION("""COMPUTED_VALUE"""),"President/His")</f>
        <v>President/His</v>
      </c>
    </row>
    <row r="745">
      <c r="A745" s="7" t="str">
        <f>IFERROR(__xludf.DUMMYFUNCTION("""COMPUTED_VALUE"""),"TUNISIA ")</f>
        <v>TUNISIA </v>
      </c>
      <c r="B745" s="8">
        <f>IFERROR(__xludf.DUMMYFUNCTION("""COMPUTED_VALUE"""),10.0)</f>
        <v>10</v>
      </c>
      <c r="C745" s="7" t="str">
        <f>IFERROR(__xludf.DUMMYFUNCTION("""COMPUTED_VALUE"""),"G_18")</f>
        <v>G_18</v>
      </c>
      <c r="D745" s="7" t="str">
        <f>IFERROR(__xludf.DUMMYFUNCTION("""COMPUTED_VALUE"""),"Q38a. ")</f>
        <v>Q38a. </v>
      </c>
      <c r="E745" s="7" t="str">
        <f>IFERROR(__xludf.DUMMYFUNCTION("""COMPUTED_VALUE"""),"Corruption: office of the Presidency")</f>
        <v>Corruption: office of the Presidency</v>
      </c>
      <c r="F745" s="7" t="str">
        <f>IFERROR(__xludf.DUMMYFUNCTION("""COMPUTED_VALUE"""),"President/His")</f>
        <v>President/His</v>
      </c>
    </row>
    <row r="746">
      <c r="A746" s="7" t="str">
        <f>IFERROR(__xludf.DUMMYFUNCTION("""COMPUTED_VALUE"""),"UGANDA  ")</f>
        <v>UGANDA  </v>
      </c>
      <c r="B746" s="8">
        <f>IFERROR(__xludf.DUMMYFUNCTION("""COMPUTED_VALUE"""),10.0)</f>
        <v>10</v>
      </c>
      <c r="C746" s="7" t="str">
        <f>IFERROR(__xludf.DUMMYFUNCTION("""COMPUTED_VALUE"""),"G_18")</f>
        <v>G_18</v>
      </c>
      <c r="D746" s="7" t="str">
        <f>IFERROR(__xludf.DUMMYFUNCTION("""COMPUTED_VALUE"""),"Q38a. ")</f>
        <v>Q38a. </v>
      </c>
      <c r="E746" s="7" t="str">
        <f>IFERROR(__xludf.DUMMYFUNCTION("""COMPUTED_VALUE"""),"Corruption: office of the Presidency")</f>
        <v>Corruption: office of the Presidency</v>
      </c>
      <c r="F746" s="7" t="str">
        <f>IFERROR(__xludf.DUMMYFUNCTION("""COMPUTED_VALUE"""),"President/His")</f>
        <v>President/His</v>
      </c>
    </row>
    <row r="747">
      <c r="A747" s="7" t="str">
        <f>IFERROR(__xludf.DUMMYFUNCTION("""COMPUTED_VALUE"""),"ZAMBIA")</f>
        <v>ZAMBIA</v>
      </c>
      <c r="B747" s="8">
        <f>IFERROR(__xludf.DUMMYFUNCTION("""COMPUTED_VALUE"""),10.0)</f>
        <v>10</v>
      </c>
      <c r="C747" s="7" t="str">
        <f>IFERROR(__xludf.DUMMYFUNCTION("""COMPUTED_VALUE"""),"G_18")</f>
        <v>G_18</v>
      </c>
      <c r="D747" s="7" t="str">
        <f>IFERROR(__xludf.DUMMYFUNCTION("""COMPUTED_VALUE"""),"Q38a. ")</f>
        <v>Q38a. </v>
      </c>
      <c r="E747" s="7" t="str">
        <f>IFERROR(__xludf.DUMMYFUNCTION("""COMPUTED_VALUE"""),"Corruption: office of the Presidency")</f>
        <v>Corruption: office of the Presidency</v>
      </c>
      <c r="F747" s="7" t="str">
        <f>IFERROR(__xludf.DUMMYFUNCTION("""COMPUTED_VALUE"""),"President/His")</f>
        <v>President/His</v>
      </c>
    </row>
    <row r="748">
      <c r="A748" s="7" t="str">
        <f>IFERROR(__xludf.DUMMYFUNCTION("""COMPUTED_VALUE"""),"ZIMBABWE")</f>
        <v>ZIMBABWE</v>
      </c>
      <c r="B748" s="8">
        <f>IFERROR(__xludf.DUMMYFUNCTION("""COMPUTED_VALUE"""),10.0)</f>
        <v>10</v>
      </c>
      <c r="C748" s="7" t="str">
        <f>IFERROR(__xludf.DUMMYFUNCTION("""COMPUTED_VALUE"""),"G_18")</f>
        <v>G_18</v>
      </c>
      <c r="D748" s="7" t="str">
        <f>IFERROR(__xludf.DUMMYFUNCTION("""COMPUTED_VALUE"""),"Q38a. ")</f>
        <v>Q38a. </v>
      </c>
      <c r="E748" s="7" t="str">
        <f>IFERROR(__xludf.DUMMYFUNCTION("""COMPUTED_VALUE"""),"Corruption: office of the Presidency")</f>
        <v>Corruption: office of the Presidency</v>
      </c>
      <c r="F748" s="7" t="str">
        <f>IFERROR(__xludf.DUMMYFUNCTION("""COMPUTED_VALUE"""),"President/His")</f>
        <v>President/His</v>
      </c>
    </row>
    <row r="749">
      <c r="A749" s="7" t="str">
        <f>IFERROR(__xludf.DUMMYFUNCTION("""COMPUTED_VALUE"""),"ANGOLA ")</f>
        <v>ANGOLA </v>
      </c>
      <c r="B749" s="8">
        <f>IFERROR(__xludf.DUMMYFUNCTION("""COMPUTED_VALUE"""),10.0)</f>
        <v>10</v>
      </c>
      <c r="C749" s="7" t="str">
        <f>IFERROR(__xludf.DUMMYFUNCTION("""COMPUTED_VALUE"""),"G_13")</f>
        <v>G_13</v>
      </c>
      <c r="D749" s="7" t="str">
        <f>IFERROR(__xludf.DUMMYFUNCTION("""COMPUTED_VALUE"""),"Q38b. ")</f>
        <v>Q38b. </v>
      </c>
      <c r="E749" s="7" t="str">
        <f>IFERROR(__xludf.DUMMYFUNCTION("""COMPUTED_VALUE"""),"Corruption: Members of Parliament")</f>
        <v>Corruption: Members of Parliament</v>
      </c>
      <c r="F749" s="7" t="str">
        <f>IFERROR(__xludf.DUMMYFUNCTION("""COMPUTED_VALUE"""),"Members of the National Assembly")</f>
        <v>Members of the National Assembly</v>
      </c>
    </row>
    <row r="750">
      <c r="A750" s="7" t="str">
        <f>IFERROR(__xludf.DUMMYFUNCTION("""COMPUTED_VALUE"""),"BENIN")</f>
        <v>BENIN</v>
      </c>
      <c r="B750" s="8">
        <f>IFERROR(__xludf.DUMMYFUNCTION("""COMPUTED_VALUE"""),10.0)</f>
        <v>10</v>
      </c>
      <c r="C750" s="7" t="str">
        <f>IFERROR(__xludf.DUMMYFUNCTION("""COMPUTED_VALUE"""),"G_13")</f>
        <v>G_13</v>
      </c>
      <c r="D750" s="7" t="str">
        <f>IFERROR(__xludf.DUMMYFUNCTION("""COMPUTED_VALUE"""),"Q38b. ")</f>
        <v>Q38b. </v>
      </c>
      <c r="E750" s="7" t="str">
        <f>IFERROR(__xludf.DUMMYFUNCTION("""COMPUTED_VALUE"""),"Corruption: Members of Parliament")</f>
        <v>Corruption: Members of Parliament</v>
      </c>
      <c r="F750" s="7" t="str">
        <f>IFERROR(__xludf.DUMMYFUNCTION("""COMPUTED_VALUE"""),"Members of the National Assembly")</f>
        <v>Members of the National Assembly</v>
      </c>
    </row>
    <row r="751">
      <c r="A751" s="7" t="str">
        <f>IFERROR(__xludf.DUMMYFUNCTION("""COMPUTED_VALUE"""),"BOTSWANA ")</f>
        <v>BOTSWANA </v>
      </c>
      <c r="B751" s="8">
        <f>IFERROR(__xludf.DUMMYFUNCTION("""COMPUTED_VALUE"""),10.0)</f>
        <v>10</v>
      </c>
      <c r="C751" s="7" t="str">
        <f>IFERROR(__xludf.DUMMYFUNCTION("""COMPUTED_VALUE"""),"G_13")</f>
        <v>G_13</v>
      </c>
      <c r="D751" s="7" t="str">
        <f>IFERROR(__xludf.DUMMYFUNCTION("""COMPUTED_VALUE"""),"Q38b. ")</f>
        <v>Q38b. </v>
      </c>
      <c r="E751" s="7" t="str">
        <f>IFERROR(__xludf.DUMMYFUNCTION("""COMPUTED_VALUE"""),"Corruption: Members of Parliament")</f>
        <v>Corruption: Members of Parliament</v>
      </c>
      <c r="F751" s="7" t="str">
        <f>IFERROR(__xludf.DUMMYFUNCTION("""COMPUTED_VALUE"""),"Members of Parliament")</f>
        <v>Members of Parliament</v>
      </c>
    </row>
    <row r="752">
      <c r="A752" s="7" t="str">
        <f>IFERROR(__xludf.DUMMYFUNCTION("""COMPUTED_VALUE"""),"CABO VERDE ")</f>
        <v>CABO VERDE </v>
      </c>
      <c r="B752" s="8">
        <f>IFERROR(__xludf.DUMMYFUNCTION("""COMPUTED_VALUE"""),10.0)</f>
        <v>10</v>
      </c>
      <c r="C752" s="7" t="str">
        <f>IFERROR(__xludf.DUMMYFUNCTION("""COMPUTED_VALUE"""),"G_13")</f>
        <v>G_13</v>
      </c>
      <c r="D752" s="7" t="str">
        <f>IFERROR(__xludf.DUMMYFUNCTION("""COMPUTED_VALUE"""),"Q38b. ")</f>
        <v>Q38b. </v>
      </c>
      <c r="E752" s="7" t="str">
        <f>IFERROR(__xludf.DUMMYFUNCTION("""COMPUTED_VALUE"""),"Corruption: Members of Parliament")</f>
        <v>Corruption: Members of Parliament</v>
      </c>
      <c r="F752" s="7" t="str">
        <f>IFERROR(__xludf.DUMMYFUNCTION("""COMPUTED_VALUE"""),"Members of the National Assembly")</f>
        <v>Members of the National Assembly</v>
      </c>
    </row>
    <row r="753">
      <c r="A753" s="7" t="str">
        <f>IFERROR(__xludf.DUMMYFUNCTION("""COMPUTED_VALUE"""),"CAMEROON")</f>
        <v>CAMEROON</v>
      </c>
      <c r="B753" s="8">
        <f>IFERROR(__xludf.DUMMYFUNCTION("""COMPUTED_VALUE"""),10.0)</f>
        <v>10</v>
      </c>
      <c r="C753" s="7" t="str">
        <f>IFERROR(__xludf.DUMMYFUNCTION("""COMPUTED_VALUE"""),"G_13")</f>
        <v>G_13</v>
      </c>
      <c r="D753" s="7" t="str">
        <f>IFERROR(__xludf.DUMMYFUNCTION("""COMPUTED_VALUE"""),"Q38b. ")</f>
        <v>Q38b. </v>
      </c>
      <c r="E753" s="7" t="str">
        <f>IFERROR(__xludf.DUMMYFUNCTION("""COMPUTED_VALUE"""),"Corruption: Members of Parliament")</f>
        <v>Corruption: Members of Parliament</v>
      </c>
      <c r="F753" s="7" t="str">
        <f>IFERROR(__xludf.DUMMYFUNCTION("""COMPUTED_VALUE"""),"Members of the National Assembly")</f>
        <v>Members of the National Assembly</v>
      </c>
    </row>
    <row r="754">
      <c r="A754" s="7" t="str">
        <f>IFERROR(__xludf.DUMMYFUNCTION("""COMPUTED_VALUE"""),"CHAD")</f>
        <v>CHAD</v>
      </c>
      <c r="B754" s="8">
        <f>IFERROR(__xludf.DUMMYFUNCTION("""COMPUTED_VALUE"""),10.0)</f>
        <v>10</v>
      </c>
      <c r="C754" s="7" t="str">
        <f>IFERROR(__xludf.DUMMYFUNCTION("""COMPUTED_VALUE"""),"G_13")</f>
        <v>G_13</v>
      </c>
      <c r="D754" s="7" t="str">
        <f>IFERROR(__xludf.DUMMYFUNCTION("""COMPUTED_VALUE"""),"Q38b. ")</f>
        <v>Q38b. </v>
      </c>
      <c r="E754" s="7" t="str">
        <f>IFERROR(__xludf.DUMMYFUNCTION("""COMPUTED_VALUE"""),"Corruption: Members of Parliament")</f>
        <v>Corruption: Members of Parliament</v>
      </c>
      <c r="F754" s="7" t="str">
        <f>IFERROR(__xludf.DUMMYFUNCTION("""COMPUTED_VALUE"""),"Members of the National Assembly")</f>
        <v>Members of the National Assembly</v>
      </c>
    </row>
    <row r="755">
      <c r="A755" s="7" t="str">
        <f>IFERROR(__xludf.DUMMYFUNCTION("""COMPUTED_VALUE"""),"COMOROS")</f>
        <v>COMOROS</v>
      </c>
      <c r="B755" s="8">
        <f>IFERROR(__xludf.DUMMYFUNCTION("""COMPUTED_VALUE"""),10.0)</f>
        <v>10</v>
      </c>
      <c r="C755" s="7" t="str">
        <f>IFERROR(__xludf.DUMMYFUNCTION("""COMPUTED_VALUE"""),"G_13")</f>
        <v>G_13</v>
      </c>
      <c r="D755" s="7" t="str">
        <f>IFERROR(__xludf.DUMMYFUNCTION("""COMPUTED_VALUE"""),"Q38b. ")</f>
        <v>Q38b. </v>
      </c>
      <c r="E755" s="7" t="str">
        <f>IFERROR(__xludf.DUMMYFUNCTION("""COMPUTED_VALUE"""),"Corruption: Members of Parliament")</f>
        <v>Corruption: Members of Parliament</v>
      </c>
      <c r="F755" s="7" t="str">
        <f>IFERROR(__xludf.DUMMYFUNCTION("""COMPUTED_VALUE"""),"Members of the National Assembly")</f>
        <v>Members of the National Assembly</v>
      </c>
    </row>
    <row r="756">
      <c r="A756" s="7" t="str">
        <f>IFERROR(__xludf.DUMMYFUNCTION("""COMPUTED_VALUE"""),"CONGO BRAZZAVILLE")</f>
        <v>CONGO BRAZZAVILLE</v>
      </c>
      <c r="B756" s="8">
        <f>IFERROR(__xludf.DUMMYFUNCTION("""COMPUTED_VALUE"""),10.0)</f>
        <v>10</v>
      </c>
      <c r="C756" s="7" t="str">
        <f>IFERROR(__xludf.DUMMYFUNCTION("""COMPUTED_VALUE"""),"G_13")</f>
        <v>G_13</v>
      </c>
      <c r="D756" s="7" t="str">
        <f>IFERROR(__xludf.DUMMYFUNCTION("""COMPUTED_VALUE"""),"Q38b. ")</f>
        <v>Q38b. </v>
      </c>
      <c r="E756" s="7" t="str">
        <f>IFERROR(__xludf.DUMMYFUNCTION("""COMPUTED_VALUE"""),"Corruption: Members of Parliament")</f>
        <v>Corruption: Members of Parliament</v>
      </c>
      <c r="F756" s="7" t="str">
        <f>IFERROR(__xludf.DUMMYFUNCTION("""COMPUTED_VALUE"""),"Members of the National Assembly")</f>
        <v>Members of the National Assembly</v>
      </c>
    </row>
    <row r="757">
      <c r="A757" s="7" t="str">
        <f>IFERROR(__xludf.DUMMYFUNCTION("""COMPUTED_VALUE"""),"COTE D'IVOIRE")</f>
        <v>COTE D'IVOIRE</v>
      </c>
      <c r="B757" s="8">
        <f>IFERROR(__xludf.DUMMYFUNCTION("""COMPUTED_VALUE"""),10.0)</f>
        <v>10</v>
      </c>
      <c r="C757" s="7" t="str">
        <f>IFERROR(__xludf.DUMMYFUNCTION("""COMPUTED_VALUE"""),"G_13")</f>
        <v>G_13</v>
      </c>
      <c r="D757" s="7" t="str">
        <f>IFERROR(__xludf.DUMMYFUNCTION("""COMPUTED_VALUE"""),"Q38b. ")</f>
        <v>Q38b. </v>
      </c>
      <c r="E757" s="7" t="str">
        <f>IFERROR(__xludf.DUMMYFUNCTION("""COMPUTED_VALUE"""),"Corruption: Members of Parliament")</f>
        <v>Corruption: Members of Parliament</v>
      </c>
      <c r="F757" s="7" t="str">
        <f>IFERROR(__xludf.DUMMYFUNCTION("""COMPUTED_VALUE"""),"Members of the National Assembly")</f>
        <v>Members of the National Assembly</v>
      </c>
    </row>
    <row r="758">
      <c r="A758" s="7" t="str">
        <f>IFERROR(__xludf.DUMMYFUNCTION("""COMPUTED_VALUE"""),"ESWATINI")</f>
        <v>ESWATINI</v>
      </c>
      <c r="B758" s="8">
        <f>IFERROR(__xludf.DUMMYFUNCTION("""COMPUTED_VALUE"""),10.0)</f>
        <v>10</v>
      </c>
      <c r="C758" s="7" t="str">
        <f>IFERROR(__xludf.DUMMYFUNCTION("""COMPUTED_VALUE"""),"G_13")</f>
        <v>G_13</v>
      </c>
      <c r="D758" s="7" t="str">
        <f>IFERROR(__xludf.DUMMYFUNCTION("""COMPUTED_VALUE"""),"Q38b. ")</f>
        <v>Q38b. </v>
      </c>
      <c r="E758" s="7" t="str">
        <f>IFERROR(__xludf.DUMMYFUNCTION("""COMPUTED_VALUE"""),"Corruption: Members of Parliament")</f>
        <v>Corruption: Members of Parliament</v>
      </c>
      <c r="F758" s="7" t="str">
        <f>IFERROR(__xludf.DUMMYFUNCTION("""COMPUTED_VALUE"""),"Members of Parliament")</f>
        <v>Members of Parliament</v>
      </c>
    </row>
    <row r="759">
      <c r="A759" s="7" t="str">
        <f>IFERROR(__xludf.DUMMYFUNCTION("""COMPUTED_VALUE"""),"GABON")</f>
        <v>GABON</v>
      </c>
      <c r="B759" s="8">
        <f>IFERROR(__xludf.DUMMYFUNCTION("""COMPUTED_VALUE"""),10.0)</f>
        <v>10</v>
      </c>
      <c r="C759" s="7" t="str">
        <f>IFERROR(__xludf.DUMMYFUNCTION("""COMPUTED_VALUE"""),"G_13")</f>
        <v>G_13</v>
      </c>
      <c r="D759" s="7" t="str">
        <f>IFERROR(__xludf.DUMMYFUNCTION("""COMPUTED_VALUE"""),"Q38b. ")</f>
        <v>Q38b. </v>
      </c>
      <c r="E759" s="7" t="str">
        <f>IFERROR(__xludf.DUMMYFUNCTION("""COMPUTED_VALUE"""),"Corruption: Members of Parliament")</f>
        <v>Corruption: Members of Parliament</v>
      </c>
      <c r="F759" s="7" t="str">
        <f>IFERROR(__xludf.DUMMYFUNCTION("""COMPUTED_VALUE"""),"Members of the National Assembly")</f>
        <v>Members of the National Assembly</v>
      </c>
    </row>
    <row r="760">
      <c r="A760" s="7" t="str">
        <f>IFERROR(__xludf.DUMMYFUNCTION("""COMPUTED_VALUE"""),"GAMBIA")</f>
        <v>GAMBIA</v>
      </c>
      <c r="B760" s="8">
        <f>IFERROR(__xludf.DUMMYFUNCTION("""COMPUTED_VALUE"""),10.0)</f>
        <v>10</v>
      </c>
      <c r="C760" s="7" t="str">
        <f>IFERROR(__xludf.DUMMYFUNCTION("""COMPUTED_VALUE"""),"G_13")</f>
        <v>G_13</v>
      </c>
      <c r="D760" s="7" t="str">
        <f>IFERROR(__xludf.DUMMYFUNCTION("""COMPUTED_VALUE"""),"Q38b. ")</f>
        <v>Q38b. </v>
      </c>
      <c r="E760" s="7" t="str">
        <f>IFERROR(__xludf.DUMMYFUNCTION("""COMPUTED_VALUE"""),"Corruption: Members of Parliament")</f>
        <v>Corruption: Members of Parliament</v>
      </c>
      <c r="F760" s="7" t="str">
        <f>IFERROR(__xludf.DUMMYFUNCTION("""COMPUTED_VALUE"""),"Members of the National Assembly")</f>
        <v>Members of the National Assembly</v>
      </c>
    </row>
    <row r="761">
      <c r="A761" s="7" t="str">
        <f>IFERROR(__xludf.DUMMYFUNCTION("""COMPUTED_VALUE"""),"GHANA ")</f>
        <v>GHANA </v>
      </c>
      <c r="B761" s="8">
        <f>IFERROR(__xludf.DUMMYFUNCTION("""COMPUTED_VALUE"""),10.0)</f>
        <v>10</v>
      </c>
      <c r="C761" s="7" t="str">
        <f>IFERROR(__xludf.DUMMYFUNCTION("""COMPUTED_VALUE"""),"G_13")</f>
        <v>G_13</v>
      </c>
      <c r="D761" s="7" t="str">
        <f>IFERROR(__xludf.DUMMYFUNCTION("""COMPUTED_VALUE"""),"Q38b. ")</f>
        <v>Q38b. </v>
      </c>
      <c r="E761" s="7" t="str">
        <f>IFERROR(__xludf.DUMMYFUNCTION("""COMPUTED_VALUE"""),"Corruption: Members of Parliament")</f>
        <v>Corruption: Members of Parliament</v>
      </c>
      <c r="F761" s="7" t="str">
        <f>IFERROR(__xludf.DUMMYFUNCTION("""COMPUTED_VALUE"""),"Members of Parliament")</f>
        <v>Members of Parliament</v>
      </c>
    </row>
    <row r="762">
      <c r="A762" s="7" t="str">
        <f>IFERROR(__xludf.DUMMYFUNCTION("""COMPUTED_VALUE"""),"GUINEA")</f>
        <v>GUINEA</v>
      </c>
      <c r="B762" s="8">
        <f>IFERROR(__xludf.DUMMYFUNCTION("""COMPUTED_VALUE"""),10.0)</f>
        <v>10</v>
      </c>
      <c r="C762" s="7" t="str">
        <f>IFERROR(__xludf.DUMMYFUNCTION("""COMPUTED_VALUE"""),"G_13")</f>
        <v>G_13</v>
      </c>
      <c r="D762" s="7" t="str">
        <f>IFERROR(__xludf.DUMMYFUNCTION("""COMPUTED_VALUE"""),"Q38b. ")</f>
        <v>Q38b. </v>
      </c>
      <c r="E762" s="7" t="str">
        <f>IFERROR(__xludf.DUMMYFUNCTION("""COMPUTED_VALUE"""),"Corruption: Members of Parliament")</f>
        <v>Corruption: Members of Parliament</v>
      </c>
      <c r="F762" s="7" t="str">
        <f>IFERROR(__xludf.DUMMYFUNCTION("""COMPUTED_VALUE"""),"National Transition Councilors")</f>
        <v>National Transition Councilors</v>
      </c>
    </row>
    <row r="763">
      <c r="A763" s="7" t="str">
        <f>IFERROR(__xludf.DUMMYFUNCTION("""COMPUTED_VALUE"""),"KENYA  ")</f>
        <v>KENYA  </v>
      </c>
      <c r="B763" s="8">
        <f>IFERROR(__xludf.DUMMYFUNCTION("""COMPUTED_VALUE"""),10.0)</f>
        <v>10</v>
      </c>
      <c r="C763" s="7" t="str">
        <f>IFERROR(__xludf.DUMMYFUNCTION("""COMPUTED_VALUE"""),"G_13")</f>
        <v>G_13</v>
      </c>
      <c r="D763" s="7" t="str">
        <f>IFERROR(__xludf.DUMMYFUNCTION("""COMPUTED_VALUE"""),"Q38b. ")</f>
        <v>Q38b. </v>
      </c>
      <c r="E763" s="7" t="str">
        <f>IFERROR(__xludf.DUMMYFUNCTION("""COMPUTED_VALUE"""),"Corruption: Members of Parliament")</f>
        <v>Corruption: Members of Parliament</v>
      </c>
      <c r="F763" s="7" t="str">
        <f>IFERROR(__xludf.DUMMYFUNCTION("""COMPUTED_VALUE"""),"Members of Parliament")</f>
        <v>Members of Parliament</v>
      </c>
    </row>
    <row r="764">
      <c r="A764" s="7" t="str">
        <f>IFERROR(__xludf.DUMMYFUNCTION("""COMPUTED_VALUE"""),"LESOTHO ")</f>
        <v>LESOTHO </v>
      </c>
      <c r="B764" s="8">
        <f>IFERROR(__xludf.DUMMYFUNCTION("""COMPUTED_VALUE"""),10.0)</f>
        <v>10</v>
      </c>
      <c r="C764" s="7" t="str">
        <f>IFERROR(__xludf.DUMMYFUNCTION("""COMPUTED_VALUE"""),"G_13")</f>
        <v>G_13</v>
      </c>
      <c r="D764" s="7" t="str">
        <f>IFERROR(__xludf.DUMMYFUNCTION("""COMPUTED_VALUE"""),"Q38b. ")</f>
        <v>Q38b. </v>
      </c>
      <c r="E764" s="7" t="str">
        <f>IFERROR(__xludf.DUMMYFUNCTION("""COMPUTED_VALUE"""),"Corruption: Members of Parliament")</f>
        <v>Corruption: Members of Parliament</v>
      </c>
      <c r="F764" s="7" t="str">
        <f>IFERROR(__xludf.DUMMYFUNCTION("""COMPUTED_VALUE"""),"Members of Parliament")</f>
        <v>Members of Parliament</v>
      </c>
    </row>
    <row r="765">
      <c r="A765" s="7" t="str">
        <f>IFERROR(__xludf.DUMMYFUNCTION("""COMPUTED_VALUE"""),"LIBERIA  ")</f>
        <v>LIBERIA  </v>
      </c>
      <c r="B765" s="8">
        <f>IFERROR(__xludf.DUMMYFUNCTION("""COMPUTED_VALUE"""),10.0)</f>
        <v>10</v>
      </c>
      <c r="C765" s="7" t="str">
        <f>IFERROR(__xludf.DUMMYFUNCTION("""COMPUTED_VALUE"""),"G_13")</f>
        <v>G_13</v>
      </c>
      <c r="D765" s="7" t="str">
        <f>IFERROR(__xludf.DUMMYFUNCTION("""COMPUTED_VALUE"""),"Q38b. ")</f>
        <v>Q38b. </v>
      </c>
      <c r="E765" s="7" t="str">
        <f>IFERROR(__xludf.DUMMYFUNCTION("""COMPUTED_VALUE"""),"Corruption: Members of Parliament")</f>
        <v>Corruption: Members of Parliament</v>
      </c>
      <c r="F765" s="7" t="str">
        <f>IFERROR(__xludf.DUMMYFUNCTION("""COMPUTED_VALUE"""),"Members of House of Representatives")</f>
        <v>Members of House of Representatives</v>
      </c>
    </row>
    <row r="766">
      <c r="A766" s="7" t="str">
        <f>IFERROR(__xludf.DUMMYFUNCTION("""COMPUTED_VALUE"""),"MADAGASCAR")</f>
        <v>MADAGASCAR</v>
      </c>
      <c r="B766" s="8">
        <f>IFERROR(__xludf.DUMMYFUNCTION("""COMPUTED_VALUE"""),10.0)</f>
        <v>10</v>
      </c>
      <c r="C766" s="7" t="str">
        <f>IFERROR(__xludf.DUMMYFUNCTION("""COMPUTED_VALUE"""),"G_13")</f>
        <v>G_13</v>
      </c>
      <c r="D766" s="7" t="str">
        <f>IFERROR(__xludf.DUMMYFUNCTION("""COMPUTED_VALUE"""),"Q38b. ")</f>
        <v>Q38b. </v>
      </c>
      <c r="E766" s="7" t="str">
        <f>IFERROR(__xludf.DUMMYFUNCTION("""COMPUTED_VALUE"""),"Corruption: Members of Parliament")</f>
        <v>Corruption: Members of Parliament</v>
      </c>
      <c r="F766" s="7" t="str">
        <f>IFERROR(__xludf.DUMMYFUNCTION("""COMPUTED_VALUE"""),"Members of the National Assembly")</f>
        <v>Members of the National Assembly</v>
      </c>
    </row>
    <row r="767">
      <c r="A767" s="7" t="str">
        <f>IFERROR(__xludf.DUMMYFUNCTION("""COMPUTED_VALUE"""),"MALAWI ")</f>
        <v>MALAWI </v>
      </c>
      <c r="B767" s="8">
        <f>IFERROR(__xludf.DUMMYFUNCTION("""COMPUTED_VALUE"""),10.0)</f>
        <v>10</v>
      </c>
      <c r="C767" s="7" t="str">
        <f>IFERROR(__xludf.DUMMYFUNCTION("""COMPUTED_VALUE"""),"G_13")</f>
        <v>G_13</v>
      </c>
      <c r="D767" s="7" t="str">
        <f>IFERROR(__xludf.DUMMYFUNCTION("""COMPUTED_VALUE"""),"Q38b. ")</f>
        <v>Q38b. </v>
      </c>
      <c r="E767" s="7" t="str">
        <f>IFERROR(__xludf.DUMMYFUNCTION("""COMPUTED_VALUE"""),"Corruption: Members of Parliament")</f>
        <v>Corruption: Members of Parliament</v>
      </c>
      <c r="F767" s="7" t="str">
        <f>IFERROR(__xludf.DUMMYFUNCTION("""COMPUTED_VALUE"""),"Members of Parliament")</f>
        <v>Members of Parliament</v>
      </c>
    </row>
    <row r="768">
      <c r="A768" s="7" t="str">
        <f>IFERROR(__xludf.DUMMYFUNCTION("""COMPUTED_VALUE"""),"MALI")</f>
        <v>MALI</v>
      </c>
      <c r="B768" s="8">
        <f>IFERROR(__xludf.DUMMYFUNCTION("""COMPUTED_VALUE"""),10.0)</f>
        <v>10</v>
      </c>
      <c r="C768" s="7" t="str">
        <f>IFERROR(__xludf.DUMMYFUNCTION("""COMPUTED_VALUE"""),"G_13")</f>
        <v>G_13</v>
      </c>
      <c r="D768" s="7" t="str">
        <f>IFERROR(__xludf.DUMMYFUNCTION("""COMPUTED_VALUE"""),"Q38b. ")</f>
        <v>Q38b. </v>
      </c>
      <c r="E768" s="7" t="str">
        <f>IFERROR(__xludf.DUMMYFUNCTION("""COMPUTED_VALUE"""),"Corruption: Members of Parliament")</f>
        <v>Corruption: Members of Parliament</v>
      </c>
      <c r="F768" s="7" t="str">
        <f>IFERROR(__xludf.DUMMYFUNCTION("""COMPUTED_VALUE"""),"National Transition Councilors")</f>
        <v>National Transition Councilors</v>
      </c>
    </row>
    <row r="769">
      <c r="A769" s="7" t="str">
        <f>IFERROR(__xludf.DUMMYFUNCTION("""COMPUTED_VALUE"""),"MAURITANIA")</f>
        <v>MAURITANIA</v>
      </c>
      <c r="B769" s="8">
        <f>IFERROR(__xludf.DUMMYFUNCTION("""COMPUTED_VALUE"""),10.0)</f>
        <v>10</v>
      </c>
      <c r="C769" s="7" t="str">
        <f>IFERROR(__xludf.DUMMYFUNCTION("""COMPUTED_VALUE"""),"G_13")</f>
        <v>G_13</v>
      </c>
      <c r="D769" s="7" t="str">
        <f>IFERROR(__xludf.DUMMYFUNCTION("""COMPUTED_VALUE"""),"Q38b. ")</f>
        <v>Q38b. </v>
      </c>
      <c r="E769" s="7" t="str">
        <f>IFERROR(__xludf.DUMMYFUNCTION("""COMPUTED_VALUE"""),"Corruption: Members of Parliament")</f>
        <v>Corruption: Members of Parliament</v>
      </c>
      <c r="F769" s="7" t="str">
        <f>IFERROR(__xludf.DUMMYFUNCTION("""COMPUTED_VALUE"""),"Members of the National Assembly")</f>
        <v>Members of the National Assembly</v>
      </c>
    </row>
    <row r="770">
      <c r="A770" s="7" t="str">
        <f>IFERROR(__xludf.DUMMYFUNCTION("""COMPUTED_VALUE"""),"MAURITIUS")</f>
        <v>MAURITIUS</v>
      </c>
      <c r="B770" s="8">
        <f>IFERROR(__xludf.DUMMYFUNCTION("""COMPUTED_VALUE"""),10.0)</f>
        <v>10</v>
      </c>
      <c r="C770" s="7" t="str">
        <f>IFERROR(__xludf.DUMMYFUNCTION("""COMPUTED_VALUE"""),"G_13")</f>
        <v>G_13</v>
      </c>
      <c r="D770" s="7" t="str">
        <f>IFERROR(__xludf.DUMMYFUNCTION("""COMPUTED_VALUE"""),"Q38b. ")</f>
        <v>Q38b. </v>
      </c>
      <c r="E770" s="7" t="str">
        <f>IFERROR(__xludf.DUMMYFUNCTION("""COMPUTED_VALUE"""),"Corruption: Members of Parliament")</f>
        <v>Corruption: Members of Parliament</v>
      </c>
      <c r="F770" s="7" t="str">
        <f>IFERROR(__xludf.DUMMYFUNCTION("""COMPUTED_VALUE"""),"Members of the National Assembly")</f>
        <v>Members of the National Assembly</v>
      </c>
    </row>
    <row r="771">
      <c r="A771" s="7" t="str">
        <f>IFERROR(__xludf.DUMMYFUNCTION("""COMPUTED_VALUE"""),"MOROCCO ")</f>
        <v>MOROCCO </v>
      </c>
      <c r="B771" s="8">
        <f>IFERROR(__xludf.DUMMYFUNCTION("""COMPUTED_VALUE"""),10.0)</f>
        <v>10</v>
      </c>
      <c r="C771" s="7" t="str">
        <f>IFERROR(__xludf.DUMMYFUNCTION("""COMPUTED_VALUE"""),"G_13")</f>
        <v>G_13</v>
      </c>
      <c r="D771" s="7" t="str">
        <f>IFERROR(__xludf.DUMMYFUNCTION("""COMPUTED_VALUE"""),"Q38b. ")</f>
        <v>Q38b. </v>
      </c>
      <c r="E771" s="7" t="str">
        <f>IFERROR(__xludf.DUMMYFUNCTION("""COMPUTED_VALUE"""),"Corruption: Members of Parliament")</f>
        <v>Corruption: Members of Parliament</v>
      </c>
      <c r="F771" s="7" t="str">
        <f>IFERROR(__xludf.DUMMYFUNCTION("""COMPUTED_VALUE"""),"Members of Parliament")</f>
        <v>Members of Parliament</v>
      </c>
    </row>
    <row r="772">
      <c r="A772" s="7" t="str">
        <f>IFERROR(__xludf.DUMMYFUNCTION("""COMPUTED_VALUE"""),"MOZAMBIQUE")</f>
        <v>MOZAMBIQUE</v>
      </c>
      <c r="B772" s="8">
        <f>IFERROR(__xludf.DUMMYFUNCTION("""COMPUTED_VALUE"""),10.0)</f>
        <v>10</v>
      </c>
      <c r="C772" s="7" t="str">
        <f>IFERROR(__xludf.DUMMYFUNCTION("""COMPUTED_VALUE"""),"G_13")</f>
        <v>G_13</v>
      </c>
      <c r="D772" s="7" t="str">
        <f>IFERROR(__xludf.DUMMYFUNCTION("""COMPUTED_VALUE"""),"Q38b. ")</f>
        <v>Q38b. </v>
      </c>
      <c r="E772" s="7" t="str">
        <f>IFERROR(__xludf.DUMMYFUNCTION("""COMPUTED_VALUE"""),"Corruption: Members of Parliament")</f>
        <v>Corruption: Members of Parliament</v>
      </c>
      <c r="F772" s="7" t="str">
        <f>IFERROR(__xludf.DUMMYFUNCTION("""COMPUTED_VALUE"""),"Members of Parliament")</f>
        <v>Members of Parliament</v>
      </c>
    </row>
    <row r="773">
      <c r="A773" s="7" t="str">
        <f>IFERROR(__xludf.DUMMYFUNCTION("""COMPUTED_VALUE"""),"NAMIBIA ")</f>
        <v>NAMIBIA </v>
      </c>
      <c r="B773" s="8">
        <f>IFERROR(__xludf.DUMMYFUNCTION("""COMPUTED_VALUE"""),10.0)</f>
        <v>10</v>
      </c>
      <c r="C773" s="7" t="str">
        <f>IFERROR(__xludf.DUMMYFUNCTION("""COMPUTED_VALUE"""),"G_13")</f>
        <v>G_13</v>
      </c>
      <c r="D773" s="7" t="str">
        <f>IFERROR(__xludf.DUMMYFUNCTION("""COMPUTED_VALUE"""),"Q38b. ")</f>
        <v>Q38b. </v>
      </c>
      <c r="E773" s="7" t="str">
        <f>IFERROR(__xludf.DUMMYFUNCTION("""COMPUTED_VALUE"""),"Corruption: Members of Parliament")</f>
        <v>Corruption: Members of Parliament</v>
      </c>
      <c r="F773" s="7" t="str">
        <f>IFERROR(__xludf.DUMMYFUNCTION("""COMPUTED_VALUE"""),"Members of the National Assembly")</f>
        <v>Members of the National Assembly</v>
      </c>
    </row>
    <row r="774">
      <c r="A774" s="7" t="str">
        <f>IFERROR(__xludf.DUMMYFUNCTION("""COMPUTED_VALUE"""),"NIGERIA ")</f>
        <v>NIGERIA </v>
      </c>
      <c r="B774" s="8">
        <f>IFERROR(__xludf.DUMMYFUNCTION("""COMPUTED_VALUE"""),10.0)</f>
        <v>10</v>
      </c>
      <c r="C774" s="7" t="str">
        <f>IFERROR(__xludf.DUMMYFUNCTION("""COMPUTED_VALUE"""),"G_13")</f>
        <v>G_13</v>
      </c>
      <c r="D774" s="7" t="str">
        <f>IFERROR(__xludf.DUMMYFUNCTION("""COMPUTED_VALUE"""),"Q38b. ")</f>
        <v>Q38b. </v>
      </c>
      <c r="E774" s="7" t="str">
        <f>IFERROR(__xludf.DUMMYFUNCTION("""COMPUTED_VALUE"""),"Corruption: Members of Parliament")</f>
        <v>Corruption: Members of Parliament</v>
      </c>
      <c r="F774" s="7" t="str">
        <f>IFERROR(__xludf.DUMMYFUNCTION("""COMPUTED_VALUE"""),"Members of the National Assembly")</f>
        <v>Members of the National Assembly</v>
      </c>
    </row>
    <row r="775">
      <c r="A775" s="7" t="str">
        <f>IFERROR(__xludf.DUMMYFUNCTION("""COMPUTED_VALUE"""),"SAO TOME AND PRINCIPE")</f>
        <v>SAO TOME AND PRINCIPE</v>
      </c>
      <c r="B775" s="8">
        <f>IFERROR(__xludf.DUMMYFUNCTION("""COMPUTED_VALUE"""),10.0)</f>
        <v>10</v>
      </c>
      <c r="C775" s="7" t="str">
        <f>IFERROR(__xludf.DUMMYFUNCTION("""COMPUTED_VALUE"""),"G_13")</f>
        <v>G_13</v>
      </c>
      <c r="D775" s="7" t="str">
        <f>IFERROR(__xludf.DUMMYFUNCTION("""COMPUTED_VALUE"""),"Q38b. ")</f>
        <v>Q38b. </v>
      </c>
      <c r="E775" s="7" t="str">
        <f>IFERROR(__xludf.DUMMYFUNCTION("""COMPUTED_VALUE"""),"Corruption: Members of Parliament")</f>
        <v>Corruption: Members of Parliament</v>
      </c>
      <c r="F775" s="7" t="str">
        <f>IFERROR(__xludf.DUMMYFUNCTION("""COMPUTED_VALUE"""),"Members of the National Assembly")</f>
        <v>Members of the National Assembly</v>
      </c>
    </row>
    <row r="776">
      <c r="A776" s="7" t="str">
        <f>IFERROR(__xludf.DUMMYFUNCTION("""COMPUTED_VALUE"""),"SENEGAL")</f>
        <v>SENEGAL</v>
      </c>
      <c r="B776" s="8">
        <f>IFERROR(__xludf.DUMMYFUNCTION("""COMPUTED_VALUE"""),10.0)</f>
        <v>10</v>
      </c>
      <c r="C776" s="7" t="str">
        <f>IFERROR(__xludf.DUMMYFUNCTION("""COMPUTED_VALUE"""),"G_13")</f>
        <v>G_13</v>
      </c>
      <c r="D776" s="7" t="str">
        <f>IFERROR(__xludf.DUMMYFUNCTION("""COMPUTED_VALUE"""),"Q38b. ")</f>
        <v>Q38b. </v>
      </c>
      <c r="E776" s="7" t="str">
        <f>IFERROR(__xludf.DUMMYFUNCTION("""COMPUTED_VALUE"""),"Corruption: Members of Parliament")</f>
        <v>Corruption: Members of Parliament</v>
      </c>
      <c r="F776" s="7" t="str">
        <f>IFERROR(__xludf.DUMMYFUNCTION("""COMPUTED_VALUE"""),"Members of the National Assembly")</f>
        <v>Members of the National Assembly</v>
      </c>
    </row>
    <row r="777">
      <c r="A777" s="7" t="str">
        <f>IFERROR(__xludf.DUMMYFUNCTION("""COMPUTED_VALUE"""),"SEYCHELLES")</f>
        <v>SEYCHELLES</v>
      </c>
      <c r="B777" s="8">
        <f>IFERROR(__xludf.DUMMYFUNCTION("""COMPUTED_VALUE"""),10.0)</f>
        <v>10</v>
      </c>
      <c r="C777" s="7" t="str">
        <f>IFERROR(__xludf.DUMMYFUNCTION("""COMPUTED_VALUE"""),"G_13")</f>
        <v>G_13</v>
      </c>
      <c r="D777" s="7" t="str">
        <f>IFERROR(__xludf.DUMMYFUNCTION("""COMPUTED_VALUE"""),"Q38b. ")</f>
        <v>Q38b. </v>
      </c>
      <c r="E777" s="7" t="str">
        <f>IFERROR(__xludf.DUMMYFUNCTION("""COMPUTED_VALUE"""),"Corruption: Members of Parliament")</f>
        <v>Corruption: Members of Parliament</v>
      </c>
      <c r="F777" s="7" t="str">
        <f>IFERROR(__xludf.DUMMYFUNCTION("""COMPUTED_VALUE"""),"Members of the National Assembly")</f>
        <v>Members of the National Assembly</v>
      </c>
    </row>
    <row r="778">
      <c r="A778" s="7" t="str">
        <f>IFERROR(__xludf.DUMMYFUNCTION("""COMPUTED_VALUE"""),"SOUTH AFRICA")</f>
        <v>SOUTH AFRICA</v>
      </c>
      <c r="B778" s="8">
        <f>IFERROR(__xludf.DUMMYFUNCTION("""COMPUTED_VALUE"""),10.0)</f>
        <v>10</v>
      </c>
      <c r="C778" s="7" t="str">
        <f>IFERROR(__xludf.DUMMYFUNCTION("""COMPUTED_VALUE"""),"G_13")</f>
        <v>G_13</v>
      </c>
      <c r="D778" s="7" t="str">
        <f>IFERROR(__xludf.DUMMYFUNCTION("""COMPUTED_VALUE"""),"Q38b. ")</f>
        <v>Q38b. </v>
      </c>
      <c r="E778" s="7" t="str">
        <f>IFERROR(__xludf.DUMMYFUNCTION("""COMPUTED_VALUE"""),"Corruption: Members of Parliament")</f>
        <v>Corruption: Members of Parliament</v>
      </c>
      <c r="F778" s="7" t="str">
        <f>IFERROR(__xludf.DUMMYFUNCTION("""COMPUTED_VALUE"""),"Members of Parliament")</f>
        <v>Members of Parliament</v>
      </c>
    </row>
    <row r="779">
      <c r="A779" s="7" t="str">
        <f>IFERROR(__xludf.DUMMYFUNCTION("""COMPUTED_VALUE"""),"TANZANIA")</f>
        <v>TANZANIA</v>
      </c>
      <c r="B779" s="8">
        <f>IFERROR(__xludf.DUMMYFUNCTION("""COMPUTED_VALUE"""),10.0)</f>
        <v>10</v>
      </c>
      <c r="C779" s="7" t="str">
        <f>IFERROR(__xludf.DUMMYFUNCTION("""COMPUTED_VALUE"""),"G_13")</f>
        <v>G_13</v>
      </c>
      <c r="D779" s="7" t="str">
        <f>IFERROR(__xludf.DUMMYFUNCTION("""COMPUTED_VALUE"""),"Q38b. ")</f>
        <v>Q38b. </v>
      </c>
      <c r="E779" s="7" t="str">
        <f>IFERROR(__xludf.DUMMYFUNCTION("""COMPUTED_VALUE"""),"Corruption: Members of Parliament")</f>
        <v>Corruption: Members of Parliament</v>
      </c>
      <c r="F779" s="7" t="str">
        <f>IFERROR(__xludf.DUMMYFUNCTION("""COMPUTED_VALUE"""),"Members of Parliament")</f>
        <v>Members of Parliament</v>
      </c>
    </row>
    <row r="780">
      <c r="A780" s="7" t="str">
        <f>IFERROR(__xludf.DUMMYFUNCTION("""COMPUTED_VALUE"""),"TOGO ")</f>
        <v>TOGO </v>
      </c>
      <c r="B780" s="8">
        <f>IFERROR(__xludf.DUMMYFUNCTION("""COMPUTED_VALUE"""),10.0)</f>
        <v>10</v>
      </c>
      <c r="C780" s="7" t="str">
        <f>IFERROR(__xludf.DUMMYFUNCTION("""COMPUTED_VALUE"""),"G_13")</f>
        <v>G_13</v>
      </c>
      <c r="D780" s="7" t="str">
        <f>IFERROR(__xludf.DUMMYFUNCTION("""COMPUTED_VALUE"""),"Q38b. ")</f>
        <v>Q38b. </v>
      </c>
      <c r="E780" s="7" t="str">
        <f>IFERROR(__xludf.DUMMYFUNCTION("""COMPUTED_VALUE"""),"Corruption: Members of Parliament")</f>
        <v>Corruption: Members of Parliament</v>
      </c>
      <c r="F780" s="7" t="str">
        <f>IFERROR(__xludf.DUMMYFUNCTION("""COMPUTED_VALUE"""),"Members of the National Assembly")</f>
        <v>Members of the National Assembly</v>
      </c>
    </row>
    <row r="781">
      <c r="A781" s="7" t="str">
        <f>IFERROR(__xludf.DUMMYFUNCTION("""COMPUTED_VALUE"""),"TUNISIA ")</f>
        <v>TUNISIA </v>
      </c>
      <c r="B781" s="8">
        <f>IFERROR(__xludf.DUMMYFUNCTION("""COMPUTED_VALUE"""),10.0)</f>
        <v>10</v>
      </c>
      <c r="C781" s="7" t="str">
        <f>IFERROR(__xludf.DUMMYFUNCTION("""COMPUTED_VALUE"""),"G_13")</f>
        <v>G_13</v>
      </c>
      <c r="D781" s="7" t="str">
        <f>IFERROR(__xludf.DUMMYFUNCTION("""COMPUTED_VALUE"""),"Q38b. ")</f>
        <v>Q38b. </v>
      </c>
      <c r="E781" s="7" t="str">
        <f>IFERROR(__xludf.DUMMYFUNCTION("""COMPUTED_VALUE"""),"Corruption: Members of Parliament")</f>
        <v>Corruption: Members of Parliament</v>
      </c>
      <c r="F781" s="7" t="str">
        <f>IFERROR(__xludf.DUMMYFUNCTION("""COMPUTED_VALUE"""),"Members of the Assembly of the People’s Representatives 
")</f>
        <v>Members of the Assembly of the People’s Representatives 
</v>
      </c>
    </row>
    <row r="782">
      <c r="A782" s="7" t="str">
        <f>IFERROR(__xludf.DUMMYFUNCTION("""COMPUTED_VALUE"""),"UGANDA  ")</f>
        <v>UGANDA  </v>
      </c>
      <c r="B782" s="8">
        <f>IFERROR(__xludf.DUMMYFUNCTION("""COMPUTED_VALUE"""),10.0)</f>
        <v>10</v>
      </c>
      <c r="C782" s="7" t="str">
        <f>IFERROR(__xludf.DUMMYFUNCTION("""COMPUTED_VALUE"""),"G_13")</f>
        <v>G_13</v>
      </c>
      <c r="D782" s="7" t="str">
        <f>IFERROR(__xludf.DUMMYFUNCTION("""COMPUTED_VALUE"""),"Q38b. ")</f>
        <v>Q38b. </v>
      </c>
      <c r="E782" s="7" t="str">
        <f>IFERROR(__xludf.DUMMYFUNCTION("""COMPUTED_VALUE"""),"Corruption: Members of Parliament")</f>
        <v>Corruption: Members of Parliament</v>
      </c>
      <c r="F782" s="7" t="str">
        <f>IFERROR(__xludf.DUMMYFUNCTION("""COMPUTED_VALUE"""),"Members of Parliament")</f>
        <v>Members of Parliament</v>
      </c>
    </row>
    <row r="783">
      <c r="A783" s="7" t="str">
        <f>IFERROR(__xludf.DUMMYFUNCTION("""COMPUTED_VALUE"""),"ZAMBIA")</f>
        <v>ZAMBIA</v>
      </c>
      <c r="B783" s="8">
        <f>IFERROR(__xludf.DUMMYFUNCTION("""COMPUTED_VALUE"""),10.0)</f>
        <v>10</v>
      </c>
      <c r="C783" s="7" t="str">
        <f>IFERROR(__xludf.DUMMYFUNCTION("""COMPUTED_VALUE"""),"G_13")</f>
        <v>G_13</v>
      </c>
      <c r="D783" s="7" t="str">
        <f>IFERROR(__xludf.DUMMYFUNCTION("""COMPUTED_VALUE"""),"Q38b. ")</f>
        <v>Q38b. </v>
      </c>
      <c r="E783" s="7" t="str">
        <f>IFERROR(__xludf.DUMMYFUNCTION("""COMPUTED_VALUE"""),"Corruption: Members of Parliament")</f>
        <v>Corruption: Members of Parliament</v>
      </c>
      <c r="F783" s="7" t="str">
        <f>IFERROR(__xludf.DUMMYFUNCTION("""COMPUTED_VALUE"""),"Members of Parliament")</f>
        <v>Members of Parliament</v>
      </c>
    </row>
    <row r="784">
      <c r="A784" s="7" t="str">
        <f>IFERROR(__xludf.DUMMYFUNCTION("""COMPUTED_VALUE"""),"ZIMBABWE")</f>
        <v>ZIMBABWE</v>
      </c>
      <c r="B784" s="8">
        <f>IFERROR(__xludf.DUMMYFUNCTION("""COMPUTED_VALUE"""),10.0)</f>
        <v>10</v>
      </c>
      <c r="C784" s="7" t="str">
        <f>IFERROR(__xludf.DUMMYFUNCTION("""COMPUTED_VALUE"""),"G_13")</f>
        <v>G_13</v>
      </c>
      <c r="D784" s="7" t="str">
        <f>IFERROR(__xludf.DUMMYFUNCTION("""COMPUTED_VALUE"""),"Q38b. ")</f>
        <v>Q38b. </v>
      </c>
      <c r="E784" s="7" t="str">
        <f>IFERROR(__xludf.DUMMYFUNCTION("""COMPUTED_VALUE"""),"Corruption: Members of Parliament")</f>
        <v>Corruption: Members of Parliament</v>
      </c>
      <c r="F784" s="7" t="str">
        <f>IFERROR(__xludf.DUMMYFUNCTION("""COMPUTED_VALUE"""),"Members of Parliament")</f>
        <v>Members of Parliament</v>
      </c>
    </row>
    <row r="785">
      <c r="A785" s="7" t="str">
        <f>IFERROR(__xludf.DUMMYFUNCTION("""COMPUTED_VALUE"""),"BENIN")</f>
        <v>BENIN</v>
      </c>
      <c r="B785" s="8">
        <f>IFERROR(__xludf.DUMMYFUNCTION("""COMPUTED_VALUE"""),10.0)</f>
        <v>10</v>
      </c>
      <c r="C785" s="7" t="str">
        <f>IFERROR(__xludf.DUMMYFUNCTION("""COMPUTED_VALUE"""),"G_11")</f>
        <v>G_11</v>
      </c>
      <c r="D785" s="7" t="str">
        <f>IFERROR(__xludf.DUMMYFUNCTION("""COMPUTED_VALUE"""),"Q38d. ")</f>
        <v>Q38d. </v>
      </c>
      <c r="E785" s="7" t="str">
        <f>IFERROR(__xludf.DUMMYFUNCTION("""COMPUTED_VALUE"""),"Corruption: local government councillors")</f>
        <v>Corruption: local government councillors</v>
      </c>
      <c r="F785" s="7" t="str">
        <f>IFERROR(__xludf.DUMMYFUNCTION("""COMPUTED_VALUE"""),"The municipal or communal councilors")</f>
        <v>The municipal or communal councilors</v>
      </c>
    </row>
    <row r="786">
      <c r="A786" s="7" t="str">
        <f>IFERROR(__xludf.DUMMYFUNCTION("""COMPUTED_VALUE"""),"BOTSWANA ")</f>
        <v>BOTSWANA </v>
      </c>
      <c r="B786" s="8">
        <f>IFERROR(__xludf.DUMMYFUNCTION("""COMPUTED_VALUE"""),10.0)</f>
        <v>10</v>
      </c>
      <c r="C786" s="7" t="str">
        <f>IFERROR(__xludf.DUMMYFUNCTION("""COMPUTED_VALUE"""),"G_11")</f>
        <v>G_11</v>
      </c>
      <c r="D786" s="7" t="str">
        <f>IFERROR(__xludf.DUMMYFUNCTION("""COMPUTED_VALUE"""),"Q38d. ")</f>
        <v>Q38d. </v>
      </c>
      <c r="E786" s="7" t="str">
        <f>IFERROR(__xludf.DUMMYFUNCTION("""COMPUTED_VALUE"""),"Corruption: local government councillors")</f>
        <v>Corruption: local government councillors</v>
      </c>
      <c r="F786" s="7" t="str">
        <f>IFERROR(__xludf.DUMMYFUNCTION("""COMPUTED_VALUE"""),"Local government councilors
")</f>
        <v>Local government councilors
</v>
      </c>
    </row>
    <row r="787">
      <c r="A787" s="7" t="str">
        <f>IFERROR(__xludf.DUMMYFUNCTION("""COMPUTED_VALUE"""),"CABO VERDE ")</f>
        <v>CABO VERDE </v>
      </c>
      <c r="B787" s="8">
        <f>IFERROR(__xludf.DUMMYFUNCTION("""COMPUTED_VALUE"""),10.0)</f>
        <v>10</v>
      </c>
      <c r="C787" s="7" t="str">
        <f>IFERROR(__xludf.DUMMYFUNCTION("""COMPUTED_VALUE"""),"G_11")</f>
        <v>G_11</v>
      </c>
      <c r="D787" s="7" t="str">
        <f>IFERROR(__xludf.DUMMYFUNCTION("""COMPUTED_VALUE"""),"Q38d. ")</f>
        <v>Q38d. </v>
      </c>
      <c r="E787" s="7" t="str">
        <f>IFERROR(__xludf.DUMMYFUNCTION("""COMPUTED_VALUE"""),"Corruption: local government councillors")</f>
        <v>Corruption: local government councillors</v>
      </c>
      <c r="F787" s="7" t="str">
        <f>IFERROR(__xludf.DUMMYFUNCTION("""COMPUTED_VALUE"""),"Local government councilors
")</f>
        <v>Local government councilors
</v>
      </c>
    </row>
    <row r="788">
      <c r="A788" s="7" t="str">
        <f>IFERROR(__xludf.DUMMYFUNCTION("""COMPUTED_VALUE"""),"CAMEROON")</f>
        <v>CAMEROON</v>
      </c>
      <c r="B788" s="8">
        <f>IFERROR(__xludf.DUMMYFUNCTION("""COMPUTED_VALUE"""),10.0)</f>
        <v>10</v>
      </c>
      <c r="C788" s="7" t="str">
        <f>IFERROR(__xludf.DUMMYFUNCTION("""COMPUTED_VALUE"""),"G_11")</f>
        <v>G_11</v>
      </c>
      <c r="D788" s="7" t="str">
        <f>IFERROR(__xludf.DUMMYFUNCTION("""COMPUTED_VALUE"""),"Q38d. ")</f>
        <v>Q38d. </v>
      </c>
      <c r="E788" s="7" t="str">
        <f>IFERROR(__xludf.DUMMYFUNCTION("""COMPUTED_VALUE"""),"Corruption: local government councillors")</f>
        <v>Corruption: local government councillors</v>
      </c>
      <c r="F788" s="7" t="str">
        <f>IFERROR(__xludf.DUMMYFUNCTION("""COMPUTED_VALUE"""),"Local government councilors
")</f>
        <v>Local government councilors
</v>
      </c>
    </row>
    <row r="789">
      <c r="A789" s="7" t="str">
        <f>IFERROR(__xludf.DUMMYFUNCTION("""COMPUTED_VALUE"""),"CHAD")</f>
        <v>CHAD</v>
      </c>
      <c r="B789" s="8">
        <f>IFERROR(__xludf.DUMMYFUNCTION("""COMPUTED_VALUE"""),10.0)</f>
        <v>10</v>
      </c>
      <c r="C789" s="7" t="str">
        <f>IFERROR(__xludf.DUMMYFUNCTION("""COMPUTED_VALUE"""),"G_11")</f>
        <v>G_11</v>
      </c>
      <c r="D789" s="7" t="str">
        <f>IFERROR(__xludf.DUMMYFUNCTION("""COMPUTED_VALUE"""),"Q38d. ")</f>
        <v>Q38d. </v>
      </c>
      <c r="E789" s="7" t="str">
        <f>IFERROR(__xludf.DUMMYFUNCTION("""COMPUTED_VALUE"""),"Corruption: local government councillors")</f>
        <v>Corruption: local government councillors</v>
      </c>
      <c r="F789" s="7" t="str">
        <f>IFERROR(__xludf.DUMMYFUNCTION("""COMPUTED_VALUE"""),"Local government councilors
")</f>
        <v>Local government councilors
</v>
      </c>
    </row>
    <row r="790">
      <c r="A790" s="7" t="str">
        <f>IFERROR(__xludf.DUMMYFUNCTION("""COMPUTED_VALUE"""),"COMOROS")</f>
        <v>COMOROS</v>
      </c>
      <c r="B790" s="8">
        <f>IFERROR(__xludf.DUMMYFUNCTION("""COMPUTED_VALUE"""),10.0)</f>
        <v>10</v>
      </c>
      <c r="C790" s="7" t="str">
        <f>IFERROR(__xludf.DUMMYFUNCTION("""COMPUTED_VALUE"""),"G_11")</f>
        <v>G_11</v>
      </c>
      <c r="D790" s="7" t="str">
        <f>IFERROR(__xludf.DUMMYFUNCTION("""COMPUTED_VALUE"""),"Q38d. ")</f>
        <v>Q38d. </v>
      </c>
      <c r="E790" s="7" t="str">
        <f>IFERROR(__xludf.DUMMYFUNCTION("""COMPUTED_VALUE"""),"Corruption: local government councillors")</f>
        <v>Corruption: local government councillors</v>
      </c>
      <c r="F790" s="7" t="str">
        <f>IFERROR(__xludf.DUMMYFUNCTION("""COMPUTED_VALUE"""),"Local government councilors
")</f>
        <v>Local government councilors
</v>
      </c>
    </row>
    <row r="791">
      <c r="A791" s="7" t="str">
        <f>IFERROR(__xludf.DUMMYFUNCTION("""COMPUTED_VALUE"""),"CONGO BRAZZAVILLE")</f>
        <v>CONGO BRAZZAVILLE</v>
      </c>
      <c r="B791" s="8">
        <f>IFERROR(__xludf.DUMMYFUNCTION("""COMPUTED_VALUE"""),10.0)</f>
        <v>10</v>
      </c>
      <c r="C791" s="7" t="str">
        <f>IFERROR(__xludf.DUMMYFUNCTION("""COMPUTED_VALUE"""),"G_11")</f>
        <v>G_11</v>
      </c>
      <c r="D791" s="7" t="str">
        <f>IFERROR(__xludf.DUMMYFUNCTION("""COMPUTED_VALUE"""),"Q38d. ")</f>
        <v>Q38d. </v>
      </c>
      <c r="E791" s="7" t="str">
        <f>IFERROR(__xludf.DUMMYFUNCTION("""COMPUTED_VALUE"""),"Corruption: local government councillors")</f>
        <v>Corruption: local government councillors</v>
      </c>
      <c r="F791" s="7" t="str">
        <f>IFERROR(__xludf.DUMMYFUNCTION("""COMPUTED_VALUE"""),"Local government councilors
")</f>
        <v>Local government councilors
</v>
      </c>
    </row>
    <row r="792">
      <c r="A792" s="7" t="str">
        <f>IFERROR(__xludf.DUMMYFUNCTION("""COMPUTED_VALUE"""),"COTE D'IVOIRE")</f>
        <v>COTE D'IVOIRE</v>
      </c>
      <c r="B792" s="8">
        <f>IFERROR(__xludf.DUMMYFUNCTION("""COMPUTED_VALUE"""),10.0)</f>
        <v>10</v>
      </c>
      <c r="C792" s="7" t="str">
        <f>IFERROR(__xludf.DUMMYFUNCTION("""COMPUTED_VALUE"""),"G_11")</f>
        <v>G_11</v>
      </c>
      <c r="D792" s="7" t="str">
        <f>IFERROR(__xludf.DUMMYFUNCTION("""COMPUTED_VALUE"""),"Q38d. ")</f>
        <v>Q38d. </v>
      </c>
      <c r="E792" s="7" t="str">
        <f>IFERROR(__xludf.DUMMYFUNCTION("""COMPUTED_VALUE"""),"Corruption: local government councillors")</f>
        <v>Corruption: local government councillors</v>
      </c>
      <c r="F792" s="7" t="str">
        <f>IFERROR(__xludf.DUMMYFUNCTION("""COMPUTED_VALUE"""),"Local government councilors
")</f>
        <v>Local government councilors
</v>
      </c>
    </row>
    <row r="793">
      <c r="A793" s="7" t="str">
        <f>IFERROR(__xludf.DUMMYFUNCTION("""COMPUTED_VALUE"""),"ESWATINI")</f>
        <v>ESWATINI</v>
      </c>
      <c r="B793" s="8">
        <f>IFERROR(__xludf.DUMMYFUNCTION("""COMPUTED_VALUE"""),10.0)</f>
        <v>10</v>
      </c>
      <c r="C793" s="7" t="str">
        <f>IFERROR(__xludf.DUMMYFUNCTION("""COMPUTED_VALUE"""),"G_11")</f>
        <v>G_11</v>
      </c>
      <c r="D793" s="7" t="str">
        <f>IFERROR(__xludf.DUMMYFUNCTION("""COMPUTED_VALUE"""),"Q38d. ")</f>
        <v>Q38d. </v>
      </c>
      <c r="E793" s="7" t="str">
        <f>IFERROR(__xludf.DUMMYFUNCTION("""COMPUTED_VALUE"""),"Corruption: local government councillors")</f>
        <v>Corruption: local government councillors</v>
      </c>
      <c r="F793" s="7" t="str">
        <f>IFERROR(__xludf.DUMMYFUNCTION("""COMPUTED_VALUE"""),"Local government councilors
")</f>
        <v>Local government councilors
</v>
      </c>
    </row>
    <row r="794">
      <c r="A794" s="7" t="str">
        <f>IFERROR(__xludf.DUMMYFUNCTION("""COMPUTED_VALUE"""),"GABON")</f>
        <v>GABON</v>
      </c>
      <c r="B794" s="8">
        <f>IFERROR(__xludf.DUMMYFUNCTION("""COMPUTED_VALUE"""),10.0)</f>
        <v>10</v>
      </c>
      <c r="C794" s="7" t="str">
        <f>IFERROR(__xludf.DUMMYFUNCTION("""COMPUTED_VALUE"""),"G_11")</f>
        <v>G_11</v>
      </c>
      <c r="D794" s="7" t="str">
        <f>IFERROR(__xludf.DUMMYFUNCTION("""COMPUTED_VALUE"""),"Q38d. ")</f>
        <v>Q38d. </v>
      </c>
      <c r="E794" s="7" t="str">
        <f>IFERROR(__xludf.DUMMYFUNCTION("""COMPUTED_VALUE"""),"Corruption: local government councillors")</f>
        <v>Corruption: local government councillors</v>
      </c>
      <c r="F794" s="7" t="str">
        <f>IFERROR(__xludf.DUMMYFUNCTION("""COMPUTED_VALUE"""),"Local government councilors
")</f>
        <v>Local government councilors
</v>
      </c>
    </row>
    <row r="795">
      <c r="A795" s="7" t="str">
        <f>IFERROR(__xludf.DUMMYFUNCTION("""COMPUTED_VALUE"""),"GAMBIA")</f>
        <v>GAMBIA</v>
      </c>
      <c r="B795" s="8">
        <f>IFERROR(__xludf.DUMMYFUNCTION("""COMPUTED_VALUE"""),10.0)</f>
        <v>10</v>
      </c>
      <c r="C795" s="7" t="str">
        <f>IFERROR(__xludf.DUMMYFUNCTION("""COMPUTED_VALUE"""),"G_11")</f>
        <v>G_11</v>
      </c>
      <c r="D795" s="7" t="str">
        <f>IFERROR(__xludf.DUMMYFUNCTION("""COMPUTED_VALUE"""),"Q38d. ")</f>
        <v>Q38d. </v>
      </c>
      <c r="E795" s="7" t="str">
        <f>IFERROR(__xludf.DUMMYFUNCTION("""COMPUTED_VALUE"""),"Corruption: local government councillors")</f>
        <v>Corruption: local government councillors</v>
      </c>
      <c r="F795" s="7" t="str">
        <f>IFERROR(__xludf.DUMMYFUNCTION("""COMPUTED_VALUE"""),"Local government councilors
")</f>
        <v>Local government councilors
</v>
      </c>
    </row>
    <row r="796">
      <c r="A796" s="7" t="str">
        <f>IFERROR(__xludf.DUMMYFUNCTION("""COMPUTED_VALUE"""),"GHANA ")</f>
        <v>GHANA </v>
      </c>
      <c r="B796" s="8">
        <f>IFERROR(__xludf.DUMMYFUNCTION("""COMPUTED_VALUE"""),10.0)</f>
        <v>10</v>
      </c>
      <c r="C796" s="7" t="str">
        <f>IFERROR(__xludf.DUMMYFUNCTION("""COMPUTED_VALUE"""),"G_11")</f>
        <v>G_11</v>
      </c>
      <c r="D796" s="7" t="str">
        <f>IFERROR(__xludf.DUMMYFUNCTION("""COMPUTED_VALUE"""),"Q38d. ")</f>
        <v>Q38d. </v>
      </c>
      <c r="E796" s="7" t="str">
        <f>IFERROR(__xludf.DUMMYFUNCTION("""COMPUTED_VALUE"""),"Corruption: local government councillors")</f>
        <v>Corruption: local government councillors</v>
      </c>
      <c r="F796" s="7" t="str">
        <f>IFERROR(__xludf.DUMMYFUNCTION("""COMPUTED_VALUE"""),"Assembly men and women")</f>
        <v>Assembly men and women</v>
      </c>
    </row>
    <row r="797">
      <c r="A797" s="7" t="str">
        <f>IFERROR(__xludf.DUMMYFUNCTION("""COMPUTED_VALUE"""),"GUINEA")</f>
        <v>GUINEA</v>
      </c>
      <c r="B797" s="8">
        <f>IFERROR(__xludf.DUMMYFUNCTION("""COMPUTED_VALUE"""),10.0)</f>
        <v>10</v>
      </c>
      <c r="C797" s="7" t="str">
        <f>IFERROR(__xludf.DUMMYFUNCTION("""COMPUTED_VALUE"""),"G_11")</f>
        <v>G_11</v>
      </c>
      <c r="D797" s="7" t="str">
        <f>IFERROR(__xludf.DUMMYFUNCTION("""COMPUTED_VALUE"""),"Q38d. ")</f>
        <v>Q38d. </v>
      </c>
      <c r="E797" s="7" t="str">
        <f>IFERROR(__xludf.DUMMYFUNCTION("""COMPUTED_VALUE"""),"Corruption: local government councillors")</f>
        <v>Corruption: local government councillors</v>
      </c>
      <c r="F797" s="7" t="str">
        <f>IFERROR(__xludf.DUMMYFUNCTION("""COMPUTED_VALUE"""),"Municipal Councilors")</f>
        <v>Municipal Councilors</v>
      </c>
    </row>
    <row r="798">
      <c r="A798" s="7" t="str">
        <f>IFERROR(__xludf.DUMMYFUNCTION("""COMPUTED_VALUE"""),"KENYA  ")</f>
        <v>KENYA  </v>
      </c>
      <c r="B798" s="8">
        <f>IFERROR(__xludf.DUMMYFUNCTION("""COMPUTED_VALUE"""),10.0)</f>
        <v>10</v>
      </c>
      <c r="C798" s="7" t="str">
        <f>IFERROR(__xludf.DUMMYFUNCTION("""COMPUTED_VALUE"""),"G_11")</f>
        <v>G_11</v>
      </c>
      <c r="D798" s="7" t="str">
        <f>IFERROR(__xludf.DUMMYFUNCTION("""COMPUTED_VALUE"""),"Q38d. ")</f>
        <v>Q38d. </v>
      </c>
      <c r="E798" s="7" t="str">
        <f>IFERROR(__xludf.DUMMYFUNCTION("""COMPUTED_VALUE"""),"Corruption: local government councillors")</f>
        <v>Corruption: local government councillors</v>
      </c>
      <c r="F798" s="7" t="str">
        <f>IFERROR(__xludf.DUMMYFUNCTION("""COMPUTED_VALUE"""),"Members of the County Assembly or MCAs")</f>
        <v>Members of the County Assembly or MCAs</v>
      </c>
    </row>
    <row r="799">
      <c r="A799" s="7" t="str">
        <f>IFERROR(__xludf.DUMMYFUNCTION("""COMPUTED_VALUE"""),"LESOTHO ")</f>
        <v>LESOTHO </v>
      </c>
      <c r="B799" s="8">
        <f>IFERROR(__xludf.DUMMYFUNCTION("""COMPUTED_VALUE"""),10.0)</f>
        <v>10</v>
      </c>
      <c r="C799" s="7" t="str">
        <f>IFERROR(__xludf.DUMMYFUNCTION("""COMPUTED_VALUE"""),"G_11")</f>
        <v>G_11</v>
      </c>
      <c r="D799" s="7" t="str">
        <f>IFERROR(__xludf.DUMMYFUNCTION("""COMPUTED_VALUE"""),"Q38d. ")</f>
        <v>Q38d. </v>
      </c>
      <c r="E799" s="7" t="str">
        <f>IFERROR(__xludf.DUMMYFUNCTION("""COMPUTED_VALUE"""),"Corruption: local government councillors")</f>
        <v>Corruption: local government councillors</v>
      </c>
      <c r="F799" s="7" t="str">
        <f>IFERROR(__xludf.DUMMYFUNCTION("""COMPUTED_VALUE"""),"Urban or Community Councilors")</f>
        <v>Urban or Community Councilors</v>
      </c>
    </row>
    <row r="800">
      <c r="A800" s="7" t="str">
        <f>IFERROR(__xludf.DUMMYFUNCTION("""COMPUTED_VALUE"""),"LIBERIA  ")</f>
        <v>LIBERIA  </v>
      </c>
      <c r="B800" s="8">
        <f>IFERROR(__xludf.DUMMYFUNCTION("""COMPUTED_VALUE"""),10.0)</f>
        <v>10</v>
      </c>
      <c r="C800" s="7" t="str">
        <f>IFERROR(__xludf.DUMMYFUNCTION("""COMPUTED_VALUE"""),"G_11")</f>
        <v>G_11</v>
      </c>
      <c r="D800" s="7" t="str">
        <f>IFERROR(__xludf.DUMMYFUNCTION("""COMPUTED_VALUE"""),"Q38d. ")</f>
        <v>Q38d. </v>
      </c>
      <c r="E800" s="7" t="str">
        <f>IFERROR(__xludf.DUMMYFUNCTION("""COMPUTED_VALUE"""),"Corruption: local government councillors")</f>
        <v>Corruption: local government councillors</v>
      </c>
      <c r="F800" s="7" t="str">
        <f>IFERROR(__xludf.DUMMYFUNCTION("""COMPUTED_VALUE"""),"Members of the Local Authority Council")</f>
        <v>Members of the Local Authority Council</v>
      </c>
    </row>
    <row r="801">
      <c r="A801" s="7" t="str">
        <f>IFERROR(__xludf.DUMMYFUNCTION("""COMPUTED_VALUE"""),"MADAGASCAR")</f>
        <v>MADAGASCAR</v>
      </c>
      <c r="B801" s="8">
        <f>IFERROR(__xludf.DUMMYFUNCTION("""COMPUTED_VALUE"""),10.0)</f>
        <v>10</v>
      </c>
      <c r="C801" s="7" t="str">
        <f>IFERROR(__xludf.DUMMYFUNCTION("""COMPUTED_VALUE"""),"G_11")</f>
        <v>G_11</v>
      </c>
      <c r="D801" s="7" t="str">
        <f>IFERROR(__xludf.DUMMYFUNCTION("""COMPUTED_VALUE"""),"Q38d. ")</f>
        <v>Q38d. </v>
      </c>
      <c r="E801" s="7" t="str">
        <f>IFERROR(__xludf.DUMMYFUNCTION("""COMPUTED_VALUE"""),"Corruption: local government councillors")</f>
        <v>Corruption: local government councillors</v>
      </c>
      <c r="F801" s="7" t="str">
        <f>IFERROR(__xludf.DUMMYFUNCTION("""COMPUTED_VALUE"""),"The municipal councilors")</f>
        <v>The municipal councilors</v>
      </c>
    </row>
    <row r="802">
      <c r="A802" s="7" t="str">
        <f>IFERROR(__xludf.DUMMYFUNCTION("""COMPUTED_VALUE"""),"MALAWI ")</f>
        <v>MALAWI </v>
      </c>
      <c r="B802" s="8">
        <f>IFERROR(__xludf.DUMMYFUNCTION("""COMPUTED_VALUE"""),10.0)</f>
        <v>10</v>
      </c>
      <c r="C802" s="7" t="str">
        <f>IFERROR(__xludf.DUMMYFUNCTION("""COMPUTED_VALUE"""),"G_11")</f>
        <v>G_11</v>
      </c>
      <c r="D802" s="7" t="str">
        <f>IFERROR(__xludf.DUMMYFUNCTION("""COMPUTED_VALUE"""),"Q38d. ")</f>
        <v>Q38d. </v>
      </c>
      <c r="E802" s="7" t="str">
        <f>IFERROR(__xludf.DUMMYFUNCTION("""COMPUTED_VALUE"""),"Corruption: local government councillors")</f>
        <v>Corruption: local government councillors</v>
      </c>
      <c r="F802" s="7" t="str">
        <f>IFERROR(__xludf.DUMMYFUNCTION("""COMPUTED_VALUE"""),"Local government councilors")</f>
        <v>Local government councilors</v>
      </c>
    </row>
    <row r="803">
      <c r="A803" s="7" t="str">
        <f>IFERROR(__xludf.DUMMYFUNCTION("""COMPUTED_VALUE"""),"MALI")</f>
        <v>MALI</v>
      </c>
      <c r="B803" s="8">
        <f>IFERROR(__xludf.DUMMYFUNCTION("""COMPUTED_VALUE"""),10.0)</f>
        <v>10</v>
      </c>
      <c r="C803" s="7" t="str">
        <f>IFERROR(__xludf.DUMMYFUNCTION("""COMPUTED_VALUE"""),"G_11")</f>
        <v>G_11</v>
      </c>
      <c r="D803" s="7" t="str">
        <f>IFERROR(__xludf.DUMMYFUNCTION("""COMPUTED_VALUE"""),"Q38d. ")</f>
        <v>Q38d. </v>
      </c>
      <c r="E803" s="7" t="str">
        <f>IFERROR(__xludf.DUMMYFUNCTION("""COMPUTED_VALUE"""),"Corruption: local government councillors")</f>
        <v>Corruption: local government councillors</v>
      </c>
      <c r="F803" s="7" t="str">
        <f>IFERROR(__xludf.DUMMYFUNCTION("""COMPUTED_VALUE"""),"Municipal Councilors")</f>
        <v>Municipal Councilors</v>
      </c>
    </row>
    <row r="804">
      <c r="A804" s="7" t="str">
        <f>IFERROR(__xludf.DUMMYFUNCTION("""COMPUTED_VALUE"""),"MAURITANIA")</f>
        <v>MAURITANIA</v>
      </c>
      <c r="B804" s="8">
        <f>IFERROR(__xludf.DUMMYFUNCTION("""COMPUTED_VALUE"""),10.0)</f>
        <v>10</v>
      </c>
      <c r="C804" s="7" t="str">
        <f>IFERROR(__xludf.DUMMYFUNCTION("""COMPUTED_VALUE"""),"G_11")</f>
        <v>G_11</v>
      </c>
      <c r="D804" s="7" t="str">
        <f>IFERROR(__xludf.DUMMYFUNCTION("""COMPUTED_VALUE"""),"Q38d. ")</f>
        <v>Q38d. </v>
      </c>
      <c r="E804" s="7" t="str">
        <f>IFERROR(__xludf.DUMMYFUNCTION("""COMPUTED_VALUE"""),"Corruption: local government councillors")</f>
        <v>Corruption: local government councillors</v>
      </c>
      <c r="F804" s="7" t="str">
        <f>IFERROR(__xludf.DUMMYFUNCTION("""COMPUTED_VALUE"""),"The municipal councilors")</f>
        <v>The municipal councilors</v>
      </c>
    </row>
    <row r="805">
      <c r="A805" s="7" t="str">
        <f>IFERROR(__xludf.DUMMYFUNCTION("""COMPUTED_VALUE"""),"MAURITIUS")</f>
        <v>MAURITIUS</v>
      </c>
      <c r="B805" s="8">
        <f>IFERROR(__xludf.DUMMYFUNCTION("""COMPUTED_VALUE"""),10.0)</f>
        <v>10</v>
      </c>
      <c r="C805" s="7" t="str">
        <f>IFERROR(__xludf.DUMMYFUNCTION("""COMPUTED_VALUE"""),"G_11")</f>
        <v>G_11</v>
      </c>
      <c r="D805" s="7" t="str">
        <f>IFERROR(__xludf.DUMMYFUNCTION("""COMPUTED_VALUE"""),"Q38d. ")</f>
        <v>Q38d. </v>
      </c>
      <c r="E805" s="7" t="str">
        <f>IFERROR(__xludf.DUMMYFUNCTION("""COMPUTED_VALUE"""),"Corruption: local government councillors")</f>
        <v>Corruption: local government councillors</v>
      </c>
      <c r="F805" s="7" t="str">
        <f>IFERROR(__xludf.DUMMYFUNCTION("""COMPUTED_VALUE"""),"Members of municipality or district council")</f>
        <v>Members of municipality or district council</v>
      </c>
    </row>
    <row r="806">
      <c r="A806" s="7" t="str">
        <f>IFERROR(__xludf.DUMMYFUNCTION("""COMPUTED_VALUE"""),"MOROCCO ")</f>
        <v>MOROCCO </v>
      </c>
      <c r="B806" s="8">
        <f>IFERROR(__xludf.DUMMYFUNCTION("""COMPUTED_VALUE"""),10.0)</f>
        <v>10</v>
      </c>
      <c r="C806" s="7" t="str">
        <f>IFERROR(__xludf.DUMMYFUNCTION("""COMPUTED_VALUE"""),"G_11")</f>
        <v>G_11</v>
      </c>
      <c r="D806" s="7" t="str">
        <f>IFERROR(__xludf.DUMMYFUNCTION("""COMPUTED_VALUE"""),"Q38d. ")</f>
        <v>Q38d. </v>
      </c>
      <c r="E806" s="7" t="str">
        <f>IFERROR(__xludf.DUMMYFUNCTION("""COMPUTED_VALUE"""),"Corruption: local government councillors")</f>
        <v>Corruption: local government councillors</v>
      </c>
      <c r="F806" s="7" t="str">
        <f>IFERROR(__xludf.DUMMYFUNCTION("""COMPUTED_VALUE"""),"Members of your collective council")</f>
        <v>Members of your collective council</v>
      </c>
    </row>
    <row r="807">
      <c r="A807" s="7" t="str">
        <f>IFERROR(__xludf.DUMMYFUNCTION("""COMPUTED_VALUE"""),"MOZAMBIQUE")</f>
        <v>MOZAMBIQUE</v>
      </c>
      <c r="B807" s="8">
        <f>IFERROR(__xludf.DUMMYFUNCTION("""COMPUTED_VALUE"""),10.0)</f>
        <v>10</v>
      </c>
      <c r="C807" s="7" t="str">
        <f>IFERROR(__xludf.DUMMYFUNCTION("""COMPUTED_VALUE"""),"G_11")</f>
        <v>G_11</v>
      </c>
      <c r="D807" s="7" t="str">
        <f>IFERROR(__xludf.DUMMYFUNCTION("""COMPUTED_VALUE"""),"Q38d. ")</f>
        <v>Q38d. </v>
      </c>
      <c r="E807" s="7" t="str">
        <f>IFERROR(__xludf.DUMMYFUNCTION("""COMPUTED_VALUE"""),"Corruption: local government councillors")</f>
        <v>Corruption: local government councillors</v>
      </c>
      <c r="F807" s="7" t="str">
        <f>IFERROR(__xludf.DUMMYFUNCTION("""COMPUTED_VALUE"""),"Members of your municipal assembly
")</f>
        <v>Members of your municipal assembly
</v>
      </c>
    </row>
    <row r="808">
      <c r="A808" s="7" t="str">
        <f>IFERROR(__xludf.DUMMYFUNCTION("""COMPUTED_VALUE"""),"NAMIBIA ")</f>
        <v>NAMIBIA </v>
      </c>
      <c r="B808" s="8">
        <f>IFERROR(__xludf.DUMMYFUNCTION("""COMPUTED_VALUE"""),10.0)</f>
        <v>10</v>
      </c>
      <c r="C808" s="7" t="str">
        <f>IFERROR(__xludf.DUMMYFUNCTION("""COMPUTED_VALUE"""),"G_11")</f>
        <v>G_11</v>
      </c>
      <c r="D808" s="7" t="str">
        <f>IFERROR(__xludf.DUMMYFUNCTION("""COMPUTED_VALUE"""),"Q38d. ")</f>
        <v>Q38d. </v>
      </c>
      <c r="E808" s="7" t="str">
        <f>IFERROR(__xludf.DUMMYFUNCTION("""COMPUTED_VALUE"""),"Corruption: local government councillors")</f>
        <v>Corruption: local government councillors</v>
      </c>
      <c r="F808" s="7" t="str">
        <f>IFERROR(__xludf.DUMMYFUNCTION("""COMPUTED_VALUE"""),"Local Authority Councilors")</f>
        <v>Local Authority Councilors</v>
      </c>
    </row>
    <row r="809">
      <c r="A809" s="7" t="str">
        <f>IFERROR(__xludf.DUMMYFUNCTION("""COMPUTED_VALUE"""),"NIGERIA ")</f>
        <v>NIGERIA </v>
      </c>
      <c r="B809" s="8">
        <f>IFERROR(__xludf.DUMMYFUNCTION("""COMPUTED_VALUE"""),10.0)</f>
        <v>10</v>
      </c>
      <c r="C809" s="7" t="str">
        <f>IFERROR(__xludf.DUMMYFUNCTION("""COMPUTED_VALUE"""),"G_11")</f>
        <v>G_11</v>
      </c>
      <c r="D809" s="7" t="str">
        <f>IFERROR(__xludf.DUMMYFUNCTION("""COMPUTED_VALUE"""),"Q38d. ")</f>
        <v>Q38d. </v>
      </c>
      <c r="E809" s="7" t="str">
        <f>IFERROR(__xludf.DUMMYFUNCTION("""COMPUTED_VALUE"""),"Corruption: local government councillors")</f>
        <v>Corruption: local government councillors</v>
      </c>
      <c r="F809" s="7" t="str">
        <f>IFERROR(__xludf.DUMMYFUNCTION("""COMPUTED_VALUE"""),"Local government councilors
")</f>
        <v>Local government councilors
</v>
      </c>
    </row>
    <row r="810">
      <c r="A810" s="7" t="str">
        <f>IFERROR(__xludf.DUMMYFUNCTION("""COMPUTED_VALUE"""),"SAO TOME AND PRINCIPE")</f>
        <v>SAO TOME AND PRINCIPE</v>
      </c>
      <c r="B810" s="8">
        <f>IFERROR(__xludf.DUMMYFUNCTION("""COMPUTED_VALUE"""),10.0)</f>
        <v>10</v>
      </c>
      <c r="C810" s="7" t="str">
        <f>IFERROR(__xludf.DUMMYFUNCTION("""COMPUTED_VALUE"""),"G_11")</f>
        <v>G_11</v>
      </c>
      <c r="D810" s="7" t="str">
        <f>IFERROR(__xludf.DUMMYFUNCTION("""COMPUTED_VALUE"""),"Q38d. ")</f>
        <v>Q38d. </v>
      </c>
      <c r="E810" s="7" t="str">
        <f>IFERROR(__xludf.DUMMYFUNCTION("""COMPUTED_VALUE"""),"Corruption: local government councillors")</f>
        <v>Corruption: local government councillors</v>
      </c>
      <c r="F810" s="7" t="str">
        <f>IFERROR(__xludf.DUMMYFUNCTION("""COMPUTED_VALUE"""),"Local government councilors
")</f>
        <v>Local government councilors
</v>
      </c>
    </row>
    <row r="811">
      <c r="A811" s="7" t="str">
        <f>IFERROR(__xludf.DUMMYFUNCTION("""COMPUTED_VALUE"""),"SENEGAL")</f>
        <v>SENEGAL</v>
      </c>
      <c r="B811" s="8">
        <f>IFERROR(__xludf.DUMMYFUNCTION("""COMPUTED_VALUE"""),10.0)</f>
        <v>10</v>
      </c>
      <c r="C811" s="7" t="str">
        <f>IFERROR(__xludf.DUMMYFUNCTION("""COMPUTED_VALUE"""),"G_11")</f>
        <v>G_11</v>
      </c>
      <c r="D811" s="7" t="str">
        <f>IFERROR(__xludf.DUMMYFUNCTION("""COMPUTED_VALUE"""),"Q38d. ")</f>
        <v>Q38d. </v>
      </c>
      <c r="E811" s="7" t="str">
        <f>IFERROR(__xludf.DUMMYFUNCTION("""COMPUTED_VALUE"""),"Corruption: local government councillors")</f>
        <v>Corruption: local government councillors</v>
      </c>
      <c r="F811" s="7" t="str">
        <f>IFERROR(__xludf.DUMMYFUNCTION("""COMPUTED_VALUE"""),"Municipal or departmental councilors")</f>
        <v>Municipal or departmental councilors</v>
      </c>
    </row>
    <row r="812">
      <c r="A812" s="7" t="str">
        <f>IFERROR(__xludf.DUMMYFUNCTION("""COMPUTED_VALUE"""),"SEYCHELLES")</f>
        <v>SEYCHELLES</v>
      </c>
      <c r="B812" s="8">
        <f>IFERROR(__xludf.DUMMYFUNCTION("""COMPUTED_VALUE"""),10.0)</f>
        <v>10</v>
      </c>
      <c r="C812" s="7" t="str">
        <f>IFERROR(__xludf.DUMMYFUNCTION("""COMPUTED_VALUE"""),"G_11")</f>
        <v>G_11</v>
      </c>
      <c r="D812" s="7" t="str">
        <f>IFERROR(__xludf.DUMMYFUNCTION("""COMPUTED_VALUE"""),"Q38d. ")</f>
        <v>Q38d. </v>
      </c>
      <c r="E812" s="7" t="str">
        <f>IFERROR(__xludf.DUMMYFUNCTION("""COMPUTED_VALUE"""),"Corruption: local government councillors")</f>
        <v>Corruption: local government councillors</v>
      </c>
      <c r="F812" s="7" t="str">
        <f>IFERROR(__xludf.DUMMYFUNCTION("""COMPUTED_VALUE"""),"District Administrators
")</f>
        <v>District Administrators
</v>
      </c>
    </row>
    <row r="813">
      <c r="A813" s="7" t="str">
        <f>IFERROR(__xludf.DUMMYFUNCTION("""COMPUTED_VALUE"""),"SOUTH AFRICA")</f>
        <v>SOUTH AFRICA</v>
      </c>
      <c r="B813" s="8">
        <f>IFERROR(__xludf.DUMMYFUNCTION("""COMPUTED_VALUE"""),10.0)</f>
        <v>10</v>
      </c>
      <c r="C813" s="7" t="str">
        <f>IFERROR(__xludf.DUMMYFUNCTION("""COMPUTED_VALUE"""),"G_11")</f>
        <v>G_11</v>
      </c>
      <c r="D813" s="7" t="str">
        <f>IFERROR(__xludf.DUMMYFUNCTION("""COMPUTED_VALUE"""),"Q38d. ")</f>
        <v>Q38d. </v>
      </c>
      <c r="E813" s="7" t="str">
        <f>IFERROR(__xludf.DUMMYFUNCTION("""COMPUTED_VALUE"""),"Corruption: local government councillors")</f>
        <v>Corruption: local government councillors</v>
      </c>
      <c r="F813" s="7" t="str">
        <f>IFERROR(__xludf.DUMMYFUNCTION("""COMPUTED_VALUE"""),"Local government councilors
")</f>
        <v>Local government councilors
</v>
      </c>
    </row>
    <row r="814">
      <c r="A814" s="7" t="str">
        <f>IFERROR(__xludf.DUMMYFUNCTION("""COMPUTED_VALUE"""),"TANZANIA")</f>
        <v>TANZANIA</v>
      </c>
      <c r="B814" s="8">
        <f>IFERROR(__xludf.DUMMYFUNCTION("""COMPUTED_VALUE"""),10.0)</f>
        <v>10</v>
      </c>
      <c r="C814" s="7" t="str">
        <f>IFERROR(__xludf.DUMMYFUNCTION("""COMPUTED_VALUE"""),"G_11")</f>
        <v>G_11</v>
      </c>
      <c r="D814" s="7" t="str">
        <f>IFERROR(__xludf.DUMMYFUNCTION("""COMPUTED_VALUE"""),"Q38d. ")</f>
        <v>Q38d. </v>
      </c>
      <c r="E814" s="7" t="str">
        <f>IFERROR(__xludf.DUMMYFUNCTION("""COMPUTED_VALUE"""),"Corruption: local government councillors")</f>
        <v>Corruption: local government councillors</v>
      </c>
      <c r="F814" s="7" t="str">
        <f>IFERROR(__xludf.DUMMYFUNCTION("""COMPUTED_VALUE"""),"Councilors
")</f>
        <v>Councilors
</v>
      </c>
    </row>
    <row r="815">
      <c r="A815" s="7" t="str">
        <f>IFERROR(__xludf.DUMMYFUNCTION("""COMPUTED_VALUE"""),"TOGO ")</f>
        <v>TOGO </v>
      </c>
      <c r="B815" s="8">
        <f>IFERROR(__xludf.DUMMYFUNCTION("""COMPUTED_VALUE"""),10.0)</f>
        <v>10</v>
      </c>
      <c r="C815" s="7" t="str">
        <f>IFERROR(__xludf.DUMMYFUNCTION("""COMPUTED_VALUE"""),"G_11")</f>
        <v>G_11</v>
      </c>
      <c r="D815" s="7" t="str">
        <f>IFERROR(__xludf.DUMMYFUNCTION("""COMPUTED_VALUE"""),"Q38d. ")</f>
        <v>Q38d. </v>
      </c>
      <c r="E815" s="7" t="str">
        <f>IFERROR(__xludf.DUMMYFUNCTION("""COMPUTED_VALUE"""),"Corruption: local government councillors")</f>
        <v>Corruption: local government councillors</v>
      </c>
      <c r="F815" s="7" t="str">
        <f>IFERROR(__xludf.DUMMYFUNCTION("""COMPUTED_VALUE"""),"Municipal or communal councilors")</f>
        <v>Municipal or communal councilors</v>
      </c>
    </row>
    <row r="816">
      <c r="A816" s="7" t="str">
        <f>IFERROR(__xludf.DUMMYFUNCTION("""COMPUTED_VALUE"""),"UGANDA  ")</f>
        <v>UGANDA  </v>
      </c>
      <c r="B816" s="8">
        <f>IFERROR(__xludf.DUMMYFUNCTION("""COMPUTED_VALUE"""),10.0)</f>
        <v>10</v>
      </c>
      <c r="C816" s="7" t="str">
        <f>IFERROR(__xludf.DUMMYFUNCTION("""COMPUTED_VALUE"""),"G_11")</f>
        <v>G_11</v>
      </c>
      <c r="D816" s="7" t="str">
        <f>IFERROR(__xludf.DUMMYFUNCTION("""COMPUTED_VALUE"""),"Q38d. ")</f>
        <v>Q38d. </v>
      </c>
      <c r="E816" s="7" t="str">
        <f>IFERROR(__xludf.DUMMYFUNCTION("""COMPUTED_VALUE"""),"Corruption: local government councillors")</f>
        <v>Corruption: local government councillors</v>
      </c>
      <c r="F816" s="7" t="str">
        <f>IFERROR(__xludf.DUMMYFUNCTION("""COMPUTED_VALUE"""),"District or city councilors
")</f>
        <v>District or city councilors
</v>
      </c>
    </row>
    <row r="817">
      <c r="A817" s="7" t="str">
        <f>IFERROR(__xludf.DUMMYFUNCTION("""COMPUTED_VALUE"""),"ZAMBIA")</f>
        <v>ZAMBIA</v>
      </c>
      <c r="B817" s="8">
        <f>IFERROR(__xludf.DUMMYFUNCTION("""COMPUTED_VALUE"""),10.0)</f>
        <v>10</v>
      </c>
      <c r="C817" s="7" t="str">
        <f>IFERROR(__xludf.DUMMYFUNCTION("""COMPUTED_VALUE"""),"G_11")</f>
        <v>G_11</v>
      </c>
      <c r="D817" s="7" t="str">
        <f>IFERROR(__xludf.DUMMYFUNCTION("""COMPUTED_VALUE"""),"Q38d. ")</f>
        <v>Q38d. </v>
      </c>
      <c r="E817" s="7" t="str">
        <f>IFERROR(__xludf.DUMMYFUNCTION("""COMPUTED_VALUE"""),"Corruption: local government councillors")</f>
        <v>Corruption: local government councillors</v>
      </c>
      <c r="F817" s="7" t="str">
        <f>IFERROR(__xludf.DUMMYFUNCTION("""COMPUTED_VALUE"""),"Local government councilors
")</f>
        <v>Local government councilors
</v>
      </c>
    </row>
    <row r="818">
      <c r="A818" s="7" t="str">
        <f>IFERROR(__xludf.DUMMYFUNCTION("""COMPUTED_VALUE"""),"ZIMBABWE")</f>
        <v>ZIMBABWE</v>
      </c>
      <c r="B818" s="8">
        <f>IFERROR(__xludf.DUMMYFUNCTION("""COMPUTED_VALUE"""),10.0)</f>
        <v>10</v>
      </c>
      <c r="C818" s="7" t="str">
        <f>IFERROR(__xludf.DUMMYFUNCTION("""COMPUTED_VALUE"""),"G_11")</f>
        <v>G_11</v>
      </c>
      <c r="D818" s="7" t="str">
        <f>IFERROR(__xludf.DUMMYFUNCTION("""COMPUTED_VALUE"""),"Q38d. ")</f>
        <v>Q38d. </v>
      </c>
      <c r="E818" s="7" t="str">
        <f>IFERROR(__xludf.DUMMYFUNCTION("""COMPUTED_VALUE"""),"Corruption: local government councillors")</f>
        <v>Corruption: local government councillors</v>
      </c>
      <c r="F818" s="7" t="str">
        <f>IFERROR(__xludf.DUMMYFUNCTION("""COMPUTED_VALUE"""),"Local government councilors
")</f>
        <v>Local government councilors
</v>
      </c>
    </row>
    <row r="819">
      <c r="A819" s="7" t="str">
        <f>IFERROR(__xludf.DUMMYFUNCTION("""COMPUTED_VALUE"""),"ANGOLA ")</f>
        <v>ANGOLA </v>
      </c>
      <c r="B819" s="8">
        <f>IFERROR(__xludf.DUMMYFUNCTION("""COMPUTED_VALUE"""),10.0)</f>
        <v>10</v>
      </c>
      <c r="C819" s="7" t="str">
        <f>IFERROR(__xludf.DUMMYFUNCTION("""COMPUTED_VALUE"""),"G_21")</f>
        <v>G_21</v>
      </c>
      <c r="D819" s="7" t="str">
        <f>IFERROR(__xludf.DUMMYFUNCTION("""COMPUTED_VALUE"""),"Q38g. ")</f>
        <v>Q38g. </v>
      </c>
      <c r="E819" s="7" t="str">
        <f>IFERROR(__xludf.DUMMYFUNCTION("""COMPUTED_VALUE"""),"Corruption: Tax officials")</f>
        <v>Corruption: Tax officials</v>
      </c>
      <c r="F819" s="7" t="str">
        <f>IFERROR(__xludf.DUMMYFUNCTION("""COMPUTED_VALUE"""),"Administração Geral Tributária or  AGT  ")</f>
        <v>Administração Geral Tributária or  AGT  </v>
      </c>
    </row>
    <row r="820">
      <c r="A820" s="7" t="str">
        <f>IFERROR(__xludf.DUMMYFUNCTION("""COMPUTED_VALUE"""),"BENIN")</f>
        <v>BENIN</v>
      </c>
      <c r="B820" s="8">
        <f>IFERROR(__xludf.DUMMYFUNCTION("""COMPUTED_VALUE"""),10.0)</f>
        <v>10</v>
      </c>
      <c r="C820" s="7" t="str">
        <f>IFERROR(__xludf.DUMMYFUNCTION("""COMPUTED_VALUE"""),"G_21")</f>
        <v>G_21</v>
      </c>
      <c r="D820" s="7" t="str">
        <f>IFERROR(__xludf.DUMMYFUNCTION("""COMPUTED_VALUE"""),"Q38g. ")</f>
        <v>Q38g. </v>
      </c>
      <c r="E820" s="7" t="str">
        <f>IFERROR(__xludf.DUMMYFUNCTION("""COMPUTED_VALUE"""),"Corruption: Tax officials")</f>
        <v>Corruption: Tax officials</v>
      </c>
      <c r="F820" s="7" t="str">
        <f>IFERROR(__xludf.DUMMYFUNCTION("""COMPUTED_VALUE"""),"General Directorate of Taxes (DGI)")</f>
        <v>General Directorate of Taxes (DGI)</v>
      </c>
    </row>
    <row r="821">
      <c r="A821" s="7" t="str">
        <f>IFERROR(__xludf.DUMMYFUNCTION("""COMPUTED_VALUE"""),"BOTSWANA ")</f>
        <v>BOTSWANA </v>
      </c>
      <c r="B821" s="8">
        <f>IFERROR(__xludf.DUMMYFUNCTION("""COMPUTED_VALUE"""),10.0)</f>
        <v>10</v>
      </c>
      <c r="C821" s="7" t="str">
        <f>IFERROR(__xludf.DUMMYFUNCTION("""COMPUTED_VALUE"""),"G_21")</f>
        <v>G_21</v>
      </c>
      <c r="D821" s="7" t="str">
        <f>IFERROR(__xludf.DUMMYFUNCTION("""COMPUTED_VALUE"""),"Q38g. ")</f>
        <v>Q38g. </v>
      </c>
      <c r="E821" s="7" t="str">
        <f>IFERROR(__xludf.DUMMYFUNCTION("""COMPUTED_VALUE"""),"Corruption: Tax officials")</f>
        <v>Corruption: Tax officials</v>
      </c>
      <c r="F821" s="7" t="str">
        <f>IFERROR(__xludf.DUMMYFUNCTION("""COMPUTED_VALUE""")," Botswana Unified Revenue Services or BURS")</f>
        <v> Botswana Unified Revenue Services or BURS</v>
      </c>
    </row>
    <row r="822">
      <c r="A822" s="7" t="str">
        <f>IFERROR(__xludf.DUMMYFUNCTION("""COMPUTED_VALUE"""),"CABO VERDE ")</f>
        <v>CABO VERDE </v>
      </c>
      <c r="B822" s="8">
        <f>IFERROR(__xludf.DUMMYFUNCTION("""COMPUTED_VALUE"""),10.0)</f>
        <v>10</v>
      </c>
      <c r="C822" s="7" t="str">
        <f>IFERROR(__xludf.DUMMYFUNCTION("""COMPUTED_VALUE"""),"G_21")</f>
        <v>G_21</v>
      </c>
      <c r="D822" s="7" t="str">
        <f>IFERROR(__xludf.DUMMYFUNCTION("""COMPUTED_VALUE"""),"Q38g. ")</f>
        <v>Q38g. </v>
      </c>
      <c r="E822" s="7" t="str">
        <f>IFERROR(__xludf.DUMMYFUNCTION("""COMPUTED_VALUE"""),"Corruption: Tax officials")</f>
        <v>Corruption: Tax officials</v>
      </c>
      <c r="F822" s="7" t="str">
        <f>IFERROR(__xludf.DUMMYFUNCTION("""COMPUTED_VALUE""")," National Directorate of State Revenues or DNRE")</f>
        <v> National Directorate of State Revenues or DNRE</v>
      </c>
    </row>
    <row r="823">
      <c r="A823" s="7" t="str">
        <f>IFERROR(__xludf.DUMMYFUNCTION("""COMPUTED_VALUE"""),"CAMEROON")</f>
        <v>CAMEROON</v>
      </c>
      <c r="B823" s="8">
        <f>IFERROR(__xludf.DUMMYFUNCTION("""COMPUTED_VALUE"""),10.0)</f>
        <v>10</v>
      </c>
      <c r="C823" s="7" t="str">
        <f>IFERROR(__xludf.DUMMYFUNCTION("""COMPUTED_VALUE"""),"G_21")</f>
        <v>G_21</v>
      </c>
      <c r="D823" s="7" t="str">
        <f>IFERROR(__xludf.DUMMYFUNCTION("""COMPUTED_VALUE"""),"Q38g. ")</f>
        <v>Q38g. </v>
      </c>
      <c r="E823" s="7" t="str">
        <f>IFERROR(__xludf.DUMMYFUNCTION("""COMPUTED_VALUE"""),"Corruption: Tax officials")</f>
        <v>Corruption: Tax officials</v>
      </c>
      <c r="F823" s="7" t="str">
        <f>IFERROR(__xludf.DUMMYFUNCTION("""COMPUTED_VALUE"""),"General Directorate of Taxes")</f>
        <v>General Directorate of Taxes</v>
      </c>
    </row>
    <row r="824">
      <c r="A824" s="7" t="str">
        <f>IFERROR(__xludf.DUMMYFUNCTION("""COMPUTED_VALUE"""),"CHAD")</f>
        <v>CHAD</v>
      </c>
      <c r="B824" s="8">
        <f>IFERROR(__xludf.DUMMYFUNCTION("""COMPUTED_VALUE"""),10.0)</f>
        <v>10</v>
      </c>
      <c r="C824" s="7" t="str">
        <f>IFERROR(__xludf.DUMMYFUNCTION("""COMPUTED_VALUE"""),"G_21")</f>
        <v>G_21</v>
      </c>
      <c r="D824" s="7" t="str">
        <f>IFERROR(__xludf.DUMMYFUNCTION("""COMPUTED_VALUE"""),"Q38g. ")</f>
        <v>Q38g. </v>
      </c>
      <c r="E824" s="7" t="str">
        <f>IFERROR(__xludf.DUMMYFUNCTION("""COMPUTED_VALUE"""),"Corruption: Tax officials")</f>
        <v>Corruption: Tax officials</v>
      </c>
      <c r="F824" s="7" t="str">
        <f>IFERROR(__xludf.DUMMYFUNCTION("""COMPUTED_VALUE"""),"General Directorate of Taxes")</f>
        <v>General Directorate of Taxes</v>
      </c>
    </row>
    <row r="825">
      <c r="A825" s="7" t="str">
        <f>IFERROR(__xludf.DUMMYFUNCTION("""COMPUTED_VALUE"""),"COMOROS")</f>
        <v>COMOROS</v>
      </c>
      <c r="B825" s="8">
        <f>IFERROR(__xludf.DUMMYFUNCTION("""COMPUTED_VALUE"""),10.0)</f>
        <v>10</v>
      </c>
      <c r="C825" s="7" t="str">
        <f>IFERROR(__xludf.DUMMYFUNCTION("""COMPUTED_VALUE"""),"G_21")</f>
        <v>G_21</v>
      </c>
      <c r="D825" s="7" t="str">
        <f>IFERROR(__xludf.DUMMYFUNCTION("""COMPUTED_VALUE"""),"Q38g. ")</f>
        <v>Q38g. </v>
      </c>
      <c r="E825" s="7" t="str">
        <f>IFERROR(__xludf.DUMMYFUNCTION("""COMPUTED_VALUE"""),"Corruption: Tax officials")</f>
        <v>Corruption: Tax officials</v>
      </c>
      <c r="F825" s="7" t="str">
        <f>IFERROR(__xludf.DUMMYFUNCTION("""COMPUTED_VALUE"""),"General Directorate of Taxes")</f>
        <v>General Directorate of Taxes</v>
      </c>
    </row>
    <row r="826">
      <c r="A826" s="7" t="str">
        <f>IFERROR(__xludf.DUMMYFUNCTION("""COMPUTED_VALUE"""),"CONGO BRAZZAVILLE")</f>
        <v>CONGO BRAZZAVILLE</v>
      </c>
      <c r="B826" s="8">
        <f>IFERROR(__xludf.DUMMYFUNCTION("""COMPUTED_VALUE"""),10.0)</f>
        <v>10</v>
      </c>
      <c r="C826" s="7" t="str">
        <f>IFERROR(__xludf.DUMMYFUNCTION("""COMPUTED_VALUE"""),"G_21")</f>
        <v>G_21</v>
      </c>
      <c r="D826" s="7" t="str">
        <f>IFERROR(__xludf.DUMMYFUNCTION("""COMPUTED_VALUE"""),"Q38g. ")</f>
        <v>Q38g. </v>
      </c>
      <c r="E826" s="7" t="str">
        <f>IFERROR(__xludf.DUMMYFUNCTION("""COMPUTED_VALUE"""),"Corruption: Tax officials")</f>
        <v>Corruption: Tax officials</v>
      </c>
      <c r="F826" s="7" t="str">
        <f>IFERROR(__xludf.DUMMYFUNCTION("""COMPUTED_VALUE"""),"General Directorate of Taxes")</f>
        <v>General Directorate of Taxes</v>
      </c>
    </row>
    <row r="827">
      <c r="A827" s="7" t="str">
        <f>IFERROR(__xludf.DUMMYFUNCTION("""COMPUTED_VALUE"""),"COTE D'IVOIRE")</f>
        <v>COTE D'IVOIRE</v>
      </c>
      <c r="B827" s="8">
        <f>IFERROR(__xludf.DUMMYFUNCTION("""COMPUTED_VALUE"""),10.0)</f>
        <v>10</v>
      </c>
      <c r="C827" s="7" t="str">
        <f>IFERROR(__xludf.DUMMYFUNCTION("""COMPUTED_VALUE"""),"G_21")</f>
        <v>G_21</v>
      </c>
      <c r="D827" s="7" t="str">
        <f>IFERROR(__xludf.DUMMYFUNCTION("""COMPUTED_VALUE"""),"Q38g. ")</f>
        <v>Q38g. </v>
      </c>
      <c r="E827" s="7" t="str">
        <f>IFERROR(__xludf.DUMMYFUNCTION("""COMPUTED_VALUE"""),"Corruption: Tax officials")</f>
        <v>Corruption: Tax officials</v>
      </c>
      <c r="F827" s="7" t="str">
        <f>IFERROR(__xludf.DUMMYFUNCTION("""COMPUTED_VALUE"""),"General Directorate of Taxes")</f>
        <v>General Directorate of Taxes</v>
      </c>
    </row>
    <row r="828">
      <c r="A828" s="7" t="str">
        <f>IFERROR(__xludf.DUMMYFUNCTION("""COMPUTED_VALUE"""),"ESWATINI")</f>
        <v>ESWATINI</v>
      </c>
      <c r="B828" s="8">
        <f>IFERROR(__xludf.DUMMYFUNCTION("""COMPUTED_VALUE"""),10.0)</f>
        <v>10</v>
      </c>
      <c r="C828" s="7" t="str">
        <f>IFERROR(__xludf.DUMMYFUNCTION("""COMPUTED_VALUE"""),"G_21")</f>
        <v>G_21</v>
      </c>
      <c r="D828" s="7" t="str">
        <f>IFERROR(__xludf.DUMMYFUNCTION("""COMPUTED_VALUE"""),"Q38g. ")</f>
        <v>Q38g. </v>
      </c>
      <c r="E828" s="7" t="str">
        <f>IFERROR(__xludf.DUMMYFUNCTION("""COMPUTED_VALUE"""),"Corruption: Tax officials")</f>
        <v>Corruption: Tax officials</v>
      </c>
      <c r="F828" s="7" t="str">
        <f>IFERROR(__xludf.DUMMYFUNCTION("""COMPUTED_VALUE"""),"Eswatini Revenue Authority ")</f>
        <v>Eswatini Revenue Authority </v>
      </c>
    </row>
    <row r="829">
      <c r="A829" s="7" t="str">
        <f>IFERROR(__xludf.DUMMYFUNCTION("""COMPUTED_VALUE"""),"GABON")</f>
        <v>GABON</v>
      </c>
      <c r="B829" s="8">
        <f>IFERROR(__xludf.DUMMYFUNCTION("""COMPUTED_VALUE"""),10.0)</f>
        <v>10</v>
      </c>
      <c r="C829" s="7" t="str">
        <f>IFERROR(__xludf.DUMMYFUNCTION("""COMPUTED_VALUE"""),"G_21")</f>
        <v>G_21</v>
      </c>
      <c r="D829" s="7" t="str">
        <f>IFERROR(__xludf.DUMMYFUNCTION("""COMPUTED_VALUE"""),"Q38g. ")</f>
        <v>Q38g. </v>
      </c>
      <c r="E829" s="7" t="str">
        <f>IFERROR(__xludf.DUMMYFUNCTION("""COMPUTED_VALUE"""),"Corruption: Tax officials")</f>
        <v>Corruption: Tax officials</v>
      </c>
      <c r="F829" s="7" t="str">
        <f>IFERROR(__xludf.DUMMYFUNCTION("""COMPUTED_VALUE"""),"General Directorate of Taxes")</f>
        <v>General Directorate of Taxes</v>
      </c>
    </row>
    <row r="830">
      <c r="A830" s="7" t="str">
        <f>IFERROR(__xludf.DUMMYFUNCTION("""COMPUTED_VALUE"""),"GAMBIA")</f>
        <v>GAMBIA</v>
      </c>
      <c r="B830" s="8">
        <f>IFERROR(__xludf.DUMMYFUNCTION("""COMPUTED_VALUE"""),10.0)</f>
        <v>10</v>
      </c>
      <c r="C830" s="7" t="str">
        <f>IFERROR(__xludf.DUMMYFUNCTION("""COMPUTED_VALUE"""),"G_21")</f>
        <v>G_21</v>
      </c>
      <c r="D830" s="7" t="str">
        <f>IFERROR(__xludf.DUMMYFUNCTION("""COMPUTED_VALUE"""),"Q38g. ")</f>
        <v>Q38g. </v>
      </c>
      <c r="E830" s="7" t="str">
        <f>IFERROR(__xludf.DUMMYFUNCTION("""COMPUTED_VALUE"""),"Corruption: Tax officials")</f>
        <v>Corruption: Tax officials</v>
      </c>
      <c r="F830" s="7" t="str">
        <f>IFERROR(__xludf.DUMMYFUNCTION("""COMPUTED_VALUE"""),"Gambia Revenue Authority or GRA")</f>
        <v>Gambia Revenue Authority or GRA</v>
      </c>
    </row>
    <row r="831">
      <c r="A831" s="7" t="str">
        <f>IFERROR(__xludf.DUMMYFUNCTION("""COMPUTED_VALUE"""),"GHANA ")</f>
        <v>GHANA </v>
      </c>
      <c r="B831" s="8">
        <f>IFERROR(__xludf.DUMMYFUNCTION("""COMPUTED_VALUE"""),10.0)</f>
        <v>10</v>
      </c>
      <c r="C831" s="7" t="str">
        <f>IFERROR(__xludf.DUMMYFUNCTION("""COMPUTED_VALUE"""),"G_21")</f>
        <v>G_21</v>
      </c>
      <c r="D831" s="7" t="str">
        <f>IFERROR(__xludf.DUMMYFUNCTION("""COMPUTED_VALUE"""),"Q38g. ")</f>
        <v>Q38g. </v>
      </c>
      <c r="E831" s="7" t="str">
        <f>IFERROR(__xludf.DUMMYFUNCTION("""COMPUTED_VALUE"""),"Corruption: Tax officials")</f>
        <v>Corruption: Tax officials</v>
      </c>
      <c r="F831" s="7" t="str">
        <f>IFERROR(__xludf.DUMMYFUNCTION("""COMPUTED_VALUE"""),"Ghana Revenue Authority")</f>
        <v>Ghana Revenue Authority</v>
      </c>
    </row>
    <row r="832">
      <c r="A832" s="7" t="str">
        <f>IFERROR(__xludf.DUMMYFUNCTION("""COMPUTED_VALUE"""),"GUINEA")</f>
        <v>GUINEA</v>
      </c>
      <c r="B832" s="8">
        <f>IFERROR(__xludf.DUMMYFUNCTION("""COMPUTED_VALUE"""),10.0)</f>
        <v>10</v>
      </c>
      <c r="C832" s="7" t="str">
        <f>IFERROR(__xludf.DUMMYFUNCTION("""COMPUTED_VALUE"""),"G_21")</f>
        <v>G_21</v>
      </c>
      <c r="D832" s="7" t="str">
        <f>IFERROR(__xludf.DUMMYFUNCTION("""COMPUTED_VALUE"""),"Q38g. ")</f>
        <v>Q38g. </v>
      </c>
      <c r="E832" s="7" t="str">
        <f>IFERROR(__xludf.DUMMYFUNCTION("""COMPUTED_VALUE"""),"Corruption: Tax officials")</f>
        <v>Corruption: Tax officials</v>
      </c>
      <c r="F832" s="7" t="str">
        <f>IFERROR(__xludf.DUMMYFUNCTION("""COMPUTED_VALUE"""),"General Directorate of Taxes")</f>
        <v>General Directorate of Taxes</v>
      </c>
    </row>
    <row r="833">
      <c r="A833" s="7" t="str">
        <f>IFERROR(__xludf.DUMMYFUNCTION("""COMPUTED_VALUE"""),"KENYA  ")</f>
        <v>KENYA  </v>
      </c>
      <c r="B833" s="8">
        <f>IFERROR(__xludf.DUMMYFUNCTION("""COMPUTED_VALUE"""),10.0)</f>
        <v>10</v>
      </c>
      <c r="C833" s="7" t="str">
        <f>IFERROR(__xludf.DUMMYFUNCTION("""COMPUTED_VALUE"""),"G_21")</f>
        <v>G_21</v>
      </c>
      <c r="D833" s="7" t="str">
        <f>IFERROR(__xludf.DUMMYFUNCTION("""COMPUTED_VALUE"""),"Q38g. ")</f>
        <v>Q38g. </v>
      </c>
      <c r="E833" s="7" t="str">
        <f>IFERROR(__xludf.DUMMYFUNCTION("""COMPUTED_VALUE"""),"Corruption: Tax officials")</f>
        <v>Corruption: Tax officials</v>
      </c>
      <c r="F833" s="7" t="str">
        <f>IFERROR(__xludf.DUMMYFUNCTION("""COMPUTED_VALUE"""),"Kenya Revenue Authority or KRA")</f>
        <v>Kenya Revenue Authority or KRA</v>
      </c>
    </row>
    <row r="834">
      <c r="A834" s="7" t="str">
        <f>IFERROR(__xludf.DUMMYFUNCTION("""COMPUTED_VALUE"""),"LESOTHO ")</f>
        <v>LESOTHO </v>
      </c>
      <c r="B834" s="8">
        <f>IFERROR(__xludf.DUMMYFUNCTION("""COMPUTED_VALUE"""),10.0)</f>
        <v>10</v>
      </c>
      <c r="C834" s="7" t="str">
        <f>IFERROR(__xludf.DUMMYFUNCTION("""COMPUTED_VALUE"""),"G_21")</f>
        <v>G_21</v>
      </c>
      <c r="D834" s="7" t="str">
        <f>IFERROR(__xludf.DUMMYFUNCTION("""COMPUTED_VALUE"""),"Q38g. ")</f>
        <v>Q38g. </v>
      </c>
      <c r="E834" s="7" t="str">
        <f>IFERROR(__xludf.DUMMYFUNCTION("""COMPUTED_VALUE"""),"Corruption: Tax officials")</f>
        <v>Corruption: Tax officials</v>
      </c>
      <c r="F834" s="7" t="str">
        <f>IFERROR(__xludf.DUMMYFUNCTION("""COMPUTED_VALUE"""),"Revenue Services Lesotho  RSL or Lesotho Revenue Authority-LRA")</f>
        <v>Revenue Services Lesotho  RSL or Lesotho Revenue Authority-LRA</v>
      </c>
    </row>
    <row r="835">
      <c r="A835" s="7" t="str">
        <f>IFERROR(__xludf.DUMMYFUNCTION("""COMPUTED_VALUE"""),"LIBERIA  ")</f>
        <v>LIBERIA  </v>
      </c>
      <c r="B835" s="8">
        <f>IFERROR(__xludf.DUMMYFUNCTION("""COMPUTED_VALUE"""),10.0)</f>
        <v>10</v>
      </c>
      <c r="C835" s="7" t="str">
        <f>IFERROR(__xludf.DUMMYFUNCTION("""COMPUTED_VALUE"""),"G_21")</f>
        <v>G_21</v>
      </c>
      <c r="D835" s="7" t="str">
        <f>IFERROR(__xludf.DUMMYFUNCTION("""COMPUTED_VALUE"""),"Q38g. ")</f>
        <v>Q38g. </v>
      </c>
      <c r="E835" s="7" t="str">
        <f>IFERROR(__xludf.DUMMYFUNCTION("""COMPUTED_VALUE"""),"Corruption: Tax officials")</f>
        <v>Corruption: Tax officials</v>
      </c>
      <c r="F835" s="7" t="str">
        <f>IFERROR(__xludf.DUMMYFUNCTION("""COMPUTED_VALUE"""),"Liberia Revenue Authority")</f>
        <v>Liberia Revenue Authority</v>
      </c>
    </row>
    <row r="836">
      <c r="A836" s="7" t="str">
        <f>IFERROR(__xludf.DUMMYFUNCTION("""COMPUTED_VALUE"""),"MADAGASCAR")</f>
        <v>MADAGASCAR</v>
      </c>
      <c r="B836" s="8">
        <f>IFERROR(__xludf.DUMMYFUNCTION("""COMPUTED_VALUE"""),10.0)</f>
        <v>10</v>
      </c>
      <c r="C836" s="7" t="str">
        <f>IFERROR(__xludf.DUMMYFUNCTION("""COMPUTED_VALUE"""),"G_21")</f>
        <v>G_21</v>
      </c>
      <c r="D836" s="7" t="str">
        <f>IFERROR(__xludf.DUMMYFUNCTION("""COMPUTED_VALUE"""),"Q38g. ")</f>
        <v>Q38g. </v>
      </c>
      <c r="E836" s="7" t="str">
        <f>IFERROR(__xludf.DUMMYFUNCTION("""COMPUTED_VALUE"""),"Corruption: Tax officials")</f>
        <v>Corruption: Tax officials</v>
      </c>
      <c r="F836" s="7" t="str">
        <f>IFERROR(__xludf.DUMMYFUNCTION("""COMPUTED_VALUE"""),"General Directorate of Taxes")</f>
        <v>General Directorate of Taxes</v>
      </c>
    </row>
    <row r="837">
      <c r="A837" s="7" t="str">
        <f>IFERROR(__xludf.DUMMYFUNCTION("""COMPUTED_VALUE"""),"MALAWI ")</f>
        <v>MALAWI </v>
      </c>
      <c r="B837" s="8">
        <f>IFERROR(__xludf.DUMMYFUNCTION("""COMPUTED_VALUE"""),10.0)</f>
        <v>10</v>
      </c>
      <c r="C837" s="7" t="str">
        <f>IFERROR(__xludf.DUMMYFUNCTION("""COMPUTED_VALUE"""),"G_21")</f>
        <v>G_21</v>
      </c>
      <c r="D837" s="7" t="str">
        <f>IFERROR(__xludf.DUMMYFUNCTION("""COMPUTED_VALUE"""),"Q38g. ")</f>
        <v>Q38g. </v>
      </c>
      <c r="E837" s="7" t="str">
        <f>IFERROR(__xludf.DUMMYFUNCTION("""COMPUTED_VALUE"""),"Corruption: Tax officials")</f>
        <v>Corruption: Tax officials</v>
      </c>
      <c r="F837" s="7" t="str">
        <f>IFERROR(__xludf.DUMMYFUNCTION("""COMPUTED_VALUE""")," Malawi Revenue Authority or MRA")</f>
        <v> Malawi Revenue Authority or MRA</v>
      </c>
    </row>
    <row r="838">
      <c r="A838" s="7" t="str">
        <f>IFERROR(__xludf.DUMMYFUNCTION("""COMPUTED_VALUE"""),"MALI")</f>
        <v>MALI</v>
      </c>
      <c r="B838" s="8">
        <f>IFERROR(__xludf.DUMMYFUNCTION("""COMPUTED_VALUE"""),10.0)</f>
        <v>10</v>
      </c>
      <c r="C838" s="7" t="str">
        <f>IFERROR(__xludf.DUMMYFUNCTION("""COMPUTED_VALUE"""),"G_21")</f>
        <v>G_21</v>
      </c>
      <c r="D838" s="7" t="str">
        <f>IFERROR(__xludf.DUMMYFUNCTION("""COMPUTED_VALUE"""),"Q38g. ")</f>
        <v>Q38g. </v>
      </c>
      <c r="E838" s="7" t="str">
        <f>IFERROR(__xludf.DUMMYFUNCTION("""COMPUTED_VALUE"""),"Corruption: Tax officials")</f>
        <v>Corruption: Tax officials</v>
      </c>
      <c r="F838" s="7" t="str">
        <f>IFERROR(__xludf.DUMMYFUNCTION("""COMPUTED_VALUE"""),"General Directorate of Taxes")</f>
        <v>General Directorate of Taxes</v>
      </c>
    </row>
    <row r="839">
      <c r="A839" s="7" t="str">
        <f>IFERROR(__xludf.DUMMYFUNCTION("""COMPUTED_VALUE"""),"MAURITANIA")</f>
        <v>MAURITANIA</v>
      </c>
      <c r="B839" s="8">
        <f>IFERROR(__xludf.DUMMYFUNCTION("""COMPUTED_VALUE"""),10.0)</f>
        <v>10</v>
      </c>
      <c r="C839" s="7" t="str">
        <f>IFERROR(__xludf.DUMMYFUNCTION("""COMPUTED_VALUE"""),"G_21")</f>
        <v>G_21</v>
      </c>
      <c r="D839" s="7" t="str">
        <f>IFERROR(__xludf.DUMMYFUNCTION("""COMPUTED_VALUE"""),"Q38g. ")</f>
        <v>Q38g. </v>
      </c>
      <c r="E839" s="7" t="str">
        <f>IFERROR(__xludf.DUMMYFUNCTION("""COMPUTED_VALUE"""),"Corruption: Tax officials")</f>
        <v>Corruption: Tax officials</v>
      </c>
      <c r="F839" s="7" t="str">
        <f>IFERROR(__xludf.DUMMYFUNCTION("""COMPUTED_VALUE"""),"General Directorate of Taxes")</f>
        <v>General Directorate of Taxes</v>
      </c>
    </row>
    <row r="840">
      <c r="A840" s="7" t="str">
        <f>IFERROR(__xludf.DUMMYFUNCTION("""COMPUTED_VALUE"""),"MAURITIUS")</f>
        <v>MAURITIUS</v>
      </c>
      <c r="B840" s="8">
        <f>IFERROR(__xludf.DUMMYFUNCTION("""COMPUTED_VALUE"""),10.0)</f>
        <v>10</v>
      </c>
      <c r="C840" s="7" t="str">
        <f>IFERROR(__xludf.DUMMYFUNCTION("""COMPUTED_VALUE"""),"G_21")</f>
        <v>G_21</v>
      </c>
      <c r="D840" s="7" t="str">
        <f>IFERROR(__xludf.DUMMYFUNCTION("""COMPUTED_VALUE"""),"Q38g. ")</f>
        <v>Q38g. </v>
      </c>
      <c r="E840" s="7" t="str">
        <f>IFERROR(__xludf.DUMMYFUNCTION("""COMPUTED_VALUE"""),"Corruption: Tax officials")</f>
        <v>Corruption: Tax officials</v>
      </c>
      <c r="F840" s="7" t="str">
        <f>IFERROR(__xludf.DUMMYFUNCTION("""COMPUTED_VALUE"""),"Mauritius Revenue Authority ")</f>
        <v>Mauritius Revenue Authority </v>
      </c>
    </row>
    <row r="841">
      <c r="A841" s="7" t="str">
        <f>IFERROR(__xludf.DUMMYFUNCTION("""COMPUTED_VALUE"""),"MOROCCO ")</f>
        <v>MOROCCO </v>
      </c>
      <c r="B841" s="8">
        <f>IFERROR(__xludf.DUMMYFUNCTION("""COMPUTED_VALUE"""),10.0)</f>
        <v>10</v>
      </c>
      <c r="C841" s="7" t="str">
        <f>IFERROR(__xludf.DUMMYFUNCTION("""COMPUTED_VALUE"""),"G_21")</f>
        <v>G_21</v>
      </c>
      <c r="D841" s="7" t="str">
        <f>IFERROR(__xludf.DUMMYFUNCTION("""COMPUTED_VALUE"""),"Q38g. ")</f>
        <v>Q38g. </v>
      </c>
      <c r="E841" s="7" t="str">
        <f>IFERROR(__xludf.DUMMYFUNCTION("""COMPUTED_VALUE"""),"Corruption: Tax officials")</f>
        <v>Corruption: Tax officials</v>
      </c>
      <c r="F841" s="7" t="str">
        <f>IFERROR(__xludf.DUMMYFUNCTION("""COMPUTED_VALUE"""),"General Directorate of Taxes")</f>
        <v>General Directorate of Taxes</v>
      </c>
    </row>
    <row r="842">
      <c r="A842" s="7" t="str">
        <f>IFERROR(__xludf.DUMMYFUNCTION("""COMPUTED_VALUE"""),"MOZAMBIQUE")</f>
        <v>MOZAMBIQUE</v>
      </c>
      <c r="B842" s="8">
        <f>IFERROR(__xludf.DUMMYFUNCTION("""COMPUTED_VALUE"""),10.0)</f>
        <v>10</v>
      </c>
      <c r="C842" s="7" t="str">
        <f>IFERROR(__xludf.DUMMYFUNCTION("""COMPUTED_VALUE"""),"G_21")</f>
        <v>G_21</v>
      </c>
      <c r="D842" s="7" t="str">
        <f>IFERROR(__xludf.DUMMYFUNCTION("""COMPUTED_VALUE"""),"Q38g. ")</f>
        <v>Q38g. </v>
      </c>
      <c r="E842" s="7" t="str">
        <f>IFERROR(__xludf.DUMMYFUNCTION("""COMPUTED_VALUE"""),"Corruption: Tax officials")</f>
        <v>Corruption: Tax officials</v>
      </c>
      <c r="F842" s="7" t="str">
        <f>IFERROR(__xludf.DUMMYFUNCTION("""COMPUTED_VALUE"""),"Mozambique Tax Revenue Authority")</f>
        <v>Mozambique Tax Revenue Authority</v>
      </c>
    </row>
    <row r="843">
      <c r="A843" s="7" t="str">
        <f>IFERROR(__xludf.DUMMYFUNCTION("""COMPUTED_VALUE"""),"NAMIBIA ")</f>
        <v>NAMIBIA </v>
      </c>
      <c r="B843" s="8">
        <f>IFERROR(__xludf.DUMMYFUNCTION("""COMPUTED_VALUE"""),10.0)</f>
        <v>10</v>
      </c>
      <c r="C843" s="7" t="str">
        <f>IFERROR(__xludf.DUMMYFUNCTION("""COMPUTED_VALUE"""),"G_21")</f>
        <v>G_21</v>
      </c>
      <c r="D843" s="7" t="str">
        <f>IFERROR(__xludf.DUMMYFUNCTION("""COMPUTED_VALUE"""),"Q38g. ")</f>
        <v>Q38g. </v>
      </c>
      <c r="E843" s="7" t="str">
        <f>IFERROR(__xludf.DUMMYFUNCTION("""COMPUTED_VALUE"""),"Corruption: Tax officials")</f>
        <v>Corruption: Tax officials</v>
      </c>
      <c r="F843" s="7" t="str">
        <f>IFERROR(__xludf.DUMMYFUNCTION("""COMPUTED_VALUE"""),"Ministry of Finance, Inland Revenue")</f>
        <v>Ministry of Finance, Inland Revenue</v>
      </c>
    </row>
    <row r="844">
      <c r="A844" s="7" t="str">
        <f>IFERROR(__xludf.DUMMYFUNCTION("""COMPUTED_VALUE"""),"NIGERIA ")</f>
        <v>NIGERIA </v>
      </c>
      <c r="B844" s="8">
        <f>IFERROR(__xludf.DUMMYFUNCTION("""COMPUTED_VALUE"""),10.0)</f>
        <v>10</v>
      </c>
      <c r="C844" s="7" t="str">
        <f>IFERROR(__xludf.DUMMYFUNCTION("""COMPUTED_VALUE"""),"G_21")</f>
        <v>G_21</v>
      </c>
      <c r="D844" s="7" t="str">
        <f>IFERROR(__xludf.DUMMYFUNCTION("""COMPUTED_VALUE"""),"Q38g. ")</f>
        <v>Q38g. </v>
      </c>
      <c r="E844" s="7" t="str">
        <f>IFERROR(__xludf.DUMMYFUNCTION("""COMPUTED_VALUE"""),"Corruption: Tax officials")</f>
        <v>Corruption: Tax officials</v>
      </c>
      <c r="F844" s="7" t="str">
        <f>IFERROR(__xludf.DUMMYFUNCTION("""COMPUTED_VALUE"""),"Federal Inland Revenue Service or FIRS")</f>
        <v>Federal Inland Revenue Service or FIRS</v>
      </c>
    </row>
    <row r="845">
      <c r="A845" s="7" t="str">
        <f>IFERROR(__xludf.DUMMYFUNCTION("""COMPUTED_VALUE"""),"SAO TOME AND PRINCIPE")</f>
        <v>SAO TOME AND PRINCIPE</v>
      </c>
      <c r="B845" s="8">
        <f>IFERROR(__xludf.DUMMYFUNCTION("""COMPUTED_VALUE"""),10.0)</f>
        <v>10</v>
      </c>
      <c r="C845" s="7" t="str">
        <f>IFERROR(__xludf.DUMMYFUNCTION("""COMPUTED_VALUE"""),"G_21")</f>
        <v>G_21</v>
      </c>
      <c r="D845" s="7" t="str">
        <f>IFERROR(__xludf.DUMMYFUNCTION("""COMPUTED_VALUE"""),"Q38g. ")</f>
        <v>Q38g. </v>
      </c>
      <c r="E845" s="7" t="str">
        <f>IFERROR(__xludf.DUMMYFUNCTION("""COMPUTED_VALUE"""),"Corruption: Tax officials")</f>
        <v>Corruption: Tax officials</v>
      </c>
      <c r="F845" s="7" t="str">
        <f>IFERROR(__xludf.DUMMYFUNCTION("""COMPUTED_VALUE"""),"Revenue Authority of Sao Tome e Principe ")</f>
        <v>Revenue Authority of Sao Tome e Principe </v>
      </c>
    </row>
    <row r="846">
      <c r="A846" s="7" t="str">
        <f>IFERROR(__xludf.DUMMYFUNCTION("""COMPUTED_VALUE"""),"SENEGAL")</f>
        <v>SENEGAL</v>
      </c>
      <c r="B846" s="8">
        <f>IFERROR(__xludf.DUMMYFUNCTION("""COMPUTED_VALUE"""),10.0)</f>
        <v>10</v>
      </c>
      <c r="C846" s="7" t="str">
        <f>IFERROR(__xludf.DUMMYFUNCTION("""COMPUTED_VALUE"""),"G_21")</f>
        <v>G_21</v>
      </c>
      <c r="D846" s="7" t="str">
        <f>IFERROR(__xludf.DUMMYFUNCTION("""COMPUTED_VALUE"""),"Q38g. ")</f>
        <v>Q38g. </v>
      </c>
      <c r="E846" s="7" t="str">
        <f>IFERROR(__xludf.DUMMYFUNCTION("""COMPUTED_VALUE"""),"Corruption: Tax officials")</f>
        <v>Corruption: Tax officials</v>
      </c>
      <c r="F846" s="7" t="str">
        <f>IFERROR(__xludf.DUMMYFUNCTION("""COMPUTED_VALUE"""),"General Directorate of Taxes")</f>
        <v>General Directorate of Taxes</v>
      </c>
    </row>
    <row r="847">
      <c r="A847" s="7" t="str">
        <f>IFERROR(__xludf.DUMMYFUNCTION("""COMPUTED_VALUE"""),"SEYCHELLES")</f>
        <v>SEYCHELLES</v>
      </c>
      <c r="B847" s="8">
        <f>IFERROR(__xludf.DUMMYFUNCTION("""COMPUTED_VALUE"""),10.0)</f>
        <v>10</v>
      </c>
      <c r="C847" s="7" t="str">
        <f>IFERROR(__xludf.DUMMYFUNCTION("""COMPUTED_VALUE"""),"G_21")</f>
        <v>G_21</v>
      </c>
      <c r="D847" s="7" t="str">
        <f>IFERROR(__xludf.DUMMYFUNCTION("""COMPUTED_VALUE"""),"Q38g. ")</f>
        <v>Q38g. </v>
      </c>
      <c r="E847" s="7" t="str">
        <f>IFERROR(__xludf.DUMMYFUNCTION("""COMPUTED_VALUE"""),"Corruption: Tax officials")</f>
        <v>Corruption: Tax officials</v>
      </c>
      <c r="F847" s="7" t="str">
        <f>IFERROR(__xludf.DUMMYFUNCTION("""COMPUTED_VALUE"""),"Seychelles Revenue Commission or SRC")</f>
        <v>Seychelles Revenue Commission or SRC</v>
      </c>
    </row>
    <row r="848">
      <c r="A848" s="7" t="str">
        <f>IFERROR(__xludf.DUMMYFUNCTION("""COMPUTED_VALUE"""),"SOUTH AFRICA")</f>
        <v>SOUTH AFRICA</v>
      </c>
      <c r="B848" s="8">
        <f>IFERROR(__xludf.DUMMYFUNCTION("""COMPUTED_VALUE"""),10.0)</f>
        <v>10</v>
      </c>
      <c r="C848" s="7" t="str">
        <f>IFERROR(__xludf.DUMMYFUNCTION("""COMPUTED_VALUE"""),"G_21")</f>
        <v>G_21</v>
      </c>
      <c r="D848" s="7" t="str">
        <f>IFERROR(__xludf.DUMMYFUNCTION("""COMPUTED_VALUE"""),"Q38g. ")</f>
        <v>Q38g. </v>
      </c>
      <c r="E848" s="7" t="str">
        <f>IFERROR(__xludf.DUMMYFUNCTION("""COMPUTED_VALUE"""),"Corruption: Tax officials")</f>
        <v>Corruption: Tax officials</v>
      </c>
      <c r="F848" s="7" t="str">
        <f>IFERROR(__xludf.DUMMYFUNCTION("""COMPUTED_VALUE"""),"South African Revenue Service or SARS ")</f>
        <v>South African Revenue Service or SARS </v>
      </c>
    </row>
    <row r="849">
      <c r="A849" s="7" t="str">
        <f>IFERROR(__xludf.DUMMYFUNCTION("""COMPUTED_VALUE"""),"TANZANIA")</f>
        <v>TANZANIA</v>
      </c>
      <c r="B849" s="8">
        <f>IFERROR(__xludf.DUMMYFUNCTION("""COMPUTED_VALUE"""),10.0)</f>
        <v>10</v>
      </c>
      <c r="C849" s="7" t="str">
        <f>IFERROR(__xludf.DUMMYFUNCTION("""COMPUTED_VALUE"""),"G_21")</f>
        <v>G_21</v>
      </c>
      <c r="D849" s="7" t="str">
        <f>IFERROR(__xludf.DUMMYFUNCTION("""COMPUTED_VALUE"""),"Q38g. ")</f>
        <v>Q38g. </v>
      </c>
      <c r="E849" s="7" t="str">
        <f>IFERROR(__xludf.DUMMYFUNCTION("""COMPUTED_VALUE"""),"Corruption: Tax officials")</f>
        <v>Corruption: Tax officials</v>
      </c>
      <c r="F849" s="7" t="str">
        <f>IFERROR(__xludf.DUMMYFUNCTION("""COMPUTED_VALUE"""),"Tanzania Revenue Authority or TRA")</f>
        <v>Tanzania Revenue Authority or TRA</v>
      </c>
    </row>
    <row r="850">
      <c r="A850" s="7" t="str">
        <f>IFERROR(__xludf.DUMMYFUNCTION("""COMPUTED_VALUE"""),"TOGO ")</f>
        <v>TOGO </v>
      </c>
      <c r="B850" s="8">
        <f>IFERROR(__xludf.DUMMYFUNCTION("""COMPUTED_VALUE"""),10.0)</f>
        <v>10</v>
      </c>
      <c r="C850" s="7" t="str">
        <f>IFERROR(__xludf.DUMMYFUNCTION("""COMPUTED_VALUE"""),"G_21")</f>
        <v>G_21</v>
      </c>
      <c r="D850" s="7" t="str">
        <f>IFERROR(__xludf.DUMMYFUNCTION("""COMPUTED_VALUE"""),"Q38g. ")</f>
        <v>Q38g. </v>
      </c>
      <c r="E850" s="7" t="str">
        <f>IFERROR(__xludf.DUMMYFUNCTION("""COMPUTED_VALUE"""),"Corruption: Tax officials")</f>
        <v>Corruption: Tax officials</v>
      </c>
      <c r="F850" s="7" t="str">
        <f>IFERROR(__xludf.DUMMYFUNCTION("""COMPUTED_VALUE"""),"Togolese Revenue Office (OTR)")</f>
        <v>Togolese Revenue Office (OTR)</v>
      </c>
    </row>
    <row r="851">
      <c r="A851" s="7" t="str">
        <f>IFERROR(__xludf.DUMMYFUNCTION("""COMPUTED_VALUE"""),"TUNISIA ")</f>
        <v>TUNISIA </v>
      </c>
      <c r="B851" s="8">
        <f>IFERROR(__xludf.DUMMYFUNCTION("""COMPUTED_VALUE"""),10.0)</f>
        <v>10</v>
      </c>
      <c r="C851" s="7" t="str">
        <f>IFERROR(__xludf.DUMMYFUNCTION("""COMPUTED_VALUE"""),"G_21")</f>
        <v>G_21</v>
      </c>
      <c r="D851" s="7" t="str">
        <f>IFERROR(__xludf.DUMMYFUNCTION("""COMPUTED_VALUE"""),"Q38g. ")</f>
        <v>Q38g. </v>
      </c>
      <c r="E851" s="7" t="str">
        <f>IFERROR(__xludf.DUMMYFUNCTION("""COMPUTED_VALUE"""),"Corruption: Tax officials")</f>
        <v>Corruption: Tax officials</v>
      </c>
      <c r="F851" s="7" t="str">
        <f>IFERROR(__xludf.DUMMYFUNCTION("""COMPUTED_VALUE"""),"Ministry of Finance -Tax Administration")</f>
        <v>Ministry of Finance -Tax Administration</v>
      </c>
    </row>
    <row r="852">
      <c r="A852" s="7" t="str">
        <f>IFERROR(__xludf.DUMMYFUNCTION("""COMPUTED_VALUE"""),"UGANDA  ")</f>
        <v>UGANDA  </v>
      </c>
      <c r="B852" s="8">
        <f>IFERROR(__xludf.DUMMYFUNCTION("""COMPUTED_VALUE"""),10.0)</f>
        <v>10</v>
      </c>
      <c r="C852" s="7" t="str">
        <f>IFERROR(__xludf.DUMMYFUNCTION("""COMPUTED_VALUE"""),"G_21")</f>
        <v>G_21</v>
      </c>
      <c r="D852" s="7" t="str">
        <f>IFERROR(__xludf.DUMMYFUNCTION("""COMPUTED_VALUE"""),"Q38g. ")</f>
        <v>Q38g. </v>
      </c>
      <c r="E852" s="7" t="str">
        <f>IFERROR(__xludf.DUMMYFUNCTION("""COMPUTED_VALUE"""),"Corruption: Tax officials")</f>
        <v>Corruption: Tax officials</v>
      </c>
      <c r="F852" s="7" t="str">
        <f>IFERROR(__xludf.DUMMYFUNCTION("""COMPUTED_VALUE"""),"Uganda Revenue Authority or URA ")</f>
        <v>Uganda Revenue Authority or URA </v>
      </c>
    </row>
    <row r="853">
      <c r="A853" s="7" t="str">
        <f>IFERROR(__xludf.DUMMYFUNCTION("""COMPUTED_VALUE"""),"ZAMBIA")</f>
        <v>ZAMBIA</v>
      </c>
      <c r="B853" s="8">
        <f>IFERROR(__xludf.DUMMYFUNCTION("""COMPUTED_VALUE"""),10.0)</f>
        <v>10</v>
      </c>
      <c r="C853" s="7" t="str">
        <f>IFERROR(__xludf.DUMMYFUNCTION("""COMPUTED_VALUE"""),"G_21")</f>
        <v>G_21</v>
      </c>
      <c r="D853" s="7" t="str">
        <f>IFERROR(__xludf.DUMMYFUNCTION("""COMPUTED_VALUE"""),"Q38g. ")</f>
        <v>Q38g. </v>
      </c>
      <c r="E853" s="7" t="str">
        <f>IFERROR(__xludf.DUMMYFUNCTION("""COMPUTED_VALUE"""),"Corruption: Tax officials")</f>
        <v>Corruption: Tax officials</v>
      </c>
      <c r="F853" s="7" t="str">
        <f>IFERROR(__xludf.DUMMYFUNCTION("""COMPUTED_VALUE"""),"Zambia Revenue Authority or ZRA")</f>
        <v>Zambia Revenue Authority or ZRA</v>
      </c>
    </row>
    <row r="854">
      <c r="A854" s="7" t="str">
        <f>IFERROR(__xludf.DUMMYFUNCTION("""COMPUTED_VALUE"""),"ZIMBABWE")</f>
        <v>ZIMBABWE</v>
      </c>
      <c r="B854" s="8">
        <f>IFERROR(__xludf.DUMMYFUNCTION("""COMPUTED_VALUE"""),10.0)</f>
        <v>10</v>
      </c>
      <c r="C854" s="7" t="str">
        <f>IFERROR(__xludf.DUMMYFUNCTION("""COMPUTED_VALUE"""),"G_21")</f>
        <v>G_21</v>
      </c>
      <c r="D854" s="7" t="str">
        <f>IFERROR(__xludf.DUMMYFUNCTION("""COMPUTED_VALUE"""),"Q38g. ")</f>
        <v>Q38g. </v>
      </c>
      <c r="E854" s="7" t="str">
        <f>IFERROR(__xludf.DUMMYFUNCTION("""COMPUTED_VALUE"""),"Corruption: Tax officials")</f>
        <v>Corruption: Tax officials</v>
      </c>
      <c r="F854" s="7" t="str">
        <f>IFERROR(__xludf.DUMMYFUNCTION("""COMPUTED_VALUE"""),"Zimbabwe Revenue Authority or ZIMRA")</f>
        <v>Zimbabwe Revenue Authority or ZIMRA</v>
      </c>
    </row>
    <row r="855">
      <c r="A855" s="7" t="str">
        <f>IFERROR(__xludf.DUMMYFUNCTION("""COMPUTED_VALUE"""),"ANGOLA ")</f>
        <v>ANGOLA </v>
      </c>
      <c r="B855" s="8">
        <f>IFERROR(__xludf.DUMMYFUNCTION("""COMPUTED_VALUE"""),10.0)</f>
        <v>10</v>
      </c>
      <c r="C855" s="7" t="str">
        <f>IFERROR(__xludf.DUMMYFUNCTION("""COMPUTED_VALUE"""),"B_01_07")</f>
        <v>B_01_07</v>
      </c>
      <c r="D855" s="7" t="str">
        <f>IFERROR(__xludf.DUMMYFUNCTION("""COMPUTED_VALUE"""),"Q48a. ")</f>
        <v>Q48a. </v>
      </c>
      <c r="E855" s="7" t="str">
        <f>IFERROR(__xludf.DUMMYFUNCTION("""COMPUTED_VALUE"""),"Performance: President")</f>
        <v>Performance: President</v>
      </c>
      <c r="F855" s="7" t="str">
        <f>IFERROR(__xludf.DUMMYFUNCTION("""COMPUTED_VALUE"""),"President João Lourenço")</f>
        <v>President João Lourenço</v>
      </c>
    </row>
    <row r="856">
      <c r="A856" s="7" t="str">
        <f>IFERROR(__xludf.DUMMYFUNCTION("""COMPUTED_VALUE"""),"BENIN")</f>
        <v>BENIN</v>
      </c>
      <c r="B856" s="8">
        <f>IFERROR(__xludf.DUMMYFUNCTION("""COMPUTED_VALUE"""),10.0)</f>
        <v>10</v>
      </c>
      <c r="C856" s="7" t="str">
        <f>IFERROR(__xludf.DUMMYFUNCTION("""COMPUTED_VALUE"""),"B_01_07")</f>
        <v>B_01_07</v>
      </c>
      <c r="D856" s="7" t="str">
        <f>IFERROR(__xludf.DUMMYFUNCTION("""COMPUTED_VALUE"""),"Q48a. ")</f>
        <v>Q48a. </v>
      </c>
      <c r="E856" s="7" t="str">
        <f>IFERROR(__xludf.DUMMYFUNCTION("""COMPUTED_VALUE"""),"Performance: President")</f>
        <v>Performance: President</v>
      </c>
      <c r="F856" s="7" t="str">
        <f>IFERROR(__xludf.DUMMYFUNCTION("""COMPUTED_VALUE"""),"President Patrice Athanase Guillaume Talon")</f>
        <v>President Patrice Athanase Guillaume Talon</v>
      </c>
    </row>
    <row r="857">
      <c r="A857" s="7" t="str">
        <f>IFERROR(__xludf.DUMMYFUNCTION("""COMPUTED_VALUE"""),"BOTSWANA ")</f>
        <v>BOTSWANA </v>
      </c>
      <c r="B857" s="8">
        <f>IFERROR(__xludf.DUMMYFUNCTION("""COMPUTED_VALUE"""),10.0)</f>
        <v>10</v>
      </c>
      <c r="C857" s="7" t="str">
        <f>IFERROR(__xludf.DUMMYFUNCTION("""COMPUTED_VALUE"""),"B_01_07")</f>
        <v>B_01_07</v>
      </c>
      <c r="D857" s="7" t="str">
        <f>IFERROR(__xludf.DUMMYFUNCTION("""COMPUTED_VALUE"""),"Q48a. ")</f>
        <v>Q48a. </v>
      </c>
      <c r="E857" s="7" t="str">
        <f>IFERROR(__xludf.DUMMYFUNCTION("""COMPUTED_VALUE"""),"Performance: President")</f>
        <v>Performance: President</v>
      </c>
      <c r="F857" s="7" t="str">
        <f>IFERROR(__xludf.DUMMYFUNCTION("""COMPUTED_VALUE"""),"President Mokgweetsi Eric Keabetswe Masisi
")</f>
        <v>President Mokgweetsi Eric Keabetswe Masisi
</v>
      </c>
    </row>
    <row r="858">
      <c r="A858" s="7" t="str">
        <f>IFERROR(__xludf.DUMMYFUNCTION("""COMPUTED_VALUE"""),"CABO VERDE ")</f>
        <v>CABO VERDE </v>
      </c>
      <c r="B858" s="8">
        <f>IFERROR(__xludf.DUMMYFUNCTION("""COMPUTED_VALUE"""),10.0)</f>
        <v>10</v>
      </c>
      <c r="C858" s="7" t="str">
        <f>IFERROR(__xludf.DUMMYFUNCTION("""COMPUTED_VALUE"""),"B_01_07")</f>
        <v>B_01_07</v>
      </c>
      <c r="D858" s="7" t="str">
        <f>IFERROR(__xludf.DUMMYFUNCTION("""COMPUTED_VALUE"""),"Q48a. ")</f>
        <v>Q48a. </v>
      </c>
      <c r="E858" s="7" t="str">
        <f>IFERROR(__xludf.DUMMYFUNCTION("""COMPUTED_VALUE"""),"Performance: President")</f>
        <v>Performance: President</v>
      </c>
      <c r="F858" s="7" t="str">
        <f>IFERROR(__xludf.DUMMYFUNCTION("""COMPUTED_VALUE"""),"President José Maria Neves
")</f>
        <v>President José Maria Neves
</v>
      </c>
    </row>
    <row r="859">
      <c r="A859" s="7" t="str">
        <f>IFERROR(__xludf.DUMMYFUNCTION("""COMPUTED_VALUE"""),"CAMEROON")</f>
        <v>CAMEROON</v>
      </c>
      <c r="B859" s="8">
        <f>IFERROR(__xludf.DUMMYFUNCTION("""COMPUTED_VALUE"""),10.0)</f>
        <v>10</v>
      </c>
      <c r="C859" s="7" t="str">
        <f>IFERROR(__xludf.DUMMYFUNCTION("""COMPUTED_VALUE"""),"B_01_07")</f>
        <v>B_01_07</v>
      </c>
      <c r="D859" s="7" t="str">
        <f>IFERROR(__xludf.DUMMYFUNCTION("""COMPUTED_VALUE"""),"Q48a. ")</f>
        <v>Q48a. </v>
      </c>
      <c r="E859" s="7" t="str">
        <f>IFERROR(__xludf.DUMMYFUNCTION("""COMPUTED_VALUE"""),"Performance: President")</f>
        <v>Performance: President</v>
      </c>
      <c r="F859" s="7" t="str">
        <f>IFERROR(__xludf.DUMMYFUNCTION("""COMPUTED_VALUE"""),"President Paul BIYA")</f>
        <v>President Paul BIYA</v>
      </c>
    </row>
    <row r="860">
      <c r="A860" s="7" t="str">
        <f>IFERROR(__xludf.DUMMYFUNCTION("""COMPUTED_VALUE"""),"CHAD")</f>
        <v>CHAD</v>
      </c>
      <c r="B860" s="8">
        <f>IFERROR(__xludf.DUMMYFUNCTION("""COMPUTED_VALUE"""),10.0)</f>
        <v>10</v>
      </c>
      <c r="C860" s="7" t="str">
        <f>IFERROR(__xludf.DUMMYFUNCTION("""COMPUTED_VALUE"""),"B_01_07")</f>
        <v>B_01_07</v>
      </c>
      <c r="D860" s="7" t="str">
        <f>IFERROR(__xludf.DUMMYFUNCTION("""COMPUTED_VALUE"""),"Q48a. ")</f>
        <v>Q48a. </v>
      </c>
      <c r="E860" s="7" t="str">
        <f>IFERROR(__xludf.DUMMYFUNCTION("""COMPUTED_VALUE"""),"Performance: President")</f>
        <v>Performance: President</v>
      </c>
      <c r="F860" s="7" t="str">
        <f>IFERROR(__xludf.DUMMYFUNCTION("""COMPUTED_VALUE"""),"President Marshal Mahamat Idriss Déby Itno")</f>
        <v>President Marshal Mahamat Idriss Déby Itno</v>
      </c>
    </row>
    <row r="861">
      <c r="A861" s="7" t="str">
        <f>IFERROR(__xludf.DUMMYFUNCTION("""COMPUTED_VALUE"""),"COMOROS")</f>
        <v>COMOROS</v>
      </c>
      <c r="B861" s="8">
        <f>IFERROR(__xludf.DUMMYFUNCTION("""COMPUTED_VALUE"""),10.0)</f>
        <v>10</v>
      </c>
      <c r="C861" s="7" t="str">
        <f>IFERROR(__xludf.DUMMYFUNCTION("""COMPUTED_VALUE"""),"B_01_07")</f>
        <v>B_01_07</v>
      </c>
      <c r="D861" s="7" t="str">
        <f>IFERROR(__xludf.DUMMYFUNCTION("""COMPUTED_VALUE"""),"Q48a. ")</f>
        <v>Q48a. </v>
      </c>
      <c r="E861" s="7" t="str">
        <f>IFERROR(__xludf.DUMMYFUNCTION("""COMPUTED_VALUE"""),"Performance: President")</f>
        <v>Performance: President</v>
      </c>
      <c r="F861" s="7" t="str">
        <f>IFERROR(__xludf.DUMMYFUNCTION("""COMPUTED_VALUE"""),"President Azali Assoumani")</f>
        <v>President Azali Assoumani</v>
      </c>
    </row>
    <row r="862">
      <c r="A862" s="7" t="str">
        <f>IFERROR(__xludf.DUMMYFUNCTION("""COMPUTED_VALUE"""),"CONGO BRAZZAVILLE")</f>
        <v>CONGO BRAZZAVILLE</v>
      </c>
      <c r="B862" s="8">
        <f>IFERROR(__xludf.DUMMYFUNCTION("""COMPUTED_VALUE"""),10.0)</f>
        <v>10</v>
      </c>
      <c r="C862" s="7" t="str">
        <f>IFERROR(__xludf.DUMMYFUNCTION("""COMPUTED_VALUE"""),"B_01_07")</f>
        <v>B_01_07</v>
      </c>
      <c r="D862" s="7" t="str">
        <f>IFERROR(__xludf.DUMMYFUNCTION("""COMPUTED_VALUE"""),"Q48a. ")</f>
        <v>Q48a. </v>
      </c>
      <c r="E862" s="7" t="str">
        <f>IFERROR(__xludf.DUMMYFUNCTION("""COMPUTED_VALUE"""),"Performance: President")</f>
        <v>Performance: President</v>
      </c>
      <c r="F862" s="7" t="str">
        <f>IFERROR(__xludf.DUMMYFUNCTION("""COMPUTED_VALUE"""),"President Denis SASSOU NGUESSO")</f>
        <v>President Denis SASSOU NGUESSO</v>
      </c>
    </row>
    <row r="863">
      <c r="A863" s="7" t="str">
        <f>IFERROR(__xludf.DUMMYFUNCTION("""COMPUTED_VALUE"""),"COTE D'IVOIRE")</f>
        <v>COTE D'IVOIRE</v>
      </c>
      <c r="B863" s="8">
        <f>IFERROR(__xludf.DUMMYFUNCTION("""COMPUTED_VALUE"""),10.0)</f>
        <v>10</v>
      </c>
      <c r="C863" s="7" t="str">
        <f>IFERROR(__xludf.DUMMYFUNCTION("""COMPUTED_VALUE"""),"B_01_07")</f>
        <v>B_01_07</v>
      </c>
      <c r="D863" s="7" t="str">
        <f>IFERROR(__xludf.DUMMYFUNCTION("""COMPUTED_VALUE"""),"Q48a. ")</f>
        <v>Q48a. </v>
      </c>
      <c r="E863" s="7" t="str">
        <f>IFERROR(__xludf.DUMMYFUNCTION("""COMPUTED_VALUE"""),"Performance: President")</f>
        <v>Performance: President</v>
      </c>
      <c r="F863" s="7" t="str">
        <f>IFERROR(__xludf.DUMMYFUNCTION("""COMPUTED_VALUE"""),"President Alassane OUATTARA")</f>
        <v>President Alassane OUATTARA</v>
      </c>
    </row>
    <row r="864">
      <c r="A864" s="7" t="str">
        <f>IFERROR(__xludf.DUMMYFUNCTION("""COMPUTED_VALUE"""),"ESWATINI")</f>
        <v>ESWATINI</v>
      </c>
      <c r="B864" s="8">
        <f>IFERROR(__xludf.DUMMYFUNCTION("""COMPUTED_VALUE"""),10.0)</f>
        <v>10</v>
      </c>
      <c r="C864" s="7" t="str">
        <f>IFERROR(__xludf.DUMMYFUNCTION("""COMPUTED_VALUE"""),"B_01_07")</f>
        <v>B_01_07</v>
      </c>
      <c r="D864" s="7" t="str">
        <f>IFERROR(__xludf.DUMMYFUNCTION("""COMPUTED_VALUE"""),"Q48a. ")</f>
        <v>Q48a. </v>
      </c>
      <c r="E864" s="7" t="str">
        <f>IFERROR(__xludf.DUMMYFUNCTION("""COMPUTED_VALUE"""),"Performance: President")</f>
        <v>Performance: President</v>
      </c>
      <c r="F864" s="7" t="str">
        <f>IFERROR(__xludf.DUMMYFUNCTION("""COMPUTED_VALUE"""),"Prime Minister Russel Dlamini")</f>
        <v>Prime Minister Russel Dlamini</v>
      </c>
    </row>
    <row r="865">
      <c r="A865" s="7" t="str">
        <f>IFERROR(__xludf.DUMMYFUNCTION("""COMPUTED_VALUE"""),"GABON")</f>
        <v>GABON</v>
      </c>
      <c r="B865" s="8">
        <f>IFERROR(__xludf.DUMMYFUNCTION("""COMPUTED_VALUE"""),10.0)</f>
        <v>10</v>
      </c>
      <c r="C865" s="7" t="str">
        <f>IFERROR(__xludf.DUMMYFUNCTION("""COMPUTED_VALUE"""),"B_01_07")</f>
        <v>B_01_07</v>
      </c>
      <c r="D865" s="7" t="str">
        <f>IFERROR(__xludf.DUMMYFUNCTION("""COMPUTED_VALUE"""),"Q48a. ")</f>
        <v>Q48a. </v>
      </c>
      <c r="E865" s="7" t="str">
        <f>IFERROR(__xludf.DUMMYFUNCTION("""COMPUTED_VALUE"""),"Performance: President")</f>
        <v>Performance: President</v>
      </c>
      <c r="F865" s="7" t="str">
        <f>IFERROR(__xludf.DUMMYFUNCTION("""COMPUTED_VALUE"""),"President Brice Clotaire Oligui Nguema")</f>
        <v>President Brice Clotaire Oligui Nguema</v>
      </c>
    </row>
    <row r="866">
      <c r="A866" s="7" t="str">
        <f>IFERROR(__xludf.DUMMYFUNCTION("""COMPUTED_VALUE"""),"GAMBIA")</f>
        <v>GAMBIA</v>
      </c>
      <c r="B866" s="8">
        <f>IFERROR(__xludf.DUMMYFUNCTION("""COMPUTED_VALUE"""),10.0)</f>
        <v>10</v>
      </c>
      <c r="C866" s="7" t="str">
        <f>IFERROR(__xludf.DUMMYFUNCTION("""COMPUTED_VALUE"""),"B_01_07")</f>
        <v>B_01_07</v>
      </c>
      <c r="D866" s="7" t="str">
        <f>IFERROR(__xludf.DUMMYFUNCTION("""COMPUTED_VALUE"""),"Q48a. ")</f>
        <v>Q48a. </v>
      </c>
      <c r="E866" s="7" t="str">
        <f>IFERROR(__xludf.DUMMYFUNCTION("""COMPUTED_VALUE"""),"Performance: President")</f>
        <v>Performance: President</v>
      </c>
      <c r="F866" s="7" t="str">
        <f>IFERROR(__xludf.DUMMYFUNCTION("""COMPUTED_VALUE"""),"President Adama Barrow")</f>
        <v>President Adama Barrow</v>
      </c>
    </row>
    <row r="867">
      <c r="A867" s="7" t="str">
        <f>IFERROR(__xludf.DUMMYFUNCTION("""COMPUTED_VALUE"""),"GHANA ")</f>
        <v>GHANA </v>
      </c>
      <c r="B867" s="8">
        <f>IFERROR(__xludf.DUMMYFUNCTION("""COMPUTED_VALUE"""),10.0)</f>
        <v>10</v>
      </c>
      <c r="C867" s="7" t="str">
        <f>IFERROR(__xludf.DUMMYFUNCTION("""COMPUTED_VALUE"""),"B_01_07")</f>
        <v>B_01_07</v>
      </c>
      <c r="D867" s="7" t="str">
        <f>IFERROR(__xludf.DUMMYFUNCTION("""COMPUTED_VALUE"""),"Q48a. ")</f>
        <v>Q48a. </v>
      </c>
      <c r="E867" s="7" t="str">
        <f>IFERROR(__xludf.DUMMYFUNCTION("""COMPUTED_VALUE"""),"Performance: President")</f>
        <v>Performance: President</v>
      </c>
      <c r="F867" s="7" t="str">
        <f>IFERROR(__xludf.DUMMYFUNCTION("""COMPUTED_VALUE"""),"President Nana Addo Dankwa Akuffo-Addo")</f>
        <v>President Nana Addo Dankwa Akuffo-Addo</v>
      </c>
    </row>
    <row r="868">
      <c r="A868" s="7" t="str">
        <f>IFERROR(__xludf.DUMMYFUNCTION("""COMPUTED_VALUE"""),"GUINEA")</f>
        <v>GUINEA</v>
      </c>
      <c r="B868" s="8">
        <f>IFERROR(__xludf.DUMMYFUNCTION("""COMPUTED_VALUE"""),10.0)</f>
        <v>10</v>
      </c>
      <c r="C868" s="7" t="str">
        <f>IFERROR(__xludf.DUMMYFUNCTION("""COMPUTED_VALUE"""),"B_01_07")</f>
        <v>B_01_07</v>
      </c>
      <c r="D868" s="7" t="str">
        <f>IFERROR(__xludf.DUMMYFUNCTION("""COMPUTED_VALUE"""),"Q48a. ")</f>
        <v>Q48a. </v>
      </c>
      <c r="E868" s="7" t="str">
        <f>IFERROR(__xludf.DUMMYFUNCTION("""COMPUTED_VALUE"""),"Performance: President")</f>
        <v>Performance: President</v>
      </c>
      <c r="F868" s="7" t="str">
        <f>IFERROR(__xludf.DUMMYFUNCTION("""COMPUTED_VALUE"""),"President Mamadi DOUMBOUYA")</f>
        <v>President Mamadi DOUMBOUYA</v>
      </c>
    </row>
    <row r="869">
      <c r="A869" s="7" t="str">
        <f>IFERROR(__xludf.DUMMYFUNCTION("""COMPUTED_VALUE"""),"KENYA  ")</f>
        <v>KENYA  </v>
      </c>
      <c r="B869" s="8">
        <f>IFERROR(__xludf.DUMMYFUNCTION("""COMPUTED_VALUE"""),10.0)</f>
        <v>10</v>
      </c>
      <c r="C869" s="7" t="str">
        <f>IFERROR(__xludf.DUMMYFUNCTION("""COMPUTED_VALUE"""),"B_01_07")</f>
        <v>B_01_07</v>
      </c>
      <c r="D869" s="7" t="str">
        <f>IFERROR(__xludf.DUMMYFUNCTION("""COMPUTED_VALUE"""),"Q48a. ")</f>
        <v>Q48a. </v>
      </c>
      <c r="E869" s="7" t="str">
        <f>IFERROR(__xludf.DUMMYFUNCTION("""COMPUTED_VALUE"""),"Performance: President")</f>
        <v>Performance: President</v>
      </c>
      <c r="F869" s="7" t="str">
        <f>IFERROR(__xludf.DUMMYFUNCTION("""COMPUTED_VALUE"""),"President William Ruto")</f>
        <v>President William Ruto</v>
      </c>
    </row>
    <row r="870">
      <c r="A870" s="7" t="str">
        <f>IFERROR(__xludf.DUMMYFUNCTION("""COMPUTED_VALUE"""),"LESOTHO ")</f>
        <v>LESOTHO </v>
      </c>
      <c r="B870" s="8">
        <f>IFERROR(__xludf.DUMMYFUNCTION("""COMPUTED_VALUE"""),10.0)</f>
        <v>10</v>
      </c>
      <c r="C870" s="7" t="str">
        <f>IFERROR(__xludf.DUMMYFUNCTION("""COMPUTED_VALUE"""),"B_01_07")</f>
        <v>B_01_07</v>
      </c>
      <c r="D870" s="7" t="str">
        <f>IFERROR(__xludf.DUMMYFUNCTION("""COMPUTED_VALUE"""),"Q48a. ")</f>
        <v>Q48a. </v>
      </c>
      <c r="E870" s="7" t="str">
        <f>IFERROR(__xludf.DUMMYFUNCTION("""COMPUTED_VALUE"""),"Performance: President")</f>
        <v>Performance: President</v>
      </c>
      <c r="F870" s="7" t="str">
        <f>IFERROR(__xludf.DUMMYFUNCTION("""COMPUTED_VALUE"""),"Prime Minister Ntsokoane Matekane")</f>
        <v>Prime Minister Ntsokoane Matekane</v>
      </c>
    </row>
    <row r="871">
      <c r="A871" s="7" t="str">
        <f>IFERROR(__xludf.DUMMYFUNCTION("""COMPUTED_VALUE"""),"LIBERIA  ")</f>
        <v>LIBERIA  </v>
      </c>
      <c r="B871" s="8">
        <f>IFERROR(__xludf.DUMMYFUNCTION("""COMPUTED_VALUE"""),10.0)</f>
        <v>10</v>
      </c>
      <c r="C871" s="7" t="str">
        <f>IFERROR(__xludf.DUMMYFUNCTION("""COMPUTED_VALUE"""),"B_01_07")</f>
        <v>B_01_07</v>
      </c>
      <c r="D871" s="7" t="str">
        <f>IFERROR(__xludf.DUMMYFUNCTION("""COMPUTED_VALUE"""),"Q48a. ")</f>
        <v>Q48a. </v>
      </c>
      <c r="E871" s="7" t="str">
        <f>IFERROR(__xludf.DUMMYFUNCTION("""COMPUTED_VALUE"""),"Performance: President")</f>
        <v>Performance: President</v>
      </c>
      <c r="F871" s="7" t="str">
        <f>IFERROR(__xludf.DUMMYFUNCTION("""COMPUTED_VALUE"""),"President Joseph Bokai")</f>
        <v>President Joseph Bokai</v>
      </c>
    </row>
    <row r="872">
      <c r="A872" s="7" t="str">
        <f>IFERROR(__xludf.DUMMYFUNCTION("""COMPUTED_VALUE"""),"MADAGASCAR")</f>
        <v>MADAGASCAR</v>
      </c>
      <c r="B872" s="8">
        <f>IFERROR(__xludf.DUMMYFUNCTION("""COMPUTED_VALUE"""),10.0)</f>
        <v>10</v>
      </c>
      <c r="C872" s="7" t="str">
        <f>IFERROR(__xludf.DUMMYFUNCTION("""COMPUTED_VALUE"""),"B_01_07")</f>
        <v>B_01_07</v>
      </c>
      <c r="D872" s="7" t="str">
        <f>IFERROR(__xludf.DUMMYFUNCTION("""COMPUTED_VALUE"""),"Q48a. ")</f>
        <v>Q48a. </v>
      </c>
      <c r="E872" s="7" t="str">
        <f>IFERROR(__xludf.DUMMYFUNCTION("""COMPUTED_VALUE"""),"Performance: President")</f>
        <v>Performance: President</v>
      </c>
      <c r="F872" s="7" t="str">
        <f>IFERROR(__xludf.DUMMYFUNCTION("""COMPUTED_VALUE"""),"President Andry Rajoelina")</f>
        <v>President Andry Rajoelina</v>
      </c>
    </row>
    <row r="873">
      <c r="A873" s="7" t="str">
        <f>IFERROR(__xludf.DUMMYFUNCTION("""COMPUTED_VALUE"""),"MALAWI ")</f>
        <v>MALAWI </v>
      </c>
      <c r="B873" s="8">
        <f>IFERROR(__xludf.DUMMYFUNCTION("""COMPUTED_VALUE"""),10.0)</f>
        <v>10</v>
      </c>
      <c r="C873" s="7" t="str">
        <f>IFERROR(__xludf.DUMMYFUNCTION("""COMPUTED_VALUE"""),"B_01_07")</f>
        <v>B_01_07</v>
      </c>
      <c r="D873" s="7" t="str">
        <f>IFERROR(__xludf.DUMMYFUNCTION("""COMPUTED_VALUE"""),"Q48a. ")</f>
        <v>Q48a. </v>
      </c>
      <c r="E873" s="7" t="str">
        <f>IFERROR(__xludf.DUMMYFUNCTION("""COMPUTED_VALUE"""),"Performance: President")</f>
        <v>Performance: President</v>
      </c>
      <c r="F873" s="7" t="str">
        <f>IFERROR(__xludf.DUMMYFUNCTION("""COMPUTED_VALUE"""),"President Lazarus Chakwera")</f>
        <v>President Lazarus Chakwera</v>
      </c>
    </row>
    <row r="874">
      <c r="A874" s="7" t="str">
        <f>IFERROR(__xludf.DUMMYFUNCTION("""COMPUTED_VALUE"""),"MALI")</f>
        <v>MALI</v>
      </c>
      <c r="B874" s="8">
        <f>IFERROR(__xludf.DUMMYFUNCTION("""COMPUTED_VALUE"""),10.0)</f>
        <v>10</v>
      </c>
      <c r="C874" s="7" t="str">
        <f>IFERROR(__xludf.DUMMYFUNCTION("""COMPUTED_VALUE"""),"B_01_07")</f>
        <v>B_01_07</v>
      </c>
      <c r="D874" s="7" t="str">
        <f>IFERROR(__xludf.DUMMYFUNCTION("""COMPUTED_VALUE"""),"Q48a. ")</f>
        <v>Q48a. </v>
      </c>
      <c r="E874" s="7" t="str">
        <f>IFERROR(__xludf.DUMMYFUNCTION("""COMPUTED_VALUE"""),"Performance: President")</f>
        <v>Performance: President</v>
      </c>
      <c r="F874" s="7" t="str">
        <f>IFERROR(__xludf.DUMMYFUNCTION("""COMPUTED_VALUE"""),"General President of the Army, Assimi Goïta")</f>
        <v>General President of the Army, Assimi Goïta</v>
      </c>
    </row>
    <row r="875">
      <c r="A875" s="7" t="str">
        <f>IFERROR(__xludf.DUMMYFUNCTION("""COMPUTED_VALUE"""),"MAURITANIA")</f>
        <v>MAURITANIA</v>
      </c>
      <c r="B875" s="8">
        <f>IFERROR(__xludf.DUMMYFUNCTION("""COMPUTED_VALUE"""),10.0)</f>
        <v>10</v>
      </c>
      <c r="C875" s="7" t="str">
        <f>IFERROR(__xludf.DUMMYFUNCTION("""COMPUTED_VALUE"""),"B_01_07")</f>
        <v>B_01_07</v>
      </c>
      <c r="D875" s="7" t="str">
        <f>IFERROR(__xludf.DUMMYFUNCTION("""COMPUTED_VALUE"""),"Q48a. ")</f>
        <v>Q48a. </v>
      </c>
      <c r="E875" s="7" t="str">
        <f>IFERROR(__xludf.DUMMYFUNCTION("""COMPUTED_VALUE"""),"Performance: President")</f>
        <v>Performance: President</v>
      </c>
      <c r="F875" s="7" t="str">
        <f>IFERROR(__xludf.DUMMYFUNCTION("""COMPUTED_VALUE"""),"President Mohamed Ould Cheikh El Gazouani")</f>
        <v>President Mohamed Ould Cheikh El Gazouani</v>
      </c>
    </row>
    <row r="876">
      <c r="A876" s="7" t="str">
        <f>IFERROR(__xludf.DUMMYFUNCTION("""COMPUTED_VALUE"""),"MAURITIUS")</f>
        <v>MAURITIUS</v>
      </c>
      <c r="B876" s="8">
        <f>IFERROR(__xludf.DUMMYFUNCTION("""COMPUTED_VALUE"""),10.0)</f>
        <v>10</v>
      </c>
      <c r="C876" s="7" t="str">
        <f>IFERROR(__xludf.DUMMYFUNCTION("""COMPUTED_VALUE"""),"B_01_07")</f>
        <v>B_01_07</v>
      </c>
      <c r="D876" s="7" t="str">
        <f>IFERROR(__xludf.DUMMYFUNCTION("""COMPUTED_VALUE"""),"Q48a. ")</f>
        <v>Q48a. </v>
      </c>
      <c r="E876" s="7" t="str">
        <f>IFERROR(__xludf.DUMMYFUNCTION("""COMPUTED_VALUE"""),"Performance: President")</f>
        <v>Performance: President</v>
      </c>
      <c r="F876" s="7" t="str">
        <f>IFERROR(__xludf.DUMMYFUNCTION("""COMPUTED_VALUE"""),"Prime Minister Pravind Jugnauth
")</f>
        <v>Prime Minister Pravind Jugnauth
</v>
      </c>
    </row>
    <row r="877">
      <c r="A877" s="7" t="str">
        <f>IFERROR(__xludf.DUMMYFUNCTION("""COMPUTED_VALUE"""),"MOROCCO ")</f>
        <v>MOROCCO </v>
      </c>
      <c r="B877" s="8">
        <f>IFERROR(__xludf.DUMMYFUNCTION("""COMPUTED_VALUE"""),10.0)</f>
        <v>10</v>
      </c>
      <c r="C877" s="7" t="str">
        <f>IFERROR(__xludf.DUMMYFUNCTION("""COMPUTED_VALUE"""),"B_01_07")</f>
        <v>B_01_07</v>
      </c>
      <c r="D877" s="7" t="str">
        <f>IFERROR(__xludf.DUMMYFUNCTION("""COMPUTED_VALUE"""),"Q48a. ")</f>
        <v>Q48a. </v>
      </c>
      <c r="E877" s="7" t="str">
        <f>IFERROR(__xludf.DUMMYFUNCTION("""COMPUTED_VALUE"""),"Performance: President")</f>
        <v>Performance: President</v>
      </c>
      <c r="F877" s="7" t="str">
        <f>IFERROR(__xludf.DUMMYFUNCTION("""COMPUTED_VALUE"""),"President of the government Aziz Akhannouch
")</f>
        <v>President of the government Aziz Akhannouch
</v>
      </c>
    </row>
    <row r="878">
      <c r="A878" s="7" t="str">
        <f>IFERROR(__xludf.DUMMYFUNCTION("""COMPUTED_VALUE"""),"MOZAMBIQUE")</f>
        <v>MOZAMBIQUE</v>
      </c>
      <c r="B878" s="8">
        <f>IFERROR(__xludf.DUMMYFUNCTION("""COMPUTED_VALUE"""),10.0)</f>
        <v>10</v>
      </c>
      <c r="C878" s="7" t="str">
        <f>IFERROR(__xludf.DUMMYFUNCTION("""COMPUTED_VALUE"""),"B_01_07")</f>
        <v>B_01_07</v>
      </c>
      <c r="D878" s="7" t="str">
        <f>IFERROR(__xludf.DUMMYFUNCTION("""COMPUTED_VALUE"""),"Q48a. ")</f>
        <v>Q48a. </v>
      </c>
      <c r="E878" s="7" t="str">
        <f>IFERROR(__xludf.DUMMYFUNCTION("""COMPUTED_VALUE"""),"Performance: President")</f>
        <v>Performance: President</v>
      </c>
      <c r="F878" s="7" t="str">
        <f>IFERROR(__xludf.DUMMYFUNCTION("""COMPUTED_VALUE"""),"President Daniel Francisco Chapo
")</f>
        <v>President Daniel Francisco Chapo
</v>
      </c>
    </row>
    <row r="879">
      <c r="A879" s="7" t="str">
        <f>IFERROR(__xludf.DUMMYFUNCTION("""COMPUTED_VALUE"""),"NIGERIA ")</f>
        <v>NIGERIA </v>
      </c>
      <c r="B879" s="8">
        <f>IFERROR(__xludf.DUMMYFUNCTION("""COMPUTED_VALUE"""),10.0)</f>
        <v>10</v>
      </c>
      <c r="C879" s="7" t="str">
        <f>IFERROR(__xludf.DUMMYFUNCTION("""COMPUTED_VALUE"""),"B_01_07")</f>
        <v>B_01_07</v>
      </c>
      <c r="D879" s="7" t="str">
        <f>IFERROR(__xludf.DUMMYFUNCTION("""COMPUTED_VALUE"""),"Q48a. ")</f>
        <v>Q48a. </v>
      </c>
      <c r="E879" s="7" t="str">
        <f>IFERROR(__xludf.DUMMYFUNCTION("""COMPUTED_VALUE"""),"Performance: President")</f>
        <v>Performance: President</v>
      </c>
      <c r="F879" s="7" t="str">
        <f>IFERROR(__xludf.DUMMYFUNCTION("""COMPUTED_VALUE"""),"President Bola Ahmed Tinubu
")</f>
        <v>President Bola Ahmed Tinubu
</v>
      </c>
    </row>
    <row r="880">
      <c r="A880" s="7" t="str">
        <f>IFERROR(__xludf.DUMMYFUNCTION("""COMPUTED_VALUE"""),"SAO TOME AND PRINCIPE")</f>
        <v>SAO TOME AND PRINCIPE</v>
      </c>
      <c r="B880" s="8">
        <f>IFERROR(__xludf.DUMMYFUNCTION("""COMPUTED_VALUE"""),10.0)</f>
        <v>10</v>
      </c>
      <c r="C880" s="7" t="str">
        <f>IFERROR(__xludf.DUMMYFUNCTION("""COMPUTED_VALUE"""),"B_01_07")</f>
        <v>B_01_07</v>
      </c>
      <c r="D880" s="7" t="str">
        <f>IFERROR(__xludf.DUMMYFUNCTION("""COMPUTED_VALUE"""),"Q48a. ")</f>
        <v>Q48a. </v>
      </c>
      <c r="E880" s="7" t="str">
        <f>IFERROR(__xludf.DUMMYFUNCTION("""COMPUTED_VALUE"""),"Performance: President")</f>
        <v>Performance: President</v>
      </c>
      <c r="F880" s="7" t="str">
        <f>IFERROR(__xludf.DUMMYFUNCTION("""COMPUTED_VALUE"""),"President Carlos Vila Nova ")</f>
        <v>President Carlos Vila Nova </v>
      </c>
    </row>
    <row r="881">
      <c r="A881" s="7" t="str">
        <f>IFERROR(__xludf.DUMMYFUNCTION("""COMPUTED_VALUE"""),"SENEGAL")</f>
        <v>SENEGAL</v>
      </c>
      <c r="B881" s="8">
        <f>IFERROR(__xludf.DUMMYFUNCTION("""COMPUTED_VALUE"""),10.0)</f>
        <v>10</v>
      </c>
      <c r="C881" s="7" t="str">
        <f>IFERROR(__xludf.DUMMYFUNCTION("""COMPUTED_VALUE"""),"B_01_07")</f>
        <v>B_01_07</v>
      </c>
      <c r="D881" s="7" t="str">
        <f>IFERROR(__xludf.DUMMYFUNCTION("""COMPUTED_VALUE"""),"Q48a. ")</f>
        <v>Q48a. </v>
      </c>
      <c r="E881" s="7" t="str">
        <f>IFERROR(__xludf.DUMMYFUNCTION("""COMPUTED_VALUE"""),"Performance: President")</f>
        <v>Performance: President</v>
      </c>
      <c r="F881" s="7" t="str">
        <f>IFERROR(__xludf.DUMMYFUNCTION("""COMPUTED_VALUE"""),"President Bassirou Diomaye Faye")</f>
        <v>President Bassirou Diomaye Faye</v>
      </c>
    </row>
    <row r="882">
      <c r="A882" s="7" t="str">
        <f>IFERROR(__xludf.DUMMYFUNCTION("""COMPUTED_VALUE"""),"SEYCHELLES")</f>
        <v>SEYCHELLES</v>
      </c>
      <c r="B882" s="8">
        <f>IFERROR(__xludf.DUMMYFUNCTION("""COMPUTED_VALUE"""),10.0)</f>
        <v>10</v>
      </c>
      <c r="C882" s="7" t="str">
        <f>IFERROR(__xludf.DUMMYFUNCTION("""COMPUTED_VALUE"""),"B_01_07")</f>
        <v>B_01_07</v>
      </c>
      <c r="D882" s="7" t="str">
        <f>IFERROR(__xludf.DUMMYFUNCTION("""COMPUTED_VALUE"""),"Q48a. ")</f>
        <v>Q48a. </v>
      </c>
      <c r="E882" s="7" t="str">
        <f>IFERROR(__xludf.DUMMYFUNCTION("""COMPUTED_VALUE"""),"Performance: President")</f>
        <v>Performance: President</v>
      </c>
      <c r="F882" s="7" t="str">
        <f>IFERROR(__xludf.DUMMYFUNCTION("""COMPUTED_VALUE"""),"President Wavel Ramkalawan
")</f>
        <v>President Wavel Ramkalawan
</v>
      </c>
    </row>
    <row r="883">
      <c r="A883" s="7" t="str">
        <f>IFERROR(__xludf.DUMMYFUNCTION("""COMPUTED_VALUE"""),"SOUTH AFRICA")</f>
        <v>SOUTH AFRICA</v>
      </c>
      <c r="B883" s="8">
        <f>IFERROR(__xludf.DUMMYFUNCTION("""COMPUTED_VALUE"""),10.0)</f>
        <v>10</v>
      </c>
      <c r="C883" s="7" t="str">
        <f>IFERROR(__xludf.DUMMYFUNCTION("""COMPUTED_VALUE"""),"B_01_07")</f>
        <v>B_01_07</v>
      </c>
      <c r="D883" s="7" t="str">
        <f>IFERROR(__xludf.DUMMYFUNCTION("""COMPUTED_VALUE"""),"Q48a. ")</f>
        <v>Q48a. </v>
      </c>
      <c r="E883" s="7" t="str">
        <f>IFERROR(__xludf.DUMMYFUNCTION("""COMPUTED_VALUE"""),"Performance: President")</f>
        <v>Performance: President</v>
      </c>
      <c r="F883" s="7" t="str">
        <f>IFERROR(__xludf.DUMMYFUNCTION("""COMPUTED_VALUE"""),"President Cyril Ramaphosa
")</f>
        <v>President Cyril Ramaphosa
</v>
      </c>
    </row>
    <row r="884">
      <c r="A884" s="7" t="str">
        <f>IFERROR(__xludf.DUMMYFUNCTION("""COMPUTED_VALUE"""),"TANZANIA")</f>
        <v>TANZANIA</v>
      </c>
      <c r="B884" s="8">
        <f>IFERROR(__xludf.DUMMYFUNCTION("""COMPUTED_VALUE"""),10.0)</f>
        <v>10</v>
      </c>
      <c r="C884" s="7" t="str">
        <f>IFERROR(__xludf.DUMMYFUNCTION("""COMPUTED_VALUE"""),"B_01_07")</f>
        <v>B_01_07</v>
      </c>
      <c r="D884" s="7" t="str">
        <f>IFERROR(__xludf.DUMMYFUNCTION("""COMPUTED_VALUE"""),"Q48a. ")</f>
        <v>Q48a. </v>
      </c>
      <c r="E884" s="7" t="str">
        <f>IFERROR(__xludf.DUMMYFUNCTION("""COMPUTED_VALUE"""),"Performance: President")</f>
        <v>Performance: President</v>
      </c>
      <c r="F884" s="7" t="str">
        <f>IFERROR(__xludf.DUMMYFUNCTION("""COMPUTED_VALUE"""),"President Samia Suluhu Hassan
")</f>
        <v>President Samia Suluhu Hassan
</v>
      </c>
    </row>
    <row r="885">
      <c r="A885" s="7" t="str">
        <f>IFERROR(__xludf.DUMMYFUNCTION("""COMPUTED_VALUE"""),"TOGO ")</f>
        <v>TOGO </v>
      </c>
      <c r="B885" s="8">
        <f>IFERROR(__xludf.DUMMYFUNCTION("""COMPUTED_VALUE"""),10.0)</f>
        <v>10</v>
      </c>
      <c r="C885" s="7" t="str">
        <f>IFERROR(__xludf.DUMMYFUNCTION("""COMPUTED_VALUE"""),"B_01_07")</f>
        <v>B_01_07</v>
      </c>
      <c r="D885" s="7" t="str">
        <f>IFERROR(__xludf.DUMMYFUNCTION("""COMPUTED_VALUE"""),"Q48a. ")</f>
        <v>Q48a. </v>
      </c>
      <c r="E885" s="7" t="str">
        <f>IFERROR(__xludf.DUMMYFUNCTION("""COMPUTED_VALUE"""),"Performance: President")</f>
        <v>Performance: President</v>
      </c>
      <c r="F885" s="7" t="str">
        <f>IFERROR(__xludf.DUMMYFUNCTION("""COMPUTED_VALUE"""),"President Faure Essozimna Gnassingbe")</f>
        <v>President Faure Essozimna Gnassingbe</v>
      </c>
    </row>
    <row r="886">
      <c r="A886" s="7" t="str">
        <f>IFERROR(__xludf.DUMMYFUNCTION("""COMPUTED_VALUE"""),"TUNISIA ")</f>
        <v>TUNISIA </v>
      </c>
      <c r="B886" s="8">
        <f>IFERROR(__xludf.DUMMYFUNCTION("""COMPUTED_VALUE"""),10.0)</f>
        <v>10</v>
      </c>
      <c r="C886" s="7" t="str">
        <f>IFERROR(__xludf.DUMMYFUNCTION("""COMPUTED_VALUE"""),"B_01_07")</f>
        <v>B_01_07</v>
      </c>
      <c r="D886" s="7" t="str">
        <f>IFERROR(__xludf.DUMMYFUNCTION("""COMPUTED_VALUE"""),"Q48a. ")</f>
        <v>Q48a. </v>
      </c>
      <c r="E886" s="7" t="str">
        <f>IFERROR(__xludf.DUMMYFUNCTION("""COMPUTED_VALUE"""),"Performance: President")</f>
        <v>Performance: President</v>
      </c>
      <c r="F886" s="7" t="str">
        <f>IFERROR(__xludf.DUMMYFUNCTION("""COMPUTED_VALUE"""),"President Kais Saied 
")</f>
        <v>President Kais Saied 
</v>
      </c>
    </row>
    <row r="887">
      <c r="A887" s="7" t="str">
        <f>IFERROR(__xludf.DUMMYFUNCTION("""COMPUTED_VALUE"""),"UGANDA  ")</f>
        <v>UGANDA  </v>
      </c>
      <c r="B887" s="8">
        <f>IFERROR(__xludf.DUMMYFUNCTION("""COMPUTED_VALUE"""),10.0)</f>
        <v>10</v>
      </c>
      <c r="C887" s="7" t="str">
        <f>IFERROR(__xludf.DUMMYFUNCTION("""COMPUTED_VALUE"""),"B_01_07")</f>
        <v>B_01_07</v>
      </c>
      <c r="D887" s="7" t="str">
        <f>IFERROR(__xludf.DUMMYFUNCTION("""COMPUTED_VALUE"""),"Q48a. ")</f>
        <v>Q48a. </v>
      </c>
      <c r="E887" s="7" t="str">
        <f>IFERROR(__xludf.DUMMYFUNCTION("""COMPUTED_VALUE"""),"Performance: President")</f>
        <v>Performance: President</v>
      </c>
      <c r="F887" s="7" t="str">
        <f>IFERROR(__xludf.DUMMYFUNCTION("""COMPUTED_VALUE"""),"President Yoweri Kaguta Museveni
")</f>
        <v>President Yoweri Kaguta Museveni
</v>
      </c>
    </row>
    <row r="888">
      <c r="A888" s="7" t="str">
        <f>IFERROR(__xludf.DUMMYFUNCTION("""COMPUTED_VALUE"""),"ZAMBIA")</f>
        <v>ZAMBIA</v>
      </c>
      <c r="B888" s="8">
        <f>IFERROR(__xludf.DUMMYFUNCTION("""COMPUTED_VALUE"""),10.0)</f>
        <v>10</v>
      </c>
      <c r="C888" s="7" t="str">
        <f>IFERROR(__xludf.DUMMYFUNCTION("""COMPUTED_VALUE"""),"B_01_07")</f>
        <v>B_01_07</v>
      </c>
      <c r="D888" s="7" t="str">
        <f>IFERROR(__xludf.DUMMYFUNCTION("""COMPUTED_VALUE"""),"Q48a. ")</f>
        <v>Q48a. </v>
      </c>
      <c r="E888" s="7" t="str">
        <f>IFERROR(__xludf.DUMMYFUNCTION("""COMPUTED_VALUE"""),"Performance: President")</f>
        <v>Performance: President</v>
      </c>
      <c r="F888" s="7" t="str">
        <f>IFERROR(__xludf.DUMMYFUNCTION("""COMPUTED_VALUE"""),"President Hakainde Hichilema
")</f>
        <v>President Hakainde Hichilema
</v>
      </c>
    </row>
    <row r="889">
      <c r="A889" s="7" t="str">
        <f>IFERROR(__xludf.DUMMYFUNCTION("""COMPUTED_VALUE"""),"ZIMBABWE")</f>
        <v>ZIMBABWE</v>
      </c>
      <c r="B889" s="8">
        <f>IFERROR(__xludf.DUMMYFUNCTION("""COMPUTED_VALUE"""),10.0)</f>
        <v>10</v>
      </c>
      <c r="C889" s="7" t="str">
        <f>IFERROR(__xludf.DUMMYFUNCTION("""COMPUTED_VALUE"""),"B_01_07")</f>
        <v>B_01_07</v>
      </c>
      <c r="D889" s="7" t="str">
        <f>IFERROR(__xludf.DUMMYFUNCTION("""COMPUTED_VALUE"""),"Q48a. ")</f>
        <v>Q48a. </v>
      </c>
      <c r="E889" s="7" t="str">
        <f>IFERROR(__xludf.DUMMYFUNCTION("""COMPUTED_VALUE"""),"Performance: President")</f>
        <v>Performance: President</v>
      </c>
      <c r="F889" s="7" t="str">
        <f>IFERROR(__xludf.DUMMYFUNCTION("""COMPUTED_VALUE"""),"President Emmerson Mnangagwa
")</f>
        <v>President Emmerson Mnangagwa
</v>
      </c>
    </row>
    <row r="890">
      <c r="A890" s="7" t="str">
        <f>IFERROR(__xludf.DUMMYFUNCTION("""COMPUTED_VALUE"""),"ANGOLA ")</f>
        <v>ANGOLA </v>
      </c>
      <c r="B890" s="8">
        <f>IFERROR(__xludf.DUMMYFUNCTION("""COMPUTED_VALUE"""),10.0)</f>
        <v>10</v>
      </c>
      <c r="C890" s="7" t="str">
        <f>IFERROR(__xludf.DUMMYFUNCTION("""COMPUTED_VALUE"""),"B_04_07")</f>
        <v>B_04_07</v>
      </c>
      <c r="D890" s="7" t="str">
        <f>IFERROR(__xludf.DUMMYFUNCTION("""COMPUTED_VALUE"""),"Q48b.")</f>
        <v>Q48b.</v>
      </c>
      <c r="E890" s="7" t="str">
        <f>IFERROR(__xludf.DUMMYFUNCTION("""COMPUTED_VALUE"""),"Performance: MP/National Assembly rep")</f>
        <v>Performance: MP/National Assembly rep</v>
      </c>
      <c r="F890" s="7" t="str">
        <f>IFERROR(__xludf.DUMMYFUNCTION("""COMPUTED_VALUE"""),"Members of the National Assembly")</f>
        <v>Members of the National Assembly</v>
      </c>
    </row>
    <row r="891">
      <c r="A891" s="7" t="str">
        <f>IFERROR(__xludf.DUMMYFUNCTION("""COMPUTED_VALUE"""),"BENIN")</f>
        <v>BENIN</v>
      </c>
      <c r="B891" s="8">
        <f>IFERROR(__xludf.DUMMYFUNCTION("""COMPUTED_VALUE"""),10.0)</f>
        <v>10</v>
      </c>
      <c r="C891" s="7" t="str">
        <f>IFERROR(__xludf.DUMMYFUNCTION("""COMPUTED_VALUE"""),"B_04_07")</f>
        <v>B_04_07</v>
      </c>
      <c r="D891" s="7" t="str">
        <f>IFERROR(__xludf.DUMMYFUNCTION("""COMPUTED_VALUE"""),"Q48b.")</f>
        <v>Q48b.</v>
      </c>
      <c r="E891" s="7" t="str">
        <f>IFERROR(__xludf.DUMMYFUNCTION("""COMPUTED_VALUE"""),"Performance: MP/National Assembly rep")</f>
        <v>Performance: MP/National Assembly rep</v>
      </c>
      <c r="F891" s="7" t="str">
        <f>IFERROR(__xludf.DUMMYFUNCTION("""COMPUTED_VALUE"""),"Members of the National Assembly")</f>
        <v>Members of the National Assembly</v>
      </c>
    </row>
    <row r="892">
      <c r="A892" s="7" t="str">
        <f>IFERROR(__xludf.DUMMYFUNCTION("""COMPUTED_VALUE"""),"BOTSWANA ")</f>
        <v>BOTSWANA </v>
      </c>
      <c r="B892" s="8">
        <f>IFERROR(__xludf.DUMMYFUNCTION("""COMPUTED_VALUE"""),10.0)</f>
        <v>10</v>
      </c>
      <c r="C892" s="7" t="str">
        <f>IFERROR(__xludf.DUMMYFUNCTION("""COMPUTED_VALUE"""),"B_04_07")</f>
        <v>B_04_07</v>
      </c>
      <c r="D892" s="7" t="str">
        <f>IFERROR(__xludf.DUMMYFUNCTION("""COMPUTED_VALUE"""),"Q48b.")</f>
        <v>Q48b.</v>
      </c>
      <c r="E892" s="7" t="str">
        <f>IFERROR(__xludf.DUMMYFUNCTION("""COMPUTED_VALUE"""),"Performance: MP/National Assembly rep")</f>
        <v>Performance: MP/National Assembly rep</v>
      </c>
      <c r="F892" s="7" t="str">
        <f>IFERROR(__xludf.DUMMYFUNCTION("""COMPUTED_VALUE"""),"Members of Parliament")</f>
        <v>Members of Parliament</v>
      </c>
    </row>
    <row r="893">
      <c r="A893" s="7" t="str">
        <f>IFERROR(__xludf.DUMMYFUNCTION("""COMPUTED_VALUE"""),"CABO VERDE ")</f>
        <v>CABO VERDE </v>
      </c>
      <c r="B893" s="8">
        <f>IFERROR(__xludf.DUMMYFUNCTION("""COMPUTED_VALUE"""),10.0)</f>
        <v>10</v>
      </c>
      <c r="C893" s="7" t="str">
        <f>IFERROR(__xludf.DUMMYFUNCTION("""COMPUTED_VALUE"""),"B_04_07")</f>
        <v>B_04_07</v>
      </c>
      <c r="D893" s="7" t="str">
        <f>IFERROR(__xludf.DUMMYFUNCTION("""COMPUTED_VALUE"""),"Q48b.")</f>
        <v>Q48b.</v>
      </c>
      <c r="E893" s="7" t="str">
        <f>IFERROR(__xludf.DUMMYFUNCTION("""COMPUTED_VALUE"""),"Performance: MP/National Assembly rep")</f>
        <v>Performance: MP/National Assembly rep</v>
      </c>
      <c r="F893" s="7" t="str">
        <f>IFERROR(__xludf.DUMMYFUNCTION("""COMPUTED_VALUE"""),"Members of the National Assembly")</f>
        <v>Members of the National Assembly</v>
      </c>
    </row>
    <row r="894">
      <c r="A894" s="7" t="str">
        <f>IFERROR(__xludf.DUMMYFUNCTION("""COMPUTED_VALUE"""),"CAMEROON")</f>
        <v>CAMEROON</v>
      </c>
      <c r="B894" s="8">
        <f>IFERROR(__xludf.DUMMYFUNCTION("""COMPUTED_VALUE"""),10.0)</f>
        <v>10</v>
      </c>
      <c r="C894" s="7" t="str">
        <f>IFERROR(__xludf.DUMMYFUNCTION("""COMPUTED_VALUE"""),"B_04_07")</f>
        <v>B_04_07</v>
      </c>
      <c r="D894" s="7" t="str">
        <f>IFERROR(__xludf.DUMMYFUNCTION("""COMPUTED_VALUE"""),"Q48b.")</f>
        <v>Q48b.</v>
      </c>
      <c r="E894" s="7" t="str">
        <f>IFERROR(__xludf.DUMMYFUNCTION("""COMPUTED_VALUE"""),"Performance: MP/National Assembly rep")</f>
        <v>Performance: MP/National Assembly rep</v>
      </c>
      <c r="F894" s="7" t="str">
        <f>IFERROR(__xludf.DUMMYFUNCTION("""COMPUTED_VALUE"""),"Members of the National Assembly")</f>
        <v>Members of the National Assembly</v>
      </c>
    </row>
    <row r="895">
      <c r="A895" s="7" t="str">
        <f>IFERROR(__xludf.DUMMYFUNCTION("""COMPUTED_VALUE"""),"CHAD")</f>
        <v>CHAD</v>
      </c>
      <c r="B895" s="8">
        <f>IFERROR(__xludf.DUMMYFUNCTION("""COMPUTED_VALUE"""),10.0)</f>
        <v>10</v>
      </c>
      <c r="C895" s="7" t="str">
        <f>IFERROR(__xludf.DUMMYFUNCTION("""COMPUTED_VALUE"""),"B_04_07")</f>
        <v>B_04_07</v>
      </c>
      <c r="D895" s="7" t="str">
        <f>IFERROR(__xludf.DUMMYFUNCTION("""COMPUTED_VALUE"""),"Q48b.")</f>
        <v>Q48b.</v>
      </c>
      <c r="E895" s="7" t="str">
        <f>IFERROR(__xludf.DUMMYFUNCTION("""COMPUTED_VALUE"""),"Performance: MP/National Assembly rep")</f>
        <v>Performance: MP/National Assembly rep</v>
      </c>
      <c r="F895" s="7" t="str">
        <f>IFERROR(__xludf.DUMMYFUNCTION("""COMPUTED_VALUE"""),"Members of the National Assembly")</f>
        <v>Members of the National Assembly</v>
      </c>
    </row>
    <row r="896">
      <c r="A896" s="7" t="str">
        <f>IFERROR(__xludf.DUMMYFUNCTION("""COMPUTED_VALUE"""),"COMOROS")</f>
        <v>COMOROS</v>
      </c>
      <c r="B896" s="8">
        <f>IFERROR(__xludf.DUMMYFUNCTION("""COMPUTED_VALUE"""),10.0)</f>
        <v>10</v>
      </c>
      <c r="C896" s="7" t="str">
        <f>IFERROR(__xludf.DUMMYFUNCTION("""COMPUTED_VALUE"""),"B_04_07")</f>
        <v>B_04_07</v>
      </c>
      <c r="D896" s="7" t="str">
        <f>IFERROR(__xludf.DUMMYFUNCTION("""COMPUTED_VALUE"""),"Q48b.")</f>
        <v>Q48b.</v>
      </c>
      <c r="E896" s="7" t="str">
        <f>IFERROR(__xludf.DUMMYFUNCTION("""COMPUTED_VALUE"""),"Performance: MP/National Assembly rep")</f>
        <v>Performance: MP/National Assembly rep</v>
      </c>
      <c r="F896" s="7" t="str">
        <f>IFERROR(__xludf.DUMMYFUNCTION("""COMPUTED_VALUE"""),"Members of the National Assembly")</f>
        <v>Members of the National Assembly</v>
      </c>
    </row>
    <row r="897">
      <c r="A897" s="7" t="str">
        <f>IFERROR(__xludf.DUMMYFUNCTION("""COMPUTED_VALUE"""),"CONGO BRAZZAVILLE")</f>
        <v>CONGO BRAZZAVILLE</v>
      </c>
      <c r="B897" s="8">
        <f>IFERROR(__xludf.DUMMYFUNCTION("""COMPUTED_VALUE"""),10.0)</f>
        <v>10</v>
      </c>
      <c r="C897" s="7" t="str">
        <f>IFERROR(__xludf.DUMMYFUNCTION("""COMPUTED_VALUE"""),"B_04_07")</f>
        <v>B_04_07</v>
      </c>
      <c r="D897" s="7" t="str">
        <f>IFERROR(__xludf.DUMMYFUNCTION("""COMPUTED_VALUE"""),"Q48b.")</f>
        <v>Q48b.</v>
      </c>
      <c r="E897" s="7" t="str">
        <f>IFERROR(__xludf.DUMMYFUNCTION("""COMPUTED_VALUE"""),"Performance: MP/National Assembly rep")</f>
        <v>Performance: MP/National Assembly rep</v>
      </c>
      <c r="F897" s="7" t="str">
        <f>IFERROR(__xludf.DUMMYFUNCTION("""COMPUTED_VALUE"""),"Members of the National Assembly")</f>
        <v>Members of the National Assembly</v>
      </c>
    </row>
    <row r="898">
      <c r="A898" s="7" t="str">
        <f>IFERROR(__xludf.DUMMYFUNCTION("""COMPUTED_VALUE"""),"COTE D'IVOIRE")</f>
        <v>COTE D'IVOIRE</v>
      </c>
      <c r="B898" s="8">
        <f>IFERROR(__xludf.DUMMYFUNCTION("""COMPUTED_VALUE"""),10.0)</f>
        <v>10</v>
      </c>
      <c r="C898" s="7" t="str">
        <f>IFERROR(__xludf.DUMMYFUNCTION("""COMPUTED_VALUE"""),"B_04_07")</f>
        <v>B_04_07</v>
      </c>
      <c r="D898" s="7" t="str">
        <f>IFERROR(__xludf.DUMMYFUNCTION("""COMPUTED_VALUE"""),"Q48b.")</f>
        <v>Q48b.</v>
      </c>
      <c r="E898" s="7" t="str">
        <f>IFERROR(__xludf.DUMMYFUNCTION("""COMPUTED_VALUE"""),"Performance: MP/National Assembly rep")</f>
        <v>Performance: MP/National Assembly rep</v>
      </c>
      <c r="F898" s="7" t="str">
        <f>IFERROR(__xludf.DUMMYFUNCTION("""COMPUTED_VALUE"""),"Members of the National Assembly")</f>
        <v>Members of the National Assembly</v>
      </c>
    </row>
    <row r="899">
      <c r="A899" s="7" t="str">
        <f>IFERROR(__xludf.DUMMYFUNCTION("""COMPUTED_VALUE"""),"ESWATINI")</f>
        <v>ESWATINI</v>
      </c>
      <c r="B899" s="8">
        <f>IFERROR(__xludf.DUMMYFUNCTION("""COMPUTED_VALUE"""),10.0)</f>
        <v>10</v>
      </c>
      <c r="C899" s="7" t="str">
        <f>IFERROR(__xludf.DUMMYFUNCTION("""COMPUTED_VALUE"""),"B_04_07")</f>
        <v>B_04_07</v>
      </c>
      <c r="D899" s="7" t="str">
        <f>IFERROR(__xludf.DUMMYFUNCTION("""COMPUTED_VALUE"""),"Q48b.")</f>
        <v>Q48b.</v>
      </c>
      <c r="E899" s="7" t="str">
        <f>IFERROR(__xludf.DUMMYFUNCTION("""COMPUTED_VALUE"""),"Performance: MP/National Assembly rep")</f>
        <v>Performance: MP/National Assembly rep</v>
      </c>
      <c r="F899" s="7" t="str">
        <f>IFERROR(__xludf.DUMMYFUNCTION("""COMPUTED_VALUE"""),"Members of Parliament")</f>
        <v>Members of Parliament</v>
      </c>
    </row>
    <row r="900">
      <c r="A900" s="7" t="str">
        <f>IFERROR(__xludf.DUMMYFUNCTION("""COMPUTED_VALUE"""),"GABON")</f>
        <v>GABON</v>
      </c>
      <c r="B900" s="8">
        <f>IFERROR(__xludf.DUMMYFUNCTION("""COMPUTED_VALUE"""),10.0)</f>
        <v>10</v>
      </c>
      <c r="C900" s="7" t="str">
        <f>IFERROR(__xludf.DUMMYFUNCTION("""COMPUTED_VALUE"""),"B_04_07")</f>
        <v>B_04_07</v>
      </c>
      <c r="D900" s="7" t="str">
        <f>IFERROR(__xludf.DUMMYFUNCTION("""COMPUTED_VALUE"""),"Q48b.")</f>
        <v>Q48b.</v>
      </c>
      <c r="E900" s="7" t="str">
        <f>IFERROR(__xludf.DUMMYFUNCTION("""COMPUTED_VALUE"""),"Performance: MP/National Assembly rep")</f>
        <v>Performance: MP/National Assembly rep</v>
      </c>
      <c r="F900" s="7" t="str">
        <f>IFERROR(__xludf.DUMMYFUNCTION("""COMPUTED_VALUE"""),"Members of the National Assembly")</f>
        <v>Members of the National Assembly</v>
      </c>
    </row>
    <row r="901">
      <c r="A901" s="7" t="str">
        <f>IFERROR(__xludf.DUMMYFUNCTION("""COMPUTED_VALUE"""),"GAMBIA")</f>
        <v>GAMBIA</v>
      </c>
      <c r="B901" s="8">
        <f>IFERROR(__xludf.DUMMYFUNCTION("""COMPUTED_VALUE"""),10.0)</f>
        <v>10</v>
      </c>
      <c r="C901" s="7" t="str">
        <f>IFERROR(__xludf.DUMMYFUNCTION("""COMPUTED_VALUE"""),"B_04_07")</f>
        <v>B_04_07</v>
      </c>
      <c r="D901" s="7" t="str">
        <f>IFERROR(__xludf.DUMMYFUNCTION("""COMPUTED_VALUE"""),"Q48b.")</f>
        <v>Q48b.</v>
      </c>
      <c r="E901" s="7" t="str">
        <f>IFERROR(__xludf.DUMMYFUNCTION("""COMPUTED_VALUE"""),"Performance: MP/National Assembly rep")</f>
        <v>Performance: MP/National Assembly rep</v>
      </c>
      <c r="F901" s="7" t="str">
        <f>IFERROR(__xludf.DUMMYFUNCTION("""COMPUTED_VALUE"""),"Members of the National Assembly")</f>
        <v>Members of the National Assembly</v>
      </c>
    </row>
    <row r="902">
      <c r="A902" s="7" t="str">
        <f>IFERROR(__xludf.DUMMYFUNCTION("""COMPUTED_VALUE"""),"GHANA ")</f>
        <v>GHANA </v>
      </c>
      <c r="B902" s="8">
        <f>IFERROR(__xludf.DUMMYFUNCTION("""COMPUTED_VALUE"""),10.0)</f>
        <v>10</v>
      </c>
      <c r="C902" s="7" t="str">
        <f>IFERROR(__xludf.DUMMYFUNCTION("""COMPUTED_VALUE"""),"B_04_07")</f>
        <v>B_04_07</v>
      </c>
      <c r="D902" s="7" t="str">
        <f>IFERROR(__xludf.DUMMYFUNCTION("""COMPUTED_VALUE"""),"Q48b.")</f>
        <v>Q48b.</v>
      </c>
      <c r="E902" s="7" t="str">
        <f>IFERROR(__xludf.DUMMYFUNCTION("""COMPUTED_VALUE"""),"Performance: MP/National Assembly rep")</f>
        <v>Performance: MP/National Assembly rep</v>
      </c>
      <c r="F902" s="7" t="str">
        <f>IFERROR(__xludf.DUMMYFUNCTION("""COMPUTED_VALUE"""),"Members of Parliament")</f>
        <v>Members of Parliament</v>
      </c>
    </row>
    <row r="903">
      <c r="A903" s="7" t="str">
        <f>IFERROR(__xludf.DUMMYFUNCTION("""COMPUTED_VALUE"""),"GUINEA")</f>
        <v>GUINEA</v>
      </c>
      <c r="B903" s="8">
        <f>IFERROR(__xludf.DUMMYFUNCTION("""COMPUTED_VALUE"""),10.0)</f>
        <v>10</v>
      </c>
      <c r="C903" s="7" t="str">
        <f>IFERROR(__xludf.DUMMYFUNCTION("""COMPUTED_VALUE"""),"B_04_07")</f>
        <v>B_04_07</v>
      </c>
      <c r="D903" s="7" t="str">
        <f>IFERROR(__xludf.DUMMYFUNCTION("""COMPUTED_VALUE"""),"Q48b.")</f>
        <v>Q48b.</v>
      </c>
      <c r="E903" s="7" t="str">
        <f>IFERROR(__xludf.DUMMYFUNCTION("""COMPUTED_VALUE"""),"Performance: MP/National Assembly rep")</f>
        <v>Performance: MP/National Assembly rep</v>
      </c>
      <c r="F903" s="7" t="str">
        <f>IFERROR(__xludf.DUMMYFUNCTION("""COMPUTED_VALUE"""),"National Transition Councilors")</f>
        <v>National Transition Councilors</v>
      </c>
    </row>
    <row r="904">
      <c r="A904" s="7" t="str">
        <f>IFERROR(__xludf.DUMMYFUNCTION("""COMPUTED_VALUE"""),"KENYA  ")</f>
        <v>KENYA  </v>
      </c>
      <c r="B904" s="8">
        <f>IFERROR(__xludf.DUMMYFUNCTION("""COMPUTED_VALUE"""),10.0)</f>
        <v>10</v>
      </c>
      <c r="C904" s="7" t="str">
        <f>IFERROR(__xludf.DUMMYFUNCTION("""COMPUTED_VALUE"""),"B_04_07")</f>
        <v>B_04_07</v>
      </c>
      <c r="D904" s="7" t="str">
        <f>IFERROR(__xludf.DUMMYFUNCTION("""COMPUTED_VALUE"""),"Q48b.")</f>
        <v>Q48b.</v>
      </c>
      <c r="E904" s="7" t="str">
        <f>IFERROR(__xludf.DUMMYFUNCTION("""COMPUTED_VALUE"""),"Performance: MP/National Assembly rep")</f>
        <v>Performance: MP/National Assembly rep</v>
      </c>
      <c r="F904" s="7" t="str">
        <f>IFERROR(__xludf.DUMMYFUNCTION("""COMPUTED_VALUE"""),"Members of Parliament")</f>
        <v>Members of Parliament</v>
      </c>
    </row>
    <row r="905">
      <c r="A905" s="7" t="str">
        <f>IFERROR(__xludf.DUMMYFUNCTION("""COMPUTED_VALUE"""),"LESOTHO ")</f>
        <v>LESOTHO </v>
      </c>
      <c r="B905" s="8">
        <f>IFERROR(__xludf.DUMMYFUNCTION("""COMPUTED_VALUE"""),10.0)</f>
        <v>10</v>
      </c>
      <c r="C905" s="7" t="str">
        <f>IFERROR(__xludf.DUMMYFUNCTION("""COMPUTED_VALUE"""),"B_04_07")</f>
        <v>B_04_07</v>
      </c>
      <c r="D905" s="7" t="str">
        <f>IFERROR(__xludf.DUMMYFUNCTION("""COMPUTED_VALUE"""),"Q48b.")</f>
        <v>Q48b.</v>
      </c>
      <c r="E905" s="7" t="str">
        <f>IFERROR(__xludf.DUMMYFUNCTION("""COMPUTED_VALUE"""),"Performance: MP/National Assembly rep")</f>
        <v>Performance: MP/National Assembly rep</v>
      </c>
      <c r="F905" s="7" t="str">
        <f>IFERROR(__xludf.DUMMYFUNCTION("""COMPUTED_VALUE"""),"Members of Parliament")</f>
        <v>Members of Parliament</v>
      </c>
    </row>
    <row r="906">
      <c r="A906" s="7" t="str">
        <f>IFERROR(__xludf.DUMMYFUNCTION("""COMPUTED_VALUE"""),"LIBERIA  ")</f>
        <v>LIBERIA  </v>
      </c>
      <c r="B906" s="8">
        <f>IFERROR(__xludf.DUMMYFUNCTION("""COMPUTED_VALUE"""),10.0)</f>
        <v>10</v>
      </c>
      <c r="C906" s="7" t="str">
        <f>IFERROR(__xludf.DUMMYFUNCTION("""COMPUTED_VALUE"""),"B_04_07")</f>
        <v>B_04_07</v>
      </c>
      <c r="D906" s="7" t="str">
        <f>IFERROR(__xludf.DUMMYFUNCTION("""COMPUTED_VALUE"""),"Q48b.")</f>
        <v>Q48b.</v>
      </c>
      <c r="E906" s="7" t="str">
        <f>IFERROR(__xludf.DUMMYFUNCTION("""COMPUTED_VALUE"""),"Performance: MP/National Assembly rep")</f>
        <v>Performance: MP/National Assembly rep</v>
      </c>
      <c r="F906" s="7" t="str">
        <f>IFERROR(__xludf.DUMMYFUNCTION("""COMPUTED_VALUE"""),"Members of the House of Representatives")</f>
        <v>Members of the House of Representatives</v>
      </c>
    </row>
    <row r="907">
      <c r="A907" s="7" t="str">
        <f>IFERROR(__xludf.DUMMYFUNCTION("""COMPUTED_VALUE"""),"MADAGASCAR")</f>
        <v>MADAGASCAR</v>
      </c>
      <c r="B907" s="8">
        <f>IFERROR(__xludf.DUMMYFUNCTION("""COMPUTED_VALUE"""),10.0)</f>
        <v>10</v>
      </c>
      <c r="C907" s="7" t="str">
        <f>IFERROR(__xludf.DUMMYFUNCTION("""COMPUTED_VALUE"""),"B_04_07")</f>
        <v>B_04_07</v>
      </c>
      <c r="D907" s="7" t="str">
        <f>IFERROR(__xludf.DUMMYFUNCTION("""COMPUTED_VALUE"""),"Q48b.")</f>
        <v>Q48b.</v>
      </c>
      <c r="E907" s="7" t="str">
        <f>IFERROR(__xludf.DUMMYFUNCTION("""COMPUTED_VALUE"""),"Performance: MP/National Assembly rep")</f>
        <v>Performance: MP/National Assembly rep</v>
      </c>
      <c r="F907" s="7" t="str">
        <f>IFERROR(__xludf.DUMMYFUNCTION("""COMPUTED_VALUE"""),"Members of the National Assembly")</f>
        <v>Members of the National Assembly</v>
      </c>
    </row>
    <row r="908">
      <c r="A908" s="7" t="str">
        <f>IFERROR(__xludf.DUMMYFUNCTION("""COMPUTED_VALUE"""),"MALAWI ")</f>
        <v>MALAWI </v>
      </c>
      <c r="B908" s="8">
        <f>IFERROR(__xludf.DUMMYFUNCTION("""COMPUTED_VALUE"""),10.0)</f>
        <v>10</v>
      </c>
      <c r="C908" s="7" t="str">
        <f>IFERROR(__xludf.DUMMYFUNCTION("""COMPUTED_VALUE"""),"B_04_07")</f>
        <v>B_04_07</v>
      </c>
      <c r="D908" s="7" t="str">
        <f>IFERROR(__xludf.DUMMYFUNCTION("""COMPUTED_VALUE"""),"Q48b.")</f>
        <v>Q48b.</v>
      </c>
      <c r="E908" s="7" t="str">
        <f>IFERROR(__xludf.DUMMYFUNCTION("""COMPUTED_VALUE"""),"Performance: MP/National Assembly rep")</f>
        <v>Performance: MP/National Assembly rep</v>
      </c>
      <c r="F908" s="7" t="str">
        <f>IFERROR(__xludf.DUMMYFUNCTION("""COMPUTED_VALUE"""),"Members of Parliament")</f>
        <v>Members of Parliament</v>
      </c>
    </row>
    <row r="909">
      <c r="A909" s="7" t="str">
        <f>IFERROR(__xludf.DUMMYFUNCTION("""COMPUTED_VALUE"""),"MALI")</f>
        <v>MALI</v>
      </c>
      <c r="B909" s="8">
        <f>IFERROR(__xludf.DUMMYFUNCTION("""COMPUTED_VALUE"""),10.0)</f>
        <v>10</v>
      </c>
      <c r="C909" s="7" t="str">
        <f>IFERROR(__xludf.DUMMYFUNCTION("""COMPUTED_VALUE"""),"B_04_07")</f>
        <v>B_04_07</v>
      </c>
      <c r="D909" s="7" t="str">
        <f>IFERROR(__xludf.DUMMYFUNCTION("""COMPUTED_VALUE"""),"Q48b.")</f>
        <v>Q48b.</v>
      </c>
      <c r="E909" s="7" t="str">
        <f>IFERROR(__xludf.DUMMYFUNCTION("""COMPUTED_VALUE"""),"Performance: MP/National Assembly rep")</f>
        <v>Performance: MP/National Assembly rep</v>
      </c>
      <c r="F909" s="7" t="str">
        <f>IFERROR(__xludf.DUMMYFUNCTION("""COMPUTED_VALUE"""),"National Transition Councilors")</f>
        <v>National Transition Councilors</v>
      </c>
    </row>
    <row r="910">
      <c r="A910" s="7" t="str">
        <f>IFERROR(__xludf.DUMMYFUNCTION("""COMPUTED_VALUE"""),"MAURITANIA")</f>
        <v>MAURITANIA</v>
      </c>
      <c r="B910" s="8">
        <f>IFERROR(__xludf.DUMMYFUNCTION("""COMPUTED_VALUE"""),10.0)</f>
        <v>10</v>
      </c>
      <c r="C910" s="7" t="str">
        <f>IFERROR(__xludf.DUMMYFUNCTION("""COMPUTED_VALUE"""),"B_04_07")</f>
        <v>B_04_07</v>
      </c>
      <c r="D910" s="7" t="str">
        <f>IFERROR(__xludf.DUMMYFUNCTION("""COMPUTED_VALUE"""),"Q48b.")</f>
        <v>Q48b.</v>
      </c>
      <c r="E910" s="7" t="str">
        <f>IFERROR(__xludf.DUMMYFUNCTION("""COMPUTED_VALUE"""),"Performance: MP/National Assembly rep")</f>
        <v>Performance: MP/National Assembly rep</v>
      </c>
      <c r="F910" s="7" t="str">
        <f>IFERROR(__xludf.DUMMYFUNCTION("""COMPUTED_VALUE"""),"Members of the National Assembly")</f>
        <v>Members of the National Assembly</v>
      </c>
    </row>
    <row r="911">
      <c r="A911" s="7" t="str">
        <f>IFERROR(__xludf.DUMMYFUNCTION("""COMPUTED_VALUE"""),"MAURITIUS")</f>
        <v>MAURITIUS</v>
      </c>
      <c r="B911" s="8">
        <f>IFERROR(__xludf.DUMMYFUNCTION("""COMPUTED_VALUE"""),10.0)</f>
        <v>10</v>
      </c>
      <c r="C911" s="7" t="str">
        <f>IFERROR(__xludf.DUMMYFUNCTION("""COMPUTED_VALUE"""),"B_04_07")</f>
        <v>B_04_07</v>
      </c>
      <c r="D911" s="7" t="str">
        <f>IFERROR(__xludf.DUMMYFUNCTION("""COMPUTED_VALUE"""),"Q48b.")</f>
        <v>Q48b.</v>
      </c>
      <c r="E911" s="7" t="str">
        <f>IFERROR(__xludf.DUMMYFUNCTION("""COMPUTED_VALUE"""),"Performance: MP/National Assembly rep")</f>
        <v>Performance: MP/National Assembly rep</v>
      </c>
      <c r="F911" s="7" t="str">
        <f>IFERROR(__xludf.DUMMYFUNCTION("""COMPUTED_VALUE"""),"Members of the National Assembly")</f>
        <v>Members of the National Assembly</v>
      </c>
    </row>
    <row r="912">
      <c r="A912" s="7" t="str">
        <f>IFERROR(__xludf.DUMMYFUNCTION("""COMPUTED_VALUE"""),"MOROCCO ")</f>
        <v>MOROCCO </v>
      </c>
      <c r="B912" s="8">
        <f>IFERROR(__xludf.DUMMYFUNCTION("""COMPUTED_VALUE"""),10.0)</f>
        <v>10</v>
      </c>
      <c r="C912" s="7" t="str">
        <f>IFERROR(__xludf.DUMMYFUNCTION("""COMPUTED_VALUE"""),"B_04_07")</f>
        <v>B_04_07</v>
      </c>
      <c r="D912" s="7" t="str">
        <f>IFERROR(__xludf.DUMMYFUNCTION("""COMPUTED_VALUE"""),"Q48b.")</f>
        <v>Q48b.</v>
      </c>
      <c r="E912" s="7" t="str">
        <f>IFERROR(__xludf.DUMMYFUNCTION("""COMPUTED_VALUE"""),"Performance: MP/National Assembly rep")</f>
        <v>Performance: MP/National Assembly rep</v>
      </c>
      <c r="F912" s="7" t="str">
        <f>IFERROR(__xludf.DUMMYFUNCTION("""COMPUTED_VALUE"""),"Members of Parliament")</f>
        <v>Members of Parliament</v>
      </c>
    </row>
    <row r="913">
      <c r="A913" s="7" t="str">
        <f>IFERROR(__xludf.DUMMYFUNCTION("""COMPUTED_VALUE"""),"MOZAMBIQUE")</f>
        <v>MOZAMBIQUE</v>
      </c>
      <c r="B913" s="8">
        <f>IFERROR(__xludf.DUMMYFUNCTION("""COMPUTED_VALUE"""),10.0)</f>
        <v>10</v>
      </c>
      <c r="C913" s="7" t="str">
        <f>IFERROR(__xludf.DUMMYFUNCTION("""COMPUTED_VALUE"""),"B_04_07")</f>
        <v>B_04_07</v>
      </c>
      <c r="D913" s="7" t="str">
        <f>IFERROR(__xludf.DUMMYFUNCTION("""COMPUTED_VALUE"""),"Q48b.")</f>
        <v>Q48b.</v>
      </c>
      <c r="E913" s="7" t="str">
        <f>IFERROR(__xludf.DUMMYFUNCTION("""COMPUTED_VALUE"""),"Performance: MP/National Assembly rep")</f>
        <v>Performance: MP/National Assembly rep</v>
      </c>
      <c r="F913" s="7" t="str">
        <f>IFERROR(__xludf.DUMMYFUNCTION("""COMPUTED_VALUE"""),"Members of Parliament")</f>
        <v>Members of Parliament</v>
      </c>
    </row>
    <row r="914">
      <c r="A914" s="7" t="str">
        <f>IFERROR(__xludf.DUMMYFUNCTION("""COMPUTED_VALUE"""),"NAMIBIA ")</f>
        <v>NAMIBIA </v>
      </c>
      <c r="B914" s="8">
        <f>IFERROR(__xludf.DUMMYFUNCTION("""COMPUTED_VALUE"""),10.0)</f>
        <v>10</v>
      </c>
      <c r="C914" s="7" t="str">
        <f>IFERROR(__xludf.DUMMYFUNCTION("""COMPUTED_VALUE"""),"B_04_07")</f>
        <v>B_04_07</v>
      </c>
      <c r="D914" s="7" t="str">
        <f>IFERROR(__xludf.DUMMYFUNCTION("""COMPUTED_VALUE"""),"Q48b.")</f>
        <v>Q48b.</v>
      </c>
      <c r="E914" s="7" t="str">
        <f>IFERROR(__xludf.DUMMYFUNCTION("""COMPUTED_VALUE"""),"Performance: MP/National Assembly rep")</f>
        <v>Performance: MP/National Assembly rep</v>
      </c>
      <c r="F914" s="7" t="str">
        <f>IFERROR(__xludf.DUMMYFUNCTION("""COMPUTED_VALUE"""),"Members of the National Assembly")</f>
        <v>Members of the National Assembly</v>
      </c>
    </row>
    <row r="915">
      <c r="A915" s="7" t="str">
        <f>IFERROR(__xludf.DUMMYFUNCTION("""COMPUTED_VALUE"""),"NIGERIA ")</f>
        <v>NIGERIA </v>
      </c>
      <c r="B915" s="8">
        <f>IFERROR(__xludf.DUMMYFUNCTION("""COMPUTED_VALUE"""),10.0)</f>
        <v>10</v>
      </c>
      <c r="C915" s="7" t="str">
        <f>IFERROR(__xludf.DUMMYFUNCTION("""COMPUTED_VALUE"""),"B_04_07")</f>
        <v>B_04_07</v>
      </c>
      <c r="D915" s="7" t="str">
        <f>IFERROR(__xludf.DUMMYFUNCTION("""COMPUTED_VALUE"""),"Q48b.")</f>
        <v>Q48b.</v>
      </c>
      <c r="E915" s="7" t="str">
        <f>IFERROR(__xludf.DUMMYFUNCTION("""COMPUTED_VALUE"""),"Performance: MP/National Assembly rep")</f>
        <v>Performance: MP/National Assembly rep</v>
      </c>
      <c r="F915" s="7" t="str">
        <f>IFERROR(__xludf.DUMMYFUNCTION("""COMPUTED_VALUE"""),"Members of the National Assembly")</f>
        <v>Members of the National Assembly</v>
      </c>
    </row>
    <row r="916">
      <c r="A916" s="7" t="str">
        <f>IFERROR(__xludf.DUMMYFUNCTION("""COMPUTED_VALUE"""),"SAO TOME AND PRINCIPE")</f>
        <v>SAO TOME AND PRINCIPE</v>
      </c>
      <c r="B916" s="8">
        <f>IFERROR(__xludf.DUMMYFUNCTION("""COMPUTED_VALUE"""),10.0)</f>
        <v>10</v>
      </c>
      <c r="C916" s="7" t="str">
        <f>IFERROR(__xludf.DUMMYFUNCTION("""COMPUTED_VALUE"""),"B_04_07")</f>
        <v>B_04_07</v>
      </c>
      <c r="D916" s="7" t="str">
        <f>IFERROR(__xludf.DUMMYFUNCTION("""COMPUTED_VALUE"""),"Q48b.")</f>
        <v>Q48b.</v>
      </c>
      <c r="E916" s="7" t="str">
        <f>IFERROR(__xludf.DUMMYFUNCTION("""COMPUTED_VALUE"""),"Performance: MP/National Assembly rep")</f>
        <v>Performance: MP/National Assembly rep</v>
      </c>
      <c r="F916" s="7" t="str">
        <f>IFERROR(__xludf.DUMMYFUNCTION("""COMPUTED_VALUE"""),"Members of the National Assembly")</f>
        <v>Members of the National Assembly</v>
      </c>
    </row>
    <row r="917">
      <c r="A917" s="7" t="str">
        <f>IFERROR(__xludf.DUMMYFUNCTION("""COMPUTED_VALUE"""),"SENEGAL")</f>
        <v>SENEGAL</v>
      </c>
      <c r="B917" s="8">
        <f>IFERROR(__xludf.DUMMYFUNCTION("""COMPUTED_VALUE"""),10.0)</f>
        <v>10</v>
      </c>
      <c r="C917" s="7" t="str">
        <f>IFERROR(__xludf.DUMMYFUNCTION("""COMPUTED_VALUE"""),"B_04_07")</f>
        <v>B_04_07</v>
      </c>
      <c r="D917" s="7" t="str">
        <f>IFERROR(__xludf.DUMMYFUNCTION("""COMPUTED_VALUE"""),"Q48b.")</f>
        <v>Q48b.</v>
      </c>
      <c r="E917" s="7" t="str">
        <f>IFERROR(__xludf.DUMMYFUNCTION("""COMPUTED_VALUE"""),"Performance: MP/National Assembly rep")</f>
        <v>Performance: MP/National Assembly rep</v>
      </c>
      <c r="F917" s="7" t="str">
        <f>IFERROR(__xludf.DUMMYFUNCTION("""COMPUTED_VALUE"""),"Members of the National Assembly")</f>
        <v>Members of the National Assembly</v>
      </c>
    </row>
    <row r="918">
      <c r="A918" s="7" t="str">
        <f>IFERROR(__xludf.DUMMYFUNCTION("""COMPUTED_VALUE"""),"SEYCHELLES")</f>
        <v>SEYCHELLES</v>
      </c>
      <c r="B918" s="8">
        <f>IFERROR(__xludf.DUMMYFUNCTION("""COMPUTED_VALUE"""),10.0)</f>
        <v>10</v>
      </c>
      <c r="C918" s="7" t="str">
        <f>IFERROR(__xludf.DUMMYFUNCTION("""COMPUTED_VALUE"""),"B_04_07")</f>
        <v>B_04_07</v>
      </c>
      <c r="D918" s="7" t="str">
        <f>IFERROR(__xludf.DUMMYFUNCTION("""COMPUTED_VALUE"""),"Q48b.")</f>
        <v>Q48b.</v>
      </c>
      <c r="E918" s="7" t="str">
        <f>IFERROR(__xludf.DUMMYFUNCTION("""COMPUTED_VALUE"""),"Performance: MP/National Assembly rep")</f>
        <v>Performance: MP/National Assembly rep</v>
      </c>
      <c r="F918" s="7" t="str">
        <f>IFERROR(__xludf.DUMMYFUNCTION("""COMPUTED_VALUE"""),"Members of the National Assembly")</f>
        <v>Members of the National Assembly</v>
      </c>
    </row>
    <row r="919">
      <c r="A919" s="7" t="str">
        <f>IFERROR(__xludf.DUMMYFUNCTION("""COMPUTED_VALUE"""),"SOUTH AFRICA")</f>
        <v>SOUTH AFRICA</v>
      </c>
      <c r="B919" s="8">
        <f>IFERROR(__xludf.DUMMYFUNCTION("""COMPUTED_VALUE"""),10.0)</f>
        <v>10</v>
      </c>
      <c r="C919" s="7" t="str">
        <f>IFERROR(__xludf.DUMMYFUNCTION("""COMPUTED_VALUE"""),"B_04_07")</f>
        <v>B_04_07</v>
      </c>
      <c r="D919" s="7" t="str">
        <f>IFERROR(__xludf.DUMMYFUNCTION("""COMPUTED_VALUE"""),"Q48b.")</f>
        <v>Q48b.</v>
      </c>
      <c r="E919" s="7" t="str">
        <f>IFERROR(__xludf.DUMMYFUNCTION("""COMPUTED_VALUE"""),"Performance: MP/National Assembly rep")</f>
        <v>Performance: MP/National Assembly rep</v>
      </c>
      <c r="F919" s="7" t="str">
        <f>IFERROR(__xludf.DUMMYFUNCTION("""COMPUTED_VALUE"""),"Member of Parliament
")</f>
        <v>Member of Parliament
</v>
      </c>
    </row>
    <row r="920">
      <c r="A920" s="7" t="str">
        <f>IFERROR(__xludf.DUMMYFUNCTION("""COMPUTED_VALUE"""),"TANZANIA")</f>
        <v>TANZANIA</v>
      </c>
      <c r="B920" s="8">
        <f>IFERROR(__xludf.DUMMYFUNCTION("""COMPUTED_VALUE"""),10.0)</f>
        <v>10</v>
      </c>
      <c r="C920" s="7" t="str">
        <f>IFERROR(__xludf.DUMMYFUNCTION("""COMPUTED_VALUE"""),"B_04_07")</f>
        <v>B_04_07</v>
      </c>
      <c r="D920" s="7" t="str">
        <f>IFERROR(__xludf.DUMMYFUNCTION("""COMPUTED_VALUE"""),"Q48b.")</f>
        <v>Q48b.</v>
      </c>
      <c r="E920" s="7" t="str">
        <f>IFERROR(__xludf.DUMMYFUNCTION("""COMPUTED_VALUE"""),"Performance: MP/National Assembly rep")</f>
        <v>Performance: MP/National Assembly rep</v>
      </c>
      <c r="F920" s="7" t="str">
        <f>IFERROR(__xludf.DUMMYFUNCTION("""COMPUTED_VALUE"""),"Member of Parliament
")</f>
        <v>Member of Parliament
</v>
      </c>
    </row>
    <row r="921">
      <c r="A921" s="7" t="str">
        <f>IFERROR(__xludf.DUMMYFUNCTION("""COMPUTED_VALUE"""),"TOGO ")</f>
        <v>TOGO </v>
      </c>
      <c r="B921" s="8">
        <f>IFERROR(__xludf.DUMMYFUNCTION("""COMPUTED_VALUE"""),10.0)</f>
        <v>10</v>
      </c>
      <c r="C921" s="7" t="str">
        <f>IFERROR(__xludf.DUMMYFUNCTION("""COMPUTED_VALUE"""),"B_04_07")</f>
        <v>B_04_07</v>
      </c>
      <c r="D921" s="7" t="str">
        <f>IFERROR(__xludf.DUMMYFUNCTION("""COMPUTED_VALUE"""),"Q48b.")</f>
        <v>Q48b.</v>
      </c>
      <c r="E921" s="7" t="str">
        <f>IFERROR(__xludf.DUMMYFUNCTION("""COMPUTED_VALUE"""),"Performance: MP/National Assembly rep")</f>
        <v>Performance: MP/National Assembly rep</v>
      </c>
      <c r="F921" s="7" t="str">
        <f>IFERROR(__xludf.DUMMYFUNCTION("""COMPUTED_VALUE"""),"Members of the National Assembly")</f>
        <v>Members of the National Assembly</v>
      </c>
    </row>
    <row r="922">
      <c r="A922" s="7" t="str">
        <f>IFERROR(__xludf.DUMMYFUNCTION("""COMPUTED_VALUE"""),"TUNISIA ")</f>
        <v>TUNISIA </v>
      </c>
      <c r="B922" s="8">
        <f>IFERROR(__xludf.DUMMYFUNCTION("""COMPUTED_VALUE"""),10.0)</f>
        <v>10</v>
      </c>
      <c r="C922" s="7" t="str">
        <f>IFERROR(__xludf.DUMMYFUNCTION("""COMPUTED_VALUE"""),"B_04_07")</f>
        <v>B_04_07</v>
      </c>
      <c r="D922" s="7" t="str">
        <f>IFERROR(__xludf.DUMMYFUNCTION("""COMPUTED_VALUE"""),"Q48b.")</f>
        <v>Q48b.</v>
      </c>
      <c r="E922" s="7" t="str">
        <f>IFERROR(__xludf.DUMMYFUNCTION("""COMPUTED_VALUE"""),"Performance: MP/National Assembly rep")</f>
        <v>Performance: MP/National Assembly rep</v>
      </c>
      <c r="F922" s="7" t="str">
        <f>IFERROR(__xludf.DUMMYFUNCTION("""COMPUTED_VALUE"""),"Member of the Assembly of the People’s Representatives ")</f>
        <v>Member of the Assembly of the People’s Representatives </v>
      </c>
    </row>
    <row r="923">
      <c r="A923" s="7" t="str">
        <f>IFERROR(__xludf.DUMMYFUNCTION("""COMPUTED_VALUE"""),"UGANDA  ")</f>
        <v>UGANDA  </v>
      </c>
      <c r="B923" s="8">
        <f>IFERROR(__xludf.DUMMYFUNCTION("""COMPUTED_VALUE"""),10.0)</f>
        <v>10</v>
      </c>
      <c r="C923" s="7" t="str">
        <f>IFERROR(__xludf.DUMMYFUNCTION("""COMPUTED_VALUE"""),"B_04_07")</f>
        <v>B_04_07</v>
      </c>
      <c r="D923" s="7" t="str">
        <f>IFERROR(__xludf.DUMMYFUNCTION("""COMPUTED_VALUE"""),"Q48b.")</f>
        <v>Q48b.</v>
      </c>
      <c r="E923" s="7" t="str">
        <f>IFERROR(__xludf.DUMMYFUNCTION("""COMPUTED_VALUE"""),"Performance: MP/National Assembly rep")</f>
        <v>Performance: MP/National Assembly rep</v>
      </c>
      <c r="F923" s="7" t="str">
        <f>IFERROR(__xludf.DUMMYFUNCTION("""COMPUTED_VALUE"""),"Your member of parliament
")</f>
        <v>Your member of parliament
</v>
      </c>
    </row>
    <row r="924">
      <c r="A924" s="7" t="str">
        <f>IFERROR(__xludf.DUMMYFUNCTION("""COMPUTED_VALUE"""),"ZAMBIA")</f>
        <v>ZAMBIA</v>
      </c>
      <c r="B924" s="8">
        <f>IFERROR(__xludf.DUMMYFUNCTION("""COMPUTED_VALUE"""),10.0)</f>
        <v>10</v>
      </c>
      <c r="C924" s="7" t="str">
        <f>IFERROR(__xludf.DUMMYFUNCTION("""COMPUTED_VALUE"""),"B_04_07")</f>
        <v>B_04_07</v>
      </c>
      <c r="D924" s="7" t="str">
        <f>IFERROR(__xludf.DUMMYFUNCTION("""COMPUTED_VALUE"""),"Q48b.")</f>
        <v>Q48b.</v>
      </c>
      <c r="E924" s="7" t="str">
        <f>IFERROR(__xludf.DUMMYFUNCTION("""COMPUTED_VALUE"""),"Performance: MP/National Assembly rep")</f>
        <v>Performance: MP/National Assembly rep</v>
      </c>
      <c r="F924" s="7" t="str">
        <f>IFERROR(__xludf.DUMMYFUNCTION("""COMPUTED_VALUE"""),"Your member of parliament
")</f>
        <v>Your member of parliament
</v>
      </c>
    </row>
    <row r="925">
      <c r="A925" s="7" t="str">
        <f>IFERROR(__xludf.DUMMYFUNCTION("""COMPUTED_VALUE"""),"ZIMBABWE")</f>
        <v>ZIMBABWE</v>
      </c>
      <c r="B925" s="8">
        <f>IFERROR(__xludf.DUMMYFUNCTION("""COMPUTED_VALUE"""),10.0)</f>
        <v>10</v>
      </c>
      <c r="C925" s="7" t="str">
        <f>IFERROR(__xludf.DUMMYFUNCTION("""COMPUTED_VALUE"""),"B_04_07")</f>
        <v>B_04_07</v>
      </c>
      <c r="D925" s="7" t="str">
        <f>IFERROR(__xludf.DUMMYFUNCTION("""COMPUTED_VALUE"""),"Q48b.")</f>
        <v>Q48b.</v>
      </c>
      <c r="E925" s="7" t="str">
        <f>IFERROR(__xludf.DUMMYFUNCTION("""COMPUTED_VALUE"""),"Performance: MP/National Assembly rep")</f>
        <v>Performance: MP/National Assembly rep</v>
      </c>
      <c r="F925" s="7" t="str">
        <f>IFERROR(__xludf.DUMMYFUNCTION("""COMPUTED_VALUE"""),"Your member of parliament
")</f>
        <v>Your member of parliament
</v>
      </c>
    </row>
    <row r="926">
      <c r="A926" s="7" t="str">
        <f>IFERROR(__xludf.DUMMYFUNCTION("""COMPUTED_VALUE"""),"ANGOLA ")</f>
        <v>ANGOLA </v>
      </c>
      <c r="B926" s="8">
        <f>IFERROR(__xludf.DUMMYFUNCTION("""COMPUTED_VALUE"""),10.0)</f>
        <v>10</v>
      </c>
      <c r="C926" s="7" t="str">
        <f>IFERROR(__xludf.DUMMYFUNCTION("""COMPUTED_VALUE"""),"K_45")</f>
        <v>K_45</v>
      </c>
      <c r="D926" s="7" t="str">
        <f>IFERROR(__xludf.DUMMYFUNCTION("""COMPUTED_VALUE"""),"Q67a.")</f>
        <v>Q67a.</v>
      </c>
      <c r="E926" s="7" t="str">
        <f>IFERROR(__xludf.DUMMYFUNCTION("""COMPUTED_VALUE"""),"Influence of country: Former colonial power")</f>
        <v>Influence of country: Former colonial power</v>
      </c>
      <c r="F926" s="7" t="str">
        <f>IFERROR(__xludf.DUMMYFUNCTION("""COMPUTED_VALUE"""),"Portugal")</f>
        <v>Portugal</v>
      </c>
    </row>
    <row r="927">
      <c r="A927" s="7" t="str">
        <f>IFERROR(__xludf.DUMMYFUNCTION("""COMPUTED_VALUE"""),"BENIN")</f>
        <v>BENIN</v>
      </c>
      <c r="B927" s="8">
        <f>IFERROR(__xludf.DUMMYFUNCTION("""COMPUTED_VALUE"""),10.0)</f>
        <v>10</v>
      </c>
      <c r="C927" s="7" t="str">
        <f>IFERROR(__xludf.DUMMYFUNCTION("""COMPUTED_VALUE"""),"K_45")</f>
        <v>K_45</v>
      </c>
      <c r="D927" s="7" t="str">
        <f>IFERROR(__xludf.DUMMYFUNCTION("""COMPUTED_VALUE"""),"Q67a.")</f>
        <v>Q67a.</v>
      </c>
      <c r="E927" s="7" t="str">
        <f>IFERROR(__xludf.DUMMYFUNCTION("""COMPUTED_VALUE"""),"Influence of country: Former colonial power")</f>
        <v>Influence of country: Former colonial power</v>
      </c>
      <c r="F927" s="7" t="str">
        <f>IFERROR(__xludf.DUMMYFUNCTION("""COMPUTED_VALUE"""),"France")</f>
        <v>France</v>
      </c>
    </row>
    <row r="928">
      <c r="A928" s="7" t="str">
        <f>IFERROR(__xludf.DUMMYFUNCTION("""COMPUTED_VALUE"""),"BOTSWANA ")</f>
        <v>BOTSWANA </v>
      </c>
      <c r="B928" s="8">
        <f>IFERROR(__xludf.DUMMYFUNCTION("""COMPUTED_VALUE"""),10.0)</f>
        <v>10</v>
      </c>
      <c r="C928" s="7" t="str">
        <f>IFERROR(__xludf.DUMMYFUNCTION("""COMPUTED_VALUE"""),"K_45")</f>
        <v>K_45</v>
      </c>
      <c r="D928" s="7" t="str">
        <f>IFERROR(__xludf.DUMMYFUNCTION("""COMPUTED_VALUE"""),"Q67a.")</f>
        <v>Q67a.</v>
      </c>
      <c r="E928" s="7" t="str">
        <f>IFERROR(__xludf.DUMMYFUNCTION("""COMPUTED_VALUE"""),"Influence of country: Former colonial power")</f>
        <v>Influence of country: Former colonial power</v>
      </c>
      <c r="F928" s="7" t="str">
        <f>IFERROR(__xludf.DUMMYFUNCTION("""COMPUTED_VALUE""")," Britain ")</f>
        <v> Britain </v>
      </c>
    </row>
    <row r="929">
      <c r="A929" s="7" t="str">
        <f>IFERROR(__xludf.DUMMYFUNCTION("""COMPUTED_VALUE"""),"CABO VERDE ")</f>
        <v>CABO VERDE </v>
      </c>
      <c r="B929" s="8">
        <f>IFERROR(__xludf.DUMMYFUNCTION("""COMPUTED_VALUE"""),10.0)</f>
        <v>10</v>
      </c>
      <c r="C929" s="7" t="str">
        <f>IFERROR(__xludf.DUMMYFUNCTION("""COMPUTED_VALUE"""),"K_45")</f>
        <v>K_45</v>
      </c>
      <c r="D929" s="7" t="str">
        <f>IFERROR(__xludf.DUMMYFUNCTION("""COMPUTED_VALUE"""),"Q67a.")</f>
        <v>Q67a.</v>
      </c>
      <c r="E929" s="7" t="str">
        <f>IFERROR(__xludf.DUMMYFUNCTION("""COMPUTED_VALUE"""),"Influence of country: Former colonial power")</f>
        <v>Influence of country: Former colonial power</v>
      </c>
      <c r="F929" s="7" t="str">
        <f>IFERROR(__xludf.DUMMYFUNCTION("""COMPUTED_VALUE"""),"Portugal")</f>
        <v>Portugal</v>
      </c>
    </row>
    <row r="930">
      <c r="A930" s="7" t="str">
        <f>IFERROR(__xludf.DUMMYFUNCTION("""COMPUTED_VALUE"""),"CAMEROON")</f>
        <v>CAMEROON</v>
      </c>
      <c r="B930" s="8">
        <f>IFERROR(__xludf.DUMMYFUNCTION("""COMPUTED_VALUE"""),10.0)</f>
        <v>10</v>
      </c>
      <c r="C930" s="7" t="str">
        <f>IFERROR(__xludf.DUMMYFUNCTION("""COMPUTED_VALUE"""),"K_45")</f>
        <v>K_45</v>
      </c>
      <c r="D930" s="7" t="str">
        <f>IFERROR(__xludf.DUMMYFUNCTION("""COMPUTED_VALUE"""),"Q67a.")</f>
        <v>Q67a.</v>
      </c>
      <c r="E930" s="7" t="str">
        <f>IFERROR(__xludf.DUMMYFUNCTION("""COMPUTED_VALUE"""),"Influence of country: Former colonial power")</f>
        <v>Influence of country: Former colonial power</v>
      </c>
      <c r="F930" s="7" t="str">
        <f>IFERROR(__xludf.DUMMYFUNCTION("""COMPUTED_VALUE"""),"France")</f>
        <v>France</v>
      </c>
    </row>
    <row r="931">
      <c r="A931" s="7" t="str">
        <f>IFERROR(__xludf.DUMMYFUNCTION("""COMPUTED_VALUE"""),"CHAD")</f>
        <v>CHAD</v>
      </c>
      <c r="B931" s="8">
        <f>IFERROR(__xludf.DUMMYFUNCTION("""COMPUTED_VALUE"""),10.0)</f>
        <v>10</v>
      </c>
      <c r="C931" s="7" t="str">
        <f>IFERROR(__xludf.DUMMYFUNCTION("""COMPUTED_VALUE"""),"K_45")</f>
        <v>K_45</v>
      </c>
      <c r="D931" s="7" t="str">
        <f>IFERROR(__xludf.DUMMYFUNCTION("""COMPUTED_VALUE"""),"Q67a.")</f>
        <v>Q67a.</v>
      </c>
      <c r="E931" s="7" t="str">
        <f>IFERROR(__xludf.DUMMYFUNCTION("""COMPUTED_VALUE"""),"Influence of country: Former colonial power")</f>
        <v>Influence of country: Former colonial power</v>
      </c>
      <c r="F931" s="7" t="str">
        <f>IFERROR(__xludf.DUMMYFUNCTION("""COMPUTED_VALUE"""),"France")</f>
        <v>France</v>
      </c>
    </row>
    <row r="932">
      <c r="A932" s="7" t="str">
        <f>IFERROR(__xludf.DUMMYFUNCTION("""COMPUTED_VALUE"""),"COMOROS")</f>
        <v>COMOROS</v>
      </c>
      <c r="B932" s="8">
        <f>IFERROR(__xludf.DUMMYFUNCTION("""COMPUTED_VALUE"""),10.0)</f>
        <v>10</v>
      </c>
      <c r="C932" s="7" t="str">
        <f>IFERROR(__xludf.DUMMYFUNCTION("""COMPUTED_VALUE"""),"K_45")</f>
        <v>K_45</v>
      </c>
      <c r="D932" s="7" t="str">
        <f>IFERROR(__xludf.DUMMYFUNCTION("""COMPUTED_VALUE"""),"Q67a.")</f>
        <v>Q67a.</v>
      </c>
      <c r="E932" s="7" t="str">
        <f>IFERROR(__xludf.DUMMYFUNCTION("""COMPUTED_VALUE"""),"Influence of country: Former colonial power")</f>
        <v>Influence of country: Former colonial power</v>
      </c>
      <c r="F932" s="7" t="str">
        <f>IFERROR(__xludf.DUMMYFUNCTION("""COMPUTED_VALUE"""),"France")</f>
        <v>France</v>
      </c>
    </row>
    <row r="933">
      <c r="A933" s="7" t="str">
        <f>IFERROR(__xludf.DUMMYFUNCTION("""COMPUTED_VALUE"""),"CONGO BRAZZAVILLE")</f>
        <v>CONGO BRAZZAVILLE</v>
      </c>
      <c r="B933" s="8">
        <f>IFERROR(__xludf.DUMMYFUNCTION("""COMPUTED_VALUE"""),10.0)</f>
        <v>10</v>
      </c>
      <c r="C933" s="7" t="str">
        <f>IFERROR(__xludf.DUMMYFUNCTION("""COMPUTED_VALUE"""),"K_45")</f>
        <v>K_45</v>
      </c>
      <c r="D933" s="7" t="str">
        <f>IFERROR(__xludf.DUMMYFUNCTION("""COMPUTED_VALUE"""),"Q67a.")</f>
        <v>Q67a.</v>
      </c>
      <c r="E933" s="7" t="str">
        <f>IFERROR(__xludf.DUMMYFUNCTION("""COMPUTED_VALUE"""),"Influence of country: Former colonial power")</f>
        <v>Influence of country: Former colonial power</v>
      </c>
      <c r="F933" s="7" t="str">
        <f>IFERROR(__xludf.DUMMYFUNCTION("""COMPUTED_VALUE"""),"France")</f>
        <v>France</v>
      </c>
    </row>
    <row r="934">
      <c r="A934" s="7" t="str">
        <f>IFERROR(__xludf.DUMMYFUNCTION("""COMPUTED_VALUE"""),"COTE D'IVOIRE")</f>
        <v>COTE D'IVOIRE</v>
      </c>
      <c r="B934" s="8">
        <f>IFERROR(__xludf.DUMMYFUNCTION("""COMPUTED_VALUE"""),10.0)</f>
        <v>10</v>
      </c>
      <c r="C934" s="7" t="str">
        <f>IFERROR(__xludf.DUMMYFUNCTION("""COMPUTED_VALUE"""),"K_45")</f>
        <v>K_45</v>
      </c>
      <c r="D934" s="7" t="str">
        <f>IFERROR(__xludf.DUMMYFUNCTION("""COMPUTED_VALUE"""),"Q67a.")</f>
        <v>Q67a.</v>
      </c>
      <c r="E934" s="7" t="str">
        <f>IFERROR(__xludf.DUMMYFUNCTION("""COMPUTED_VALUE"""),"Influence of country: Former colonial power")</f>
        <v>Influence of country: Former colonial power</v>
      </c>
      <c r="F934" s="7" t="str">
        <f>IFERROR(__xludf.DUMMYFUNCTION("""COMPUTED_VALUE"""),"France")</f>
        <v>France</v>
      </c>
    </row>
    <row r="935">
      <c r="A935" s="7" t="str">
        <f>IFERROR(__xludf.DUMMYFUNCTION("""COMPUTED_VALUE"""),"ESWATINI")</f>
        <v>ESWATINI</v>
      </c>
      <c r="B935" s="8">
        <f>IFERROR(__xludf.DUMMYFUNCTION("""COMPUTED_VALUE"""),10.0)</f>
        <v>10</v>
      </c>
      <c r="C935" s="7" t="str">
        <f>IFERROR(__xludf.DUMMYFUNCTION("""COMPUTED_VALUE"""),"K_45")</f>
        <v>K_45</v>
      </c>
      <c r="D935" s="7" t="str">
        <f>IFERROR(__xludf.DUMMYFUNCTION("""COMPUTED_VALUE"""),"Q67a.")</f>
        <v>Q67a.</v>
      </c>
      <c r="E935" s="7" t="str">
        <f>IFERROR(__xludf.DUMMYFUNCTION("""COMPUTED_VALUE"""),"Influence of country: Former colonial power")</f>
        <v>Influence of country: Former colonial power</v>
      </c>
      <c r="F935" s="7" t="str">
        <f>IFERROR(__xludf.DUMMYFUNCTION("""COMPUTED_VALUE"""),"Britain")</f>
        <v>Britain</v>
      </c>
    </row>
    <row r="936">
      <c r="A936" s="7" t="str">
        <f>IFERROR(__xludf.DUMMYFUNCTION("""COMPUTED_VALUE"""),"GABON")</f>
        <v>GABON</v>
      </c>
      <c r="B936" s="8">
        <f>IFERROR(__xludf.DUMMYFUNCTION("""COMPUTED_VALUE"""),10.0)</f>
        <v>10</v>
      </c>
      <c r="C936" s="7" t="str">
        <f>IFERROR(__xludf.DUMMYFUNCTION("""COMPUTED_VALUE"""),"K_45")</f>
        <v>K_45</v>
      </c>
      <c r="D936" s="7" t="str">
        <f>IFERROR(__xludf.DUMMYFUNCTION("""COMPUTED_VALUE"""),"Q67a.")</f>
        <v>Q67a.</v>
      </c>
      <c r="E936" s="7" t="str">
        <f>IFERROR(__xludf.DUMMYFUNCTION("""COMPUTED_VALUE"""),"Influence of country: Former colonial power")</f>
        <v>Influence of country: Former colonial power</v>
      </c>
      <c r="F936" s="7" t="str">
        <f>IFERROR(__xludf.DUMMYFUNCTION("""COMPUTED_VALUE"""),"France")</f>
        <v>France</v>
      </c>
    </row>
    <row r="937">
      <c r="A937" s="7" t="str">
        <f>IFERROR(__xludf.DUMMYFUNCTION("""COMPUTED_VALUE"""),"GAMBIA")</f>
        <v>GAMBIA</v>
      </c>
      <c r="B937" s="8">
        <f>IFERROR(__xludf.DUMMYFUNCTION("""COMPUTED_VALUE"""),10.0)</f>
        <v>10</v>
      </c>
      <c r="C937" s="7" t="str">
        <f>IFERROR(__xludf.DUMMYFUNCTION("""COMPUTED_VALUE"""),"K_45")</f>
        <v>K_45</v>
      </c>
      <c r="D937" s="7" t="str">
        <f>IFERROR(__xludf.DUMMYFUNCTION("""COMPUTED_VALUE"""),"Q67a.")</f>
        <v>Q67a.</v>
      </c>
      <c r="E937" s="7" t="str">
        <f>IFERROR(__xludf.DUMMYFUNCTION("""COMPUTED_VALUE"""),"Influence of country: Former colonial power")</f>
        <v>Influence of country: Former colonial power</v>
      </c>
      <c r="F937" s="7" t="str">
        <f>IFERROR(__xludf.DUMMYFUNCTION("""COMPUTED_VALUE"""),"Britain")</f>
        <v>Britain</v>
      </c>
    </row>
    <row r="938">
      <c r="A938" s="7" t="str">
        <f>IFERROR(__xludf.DUMMYFUNCTION("""COMPUTED_VALUE"""),"GHANA ")</f>
        <v>GHANA </v>
      </c>
      <c r="B938" s="8">
        <f>IFERROR(__xludf.DUMMYFUNCTION("""COMPUTED_VALUE"""),10.0)</f>
        <v>10</v>
      </c>
      <c r="C938" s="7" t="str">
        <f>IFERROR(__xludf.DUMMYFUNCTION("""COMPUTED_VALUE"""),"K_45")</f>
        <v>K_45</v>
      </c>
      <c r="D938" s="7" t="str">
        <f>IFERROR(__xludf.DUMMYFUNCTION("""COMPUTED_VALUE"""),"Q67a.")</f>
        <v>Q67a.</v>
      </c>
      <c r="E938" s="7" t="str">
        <f>IFERROR(__xludf.DUMMYFUNCTION("""COMPUTED_VALUE"""),"Influence of country: Former colonial power")</f>
        <v>Influence of country: Former colonial power</v>
      </c>
      <c r="F938" s="7" t="str">
        <f>IFERROR(__xludf.DUMMYFUNCTION("""COMPUTED_VALUE"""),"Britain")</f>
        <v>Britain</v>
      </c>
    </row>
    <row r="939">
      <c r="A939" s="7" t="str">
        <f>IFERROR(__xludf.DUMMYFUNCTION("""COMPUTED_VALUE"""),"GUINEA")</f>
        <v>GUINEA</v>
      </c>
      <c r="B939" s="8">
        <f>IFERROR(__xludf.DUMMYFUNCTION("""COMPUTED_VALUE"""),10.0)</f>
        <v>10</v>
      </c>
      <c r="C939" s="7" t="str">
        <f>IFERROR(__xludf.DUMMYFUNCTION("""COMPUTED_VALUE"""),"K_45")</f>
        <v>K_45</v>
      </c>
      <c r="D939" s="7" t="str">
        <f>IFERROR(__xludf.DUMMYFUNCTION("""COMPUTED_VALUE"""),"Q67a.")</f>
        <v>Q67a.</v>
      </c>
      <c r="E939" s="7" t="str">
        <f>IFERROR(__xludf.DUMMYFUNCTION("""COMPUTED_VALUE"""),"Influence of country: Former colonial power")</f>
        <v>Influence of country: Former colonial power</v>
      </c>
      <c r="F939" s="7" t="str">
        <f>IFERROR(__xludf.DUMMYFUNCTION("""COMPUTED_VALUE"""),"France")</f>
        <v>France</v>
      </c>
    </row>
    <row r="940">
      <c r="A940" s="7" t="str">
        <f>IFERROR(__xludf.DUMMYFUNCTION("""COMPUTED_VALUE"""),"KENYA  ")</f>
        <v>KENYA  </v>
      </c>
      <c r="B940" s="8">
        <f>IFERROR(__xludf.DUMMYFUNCTION("""COMPUTED_VALUE"""),10.0)</f>
        <v>10</v>
      </c>
      <c r="C940" s="7" t="str">
        <f>IFERROR(__xludf.DUMMYFUNCTION("""COMPUTED_VALUE"""),"K_45")</f>
        <v>K_45</v>
      </c>
      <c r="D940" s="7" t="str">
        <f>IFERROR(__xludf.DUMMYFUNCTION("""COMPUTED_VALUE"""),"Q67a.")</f>
        <v>Q67a.</v>
      </c>
      <c r="E940" s="7" t="str">
        <f>IFERROR(__xludf.DUMMYFUNCTION("""COMPUTED_VALUE"""),"Influence of country: Former colonial power")</f>
        <v>Influence of country: Former colonial power</v>
      </c>
      <c r="F940" s="7" t="str">
        <f>IFERROR(__xludf.DUMMYFUNCTION("""COMPUTED_VALUE"""),"Britain")</f>
        <v>Britain</v>
      </c>
    </row>
    <row r="941">
      <c r="A941" s="7" t="str">
        <f>IFERROR(__xludf.DUMMYFUNCTION("""COMPUTED_VALUE"""),"LESOTHO ")</f>
        <v>LESOTHO </v>
      </c>
      <c r="B941" s="8">
        <f>IFERROR(__xludf.DUMMYFUNCTION("""COMPUTED_VALUE"""),10.0)</f>
        <v>10</v>
      </c>
      <c r="C941" s="7" t="str">
        <f>IFERROR(__xludf.DUMMYFUNCTION("""COMPUTED_VALUE"""),"K_45")</f>
        <v>K_45</v>
      </c>
      <c r="D941" s="7" t="str">
        <f>IFERROR(__xludf.DUMMYFUNCTION("""COMPUTED_VALUE"""),"Q67a.")</f>
        <v>Q67a.</v>
      </c>
      <c r="E941" s="7" t="str">
        <f>IFERROR(__xludf.DUMMYFUNCTION("""COMPUTED_VALUE"""),"Influence of country: Former colonial power")</f>
        <v>Influence of country: Former colonial power</v>
      </c>
      <c r="F941" s="7" t="str">
        <f>IFERROR(__xludf.DUMMYFUNCTION("""COMPUTED_VALUE"""),"Britain")</f>
        <v>Britain</v>
      </c>
    </row>
    <row r="942">
      <c r="A942" s="7" t="str">
        <f>IFERROR(__xludf.DUMMYFUNCTION("""COMPUTED_VALUE"""),"MADAGASCAR")</f>
        <v>MADAGASCAR</v>
      </c>
      <c r="B942" s="8">
        <f>IFERROR(__xludf.DUMMYFUNCTION("""COMPUTED_VALUE"""),10.0)</f>
        <v>10</v>
      </c>
      <c r="C942" s="7" t="str">
        <f>IFERROR(__xludf.DUMMYFUNCTION("""COMPUTED_VALUE"""),"K_45")</f>
        <v>K_45</v>
      </c>
      <c r="D942" s="7" t="str">
        <f>IFERROR(__xludf.DUMMYFUNCTION("""COMPUTED_VALUE"""),"Q67a.")</f>
        <v>Q67a.</v>
      </c>
      <c r="E942" s="7" t="str">
        <f>IFERROR(__xludf.DUMMYFUNCTION("""COMPUTED_VALUE"""),"Influence of country: Former colonial power")</f>
        <v>Influence of country: Former colonial power</v>
      </c>
      <c r="F942" s="7" t="str">
        <f>IFERROR(__xludf.DUMMYFUNCTION("""COMPUTED_VALUE"""),"France")</f>
        <v>France</v>
      </c>
    </row>
    <row r="943">
      <c r="A943" s="7" t="str">
        <f>IFERROR(__xludf.DUMMYFUNCTION("""COMPUTED_VALUE"""),"MALAWI ")</f>
        <v>MALAWI </v>
      </c>
      <c r="B943" s="8">
        <f>IFERROR(__xludf.DUMMYFUNCTION("""COMPUTED_VALUE"""),10.0)</f>
        <v>10</v>
      </c>
      <c r="C943" s="7" t="str">
        <f>IFERROR(__xludf.DUMMYFUNCTION("""COMPUTED_VALUE"""),"K_45")</f>
        <v>K_45</v>
      </c>
      <c r="D943" s="7" t="str">
        <f>IFERROR(__xludf.DUMMYFUNCTION("""COMPUTED_VALUE"""),"Q67a.")</f>
        <v>Q67a.</v>
      </c>
      <c r="E943" s="7" t="str">
        <f>IFERROR(__xludf.DUMMYFUNCTION("""COMPUTED_VALUE"""),"Influence of country: Former colonial power")</f>
        <v>Influence of country: Former colonial power</v>
      </c>
      <c r="F943" s="7" t="str">
        <f>IFERROR(__xludf.DUMMYFUNCTION("""COMPUTED_VALUE"""),"Britain")</f>
        <v>Britain</v>
      </c>
    </row>
    <row r="944">
      <c r="A944" s="7" t="str">
        <f>IFERROR(__xludf.DUMMYFUNCTION("""COMPUTED_VALUE"""),"MALI")</f>
        <v>MALI</v>
      </c>
      <c r="B944" s="8">
        <f>IFERROR(__xludf.DUMMYFUNCTION("""COMPUTED_VALUE"""),10.0)</f>
        <v>10</v>
      </c>
      <c r="C944" s="7" t="str">
        <f>IFERROR(__xludf.DUMMYFUNCTION("""COMPUTED_VALUE"""),"K_45")</f>
        <v>K_45</v>
      </c>
      <c r="D944" s="7" t="str">
        <f>IFERROR(__xludf.DUMMYFUNCTION("""COMPUTED_VALUE"""),"Q67a.")</f>
        <v>Q67a.</v>
      </c>
      <c r="E944" s="7" t="str">
        <f>IFERROR(__xludf.DUMMYFUNCTION("""COMPUTED_VALUE"""),"Influence of country: Former colonial power")</f>
        <v>Influence of country: Former colonial power</v>
      </c>
      <c r="F944" s="7" t="str">
        <f>IFERROR(__xludf.DUMMYFUNCTION("""COMPUTED_VALUE"""),"France")</f>
        <v>France</v>
      </c>
    </row>
    <row r="945">
      <c r="A945" s="7" t="str">
        <f>IFERROR(__xludf.DUMMYFUNCTION("""COMPUTED_VALUE"""),"MAURITANIA")</f>
        <v>MAURITANIA</v>
      </c>
      <c r="B945" s="8">
        <f>IFERROR(__xludf.DUMMYFUNCTION("""COMPUTED_VALUE"""),10.0)</f>
        <v>10</v>
      </c>
      <c r="C945" s="7" t="str">
        <f>IFERROR(__xludf.DUMMYFUNCTION("""COMPUTED_VALUE"""),"K_45")</f>
        <v>K_45</v>
      </c>
      <c r="D945" s="7" t="str">
        <f>IFERROR(__xludf.DUMMYFUNCTION("""COMPUTED_VALUE"""),"Q67a.")</f>
        <v>Q67a.</v>
      </c>
      <c r="E945" s="7" t="str">
        <f>IFERROR(__xludf.DUMMYFUNCTION("""COMPUTED_VALUE"""),"Influence of country: Former colonial power")</f>
        <v>Influence of country: Former colonial power</v>
      </c>
      <c r="F945" s="7" t="str">
        <f>IFERROR(__xludf.DUMMYFUNCTION("""COMPUTED_VALUE"""),"France")</f>
        <v>France</v>
      </c>
    </row>
    <row r="946">
      <c r="A946" s="7" t="str">
        <f>IFERROR(__xludf.DUMMYFUNCTION("""COMPUTED_VALUE"""),"MAURITIUS")</f>
        <v>MAURITIUS</v>
      </c>
      <c r="B946" s="8">
        <f>IFERROR(__xludf.DUMMYFUNCTION("""COMPUTED_VALUE"""),10.0)</f>
        <v>10</v>
      </c>
      <c r="C946" s="7" t="str">
        <f>IFERROR(__xludf.DUMMYFUNCTION("""COMPUTED_VALUE"""),"K_45")</f>
        <v>K_45</v>
      </c>
      <c r="D946" s="7" t="str">
        <f>IFERROR(__xludf.DUMMYFUNCTION("""COMPUTED_VALUE"""),"Q67a.")</f>
        <v>Q67a.</v>
      </c>
      <c r="E946" s="7" t="str">
        <f>IFERROR(__xludf.DUMMYFUNCTION("""COMPUTED_VALUE"""),"Influence of country: Former colonial power")</f>
        <v>Influence of country: Former colonial power</v>
      </c>
      <c r="F946" s="7" t="str">
        <f>IFERROR(__xludf.DUMMYFUNCTION("""COMPUTED_VALUE"""),"Britain")</f>
        <v>Britain</v>
      </c>
    </row>
    <row r="947">
      <c r="A947" s="7" t="str">
        <f>IFERROR(__xludf.DUMMYFUNCTION("""COMPUTED_VALUE"""),"MOROCCO ")</f>
        <v>MOROCCO </v>
      </c>
      <c r="B947" s="8">
        <f>IFERROR(__xludf.DUMMYFUNCTION("""COMPUTED_VALUE"""),10.0)</f>
        <v>10</v>
      </c>
      <c r="C947" s="7" t="str">
        <f>IFERROR(__xludf.DUMMYFUNCTION("""COMPUTED_VALUE"""),"K_45")</f>
        <v>K_45</v>
      </c>
      <c r="D947" s="7" t="str">
        <f>IFERROR(__xludf.DUMMYFUNCTION("""COMPUTED_VALUE"""),"Q67a.")</f>
        <v>Q67a.</v>
      </c>
      <c r="E947" s="7" t="str">
        <f>IFERROR(__xludf.DUMMYFUNCTION("""COMPUTED_VALUE"""),"Influence of country: Former colonial power")</f>
        <v>Influence of country: Former colonial power</v>
      </c>
      <c r="F947" s="7" t="str">
        <f>IFERROR(__xludf.DUMMYFUNCTION("""COMPUTED_VALUE"""),"France")</f>
        <v>France</v>
      </c>
    </row>
    <row r="948">
      <c r="A948" s="7" t="str">
        <f>IFERROR(__xludf.DUMMYFUNCTION("""COMPUTED_VALUE"""),"MOZAMBIQUE")</f>
        <v>MOZAMBIQUE</v>
      </c>
      <c r="B948" s="8">
        <f>IFERROR(__xludf.DUMMYFUNCTION("""COMPUTED_VALUE"""),10.0)</f>
        <v>10</v>
      </c>
      <c r="C948" s="7" t="str">
        <f>IFERROR(__xludf.DUMMYFUNCTION("""COMPUTED_VALUE"""),"K_45")</f>
        <v>K_45</v>
      </c>
      <c r="D948" s="7" t="str">
        <f>IFERROR(__xludf.DUMMYFUNCTION("""COMPUTED_VALUE"""),"Q67a.")</f>
        <v>Q67a.</v>
      </c>
      <c r="E948" s="7" t="str">
        <f>IFERROR(__xludf.DUMMYFUNCTION("""COMPUTED_VALUE"""),"Influence of country: Former colonial power")</f>
        <v>Influence of country: Former colonial power</v>
      </c>
      <c r="F948" s="7" t="str">
        <f>IFERROR(__xludf.DUMMYFUNCTION("""COMPUTED_VALUE"""),"Portugal")</f>
        <v>Portugal</v>
      </c>
    </row>
    <row r="949">
      <c r="A949" s="7" t="str">
        <f>IFERROR(__xludf.DUMMYFUNCTION("""COMPUTED_VALUE"""),"NAMIBIA ")</f>
        <v>NAMIBIA </v>
      </c>
      <c r="B949" s="8">
        <f>IFERROR(__xludf.DUMMYFUNCTION("""COMPUTED_VALUE"""),10.0)</f>
        <v>10</v>
      </c>
      <c r="C949" s="7" t="str">
        <f>IFERROR(__xludf.DUMMYFUNCTION("""COMPUTED_VALUE"""),"K_45")</f>
        <v>K_45</v>
      </c>
      <c r="D949" s="7" t="str">
        <f>IFERROR(__xludf.DUMMYFUNCTION("""COMPUTED_VALUE"""),"Q67a.")</f>
        <v>Q67a.</v>
      </c>
      <c r="E949" s="7" t="str">
        <f>IFERROR(__xludf.DUMMYFUNCTION("""COMPUTED_VALUE"""),"Influence of country: Former colonial power")</f>
        <v>Influence of country: Former colonial power</v>
      </c>
      <c r="F949" s="7" t="str">
        <f>IFERROR(__xludf.DUMMYFUNCTION("""COMPUTED_VALUE"""),"Germany")</f>
        <v>Germany</v>
      </c>
    </row>
    <row r="950">
      <c r="A950" s="7" t="str">
        <f>IFERROR(__xludf.DUMMYFUNCTION("""COMPUTED_VALUE"""),"NIGERIA ")</f>
        <v>NIGERIA </v>
      </c>
      <c r="B950" s="8">
        <f>IFERROR(__xludf.DUMMYFUNCTION("""COMPUTED_VALUE"""),10.0)</f>
        <v>10</v>
      </c>
      <c r="C950" s="7" t="str">
        <f>IFERROR(__xludf.DUMMYFUNCTION("""COMPUTED_VALUE"""),"K_45")</f>
        <v>K_45</v>
      </c>
      <c r="D950" s="7" t="str">
        <f>IFERROR(__xludf.DUMMYFUNCTION("""COMPUTED_VALUE"""),"Q67a.")</f>
        <v>Q67a.</v>
      </c>
      <c r="E950" s="7" t="str">
        <f>IFERROR(__xludf.DUMMYFUNCTION("""COMPUTED_VALUE"""),"Influence of country: Former colonial power")</f>
        <v>Influence of country: Former colonial power</v>
      </c>
      <c r="F950" s="7" t="str">
        <f>IFERROR(__xludf.DUMMYFUNCTION("""COMPUTED_VALUE"""),"Britain")</f>
        <v>Britain</v>
      </c>
    </row>
    <row r="951">
      <c r="A951" s="7" t="str">
        <f>IFERROR(__xludf.DUMMYFUNCTION("""COMPUTED_VALUE"""),"SAO TOME AND PRINCIPE")</f>
        <v>SAO TOME AND PRINCIPE</v>
      </c>
      <c r="B951" s="8">
        <f>IFERROR(__xludf.DUMMYFUNCTION("""COMPUTED_VALUE"""),10.0)</f>
        <v>10</v>
      </c>
      <c r="C951" s="7" t="str">
        <f>IFERROR(__xludf.DUMMYFUNCTION("""COMPUTED_VALUE"""),"K_45")</f>
        <v>K_45</v>
      </c>
      <c r="D951" s="7" t="str">
        <f>IFERROR(__xludf.DUMMYFUNCTION("""COMPUTED_VALUE"""),"Q67a.")</f>
        <v>Q67a.</v>
      </c>
      <c r="E951" s="7" t="str">
        <f>IFERROR(__xludf.DUMMYFUNCTION("""COMPUTED_VALUE"""),"Influence of country: Former colonial power")</f>
        <v>Influence of country: Former colonial power</v>
      </c>
      <c r="F951" s="7" t="str">
        <f>IFERROR(__xludf.DUMMYFUNCTION("""COMPUTED_VALUE"""),"Portugal ")</f>
        <v>Portugal </v>
      </c>
    </row>
    <row r="952">
      <c r="A952" s="7" t="str">
        <f>IFERROR(__xludf.DUMMYFUNCTION("""COMPUTED_VALUE"""),"SENEGAL")</f>
        <v>SENEGAL</v>
      </c>
      <c r="B952" s="8">
        <f>IFERROR(__xludf.DUMMYFUNCTION("""COMPUTED_VALUE"""),10.0)</f>
        <v>10</v>
      </c>
      <c r="C952" s="7" t="str">
        <f>IFERROR(__xludf.DUMMYFUNCTION("""COMPUTED_VALUE"""),"K_45")</f>
        <v>K_45</v>
      </c>
      <c r="D952" s="7" t="str">
        <f>IFERROR(__xludf.DUMMYFUNCTION("""COMPUTED_VALUE"""),"Q67a.")</f>
        <v>Q67a.</v>
      </c>
      <c r="E952" s="7" t="str">
        <f>IFERROR(__xludf.DUMMYFUNCTION("""COMPUTED_VALUE"""),"Influence of country: Former colonial power")</f>
        <v>Influence of country: Former colonial power</v>
      </c>
      <c r="F952" s="7" t="str">
        <f>IFERROR(__xludf.DUMMYFUNCTION("""COMPUTED_VALUE"""),"France")</f>
        <v>France</v>
      </c>
    </row>
    <row r="953">
      <c r="A953" s="7" t="str">
        <f>IFERROR(__xludf.DUMMYFUNCTION("""COMPUTED_VALUE"""),"SEYCHELLES")</f>
        <v>SEYCHELLES</v>
      </c>
      <c r="B953" s="8">
        <f>IFERROR(__xludf.DUMMYFUNCTION("""COMPUTED_VALUE"""),10.0)</f>
        <v>10</v>
      </c>
      <c r="C953" s="7" t="str">
        <f>IFERROR(__xludf.DUMMYFUNCTION("""COMPUTED_VALUE"""),"K_45")</f>
        <v>K_45</v>
      </c>
      <c r="D953" s="7" t="str">
        <f>IFERROR(__xludf.DUMMYFUNCTION("""COMPUTED_VALUE"""),"Q67a.")</f>
        <v>Q67a.</v>
      </c>
      <c r="E953" s="7" t="str">
        <f>IFERROR(__xludf.DUMMYFUNCTION("""COMPUTED_VALUE"""),"Influence of country: Former colonial power")</f>
        <v>Influence of country: Former colonial power</v>
      </c>
      <c r="F953" s="7" t="str">
        <f>IFERROR(__xludf.DUMMYFUNCTION("""COMPUTED_VALUE""")," Britain")</f>
        <v> Britain</v>
      </c>
    </row>
    <row r="954">
      <c r="A954" s="7" t="str">
        <f>IFERROR(__xludf.DUMMYFUNCTION("""COMPUTED_VALUE"""),"SOUTH AFRICA")</f>
        <v>SOUTH AFRICA</v>
      </c>
      <c r="B954" s="8">
        <f>IFERROR(__xludf.DUMMYFUNCTION("""COMPUTED_VALUE"""),10.0)</f>
        <v>10</v>
      </c>
      <c r="C954" s="7" t="str">
        <f>IFERROR(__xludf.DUMMYFUNCTION("""COMPUTED_VALUE"""),"K_45")</f>
        <v>K_45</v>
      </c>
      <c r="D954" s="7" t="str">
        <f>IFERROR(__xludf.DUMMYFUNCTION("""COMPUTED_VALUE"""),"Q67a.")</f>
        <v>Q67a.</v>
      </c>
      <c r="E954" s="7" t="str">
        <f>IFERROR(__xludf.DUMMYFUNCTION("""COMPUTED_VALUE"""),"Influence of country: Former colonial power")</f>
        <v>Influence of country: Former colonial power</v>
      </c>
      <c r="F954" s="7" t="str">
        <f>IFERROR(__xludf.DUMMYFUNCTION("""COMPUTED_VALUE"""),"Britain")</f>
        <v>Britain</v>
      </c>
    </row>
    <row r="955">
      <c r="A955" s="7" t="str">
        <f>IFERROR(__xludf.DUMMYFUNCTION("""COMPUTED_VALUE"""),"TANZANIA")</f>
        <v>TANZANIA</v>
      </c>
      <c r="B955" s="8">
        <f>IFERROR(__xludf.DUMMYFUNCTION("""COMPUTED_VALUE"""),10.0)</f>
        <v>10</v>
      </c>
      <c r="C955" s="7" t="str">
        <f>IFERROR(__xludf.DUMMYFUNCTION("""COMPUTED_VALUE"""),"K_45")</f>
        <v>K_45</v>
      </c>
      <c r="D955" s="7" t="str">
        <f>IFERROR(__xludf.DUMMYFUNCTION("""COMPUTED_VALUE"""),"Q67a.")</f>
        <v>Q67a.</v>
      </c>
      <c r="E955" s="7" t="str">
        <f>IFERROR(__xludf.DUMMYFUNCTION("""COMPUTED_VALUE"""),"Influence of country: Former colonial power")</f>
        <v>Influence of country: Former colonial power</v>
      </c>
      <c r="F955" s="7" t="str">
        <f>IFERROR(__xludf.DUMMYFUNCTION("""COMPUTED_VALUE"""),"Britain")</f>
        <v>Britain</v>
      </c>
    </row>
    <row r="956">
      <c r="A956" s="7" t="str">
        <f>IFERROR(__xludf.DUMMYFUNCTION("""COMPUTED_VALUE"""),"TOGO ")</f>
        <v>TOGO </v>
      </c>
      <c r="B956" s="8">
        <f>IFERROR(__xludf.DUMMYFUNCTION("""COMPUTED_VALUE"""),10.0)</f>
        <v>10</v>
      </c>
      <c r="C956" s="7" t="str">
        <f>IFERROR(__xludf.DUMMYFUNCTION("""COMPUTED_VALUE"""),"K_45")</f>
        <v>K_45</v>
      </c>
      <c r="D956" s="7" t="str">
        <f>IFERROR(__xludf.DUMMYFUNCTION("""COMPUTED_VALUE"""),"Q67a.")</f>
        <v>Q67a.</v>
      </c>
      <c r="E956" s="7" t="str">
        <f>IFERROR(__xludf.DUMMYFUNCTION("""COMPUTED_VALUE"""),"Influence of country: Former colonial power")</f>
        <v>Influence of country: Former colonial power</v>
      </c>
      <c r="F956" s="7" t="str">
        <f>IFERROR(__xludf.DUMMYFUNCTION("""COMPUTED_VALUE"""),"France")</f>
        <v>France</v>
      </c>
    </row>
    <row r="957">
      <c r="A957" s="7" t="str">
        <f>IFERROR(__xludf.DUMMYFUNCTION("""COMPUTED_VALUE"""),"TUNISIA ")</f>
        <v>TUNISIA </v>
      </c>
      <c r="B957" s="8">
        <f>IFERROR(__xludf.DUMMYFUNCTION("""COMPUTED_VALUE"""),10.0)</f>
        <v>10</v>
      </c>
      <c r="C957" s="7" t="str">
        <f>IFERROR(__xludf.DUMMYFUNCTION("""COMPUTED_VALUE"""),"K_45")</f>
        <v>K_45</v>
      </c>
      <c r="D957" s="7" t="str">
        <f>IFERROR(__xludf.DUMMYFUNCTION("""COMPUTED_VALUE"""),"Q67a.")</f>
        <v>Q67a.</v>
      </c>
      <c r="E957" s="7" t="str">
        <f>IFERROR(__xludf.DUMMYFUNCTION("""COMPUTED_VALUE"""),"Influence of country: Former colonial power")</f>
        <v>Influence of country: Former colonial power</v>
      </c>
      <c r="F957" s="7" t="str">
        <f>IFERROR(__xludf.DUMMYFUNCTION("""COMPUTED_VALUE"""),"France")</f>
        <v>France</v>
      </c>
    </row>
    <row r="958">
      <c r="A958" s="7" t="str">
        <f>IFERROR(__xludf.DUMMYFUNCTION("""COMPUTED_VALUE"""),"UGANDA  ")</f>
        <v>UGANDA  </v>
      </c>
      <c r="B958" s="8">
        <f>IFERROR(__xludf.DUMMYFUNCTION("""COMPUTED_VALUE"""),10.0)</f>
        <v>10</v>
      </c>
      <c r="C958" s="7" t="str">
        <f>IFERROR(__xludf.DUMMYFUNCTION("""COMPUTED_VALUE"""),"K_45")</f>
        <v>K_45</v>
      </c>
      <c r="D958" s="7" t="str">
        <f>IFERROR(__xludf.DUMMYFUNCTION("""COMPUTED_VALUE"""),"Q67a.")</f>
        <v>Q67a.</v>
      </c>
      <c r="E958" s="7" t="str">
        <f>IFERROR(__xludf.DUMMYFUNCTION("""COMPUTED_VALUE"""),"Influence of country: Former colonial power")</f>
        <v>Influence of country: Former colonial power</v>
      </c>
      <c r="F958" s="7" t="str">
        <f>IFERROR(__xludf.DUMMYFUNCTION("""COMPUTED_VALUE"""),"Britain")</f>
        <v>Britain</v>
      </c>
    </row>
    <row r="959">
      <c r="A959" s="7" t="str">
        <f>IFERROR(__xludf.DUMMYFUNCTION("""COMPUTED_VALUE"""),"ZAMBIA")</f>
        <v>ZAMBIA</v>
      </c>
      <c r="B959" s="8">
        <f>IFERROR(__xludf.DUMMYFUNCTION("""COMPUTED_VALUE"""),10.0)</f>
        <v>10</v>
      </c>
      <c r="C959" s="7" t="str">
        <f>IFERROR(__xludf.DUMMYFUNCTION("""COMPUTED_VALUE"""),"K_45")</f>
        <v>K_45</v>
      </c>
      <c r="D959" s="7" t="str">
        <f>IFERROR(__xludf.DUMMYFUNCTION("""COMPUTED_VALUE"""),"Q67a.")</f>
        <v>Q67a.</v>
      </c>
      <c r="E959" s="7" t="str">
        <f>IFERROR(__xludf.DUMMYFUNCTION("""COMPUTED_VALUE"""),"Influence of country: Former colonial power")</f>
        <v>Influence of country: Former colonial power</v>
      </c>
      <c r="F959" s="7" t="str">
        <f>IFERROR(__xludf.DUMMYFUNCTION("""COMPUTED_VALUE"""),"Britain")</f>
        <v>Britain</v>
      </c>
    </row>
    <row r="960">
      <c r="A960" s="7" t="str">
        <f>IFERROR(__xludf.DUMMYFUNCTION("""COMPUTED_VALUE"""),"ZIMBABWE")</f>
        <v>ZIMBABWE</v>
      </c>
      <c r="B960" s="8">
        <f>IFERROR(__xludf.DUMMYFUNCTION("""COMPUTED_VALUE"""),10.0)</f>
        <v>10</v>
      </c>
      <c r="C960" s="7" t="str">
        <f>IFERROR(__xludf.DUMMYFUNCTION("""COMPUTED_VALUE"""),"K_45")</f>
        <v>K_45</v>
      </c>
      <c r="D960" s="7" t="str">
        <f>IFERROR(__xludf.DUMMYFUNCTION("""COMPUTED_VALUE"""),"Q67a.")</f>
        <v>Q67a.</v>
      </c>
      <c r="E960" s="7" t="str">
        <f>IFERROR(__xludf.DUMMYFUNCTION("""COMPUTED_VALUE"""),"Influence of country: Former colonial power")</f>
        <v>Influence of country: Former colonial power</v>
      </c>
      <c r="F960" s="7" t="str">
        <f>IFERROR(__xludf.DUMMYFUNCTION("""COMPUTED_VALUE"""),"Britain")</f>
        <v>Britain</v>
      </c>
    </row>
    <row r="961">
      <c r="A961" s="7" t="str">
        <f>IFERROR(__xludf.DUMMYFUNCTION("""COMPUTED_VALUE"""),"ANGOLA ")</f>
        <v>ANGOLA </v>
      </c>
      <c r="B961" s="8">
        <f>IFERROR(__xludf.DUMMYFUNCTION("""COMPUTED_VALUE"""),10.0)</f>
        <v>10</v>
      </c>
      <c r="C961" s="7" t="str">
        <f>IFERROR(__xludf.DUMMYFUNCTION("""COMPUTED_VALUE"""),"K_49")</f>
        <v>K_49</v>
      </c>
      <c r="D961" s="7" t="str">
        <f>IFERROR(__xludf.DUMMYFUNCTION("""COMPUTED_VALUE"""),"Q67g. ")</f>
        <v>Q67g. </v>
      </c>
      <c r="E961" s="7" t="str">
        <f>IFERROR(__xludf.DUMMYFUNCTION("""COMPUTED_VALUE"""),"Influence of organization: Regional organisation")</f>
        <v>Influence of organization: Regional organisation</v>
      </c>
      <c r="F961" s="7" t="str">
        <f>IFERROR(__xludf.DUMMYFUNCTION("""COMPUTED_VALUE"""),"SADC")</f>
        <v>SADC</v>
      </c>
    </row>
    <row r="962">
      <c r="A962" s="7" t="str">
        <f>IFERROR(__xludf.DUMMYFUNCTION("""COMPUTED_VALUE"""),"BENIN")</f>
        <v>BENIN</v>
      </c>
      <c r="B962" s="8">
        <f>IFERROR(__xludf.DUMMYFUNCTION("""COMPUTED_VALUE"""),10.0)</f>
        <v>10</v>
      </c>
      <c r="C962" s="7" t="str">
        <f>IFERROR(__xludf.DUMMYFUNCTION("""COMPUTED_VALUE"""),"K_49")</f>
        <v>K_49</v>
      </c>
      <c r="D962" s="7" t="str">
        <f>IFERROR(__xludf.DUMMYFUNCTION("""COMPUTED_VALUE"""),"Q67g. ")</f>
        <v>Q67g. </v>
      </c>
      <c r="E962" s="7" t="str">
        <f>IFERROR(__xludf.DUMMYFUNCTION("""COMPUTED_VALUE"""),"Influence of organization: Regional organisation")</f>
        <v>Influence of organization: Regional organisation</v>
      </c>
      <c r="F962" s="7" t="str">
        <f>IFERROR(__xludf.DUMMYFUNCTION("""COMPUTED_VALUE"""),"ECOWAS")</f>
        <v>ECOWAS</v>
      </c>
    </row>
    <row r="963">
      <c r="A963" s="7" t="str">
        <f>IFERROR(__xludf.DUMMYFUNCTION("""COMPUTED_VALUE"""),"BOTSWANA ")</f>
        <v>BOTSWANA </v>
      </c>
      <c r="B963" s="8">
        <f>IFERROR(__xludf.DUMMYFUNCTION("""COMPUTED_VALUE"""),10.0)</f>
        <v>10</v>
      </c>
      <c r="C963" s="7" t="str">
        <f>IFERROR(__xludf.DUMMYFUNCTION("""COMPUTED_VALUE"""),"K_49")</f>
        <v>K_49</v>
      </c>
      <c r="D963" s="7" t="str">
        <f>IFERROR(__xludf.DUMMYFUNCTION("""COMPUTED_VALUE"""),"Q67g. ")</f>
        <v>Q67g. </v>
      </c>
      <c r="E963" s="7" t="str">
        <f>IFERROR(__xludf.DUMMYFUNCTION("""COMPUTED_VALUE"""),"Influence of organization: Regional organisation")</f>
        <v>Influence of organization: Regional organisation</v>
      </c>
      <c r="F963" s="7" t="str">
        <f>IFERROR(__xludf.DUMMYFUNCTION("""COMPUTED_VALUE"""),"SADC")</f>
        <v>SADC</v>
      </c>
    </row>
    <row r="964">
      <c r="A964" s="7" t="str">
        <f>IFERROR(__xludf.DUMMYFUNCTION("""COMPUTED_VALUE"""),"CABO VERDE ")</f>
        <v>CABO VERDE </v>
      </c>
      <c r="B964" s="8">
        <f>IFERROR(__xludf.DUMMYFUNCTION("""COMPUTED_VALUE"""),10.0)</f>
        <v>10</v>
      </c>
      <c r="C964" s="7" t="str">
        <f>IFERROR(__xludf.DUMMYFUNCTION("""COMPUTED_VALUE"""),"K_49")</f>
        <v>K_49</v>
      </c>
      <c r="D964" s="7" t="str">
        <f>IFERROR(__xludf.DUMMYFUNCTION("""COMPUTED_VALUE"""),"Q67g. ")</f>
        <v>Q67g. </v>
      </c>
      <c r="E964" s="7" t="str">
        <f>IFERROR(__xludf.DUMMYFUNCTION("""COMPUTED_VALUE"""),"Influence of organization: Regional organisation")</f>
        <v>Influence of organization: Regional organisation</v>
      </c>
      <c r="F964" s="7" t="str">
        <f>IFERROR(__xludf.DUMMYFUNCTION("""COMPUTED_VALUE"""),"ECOWAS")</f>
        <v>ECOWAS</v>
      </c>
    </row>
    <row r="965">
      <c r="A965" s="7" t="str">
        <f>IFERROR(__xludf.DUMMYFUNCTION("""COMPUTED_VALUE"""),"CAMEROON")</f>
        <v>CAMEROON</v>
      </c>
      <c r="B965" s="8">
        <f>IFERROR(__xludf.DUMMYFUNCTION("""COMPUTED_VALUE"""),10.0)</f>
        <v>10</v>
      </c>
      <c r="C965" s="7" t="str">
        <f>IFERROR(__xludf.DUMMYFUNCTION("""COMPUTED_VALUE"""),"K_49")</f>
        <v>K_49</v>
      </c>
      <c r="D965" s="7" t="str">
        <f>IFERROR(__xludf.DUMMYFUNCTION("""COMPUTED_VALUE"""),"Q67g. ")</f>
        <v>Q67g. </v>
      </c>
      <c r="E965" s="7" t="str">
        <f>IFERROR(__xludf.DUMMYFUNCTION("""COMPUTED_VALUE"""),"Influence of organization: Regional organisation")</f>
        <v>Influence of organization: Regional organisation</v>
      </c>
      <c r="F965" s="7" t="str">
        <f>IFERROR(__xludf.DUMMYFUNCTION("""COMPUTED_VALUE"""),"ECCAS")</f>
        <v>ECCAS</v>
      </c>
    </row>
    <row r="966">
      <c r="A966" s="7" t="str">
        <f>IFERROR(__xludf.DUMMYFUNCTION("""COMPUTED_VALUE"""),"CHAD")</f>
        <v>CHAD</v>
      </c>
      <c r="B966" s="8">
        <f>IFERROR(__xludf.DUMMYFUNCTION("""COMPUTED_VALUE"""),10.0)</f>
        <v>10</v>
      </c>
      <c r="C966" s="7" t="str">
        <f>IFERROR(__xludf.DUMMYFUNCTION("""COMPUTED_VALUE"""),"K_49")</f>
        <v>K_49</v>
      </c>
      <c r="D966" s="7" t="str">
        <f>IFERROR(__xludf.DUMMYFUNCTION("""COMPUTED_VALUE"""),"Q67g. ")</f>
        <v>Q67g. </v>
      </c>
      <c r="E966" s="7" t="str">
        <f>IFERROR(__xludf.DUMMYFUNCTION("""COMPUTED_VALUE"""),"Influence of organization: Regional organisation")</f>
        <v>Influence of organization: Regional organisation</v>
      </c>
      <c r="F966" s="7" t="str">
        <f>IFERROR(__xludf.DUMMYFUNCTION("""COMPUTED_VALUE"""),"ECCAS")</f>
        <v>ECCAS</v>
      </c>
    </row>
    <row r="967">
      <c r="A967" s="7" t="str">
        <f>IFERROR(__xludf.DUMMYFUNCTION("""COMPUTED_VALUE"""),"COMOROS")</f>
        <v>COMOROS</v>
      </c>
      <c r="B967" s="8">
        <f>IFERROR(__xludf.DUMMYFUNCTION("""COMPUTED_VALUE"""),10.0)</f>
        <v>10</v>
      </c>
      <c r="C967" s="7" t="str">
        <f>IFERROR(__xludf.DUMMYFUNCTION("""COMPUTED_VALUE"""),"K_49")</f>
        <v>K_49</v>
      </c>
      <c r="D967" s="7" t="str">
        <f>IFERROR(__xludf.DUMMYFUNCTION("""COMPUTED_VALUE"""),"Q67g. ")</f>
        <v>Q67g. </v>
      </c>
      <c r="E967" s="7" t="str">
        <f>IFERROR(__xludf.DUMMYFUNCTION("""COMPUTED_VALUE"""),"Influence of organization: Regional organisation")</f>
        <v>Influence of organization: Regional organisation</v>
      </c>
      <c r="F967" s="7" t="str">
        <f>IFERROR(__xludf.DUMMYFUNCTION("""COMPUTED_VALUE"""),"SADC")</f>
        <v>SADC</v>
      </c>
    </row>
    <row r="968">
      <c r="A968" s="7" t="str">
        <f>IFERROR(__xludf.DUMMYFUNCTION("""COMPUTED_VALUE"""),"CONGO BRAZZAVILLE")</f>
        <v>CONGO BRAZZAVILLE</v>
      </c>
      <c r="B968" s="8">
        <f>IFERROR(__xludf.DUMMYFUNCTION("""COMPUTED_VALUE"""),10.0)</f>
        <v>10</v>
      </c>
      <c r="C968" s="7" t="str">
        <f>IFERROR(__xludf.DUMMYFUNCTION("""COMPUTED_VALUE"""),"K_49")</f>
        <v>K_49</v>
      </c>
      <c r="D968" s="7" t="str">
        <f>IFERROR(__xludf.DUMMYFUNCTION("""COMPUTED_VALUE"""),"Q67g. ")</f>
        <v>Q67g. </v>
      </c>
      <c r="E968" s="7" t="str">
        <f>IFERROR(__xludf.DUMMYFUNCTION("""COMPUTED_VALUE"""),"Influence of organization: Regional organisation")</f>
        <v>Influence of organization: Regional organisation</v>
      </c>
      <c r="F968" s="7" t="str">
        <f>IFERROR(__xludf.DUMMYFUNCTION("""COMPUTED_VALUE"""),"ECCAS")</f>
        <v>ECCAS</v>
      </c>
    </row>
    <row r="969">
      <c r="A969" s="7" t="str">
        <f>IFERROR(__xludf.DUMMYFUNCTION("""COMPUTED_VALUE"""),"COTE D'IVOIRE")</f>
        <v>COTE D'IVOIRE</v>
      </c>
      <c r="B969" s="8">
        <f>IFERROR(__xludf.DUMMYFUNCTION("""COMPUTED_VALUE"""),10.0)</f>
        <v>10</v>
      </c>
      <c r="C969" s="7" t="str">
        <f>IFERROR(__xludf.DUMMYFUNCTION("""COMPUTED_VALUE"""),"K_49")</f>
        <v>K_49</v>
      </c>
      <c r="D969" s="7" t="str">
        <f>IFERROR(__xludf.DUMMYFUNCTION("""COMPUTED_VALUE"""),"Q67g. ")</f>
        <v>Q67g. </v>
      </c>
      <c r="E969" s="7" t="str">
        <f>IFERROR(__xludf.DUMMYFUNCTION("""COMPUTED_VALUE"""),"Influence of organization: Regional organisation")</f>
        <v>Influence of organization: Regional organisation</v>
      </c>
      <c r="F969" s="7" t="str">
        <f>IFERROR(__xludf.DUMMYFUNCTION("""COMPUTED_VALUE"""),"ECOWAS")</f>
        <v>ECOWAS</v>
      </c>
    </row>
    <row r="970">
      <c r="A970" s="7" t="str">
        <f>IFERROR(__xludf.DUMMYFUNCTION("""COMPUTED_VALUE"""),"ESWATINI")</f>
        <v>ESWATINI</v>
      </c>
      <c r="B970" s="8">
        <f>IFERROR(__xludf.DUMMYFUNCTION("""COMPUTED_VALUE"""),10.0)</f>
        <v>10</v>
      </c>
      <c r="C970" s="7" t="str">
        <f>IFERROR(__xludf.DUMMYFUNCTION("""COMPUTED_VALUE"""),"K_49")</f>
        <v>K_49</v>
      </c>
      <c r="D970" s="7" t="str">
        <f>IFERROR(__xludf.DUMMYFUNCTION("""COMPUTED_VALUE"""),"Q67g. ")</f>
        <v>Q67g. </v>
      </c>
      <c r="E970" s="7" t="str">
        <f>IFERROR(__xludf.DUMMYFUNCTION("""COMPUTED_VALUE"""),"Influence of organization: Regional organisation")</f>
        <v>Influence of organization: Regional organisation</v>
      </c>
      <c r="F970" s="7" t="str">
        <f>IFERROR(__xludf.DUMMYFUNCTION("""COMPUTED_VALUE"""),"SADC")</f>
        <v>SADC</v>
      </c>
    </row>
    <row r="971">
      <c r="A971" s="7" t="str">
        <f>IFERROR(__xludf.DUMMYFUNCTION("""COMPUTED_VALUE"""),"GABON")</f>
        <v>GABON</v>
      </c>
      <c r="B971" s="8">
        <f>IFERROR(__xludf.DUMMYFUNCTION("""COMPUTED_VALUE"""),10.0)</f>
        <v>10</v>
      </c>
      <c r="C971" s="7" t="str">
        <f>IFERROR(__xludf.DUMMYFUNCTION("""COMPUTED_VALUE"""),"K_49")</f>
        <v>K_49</v>
      </c>
      <c r="D971" s="7" t="str">
        <f>IFERROR(__xludf.DUMMYFUNCTION("""COMPUTED_VALUE"""),"Q67g. ")</f>
        <v>Q67g. </v>
      </c>
      <c r="E971" s="7" t="str">
        <f>IFERROR(__xludf.DUMMYFUNCTION("""COMPUTED_VALUE"""),"Influence of organization: Regional organisation")</f>
        <v>Influence of organization: Regional organisation</v>
      </c>
      <c r="F971" s="7" t="str">
        <f>IFERROR(__xludf.DUMMYFUNCTION("""COMPUTED_VALUE"""),"ECCAS")</f>
        <v>ECCAS</v>
      </c>
    </row>
    <row r="972">
      <c r="A972" s="7" t="str">
        <f>IFERROR(__xludf.DUMMYFUNCTION("""COMPUTED_VALUE"""),"GAMBIA")</f>
        <v>GAMBIA</v>
      </c>
      <c r="B972" s="8">
        <f>IFERROR(__xludf.DUMMYFUNCTION("""COMPUTED_VALUE"""),10.0)</f>
        <v>10</v>
      </c>
      <c r="C972" s="7" t="str">
        <f>IFERROR(__xludf.DUMMYFUNCTION("""COMPUTED_VALUE"""),"K_49")</f>
        <v>K_49</v>
      </c>
      <c r="D972" s="7" t="str">
        <f>IFERROR(__xludf.DUMMYFUNCTION("""COMPUTED_VALUE"""),"Q67g. ")</f>
        <v>Q67g. </v>
      </c>
      <c r="E972" s="7" t="str">
        <f>IFERROR(__xludf.DUMMYFUNCTION("""COMPUTED_VALUE"""),"Influence of organization: Regional organisation")</f>
        <v>Influence of organization: Regional organisation</v>
      </c>
      <c r="F972" s="7" t="str">
        <f>IFERROR(__xludf.DUMMYFUNCTION("""COMPUTED_VALUE"""),"ECOWAS")</f>
        <v>ECOWAS</v>
      </c>
    </row>
    <row r="973">
      <c r="A973" s="7" t="str">
        <f>IFERROR(__xludf.DUMMYFUNCTION("""COMPUTED_VALUE"""),"GHANA ")</f>
        <v>GHANA </v>
      </c>
      <c r="B973" s="8">
        <f>IFERROR(__xludf.DUMMYFUNCTION("""COMPUTED_VALUE"""),10.0)</f>
        <v>10</v>
      </c>
      <c r="C973" s="7" t="str">
        <f>IFERROR(__xludf.DUMMYFUNCTION("""COMPUTED_VALUE"""),"K_49")</f>
        <v>K_49</v>
      </c>
      <c r="D973" s="7" t="str">
        <f>IFERROR(__xludf.DUMMYFUNCTION("""COMPUTED_VALUE"""),"Q67g. ")</f>
        <v>Q67g. </v>
      </c>
      <c r="E973" s="7" t="str">
        <f>IFERROR(__xludf.DUMMYFUNCTION("""COMPUTED_VALUE"""),"Influence of organization: Regional organisation")</f>
        <v>Influence of organization: Regional organisation</v>
      </c>
      <c r="F973" s="7" t="str">
        <f>IFERROR(__xludf.DUMMYFUNCTION("""COMPUTED_VALUE"""),"ECOWAS")</f>
        <v>ECOWAS</v>
      </c>
    </row>
    <row r="974">
      <c r="A974" s="7" t="str">
        <f>IFERROR(__xludf.DUMMYFUNCTION("""COMPUTED_VALUE"""),"GUINEA")</f>
        <v>GUINEA</v>
      </c>
      <c r="B974" s="8">
        <f>IFERROR(__xludf.DUMMYFUNCTION("""COMPUTED_VALUE"""),10.0)</f>
        <v>10</v>
      </c>
      <c r="C974" s="7" t="str">
        <f>IFERROR(__xludf.DUMMYFUNCTION("""COMPUTED_VALUE"""),"K_49")</f>
        <v>K_49</v>
      </c>
      <c r="D974" s="7" t="str">
        <f>IFERROR(__xludf.DUMMYFUNCTION("""COMPUTED_VALUE"""),"Q67g. ")</f>
        <v>Q67g. </v>
      </c>
      <c r="E974" s="7" t="str">
        <f>IFERROR(__xludf.DUMMYFUNCTION("""COMPUTED_VALUE"""),"Influence of organization: Regional organisation")</f>
        <v>Influence of organization: Regional organisation</v>
      </c>
      <c r="F974" s="7" t="str">
        <f>IFERROR(__xludf.DUMMYFUNCTION("""COMPUTED_VALUE"""),"ECOWAS")</f>
        <v>ECOWAS</v>
      </c>
    </row>
    <row r="975">
      <c r="A975" s="7" t="str">
        <f>IFERROR(__xludf.DUMMYFUNCTION("""COMPUTED_VALUE"""),"KENYA  ")</f>
        <v>KENYA  </v>
      </c>
      <c r="B975" s="8">
        <f>IFERROR(__xludf.DUMMYFUNCTION("""COMPUTED_VALUE"""),10.0)</f>
        <v>10</v>
      </c>
      <c r="C975" s="7" t="str">
        <f>IFERROR(__xludf.DUMMYFUNCTION("""COMPUTED_VALUE"""),"K_49")</f>
        <v>K_49</v>
      </c>
      <c r="D975" s="7" t="str">
        <f>IFERROR(__xludf.DUMMYFUNCTION("""COMPUTED_VALUE"""),"Q67g. ")</f>
        <v>Q67g. </v>
      </c>
      <c r="E975" s="7" t="str">
        <f>IFERROR(__xludf.DUMMYFUNCTION("""COMPUTED_VALUE"""),"Influence of organization: Regional organisation")</f>
        <v>Influence of organization: Regional organisation</v>
      </c>
      <c r="F975" s="7" t="str">
        <f>IFERROR(__xludf.DUMMYFUNCTION("""COMPUTED_VALUE"""),"East African Community or EAC")</f>
        <v>East African Community or EAC</v>
      </c>
    </row>
    <row r="976">
      <c r="A976" s="7" t="str">
        <f>IFERROR(__xludf.DUMMYFUNCTION("""COMPUTED_VALUE"""),"LESOTHO ")</f>
        <v>LESOTHO </v>
      </c>
      <c r="B976" s="8">
        <f>IFERROR(__xludf.DUMMYFUNCTION("""COMPUTED_VALUE"""),10.0)</f>
        <v>10</v>
      </c>
      <c r="C976" s="7" t="str">
        <f>IFERROR(__xludf.DUMMYFUNCTION("""COMPUTED_VALUE"""),"K_49")</f>
        <v>K_49</v>
      </c>
      <c r="D976" s="7" t="str">
        <f>IFERROR(__xludf.DUMMYFUNCTION("""COMPUTED_VALUE"""),"Q67g. ")</f>
        <v>Q67g. </v>
      </c>
      <c r="E976" s="7" t="str">
        <f>IFERROR(__xludf.DUMMYFUNCTION("""COMPUTED_VALUE"""),"Influence of organization: Regional organisation")</f>
        <v>Influence of organization: Regional organisation</v>
      </c>
      <c r="F976" s="7" t="str">
        <f>IFERROR(__xludf.DUMMYFUNCTION("""COMPUTED_VALUE"""),"SADC")</f>
        <v>SADC</v>
      </c>
    </row>
    <row r="977">
      <c r="A977" s="7" t="str">
        <f>IFERROR(__xludf.DUMMYFUNCTION("""COMPUTED_VALUE"""),"LIBERIA  ")</f>
        <v>LIBERIA  </v>
      </c>
      <c r="B977" s="8">
        <f>IFERROR(__xludf.DUMMYFUNCTION("""COMPUTED_VALUE"""),10.0)</f>
        <v>10</v>
      </c>
      <c r="C977" s="7" t="str">
        <f>IFERROR(__xludf.DUMMYFUNCTION("""COMPUTED_VALUE"""),"K_49")</f>
        <v>K_49</v>
      </c>
      <c r="D977" s="7" t="str">
        <f>IFERROR(__xludf.DUMMYFUNCTION("""COMPUTED_VALUE"""),"Q67g. ")</f>
        <v>Q67g. </v>
      </c>
      <c r="E977" s="7" t="str">
        <f>IFERROR(__xludf.DUMMYFUNCTION("""COMPUTED_VALUE"""),"Influence of organization: Regional organisation")</f>
        <v>Influence of organization: Regional organisation</v>
      </c>
      <c r="F977" s="7" t="str">
        <f>IFERROR(__xludf.DUMMYFUNCTION("""COMPUTED_VALUE"""),"ECOWAS")</f>
        <v>ECOWAS</v>
      </c>
    </row>
    <row r="978">
      <c r="A978" s="7" t="str">
        <f>IFERROR(__xludf.DUMMYFUNCTION("""COMPUTED_VALUE"""),"MADAGASCAR")</f>
        <v>MADAGASCAR</v>
      </c>
      <c r="B978" s="8">
        <f>IFERROR(__xludf.DUMMYFUNCTION("""COMPUTED_VALUE"""),10.0)</f>
        <v>10</v>
      </c>
      <c r="C978" s="7" t="str">
        <f>IFERROR(__xludf.DUMMYFUNCTION("""COMPUTED_VALUE"""),"K_49")</f>
        <v>K_49</v>
      </c>
      <c r="D978" s="7" t="str">
        <f>IFERROR(__xludf.DUMMYFUNCTION("""COMPUTED_VALUE"""),"Q67g. ")</f>
        <v>Q67g. </v>
      </c>
      <c r="E978" s="7" t="str">
        <f>IFERROR(__xludf.DUMMYFUNCTION("""COMPUTED_VALUE"""),"Influence of organization: Regional organisation")</f>
        <v>Influence of organization: Regional organisation</v>
      </c>
      <c r="F978" s="7" t="str">
        <f>IFERROR(__xludf.DUMMYFUNCTION("""COMPUTED_VALUE"""),"SADC")</f>
        <v>SADC</v>
      </c>
    </row>
    <row r="979">
      <c r="A979" s="7" t="str">
        <f>IFERROR(__xludf.DUMMYFUNCTION("""COMPUTED_VALUE"""),"MALAWI ")</f>
        <v>MALAWI </v>
      </c>
      <c r="B979" s="8">
        <f>IFERROR(__xludf.DUMMYFUNCTION("""COMPUTED_VALUE"""),10.0)</f>
        <v>10</v>
      </c>
      <c r="C979" s="7" t="str">
        <f>IFERROR(__xludf.DUMMYFUNCTION("""COMPUTED_VALUE"""),"K_49")</f>
        <v>K_49</v>
      </c>
      <c r="D979" s="7" t="str">
        <f>IFERROR(__xludf.DUMMYFUNCTION("""COMPUTED_VALUE"""),"Q67g. ")</f>
        <v>Q67g. </v>
      </c>
      <c r="E979" s="7" t="str">
        <f>IFERROR(__xludf.DUMMYFUNCTION("""COMPUTED_VALUE"""),"Influence of organization: Regional organisation")</f>
        <v>Influence of organization: Regional organisation</v>
      </c>
      <c r="F979" s="7" t="str">
        <f>IFERROR(__xludf.DUMMYFUNCTION("""COMPUTED_VALUE"""),"SADC")</f>
        <v>SADC</v>
      </c>
    </row>
    <row r="980">
      <c r="A980" s="7" t="str">
        <f>IFERROR(__xludf.DUMMYFUNCTION("""COMPUTED_VALUE"""),"MALI")</f>
        <v>MALI</v>
      </c>
      <c r="B980" s="8">
        <f>IFERROR(__xludf.DUMMYFUNCTION("""COMPUTED_VALUE"""),10.0)</f>
        <v>10</v>
      </c>
      <c r="C980" s="7" t="str">
        <f>IFERROR(__xludf.DUMMYFUNCTION("""COMPUTED_VALUE"""),"K_49")</f>
        <v>K_49</v>
      </c>
      <c r="D980" s="7" t="str">
        <f>IFERROR(__xludf.DUMMYFUNCTION("""COMPUTED_VALUE"""),"Q67g. ")</f>
        <v>Q67g. </v>
      </c>
      <c r="E980" s="7" t="str">
        <f>IFERROR(__xludf.DUMMYFUNCTION("""COMPUTED_VALUE"""),"Influence of organization: Regional organisation")</f>
        <v>Influence of organization: Regional organisation</v>
      </c>
      <c r="F980" s="7" t="str">
        <f>IFERROR(__xludf.DUMMYFUNCTION("""COMPUTED_VALUE"""),"ECOWAS")</f>
        <v>ECOWAS</v>
      </c>
    </row>
    <row r="981">
      <c r="A981" s="7" t="str">
        <f>IFERROR(__xludf.DUMMYFUNCTION("""COMPUTED_VALUE"""),"MAURITIUS")</f>
        <v>MAURITIUS</v>
      </c>
      <c r="B981" s="8">
        <f>IFERROR(__xludf.DUMMYFUNCTION("""COMPUTED_VALUE"""),10.0)</f>
        <v>10</v>
      </c>
      <c r="C981" s="7" t="str">
        <f>IFERROR(__xludf.DUMMYFUNCTION("""COMPUTED_VALUE"""),"K_49")</f>
        <v>K_49</v>
      </c>
      <c r="D981" s="7" t="str">
        <f>IFERROR(__xludf.DUMMYFUNCTION("""COMPUTED_VALUE"""),"Q67g. ")</f>
        <v>Q67g. </v>
      </c>
      <c r="E981" s="7" t="str">
        <f>IFERROR(__xludf.DUMMYFUNCTION("""COMPUTED_VALUE"""),"Influence of organization: Regional organisation")</f>
        <v>Influence of organization: Regional organisation</v>
      </c>
      <c r="F981" s="7" t="str">
        <f>IFERROR(__xludf.DUMMYFUNCTION("""COMPUTED_VALUE"""),"SADC")</f>
        <v>SADC</v>
      </c>
    </row>
    <row r="982">
      <c r="A982" s="7" t="str">
        <f>IFERROR(__xludf.DUMMYFUNCTION("""COMPUTED_VALUE"""),"MOROCCO ")</f>
        <v>MOROCCO </v>
      </c>
      <c r="B982" s="8">
        <f>IFERROR(__xludf.DUMMYFUNCTION("""COMPUTED_VALUE"""),10.0)</f>
        <v>10</v>
      </c>
      <c r="C982" s="7" t="str">
        <f>IFERROR(__xludf.DUMMYFUNCTION("""COMPUTED_VALUE"""),"K_49")</f>
        <v>K_49</v>
      </c>
      <c r="D982" s="7" t="str">
        <f>IFERROR(__xludf.DUMMYFUNCTION("""COMPUTED_VALUE"""),"Q67g. ")</f>
        <v>Q67g. </v>
      </c>
      <c r="E982" s="7" t="str">
        <f>IFERROR(__xludf.DUMMYFUNCTION("""COMPUTED_VALUE"""),"Influence of organization: Regional organisation")</f>
        <v>Influence of organization: Regional organisation</v>
      </c>
      <c r="F982" s="7" t="str">
        <f>IFERROR(__xludf.DUMMYFUNCTION("""COMPUTED_VALUE"""),"Arab Maghreb Union")</f>
        <v>Arab Maghreb Union</v>
      </c>
    </row>
    <row r="983">
      <c r="A983" s="7" t="str">
        <f>IFERROR(__xludf.DUMMYFUNCTION("""COMPUTED_VALUE"""),"MOZAMBIQUE")</f>
        <v>MOZAMBIQUE</v>
      </c>
      <c r="B983" s="8">
        <f>IFERROR(__xludf.DUMMYFUNCTION("""COMPUTED_VALUE"""),10.0)</f>
        <v>10</v>
      </c>
      <c r="C983" s="7" t="str">
        <f>IFERROR(__xludf.DUMMYFUNCTION("""COMPUTED_VALUE"""),"K_49")</f>
        <v>K_49</v>
      </c>
      <c r="D983" s="7" t="str">
        <f>IFERROR(__xludf.DUMMYFUNCTION("""COMPUTED_VALUE"""),"Q67g. ")</f>
        <v>Q67g. </v>
      </c>
      <c r="E983" s="7" t="str">
        <f>IFERROR(__xludf.DUMMYFUNCTION("""COMPUTED_VALUE"""),"Influence of organization: Regional organisation")</f>
        <v>Influence of organization: Regional organisation</v>
      </c>
      <c r="F983" s="7" t="str">
        <f>IFERROR(__xludf.DUMMYFUNCTION("""COMPUTED_VALUE"""),"SADC")</f>
        <v>SADC</v>
      </c>
    </row>
    <row r="984">
      <c r="A984" s="7" t="str">
        <f>IFERROR(__xludf.DUMMYFUNCTION("""COMPUTED_VALUE"""),"NAMIBIA ")</f>
        <v>NAMIBIA </v>
      </c>
      <c r="B984" s="8">
        <f>IFERROR(__xludf.DUMMYFUNCTION("""COMPUTED_VALUE"""),10.0)</f>
        <v>10</v>
      </c>
      <c r="C984" s="7" t="str">
        <f>IFERROR(__xludf.DUMMYFUNCTION("""COMPUTED_VALUE"""),"K_49")</f>
        <v>K_49</v>
      </c>
      <c r="D984" s="7" t="str">
        <f>IFERROR(__xludf.DUMMYFUNCTION("""COMPUTED_VALUE"""),"Q67g. ")</f>
        <v>Q67g. </v>
      </c>
      <c r="E984" s="7" t="str">
        <f>IFERROR(__xludf.DUMMYFUNCTION("""COMPUTED_VALUE"""),"Influence of organization: Regional organisation")</f>
        <v>Influence of organization: Regional organisation</v>
      </c>
      <c r="F984" s="7" t="str">
        <f>IFERROR(__xludf.DUMMYFUNCTION("""COMPUTED_VALUE"""),"SADC")</f>
        <v>SADC</v>
      </c>
    </row>
    <row r="985">
      <c r="A985" s="7" t="str">
        <f>IFERROR(__xludf.DUMMYFUNCTION("""COMPUTED_VALUE"""),"NIGERIA ")</f>
        <v>NIGERIA </v>
      </c>
      <c r="B985" s="8">
        <f>IFERROR(__xludf.DUMMYFUNCTION("""COMPUTED_VALUE"""),10.0)</f>
        <v>10</v>
      </c>
      <c r="C985" s="7" t="str">
        <f>IFERROR(__xludf.DUMMYFUNCTION("""COMPUTED_VALUE"""),"K_49")</f>
        <v>K_49</v>
      </c>
      <c r="D985" s="7" t="str">
        <f>IFERROR(__xludf.DUMMYFUNCTION("""COMPUTED_VALUE"""),"Q67g. ")</f>
        <v>Q67g. </v>
      </c>
      <c r="E985" s="7" t="str">
        <f>IFERROR(__xludf.DUMMYFUNCTION("""COMPUTED_VALUE"""),"Influence of organization: Regional organisation")</f>
        <v>Influence of organization: Regional organisation</v>
      </c>
      <c r="F985" s="7" t="str">
        <f>IFERROR(__xludf.DUMMYFUNCTION("""COMPUTED_VALUE"""),"ECOWAS")</f>
        <v>ECOWAS</v>
      </c>
    </row>
    <row r="986">
      <c r="A986" s="7" t="str">
        <f>IFERROR(__xludf.DUMMYFUNCTION("""COMPUTED_VALUE"""),"SAO TOME AND PRINCIPE")</f>
        <v>SAO TOME AND PRINCIPE</v>
      </c>
      <c r="B986" s="8">
        <f>IFERROR(__xludf.DUMMYFUNCTION("""COMPUTED_VALUE"""),10.0)</f>
        <v>10</v>
      </c>
      <c r="C986" s="7" t="str">
        <f>IFERROR(__xludf.DUMMYFUNCTION("""COMPUTED_VALUE"""),"K_49")</f>
        <v>K_49</v>
      </c>
      <c r="D986" s="7" t="str">
        <f>IFERROR(__xludf.DUMMYFUNCTION("""COMPUTED_VALUE"""),"Q67g. ")</f>
        <v>Q67g. </v>
      </c>
      <c r="E986" s="7" t="str">
        <f>IFERROR(__xludf.DUMMYFUNCTION("""COMPUTED_VALUE"""),"Influence of organization: Regional organisation")</f>
        <v>Influence of organization: Regional organisation</v>
      </c>
      <c r="F986" s="7" t="str">
        <f>IFERROR(__xludf.DUMMYFUNCTION("""COMPUTED_VALUE"""),"Economic Community of Central African States or ECCAS
")</f>
        <v>Economic Community of Central African States or ECCAS
</v>
      </c>
    </row>
    <row r="987">
      <c r="A987" s="7" t="str">
        <f>IFERROR(__xludf.DUMMYFUNCTION("""COMPUTED_VALUE"""),"SENEGAL")</f>
        <v>SENEGAL</v>
      </c>
      <c r="B987" s="8">
        <f>IFERROR(__xludf.DUMMYFUNCTION("""COMPUTED_VALUE"""),10.0)</f>
        <v>10</v>
      </c>
      <c r="C987" s="7" t="str">
        <f>IFERROR(__xludf.DUMMYFUNCTION("""COMPUTED_VALUE"""),"K_49")</f>
        <v>K_49</v>
      </c>
      <c r="D987" s="7" t="str">
        <f>IFERROR(__xludf.DUMMYFUNCTION("""COMPUTED_VALUE"""),"Q67g. ")</f>
        <v>Q67g. </v>
      </c>
      <c r="E987" s="7" t="str">
        <f>IFERROR(__xludf.DUMMYFUNCTION("""COMPUTED_VALUE"""),"Influence of organization: Regional organisation")</f>
        <v>Influence of organization: Regional organisation</v>
      </c>
      <c r="F987" s="7" t="str">
        <f>IFERROR(__xludf.DUMMYFUNCTION("""COMPUTED_VALUE"""),"ECOWAS")</f>
        <v>ECOWAS</v>
      </c>
    </row>
    <row r="988">
      <c r="A988" s="7" t="str">
        <f>IFERROR(__xludf.DUMMYFUNCTION("""COMPUTED_VALUE"""),"SEYCHELLES")</f>
        <v>SEYCHELLES</v>
      </c>
      <c r="B988" s="8">
        <f>IFERROR(__xludf.DUMMYFUNCTION("""COMPUTED_VALUE"""),10.0)</f>
        <v>10</v>
      </c>
      <c r="C988" s="7" t="str">
        <f>IFERROR(__xludf.DUMMYFUNCTION("""COMPUTED_VALUE"""),"K_49")</f>
        <v>K_49</v>
      </c>
      <c r="D988" s="7" t="str">
        <f>IFERROR(__xludf.DUMMYFUNCTION("""COMPUTED_VALUE"""),"Q67g. ")</f>
        <v>Q67g. </v>
      </c>
      <c r="E988" s="7" t="str">
        <f>IFERROR(__xludf.DUMMYFUNCTION("""COMPUTED_VALUE"""),"Influence of organization: Regional organisation")</f>
        <v>Influence of organization: Regional organisation</v>
      </c>
      <c r="F988" s="7" t="str">
        <f>IFERROR(__xludf.DUMMYFUNCTION("""COMPUTED_VALUE"""),"SADC")</f>
        <v>SADC</v>
      </c>
    </row>
    <row r="989">
      <c r="A989" s="7" t="str">
        <f>IFERROR(__xludf.DUMMYFUNCTION("""COMPUTED_VALUE"""),"SOUTH AFRICA")</f>
        <v>SOUTH AFRICA</v>
      </c>
      <c r="B989" s="8">
        <f>IFERROR(__xludf.DUMMYFUNCTION("""COMPUTED_VALUE"""),10.0)</f>
        <v>10</v>
      </c>
      <c r="C989" s="7" t="str">
        <f>IFERROR(__xludf.DUMMYFUNCTION("""COMPUTED_VALUE"""),"K_49")</f>
        <v>K_49</v>
      </c>
      <c r="D989" s="7" t="str">
        <f>IFERROR(__xludf.DUMMYFUNCTION("""COMPUTED_VALUE"""),"Q67g. ")</f>
        <v>Q67g. </v>
      </c>
      <c r="E989" s="7" t="str">
        <f>IFERROR(__xludf.DUMMYFUNCTION("""COMPUTED_VALUE"""),"Influence of organization: Regional organisation")</f>
        <v>Influence of organization: Regional organisation</v>
      </c>
      <c r="F989" s="7" t="str">
        <f>IFERROR(__xludf.DUMMYFUNCTION("""COMPUTED_VALUE"""),"SADC")</f>
        <v>SADC</v>
      </c>
    </row>
    <row r="990">
      <c r="A990" s="7" t="str">
        <f>IFERROR(__xludf.DUMMYFUNCTION("""COMPUTED_VALUE"""),"TANZANIA")</f>
        <v>TANZANIA</v>
      </c>
      <c r="B990" s="8">
        <f>IFERROR(__xludf.DUMMYFUNCTION("""COMPUTED_VALUE"""),10.0)</f>
        <v>10</v>
      </c>
      <c r="C990" s="7" t="str">
        <f>IFERROR(__xludf.DUMMYFUNCTION("""COMPUTED_VALUE"""),"K_49")</f>
        <v>K_49</v>
      </c>
      <c r="D990" s="7" t="str">
        <f>IFERROR(__xludf.DUMMYFUNCTION("""COMPUTED_VALUE"""),"Q67g. ")</f>
        <v>Q67g. </v>
      </c>
      <c r="E990" s="7" t="str">
        <f>IFERROR(__xludf.DUMMYFUNCTION("""COMPUTED_VALUE"""),"Influence of organization: Regional organisation")</f>
        <v>Influence of organization: Regional organisation</v>
      </c>
      <c r="F990" s="7" t="str">
        <f>IFERROR(__xludf.DUMMYFUNCTION("""COMPUTED_VALUE"""),"East African Community or EAC
")</f>
        <v>East African Community or EAC
</v>
      </c>
    </row>
    <row r="991">
      <c r="A991" s="7" t="str">
        <f>IFERROR(__xludf.DUMMYFUNCTION("""COMPUTED_VALUE"""),"TOGO ")</f>
        <v>TOGO </v>
      </c>
      <c r="B991" s="8">
        <f>IFERROR(__xludf.DUMMYFUNCTION("""COMPUTED_VALUE"""),10.0)</f>
        <v>10</v>
      </c>
      <c r="C991" s="7" t="str">
        <f>IFERROR(__xludf.DUMMYFUNCTION("""COMPUTED_VALUE"""),"K_49")</f>
        <v>K_49</v>
      </c>
      <c r="D991" s="7" t="str">
        <f>IFERROR(__xludf.DUMMYFUNCTION("""COMPUTED_VALUE"""),"Q67g. ")</f>
        <v>Q67g. </v>
      </c>
      <c r="E991" s="7" t="str">
        <f>IFERROR(__xludf.DUMMYFUNCTION("""COMPUTED_VALUE"""),"Influence of organization: Regional organisation")</f>
        <v>Influence of organization: Regional organisation</v>
      </c>
      <c r="F991" s="7" t="str">
        <f>IFERROR(__xludf.DUMMYFUNCTION("""COMPUTED_VALUE"""),"ECOWAS")</f>
        <v>ECOWAS</v>
      </c>
    </row>
    <row r="992">
      <c r="A992" s="7" t="str">
        <f>IFERROR(__xludf.DUMMYFUNCTION("""COMPUTED_VALUE"""),"TUNISIA ")</f>
        <v>TUNISIA </v>
      </c>
      <c r="B992" s="8">
        <f>IFERROR(__xludf.DUMMYFUNCTION("""COMPUTED_VALUE"""),10.0)</f>
        <v>10</v>
      </c>
      <c r="C992" s="7" t="str">
        <f>IFERROR(__xludf.DUMMYFUNCTION("""COMPUTED_VALUE"""),"K_49")</f>
        <v>K_49</v>
      </c>
      <c r="D992" s="7" t="str">
        <f>IFERROR(__xludf.DUMMYFUNCTION("""COMPUTED_VALUE"""),"Q67g. ")</f>
        <v>Q67g. </v>
      </c>
      <c r="E992" s="7" t="str">
        <f>IFERROR(__xludf.DUMMYFUNCTION("""COMPUTED_VALUE"""),"Influence of organization: Regional organisation")</f>
        <v>Influence of organization: Regional organisation</v>
      </c>
      <c r="F992" s="7" t="str">
        <f>IFERROR(__xludf.DUMMYFUNCTION("""COMPUTED_VALUE"""),"Arab Maghreb Union ")</f>
        <v>Arab Maghreb Union </v>
      </c>
    </row>
    <row r="993">
      <c r="A993" s="7" t="str">
        <f>IFERROR(__xludf.DUMMYFUNCTION("""COMPUTED_VALUE"""),"UGANDA  ")</f>
        <v>UGANDA  </v>
      </c>
      <c r="B993" s="8">
        <f>IFERROR(__xludf.DUMMYFUNCTION("""COMPUTED_VALUE"""),10.0)</f>
        <v>10</v>
      </c>
      <c r="C993" s="7" t="str">
        <f>IFERROR(__xludf.DUMMYFUNCTION("""COMPUTED_VALUE"""),"K_49")</f>
        <v>K_49</v>
      </c>
      <c r="D993" s="7" t="str">
        <f>IFERROR(__xludf.DUMMYFUNCTION("""COMPUTED_VALUE"""),"Q67g. ")</f>
        <v>Q67g. </v>
      </c>
      <c r="E993" s="7" t="str">
        <f>IFERROR(__xludf.DUMMYFUNCTION("""COMPUTED_VALUE"""),"Influence of organization: Regional organisation")</f>
        <v>Influence of organization: Regional organisation</v>
      </c>
      <c r="F993" s="7" t="str">
        <f>IFERROR(__xludf.DUMMYFUNCTION("""COMPUTED_VALUE"""),"East African Community or EAC")</f>
        <v>East African Community or EAC</v>
      </c>
    </row>
    <row r="994">
      <c r="A994" s="7" t="str">
        <f>IFERROR(__xludf.DUMMYFUNCTION("""COMPUTED_VALUE"""),"ZAMBIA")</f>
        <v>ZAMBIA</v>
      </c>
      <c r="B994" s="8">
        <f>IFERROR(__xludf.DUMMYFUNCTION("""COMPUTED_VALUE"""),10.0)</f>
        <v>10</v>
      </c>
      <c r="C994" s="7" t="str">
        <f>IFERROR(__xludf.DUMMYFUNCTION("""COMPUTED_VALUE"""),"K_49")</f>
        <v>K_49</v>
      </c>
      <c r="D994" s="7" t="str">
        <f>IFERROR(__xludf.DUMMYFUNCTION("""COMPUTED_VALUE"""),"Q67g. ")</f>
        <v>Q67g. </v>
      </c>
      <c r="E994" s="7" t="str">
        <f>IFERROR(__xludf.DUMMYFUNCTION("""COMPUTED_VALUE"""),"Influence of organization: Regional organisation")</f>
        <v>Influence of organization: Regional organisation</v>
      </c>
      <c r="F994" s="7" t="str">
        <f>IFERROR(__xludf.DUMMYFUNCTION("""COMPUTED_VALUE"""),"SADC")</f>
        <v>SADC</v>
      </c>
    </row>
    <row r="995">
      <c r="A995" s="7" t="str">
        <f>IFERROR(__xludf.DUMMYFUNCTION("""COMPUTED_VALUE"""),"ZIMBABWE")</f>
        <v>ZIMBABWE</v>
      </c>
      <c r="B995" s="8">
        <f>IFERROR(__xludf.DUMMYFUNCTION("""COMPUTED_VALUE"""),10.0)</f>
        <v>10</v>
      </c>
      <c r="C995" s="7" t="str">
        <f>IFERROR(__xludf.DUMMYFUNCTION("""COMPUTED_VALUE"""),"K_49")</f>
        <v>K_49</v>
      </c>
      <c r="D995" s="7" t="str">
        <f>IFERROR(__xludf.DUMMYFUNCTION("""COMPUTED_VALUE"""),"Q67g. ")</f>
        <v>Q67g. </v>
      </c>
      <c r="E995" s="7" t="str">
        <f>IFERROR(__xludf.DUMMYFUNCTION("""COMPUTED_VALUE"""),"Influence of organization: Regional organisation")</f>
        <v>Influence of organization: Regional organisation</v>
      </c>
      <c r="F995" s="7" t="str">
        <f>IFERROR(__xludf.DUMMYFUNCTION("""COMPUTED_VALUE"""),"SADC")</f>
        <v>SADC</v>
      </c>
    </row>
    <row r="996">
      <c r="A996" s="7" t="str">
        <f>IFERROR(__xludf.DUMMYFUNCTION("""COMPUTED_VALUE"""),"ANGOLA ")</f>
        <v>ANGOLA </v>
      </c>
      <c r="B996" s="8">
        <f>IFERROR(__xludf.DUMMYFUNCTION("""COMPUTED_VALUE"""),10.0)</f>
        <v>10</v>
      </c>
      <c r="C996" s="7" t="str">
        <f>IFERROR(__xludf.DUMMYFUNCTION("""COMPUTED_VALUE"""),"K_52B")</f>
        <v>K_52B</v>
      </c>
      <c r="D996" s="7" t="str">
        <f>IFERROR(__xludf.DUMMYFUNCTION("""COMPUTED_VALUE"""),"Q70a. ")</f>
        <v>Q70a. </v>
      </c>
      <c r="E996" s="7" t="str">
        <f>IFERROR(__xludf.DUMMYFUNCTION("""COMPUTED_VALUE"""),"Regional organisation recognizes our country's needs/interests")</f>
        <v>Regional organisation recognizes our country's needs/interests</v>
      </c>
      <c r="F996" s="7" t="str">
        <f>IFERROR(__xludf.DUMMYFUNCTION("""COMPUTED_VALUE"""),"SADC")</f>
        <v>SADC</v>
      </c>
    </row>
    <row r="997">
      <c r="A997" s="7" t="str">
        <f>IFERROR(__xludf.DUMMYFUNCTION("""COMPUTED_VALUE"""),"BENIN")</f>
        <v>BENIN</v>
      </c>
      <c r="B997" s="8">
        <f>IFERROR(__xludf.DUMMYFUNCTION("""COMPUTED_VALUE"""),10.0)</f>
        <v>10</v>
      </c>
      <c r="C997" s="7" t="str">
        <f>IFERROR(__xludf.DUMMYFUNCTION("""COMPUTED_VALUE"""),"K_52B")</f>
        <v>K_52B</v>
      </c>
      <c r="D997" s="7" t="str">
        <f>IFERROR(__xludf.DUMMYFUNCTION("""COMPUTED_VALUE"""),"Q70a. ")</f>
        <v>Q70a. </v>
      </c>
      <c r="E997" s="7" t="str">
        <f>IFERROR(__xludf.DUMMYFUNCTION("""COMPUTED_VALUE"""),"Regional organisation recognizes our country's needs/interests")</f>
        <v>Regional organisation recognizes our country's needs/interests</v>
      </c>
      <c r="F997" s="7" t="str">
        <f>IFERROR(__xludf.DUMMYFUNCTION("""COMPUTED_VALUE"""),"ECOWAS")</f>
        <v>ECOWAS</v>
      </c>
    </row>
    <row r="998">
      <c r="A998" s="7" t="str">
        <f>IFERROR(__xludf.DUMMYFUNCTION("""COMPUTED_VALUE"""),"BOTSWANA ")</f>
        <v>BOTSWANA </v>
      </c>
      <c r="B998" s="8">
        <f>IFERROR(__xludf.DUMMYFUNCTION("""COMPUTED_VALUE"""),10.0)</f>
        <v>10</v>
      </c>
      <c r="C998" s="7" t="str">
        <f>IFERROR(__xludf.DUMMYFUNCTION("""COMPUTED_VALUE"""),"K_52B")</f>
        <v>K_52B</v>
      </c>
      <c r="D998" s="7" t="str">
        <f>IFERROR(__xludf.DUMMYFUNCTION("""COMPUTED_VALUE"""),"Q70a. ")</f>
        <v>Q70a. </v>
      </c>
      <c r="E998" s="7" t="str">
        <f>IFERROR(__xludf.DUMMYFUNCTION("""COMPUTED_VALUE"""),"Regional organisation recognizes our country's needs/interests")</f>
        <v>Regional organisation recognizes our country's needs/interests</v>
      </c>
      <c r="F998" s="7" t="str">
        <f>IFERROR(__xludf.DUMMYFUNCTION("""COMPUTED_VALUE"""),"SADC")</f>
        <v>SADC</v>
      </c>
    </row>
    <row r="999">
      <c r="A999" s="7" t="str">
        <f>IFERROR(__xludf.DUMMYFUNCTION("""COMPUTED_VALUE"""),"CABO VERDE ")</f>
        <v>CABO VERDE </v>
      </c>
      <c r="B999" s="8">
        <f>IFERROR(__xludf.DUMMYFUNCTION("""COMPUTED_VALUE"""),10.0)</f>
        <v>10</v>
      </c>
      <c r="C999" s="7" t="str">
        <f>IFERROR(__xludf.DUMMYFUNCTION("""COMPUTED_VALUE"""),"K_52B")</f>
        <v>K_52B</v>
      </c>
      <c r="D999" s="7" t="str">
        <f>IFERROR(__xludf.DUMMYFUNCTION("""COMPUTED_VALUE"""),"Q70a. ")</f>
        <v>Q70a. </v>
      </c>
      <c r="E999" s="7" t="str">
        <f>IFERROR(__xludf.DUMMYFUNCTION("""COMPUTED_VALUE"""),"Regional organisation recognizes our country's needs/interests")</f>
        <v>Regional organisation recognizes our country's needs/interests</v>
      </c>
      <c r="F999" s="7" t="str">
        <f>IFERROR(__xludf.DUMMYFUNCTION("""COMPUTED_VALUE"""),"ECOWAS")</f>
        <v>ECOWAS</v>
      </c>
    </row>
    <row r="1000">
      <c r="A1000" s="7" t="str">
        <f>IFERROR(__xludf.DUMMYFUNCTION("""COMPUTED_VALUE"""),"CAMEROON")</f>
        <v>CAMEROON</v>
      </c>
      <c r="B1000" s="8">
        <f>IFERROR(__xludf.DUMMYFUNCTION("""COMPUTED_VALUE"""),10.0)</f>
        <v>10</v>
      </c>
      <c r="C1000" s="7" t="str">
        <f>IFERROR(__xludf.DUMMYFUNCTION("""COMPUTED_VALUE"""),"K_52B")</f>
        <v>K_52B</v>
      </c>
      <c r="D1000" s="7" t="str">
        <f>IFERROR(__xludf.DUMMYFUNCTION("""COMPUTED_VALUE"""),"Q70a. ")</f>
        <v>Q70a. </v>
      </c>
      <c r="E1000" s="7" t="str">
        <f>IFERROR(__xludf.DUMMYFUNCTION("""COMPUTED_VALUE"""),"Regional organisation recognizes our country's needs/interests")</f>
        <v>Regional organisation recognizes our country's needs/interests</v>
      </c>
      <c r="F1000" s="7" t="str">
        <f>IFERROR(__xludf.DUMMYFUNCTION("""COMPUTED_VALUE"""),"ECCAS")</f>
        <v>ECCAS</v>
      </c>
    </row>
    <row r="1001">
      <c r="A1001" s="7" t="str">
        <f>IFERROR(__xludf.DUMMYFUNCTION("""COMPUTED_VALUE"""),"CHAD")</f>
        <v>CHAD</v>
      </c>
      <c r="B1001" s="8">
        <f>IFERROR(__xludf.DUMMYFUNCTION("""COMPUTED_VALUE"""),10.0)</f>
        <v>10</v>
      </c>
      <c r="C1001" s="7" t="str">
        <f>IFERROR(__xludf.DUMMYFUNCTION("""COMPUTED_VALUE"""),"K_52B")</f>
        <v>K_52B</v>
      </c>
      <c r="D1001" s="7" t="str">
        <f>IFERROR(__xludf.DUMMYFUNCTION("""COMPUTED_VALUE"""),"Q70a. ")</f>
        <v>Q70a. </v>
      </c>
      <c r="E1001" s="7" t="str">
        <f>IFERROR(__xludf.DUMMYFUNCTION("""COMPUTED_VALUE"""),"Regional organisation recognizes our country's needs/interests")</f>
        <v>Regional organisation recognizes our country's needs/interests</v>
      </c>
      <c r="F1001" s="7" t="str">
        <f>IFERROR(__xludf.DUMMYFUNCTION("""COMPUTED_VALUE"""),"ECCAS")</f>
        <v>ECCAS</v>
      </c>
    </row>
    <row r="1002">
      <c r="A1002" s="7" t="str">
        <f>IFERROR(__xludf.DUMMYFUNCTION("""COMPUTED_VALUE"""),"COMOROS")</f>
        <v>COMOROS</v>
      </c>
      <c r="B1002" s="8">
        <f>IFERROR(__xludf.DUMMYFUNCTION("""COMPUTED_VALUE"""),10.0)</f>
        <v>10</v>
      </c>
      <c r="C1002" s="7" t="str">
        <f>IFERROR(__xludf.DUMMYFUNCTION("""COMPUTED_VALUE"""),"K_52B")</f>
        <v>K_52B</v>
      </c>
      <c r="D1002" s="7" t="str">
        <f>IFERROR(__xludf.DUMMYFUNCTION("""COMPUTED_VALUE"""),"Q70a. ")</f>
        <v>Q70a. </v>
      </c>
      <c r="E1002" s="7" t="str">
        <f>IFERROR(__xludf.DUMMYFUNCTION("""COMPUTED_VALUE"""),"Regional organisation recognizes our country's needs/interests")</f>
        <v>Regional organisation recognizes our country's needs/interests</v>
      </c>
      <c r="F1002" s="7" t="str">
        <f>IFERROR(__xludf.DUMMYFUNCTION("""COMPUTED_VALUE"""),"SADC")</f>
        <v>SADC</v>
      </c>
    </row>
    <row r="1003">
      <c r="A1003" s="7" t="str">
        <f>IFERROR(__xludf.DUMMYFUNCTION("""COMPUTED_VALUE"""),"CONGO BRAZZAVILLE")</f>
        <v>CONGO BRAZZAVILLE</v>
      </c>
      <c r="B1003" s="8">
        <f>IFERROR(__xludf.DUMMYFUNCTION("""COMPUTED_VALUE"""),10.0)</f>
        <v>10</v>
      </c>
      <c r="C1003" s="7" t="str">
        <f>IFERROR(__xludf.DUMMYFUNCTION("""COMPUTED_VALUE"""),"K_52B")</f>
        <v>K_52B</v>
      </c>
      <c r="D1003" s="7" t="str">
        <f>IFERROR(__xludf.DUMMYFUNCTION("""COMPUTED_VALUE"""),"Q70a. ")</f>
        <v>Q70a. </v>
      </c>
      <c r="E1003" s="7" t="str">
        <f>IFERROR(__xludf.DUMMYFUNCTION("""COMPUTED_VALUE"""),"Regional organisation recognizes our country's needs/interests")</f>
        <v>Regional organisation recognizes our country's needs/interests</v>
      </c>
      <c r="F1003" s="7" t="str">
        <f>IFERROR(__xludf.DUMMYFUNCTION("""COMPUTED_VALUE"""),"ECCAS")</f>
        <v>ECCAS</v>
      </c>
    </row>
    <row r="1004">
      <c r="A1004" s="7" t="str">
        <f>IFERROR(__xludf.DUMMYFUNCTION("""COMPUTED_VALUE"""),"COTE D'IVOIRE")</f>
        <v>COTE D'IVOIRE</v>
      </c>
      <c r="B1004" s="8">
        <f>IFERROR(__xludf.DUMMYFUNCTION("""COMPUTED_VALUE"""),10.0)</f>
        <v>10</v>
      </c>
      <c r="C1004" s="7" t="str">
        <f>IFERROR(__xludf.DUMMYFUNCTION("""COMPUTED_VALUE"""),"K_52B")</f>
        <v>K_52B</v>
      </c>
      <c r="D1004" s="7" t="str">
        <f>IFERROR(__xludf.DUMMYFUNCTION("""COMPUTED_VALUE"""),"Q70a. ")</f>
        <v>Q70a. </v>
      </c>
      <c r="E1004" s="7" t="str">
        <f>IFERROR(__xludf.DUMMYFUNCTION("""COMPUTED_VALUE"""),"Regional organisation recognizes our country's needs/interests")</f>
        <v>Regional organisation recognizes our country's needs/interests</v>
      </c>
      <c r="F1004" s="7" t="str">
        <f>IFERROR(__xludf.DUMMYFUNCTION("""COMPUTED_VALUE"""),"ECOWAS")</f>
        <v>ECOWAS</v>
      </c>
    </row>
    <row r="1005">
      <c r="A1005" s="7" t="str">
        <f>IFERROR(__xludf.DUMMYFUNCTION("""COMPUTED_VALUE"""),"ESWATINI")</f>
        <v>ESWATINI</v>
      </c>
      <c r="B1005" s="8">
        <f>IFERROR(__xludf.DUMMYFUNCTION("""COMPUTED_VALUE"""),10.0)</f>
        <v>10</v>
      </c>
      <c r="C1005" s="7" t="str">
        <f>IFERROR(__xludf.DUMMYFUNCTION("""COMPUTED_VALUE"""),"K_52B")</f>
        <v>K_52B</v>
      </c>
      <c r="D1005" s="7" t="str">
        <f>IFERROR(__xludf.DUMMYFUNCTION("""COMPUTED_VALUE"""),"Q70a. ")</f>
        <v>Q70a. </v>
      </c>
      <c r="E1005" s="7" t="str">
        <f>IFERROR(__xludf.DUMMYFUNCTION("""COMPUTED_VALUE"""),"Regional organisation recognizes our country's needs/interests")</f>
        <v>Regional organisation recognizes our country's needs/interests</v>
      </c>
      <c r="F1005" s="7" t="str">
        <f>IFERROR(__xludf.DUMMYFUNCTION("""COMPUTED_VALUE"""),"SADC")</f>
        <v>SADC</v>
      </c>
    </row>
    <row r="1006">
      <c r="A1006" s="7" t="str">
        <f>IFERROR(__xludf.DUMMYFUNCTION("""COMPUTED_VALUE"""),"GABON")</f>
        <v>GABON</v>
      </c>
      <c r="B1006" s="8">
        <f>IFERROR(__xludf.DUMMYFUNCTION("""COMPUTED_VALUE"""),10.0)</f>
        <v>10</v>
      </c>
      <c r="C1006" s="7" t="str">
        <f>IFERROR(__xludf.DUMMYFUNCTION("""COMPUTED_VALUE"""),"K_52B")</f>
        <v>K_52B</v>
      </c>
      <c r="D1006" s="7" t="str">
        <f>IFERROR(__xludf.DUMMYFUNCTION("""COMPUTED_VALUE"""),"Q70a. ")</f>
        <v>Q70a. </v>
      </c>
      <c r="E1006" s="7" t="str">
        <f>IFERROR(__xludf.DUMMYFUNCTION("""COMPUTED_VALUE"""),"Regional organisation recognizes our country's needs/interests")</f>
        <v>Regional organisation recognizes our country's needs/interests</v>
      </c>
      <c r="F1006" s="7" t="str">
        <f>IFERROR(__xludf.DUMMYFUNCTION("""COMPUTED_VALUE"""),"ECCAS")</f>
        <v>ECCAS</v>
      </c>
    </row>
    <row r="1007">
      <c r="A1007" s="7" t="str">
        <f>IFERROR(__xludf.DUMMYFUNCTION("""COMPUTED_VALUE"""),"GAMBIA")</f>
        <v>GAMBIA</v>
      </c>
      <c r="B1007" s="8">
        <f>IFERROR(__xludf.DUMMYFUNCTION("""COMPUTED_VALUE"""),10.0)</f>
        <v>10</v>
      </c>
      <c r="C1007" s="7" t="str">
        <f>IFERROR(__xludf.DUMMYFUNCTION("""COMPUTED_VALUE"""),"K_52B")</f>
        <v>K_52B</v>
      </c>
      <c r="D1007" s="7" t="str">
        <f>IFERROR(__xludf.DUMMYFUNCTION("""COMPUTED_VALUE"""),"Q70a. ")</f>
        <v>Q70a. </v>
      </c>
      <c r="E1007" s="7" t="str">
        <f>IFERROR(__xludf.DUMMYFUNCTION("""COMPUTED_VALUE"""),"Regional organisation recognizes our country's needs/interests")</f>
        <v>Regional organisation recognizes our country's needs/interests</v>
      </c>
      <c r="F1007" s="7" t="str">
        <f>IFERROR(__xludf.DUMMYFUNCTION("""COMPUTED_VALUE"""),"ECOWAS")</f>
        <v>ECOWAS</v>
      </c>
    </row>
    <row r="1008">
      <c r="A1008" s="7" t="str">
        <f>IFERROR(__xludf.DUMMYFUNCTION("""COMPUTED_VALUE"""),"GHANA ")</f>
        <v>GHANA </v>
      </c>
      <c r="B1008" s="8">
        <f>IFERROR(__xludf.DUMMYFUNCTION("""COMPUTED_VALUE"""),10.0)</f>
        <v>10</v>
      </c>
      <c r="C1008" s="7" t="str">
        <f>IFERROR(__xludf.DUMMYFUNCTION("""COMPUTED_VALUE"""),"K_52B")</f>
        <v>K_52B</v>
      </c>
      <c r="D1008" s="7" t="str">
        <f>IFERROR(__xludf.DUMMYFUNCTION("""COMPUTED_VALUE"""),"Q70a. ")</f>
        <v>Q70a. </v>
      </c>
      <c r="E1008" s="7" t="str">
        <f>IFERROR(__xludf.DUMMYFUNCTION("""COMPUTED_VALUE"""),"Regional organisation recognizes our country's needs/interests")</f>
        <v>Regional organisation recognizes our country's needs/interests</v>
      </c>
      <c r="F1008" s="7" t="str">
        <f>IFERROR(__xludf.DUMMYFUNCTION("""COMPUTED_VALUE"""),"ECOWAS")</f>
        <v>ECOWAS</v>
      </c>
    </row>
    <row r="1009">
      <c r="A1009" s="7" t="str">
        <f>IFERROR(__xludf.DUMMYFUNCTION("""COMPUTED_VALUE"""),"GUINEA")</f>
        <v>GUINEA</v>
      </c>
      <c r="B1009" s="8">
        <f>IFERROR(__xludf.DUMMYFUNCTION("""COMPUTED_VALUE"""),10.0)</f>
        <v>10</v>
      </c>
      <c r="C1009" s="7" t="str">
        <f>IFERROR(__xludf.DUMMYFUNCTION("""COMPUTED_VALUE"""),"K_52B")</f>
        <v>K_52B</v>
      </c>
      <c r="D1009" s="7" t="str">
        <f>IFERROR(__xludf.DUMMYFUNCTION("""COMPUTED_VALUE"""),"Q70a. ")</f>
        <v>Q70a. </v>
      </c>
      <c r="E1009" s="7" t="str">
        <f>IFERROR(__xludf.DUMMYFUNCTION("""COMPUTED_VALUE"""),"Regional organisation recognizes our country's needs/interests")</f>
        <v>Regional organisation recognizes our country's needs/interests</v>
      </c>
      <c r="F1009" s="7" t="str">
        <f>IFERROR(__xludf.DUMMYFUNCTION("""COMPUTED_VALUE"""),"ECOWAS")</f>
        <v>ECOWAS</v>
      </c>
    </row>
    <row r="1010">
      <c r="A1010" s="7" t="str">
        <f>IFERROR(__xludf.DUMMYFUNCTION("""COMPUTED_VALUE"""),"KENYA  ")</f>
        <v>KENYA  </v>
      </c>
      <c r="B1010" s="8">
        <f>IFERROR(__xludf.DUMMYFUNCTION("""COMPUTED_VALUE"""),10.0)</f>
        <v>10</v>
      </c>
      <c r="C1010" s="7" t="str">
        <f>IFERROR(__xludf.DUMMYFUNCTION("""COMPUTED_VALUE"""),"K_52B")</f>
        <v>K_52B</v>
      </c>
      <c r="D1010" s="7" t="str">
        <f>IFERROR(__xludf.DUMMYFUNCTION("""COMPUTED_VALUE"""),"Q70a. ")</f>
        <v>Q70a. </v>
      </c>
      <c r="E1010" s="7" t="str">
        <f>IFERROR(__xludf.DUMMYFUNCTION("""COMPUTED_VALUE"""),"Regional organisation recognizes our country's needs/interests")</f>
        <v>Regional organisation recognizes our country's needs/interests</v>
      </c>
      <c r="F1010" s="7" t="str">
        <f>IFERROR(__xludf.DUMMYFUNCTION("""COMPUTED_VALUE"""),"East African Community or EAC")</f>
        <v>East African Community or EAC</v>
      </c>
    </row>
    <row r="1011">
      <c r="A1011" s="7" t="str">
        <f>IFERROR(__xludf.DUMMYFUNCTION("""COMPUTED_VALUE"""),"LESOTHO ")</f>
        <v>LESOTHO </v>
      </c>
      <c r="B1011" s="8">
        <f>IFERROR(__xludf.DUMMYFUNCTION("""COMPUTED_VALUE"""),10.0)</f>
        <v>10</v>
      </c>
      <c r="C1011" s="7" t="str">
        <f>IFERROR(__xludf.DUMMYFUNCTION("""COMPUTED_VALUE"""),"K_52B")</f>
        <v>K_52B</v>
      </c>
      <c r="D1011" s="7" t="str">
        <f>IFERROR(__xludf.DUMMYFUNCTION("""COMPUTED_VALUE"""),"Q70a. ")</f>
        <v>Q70a. </v>
      </c>
      <c r="E1011" s="7" t="str">
        <f>IFERROR(__xludf.DUMMYFUNCTION("""COMPUTED_VALUE"""),"Regional organisation recognizes our country's needs/interests")</f>
        <v>Regional organisation recognizes our country's needs/interests</v>
      </c>
      <c r="F1011" s="7" t="str">
        <f>IFERROR(__xludf.DUMMYFUNCTION("""COMPUTED_VALUE"""),"SADC")</f>
        <v>SADC</v>
      </c>
    </row>
    <row r="1012">
      <c r="A1012" s="7" t="str">
        <f>IFERROR(__xludf.DUMMYFUNCTION("""COMPUTED_VALUE"""),"LIBERIA  ")</f>
        <v>LIBERIA  </v>
      </c>
      <c r="B1012" s="8">
        <f>IFERROR(__xludf.DUMMYFUNCTION("""COMPUTED_VALUE"""),10.0)</f>
        <v>10</v>
      </c>
      <c r="C1012" s="7" t="str">
        <f>IFERROR(__xludf.DUMMYFUNCTION("""COMPUTED_VALUE"""),"K_52B")</f>
        <v>K_52B</v>
      </c>
      <c r="D1012" s="7" t="str">
        <f>IFERROR(__xludf.DUMMYFUNCTION("""COMPUTED_VALUE"""),"Q70a. ")</f>
        <v>Q70a. </v>
      </c>
      <c r="E1012" s="7" t="str">
        <f>IFERROR(__xludf.DUMMYFUNCTION("""COMPUTED_VALUE"""),"Regional organisation recognizes our country's needs/interests")</f>
        <v>Regional organisation recognizes our country's needs/interests</v>
      </c>
      <c r="F1012" s="7" t="str">
        <f>IFERROR(__xludf.DUMMYFUNCTION("""COMPUTED_VALUE"""),"ECOWAS")</f>
        <v>ECOWAS</v>
      </c>
    </row>
    <row r="1013">
      <c r="A1013" s="7" t="str">
        <f>IFERROR(__xludf.DUMMYFUNCTION("""COMPUTED_VALUE"""),"MADAGASCAR")</f>
        <v>MADAGASCAR</v>
      </c>
      <c r="B1013" s="8">
        <f>IFERROR(__xludf.DUMMYFUNCTION("""COMPUTED_VALUE"""),10.0)</f>
        <v>10</v>
      </c>
      <c r="C1013" s="7" t="str">
        <f>IFERROR(__xludf.DUMMYFUNCTION("""COMPUTED_VALUE"""),"K_52B")</f>
        <v>K_52B</v>
      </c>
      <c r="D1013" s="7" t="str">
        <f>IFERROR(__xludf.DUMMYFUNCTION("""COMPUTED_VALUE"""),"Q70a. ")</f>
        <v>Q70a. </v>
      </c>
      <c r="E1013" s="7" t="str">
        <f>IFERROR(__xludf.DUMMYFUNCTION("""COMPUTED_VALUE"""),"Regional organisation recognizes our country's needs/interests")</f>
        <v>Regional organisation recognizes our country's needs/interests</v>
      </c>
      <c r="F1013" s="7" t="str">
        <f>IFERROR(__xludf.DUMMYFUNCTION("""COMPUTED_VALUE"""),"SADC")</f>
        <v>SADC</v>
      </c>
    </row>
    <row r="1014">
      <c r="A1014" s="7" t="str">
        <f>IFERROR(__xludf.DUMMYFUNCTION("""COMPUTED_VALUE"""),"MALAWI ")</f>
        <v>MALAWI </v>
      </c>
      <c r="B1014" s="8">
        <f>IFERROR(__xludf.DUMMYFUNCTION("""COMPUTED_VALUE"""),10.0)</f>
        <v>10</v>
      </c>
      <c r="C1014" s="7" t="str">
        <f>IFERROR(__xludf.DUMMYFUNCTION("""COMPUTED_VALUE"""),"K_52B")</f>
        <v>K_52B</v>
      </c>
      <c r="D1014" s="7" t="str">
        <f>IFERROR(__xludf.DUMMYFUNCTION("""COMPUTED_VALUE"""),"Q70a. ")</f>
        <v>Q70a. </v>
      </c>
      <c r="E1014" s="7" t="str">
        <f>IFERROR(__xludf.DUMMYFUNCTION("""COMPUTED_VALUE"""),"Regional organisation recognizes our country's needs/interests")</f>
        <v>Regional organisation recognizes our country's needs/interests</v>
      </c>
      <c r="F1014" s="7" t="str">
        <f>IFERROR(__xludf.DUMMYFUNCTION("""COMPUTED_VALUE"""),"SADC")</f>
        <v>SADC</v>
      </c>
    </row>
    <row r="1015">
      <c r="A1015" s="7" t="str">
        <f>IFERROR(__xludf.DUMMYFUNCTION("""COMPUTED_VALUE"""),"MALI")</f>
        <v>MALI</v>
      </c>
      <c r="B1015" s="8">
        <f>IFERROR(__xludf.DUMMYFUNCTION("""COMPUTED_VALUE"""),10.0)</f>
        <v>10</v>
      </c>
      <c r="C1015" s="7" t="str">
        <f>IFERROR(__xludf.DUMMYFUNCTION("""COMPUTED_VALUE"""),"K_52B")</f>
        <v>K_52B</v>
      </c>
      <c r="D1015" s="7" t="str">
        <f>IFERROR(__xludf.DUMMYFUNCTION("""COMPUTED_VALUE"""),"Q70a. ")</f>
        <v>Q70a. </v>
      </c>
      <c r="E1015" s="7" t="str">
        <f>IFERROR(__xludf.DUMMYFUNCTION("""COMPUTED_VALUE"""),"Regional organisation recognizes our country's needs/interests")</f>
        <v>Regional organisation recognizes our country's needs/interests</v>
      </c>
      <c r="F1015" s="7" t="str">
        <f>IFERROR(__xludf.DUMMYFUNCTION("""COMPUTED_VALUE"""),"ECOWAS")</f>
        <v>ECOWAS</v>
      </c>
    </row>
    <row r="1016">
      <c r="A1016" s="7" t="str">
        <f>IFERROR(__xludf.DUMMYFUNCTION("""COMPUTED_VALUE"""),"MAURITIUS")</f>
        <v>MAURITIUS</v>
      </c>
      <c r="B1016" s="8">
        <f>IFERROR(__xludf.DUMMYFUNCTION("""COMPUTED_VALUE"""),10.0)</f>
        <v>10</v>
      </c>
      <c r="C1016" s="7" t="str">
        <f>IFERROR(__xludf.DUMMYFUNCTION("""COMPUTED_VALUE"""),"K_52B")</f>
        <v>K_52B</v>
      </c>
      <c r="D1016" s="7" t="str">
        <f>IFERROR(__xludf.DUMMYFUNCTION("""COMPUTED_VALUE"""),"Q70a. ")</f>
        <v>Q70a. </v>
      </c>
      <c r="E1016" s="7" t="str">
        <f>IFERROR(__xludf.DUMMYFUNCTION("""COMPUTED_VALUE"""),"Regional organisation recognizes our country's needs/interests")</f>
        <v>Regional organisation recognizes our country's needs/interests</v>
      </c>
      <c r="F1016" s="7" t="str">
        <f>IFERROR(__xludf.DUMMYFUNCTION("""COMPUTED_VALUE"""),"SADC")</f>
        <v>SADC</v>
      </c>
    </row>
    <row r="1017">
      <c r="A1017" s="7" t="str">
        <f>IFERROR(__xludf.DUMMYFUNCTION("""COMPUTED_VALUE"""),"MOROCCO ")</f>
        <v>MOROCCO </v>
      </c>
      <c r="B1017" s="8">
        <f>IFERROR(__xludf.DUMMYFUNCTION("""COMPUTED_VALUE"""),10.0)</f>
        <v>10</v>
      </c>
      <c r="C1017" s="7" t="str">
        <f>IFERROR(__xludf.DUMMYFUNCTION("""COMPUTED_VALUE"""),"K_52B")</f>
        <v>K_52B</v>
      </c>
      <c r="D1017" s="7" t="str">
        <f>IFERROR(__xludf.DUMMYFUNCTION("""COMPUTED_VALUE"""),"Q70a. ")</f>
        <v>Q70a. </v>
      </c>
      <c r="E1017" s="7" t="str">
        <f>IFERROR(__xludf.DUMMYFUNCTION("""COMPUTED_VALUE"""),"Regional organisation recognizes our country's needs/interests")</f>
        <v>Regional organisation recognizes our country's needs/interests</v>
      </c>
      <c r="F1017" s="7" t="str">
        <f>IFERROR(__xludf.DUMMYFUNCTION("""COMPUTED_VALUE"""),"Arab Maghreb Union")</f>
        <v>Arab Maghreb Union</v>
      </c>
    </row>
    <row r="1018">
      <c r="A1018" s="7" t="str">
        <f>IFERROR(__xludf.DUMMYFUNCTION("""COMPUTED_VALUE"""),"MOZAMBIQUE")</f>
        <v>MOZAMBIQUE</v>
      </c>
      <c r="B1018" s="8">
        <f>IFERROR(__xludf.DUMMYFUNCTION("""COMPUTED_VALUE"""),10.0)</f>
        <v>10</v>
      </c>
      <c r="C1018" s="7" t="str">
        <f>IFERROR(__xludf.DUMMYFUNCTION("""COMPUTED_VALUE"""),"K_52B")</f>
        <v>K_52B</v>
      </c>
      <c r="D1018" s="7" t="str">
        <f>IFERROR(__xludf.DUMMYFUNCTION("""COMPUTED_VALUE"""),"Q70a. ")</f>
        <v>Q70a. </v>
      </c>
      <c r="E1018" s="7" t="str">
        <f>IFERROR(__xludf.DUMMYFUNCTION("""COMPUTED_VALUE"""),"Regional organisation recognizes our country's needs/interests")</f>
        <v>Regional organisation recognizes our country's needs/interests</v>
      </c>
      <c r="F1018" s="7" t="str">
        <f>IFERROR(__xludf.DUMMYFUNCTION("""COMPUTED_VALUE"""),"SADC")</f>
        <v>SADC</v>
      </c>
    </row>
    <row r="1019">
      <c r="A1019" s="7" t="str">
        <f>IFERROR(__xludf.DUMMYFUNCTION("""COMPUTED_VALUE"""),"NAMIBIA ")</f>
        <v>NAMIBIA </v>
      </c>
      <c r="B1019" s="8">
        <f>IFERROR(__xludf.DUMMYFUNCTION("""COMPUTED_VALUE"""),10.0)</f>
        <v>10</v>
      </c>
      <c r="C1019" s="7" t="str">
        <f>IFERROR(__xludf.DUMMYFUNCTION("""COMPUTED_VALUE"""),"K_52B")</f>
        <v>K_52B</v>
      </c>
      <c r="D1019" s="7" t="str">
        <f>IFERROR(__xludf.DUMMYFUNCTION("""COMPUTED_VALUE"""),"Q70a. ")</f>
        <v>Q70a. </v>
      </c>
      <c r="E1019" s="7" t="str">
        <f>IFERROR(__xludf.DUMMYFUNCTION("""COMPUTED_VALUE"""),"Regional organisation recognizes our country's needs/interests")</f>
        <v>Regional organisation recognizes our country's needs/interests</v>
      </c>
      <c r="F1019" s="7" t="str">
        <f>IFERROR(__xludf.DUMMYFUNCTION("""COMPUTED_VALUE"""),"SADC")</f>
        <v>SADC</v>
      </c>
    </row>
    <row r="1020">
      <c r="A1020" s="7" t="str">
        <f>IFERROR(__xludf.DUMMYFUNCTION("""COMPUTED_VALUE"""),"NIGERIA ")</f>
        <v>NIGERIA </v>
      </c>
      <c r="B1020" s="8">
        <f>IFERROR(__xludf.DUMMYFUNCTION("""COMPUTED_VALUE"""),10.0)</f>
        <v>10</v>
      </c>
      <c r="C1020" s="7" t="str">
        <f>IFERROR(__xludf.DUMMYFUNCTION("""COMPUTED_VALUE"""),"K_52B")</f>
        <v>K_52B</v>
      </c>
      <c r="D1020" s="7" t="str">
        <f>IFERROR(__xludf.DUMMYFUNCTION("""COMPUTED_VALUE"""),"Q70a. ")</f>
        <v>Q70a. </v>
      </c>
      <c r="E1020" s="7" t="str">
        <f>IFERROR(__xludf.DUMMYFUNCTION("""COMPUTED_VALUE"""),"Regional organisation recognizes our country's needs/interests")</f>
        <v>Regional organisation recognizes our country's needs/interests</v>
      </c>
      <c r="F1020" s="7" t="str">
        <f>IFERROR(__xludf.DUMMYFUNCTION("""COMPUTED_VALUE"""),"ECOWAS")</f>
        <v>ECOWAS</v>
      </c>
    </row>
    <row r="1021">
      <c r="A1021" s="7" t="str">
        <f>IFERROR(__xludf.DUMMYFUNCTION("""COMPUTED_VALUE"""),"SAO TOME AND PRINCIPE")</f>
        <v>SAO TOME AND PRINCIPE</v>
      </c>
      <c r="B1021" s="8">
        <f>IFERROR(__xludf.DUMMYFUNCTION("""COMPUTED_VALUE"""),10.0)</f>
        <v>10</v>
      </c>
      <c r="C1021" s="7" t="str">
        <f>IFERROR(__xludf.DUMMYFUNCTION("""COMPUTED_VALUE"""),"K_52B")</f>
        <v>K_52B</v>
      </c>
      <c r="D1021" s="7" t="str">
        <f>IFERROR(__xludf.DUMMYFUNCTION("""COMPUTED_VALUE"""),"Q70a. ")</f>
        <v>Q70a. </v>
      </c>
      <c r="E1021" s="7" t="str">
        <f>IFERROR(__xludf.DUMMYFUNCTION("""COMPUTED_VALUE"""),"Regional organisation recognizes our country's needs/interests")</f>
        <v>Regional organisation recognizes our country's needs/interests</v>
      </c>
      <c r="F1021" s="7" t="str">
        <f>IFERROR(__xludf.DUMMYFUNCTION("""COMPUTED_VALUE"""),"Economic Community of Central African States or ECCAS
")</f>
        <v>Economic Community of Central African States or ECCAS
</v>
      </c>
    </row>
    <row r="1022">
      <c r="A1022" s="7" t="str">
        <f>IFERROR(__xludf.DUMMYFUNCTION("""COMPUTED_VALUE"""),"SENEGAL")</f>
        <v>SENEGAL</v>
      </c>
      <c r="B1022" s="8">
        <f>IFERROR(__xludf.DUMMYFUNCTION("""COMPUTED_VALUE"""),10.0)</f>
        <v>10</v>
      </c>
      <c r="C1022" s="7" t="str">
        <f>IFERROR(__xludf.DUMMYFUNCTION("""COMPUTED_VALUE"""),"K_52B")</f>
        <v>K_52B</v>
      </c>
      <c r="D1022" s="7" t="str">
        <f>IFERROR(__xludf.DUMMYFUNCTION("""COMPUTED_VALUE"""),"Q70a. ")</f>
        <v>Q70a. </v>
      </c>
      <c r="E1022" s="7" t="str">
        <f>IFERROR(__xludf.DUMMYFUNCTION("""COMPUTED_VALUE"""),"Regional organisation recognizes our country's needs/interests")</f>
        <v>Regional organisation recognizes our country's needs/interests</v>
      </c>
      <c r="F1022" s="7" t="str">
        <f>IFERROR(__xludf.DUMMYFUNCTION("""COMPUTED_VALUE"""),"ECOWAS")</f>
        <v>ECOWAS</v>
      </c>
    </row>
    <row r="1023">
      <c r="A1023" s="7" t="str">
        <f>IFERROR(__xludf.DUMMYFUNCTION("""COMPUTED_VALUE"""),"SEYCHELLES")</f>
        <v>SEYCHELLES</v>
      </c>
      <c r="B1023" s="8">
        <f>IFERROR(__xludf.DUMMYFUNCTION("""COMPUTED_VALUE"""),10.0)</f>
        <v>10</v>
      </c>
      <c r="C1023" s="7" t="str">
        <f>IFERROR(__xludf.DUMMYFUNCTION("""COMPUTED_VALUE"""),"K_52B")</f>
        <v>K_52B</v>
      </c>
      <c r="D1023" s="7" t="str">
        <f>IFERROR(__xludf.DUMMYFUNCTION("""COMPUTED_VALUE"""),"Q70a. ")</f>
        <v>Q70a. </v>
      </c>
      <c r="E1023" s="7" t="str">
        <f>IFERROR(__xludf.DUMMYFUNCTION("""COMPUTED_VALUE"""),"Regional organisation recognizes our country's needs/interests")</f>
        <v>Regional organisation recognizes our country's needs/interests</v>
      </c>
      <c r="F1023" s="7" t="str">
        <f>IFERROR(__xludf.DUMMYFUNCTION("""COMPUTED_VALUE"""),"SADC")</f>
        <v>SADC</v>
      </c>
    </row>
    <row r="1024">
      <c r="A1024" s="7" t="str">
        <f>IFERROR(__xludf.DUMMYFUNCTION("""COMPUTED_VALUE"""),"SOUTH AFRICA")</f>
        <v>SOUTH AFRICA</v>
      </c>
      <c r="B1024" s="8">
        <f>IFERROR(__xludf.DUMMYFUNCTION("""COMPUTED_VALUE"""),10.0)</f>
        <v>10</v>
      </c>
      <c r="C1024" s="7" t="str">
        <f>IFERROR(__xludf.DUMMYFUNCTION("""COMPUTED_VALUE"""),"K_52B")</f>
        <v>K_52B</v>
      </c>
      <c r="D1024" s="7" t="str">
        <f>IFERROR(__xludf.DUMMYFUNCTION("""COMPUTED_VALUE"""),"Q70a. ")</f>
        <v>Q70a. </v>
      </c>
      <c r="E1024" s="7" t="str">
        <f>IFERROR(__xludf.DUMMYFUNCTION("""COMPUTED_VALUE"""),"Regional organisation recognizes our country's needs/interests")</f>
        <v>Regional organisation recognizes our country's needs/interests</v>
      </c>
      <c r="F1024" s="7" t="str">
        <f>IFERROR(__xludf.DUMMYFUNCTION("""COMPUTED_VALUE"""),"SADC")</f>
        <v>SADC</v>
      </c>
    </row>
    <row r="1025">
      <c r="A1025" s="7" t="str">
        <f>IFERROR(__xludf.DUMMYFUNCTION("""COMPUTED_VALUE"""),"TANZANIA")</f>
        <v>TANZANIA</v>
      </c>
      <c r="B1025" s="8">
        <f>IFERROR(__xludf.DUMMYFUNCTION("""COMPUTED_VALUE"""),10.0)</f>
        <v>10</v>
      </c>
      <c r="C1025" s="7" t="str">
        <f>IFERROR(__xludf.DUMMYFUNCTION("""COMPUTED_VALUE"""),"K_52B")</f>
        <v>K_52B</v>
      </c>
      <c r="D1025" s="7" t="str">
        <f>IFERROR(__xludf.DUMMYFUNCTION("""COMPUTED_VALUE"""),"Q70a. ")</f>
        <v>Q70a. </v>
      </c>
      <c r="E1025" s="7" t="str">
        <f>IFERROR(__xludf.DUMMYFUNCTION("""COMPUTED_VALUE"""),"Regional organisation recognizes our country's needs/interests")</f>
        <v>Regional organisation recognizes our country's needs/interests</v>
      </c>
      <c r="F1025" s="7" t="str">
        <f>IFERROR(__xludf.DUMMYFUNCTION("""COMPUTED_VALUE"""),"East African Community or EAC
")</f>
        <v>East African Community or EAC
</v>
      </c>
    </row>
    <row r="1026">
      <c r="A1026" s="7" t="str">
        <f>IFERROR(__xludf.DUMMYFUNCTION("""COMPUTED_VALUE"""),"TOGO ")</f>
        <v>TOGO </v>
      </c>
      <c r="B1026" s="8">
        <f>IFERROR(__xludf.DUMMYFUNCTION("""COMPUTED_VALUE"""),10.0)</f>
        <v>10</v>
      </c>
      <c r="C1026" s="7" t="str">
        <f>IFERROR(__xludf.DUMMYFUNCTION("""COMPUTED_VALUE"""),"K_52B")</f>
        <v>K_52B</v>
      </c>
      <c r="D1026" s="7" t="str">
        <f>IFERROR(__xludf.DUMMYFUNCTION("""COMPUTED_VALUE"""),"Q70a. ")</f>
        <v>Q70a. </v>
      </c>
      <c r="E1026" s="7" t="str">
        <f>IFERROR(__xludf.DUMMYFUNCTION("""COMPUTED_VALUE"""),"Regional organisation recognizes our country's needs/interests")</f>
        <v>Regional organisation recognizes our country's needs/interests</v>
      </c>
      <c r="F1026" s="7" t="str">
        <f>IFERROR(__xludf.DUMMYFUNCTION("""COMPUTED_VALUE"""),"ECOWAS")</f>
        <v>ECOWAS</v>
      </c>
    </row>
    <row r="1027">
      <c r="A1027" s="7" t="str">
        <f>IFERROR(__xludf.DUMMYFUNCTION("""COMPUTED_VALUE"""),"TUNISIA ")</f>
        <v>TUNISIA </v>
      </c>
      <c r="B1027" s="8">
        <f>IFERROR(__xludf.DUMMYFUNCTION("""COMPUTED_VALUE"""),10.0)</f>
        <v>10</v>
      </c>
      <c r="C1027" s="7" t="str">
        <f>IFERROR(__xludf.DUMMYFUNCTION("""COMPUTED_VALUE"""),"K_52B")</f>
        <v>K_52B</v>
      </c>
      <c r="D1027" s="7" t="str">
        <f>IFERROR(__xludf.DUMMYFUNCTION("""COMPUTED_VALUE"""),"Q70a. ")</f>
        <v>Q70a. </v>
      </c>
      <c r="E1027" s="7" t="str">
        <f>IFERROR(__xludf.DUMMYFUNCTION("""COMPUTED_VALUE"""),"Regional organisation recognizes our country's needs/interests")</f>
        <v>Regional organisation recognizes our country's needs/interests</v>
      </c>
      <c r="F1027" s="7" t="str">
        <f>IFERROR(__xludf.DUMMYFUNCTION("""COMPUTED_VALUE"""),"Arab Maghreb Union ")</f>
        <v>Arab Maghreb Union </v>
      </c>
    </row>
    <row r="1028">
      <c r="A1028" s="7" t="str">
        <f>IFERROR(__xludf.DUMMYFUNCTION("""COMPUTED_VALUE"""),"UGANDA  ")</f>
        <v>UGANDA  </v>
      </c>
      <c r="B1028" s="8">
        <f>IFERROR(__xludf.DUMMYFUNCTION("""COMPUTED_VALUE"""),10.0)</f>
        <v>10</v>
      </c>
      <c r="C1028" s="7" t="str">
        <f>IFERROR(__xludf.DUMMYFUNCTION("""COMPUTED_VALUE"""),"K_52B")</f>
        <v>K_52B</v>
      </c>
      <c r="D1028" s="7" t="str">
        <f>IFERROR(__xludf.DUMMYFUNCTION("""COMPUTED_VALUE"""),"Q70a. ")</f>
        <v>Q70a. </v>
      </c>
      <c r="E1028" s="7" t="str">
        <f>IFERROR(__xludf.DUMMYFUNCTION("""COMPUTED_VALUE"""),"Regional organisation recognizes our country's needs/interests")</f>
        <v>Regional organisation recognizes our country's needs/interests</v>
      </c>
      <c r="F1028" s="7" t="str">
        <f>IFERROR(__xludf.DUMMYFUNCTION("""COMPUTED_VALUE"""),"East African Community or EAC
")</f>
        <v>East African Community or EAC
</v>
      </c>
    </row>
    <row r="1029">
      <c r="A1029" s="7" t="str">
        <f>IFERROR(__xludf.DUMMYFUNCTION("""COMPUTED_VALUE"""),"ZAMBIA")</f>
        <v>ZAMBIA</v>
      </c>
      <c r="B1029" s="8">
        <f>IFERROR(__xludf.DUMMYFUNCTION("""COMPUTED_VALUE"""),10.0)</f>
        <v>10</v>
      </c>
      <c r="C1029" s="7" t="str">
        <f>IFERROR(__xludf.DUMMYFUNCTION("""COMPUTED_VALUE"""),"K_52B")</f>
        <v>K_52B</v>
      </c>
      <c r="D1029" s="7" t="str">
        <f>IFERROR(__xludf.DUMMYFUNCTION("""COMPUTED_VALUE"""),"Q70a. ")</f>
        <v>Q70a. </v>
      </c>
      <c r="E1029" s="7" t="str">
        <f>IFERROR(__xludf.DUMMYFUNCTION("""COMPUTED_VALUE"""),"Regional organisation recognizes our country's needs/interests")</f>
        <v>Regional organisation recognizes our country's needs/interests</v>
      </c>
      <c r="F1029" s="7" t="str">
        <f>IFERROR(__xludf.DUMMYFUNCTION("""COMPUTED_VALUE"""),"SADC")</f>
        <v>SADC</v>
      </c>
    </row>
    <row r="1030">
      <c r="A1030" s="7" t="str">
        <f>IFERROR(__xludf.DUMMYFUNCTION("""COMPUTED_VALUE"""),"ZIMBABWE")</f>
        <v>ZIMBABWE</v>
      </c>
      <c r="B1030" s="8">
        <f>IFERROR(__xludf.DUMMYFUNCTION("""COMPUTED_VALUE"""),10.0)</f>
        <v>10</v>
      </c>
      <c r="C1030" s="7" t="str">
        <f>IFERROR(__xludf.DUMMYFUNCTION("""COMPUTED_VALUE"""),"K_52B")</f>
        <v>K_52B</v>
      </c>
      <c r="D1030" s="7" t="str">
        <f>IFERROR(__xludf.DUMMYFUNCTION("""COMPUTED_VALUE"""),"Q70a. ")</f>
        <v>Q70a. </v>
      </c>
      <c r="E1030" s="7" t="str">
        <f>IFERROR(__xludf.DUMMYFUNCTION("""COMPUTED_VALUE"""),"Regional organisation recognizes our country's needs/interests")</f>
        <v>Regional organisation recognizes our country's needs/interests</v>
      </c>
      <c r="F1030" s="7" t="str">
        <f>IFERROR(__xludf.DUMMYFUNCTION("""COMPUTED_VALUE"""),"SADC")</f>
        <v>SADC</v>
      </c>
    </row>
    <row r="1031">
      <c r="A1031" s="7" t="str">
        <f>IFERROR(__xludf.DUMMYFUNCTION("""COMPUTED_VALUE"""),"ANGOLA ")</f>
        <v>ANGOLA </v>
      </c>
      <c r="B1031" s="8">
        <f>IFERROR(__xludf.DUMMYFUNCTION("""COMPUTED_VALUE"""),10.0)</f>
        <v>10</v>
      </c>
      <c r="C1031" s="7" t="str">
        <f>IFERROR(__xludf.DUMMYFUNCTION("""COMPUTED_VALUE"""),"K_53A")</f>
        <v>K_53A</v>
      </c>
      <c r="D1031" s="7" t="str">
        <f>IFERROR(__xludf.DUMMYFUNCTION("""COMPUTED_VALUE"""),"Q73d.")</f>
        <v>Q73d.</v>
      </c>
      <c r="E1031" s="7" t="str">
        <f>IFERROR(__xludf.DUMMYFUNCTION("""COMPUTED_VALUE"""),"Difficulty to move across borders")</f>
        <v>Difficulty to move across borders</v>
      </c>
      <c r="F1031" s="7" t="str">
        <f>IFERROR(__xludf.DUMMYFUNCTION("""COMPUTED_VALUE"""),"Southern African")</f>
        <v>Southern African</v>
      </c>
    </row>
    <row r="1032">
      <c r="A1032" s="7" t="str">
        <f>IFERROR(__xludf.DUMMYFUNCTION("""COMPUTED_VALUE"""),"BENIN")</f>
        <v>BENIN</v>
      </c>
      <c r="B1032" s="8">
        <f>IFERROR(__xludf.DUMMYFUNCTION("""COMPUTED_VALUE"""),10.0)</f>
        <v>10</v>
      </c>
      <c r="C1032" s="7" t="str">
        <f>IFERROR(__xludf.DUMMYFUNCTION("""COMPUTED_VALUE"""),"K_53A")</f>
        <v>K_53A</v>
      </c>
      <c r="D1032" s="7" t="str">
        <f>IFERROR(__xludf.DUMMYFUNCTION("""COMPUTED_VALUE"""),"Q73d.")</f>
        <v>Q73d.</v>
      </c>
      <c r="E1032" s="7" t="str">
        <f>IFERROR(__xludf.DUMMYFUNCTION("""COMPUTED_VALUE"""),"Difficulty to move across borders")</f>
        <v>Difficulty to move across borders</v>
      </c>
      <c r="F1032" s="7" t="str">
        <f>IFERROR(__xludf.DUMMYFUNCTION("""COMPUTED_VALUE"""),"West African")</f>
        <v>West African</v>
      </c>
    </row>
    <row r="1033">
      <c r="A1033" s="7" t="str">
        <f>IFERROR(__xludf.DUMMYFUNCTION("""COMPUTED_VALUE"""),"BOTSWANA ")</f>
        <v>BOTSWANA </v>
      </c>
      <c r="B1033" s="8">
        <f>IFERROR(__xludf.DUMMYFUNCTION("""COMPUTED_VALUE"""),10.0)</f>
        <v>10</v>
      </c>
      <c r="C1033" s="7" t="str">
        <f>IFERROR(__xludf.DUMMYFUNCTION("""COMPUTED_VALUE"""),"K_53A")</f>
        <v>K_53A</v>
      </c>
      <c r="D1033" s="7" t="str">
        <f>IFERROR(__xludf.DUMMYFUNCTION("""COMPUTED_VALUE"""),"Q73d.")</f>
        <v>Q73d.</v>
      </c>
      <c r="E1033" s="7" t="str">
        <f>IFERROR(__xludf.DUMMYFUNCTION("""COMPUTED_VALUE"""),"Difficulty to move across borders")</f>
        <v>Difficulty to move across borders</v>
      </c>
      <c r="F1033" s="7" t="str">
        <f>IFERROR(__xludf.DUMMYFUNCTION("""COMPUTED_VALUE"""),"Southern African")</f>
        <v>Southern African</v>
      </c>
    </row>
    <row r="1034">
      <c r="A1034" s="7" t="str">
        <f>IFERROR(__xludf.DUMMYFUNCTION("""COMPUTED_VALUE"""),"CABO VERDE ")</f>
        <v>CABO VERDE </v>
      </c>
      <c r="B1034" s="8">
        <f>IFERROR(__xludf.DUMMYFUNCTION("""COMPUTED_VALUE"""),10.0)</f>
        <v>10</v>
      </c>
      <c r="C1034" s="7" t="str">
        <f>IFERROR(__xludf.DUMMYFUNCTION("""COMPUTED_VALUE"""),"K_53A")</f>
        <v>K_53A</v>
      </c>
      <c r="D1034" s="7" t="str">
        <f>IFERROR(__xludf.DUMMYFUNCTION("""COMPUTED_VALUE"""),"Q73d.")</f>
        <v>Q73d.</v>
      </c>
      <c r="E1034" s="7" t="str">
        <f>IFERROR(__xludf.DUMMYFUNCTION("""COMPUTED_VALUE"""),"Difficulty to move across borders")</f>
        <v>Difficulty to move across borders</v>
      </c>
      <c r="F1034" s="7" t="str">
        <f>IFERROR(__xludf.DUMMYFUNCTION("""COMPUTED_VALUE"""),"West African")</f>
        <v>West African</v>
      </c>
    </row>
    <row r="1035">
      <c r="A1035" s="7" t="str">
        <f>IFERROR(__xludf.DUMMYFUNCTION("""COMPUTED_VALUE"""),"CAMEROON")</f>
        <v>CAMEROON</v>
      </c>
      <c r="B1035" s="8">
        <f>IFERROR(__xludf.DUMMYFUNCTION("""COMPUTED_VALUE"""),10.0)</f>
        <v>10</v>
      </c>
      <c r="C1035" s="7" t="str">
        <f>IFERROR(__xludf.DUMMYFUNCTION("""COMPUTED_VALUE"""),"K_53A")</f>
        <v>K_53A</v>
      </c>
      <c r="D1035" s="7" t="str">
        <f>IFERROR(__xludf.DUMMYFUNCTION("""COMPUTED_VALUE"""),"Q73d.")</f>
        <v>Q73d.</v>
      </c>
      <c r="E1035" s="7" t="str">
        <f>IFERROR(__xludf.DUMMYFUNCTION("""COMPUTED_VALUE"""),"Difficulty to move across borders")</f>
        <v>Difficulty to move across borders</v>
      </c>
      <c r="F1035" s="7" t="str">
        <f>IFERROR(__xludf.DUMMYFUNCTION("""COMPUTED_VALUE"""),"Central African")</f>
        <v>Central African</v>
      </c>
    </row>
    <row r="1036">
      <c r="A1036" s="7" t="str">
        <f>IFERROR(__xludf.DUMMYFUNCTION("""COMPUTED_VALUE"""),"CHAD")</f>
        <v>CHAD</v>
      </c>
      <c r="B1036" s="8">
        <f>IFERROR(__xludf.DUMMYFUNCTION("""COMPUTED_VALUE"""),10.0)</f>
        <v>10</v>
      </c>
      <c r="C1036" s="7" t="str">
        <f>IFERROR(__xludf.DUMMYFUNCTION("""COMPUTED_VALUE"""),"K_53A")</f>
        <v>K_53A</v>
      </c>
      <c r="D1036" s="7" t="str">
        <f>IFERROR(__xludf.DUMMYFUNCTION("""COMPUTED_VALUE"""),"Q73d.")</f>
        <v>Q73d.</v>
      </c>
      <c r="E1036" s="7" t="str">
        <f>IFERROR(__xludf.DUMMYFUNCTION("""COMPUTED_VALUE"""),"Difficulty to move across borders")</f>
        <v>Difficulty to move across borders</v>
      </c>
      <c r="F1036" s="7" t="str">
        <f>IFERROR(__xludf.DUMMYFUNCTION("""COMPUTED_VALUE"""),"Central African")</f>
        <v>Central African</v>
      </c>
    </row>
    <row r="1037">
      <c r="A1037" s="7" t="str">
        <f>IFERROR(__xludf.DUMMYFUNCTION("""COMPUTED_VALUE"""),"COMOROS")</f>
        <v>COMOROS</v>
      </c>
      <c r="B1037" s="8">
        <f>IFERROR(__xludf.DUMMYFUNCTION("""COMPUTED_VALUE"""),10.0)</f>
        <v>10</v>
      </c>
      <c r="C1037" s="7" t="str">
        <f>IFERROR(__xludf.DUMMYFUNCTION("""COMPUTED_VALUE"""),"K_53A")</f>
        <v>K_53A</v>
      </c>
      <c r="D1037" s="7" t="str">
        <f>IFERROR(__xludf.DUMMYFUNCTION("""COMPUTED_VALUE"""),"Q73d.")</f>
        <v>Q73d.</v>
      </c>
      <c r="E1037" s="7" t="str">
        <f>IFERROR(__xludf.DUMMYFUNCTION("""COMPUTED_VALUE"""),"Difficulty to move across borders")</f>
        <v>Difficulty to move across borders</v>
      </c>
      <c r="F1037" s="7" t="str">
        <f>IFERROR(__xludf.DUMMYFUNCTION("""COMPUTED_VALUE"""),"Southern African")</f>
        <v>Southern African</v>
      </c>
    </row>
    <row r="1038">
      <c r="A1038" s="7" t="str">
        <f>IFERROR(__xludf.DUMMYFUNCTION("""COMPUTED_VALUE"""),"CONGO BRAZZAVILLE")</f>
        <v>CONGO BRAZZAVILLE</v>
      </c>
      <c r="B1038" s="8">
        <f>IFERROR(__xludf.DUMMYFUNCTION("""COMPUTED_VALUE"""),10.0)</f>
        <v>10</v>
      </c>
      <c r="C1038" s="7" t="str">
        <f>IFERROR(__xludf.DUMMYFUNCTION("""COMPUTED_VALUE"""),"K_53A")</f>
        <v>K_53A</v>
      </c>
      <c r="D1038" s="7" t="str">
        <f>IFERROR(__xludf.DUMMYFUNCTION("""COMPUTED_VALUE"""),"Q73d.")</f>
        <v>Q73d.</v>
      </c>
      <c r="E1038" s="7" t="str">
        <f>IFERROR(__xludf.DUMMYFUNCTION("""COMPUTED_VALUE"""),"Difficulty to move across borders")</f>
        <v>Difficulty to move across borders</v>
      </c>
      <c r="F1038" s="7" t="str">
        <f>IFERROR(__xludf.DUMMYFUNCTION("""COMPUTED_VALUE"""),"Central African")</f>
        <v>Central African</v>
      </c>
    </row>
    <row r="1039">
      <c r="A1039" s="7" t="str">
        <f>IFERROR(__xludf.DUMMYFUNCTION("""COMPUTED_VALUE"""),"COTE D'IVOIRE")</f>
        <v>COTE D'IVOIRE</v>
      </c>
      <c r="B1039" s="8">
        <f>IFERROR(__xludf.DUMMYFUNCTION("""COMPUTED_VALUE"""),10.0)</f>
        <v>10</v>
      </c>
      <c r="C1039" s="7" t="str">
        <f>IFERROR(__xludf.DUMMYFUNCTION("""COMPUTED_VALUE"""),"K_53A")</f>
        <v>K_53A</v>
      </c>
      <c r="D1039" s="7" t="str">
        <f>IFERROR(__xludf.DUMMYFUNCTION("""COMPUTED_VALUE"""),"Q73d.")</f>
        <v>Q73d.</v>
      </c>
      <c r="E1039" s="7" t="str">
        <f>IFERROR(__xludf.DUMMYFUNCTION("""COMPUTED_VALUE"""),"Difficulty to move across borders")</f>
        <v>Difficulty to move across borders</v>
      </c>
      <c r="F1039" s="7" t="str">
        <f>IFERROR(__xludf.DUMMYFUNCTION("""COMPUTED_VALUE"""),"West African")</f>
        <v>West African</v>
      </c>
    </row>
    <row r="1040">
      <c r="A1040" s="7" t="str">
        <f>IFERROR(__xludf.DUMMYFUNCTION("""COMPUTED_VALUE"""),"ESWATINI")</f>
        <v>ESWATINI</v>
      </c>
      <c r="B1040" s="8">
        <f>IFERROR(__xludf.DUMMYFUNCTION("""COMPUTED_VALUE"""),10.0)</f>
        <v>10</v>
      </c>
      <c r="C1040" s="7" t="str">
        <f>IFERROR(__xludf.DUMMYFUNCTION("""COMPUTED_VALUE"""),"K_53A")</f>
        <v>K_53A</v>
      </c>
      <c r="D1040" s="7" t="str">
        <f>IFERROR(__xludf.DUMMYFUNCTION("""COMPUTED_VALUE"""),"Q73d.")</f>
        <v>Q73d.</v>
      </c>
      <c r="E1040" s="7" t="str">
        <f>IFERROR(__xludf.DUMMYFUNCTION("""COMPUTED_VALUE"""),"Difficulty to move across borders")</f>
        <v>Difficulty to move across borders</v>
      </c>
      <c r="F1040" s="7" t="str">
        <f>IFERROR(__xludf.DUMMYFUNCTION("""COMPUTED_VALUE"""),"Southern African")</f>
        <v>Southern African</v>
      </c>
    </row>
    <row r="1041">
      <c r="A1041" s="7" t="str">
        <f>IFERROR(__xludf.DUMMYFUNCTION("""COMPUTED_VALUE"""),"GABON")</f>
        <v>GABON</v>
      </c>
      <c r="B1041" s="8">
        <f>IFERROR(__xludf.DUMMYFUNCTION("""COMPUTED_VALUE"""),10.0)</f>
        <v>10</v>
      </c>
      <c r="C1041" s="7" t="str">
        <f>IFERROR(__xludf.DUMMYFUNCTION("""COMPUTED_VALUE"""),"K_53A")</f>
        <v>K_53A</v>
      </c>
      <c r="D1041" s="7" t="str">
        <f>IFERROR(__xludf.DUMMYFUNCTION("""COMPUTED_VALUE"""),"Q73d.")</f>
        <v>Q73d.</v>
      </c>
      <c r="E1041" s="7" t="str">
        <f>IFERROR(__xludf.DUMMYFUNCTION("""COMPUTED_VALUE"""),"Difficulty to move across borders")</f>
        <v>Difficulty to move across borders</v>
      </c>
      <c r="F1041" s="7" t="str">
        <f>IFERROR(__xludf.DUMMYFUNCTION("""COMPUTED_VALUE"""),"Central African")</f>
        <v>Central African</v>
      </c>
    </row>
    <row r="1042">
      <c r="A1042" s="7" t="str">
        <f>IFERROR(__xludf.DUMMYFUNCTION("""COMPUTED_VALUE"""),"GAMBIA")</f>
        <v>GAMBIA</v>
      </c>
      <c r="B1042" s="8">
        <f>IFERROR(__xludf.DUMMYFUNCTION("""COMPUTED_VALUE"""),10.0)</f>
        <v>10</v>
      </c>
      <c r="C1042" s="7" t="str">
        <f>IFERROR(__xludf.DUMMYFUNCTION("""COMPUTED_VALUE"""),"K_53A")</f>
        <v>K_53A</v>
      </c>
      <c r="D1042" s="7" t="str">
        <f>IFERROR(__xludf.DUMMYFUNCTION("""COMPUTED_VALUE"""),"Q73d.")</f>
        <v>Q73d.</v>
      </c>
      <c r="E1042" s="7" t="str">
        <f>IFERROR(__xludf.DUMMYFUNCTION("""COMPUTED_VALUE"""),"Difficulty to move across borders")</f>
        <v>Difficulty to move across borders</v>
      </c>
      <c r="F1042" s="7" t="str">
        <f>IFERROR(__xludf.DUMMYFUNCTION("""COMPUTED_VALUE"""),"West African")</f>
        <v>West African</v>
      </c>
    </row>
    <row r="1043">
      <c r="A1043" s="7" t="str">
        <f>IFERROR(__xludf.DUMMYFUNCTION("""COMPUTED_VALUE"""),"GHANA ")</f>
        <v>GHANA </v>
      </c>
      <c r="B1043" s="8">
        <f>IFERROR(__xludf.DUMMYFUNCTION("""COMPUTED_VALUE"""),10.0)</f>
        <v>10</v>
      </c>
      <c r="C1043" s="7" t="str">
        <f>IFERROR(__xludf.DUMMYFUNCTION("""COMPUTED_VALUE"""),"K_53A")</f>
        <v>K_53A</v>
      </c>
      <c r="D1043" s="7" t="str">
        <f>IFERROR(__xludf.DUMMYFUNCTION("""COMPUTED_VALUE"""),"Q73d.")</f>
        <v>Q73d.</v>
      </c>
      <c r="E1043" s="7" t="str">
        <f>IFERROR(__xludf.DUMMYFUNCTION("""COMPUTED_VALUE"""),"Difficulty to move across borders")</f>
        <v>Difficulty to move across borders</v>
      </c>
      <c r="F1043" s="7" t="str">
        <f>IFERROR(__xludf.DUMMYFUNCTION("""COMPUTED_VALUE"""),"West African")</f>
        <v>West African</v>
      </c>
    </row>
    <row r="1044">
      <c r="A1044" s="7" t="str">
        <f>IFERROR(__xludf.DUMMYFUNCTION("""COMPUTED_VALUE"""),"GUINEA")</f>
        <v>GUINEA</v>
      </c>
      <c r="B1044" s="8">
        <f>IFERROR(__xludf.DUMMYFUNCTION("""COMPUTED_VALUE"""),10.0)</f>
        <v>10</v>
      </c>
      <c r="C1044" s="7" t="str">
        <f>IFERROR(__xludf.DUMMYFUNCTION("""COMPUTED_VALUE"""),"K_53A")</f>
        <v>K_53A</v>
      </c>
      <c r="D1044" s="7" t="str">
        <f>IFERROR(__xludf.DUMMYFUNCTION("""COMPUTED_VALUE"""),"Q73d.")</f>
        <v>Q73d.</v>
      </c>
      <c r="E1044" s="7" t="str">
        <f>IFERROR(__xludf.DUMMYFUNCTION("""COMPUTED_VALUE"""),"Difficulty to move across borders")</f>
        <v>Difficulty to move across borders</v>
      </c>
      <c r="F1044" s="7" t="str">
        <f>IFERROR(__xludf.DUMMYFUNCTION("""COMPUTED_VALUE"""),"West African")</f>
        <v>West African</v>
      </c>
    </row>
    <row r="1045">
      <c r="A1045" s="7" t="str">
        <f>IFERROR(__xludf.DUMMYFUNCTION("""COMPUTED_VALUE"""),"KENYA  ")</f>
        <v>KENYA  </v>
      </c>
      <c r="B1045" s="8">
        <f>IFERROR(__xludf.DUMMYFUNCTION("""COMPUTED_VALUE"""),10.0)</f>
        <v>10</v>
      </c>
      <c r="C1045" s="7" t="str">
        <f>IFERROR(__xludf.DUMMYFUNCTION("""COMPUTED_VALUE"""),"K_53A")</f>
        <v>K_53A</v>
      </c>
      <c r="D1045" s="7" t="str">
        <f>IFERROR(__xludf.DUMMYFUNCTION("""COMPUTED_VALUE"""),"Q73d.")</f>
        <v>Q73d.</v>
      </c>
      <c r="E1045" s="7" t="str">
        <f>IFERROR(__xludf.DUMMYFUNCTION("""COMPUTED_VALUE"""),"Difficulty to move across borders")</f>
        <v>Difficulty to move across borders</v>
      </c>
      <c r="F1045" s="7" t="str">
        <f>IFERROR(__xludf.DUMMYFUNCTION("""COMPUTED_VALUE"""),"East African")</f>
        <v>East African</v>
      </c>
    </row>
    <row r="1046">
      <c r="A1046" s="7" t="str">
        <f>IFERROR(__xludf.DUMMYFUNCTION("""COMPUTED_VALUE"""),"LESOTHO ")</f>
        <v>LESOTHO </v>
      </c>
      <c r="B1046" s="8">
        <f>IFERROR(__xludf.DUMMYFUNCTION("""COMPUTED_VALUE"""),10.0)</f>
        <v>10</v>
      </c>
      <c r="C1046" s="7" t="str">
        <f>IFERROR(__xludf.DUMMYFUNCTION("""COMPUTED_VALUE"""),"K_53A")</f>
        <v>K_53A</v>
      </c>
      <c r="D1046" s="7" t="str">
        <f>IFERROR(__xludf.DUMMYFUNCTION("""COMPUTED_VALUE"""),"Q73d.")</f>
        <v>Q73d.</v>
      </c>
      <c r="E1046" s="7" t="str">
        <f>IFERROR(__xludf.DUMMYFUNCTION("""COMPUTED_VALUE"""),"Difficulty to move across borders")</f>
        <v>Difficulty to move across borders</v>
      </c>
      <c r="F1046" s="7" t="str">
        <f>IFERROR(__xludf.DUMMYFUNCTION("""COMPUTED_VALUE"""),"Southern African")</f>
        <v>Southern African</v>
      </c>
    </row>
    <row r="1047">
      <c r="A1047" s="7" t="str">
        <f>IFERROR(__xludf.DUMMYFUNCTION("""COMPUTED_VALUE"""),"LIBERIA  ")</f>
        <v>LIBERIA  </v>
      </c>
      <c r="B1047" s="8">
        <f>IFERROR(__xludf.DUMMYFUNCTION("""COMPUTED_VALUE"""),10.0)</f>
        <v>10</v>
      </c>
      <c r="C1047" s="7" t="str">
        <f>IFERROR(__xludf.DUMMYFUNCTION("""COMPUTED_VALUE"""),"K_53A")</f>
        <v>K_53A</v>
      </c>
      <c r="D1047" s="7" t="str">
        <f>IFERROR(__xludf.DUMMYFUNCTION("""COMPUTED_VALUE"""),"Q73d.")</f>
        <v>Q73d.</v>
      </c>
      <c r="E1047" s="7" t="str">
        <f>IFERROR(__xludf.DUMMYFUNCTION("""COMPUTED_VALUE"""),"Difficulty to move across borders")</f>
        <v>Difficulty to move across borders</v>
      </c>
      <c r="F1047" s="7" t="str">
        <f>IFERROR(__xludf.DUMMYFUNCTION("""COMPUTED_VALUE"""),"West Africa")</f>
        <v>West Africa</v>
      </c>
    </row>
    <row r="1048">
      <c r="A1048" s="7" t="str">
        <f>IFERROR(__xludf.DUMMYFUNCTION("""COMPUTED_VALUE"""),"MADAGASCAR")</f>
        <v>MADAGASCAR</v>
      </c>
      <c r="B1048" s="8">
        <f>IFERROR(__xludf.DUMMYFUNCTION("""COMPUTED_VALUE"""),10.0)</f>
        <v>10</v>
      </c>
      <c r="C1048" s="7" t="str">
        <f>IFERROR(__xludf.DUMMYFUNCTION("""COMPUTED_VALUE"""),"K_53A")</f>
        <v>K_53A</v>
      </c>
      <c r="D1048" s="7" t="str">
        <f>IFERROR(__xludf.DUMMYFUNCTION("""COMPUTED_VALUE"""),"Q73d.")</f>
        <v>Q73d.</v>
      </c>
      <c r="E1048" s="7" t="str">
        <f>IFERROR(__xludf.DUMMYFUNCTION("""COMPUTED_VALUE"""),"Difficulty to move across borders")</f>
        <v>Difficulty to move across borders</v>
      </c>
      <c r="F1048" s="7" t="str">
        <f>IFERROR(__xludf.DUMMYFUNCTION("""COMPUTED_VALUE"""),"Southern African")</f>
        <v>Southern African</v>
      </c>
    </row>
    <row r="1049">
      <c r="A1049" s="7" t="str">
        <f>IFERROR(__xludf.DUMMYFUNCTION("""COMPUTED_VALUE"""),"MALAWI ")</f>
        <v>MALAWI </v>
      </c>
      <c r="B1049" s="8">
        <f>IFERROR(__xludf.DUMMYFUNCTION("""COMPUTED_VALUE"""),10.0)</f>
        <v>10</v>
      </c>
      <c r="C1049" s="7" t="str">
        <f>IFERROR(__xludf.DUMMYFUNCTION("""COMPUTED_VALUE"""),"K_53A")</f>
        <v>K_53A</v>
      </c>
      <c r="D1049" s="7" t="str">
        <f>IFERROR(__xludf.DUMMYFUNCTION("""COMPUTED_VALUE"""),"Q73d.")</f>
        <v>Q73d.</v>
      </c>
      <c r="E1049" s="7" t="str">
        <f>IFERROR(__xludf.DUMMYFUNCTION("""COMPUTED_VALUE"""),"Difficulty to move across borders")</f>
        <v>Difficulty to move across borders</v>
      </c>
      <c r="F1049" s="7" t="str">
        <f>IFERROR(__xludf.DUMMYFUNCTION("""COMPUTED_VALUE"""),"Southern African")</f>
        <v>Southern African</v>
      </c>
    </row>
    <row r="1050">
      <c r="A1050" s="7" t="str">
        <f>IFERROR(__xludf.DUMMYFUNCTION("""COMPUTED_VALUE"""),"MALI")</f>
        <v>MALI</v>
      </c>
      <c r="B1050" s="8">
        <f>IFERROR(__xludf.DUMMYFUNCTION("""COMPUTED_VALUE"""),10.0)</f>
        <v>10</v>
      </c>
      <c r="C1050" s="7" t="str">
        <f>IFERROR(__xludf.DUMMYFUNCTION("""COMPUTED_VALUE"""),"K_53A")</f>
        <v>K_53A</v>
      </c>
      <c r="D1050" s="7" t="str">
        <f>IFERROR(__xludf.DUMMYFUNCTION("""COMPUTED_VALUE"""),"Q73d.")</f>
        <v>Q73d.</v>
      </c>
      <c r="E1050" s="7" t="str">
        <f>IFERROR(__xludf.DUMMYFUNCTION("""COMPUTED_VALUE"""),"Difficulty to move across borders")</f>
        <v>Difficulty to move across borders</v>
      </c>
      <c r="F1050" s="7" t="str">
        <f>IFERROR(__xludf.DUMMYFUNCTION("""COMPUTED_VALUE"""),"West Africa")</f>
        <v>West Africa</v>
      </c>
    </row>
    <row r="1051">
      <c r="A1051" s="7" t="str">
        <f>IFERROR(__xludf.DUMMYFUNCTION("""COMPUTED_VALUE"""),"MAURITANIA")</f>
        <v>MAURITANIA</v>
      </c>
      <c r="B1051" s="8">
        <f>IFERROR(__xludf.DUMMYFUNCTION("""COMPUTED_VALUE"""),10.0)</f>
        <v>10</v>
      </c>
      <c r="C1051" s="7" t="str">
        <f>IFERROR(__xludf.DUMMYFUNCTION("""COMPUTED_VALUE"""),"K_53A")</f>
        <v>K_53A</v>
      </c>
      <c r="D1051" s="7" t="str">
        <f>IFERROR(__xludf.DUMMYFUNCTION("""COMPUTED_VALUE"""),"Q73d.")</f>
        <v>Q73d.</v>
      </c>
      <c r="E1051" s="7" t="str">
        <f>IFERROR(__xludf.DUMMYFUNCTION("""COMPUTED_VALUE"""),"Difficulty to move across borders")</f>
        <v>Difficulty to move across borders</v>
      </c>
      <c r="F1051" s="7" t="str">
        <f>IFERROR(__xludf.DUMMYFUNCTION("""COMPUTED_VALUE"""),"West Africa")</f>
        <v>West Africa</v>
      </c>
    </row>
    <row r="1052">
      <c r="A1052" s="7" t="str">
        <f>IFERROR(__xludf.DUMMYFUNCTION("""COMPUTED_VALUE"""),"MAURITIUS")</f>
        <v>MAURITIUS</v>
      </c>
      <c r="B1052" s="8">
        <f>IFERROR(__xludf.DUMMYFUNCTION("""COMPUTED_VALUE"""),10.0)</f>
        <v>10</v>
      </c>
      <c r="C1052" s="7" t="str">
        <f>IFERROR(__xludf.DUMMYFUNCTION("""COMPUTED_VALUE"""),"K_53A")</f>
        <v>K_53A</v>
      </c>
      <c r="D1052" s="7" t="str">
        <f>IFERROR(__xludf.DUMMYFUNCTION("""COMPUTED_VALUE"""),"Q73d.")</f>
        <v>Q73d.</v>
      </c>
      <c r="E1052" s="7" t="str">
        <f>IFERROR(__xludf.DUMMYFUNCTION("""COMPUTED_VALUE"""),"Difficulty to move across borders")</f>
        <v>Difficulty to move across borders</v>
      </c>
      <c r="F1052" s="7" t="str">
        <f>IFERROR(__xludf.DUMMYFUNCTION("""COMPUTED_VALUE"""),"Southern African")</f>
        <v>Southern African</v>
      </c>
    </row>
    <row r="1053">
      <c r="A1053" s="7" t="str">
        <f>IFERROR(__xludf.DUMMYFUNCTION("""COMPUTED_VALUE"""),"MOROCCO ")</f>
        <v>MOROCCO </v>
      </c>
      <c r="B1053" s="8">
        <f>IFERROR(__xludf.DUMMYFUNCTION("""COMPUTED_VALUE"""),10.0)</f>
        <v>10</v>
      </c>
      <c r="C1053" s="7" t="str">
        <f>IFERROR(__xludf.DUMMYFUNCTION("""COMPUTED_VALUE"""),"K_53A")</f>
        <v>K_53A</v>
      </c>
      <c r="D1053" s="7" t="str">
        <f>IFERROR(__xludf.DUMMYFUNCTION("""COMPUTED_VALUE"""),"Q73d.")</f>
        <v>Q73d.</v>
      </c>
      <c r="E1053" s="7" t="str">
        <f>IFERROR(__xludf.DUMMYFUNCTION("""COMPUTED_VALUE"""),"Difficulty to move across borders")</f>
        <v>Difficulty to move across borders</v>
      </c>
      <c r="F1053" s="7" t="str">
        <f>IFERROR(__xludf.DUMMYFUNCTION("""COMPUTED_VALUE"""),"North African")</f>
        <v>North African</v>
      </c>
    </row>
    <row r="1054">
      <c r="A1054" s="7" t="str">
        <f>IFERROR(__xludf.DUMMYFUNCTION("""COMPUTED_VALUE"""),"MOZAMBIQUE")</f>
        <v>MOZAMBIQUE</v>
      </c>
      <c r="B1054" s="8">
        <f>IFERROR(__xludf.DUMMYFUNCTION("""COMPUTED_VALUE"""),10.0)</f>
        <v>10</v>
      </c>
      <c r="C1054" s="7" t="str">
        <f>IFERROR(__xludf.DUMMYFUNCTION("""COMPUTED_VALUE"""),"K_53A")</f>
        <v>K_53A</v>
      </c>
      <c r="D1054" s="7" t="str">
        <f>IFERROR(__xludf.DUMMYFUNCTION("""COMPUTED_VALUE"""),"Q73d.")</f>
        <v>Q73d.</v>
      </c>
      <c r="E1054" s="7" t="str">
        <f>IFERROR(__xludf.DUMMYFUNCTION("""COMPUTED_VALUE"""),"Difficulty to move across borders")</f>
        <v>Difficulty to move across borders</v>
      </c>
      <c r="F1054" s="7" t="str">
        <f>IFERROR(__xludf.DUMMYFUNCTION("""COMPUTED_VALUE"""),"Southern African")</f>
        <v>Southern African</v>
      </c>
    </row>
    <row r="1055">
      <c r="A1055" s="7" t="str">
        <f>IFERROR(__xludf.DUMMYFUNCTION("""COMPUTED_VALUE"""),"NAMIBIA ")</f>
        <v>NAMIBIA </v>
      </c>
      <c r="B1055" s="8">
        <f>IFERROR(__xludf.DUMMYFUNCTION("""COMPUTED_VALUE"""),10.0)</f>
        <v>10</v>
      </c>
      <c r="C1055" s="7" t="str">
        <f>IFERROR(__xludf.DUMMYFUNCTION("""COMPUTED_VALUE"""),"K_53A")</f>
        <v>K_53A</v>
      </c>
      <c r="D1055" s="7" t="str">
        <f>IFERROR(__xludf.DUMMYFUNCTION("""COMPUTED_VALUE"""),"Q73d.")</f>
        <v>Q73d.</v>
      </c>
      <c r="E1055" s="7" t="str">
        <f>IFERROR(__xludf.DUMMYFUNCTION("""COMPUTED_VALUE"""),"Difficulty to move across borders")</f>
        <v>Difficulty to move across borders</v>
      </c>
      <c r="F1055" s="7" t="str">
        <f>IFERROR(__xludf.DUMMYFUNCTION("""COMPUTED_VALUE"""),"Southern African")</f>
        <v>Southern African</v>
      </c>
    </row>
    <row r="1056">
      <c r="A1056" s="7" t="str">
        <f>IFERROR(__xludf.DUMMYFUNCTION("""COMPUTED_VALUE"""),"NIGERIA ")</f>
        <v>NIGERIA </v>
      </c>
      <c r="B1056" s="8">
        <f>IFERROR(__xludf.DUMMYFUNCTION("""COMPUTED_VALUE"""),10.0)</f>
        <v>10</v>
      </c>
      <c r="C1056" s="7" t="str">
        <f>IFERROR(__xludf.DUMMYFUNCTION("""COMPUTED_VALUE"""),"K_53A")</f>
        <v>K_53A</v>
      </c>
      <c r="D1056" s="7" t="str">
        <f>IFERROR(__xludf.DUMMYFUNCTION("""COMPUTED_VALUE"""),"Q73d.")</f>
        <v>Q73d.</v>
      </c>
      <c r="E1056" s="7" t="str">
        <f>IFERROR(__xludf.DUMMYFUNCTION("""COMPUTED_VALUE"""),"Difficulty to move across borders")</f>
        <v>Difficulty to move across borders</v>
      </c>
      <c r="F1056" s="7" t="str">
        <f>IFERROR(__xludf.DUMMYFUNCTION("""COMPUTED_VALUE"""),"West African")</f>
        <v>West African</v>
      </c>
    </row>
    <row r="1057">
      <c r="A1057" s="7" t="str">
        <f>IFERROR(__xludf.DUMMYFUNCTION("""COMPUTED_VALUE"""),"SAO TOME AND PRINCIPE")</f>
        <v>SAO TOME AND PRINCIPE</v>
      </c>
      <c r="B1057" s="8">
        <f>IFERROR(__xludf.DUMMYFUNCTION("""COMPUTED_VALUE"""),10.0)</f>
        <v>10</v>
      </c>
      <c r="C1057" s="7" t="str">
        <f>IFERROR(__xludf.DUMMYFUNCTION("""COMPUTED_VALUE"""),"K_53A")</f>
        <v>K_53A</v>
      </c>
      <c r="D1057" s="7" t="str">
        <f>IFERROR(__xludf.DUMMYFUNCTION("""COMPUTED_VALUE"""),"Q73d.")</f>
        <v>Q73d.</v>
      </c>
      <c r="E1057" s="7" t="str">
        <f>IFERROR(__xludf.DUMMYFUNCTION("""COMPUTED_VALUE"""),"Difficulty to move across borders")</f>
        <v>Difficulty to move across borders</v>
      </c>
      <c r="F1057" s="7" t="str">
        <f>IFERROR(__xludf.DUMMYFUNCTION("""COMPUTED_VALUE"""),"Central Africa")</f>
        <v>Central Africa</v>
      </c>
    </row>
    <row r="1058">
      <c r="A1058" s="7" t="str">
        <f>IFERROR(__xludf.DUMMYFUNCTION("""COMPUTED_VALUE"""),"SENEGAL")</f>
        <v>SENEGAL</v>
      </c>
      <c r="B1058" s="8">
        <f>IFERROR(__xludf.DUMMYFUNCTION("""COMPUTED_VALUE"""),10.0)</f>
        <v>10</v>
      </c>
      <c r="C1058" s="7" t="str">
        <f>IFERROR(__xludf.DUMMYFUNCTION("""COMPUTED_VALUE"""),"K_53A")</f>
        <v>K_53A</v>
      </c>
      <c r="D1058" s="7" t="str">
        <f>IFERROR(__xludf.DUMMYFUNCTION("""COMPUTED_VALUE"""),"Q73d.")</f>
        <v>Q73d.</v>
      </c>
      <c r="E1058" s="7" t="str">
        <f>IFERROR(__xludf.DUMMYFUNCTION("""COMPUTED_VALUE"""),"Difficulty to move across borders")</f>
        <v>Difficulty to move across borders</v>
      </c>
      <c r="F1058" s="7" t="str">
        <f>IFERROR(__xludf.DUMMYFUNCTION("""COMPUTED_VALUE"""),"West African")</f>
        <v>West African</v>
      </c>
    </row>
    <row r="1059">
      <c r="A1059" s="7" t="str">
        <f>IFERROR(__xludf.DUMMYFUNCTION("""COMPUTED_VALUE"""),"SEYCHELLES")</f>
        <v>SEYCHELLES</v>
      </c>
      <c r="B1059" s="8">
        <f>IFERROR(__xludf.DUMMYFUNCTION("""COMPUTED_VALUE"""),10.0)</f>
        <v>10</v>
      </c>
      <c r="C1059" s="7" t="str">
        <f>IFERROR(__xludf.DUMMYFUNCTION("""COMPUTED_VALUE"""),"K_53A")</f>
        <v>K_53A</v>
      </c>
      <c r="D1059" s="7" t="str">
        <f>IFERROR(__xludf.DUMMYFUNCTION("""COMPUTED_VALUE"""),"Q73d.")</f>
        <v>Q73d.</v>
      </c>
      <c r="E1059" s="7" t="str">
        <f>IFERROR(__xludf.DUMMYFUNCTION("""COMPUTED_VALUE"""),"Difficulty to move across borders")</f>
        <v>Difficulty to move across borders</v>
      </c>
      <c r="F1059" s="7" t="str">
        <f>IFERROR(__xludf.DUMMYFUNCTION("""COMPUTED_VALUE"""),"Southern African")</f>
        <v>Southern African</v>
      </c>
    </row>
    <row r="1060">
      <c r="A1060" s="7" t="str">
        <f>IFERROR(__xludf.DUMMYFUNCTION("""COMPUTED_VALUE"""),"SOUTH AFRICA")</f>
        <v>SOUTH AFRICA</v>
      </c>
      <c r="B1060" s="8">
        <f>IFERROR(__xludf.DUMMYFUNCTION("""COMPUTED_VALUE"""),10.0)</f>
        <v>10</v>
      </c>
      <c r="C1060" s="7" t="str">
        <f>IFERROR(__xludf.DUMMYFUNCTION("""COMPUTED_VALUE"""),"K_53A")</f>
        <v>K_53A</v>
      </c>
      <c r="D1060" s="7" t="str">
        <f>IFERROR(__xludf.DUMMYFUNCTION("""COMPUTED_VALUE"""),"Q73d.")</f>
        <v>Q73d.</v>
      </c>
      <c r="E1060" s="7" t="str">
        <f>IFERROR(__xludf.DUMMYFUNCTION("""COMPUTED_VALUE"""),"Difficulty to move across borders")</f>
        <v>Difficulty to move across borders</v>
      </c>
      <c r="F1060" s="7" t="str">
        <f>IFERROR(__xludf.DUMMYFUNCTION("""COMPUTED_VALUE"""),"Southern African")</f>
        <v>Southern African</v>
      </c>
    </row>
    <row r="1061">
      <c r="A1061" s="7" t="str">
        <f>IFERROR(__xludf.DUMMYFUNCTION("""COMPUTED_VALUE"""),"TANZANIA")</f>
        <v>TANZANIA</v>
      </c>
      <c r="B1061" s="8">
        <f>IFERROR(__xludf.DUMMYFUNCTION("""COMPUTED_VALUE"""),10.0)</f>
        <v>10</v>
      </c>
      <c r="C1061" s="7" t="str">
        <f>IFERROR(__xludf.DUMMYFUNCTION("""COMPUTED_VALUE"""),"K_53A")</f>
        <v>K_53A</v>
      </c>
      <c r="D1061" s="7" t="str">
        <f>IFERROR(__xludf.DUMMYFUNCTION("""COMPUTED_VALUE"""),"Q73d.")</f>
        <v>Q73d.</v>
      </c>
      <c r="E1061" s="7" t="str">
        <f>IFERROR(__xludf.DUMMYFUNCTION("""COMPUTED_VALUE"""),"Difficulty to move across borders")</f>
        <v>Difficulty to move across borders</v>
      </c>
      <c r="F1061" s="7" t="str">
        <f>IFERROR(__xludf.DUMMYFUNCTION("""COMPUTED_VALUE"""),"East Africa")</f>
        <v>East Africa</v>
      </c>
    </row>
    <row r="1062">
      <c r="A1062" s="7" t="str">
        <f>IFERROR(__xludf.DUMMYFUNCTION("""COMPUTED_VALUE"""),"TOGO ")</f>
        <v>TOGO </v>
      </c>
      <c r="B1062" s="8">
        <f>IFERROR(__xludf.DUMMYFUNCTION("""COMPUTED_VALUE"""),10.0)</f>
        <v>10</v>
      </c>
      <c r="C1062" s="7" t="str">
        <f>IFERROR(__xludf.DUMMYFUNCTION("""COMPUTED_VALUE"""),"K_53A")</f>
        <v>K_53A</v>
      </c>
      <c r="D1062" s="7" t="str">
        <f>IFERROR(__xludf.DUMMYFUNCTION("""COMPUTED_VALUE"""),"Q73d.")</f>
        <v>Q73d.</v>
      </c>
      <c r="E1062" s="7" t="str">
        <f>IFERROR(__xludf.DUMMYFUNCTION("""COMPUTED_VALUE"""),"Difficulty to move across borders")</f>
        <v>Difficulty to move across borders</v>
      </c>
      <c r="F1062" s="7" t="str">
        <f>IFERROR(__xludf.DUMMYFUNCTION("""COMPUTED_VALUE"""),"West African")</f>
        <v>West African</v>
      </c>
    </row>
    <row r="1063">
      <c r="A1063" s="7" t="str">
        <f>IFERROR(__xludf.DUMMYFUNCTION("""COMPUTED_VALUE"""),"TUNISIA ")</f>
        <v>TUNISIA </v>
      </c>
      <c r="B1063" s="8">
        <f>IFERROR(__xludf.DUMMYFUNCTION("""COMPUTED_VALUE"""),10.0)</f>
        <v>10</v>
      </c>
      <c r="C1063" s="7" t="str">
        <f>IFERROR(__xludf.DUMMYFUNCTION("""COMPUTED_VALUE"""),"K_53A")</f>
        <v>K_53A</v>
      </c>
      <c r="D1063" s="7" t="str">
        <f>IFERROR(__xludf.DUMMYFUNCTION("""COMPUTED_VALUE"""),"Q73d.")</f>
        <v>Q73d.</v>
      </c>
      <c r="E1063" s="7" t="str">
        <f>IFERROR(__xludf.DUMMYFUNCTION("""COMPUTED_VALUE"""),"Difficulty to move across borders")</f>
        <v>Difficulty to move across borders</v>
      </c>
      <c r="F1063" s="7" t="str">
        <f>IFERROR(__xludf.DUMMYFUNCTION("""COMPUTED_VALUE"""),"North Africa")</f>
        <v>North Africa</v>
      </c>
    </row>
    <row r="1064">
      <c r="A1064" s="7" t="str">
        <f>IFERROR(__xludf.DUMMYFUNCTION("""COMPUTED_VALUE"""),"UGANDA  ")</f>
        <v>UGANDA  </v>
      </c>
      <c r="B1064" s="8">
        <f>IFERROR(__xludf.DUMMYFUNCTION("""COMPUTED_VALUE"""),10.0)</f>
        <v>10</v>
      </c>
      <c r="C1064" s="7" t="str">
        <f>IFERROR(__xludf.DUMMYFUNCTION("""COMPUTED_VALUE"""),"K_53A")</f>
        <v>K_53A</v>
      </c>
      <c r="D1064" s="7" t="str">
        <f>IFERROR(__xludf.DUMMYFUNCTION("""COMPUTED_VALUE"""),"Q73d.")</f>
        <v>Q73d.</v>
      </c>
      <c r="E1064" s="7" t="str">
        <f>IFERROR(__xludf.DUMMYFUNCTION("""COMPUTED_VALUE"""),"Difficulty to move across borders")</f>
        <v>Difficulty to move across borders</v>
      </c>
      <c r="F1064" s="7" t="str">
        <f>IFERROR(__xludf.DUMMYFUNCTION("""COMPUTED_VALUE"""),"East Africa")</f>
        <v>East Africa</v>
      </c>
    </row>
    <row r="1065">
      <c r="A1065" s="7" t="str">
        <f>IFERROR(__xludf.DUMMYFUNCTION("""COMPUTED_VALUE"""),"ZAMBIA")</f>
        <v>ZAMBIA</v>
      </c>
      <c r="B1065" s="8">
        <f>IFERROR(__xludf.DUMMYFUNCTION("""COMPUTED_VALUE"""),10.0)</f>
        <v>10</v>
      </c>
      <c r="C1065" s="7" t="str">
        <f>IFERROR(__xludf.DUMMYFUNCTION("""COMPUTED_VALUE"""),"K_53A")</f>
        <v>K_53A</v>
      </c>
      <c r="D1065" s="7" t="str">
        <f>IFERROR(__xludf.DUMMYFUNCTION("""COMPUTED_VALUE"""),"Q73d.")</f>
        <v>Q73d.</v>
      </c>
      <c r="E1065" s="7" t="str">
        <f>IFERROR(__xludf.DUMMYFUNCTION("""COMPUTED_VALUE"""),"Difficulty to move across borders")</f>
        <v>Difficulty to move across borders</v>
      </c>
      <c r="F1065" s="7" t="str">
        <f>IFERROR(__xludf.DUMMYFUNCTION("""COMPUTED_VALUE"""),"Southern African")</f>
        <v>Southern African</v>
      </c>
    </row>
    <row r="1066">
      <c r="A1066" s="7" t="str">
        <f>IFERROR(__xludf.DUMMYFUNCTION("""COMPUTED_VALUE"""),"ZIMBABWE")</f>
        <v>ZIMBABWE</v>
      </c>
      <c r="B1066" s="8">
        <f>IFERROR(__xludf.DUMMYFUNCTION("""COMPUTED_VALUE"""),10.0)</f>
        <v>10</v>
      </c>
      <c r="C1066" s="7" t="str">
        <f>IFERROR(__xludf.DUMMYFUNCTION("""COMPUTED_VALUE"""),"K_53A")</f>
        <v>K_53A</v>
      </c>
      <c r="D1066" s="7" t="str">
        <f>IFERROR(__xludf.DUMMYFUNCTION("""COMPUTED_VALUE"""),"Q73d.")</f>
        <v>Q73d.</v>
      </c>
      <c r="E1066" s="7" t="str">
        <f>IFERROR(__xludf.DUMMYFUNCTION("""COMPUTED_VALUE"""),"Difficulty to move across borders")</f>
        <v>Difficulty to move across borders</v>
      </c>
      <c r="F1066" s="7" t="str">
        <f>IFERROR(__xludf.DUMMYFUNCTION("""COMPUTED_VALUE"""),"Southern African")</f>
        <v>Southern African</v>
      </c>
    </row>
    <row r="1067">
      <c r="A1067" s="7" t="str">
        <f>IFERROR(__xludf.DUMMYFUNCTION("""COMPUTED_VALUE"""),"ANGOLA ")</f>
        <v>ANGOLA </v>
      </c>
      <c r="B1067" s="8">
        <f>IFERROR(__xludf.DUMMYFUNCTION("""COMPUTED_VALUE"""),10.0)</f>
        <v>10</v>
      </c>
      <c r="C1067" s="7" t="str">
        <f>IFERROR(__xludf.DUMMYFUNCTION("""COMPUTED_VALUE"""),"K_55B")</f>
        <v>K_55B</v>
      </c>
      <c r="D1067" s="7" t="str">
        <f>IFERROR(__xludf.DUMMYFUNCTION("""COMPUTED_VALUE"""),"Q75.")</f>
        <v>Q75.</v>
      </c>
      <c r="E1067" s="7" t="str">
        <f>IFERROR(__xludf.DUMMYFUNCTION("""COMPUTED_VALUE"""),"Preferred trading partners")</f>
        <v>Preferred trading partners</v>
      </c>
      <c r="F1067" s="7" t="str">
        <f>IFERROR(__xludf.DUMMYFUNCTION("""COMPUTED_VALUE"""),"Southern African countries only")</f>
        <v>Southern African countries only</v>
      </c>
    </row>
    <row r="1068">
      <c r="A1068" s="7" t="str">
        <f>IFERROR(__xludf.DUMMYFUNCTION("""COMPUTED_VALUE"""),"BENIN")</f>
        <v>BENIN</v>
      </c>
      <c r="B1068" s="8">
        <f>IFERROR(__xludf.DUMMYFUNCTION("""COMPUTED_VALUE"""),10.0)</f>
        <v>10</v>
      </c>
      <c r="C1068" s="7" t="str">
        <f>IFERROR(__xludf.DUMMYFUNCTION("""COMPUTED_VALUE"""),"K_55B")</f>
        <v>K_55B</v>
      </c>
      <c r="D1068" s="7" t="str">
        <f>IFERROR(__xludf.DUMMYFUNCTION("""COMPUTED_VALUE"""),"Q75.")</f>
        <v>Q75.</v>
      </c>
      <c r="E1068" s="7" t="str">
        <f>IFERROR(__xludf.DUMMYFUNCTION("""COMPUTED_VALUE"""),"Preferred trading partners")</f>
        <v>Preferred trading partners</v>
      </c>
      <c r="F1068" s="7" t="str">
        <f>IFERROR(__xludf.DUMMYFUNCTION("""COMPUTED_VALUE"""),"West African countries only")</f>
        <v>West African countries only</v>
      </c>
    </row>
    <row r="1069">
      <c r="A1069" s="7" t="str">
        <f>IFERROR(__xludf.DUMMYFUNCTION("""COMPUTED_VALUE"""),"BOTSWANA ")</f>
        <v>BOTSWANA </v>
      </c>
      <c r="B1069" s="8">
        <f>IFERROR(__xludf.DUMMYFUNCTION("""COMPUTED_VALUE"""),10.0)</f>
        <v>10</v>
      </c>
      <c r="C1069" s="7" t="str">
        <f>IFERROR(__xludf.DUMMYFUNCTION("""COMPUTED_VALUE"""),"K_55B")</f>
        <v>K_55B</v>
      </c>
      <c r="D1069" s="7" t="str">
        <f>IFERROR(__xludf.DUMMYFUNCTION("""COMPUTED_VALUE"""),"Q75.")</f>
        <v>Q75.</v>
      </c>
      <c r="E1069" s="7" t="str">
        <f>IFERROR(__xludf.DUMMYFUNCTION("""COMPUTED_VALUE"""),"Preferred trading partners")</f>
        <v>Preferred trading partners</v>
      </c>
      <c r="F1069" s="7" t="str">
        <f>IFERROR(__xludf.DUMMYFUNCTION("""COMPUTED_VALUE"""),"Southern African countries only")</f>
        <v>Southern African countries only</v>
      </c>
    </row>
    <row r="1070">
      <c r="A1070" s="7" t="str">
        <f>IFERROR(__xludf.DUMMYFUNCTION("""COMPUTED_VALUE"""),"CABO VERDE ")</f>
        <v>CABO VERDE </v>
      </c>
      <c r="B1070" s="8">
        <f>IFERROR(__xludf.DUMMYFUNCTION("""COMPUTED_VALUE"""),10.0)</f>
        <v>10</v>
      </c>
      <c r="C1070" s="7" t="str">
        <f>IFERROR(__xludf.DUMMYFUNCTION("""COMPUTED_VALUE"""),"K_55B")</f>
        <v>K_55B</v>
      </c>
      <c r="D1070" s="7" t="str">
        <f>IFERROR(__xludf.DUMMYFUNCTION("""COMPUTED_VALUE"""),"Q75.")</f>
        <v>Q75.</v>
      </c>
      <c r="E1070" s="7" t="str">
        <f>IFERROR(__xludf.DUMMYFUNCTION("""COMPUTED_VALUE"""),"Preferred trading partners")</f>
        <v>Preferred trading partners</v>
      </c>
      <c r="F1070" s="7" t="str">
        <f>IFERROR(__xludf.DUMMYFUNCTION("""COMPUTED_VALUE"""),"West African countries only")</f>
        <v>West African countries only</v>
      </c>
    </row>
    <row r="1071">
      <c r="A1071" s="7" t="str">
        <f>IFERROR(__xludf.DUMMYFUNCTION("""COMPUTED_VALUE"""),"CAMEROON")</f>
        <v>CAMEROON</v>
      </c>
      <c r="B1071" s="8">
        <f>IFERROR(__xludf.DUMMYFUNCTION("""COMPUTED_VALUE"""),10.0)</f>
        <v>10</v>
      </c>
      <c r="C1071" s="7" t="str">
        <f>IFERROR(__xludf.DUMMYFUNCTION("""COMPUTED_VALUE"""),"K_55B")</f>
        <v>K_55B</v>
      </c>
      <c r="D1071" s="7" t="str">
        <f>IFERROR(__xludf.DUMMYFUNCTION("""COMPUTED_VALUE"""),"Q75.")</f>
        <v>Q75.</v>
      </c>
      <c r="E1071" s="7" t="str">
        <f>IFERROR(__xludf.DUMMYFUNCTION("""COMPUTED_VALUE"""),"Preferred trading partners")</f>
        <v>Preferred trading partners</v>
      </c>
      <c r="F1071" s="7" t="str">
        <f>IFERROR(__xludf.DUMMYFUNCTION("""COMPUTED_VALUE"""),"Central African countries only")</f>
        <v>Central African countries only</v>
      </c>
    </row>
    <row r="1072">
      <c r="A1072" s="7" t="str">
        <f>IFERROR(__xludf.DUMMYFUNCTION("""COMPUTED_VALUE"""),"CHAD")</f>
        <v>CHAD</v>
      </c>
      <c r="B1072" s="8">
        <f>IFERROR(__xludf.DUMMYFUNCTION("""COMPUTED_VALUE"""),10.0)</f>
        <v>10</v>
      </c>
      <c r="C1072" s="7" t="str">
        <f>IFERROR(__xludf.DUMMYFUNCTION("""COMPUTED_VALUE"""),"K_55B")</f>
        <v>K_55B</v>
      </c>
      <c r="D1072" s="7" t="str">
        <f>IFERROR(__xludf.DUMMYFUNCTION("""COMPUTED_VALUE"""),"Q75.")</f>
        <v>Q75.</v>
      </c>
      <c r="E1072" s="7" t="str">
        <f>IFERROR(__xludf.DUMMYFUNCTION("""COMPUTED_VALUE"""),"Preferred trading partners")</f>
        <v>Preferred trading partners</v>
      </c>
      <c r="F1072" s="7" t="str">
        <f>IFERROR(__xludf.DUMMYFUNCTION("""COMPUTED_VALUE"""),"Central African")</f>
        <v>Central African</v>
      </c>
    </row>
    <row r="1073">
      <c r="A1073" s="7" t="str">
        <f>IFERROR(__xludf.DUMMYFUNCTION("""COMPUTED_VALUE"""),"COMOROS")</f>
        <v>COMOROS</v>
      </c>
      <c r="B1073" s="8">
        <f>IFERROR(__xludf.DUMMYFUNCTION("""COMPUTED_VALUE"""),10.0)</f>
        <v>10</v>
      </c>
      <c r="C1073" s="7" t="str">
        <f>IFERROR(__xludf.DUMMYFUNCTION("""COMPUTED_VALUE"""),"K_55B")</f>
        <v>K_55B</v>
      </c>
      <c r="D1073" s="7" t="str">
        <f>IFERROR(__xludf.DUMMYFUNCTION("""COMPUTED_VALUE"""),"Q75.")</f>
        <v>Q75.</v>
      </c>
      <c r="E1073" s="7" t="str">
        <f>IFERROR(__xludf.DUMMYFUNCTION("""COMPUTED_VALUE"""),"Preferred trading partners")</f>
        <v>Preferred trading partners</v>
      </c>
      <c r="F1073" s="7" t="str">
        <f>IFERROR(__xludf.DUMMYFUNCTION("""COMPUTED_VALUE"""),"Southern African countries only")</f>
        <v>Southern African countries only</v>
      </c>
    </row>
    <row r="1074">
      <c r="A1074" s="7" t="str">
        <f>IFERROR(__xludf.DUMMYFUNCTION("""COMPUTED_VALUE"""),"CONGO BRAZZAVILLE")</f>
        <v>CONGO BRAZZAVILLE</v>
      </c>
      <c r="B1074" s="8">
        <f>IFERROR(__xludf.DUMMYFUNCTION("""COMPUTED_VALUE"""),10.0)</f>
        <v>10</v>
      </c>
      <c r="C1074" s="7" t="str">
        <f>IFERROR(__xludf.DUMMYFUNCTION("""COMPUTED_VALUE"""),"K_55B")</f>
        <v>K_55B</v>
      </c>
      <c r="D1074" s="7" t="str">
        <f>IFERROR(__xludf.DUMMYFUNCTION("""COMPUTED_VALUE"""),"Q75.")</f>
        <v>Q75.</v>
      </c>
      <c r="E1074" s="7" t="str">
        <f>IFERROR(__xludf.DUMMYFUNCTION("""COMPUTED_VALUE"""),"Preferred trading partners")</f>
        <v>Preferred trading partners</v>
      </c>
      <c r="F1074" s="7" t="str">
        <f>IFERROR(__xludf.DUMMYFUNCTION("""COMPUTED_VALUE"""),"Central African")</f>
        <v>Central African</v>
      </c>
    </row>
    <row r="1075">
      <c r="A1075" s="7" t="str">
        <f>IFERROR(__xludf.DUMMYFUNCTION("""COMPUTED_VALUE"""),"COTE D'IVOIRE")</f>
        <v>COTE D'IVOIRE</v>
      </c>
      <c r="B1075" s="8">
        <f>IFERROR(__xludf.DUMMYFUNCTION("""COMPUTED_VALUE"""),10.0)</f>
        <v>10</v>
      </c>
      <c r="C1075" s="7" t="str">
        <f>IFERROR(__xludf.DUMMYFUNCTION("""COMPUTED_VALUE"""),"K_55B")</f>
        <v>K_55B</v>
      </c>
      <c r="D1075" s="7" t="str">
        <f>IFERROR(__xludf.DUMMYFUNCTION("""COMPUTED_VALUE"""),"Q75.")</f>
        <v>Q75.</v>
      </c>
      <c r="E1075" s="7" t="str">
        <f>IFERROR(__xludf.DUMMYFUNCTION("""COMPUTED_VALUE"""),"Preferred trading partners")</f>
        <v>Preferred trading partners</v>
      </c>
      <c r="F1075" s="7" t="str">
        <f>IFERROR(__xludf.DUMMYFUNCTION("""COMPUTED_VALUE"""),"West African countries only")</f>
        <v>West African countries only</v>
      </c>
    </row>
    <row r="1076">
      <c r="A1076" s="7" t="str">
        <f>IFERROR(__xludf.DUMMYFUNCTION("""COMPUTED_VALUE"""),"ESWATINI")</f>
        <v>ESWATINI</v>
      </c>
      <c r="B1076" s="8">
        <f>IFERROR(__xludf.DUMMYFUNCTION("""COMPUTED_VALUE"""),10.0)</f>
        <v>10</v>
      </c>
      <c r="C1076" s="7" t="str">
        <f>IFERROR(__xludf.DUMMYFUNCTION("""COMPUTED_VALUE"""),"K_55B")</f>
        <v>K_55B</v>
      </c>
      <c r="D1076" s="7" t="str">
        <f>IFERROR(__xludf.DUMMYFUNCTION("""COMPUTED_VALUE"""),"Q75.")</f>
        <v>Q75.</v>
      </c>
      <c r="E1076" s="7" t="str">
        <f>IFERROR(__xludf.DUMMYFUNCTION("""COMPUTED_VALUE"""),"Preferred trading partners")</f>
        <v>Preferred trading partners</v>
      </c>
      <c r="F1076" s="7" t="str">
        <f>IFERROR(__xludf.DUMMYFUNCTION("""COMPUTED_VALUE"""),"Southern African countries only")</f>
        <v>Southern African countries only</v>
      </c>
    </row>
    <row r="1077">
      <c r="A1077" s="7" t="str">
        <f>IFERROR(__xludf.DUMMYFUNCTION("""COMPUTED_VALUE"""),"GABON")</f>
        <v>GABON</v>
      </c>
      <c r="B1077" s="8">
        <f>IFERROR(__xludf.DUMMYFUNCTION("""COMPUTED_VALUE"""),10.0)</f>
        <v>10</v>
      </c>
      <c r="C1077" s="7" t="str">
        <f>IFERROR(__xludf.DUMMYFUNCTION("""COMPUTED_VALUE"""),"K_55B")</f>
        <v>K_55B</v>
      </c>
      <c r="D1077" s="7" t="str">
        <f>IFERROR(__xludf.DUMMYFUNCTION("""COMPUTED_VALUE"""),"Q75.")</f>
        <v>Q75.</v>
      </c>
      <c r="E1077" s="7" t="str">
        <f>IFERROR(__xludf.DUMMYFUNCTION("""COMPUTED_VALUE"""),"Preferred trading partners")</f>
        <v>Preferred trading partners</v>
      </c>
      <c r="F1077" s="7" t="str">
        <f>IFERROR(__xludf.DUMMYFUNCTION("""COMPUTED_VALUE"""),"Central African")</f>
        <v>Central African</v>
      </c>
    </row>
    <row r="1078">
      <c r="A1078" s="7" t="str">
        <f>IFERROR(__xludf.DUMMYFUNCTION("""COMPUTED_VALUE"""),"GAMBIA")</f>
        <v>GAMBIA</v>
      </c>
      <c r="B1078" s="8">
        <f>IFERROR(__xludf.DUMMYFUNCTION("""COMPUTED_VALUE"""),10.0)</f>
        <v>10</v>
      </c>
      <c r="C1078" s="7" t="str">
        <f>IFERROR(__xludf.DUMMYFUNCTION("""COMPUTED_VALUE"""),"K_55B")</f>
        <v>K_55B</v>
      </c>
      <c r="D1078" s="7" t="str">
        <f>IFERROR(__xludf.DUMMYFUNCTION("""COMPUTED_VALUE"""),"Q75.")</f>
        <v>Q75.</v>
      </c>
      <c r="E1078" s="7" t="str">
        <f>IFERROR(__xludf.DUMMYFUNCTION("""COMPUTED_VALUE"""),"Preferred trading partners")</f>
        <v>Preferred trading partners</v>
      </c>
      <c r="F1078" s="7" t="str">
        <f>IFERROR(__xludf.DUMMYFUNCTION("""COMPUTED_VALUE"""),"West African countries only")</f>
        <v>West African countries only</v>
      </c>
    </row>
    <row r="1079">
      <c r="A1079" s="7" t="str">
        <f>IFERROR(__xludf.DUMMYFUNCTION("""COMPUTED_VALUE"""),"GHANA ")</f>
        <v>GHANA </v>
      </c>
      <c r="B1079" s="8">
        <f>IFERROR(__xludf.DUMMYFUNCTION("""COMPUTED_VALUE"""),10.0)</f>
        <v>10</v>
      </c>
      <c r="C1079" s="7" t="str">
        <f>IFERROR(__xludf.DUMMYFUNCTION("""COMPUTED_VALUE"""),"K_55B")</f>
        <v>K_55B</v>
      </c>
      <c r="D1079" s="7" t="str">
        <f>IFERROR(__xludf.DUMMYFUNCTION("""COMPUTED_VALUE"""),"Q75.")</f>
        <v>Q75.</v>
      </c>
      <c r="E1079" s="7" t="str">
        <f>IFERROR(__xludf.DUMMYFUNCTION("""COMPUTED_VALUE"""),"Preferred trading partners")</f>
        <v>Preferred trading partners</v>
      </c>
      <c r="F1079" s="7" t="str">
        <f>IFERROR(__xludf.DUMMYFUNCTION("""COMPUTED_VALUE"""),"West African countries only")</f>
        <v>West African countries only</v>
      </c>
    </row>
    <row r="1080">
      <c r="A1080" s="7" t="str">
        <f>IFERROR(__xludf.DUMMYFUNCTION("""COMPUTED_VALUE"""),"GUINEA")</f>
        <v>GUINEA</v>
      </c>
      <c r="B1080" s="8">
        <f>IFERROR(__xludf.DUMMYFUNCTION("""COMPUTED_VALUE"""),10.0)</f>
        <v>10</v>
      </c>
      <c r="C1080" s="7" t="str">
        <f>IFERROR(__xludf.DUMMYFUNCTION("""COMPUTED_VALUE"""),"K_55B")</f>
        <v>K_55B</v>
      </c>
      <c r="D1080" s="7" t="str">
        <f>IFERROR(__xludf.DUMMYFUNCTION("""COMPUTED_VALUE"""),"Q75.")</f>
        <v>Q75.</v>
      </c>
      <c r="E1080" s="7" t="str">
        <f>IFERROR(__xludf.DUMMYFUNCTION("""COMPUTED_VALUE"""),"Preferred trading partners")</f>
        <v>Preferred trading partners</v>
      </c>
      <c r="F1080" s="7" t="str">
        <f>IFERROR(__xludf.DUMMYFUNCTION("""COMPUTED_VALUE"""),"West African countries only")</f>
        <v>West African countries only</v>
      </c>
    </row>
    <row r="1081">
      <c r="A1081" s="7" t="str">
        <f>IFERROR(__xludf.DUMMYFUNCTION("""COMPUTED_VALUE"""),"KENYA  ")</f>
        <v>KENYA  </v>
      </c>
      <c r="B1081" s="8">
        <f>IFERROR(__xludf.DUMMYFUNCTION("""COMPUTED_VALUE"""),10.0)</f>
        <v>10</v>
      </c>
      <c r="C1081" s="7" t="str">
        <f>IFERROR(__xludf.DUMMYFUNCTION("""COMPUTED_VALUE"""),"K_55B")</f>
        <v>K_55B</v>
      </c>
      <c r="D1081" s="7" t="str">
        <f>IFERROR(__xludf.DUMMYFUNCTION("""COMPUTED_VALUE"""),"Q75.")</f>
        <v>Q75.</v>
      </c>
      <c r="E1081" s="7" t="str">
        <f>IFERROR(__xludf.DUMMYFUNCTION("""COMPUTED_VALUE"""),"Preferred trading partners")</f>
        <v>Preferred trading partners</v>
      </c>
      <c r="F1081" s="7" t="str">
        <f>IFERROR(__xludf.DUMMYFUNCTION("""COMPUTED_VALUE"""),"East African countries only")</f>
        <v>East African countries only</v>
      </c>
    </row>
    <row r="1082">
      <c r="A1082" s="7" t="str">
        <f>IFERROR(__xludf.DUMMYFUNCTION("""COMPUTED_VALUE"""),"LESOTHO ")</f>
        <v>LESOTHO </v>
      </c>
      <c r="B1082" s="8">
        <f>IFERROR(__xludf.DUMMYFUNCTION("""COMPUTED_VALUE"""),10.0)</f>
        <v>10</v>
      </c>
      <c r="C1082" s="7" t="str">
        <f>IFERROR(__xludf.DUMMYFUNCTION("""COMPUTED_VALUE"""),"K_55B")</f>
        <v>K_55B</v>
      </c>
      <c r="D1082" s="7" t="str">
        <f>IFERROR(__xludf.DUMMYFUNCTION("""COMPUTED_VALUE"""),"Q75.")</f>
        <v>Q75.</v>
      </c>
      <c r="E1082" s="7" t="str">
        <f>IFERROR(__xludf.DUMMYFUNCTION("""COMPUTED_VALUE"""),"Preferred trading partners")</f>
        <v>Preferred trading partners</v>
      </c>
      <c r="F1082" s="7" t="str">
        <f>IFERROR(__xludf.DUMMYFUNCTION("""COMPUTED_VALUE"""),"Southern African countries only")</f>
        <v>Southern African countries only</v>
      </c>
    </row>
    <row r="1083">
      <c r="A1083" s="7" t="str">
        <f>IFERROR(__xludf.DUMMYFUNCTION("""COMPUTED_VALUE"""),"LIBERIA  ")</f>
        <v>LIBERIA  </v>
      </c>
      <c r="B1083" s="8">
        <f>IFERROR(__xludf.DUMMYFUNCTION("""COMPUTED_VALUE"""),10.0)</f>
        <v>10</v>
      </c>
      <c r="C1083" s="7" t="str">
        <f>IFERROR(__xludf.DUMMYFUNCTION("""COMPUTED_VALUE"""),"K_55B")</f>
        <v>K_55B</v>
      </c>
      <c r="D1083" s="7" t="str">
        <f>IFERROR(__xludf.DUMMYFUNCTION("""COMPUTED_VALUE"""),"Q75.")</f>
        <v>Q75.</v>
      </c>
      <c r="E1083" s="7" t="str">
        <f>IFERROR(__xludf.DUMMYFUNCTION("""COMPUTED_VALUE"""),"Preferred trading partners")</f>
        <v>Preferred trading partners</v>
      </c>
      <c r="F1083" s="7" t="str">
        <f>IFERROR(__xludf.DUMMYFUNCTION("""COMPUTED_VALUE"""),"West African countries only")</f>
        <v>West African countries only</v>
      </c>
    </row>
    <row r="1084">
      <c r="A1084" s="7" t="str">
        <f>IFERROR(__xludf.DUMMYFUNCTION("""COMPUTED_VALUE"""),"MADAGASCAR")</f>
        <v>MADAGASCAR</v>
      </c>
      <c r="B1084" s="8">
        <f>IFERROR(__xludf.DUMMYFUNCTION("""COMPUTED_VALUE"""),10.0)</f>
        <v>10</v>
      </c>
      <c r="C1084" s="7" t="str">
        <f>IFERROR(__xludf.DUMMYFUNCTION("""COMPUTED_VALUE"""),"K_55B")</f>
        <v>K_55B</v>
      </c>
      <c r="D1084" s="7" t="str">
        <f>IFERROR(__xludf.DUMMYFUNCTION("""COMPUTED_VALUE"""),"Q75.")</f>
        <v>Q75.</v>
      </c>
      <c r="E1084" s="7" t="str">
        <f>IFERROR(__xludf.DUMMYFUNCTION("""COMPUTED_VALUE"""),"Preferred trading partners")</f>
        <v>Preferred trading partners</v>
      </c>
      <c r="F1084" s="7" t="str">
        <f>IFERROR(__xludf.DUMMYFUNCTION("""COMPUTED_VALUE"""),"Southern African countries only")</f>
        <v>Southern African countries only</v>
      </c>
    </row>
    <row r="1085">
      <c r="A1085" s="7" t="str">
        <f>IFERROR(__xludf.DUMMYFUNCTION("""COMPUTED_VALUE"""),"MALAWI ")</f>
        <v>MALAWI </v>
      </c>
      <c r="B1085" s="8">
        <f>IFERROR(__xludf.DUMMYFUNCTION("""COMPUTED_VALUE"""),10.0)</f>
        <v>10</v>
      </c>
      <c r="C1085" s="7" t="str">
        <f>IFERROR(__xludf.DUMMYFUNCTION("""COMPUTED_VALUE"""),"K_55B")</f>
        <v>K_55B</v>
      </c>
      <c r="D1085" s="7" t="str">
        <f>IFERROR(__xludf.DUMMYFUNCTION("""COMPUTED_VALUE"""),"Q75.")</f>
        <v>Q75.</v>
      </c>
      <c r="E1085" s="7" t="str">
        <f>IFERROR(__xludf.DUMMYFUNCTION("""COMPUTED_VALUE"""),"Preferred trading partners")</f>
        <v>Preferred trading partners</v>
      </c>
      <c r="F1085" s="7" t="str">
        <f>IFERROR(__xludf.DUMMYFUNCTION("""COMPUTED_VALUE"""),"Southern African countries only")</f>
        <v>Southern African countries only</v>
      </c>
    </row>
    <row r="1086">
      <c r="A1086" s="7" t="str">
        <f>IFERROR(__xludf.DUMMYFUNCTION("""COMPUTED_VALUE"""),"MALI")</f>
        <v>MALI</v>
      </c>
      <c r="B1086" s="8">
        <f>IFERROR(__xludf.DUMMYFUNCTION("""COMPUTED_VALUE"""),10.0)</f>
        <v>10</v>
      </c>
      <c r="C1086" s="7" t="str">
        <f>IFERROR(__xludf.DUMMYFUNCTION("""COMPUTED_VALUE"""),"K_55B")</f>
        <v>K_55B</v>
      </c>
      <c r="D1086" s="7" t="str">
        <f>IFERROR(__xludf.DUMMYFUNCTION("""COMPUTED_VALUE"""),"Q75.")</f>
        <v>Q75.</v>
      </c>
      <c r="E1086" s="7" t="str">
        <f>IFERROR(__xludf.DUMMYFUNCTION("""COMPUTED_VALUE"""),"Preferred trading partners")</f>
        <v>Preferred trading partners</v>
      </c>
      <c r="F1086" s="7" t="str">
        <f>IFERROR(__xludf.DUMMYFUNCTION("""COMPUTED_VALUE"""),"West African countries only")</f>
        <v>West African countries only</v>
      </c>
    </row>
    <row r="1087">
      <c r="A1087" s="7" t="str">
        <f>IFERROR(__xludf.DUMMYFUNCTION("""COMPUTED_VALUE"""),"MAURITANIA")</f>
        <v>MAURITANIA</v>
      </c>
      <c r="B1087" s="8">
        <f>IFERROR(__xludf.DUMMYFUNCTION("""COMPUTED_VALUE"""),10.0)</f>
        <v>10</v>
      </c>
      <c r="C1087" s="7" t="str">
        <f>IFERROR(__xludf.DUMMYFUNCTION("""COMPUTED_VALUE"""),"K_55B")</f>
        <v>K_55B</v>
      </c>
      <c r="D1087" s="7" t="str">
        <f>IFERROR(__xludf.DUMMYFUNCTION("""COMPUTED_VALUE"""),"Q75.")</f>
        <v>Q75.</v>
      </c>
      <c r="E1087" s="7" t="str">
        <f>IFERROR(__xludf.DUMMYFUNCTION("""COMPUTED_VALUE"""),"Preferred trading partners")</f>
        <v>Preferred trading partners</v>
      </c>
      <c r="F1087" s="7" t="str">
        <f>IFERROR(__xludf.DUMMYFUNCTION("""COMPUTED_VALUE"""),"West African countries only")</f>
        <v>West African countries only</v>
      </c>
    </row>
    <row r="1088">
      <c r="A1088" s="7" t="str">
        <f>IFERROR(__xludf.DUMMYFUNCTION("""COMPUTED_VALUE"""),"MAURITIUS")</f>
        <v>MAURITIUS</v>
      </c>
      <c r="B1088" s="8">
        <f>IFERROR(__xludf.DUMMYFUNCTION("""COMPUTED_VALUE"""),10.0)</f>
        <v>10</v>
      </c>
      <c r="C1088" s="7" t="str">
        <f>IFERROR(__xludf.DUMMYFUNCTION("""COMPUTED_VALUE"""),"K_55B")</f>
        <v>K_55B</v>
      </c>
      <c r="D1088" s="7" t="str">
        <f>IFERROR(__xludf.DUMMYFUNCTION("""COMPUTED_VALUE"""),"Q75.")</f>
        <v>Q75.</v>
      </c>
      <c r="E1088" s="7" t="str">
        <f>IFERROR(__xludf.DUMMYFUNCTION("""COMPUTED_VALUE"""),"Preferred trading partners")</f>
        <v>Preferred trading partners</v>
      </c>
      <c r="F1088" s="7" t="str">
        <f>IFERROR(__xludf.DUMMYFUNCTION("""COMPUTED_VALUE"""),"Southern African countries only")</f>
        <v>Southern African countries only</v>
      </c>
    </row>
    <row r="1089">
      <c r="A1089" s="7" t="str">
        <f>IFERROR(__xludf.DUMMYFUNCTION("""COMPUTED_VALUE"""),"MOROCCO ")</f>
        <v>MOROCCO </v>
      </c>
      <c r="B1089" s="8">
        <f>IFERROR(__xludf.DUMMYFUNCTION("""COMPUTED_VALUE"""),10.0)</f>
        <v>10</v>
      </c>
      <c r="C1089" s="7" t="str">
        <f>IFERROR(__xludf.DUMMYFUNCTION("""COMPUTED_VALUE"""),"K_55B")</f>
        <v>K_55B</v>
      </c>
      <c r="D1089" s="7" t="str">
        <f>IFERROR(__xludf.DUMMYFUNCTION("""COMPUTED_VALUE"""),"Q75.")</f>
        <v>Q75.</v>
      </c>
      <c r="E1089" s="7" t="str">
        <f>IFERROR(__xludf.DUMMYFUNCTION("""COMPUTED_VALUE"""),"Preferred trading partners")</f>
        <v>Preferred trading partners</v>
      </c>
      <c r="F1089" s="7" t="str">
        <f>IFERROR(__xludf.DUMMYFUNCTION("""COMPUTED_VALUE"""),"North African countries only
")</f>
        <v>North African countries only
</v>
      </c>
    </row>
    <row r="1090">
      <c r="A1090" s="7" t="str">
        <f>IFERROR(__xludf.DUMMYFUNCTION("""COMPUTED_VALUE"""),"MOZAMBIQUE")</f>
        <v>MOZAMBIQUE</v>
      </c>
      <c r="B1090" s="8">
        <f>IFERROR(__xludf.DUMMYFUNCTION("""COMPUTED_VALUE"""),10.0)</f>
        <v>10</v>
      </c>
      <c r="C1090" s="7" t="str">
        <f>IFERROR(__xludf.DUMMYFUNCTION("""COMPUTED_VALUE"""),"K_55B")</f>
        <v>K_55B</v>
      </c>
      <c r="D1090" s="7" t="str">
        <f>IFERROR(__xludf.DUMMYFUNCTION("""COMPUTED_VALUE"""),"Q75.")</f>
        <v>Q75.</v>
      </c>
      <c r="E1090" s="7" t="str">
        <f>IFERROR(__xludf.DUMMYFUNCTION("""COMPUTED_VALUE"""),"Preferred trading partners")</f>
        <v>Preferred trading partners</v>
      </c>
      <c r="F1090" s="7" t="str">
        <f>IFERROR(__xludf.DUMMYFUNCTION("""COMPUTED_VALUE"""),"Southern African countries only")</f>
        <v>Southern African countries only</v>
      </c>
    </row>
    <row r="1091">
      <c r="A1091" s="7" t="str">
        <f>IFERROR(__xludf.DUMMYFUNCTION("""COMPUTED_VALUE"""),"NAMIBIA ")</f>
        <v>NAMIBIA </v>
      </c>
      <c r="B1091" s="8">
        <f>IFERROR(__xludf.DUMMYFUNCTION("""COMPUTED_VALUE"""),10.0)</f>
        <v>10</v>
      </c>
      <c r="C1091" s="7" t="str">
        <f>IFERROR(__xludf.DUMMYFUNCTION("""COMPUTED_VALUE"""),"K_55B")</f>
        <v>K_55B</v>
      </c>
      <c r="D1091" s="7" t="str">
        <f>IFERROR(__xludf.DUMMYFUNCTION("""COMPUTED_VALUE"""),"Q75.")</f>
        <v>Q75.</v>
      </c>
      <c r="E1091" s="7" t="str">
        <f>IFERROR(__xludf.DUMMYFUNCTION("""COMPUTED_VALUE"""),"Preferred trading partners")</f>
        <v>Preferred trading partners</v>
      </c>
      <c r="F1091" s="7" t="str">
        <f>IFERROR(__xludf.DUMMYFUNCTION("""COMPUTED_VALUE"""),"Southern African countries only")</f>
        <v>Southern African countries only</v>
      </c>
    </row>
    <row r="1092">
      <c r="A1092" s="7" t="str">
        <f>IFERROR(__xludf.DUMMYFUNCTION("""COMPUTED_VALUE"""),"NIGERIA ")</f>
        <v>NIGERIA </v>
      </c>
      <c r="B1092" s="8">
        <f>IFERROR(__xludf.DUMMYFUNCTION("""COMPUTED_VALUE"""),10.0)</f>
        <v>10</v>
      </c>
      <c r="C1092" s="7" t="str">
        <f>IFERROR(__xludf.DUMMYFUNCTION("""COMPUTED_VALUE"""),"K_55B")</f>
        <v>K_55B</v>
      </c>
      <c r="D1092" s="7" t="str">
        <f>IFERROR(__xludf.DUMMYFUNCTION("""COMPUTED_VALUE"""),"Q75.")</f>
        <v>Q75.</v>
      </c>
      <c r="E1092" s="7" t="str">
        <f>IFERROR(__xludf.DUMMYFUNCTION("""COMPUTED_VALUE"""),"Preferred trading partners")</f>
        <v>Preferred trading partners</v>
      </c>
      <c r="F1092" s="7" t="str">
        <f>IFERROR(__xludf.DUMMYFUNCTION("""COMPUTED_VALUE"""),"West African countries only")</f>
        <v>West African countries only</v>
      </c>
    </row>
    <row r="1093">
      <c r="A1093" s="7" t="str">
        <f>IFERROR(__xludf.DUMMYFUNCTION("""COMPUTED_VALUE"""),"SAO TOME AND PRINCIPE")</f>
        <v>SAO TOME AND PRINCIPE</v>
      </c>
      <c r="B1093" s="8">
        <f>IFERROR(__xludf.DUMMYFUNCTION("""COMPUTED_VALUE"""),10.0)</f>
        <v>10</v>
      </c>
      <c r="C1093" s="7" t="str">
        <f>IFERROR(__xludf.DUMMYFUNCTION("""COMPUTED_VALUE"""),"K_55B")</f>
        <v>K_55B</v>
      </c>
      <c r="D1093" s="7" t="str">
        <f>IFERROR(__xludf.DUMMYFUNCTION("""COMPUTED_VALUE"""),"Q75.")</f>
        <v>Q75.</v>
      </c>
      <c r="E1093" s="7" t="str">
        <f>IFERROR(__xludf.DUMMYFUNCTION("""COMPUTED_VALUE"""),"Preferred trading partners")</f>
        <v>Preferred trading partners</v>
      </c>
      <c r="F1093" s="7" t="str">
        <f>IFERROR(__xludf.DUMMYFUNCTION("""COMPUTED_VALUE"""),"Central African countries only")</f>
        <v>Central African countries only</v>
      </c>
    </row>
    <row r="1094">
      <c r="A1094" s="7" t="str">
        <f>IFERROR(__xludf.DUMMYFUNCTION("""COMPUTED_VALUE"""),"SENEGAL")</f>
        <v>SENEGAL</v>
      </c>
      <c r="B1094" s="8">
        <f>IFERROR(__xludf.DUMMYFUNCTION("""COMPUTED_VALUE"""),10.0)</f>
        <v>10</v>
      </c>
      <c r="C1094" s="7" t="str">
        <f>IFERROR(__xludf.DUMMYFUNCTION("""COMPUTED_VALUE"""),"K_55B")</f>
        <v>K_55B</v>
      </c>
      <c r="D1094" s="7" t="str">
        <f>IFERROR(__xludf.DUMMYFUNCTION("""COMPUTED_VALUE"""),"Q75.")</f>
        <v>Q75.</v>
      </c>
      <c r="E1094" s="7" t="str">
        <f>IFERROR(__xludf.DUMMYFUNCTION("""COMPUTED_VALUE"""),"Preferred trading partners")</f>
        <v>Preferred trading partners</v>
      </c>
      <c r="F1094" s="7" t="str">
        <f>IFERROR(__xludf.DUMMYFUNCTION("""COMPUTED_VALUE"""),"West African countries only")</f>
        <v>West African countries only</v>
      </c>
    </row>
    <row r="1095">
      <c r="A1095" s="7" t="str">
        <f>IFERROR(__xludf.DUMMYFUNCTION("""COMPUTED_VALUE"""),"SEYCHELLES")</f>
        <v>SEYCHELLES</v>
      </c>
      <c r="B1095" s="8">
        <f>IFERROR(__xludf.DUMMYFUNCTION("""COMPUTED_VALUE"""),10.0)</f>
        <v>10</v>
      </c>
      <c r="C1095" s="7" t="str">
        <f>IFERROR(__xludf.DUMMYFUNCTION("""COMPUTED_VALUE"""),"K_55B")</f>
        <v>K_55B</v>
      </c>
      <c r="D1095" s="7" t="str">
        <f>IFERROR(__xludf.DUMMYFUNCTION("""COMPUTED_VALUE"""),"Q75.")</f>
        <v>Q75.</v>
      </c>
      <c r="E1095" s="7" t="str">
        <f>IFERROR(__xludf.DUMMYFUNCTION("""COMPUTED_VALUE"""),"Preferred trading partners")</f>
        <v>Preferred trading partners</v>
      </c>
      <c r="F1095" s="7" t="str">
        <f>IFERROR(__xludf.DUMMYFUNCTION("""COMPUTED_VALUE"""),"Southern African countries only")</f>
        <v>Southern African countries only</v>
      </c>
    </row>
    <row r="1096">
      <c r="A1096" s="7" t="str">
        <f>IFERROR(__xludf.DUMMYFUNCTION("""COMPUTED_VALUE"""),"SOUTH AFRICA")</f>
        <v>SOUTH AFRICA</v>
      </c>
      <c r="B1096" s="8">
        <f>IFERROR(__xludf.DUMMYFUNCTION("""COMPUTED_VALUE"""),10.0)</f>
        <v>10</v>
      </c>
      <c r="C1096" s="7" t="str">
        <f>IFERROR(__xludf.DUMMYFUNCTION("""COMPUTED_VALUE"""),"K_55B")</f>
        <v>K_55B</v>
      </c>
      <c r="D1096" s="7" t="str">
        <f>IFERROR(__xludf.DUMMYFUNCTION("""COMPUTED_VALUE"""),"Q75.")</f>
        <v>Q75.</v>
      </c>
      <c r="E1096" s="7" t="str">
        <f>IFERROR(__xludf.DUMMYFUNCTION("""COMPUTED_VALUE"""),"Preferred trading partners")</f>
        <v>Preferred trading partners</v>
      </c>
      <c r="F1096" s="7" t="str">
        <f>IFERROR(__xludf.DUMMYFUNCTION("""COMPUTED_VALUE"""),"Southern African countries only")</f>
        <v>Southern African countries only</v>
      </c>
    </row>
    <row r="1097">
      <c r="A1097" s="7" t="str">
        <f>IFERROR(__xludf.DUMMYFUNCTION("""COMPUTED_VALUE"""),"TANZANIA")</f>
        <v>TANZANIA</v>
      </c>
      <c r="B1097" s="8">
        <f>IFERROR(__xludf.DUMMYFUNCTION("""COMPUTED_VALUE"""),10.0)</f>
        <v>10</v>
      </c>
      <c r="C1097" s="7" t="str">
        <f>IFERROR(__xludf.DUMMYFUNCTION("""COMPUTED_VALUE"""),"K_55B")</f>
        <v>K_55B</v>
      </c>
      <c r="D1097" s="7" t="str">
        <f>IFERROR(__xludf.DUMMYFUNCTION("""COMPUTED_VALUE"""),"Q75.")</f>
        <v>Q75.</v>
      </c>
      <c r="E1097" s="7" t="str">
        <f>IFERROR(__xludf.DUMMYFUNCTION("""COMPUTED_VALUE"""),"Preferred trading partners")</f>
        <v>Preferred trading partners</v>
      </c>
      <c r="F1097" s="7" t="str">
        <f>IFERROR(__xludf.DUMMYFUNCTION("""COMPUTED_VALUE"""),"East African Countries only")</f>
        <v>East African Countries only</v>
      </c>
    </row>
    <row r="1098">
      <c r="A1098" s="7" t="str">
        <f>IFERROR(__xludf.DUMMYFUNCTION("""COMPUTED_VALUE"""),"TOGO ")</f>
        <v>TOGO </v>
      </c>
      <c r="B1098" s="8">
        <f>IFERROR(__xludf.DUMMYFUNCTION("""COMPUTED_VALUE"""),10.0)</f>
        <v>10</v>
      </c>
      <c r="C1098" s="7" t="str">
        <f>IFERROR(__xludf.DUMMYFUNCTION("""COMPUTED_VALUE"""),"K_55B")</f>
        <v>K_55B</v>
      </c>
      <c r="D1098" s="7" t="str">
        <f>IFERROR(__xludf.DUMMYFUNCTION("""COMPUTED_VALUE"""),"Q75.")</f>
        <v>Q75.</v>
      </c>
      <c r="E1098" s="7" t="str">
        <f>IFERROR(__xludf.DUMMYFUNCTION("""COMPUTED_VALUE"""),"Preferred trading partners")</f>
        <v>Preferred trading partners</v>
      </c>
      <c r="F1098" s="7" t="str">
        <f>IFERROR(__xludf.DUMMYFUNCTION("""COMPUTED_VALUE"""),"West African countries only")</f>
        <v>West African countries only</v>
      </c>
    </row>
    <row r="1099">
      <c r="A1099" s="7" t="str">
        <f>IFERROR(__xludf.DUMMYFUNCTION("""COMPUTED_VALUE"""),"TUNISIA ")</f>
        <v>TUNISIA </v>
      </c>
      <c r="B1099" s="8">
        <f>IFERROR(__xludf.DUMMYFUNCTION("""COMPUTED_VALUE"""),10.0)</f>
        <v>10</v>
      </c>
      <c r="C1099" s="7" t="str">
        <f>IFERROR(__xludf.DUMMYFUNCTION("""COMPUTED_VALUE"""),"K_55B")</f>
        <v>K_55B</v>
      </c>
      <c r="D1099" s="7" t="str">
        <f>IFERROR(__xludf.DUMMYFUNCTION("""COMPUTED_VALUE"""),"Q75.")</f>
        <v>Q75.</v>
      </c>
      <c r="E1099" s="7" t="str">
        <f>IFERROR(__xludf.DUMMYFUNCTION("""COMPUTED_VALUE"""),"Preferred trading partners")</f>
        <v>Preferred trading partners</v>
      </c>
      <c r="F1099" s="7" t="str">
        <f>IFERROR(__xludf.DUMMYFUNCTION("""COMPUTED_VALUE"""),"North African countries only")</f>
        <v>North African countries only</v>
      </c>
    </row>
    <row r="1100">
      <c r="A1100" s="7" t="str">
        <f>IFERROR(__xludf.DUMMYFUNCTION("""COMPUTED_VALUE"""),"UGANDA  ")</f>
        <v>UGANDA  </v>
      </c>
      <c r="B1100" s="8">
        <f>IFERROR(__xludf.DUMMYFUNCTION("""COMPUTED_VALUE"""),10.0)</f>
        <v>10</v>
      </c>
      <c r="C1100" s="7" t="str">
        <f>IFERROR(__xludf.DUMMYFUNCTION("""COMPUTED_VALUE"""),"K_55B")</f>
        <v>K_55B</v>
      </c>
      <c r="D1100" s="7" t="str">
        <f>IFERROR(__xludf.DUMMYFUNCTION("""COMPUTED_VALUE"""),"Q75.")</f>
        <v>Q75.</v>
      </c>
      <c r="E1100" s="7" t="str">
        <f>IFERROR(__xludf.DUMMYFUNCTION("""COMPUTED_VALUE"""),"Preferred trading partners")</f>
        <v>Preferred trading partners</v>
      </c>
      <c r="F1100" s="7" t="str">
        <f>IFERROR(__xludf.DUMMYFUNCTION("""COMPUTED_VALUE"""),"East African Countries only")</f>
        <v>East African Countries only</v>
      </c>
    </row>
    <row r="1101">
      <c r="A1101" s="7" t="str">
        <f>IFERROR(__xludf.DUMMYFUNCTION("""COMPUTED_VALUE"""),"ZAMBIA")</f>
        <v>ZAMBIA</v>
      </c>
      <c r="B1101" s="8">
        <f>IFERROR(__xludf.DUMMYFUNCTION("""COMPUTED_VALUE"""),10.0)</f>
        <v>10</v>
      </c>
      <c r="C1101" s="7" t="str">
        <f>IFERROR(__xludf.DUMMYFUNCTION("""COMPUTED_VALUE"""),"K_55B")</f>
        <v>K_55B</v>
      </c>
      <c r="D1101" s="7" t="str">
        <f>IFERROR(__xludf.DUMMYFUNCTION("""COMPUTED_VALUE"""),"Q75.")</f>
        <v>Q75.</v>
      </c>
      <c r="E1101" s="7" t="str">
        <f>IFERROR(__xludf.DUMMYFUNCTION("""COMPUTED_VALUE"""),"Preferred trading partners")</f>
        <v>Preferred trading partners</v>
      </c>
      <c r="F1101" s="7" t="str">
        <f>IFERROR(__xludf.DUMMYFUNCTION("""COMPUTED_VALUE"""),"Southern African countries only")</f>
        <v>Southern African countries only</v>
      </c>
    </row>
    <row r="1102">
      <c r="A1102" s="7" t="str">
        <f>IFERROR(__xludf.DUMMYFUNCTION("""COMPUTED_VALUE"""),"ZIMBABWE")</f>
        <v>ZIMBABWE</v>
      </c>
      <c r="B1102" s="8">
        <f>IFERROR(__xludf.DUMMYFUNCTION("""COMPUTED_VALUE"""),10.0)</f>
        <v>10</v>
      </c>
      <c r="C1102" s="7" t="str">
        <f>IFERROR(__xludf.DUMMYFUNCTION("""COMPUTED_VALUE"""),"K_55B")</f>
        <v>K_55B</v>
      </c>
      <c r="D1102" s="7" t="str">
        <f>IFERROR(__xludf.DUMMYFUNCTION("""COMPUTED_VALUE"""),"Q75.")</f>
        <v>Q75.</v>
      </c>
      <c r="E1102" s="7" t="str">
        <f>IFERROR(__xludf.DUMMYFUNCTION("""COMPUTED_VALUE"""),"Preferred trading partners")</f>
        <v>Preferred trading partners</v>
      </c>
      <c r="F1102" s="7" t="str">
        <f>IFERROR(__xludf.DUMMYFUNCTION("""COMPUTED_VALUE"""),"Southern African countries only")</f>
        <v>Southern African countries only</v>
      </c>
    </row>
    <row r="1103">
      <c r="A1103" s="7" t="str">
        <f>IFERROR(__xludf.DUMMYFUNCTION("""COMPUTED_VALUE"""),"ANGOLA ")</f>
        <v>ANGOLA </v>
      </c>
      <c r="B1103" s="8">
        <f>IFERROR(__xludf.DUMMYFUNCTION("""COMPUTED_VALUE"""),10.0)</f>
        <v>10</v>
      </c>
      <c r="C1103" s="7" t="str">
        <f>IFERROR(__xludf.DUMMYFUNCTION("""COMPUTED_VALUE"""),"K_57")</f>
        <v>K_57</v>
      </c>
      <c r="D1103" s="7" t="str">
        <f>IFERROR(__xludf.DUMMYFUNCTION("""COMPUTED_VALUE"""),"Q76b. ")</f>
        <v>Q76b. </v>
      </c>
      <c r="E1103" s="7" t="str">
        <f>IFERROR(__xludf.DUMMYFUNCTION("""COMPUTED_VALUE"""),"Allow free movement in region vs limit cross-border movement")</f>
        <v>Allow free movement in region vs limit cross-border movement</v>
      </c>
      <c r="F1103" s="7" t="str">
        <f>IFERROR(__xludf.DUMMYFUNCTION("""COMPUTED_VALUE"""),"Southern Africa")</f>
        <v>Southern Africa</v>
      </c>
    </row>
    <row r="1104">
      <c r="A1104" s="7" t="str">
        <f>IFERROR(__xludf.DUMMYFUNCTION("""COMPUTED_VALUE"""),"BENIN")</f>
        <v>BENIN</v>
      </c>
      <c r="B1104" s="8">
        <f>IFERROR(__xludf.DUMMYFUNCTION("""COMPUTED_VALUE"""),10.0)</f>
        <v>10</v>
      </c>
      <c r="C1104" s="7" t="str">
        <f>IFERROR(__xludf.DUMMYFUNCTION("""COMPUTED_VALUE"""),"K_57")</f>
        <v>K_57</v>
      </c>
      <c r="D1104" s="7" t="str">
        <f>IFERROR(__xludf.DUMMYFUNCTION("""COMPUTED_VALUE"""),"Q76b. ")</f>
        <v>Q76b. </v>
      </c>
      <c r="E1104" s="7" t="str">
        <f>IFERROR(__xludf.DUMMYFUNCTION("""COMPUTED_VALUE"""),"Allow free movement in region vs limit cross-border movement")</f>
        <v>Allow free movement in region vs limit cross-border movement</v>
      </c>
      <c r="F1104" s="7" t="str">
        <f>IFERROR(__xludf.DUMMYFUNCTION("""COMPUTED_VALUE"""),"West Africa")</f>
        <v>West Africa</v>
      </c>
    </row>
    <row r="1105">
      <c r="A1105" s="7" t="str">
        <f>IFERROR(__xludf.DUMMYFUNCTION("""COMPUTED_VALUE"""),"BOTSWANA ")</f>
        <v>BOTSWANA </v>
      </c>
      <c r="B1105" s="8">
        <f>IFERROR(__xludf.DUMMYFUNCTION("""COMPUTED_VALUE"""),10.0)</f>
        <v>10</v>
      </c>
      <c r="C1105" s="7" t="str">
        <f>IFERROR(__xludf.DUMMYFUNCTION("""COMPUTED_VALUE"""),"K_57")</f>
        <v>K_57</v>
      </c>
      <c r="D1105" s="7" t="str">
        <f>IFERROR(__xludf.DUMMYFUNCTION("""COMPUTED_VALUE"""),"Q76b. ")</f>
        <v>Q76b. </v>
      </c>
      <c r="E1105" s="7" t="str">
        <f>IFERROR(__xludf.DUMMYFUNCTION("""COMPUTED_VALUE"""),"Allow free movement in region vs limit cross-border movement")</f>
        <v>Allow free movement in region vs limit cross-border movement</v>
      </c>
      <c r="F1105" s="7" t="str">
        <f>IFERROR(__xludf.DUMMYFUNCTION("""COMPUTED_VALUE"""),"Southern Africa")</f>
        <v>Southern Africa</v>
      </c>
    </row>
    <row r="1106">
      <c r="A1106" s="7" t="str">
        <f>IFERROR(__xludf.DUMMYFUNCTION("""COMPUTED_VALUE"""),"CABO VERDE ")</f>
        <v>CABO VERDE </v>
      </c>
      <c r="B1106" s="8">
        <f>IFERROR(__xludf.DUMMYFUNCTION("""COMPUTED_VALUE"""),10.0)</f>
        <v>10</v>
      </c>
      <c r="C1106" s="7" t="str">
        <f>IFERROR(__xludf.DUMMYFUNCTION("""COMPUTED_VALUE"""),"K_57")</f>
        <v>K_57</v>
      </c>
      <c r="D1106" s="7" t="str">
        <f>IFERROR(__xludf.DUMMYFUNCTION("""COMPUTED_VALUE"""),"Q76b. ")</f>
        <v>Q76b. </v>
      </c>
      <c r="E1106" s="7" t="str">
        <f>IFERROR(__xludf.DUMMYFUNCTION("""COMPUTED_VALUE"""),"Allow free movement in region vs limit cross-border movement")</f>
        <v>Allow free movement in region vs limit cross-border movement</v>
      </c>
      <c r="F1106" s="7" t="str">
        <f>IFERROR(__xludf.DUMMYFUNCTION("""COMPUTED_VALUE"""),"West Africa")</f>
        <v>West Africa</v>
      </c>
    </row>
    <row r="1107">
      <c r="A1107" s="7" t="str">
        <f>IFERROR(__xludf.DUMMYFUNCTION("""COMPUTED_VALUE"""),"CAMEROON")</f>
        <v>CAMEROON</v>
      </c>
      <c r="B1107" s="8">
        <f>IFERROR(__xludf.DUMMYFUNCTION("""COMPUTED_VALUE"""),10.0)</f>
        <v>10</v>
      </c>
      <c r="C1107" s="7" t="str">
        <f>IFERROR(__xludf.DUMMYFUNCTION("""COMPUTED_VALUE"""),"K_57")</f>
        <v>K_57</v>
      </c>
      <c r="D1107" s="7" t="str">
        <f>IFERROR(__xludf.DUMMYFUNCTION("""COMPUTED_VALUE"""),"Q76b. ")</f>
        <v>Q76b. </v>
      </c>
      <c r="E1107" s="7" t="str">
        <f>IFERROR(__xludf.DUMMYFUNCTION("""COMPUTED_VALUE"""),"Allow free movement in region vs limit cross-border movement")</f>
        <v>Allow free movement in region vs limit cross-border movement</v>
      </c>
      <c r="F1107" s="7" t="str">
        <f>IFERROR(__xludf.DUMMYFUNCTION("""COMPUTED_VALUE"""),"Central Africa")</f>
        <v>Central Africa</v>
      </c>
    </row>
    <row r="1108">
      <c r="A1108" s="7" t="str">
        <f>IFERROR(__xludf.DUMMYFUNCTION("""COMPUTED_VALUE"""),"CHAD")</f>
        <v>CHAD</v>
      </c>
      <c r="B1108" s="8">
        <f>IFERROR(__xludf.DUMMYFUNCTION("""COMPUTED_VALUE"""),10.0)</f>
        <v>10</v>
      </c>
      <c r="C1108" s="7" t="str">
        <f>IFERROR(__xludf.DUMMYFUNCTION("""COMPUTED_VALUE"""),"K_57")</f>
        <v>K_57</v>
      </c>
      <c r="D1108" s="7" t="str">
        <f>IFERROR(__xludf.DUMMYFUNCTION("""COMPUTED_VALUE"""),"Q76b. ")</f>
        <v>Q76b. </v>
      </c>
      <c r="E1108" s="7" t="str">
        <f>IFERROR(__xludf.DUMMYFUNCTION("""COMPUTED_VALUE"""),"Allow free movement in region vs limit cross-border movement")</f>
        <v>Allow free movement in region vs limit cross-border movement</v>
      </c>
      <c r="F1108" s="7" t="str">
        <f>IFERROR(__xludf.DUMMYFUNCTION("""COMPUTED_VALUE"""),"Central Africa")</f>
        <v>Central Africa</v>
      </c>
    </row>
    <row r="1109">
      <c r="A1109" s="7" t="str">
        <f>IFERROR(__xludf.DUMMYFUNCTION("""COMPUTED_VALUE"""),"COMOROS")</f>
        <v>COMOROS</v>
      </c>
      <c r="B1109" s="8">
        <f>IFERROR(__xludf.DUMMYFUNCTION("""COMPUTED_VALUE"""),10.0)</f>
        <v>10</v>
      </c>
      <c r="C1109" s="7" t="str">
        <f>IFERROR(__xludf.DUMMYFUNCTION("""COMPUTED_VALUE"""),"K_57")</f>
        <v>K_57</v>
      </c>
      <c r="D1109" s="7" t="str">
        <f>IFERROR(__xludf.DUMMYFUNCTION("""COMPUTED_VALUE"""),"Q76b. ")</f>
        <v>Q76b. </v>
      </c>
      <c r="E1109" s="7" t="str">
        <f>IFERROR(__xludf.DUMMYFUNCTION("""COMPUTED_VALUE"""),"Allow free movement in region vs limit cross-border movement")</f>
        <v>Allow free movement in region vs limit cross-border movement</v>
      </c>
      <c r="F1109" s="7" t="str">
        <f>IFERROR(__xludf.DUMMYFUNCTION("""COMPUTED_VALUE"""),"Southern Africa")</f>
        <v>Southern Africa</v>
      </c>
    </row>
    <row r="1110">
      <c r="A1110" s="7" t="str">
        <f>IFERROR(__xludf.DUMMYFUNCTION("""COMPUTED_VALUE"""),"CONGO BRAZZAVILLE")</f>
        <v>CONGO BRAZZAVILLE</v>
      </c>
      <c r="B1110" s="8">
        <f>IFERROR(__xludf.DUMMYFUNCTION("""COMPUTED_VALUE"""),10.0)</f>
        <v>10</v>
      </c>
      <c r="C1110" s="7" t="str">
        <f>IFERROR(__xludf.DUMMYFUNCTION("""COMPUTED_VALUE"""),"K_57")</f>
        <v>K_57</v>
      </c>
      <c r="D1110" s="7" t="str">
        <f>IFERROR(__xludf.DUMMYFUNCTION("""COMPUTED_VALUE"""),"Q76b. ")</f>
        <v>Q76b. </v>
      </c>
      <c r="E1110" s="7" t="str">
        <f>IFERROR(__xludf.DUMMYFUNCTION("""COMPUTED_VALUE"""),"Allow free movement in region vs limit cross-border movement")</f>
        <v>Allow free movement in region vs limit cross-border movement</v>
      </c>
      <c r="F1110" s="7" t="str">
        <f>IFERROR(__xludf.DUMMYFUNCTION("""COMPUTED_VALUE"""),"Central Africa")</f>
        <v>Central Africa</v>
      </c>
    </row>
    <row r="1111">
      <c r="A1111" s="7" t="str">
        <f>IFERROR(__xludf.DUMMYFUNCTION("""COMPUTED_VALUE"""),"COTE D'IVOIRE")</f>
        <v>COTE D'IVOIRE</v>
      </c>
      <c r="B1111" s="8">
        <f>IFERROR(__xludf.DUMMYFUNCTION("""COMPUTED_VALUE"""),10.0)</f>
        <v>10</v>
      </c>
      <c r="C1111" s="7" t="str">
        <f>IFERROR(__xludf.DUMMYFUNCTION("""COMPUTED_VALUE"""),"K_57")</f>
        <v>K_57</v>
      </c>
      <c r="D1111" s="7" t="str">
        <f>IFERROR(__xludf.DUMMYFUNCTION("""COMPUTED_VALUE"""),"Q76b. ")</f>
        <v>Q76b. </v>
      </c>
      <c r="E1111" s="7" t="str">
        <f>IFERROR(__xludf.DUMMYFUNCTION("""COMPUTED_VALUE"""),"Allow free movement in region vs limit cross-border movement")</f>
        <v>Allow free movement in region vs limit cross-border movement</v>
      </c>
      <c r="F1111" s="7" t="str">
        <f>IFERROR(__xludf.DUMMYFUNCTION("""COMPUTED_VALUE"""),"West Africa")</f>
        <v>West Africa</v>
      </c>
    </row>
    <row r="1112">
      <c r="A1112" s="7" t="str">
        <f>IFERROR(__xludf.DUMMYFUNCTION("""COMPUTED_VALUE"""),"ESWATINI")</f>
        <v>ESWATINI</v>
      </c>
      <c r="B1112" s="8">
        <f>IFERROR(__xludf.DUMMYFUNCTION("""COMPUTED_VALUE"""),10.0)</f>
        <v>10</v>
      </c>
      <c r="C1112" s="7" t="str">
        <f>IFERROR(__xludf.DUMMYFUNCTION("""COMPUTED_VALUE"""),"K_57")</f>
        <v>K_57</v>
      </c>
      <c r="D1112" s="7" t="str">
        <f>IFERROR(__xludf.DUMMYFUNCTION("""COMPUTED_VALUE"""),"Q76b. ")</f>
        <v>Q76b. </v>
      </c>
      <c r="E1112" s="7" t="str">
        <f>IFERROR(__xludf.DUMMYFUNCTION("""COMPUTED_VALUE"""),"Allow free movement in region vs limit cross-border movement")</f>
        <v>Allow free movement in region vs limit cross-border movement</v>
      </c>
      <c r="F1112" s="7" t="str">
        <f>IFERROR(__xludf.DUMMYFUNCTION("""COMPUTED_VALUE"""),"Southern Africa")</f>
        <v>Southern Africa</v>
      </c>
    </row>
    <row r="1113">
      <c r="A1113" s="7" t="str">
        <f>IFERROR(__xludf.DUMMYFUNCTION("""COMPUTED_VALUE"""),"GABON")</f>
        <v>GABON</v>
      </c>
      <c r="B1113" s="8">
        <f>IFERROR(__xludf.DUMMYFUNCTION("""COMPUTED_VALUE"""),10.0)</f>
        <v>10</v>
      </c>
      <c r="C1113" s="7" t="str">
        <f>IFERROR(__xludf.DUMMYFUNCTION("""COMPUTED_VALUE"""),"K_57")</f>
        <v>K_57</v>
      </c>
      <c r="D1113" s="7" t="str">
        <f>IFERROR(__xludf.DUMMYFUNCTION("""COMPUTED_VALUE"""),"Q76b. ")</f>
        <v>Q76b. </v>
      </c>
      <c r="E1113" s="7" t="str">
        <f>IFERROR(__xludf.DUMMYFUNCTION("""COMPUTED_VALUE"""),"Allow free movement in region vs limit cross-border movement")</f>
        <v>Allow free movement in region vs limit cross-border movement</v>
      </c>
      <c r="F1113" s="7" t="str">
        <f>IFERROR(__xludf.DUMMYFUNCTION("""COMPUTED_VALUE"""),"Central Africa")</f>
        <v>Central Africa</v>
      </c>
    </row>
    <row r="1114">
      <c r="A1114" s="7" t="str">
        <f>IFERROR(__xludf.DUMMYFUNCTION("""COMPUTED_VALUE"""),"GAMBIA")</f>
        <v>GAMBIA</v>
      </c>
      <c r="B1114" s="8">
        <f>IFERROR(__xludf.DUMMYFUNCTION("""COMPUTED_VALUE"""),10.0)</f>
        <v>10</v>
      </c>
      <c r="C1114" s="7" t="str">
        <f>IFERROR(__xludf.DUMMYFUNCTION("""COMPUTED_VALUE"""),"K_57")</f>
        <v>K_57</v>
      </c>
      <c r="D1114" s="7" t="str">
        <f>IFERROR(__xludf.DUMMYFUNCTION("""COMPUTED_VALUE"""),"Q76b. ")</f>
        <v>Q76b. </v>
      </c>
      <c r="E1114" s="7" t="str">
        <f>IFERROR(__xludf.DUMMYFUNCTION("""COMPUTED_VALUE"""),"Allow free movement in region vs limit cross-border movement")</f>
        <v>Allow free movement in region vs limit cross-border movement</v>
      </c>
      <c r="F1114" s="7" t="str">
        <f>IFERROR(__xludf.DUMMYFUNCTION("""COMPUTED_VALUE"""),"West Africa")</f>
        <v>West Africa</v>
      </c>
    </row>
    <row r="1115">
      <c r="A1115" s="7" t="str">
        <f>IFERROR(__xludf.DUMMYFUNCTION("""COMPUTED_VALUE"""),"GHANA ")</f>
        <v>GHANA </v>
      </c>
      <c r="B1115" s="8">
        <f>IFERROR(__xludf.DUMMYFUNCTION("""COMPUTED_VALUE"""),10.0)</f>
        <v>10</v>
      </c>
      <c r="C1115" s="7" t="str">
        <f>IFERROR(__xludf.DUMMYFUNCTION("""COMPUTED_VALUE"""),"K_57")</f>
        <v>K_57</v>
      </c>
      <c r="D1115" s="7" t="str">
        <f>IFERROR(__xludf.DUMMYFUNCTION("""COMPUTED_VALUE"""),"Q76b. ")</f>
        <v>Q76b. </v>
      </c>
      <c r="E1115" s="7" t="str">
        <f>IFERROR(__xludf.DUMMYFUNCTION("""COMPUTED_VALUE"""),"Allow free movement in region vs limit cross-border movement")</f>
        <v>Allow free movement in region vs limit cross-border movement</v>
      </c>
      <c r="F1115" s="7" t="str">
        <f>IFERROR(__xludf.DUMMYFUNCTION("""COMPUTED_VALUE"""),"West Africa")</f>
        <v>West Africa</v>
      </c>
    </row>
    <row r="1116">
      <c r="A1116" s="7" t="str">
        <f>IFERROR(__xludf.DUMMYFUNCTION("""COMPUTED_VALUE"""),"GUINEA")</f>
        <v>GUINEA</v>
      </c>
      <c r="B1116" s="8">
        <f>IFERROR(__xludf.DUMMYFUNCTION("""COMPUTED_VALUE"""),10.0)</f>
        <v>10</v>
      </c>
      <c r="C1116" s="7" t="str">
        <f>IFERROR(__xludf.DUMMYFUNCTION("""COMPUTED_VALUE"""),"K_57")</f>
        <v>K_57</v>
      </c>
      <c r="D1116" s="7" t="str">
        <f>IFERROR(__xludf.DUMMYFUNCTION("""COMPUTED_VALUE"""),"Q76b. ")</f>
        <v>Q76b. </v>
      </c>
      <c r="E1116" s="7" t="str">
        <f>IFERROR(__xludf.DUMMYFUNCTION("""COMPUTED_VALUE"""),"Allow free movement in region vs limit cross-border movement")</f>
        <v>Allow free movement in region vs limit cross-border movement</v>
      </c>
      <c r="F1116" s="7" t="str">
        <f>IFERROR(__xludf.DUMMYFUNCTION("""COMPUTED_VALUE"""),"West Africa")</f>
        <v>West Africa</v>
      </c>
    </row>
    <row r="1117">
      <c r="A1117" s="7" t="str">
        <f>IFERROR(__xludf.DUMMYFUNCTION("""COMPUTED_VALUE"""),"KENYA  ")</f>
        <v>KENYA  </v>
      </c>
      <c r="B1117" s="8">
        <f>IFERROR(__xludf.DUMMYFUNCTION("""COMPUTED_VALUE"""),10.0)</f>
        <v>10</v>
      </c>
      <c r="C1117" s="7" t="str">
        <f>IFERROR(__xludf.DUMMYFUNCTION("""COMPUTED_VALUE"""),"K_57")</f>
        <v>K_57</v>
      </c>
      <c r="D1117" s="7" t="str">
        <f>IFERROR(__xludf.DUMMYFUNCTION("""COMPUTED_VALUE"""),"Q76b. ")</f>
        <v>Q76b. </v>
      </c>
      <c r="E1117" s="7" t="str">
        <f>IFERROR(__xludf.DUMMYFUNCTION("""COMPUTED_VALUE"""),"Allow free movement in region vs limit cross-border movement")</f>
        <v>Allow free movement in region vs limit cross-border movement</v>
      </c>
      <c r="F1117" s="7" t="str">
        <f>IFERROR(__xludf.DUMMYFUNCTION("""COMPUTED_VALUE"""),"East Africa")</f>
        <v>East Africa</v>
      </c>
    </row>
    <row r="1118">
      <c r="A1118" s="7" t="str">
        <f>IFERROR(__xludf.DUMMYFUNCTION("""COMPUTED_VALUE"""),"LESOTHO ")</f>
        <v>LESOTHO </v>
      </c>
      <c r="B1118" s="8">
        <f>IFERROR(__xludf.DUMMYFUNCTION("""COMPUTED_VALUE"""),10.0)</f>
        <v>10</v>
      </c>
      <c r="C1118" s="7" t="str">
        <f>IFERROR(__xludf.DUMMYFUNCTION("""COMPUTED_VALUE"""),"K_57")</f>
        <v>K_57</v>
      </c>
      <c r="D1118" s="7" t="str">
        <f>IFERROR(__xludf.DUMMYFUNCTION("""COMPUTED_VALUE"""),"Q76b. ")</f>
        <v>Q76b. </v>
      </c>
      <c r="E1118" s="7" t="str">
        <f>IFERROR(__xludf.DUMMYFUNCTION("""COMPUTED_VALUE"""),"Allow free movement in region vs limit cross-border movement")</f>
        <v>Allow free movement in region vs limit cross-border movement</v>
      </c>
      <c r="F1118" s="7" t="str">
        <f>IFERROR(__xludf.DUMMYFUNCTION("""COMPUTED_VALUE"""),"Southern Africa")</f>
        <v>Southern Africa</v>
      </c>
    </row>
    <row r="1119">
      <c r="A1119" s="7" t="str">
        <f>IFERROR(__xludf.DUMMYFUNCTION("""COMPUTED_VALUE"""),"LIBERIA  ")</f>
        <v>LIBERIA  </v>
      </c>
      <c r="B1119" s="8">
        <f>IFERROR(__xludf.DUMMYFUNCTION("""COMPUTED_VALUE"""),10.0)</f>
        <v>10</v>
      </c>
      <c r="C1119" s="7" t="str">
        <f>IFERROR(__xludf.DUMMYFUNCTION("""COMPUTED_VALUE"""),"K_57")</f>
        <v>K_57</v>
      </c>
      <c r="D1119" s="7" t="str">
        <f>IFERROR(__xludf.DUMMYFUNCTION("""COMPUTED_VALUE"""),"Q76b. ")</f>
        <v>Q76b. </v>
      </c>
      <c r="E1119" s="7" t="str">
        <f>IFERROR(__xludf.DUMMYFUNCTION("""COMPUTED_VALUE"""),"Allow free movement in region vs limit cross-border movement")</f>
        <v>Allow free movement in region vs limit cross-border movement</v>
      </c>
      <c r="F1119" s="7" t="str">
        <f>IFERROR(__xludf.DUMMYFUNCTION("""COMPUTED_VALUE"""),"West Africa")</f>
        <v>West Africa</v>
      </c>
    </row>
    <row r="1120">
      <c r="A1120" s="7" t="str">
        <f>IFERROR(__xludf.DUMMYFUNCTION("""COMPUTED_VALUE"""),"MADAGASCAR")</f>
        <v>MADAGASCAR</v>
      </c>
      <c r="B1120" s="8">
        <f>IFERROR(__xludf.DUMMYFUNCTION("""COMPUTED_VALUE"""),10.0)</f>
        <v>10</v>
      </c>
      <c r="C1120" s="7" t="str">
        <f>IFERROR(__xludf.DUMMYFUNCTION("""COMPUTED_VALUE"""),"K_57")</f>
        <v>K_57</v>
      </c>
      <c r="D1120" s="7" t="str">
        <f>IFERROR(__xludf.DUMMYFUNCTION("""COMPUTED_VALUE"""),"Q76b. ")</f>
        <v>Q76b. </v>
      </c>
      <c r="E1120" s="7" t="str">
        <f>IFERROR(__xludf.DUMMYFUNCTION("""COMPUTED_VALUE"""),"Allow free movement in region vs limit cross-border movement")</f>
        <v>Allow free movement in region vs limit cross-border movement</v>
      </c>
      <c r="F1120" s="7" t="str">
        <f>IFERROR(__xludf.DUMMYFUNCTION("""COMPUTED_VALUE"""),"Southern Africa")</f>
        <v>Southern Africa</v>
      </c>
    </row>
    <row r="1121">
      <c r="A1121" s="7" t="str">
        <f>IFERROR(__xludf.DUMMYFUNCTION("""COMPUTED_VALUE"""),"MALAWI ")</f>
        <v>MALAWI </v>
      </c>
      <c r="B1121" s="8">
        <f>IFERROR(__xludf.DUMMYFUNCTION("""COMPUTED_VALUE"""),10.0)</f>
        <v>10</v>
      </c>
      <c r="C1121" s="7" t="str">
        <f>IFERROR(__xludf.DUMMYFUNCTION("""COMPUTED_VALUE"""),"K_57")</f>
        <v>K_57</v>
      </c>
      <c r="D1121" s="7" t="str">
        <f>IFERROR(__xludf.DUMMYFUNCTION("""COMPUTED_VALUE"""),"Q76b. ")</f>
        <v>Q76b. </v>
      </c>
      <c r="E1121" s="7" t="str">
        <f>IFERROR(__xludf.DUMMYFUNCTION("""COMPUTED_VALUE"""),"Allow free movement in region vs limit cross-border movement")</f>
        <v>Allow free movement in region vs limit cross-border movement</v>
      </c>
      <c r="F1121" s="7" t="str">
        <f>IFERROR(__xludf.DUMMYFUNCTION("""COMPUTED_VALUE"""),"Southern Africa")</f>
        <v>Southern Africa</v>
      </c>
    </row>
    <row r="1122">
      <c r="A1122" s="7" t="str">
        <f>IFERROR(__xludf.DUMMYFUNCTION("""COMPUTED_VALUE"""),"MALI")</f>
        <v>MALI</v>
      </c>
      <c r="B1122" s="8">
        <f>IFERROR(__xludf.DUMMYFUNCTION("""COMPUTED_VALUE"""),10.0)</f>
        <v>10</v>
      </c>
      <c r="C1122" s="7" t="str">
        <f>IFERROR(__xludf.DUMMYFUNCTION("""COMPUTED_VALUE"""),"K_57")</f>
        <v>K_57</v>
      </c>
      <c r="D1122" s="7" t="str">
        <f>IFERROR(__xludf.DUMMYFUNCTION("""COMPUTED_VALUE"""),"Q76b. ")</f>
        <v>Q76b. </v>
      </c>
      <c r="E1122" s="7" t="str">
        <f>IFERROR(__xludf.DUMMYFUNCTION("""COMPUTED_VALUE"""),"Allow free movement in region vs limit cross-border movement")</f>
        <v>Allow free movement in region vs limit cross-border movement</v>
      </c>
      <c r="F1122" s="7" t="str">
        <f>IFERROR(__xludf.DUMMYFUNCTION("""COMPUTED_VALUE"""),"West Africa")</f>
        <v>West Africa</v>
      </c>
    </row>
    <row r="1123">
      <c r="A1123" s="7" t="str">
        <f>IFERROR(__xludf.DUMMYFUNCTION("""COMPUTED_VALUE"""),"MAURITANIA")</f>
        <v>MAURITANIA</v>
      </c>
      <c r="B1123" s="8">
        <f>IFERROR(__xludf.DUMMYFUNCTION("""COMPUTED_VALUE"""),10.0)</f>
        <v>10</v>
      </c>
      <c r="C1123" s="7" t="str">
        <f>IFERROR(__xludf.DUMMYFUNCTION("""COMPUTED_VALUE"""),"K_57")</f>
        <v>K_57</v>
      </c>
      <c r="D1123" s="7" t="str">
        <f>IFERROR(__xludf.DUMMYFUNCTION("""COMPUTED_VALUE"""),"Q76b. ")</f>
        <v>Q76b. </v>
      </c>
      <c r="E1123" s="7" t="str">
        <f>IFERROR(__xludf.DUMMYFUNCTION("""COMPUTED_VALUE"""),"Allow free movement in region vs limit cross-border movement")</f>
        <v>Allow free movement in region vs limit cross-border movement</v>
      </c>
      <c r="F1123" s="7" t="str">
        <f>IFERROR(__xludf.DUMMYFUNCTION("""COMPUTED_VALUE"""),"West Africa")</f>
        <v>West Africa</v>
      </c>
    </row>
    <row r="1124">
      <c r="A1124" s="7" t="str">
        <f>IFERROR(__xludf.DUMMYFUNCTION("""COMPUTED_VALUE"""),"MAURITIUS")</f>
        <v>MAURITIUS</v>
      </c>
      <c r="B1124" s="8">
        <f>IFERROR(__xludf.DUMMYFUNCTION("""COMPUTED_VALUE"""),10.0)</f>
        <v>10</v>
      </c>
      <c r="C1124" s="7" t="str">
        <f>IFERROR(__xludf.DUMMYFUNCTION("""COMPUTED_VALUE"""),"K_57")</f>
        <v>K_57</v>
      </c>
      <c r="D1124" s="7" t="str">
        <f>IFERROR(__xludf.DUMMYFUNCTION("""COMPUTED_VALUE"""),"Q76b. ")</f>
        <v>Q76b. </v>
      </c>
      <c r="E1124" s="7" t="str">
        <f>IFERROR(__xludf.DUMMYFUNCTION("""COMPUTED_VALUE"""),"Allow free movement in region vs limit cross-border movement")</f>
        <v>Allow free movement in region vs limit cross-border movement</v>
      </c>
      <c r="F1124" s="7" t="str">
        <f>IFERROR(__xludf.DUMMYFUNCTION("""COMPUTED_VALUE"""),"Southern Africa")</f>
        <v>Southern Africa</v>
      </c>
    </row>
    <row r="1125">
      <c r="A1125" s="7" t="str">
        <f>IFERROR(__xludf.DUMMYFUNCTION("""COMPUTED_VALUE"""),"MOROCCO ")</f>
        <v>MOROCCO </v>
      </c>
      <c r="B1125" s="8">
        <f>IFERROR(__xludf.DUMMYFUNCTION("""COMPUTED_VALUE"""),10.0)</f>
        <v>10</v>
      </c>
      <c r="C1125" s="7" t="str">
        <f>IFERROR(__xludf.DUMMYFUNCTION("""COMPUTED_VALUE"""),"K_57")</f>
        <v>K_57</v>
      </c>
      <c r="D1125" s="7" t="str">
        <f>IFERROR(__xludf.DUMMYFUNCTION("""COMPUTED_VALUE"""),"Q76b. ")</f>
        <v>Q76b. </v>
      </c>
      <c r="E1125" s="7" t="str">
        <f>IFERROR(__xludf.DUMMYFUNCTION("""COMPUTED_VALUE"""),"Allow free movement in region vs limit cross-border movement")</f>
        <v>Allow free movement in region vs limit cross-border movement</v>
      </c>
      <c r="F1125" s="7" t="str">
        <f>IFERROR(__xludf.DUMMYFUNCTION("""COMPUTED_VALUE"""),"North Africa")</f>
        <v>North Africa</v>
      </c>
    </row>
    <row r="1126">
      <c r="A1126" s="7" t="str">
        <f>IFERROR(__xludf.DUMMYFUNCTION("""COMPUTED_VALUE"""),"MOZAMBIQUE")</f>
        <v>MOZAMBIQUE</v>
      </c>
      <c r="B1126" s="8">
        <f>IFERROR(__xludf.DUMMYFUNCTION("""COMPUTED_VALUE"""),10.0)</f>
        <v>10</v>
      </c>
      <c r="C1126" s="7" t="str">
        <f>IFERROR(__xludf.DUMMYFUNCTION("""COMPUTED_VALUE"""),"K_57")</f>
        <v>K_57</v>
      </c>
      <c r="D1126" s="7" t="str">
        <f>IFERROR(__xludf.DUMMYFUNCTION("""COMPUTED_VALUE"""),"Q76b. ")</f>
        <v>Q76b. </v>
      </c>
      <c r="E1126" s="7" t="str">
        <f>IFERROR(__xludf.DUMMYFUNCTION("""COMPUTED_VALUE"""),"Allow free movement in region vs limit cross-border movement")</f>
        <v>Allow free movement in region vs limit cross-border movement</v>
      </c>
      <c r="F1126" s="7" t="str">
        <f>IFERROR(__xludf.DUMMYFUNCTION("""COMPUTED_VALUE"""),"Southern Africa")</f>
        <v>Southern Africa</v>
      </c>
    </row>
    <row r="1127">
      <c r="A1127" s="7" t="str">
        <f>IFERROR(__xludf.DUMMYFUNCTION("""COMPUTED_VALUE"""),"NAMIBIA ")</f>
        <v>NAMIBIA </v>
      </c>
      <c r="B1127" s="8">
        <f>IFERROR(__xludf.DUMMYFUNCTION("""COMPUTED_VALUE"""),10.0)</f>
        <v>10</v>
      </c>
      <c r="C1127" s="7" t="str">
        <f>IFERROR(__xludf.DUMMYFUNCTION("""COMPUTED_VALUE"""),"K_57")</f>
        <v>K_57</v>
      </c>
      <c r="D1127" s="7" t="str">
        <f>IFERROR(__xludf.DUMMYFUNCTION("""COMPUTED_VALUE"""),"Q76b. ")</f>
        <v>Q76b. </v>
      </c>
      <c r="E1127" s="7" t="str">
        <f>IFERROR(__xludf.DUMMYFUNCTION("""COMPUTED_VALUE"""),"Allow free movement in region vs limit cross-border movement")</f>
        <v>Allow free movement in region vs limit cross-border movement</v>
      </c>
      <c r="F1127" s="7" t="str">
        <f>IFERROR(__xludf.DUMMYFUNCTION("""COMPUTED_VALUE"""),"Southern Africa")</f>
        <v>Southern Africa</v>
      </c>
    </row>
    <row r="1128">
      <c r="A1128" s="7" t="str">
        <f>IFERROR(__xludf.DUMMYFUNCTION("""COMPUTED_VALUE"""),"NIGERIA ")</f>
        <v>NIGERIA </v>
      </c>
      <c r="B1128" s="8">
        <f>IFERROR(__xludf.DUMMYFUNCTION("""COMPUTED_VALUE"""),10.0)</f>
        <v>10</v>
      </c>
      <c r="C1128" s="7" t="str">
        <f>IFERROR(__xludf.DUMMYFUNCTION("""COMPUTED_VALUE"""),"K_57")</f>
        <v>K_57</v>
      </c>
      <c r="D1128" s="7" t="str">
        <f>IFERROR(__xludf.DUMMYFUNCTION("""COMPUTED_VALUE"""),"Q76b. ")</f>
        <v>Q76b. </v>
      </c>
      <c r="E1128" s="7" t="str">
        <f>IFERROR(__xludf.DUMMYFUNCTION("""COMPUTED_VALUE"""),"Allow free movement in region vs limit cross-border movement")</f>
        <v>Allow free movement in region vs limit cross-border movement</v>
      </c>
      <c r="F1128" s="7" t="str">
        <f>IFERROR(__xludf.DUMMYFUNCTION("""COMPUTED_VALUE"""),"West Africa")</f>
        <v>West Africa</v>
      </c>
    </row>
    <row r="1129">
      <c r="A1129" s="7" t="str">
        <f>IFERROR(__xludf.DUMMYFUNCTION("""COMPUTED_VALUE"""),"SAO TOME AND PRINCIPE")</f>
        <v>SAO TOME AND PRINCIPE</v>
      </c>
      <c r="B1129" s="8">
        <f>IFERROR(__xludf.DUMMYFUNCTION("""COMPUTED_VALUE"""),10.0)</f>
        <v>10</v>
      </c>
      <c r="C1129" s="7" t="str">
        <f>IFERROR(__xludf.DUMMYFUNCTION("""COMPUTED_VALUE"""),"K_57")</f>
        <v>K_57</v>
      </c>
      <c r="D1129" s="7" t="str">
        <f>IFERROR(__xludf.DUMMYFUNCTION("""COMPUTED_VALUE"""),"Q76b. ")</f>
        <v>Q76b. </v>
      </c>
      <c r="E1129" s="7" t="str">
        <f>IFERROR(__xludf.DUMMYFUNCTION("""COMPUTED_VALUE"""),"Allow free movement in region vs limit cross-border movement")</f>
        <v>Allow free movement in region vs limit cross-border movement</v>
      </c>
      <c r="F1129" s="7" t="str">
        <f>IFERROR(__xludf.DUMMYFUNCTION("""COMPUTED_VALUE"""),"Central Africa")</f>
        <v>Central Africa</v>
      </c>
    </row>
    <row r="1130">
      <c r="A1130" s="7" t="str">
        <f>IFERROR(__xludf.DUMMYFUNCTION("""COMPUTED_VALUE"""),"SENEGAL")</f>
        <v>SENEGAL</v>
      </c>
      <c r="B1130" s="8">
        <f>IFERROR(__xludf.DUMMYFUNCTION("""COMPUTED_VALUE"""),10.0)</f>
        <v>10</v>
      </c>
      <c r="C1130" s="7" t="str">
        <f>IFERROR(__xludf.DUMMYFUNCTION("""COMPUTED_VALUE"""),"K_57")</f>
        <v>K_57</v>
      </c>
      <c r="D1130" s="7" t="str">
        <f>IFERROR(__xludf.DUMMYFUNCTION("""COMPUTED_VALUE"""),"Q76b. ")</f>
        <v>Q76b. </v>
      </c>
      <c r="E1130" s="7" t="str">
        <f>IFERROR(__xludf.DUMMYFUNCTION("""COMPUTED_VALUE"""),"Allow free movement in region vs limit cross-border movement")</f>
        <v>Allow free movement in region vs limit cross-border movement</v>
      </c>
      <c r="F1130" s="7" t="str">
        <f>IFERROR(__xludf.DUMMYFUNCTION("""COMPUTED_VALUE"""),"West Africa")</f>
        <v>West Africa</v>
      </c>
    </row>
    <row r="1131">
      <c r="A1131" s="7" t="str">
        <f>IFERROR(__xludf.DUMMYFUNCTION("""COMPUTED_VALUE"""),"SEYCHELLES")</f>
        <v>SEYCHELLES</v>
      </c>
      <c r="B1131" s="8">
        <f>IFERROR(__xludf.DUMMYFUNCTION("""COMPUTED_VALUE"""),10.0)</f>
        <v>10</v>
      </c>
      <c r="C1131" s="7" t="str">
        <f>IFERROR(__xludf.DUMMYFUNCTION("""COMPUTED_VALUE"""),"K_57")</f>
        <v>K_57</v>
      </c>
      <c r="D1131" s="7" t="str">
        <f>IFERROR(__xludf.DUMMYFUNCTION("""COMPUTED_VALUE"""),"Q76b. ")</f>
        <v>Q76b. </v>
      </c>
      <c r="E1131" s="7" t="str">
        <f>IFERROR(__xludf.DUMMYFUNCTION("""COMPUTED_VALUE"""),"Allow free movement in region vs limit cross-border movement")</f>
        <v>Allow free movement in region vs limit cross-border movement</v>
      </c>
      <c r="F1131" s="7" t="str">
        <f>IFERROR(__xludf.DUMMYFUNCTION("""COMPUTED_VALUE"""),"Southern Africa")</f>
        <v>Southern Africa</v>
      </c>
    </row>
    <row r="1132">
      <c r="A1132" s="7" t="str">
        <f>IFERROR(__xludf.DUMMYFUNCTION("""COMPUTED_VALUE"""),"SOUTH AFRICA")</f>
        <v>SOUTH AFRICA</v>
      </c>
      <c r="B1132" s="8">
        <f>IFERROR(__xludf.DUMMYFUNCTION("""COMPUTED_VALUE"""),10.0)</f>
        <v>10</v>
      </c>
      <c r="C1132" s="7" t="str">
        <f>IFERROR(__xludf.DUMMYFUNCTION("""COMPUTED_VALUE"""),"K_57")</f>
        <v>K_57</v>
      </c>
      <c r="D1132" s="7" t="str">
        <f>IFERROR(__xludf.DUMMYFUNCTION("""COMPUTED_VALUE"""),"Q76b. ")</f>
        <v>Q76b. </v>
      </c>
      <c r="E1132" s="7" t="str">
        <f>IFERROR(__xludf.DUMMYFUNCTION("""COMPUTED_VALUE"""),"Allow free movement in region vs limit cross-border movement")</f>
        <v>Allow free movement in region vs limit cross-border movement</v>
      </c>
      <c r="F1132" s="7" t="str">
        <f>IFERROR(__xludf.DUMMYFUNCTION("""COMPUTED_VALUE"""),"Southern Africa")</f>
        <v>Southern Africa</v>
      </c>
    </row>
    <row r="1133">
      <c r="A1133" s="7" t="str">
        <f>IFERROR(__xludf.DUMMYFUNCTION("""COMPUTED_VALUE"""),"TANZANIA")</f>
        <v>TANZANIA</v>
      </c>
      <c r="B1133" s="8">
        <f>IFERROR(__xludf.DUMMYFUNCTION("""COMPUTED_VALUE"""),10.0)</f>
        <v>10</v>
      </c>
      <c r="C1133" s="7" t="str">
        <f>IFERROR(__xludf.DUMMYFUNCTION("""COMPUTED_VALUE"""),"K_57")</f>
        <v>K_57</v>
      </c>
      <c r="D1133" s="7" t="str">
        <f>IFERROR(__xludf.DUMMYFUNCTION("""COMPUTED_VALUE"""),"Q76b. ")</f>
        <v>Q76b. </v>
      </c>
      <c r="E1133" s="7" t="str">
        <f>IFERROR(__xludf.DUMMYFUNCTION("""COMPUTED_VALUE"""),"Allow free movement in region vs limit cross-border movement")</f>
        <v>Allow free movement in region vs limit cross-border movement</v>
      </c>
      <c r="F1133" s="7" t="str">
        <f>IFERROR(__xludf.DUMMYFUNCTION("""COMPUTED_VALUE"""),"East Africa")</f>
        <v>East Africa</v>
      </c>
    </row>
    <row r="1134">
      <c r="A1134" s="7" t="str">
        <f>IFERROR(__xludf.DUMMYFUNCTION("""COMPUTED_VALUE"""),"TOGO ")</f>
        <v>TOGO </v>
      </c>
      <c r="B1134" s="8">
        <f>IFERROR(__xludf.DUMMYFUNCTION("""COMPUTED_VALUE"""),10.0)</f>
        <v>10</v>
      </c>
      <c r="C1134" s="7" t="str">
        <f>IFERROR(__xludf.DUMMYFUNCTION("""COMPUTED_VALUE"""),"K_57")</f>
        <v>K_57</v>
      </c>
      <c r="D1134" s="7" t="str">
        <f>IFERROR(__xludf.DUMMYFUNCTION("""COMPUTED_VALUE"""),"Q76b. ")</f>
        <v>Q76b. </v>
      </c>
      <c r="E1134" s="7" t="str">
        <f>IFERROR(__xludf.DUMMYFUNCTION("""COMPUTED_VALUE"""),"Allow free movement in region vs limit cross-border movement")</f>
        <v>Allow free movement in region vs limit cross-border movement</v>
      </c>
      <c r="F1134" s="7" t="str">
        <f>IFERROR(__xludf.DUMMYFUNCTION("""COMPUTED_VALUE"""),"West Africa")</f>
        <v>West Africa</v>
      </c>
    </row>
    <row r="1135">
      <c r="A1135" s="7" t="str">
        <f>IFERROR(__xludf.DUMMYFUNCTION("""COMPUTED_VALUE"""),"TUNISIA ")</f>
        <v>TUNISIA </v>
      </c>
      <c r="B1135" s="8">
        <f>IFERROR(__xludf.DUMMYFUNCTION("""COMPUTED_VALUE"""),10.0)</f>
        <v>10</v>
      </c>
      <c r="C1135" s="7" t="str">
        <f>IFERROR(__xludf.DUMMYFUNCTION("""COMPUTED_VALUE"""),"K_57")</f>
        <v>K_57</v>
      </c>
      <c r="D1135" s="7" t="str">
        <f>IFERROR(__xludf.DUMMYFUNCTION("""COMPUTED_VALUE"""),"Q76b. ")</f>
        <v>Q76b. </v>
      </c>
      <c r="E1135" s="7" t="str">
        <f>IFERROR(__xludf.DUMMYFUNCTION("""COMPUTED_VALUE"""),"Allow free movement in region vs limit cross-border movement")</f>
        <v>Allow free movement in region vs limit cross-border movement</v>
      </c>
      <c r="F1135" s="7" t="str">
        <f>IFERROR(__xludf.DUMMYFUNCTION("""COMPUTED_VALUE"""),"North Africa")</f>
        <v>North Africa</v>
      </c>
    </row>
    <row r="1136">
      <c r="A1136" s="7" t="str">
        <f>IFERROR(__xludf.DUMMYFUNCTION("""COMPUTED_VALUE"""),"UGANDA  ")</f>
        <v>UGANDA  </v>
      </c>
      <c r="B1136" s="8">
        <f>IFERROR(__xludf.DUMMYFUNCTION("""COMPUTED_VALUE"""),10.0)</f>
        <v>10</v>
      </c>
      <c r="C1136" s="7" t="str">
        <f>IFERROR(__xludf.DUMMYFUNCTION("""COMPUTED_VALUE"""),"K_57")</f>
        <v>K_57</v>
      </c>
      <c r="D1136" s="7" t="str">
        <f>IFERROR(__xludf.DUMMYFUNCTION("""COMPUTED_VALUE"""),"Q76b. ")</f>
        <v>Q76b. </v>
      </c>
      <c r="E1136" s="7" t="str">
        <f>IFERROR(__xludf.DUMMYFUNCTION("""COMPUTED_VALUE"""),"Allow free movement in region vs limit cross-border movement")</f>
        <v>Allow free movement in region vs limit cross-border movement</v>
      </c>
      <c r="F1136" s="7" t="str">
        <f>IFERROR(__xludf.DUMMYFUNCTION("""COMPUTED_VALUE"""),"East Africa")</f>
        <v>East Africa</v>
      </c>
    </row>
    <row r="1137">
      <c r="A1137" s="7" t="str">
        <f>IFERROR(__xludf.DUMMYFUNCTION("""COMPUTED_VALUE"""),"ZAMBIA")</f>
        <v>ZAMBIA</v>
      </c>
      <c r="B1137" s="8">
        <f>IFERROR(__xludf.DUMMYFUNCTION("""COMPUTED_VALUE"""),10.0)</f>
        <v>10</v>
      </c>
      <c r="C1137" s="7" t="str">
        <f>IFERROR(__xludf.DUMMYFUNCTION("""COMPUTED_VALUE"""),"K_57")</f>
        <v>K_57</v>
      </c>
      <c r="D1137" s="7" t="str">
        <f>IFERROR(__xludf.DUMMYFUNCTION("""COMPUTED_VALUE"""),"Q76b. ")</f>
        <v>Q76b. </v>
      </c>
      <c r="E1137" s="7" t="str">
        <f>IFERROR(__xludf.DUMMYFUNCTION("""COMPUTED_VALUE"""),"Allow free movement in region vs limit cross-border movement")</f>
        <v>Allow free movement in region vs limit cross-border movement</v>
      </c>
      <c r="F1137" s="7" t="str">
        <f>IFERROR(__xludf.DUMMYFUNCTION("""COMPUTED_VALUE"""),"Southern Africa")</f>
        <v>Southern Africa</v>
      </c>
    </row>
    <row r="1138">
      <c r="A1138" s="7" t="str">
        <f>IFERROR(__xludf.DUMMYFUNCTION("""COMPUTED_VALUE"""),"ZIMBABWE")</f>
        <v>ZIMBABWE</v>
      </c>
      <c r="B1138" s="8">
        <f>IFERROR(__xludf.DUMMYFUNCTION("""COMPUTED_VALUE"""),10.0)</f>
        <v>10</v>
      </c>
      <c r="C1138" s="7" t="str">
        <f>IFERROR(__xludf.DUMMYFUNCTION("""COMPUTED_VALUE"""),"K_57")</f>
        <v>K_57</v>
      </c>
      <c r="D1138" s="7" t="str">
        <f>IFERROR(__xludf.DUMMYFUNCTION("""COMPUTED_VALUE"""),"Q76b. ")</f>
        <v>Q76b. </v>
      </c>
      <c r="E1138" s="7" t="str">
        <f>IFERROR(__xludf.DUMMYFUNCTION("""COMPUTED_VALUE"""),"Allow free movement in region vs limit cross-border movement")</f>
        <v>Allow free movement in region vs limit cross-border movement</v>
      </c>
      <c r="F1138" s="7" t="str">
        <f>IFERROR(__xludf.DUMMYFUNCTION("""COMPUTED_VALUE"""),"Southern Africa")</f>
        <v>Southern Africa</v>
      </c>
    </row>
    <row r="1139">
      <c r="A1139" s="7" t="str">
        <f>IFERROR(__xludf.DUMMYFUNCTION("""COMPUTED_VALUE"""),"ANGOLA ")</f>
        <v>ANGOLA </v>
      </c>
      <c r="B1139" s="8">
        <f>IFERROR(__xludf.DUMMYFUNCTION("""COMPUTED_VALUE"""),10.0)</f>
        <v>10</v>
      </c>
      <c r="C1139" s="7" t="str">
        <f>IFERROR(__xludf.DUMMYFUNCTION("""COMPUTED_VALUE"""),"D_12B")</f>
        <v>D_12B</v>
      </c>
      <c r="D1139" s="7" t="str">
        <f>IFERROR(__xludf.DUMMYFUNCTION("""COMPUTED_VALUE"""),"Q93a. ")</f>
        <v>Q93a. </v>
      </c>
      <c r="E1139" s="7" t="str">
        <f>IFERROR(__xludf.DUMMYFUNCTION("""COMPUTED_VALUE"""),"Electric connection from mains")</f>
        <v>Electric connection from mains</v>
      </c>
      <c r="F1139" s="7" t="str">
        <f>IFERROR(__xludf.DUMMYFUNCTION("""COMPUTED_VALUE"""),"National Company of Distribution of Electricity or ENDE")</f>
        <v>National Company of Distribution of Electricity or ENDE</v>
      </c>
    </row>
    <row r="1140">
      <c r="A1140" s="7" t="str">
        <f>IFERROR(__xludf.DUMMYFUNCTION("""COMPUTED_VALUE"""),"BENIN")</f>
        <v>BENIN</v>
      </c>
      <c r="B1140" s="8">
        <f>IFERROR(__xludf.DUMMYFUNCTION("""COMPUTED_VALUE"""),10.0)</f>
        <v>10</v>
      </c>
      <c r="C1140" s="7" t="str">
        <f>IFERROR(__xludf.DUMMYFUNCTION("""COMPUTED_VALUE"""),"D_12B")</f>
        <v>D_12B</v>
      </c>
      <c r="D1140" s="7" t="str">
        <f>IFERROR(__xludf.DUMMYFUNCTION("""COMPUTED_VALUE"""),"Q93a. ")</f>
        <v>Q93a. </v>
      </c>
      <c r="E1140" s="7" t="str">
        <f>IFERROR(__xludf.DUMMYFUNCTION("""COMPUTED_VALUE"""),"Electric connection from mains")</f>
        <v>Electric connection from mains</v>
      </c>
      <c r="F1140" s="7" t="str">
        <f>IFERROR(__xludf.DUMMYFUNCTION("""COMPUTED_VALUE"""),"Beninese Electric Energy Company (SBEE)")</f>
        <v>Beninese Electric Energy Company (SBEE)</v>
      </c>
    </row>
    <row r="1141">
      <c r="A1141" s="7" t="str">
        <f>IFERROR(__xludf.DUMMYFUNCTION("""COMPUTED_VALUE"""),"BOTSWANA ")</f>
        <v>BOTSWANA </v>
      </c>
      <c r="B1141" s="8">
        <f>IFERROR(__xludf.DUMMYFUNCTION("""COMPUTED_VALUE"""),10.0)</f>
        <v>10</v>
      </c>
      <c r="C1141" s="7" t="str">
        <f>IFERROR(__xludf.DUMMYFUNCTION("""COMPUTED_VALUE"""),"D_12B")</f>
        <v>D_12B</v>
      </c>
      <c r="D1141" s="7" t="str">
        <f>IFERROR(__xludf.DUMMYFUNCTION("""COMPUTED_VALUE"""),"Q93a. ")</f>
        <v>Q93a. </v>
      </c>
      <c r="E1141" s="7" t="str">
        <f>IFERROR(__xludf.DUMMYFUNCTION("""COMPUTED_VALUE"""),"Electric connection from mains")</f>
        <v>Electric connection from mains</v>
      </c>
      <c r="F1141" s="7" t="str">
        <f>IFERROR(__xludf.DUMMYFUNCTION("""COMPUTED_VALUE"""),"Botswana Power Corporation")</f>
        <v>Botswana Power Corporation</v>
      </c>
    </row>
    <row r="1142">
      <c r="A1142" s="7" t="str">
        <f>IFERROR(__xludf.DUMMYFUNCTION("""COMPUTED_VALUE"""),"CABO VERDE ")</f>
        <v>CABO VERDE </v>
      </c>
      <c r="B1142" s="8">
        <f>IFERROR(__xludf.DUMMYFUNCTION("""COMPUTED_VALUE"""),10.0)</f>
        <v>10</v>
      </c>
      <c r="C1142" s="7" t="str">
        <f>IFERROR(__xludf.DUMMYFUNCTION("""COMPUTED_VALUE"""),"D_12B")</f>
        <v>D_12B</v>
      </c>
      <c r="D1142" s="7" t="str">
        <f>IFERROR(__xludf.DUMMYFUNCTION("""COMPUTED_VALUE"""),"Q93a. ")</f>
        <v>Q93a. </v>
      </c>
      <c r="E1142" s="7" t="str">
        <f>IFERROR(__xludf.DUMMYFUNCTION("""COMPUTED_VALUE"""),"Electric connection from mains")</f>
        <v>Electric connection from mains</v>
      </c>
      <c r="F1142" s="7" t="str">
        <f>IFERROR(__xludf.DUMMYFUNCTION("""COMPUTED_VALUE"""),"Electricity and Water Company of Cape Verde")</f>
        <v>Electricity and Water Company of Cape Verde</v>
      </c>
    </row>
    <row r="1143">
      <c r="A1143" s="7" t="str">
        <f>IFERROR(__xludf.DUMMYFUNCTION("""COMPUTED_VALUE"""),"CAMEROON")</f>
        <v>CAMEROON</v>
      </c>
      <c r="B1143" s="8">
        <f>IFERROR(__xludf.DUMMYFUNCTION("""COMPUTED_VALUE"""),10.0)</f>
        <v>10</v>
      </c>
      <c r="C1143" s="7" t="str">
        <f>IFERROR(__xludf.DUMMYFUNCTION("""COMPUTED_VALUE"""),"D_12B")</f>
        <v>D_12B</v>
      </c>
      <c r="D1143" s="7" t="str">
        <f>IFERROR(__xludf.DUMMYFUNCTION("""COMPUTED_VALUE"""),"Q93a. ")</f>
        <v>Q93a. </v>
      </c>
      <c r="E1143" s="7" t="str">
        <f>IFERROR(__xludf.DUMMYFUNCTION("""COMPUTED_VALUE"""),"Electric connection from mains")</f>
        <v>Electric connection from mains</v>
      </c>
      <c r="F1143" s="7" t="str">
        <f>IFERROR(__xludf.DUMMYFUNCTION("""COMPUTED_VALUE"""),"National Electricity Company (ENEO)")</f>
        <v>National Electricity Company (ENEO)</v>
      </c>
    </row>
    <row r="1144">
      <c r="A1144" s="7" t="str">
        <f>IFERROR(__xludf.DUMMYFUNCTION("""COMPUTED_VALUE"""),"CHAD")</f>
        <v>CHAD</v>
      </c>
      <c r="B1144" s="8">
        <f>IFERROR(__xludf.DUMMYFUNCTION("""COMPUTED_VALUE"""),10.0)</f>
        <v>10</v>
      </c>
      <c r="C1144" s="7" t="str">
        <f>IFERROR(__xludf.DUMMYFUNCTION("""COMPUTED_VALUE"""),"D_12B")</f>
        <v>D_12B</v>
      </c>
      <c r="D1144" s="7" t="str">
        <f>IFERROR(__xludf.DUMMYFUNCTION("""COMPUTED_VALUE"""),"Q93a. ")</f>
        <v>Q93a. </v>
      </c>
      <c r="E1144" s="7" t="str">
        <f>IFERROR(__xludf.DUMMYFUNCTION("""COMPUTED_VALUE"""),"Electric connection from mains")</f>
        <v>Electric connection from mains</v>
      </c>
      <c r="F1144" s="7" t="str">
        <f>IFERROR(__xludf.DUMMYFUNCTION("""COMPUTED_VALUE"""),"National Electricity Company")</f>
        <v>National Electricity Company</v>
      </c>
    </row>
    <row r="1145">
      <c r="A1145" s="7" t="str">
        <f>IFERROR(__xludf.DUMMYFUNCTION("""COMPUTED_VALUE"""),"COMOROS")</f>
        <v>COMOROS</v>
      </c>
      <c r="B1145" s="8">
        <f>IFERROR(__xludf.DUMMYFUNCTION("""COMPUTED_VALUE"""),10.0)</f>
        <v>10</v>
      </c>
      <c r="C1145" s="7" t="str">
        <f>IFERROR(__xludf.DUMMYFUNCTION("""COMPUTED_VALUE"""),"D_12B")</f>
        <v>D_12B</v>
      </c>
      <c r="D1145" s="7" t="str">
        <f>IFERROR(__xludf.DUMMYFUNCTION("""COMPUTED_VALUE"""),"Q93a. ")</f>
        <v>Q93a. </v>
      </c>
      <c r="E1145" s="7" t="str">
        <f>IFERROR(__xludf.DUMMYFUNCTION("""COMPUTED_VALUE"""),"Electric connection from mains")</f>
        <v>Electric connection from mains</v>
      </c>
      <c r="F1145" s="7" t="str">
        <f>IFERROR(__xludf.DUMMYFUNCTION("""COMPUTED_VALUE"""),"National Electricity Company (SONELEC)")</f>
        <v>National Electricity Company (SONELEC)</v>
      </c>
    </row>
    <row r="1146">
      <c r="A1146" s="7" t="str">
        <f>IFERROR(__xludf.DUMMYFUNCTION("""COMPUTED_VALUE"""),"CONGO BRAZZAVILLE")</f>
        <v>CONGO BRAZZAVILLE</v>
      </c>
      <c r="B1146" s="8">
        <f>IFERROR(__xludf.DUMMYFUNCTION("""COMPUTED_VALUE"""),10.0)</f>
        <v>10</v>
      </c>
      <c r="C1146" s="7" t="str">
        <f>IFERROR(__xludf.DUMMYFUNCTION("""COMPUTED_VALUE"""),"D_12B")</f>
        <v>D_12B</v>
      </c>
      <c r="D1146" s="7" t="str">
        <f>IFERROR(__xludf.DUMMYFUNCTION("""COMPUTED_VALUE"""),"Q93a. ")</f>
        <v>Q93a. </v>
      </c>
      <c r="E1146" s="7" t="str">
        <f>IFERROR(__xludf.DUMMYFUNCTION("""COMPUTED_VALUE"""),"Electric connection from mains")</f>
        <v>Electric connection from mains</v>
      </c>
      <c r="F1146" s="7" t="str">
        <f>IFERROR(__xludf.DUMMYFUNCTION("""COMPUTED_VALUE"""),"Electricity of Congo (EEC)")</f>
        <v>Electricity of Congo (EEC)</v>
      </c>
    </row>
    <row r="1147">
      <c r="A1147" s="7" t="str">
        <f>IFERROR(__xludf.DUMMYFUNCTION("""COMPUTED_VALUE"""),"COTE D'IVOIRE")</f>
        <v>COTE D'IVOIRE</v>
      </c>
      <c r="B1147" s="8">
        <f>IFERROR(__xludf.DUMMYFUNCTION("""COMPUTED_VALUE"""),10.0)</f>
        <v>10</v>
      </c>
      <c r="C1147" s="7" t="str">
        <f>IFERROR(__xludf.DUMMYFUNCTION("""COMPUTED_VALUE"""),"D_12B")</f>
        <v>D_12B</v>
      </c>
      <c r="D1147" s="7" t="str">
        <f>IFERROR(__xludf.DUMMYFUNCTION("""COMPUTED_VALUE"""),"Q93a. ")</f>
        <v>Q93a. </v>
      </c>
      <c r="E1147" s="7" t="str">
        <f>IFERROR(__xludf.DUMMYFUNCTION("""COMPUTED_VALUE"""),"Electric connection from mains")</f>
        <v>Electric connection from mains</v>
      </c>
      <c r="F1147" s="7" t="str">
        <f>IFERROR(__xludf.DUMMYFUNCTION("""COMPUTED_VALUE"""),"Ivorian Electricity Company (CIE)")</f>
        <v>Ivorian Electricity Company (CIE)</v>
      </c>
    </row>
    <row r="1148">
      <c r="A1148" s="7" t="str">
        <f>IFERROR(__xludf.DUMMYFUNCTION("""COMPUTED_VALUE"""),"ESWATINI")</f>
        <v>ESWATINI</v>
      </c>
      <c r="B1148" s="8">
        <f>IFERROR(__xludf.DUMMYFUNCTION("""COMPUTED_VALUE"""),10.0)</f>
        <v>10</v>
      </c>
      <c r="C1148" s="7" t="str">
        <f>IFERROR(__xludf.DUMMYFUNCTION("""COMPUTED_VALUE"""),"D_12B")</f>
        <v>D_12B</v>
      </c>
      <c r="D1148" s="7" t="str">
        <f>IFERROR(__xludf.DUMMYFUNCTION("""COMPUTED_VALUE"""),"Q93a. ")</f>
        <v>Q93a. </v>
      </c>
      <c r="E1148" s="7" t="str">
        <f>IFERROR(__xludf.DUMMYFUNCTION("""COMPUTED_VALUE"""),"Electric connection from mains")</f>
        <v>Electric connection from mains</v>
      </c>
      <c r="F1148" s="7" t="str">
        <f>IFERROR(__xludf.DUMMYFUNCTION("""COMPUTED_VALUE"""),"Eswatini Electricity Company or EEC")</f>
        <v>Eswatini Electricity Company or EEC</v>
      </c>
    </row>
    <row r="1149">
      <c r="A1149" s="7" t="str">
        <f>IFERROR(__xludf.DUMMYFUNCTION("""COMPUTED_VALUE"""),"GABON")</f>
        <v>GABON</v>
      </c>
      <c r="B1149" s="8">
        <f>IFERROR(__xludf.DUMMYFUNCTION("""COMPUTED_VALUE"""),10.0)</f>
        <v>10</v>
      </c>
      <c r="C1149" s="7" t="str">
        <f>IFERROR(__xludf.DUMMYFUNCTION("""COMPUTED_VALUE"""),"D_12B")</f>
        <v>D_12B</v>
      </c>
      <c r="D1149" s="7" t="str">
        <f>IFERROR(__xludf.DUMMYFUNCTION("""COMPUTED_VALUE"""),"Q93a. ")</f>
        <v>Q93a. </v>
      </c>
      <c r="E1149" s="7" t="str">
        <f>IFERROR(__xludf.DUMMYFUNCTION("""COMPUTED_VALUE"""),"Electric connection from mains")</f>
        <v>Electric connection from mains</v>
      </c>
      <c r="F1149" s="7" t="str">
        <f>IFERROR(__xludf.DUMMYFUNCTION("""COMPUTED_VALUE"""),"Gabon Energy and Water Company (SEEG)")</f>
        <v>Gabon Energy and Water Company (SEEG)</v>
      </c>
    </row>
    <row r="1150">
      <c r="A1150" s="7" t="str">
        <f>IFERROR(__xludf.DUMMYFUNCTION("""COMPUTED_VALUE"""),"GAMBIA")</f>
        <v>GAMBIA</v>
      </c>
      <c r="B1150" s="8">
        <f>IFERROR(__xludf.DUMMYFUNCTION("""COMPUTED_VALUE"""),10.0)</f>
        <v>10</v>
      </c>
      <c r="C1150" s="7" t="str">
        <f>IFERROR(__xludf.DUMMYFUNCTION("""COMPUTED_VALUE"""),"D_12B")</f>
        <v>D_12B</v>
      </c>
      <c r="D1150" s="7" t="str">
        <f>IFERROR(__xludf.DUMMYFUNCTION("""COMPUTED_VALUE"""),"Q93a. ")</f>
        <v>Q93a. </v>
      </c>
      <c r="E1150" s="7" t="str">
        <f>IFERROR(__xludf.DUMMYFUNCTION("""COMPUTED_VALUE"""),"Electric connection from mains")</f>
        <v>Electric connection from mains</v>
      </c>
      <c r="F1150" s="7" t="str">
        <f>IFERROR(__xludf.DUMMYFUNCTION("""COMPUTED_VALUE"""),"National Water and Electricity Company Limited or NAWEC")</f>
        <v>National Water and Electricity Company Limited or NAWEC</v>
      </c>
    </row>
    <row r="1151">
      <c r="A1151" s="7" t="str">
        <f>IFERROR(__xludf.DUMMYFUNCTION("""COMPUTED_VALUE"""),"GHANA ")</f>
        <v>GHANA </v>
      </c>
      <c r="B1151" s="8">
        <f>IFERROR(__xludf.DUMMYFUNCTION("""COMPUTED_VALUE"""),10.0)</f>
        <v>10</v>
      </c>
      <c r="C1151" s="7" t="str">
        <f>IFERROR(__xludf.DUMMYFUNCTION("""COMPUTED_VALUE"""),"D_12B")</f>
        <v>D_12B</v>
      </c>
      <c r="D1151" s="7" t="str">
        <f>IFERROR(__xludf.DUMMYFUNCTION("""COMPUTED_VALUE"""),"Q93a. ")</f>
        <v>Q93a. </v>
      </c>
      <c r="E1151" s="7" t="str">
        <f>IFERROR(__xludf.DUMMYFUNCTION("""COMPUTED_VALUE"""),"Electric connection from mains")</f>
        <v>Electric connection from mains</v>
      </c>
      <c r="F1151" s="7" t="str">
        <f>IFERROR(__xludf.DUMMYFUNCTION("""COMPUTED_VALUE"""),"Electricity Company of Ghana, ECG or the Northern Electricity Distribution Company Ltd., NEDCO")</f>
        <v>Electricity Company of Ghana, ECG or the Northern Electricity Distribution Company Ltd., NEDCO</v>
      </c>
    </row>
    <row r="1152">
      <c r="A1152" s="7" t="str">
        <f>IFERROR(__xludf.DUMMYFUNCTION("""COMPUTED_VALUE"""),"GUINEA")</f>
        <v>GUINEA</v>
      </c>
      <c r="B1152" s="8">
        <f>IFERROR(__xludf.DUMMYFUNCTION("""COMPUTED_VALUE"""),10.0)</f>
        <v>10</v>
      </c>
      <c r="C1152" s="7" t="str">
        <f>IFERROR(__xludf.DUMMYFUNCTION("""COMPUTED_VALUE"""),"D_12B")</f>
        <v>D_12B</v>
      </c>
      <c r="D1152" s="7" t="str">
        <f>IFERROR(__xludf.DUMMYFUNCTION("""COMPUTED_VALUE"""),"Q93a. ")</f>
        <v>Q93a. </v>
      </c>
      <c r="E1152" s="7" t="str">
        <f>IFERROR(__xludf.DUMMYFUNCTION("""COMPUTED_VALUE"""),"Electric connection from mains")</f>
        <v>Electric connection from mains</v>
      </c>
      <c r="F1152" s="7" t="str">
        <f>IFERROR(__xludf.DUMMYFUNCTION("""COMPUTED_VALUE"""),"Electricity of Guinea (EDG)")</f>
        <v>Electricity of Guinea (EDG)</v>
      </c>
    </row>
    <row r="1153">
      <c r="A1153" s="7" t="str">
        <f>IFERROR(__xludf.DUMMYFUNCTION("""COMPUTED_VALUE"""),"KENYA  ")</f>
        <v>KENYA  </v>
      </c>
      <c r="B1153" s="8">
        <f>IFERROR(__xludf.DUMMYFUNCTION("""COMPUTED_VALUE"""),10.0)</f>
        <v>10</v>
      </c>
      <c r="C1153" s="7" t="str">
        <f>IFERROR(__xludf.DUMMYFUNCTION("""COMPUTED_VALUE"""),"D_12B")</f>
        <v>D_12B</v>
      </c>
      <c r="D1153" s="7" t="str">
        <f>IFERROR(__xludf.DUMMYFUNCTION("""COMPUTED_VALUE"""),"Q93a. ")</f>
        <v>Q93a. </v>
      </c>
      <c r="E1153" s="7" t="str">
        <f>IFERROR(__xludf.DUMMYFUNCTION("""COMPUTED_VALUE"""),"Electric connection from mains")</f>
        <v>Electric connection from mains</v>
      </c>
      <c r="F1153" s="7" t="str">
        <f>IFERROR(__xludf.DUMMYFUNCTION("""COMPUTED_VALUE"""),"Kenya Power and Lighting Company or KPLC")</f>
        <v>Kenya Power and Lighting Company or KPLC</v>
      </c>
    </row>
    <row r="1154">
      <c r="A1154" s="7" t="str">
        <f>IFERROR(__xludf.DUMMYFUNCTION("""COMPUTED_VALUE"""),"LESOTHO ")</f>
        <v>LESOTHO </v>
      </c>
      <c r="B1154" s="8">
        <f>IFERROR(__xludf.DUMMYFUNCTION("""COMPUTED_VALUE"""),10.0)</f>
        <v>10</v>
      </c>
      <c r="C1154" s="7" t="str">
        <f>IFERROR(__xludf.DUMMYFUNCTION("""COMPUTED_VALUE"""),"D_12B")</f>
        <v>D_12B</v>
      </c>
      <c r="D1154" s="7" t="str">
        <f>IFERROR(__xludf.DUMMYFUNCTION("""COMPUTED_VALUE"""),"Q93a. ")</f>
        <v>Q93a. </v>
      </c>
      <c r="E1154" s="7" t="str">
        <f>IFERROR(__xludf.DUMMYFUNCTION("""COMPUTED_VALUE"""),"Electric connection from mains")</f>
        <v>Electric connection from mains</v>
      </c>
      <c r="F1154" s="7" t="str">
        <f>IFERROR(__xludf.DUMMYFUNCTION("""COMPUTED_VALUE"""),"Lesotho Electricity Company")</f>
        <v>Lesotho Electricity Company</v>
      </c>
    </row>
    <row r="1155">
      <c r="A1155" s="7" t="str">
        <f>IFERROR(__xludf.DUMMYFUNCTION("""COMPUTED_VALUE"""),"LIBERIA  ")</f>
        <v>LIBERIA  </v>
      </c>
      <c r="B1155" s="8">
        <f>IFERROR(__xludf.DUMMYFUNCTION("""COMPUTED_VALUE"""),10.0)</f>
        <v>10</v>
      </c>
      <c r="C1155" s="7" t="str">
        <f>IFERROR(__xludf.DUMMYFUNCTION("""COMPUTED_VALUE"""),"D_12B")</f>
        <v>D_12B</v>
      </c>
      <c r="D1155" s="7" t="str">
        <f>IFERROR(__xludf.DUMMYFUNCTION("""COMPUTED_VALUE"""),"Q93a. ")</f>
        <v>Q93a. </v>
      </c>
      <c r="E1155" s="7" t="str">
        <f>IFERROR(__xludf.DUMMYFUNCTION("""COMPUTED_VALUE"""),"Electric connection from mains")</f>
        <v>Electric connection from mains</v>
      </c>
      <c r="F1155" s="7" t="str">
        <f>IFERROR(__xludf.DUMMYFUNCTION("""COMPUTED_VALUE"""),"Liberia Electricity Corporation")</f>
        <v>Liberia Electricity Corporation</v>
      </c>
    </row>
    <row r="1156">
      <c r="A1156" s="7" t="str">
        <f>IFERROR(__xludf.DUMMYFUNCTION("""COMPUTED_VALUE"""),"MADAGASCAR")</f>
        <v>MADAGASCAR</v>
      </c>
      <c r="B1156" s="8">
        <f>IFERROR(__xludf.DUMMYFUNCTION("""COMPUTED_VALUE"""),10.0)</f>
        <v>10</v>
      </c>
      <c r="C1156" s="7" t="str">
        <f>IFERROR(__xludf.DUMMYFUNCTION("""COMPUTED_VALUE"""),"D_12B")</f>
        <v>D_12B</v>
      </c>
      <c r="D1156" s="7" t="str">
        <f>IFERROR(__xludf.DUMMYFUNCTION("""COMPUTED_VALUE"""),"Q93a. ")</f>
        <v>Q93a. </v>
      </c>
      <c r="E1156" s="7" t="str">
        <f>IFERROR(__xludf.DUMMYFUNCTION("""COMPUTED_VALUE"""),"Electric connection from mains")</f>
        <v>Electric connection from mains</v>
      </c>
      <c r="F1156" s="7" t="str">
        <f>IFERROR(__xludf.DUMMYFUNCTION("""COMPUTED_VALUE"""),"Jiro Sy Rano Malagasy (JIRAMA)")</f>
        <v>Jiro Sy Rano Malagasy (JIRAMA)</v>
      </c>
    </row>
    <row r="1157">
      <c r="A1157" s="7" t="str">
        <f>IFERROR(__xludf.DUMMYFUNCTION("""COMPUTED_VALUE"""),"MALAWI ")</f>
        <v>MALAWI </v>
      </c>
      <c r="B1157" s="8">
        <f>IFERROR(__xludf.DUMMYFUNCTION("""COMPUTED_VALUE"""),10.0)</f>
        <v>10</v>
      </c>
      <c r="C1157" s="7" t="str">
        <f>IFERROR(__xludf.DUMMYFUNCTION("""COMPUTED_VALUE"""),"D_12B")</f>
        <v>D_12B</v>
      </c>
      <c r="D1157" s="7" t="str">
        <f>IFERROR(__xludf.DUMMYFUNCTION("""COMPUTED_VALUE"""),"Q93a. ")</f>
        <v>Q93a. </v>
      </c>
      <c r="E1157" s="7" t="str">
        <f>IFERROR(__xludf.DUMMYFUNCTION("""COMPUTED_VALUE"""),"Electric connection from mains")</f>
        <v>Electric connection from mains</v>
      </c>
      <c r="F1157" s="7" t="str">
        <f>IFERROR(__xludf.DUMMYFUNCTION("""COMPUTED_VALUE"""),"Electricity Supply Corporation of Malawi or ESCOM")</f>
        <v>Electricity Supply Corporation of Malawi or ESCOM</v>
      </c>
    </row>
    <row r="1158">
      <c r="A1158" s="7" t="str">
        <f>IFERROR(__xludf.DUMMYFUNCTION("""COMPUTED_VALUE"""),"MALI")</f>
        <v>MALI</v>
      </c>
      <c r="B1158" s="8">
        <f>IFERROR(__xludf.DUMMYFUNCTION("""COMPUTED_VALUE"""),10.0)</f>
        <v>10</v>
      </c>
      <c r="C1158" s="7" t="str">
        <f>IFERROR(__xludf.DUMMYFUNCTION("""COMPUTED_VALUE"""),"D_12B")</f>
        <v>D_12B</v>
      </c>
      <c r="D1158" s="7" t="str">
        <f>IFERROR(__xludf.DUMMYFUNCTION("""COMPUTED_VALUE"""),"Q93a. ")</f>
        <v>Q93a. </v>
      </c>
      <c r="E1158" s="7" t="str">
        <f>IFERROR(__xludf.DUMMYFUNCTION("""COMPUTED_VALUE"""),"Electric connection from mains")</f>
        <v>Electric connection from mains</v>
      </c>
      <c r="F1158" s="7" t="str">
        <f>IFERROR(__xludf.DUMMYFUNCTION("""COMPUTED_VALUE"""),"Mali Electricity Company (EDM)")</f>
        <v>Mali Electricity Company (EDM)</v>
      </c>
    </row>
    <row r="1159">
      <c r="A1159" s="7" t="str">
        <f>IFERROR(__xludf.DUMMYFUNCTION("""COMPUTED_VALUE"""),"MAURITANIA")</f>
        <v>MAURITANIA</v>
      </c>
      <c r="B1159" s="8">
        <f>IFERROR(__xludf.DUMMYFUNCTION("""COMPUTED_VALUE"""),10.0)</f>
        <v>10</v>
      </c>
      <c r="C1159" s="7" t="str">
        <f>IFERROR(__xludf.DUMMYFUNCTION("""COMPUTED_VALUE"""),"D_12B")</f>
        <v>D_12B</v>
      </c>
      <c r="D1159" s="7" t="str">
        <f>IFERROR(__xludf.DUMMYFUNCTION("""COMPUTED_VALUE"""),"Q93a. ")</f>
        <v>Q93a. </v>
      </c>
      <c r="E1159" s="7" t="str">
        <f>IFERROR(__xludf.DUMMYFUNCTION("""COMPUTED_VALUE"""),"Electric connection from mains")</f>
        <v>Electric connection from mains</v>
      </c>
      <c r="F1159" s="7" t="str">
        <f>IFERROR(__xludf.DUMMYFUNCTION("""COMPUTED_VALUE"""),"Mauritanian Electricity Company (SOMELEC)")</f>
        <v>Mauritanian Electricity Company (SOMELEC)</v>
      </c>
    </row>
    <row r="1160">
      <c r="A1160" s="7" t="str">
        <f>IFERROR(__xludf.DUMMYFUNCTION("""COMPUTED_VALUE"""),"MAURITIUS")</f>
        <v>MAURITIUS</v>
      </c>
      <c r="B1160" s="8">
        <f>IFERROR(__xludf.DUMMYFUNCTION("""COMPUTED_VALUE"""),10.0)</f>
        <v>10</v>
      </c>
      <c r="C1160" s="7" t="str">
        <f>IFERROR(__xludf.DUMMYFUNCTION("""COMPUTED_VALUE"""),"D_12B")</f>
        <v>D_12B</v>
      </c>
      <c r="D1160" s="7" t="str">
        <f>IFERROR(__xludf.DUMMYFUNCTION("""COMPUTED_VALUE"""),"Q93a. ")</f>
        <v>Q93a. </v>
      </c>
      <c r="E1160" s="7" t="str">
        <f>IFERROR(__xludf.DUMMYFUNCTION("""COMPUTED_VALUE"""),"Electric connection from mains")</f>
        <v>Electric connection from mains</v>
      </c>
      <c r="F1160" s="7" t="str">
        <f>IFERROR(__xludf.DUMMYFUNCTION("""COMPUTED_VALUE"""),"Central Electricity Board or CEB")</f>
        <v>Central Electricity Board or CEB</v>
      </c>
    </row>
    <row r="1161">
      <c r="A1161" s="7" t="str">
        <f>IFERROR(__xludf.DUMMYFUNCTION("""COMPUTED_VALUE"""),"MOROCCO ")</f>
        <v>MOROCCO </v>
      </c>
      <c r="B1161" s="8">
        <f>IFERROR(__xludf.DUMMYFUNCTION("""COMPUTED_VALUE"""),10.0)</f>
        <v>10</v>
      </c>
      <c r="C1161" s="7" t="str">
        <f>IFERROR(__xludf.DUMMYFUNCTION("""COMPUTED_VALUE"""),"D_12B")</f>
        <v>D_12B</v>
      </c>
      <c r="D1161" s="7" t="str">
        <f>IFERROR(__xludf.DUMMYFUNCTION("""COMPUTED_VALUE"""),"Q93a. ")</f>
        <v>Q93a. </v>
      </c>
      <c r="E1161" s="7" t="str">
        <f>IFERROR(__xludf.DUMMYFUNCTION("""COMPUTED_VALUE"""),"Electric connection from mains")</f>
        <v>Electric connection from mains</v>
      </c>
      <c r="F1161" s="7" t="str">
        <f>IFERROR(__xludf.DUMMYFUNCTION("""COMPUTED_VALUE"""),"National Office of Electricity and Drinking Water")</f>
        <v>National Office of Electricity and Drinking Water</v>
      </c>
    </row>
    <row r="1162">
      <c r="A1162" s="7" t="str">
        <f>IFERROR(__xludf.DUMMYFUNCTION("""COMPUTED_VALUE"""),"MOZAMBIQUE")</f>
        <v>MOZAMBIQUE</v>
      </c>
      <c r="B1162" s="8">
        <f>IFERROR(__xludf.DUMMYFUNCTION("""COMPUTED_VALUE"""),10.0)</f>
        <v>10</v>
      </c>
      <c r="C1162" s="7" t="str">
        <f>IFERROR(__xludf.DUMMYFUNCTION("""COMPUTED_VALUE"""),"D_12B")</f>
        <v>D_12B</v>
      </c>
      <c r="D1162" s="7" t="str">
        <f>IFERROR(__xludf.DUMMYFUNCTION("""COMPUTED_VALUE"""),"Q93a. ")</f>
        <v>Q93a. </v>
      </c>
      <c r="E1162" s="7" t="str">
        <f>IFERROR(__xludf.DUMMYFUNCTION("""COMPUTED_VALUE"""),"Electric connection from mains")</f>
        <v>Electric connection from mains</v>
      </c>
      <c r="F1162" s="7" t="str">
        <f>IFERROR(__xludf.DUMMYFUNCTION("""COMPUTED_VALUE"""),"EDM or Eletricidade de Moçambique")</f>
        <v>EDM or Eletricidade de Moçambique</v>
      </c>
    </row>
    <row r="1163">
      <c r="A1163" s="7" t="str">
        <f>IFERROR(__xludf.DUMMYFUNCTION("""COMPUTED_VALUE"""),"NAMIBIA ")</f>
        <v>NAMIBIA </v>
      </c>
      <c r="B1163" s="8">
        <f>IFERROR(__xludf.DUMMYFUNCTION("""COMPUTED_VALUE"""),10.0)</f>
        <v>10</v>
      </c>
      <c r="C1163" s="7" t="str">
        <f>IFERROR(__xludf.DUMMYFUNCTION("""COMPUTED_VALUE"""),"D_12B")</f>
        <v>D_12B</v>
      </c>
      <c r="D1163" s="7" t="str">
        <f>IFERROR(__xludf.DUMMYFUNCTION("""COMPUTED_VALUE"""),"Q93a. ")</f>
        <v>Q93a. </v>
      </c>
      <c r="E1163" s="7" t="str">
        <f>IFERROR(__xludf.DUMMYFUNCTION("""COMPUTED_VALUE"""),"Electric connection from mains")</f>
        <v>Electric connection from mains</v>
      </c>
      <c r="F1163" s="7" t="str">
        <f>IFERROR(__xludf.DUMMYFUNCTION("""COMPUTED_VALUE"""),"Nampower or your Regional Electricity Distributor-RED")</f>
        <v>Nampower or your Regional Electricity Distributor-RED</v>
      </c>
    </row>
    <row r="1164">
      <c r="A1164" s="7" t="str">
        <f>IFERROR(__xludf.DUMMYFUNCTION("""COMPUTED_VALUE"""),"NIGERIA ")</f>
        <v>NIGERIA </v>
      </c>
      <c r="B1164" s="8">
        <f>IFERROR(__xludf.DUMMYFUNCTION("""COMPUTED_VALUE"""),10.0)</f>
        <v>10</v>
      </c>
      <c r="C1164" s="7" t="str">
        <f>IFERROR(__xludf.DUMMYFUNCTION("""COMPUTED_VALUE"""),"D_12B")</f>
        <v>D_12B</v>
      </c>
      <c r="D1164" s="7" t="str">
        <f>IFERROR(__xludf.DUMMYFUNCTION("""COMPUTED_VALUE"""),"Q93a. ")</f>
        <v>Q93a. </v>
      </c>
      <c r="E1164" s="7" t="str">
        <f>IFERROR(__xludf.DUMMYFUNCTION("""COMPUTED_VALUE"""),"Electric connection from mains")</f>
        <v>Electric connection from mains</v>
      </c>
      <c r="F1164" s="7" t="str">
        <f>IFERROR(__xludf.DUMMYFUNCTION("""COMPUTED_VALUE"""),"Power Holding Company of Nigeria or PHCN")</f>
        <v>Power Holding Company of Nigeria or PHCN</v>
      </c>
    </row>
    <row r="1165">
      <c r="A1165" s="7" t="str">
        <f>IFERROR(__xludf.DUMMYFUNCTION("""COMPUTED_VALUE"""),"SAO TOME AND PRINCIPE")</f>
        <v>SAO TOME AND PRINCIPE</v>
      </c>
      <c r="B1165" s="8">
        <f>IFERROR(__xludf.DUMMYFUNCTION("""COMPUTED_VALUE"""),10.0)</f>
        <v>10</v>
      </c>
      <c r="C1165" s="7" t="str">
        <f>IFERROR(__xludf.DUMMYFUNCTION("""COMPUTED_VALUE"""),"D_12B")</f>
        <v>D_12B</v>
      </c>
      <c r="D1165" s="7" t="str">
        <f>IFERROR(__xludf.DUMMYFUNCTION("""COMPUTED_VALUE"""),"Q93a. ")</f>
        <v>Q93a. </v>
      </c>
      <c r="E1165" s="7" t="str">
        <f>IFERROR(__xludf.DUMMYFUNCTION("""COMPUTED_VALUE"""),"Electric connection from mains")</f>
        <v>Electric connection from mains</v>
      </c>
      <c r="F1165" s="7" t="str">
        <f>IFERROR(__xludf.DUMMYFUNCTION("""COMPUTED_VALUE"""),"Water and Electricity Company (EMAE)")</f>
        <v>Water and Electricity Company (EMAE)</v>
      </c>
    </row>
    <row r="1166">
      <c r="A1166" s="7" t="str">
        <f>IFERROR(__xludf.DUMMYFUNCTION("""COMPUTED_VALUE"""),"SENEGAL")</f>
        <v>SENEGAL</v>
      </c>
      <c r="B1166" s="8">
        <f>IFERROR(__xludf.DUMMYFUNCTION("""COMPUTED_VALUE"""),10.0)</f>
        <v>10</v>
      </c>
      <c r="C1166" s="7" t="str">
        <f>IFERROR(__xludf.DUMMYFUNCTION("""COMPUTED_VALUE"""),"D_12B")</f>
        <v>D_12B</v>
      </c>
      <c r="D1166" s="7" t="str">
        <f>IFERROR(__xludf.DUMMYFUNCTION("""COMPUTED_VALUE"""),"Q93a. ")</f>
        <v>Q93a. </v>
      </c>
      <c r="E1166" s="7" t="str">
        <f>IFERROR(__xludf.DUMMYFUNCTION("""COMPUTED_VALUE"""),"Electric connection from mains")</f>
        <v>Electric connection from mains</v>
      </c>
      <c r="F1166" s="7" t="str">
        <f>IFERROR(__xludf.DUMMYFUNCTION("""COMPUTED_VALUE"""),"National Electricity Company of Senegal (SENELEC)")</f>
        <v>National Electricity Company of Senegal (SENELEC)</v>
      </c>
    </row>
    <row r="1167">
      <c r="A1167" s="7" t="str">
        <f>IFERROR(__xludf.DUMMYFUNCTION("""COMPUTED_VALUE"""),"SEYCHELLES")</f>
        <v>SEYCHELLES</v>
      </c>
      <c r="B1167" s="8">
        <f>IFERROR(__xludf.DUMMYFUNCTION("""COMPUTED_VALUE"""),10.0)</f>
        <v>10</v>
      </c>
      <c r="C1167" s="7" t="str">
        <f>IFERROR(__xludf.DUMMYFUNCTION("""COMPUTED_VALUE"""),"D_12B")</f>
        <v>D_12B</v>
      </c>
      <c r="D1167" s="7" t="str">
        <f>IFERROR(__xludf.DUMMYFUNCTION("""COMPUTED_VALUE"""),"Q93a. ")</f>
        <v>Q93a. </v>
      </c>
      <c r="E1167" s="7" t="str">
        <f>IFERROR(__xludf.DUMMYFUNCTION("""COMPUTED_VALUE"""),"Electric connection from mains")</f>
        <v>Electric connection from mains</v>
      </c>
      <c r="F1167" s="7" t="str">
        <f>IFERROR(__xludf.DUMMYFUNCTION("""COMPUTED_VALUE"""),"Public Utilities Corporation or PUC")</f>
        <v>Public Utilities Corporation or PUC</v>
      </c>
    </row>
    <row r="1168">
      <c r="A1168" s="7" t="str">
        <f>IFERROR(__xludf.DUMMYFUNCTION("""COMPUTED_VALUE"""),"SOUTH AFRICA")</f>
        <v>SOUTH AFRICA</v>
      </c>
      <c r="B1168" s="8">
        <f>IFERROR(__xludf.DUMMYFUNCTION("""COMPUTED_VALUE"""),10.0)</f>
        <v>10</v>
      </c>
      <c r="C1168" s="7" t="str">
        <f>IFERROR(__xludf.DUMMYFUNCTION("""COMPUTED_VALUE"""),"D_12B")</f>
        <v>D_12B</v>
      </c>
      <c r="D1168" s="7" t="str">
        <f>IFERROR(__xludf.DUMMYFUNCTION("""COMPUTED_VALUE"""),"Q93a. ")</f>
        <v>Q93a. </v>
      </c>
      <c r="E1168" s="7" t="str">
        <f>IFERROR(__xludf.DUMMYFUNCTION("""COMPUTED_VALUE"""),"Electric connection from mains")</f>
        <v>Electric connection from mains</v>
      </c>
      <c r="F1168" s="7" t="str">
        <f>IFERROR(__xludf.DUMMYFUNCTION("""COMPUTED_VALUE"""),"Eskom")</f>
        <v>Eskom</v>
      </c>
    </row>
    <row r="1169">
      <c r="A1169" s="7" t="str">
        <f>IFERROR(__xludf.DUMMYFUNCTION("""COMPUTED_VALUE"""),"TANZANIA")</f>
        <v>TANZANIA</v>
      </c>
      <c r="B1169" s="8">
        <f>IFERROR(__xludf.DUMMYFUNCTION("""COMPUTED_VALUE"""),10.0)</f>
        <v>10</v>
      </c>
      <c r="C1169" s="7" t="str">
        <f>IFERROR(__xludf.DUMMYFUNCTION("""COMPUTED_VALUE"""),"D_12B")</f>
        <v>D_12B</v>
      </c>
      <c r="D1169" s="7" t="str">
        <f>IFERROR(__xludf.DUMMYFUNCTION("""COMPUTED_VALUE"""),"Q93a. ")</f>
        <v>Q93a. </v>
      </c>
      <c r="E1169" s="7" t="str">
        <f>IFERROR(__xludf.DUMMYFUNCTION("""COMPUTED_VALUE"""),"Electric connection from mains")</f>
        <v>Electric connection from mains</v>
      </c>
      <c r="F1169" s="7" t="str">
        <f>IFERROR(__xludf.DUMMYFUNCTION("""COMPUTED_VALUE"""),"Tanzania Electric Supply Company or TANESCO")</f>
        <v>Tanzania Electric Supply Company or TANESCO</v>
      </c>
    </row>
    <row r="1170">
      <c r="A1170" s="7" t="str">
        <f>IFERROR(__xludf.DUMMYFUNCTION("""COMPUTED_VALUE"""),"TOGO ")</f>
        <v>TOGO </v>
      </c>
      <c r="B1170" s="8">
        <f>IFERROR(__xludf.DUMMYFUNCTION("""COMPUTED_VALUE"""),10.0)</f>
        <v>10</v>
      </c>
      <c r="C1170" s="7" t="str">
        <f>IFERROR(__xludf.DUMMYFUNCTION("""COMPUTED_VALUE"""),"D_12B")</f>
        <v>D_12B</v>
      </c>
      <c r="D1170" s="7" t="str">
        <f>IFERROR(__xludf.DUMMYFUNCTION("""COMPUTED_VALUE"""),"Q93a. ")</f>
        <v>Q93a. </v>
      </c>
      <c r="E1170" s="7" t="str">
        <f>IFERROR(__xludf.DUMMYFUNCTION("""COMPUTED_VALUE"""),"Electric connection from mains")</f>
        <v>Electric connection from mains</v>
      </c>
      <c r="F1170" s="7" t="str">
        <f>IFERROR(__xludf.DUMMYFUNCTION("""COMPUTED_VALUE"""),"Togolese Electricity Company (CEET)")</f>
        <v>Togolese Electricity Company (CEET)</v>
      </c>
    </row>
    <row r="1171">
      <c r="A1171" s="7" t="str">
        <f>IFERROR(__xludf.DUMMYFUNCTION("""COMPUTED_VALUE"""),"TUNISIA ")</f>
        <v>TUNISIA </v>
      </c>
      <c r="B1171" s="8">
        <f>IFERROR(__xludf.DUMMYFUNCTION("""COMPUTED_VALUE"""),10.0)</f>
        <v>10</v>
      </c>
      <c r="C1171" s="7" t="str">
        <f>IFERROR(__xludf.DUMMYFUNCTION("""COMPUTED_VALUE"""),"D_12B")</f>
        <v>D_12B</v>
      </c>
      <c r="D1171" s="7" t="str">
        <f>IFERROR(__xludf.DUMMYFUNCTION("""COMPUTED_VALUE"""),"Q93a. ")</f>
        <v>Q93a. </v>
      </c>
      <c r="E1171" s="7" t="str">
        <f>IFERROR(__xludf.DUMMYFUNCTION("""COMPUTED_VALUE"""),"Electric connection from mains")</f>
        <v>Electric connection from mains</v>
      </c>
      <c r="F1171" s="7" t="str">
        <f>IFERROR(__xludf.DUMMYFUNCTION("""COMPUTED_VALUE"""),"Tunisian Company of Electricity and Gas (STEG)")</f>
        <v>Tunisian Company of Electricity and Gas (STEG)</v>
      </c>
    </row>
    <row r="1172">
      <c r="A1172" s="7" t="str">
        <f>IFERROR(__xludf.DUMMYFUNCTION("""COMPUTED_VALUE"""),"UGANDA  ")</f>
        <v>UGANDA  </v>
      </c>
      <c r="B1172" s="8">
        <f>IFERROR(__xludf.DUMMYFUNCTION("""COMPUTED_VALUE"""),10.0)</f>
        <v>10</v>
      </c>
      <c r="C1172" s="7" t="str">
        <f>IFERROR(__xludf.DUMMYFUNCTION("""COMPUTED_VALUE"""),"D_12B")</f>
        <v>D_12B</v>
      </c>
      <c r="D1172" s="7" t="str">
        <f>IFERROR(__xludf.DUMMYFUNCTION("""COMPUTED_VALUE"""),"Q93a. ")</f>
        <v>Q93a. </v>
      </c>
      <c r="E1172" s="7" t="str">
        <f>IFERROR(__xludf.DUMMYFUNCTION("""COMPUTED_VALUE"""),"Electric connection from mains")</f>
        <v>Electric connection from mains</v>
      </c>
      <c r="F1172" s="7" t="str">
        <f>IFERROR(__xludf.DUMMYFUNCTION("""COMPUTED_VALUE"""),"Uganda Electricity Distribution Company Limited or UMEME")</f>
        <v>Uganda Electricity Distribution Company Limited or UMEME</v>
      </c>
    </row>
    <row r="1173">
      <c r="A1173" s="7" t="str">
        <f>IFERROR(__xludf.DUMMYFUNCTION("""COMPUTED_VALUE"""),"ZAMBIA")</f>
        <v>ZAMBIA</v>
      </c>
      <c r="B1173" s="8">
        <f>IFERROR(__xludf.DUMMYFUNCTION("""COMPUTED_VALUE"""),10.0)</f>
        <v>10</v>
      </c>
      <c r="C1173" s="7" t="str">
        <f>IFERROR(__xludf.DUMMYFUNCTION("""COMPUTED_VALUE"""),"D_12B")</f>
        <v>D_12B</v>
      </c>
      <c r="D1173" s="7" t="str">
        <f>IFERROR(__xludf.DUMMYFUNCTION("""COMPUTED_VALUE"""),"Q93a. ")</f>
        <v>Q93a. </v>
      </c>
      <c r="E1173" s="7" t="str">
        <f>IFERROR(__xludf.DUMMYFUNCTION("""COMPUTED_VALUE"""),"Electric connection from mains")</f>
        <v>Electric connection from mains</v>
      </c>
      <c r="F1173" s="7" t="str">
        <f>IFERROR(__xludf.DUMMYFUNCTION("""COMPUTED_VALUE"""),"Zambia Electricity Supply Corporation or ZESCO")</f>
        <v>Zambia Electricity Supply Corporation or ZESCO</v>
      </c>
    </row>
    <row r="1174">
      <c r="A1174" s="7" t="str">
        <f>IFERROR(__xludf.DUMMYFUNCTION("""COMPUTED_VALUE"""),"ZIMBABWE")</f>
        <v>ZIMBABWE</v>
      </c>
      <c r="B1174" s="8">
        <f>IFERROR(__xludf.DUMMYFUNCTION("""COMPUTED_VALUE"""),10.0)</f>
        <v>10</v>
      </c>
      <c r="C1174" s="7" t="str">
        <f>IFERROR(__xludf.DUMMYFUNCTION("""COMPUTED_VALUE"""),"D_12B")</f>
        <v>D_12B</v>
      </c>
      <c r="D1174" s="7" t="str">
        <f>IFERROR(__xludf.DUMMYFUNCTION("""COMPUTED_VALUE"""),"Q93a. ")</f>
        <v>Q93a. </v>
      </c>
      <c r="E1174" s="7" t="str">
        <f>IFERROR(__xludf.DUMMYFUNCTION("""COMPUTED_VALUE"""),"Electric connection from mains")</f>
        <v>Electric connection from mains</v>
      </c>
      <c r="F1174" s="7" t="str">
        <f>IFERROR(__xludf.DUMMYFUNCTION("""COMPUTED_VALUE"""),"Zimbabwe Electricity Supply Authority or ZESA")</f>
        <v>Zimbabwe Electricity Supply Authority or ZESA</v>
      </c>
    </row>
    <row r="1175">
      <c r="A1175" s="7" t="str">
        <f>IFERROR(__xludf.DUMMYFUNCTION("""COMPUTED_VALUE"""),"ANGOLA ")</f>
        <v>ANGOLA </v>
      </c>
      <c r="B1175" s="8">
        <f>IFERROR(__xludf.DUMMYFUNCTION("""COMPUTED_VALUE"""),10.0)</f>
        <v>10</v>
      </c>
      <c r="C1175" s="7" t="str">
        <f>IFERROR(__xludf.DUMMYFUNCTION("""COMPUTED_VALUE"""),"D_12C")</f>
        <v>D_12C</v>
      </c>
      <c r="D1175" s="7" t="str">
        <f>IFERROR(__xludf.DUMMYFUNCTION("""COMPUTED_VALUE"""),"Q93c. ")</f>
        <v>Q93c. </v>
      </c>
      <c r="E1175" s="7" t="str">
        <f>IFERROR(__xludf.DUMMYFUNCTION("""COMPUTED_VALUE"""),"Other source of electricity: available")</f>
        <v>Other source of electricity: available</v>
      </c>
      <c r="F1175" s="7" t="str">
        <f>IFERROR(__xludf.DUMMYFUNCTION("""COMPUTED_VALUE"""),"National Company of Distribution of Electricity or ENDE")</f>
        <v>National Company of Distribution of Electricity or ENDE</v>
      </c>
    </row>
    <row r="1176">
      <c r="A1176" s="7" t="str">
        <f>IFERROR(__xludf.DUMMYFUNCTION("""COMPUTED_VALUE"""),"BENIN")</f>
        <v>BENIN</v>
      </c>
      <c r="B1176" s="8">
        <f>IFERROR(__xludf.DUMMYFUNCTION("""COMPUTED_VALUE"""),10.0)</f>
        <v>10</v>
      </c>
      <c r="C1176" s="7" t="str">
        <f>IFERROR(__xludf.DUMMYFUNCTION("""COMPUTED_VALUE"""),"D_12C")</f>
        <v>D_12C</v>
      </c>
      <c r="D1176" s="7" t="str">
        <f>IFERROR(__xludf.DUMMYFUNCTION("""COMPUTED_VALUE"""),"Q93c. ")</f>
        <v>Q93c. </v>
      </c>
      <c r="E1176" s="7" t="str">
        <f>IFERROR(__xludf.DUMMYFUNCTION("""COMPUTED_VALUE"""),"Other source of electricity: available")</f>
        <v>Other source of electricity: available</v>
      </c>
      <c r="F1176" s="7" t="str">
        <f>IFERROR(__xludf.DUMMYFUNCTION("""COMPUTED_VALUE"""),"Beninese Electric Energy Company (SBEE)")</f>
        <v>Beninese Electric Energy Company (SBEE)</v>
      </c>
    </row>
    <row r="1177">
      <c r="A1177" s="7" t="str">
        <f>IFERROR(__xludf.DUMMYFUNCTION("""COMPUTED_VALUE"""),"BOTSWANA ")</f>
        <v>BOTSWANA </v>
      </c>
      <c r="B1177" s="8">
        <f>IFERROR(__xludf.DUMMYFUNCTION("""COMPUTED_VALUE"""),10.0)</f>
        <v>10</v>
      </c>
      <c r="C1177" s="7" t="str">
        <f>IFERROR(__xludf.DUMMYFUNCTION("""COMPUTED_VALUE"""),"D_12C")</f>
        <v>D_12C</v>
      </c>
      <c r="D1177" s="7" t="str">
        <f>IFERROR(__xludf.DUMMYFUNCTION("""COMPUTED_VALUE"""),"Q93c. ")</f>
        <v>Q93c. </v>
      </c>
      <c r="E1177" s="7" t="str">
        <f>IFERROR(__xludf.DUMMYFUNCTION("""COMPUTED_VALUE"""),"Other source of electricity: available")</f>
        <v>Other source of electricity: available</v>
      </c>
      <c r="F1177" s="7" t="str">
        <f>IFERROR(__xludf.DUMMYFUNCTION("""COMPUTED_VALUE"""),"Botswana Power Corporation")</f>
        <v>Botswana Power Corporation</v>
      </c>
    </row>
    <row r="1178">
      <c r="A1178" s="7" t="str">
        <f>IFERROR(__xludf.DUMMYFUNCTION("""COMPUTED_VALUE"""),"CABO VERDE ")</f>
        <v>CABO VERDE </v>
      </c>
      <c r="B1178" s="8">
        <f>IFERROR(__xludf.DUMMYFUNCTION("""COMPUTED_VALUE"""),10.0)</f>
        <v>10</v>
      </c>
      <c r="C1178" s="7" t="str">
        <f>IFERROR(__xludf.DUMMYFUNCTION("""COMPUTED_VALUE"""),"D_12C")</f>
        <v>D_12C</v>
      </c>
      <c r="D1178" s="7" t="str">
        <f>IFERROR(__xludf.DUMMYFUNCTION("""COMPUTED_VALUE"""),"Q93c. ")</f>
        <v>Q93c. </v>
      </c>
      <c r="E1178" s="7" t="str">
        <f>IFERROR(__xludf.DUMMYFUNCTION("""COMPUTED_VALUE"""),"Other source of electricity: available")</f>
        <v>Other source of electricity: available</v>
      </c>
      <c r="F1178" s="7" t="str">
        <f>IFERROR(__xludf.DUMMYFUNCTION("""COMPUTED_VALUE"""),"Electricity and Water Company of Cape Verde")</f>
        <v>Electricity and Water Company of Cape Verde</v>
      </c>
    </row>
    <row r="1179">
      <c r="A1179" s="7" t="str">
        <f>IFERROR(__xludf.DUMMYFUNCTION("""COMPUTED_VALUE"""),"CAMEROON")</f>
        <v>CAMEROON</v>
      </c>
      <c r="B1179" s="8">
        <f>IFERROR(__xludf.DUMMYFUNCTION("""COMPUTED_VALUE"""),10.0)</f>
        <v>10</v>
      </c>
      <c r="C1179" s="7" t="str">
        <f>IFERROR(__xludf.DUMMYFUNCTION("""COMPUTED_VALUE"""),"D_12C")</f>
        <v>D_12C</v>
      </c>
      <c r="D1179" s="7" t="str">
        <f>IFERROR(__xludf.DUMMYFUNCTION("""COMPUTED_VALUE"""),"Q93c. ")</f>
        <v>Q93c. </v>
      </c>
      <c r="E1179" s="7" t="str">
        <f>IFERROR(__xludf.DUMMYFUNCTION("""COMPUTED_VALUE"""),"Other source of electricity: available")</f>
        <v>Other source of electricity: available</v>
      </c>
      <c r="F1179" s="7" t="str">
        <f>IFERROR(__xludf.DUMMYFUNCTION("""COMPUTED_VALUE"""),"National Electricity Company (ENEO)")</f>
        <v>National Electricity Company (ENEO)</v>
      </c>
    </row>
    <row r="1180">
      <c r="A1180" s="7" t="str">
        <f>IFERROR(__xludf.DUMMYFUNCTION("""COMPUTED_VALUE"""),"CHAD")</f>
        <v>CHAD</v>
      </c>
      <c r="B1180" s="8">
        <f>IFERROR(__xludf.DUMMYFUNCTION("""COMPUTED_VALUE"""),10.0)</f>
        <v>10</v>
      </c>
      <c r="C1180" s="7" t="str">
        <f>IFERROR(__xludf.DUMMYFUNCTION("""COMPUTED_VALUE"""),"D_12C")</f>
        <v>D_12C</v>
      </c>
      <c r="D1180" s="7" t="str">
        <f>IFERROR(__xludf.DUMMYFUNCTION("""COMPUTED_VALUE"""),"Q93c. ")</f>
        <v>Q93c. </v>
      </c>
      <c r="E1180" s="7" t="str">
        <f>IFERROR(__xludf.DUMMYFUNCTION("""COMPUTED_VALUE"""),"Other source of electricity: available")</f>
        <v>Other source of electricity: available</v>
      </c>
      <c r="F1180" s="7" t="str">
        <f>IFERROR(__xludf.DUMMYFUNCTION("""COMPUTED_VALUE"""),"National Electricity Company")</f>
        <v>National Electricity Company</v>
      </c>
    </row>
    <row r="1181">
      <c r="A1181" s="7" t="str">
        <f>IFERROR(__xludf.DUMMYFUNCTION("""COMPUTED_VALUE"""),"COMOROS")</f>
        <v>COMOROS</v>
      </c>
      <c r="B1181" s="8">
        <f>IFERROR(__xludf.DUMMYFUNCTION("""COMPUTED_VALUE"""),10.0)</f>
        <v>10</v>
      </c>
      <c r="C1181" s="7" t="str">
        <f>IFERROR(__xludf.DUMMYFUNCTION("""COMPUTED_VALUE"""),"D_12C")</f>
        <v>D_12C</v>
      </c>
      <c r="D1181" s="7" t="str">
        <f>IFERROR(__xludf.DUMMYFUNCTION("""COMPUTED_VALUE"""),"Q93c. ")</f>
        <v>Q93c. </v>
      </c>
      <c r="E1181" s="7" t="str">
        <f>IFERROR(__xludf.DUMMYFUNCTION("""COMPUTED_VALUE"""),"Other source of electricity: available")</f>
        <v>Other source of electricity: available</v>
      </c>
      <c r="F1181" s="7" t="str">
        <f>IFERROR(__xludf.DUMMYFUNCTION("""COMPUTED_VALUE"""),"National Electricity Company (SONELEC)")</f>
        <v>National Electricity Company (SONELEC)</v>
      </c>
    </row>
    <row r="1182">
      <c r="A1182" s="7" t="str">
        <f>IFERROR(__xludf.DUMMYFUNCTION("""COMPUTED_VALUE"""),"CONGO BRAZZAVILLE")</f>
        <v>CONGO BRAZZAVILLE</v>
      </c>
      <c r="B1182" s="8">
        <f>IFERROR(__xludf.DUMMYFUNCTION("""COMPUTED_VALUE"""),10.0)</f>
        <v>10</v>
      </c>
      <c r="C1182" s="7" t="str">
        <f>IFERROR(__xludf.DUMMYFUNCTION("""COMPUTED_VALUE"""),"D_12C")</f>
        <v>D_12C</v>
      </c>
      <c r="D1182" s="7" t="str">
        <f>IFERROR(__xludf.DUMMYFUNCTION("""COMPUTED_VALUE"""),"Q93c. ")</f>
        <v>Q93c. </v>
      </c>
      <c r="E1182" s="7" t="str">
        <f>IFERROR(__xludf.DUMMYFUNCTION("""COMPUTED_VALUE"""),"Other source of electricity: available")</f>
        <v>Other source of electricity: available</v>
      </c>
      <c r="F1182" s="7" t="str">
        <f>IFERROR(__xludf.DUMMYFUNCTION("""COMPUTED_VALUE"""),"Electricity of Congo (EEC)")</f>
        <v>Electricity of Congo (EEC)</v>
      </c>
    </row>
    <row r="1183">
      <c r="A1183" s="7" t="str">
        <f>IFERROR(__xludf.DUMMYFUNCTION("""COMPUTED_VALUE"""),"COTE D'IVOIRE")</f>
        <v>COTE D'IVOIRE</v>
      </c>
      <c r="B1183" s="8">
        <f>IFERROR(__xludf.DUMMYFUNCTION("""COMPUTED_VALUE"""),10.0)</f>
        <v>10</v>
      </c>
      <c r="C1183" s="7" t="str">
        <f>IFERROR(__xludf.DUMMYFUNCTION("""COMPUTED_VALUE"""),"D_12C")</f>
        <v>D_12C</v>
      </c>
      <c r="D1183" s="7" t="str">
        <f>IFERROR(__xludf.DUMMYFUNCTION("""COMPUTED_VALUE"""),"Q93c. ")</f>
        <v>Q93c. </v>
      </c>
      <c r="E1183" s="7" t="str">
        <f>IFERROR(__xludf.DUMMYFUNCTION("""COMPUTED_VALUE"""),"Other source of electricity: available")</f>
        <v>Other source of electricity: available</v>
      </c>
      <c r="F1183" s="7" t="str">
        <f>IFERROR(__xludf.DUMMYFUNCTION("""COMPUTED_VALUE"""),"Ivorian Electricity Company (CIE)")</f>
        <v>Ivorian Electricity Company (CIE)</v>
      </c>
    </row>
    <row r="1184">
      <c r="A1184" s="7" t="str">
        <f>IFERROR(__xludf.DUMMYFUNCTION("""COMPUTED_VALUE"""),"ESWATINI")</f>
        <v>ESWATINI</v>
      </c>
      <c r="B1184" s="8">
        <f>IFERROR(__xludf.DUMMYFUNCTION("""COMPUTED_VALUE"""),10.0)</f>
        <v>10</v>
      </c>
      <c r="C1184" s="7" t="str">
        <f>IFERROR(__xludf.DUMMYFUNCTION("""COMPUTED_VALUE"""),"D_12C")</f>
        <v>D_12C</v>
      </c>
      <c r="D1184" s="7" t="str">
        <f>IFERROR(__xludf.DUMMYFUNCTION("""COMPUTED_VALUE"""),"Q93c. ")</f>
        <v>Q93c. </v>
      </c>
      <c r="E1184" s="7" t="str">
        <f>IFERROR(__xludf.DUMMYFUNCTION("""COMPUTED_VALUE"""),"Other source of electricity: available")</f>
        <v>Other source of electricity: available</v>
      </c>
      <c r="F1184" s="7" t="str">
        <f>IFERROR(__xludf.DUMMYFUNCTION("""COMPUTED_VALUE"""),"Eswatini Electricity Company or EEC")</f>
        <v>Eswatini Electricity Company or EEC</v>
      </c>
    </row>
    <row r="1185">
      <c r="A1185" s="7" t="str">
        <f>IFERROR(__xludf.DUMMYFUNCTION("""COMPUTED_VALUE"""),"GABON")</f>
        <v>GABON</v>
      </c>
      <c r="B1185" s="8">
        <f>IFERROR(__xludf.DUMMYFUNCTION("""COMPUTED_VALUE"""),10.0)</f>
        <v>10</v>
      </c>
      <c r="C1185" s="7" t="str">
        <f>IFERROR(__xludf.DUMMYFUNCTION("""COMPUTED_VALUE"""),"D_12C")</f>
        <v>D_12C</v>
      </c>
      <c r="D1185" s="7" t="str">
        <f>IFERROR(__xludf.DUMMYFUNCTION("""COMPUTED_VALUE"""),"Q93c. ")</f>
        <v>Q93c. </v>
      </c>
      <c r="E1185" s="7" t="str">
        <f>IFERROR(__xludf.DUMMYFUNCTION("""COMPUTED_VALUE"""),"Other source of electricity: available")</f>
        <v>Other source of electricity: available</v>
      </c>
      <c r="F1185" s="7" t="str">
        <f>IFERROR(__xludf.DUMMYFUNCTION("""COMPUTED_VALUE"""),"Gabon Energy and Water Company (SEEG)")</f>
        <v>Gabon Energy and Water Company (SEEG)</v>
      </c>
    </row>
    <row r="1186">
      <c r="A1186" s="7" t="str">
        <f>IFERROR(__xludf.DUMMYFUNCTION("""COMPUTED_VALUE"""),"GAMBIA")</f>
        <v>GAMBIA</v>
      </c>
      <c r="B1186" s="8">
        <f>IFERROR(__xludf.DUMMYFUNCTION("""COMPUTED_VALUE"""),10.0)</f>
        <v>10</v>
      </c>
      <c r="C1186" s="7" t="str">
        <f>IFERROR(__xludf.DUMMYFUNCTION("""COMPUTED_VALUE"""),"D_12C")</f>
        <v>D_12C</v>
      </c>
      <c r="D1186" s="7" t="str">
        <f>IFERROR(__xludf.DUMMYFUNCTION("""COMPUTED_VALUE"""),"Q93c. ")</f>
        <v>Q93c. </v>
      </c>
      <c r="E1186" s="7" t="str">
        <f>IFERROR(__xludf.DUMMYFUNCTION("""COMPUTED_VALUE"""),"Other source of electricity: available")</f>
        <v>Other source of electricity: available</v>
      </c>
      <c r="F1186" s="7" t="str">
        <f>IFERROR(__xludf.DUMMYFUNCTION("""COMPUTED_VALUE"""),"National Water and Electricity Company Limited or NAWEC")</f>
        <v>National Water and Electricity Company Limited or NAWEC</v>
      </c>
    </row>
    <row r="1187">
      <c r="A1187" s="7" t="str">
        <f>IFERROR(__xludf.DUMMYFUNCTION("""COMPUTED_VALUE"""),"GHANA ")</f>
        <v>GHANA </v>
      </c>
      <c r="B1187" s="8">
        <f>IFERROR(__xludf.DUMMYFUNCTION("""COMPUTED_VALUE"""),10.0)</f>
        <v>10</v>
      </c>
      <c r="C1187" s="7" t="str">
        <f>IFERROR(__xludf.DUMMYFUNCTION("""COMPUTED_VALUE"""),"D_12C")</f>
        <v>D_12C</v>
      </c>
      <c r="D1187" s="7" t="str">
        <f>IFERROR(__xludf.DUMMYFUNCTION("""COMPUTED_VALUE"""),"Q93c. ")</f>
        <v>Q93c. </v>
      </c>
      <c r="E1187" s="7" t="str">
        <f>IFERROR(__xludf.DUMMYFUNCTION("""COMPUTED_VALUE"""),"Other source of electricity: available")</f>
        <v>Other source of electricity: available</v>
      </c>
      <c r="F1187" s="7" t="str">
        <f>IFERROR(__xludf.DUMMYFUNCTION("""COMPUTED_VALUE"""),"Electricity Company of Ghana, ECG or the Northern Electricity Distribution Company Ltd., NEDCO")</f>
        <v>Electricity Company of Ghana, ECG or the Northern Electricity Distribution Company Ltd., NEDCO</v>
      </c>
    </row>
    <row r="1188">
      <c r="A1188" s="7" t="str">
        <f>IFERROR(__xludf.DUMMYFUNCTION("""COMPUTED_VALUE"""),"GUINEA")</f>
        <v>GUINEA</v>
      </c>
      <c r="B1188" s="8">
        <f>IFERROR(__xludf.DUMMYFUNCTION("""COMPUTED_VALUE"""),10.0)</f>
        <v>10</v>
      </c>
      <c r="C1188" s="7" t="str">
        <f>IFERROR(__xludf.DUMMYFUNCTION("""COMPUTED_VALUE"""),"D_12C")</f>
        <v>D_12C</v>
      </c>
      <c r="D1188" s="7" t="str">
        <f>IFERROR(__xludf.DUMMYFUNCTION("""COMPUTED_VALUE"""),"Q93c. ")</f>
        <v>Q93c. </v>
      </c>
      <c r="E1188" s="7" t="str">
        <f>IFERROR(__xludf.DUMMYFUNCTION("""COMPUTED_VALUE"""),"Other source of electricity: available")</f>
        <v>Other source of electricity: available</v>
      </c>
      <c r="F1188" s="7" t="str">
        <f>IFERROR(__xludf.DUMMYFUNCTION("""COMPUTED_VALUE"""),"Electricity of Guinea (EDG)")</f>
        <v>Electricity of Guinea (EDG)</v>
      </c>
    </row>
    <row r="1189">
      <c r="A1189" s="7" t="str">
        <f>IFERROR(__xludf.DUMMYFUNCTION("""COMPUTED_VALUE"""),"KENYA  ")</f>
        <v>KENYA  </v>
      </c>
      <c r="B1189" s="8">
        <f>IFERROR(__xludf.DUMMYFUNCTION("""COMPUTED_VALUE"""),10.0)</f>
        <v>10</v>
      </c>
      <c r="C1189" s="7" t="str">
        <f>IFERROR(__xludf.DUMMYFUNCTION("""COMPUTED_VALUE"""),"D_12C")</f>
        <v>D_12C</v>
      </c>
      <c r="D1189" s="7" t="str">
        <f>IFERROR(__xludf.DUMMYFUNCTION("""COMPUTED_VALUE"""),"Q93c. ")</f>
        <v>Q93c. </v>
      </c>
      <c r="E1189" s="7" t="str">
        <f>IFERROR(__xludf.DUMMYFUNCTION("""COMPUTED_VALUE"""),"Other source of electricity: available")</f>
        <v>Other source of electricity: available</v>
      </c>
      <c r="F1189" s="7" t="str">
        <f>IFERROR(__xludf.DUMMYFUNCTION("""COMPUTED_VALUE"""),"Kenya Power and Lighting Company or KPLC")</f>
        <v>Kenya Power and Lighting Company or KPLC</v>
      </c>
    </row>
    <row r="1190">
      <c r="A1190" s="7" t="str">
        <f>IFERROR(__xludf.DUMMYFUNCTION("""COMPUTED_VALUE"""),"LESOTHO ")</f>
        <v>LESOTHO </v>
      </c>
      <c r="B1190" s="8">
        <f>IFERROR(__xludf.DUMMYFUNCTION("""COMPUTED_VALUE"""),10.0)</f>
        <v>10</v>
      </c>
      <c r="C1190" s="7" t="str">
        <f>IFERROR(__xludf.DUMMYFUNCTION("""COMPUTED_VALUE"""),"D_12C")</f>
        <v>D_12C</v>
      </c>
      <c r="D1190" s="7" t="str">
        <f>IFERROR(__xludf.DUMMYFUNCTION("""COMPUTED_VALUE"""),"Q93c. ")</f>
        <v>Q93c. </v>
      </c>
      <c r="E1190" s="7" t="str">
        <f>IFERROR(__xludf.DUMMYFUNCTION("""COMPUTED_VALUE"""),"Other source of electricity: available")</f>
        <v>Other source of electricity: available</v>
      </c>
      <c r="F1190" s="7" t="str">
        <f>IFERROR(__xludf.DUMMYFUNCTION("""COMPUTED_VALUE"""),"Lesotho Electricity Company")</f>
        <v>Lesotho Electricity Company</v>
      </c>
    </row>
    <row r="1191">
      <c r="A1191" s="7" t="str">
        <f>IFERROR(__xludf.DUMMYFUNCTION("""COMPUTED_VALUE"""),"LIBERIA  ")</f>
        <v>LIBERIA  </v>
      </c>
      <c r="B1191" s="8">
        <f>IFERROR(__xludf.DUMMYFUNCTION("""COMPUTED_VALUE"""),10.0)</f>
        <v>10</v>
      </c>
      <c r="C1191" s="7" t="str">
        <f>IFERROR(__xludf.DUMMYFUNCTION("""COMPUTED_VALUE"""),"D_12C")</f>
        <v>D_12C</v>
      </c>
      <c r="D1191" s="7" t="str">
        <f>IFERROR(__xludf.DUMMYFUNCTION("""COMPUTED_VALUE"""),"Q93c. ")</f>
        <v>Q93c. </v>
      </c>
      <c r="E1191" s="7" t="str">
        <f>IFERROR(__xludf.DUMMYFUNCTION("""COMPUTED_VALUE"""),"Other source of electricity: available")</f>
        <v>Other source of electricity: available</v>
      </c>
      <c r="F1191" s="7" t="str">
        <f>IFERROR(__xludf.DUMMYFUNCTION("""COMPUTED_VALUE"""),"Liberia Electricity Corporation")</f>
        <v>Liberia Electricity Corporation</v>
      </c>
    </row>
    <row r="1192">
      <c r="A1192" s="7" t="str">
        <f>IFERROR(__xludf.DUMMYFUNCTION("""COMPUTED_VALUE"""),"MADAGASCAR")</f>
        <v>MADAGASCAR</v>
      </c>
      <c r="B1192" s="8">
        <f>IFERROR(__xludf.DUMMYFUNCTION("""COMPUTED_VALUE"""),10.0)</f>
        <v>10</v>
      </c>
      <c r="C1192" s="7" t="str">
        <f>IFERROR(__xludf.DUMMYFUNCTION("""COMPUTED_VALUE"""),"D_12C")</f>
        <v>D_12C</v>
      </c>
      <c r="D1192" s="7" t="str">
        <f>IFERROR(__xludf.DUMMYFUNCTION("""COMPUTED_VALUE"""),"Q93c. ")</f>
        <v>Q93c. </v>
      </c>
      <c r="E1192" s="7" t="str">
        <f>IFERROR(__xludf.DUMMYFUNCTION("""COMPUTED_VALUE"""),"Other source of electricity: available")</f>
        <v>Other source of electricity: available</v>
      </c>
      <c r="F1192" s="7" t="str">
        <f>IFERROR(__xludf.DUMMYFUNCTION("""COMPUTED_VALUE"""),"Jiro Sy Rano Malagasy (JIRAMA)")</f>
        <v>Jiro Sy Rano Malagasy (JIRAMA)</v>
      </c>
    </row>
    <row r="1193">
      <c r="A1193" s="7" t="str">
        <f>IFERROR(__xludf.DUMMYFUNCTION("""COMPUTED_VALUE"""),"MALAWI ")</f>
        <v>MALAWI </v>
      </c>
      <c r="B1193" s="8">
        <f>IFERROR(__xludf.DUMMYFUNCTION("""COMPUTED_VALUE"""),10.0)</f>
        <v>10</v>
      </c>
      <c r="C1193" s="7" t="str">
        <f>IFERROR(__xludf.DUMMYFUNCTION("""COMPUTED_VALUE"""),"D_12C")</f>
        <v>D_12C</v>
      </c>
      <c r="D1193" s="7" t="str">
        <f>IFERROR(__xludf.DUMMYFUNCTION("""COMPUTED_VALUE"""),"Q93c. ")</f>
        <v>Q93c. </v>
      </c>
      <c r="E1193" s="7" t="str">
        <f>IFERROR(__xludf.DUMMYFUNCTION("""COMPUTED_VALUE"""),"Other source of electricity: available")</f>
        <v>Other source of electricity: available</v>
      </c>
      <c r="F1193" s="7" t="str">
        <f>IFERROR(__xludf.DUMMYFUNCTION("""COMPUTED_VALUE"""),"Electricity Supply Corporation of Malawi or ESCOM")</f>
        <v>Electricity Supply Corporation of Malawi or ESCOM</v>
      </c>
    </row>
    <row r="1194">
      <c r="A1194" s="7" t="str">
        <f>IFERROR(__xludf.DUMMYFUNCTION("""COMPUTED_VALUE"""),"MALI")</f>
        <v>MALI</v>
      </c>
      <c r="B1194" s="8">
        <f>IFERROR(__xludf.DUMMYFUNCTION("""COMPUTED_VALUE"""),10.0)</f>
        <v>10</v>
      </c>
      <c r="C1194" s="7" t="str">
        <f>IFERROR(__xludf.DUMMYFUNCTION("""COMPUTED_VALUE"""),"D_12C")</f>
        <v>D_12C</v>
      </c>
      <c r="D1194" s="7" t="str">
        <f>IFERROR(__xludf.DUMMYFUNCTION("""COMPUTED_VALUE"""),"Q93c. ")</f>
        <v>Q93c. </v>
      </c>
      <c r="E1194" s="7" t="str">
        <f>IFERROR(__xludf.DUMMYFUNCTION("""COMPUTED_VALUE"""),"Other source of electricity: available")</f>
        <v>Other source of electricity: available</v>
      </c>
      <c r="F1194" s="7" t="str">
        <f>IFERROR(__xludf.DUMMYFUNCTION("""COMPUTED_VALUE"""),"Mali Electricity Company (EDM)")</f>
        <v>Mali Electricity Company (EDM)</v>
      </c>
    </row>
    <row r="1195">
      <c r="A1195" s="7" t="str">
        <f>IFERROR(__xludf.DUMMYFUNCTION("""COMPUTED_VALUE"""),"MAURITANIA")</f>
        <v>MAURITANIA</v>
      </c>
      <c r="B1195" s="8">
        <f>IFERROR(__xludf.DUMMYFUNCTION("""COMPUTED_VALUE"""),10.0)</f>
        <v>10</v>
      </c>
      <c r="C1195" s="7" t="str">
        <f>IFERROR(__xludf.DUMMYFUNCTION("""COMPUTED_VALUE"""),"D_12C")</f>
        <v>D_12C</v>
      </c>
      <c r="D1195" s="7" t="str">
        <f>IFERROR(__xludf.DUMMYFUNCTION("""COMPUTED_VALUE"""),"Q93c. ")</f>
        <v>Q93c. </v>
      </c>
      <c r="E1195" s="7" t="str">
        <f>IFERROR(__xludf.DUMMYFUNCTION("""COMPUTED_VALUE"""),"Other source of electricity: available")</f>
        <v>Other source of electricity: available</v>
      </c>
      <c r="F1195" s="7" t="str">
        <f>IFERROR(__xludf.DUMMYFUNCTION("""COMPUTED_VALUE"""),"Mauritanian Electricity Company (SOMELEC)")</f>
        <v>Mauritanian Electricity Company (SOMELEC)</v>
      </c>
    </row>
    <row r="1196">
      <c r="A1196" s="7" t="str">
        <f>IFERROR(__xludf.DUMMYFUNCTION("""COMPUTED_VALUE"""),"MAURITIUS")</f>
        <v>MAURITIUS</v>
      </c>
      <c r="B1196" s="8">
        <f>IFERROR(__xludf.DUMMYFUNCTION("""COMPUTED_VALUE"""),10.0)</f>
        <v>10</v>
      </c>
      <c r="C1196" s="7" t="str">
        <f>IFERROR(__xludf.DUMMYFUNCTION("""COMPUTED_VALUE"""),"D_12C")</f>
        <v>D_12C</v>
      </c>
      <c r="D1196" s="7" t="str">
        <f>IFERROR(__xludf.DUMMYFUNCTION("""COMPUTED_VALUE"""),"Q93c. ")</f>
        <v>Q93c. </v>
      </c>
      <c r="E1196" s="7" t="str">
        <f>IFERROR(__xludf.DUMMYFUNCTION("""COMPUTED_VALUE"""),"Other source of electricity: available")</f>
        <v>Other source of electricity: available</v>
      </c>
      <c r="F1196" s="7" t="str">
        <f>IFERROR(__xludf.DUMMYFUNCTION("""COMPUTED_VALUE"""),"Central Electricity Board or CEB")</f>
        <v>Central Electricity Board or CEB</v>
      </c>
    </row>
    <row r="1197">
      <c r="A1197" s="7" t="str">
        <f>IFERROR(__xludf.DUMMYFUNCTION("""COMPUTED_VALUE"""),"MOROCCO ")</f>
        <v>MOROCCO </v>
      </c>
      <c r="B1197" s="8">
        <f>IFERROR(__xludf.DUMMYFUNCTION("""COMPUTED_VALUE"""),10.0)</f>
        <v>10</v>
      </c>
      <c r="C1197" s="7" t="str">
        <f>IFERROR(__xludf.DUMMYFUNCTION("""COMPUTED_VALUE"""),"D_12C")</f>
        <v>D_12C</v>
      </c>
      <c r="D1197" s="7" t="str">
        <f>IFERROR(__xludf.DUMMYFUNCTION("""COMPUTED_VALUE"""),"Q93c. ")</f>
        <v>Q93c. </v>
      </c>
      <c r="E1197" s="7" t="str">
        <f>IFERROR(__xludf.DUMMYFUNCTION("""COMPUTED_VALUE"""),"Other source of electricity: available")</f>
        <v>Other source of electricity: available</v>
      </c>
      <c r="F1197" s="7" t="str">
        <f>IFERROR(__xludf.DUMMYFUNCTION("""COMPUTED_VALUE"""),"National Office of Electricity and Drinking Water")</f>
        <v>National Office of Electricity and Drinking Water</v>
      </c>
    </row>
    <row r="1198">
      <c r="A1198" s="7" t="str">
        <f>IFERROR(__xludf.DUMMYFUNCTION("""COMPUTED_VALUE"""),"MOZAMBIQUE")</f>
        <v>MOZAMBIQUE</v>
      </c>
      <c r="B1198" s="8">
        <f>IFERROR(__xludf.DUMMYFUNCTION("""COMPUTED_VALUE"""),10.0)</f>
        <v>10</v>
      </c>
      <c r="C1198" s="7" t="str">
        <f>IFERROR(__xludf.DUMMYFUNCTION("""COMPUTED_VALUE"""),"D_12C")</f>
        <v>D_12C</v>
      </c>
      <c r="D1198" s="7" t="str">
        <f>IFERROR(__xludf.DUMMYFUNCTION("""COMPUTED_VALUE"""),"Q93c. ")</f>
        <v>Q93c. </v>
      </c>
      <c r="E1198" s="7" t="str">
        <f>IFERROR(__xludf.DUMMYFUNCTION("""COMPUTED_VALUE"""),"Other source of electricity: available")</f>
        <v>Other source of electricity: available</v>
      </c>
      <c r="F1198" s="7" t="str">
        <f>IFERROR(__xludf.DUMMYFUNCTION("""COMPUTED_VALUE"""),"EDM or Eletricidade de Moçambique")</f>
        <v>EDM or Eletricidade de Moçambique</v>
      </c>
    </row>
    <row r="1199">
      <c r="A1199" s="7" t="str">
        <f>IFERROR(__xludf.DUMMYFUNCTION("""COMPUTED_VALUE"""),"NAMIBIA ")</f>
        <v>NAMIBIA </v>
      </c>
      <c r="B1199" s="8">
        <f>IFERROR(__xludf.DUMMYFUNCTION("""COMPUTED_VALUE"""),10.0)</f>
        <v>10</v>
      </c>
      <c r="C1199" s="7" t="str">
        <f>IFERROR(__xludf.DUMMYFUNCTION("""COMPUTED_VALUE"""),"D_12C")</f>
        <v>D_12C</v>
      </c>
      <c r="D1199" s="7" t="str">
        <f>IFERROR(__xludf.DUMMYFUNCTION("""COMPUTED_VALUE"""),"Q93c. ")</f>
        <v>Q93c. </v>
      </c>
      <c r="E1199" s="7" t="str">
        <f>IFERROR(__xludf.DUMMYFUNCTION("""COMPUTED_VALUE"""),"Other source of electricity: available")</f>
        <v>Other source of electricity: available</v>
      </c>
      <c r="F1199" s="7" t="str">
        <f>IFERROR(__xludf.DUMMYFUNCTION("""COMPUTED_VALUE"""),"Nampower or your Regional Electricity Distributor-RED")</f>
        <v>Nampower or your Regional Electricity Distributor-RED</v>
      </c>
    </row>
    <row r="1200">
      <c r="A1200" s="7" t="str">
        <f>IFERROR(__xludf.DUMMYFUNCTION("""COMPUTED_VALUE"""),"NIGERIA ")</f>
        <v>NIGERIA </v>
      </c>
      <c r="B1200" s="8">
        <f>IFERROR(__xludf.DUMMYFUNCTION("""COMPUTED_VALUE"""),10.0)</f>
        <v>10</v>
      </c>
      <c r="C1200" s="7" t="str">
        <f>IFERROR(__xludf.DUMMYFUNCTION("""COMPUTED_VALUE"""),"D_12C")</f>
        <v>D_12C</v>
      </c>
      <c r="D1200" s="7" t="str">
        <f>IFERROR(__xludf.DUMMYFUNCTION("""COMPUTED_VALUE"""),"Q93c. ")</f>
        <v>Q93c. </v>
      </c>
      <c r="E1200" s="7" t="str">
        <f>IFERROR(__xludf.DUMMYFUNCTION("""COMPUTED_VALUE"""),"Other source of electricity: available")</f>
        <v>Other source of electricity: available</v>
      </c>
      <c r="F1200" s="7" t="str">
        <f>IFERROR(__xludf.DUMMYFUNCTION("""COMPUTED_VALUE"""),"Power Holding Company of Nigeria or PHCN")</f>
        <v>Power Holding Company of Nigeria or PHCN</v>
      </c>
    </row>
    <row r="1201">
      <c r="A1201" s="7" t="str">
        <f>IFERROR(__xludf.DUMMYFUNCTION("""COMPUTED_VALUE"""),"SAO TOME AND PRINCIPE")</f>
        <v>SAO TOME AND PRINCIPE</v>
      </c>
      <c r="B1201" s="8">
        <f>IFERROR(__xludf.DUMMYFUNCTION("""COMPUTED_VALUE"""),10.0)</f>
        <v>10</v>
      </c>
      <c r="C1201" s="7" t="str">
        <f>IFERROR(__xludf.DUMMYFUNCTION("""COMPUTED_VALUE"""),"D_12C")</f>
        <v>D_12C</v>
      </c>
      <c r="D1201" s="7" t="str">
        <f>IFERROR(__xludf.DUMMYFUNCTION("""COMPUTED_VALUE"""),"Q93c. ")</f>
        <v>Q93c. </v>
      </c>
      <c r="E1201" s="7" t="str">
        <f>IFERROR(__xludf.DUMMYFUNCTION("""COMPUTED_VALUE"""),"Other source of electricity: available")</f>
        <v>Other source of electricity: available</v>
      </c>
      <c r="F1201" s="7" t="str">
        <f>IFERROR(__xludf.DUMMYFUNCTION("""COMPUTED_VALUE"""),"Water and Electricity Company (EMAE)")</f>
        <v>Water and Electricity Company (EMAE)</v>
      </c>
    </row>
    <row r="1202">
      <c r="A1202" s="7" t="str">
        <f>IFERROR(__xludf.DUMMYFUNCTION("""COMPUTED_VALUE"""),"SENEGAL")</f>
        <v>SENEGAL</v>
      </c>
      <c r="B1202" s="8">
        <f>IFERROR(__xludf.DUMMYFUNCTION("""COMPUTED_VALUE"""),10.0)</f>
        <v>10</v>
      </c>
      <c r="C1202" s="7" t="str">
        <f>IFERROR(__xludf.DUMMYFUNCTION("""COMPUTED_VALUE"""),"D_12C")</f>
        <v>D_12C</v>
      </c>
      <c r="D1202" s="7" t="str">
        <f>IFERROR(__xludf.DUMMYFUNCTION("""COMPUTED_VALUE"""),"Q93c. ")</f>
        <v>Q93c. </v>
      </c>
      <c r="E1202" s="7" t="str">
        <f>IFERROR(__xludf.DUMMYFUNCTION("""COMPUTED_VALUE"""),"Other source of electricity: available")</f>
        <v>Other source of electricity: available</v>
      </c>
      <c r="F1202" s="7" t="str">
        <f>IFERROR(__xludf.DUMMYFUNCTION("""COMPUTED_VALUE"""),"National Electricity Company of Senegal (SENELEC)")</f>
        <v>National Electricity Company of Senegal (SENELEC)</v>
      </c>
    </row>
    <row r="1203">
      <c r="A1203" s="7" t="str">
        <f>IFERROR(__xludf.DUMMYFUNCTION("""COMPUTED_VALUE"""),"SEYCHELLES")</f>
        <v>SEYCHELLES</v>
      </c>
      <c r="B1203" s="8">
        <f>IFERROR(__xludf.DUMMYFUNCTION("""COMPUTED_VALUE"""),10.0)</f>
        <v>10</v>
      </c>
      <c r="C1203" s="7" t="str">
        <f>IFERROR(__xludf.DUMMYFUNCTION("""COMPUTED_VALUE"""),"D_12C")</f>
        <v>D_12C</v>
      </c>
      <c r="D1203" s="7" t="str">
        <f>IFERROR(__xludf.DUMMYFUNCTION("""COMPUTED_VALUE"""),"Q93c. ")</f>
        <v>Q93c. </v>
      </c>
      <c r="E1203" s="7" t="str">
        <f>IFERROR(__xludf.DUMMYFUNCTION("""COMPUTED_VALUE"""),"Other source of electricity: available")</f>
        <v>Other source of electricity: available</v>
      </c>
      <c r="F1203" s="7" t="str">
        <f>IFERROR(__xludf.DUMMYFUNCTION("""COMPUTED_VALUE"""),"Public Utilities Corporation or PUC")</f>
        <v>Public Utilities Corporation or PUC</v>
      </c>
    </row>
    <row r="1204">
      <c r="A1204" s="7" t="str">
        <f>IFERROR(__xludf.DUMMYFUNCTION("""COMPUTED_VALUE"""),"SOUTH AFRICA")</f>
        <v>SOUTH AFRICA</v>
      </c>
      <c r="B1204" s="8">
        <f>IFERROR(__xludf.DUMMYFUNCTION("""COMPUTED_VALUE"""),10.0)</f>
        <v>10</v>
      </c>
      <c r="C1204" s="7" t="str">
        <f>IFERROR(__xludf.DUMMYFUNCTION("""COMPUTED_VALUE"""),"D_12C")</f>
        <v>D_12C</v>
      </c>
      <c r="D1204" s="7" t="str">
        <f>IFERROR(__xludf.DUMMYFUNCTION("""COMPUTED_VALUE"""),"Q93c. ")</f>
        <v>Q93c. </v>
      </c>
      <c r="E1204" s="7" t="str">
        <f>IFERROR(__xludf.DUMMYFUNCTION("""COMPUTED_VALUE"""),"Other source of electricity: available")</f>
        <v>Other source of electricity: available</v>
      </c>
      <c r="F1204" s="7" t="str">
        <f>IFERROR(__xludf.DUMMYFUNCTION("""COMPUTED_VALUE"""),"Eskom")</f>
        <v>Eskom</v>
      </c>
    </row>
    <row r="1205">
      <c r="A1205" s="7" t="str">
        <f>IFERROR(__xludf.DUMMYFUNCTION("""COMPUTED_VALUE"""),"TANZANIA")</f>
        <v>TANZANIA</v>
      </c>
      <c r="B1205" s="8">
        <f>IFERROR(__xludf.DUMMYFUNCTION("""COMPUTED_VALUE"""),10.0)</f>
        <v>10</v>
      </c>
      <c r="C1205" s="7" t="str">
        <f>IFERROR(__xludf.DUMMYFUNCTION("""COMPUTED_VALUE"""),"D_12C")</f>
        <v>D_12C</v>
      </c>
      <c r="D1205" s="7" t="str">
        <f>IFERROR(__xludf.DUMMYFUNCTION("""COMPUTED_VALUE"""),"Q93c. ")</f>
        <v>Q93c. </v>
      </c>
      <c r="E1205" s="7" t="str">
        <f>IFERROR(__xludf.DUMMYFUNCTION("""COMPUTED_VALUE"""),"Other source of electricity: available")</f>
        <v>Other source of electricity: available</v>
      </c>
      <c r="F1205" s="7" t="str">
        <f>IFERROR(__xludf.DUMMYFUNCTION("""COMPUTED_VALUE"""),"Tanzania Electric Supply Company or TANESCO")</f>
        <v>Tanzania Electric Supply Company or TANESCO</v>
      </c>
    </row>
    <row r="1206">
      <c r="A1206" s="7" t="str">
        <f>IFERROR(__xludf.DUMMYFUNCTION("""COMPUTED_VALUE"""),"TOGO ")</f>
        <v>TOGO </v>
      </c>
      <c r="B1206" s="8">
        <f>IFERROR(__xludf.DUMMYFUNCTION("""COMPUTED_VALUE"""),10.0)</f>
        <v>10</v>
      </c>
      <c r="C1206" s="7" t="str">
        <f>IFERROR(__xludf.DUMMYFUNCTION("""COMPUTED_VALUE"""),"D_12C")</f>
        <v>D_12C</v>
      </c>
      <c r="D1206" s="7" t="str">
        <f>IFERROR(__xludf.DUMMYFUNCTION("""COMPUTED_VALUE"""),"Q93c. ")</f>
        <v>Q93c. </v>
      </c>
      <c r="E1206" s="7" t="str">
        <f>IFERROR(__xludf.DUMMYFUNCTION("""COMPUTED_VALUE"""),"Other source of electricity: available")</f>
        <v>Other source of electricity: available</v>
      </c>
      <c r="F1206" s="7" t="str">
        <f>IFERROR(__xludf.DUMMYFUNCTION("""COMPUTED_VALUE"""),"Togolese Electricity Company (CEET)")</f>
        <v>Togolese Electricity Company (CEET)</v>
      </c>
    </row>
    <row r="1207">
      <c r="A1207" s="7" t="str">
        <f>IFERROR(__xludf.DUMMYFUNCTION("""COMPUTED_VALUE"""),"TUNISIA ")</f>
        <v>TUNISIA </v>
      </c>
      <c r="B1207" s="8">
        <f>IFERROR(__xludf.DUMMYFUNCTION("""COMPUTED_VALUE"""),10.0)</f>
        <v>10</v>
      </c>
      <c r="C1207" s="7" t="str">
        <f>IFERROR(__xludf.DUMMYFUNCTION("""COMPUTED_VALUE"""),"D_12C")</f>
        <v>D_12C</v>
      </c>
      <c r="D1207" s="7" t="str">
        <f>IFERROR(__xludf.DUMMYFUNCTION("""COMPUTED_VALUE"""),"Q93c. ")</f>
        <v>Q93c. </v>
      </c>
      <c r="E1207" s="7" t="str">
        <f>IFERROR(__xludf.DUMMYFUNCTION("""COMPUTED_VALUE"""),"Other source of electricity: available")</f>
        <v>Other source of electricity: available</v>
      </c>
      <c r="F1207" s="7" t="str">
        <f>IFERROR(__xludf.DUMMYFUNCTION("""COMPUTED_VALUE"""),"Tunisian Company of Electricity and Gas (STEG)")</f>
        <v>Tunisian Company of Electricity and Gas (STEG)</v>
      </c>
    </row>
    <row r="1208">
      <c r="A1208" s="7" t="str">
        <f>IFERROR(__xludf.DUMMYFUNCTION("""COMPUTED_VALUE"""),"UGANDA  ")</f>
        <v>UGANDA  </v>
      </c>
      <c r="B1208" s="8">
        <f>IFERROR(__xludf.DUMMYFUNCTION("""COMPUTED_VALUE"""),10.0)</f>
        <v>10</v>
      </c>
      <c r="C1208" s="7" t="str">
        <f>IFERROR(__xludf.DUMMYFUNCTION("""COMPUTED_VALUE"""),"D_12C")</f>
        <v>D_12C</v>
      </c>
      <c r="D1208" s="7" t="str">
        <f>IFERROR(__xludf.DUMMYFUNCTION("""COMPUTED_VALUE"""),"Q93c. ")</f>
        <v>Q93c. </v>
      </c>
      <c r="E1208" s="7" t="str">
        <f>IFERROR(__xludf.DUMMYFUNCTION("""COMPUTED_VALUE"""),"Other source of electricity: available")</f>
        <v>Other source of electricity: available</v>
      </c>
      <c r="F1208" s="7" t="str">
        <f>IFERROR(__xludf.DUMMYFUNCTION("""COMPUTED_VALUE"""),"Uganda Electricity Distribution Company Limited or UMEME")</f>
        <v>Uganda Electricity Distribution Company Limited or UMEME</v>
      </c>
    </row>
    <row r="1209">
      <c r="A1209" s="7" t="str">
        <f>IFERROR(__xludf.DUMMYFUNCTION("""COMPUTED_VALUE"""),"ZAMBIA")</f>
        <v>ZAMBIA</v>
      </c>
      <c r="B1209" s="8">
        <f>IFERROR(__xludf.DUMMYFUNCTION("""COMPUTED_VALUE"""),10.0)</f>
        <v>10</v>
      </c>
      <c r="C1209" s="7" t="str">
        <f>IFERROR(__xludf.DUMMYFUNCTION("""COMPUTED_VALUE"""),"D_12C")</f>
        <v>D_12C</v>
      </c>
      <c r="D1209" s="7" t="str">
        <f>IFERROR(__xludf.DUMMYFUNCTION("""COMPUTED_VALUE"""),"Q93c. ")</f>
        <v>Q93c. </v>
      </c>
      <c r="E1209" s="7" t="str">
        <f>IFERROR(__xludf.DUMMYFUNCTION("""COMPUTED_VALUE"""),"Other source of electricity: available")</f>
        <v>Other source of electricity: available</v>
      </c>
      <c r="F1209" s="7" t="str">
        <f>IFERROR(__xludf.DUMMYFUNCTION("""COMPUTED_VALUE"""),"Zambia Electricity Supply Corporation or ZESCO")</f>
        <v>Zambia Electricity Supply Corporation or ZESCO</v>
      </c>
    </row>
    <row r="1210">
      <c r="A1210" s="7" t="str">
        <f>IFERROR(__xludf.DUMMYFUNCTION("""COMPUTED_VALUE"""),"ZIMBABWE")</f>
        <v>ZIMBABWE</v>
      </c>
      <c r="B1210" s="8">
        <f>IFERROR(__xludf.DUMMYFUNCTION("""COMPUTED_VALUE"""),10.0)</f>
        <v>10</v>
      </c>
      <c r="C1210" s="7" t="str">
        <f>IFERROR(__xludf.DUMMYFUNCTION("""COMPUTED_VALUE"""),"D_12C")</f>
        <v>D_12C</v>
      </c>
      <c r="D1210" s="7" t="str">
        <f>IFERROR(__xludf.DUMMYFUNCTION("""COMPUTED_VALUE"""),"Q93c. ")</f>
        <v>Q93c. </v>
      </c>
      <c r="E1210" s="7" t="str">
        <f>IFERROR(__xludf.DUMMYFUNCTION("""COMPUTED_VALUE"""),"Other source of electricity: available")</f>
        <v>Other source of electricity: available</v>
      </c>
      <c r="F1210" s="7" t="str">
        <f>IFERROR(__xludf.DUMMYFUNCTION("""COMPUTED_VALUE"""),"Zimbabwe Electricity Supply Authority or ZESA")</f>
        <v>Zimbabwe Electricity Supply Authority or ZESA</v>
      </c>
    </row>
    <row r="1211">
      <c r="B1211" s="8"/>
    </row>
    <row r="1212">
      <c r="B1212" s="8"/>
    </row>
    <row r="1213">
      <c r="B1213" s="8"/>
    </row>
    <row r="1214">
      <c r="B1214" s="8"/>
    </row>
    <row r="1215">
      <c r="B1215" s="8"/>
    </row>
    <row r="1216">
      <c r="B1216" s="8"/>
    </row>
    <row r="1217">
      <c r="B1217" s="8"/>
    </row>
    <row r="1218">
      <c r="B1218" s="8"/>
    </row>
    <row r="1219">
      <c r="B1219" s="8"/>
    </row>
    <row r="1220">
      <c r="B1220" s="8"/>
    </row>
    <row r="1221">
      <c r="B1221" s="8"/>
    </row>
    <row r="1222">
      <c r="B1222" s="8"/>
    </row>
    <row r="1223">
      <c r="B1223" s="8"/>
    </row>
    <row r="1224">
      <c r="B1224" s="8"/>
    </row>
    <row r="1225">
      <c r="B1225" s="8"/>
    </row>
    <row r="1226">
      <c r="B1226" s="8"/>
    </row>
    <row r="1227">
      <c r="B1227" s="8"/>
    </row>
    <row r="1228">
      <c r="B1228" s="8"/>
    </row>
    <row r="1229">
      <c r="B1229" s="8"/>
    </row>
    <row r="1230">
      <c r="B1230" s="8"/>
    </row>
    <row r="1231">
      <c r="B1231" s="8"/>
    </row>
    <row r="1232">
      <c r="B1232" s="8"/>
    </row>
    <row r="1233">
      <c r="B1233" s="8"/>
    </row>
    <row r="1234">
      <c r="B1234" s="8"/>
    </row>
    <row r="1235">
      <c r="B1235" s="8"/>
    </row>
    <row r="1236">
      <c r="B1236" s="8"/>
    </row>
    <row r="1237">
      <c r="B1237" s="8"/>
    </row>
    <row r="1238">
      <c r="B1238" s="8"/>
    </row>
    <row r="1239">
      <c r="B1239" s="8"/>
    </row>
    <row r="1240">
      <c r="B1240" s="8"/>
    </row>
    <row r="1241">
      <c r="B1241" s="8"/>
    </row>
    <row r="1242">
      <c r="B1242" s="8"/>
    </row>
    <row r="1243">
      <c r="B1243" s="8"/>
    </row>
    <row r="1244">
      <c r="B1244" s="8"/>
    </row>
    <row r="1245">
      <c r="B1245" s="8"/>
    </row>
    <row r="1246">
      <c r="B1246" s="8"/>
    </row>
    <row r="1247">
      <c r="B1247" s="8"/>
    </row>
    <row r="1248">
      <c r="B1248" s="8"/>
    </row>
    <row r="1249">
      <c r="B1249" s="8"/>
    </row>
    <row r="1250">
      <c r="B1250" s="8"/>
    </row>
    <row r="1251">
      <c r="B1251" s="8"/>
    </row>
    <row r="1252">
      <c r="B1252" s="8"/>
    </row>
    <row r="1253">
      <c r="B1253" s="8"/>
    </row>
    <row r="1254">
      <c r="B1254" s="8"/>
    </row>
    <row r="1255">
      <c r="B1255" s="8"/>
    </row>
    <row r="1256">
      <c r="B1256" s="8"/>
    </row>
    <row r="1257">
      <c r="B1257" s="8"/>
    </row>
    <row r="1258">
      <c r="B1258" s="8"/>
    </row>
    <row r="1259">
      <c r="B1259" s="8"/>
    </row>
    <row r="1260">
      <c r="B1260" s="8"/>
    </row>
    <row r="1261">
      <c r="B1261" s="8"/>
    </row>
    <row r="1262">
      <c r="B1262" s="8"/>
    </row>
    <row r="1263">
      <c r="B1263" s="8"/>
    </row>
    <row r="1264">
      <c r="B1264" s="8"/>
    </row>
    <row r="1265">
      <c r="B1265" s="8"/>
    </row>
    <row r="1266">
      <c r="B1266" s="8"/>
    </row>
    <row r="1267">
      <c r="B1267" s="8"/>
    </row>
    <row r="1268">
      <c r="B1268" s="8"/>
    </row>
    <row r="1269">
      <c r="B1269" s="8"/>
    </row>
    <row r="1270">
      <c r="B1270" s="8"/>
    </row>
    <row r="1271">
      <c r="B1271" s="8"/>
    </row>
    <row r="1272">
      <c r="B1272" s="8"/>
    </row>
    <row r="1273">
      <c r="B1273" s="8"/>
    </row>
    <row r="1274">
      <c r="B1274" s="8"/>
    </row>
    <row r="1275">
      <c r="B1275" s="8"/>
    </row>
    <row r="1276">
      <c r="B1276" s="8"/>
    </row>
    <row r="1277">
      <c r="B1277" s="8"/>
    </row>
    <row r="1278">
      <c r="B1278" s="8"/>
    </row>
    <row r="1279">
      <c r="B1279" s="8"/>
    </row>
    <row r="1280">
      <c r="B1280" s="8"/>
    </row>
    <row r="1281">
      <c r="B1281" s="8"/>
    </row>
    <row r="1282">
      <c r="B1282" s="8"/>
    </row>
    <row r="1283">
      <c r="B1283" s="8"/>
    </row>
    <row r="1284">
      <c r="B1284" s="8"/>
    </row>
    <row r="1285">
      <c r="B1285" s="8"/>
    </row>
    <row r="1286">
      <c r="B1286" s="8"/>
    </row>
    <row r="1287">
      <c r="B1287" s="8"/>
    </row>
    <row r="1288">
      <c r="B1288" s="8"/>
    </row>
    <row r="1289">
      <c r="B1289" s="8"/>
    </row>
    <row r="1290">
      <c r="B1290" s="8"/>
    </row>
    <row r="1291">
      <c r="B1291" s="8"/>
    </row>
    <row r="1292">
      <c r="B1292" s="8"/>
    </row>
    <row r="1293">
      <c r="B1293" s="8"/>
    </row>
    <row r="1294">
      <c r="B1294" s="8"/>
    </row>
    <row r="1295">
      <c r="B1295" s="8"/>
    </row>
    <row r="1296">
      <c r="B1296" s="8"/>
    </row>
    <row r="1297">
      <c r="B1297" s="8"/>
    </row>
    <row r="1298">
      <c r="B1298" s="8"/>
    </row>
    <row r="1299">
      <c r="B1299" s="8"/>
    </row>
    <row r="1300">
      <c r="B1300" s="8"/>
    </row>
    <row r="1301">
      <c r="B1301" s="8"/>
    </row>
    <row r="1302">
      <c r="B1302" s="8"/>
    </row>
    <row r="1303">
      <c r="B1303" s="8"/>
    </row>
    <row r="1304">
      <c r="B1304" s="8"/>
    </row>
    <row r="1305">
      <c r="B1305" s="8"/>
    </row>
    <row r="1306">
      <c r="B1306" s="8"/>
    </row>
    <row r="1307">
      <c r="B1307" s="8"/>
    </row>
    <row r="1308">
      <c r="B1308" s="8"/>
    </row>
    <row r="1309">
      <c r="B1309" s="8"/>
    </row>
    <row r="1310">
      <c r="B1310" s="8"/>
    </row>
    <row r="1311">
      <c r="B1311" s="8"/>
    </row>
    <row r="1312">
      <c r="B1312" s="8"/>
    </row>
    <row r="1313">
      <c r="B1313" s="8"/>
    </row>
    <row r="1314">
      <c r="B1314" s="8"/>
    </row>
    <row r="1315">
      <c r="B1315" s="8"/>
    </row>
    <row r="1316">
      <c r="B1316" s="8"/>
    </row>
    <row r="1317">
      <c r="B1317" s="8"/>
    </row>
    <row r="1318">
      <c r="B1318" s="8"/>
    </row>
    <row r="1319">
      <c r="B1319" s="8"/>
    </row>
    <row r="1320">
      <c r="B1320" s="8"/>
    </row>
    <row r="1321">
      <c r="B1321" s="8"/>
    </row>
    <row r="1322">
      <c r="B1322" s="8"/>
    </row>
    <row r="1323">
      <c r="B1323" s="8"/>
    </row>
    <row r="1324">
      <c r="B1324" s="8"/>
    </row>
    <row r="1325">
      <c r="B1325" s="8"/>
    </row>
    <row r="1326">
      <c r="B1326" s="8"/>
    </row>
    <row r="1327">
      <c r="B1327" s="8"/>
    </row>
    <row r="1328">
      <c r="B1328" s="8"/>
    </row>
    <row r="1329">
      <c r="B1329" s="8"/>
    </row>
    <row r="1330">
      <c r="B1330" s="8"/>
    </row>
    <row r="1331">
      <c r="B1331" s="8"/>
    </row>
    <row r="1332">
      <c r="B1332" s="8"/>
    </row>
    <row r="1333">
      <c r="B1333" s="8"/>
    </row>
    <row r="1334">
      <c r="B1334" s="8"/>
    </row>
    <row r="1335">
      <c r="B1335" s="8"/>
    </row>
    <row r="1336">
      <c r="B1336" s="8"/>
    </row>
    <row r="1337">
      <c r="B1337" s="8"/>
    </row>
    <row r="1338">
      <c r="B1338" s="8"/>
    </row>
    <row r="1339">
      <c r="B1339" s="8"/>
    </row>
    <row r="1340">
      <c r="B1340" s="8"/>
    </row>
    <row r="1341">
      <c r="B1341" s="8"/>
    </row>
    <row r="1342">
      <c r="B1342" s="8"/>
    </row>
    <row r="1343">
      <c r="B1343" s="8"/>
    </row>
    <row r="1344">
      <c r="B1344" s="8"/>
    </row>
    <row r="1345">
      <c r="B1345" s="8"/>
    </row>
    <row r="1346">
      <c r="B1346" s="8"/>
    </row>
    <row r="1347">
      <c r="B1347" s="8"/>
    </row>
    <row r="1348">
      <c r="B1348" s="8"/>
    </row>
    <row r="1349">
      <c r="B1349" s="8"/>
    </row>
    <row r="1350">
      <c r="B1350" s="8"/>
    </row>
    <row r="1351">
      <c r="B1351" s="8"/>
    </row>
    <row r="1352">
      <c r="B1352" s="8"/>
    </row>
    <row r="1353">
      <c r="B1353" s="8"/>
    </row>
    <row r="1354">
      <c r="B1354" s="8"/>
    </row>
    <row r="1355">
      <c r="B1355" s="8"/>
    </row>
    <row r="1356">
      <c r="B1356" s="8"/>
    </row>
    <row r="1357">
      <c r="B1357" s="8"/>
    </row>
    <row r="1358">
      <c r="B1358" s="8"/>
    </row>
    <row r="1359">
      <c r="B1359" s="8"/>
    </row>
    <row r="1360">
      <c r="B1360" s="8"/>
    </row>
    <row r="1361">
      <c r="B1361" s="8"/>
    </row>
    <row r="1362">
      <c r="B1362" s="8"/>
    </row>
    <row r="1363">
      <c r="B1363" s="8"/>
    </row>
    <row r="1364">
      <c r="B1364" s="8"/>
    </row>
    <row r="1365">
      <c r="B1365" s="8"/>
    </row>
    <row r="1366">
      <c r="B1366" s="8"/>
    </row>
    <row r="1367">
      <c r="B1367" s="8"/>
    </row>
    <row r="1368">
      <c r="B1368" s="8"/>
    </row>
    <row r="1369">
      <c r="B1369" s="8"/>
    </row>
    <row r="1370">
      <c r="B1370" s="8"/>
    </row>
    <row r="1371">
      <c r="B1371" s="8"/>
    </row>
    <row r="1372">
      <c r="B1372" s="8"/>
    </row>
    <row r="1373">
      <c r="B1373" s="8"/>
    </row>
    <row r="1374">
      <c r="B1374" s="8"/>
    </row>
    <row r="1375">
      <c r="B1375" s="8"/>
    </row>
    <row r="1376">
      <c r="B1376" s="8"/>
    </row>
    <row r="1377">
      <c r="B1377" s="8"/>
    </row>
    <row r="1378">
      <c r="B1378" s="8"/>
    </row>
    <row r="1379">
      <c r="B1379" s="8"/>
    </row>
    <row r="1380">
      <c r="B1380" s="8"/>
    </row>
    <row r="1381">
      <c r="B1381" s="8"/>
    </row>
    <row r="1382">
      <c r="B1382" s="8"/>
    </row>
    <row r="1383">
      <c r="B1383" s="8"/>
    </row>
    <row r="1384">
      <c r="B1384" s="8"/>
    </row>
    <row r="1385">
      <c r="B1385" s="8"/>
    </row>
    <row r="1386">
      <c r="B1386" s="8"/>
    </row>
    <row r="1387">
      <c r="B1387" s="8"/>
    </row>
    <row r="1388">
      <c r="B1388" s="8"/>
    </row>
    <row r="1389">
      <c r="B1389" s="8"/>
    </row>
    <row r="1390">
      <c r="B1390" s="8"/>
    </row>
    <row r="1391">
      <c r="B1391" s="8"/>
    </row>
    <row r="1392">
      <c r="B1392" s="8"/>
    </row>
    <row r="1393">
      <c r="B1393" s="8"/>
    </row>
    <row r="1394">
      <c r="B1394" s="8"/>
    </row>
    <row r="1395">
      <c r="B1395" s="8"/>
    </row>
    <row r="1396">
      <c r="B1396" s="8"/>
    </row>
    <row r="1397">
      <c r="B1397" s="8"/>
    </row>
    <row r="1398">
      <c r="B1398" s="8"/>
    </row>
    <row r="1399">
      <c r="B1399" s="8"/>
    </row>
    <row r="1400">
      <c r="B1400" s="8"/>
    </row>
    <row r="1401">
      <c r="B1401" s="8"/>
    </row>
    <row r="1402">
      <c r="B1402" s="8"/>
    </row>
    <row r="1403">
      <c r="B1403" s="8"/>
    </row>
    <row r="1404">
      <c r="B1404" s="8"/>
    </row>
    <row r="1405">
      <c r="B1405" s="8"/>
    </row>
    <row r="1406">
      <c r="B1406" s="8"/>
    </row>
    <row r="1407">
      <c r="B1407" s="8"/>
    </row>
    <row r="1408">
      <c r="B1408" s="8"/>
    </row>
    <row r="1409">
      <c r="B1409" s="8"/>
    </row>
    <row r="1410">
      <c r="B1410" s="8"/>
    </row>
    <row r="1411">
      <c r="B1411" s="8"/>
    </row>
    <row r="1412">
      <c r="B1412" s="8"/>
    </row>
    <row r="1413">
      <c r="B1413" s="8"/>
    </row>
    <row r="1414">
      <c r="B1414" s="8"/>
    </row>
    <row r="1415">
      <c r="B1415" s="8"/>
    </row>
    <row r="1416">
      <c r="B1416" s="8"/>
    </row>
    <row r="1417">
      <c r="B1417" s="8"/>
    </row>
    <row r="1418">
      <c r="B1418" s="8"/>
    </row>
    <row r="1419">
      <c r="B1419" s="8"/>
    </row>
    <row r="1420">
      <c r="B1420" s="8"/>
    </row>
    <row r="1421">
      <c r="B1421" s="8"/>
    </row>
    <row r="1422">
      <c r="B1422" s="8"/>
    </row>
    <row r="1423">
      <c r="B1423" s="8"/>
    </row>
    <row r="1424">
      <c r="B1424" s="8"/>
    </row>
    <row r="1425">
      <c r="B1425" s="8"/>
    </row>
    <row r="1426">
      <c r="B1426" s="8"/>
    </row>
    <row r="1427">
      <c r="B1427" s="8"/>
    </row>
    <row r="1428">
      <c r="B1428" s="8"/>
    </row>
    <row r="1429">
      <c r="B1429" s="8"/>
    </row>
    <row r="1430">
      <c r="B1430" s="8"/>
    </row>
    <row r="1431">
      <c r="B1431" s="8"/>
    </row>
    <row r="1432">
      <c r="B1432" s="8"/>
    </row>
    <row r="1433">
      <c r="B1433" s="8"/>
    </row>
    <row r="1434">
      <c r="B1434" s="8"/>
    </row>
    <row r="1435">
      <c r="B1435" s="8"/>
    </row>
    <row r="1436">
      <c r="B1436" s="8"/>
    </row>
    <row r="1437">
      <c r="B1437" s="8"/>
    </row>
    <row r="1438">
      <c r="B1438" s="8"/>
    </row>
    <row r="1439">
      <c r="B1439" s="8"/>
    </row>
    <row r="1440">
      <c r="B1440" s="8"/>
    </row>
    <row r="1441">
      <c r="B1441" s="8"/>
    </row>
    <row r="1442">
      <c r="B1442" s="8"/>
    </row>
    <row r="1443">
      <c r="B1443" s="8"/>
    </row>
    <row r="1444">
      <c r="B1444" s="8"/>
    </row>
    <row r="1445">
      <c r="B1445" s="8"/>
    </row>
    <row r="1446">
      <c r="B1446" s="8"/>
    </row>
    <row r="1447">
      <c r="B1447" s="8"/>
    </row>
    <row r="1448">
      <c r="B1448" s="8"/>
    </row>
    <row r="1449">
      <c r="B1449" s="8"/>
    </row>
    <row r="1450">
      <c r="B1450" s="8"/>
    </row>
    <row r="1451">
      <c r="B1451" s="8"/>
    </row>
    <row r="1452">
      <c r="B1452" s="8"/>
    </row>
    <row r="1453">
      <c r="B1453" s="8"/>
    </row>
    <row r="1454">
      <c r="B1454" s="8"/>
    </row>
    <row r="1455">
      <c r="B1455" s="8"/>
    </row>
    <row r="1456">
      <c r="B1456" s="8"/>
    </row>
    <row r="1457">
      <c r="B1457" s="8"/>
    </row>
    <row r="1458">
      <c r="B1458" s="8"/>
    </row>
    <row r="1459">
      <c r="B1459" s="8"/>
    </row>
    <row r="1460">
      <c r="B1460" s="8"/>
    </row>
    <row r="1461">
      <c r="B1461" s="8"/>
    </row>
    <row r="1462">
      <c r="B1462" s="8"/>
    </row>
    <row r="1463">
      <c r="B1463" s="8"/>
    </row>
    <row r="1464">
      <c r="B1464" s="8"/>
    </row>
    <row r="1465">
      <c r="B1465" s="8"/>
    </row>
    <row r="1466">
      <c r="B1466" s="8"/>
    </row>
    <row r="1467">
      <c r="B1467" s="8"/>
    </row>
    <row r="1468">
      <c r="B1468" s="8"/>
    </row>
    <row r="1469">
      <c r="B1469" s="8"/>
    </row>
    <row r="1470">
      <c r="B1470" s="8"/>
    </row>
    <row r="1471">
      <c r="B1471" s="8"/>
    </row>
    <row r="1472">
      <c r="B1472" s="8"/>
    </row>
    <row r="1473">
      <c r="B1473" s="8"/>
    </row>
    <row r="1474">
      <c r="B1474" s="8"/>
    </row>
    <row r="1475">
      <c r="B1475" s="8"/>
    </row>
    <row r="1476">
      <c r="B1476" s="8"/>
    </row>
    <row r="1477">
      <c r="B1477" s="8"/>
    </row>
    <row r="1478">
      <c r="B1478" s="8"/>
    </row>
    <row r="1479">
      <c r="B1479" s="8"/>
    </row>
    <row r="1480">
      <c r="B1480" s="8"/>
    </row>
    <row r="1481">
      <c r="B1481" s="8"/>
    </row>
    <row r="1482">
      <c r="B1482" s="8"/>
    </row>
    <row r="1483">
      <c r="B1483" s="8"/>
    </row>
    <row r="1484">
      <c r="B1484" s="8"/>
    </row>
    <row r="1485">
      <c r="B1485" s="8"/>
    </row>
    <row r="1486">
      <c r="B1486" s="8"/>
    </row>
    <row r="1487">
      <c r="B1487" s="8"/>
    </row>
    <row r="1488">
      <c r="B1488" s="8"/>
    </row>
    <row r="1489">
      <c r="B1489" s="8"/>
    </row>
    <row r="1490">
      <c r="B1490" s="8"/>
    </row>
    <row r="1491">
      <c r="B1491" s="8"/>
    </row>
    <row r="1492">
      <c r="B1492" s="8"/>
    </row>
    <row r="1493">
      <c r="B1493" s="8"/>
    </row>
    <row r="1494">
      <c r="B1494" s="8"/>
    </row>
    <row r="1495">
      <c r="B1495" s="8"/>
    </row>
    <row r="1496">
      <c r="B1496" s="8"/>
    </row>
    <row r="1497">
      <c r="B1497" s="8"/>
    </row>
    <row r="1498">
      <c r="B1498" s="8"/>
    </row>
    <row r="1499">
      <c r="B1499" s="8"/>
    </row>
    <row r="1500">
      <c r="B1500" s="8"/>
    </row>
    <row r="1501">
      <c r="B1501" s="8"/>
    </row>
    <row r="1502">
      <c r="B1502" s="8"/>
    </row>
    <row r="1503">
      <c r="B1503" s="8"/>
    </row>
    <row r="1504">
      <c r="B1504" s="8"/>
    </row>
    <row r="1505">
      <c r="B1505" s="8"/>
    </row>
    <row r="1506">
      <c r="B1506" s="8"/>
    </row>
    <row r="1507">
      <c r="B1507" s="8"/>
    </row>
    <row r="1508">
      <c r="B1508" s="8"/>
    </row>
    <row r="1509">
      <c r="B1509" s="8"/>
    </row>
    <row r="1510">
      <c r="B1510" s="8"/>
    </row>
    <row r="1511">
      <c r="B1511" s="8"/>
    </row>
    <row r="1512">
      <c r="B1512" s="8"/>
    </row>
    <row r="1513">
      <c r="B1513" s="8"/>
    </row>
    <row r="1514">
      <c r="B1514" s="8"/>
    </row>
    <row r="1515">
      <c r="B1515" s="8"/>
    </row>
    <row r="1516">
      <c r="B1516" s="8"/>
    </row>
    <row r="1517">
      <c r="B1517" s="8"/>
    </row>
    <row r="1518">
      <c r="B1518" s="8"/>
    </row>
    <row r="1519">
      <c r="B1519" s="8"/>
    </row>
    <row r="1520">
      <c r="B1520" s="8"/>
    </row>
    <row r="1521">
      <c r="B1521" s="8"/>
    </row>
    <row r="1522">
      <c r="B1522" s="8"/>
    </row>
    <row r="1523">
      <c r="B1523" s="8"/>
    </row>
    <row r="1524">
      <c r="B1524" s="8"/>
    </row>
    <row r="1525">
      <c r="B1525" s="8"/>
    </row>
    <row r="1526">
      <c r="B1526" s="8"/>
    </row>
    <row r="1527">
      <c r="B1527" s="8"/>
    </row>
    <row r="1528">
      <c r="B1528" s="8"/>
    </row>
    <row r="1529">
      <c r="B1529" s="8"/>
    </row>
    <row r="1530">
      <c r="B1530" s="8"/>
    </row>
    <row r="1531">
      <c r="B1531" s="8"/>
    </row>
    <row r="1532">
      <c r="B1532" s="8"/>
    </row>
    <row r="1533">
      <c r="B1533" s="8"/>
    </row>
    <row r="1534">
      <c r="B1534" s="8"/>
    </row>
    <row r="1535">
      <c r="B1535" s="8"/>
    </row>
    <row r="1536">
      <c r="B1536" s="8"/>
    </row>
    <row r="1537">
      <c r="B1537" s="8"/>
    </row>
    <row r="1538">
      <c r="B1538" s="8"/>
    </row>
    <row r="1539">
      <c r="B1539" s="8"/>
    </row>
    <row r="1540">
      <c r="B1540" s="8"/>
    </row>
    <row r="1541">
      <c r="B1541" s="8"/>
    </row>
    <row r="1542">
      <c r="B1542" s="8"/>
    </row>
    <row r="1543">
      <c r="B1543" s="8"/>
    </row>
    <row r="1544">
      <c r="B1544" s="8"/>
    </row>
    <row r="1545">
      <c r="B1545" s="8"/>
    </row>
    <row r="1546">
      <c r="B1546" s="8"/>
    </row>
    <row r="1547">
      <c r="B1547" s="8"/>
    </row>
    <row r="1548">
      <c r="B1548" s="8"/>
    </row>
    <row r="1549">
      <c r="B1549" s="8"/>
    </row>
    <row r="1550">
      <c r="B1550" s="8"/>
    </row>
    <row r="1551">
      <c r="B1551" s="8"/>
    </row>
    <row r="1552">
      <c r="B1552" s="8"/>
    </row>
    <row r="1553">
      <c r="B1553" s="8"/>
    </row>
    <row r="1554">
      <c r="B1554" s="8"/>
    </row>
    <row r="1555">
      <c r="B1555" s="8"/>
    </row>
    <row r="1556">
      <c r="B1556" s="8"/>
    </row>
    <row r="1557">
      <c r="B1557" s="8"/>
    </row>
    <row r="1558">
      <c r="B1558" s="8"/>
    </row>
    <row r="1559">
      <c r="B1559" s="8"/>
    </row>
    <row r="1560">
      <c r="B1560" s="8"/>
    </row>
    <row r="1561">
      <c r="B1561" s="8"/>
    </row>
    <row r="1562">
      <c r="B1562" s="8"/>
    </row>
    <row r="1563">
      <c r="B1563" s="8"/>
    </row>
    <row r="1564">
      <c r="B1564" s="8"/>
    </row>
    <row r="1565">
      <c r="B1565" s="8"/>
    </row>
    <row r="1566">
      <c r="B1566" s="8"/>
    </row>
    <row r="1567">
      <c r="B1567" s="8"/>
    </row>
    <row r="1568">
      <c r="B1568" s="8"/>
    </row>
    <row r="1569">
      <c r="B1569" s="8"/>
    </row>
    <row r="1570">
      <c r="B1570" s="8"/>
    </row>
    <row r="1571">
      <c r="B1571" s="8"/>
    </row>
    <row r="1572">
      <c r="B1572" s="8"/>
    </row>
    <row r="1573">
      <c r="B1573" s="8"/>
    </row>
    <row r="1574">
      <c r="B1574" s="8"/>
    </row>
    <row r="1575">
      <c r="B1575" s="8"/>
    </row>
    <row r="1576">
      <c r="B1576" s="8"/>
    </row>
    <row r="1577">
      <c r="B1577" s="8"/>
    </row>
    <row r="1578">
      <c r="B1578" s="8"/>
    </row>
    <row r="1579">
      <c r="B1579" s="8"/>
    </row>
    <row r="1580">
      <c r="B1580" s="8"/>
    </row>
    <row r="1581">
      <c r="B1581" s="8"/>
    </row>
    <row r="1582">
      <c r="B1582" s="8"/>
    </row>
    <row r="1583">
      <c r="B1583" s="8"/>
    </row>
    <row r="1584">
      <c r="B1584" s="8"/>
    </row>
    <row r="1585">
      <c r="B1585" s="8"/>
    </row>
    <row r="1586">
      <c r="B1586" s="8"/>
    </row>
    <row r="1587">
      <c r="B1587" s="8"/>
    </row>
    <row r="1588">
      <c r="B1588" s="8"/>
    </row>
    <row r="1589">
      <c r="B1589" s="8"/>
    </row>
    <row r="1590">
      <c r="B1590" s="8"/>
    </row>
    <row r="1591">
      <c r="B1591" s="8"/>
    </row>
    <row r="1592">
      <c r="B1592" s="8"/>
    </row>
    <row r="1593">
      <c r="B1593" s="8"/>
    </row>
    <row r="1594">
      <c r="B1594" s="8"/>
    </row>
    <row r="1595">
      <c r="B1595" s="8"/>
    </row>
    <row r="1596">
      <c r="B1596" s="8"/>
    </row>
    <row r="1597">
      <c r="B1597" s="8"/>
    </row>
    <row r="1598">
      <c r="B1598" s="8"/>
    </row>
    <row r="1599">
      <c r="B1599" s="8"/>
    </row>
    <row r="1600">
      <c r="B1600" s="8"/>
    </row>
    <row r="1601">
      <c r="B1601" s="8"/>
    </row>
    <row r="1602">
      <c r="B1602" s="8"/>
    </row>
    <row r="1603">
      <c r="B1603" s="8"/>
    </row>
    <row r="1604">
      <c r="B1604" s="8"/>
    </row>
    <row r="1605">
      <c r="B1605" s="8"/>
    </row>
    <row r="1606">
      <c r="B1606" s="8"/>
    </row>
    <row r="1607">
      <c r="B1607" s="8"/>
    </row>
    <row r="1608">
      <c r="B1608" s="8"/>
    </row>
    <row r="1609">
      <c r="B1609" s="8"/>
    </row>
    <row r="1610">
      <c r="B1610" s="8"/>
    </row>
    <row r="1611">
      <c r="B1611" s="8"/>
    </row>
    <row r="1612">
      <c r="B1612" s="8"/>
    </row>
    <row r="1613">
      <c r="B1613" s="8"/>
    </row>
    <row r="1614">
      <c r="B1614" s="8"/>
    </row>
    <row r="1615">
      <c r="B1615" s="8"/>
    </row>
    <row r="1616">
      <c r="B1616" s="8"/>
    </row>
    <row r="1617">
      <c r="B1617" s="8"/>
    </row>
    <row r="1618">
      <c r="B1618" s="8"/>
    </row>
    <row r="1619">
      <c r="B1619" s="8"/>
    </row>
    <row r="1620">
      <c r="B1620" s="8"/>
    </row>
    <row r="1621">
      <c r="B1621" s="8"/>
    </row>
    <row r="1622">
      <c r="B1622" s="8"/>
    </row>
    <row r="1623">
      <c r="B1623" s="8"/>
    </row>
    <row r="1624">
      <c r="B1624" s="8"/>
    </row>
    <row r="1625">
      <c r="B1625" s="8"/>
    </row>
    <row r="1626">
      <c r="B1626" s="8"/>
    </row>
    <row r="1627">
      <c r="B1627" s="8"/>
    </row>
    <row r="1628">
      <c r="B1628" s="8"/>
    </row>
    <row r="1629">
      <c r="B1629" s="8"/>
    </row>
    <row r="1630">
      <c r="B1630" s="8"/>
    </row>
    <row r="1631">
      <c r="B1631" s="8"/>
    </row>
    <row r="1632">
      <c r="B1632" s="8"/>
    </row>
    <row r="1633">
      <c r="B1633" s="8"/>
    </row>
    <row r="1634">
      <c r="B1634" s="8"/>
    </row>
    <row r="1635">
      <c r="B1635" s="8"/>
    </row>
    <row r="1636">
      <c r="B1636" s="8"/>
    </row>
    <row r="1637">
      <c r="B1637" s="8"/>
    </row>
    <row r="1638">
      <c r="B1638" s="8"/>
    </row>
    <row r="1639">
      <c r="B1639" s="8"/>
    </row>
    <row r="1640">
      <c r="B1640" s="8"/>
    </row>
    <row r="1641">
      <c r="B1641" s="8"/>
    </row>
    <row r="1642">
      <c r="B1642" s="8"/>
    </row>
    <row r="1643">
      <c r="B1643" s="8"/>
    </row>
    <row r="1644">
      <c r="B1644" s="8"/>
    </row>
    <row r="1645">
      <c r="B1645" s="8"/>
    </row>
    <row r="1646">
      <c r="B1646" s="8"/>
    </row>
    <row r="1647">
      <c r="B1647" s="8"/>
    </row>
    <row r="1648">
      <c r="B1648" s="8"/>
    </row>
    <row r="1649">
      <c r="B1649" s="8"/>
    </row>
    <row r="1650">
      <c r="B1650" s="8"/>
    </row>
    <row r="1651">
      <c r="B1651" s="8"/>
    </row>
    <row r="1652">
      <c r="B1652" s="8"/>
    </row>
    <row r="1653">
      <c r="B1653" s="8"/>
    </row>
    <row r="1654">
      <c r="B1654" s="8"/>
    </row>
    <row r="1655">
      <c r="B1655" s="8"/>
    </row>
    <row r="1656">
      <c r="B1656" s="8"/>
    </row>
    <row r="1657">
      <c r="B1657" s="8"/>
    </row>
    <row r="1658">
      <c r="B1658" s="8"/>
    </row>
    <row r="1659">
      <c r="B1659" s="8"/>
    </row>
    <row r="1660">
      <c r="B1660" s="8"/>
    </row>
    <row r="1661">
      <c r="B1661" s="8"/>
    </row>
    <row r="1662">
      <c r="B1662" s="8"/>
    </row>
    <row r="1663">
      <c r="B1663" s="8"/>
    </row>
    <row r="1664">
      <c r="B1664" s="8"/>
    </row>
    <row r="1665">
      <c r="B1665" s="8"/>
    </row>
    <row r="1666">
      <c r="B1666" s="8"/>
    </row>
    <row r="1667">
      <c r="B1667" s="8"/>
    </row>
    <row r="1668">
      <c r="B1668" s="8"/>
    </row>
    <row r="1669">
      <c r="B1669" s="8"/>
    </row>
    <row r="1670">
      <c r="B1670" s="8"/>
    </row>
    <row r="1671">
      <c r="B1671" s="8"/>
    </row>
    <row r="1672">
      <c r="B1672" s="8"/>
    </row>
    <row r="1673">
      <c r="B1673" s="8"/>
    </row>
    <row r="1674">
      <c r="B1674" s="8"/>
    </row>
    <row r="1675">
      <c r="B1675" s="8"/>
    </row>
    <row r="1676">
      <c r="B1676" s="8"/>
    </row>
    <row r="1677">
      <c r="B1677" s="8"/>
    </row>
    <row r="1678">
      <c r="B1678" s="8"/>
    </row>
    <row r="1679">
      <c r="B1679" s="8"/>
    </row>
    <row r="1680">
      <c r="B1680" s="8"/>
    </row>
    <row r="1681">
      <c r="B1681" s="8"/>
    </row>
    <row r="1682">
      <c r="B1682" s="8"/>
    </row>
    <row r="1683">
      <c r="B1683" s="8"/>
    </row>
    <row r="1684">
      <c r="B1684" s="8"/>
    </row>
    <row r="1685">
      <c r="B1685" s="8"/>
    </row>
    <row r="1686">
      <c r="B1686" s="8"/>
    </row>
    <row r="1687">
      <c r="B1687" s="8"/>
    </row>
    <row r="1688">
      <c r="B1688" s="8"/>
    </row>
    <row r="1689">
      <c r="B1689" s="8"/>
    </row>
    <row r="1690">
      <c r="B1690" s="8"/>
    </row>
    <row r="1691">
      <c r="B1691" s="8"/>
    </row>
    <row r="1692">
      <c r="B1692" s="8"/>
    </row>
    <row r="1693">
      <c r="B1693" s="8"/>
    </row>
    <row r="1694">
      <c r="B1694" s="8"/>
    </row>
    <row r="1695">
      <c r="B1695" s="8"/>
    </row>
    <row r="1696">
      <c r="B1696" s="8"/>
    </row>
    <row r="1697">
      <c r="B1697" s="8"/>
    </row>
    <row r="1698">
      <c r="B1698" s="8"/>
    </row>
    <row r="1699">
      <c r="B1699" s="8"/>
    </row>
    <row r="1700">
      <c r="B1700" s="8"/>
    </row>
    <row r="1701">
      <c r="B1701" s="8"/>
    </row>
    <row r="1702">
      <c r="B1702" s="8"/>
    </row>
    <row r="1703">
      <c r="B1703" s="8"/>
    </row>
    <row r="1704">
      <c r="B1704" s="8"/>
    </row>
    <row r="1705">
      <c r="B1705" s="8"/>
    </row>
    <row r="1706">
      <c r="B1706" s="8"/>
    </row>
    <row r="1707">
      <c r="B1707" s="8"/>
    </row>
    <row r="1708">
      <c r="B1708" s="8"/>
    </row>
    <row r="1709">
      <c r="B1709" s="8"/>
    </row>
    <row r="1710">
      <c r="B1710" s="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5" max="5" width="55.13"/>
    <col customWidth="1" min="6" max="6" width="39.63"/>
  </cols>
  <sheetData>
    <row r="1">
      <c r="A1" s="75" t="s">
        <v>2586</v>
      </c>
      <c r="B1" s="75" t="s">
        <v>2587</v>
      </c>
      <c r="C1" s="76" t="s">
        <v>2588</v>
      </c>
      <c r="D1" s="76" t="s">
        <v>2589</v>
      </c>
      <c r="E1" s="76" t="s">
        <v>2590</v>
      </c>
      <c r="F1" s="76" t="s">
        <v>2591</v>
      </c>
    </row>
    <row r="2">
      <c r="A2" s="5" t="s">
        <v>2592</v>
      </c>
      <c r="B2" s="8" t="s">
        <v>187</v>
      </c>
      <c r="C2" s="4" t="s">
        <v>20</v>
      </c>
      <c r="D2" s="5" t="s">
        <v>191</v>
      </c>
      <c r="E2" s="5" t="s">
        <v>2593</v>
      </c>
      <c r="F2" s="4" t="s">
        <v>906</v>
      </c>
    </row>
    <row r="3">
      <c r="A3" s="5" t="s">
        <v>2594</v>
      </c>
      <c r="B3" s="8">
        <v>2.0</v>
      </c>
      <c r="C3" s="4" t="s">
        <v>20</v>
      </c>
      <c r="D3" s="5" t="s">
        <v>191</v>
      </c>
      <c r="E3" s="5" t="s">
        <v>2593</v>
      </c>
      <c r="F3" s="4" t="s">
        <v>906</v>
      </c>
    </row>
    <row r="4">
      <c r="A4" s="5" t="s">
        <v>2595</v>
      </c>
      <c r="B4" s="8">
        <v>2.0</v>
      </c>
      <c r="C4" s="4" t="s">
        <v>20</v>
      </c>
      <c r="D4" s="5" t="s">
        <v>191</v>
      </c>
      <c r="E4" s="5" t="s">
        <v>2593</v>
      </c>
      <c r="F4" s="4" t="s">
        <v>2596</v>
      </c>
    </row>
    <row r="5">
      <c r="A5" s="5" t="s">
        <v>2597</v>
      </c>
      <c r="B5" s="8">
        <v>2.0</v>
      </c>
      <c r="C5" s="4" t="s">
        <v>20</v>
      </c>
      <c r="D5" s="5" t="s">
        <v>191</v>
      </c>
      <c r="E5" s="5" t="s">
        <v>2593</v>
      </c>
      <c r="F5" s="4" t="s">
        <v>906</v>
      </c>
    </row>
    <row r="6">
      <c r="A6" s="7" t="s">
        <v>8</v>
      </c>
      <c r="B6" s="8">
        <v>2.0</v>
      </c>
      <c r="C6" s="4" t="s">
        <v>20</v>
      </c>
      <c r="D6" s="5" t="s">
        <v>191</v>
      </c>
      <c r="E6" s="5" t="s">
        <v>2593</v>
      </c>
      <c r="F6" s="4" t="s">
        <v>2598</v>
      </c>
    </row>
    <row r="7">
      <c r="A7" s="5" t="s">
        <v>2599</v>
      </c>
      <c r="B7" s="8">
        <v>2.0</v>
      </c>
      <c r="C7" s="4" t="s">
        <v>20</v>
      </c>
      <c r="D7" s="5" t="s">
        <v>191</v>
      </c>
      <c r="E7" s="5" t="s">
        <v>2593</v>
      </c>
      <c r="F7" s="4" t="s">
        <v>906</v>
      </c>
    </row>
    <row r="8">
      <c r="A8" s="5" t="s">
        <v>2600</v>
      </c>
      <c r="B8" s="8">
        <v>2.0</v>
      </c>
      <c r="C8" s="4" t="s">
        <v>20</v>
      </c>
      <c r="D8" s="5" t="s">
        <v>191</v>
      </c>
      <c r="E8" s="5" t="s">
        <v>2593</v>
      </c>
      <c r="F8" s="4" t="s">
        <v>2601</v>
      </c>
    </row>
    <row r="9">
      <c r="A9" s="5" t="s">
        <v>2602</v>
      </c>
      <c r="B9" s="8">
        <v>2.0</v>
      </c>
      <c r="C9" s="4" t="s">
        <v>20</v>
      </c>
      <c r="D9" s="5" t="s">
        <v>191</v>
      </c>
      <c r="E9" s="5" t="s">
        <v>2593</v>
      </c>
      <c r="F9" s="4" t="s">
        <v>906</v>
      </c>
    </row>
    <row r="10">
      <c r="A10" s="5" t="s">
        <v>2603</v>
      </c>
      <c r="B10" s="8">
        <v>2.0</v>
      </c>
      <c r="C10" s="4" t="s">
        <v>20</v>
      </c>
      <c r="D10" s="5" t="s">
        <v>191</v>
      </c>
      <c r="E10" s="5" t="s">
        <v>2593</v>
      </c>
      <c r="F10" s="4" t="s">
        <v>906</v>
      </c>
    </row>
    <row r="11">
      <c r="A11" s="5" t="s">
        <v>2604</v>
      </c>
      <c r="B11" s="8">
        <v>2.0</v>
      </c>
      <c r="C11" s="4" t="s">
        <v>20</v>
      </c>
      <c r="D11" s="5" t="s">
        <v>191</v>
      </c>
      <c r="E11" s="5" t="s">
        <v>2593</v>
      </c>
      <c r="F11" s="4" t="s">
        <v>906</v>
      </c>
    </row>
    <row r="12">
      <c r="A12" s="5" t="s">
        <v>2605</v>
      </c>
      <c r="B12" s="8">
        <v>2.0</v>
      </c>
      <c r="C12" s="4" t="s">
        <v>20</v>
      </c>
      <c r="D12" s="5" t="s">
        <v>191</v>
      </c>
      <c r="E12" s="5" t="s">
        <v>2593</v>
      </c>
      <c r="F12" s="4" t="s">
        <v>2601</v>
      </c>
    </row>
    <row r="13">
      <c r="A13" s="5" t="s">
        <v>2606</v>
      </c>
      <c r="B13" s="8">
        <v>2.0</v>
      </c>
      <c r="C13" s="4" t="s">
        <v>20</v>
      </c>
      <c r="D13" s="5" t="s">
        <v>191</v>
      </c>
      <c r="E13" s="5" t="s">
        <v>2593</v>
      </c>
      <c r="F13" s="4" t="s">
        <v>906</v>
      </c>
    </row>
    <row r="14">
      <c r="A14" s="5" t="s">
        <v>2607</v>
      </c>
      <c r="B14" s="8">
        <v>2.0</v>
      </c>
      <c r="C14" s="4" t="s">
        <v>20</v>
      </c>
      <c r="D14" s="5" t="s">
        <v>191</v>
      </c>
      <c r="E14" s="5" t="s">
        <v>2593</v>
      </c>
      <c r="F14" s="4" t="s">
        <v>906</v>
      </c>
    </row>
    <row r="15">
      <c r="A15" s="5" t="s">
        <v>2608</v>
      </c>
      <c r="B15" s="8">
        <v>2.0</v>
      </c>
      <c r="C15" s="4" t="s">
        <v>20</v>
      </c>
      <c r="D15" s="5" t="s">
        <v>191</v>
      </c>
      <c r="E15" s="5" t="s">
        <v>2593</v>
      </c>
      <c r="F15" s="4" t="s">
        <v>906</v>
      </c>
    </row>
    <row r="16">
      <c r="A16" s="5" t="s">
        <v>2609</v>
      </c>
      <c r="B16" s="8">
        <v>2.0</v>
      </c>
      <c r="C16" s="4" t="s">
        <v>20</v>
      </c>
      <c r="D16" s="5" t="s">
        <v>191</v>
      </c>
      <c r="E16" s="5" t="s">
        <v>2593</v>
      </c>
      <c r="F16" s="4" t="s">
        <v>906</v>
      </c>
    </row>
    <row r="17">
      <c r="A17" s="5" t="s">
        <v>2597</v>
      </c>
      <c r="B17" s="8">
        <v>2.0</v>
      </c>
      <c r="C17" s="4" t="s">
        <v>27</v>
      </c>
      <c r="D17" s="5" t="s">
        <v>2610</v>
      </c>
      <c r="E17" s="5" t="s">
        <v>2611</v>
      </c>
      <c r="F17" s="4" t="s">
        <v>400</v>
      </c>
    </row>
    <row r="18">
      <c r="A18" s="5" t="s">
        <v>2603</v>
      </c>
      <c r="B18" s="8">
        <v>2.0</v>
      </c>
      <c r="C18" s="4" t="s">
        <v>27</v>
      </c>
      <c r="D18" s="5" t="s">
        <v>2610</v>
      </c>
      <c r="E18" s="5" t="s">
        <v>2611</v>
      </c>
      <c r="F18" s="4" t="s">
        <v>2612</v>
      </c>
    </row>
    <row r="19">
      <c r="A19" s="5" t="s">
        <v>2604</v>
      </c>
      <c r="B19" s="8">
        <v>2.0</v>
      </c>
      <c r="C19" s="4" t="s">
        <v>27</v>
      </c>
      <c r="D19" s="5" t="s">
        <v>2610</v>
      </c>
      <c r="E19" s="5" t="s">
        <v>2611</v>
      </c>
      <c r="F19" s="4" t="s">
        <v>2613</v>
      </c>
    </row>
    <row r="20">
      <c r="A20" s="5" t="s">
        <v>2614</v>
      </c>
      <c r="B20" s="8">
        <v>2.0</v>
      </c>
      <c r="C20" s="4" t="s">
        <v>27</v>
      </c>
      <c r="D20" s="5" t="s">
        <v>2610</v>
      </c>
      <c r="E20" s="5" t="s">
        <v>2611</v>
      </c>
      <c r="F20" s="4" t="s">
        <v>2615</v>
      </c>
    </row>
    <row r="21">
      <c r="A21" s="5" t="s">
        <v>2609</v>
      </c>
      <c r="B21" s="8">
        <v>2.0</v>
      </c>
      <c r="C21" s="4" t="s">
        <v>27</v>
      </c>
      <c r="D21" s="5" t="s">
        <v>2610</v>
      </c>
      <c r="E21" s="5" t="s">
        <v>2611</v>
      </c>
      <c r="F21" s="4" t="s">
        <v>2616</v>
      </c>
    </row>
    <row r="22">
      <c r="A22" s="5" t="s">
        <v>2592</v>
      </c>
      <c r="B22" s="8">
        <v>2.0</v>
      </c>
      <c r="C22" s="4" t="s">
        <v>35</v>
      </c>
      <c r="D22" s="7" t="s">
        <v>36</v>
      </c>
      <c r="E22" s="5" t="s">
        <v>2617</v>
      </c>
      <c r="F22" s="4" t="s">
        <v>240</v>
      </c>
    </row>
    <row r="23">
      <c r="A23" s="5" t="s">
        <v>2594</v>
      </c>
      <c r="B23" s="8">
        <v>2.0</v>
      </c>
      <c r="C23" s="4" t="s">
        <v>35</v>
      </c>
      <c r="D23" s="7" t="s">
        <v>36</v>
      </c>
      <c r="E23" s="5" t="s">
        <v>2617</v>
      </c>
      <c r="F23" s="4" t="s">
        <v>2618</v>
      </c>
    </row>
    <row r="24">
      <c r="A24" s="5" t="s">
        <v>2595</v>
      </c>
      <c r="B24" s="8">
        <v>2.0</v>
      </c>
      <c r="C24" s="4" t="s">
        <v>35</v>
      </c>
      <c r="D24" s="7" t="s">
        <v>36</v>
      </c>
      <c r="E24" s="5" t="s">
        <v>2617</v>
      </c>
      <c r="F24" s="4" t="s">
        <v>240</v>
      </c>
    </row>
    <row r="25">
      <c r="A25" s="5" t="s">
        <v>2597</v>
      </c>
      <c r="B25" s="8">
        <v>2.0</v>
      </c>
      <c r="C25" s="4" t="s">
        <v>35</v>
      </c>
      <c r="D25" s="7" t="s">
        <v>36</v>
      </c>
      <c r="E25" s="5" t="s">
        <v>2617</v>
      </c>
      <c r="F25" s="4" t="s">
        <v>240</v>
      </c>
    </row>
    <row r="26">
      <c r="A26" s="7" t="s">
        <v>8</v>
      </c>
      <c r="B26" s="8">
        <v>2.0</v>
      </c>
      <c r="C26" s="4" t="s">
        <v>35</v>
      </c>
      <c r="D26" s="7" t="s">
        <v>36</v>
      </c>
      <c r="E26" s="5" t="s">
        <v>2617</v>
      </c>
      <c r="F26" s="4" t="s">
        <v>2618</v>
      </c>
    </row>
    <row r="27">
      <c r="A27" s="5" t="s">
        <v>2599</v>
      </c>
      <c r="B27" s="8">
        <v>2.0</v>
      </c>
      <c r="C27" s="4" t="s">
        <v>35</v>
      </c>
      <c r="D27" s="7" t="s">
        <v>36</v>
      </c>
      <c r="E27" s="5" t="s">
        <v>2617</v>
      </c>
      <c r="F27" s="4" t="s">
        <v>2618</v>
      </c>
    </row>
    <row r="28">
      <c r="A28" s="5" t="s">
        <v>2600</v>
      </c>
      <c r="B28" s="8">
        <v>2.0</v>
      </c>
      <c r="C28" s="4" t="s">
        <v>35</v>
      </c>
      <c r="D28" s="7" t="s">
        <v>36</v>
      </c>
      <c r="E28" s="5" t="s">
        <v>2617</v>
      </c>
      <c r="F28" s="4" t="s">
        <v>2619</v>
      </c>
    </row>
    <row r="29">
      <c r="A29" s="5" t="s">
        <v>2602</v>
      </c>
      <c r="B29" s="8">
        <v>2.0</v>
      </c>
      <c r="C29" s="4" t="s">
        <v>35</v>
      </c>
      <c r="D29" s="7" t="s">
        <v>36</v>
      </c>
      <c r="E29" s="5" t="s">
        <v>2617</v>
      </c>
      <c r="F29" s="4" t="s">
        <v>2618</v>
      </c>
    </row>
    <row r="30">
      <c r="A30" s="5" t="s">
        <v>2603</v>
      </c>
      <c r="B30" s="8">
        <v>2.0</v>
      </c>
      <c r="C30" s="4" t="s">
        <v>35</v>
      </c>
      <c r="D30" s="7" t="s">
        <v>36</v>
      </c>
      <c r="E30" s="5" t="s">
        <v>2617</v>
      </c>
      <c r="F30" s="4" t="s">
        <v>2620</v>
      </c>
    </row>
    <row r="31">
      <c r="A31" s="5" t="s">
        <v>2604</v>
      </c>
      <c r="B31" s="8">
        <v>2.0</v>
      </c>
      <c r="C31" s="4" t="s">
        <v>35</v>
      </c>
      <c r="D31" s="7" t="s">
        <v>36</v>
      </c>
      <c r="E31" s="5" t="s">
        <v>2617</v>
      </c>
      <c r="F31" s="4" t="s">
        <v>2618</v>
      </c>
    </row>
    <row r="32">
      <c r="A32" s="5" t="s">
        <v>2605</v>
      </c>
      <c r="B32" s="8">
        <v>2.0</v>
      </c>
      <c r="C32" s="4" t="s">
        <v>35</v>
      </c>
      <c r="D32" s="7" t="s">
        <v>36</v>
      </c>
      <c r="E32" s="5" t="s">
        <v>2617</v>
      </c>
      <c r="F32" s="4" t="s">
        <v>2619</v>
      </c>
    </row>
    <row r="33">
      <c r="A33" s="5" t="s">
        <v>2606</v>
      </c>
      <c r="B33" s="8">
        <v>2.0</v>
      </c>
      <c r="C33" s="4" t="s">
        <v>35</v>
      </c>
      <c r="D33" s="7" t="s">
        <v>36</v>
      </c>
      <c r="E33" s="5" t="s">
        <v>2617</v>
      </c>
      <c r="F33" s="4" t="s">
        <v>240</v>
      </c>
    </row>
    <row r="34">
      <c r="A34" s="5" t="s">
        <v>2607</v>
      </c>
      <c r="B34" s="8">
        <v>2.0</v>
      </c>
      <c r="C34" s="4" t="s">
        <v>35</v>
      </c>
      <c r="D34" s="7" t="s">
        <v>36</v>
      </c>
      <c r="E34" s="5" t="s">
        <v>2617</v>
      </c>
      <c r="F34" s="4" t="s">
        <v>2618</v>
      </c>
    </row>
    <row r="35">
      <c r="A35" s="5" t="s">
        <v>2614</v>
      </c>
      <c r="B35" s="8">
        <v>2.0</v>
      </c>
      <c r="C35" s="4" t="s">
        <v>35</v>
      </c>
      <c r="D35" s="7" t="s">
        <v>36</v>
      </c>
      <c r="E35" s="5" t="s">
        <v>2617</v>
      </c>
      <c r="F35" s="4" t="s">
        <v>2621</v>
      </c>
    </row>
    <row r="36">
      <c r="A36" s="5" t="s">
        <v>2608</v>
      </c>
      <c r="B36" s="8">
        <v>2.0</v>
      </c>
      <c r="C36" s="4" t="s">
        <v>35</v>
      </c>
      <c r="D36" s="7" t="s">
        <v>36</v>
      </c>
      <c r="E36" s="5" t="s">
        <v>2617</v>
      </c>
      <c r="F36" s="4" t="s">
        <v>240</v>
      </c>
    </row>
    <row r="37">
      <c r="A37" s="5" t="s">
        <v>2609</v>
      </c>
      <c r="B37" s="8">
        <v>2.0</v>
      </c>
      <c r="C37" s="4" t="s">
        <v>35</v>
      </c>
      <c r="D37" s="7" t="s">
        <v>36</v>
      </c>
      <c r="E37" s="5" t="s">
        <v>2617</v>
      </c>
      <c r="F37" s="4" t="s">
        <v>240</v>
      </c>
    </row>
    <row r="38">
      <c r="A38" s="5" t="s">
        <v>2592</v>
      </c>
      <c r="B38" s="8">
        <v>2.0</v>
      </c>
      <c r="C38" s="7" t="s">
        <v>43</v>
      </c>
      <c r="D38" s="7" t="s">
        <v>44</v>
      </c>
      <c r="E38" s="7" t="s">
        <v>45</v>
      </c>
      <c r="F38" s="7" t="s">
        <v>46</v>
      </c>
    </row>
    <row r="39">
      <c r="A39" s="5" t="s">
        <v>2594</v>
      </c>
      <c r="B39" s="8">
        <v>2.0</v>
      </c>
      <c r="C39" s="7" t="s">
        <v>43</v>
      </c>
      <c r="D39" s="7" t="s">
        <v>44</v>
      </c>
      <c r="E39" s="7" t="s">
        <v>45</v>
      </c>
      <c r="F39" s="7" t="s">
        <v>46</v>
      </c>
    </row>
    <row r="40">
      <c r="A40" s="5" t="s">
        <v>2595</v>
      </c>
      <c r="B40" s="8">
        <v>2.0</v>
      </c>
      <c r="C40" s="7" t="s">
        <v>43</v>
      </c>
      <c r="D40" s="7" t="s">
        <v>44</v>
      </c>
      <c r="E40" s="7" t="s">
        <v>45</v>
      </c>
      <c r="F40" s="7" t="s">
        <v>47</v>
      </c>
    </row>
    <row r="41">
      <c r="A41" s="5" t="s">
        <v>2597</v>
      </c>
      <c r="B41" s="8">
        <v>2.0</v>
      </c>
      <c r="C41" s="7" t="s">
        <v>43</v>
      </c>
      <c r="D41" s="7" t="s">
        <v>44</v>
      </c>
      <c r="E41" s="7" t="s">
        <v>45</v>
      </c>
      <c r="F41" s="7" t="s">
        <v>47</v>
      </c>
    </row>
    <row r="42">
      <c r="A42" s="7" t="s">
        <v>8</v>
      </c>
      <c r="B42" s="8">
        <v>2.0</v>
      </c>
      <c r="C42" s="7" t="s">
        <v>43</v>
      </c>
      <c r="D42" s="7" t="s">
        <v>44</v>
      </c>
      <c r="E42" s="7" t="s">
        <v>45</v>
      </c>
      <c r="F42" s="7" t="s">
        <v>48</v>
      </c>
    </row>
    <row r="43">
      <c r="A43" s="5" t="s">
        <v>2599</v>
      </c>
      <c r="B43" s="8">
        <v>2.0</v>
      </c>
      <c r="C43" s="7" t="s">
        <v>43</v>
      </c>
      <c r="D43" s="7" t="s">
        <v>44</v>
      </c>
      <c r="E43" s="7" t="s">
        <v>45</v>
      </c>
      <c r="F43" s="7" t="s">
        <v>47</v>
      </c>
    </row>
    <row r="44">
      <c r="A44" s="5" t="s">
        <v>2600</v>
      </c>
      <c r="B44" s="8">
        <v>2.0</v>
      </c>
      <c r="C44" s="7" t="s">
        <v>43</v>
      </c>
      <c r="D44" s="7" t="s">
        <v>44</v>
      </c>
      <c r="E44" s="7" t="s">
        <v>45</v>
      </c>
      <c r="F44" s="7" t="s">
        <v>47</v>
      </c>
    </row>
    <row r="45">
      <c r="A45" s="5" t="s">
        <v>2602</v>
      </c>
      <c r="B45" s="8">
        <v>2.0</v>
      </c>
      <c r="C45" s="7" t="s">
        <v>43</v>
      </c>
      <c r="D45" s="7" t="s">
        <v>44</v>
      </c>
      <c r="E45" s="7" t="s">
        <v>45</v>
      </c>
      <c r="F45" s="7" t="s">
        <v>47</v>
      </c>
    </row>
    <row r="46">
      <c r="A46" s="5" t="s">
        <v>2603</v>
      </c>
      <c r="B46" s="8">
        <v>2.0</v>
      </c>
      <c r="C46" s="7" t="s">
        <v>43</v>
      </c>
      <c r="D46" s="7" t="s">
        <v>44</v>
      </c>
      <c r="E46" s="7" t="s">
        <v>45</v>
      </c>
      <c r="F46" s="7" t="s">
        <v>47</v>
      </c>
    </row>
    <row r="47">
      <c r="A47" s="5" t="s">
        <v>2604</v>
      </c>
      <c r="B47" s="8">
        <v>2.0</v>
      </c>
      <c r="C47" s="7" t="s">
        <v>43</v>
      </c>
      <c r="D47" s="7" t="s">
        <v>44</v>
      </c>
      <c r="E47" s="7" t="s">
        <v>45</v>
      </c>
      <c r="F47" s="7" t="s">
        <v>47</v>
      </c>
    </row>
    <row r="48">
      <c r="A48" s="5" t="s">
        <v>2605</v>
      </c>
      <c r="B48" s="8">
        <v>2.0</v>
      </c>
      <c r="C48" s="7" t="s">
        <v>43</v>
      </c>
      <c r="D48" s="7" t="s">
        <v>44</v>
      </c>
      <c r="E48" s="7" t="s">
        <v>45</v>
      </c>
      <c r="F48" s="7" t="s">
        <v>47</v>
      </c>
    </row>
    <row r="49">
      <c r="A49" s="5" t="s">
        <v>2606</v>
      </c>
      <c r="B49" s="8">
        <v>2.0</v>
      </c>
      <c r="C49" s="7" t="s">
        <v>43</v>
      </c>
      <c r="D49" s="7" t="s">
        <v>44</v>
      </c>
      <c r="E49" s="7" t="s">
        <v>45</v>
      </c>
      <c r="F49" s="7" t="s">
        <v>47</v>
      </c>
    </row>
    <row r="50">
      <c r="A50" s="5" t="s">
        <v>2607</v>
      </c>
      <c r="B50" s="8">
        <v>2.0</v>
      </c>
      <c r="C50" s="7" t="s">
        <v>43</v>
      </c>
      <c r="D50" s="7" t="s">
        <v>44</v>
      </c>
      <c r="E50" s="7" t="s">
        <v>45</v>
      </c>
      <c r="F50" s="7" t="s">
        <v>47</v>
      </c>
    </row>
    <row r="51">
      <c r="A51" s="5" t="s">
        <v>2614</v>
      </c>
      <c r="B51" s="8">
        <v>2.0</v>
      </c>
      <c r="C51" s="7" t="s">
        <v>43</v>
      </c>
      <c r="D51" s="7" t="s">
        <v>44</v>
      </c>
      <c r="E51" s="7" t="s">
        <v>45</v>
      </c>
      <c r="F51" s="7" t="s">
        <v>47</v>
      </c>
    </row>
    <row r="52">
      <c r="A52" s="5" t="s">
        <v>2608</v>
      </c>
      <c r="B52" s="8">
        <v>2.0</v>
      </c>
      <c r="C52" s="7" t="s">
        <v>43</v>
      </c>
      <c r="D52" s="7" t="s">
        <v>44</v>
      </c>
      <c r="E52" s="7" t="s">
        <v>45</v>
      </c>
      <c r="F52" s="7" t="s">
        <v>47</v>
      </c>
    </row>
    <row r="53">
      <c r="A53" s="5" t="s">
        <v>2592</v>
      </c>
      <c r="B53" s="8">
        <v>2.0</v>
      </c>
      <c r="C53" s="7" t="s">
        <v>49</v>
      </c>
      <c r="D53" s="7" t="s">
        <v>50</v>
      </c>
      <c r="E53" s="5" t="s">
        <v>2622</v>
      </c>
      <c r="F53" s="5" t="s">
        <v>52</v>
      </c>
    </row>
    <row r="54">
      <c r="A54" s="5" t="s">
        <v>2594</v>
      </c>
      <c r="B54" s="8">
        <v>2.0</v>
      </c>
      <c r="C54" s="7" t="s">
        <v>49</v>
      </c>
      <c r="D54" s="7" t="s">
        <v>50</v>
      </c>
      <c r="E54" s="5" t="s">
        <v>2622</v>
      </c>
      <c r="F54" s="5" t="s">
        <v>53</v>
      </c>
    </row>
    <row r="55">
      <c r="A55" s="5" t="s">
        <v>2595</v>
      </c>
      <c r="B55" s="8">
        <v>2.0</v>
      </c>
      <c r="C55" s="7" t="s">
        <v>49</v>
      </c>
      <c r="D55" s="7" t="s">
        <v>50</v>
      </c>
      <c r="E55" s="5" t="s">
        <v>2622</v>
      </c>
      <c r="F55" s="5" t="s">
        <v>54</v>
      </c>
    </row>
    <row r="56">
      <c r="A56" s="5" t="s">
        <v>2597</v>
      </c>
      <c r="B56" s="8">
        <v>2.0</v>
      </c>
      <c r="C56" s="7" t="s">
        <v>49</v>
      </c>
      <c r="D56" s="7" t="s">
        <v>50</v>
      </c>
      <c r="E56" s="5" t="s">
        <v>2622</v>
      </c>
      <c r="F56" s="5" t="s">
        <v>54</v>
      </c>
    </row>
    <row r="57">
      <c r="A57" s="7" t="s">
        <v>8</v>
      </c>
      <c r="B57" s="8">
        <v>2.0</v>
      </c>
      <c r="C57" s="7" t="s">
        <v>49</v>
      </c>
      <c r="D57" s="7" t="s">
        <v>50</v>
      </c>
      <c r="E57" s="5" t="s">
        <v>2622</v>
      </c>
      <c r="F57" s="5" t="s">
        <v>55</v>
      </c>
    </row>
    <row r="58">
      <c r="A58" s="5" t="s">
        <v>2599</v>
      </c>
      <c r="B58" s="8">
        <v>2.0</v>
      </c>
      <c r="C58" s="7" t="s">
        <v>49</v>
      </c>
      <c r="D58" s="7" t="s">
        <v>50</v>
      </c>
      <c r="E58" s="5" t="s">
        <v>2622</v>
      </c>
      <c r="F58" s="5" t="s">
        <v>56</v>
      </c>
    </row>
    <row r="59">
      <c r="A59" s="5" t="s">
        <v>2600</v>
      </c>
      <c r="B59" s="8">
        <v>2.0</v>
      </c>
      <c r="C59" s="7" t="s">
        <v>49</v>
      </c>
      <c r="D59" s="7" t="s">
        <v>50</v>
      </c>
      <c r="E59" s="5" t="s">
        <v>2622</v>
      </c>
      <c r="F59" s="5" t="s">
        <v>56</v>
      </c>
    </row>
    <row r="60">
      <c r="A60" s="5" t="s">
        <v>2602</v>
      </c>
      <c r="B60" s="8">
        <v>2.0</v>
      </c>
      <c r="C60" s="7" t="s">
        <v>49</v>
      </c>
      <c r="D60" s="7" t="s">
        <v>50</v>
      </c>
      <c r="E60" s="5" t="s">
        <v>2622</v>
      </c>
      <c r="F60" s="5" t="s">
        <v>56</v>
      </c>
    </row>
    <row r="61">
      <c r="A61" s="5" t="s">
        <v>2603</v>
      </c>
      <c r="B61" s="8">
        <v>2.0</v>
      </c>
      <c r="C61" s="7" t="s">
        <v>49</v>
      </c>
      <c r="D61" s="7" t="s">
        <v>50</v>
      </c>
      <c r="E61" s="5" t="s">
        <v>2622</v>
      </c>
      <c r="F61" s="5" t="s">
        <v>56</v>
      </c>
    </row>
    <row r="62">
      <c r="A62" s="5" t="s">
        <v>2604</v>
      </c>
      <c r="B62" s="8">
        <v>2.0</v>
      </c>
      <c r="C62" s="7" t="s">
        <v>49</v>
      </c>
      <c r="D62" s="7" t="s">
        <v>50</v>
      </c>
      <c r="E62" s="5" t="s">
        <v>2622</v>
      </c>
      <c r="F62" s="5" t="s">
        <v>56</v>
      </c>
    </row>
    <row r="63">
      <c r="A63" s="5" t="s">
        <v>2605</v>
      </c>
      <c r="B63" s="8">
        <v>2.0</v>
      </c>
      <c r="C63" s="7" t="s">
        <v>49</v>
      </c>
      <c r="D63" s="7" t="s">
        <v>50</v>
      </c>
      <c r="E63" s="5" t="s">
        <v>2622</v>
      </c>
      <c r="F63" s="5" t="s">
        <v>56</v>
      </c>
    </row>
    <row r="64">
      <c r="A64" s="5" t="s">
        <v>2606</v>
      </c>
      <c r="B64" s="8">
        <v>2.0</v>
      </c>
      <c r="C64" s="7" t="s">
        <v>49</v>
      </c>
      <c r="D64" s="7" t="s">
        <v>50</v>
      </c>
      <c r="E64" s="5" t="s">
        <v>2622</v>
      </c>
      <c r="F64" s="5" t="s">
        <v>57</v>
      </c>
    </row>
    <row r="65">
      <c r="A65" s="5" t="s">
        <v>2607</v>
      </c>
      <c r="B65" s="8">
        <v>2.0</v>
      </c>
      <c r="C65" s="7" t="s">
        <v>49</v>
      </c>
      <c r="D65" s="7" t="s">
        <v>50</v>
      </c>
      <c r="E65" s="5" t="s">
        <v>2622</v>
      </c>
      <c r="F65" s="5" t="s">
        <v>56</v>
      </c>
    </row>
    <row r="66">
      <c r="A66" s="5" t="s">
        <v>2614</v>
      </c>
      <c r="B66" s="8">
        <v>2.0</v>
      </c>
      <c r="C66" s="7" t="s">
        <v>49</v>
      </c>
      <c r="D66" s="7" t="s">
        <v>50</v>
      </c>
      <c r="E66" s="5" t="s">
        <v>2622</v>
      </c>
      <c r="F66" s="5" t="s">
        <v>58</v>
      </c>
    </row>
    <row r="67">
      <c r="A67" s="5" t="s">
        <v>2608</v>
      </c>
      <c r="B67" s="8">
        <v>2.0</v>
      </c>
      <c r="C67" s="7" t="s">
        <v>49</v>
      </c>
      <c r="D67" s="7" t="s">
        <v>50</v>
      </c>
      <c r="E67" s="5" t="s">
        <v>2622</v>
      </c>
      <c r="F67" s="5" t="s">
        <v>58</v>
      </c>
    </row>
    <row r="68">
      <c r="A68" s="5" t="s">
        <v>2609</v>
      </c>
      <c r="B68" s="8">
        <v>2.0</v>
      </c>
      <c r="C68" s="7" t="s">
        <v>49</v>
      </c>
      <c r="D68" s="7" t="s">
        <v>50</v>
      </c>
      <c r="E68" s="5" t="s">
        <v>2622</v>
      </c>
      <c r="F68" s="5" t="s">
        <v>58</v>
      </c>
    </row>
    <row r="69">
      <c r="A69" s="5" t="s">
        <v>2592</v>
      </c>
      <c r="B69" s="8">
        <v>2.0</v>
      </c>
      <c r="C69" s="4" t="s">
        <v>59</v>
      </c>
      <c r="D69" s="7" t="s">
        <v>60</v>
      </c>
      <c r="E69" s="5" t="s">
        <v>2623</v>
      </c>
      <c r="F69" s="5" t="s">
        <v>52</v>
      </c>
    </row>
    <row r="70">
      <c r="A70" s="5" t="s">
        <v>2594</v>
      </c>
      <c r="B70" s="8">
        <v>2.0</v>
      </c>
      <c r="C70" s="4" t="s">
        <v>59</v>
      </c>
      <c r="D70" s="7" t="s">
        <v>60</v>
      </c>
      <c r="E70" s="5" t="s">
        <v>2623</v>
      </c>
      <c r="F70" s="5" t="s">
        <v>53</v>
      </c>
    </row>
    <row r="71">
      <c r="A71" s="5" t="s">
        <v>2595</v>
      </c>
      <c r="B71" s="8">
        <v>2.0</v>
      </c>
      <c r="C71" s="4" t="s">
        <v>59</v>
      </c>
      <c r="D71" s="7" t="s">
        <v>60</v>
      </c>
      <c r="E71" s="5" t="s">
        <v>2623</v>
      </c>
      <c r="F71" s="5" t="s">
        <v>54</v>
      </c>
    </row>
    <row r="72">
      <c r="A72" s="5" t="s">
        <v>2597</v>
      </c>
      <c r="B72" s="8">
        <v>2.0</v>
      </c>
      <c r="C72" s="4" t="s">
        <v>59</v>
      </c>
      <c r="D72" s="7" t="s">
        <v>60</v>
      </c>
      <c r="E72" s="5" t="s">
        <v>2623</v>
      </c>
      <c r="F72" s="5" t="s">
        <v>54</v>
      </c>
    </row>
    <row r="73">
      <c r="A73" s="7" t="s">
        <v>8</v>
      </c>
      <c r="B73" s="8">
        <v>2.0</v>
      </c>
      <c r="C73" s="4" t="s">
        <v>59</v>
      </c>
      <c r="D73" s="7" t="s">
        <v>60</v>
      </c>
      <c r="E73" s="5" t="s">
        <v>2623</v>
      </c>
      <c r="F73" s="5" t="s">
        <v>55</v>
      </c>
    </row>
    <row r="74">
      <c r="A74" s="5" t="s">
        <v>2599</v>
      </c>
      <c r="B74" s="8">
        <v>2.0</v>
      </c>
      <c r="C74" s="4" t="s">
        <v>59</v>
      </c>
      <c r="D74" s="7" t="s">
        <v>60</v>
      </c>
      <c r="E74" s="5" t="s">
        <v>2623</v>
      </c>
      <c r="F74" s="5" t="s">
        <v>56</v>
      </c>
    </row>
    <row r="75">
      <c r="A75" s="5" t="s">
        <v>2600</v>
      </c>
      <c r="B75" s="8">
        <v>2.0</v>
      </c>
      <c r="C75" s="4" t="s">
        <v>59</v>
      </c>
      <c r="D75" s="7" t="s">
        <v>60</v>
      </c>
      <c r="E75" s="5" t="s">
        <v>2623</v>
      </c>
      <c r="F75" s="5" t="s">
        <v>56</v>
      </c>
    </row>
    <row r="76">
      <c r="A76" s="5" t="s">
        <v>2602</v>
      </c>
      <c r="B76" s="8">
        <v>2.0</v>
      </c>
      <c r="C76" s="4" t="s">
        <v>59</v>
      </c>
      <c r="D76" s="7" t="s">
        <v>60</v>
      </c>
      <c r="E76" s="5" t="s">
        <v>2623</v>
      </c>
      <c r="F76" s="5" t="s">
        <v>56</v>
      </c>
    </row>
    <row r="77">
      <c r="A77" s="5" t="s">
        <v>2603</v>
      </c>
      <c r="B77" s="8">
        <v>2.0</v>
      </c>
      <c r="C77" s="4" t="s">
        <v>59</v>
      </c>
      <c r="D77" s="7" t="s">
        <v>60</v>
      </c>
      <c r="E77" s="5" t="s">
        <v>2623</v>
      </c>
      <c r="F77" s="5" t="s">
        <v>56</v>
      </c>
    </row>
    <row r="78">
      <c r="A78" s="5" t="s">
        <v>2604</v>
      </c>
      <c r="B78" s="8">
        <v>2.0</v>
      </c>
      <c r="C78" s="4" t="s">
        <v>59</v>
      </c>
      <c r="D78" s="7" t="s">
        <v>60</v>
      </c>
      <c r="E78" s="5" t="s">
        <v>2623</v>
      </c>
      <c r="F78" s="5" t="s">
        <v>56</v>
      </c>
    </row>
    <row r="79">
      <c r="A79" s="5" t="s">
        <v>2605</v>
      </c>
      <c r="B79" s="8">
        <v>2.0</v>
      </c>
      <c r="C79" s="4" t="s">
        <v>59</v>
      </c>
      <c r="D79" s="7" t="s">
        <v>60</v>
      </c>
      <c r="E79" s="5" t="s">
        <v>2623</v>
      </c>
      <c r="F79" s="5" t="s">
        <v>56</v>
      </c>
    </row>
    <row r="80">
      <c r="A80" s="5" t="s">
        <v>2606</v>
      </c>
      <c r="B80" s="8">
        <v>2.0</v>
      </c>
      <c r="C80" s="4" t="s">
        <v>59</v>
      </c>
      <c r="D80" s="7" t="s">
        <v>60</v>
      </c>
      <c r="E80" s="5" t="s">
        <v>2623</v>
      </c>
      <c r="F80" s="5" t="s">
        <v>57</v>
      </c>
    </row>
    <row r="81">
      <c r="A81" s="5" t="s">
        <v>2607</v>
      </c>
      <c r="B81" s="8">
        <v>2.0</v>
      </c>
      <c r="C81" s="4" t="s">
        <v>59</v>
      </c>
      <c r="D81" s="7" t="s">
        <v>60</v>
      </c>
      <c r="E81" s="5" t="s">
        <v>2623</v>
      </c>
      <c r="F81" s="5" t="s">
        <v>56</v>
      </c>
    </row>
    <row r="82">
      <c r="A82" s="5" t="s">
        <v>2614</v>
      </c>
      <c r="B82" s="8">
        <v>2.0</v>
      </c>
      <c r="C82" s="4" t="s">
        <v>59</v>
      </c>
      <c r="D82" s="7" t="s">
        <v>60</v>
      </c>
      <c r="E82" s="5" t="s">
        <v>2623</v>
      </c>
      <c r="F82" s="5" t="s">
        <v>58</v>
      </c>
    </row>
    <row r="83">
      <c r="A83" s="5" t="s">
        <v>2608</v>
      </c>
      <c r="B83" s="8">
        <v>2.0</v>
      </c>
      <c r="C83" s="4" t="s">
        <v>59</v>
      </c>
      <c r="D83" s="7" t="s">
        <v>60</v>
      </c>
      <c r="E83" s="5" t="s">
        <v>2623</v>
      </c>
      <c r="F83" s="5" t="s">
        <v>58</v>
      </c>
    </row>
    <row r="84">
      <c r="A84" s="5" t="s">
        <v>2609</v>
      </c>
      <c r="B84" s="8">
        <v>2.0</v>
      </c>
      <c r="C84" s="4" t="s">
        <v>59</v>
      </c>
      <c r="D84" s="7" t="s">
        <v>60</v>
      </c>
      <c r="E84" s="5" t="s">
        <v>2623</v>
      </c>
      <c r="F84" s="5" t="s">
        <v>58</v>
      </c>
    </row>
    <row r="85">
      <c r="A85" s="5" t="s">
        <v>2592</v>
      </c>
      <c r="B85" s="8">
        <v>2.0</v>
      </c>
      <c r="C85" s="7" t="s">
        <v>62</v>
      </c>
      <c r="D85" s="7" t="s">
        <v>63</v>
      </c>
      <c r="E85" s="7" t="s">
        <v>64</v>
      </c>
      <c r="F85" s="7" t="s">
        <v>65</v>
      </c>
    </row>
    <row r="86">
      <c r="A86" s="5" t="s">
        <v>2594</v>
      </c>
      <c r="B86" s="8">
        <v>2.0</v>
      </c>
      <c r="C86" s="7" t="s">
        <v>62</v>
      </c>
      <c r="D86" s="7" t="s">
        <v>63</v>
      </c>
      <c r="E86" s="7" t="s">
        <v>64</v>
      </c>
      <c r="F86" s="7" t="s">
        <v>65</v>
      </c>
    </row>
    <row r="87">
      <c r="A87" s="5" t="s">
        <v>2595</v>
      </c>
      <c r="B87" s="8">
        <v>2.0</v>
      </c>
      <c r="C87" s="7" t="s">
        <v>62</v>
      </c>
      <c r="D87" s="7" t="s">
        <v>63</v>
      </c>
      <c r="E87" s="7" t="s">
        <v>64</v>
      </c>
      <c r="F87" s="7" t="s">
        <v>65</v>
      </c>
    </row>
    <row r="88">
      <c r="A88" s="5" t="s">
        <v>2597</v>
      </c>
      <c r="B88" s="8">
        <v>2.0</v>
      </c>
      <c r="C88" s="7" t="s">
        <v>62</v>
      </c>
      <c r="D88" s="7" t="s">
        <v>63</v>
      </c>
      <c r="E88" s="7" t="s">
        <v>64</v>
      </c>
      <c r="F88" s="7" t="s">
        <v>65</v>
      </c>
    </row>
    <row r="89">
      <c r="A89" s="7" t="s">
        <v>8</v>
      </c>
      <c r="B89" s="8">
        <v>2.0</v>
      </c>
      <c r="C89" s="7" t="s">
        <v>62</v>
      </c>
      <c r="D89" s="7" t="s">
        <v>63</v>
      </c>
      <c r="E89" s="7" t="s">
        <v>64</v>
      </c>
      <c r="F89" s="7" t="s">
        <v>66</v>
      </c>
    </row>
    <row r="90">
      <c r="A90" s="5" t="s">
        <v>2599</v>
      </c>
      <c r="B90" s="8">
        <v>2.0</v>
      </c>
      <c r="C90" s="7" t="s">
        <v>62</v>
      </c>
      <c r="D90" s="7" t="s">
        <v>63</v>
      </c>
      <c r="E90" s="7" t="s">
        <v>64</v>
      </c>
      <c r="F90" s="7" t="s">
        <v>65</v>
      </c>
    </row>
    <row r="91">
      <c r="A91" s="5" t="s">
        <v>2600</v>
      </c>
      <c r="B91" s="8">
        <v>2.0</v>
      </c>
      <c r="C91" s="7" t="s">
        <v>62</v>
      </c>
      <c r="D91" s="7" t="s">
        <v>63</v>
      </c>
      <c r="E91" s="7" t="s">
        <v>64</v>
      </c>
      <c r="F91" s="7" t="s">
        <v>65</v>
      </c>
    </row>
    <row r="92">
      <c r="A92" s="5" t="s">
        <v>2602</v>
      </c>
      <c r="B92" s="8">
        <v>2.0</v>
      </c>
      <c r="C92" s="7" t="s">
        <v>62</v>
      </c>
      <c r="D92" s="7" t="s">
        <v>63</v>
      </c>
      <c r="E92" s="7" t="s">
        <v>64</v>
      </c>
      <c r="F92" s="7" t="s">
        <v>65</v>
      </c>
    </row>
    <row r="93">
      <c r="A93" s="5" t="s">
        <v>2603</v>
      </c>
      <c r="B93" s="8">
        <v>2.0</v>
      </c>
      <c r="C93" s="7" t="s">
        <v>62</v>
      </c>
      <c r="D93" s="7" t="s">
        <v>63</v>
      </c>
      <c r="E93" s="7" t="s">
        <v>64</v>
      </c>
      <c r="F93" s="7" t="s">
        <v>65</v>
      </c>
    </row>
    <row r="94">
      <c r="A94" s="5" t="s">
        <v>2604</v>
      </c>
      <c r="B94" s="8">
        <v>2.0</v>
      </c>
      <c r="C94" s="7" t="s">
        <v>62</v>
      </c>
      <c r="D94" s="7" t="s">
        <v>63</v>
      </c>
      <c r="E94" s="7" t="s">
        <v>64</v>
      </c>
      <c r="F94" s="7" t="s">
        <v>65</v>
      </c>
    </row>
    <row r="95">
      <c r="A95" s="5" t="s">
        <v>2605</v>
      </c>
      <c r="B95" s="8">
        <v>2.0</v>
      </c>
      <c r="C95" s="7" t="s">
        <v>62</v>
      </c>
      <c r="D95" s="7" t="s">
        <v>63</v>
      </c>
      <c r="E95" s="7" t="s">
        <v>64</v>
      </c>
      <c r="F95" s="7" t="s">
        <v>65</v>
      </c>
    </row>
    <row r="96">
      <c r="A96" s="5" t="s">
        <v>2606</v>
      </c>
      <c r="B96" s="8">
        <v>2.0</v>
      </c>
      <c r="C96" s="7" t="s">
        <v>62</v>
      </c>
      <c r="D96" s="7" t="s">
        <v>63</v>
      </c>
      <c r="E96" s="7" t="s">
        <v>64</v>
      </c>
      <c r="F96" s="7" t="s">
        <v>65</v>
      </c>
    </row>
    <row r="97">
      <c r="A97" s="5" t="s">
        <v>2607</v>
      </c>
      <c r="B97" s="8">
        <v>2.0</v>
      </c>
      <c r="C97" s="7" t="s">
        <v>62</v>
      </c>
      <c r="D97" s="7" t="s">
        <v>63</v>
      </c>
      <c r="E97" s="7" t="s">
        <v>64</v>
      </c>
      <c r="F97" s="7" t="s">
        <v>65</v>
      </c>
    </row>
    <row r="98">
      <c r="A98" s="5" t="s">
        <v>2614</v>
      </c>
      <c r="B98" s="8">
        <v>2.0</v>
      </c>
      <c r="C98" s="7" t="s">
        <v>62</v>
      </c>
      <c r="D98" s="7" t="s">
        <v>63</v>
      </c>
      <c r="E98" s="7" t="s">
        <v>64</v>
      </c>
      <c r="F98" s="7" t="s">
        <v>65</v>
      </c>
    </row>
    <row r="99">
      <c r="A99" s="5" t="s">
        <v>2608</v>
      </c>
      <c r="B99" s="8">
        <v>2.0</v>
      </c>
      <c r="C99" s="7" t="s">
        <v>62</v>
      </c>
      <c r="D99" s="7" t="s">
        <v>63</v>
      </c>
      <c r="E99" s="7" t="s">
        <v>64</v>
      </c>
      <c r="F99" s="7" t="s">
        <v>65</v>
      </c>
    </row>
    <row r="100">
      <c r="A100" s="5" t="s">
        <v>2609</v>
      </c>
      <c r="B100" s="8">
        <v>2.0</v>
      </c>
      <c r="C100" s="7" t="s">
        <v>62</v>
      </c>
      <c r="D100" s="7" t="s">
        <v>63</v>
      </c>
      <c r="E100" s="7" t="s">
        <v>64</v>
      </c>
      <c r="F100" s="7" t="s">
        <v>65</v>
      </c>
    </row>
    <row r="101">
      <c r="A101" s="5" t="s">
        <v>2592</v>
      </c>
      <c r="B101" s="8">
        <v>2.0</v>
      </c>
      <c r="C101" s="7" t="s">
        <v>67</v>
      </c>
      <c r="D101" s="5" t="s">
        <v>2624</v>
      </c>
      <c r="E101" s="5" t="s">
        <v>2625</v>
      </c>
      <c r="F101" s="7" t="s">
        <v>70</v>
      </c>
    </row>
    <row r="102">
      <c r="A102" s="5" t="s">
        <v>2594</v>
      </c>
      <c r="B102" s="8">
        <v>2.0</v>
      </c>
      <c r="C102" s="7" t="s">
        <v>67</v>
      </c>
      <c r="D102" s="5" t="s">
        <v>2624</v>
      </c>
      <c r="E102" s="5" t="s">
        <v>2625</v>
      </c>
      <c r="F102" s="7" t="s">
        <v>70</v>
      </c>
    </row>
    <row r="103">
      <c r="A103" s="5" t="s">
        <v>2595</v>
      </c>
      <c r="B103" s="8">
        <v>2.0</v>
      </c>
      <c r="C103" s="7" t="s">
        <v>67</v>
      </c>
      <c r="D103" s="5" t="s">
        <v>2624</v>
      </c>
      <c r="E103" s="5" t="s">
        <v>2625</v>
      </c>
      <c r="F103" s="7" t="s">
        <v>70</v>
      </c>
    </row>
    <row r="104">
      <c r="A104" s="5" t="s">
        <v>2597</v>
      </c>
      <c r="B104" s="8">
        <v>2.0</v>
      </c>
      <c r="C104" s="7" t="s">
        <v>67</v>
      </c>
      <c r="D104" s="5" t="s">
        <v>2624</v>
      </c>
      <c r="E104" s="5" t="s">
        <v>2625</v>
      </c>
      <c r="F104" s="7" t="s">
        <v>70</v>
      </c>
    </row>
    <row r="105">
      <c r="A105" s="7" t="s">
        <v>8</v>
      </c>
      <c r="B105" s="8">
        <v>2.0</v>
      </c>
      <c r="C105" s="7" t="s">
        <v>67</v>
      </c>
      <c r="D105" s="5" t="s">
        <v>2624</v>
      </c>
      <c r="E105" s="5" t="s">
        <v>2625</v>
      </c>
      <c r="F105" s="7" t="s">
        <v>71</v>
      </c>
    </row>
    <row r="106">
      <c r="A106" s="5" t="s">
        <v>2599</v>
      </c>
      <c r="B106" s="8">
        <v>2.0</v>
      </c>
      <c r="C106" s="7" t="s">
        <v>67</v>
      </c>
      <c r="D106" s="5" t="s">
        <v>2624</v>
      </c>
      <c r="E106" s="5" t="s">
        <v>2625</v>
      </c>
      <c r="F106" s="7" t="s">
        <v>70</v>
      </c>
    </row>
    <row r="107">
      <c r="A107" s="5" t="s">
        <v>2600</v>
      </c>
      <c r="B107" s="8">
        <v>2.0</v>
      </c>
      <c r="C107" s="7" t="s">
        <v>67</v>
      </c>
      <c r="D107" s="5" t="s">
        <v>2624</v>
      </c>
      <c r="E107" s="5" t="s">
        <v>2625</v>
      </c>
      <c r="F107" s="7" t="s">
        <v>70</v>
      </c>
    </row>
    <row r="108">
      <c r="A108" s="5" t="s">
        <v>2602</v>
      </c>
      <c r="B108" s="8">
        <v>2.0</v>
      </c>
      <c r="C108" s="7" t="s">
        <v>67</v>
      </c>
      <c r="D108" s="5" t="s">
        <v>2624</v>
      </c>
      <c r="E108" s="5" t="s">
        <v>2625</v>
      </c>
      <c r="F108" s="7" t="s">
        <v>70</v>
      </c>
    </row>
    <row r="109">
      <c r="A109" s="5" t="s">
        <v>2603</v>
      </c>
      <c r="B109" s="8">
        <v>2.0</v>
      </c>
      <c r="C109" s="7" t="s">
        <v>67</v>
      </c>
      <c r="D109" s="5" t="s">
        <v>2624</v>
      </c>
      <c r="E109" s="5" t="s">
        <v>2625</v>
      </c>
      <c r="F109" s="7" t="s">
        <v>70</v>
      </c>
    </row>
    <row r="110">
      <c r="A110" s="5" t="s">
        <v>2604</v>
      </c>
      <c r="B110" s="8">
        <v>2.0</v>
      </c>
      <c r="C110" s="7" t="s">
        <v>67</v>
      </c>
      <c r="D110" s="5" t="s">
        <v>2624</v>
      </c>
      <c r="E110" s="5" t="s">
        <v>2625</v>
      </c>
      <c r="F110" s="7" t="s">
        <v>70</v>
      </c>
    </row>
    <row r="111">
      <c r="A111" s="5" t="s">
        <v>2605</v>
      </c>
      <c r="B111" s="8">
        <v>2.0</v>
      </c>
      <c r="C111" s="7" t="s">
        <v>67</v>
      </c>
      <c r="D111" s="5" t="s">
        <v>2624</v>
      </c>
      <c r="E111" s="5" t="s">
        <v>2625</v>
      </c>
      <c r="F111" s="7" t="s">
        <v>70</v>
      </c>
    </row>
    <row r="112">
      <c r="A112" s="5" t="s">
        <v>2606</v>
      </c>
      <c r="B112" s="8">
        <v>2.0</v>
      </c>
      <c r="C112" s="7" t="s">
        <v>67</v>
      </c>
      <c r="D112" s="5" t="s">
        <v>2624</v>
      </c>
      <c r="E112" s="5" t="s">
        <v>2625</v>
      </c>
      <c r="F112" s="7" t="s">
        <v>70</v>
      </c>
    </row>
    <row r="113">
      <c r="A113" s="5" t="s">
        <v>2607</v>
      </c>
      <c r="B113" s="8">
        <v>2.0</v>
      </c>
      <c r="C113" s="7" t="s">
        <v>67</v>
      </c>
      <c r="D113" s="5" t="s">
        <v>2624</v>
      </c>
      <c r="E113" s="5" t="s">
        <v>2625</v>
      </c>
      <c r="F113" s="7" t="s">
        <v>70</v>
      </c>
    </row>
    <row r="114">
      <c r="A114" s="5" t="s">
        <v>2614</v>
      </c>
      <c r="B114" s="8">
        <v>2.0</v>
      </c>
      <c r="C114" s="7" t="s">
        <v>67</v>
      </c>
      <c r="D114" s="5" t="s">
        <v>2624</v>
      </c>
      <c r="E114" s="5" t="s">
        <v>2625</v>
      </c>
      <c r="F114" s="7" t="s">
        <v>70</v>
      </c>
    </row>
    <row r="115">
      <c r="A115" s="5" t="s">
        <v>2608</v>
      </c>
      <c r="B115" s="8">
        <v>2.0</v>
      </c>
      <c r="C115" s="7" t="s">
        <v>67</v>
      </c>
      <c r="D115" s="5" t="s">
        <v>2624</v>
      </c>
      <c r="E115" s="5" t="s">
        <v>2625</v>
      </c>
      <c r="F115" s="7" t="s">
        <v>70</v>
      </c>
    </row>
    <row r="116">
      <c r="A116" s="5" t="s">
        <v>2609</v>
      </c>
      <c r="B116" s="8">
        <v>2.0</v>
      </c>
      <c r="C116" s="7" t="s">
        <v>67</v>
      </c>
      <c r="D116" s="5" t="s">
        <v>2624</v>
      </c>
      <c r="E116" s="5" t="s">
        <v>2625</v>
      </c>
      <c r="F116" s="7" t="s">
        <v>70</v>
      </c>
    </row>
    <row r="117">
      <c r="A117" s="5" t="s">
        <v>2592</v>
      </c>
      <c r="B117" s="8">
        <v>2.0</v>
      </c>
      <c r="C117" s="7" t="s">
        <v>72</v>
      </c>
      <c r="D117" s="7" t="s">
        <v>73</v>
      </c>
      <c r="E117" s="5" t="s">
        <v>74</v>
      </c>
      <c r="F117" s="5" t="s">
        <v>75</v>
      </c>
    </row>
    <row r="118">
      <c r="A118" s="5" t="s">
        <v>2594</v>
      </c>
      <c r="B118" s="8">
        <v>2.0</v>
      </c>
      <c r="C118" s="7" t="s">
        <v>72</v>
      </c>
      <c r="D118" s="7" t="s">
        <v>73</v>
      </c>
      <c r="E118" s="5" t="s">
        <v>74</v>
      </c>
      <c r="F118" s="5" t="s">
        <v>76</v>
      </c>
    </row>
    <row r="119">
      <c r="A119" s="5" t="s">
        <v>2595</v>
      </c>
      <c r="B119" s="8">
        <v>2.0</v>
      </c>
      <c r="C119" s="7" t="s">
        <v>72</v>
      </c>
      <c r="D119" s="7" t="s">
        <v>73</v>
      </c>
      <c r="E119" s="5" t="s">
        <v>74</v>
      </c>
      <c r="F119" s="5" t="s">
        <v>75</v>
      </c>
    </row>
    <row r="120">
      <c r="A120" s="5" t="s">
        <v>2597</v>
      </c>
      <c r="B120" s="8">
        <v>2.0</v>
      </c>
      <c r="C120" s="7" t="s">
        <v>72</v>
      </c>
      <c r="D120" s="7" t="s">
        <v>73</v>
      </c>
      <c r="E120" s="5" t="s">
        <v>74</v>
      </c>
      <c r="F120" s="5" t="s">
        <v>75</v>
      </c>
    </row>
    <row r="121">
      <c r="A121" s="7" t="s">
        <v>8</v>
      </c>
      <c r="B121" s="8">
        <v>2.0</v>
      </c>
      <c r="C121" s="7" t="s">
        <v>72</v>
      </c>
      <c r="D121" s="7" t="s">
        <v>73</v>
      </c>
      <c r="E121" s="5" t="s">
        <v>74</v>
      </c>
      <c r="F121" s="5" t="s">
        <v>76</v>
      </c>
    </row>
    <row r="122">
      <c r="A122" s="5" t="s">
        <v>2599</v>
      </c>
      <c r="B122" s="8">
        <v>2.0</v>
      </c>
      <c r="C122" s="7" t="s">
        <v>72</v>
      </c>
      <c r="D122" s="7" t="s">
        <v>73</v>
      </c>
      <c r="E122" s="5" t="s">
        <v>74</v>
      </c>
      <c r="F122" s="5" t="s">
        <v>76</v>
      </c>
    </row>
    <row r="123">
      <c r="A123" s="5" t="s">
        <v>2600</v>
      </c>
      <c r="B123" s="8">
        <v>2.0</v>
      </c>
      <c r="C123" s="7" t="s">
        <v>72</v>
      </c>
      <c r="D123" s="7" t="s">
        <v>73</v>
      </c>
      <c r="E123" s="5" t="s">
        <v>74</v>
      </c>
      <c r="F123" s="5" t="s">
        <v>76</v>
      </c>
    </row>
    <row r="124">
      <c r="A124" s="5" t="s">
        <v>2602</v>
      </c>
      <c r="B124" s="8">
        <v>2.0</v>
      </c>
      <c r="C124" s="7" t="s">
        <v>72</v>
      </c>
      <c r="D124" s="7" t="s">
        <v>73</v>
      </c>
      <c r="E124" s="5" t="s">
        <v>74</v>
      </c>
      <c r="F124" s="5" t="s">
        <v>76</v>
      </c>
    </row>
    <row r="125">
      <c r="A125" s="5" t="s">
        <v>2603</v>
      </c>
      <c r="B125" s="8">
        <v>2.0</v>
      </c>
      <c r="C125" s="7" t="s">
        <v>72</v>
      </c>
      <c r="D125" s="7" t="s">
        <v>73</v>
      </c>
      <c r="E125" s="5" t="s">
        <v>74</v>
      </c>
      <c r="F125" s="5" t="s">
        <v>76</v>
      </c>
    </row>
    <row r="126">
      <c r="A126" s="5" t="s">
        <v>2604</v>
      </c>
      <c r="B126" s="8">
        <v>2.0</v>
      </c>
      <c r="C126" s="7" t="s">
        <v>72</v>
      </c>
      <c r="D126" s="7" t="s">
        <v>73</v>
      </c>
      <c r="E126" s="5" t="s">
        <v>74</v>
      </c>
      <c r="F126" s="5" t="s">
        <v>76</v>
      </c>
    </row>
    <row r="127">
      <c r="A127" s="5" t="s">
        <v>2605</v>
      </c>
      <c r="B127" s="8">
        <v>2.0</v>
      </c>
      <c r="C127" s="7" t="s">
        <v>72</v>
      </c>
      <c r="D127" s="7" t="s">
        <v>73</v>
      </c>
      <c r="E127" s="5" t="s">
        <v>74</v>
      </c>
      <c r="F127" s="5" t="s">
        <v>76</v>
      </c>
    </row>
    <row r="128">
      <c r="A128" s="5" t="s">
        <v>2606</v>
      </c>
      <c r="B128" s="8">
        <v>2.0</v>
      </c>
      <c r="C128" s="7" t="s">
        <v>72</v>
      </c>
      <c r="D128" s="7" t="s">
        <v>73</v>
      </c>
      <c r="E128" s="5" t="s">
        <v>74</v>
      </c>
      <c r="F128" s="5" t="s">
        <v>77</v>
      </c>
    </row>
    <row r="129">
      <c r="A129" s="5" t="s">
        <v>2607</v>
      </c>
      <c r="B129" s="8">
        <v>2.0</v>
      </c>
      <c r="C129" s="7" t="s">
        <v>72</v>
      </c>
      <c r="D129" s="7" t="s">
        <v>73</v>
      </c>
      <c r="E129" s="5" t="s">
        <v>74</v>
      </c>
      <c r="F129" s="5" t="s">
        <v>76</v>
      </c>
    </row>
    <row r="130">
      <c r="A130" s="5" t="s">
        <v>2614</v>
      </c>
      <c r="B130" s="8">
        <v>2.0</v>
      </c>
      <c r="C130" s="7" t="s">
        <v>72</v>
      </c>
      <c r="D130" s="7" t="s">
        <v>73</v>
      </c>
      <c r="E130" s="5" t="s">
        <v>74</v>
      </c>
      <c r="F130" s="5" t="s">
        <v>75</v>
      </c>
    </row>
    <row r="131">
      <c r="A131" s="5" t="s">
        <v>2608</v>
      </c>
      <c r="B131" s="8">
        <v>2.0</v>
      </c>
      <c r="C131" s="7" t="s">
        <v>72</v>
      </c>
      <c r="D131" s="7" t="s">
        <v>73</v>
      </c>
      <c r="E131" s="5" t="s">
        <v>74</v>
      </c>
      <c r="F131" s="5" t="s">
        <v>77</v>
      </c>
    </row>
    <row r="132">
      <c r="A132" s="5" t="s">
        <v>2609</v>
      </c>
      <c r="B132" s="8">
        <v>2.0</v>
      </c>
      <c r="C132" s="7" t="s">
        <v>72</v>
      </c>
      <c r="D132" s="7" t="s">
        <v>73</v>
      </c>
      <c r="E132" s="5" t="s">
        <v>74</v>
      </c>
      <c r="F132" s="5" t="s">
        <v>77</v>
      </c>
    </row>
    <row r="133">
      <c r="A133" s="5" t="s">
        <v>2592</v>
      </c>
      <c r="B133" s="8">
        <v>2.0</v>
      </c>
      <c r="C133" s="7" t="s">
        <v>78</v>
      </c>
      <c r="D133" s="7" t="s">
        <v>79</v>
      </c>
      <c r="E133" s="5" t="s">
        <v>2626</v>
      </c>
      <c r="F133" s="5" t="s">
        <v>2627</v>
      </c>
    </row>
    <row r="134">
      <c r="A134" s="5" t="s">
        <v>2594</v>
      </c>
      <c r="B134" s="8">
        <v>2.0</v>
      </c>
      <c r="C134" s="7" t="s">
        <v>78</v>
      </c>
      <c r="D134" s="7" t="s">
        <v>79</v>
      </c>
      <c r="E134" s="5" t="s">
        <v>2626</v>
      </c>
      <c r="F134" s="5" t="s">
        <v>2627</v>
      </c>
    </row>
    <row r="135">
      <c r="A135" s="5" t="s">
        <v>2595</v>
      </c>
      <c r="B135" s="8">
        <v>2.0</v>
      </c>
      <c r="C135" s="7" t="s">
        <v>78</v>
      </c>
      <c r="D135" s="7" t="s">
        <v>79</v>
      </c>
      <c r="E135" s="5" t="s">
        <v>2626</v>
      </c>
      <c r="F135" s="5" t="s">
        <v>2628</v>
      </c>
    </row>
    <row r="136">
      <c r="A136" s="5" t="s">
        <v>2597</v>
      </c>
      <c r="B136" s="8">
        <v>2.0</v>
      </c>
      <c r="C136" s="7" t="s">
        <v>78</v>
      </c>
      <c r="D136" s="7" t="s">
        <v>79</v>
      </c>
      <c r="E136" s="5" t="s">
        <v>2626</v>
      </c>
      <c r="F136" s="5" t="s">
        <v>2629</v>
      </c>
    </row>
    <row r="137">
      <c r="A137" s="7" t="s">
        <v>8</v>
      </c>
      <c r="B137" s="8">
        <v>2.0</v>
      </c>
      <c r="C137" s="7" t="s">
        <v>78</v>
      </c>
      <c r="D137" s="7" t="s">
        <v>79</v>
      </c>
      <c r="E137" s="5" t="s">
        <v>2626</v>
      </c>
      <c r="F137" s="5" t="s">
        <v>2627</v>
      </c>
    </row>
    <row r="138">
      <c r="A138" s="5" t="s">
        <v>2599</v>
      </c>
      <c r="B138" s="8">
        <v>2.0</v>
      </c>
      <c r="C138" s="7" t="s">
        <v>78</v>
      </c>
      <c r="D138" s="7" t="s">
        <v>79</v>
      </c>
      <c r="E138" s="5" t="s">
        <v>2626</v>
      </c>
      <c r="F138" s="5" t="s">
        <v>2628</v>
      </c>
    </row>
    <row r="139">
      <c r="A139" s="5" t="s">
        <v>2600</v>
      </c>
      <c r="B139" s="8">
        <v>2.0</v>
      </c>
      <c r="C139" s="7" t="s">
        <v>78</v>
      </c>
      <c r="D139" s="7" t="s">
        <v>79</v>
      </c>
      <c r="E139" s="5" t="s">
        <v>2626</v>
      </c>
      <c r="F139" s="5" t="s">
        <v>2627</v>
      </c>
    </row>
    <row r="140">
      <c r="A140" s="5" t="s">
        <v>2602</v>
      </c>
      <c r="B140" s="8">
        <v>2.0</v>
      </c>
      <c r="C140" s="7" t="s">
        <v>78</v>
      </c>
      <c r="D140" s="7" t="s">
        <v>79</v>
      </c>
      <c r="E140" s="5" t="s">
        <v>2626</v>
      </c>
      <c r="F140" s="5" t="s">
        <v>2628</v>
      </c>
    </row>
    <row r="141">
      <c r="A141" s="5" t="s">
        <v>2603</v>
      </c>
      <c r="B141" s="8">
        <v>2.0</v>
      </c>
      <c r="C141" s="7" t="s">
        <v>78</v>
      </c>
      <c r="D141" s="7" t="s">
        <v>79</v>
      </c>
      <c r="E141" s="5" t="s">
        <v>2626</v>
      </c>
      <c r="F141" s="5" t="s">
        <v>2630</v>
      </c>
    </row>
    <row r="142">
      <c r="A142" s="5" t="s">
        <v>2604</v>
      </c>
      <c r="B142" s="8">
        <v>2.0</v>
      </c>
      <c r="C142" s="7" t="s">
        <v>78</v>
      </c>
      <c r="D142" s="7" t="s">
        <v>79</v>
      </c>
      <c r="E142" s="5" t="s">
        <v>2626</v>
      </c>
      <c r="F142" s="5" t="s">
        <v>2631</v>
      </c>
    </row>
    <row r="143">
      <c r="A143" s="5" t="s">
        <v>2605</v>
      </c>
      <c r="B143" s="8">
        <v>2.0</v>
      </c>
      <c r="C143" s="7" t="s">
        <v>78</v>
      </c>
      <c r="D143" s="7" t="s">
        <v>79</v>
      </c>
      <c r="E143" s="5" t="s">
        <v>2626</v>
      </c>
      <c r="F143" s="5" t="s">
        <v>2632</v>
      </c>
    </row>
    <row r="144">
      <c r="A144" s="5" t="s">
        <v>2606</v>
      </c>
      <c r="B144" s="8">
        <v>2.0</v>
      </c>
      <c r="C144" s="7" t="s">
        <v>78</v>
      </c>
      <c r="D144" s="7" t="s">
        <v>79</v>
      </c>
      <c r="E144" s="5" t="s">
        <v>2626</v>
      </c>
      <c r="F144" s="5" t="s">
        <v>2627</v>
      </c>
    </row>
    <row r="145">
      <c r="A145" s="5" t="s">
        <v>2607</v>
      </c>
      <c r="B145" s="8">
        <v>2.0</v>
      </c>
      <c r="C145" s="7" t="s">
        <v>78</v>
      </c>
      <c r="D145" s="7" t="s">
        <v>79</v>
      </c>
      <c r="E145" s="5" t="s">
        <v>2626</v>
      </c>
      <c r="F145" s="5" t="s">
        <v>2628</v>
      </c>
    </row>
    <row r="146">
      <c r="A146" s="5" t="s">
        <v>2614</v>
      </c>
      <c r="B146" s="8">
        <v>2.0</v>
      </c>
      <c r="C146" s="7" t="s">
        <v>78</v>
      </c>
      <c r="D146" s="7" t="s">
        <v>79</v>
      </c>
      <c r="E146" s="5" t="s">
        <v>2626</v>
      </c>
      <c r="F146" s="5" t="s">
        <v>2628</v>
      </c>
    </row>
    <row r="147">
      <c r="A147" s="5" t="s">
        <v>2608</v>
      </c>
      <c r="B147" s="8">
        <v>2.0</v>
      </c>
      <c r="C147" s="7" t="s">
        <v>78</v>
      </c>
      <c r="D147" s="7" t="s">
        <v>79</v>
      </c>
      <c r="E147" s="5" t="s">
        <v>2626</v>
      </c>
      <c r="F147" s="5" t="s">
        <v>2628</v>
      </c>
    </row>
    <row r="148">
      <c r="A148" s="5" t="s">
        <v>2609</v>
      </c>
      <c r="B148" s="8">
        <v>2.0</v>
      </c>
      <c r="C148" s="7" t="s">
        <v>78</v>
      </c>
      <c r="D148" s="7" t="s">
        <v>79</v>
      </c>
      <c r="E148" s="5" t="s">
        <v>2626</v>
      </c>
      <c r="F148" s="5" t="s">
        <v>2633</v>
      </c>
    </row>
    <row r="149">
      <c r="A149" s="5" t="s">
        <v>2595</v>
      </c>
      <c r="B149" s="8">
        <v>2.0</v>
      </c>
      <c r="C149" s="7" t="s">
        <v>88</v>
      </c>
      <c r="D149" s="7" t="s">
        <v>89</v>
      </c>
      <c r="E149" s="5" t="s">
        <v>2634</v>
      </c>
      <c r="F149" s="5" t="s">
        <v>2635</v>
      </c>
    </row>
    <row r="150">
      <c r="A150" s="5" t="s">
        <v>2597</v>
      </c>
      <c r="B150" s="8">
        <v>2.0</v>
      </c>
      <c r="C150" s="7" t="s">
        <v>88</v>
      </c>
      <c r="D150" s="7" t="s">
        <v>89</v>
      </c>
      <c r="E150" s="5" t="s">
        <v>2634</v>
      </c>
      <c r="F150" s="5" t="s">
        <v>2636</v>
      </c>
    </row>
    <row r="151">
      <c r="A151" s="7" t="s">
        <v>8</v>
      </c>
      <c r="B151" s="8">
        <v>2.0</v>
      </c>
      <c r="C151" s="7" t="s">
        <v>88</v>
      </c>
      <c r="D151" s="7" t="s">
        <v>89</v>
      </c>
      <c r="E151" s="5" t="s">
        <v>2634</v>
      </c>
      <c r="F151" s="7" t="s">
        <v>93</v>
      </c>
    </row>
    <row r="152">
      <c r="A152" s="5" t="s">
        <v>2600</v>
      </c>
      <c r="B152" s="8">
        <v>2.0</v>
      </c>
      <c r="C152" s="7" t="s">
        <v>88</v>
      </c>
      <c r="D152" s="7" t="s">
        <v>89</v>
      </c>
      <c r="E152" s="5" t="s">
        <v>2634</v>
      </c>
      <c r="F152" s="5" t="s">
        <v>2637</v>
      </c>
    </row>
    <row r="153">
      <c r="A153" s="5" t="s">
        <v>2602</v>
      </c>
      <c r="B153" s="8">
        <v>2.0</v>
      </c>
      <c r="C153" s="7" t="s">
        <v>88</v>
      </c>
      <c r="D153" s="7" t="s">
        <v>89</v>
      </c>
      <c r="E153" s="5" t="s">
        <v>2634</v>
      </c>
      <c r="F153" s="5" t="s">
        <v>2638</v>
      </c>
    </row>
    <row r="154">
      <c r="A154" s="5" t="s">
        <v>2603</v>
      </c>
      <c r="B154" s="8">
        <v>2.0</v>
      </c>
      <c r="C154" s="7" t="s">
        <v>88</v>
      </c>
      <c r="D154" s="7" t="s">
        <v>89</v>
      </c>
      <c r="E154" s="5" t="s">
        <v>2634</v>
      </c>
      <c r="F154" s="5" t="s">
        <v>2639</v>
      </c>
    </row>
    <row r="155">
      <c r="A155" s="5" t="s">
        <v>2604</v>
      </c>
      <c r="B155" s="8">
        <v>2.0</v>
      </c>
      <c r="C155" s="7" t="s">
        <v>88</v>
      </c>
      <c r="D155" s="7" t="s">
        <v>89</v>
      </c>
      <c r="E155" s="5" t="s">
        <v>2634</v>
      </c>
      <c r="F155" s="5" t="s">
        <v>2640</v>
      </c>
    </row>
    <row r="156">
      <c r="A156" s="5" t="s">
        <v>2605</v>
      </c>
      <c r="B156" s="8">
        <v>2.0</v>
      </c>
      <c r="C156" s="7" t="s">
        <v>88</v>
      </c>
      <c r="D156" s="7" t="s">
        <v>89</v>
      </c>
      <c r="E156" s="5" t="s">
        <v>2634</v>
      </c>
      <c r="F156" s="5" t="s">
        <v>2641</v>
      </c>
    </row>
    <row r="157">
      <c r="A157" s="5" t="s">
        <v>2606</v>
      </c>
      <c r="B157" s="8">
        <v>2.0</v>
      </c>
      <c r="C157" s="7" t="s">
        <v>88</v>
      </c>
      <c r="D157" s="7" t="s">
        <v>89</v>
      </c>
      <c r="E157" s="5" t="s">
        <v>2634</v>
      </c>
      <c r="F157" s="7" t="s">
        <v>99</v>
      </c>
    </row>
    <row r="158">
      <c r="A158" s="5" t="s">
        <v>2607</v>
      </c>
      <c r="B158" s="8">
        <v>2.0</v>
      </c>
      <c r="C158" s="7" t="s">
        <v>88</v>
      </c>
      <c r="D158" s="7" t="s">
        <v>89</v>
      </c>
      <c r="E158" s="5" t="s">
        <v>2634</v>
      </c>
      <c r="F158" s="4" t="s">
        <v>2642</v>
      </c>
    </row>
    <row r="159">
      <c r="A159" s="5" t="s">
        <v>2608</v>
      </c>
      <c r="B159" s="8">
        <v>2.0</v>
      </c>
      <c r="C159" s="7" t="s">
        <v>88</v>
      </c>
      <c r="D159" s="7" t="s">
        <v>89</v>
      </c>
      <c r="E159" s="5" t="s">
        <v>2634</v>
      </c>
      <c r="F159" s="4" t="s">
        <v>2642</v>
      </c>
    </row>
    <row r="160">
      <c r="A160" s="5" t="s">
        <v>2609</v>
      </c>
      <c r="B160" s="8">
        <v>2.0</v>
      </c>
      <c r="C160" s="7" t="s">
        <v>88</v>
      </c>
      <c r="D160" s="7" t="s">
        <v>89</v>
      </c>
      <c r="E160" s="5" t="s">
        <v>2634</v>
      </c>
      <c r="F160" s="5" t="s">
        <v>2643</v>
      </c>
    </row>
    <row r="161">
      <c r="A161" s="5" t="s">
        <v>2592</v>
      </c>
      <c r="B161" s="8">
        <v>2.0</v>
      </c>
      <c r="C161" s="7" t="s">
        <v>101</v>
      </c>
      <c r="D161" s="7" t="s">
        <v>102</v>
      </c>
      <c r="E161" s="5" t="s">
        <v>2644</v>
      </c>
      <c r="F161" s="5" t="s">
        <v>2645</v>
      </c>
    </row>
    <row r="162">
      <c r="A162" s="5" t="s">
        <v>2594</v>
      </c>
      <c r="B162" s="8">
        <v>2.0</v>
      </c>
      <c r="C162" s="7" t="s">
        <v>101</v>
      </c>
      <c r="D162" s="7" t="s">
        <v>102</v>
      </c>
      <c r="E162" s="5" t="s">
        <v>2644</v>
      </c>
      <c r="F162" s="5" t="s">
        <v>2646</v>
      </c>
    </row>
    <row r="163">
      <c r="A163" s="5" t="s">
        <v>2595</v>
      </c>
      <c r="B163" s="8">
        <v>2.0</v>
      </c>
      <c r="C163" s="7" t="s">
        <v>101</v>
      </c>
      <c r="D163" s="7" t="s">
        <v>102</v>
      </c>
      <c r="E163" s="5" t="s">
        <v>2644</v>
      </c>
      <c r="F163" s="5" t="s">
        <v>2645</v>
      </c>
    </row>
    <row r="164">
      <c r="A164" s="5" t="s">
        <v>2597</v>
      </c>
      <c r="B164" s="8">
        <v>2.0</v>
      </c>
      <c r="C164" s="7" t="s">
        <v>101</v>
      </c>
      <c r="D164" s="7" t="s">
        <v>102</v>
      </c>
      <c r="E164" s="5" t="s">
        <v>2644</v>
      </c>
      <c r="F164" s="5" t="s">
        <v>2645</v>
      </c>
    </row>
    <row r="165">
      <c r="A165" s="7" t="s">
        <v>8</v>
      </c>
      <c r="B165" s="8">
        <v>2.0</v>
      </c>
      <c r="C165" s="7" t="s">
        <v>101</v>
      </c>
      <c r="D165" s="7" t="s">
        <v>102</v>
      </c>
      <c r="E165" s="5" t="s">
        <v>2644</v>
      </c>
      <c r="F165" s="5" t="s">
        <v>2647</v>
      </c>
    </row>
    <row r="166">
      <c r="A166" s="5" t="s">
        <v>2599</v>
      </c>
      <c r="B166" s="8">
        <v>2.0</v>
      </c>
      <c r="C166" s="7" t="s">
        <v>101</v>
      </c>
      <c r="D166" s="7" t="s">
        <v>102</v>
      </c>
      <c r="E166" s="5" t="s">
        <v>2644</v>
      </c>
      <c r="F166" s="5" t="s">
        <v>2645</v>
      </c>
    </row>
    <row r="167">
      <c r="A167" s="5" t="s">
        <v>2600</v>
      </c>
      <c r="B167" s="8">
        <v>2.0</v>
      </c>
      <c r="C167" s="7" t="s">
        <v>101</v>
      </c>
      <c r="D167" s="7" t="s">
        <v>102</v>
      </c>
      <c r="E167" s="5" t="s">
        <v>2644</v>
      </c>
      <c r="F167" s="5" t="s">
        <v>2648</v>
      </c>
    </row>
    <row r="168">
      <c r="A168" s="5" t="s">
        <v>2602</v>
      </c>
      <c r="B168" s="8">
        <v>2.0</v>
      </c>
      <c r="C168" s="7" t="s">
        <v>101</v>
      </c>
      <c r="D168" s="7" t="s">
        <v>102</v>
      </c>
      <c r="E168" s="5" t="s">
        <v>2644</v>
      </c>
      <c r="F168" s="5" t="s">
        <v>2649</v>
      </c>
    </row>
    <row r="169">
      <c r="A169" s="5" t="s">
        <v>2603</v>
      </c>
      <c r="B169" s="8">
        <v>2.0</v>
      </c>
      <c r="C169" s="7" t="s">
        <v>101</v>
      </c>
      <c r="D169" s="7" t="s">
        <v>102</v>
      </c>
      <c r="E169" s="5" t="s">
        <v>2644</v>
      </c>
      <c r="F169" s="5" t="s">
        <v>2646</v>
      </c>
    </row>
    <row r="170">
      <c r="A170" s="5" t="s">
        <v>2604</v>
      </c>
      <c r="B170" s="8">
        <v>2.0</v>
      </c>
      <c r="C170" s="7" t="s">
        <v>101</v>
      </c>
      <c r="D170" s="7" t="s">
        <v>102</v>
      </c>
      <c r="E170" s="5" t="s">
        <v>2644</v>
      </c>
      <c r="F170" s="5" t="s">
        <v>2650</v>
      </c>
    </row>
    <row r="171">
      <c r="A171" s="5" t="s">
        <v>2605</v>
      </c>
      <c r="B171" s="8">
        <v>2.0</v>
      </c>
      <c r="C171" s="7" t="s">
        <v>101</v>
      </c>
      <c r="D171" s="7" t="s">
        <v>102</v>
      </c>
      <c r="E171" s="5" t="s">
        <v>2644</v>
      </c>
      <c r="F171" s="5" t="s">
        <v>2651</v>
      </c>
    </row>
    <row r="172">
      <c r="A172" s="5" t="s">
        <v>2606</v>
      </c>
      <c r="B172" s="8">
        <v>2.0</v>
      </c>
      <c r="C172" s="7" t="s">
        <v>101</v>
      </c>
      <c r="D172" s="7" t="s">
        <v>102</v>
      </c>
      <c r="E172" s="5" t="s">
        <v>2644</v>
      </c>
      <c r="F172" s="5" t="s">
        <v>2645</v>
      </c>
    </row>
    <row r="173">
      <c r="A173" s="5" t="s">
        <v>2607</v>
      </c>
      <c r="B173" s="8">
        <v>2.0</v>
      </c>
      <c r="C173" s="7" t="s">
        <v>101</v>
      </c>
      <c r="D173" s="7" t="s">
        <v>102</v>
      </c>
      <c r="E173" s="5" t="s">
        <v>2644</v>
      </c>
      <c r="F173" s="5" t="s">
        <v>2645</v>
      </c>
    </row>
    <row r="174">
      <c r="A174" s="5" t="s">
        <v>2614</v>
      </c>
      <c r="B174" s="8">
        <v>2.0</v>
      </c>
      <c r="C174" s="7" t="s">
        <v>101</v>
      </c>
      <c r="D174" s="7" t="s">
        <v>102</v>
      </c>
      <c r="E174" s="5" t="s">
        <v>2644</v>
      </c>
      <c r="F174" s="5" t="s">
        <v>2652</v>
      </c>
    </row>
    <row r="175">
      <c r="A175" s="5" t="s">
        <v>2608</v>
      </c>
      <c r="B175" s="8">
        <v>2.0</v>
      </c>
      <c r="C175" s="7" t="s">
        <v>101</v>
      </c>
      <c r="D175" s="7" t="s">
        <v>102</v>
      </c>
      <c r="E175" s="5" t="s">
        <v>2644</v>
      </c>
      <c r="F175" s="5" t="s">
        <v>2645</v>
      </c>
    </row>
    <row r="176">
      <c r="A176" s="5" t="s">
        <v>2609</v>
      </c>
      <c r="B176" s="8">
        <v>2.0</v>
      </c>
      <c r="C176" s="7" t="s">
        <v>101</v>
      </c>
      <c r="D176" s="7" t="s">
        <v>102</v>
      </c>
      <c r="E176" s="5" t="s">
        <v>2644</v>
      </c>
      <c r="F176" s="5" t="s">
        <v>2645</v>
      </c>
    </row>
    <row r="177">
      <c r="A177" s="5" t="s">
        <v>2592</v>
      </c>
      <c r="B177" s="8">
        <v>2.0</v>
      </c>
      <c r="C177" s="7" t="s">
        <v>112</v>
      </c>
      <c r="D177" s="7" t="s">
        <v>113</v>
      </c>
      <c r="E177" s="5" t="s">
        <v>114</v>
      </c>
      <c r="F177" s="5" t="s">
        <v>2653</v>
      </c>
    </row>
    <row r="178">
      <c r="A178" s="5" t="s">
        <v>2594</v>
      </c>
      <c r="B178" s="8">
        <v>2.0</v>
      </c>
      <c r="C178" s="7" t="s">
        <v>112</v>
      </c>
      <c r="D178" s="7" t="s">
        <v>113</v>
      </c>
      <c r="E178" s="5" t="s">
        <v>114</v>
      </c>
      <c r="F178" s="5" t="s">
        <v>2653</v>
      </c>
    </row>
    <row r="179">
      <c r="A179" s="5" t="s">
        <v>2595</v>
      </c>
      <c r="B179" s="8">
        <v>2.0</v>
      </c>
      <c r="C179" s="7" t="s">
        <v>112</v>
      </c>
      <c r="D179" s="7" t="s">
        <v>113</v>
      </c>
      <c r="E179" s="5" t="s">
        <v>114</v>
      </c>
      <c r="F179" s="5" t="s">
        <v>2653</v>
      </c>
    </row>
    <row r="180">
      <c r="A180" s="5" t="s">
        <v>2597</v>
      </c>
      <c r="B180" s="8">
        <v>2.0</v>
      </c>
      <c r="C180" s="7" t="s">
        <v>112</v>
      </c>
      <c r="D180" s="7" t="s">
        <v>113</v>
      </c>
      <c r="E180" s="5" t="s">
        <v>114</v>
      </c>
      <c r="F180" s="5" t="s">
        <v>2653</v>
      </c>
    </row>
    <row r="181">
      <c r="A181" s="7" t="s">
        <v>8</v>
      </c>
      <c r="B181" s="8">
        <v>2.0</v>
      </c>
      <c r="C181" s="7" t="s">
        <v>112</v>
      </c>
      <c r="D181" s="7" t="s">
        <v>113</v>
      </c>
      <c r="E181" s="5" t="s">
        <v>114</v>
      </c>
      <c r="F181" s="5" t="s">
        <v>2653</v>
      </c>
    </row>
    <row r="182">
      <c r="A182" s="5" t="s">
        <v>2599</v>
      </c>
      <c r="B182" s="8">
        <v>2.0</v>
      </c>
      <c r="C182" s="7" t="s">
        <v>112</v>
      </c>
      <c r="D182" s="7" t="s">
        <v>113</v>
      </c>
      <c r="E182" s="5" t="s">
        <v>114</v>
      </c>
      <c r="F182" s="5" t="s">
        <v>2653</v>
      </c>
    </row>
    <row r="183">
      <c r="A183" s="5" t="s">
        <v>2600</v>
      </c>
      <c r="B183" s="8">
        <v>2.0</v>
      </c>
      <c r="C183" s="7" t="s">
        <v>112</v>
      </c>
      <c r="D183" s="7" t="s">
        <v>113</v>
      </c>
      <c r="E183" s="5" t="s">
        <v>114</v>
      </c>
      <c r="F183" s="5" t="s">
        <v>2653</v>
      </c>
    </row>
    <row r="184">
      <c r="A184" s="5" t="s">
        <v>2602</v>
      </c>
      <c r="B184" s="8">
        <v>2.0</v>
      </c>
      <c r="C184" s="7" t="s">
        <v>112</v>
      </c>
      <c r="D184" s="7" t="s">
        <v>113</v>
      </c>
      <c r="E184" s="5" t="s">
        <v>114</v>
      </c>
      <c r="F184" s="5" t="s">
        <v>2653</v>
      </c>
    </row>
    <row r="185">
      <c r="A185" s="5" t="s">
        <v>2603</v>
      </c>
      <c r="B185" s="8">
        <v>2.0</v>
      </c>
      <c r="C185" s="7" t="s">
        <v>112</v>
      </c>
      <c r="D185" s="7" t="s">
        <v>113</v>
      </c>
      <c r="E185" s="5" t="s">
        <v>114</v>
      </c>
      <c r="F185" s="5" t="s">
        <v>2653</v>
      </c>
    </row>
    <row r="186">
      <c r="A186" s="5" t="s">
        <v>2604</v>
      </c>
      <c r="B186" s="8">
        <v>2.0</v>
      </c>
      <c r="C186" s="7" t="s">
        <v>112</v>
      </c>
      <c r="D186" s="7" t="s">
        <v>113</v>
      </c>
      <c r="E186" s="5" t="s">
        <v>114</v>
      </c>
      <c r="F186" s="5" t="s">
        <v>2653</v>
      </c>
    </row>
    <row r="187">
      <c r="A187" s="5" t="s">
        <v>2605</v>
      </c>
      <c r="B187" s="8">
        <v>2.0</v>
      </c>
      <c r="C187" s="7" t="s">
        <v>112</v>
      </c>
      <c r="D187" s="7" t="s">
        <v>113</v>
      </c>
      <c r="E187" s="5" t="s">
        <v>114</v>
      </c>
      <c r="F187" s="5" t="s">
        <v>2653</v>
      </c>
    </row>
    <row r="188">
      <c r="A188" s="5" t="s">
        <v>2606</v>
      </c>
      <c r="B188" s="8">
        <v>2.0</v>
      </c>
      <c r="C188" s="7" t="s">
        <v>112</v>
      </c>
      <c r="D188" s="7" t="s">
        <v>113</v>
      </c>
      <c r="E188" s="5" t="s">
        <v>114</v>
      </c>
      <c r="F188" s="5" t="s">
        <v>2653</v>
      </c>
    </row>
    <row r="189">
      <c r="A189" s="5" t="s">
        <v>2607</v>
      </c>
      <c r="B189" s="8">
        <v>2.0</v>
      </c>
      <c r="C189" s="7" t="s">
        <v>112</v>
      </c>
      <c r="D189" s="7" t="s">
        <v>113</v>
      </c>
      <c r="E189" s="5" t="s">
        <v>114</v>
      </c>
      <c r="F189" s="5" t="s">
        <v>2653</v>
      </c>
    </row>
    <row r="190">
      <c r="A190" s="5" t="s">
        <v>2614</v>
      </c>
      <c r="B190" s="8">
        <v>2.0</v>
      </c>
      <c r="C190" s="7" t="s">
        <v>112</v>
      </c>
      <c r="D190" s="7" t="s">
        <v>113</v>
      </c>
      <c r="E190" s="5" t="s">
        <v>114</v>
      </c>
      <c r="F190" s="7" t="s">
        <v>116</v>
      </c>
    </row>
    <row r="191">
      <c r="A191" s="5" t="s">
        <v>2608</v>
      </c>
      <c r="B191" s="8">
        <v>2.0</v>
      </c>
      <c r="C191" s="7" t="s">
        <v>112</v>
      </c>
      <c r="D191" s="7" t="s">
        <v>113</v>
      </c>
      <c r="E191" s="5" t="s">
        <v>114</v>
      </c>
      <c r="F191" s="5" t="s">
        <v>2653</v>
      </c>
    </row>
    <row r="192">
      <c r="A192" s="5" t="s">
        <v>2609</v>
      </c>
      <c r="B192" s="8">
        <v>2.0</v>
      </c>
      <c r="C192" s="7" t="s">
        <v>112</v>
      </c>
      <c r="D192" s="7" t="s">
        <v>113</v>
      </c>
      <c r="E192" s="5" t="s">
        <v>114</v>
      </c>
      <c r="F192" s="5" t="s">
        <v>2653</v>
      </c>
    </row>
    <row r="193">
      <c r="A193" s="5" t="s">
        <v>2592</v>
      </c>
      <c r="B193" s="8">
        <v>2.0</v>
      </c>
      <c r="C193" s="7" t="s">
        <v>117</v>
      </c>
      <c r="D193" s="7" t="s">
        <v>118</v>
      </c>
      <c r="E193" s="5" t="s">
        <v>2654</v>
      </c>
      <c r="F193" s="5" t="s">
        <v>2655</v>
      </c>
    </row>
    <row r="194">
      <c r="A194" s="5" t="s">
        <v>2594</v>
      </c>
      <c r="B194" s="8">
        <v>2.0</v>
      </c>
      <c r="C194" s="7" t="s">
        <v>117</v>
      </c>
      <c r="D194" s="7" t="s">
        <v>118</v>
      </c>
      <c r="E194" s="5" t="s">
        <v>2654</v>
      </c>
      <c r="F194" s="5" t="s">
        <v>2656</v>
      </c>
    </row>
    <row r="195">
      <c r="A195" s="5" t="s">
        <v>2595</v>
      </c>
      <c r="B195" s="8">
        <v>2.0</v>
      </c>
      <c r="C195" s="7" t="s">
        <v>117</v>
      </c>
      <c r="D195" s="7" t="s">
        <v>118</v>
      </c>
      <c r="E195" s="5" t="s">
        <v>2654</v>
      </c>
      <c r="F195" s="5" t="s">
        <v>2656</v>
      </c>
    </row>
    <row r="196">
      <c r="A196" s="5" t="s">
        <v>2597</v>
      </c>
      <c r="B196" s="8">
        <v>2.0</v>
      </c>
      <c r="C196" s="7" t="s">
        <v>117</v>
      </c>
      <c r="D196" s="7" t="s">
        <v>118</v>
      </c>
      <c r="E196" s="5" t="s">
        <v>2654</v>
      </c>
      <c r="F196" s="5" t="s">
        <v>2656</v>
      </c>
    </row>
    <row r="197">
      <c r="A197" s="7" t="s">
        <v>8</v>
      </c>
      <c r="B197" s="8">
        <v>2.0</v>
      </c>
      <c r="C197" s="7" t="s">
        <v>117</v>
      </c>
      <c r="D197" s="7" t="s">
        <v>118</v>
      </c>
      <c r="E197" s="5" t="s">
        <v>2654</v>
      </c>
      <c r="F197" s="5" t="s">
        <v>2656</v>
      </c>
    </row>
    <row r="198">
      <c r="A198" s="5" t="s">
        <v>2599</v>
      </c>
      <c r="B198" s="8">
        <v>2.0</v>
      </c>
      <c r="C198" s="7" t="s">
        <v>117</v>
      </c>
      <c r="D198" s="7" t="s">
        <v>118</v>
      </c>
      <c r="E198" s="5" t="s">
        <v>2654</v>
      </c>
      <c r="F198" s="5" t="s">
        <v>2656</v>
      </c>
    </row>
    <row r="199">
      <c r="A199" s="5" t="s">
        <v>2600</v>
      </c>
      <c r="B199" s="8">
        <v>2.0</v>
      </c>
      <c r="C199" s="7" t="s">
        <v>117</v>
      </c>
      <c r="D199" s="7" t="s">
        <v>118</v>
      </c>
      <c r="E199" s="5" t="s">
        <v>2654</v>
      </c>
      <c r="F199" s="5" t="s">
        <v>2656</v>
      </c>
    </row>
    <row r="200">
      <c r="A200" s="5" t="s">
        <v>2602</v>
      </c>
      <c r="B200" s="8">
        <v>2.0</v>
      </c>
      <c r="C200" s="7" t="s">
        <v>117</v>
      </c>
      <c r="D200" s="7" t="s">
        <v>118</v>
      </c>
      <c r="E200" s="5" t="s">
        <v>2654</v>
      </c>
      <c r="F200" s="5" t="s">
        <v>2656</v>
      </c>
    </row>
    <row r="201">
      <c r="A201" s="5" t="s">
        <v>2603</v>
      </c>
      <c r="B201" s="8">
        <v>2.0</v>
      </c>
      <c r="C201" s="7" t="s">
        <v>117</v>
      </c>
      <c r="D201" s="7" t="s">
        <v>118</v>
      </c>
      <c r="E201" s="5" t="s">
        <v>2654</v>
      </c>
      <c r="F201" s="5" t="s">
        <v>2656</v>
      </c>
    </row>
    <row r="202">
      <c r="A202" s="5" t="s">
        <v>2604</v>
      </c>
      <c r="B202" s="8">
        <v>2.0</v>
      </c>
      <c r="C202" s="7" t="s">
        <v>117</v>
      </c>
      <c r="D202" s="7" t="s">
        <v>118</v>
      </c>
      <c r="E202" s="5" t="s">
        <v>2654</v>
      </c>
      <c r="F202" s="5" t="s">
        <v>2656</v>
      </c>
    </row>
    <row r="203">
      <c r="A203" s="5" t="s">
        <v>2605</v>
      </c>
      <c r="B203" s="8">
        <v>2.0</v>
      </c>
      <c r="C203" s="7" t="s">
        <v>117</v>
      </c>
      <c r="D203" s="7" t="s">
        <v>118</v>
      </c>
      <c r="E203" s="5" t="s">
        <v>2654</v>
      </c>
      <c r="F203" s="5" t="s">
        <v>2656</v>
      </c>
    </row>
    <row r="204">
      <c r="A204" s="5" t="s">
        <v>2606</v>
      </c>
      <c r="B204" s="8">
        <v>2.0</v>
      </c>
      <c r="C204" s="7" t="s">
        <v>117</v>
      </c>
      <c r="D204" s="7" t="s">
        <v>118</v>
      </c>
      <c r="E204" s="5" t="s">
        <v>2654</v>
      </c>
      <c r="F204" s="5" t="s">
        <v>2656</v>
      </c>
    </row>
    <row r="205">
      <c r="A205" s="5" t="s">
        <v>2607</v>
      </c>
      <c r="B205" s="8">
        <v>2.0</v>
      </c>
      <c r="C205" s="7" t="s">
        <v>117</v>
      </c>
      <c r="D205" s="7" t="s">
        <v>118</v>
      </c>
      <c r="E205" s="5" t="s">
        <v>2654</v>
      </c>
      <c r="F205" s="5" t="s">
        <v>2656</v>
      </c>
    </row>
    <row r="206">
      <c r="A206" s="5" t="s">
        <v>2614</v>
      </c>
      <c r="B206" s="8">
        <v>2.0</v>
      </c>
      <c r="C206" s="7" t="s">
        <v>117</v>
      </c>
      <c r="D206" s="7" t="s">
        <v>118</v>
      </c>
      <c r="E206" s="5" t="s">
        <v>2654</v>
      </c>
      <c r="F206" s="5" t="s">
        <v>2656</v>
      </c>
    </row>
    <row r="207">
      <c r="A207" s="5" t="s">
        <v>2608</v>
      </c>
      <c r="B207" s="8">
        <v>2.0</v>
      </c>
      <c r="C207" s="7" t="s">
        <v>117</v>
      </c>
      <c r="D207" s="7" t="s">
        <v>118</v>
      </c>
      <c r="E207" s="5" t="s">
        <v>2654</v>
      </c>
      <c r="F207" s="5" t="s">
        <v>2656</v>
      </c>
    </row>
    <row r="208">
      <c r="A208" s="5" t="s">
        <v>2609</v>
      </c>
      <c r="B208" s="8">
        <v>2.0</v>
      </c>
      <c r="C208" s="7" t="s">
        <v>117</v>
      </c>
      <c r="D208" s="7" t="s">
        <v>118</v>
      </c>
      <c r="E208" s="5" t="s">
        <v>2654</v>
      </c>
      <c r="F208" s="5" t="s">
        <v>2656</v>
      </c>
    </row>
    <row r="209">
      <c r="A209" s="5" t="s">
        <v>2592</v>
      </c>
      <c r="B209" s="8">
        <v>2.0</v>
      </c>
      <c r="C209" s="7" t="s">
        <v>122</v>
      </c>
      <c r="D209" s="5" t="s">
        <v>2657</v>
      </c>
      <c r="E209" s="5" t="s">
        <v>2658</v>
      </c>
      <c r="F209" s="5" t="s">
        <v>2659</v>
      </c>
    </row>
    <row r="210">
      <c r="A210" s="5" t="s">
        <v>2594</v>
      </c>
      <c r="B210" s="8">
        <v>2.0</v>
      </c>
      <c r="C210" s="7" t="s">
        <v>122</v>
      </c>
      <c r="D210" s="5" t="s">
        <v>2657</v>
      </c>
      <c r="E210" s="5" t="s">
        <v>2658</v>
      </c>
      <c r="F210" s="5" t="s">
        <v>2660</v>
      </c>
    </row>
    <row r="211">
      <c r="A211" s="5" t="s">
        <v>2595</v>
      </c>
      <c r="B211" s="8">
        <v>2.0</v>
      </c>
      <c r="C211" s="7" t="s">
        <v>122</v>
      </c>
      <c r="D211" s="5" t="s">
        <v>2657</v>
      </c>
      <c r="E211" s="5" t="s">
        <v>2658</v>
      </c>
      <c r="F211" s="5" t="s">
        <v>2661</v>
      </c>
    </row>
    <row r="212">
      <c r="A212" s="5" t="s">
        <v>2597</v>
      </c>
      <c r="B212" s="8">
        <v>2.0</v>
      </c>
      <c r="C212" s="7" t="s">
        <v>122</v>
      </c>
      <c r="D212" s="5" t="s">
        <v>2657</v>
      </c>
      <c r="E212" s="5" t="s">
        <v>2658</v>
      </c>
      <c r="F212" s="5" t="s">
        <v>2662</v>
      </c>
    </row>
    <row r="213">
      <c r="A213" s="7" t="s">
        <v>8</v>
      </c>
      <c r="B213" s="8">
        <v>2.0</v>
      </c>
      <c r="C213" s="7" t="s">
        <v>122</v>
      </c>
      <c r="D213" s="5" t="s">
        <v>2657</v>
      </c>
      <c r="E213" s="5" t="s">
        <v>2658</v>
      </c>
      <c r="F213" s="5" t="s">
        <v>2663</v>
      </c>
    </row>
    <row r="214">
      <c r="A214" s="5" t="s">
        <v>2599</v>
      </c>
      <c r="B214" s="8">
        <v>2.0</v>
      </c>
      <c r="C214" s="7" t="s">
        <v>122</v>
      </c>
      <c r="D214" s="5" t="s">
        <v>2657</v>
      </c>
      <c r="E214" s="5" t="s">
        <v>2658</v>
      </c>
      <c r="F214" s="7" t="s">
        <v>130</v>
      </c>
    </row>
    <row r="215">
      <c r="A215" s="5" t="s">
        <v>2600</v>
      </c>
      <c r="B215" s="8">
        <v>2.0</v>
      </c>
      <c r="C215" s="7" t="s">
        <v>122</v>
      </c>
      <c r="D215" s="5" t="s">
        <v>2657</v>
      </c>
      <c r="E215" s="5" t="s">
        <v>2658</v>
      </c>
      <c r="F215" s="7" t="s">
        <v>131</v>
      </c>
    </row>
    <row r="216">
      <c r="A216" s="5" t="s">
        <v>2602</v>
      </c>
      <c r="B216" s="8">
        <v>2.0</v>
      </c>
      <c r="C216" s="7" t="s">
        <v>122</v>
      </c>
      <c r="D216" s="5" t="s">
        <v>2657</v>
      </c>
      <c r="E216" s="5" t="s">
        <v>2658</v>
      </c>
      <c r="F216" s="5" t="s">
        <v>2664</v>
      </c>
    </row>
    <row r="217">
      <c r="A217" s="5" t="s">
        <v>2603</v>
      </c>
      <c r="B217" s="8">
        <v>2.0</v>
      </c>
      <c r="C217" s="7" t="s">
        <v>122</v>
      </c>
      <c r="D217" s="5" t="s">
        <v>2657</v>
      </c>
      <c r="E217" s="5" t="s">
        <v>2658</v>
      </c>
      <c r="F217" s="5" t="s">
        <v>2660</v>
      </c>
    </row>
    <row r="218">
      <c r="A218" s="5" t="s">
        <v>2604</v>
      </c>
      <c r="B218" s="8">
        <v>2.0</v>
      </c>
      <c r="C218" s="7" t="s">
        <v>122</v>
      </c>
      <c r="D218" s="5" t="s">
        <v>2657</v>
      </c>
      <c r="E218" s="5" t="s">
        <v>2658</v>
      </c>
      <c r="F218" s="5" t="s">
        <v>2665</v>
      </c>
    </row>
    <row r="219">
      <c r="A219" s="5" t="s">
        <v>2605</v>
      </c>
      <c r="B219" s="8">
        <v>2.0</v>
      </c>
      <c r="C219" s="7" t="s">
        <v>122</v>
      </c>
      <c r="D219" s="5" t="s">
        <v>2657</v>
      </c>
      <c r="E219" s="5" t="s">
        <v>2658</v>
      </c>
      <c r="F219" s="7" t="s">
        <v>131</v>
      </c>
    </row>
    <row r="220">
      <c r="A220" s="5" t="s">
        <v>2606</v>
      </c>
      <c r="B220" s="8">
        <v>2.0</v>
      </c>
      <c r="C220" s="7" t="s">
        <v>122</v>
      </c>
      <c r="D220" s="5" t="s">
        <v>2657</v>
      </c>
      <c r="E220" s="5" t="s">
        <v>2658</v>
      </c>
      <c r="F220" s="7" t="s">
        <v>134</v>
      </c>
    </row>
    <row r="221">
      <c r="A221" s="5" t="s">
        <v>2607</v>
      </c>
      <c r="B221" s="8">
        <v>2.0</v>
      </c>
      <c r="C221" s="7" t="s">
        <v>122</v>
      </c>
      <c r="D221" s="5" t="s">
        <v>2657</v>
      </c>
      <c r="E221" s="5" t="s">
        <v>2658</v>
      </c>
      <c r="F221" s="5" t="s">
        <v>2666</v>
      </c>
    </row>
    <row r="222">
      <c r="A222" s="5" t="s">
        <v>2614</v>
      </c>
      <c r="B222" s="8">
        <v>2.0</v>
      </c>
      <c r="C222" s="7" t="s">
        <v>122</v>
      </c>
      <c r="D222" s="5" t="s">
        <v>2657</v>
      </c>
      <c r="E222" s="5" t="s">
        <v>2658</v>
      </c>
      <c r="F222" s="7" t="s">
        <v>136</v>
      </c>
    </row>
    <row r="223">
      <c r="A223" s="5" t="s">
        <v>2608</v>
      </c>
      <c r="B223" s="8">
        <v>2.0</v>
      </c>
      <c r="C223" s="7" t="s">
        <v>122</v>
      </c>
      <c r="D223" s="5" t="s">
        <v>2657</v>
      </c>
      <c r="E223" s="5" t="s">
        <v>2658</v>
      </c>
      <c r="F223" s="5" t="s">
        <v>2667</v>
      </c>
    </row>
    <row r="224">
      <c r="A224" s="5" t="s">
        <v>2609</v>
      </c>
      <c r="B224" s="8">
        <v>2.0</v>
      </c>
      <c r="C224" s="7" t="s">
        <v>122</v>
      </c>
      <c r="D224" s="5" t="s">
        <v>2657</v>
      </c>
      <c r="E224" s="5" t="s">
        <v>2658</v>
      </c>
      <c r="F224" s="5" t="s">
        <v>2668</v>
      </c>
    </row>
    <row r="225">
      <c r="A225" s="5" t="s">
        <v>2592</v>
      </c>
      <c r="B225" s="8">
        <v>2.0</v>
      </c>
      <c r="C225" s="7" t="s">
        <v>139</v>
      </c>
      <c r="D225" s="7" t="s">
        <v>140</v>
      </c>
      <c r="E225" s="5" t="s">
        <v>2669</v>
      </c>
      <c r="F225" s="5" t="s">
        <v>2670</v>
      </c>
    </row>
    <row r="226">
      <c r="A226" s="5" t="s">
        <v>2594</v>
      </c>
      <c r="B226" s="8">
        <v>2.0</v>
      </c>
      <c r="C226" s="7" t="s">
        <v>139</v>
      </c>
      <c r="D226" s="7" t="s">
        <v>140</v>
      </c>
      <c r="E226" s="5" t="s">
        <v>2669</v>
      </c>
      <c r="F226" s="5" t="s">
        <v>2671</v>
      </c>
    </row>
    <row r="227">
      <c r="A227" s="5" t="s">
        <v>2595</v>
      </c>
      <c r="B227" s="8">
        <v>2.0</v>
      </c>
      <c r="C227" s="7" t="s">
        <v>139</v>
      </c>
      <c r="D227" s="7" t="s">
        <v>140</v>
      </c>
      <c r="E227" s="5" t="s">
        <v>2669</v>
      </c>
      <c r="F227" s="5" t="s">
        <v>2672</v>
      </c>
    </row>
    <row r="228">
      <c r="A228" s="5" t="s">
        <v>2597</v>
      </c>
      <c r="B228" s="8">
        <v>2.0</v>
      </c>
      <c r="C228" s="7" t="s">
        <v>139</v>
      </c>
      <c r="D228" s="7" t="s">
        <v>140</v>
      </c>
      <c r="E228" s="5" t="s">
        <v>2669</v>
      </c>
      <c r="F228" s="5" t="s">
        <v>2670</v>
      </c>
    </row>
    <row r="229">
      <c r="A229" s="7" t="s">
        <v>8</v>
      </c>
      <c r="B229" s="8">
        <v>2.0</v>
      </c>
      <c r="C229" s="7" t="s">
        <v>139</v>
      </c>
      <c r="D229" s="7" t="s">
        <v>140</v>
      </c>
      <c r="E229" s="5" t="s">
        <v>2669</v>
      </c>
      <c r="F229" s="5" t="s">
        <v>2671</v>
      </c>
    </row>
    <row r="230">
      <c r="A230" s="5" t="s">
        <v>2599</v>
      </c>
      <c r="B230" s="8">
        <v>2.0</v>
      </c>
      <c r="C230" s="7" t="s">
        <v>139</v>
      </c>
      <c r="D230" s="7" t="s">
        <v>140</v>
      </c>
      <c r="E230" s="5" t="s">
        <v>2669</v>
      </c>
      <c r="F230" s="5" t="s">
        <v>2671</v>
      </c>
    </row>
    <row r="231">
      <c r="A231" s="5" t="s">
        <v>2600</v>
      </c>
      <c r="B231" s="8">
        <v>2.0</v>
      </c>
      <c r="C231" s="7" t="s">
        <v>139</v>
      </c>
      <c r="D231" s="7" t="s">
        <v>140</v>
      </c>
      <c r="E231" s="5" t="s">
        <v>2669</v>
      </c>
      <c r="F231" s="5" t="s">
        <v>2673</v>
      </c>
    </row>
    <row r="232">
      <c r="A232" s="5" t="s">
        <v>2602</v>
      </c>
      <c r="B232" s="8">
        <v>2.0</v>
      </c>
      <c r="C232" s="7" t="s">
        <v>139</v>
      </c>
      <c r="D232" s="7" t="s">
        <v>140</v>
      </c>
      <c r="E232" s="5" t="s">
        <v>2669</v>
      </c>
      <c r="F232" s="5" t="s">
        <v>2674</v>
      </c>
    </row>
    <row r="233">
      <c r="A233" s="5" t="s">
        <v>2603</v>
      </c>
      <c r="B233" s="8">
        <v>2.0</v>
      </c>
      <c r="C233" s="7" t="s">
        <v>139</v>
      </c>
      <c r="D233" s="7" t="s">
        <v>140</v>
      </c>
      <c r="E233" s="5" t="s">
        <v>2669</v>
      </c>
      <c r="F233" s="5" t="s">
        <v>2671</v>
      </c>
    </row>
    <row r="234">
      <c r="A234" s="5" t="s">
        <v>2604</v>
      </c>
      <c r="B234" s="8">
        <v>2.0</v>
      </c>
      <c r="C234" s="7" t="s">
        <v>139</v>
      </c>
      <c r="D234" s="7" t="s">
        <v>140</v>
      </c>
      <c r="E234" s="5" t="s">
        <v>2669</v>
      </c>
      <c r="F234" s="5" t="s">
        <v>2671</v>
      </c>
    </row>
    <row r="235">
      <c r="A235" s="5" t="s">
        <v>2605</v>
      </c>
      <c r="B235" s="8">
        <v>2.0</v>
      </c>
      <c r="C235" s="7" t="s">
        <v>139</v>
      </c>
      <c r="D235" s="7" t="s">
        <v>140</v>
      </c>
      <c r="E235" s="5" t="s">
        <v>2669</v>
      </c>
      <c r="F235" s="5" t="s">
        <v>2671</v>
      </c>
    </row>
    <row r="236">
      <c r="A236" s="5" t="s">
        <v>2606</v>
      </c>
      <c r="B236" s="8">
        <v>2.0</v>
      </c>
      <c r="C236" s="7" t="s">
        <v>139</v>
      </c>
      <c r="D236" s="7" t="s">
        <v>140</v>
      </c>
      <c r="E236" s="5" t="s">
        <v>2669</v>
      </c>
      <c r="F236" s="5" t="s">
        <v>147</v>
      </c>
    </row>
    <row r="237">
      <c r="A237" s="5" t="s">
        <v>2607</v>
      </c>
      <c r="B237" s="8">
        <v>2.0</v>
      </c>
      <c r="C237" s="7" t="s">
        <v>139</v>
      </c>
      <c r="D237" s="7" t="s">
        <v>140</v>
      </c>
      <c r="E237" s="5" t="s">
        <v>2669</v>
      </c>
      <c r="F237" s="5" t="s">
        <v>2671</v>
      </c>
    </row>
    <row r="238">
      <c r="A238" s="5" t="s">
        <v>2614</v>
      </c>
      <c r="B238" s="8">
        <v>2.0</v>
      </c>
      <c r="C238" s="7" t="s">
        <v>139</v>
      </c>
      <c r="D238" s="7" t="s">
        <v>140</v>
      </c>
      <c r="E238" s="5" t="s">
        <v>2669</v>
      </c>
      <c r="F238" s="5" t="s">
        <v>2670</v>
      </c>
    </row>
    <row r="239">
      <c r="A239" s="5" t="s">
        <v>2608</v>
      </c>
      <c r="B239" s="8">
        <v>2.0</v>
      </c>
      <c r="C239" s="7" t="s">
        <v>139</v>
      </c>
      <c r="D239" s="7" t="s">
        <v>140</v>
      </c>
      <c r="E239" s="5" t="s">
        <v>2669</v>
      </c>
      <c r="F239" s="5" t="s">
        <v>2670</v>
      </c>
    </row>
    <row r="240">
      <c r="A240" s="5" t="s">
        <v>2609</v>
      </c>
      <c r="B240" s="8">
        <v>2.0</v>
      </c>
      <c r="C240" s="7" t="s">
        <v>139</v>
      </c>
      <c r="D240" s="7" t="s">
        <v>140</v>
      </c>
      <c r="E240" s="5" t="s">
        <v>2669</v>
      </c>
      <c r="F240" s="5" t="s">
        <v>2675</v>
      </c>
    </row>
    <row r="241">
      <c r="A241" s="5" t="s">
        <v>2594</v>
      </c>
      <c r="B241" s="8">
        <v>2.0</v>
      </c>
      <c r="C241" s="7" t="s">
        <v>149</v>
      </c>
      <c r="D241" s="7" t="s">
        <v>150</v>
      </c>
      <c r="E241" s="5" t="s">
        <v>2676</v>
      </c>
      <c r="F241" s="5" t="s">
        <v>2677</v>
      </c>
    </row>
    <row r="242">
      <c r="A242" s="5" t="s">
        <v>2595</v>
      </c>
      <c r="B242" s="8">
        <v>2.0</v>
      </c>
      <c r="C242" s="7" t="s">
        <v>149</v>
      </c>
      <c r="D242" s="7" t="s">
        <v>150</v>
      </c>
      <c r="E242" s="5" t="s">
        <v>2676</v>
      </c>
      <c r="F242" s="5" t="s">
        <v>2678</v>
      </c>
    </row>
    <row r="243">
      <c r="A243" s="5" t="s">
        <v>2597</v>
      </c>
      <c r="B243" s="8">
        <v>2.0</v>
      </c>
      <c r="C243" s="7" t="s">
        <v>149</v>
      </c>
      <c r="D243" s="7" t="s">
        <v>150</v>
      </c>
      <c r="E243" s="5" t="s">
        <v>2676</v>
      </c>
      <c r="F243" s="5" t="s">
        <v>2679</v>
      </c>
    </row>
    <row r="244">
      <c r="A244" s="7" t="s">
        <v>8</v>
      </c>
      <c r="B244" s="8">
        <v>2.0</v>
      </c>
      <c r="C244" s="7" t="s">
        <v>149</v>
      </c>
      <c r="D244" s="7" t="s">
        <v>150</v>
      </c>
      <c r="E244" s="5" t="s">
        <v>2676</v>
      </c>
      <c r="F244" s="5" t="s">
        <v>2680</v>
      </c>
    </row>
    <row r="245">
      <c r="A245" s="5" t="s">
        <v>2600</v>
      </c>
      <c r="B245" s="8">
        <v>2.0</v>
      </c>
      <c r="C245" s="7" t="s">
        <v>149</v>
      </c>
      <c r="D245" s="7" t="s">
        <v>150</v>
      </c>
      <c r="E245" s="5" t="s">
        <v>2676</v>
      </c>
      <c r="F245" s="5" t="s">
        <v>2681</v>
      </c>
    </row>
    <row r="246">
      <c r="A246" s="5" t="s">
        <v>2602</v>
      </c>
      <c r="B246" s="8">
        <v>2.0</v>
      </c>
      <c r="C246" s="7" t="s">
        <v>149</v>
      </c>
      <c r="D246" s="7" t="s">
        <v>150</v>
      </c>
      <c r="E246" s="5" t="s">
        <v>2676</v>
      </c>
      <c r="F246" s="5" t="s">
        <v>2616</v>
      </c>
    </row>
    <row r="247">
      <c r="A247" s="5" t="s">
        <v>2603</v>
      </c>
      <c r="B247" s="8">
        <v>2.0</v>
      </c>
      <c r="C247" s="7" t="s">
        <v>149</v>
      </c>
      <c r="D247" s="7" t="s">
        <v>150</v>
      </c>
      <c r="E247" s="5" t="s">
        <v>2676</v>
      </c>
      <c r="F247" s="5" t="s">
        <v>2682</v>
      </c>
    </row>
    <row r="248">
      <c r="A248" s="5" t="s">
        <v>2604</v>
      </c>
      <c r="B248" s="8">
        <v>2.0</v>
      </c>
      <c r="C248" s="7" t="s">
        <v>149</v>
      </c>
      <c r="D248" s="7" t="s">
        <v>150</v>
      </c>
      <c r="E248" s="5" t="s">
        <v>2676</v>
      </c>
      <c r="F248" s="5" t="s">
        <v>2683</v>
      </c>
    </row>
    <row r="249">
      <c r="A249" s="5" t="s">
        <v>2605</v>
      </c>
      <c r="B249" s="8">
        <v>2.0</v>
      </c>
      <c r="C249" s="7" t="s">
        <v>149</v>
      </c>
      <c r="D249" s="7" t="s">
        <v>150</v>
      </c>
      <c r="E249" s="5" t="s">
        <v>2676</v>
      </c>
      <c r="F249" s="5" t="s">
        <v>2684</v>
      </c>
    </row>
    <row r="250">
      <c r="A250" s="5" t="s">
        <v>2606</v>
      </c>
      <c r="B250" s="8">
        <v>2.0</v>
      </c>
      <c r="C250" s="7" t="s">
        <v>149</v>
      </c>
      <c r="D250" s="7" t="s">
        <v>150</v>
      </c>
      <c r="E250" s="5" t="s">
        <v>2676</v>
      </c>
      <c r="F250" s="5" t="s">
        <v>2685</v>
      </c>
    </row>
    <row r="251">
      <c r="A251" s="5" t="s">
        <v>2607</v>
      </c>
      <c r="B251" s="8">
        <v>2.0</v>
      </c>
      <c r="C251" s="7" t="s">
        <v>149</v>
      </c>
      <c r="D251" s="7" t="s">
        <v>150</v>
      </c>
      <c r="E251" s="5" t="s">
        <v>2676</v>
      </c>
      <c r="F251" s="5" t="s">
        <v>2682</v>
      </c>
    </row>
    <row r="252">
      <c r="A252" s="5" t="s">
        <v>2608</v>
      </c>
      <c r="B252" s="8">
        <v>2.0</v>
      </c>
      <c r="C252" s="7" t="s">
        <v>149</v>
      </c>
      <c r="D252" s="7" t="s">
        <v>150</v>
      </c>
      <c r="E252" s="5" t="s">
        <v>2676</v>
      </c>
      <c r="F252" s="5" t="s">
        <v>2682</v>
      </c>
    </row>
    <row r="253">
      <c r="A253" s="5" t="s">
        <v>2592</v>
      </c>
      <c r="B253" s="8">
        <v>2.0</v>
      </c>
      <c r="C253" s="7" t="s">
        <v>162</v>
      </c>
      <c r="D253" s="7" t="s">
        <v>163</v>
      </c>
      <c r="E253" s="5" t="s">
        <v>2686</v>
      </c>
      <c r="F253" s="5" t="s">
        <v>2687</v>
      </c>
    </row>
    <row r="254">
      <c r="A254" s="5" t="s">
        <v>2594</v>
      </c>
      <c r="B254" s="8">
        <v>2.0</v>
      </c>
      <c r="C254" s="7" t="s">
        <v>162</v>
      </c>
      <c r="D254" s="7" t="s">
        <v>163</v>
      </c>
      <c r="E254" s="5" t="s">
        <v>2686</v>
      </c>
      <c r="F254" s="5" t="s">
        <v>2687</v>
      </c>
    </row>
    <row r="255">
      <c r="A255" s="5" t="s">
        <v>2595</v>
      </c>
      <c r="B255" s="8">
        <v>2.0</v>
      </c>
      <c r="C255" s="7" t="s">
        <v>162</v>
      </c>
      <c r="D255" s="7" t="s">
        <v>163</v>
      </c>
      <c r="E255" s="5" t="s">
        <v>2686</v>
      </c>
      <c r="F255" s="5" t="s">
        <v>2688</v>
      </c>
    </row>
    <row r="256">
      <c r="A256" s="5" t="s">
        <v>2597</v>
      </c>
      <c r="B256" s="8">
        <v>2.0</v>
      </c>
      <c r="C256" s="7" t="s">
        <v>162</v>
      </c>
      <c r="D256" s="7" t="s">
        <v>163</v>
      </c>
      <c r="E256" s="5" t="s">
        <v>2686</v>
      </c>
      <c r="F256" s="5" t="s">
        <v>2687</v>
      </c>
    </row>
    <row r="257">
      <c r="A257" s="7" t="s">
        <v>8</v>
      </c>
      <c r="B257" s="8">
        <v>2.0</v>
      </c>
      <c r="C257" s="7" t="s">
        <v>162</v>
      </c>
      <c r="D257" s="7" t="s">
        <v>163</v>
      </c>
      <c r="E257" s="5" t="s">
        <v>2686</v>
      </c>
      <c r="F257" s="5" t="s">
        <v>2647</v>
      </c>
    </row>
    <row r="258">
      <c r="A258" s="5" t="s">
        <v>2599</v>
      </c>
      <c r="B258" s="8">
        <v>2.0</v>
      </c>
      <c r="C258" s="7" t="s">
        <v>162</v>
      </c>
      <c r="D258" s="7" t="s">
        <v>163</v>
      </c>
      <c r="E258" s="5" t="s">
        <v>2686</v>
      </c>
      <c r="F258" s="5" t="s">
        <v>2001</v>
      </c>
    </row>
    <row r="259">
      <c r="A259" s="5" t="s">
        <v>2600</v>
      </c>
      <c r="B259" s="8">
        <v>2.0</v>
      </c>
      <c r="C259" s="7" t="s">
        <v>162</v>
      </c>
      <c r="D259" s="7" t="s">
        <v>163</v>
      </c>
      <c r="E259" s="5" t="s">
        <v>2686</v>
      </c>
      <c r="F259" s="5" t="s">
        <v>2673</v>
      </c>
    </row>
    <row r="260">
      <c r="A260" s="5" t="s">
        <v>2602</v>
      </c>
      <c r="B260" s="8">
        <v>2.0</v>
      </c>
      <c r="C260" s="7" t="s">
        <v>162</v>
      </c>
      <c r="D260" s="7" t="s">
        <v>163</v>
      </c>
      <c r="E260" s="5" t="s">
        <v>2686</v>
      </c>
      <c r="F260" s="5" t="s">
        <v>2689</v>
      </c>
    </row>
    <row r="261">
      <c r="A261" s="5" t="s">
        <v>2603</v>
      </c>
      <c r="B261" s="8">
        <v>2.0</v>
      </c>
      <c r="C261" s="7" t="s">
        <v>162</v>
      </c>
      <c r="D261" s="7" t="s">
        <v>163</v>
      </c>
      <c r="E261" s="5" t="s">
        <v>2686</v>
      </c>
      <c r="F261" s="5" t="s">
        <v>2687</v>
      </c>
    </row>
    <row r="262">
      <c r="A262" s="5" t="s">
        <v>2604</v>
      </c>
      <c r="B262" s="8">
        <v>2.0</v>
      </c>
      <c r="C262" s="7" t="s">
        <v>162</v>
      </c>
      <c r="D262" s="7" t="s">
        <v>163</v>
      </c>
      <c r="E262" s="5" t="s">
        <v>2686</v>
      </c>
      <c r="F262" s="5" t="s">
        <v>2690</v>
      </c>
    </row>
    <row r="263">
      <c r="A263" s="5" t="s">
        <v>2606</v>
      </c>
      <c r="B263" s="8">
        <v>2.0</v>
      </c>
      <c r="C263" s="7" t="s">
        <v>162</v>
      </c>
      <c r="D263" s="7" t="s">
        <v>163</v>
      </c>
      <c r="E263" s="5" t="s">
        <v>2686</v>
      </c>
      <c r="F263" s="5" t="s">
        <v>2691</v>
      </c>
    </row>
    <row r="264">
      <c r="A264" s="5" t="s">
        <v>2607</v>
      </c>
      <c r="B264" s="8">
        <v>2.0</v>
      </c>
      <c r="C264" s="7" t="s">
        <v>162</v>
      </c>
      <c r="D264" s="7" t="s">
        <v>163</v>
      </c>
      <c r="E264" s="5" t="s">
        <v>2686</v>
      </c>
      <c r="F264" s="5" t="s">
        <v>2687</v>
      </c>
    </row>
    <row r="265">
      <c r="A265" s="5" t="s">
        <v>2614</v>
      </c>
      <c r="B265" s="8">
        <v>2.0</v>
      </c>
      <c r="C265" s="7" t="s">
        <v>162</v>
      </c>
      <c r="D265" s="7" t="s">
        <v>163</v>
      </c>
      <c r="E265" s="5" t="s">
        <v>2686</v>
      </c>
      <c r="F265" s="5" t="s">
        <v>2692</v>
      </c>
    </row>
    <row r="266">
      <c r="A266" s="5" t="s">
        <v>2608</v>
      </c>
      <c r="B266" s="8">
        <v>2.0</v>
      </c>
      <c r="C266" s="7" t="s">
        <v>162</v>
      </c>
      <c r="D266" s="7" t="s">
        <v>163</v>
      </c>
      <c r="E266" s="5" t="s">
        <v>2686</v>
      </c>
      <c r="F266" s="5" t="s">
        <v>2687</v>
      </c>
    </row>
    <row r="267">
      <c r="A267" s="5" t="s">
        <v>2609</v>
      </c>
      <c r="B267" s="8">
        <v>2.0</v>
      </c>
      <c r="C267" s="7" t="s">
        <v>162</v>
      </c>
      <c r="D267" s="7" t="s">
        <v>163</v>
      </c>
      <c r="E267" s="5" t="s">
        <v>2686</v>
      </c>
      <c r="F267" s="5" t="s">
        <v>2687</v>
      </c>
    </row>
    <row r="268">
      <c r="A268" s="5" t="s">
        <v>2592</v>
      </c>
      <c r="B268" s="8">
        <v>2.0</v>
      </c>
      <c r="C268" s="7" t="s">
        <v>172</v>
      </c>
      <c r="D268" s="5" t="s">
        <v>2693</v>
      </c>
      <c r="E268" s="5" t="s">
        <v>2694</v>
      </c>
      <c r="F268" s="7" t="s">
        <v>175</v>
      </c>
    </row>
    <row r="269">
      <c r="A269" s="5" t="s">
        <v>2594</v>
      </c>
      <c r="B269" s="8">
        <v>2.0</v>
      </c>
      <c r="C269" s="7" t="s">
        <v>172</v>
      </c>
      <c r="D269" s="5" t="s">
        <v>2693</v>
      </c>
      <c r="E269" s="5" t="s">
        <v>2694</v>
      </c>
      <c r="F269" s="7" t="s">
        <v>175</v>
      </c>
    </row>
    <row r="270">
      <c r="A270" s="5" t="s">
        <v>2595</v>
      </c>
      <c r="B270" s="8">
        <v>2.0</v>
      </c>
      <c r="C270" s="7" t="s">
        <v>172</v>
      </c>
      <c r="D270" s="5" t="s">
        <v>2693</v>
      </c>
      <c r="E270" s="5" t="s">
        <v>2694</v>
      </c>
      <c r="F270" s="7" t="s">
        <v>175</v>
      </c>
    </row>
    <row r="271">
      <c r="A271" s="5" t="s">
        <v>2597</v>
      </c>
      <c r="B271" s="8">
        <v>2.0</v>
      </c>
      <c r="C271" s="7" t="s">
        <v>172</v>
      </c>
      <c r="D271" s="5" t="s">
        <v>2693</v>
      </c>
      <c r="E271" s="5" t="s">
        <v>2694</v>
      </c>
      <c r="F271" s="7" t="s">
        <v>175</v>
      </c>
    </row>
    <row r="272">
      <c r="A272" s="7" t="s">
        <v>8</v>
      </c>
      <c r="B272" s="8">
        <v>2.0</v>
      </c>
      <c r="C272" s="7" t="s">
        <v>172</v>
      </c>
      <c r="D272" s="5" t="s">
        <v>2693</v>
      </c>
      <c r="E272" s="5" t="s">
        <v>2694</v>
      </c>
      <c r="F272" s="7" t="s">
        <v>176</v>
      </c>
    </row>
    <row r="273">
      <c r="A273" s="5" t="s">
        <v>2599</v>
      </c>
      <c r="B273" s="8">
        <v>2.0</v>
      </c>
      <c r="C273" s="7" t="s">
        <v>172</v>
      </c>
      <c r="D273" s="5" t="s">
        <v>2693</v>
      </c>
      <c r="E273" s="5" t="s">
        <v>2694</v>
      </c>
      <c r="F273" s="7" t="s">
        <v>175</v>
      </c>
    </row>
    <row r="274">
      <c r="A274" s="5" t="s">
        <v>2600</v>
      </c>
      <c r="B274" s="8">
        <v>2.0</v>
      </c>
      <c r="C274" s="7" t="s">
        <v>172</v>
      </c>
      <c r="D274" s="5" t="s">
        <v>2693</v>
      </c>
      <c r="E274" s="5" t="s">
        <v>2694</v>
      </c>
      <c r="F274" s="7" t="s">
        <v>175</v>
      </c>
    </row>
    <row r="275">
      <c r="A275" s="5" t="s">
        <v>2602</v>
      </c>
      <c r="B275" s="8">
        <v>2.0</v>
      </c>
      <c r="C275" s="7" t="s">
        <v>172</v>
      </c>
      <c r="D275" s="5" t="s">
        <v>2693</v>
      </c>
      <c r="E275" s="5" t="s">
        <v>2694</v>
      </c>
      <c r="F275" s="7" t="s">
        <v>175</v>
      </c>
    </row>
    <row r="276">
      <c r="A276" s="5" t="s">
        <v>2603</v>
      </c>
      <c r="B276" s="8">
        <v>2.0</v>
      </c>
      <c r="C276" s="7" t="s">
        <v>172</v>
      </c>
      <c r="D276" s="5" t="s">
        <v>2693</v>
      </c>
      <c r="E276" s="5" t="s">
        <v>2694</v>
      </c>
      <c r="F276" s="7" t="s">
        <v>175</v>
      </c>
    </row>
    <row r="277">
      <c r="A277" s="5" t="s">
        <v>2604</v>
      </c>
      <c r="B277" s="8">
        <v>2.0</v>
      </c>
      <c r="C277" s="7" t="s">
        <v>172</v>
      </c>
      <c r="D277" s="5" t="s">
        <v>2693</v>
      </c>
      <c r="E277" s="5" t="s">
        <v>2694</v>
      </c>
      <c r="F277" s="7" t="s">
        <v>175</v>
      </c>
    </row>
    <row r="278">
      <c r="A278" s="5" t="s">
        <v>2605</v>
      </c>
      <c r="B278" s="8">
        <v>2.0</v>
      </c>
      <c r="C278" s="7" t="s">
        <v>172</v>
      </c>
      <c r="D278" s="5" t="s">
        <v>2693</v>
      </c>
      <c r="E278" s="5" t="s">
        <v>2694</v>
      </c>
      <c r="F278" s="7" t="s">
        <v>175</v>
      </c>
    </row>
    <row r="279">
      <c r="A279" s="5" t="s">
        <v>2606</v>
      </c>
      <c r="B279" s="8">
        <v>2.0</v>
      </c>
      <c r="C279" s="7" t="s">
        <v>172</v>
      </c>
      <c r="D279" s="5" t="s">
        <v>2693</v>
      </c>
      <c r="E279" s="5" t="s">
        <v>2694</v>
      </c>
      <c r="F279" s="7" t="s">
        <v>175</v>
      </c>
    </row>
    <row r="280">
      <c r="A280" s="5" t="s">
        <v>2607</v>
      </c>
      <c r="B280" s="8">
        <v>2.0</v>
      </c>
      <c r="C280" s="7" t="s">
        <v>172</v>
      </c>
      <c r="D280" s="5" t="s">
        <v>2693</v>
      </c>
      <c r="E280" s="5" t="s">
        <v>2694</v>
      </c>
      <c r="F280" s="7" t="s">
        <v>175</v>
      </c>
    </row>
    <row r="281">
      <c r="A281" s="5" t="s">
        <v>2614</v>
      </c>
      <c r="B281" s="8">
        <v>2.0</v>
      </c>
      <c r="C281" s="7" t="s">
        <v>172</v>
      </c>
      <c r="D281" s="5" t="s">
        <v>2693</v>
      </c>
      <c r="E281" s="5" t="s">
        <v>2694</v>
      </c>
      <c r="F281" s="7" t="s">
        <v>175</v>
      </c>
    </row>
    <row r="282">
      <c r="A282" s="5" t="s">
        <v>2608</v>
      </c>
      <c r="B282" s="8">
        <v>2.0</v>
      </c>
      <c r="C282" s="7" t="s">
        <v>172</v>
      </c>
      <c r="D282" s="5" t="s">
        <v>2693</v>
      </c>
      <c r="E282" s="5" t="s">
        <v>2694</v>
      </c>
      <c r="F282" s="7" t="s">
        <v>175</v>
      </c>
    </row>
    <row r="283">
      <c r="A283" s="5" t="s">
        <v>2609</v>
      </c>
      <c r="B283" s="8">
        <v>2.0</v>
      </c>
      <c r="C283" s="7" t="s">
        <v>172</v>
      </c>
      <c r="D283" s="5" t="s">
        <v>2693</v>
      </c>
      <c r="E283" s="5" t="s">
        <v>2694</v>
      </c>
      <c r="F283" s="7" t="s">
        <v>175</v>
      </c>
    </row>
    <row r="284">
      <c r="A284" s="5" t="s">
        <v>2592</v>
      </c>
      <c r="B284" s="8">
        <v>2.0</v>
      </c>
      <c r="C284" s="7" t="s">
        <v>177</v>
      </c>
      <c r="D284" s="7" t="s">
        <v>178</v>
      </c>
      <c r="E284" s="5" t="s">
        <v>2695</v>
      </c>
      <c r="F284" s="5" t="s">
        <v>2696</v>
      </c>
    </row>
    <row r="285">
      <c r="A285" s="5" t="s">
        <v>2594</v>
      </c>
      <c r="B285" s="8">
        <v>2.0</v>
      </c>
      <c r="C285" s="7" t="s">
        <v>177</v>
      </c>
      <c r="D285" s="7" t="s">
        <v>178</v>
      </c>
      <c r="E285" s="5" t="s">
        <v>2695</v>
      </c>
      <c r="F285" s="5" t="s">
        <v>2696</v>
      </c>
    </row>
    <row r="286">
      <c r="A286" s="5" t="s">
        <v>2595</v>
      </c>
      <c r="B286" s="8">
        <v>2.0</v>
      </c>
      <c r="C286" s="7" t="s">
        <v>177</v>
      </c>
      <c r="D286" s="7" t="s">
        <v>178</v>
      </c>
      <c r="E286" s="5" t="s">
        <v>2695</v>
      </c>
      <c r="F286" s="5" t="s">
        <v>2696</v>
      </c>
    </row>
    <row r="287">
      <c r="A287" s="5" t="s">
        <v>2597</v>
      </c>
      <c r="B287" s="8">
        <v>2.0</v>
      </c>
      <c r="C287" s="7" t="s">
        <v>177</v>
      </c>
      <c r="D287" s="7" t="s">
        <v>178</v>
      </c>
      <c r="E287" s="5" t="s">
        <v>2695</v>
      </c>
      <c r="F287" s="5" t="s">
        <v>2697</v>
      </c>
    </row>
    <row r="288">
      <c r="A288" s="7" t="s">
        <v>8</v>
      </c>
      <c r="B288" s="8">
        <v>2.0</v>
      </c>
      <c r="C288" s="7" t="s">
        <v>177</v>
      </c>
      <c r="D288" s="7" t="s">
        <v>178</v>
      </c>
      <c r="E288" s="5" t="s">
        <v>2695</v>
      </c>
      <c r="F288" s="5" t="s">
        <v>2698</v>
      </c>
    </row>
    <row r="289">
      <c r="A289" s="5" t="s">
        <v>2599</v>
      </c>
      <c r="B289" s="8">
        <v>2.0</v>
      </c>
      <c r="C289" s="7" t="s">
        <v>177</v>
      </c>
      <c r="D289" s="7" t="s">
        <v>178</v>
      </c>
      <c r="E289" s="5" t="s">
        <v>2695</v>
      </c>
      <c r="F289" s="5" t="s">
        <v>2699</v>
      </c>
    </row>
    <row r="290">
      <c r="A290" s="5" t="s">
        <v>2600</v>
      </c>
      <c r="B290" s="8">
        <v>2.0</v>
      </c>
      <c r="C290" s="7" t="s">
        <v>177</v>
      </c>
      <c r="D290" s="7" t="s">
        <v>178</v>
      </c>
      <c r="E290" s="5" t="s">
        <v>2695</v>
      </c>
      <c r="F290" s="5" t="s">
        <v>2699</v>
      </c>
    </row>
    <row r="291">
      <c r="A291" s="5" t="s">
        <v>2602</v>
      </c>
      <c r="B291" s="8">
        <v>2.0</v>
      </c>
      <c r="C291" s="7" t="s">
        <v>177</v>
      </c>
      <c r="D291" s="7" t="s">
        <v>178</v>
      </c>
      <c r="E291" s="5" t="s">
        <v>2695</v>
      </c>
      <c r="F291" s="5" t="s">
        <v>184</v>
      </c>
    </row>
    <row r="292">
      <c r="A292" s="5" t="s">
        <v>2603</v>
      </c>
      <c r="B292" s="8">
        <v>2.0</v>
      </c>
      <c r="C292" s="7" t="s">
        <v>177</v>
      </c>
      <c r="D292" s="7" t="s">
        <v>178</v>
      </c>
      <c r="E292" s="5" t="s">
        <v>2695</v>
      </c>
      <c r="F292" s="5" t="s">
        <v>2697</v>
      </c>
    </row>
    <row r="293">
      <c r="A293" s="5" t="s">
        <v>2604</v>
      </c>
      <c r="B293" s="8">
        <v>2.0</v>
      </c>
      <c r="C293" s="7" t="s">
        <v>177</v>
      </c>
      <c r="D293" s="7" t="s">
        <v>178</v>
      </c>
      <c r="E293" s="5" t="s">
        <v>2695</v>
      </c>
      <c r="F293" s="5" t="s">
        <v>2700</v>
      </c>
    </row>
    <row r="294">
      <c r="A294" s="5" t="s">
        <v>2605</v>
      </c>
      <c r="B294" s="8">
        <v>2.0</v>
      </c>
      <c r="C294" s="7" t="s">
        <v>177</v>
      </c>
      <c r="D294" s="7" t="s">
        <v>178</v>
      </c>
      <c r="E294" s="5" t="s">
        <v>2695</v>
      </c>
      <c r="F294" s="5" t="s">
        <v>2697</v>
      </c>
    </row>
    <row r="295">
      <c r="A295" s="5" t="s">
        <v>2606</v>
      </c>
      <c r="B295" s="8">
        <v>2.0</v>
      </c>
      <c r="C295" s="7" t="s">
        <v>177</v>
      </c>
      <c r="D295" s="7" t="s">
        <v>178</v>
      </c>
      <c r="E295" s="5" t="s">
        <v>2695</v>
      </c>
      <c r="F295" s="5" t="s">
        <v>2697</v>
      </c>
    </row>
    <row r="296">
      <c r="A296" s="5" t="s">
        <v>2607</v>
      </c>
      <c r="B296" s="8">
        <v>2.0</v>
      </c>
      <c r="C296" s="7" t="s">
        <v>177</v>
      </c>
      <c r="D296" s="7" t="s">
        <v>178</v>
      </c>
      <c r="E296" s="5" t="s">
        <v>2695</v>
      </c>
      <c r="F296" s="5" t="s">
        <v>2697</v>
      </c>
    </row>
    <row r="297">
      <c r="A297" s="5" t="s">
        <v>2614</v>
      </c>
      <c r="B297" s="8">
        <v>2.0</v>
      </c>
      <c r="C297" s="7" t="s">
        <v>177</v>
      </c>
      <c r="D297" s="7" t="s">
        <v>178</v>
      </c>
      <c r="E297" s="5" t="s">
        <v>2695</v>
      </c>
      <c r="F297" s="5" t="s">
        <v>2701</v>
      </c>
    </row>
    <row r="298">
      <c r="A298" s="5" t="s">
        <v>2608</v>
      </c>
      <c r="B298" s="8">
        <v>2.0</v>
      </c>
      <c r="C298" s="7" t="s">
        <v>177</v>
      </c>
      <c r="D298" s="7" t="s">
        <v>178</v>
      </c>
      <c r="E298" s="5" t="s">
        <v>2695</v>
      </c>
      <c r="F298" s="5" t="s">
        <v>2697</v>
      </c>
    </row>
    <row r="299">
      <c r="A299" s="5" t="s">
        <v>2609</v>
      </c>
      <c r="B299" s="8">
        <v>2.0</v>
      </c>
      <c r="C299" s="7" t="s">
        <v>177</v>
      </c>
      <c r="D299" s="7" t="s">
        <v>178</v>
      </c>
      <c r="E299" s="5" t="s">
        <v>2695</v>
      </c>
      <c r="F299" s="5" t="s">
        <v>2697</v>
      </c>
    </row>
    <row r="300">
      <c r="A300" s="7" t="s">
        <v>188</v>
      </c>
      <c r="B300" s="8" t="s">
        <v>378</v>
      </c>
      <c r="C300" s="4" t="s">
        <v>190</v>
      </c>
      <c r="D300" s="7" t="s">
        <v>191</v>
      </c>
      <c r="E300" s="7" t="s">
        <v>192</v>
      </c>
      <c r="F300" s="7" t="s">
        <v>379</v>
      </c>
    </row>
    <row r="301">
      <c r="A301" s="5" t="s">
        <v>2592</v>
      </c>
      <c r="B301" s="8">
        <v>3.0</v>
      </c>
      <c r="C301" s="4" t="s">
        <v>190</v>
      </c>
      <c r="D301" s="7" t="s">
        <v>191</v>
      </c>
      <c r="E301" s="7" t="s">
        <v>192</v>
      </c>
      <c r="F301" s="7" t="s">
        <v>380</v>
      </c>
    </row>
    <row r="302">
      <c r="A302" s="5" t="s">
        <v>2594</v>
      </c>
      <c r="B302" s="8">
        <v>3.0</v>
      </c>
      <c r="C302" s="4" t="s">
        <v>190</v>
      </c>
      <c r="D302" s="7" t="s">
        <v>191</v>
      </c>
      <c r="E302" s="7" t="s">
        <v>192</v>
      </c>
      <c r="F302" s="7" t="s">
        <v>381</v>
      </c>
    </row>
    <row r="303">
      <c r="A303" s="5" t="s">
        <v>2595</v>
      </c>
      <c r="B303" s="8">
        <v>3.0</v>
      </c>
      <c r="C303" s="4" t="s">
        <v>190</v>
      </c>
      <c r="D303" s="7" t="s">
        <v>191</v>
      </c>
      <c r="E303" s="7" t="s">
        <v>192</v>
      </c>
      <c r="F303" s="7" t="s">
        <v>380</v>
      </c>
    </row>
    <row r="304">
      <c r="A304" s="5" t="s">
        <v>2597</v>
      </c>
      <c r="B304" s="8">
        <v>3.0</v>
      </c>
      <c r="C304" s="4" t="s">
        <v>190</v>
      </c>
      <c r="D304" s="7" t="s">
        <v>191</v>
      </c>
      <c r="E304" s="7" t="s">
        <v>192</v>
      </c>
      <c r="F304" s="7" t="s">
        <v>382</v>
      </c>
    </row>
    <row r="305">
      <c r="A305" s="7" t="s">
        <v>8</v>
      </c>
      <c r="B305" s="8">
        <v>3.0</v>
      </c>
      <c r="C305" s="4" t="s">
        <v>190</v>
      </c>
      <c r="D305" s="7" t="s">
        <v>191</v>
      </c>
      <c r="E305" s="7" t="s">
        <v>192</v>
      </c>
      <c r="F305" s="7" t="s">
        <v>382</v>
      </c>
    </row>
    <row r="306">
      <c r="A306" s="5" t="s">
        <v>2702</v>
      </c>
      <c r="B306" s="8">
        <v>3.0</v>
      </c>
      <c r="C306" s="4" t="s">
        <v>190</v>
      </c>
      <c r="D306" s="7" t="s">
        <v>191</v>
      </c>
      <c r="E306" s="7" t="s">
        <v>192</v>
      </c>
      <c r="F306" s="7" t="s">
        <v>382</v>
      </c>
    </row>
    <row r="307">
      <c r="A307" s="5" t="s">
        <v>2599</v>
      </c>
      <c r="B307" s="8">
        <v>3.0</v>
      </c>
      <c r="C307" s="4" t="s">
        <v>190</v>
      </c>
      <c r="D307" s="7" t="s">
        <v>191</v>
      </c>
      <c r="E307" s="7" t="s">
        <v>192</v>
      </c>
      <c r="F307" s="7" t="s">
        <v>382</v>
      </c>
    </row>
    <row r="308">
      <c r="A308" s="5" t="s">
        <v>2600</v>
      </c>
      <c r="B308" s="8">
        <v>3.0</v>
      </c>
      <c r="C308" s="4" t="s">
        <v>190</v>
      </c>
      <c r="D308" s="7" t="s">
        <v>191</v>
      </c>
      <c r="E308" s="7" t="s">
        <v>192</v>
      </c>
      <c r="F308" s="7" t="s">
        <v>382</v>
      </c>
    </row>
    <row r="309">
      <c r="A309" s="5" t="s">
        <v>2602</v>
      </c>
      <c r="B309" s="8">
        <v>3.0</v>
      </c>
      <c r="C309" s="4" t="s">
        <v>190</v>
      </c>
      <c r="D309" s="7" t="s">
        <v>191</v>
      </c>
      <c r="E309" s="7" t="s">
        <v>192</v>
      </c>
      <c r="F309" s="7" t="s">
        <v>382</v>
      </c>
    </row>
    <row r="310">
      <c r="A310" s="5" t="s">
        <v>2603</v>
      </c>
      <c r="B310" s="8">
        <v>3.0</v>
      </c>
      <c r="C310" s="4" t="s">
        <v>190</v>
      </c>
      <c r="D310" s="7" t="s">
        <v>191</v>
      </c>
      <c r="E310" s="7" t="s">
        <v>192</v>
      </c>
      <c r="F310" s="7" t="s">
        <v>380</v>
      </c>
    </row>
    <row r="311">
      <c r="A311" s="5" t="s">
        <v>2604</v>
      </c>
      <c r="B311" s="8">
        <v>3.0</v>
      </c>
      <c r="C311" s="4" t="s">
        <v>190</v>
      </c>
      <c r="D311" s="7" t="s">
        <v>191</v>
      </c>
      <c r="E311" s="7" t="s">
        <v>192</v>
      </c>
      <c r="F311" s="7" t="s">
        <v>380</v>
      </c>
    </row>
    <row r="312">
      <c r="A312" s="5" t="s">
        <v>2605</v>
      </c>
      <c r="B312" s="8">
        <v>3.0</v>
      </c>
      <c r="C312" s="4" t="s">
        <v>190</v>
      </c>
      <c r="D312" s="7" t="s">
        <v>191</v>
      </c>
      <c r="E312" s="7" t="s">
        <v>192</v>
      </c>
      <c r="F312" s="7" t="s">
        <v>383</v>
      </c>
    </row>
    <row r="313">
      <c r="A313" s="5" t="s">
        <v>2606</v>
      </c>
      <c r="B313" s="8">
        <v>3.0</v>
      </c>
      <c r="C313" s="4" t="s">
        <v>190</v>
      </c>
      <c r="D313" s="7" t="s">
        <v>191</v>
      </c>
      <c r="E313" s="7" t="s">
        <v>192</v>
      </c>
      <c r="F313" s="7" t="s">
        <v>380</v>
      </c>
    </row>
    <row r="314">
      <c r="A314" s="5" t="s">
        <v>2607</v>
      </c>
      <c r="B314" s="8">
        <v>3.0</v>
      </c>
      <c r="C314" s="4" t="s">
        <v>190</v>
      </c>
      <c r="D314" s="7" t="s">
        <v>191</v>
      </c>
      <c r="E314" s="7" t="s">
        <v>192</v>
      </c>
      <c r="F314" s="7" t="s">
        <v>383</v>
      </c>
    </row>
    <row r="315">
      <c r="A315" s="5" t="s">
        <v>2614</v>
      </c>
      <c r="B315" s="8">
        <v>3.0</v>
      </c>
      <c r="C315" s="4" t="s">
        <v>190</v>
      </c>
      <c r="D315" s="7" t="s">
        <v>191</v>
      </c>
      <c r="E315" s="7" t="s">
        <v>192</v>
      </c>
      <c r="F315" s="7" t="s">
        <v>382</v>
      </c>
    </row>
    <row r="316">
      <c r="A316" s="5" t="s">
        <v>2608</v>
      </c>
      <c r="B316" s="8">
        <v>3.0</v>
      </c>
      <c r="C316" s="4" t="s">
        <v>190</v>
      </c>
      <c r="D316" s="7" t="s">
        <v>191</v>
      </c>
      <c r="E316" s="7" t="s">
        <v>192</v>
      </c>
      <c r="F316" s="7" t="s">
        <v>381</v>
      </c>
    </row>
    <row r="317">
      <c r="A317" s="5" t="s">
        <v>2609</v>
      </c>
      <c r="B317" s="8">
        <v>3.0</v>
      </c>
      <c r="C317" s="4" t="s">
        <v>190</v>
      </c>
      <c r="D317" s="7" t="s">
        <v>191</v>
      </c>
      <c r="E317" s="7" t="s">
        <v>192</v>
      </c>
      <c r="F317" s="7" t="s">
        <v>384</v>
      </c>
    </row>
    <row r="318">
      <c r="A318" s="7" t="s">
        <v>188</v>
      </c>
      <c r="B318" s="8">
        <v>3.0</v>
      </c>
      <c r="C318" s="4" t="s">
        <v>193</v>
      </c>
      <c r="D318" s="7" t="s">
        <v>194</v>
      </c>
      <c r="E318" s="5" t="s">
        <v>2703</v>
      </c>
      <c r="F318" s="7" t="s">
        <v>379</v>
      </c>
    </row>
    <row r="319">
      <c r="A319" s="5" t="s">
        <v>2592</v>
      </c>
      <c r="B319" s="8">
        <v>3.0</v>
      </c>
      <c r="C319" s="4" t="s">
        <v>193</v>
      </c>
      <c r="D319" s="7" t="s">
        <v>194</v>
      </c>
      <c r="E319" s="5" t="s">
        <v>2703</v>
      </c>
      <c r="F319" s="7" t="s">
        <v>380</v>
      </c>
    </row>
    <row r="320">
      <c r="A320" s="5" t="s">
        <v>2594</v>
      </c>
      <c r="B320" s="8">
        <v>3.0</v>
      </c>
      <c r="C320" s="4" t="s">
        <v>193</v>
      </c>
      <c r="D320" s="7" t="s">
        <v>194</v>
      </c>
      <c r="E320" s="5" t="s">
        <v>2703</v>
      </c>
      <c r="F320" s="7" t="s">
        <v>381</v>
      </c>
    </row>
    <row r="321">
      <c r="A321" s="5" t="s">
        <v>2595</v>
      </c>
      <c r="B321" s="8">
        <v>3.0</v>
      </c>
      <c r="C321" s="4" t="s">
        <v>193</v>
      </c>
      <c r="D321" s="7" t="s">
        <v>194</v>
      </c>
      <c r="E321" s="5" t="s">
        <v>2703</v>
      </c>
      <c r="F321" s="7" t="s">
        <v>380</v>
      </c>
    </row>
    <row r="322">
      <c r="A322" s="5" t="s">
        <v>2597</v>
      </c>
      <c r="B322" s="8">
        <v>3.0</v>
      </c>
      <c r="C322" s="4" t="s">
        <v>193</v>
      </c>
      <c r="D322" s="7" t="s">
        <v>194</v>
      </c>
      <c r="E322" s="5" t="s">
        <v>2703</v>
      </c>
      <c r="F322" s="7" t="s">
        <v>382</v>
      </c>
    </row>
    <row r="323">
      <c r="A323" s="7" t="s">
        <v>8</v>
      </c>
      <c r="B323" s="8">
        <v>3.0</v>
      </c>
      <c r="C323" s="4" t="s">
        <v>193</v>
      </c>
      <c r="D323" s="7" t="s">
        <v>194</v>
      </c>
      <c r="E323" s="5" t="s">
        <v>2703</v>
      </c>
      <c r="F323" s="7" t="s">
        <v>382</v>
      </c>
    </row>
    <row r="324">
      <c r="A324" s="5" t="s">
        <v>2702</v>
      </c>
      <c r="B324" s="8">
        <v>3.0</v>
      </c>
      <c r="C324" s="4" t="s">
        <v>193</v>
      </c>
      <c r="D324" s="7" t="s">
        <v>194</v>
      </c>
      <c r="E324" s="5" t="s">
        <v>2703</v>
      </c>
      <c r="F324" s="7" t="s">
        <v>382</v>
      </c>
    </row>
    <row r="325">
      <c r="A325" s="5" t="s">
        <v>2599</v>
      </c>
      <c r="B325" s="8">
        <v>3.0</v>
      </c>
      <c r="C325" s="4" t="s">
        <v>193</v>
      </c>
      <c r="D325" s="7" t="s">
        <v>194</v>
      </c>
      <c r="E325" s="5" t="s">
        <v>2703</v>
      </c>
      <c r="F325" s="7" t="s">
        <v>380</v>
      </c>
    </row>
    <row r="326">
      <c r="A326" s="5" t="s">
        <v>2600</v>
      </c>
      <c r="B326" s="8">
        <v>3.0</v>
      </c>
      <c r="C326" s="4" t="s">
        <v>193</v>
      </c>
      <c r="D326" s="7" t="s">
        <v>194</v>
      </c>
      <c r="E326" s="5" t="s">
        <v>2703</v>
      </c>
      <c r="F326" s="7" t="s">
        <v>382</v>
      </c>
    </row>
    <row r="327">
      <c r="A327" s="5" t="s">
        <v>2602</v>
      </c>
      <c r="B327" s="8">
        <v>3.0</v>
      </c>
      <c r="C327" s="4" t="s">
        <v>193</v>
      </c>
      <c r="D327" s="7" t="s">
        <v>194</v>
      </c>
      <c r="E327" s="5" t="s">
        <v>2703</v>
      </c>
      <c r="F327" s="7" t="s">
        <v>380</v>
      </c>
    </row>
    <row r="328">
      <c r="A328" s="5" t="s">
        <v>2603</v>
      </c>
      <c r="B328" s="8">
        <v>3.0</v>
      </c>
      <c r="C328" s="4" t="s">
        <v>193</v>
      </c>
      <c r="D328" s="7" t="s">
        <v>194</v>
      </c>
      <c r="E328" s="5" t="s">
        <v>2703</v>
      </c>
      <c r="F328" s="7" t="s">
        <v>380</v>
      </c>
    </row>
    <row r="329">
      <c r="A329" s="5" t="s">
        <v>2604</v>
      </c>
      <c r="B329" s="8">
        <v>3.0</v>
      </c>
      <c r="C329" s="4" t="s">
        <v>193</v>
      </c>
      <c r="D329" s="7" t="s">
        <v>194</v>
      </c>
      <c r="E329" s="5" t="s">
        <v>2703</v>
      </c>
      <c r="F329" s="7" t="s">
        <v>379</v>
      </c>
    </row>
    <row r="330">
      <c r="A330" s="5" t="s">
        <v>2605</v>
      </c>
      <c r="B330" s="8">
        <v>3.0</v>
      </c>
      <c r="C330" s="4" t="s">
        <v>193</v>
      </c>
      <c r="D330" s="7" t="s">
        <v>194</v>
      </c>
      <c r="E330" s="5" t="s">
        <v>2703</v>
      </c>
      <c r="F330" s="7" t="s">
        <v>383</v>
      </c>
    </row>
    <row r="331">
      <c r="A331" s="5" t="s">
        <v>2606</v>
      </c>
      <c r="B331" s="8">
        <v>3.0</v>
      </c>
      <c r="C331" s="4" t="s">
        <v>193</v>
      </c>
      <c r="D331" s="7" t="s">
        <v>194</v>
      </c>
      <c r="E331" s="5" t="s">
        <v>2703</v>
      </c>
      <c r="F331" s="7" t="s">
        <v>380</v>
      </c>
    </row>
    <row r="332">
      <c r="A332" s="5" t="s">
        <v>2607</v>
      </c>
      <c r="B332" s="8">
        <v>3.0</v>
      </c>
      <c r="C332" s="4" t="s">
        <v>193</v>
      </c>
      <c r="D332" s="7" t="s">
        <v>194</v>
      </c>
      <c r="E332" s="5" t="s">
        <v>2703</v>
      </c>
      <c r="F332" s="7" t="s">
        <v>383</v>
      </c>
    </row>
    <row r="333">
      <c r="A333" s="5" t="s">
        <v>2614</v>
      </c>
      <c r="B333" s="8">
        <v>3.0</v>
      </c>
      <c r="C333" s="4" t="s">
        <v>193</v>
      </c>
      <c r="D333" s="7" t="s">
        <v>194</v>
      </c>
      <c r="E333" s="5" t="s">
        <v>2703</v>
      </c>
      <c r="F333" s="7" t="s">
        <v>382</v>
      </c>
    </row>
    <row r="334">
      <c r="A334" s="5" t="s">
        <v>2608</v>
      </c>
      <c r="B334" s="8">
        <v>3.0</v>
      </c>
      <c r="C334" s="4" t="s">
        <v>193</v>
      </c>
      <c r="D334" s="7" t="s">
        <v>194</v>
      </c>
      <c r="E334" s="5" t="s">
        <v>2703</v>
      </c>
      <c r="F334" s="7" t="s">
        <v>381</v>
      </c>
    </row>
    <row r="335">
      <c r="A335" s="5" t="s">
        <v>2609</v>
      </c>
      <c r="B335" s="8">
        <v>3.0</v>
      </c>
      <c r="C335" s="4" t="s">
        <v>193</v>
      </c>
      <c r="D335" s="7" t="s">
        <v>194</v>
      </c>
      <c r="E335" s="5" t="s">
        <v>2703</v>
      </c>
      <c r="F335" s="7" t="s">
        <v>384</v>
      </c>
    </row>
    <row r="336">
      <c r="A336" s="7" t="s">
        <v>188</v>
      </c>
      <c r="B336" s="8">
        <v>3.0</v>
      </c>
      <c r="C336" s="4" t="s">
        <v>20</v>
      </c>
      <c r="D336" s="5" t="s">
        <v>44</v>
      </c>
      <c r="E336" s="5" t="s">
        <v>2704</v>
      </c>
      <c r="F336" s="5" t="s">
        <v>2705</v>
      </c>
    </row>
    <row r="337">
      <c r="A337" s="5" t="s">
        <v>2592</v>
      </c>
      <c r="B337" s="8">
        <v>3.0</v>
      </c>
      <c r="C337" s="4" t="s">
        <v>20</v>
      </c>
      <c r="D337" s="5" t="s">
        <v>44</v>
      </c>
      <c r="E337" s="5" t="s">
        <v>2704</v>
      </c>
      <c r="F337" s="5" t="s">
        <v>2001</v>
      </c>
    </row>
    <row r="338">
      <c r="A338" s="5" t="s">
        <v>2594</v>
      </c>
      <c r="B338" s="8">
        <v>3.0</v>
      </c>
      <c r="C338" s="4" t="s">
        <v>20</v>
      </c>
      <c r="D338" s="5" t="s">
        <v>44</v>
      </c>
      <c r="E338" s="5" t="s">
        <v>2704</v>
      </c>
      <c r="F338" s="5" t="s">
        <v>2706</v>
      </c>
    </row>
    <row r="339">
      <c r="A339" s="5" t="s">
        <v>2595</v>
      </c>
      <c r="B339" s="8">
        <v>3.0</v>
      </c>
      <c r="C339" s="4" t="s">
        <v>20</v>
      </c>
      <c r="D339" s="5" t="s">
        <v>44</v>
      </c>
      <c r="E339" s="5" t="s">
        <v>2704</v>
      </c>
      <c r="F339" s="5" t="s">
        <v>2688</v>
      </c>
    </row>
    <row r="340">
      <c r="A340" s="5" t="s">
        <v>2597</v>
      </c>
      <c r="B340" s="8">
        <v>3.0</v>
      </c>
      <c r="C340" s="4" t="s">
        <v>20</v>
      </c>
      <c r="D340" s="5" t="s">
        <v>44</v>
      </c>
      <c r="E340" s="5" t="s">
        <v>2704</v>
      </c>
      <c r="F340" s="5" t="s">
        <v>2001</v>
      </c>
    </row>
    <row r="341">
      <c r="A341" s="7" t="s">
        <v>8</v>
      </c>
      <c r="B341" s="8">
        <v>3.0</v>
      </c>
      <c r="C341" s="4" t="s">
        <v>20</v>
      </c>
      <c r="D341" s="5" t="s">
        <v>44</v>
      </c>
      <c r="E341" s="5" t="s">
        <v>2704</v>
      </c>
      <c r="F341" s="5" t="s">
        <v>2707</v>
      </c>
    </row>
    <row r="342">
      <c r="A342" s="5" t="s">
        <v>2702</v>
      </c>
      <c r="B342" s="8">
        <v>3.0</v>
      </c>
      <c r="C342" s="4" t="s">
        <v>20</v>
      </c>
      <c r="D342" s="5" t="s">
        <v>44</v>
      </c>
      <c r="E342" s="5" t="s">
        <v>2704</v>
      </c>
      <c r="F342" s="5" t="s">
        <v>2708</v>
      </c>
    </row>
    <row r="343">
      <c r="A343" s="5" t="s">
        <v>2599</v>
      </c>
      <c r="B343" s="8">
        <v>3.0</v>
      </c>
      <c r="C343" s="4" t="s">
        <v>20</v>
      </c>
      <c r="D343" s="5" t="s">
        <v>44</v>
      </c>
      <c r="E343" s="5" t="s">
        <v>2704</v>
      </c>
      <c r="F343" s="4" t="s">
        <v>2709</v>
      </c>
    </row>
    <row r="344">
      <c r="A344" s="5" t="s">
        <v>2600</v>
      </c>
      <c r="B344" s="8">
        <v>3.0</v>
      </c>
      <c r="C344" s="4" t="s">
        <v>20</v>
      </c>
      <c r="D344" s="5" t="s">
        <v>44</v>
      </c>
      <c r="E344" s="5" t="s">
        <v>2704</v>
      </c>
      <c r="F344" s="5" t="s">
        <v>2705</v>
      </c>
    </row>
    <row r="345">
      <c r="A345" s="5" t="s">
        <v>2602</v>
      </c>
      <c r="B345" s="8">
        <v>3.0</v>
      </c>
      <c r="C345" s="4" t="s">
        <v>20</v>
      </c>
      <c r="D345" s="5" t="s">
        <v>44</v>
      </c>
      <c r="E345" s="5" t="s">
        <v>2704</v>
      </c>
      <c r="F345" s="4" t="s">
        <v>2709</v>
      </c>
    </row>
    <row r="346">
      <c r="A346" s="5" t="s">
        <v>2603</v>
      </c>
      <c r="B346" s="8">
        <v>3.0</v>
      </c>
      <c r="C346" s="4" t="s">
        <v>20</v>
      </c>
      <c r="D346" s="5" t="s">
        <v>44</v>
      </c>
      <c r="E346" s="5" t="s">
        <v>2704</v>
      </c>
      <c r="F346" s="4" t="s">
        <v>2710</v>
      </c>
    </row>
    <row r="347">
      <c r="A347" s="5" t="s">
        <v>2604</v>
      </c>
      <c r="B347" s="8">
        <v>3.0</v>
      </c>
      <c r="C347" s="4" t="s">
        <v>20</v>
      </c>
      <c r="D347" s="5" t="s">
        <v>44</v>
      </c>
      <c r="E347" s="5" t="s">
        <v>2704</v>
      </c>
      <c r="F347" s="4" t="s">
        <v>2709</v>
      </c>
    </row>
    <row r="348">
      <c r="A348" s="5" t="s">
        <v>2605</v>
      </c>
      <c r="B348" s="8">
        <v>3.0</v>
      </c>
      <c r="C348" s="4" t="s">
        <v>20</v>
      </c>
      <c r="D348" s="5" t="s">
        <v>44</v>
      </c>
      <c r="E348" s="5" t="s">
        <v>2704</v>
      </c>
      <c r="F348" s="5" t="s">
        <v>2711</v>
      </c>
    </row>
    <row r="349">
      <c r="A349" s="5" t="s">
        <v>2606</v>
      </c>
      <c r="B349" s="8">
        <v>3.0</v>
      </c>
      <c r="C349" s="4" t="s">
        <v>20</v>
      </c>
      <c r="D349" s="5" t="s">
        <v>44</v>
      </c>
      <c r="E349" s="5" t="s">
        <v>2704</v>
      </c>
      <c r="F349" s="4" t="s">
        <v>2709</v>
      </c>
    </row>
    <row r="350">
      <c r="A350" s="5" t="s">
        <v>2607</v>
      </c>
      <c r="B350" s="8">
        <v>3.0</v>
      </c>
      <c r="C350" s="4" t="s">
        <v>20</v>
      </c>
      <c r="D350" s="5" t="s">
        <v>44</v>
      </c>
      <c r="E350" s="5" t="s">
        <v>2704</v>
      </c>
      <c r="F350" s="4" t="s">
        <v>2709</v>
      </c>
    </row>
    <row r="351">
      <c r="A351" s="5" t="s">
        <v>2614</v>
      </c>
      <c r="B351" s="8">
        <v>3.0</v>
      </c>
      <c r="C351" s="4" t="s">
        <v>20</v>
      </c>
      <c r="D351" s="5" t="s">
        <v>44</v>
      </c>
      <c r="E351" s="5" t="s">
        <v>2704</v>
      </c>
      <c r="F351" s="4" t="s">
        <v>2709</v>
      </c>
    </row>
    <row r="352">
      <c r="A352" s="5" t="s">
        <v>2608</v>
      </c>
      <c r="B352" s="8">
        <v>3.0</v>
      </c>
      <c r="C352" s="4" t="s">
        <v>20</v>
      </c>
      <c r="D352" s="5" t="s">
        <v>44</v>
      </c>
      <c r="E352" s="5" t="s">
        <v>2704</v>
      </c>
      <c r="F352" s="4" t="s">
        <v>2709</v>
      </c>
    </row>
    <row r="353">
      <c r="A353" s="7" t="s">
        <v>188</v>
      </c>
      <c r="B353" s="8">
        <v>3.0</v>
      </c>
      <c r="C353" s="4" t="s">
        <v>35</v>
      </c>
      <c r="D353" s="7" t="s">
        <v>205</v>
      </c>
      <c r="E353" s="5" t="s">
        <v>2712</v>
      </c>
      <c r="F353" s="5" t="s">
        <v>2713</v>
      </c>
    </row>
    <row r="354">
      <c r="A354" s="5" t="s">
        <v>2592</v>
      </c>
      <c r="B354" s="8">
        <v>3.0</v>
      </c>
      <c r="C354" s="4" t="s">
        <v>35</v>
      </c>
      <c r="D354" s="7" t="s">
        <v>205</v>
      </c>
      <c r="E354" s="5" t="s">
        <v>2712</v>
      </c>
      <c r="F354" s="4" t="s">
        <v>2670</v>
      </c>
    </row>
    <row r="355">
      <c r="A355" s="5" t="s">
        <v>2594</v>
      </c>
      <c r="B355" s="8">
        <v>3.0</v>
      </c>
      <c r="C355" s="4" t="s">
        <v>35</v>
      </c>
      <c r="D355" s="7" t="s">
        <v>205</v>
      </c>
      <c r="E355" s="5" t="s">
        <v>2712</v>
      </c>
      <c r="F355" s="5" t="s">
        <v>305</v>
      </c>
    </row>
    <row r="356">
      <c r="A356" s="5" t="s">
        <v>2595</v>
      </c>
      <c r="B356" s="8">
        <v>3.0</v>
      </c>
      <c r="C356" s="4" t="s">
        <v>35</v>
      </c>
      <c r="D356" s="7" t="s">
        <v>205</v>
      </c>
      <c r="E356" s="5" t="s">
        <v>2712</v>
      </c>
      <c r="F356" s="5" t="s">
        <v>2672</v>
      </c>
    </row>
    <row r="357">
      <c r="A357" s="5" t="s">
        <v>2597</v>
      </c>
      <c r="B357" s="8">
        <v>3.0</v>
      </c>
      <c r="C357" s="4" t="s">
        <v>35</v>
      </c>
      <c r="D357" s="7" t="s">
        <v>205</v>
      </c>
      <c r="E357" s="5" t="s">
        <v>2712</v>
      </c>
      <c r="F357" s="4" t="s">
        <v>240</v>
      </c>
    </row>
    <row r="358">
      <c r="A358" s="7" t="s">
        <v>8</v>
      </c>
      <c r="B358" s="8">
        <v>3.0</v>
      </c>
      <c r="C358" s="4" t="s">
        <v>35</v>
      </c>
      <c r="D358" s="7" t="s">
        <v>205</v>
      </c>
      <c r="E358" s="5" t="s">
        <v>2712</v>
      </c>
      <c r="F358" s="4" t="s">
        <v>240</v>
      </c>
    </row>
    <row r="359">
      <c r="A359" s="5" t="s">
        <v>2702</v>
      </c>
      <c r="B359" s="8">
        <v>3.0</v>
      </c>
      <c r="C359" s="4" t="s">
        <v>35</v>
      </c>
      <c r="D359" s="7" t="s">
        <v>205</v>
      </c>
      <c r="E359" s="5" t="s">
        <v>2712</v>
      </c>
      <c r="F359" s="4" t="s">
        <v>2714</v>
      </c>
    </row>
    <row r="360">
      <c r="A360" s="5" t="s">
        <v>2599</v>
      </c>
      <c r="B360" s="8">
        <v>3.0</v>
      </c>
      <c r="C360" s="4" t="s">
        <v>35</v>
      </c>
      <c r="D360" s="7" t="s">
        <v>205</v>
      </c>
      <c r="E360" s="5" t="s">
        <v>2712</v>
      </c>
      <c r="F360" s="4" t="s">
        <v>240</v>
      </c>
    </row>
    <row r="361">
      <c r="A361" s="5" t="s">
        <v>2600</v>
      </c>
      <c r="B361" s="8">
        <v>3.0</v>
      </c>
      <c r="C361" s="4" t="s">
        <v>35</v>
      </c>
      <c r="D361" s="7" t="s">
        <v>205</v>
      </c>
      <c r="E361" s="5" t="s">
        <v>2712</v>
      </c>
      <c r="F361" s="4" t="s">
        <v>2715</v>
      </c>
    </row>
    <row r="362">
      <c r="A362" s="5" t="s">
        <v>2602</v>
      </c>
      <c r="B362" s="8">
        <v>3.0</v>
      </c>
      <c r="C362" s="4" t="s">
        <v>35</v>
      </c>
      <c r="D362" s="7" t="s">
        <v>205</v>
      </c>
      <c r="E362" s="5" t="s">
        <v>2712</v>
      </c>
      <c r="F362" s="4" t="s">
        <v>302</v>
      </c>
    </row>
    <row r="363">
      <c r="A363" s="5" t="s">
        <v>2603</v>
      </c>
      <c r="B363" s="8">
        <v>3.0</v>
      </c>
      <c r="C363" s="4" t="s">
        <v>35</v>
      </c>
      <c r="D363" s="7" t="s">
        <v>205</v>
      </c>
      <c r="E363" s="5" t="s">
        <v>2712</v>
      </c>
      <c r="F363" s="5" t="s">
        <v>2715</v>
      </c>
    </row>
    <row r="364">
      <c r="A364" s="5" t="s">
        <v>2604</v>
      </c>
      <c r="B364" s="8">
        <v>3.0</v>
      </c>
      <c r="C364" s="4" t="s">
        <v>35</v>
      </c>
      <c r="D364" s="7" t="s">
        <v>205</v>
      </c>
      <c r="E364" s="5" t="s">
        <v>2712</v>
      </c>
      <c r="F364" s="5" t="s">
        <v>2716</v>
      </c>
    </row>
    <row r="365">
      <c r="A365" s="5" t="s">
        <v>2605</v>
      </c>
      <c r="B365" s="8">
        <v>3.0</v>
      </c>
      <c r="C365" s="4" t="s">
        <v>35</v>
      </c>
      <c r="D365" s="7" t="s">
        <v>205</v>
      </c>
      <c r="E365" s="5" t="s">
        <v>2712</v>
      </c>
      <c r="F365" s="5" t="s">
        <v>2717</v>
      </c>
    </row>
    <row r="366">
      <c r="A366" s="5" t="s">
        <v>2606</v>
      </c>
      <c r="B366" s="8">
        <v>3.0</v>
      </c>
      <c r="C366" s="4" t="s">
        <v>35</v>
      </c>
      <c r="D366" s="7" t="s">
        <v>205</v>
      </c>
      <c r="E366" s="5" t="s">
        <v>2712</v>
      </c>
      <c r="F366" s="5" t="s">
        <v>2715</v>
      </c>
    </row>
    <row r="367">
      <c r="A367" s="5" t="s">
        <v>2607</v>
      </c>
      <c r="B367" s="8">
        <v>3.0</v>
      </c>
      <c r="C367" s="4" t="s">
        <v>35</v>
      </c>
      <c r="D367" s="7" t="s">
        <v>205</v>
      </c>
      <c r="E367" s="5" t="s">
        <v>2712</v>
      </c>
      <c r="F367" s="4" t="s">
        <v>240</v>
      </c>
    </row>
    <row r="368">
      <c r="A368" s="5" t="s">
        <v>2614</v>
      </c>
      <c r="B368" s="8">
        <v>3.0</v>
      </c>
      <c r="C368" s="4" t="s">
        <v>35</v>
      </c>
      <c r="D368" s="7" t="s">
        <v>205</v>
      </c>
      <c r="E368" s="5" t="s">
        <v>2712</v>
      </c>
      <c r="F368" s="4" t="s">
        <v>240</v>
      </c>
    </row>
    <row r="369">
      <c r="A369" s="5" t="s">
        <v>2608</v>
      </c>
      <c r="B369" s="8">
        <v>3.0</v>
      </c>
      <c r="C369" s="4" t="s">
        <v>35</v>
      </c>
      <c r="D369" s="7" t="s">
        <v>205</v>
      </c>
      <c r="E369" s="5" t="s">
        <v>2712</v>
      </c>
      <c r="F369" s="4" t="s">
        <v>240</v>
      </c>
    </row>
    <row r="370">
      <c r="A370" s="7" t="s">
        <v>188</v>
      </c>
      <c r="B370" s="8">
        <v>3.0</v>
      </c>
      <c r="C370" s="4" t="s">
        <v>59</v>
      </c>
      <c r="D370" s="7" t="s">
        <v>217</v>
      </c>
      <c r="E370" s="5" t="s">
        <v>2718</v>
      </c>
      <c r="F370" s="4" t="s">
        <v>56</v>
      </c>
    </row>
    <row r="371">
      <c r="A371" s="5" t="s">
        <v>2592</v>
      </c>
      <c r="B371" s="8">
        <v>3.0</v>
      </c>
      <c r="C371" s="4" t="s">
        <v>59</v>
      </c>
      <c r="D371" s="7" t="s">
        <v>217</v>
      </c>
      <c r="E371" s="5" t="s">
        <v>2718</v>
      </c>
      <c r="F371" s="4" t="s">
        <v>54</v>
      </c>
    </row>
    <row r="372">
      <c r="A372" s="5" t="s">
        <v>2594</v>
      </c>
      <c r="B372" s="8">
        <v>3.0</v>
      </c>
      <c r="C372" s="4" t="s">
        <v>59</v>
      </c>
      <c r="D372" s="7" t="s">
        <v>217</v>
      </c>
      <c r="E372" s="5" t="s">
        <v>2718</v>
      </c>
      <c r="F372" s="5" t="s">
        <v>56</v>
      </c>
    </row>
    <row r="373">
      <c r="A373" s="5" t="s">
        <v>2595</v>
      </c>
      <c r="B373" s="8">
        <v>3.0</v>
      </c>
      <c r="C373" s="4" t="s">
        <v>59</v>
      </c>
      <c r="D373" s="7" t="s">
        <v>217</v>
      </c>
      <c r="E373" s="5" t="s">
        <v>2718</v>
      </c>
      <c r="F373" s="4" t="s">
        <v>54</v>
      </c>
    </row>
    <row r="374">
      <c r="A374" s="5" t="s">
        <v>2597</v>
      </c>
      <c r="B374" s="8">
        <v>3.0</v>
      </c>
      <c r="C374" s="4" t="s">
        <v>59</v>
      </c>
      <c r="D374" s="7" t="s">
        <v>217</v>
      </c>
      <c r="E374" s="5" t="s">
        <v>2718</v>
      </c>
      <c r="F374" s="4" t="s">
        <v>54</v>
      </c>
    </row>
    <row r="375">
      <c r="A375" s="7" t="s">
        <v>8</v>
      </c>
      <c r="B375" s="8">
        <v>3.0</v>
      </c>
      <c r="C375" s="4" t="s">
        <v>59</v>
      </c>
      <c r="D375" s="7" t="s">
        <v>217</v>
      </c>
      <c r="E375" s="5" t="s">
        <v>2718</v>
      </c>
      <c r="F375" s="5" t="s">
        <v>219</v>
      </c>
    </row>
    <row r="376">
      <c r="A376" s="5" t="s">
        <v>2702</v>
      </c>
      <c r="B376" s="8">
        <v>3.0</v>
      </c>
      <c r="C376" s="4" t="s">
        <v>59</v>
      </c>
      <c r="D376" s="7" t="s">
        <v>217</v>
      </c>
      <c r="E376" s="5" t="s">
        <v>2718</v>
      </c>
      <c r="F376" s="5" t="s">
        <v>220</v>
      </c>
    </row>
    <row r="377">
      <c r="A377" s="5" t="s">
        <v>2599</v>
      </c>
      <c r="B377" s="8">
        <v>3.0</v>
      </c>
      <c r="C377" s="4" t="s">
        <v>59</v>
      </c>
      <c r="D377" s="7" t="s">
        <v>217</v>
      </c>
      <c r="E377" s="5" t="s">
        <v>2718</v>
      </c>
      <c r="F377" s="5" t="s">
        <v>53</v>
      </c>
    </row>
    <row r="378">
      <c r="A378" s="5" t="s">
        <v>2600</v>
      </c>
      <c r="B378" s="8">
        <v>3.0</v>
      </c>
      <c r="C378" s="4" t="s">
        <v>59</v>
      </c>
      <c r="D378" s="7" t="s">
        <v>217</v>
      </c>
      <c r="E378" s="5" t="s">
        <v>2718</v>
      </c>
      <c r="F378" s="5" t="s">
        <v>53</v>
      </c>
    </row>
    <row r="379">
      <c r="A379" s="5" t="s">
        <v>2602</v>
      </c>
      <c r="B379" s="8">
        <v>3.0</v>
      </c>
      <c r="C379" s="4" t="s">
        <v>59</v>
      </c>
      <c r="D379" s="7" t="s">
        <v>217</v>
      </c>
      <c r="E379" s="5" t="s">
        <v>2718</v>
      </c>
      <c r="F379" s="5" t="s">
        <v>56</v>
      </c>
    </row>
    <row r="380">
      <c r="A380" s="5" t="s">
        <v>2603</v>
      </c>
      <c r="B380" s="8">
        <v>3.0</v>
      </c>
      <c r="C380" s="4" t="s">
        <v>59</v>
      </c>
      <c r="D380" s="7" t="s">
        <v>217</v>
      </c>
      <c r="E380" s="5" t="s">
        <v>2718</v>
      </c>
      <c r="F380" s="5" t="s">
        <v>56</v>
      </c>
    </row>
    <row r="381">
      <c r="A381" s="5" t="s">
        <v>2604</v>
      </c>
      <c r="B381" s="8">
        <v>3.0</v>
      </c>
      <c r="C381" s="4" t="s">
        <v>59</v>
      </c>
      <c r="D381" s="7" t="s">
        <v>217</v>
      </c>
      <c r="E381" s="5" t="s">
        <v>2718</v>
      </c>
      <c r="F381" s="5" t="s">
        <v>56</v>
      </c>
    </row>
    <row r="382">
      <c r="A382" s="5" t="s">
        <v>2605</v>
      </c>
      <c r="B382" s="8">
        <v>3.0</v>
      </c>
      <c r="C382" s="4" t="s">
        <v>59</v>
      </c>
      <c r="D382" s="7" t="s">
        <v>217</v>
      </c>
      <c r="E382" s="5" t="s">
        <v>2718</v>
      </c>
      <c r="F382" s="5" t="s">
        <v>56</v>
      </c>
    </row>
    <row r="383">
      <c r="A383" s="5" t="s">
        <v>2606</v>
      </c>
      <c r="B383" s="8">
        <v>3.0</v>
      </c>
      <c r="C383" s="4" t="s">
        <v>59</v>
      </c>
      <c r="D383" s="7" t="s">
        <v>217</v>
      </c>
      <c r="E383" s="5" t="s">
        <v>2718</v>
      </c>
      <c r="F383" s="5" t="s">
        <v>56</v>
      </c>
    </row>
    <row r="384">
      <c r="A384" s="5" t="s">
        <v>2607</v>
      </c>
      <c r="B384" s="8">
        <v>3.0</v>
      </c>
      <c r="C384" s="4" t="s">
        <v>59</v>
      </c>
      <c r="D384" s="7" t="s">
        <v>217</v>
      </c>
      <c r="E384" s="5" t="s">
        <v>2718</v>
      </c>
      <c r="F384" s="5" t="s">
        <v>54</v>
      </c>
    </row>
    <row r="385">
      <c r="A385" s="5" t="s">
        <v>2614</v>
      </c>
      <c r="B385" s="8">
        <v>3.0</v>
      </c>
      <c r="C385" s="4" t="s">
        <v>59</v>
      </c>
      <c r="D385" s="7" t="s">
        <v>217</v>
      </c>
      <c r="E385" s="5" t="s">
        <v>2718</v>
      </c>
      <c r="F385" s="5" t="s">
        <v>54</v>
      </c>
    </row>
    <row r="386">
      <c r="A386" s="5" t="s">
        <v>2608</v>
      </c>
      <c r="B386" s="8">
        <v>3.0</v>
      </c>
      <c r="C386" s="4" t="s">
        <v>59</v>
      </c>
      <c r="D386" s="7" t="s">
        <v>217</v>
      </c>
      <c r="E386" s="5" t="s">
        <v>2718</v>
      </c>
      <c r="F386" s="5" t="s">
        <v>54</v>
      </c>
    </row>
    <row r="387">
      <c r="A387" s="5" t="s">
        <v>2609</v>
      </c>
      <c r="B387" s="8">
        <v>3.0</v>
      </c>
      <c r="C387" s="4" t="s">
        <v>59</v>
      </c>
      <c r="D387" s="7" t="s">
        <v>217</v>
      </c>
      <c r="E387" s="5" t="s">
        <v>2718</v>
      </c>
      <c r="F387" s="5" t="s">
        <v>54</v>
      </c>
    </row>
    <row r="388">
      <c r="A388" s="7" t="s">
        <v>188</v>
      </c>
      <c r="B388" s="8">
        <v>3.0</v>
      </c>
      <c r="C388" s="7" t="s">
        <v>49</v>
      </c>
      <c r="D388" s="7" t="s">
        <v>221</v>
      </c>
      <c r="E388" s="5" t="s">
        <v>2719</v>
      </c>
      <c r="F388" s="5" t="s">
        <v>56</v>
      </c>
    </row>
    <row r="389">
      <c r="A389" s="5" t="s">
        <v>2592</v>
      </c>
      <c r="B389" s="8">
        <v>3.0</v>
      </c>
      <c r="C389" s="7" t="s">
        <v>49</v>
      </c>
      <c r="D389" s="7" t="s">
        <v>221</v>
      </c>
      <c r="E389" s="5" t="s">
        <v>2719</v>
      </c>
      <c r="F389" s="5" t="s">
        <v>54</v>
      </c>
    </row>
    <row r="390">
      <c r="A390" s="5" t="s">
        <v>2594</v>
      </c>
      <c r="B390" s="8">
        <v>3.0</v>
      </c>
      <c r="C390" s="7" t="s">
        <v>49</v>
      </c>
      <c r="D390" s="7" t="s">
        <v>221</v>
      </c>
      <c r="E390" s="5" t="s">
        <v>2719</v>
      </c>
      <c r="F390" s="5" t="s">
        <v>56</v>
      </c>
    </row>
    <row r="391">
      <c r="A391" s="5" t="s">
        <v>2595</v>
      </c>
      <c r="B391" s="8">
        <v>3.0</v>
      </c>
      <c r="C391" s="7" t="s">
        <v>49</v>
      </c>
      <c r="D391" s="7" t="s">
        <v>221</v>
      </c>
      <c r="E391" s="5" t="s">
        <v>2719</v>
      </c>
      <c r="F391" s="5" t="s">
        <v>54</v>
      </c>
    </row>
    <row r="392">
      <c r="A392" s="5" t="s">
        <v>2597</v>
      </c>
      <c r="B392" s="8">
        <v>3.0</v>
      </c>
      <c r="C392" s="7" t="s">
        <v>49</v>
      </c>
      <c r="D392" s="7" t="s">
        <v>221</v>
      </c>
      <c r="E392" s="5" t="s">
        <v>2719</v>
      </c>
      <c r="F392" s="5" t="s">
        <v>54</v>
      </c>
    </row>
    <row r="393">
      <c r="A393" s="7" t="s">
        <v>8</v>
      </c>
      <c r="B393" s="8">
        <v>3.0</v>
      </c>
      <c r="C393" s="7" t="s">
        <v>49</v>
      </c>
      <c r="D393" s="7" t="s">
        <v>221</v>
      </c>
      <c r="E393" s="5" t="s">
        <v>2719</v>
      </c>
      <c r="F393" s="5" t="s">
        <v>219</v>
      </c>
    </row>
    <row r="394">
      <c r="A394" s="5" t="s">
        <v>2702</v>
      </c>
      <c r="B394" s="8">
        <v>3.0</v>
      </c>
      <c r="C394" s="7" t="s">
        <v>49</v>
      </c>
      <c r="D394" s="7" t="s">
        <v>221</v>
      </c>
      <c r="E394" s="5" t="s">
        <v>2719</v>
      </c>
      <c r="F394" s="5" t="s">
        <v>220</v>
      </c>
    </row>
    <row r="395">
      <c r="A395" s="5" t="s">
        <v>2599</v>
      </c>
      <c r="B395" s="8">
        <v>3.0</v>
      </c>
      <c r="C395" s="7" t="s">
        <v>49</v>
      </c>
      <c r="D395" s="7" t="s">
        <v>221</v>
      </c>
      <c r="E395" s="5" t="s">
        <v>2719</v>
      </c>
      <c r="F395" s="5" t="s">
        <v>53</v>
      </c>
    </row>
    <row r="396">
      <c r="A396" s="5" t="s">
        <v>2600</v>
      </c>
      <c r="B396" s="8">
        <v>3.0</v>
      </c>
      <c r="C396" s="7" t="s">
        <v>49</v>
      </c>
      <c r="D396" s="7" t="s">
        <v>221</v>
      </c>
      <c r="E396" s="5" t="s">
        <v>2719</v>
      </c>
      <c r="F396" s="5" t="s">
        <v>53</v>
      </c>
    </row>
    <row r="397">
      <c r="A397" s="5" t="s">
        <v>2602</v>
      </c>
      <c r="B397" s="8">
        <v>3.0</v>
      </c>
      <c r="C397" s="7" t="s">
        <v>49</v>
      </c>
      <c r="D397" s="7" t="s">
        <v>221</v>
      </c>
      <c r="E397" s="5" t="s">
        <v>2719</v>
      </c>
      <c r="F397" s="5" t="s">
        <v>56</v>
      </c>
    </row>
    <row r="398">
      <c r="A398" s="5" t="s">
        <v>2603</v>
      </c>
      <c r="B398" s="8">
        <v>3.0</v>
      </c>
      <c r="C398" s="7" t="s">
        <v>49</v>
      </c>
      <c r="D398" s="7" t="s">
        <v>221</v>
      </c>
      <c r="E398" s="5" t="s">
        <v>2719</v>
      </c>
      <c r="F398" s="5" t="s">
        <v>56</v>
      </c>
    </row>
    <row r="399">
      <c r="A399" s="5" t="s">
        <v>2604</v>
      </c>
      <c r="B399" s="8">
        <v>3.0</v>
      </c>
      <c r="C399" s="7" t="s">
        <v>49</v>
      </c>
      <c r="D399" s="7" t="s">
        <v>221</v>
      </c>
      <c r="E399" s="5" t="s">
        <v>2719</v>
      </c>
      <c r="F399" s="5" t="s">
        <v>56</v>
      </c>
    </row>
    <row r="400">
      <c r="A400" s="5" t="s">
        <v>2605</v>
      </c>
      <c r="B400" s="8">
        <v>3.0</v>
      </c>
      <c r="C400" s="7" t="s">
        <v>49</v>
      </c>
      <c r="D400" s="7" t="s">
        <v>221</v>
      </c>
      <c r="E400" s="5" t="s">
        <v>2719</v>
      </c>
      <c r="F400" s="5" t="s">
        <v>56</v>
      </c>
    </row>
    <row r="401">
      <c r="A401" s="5" t="s">
        <v>2606</v>
      </c>
      <c r="B401" s="8">
        <v>3.0</v>
      </c>
      <c r="C401" s="7" t="s">
        <v>49</v>
      </c>
      <c r="D401" s="7" t="s">
        <v>221</v>
      </c>
      <c r="E401" s="5" t="s">
        <v>2719</v>
      </c>
      <c r="F401" s="5" t="s">
        <v>56</v>
      </c>
    </row>
    <row r="402">
      <c r="A402" s="5" t="s">
        <v>2607</v>
      </c>
      <c r="B402" s="8">
        <v>3.0</v>
      </c>
      <c r="C402" s="7" t="s">
        <v>49</v>
      </c>
      <c r="D402" s="7" t="s">
        <v>221</v>
      </c>
      <c r="E402" s="5" t="s">
        <v>2719</v>
      </c>
      <c r="F402" s="5" t="s">
        <v>54</v>
      </c>
    </row>
    <row r="403">
      <c r="A403" s="5" t="s">
        <v>2614</v>
      </c>
      <c r="B403" s="8">
        <v>3.0</v>
      </c>
      <c r="C403" s="7" t="s">
        <v>49</v>
      </c>
      <c r="D403" s="7" t="s">
        <v>221</v>
      </c>
      <c r="E403" s="5" t="s">
        <v>2719</v>
      </c>
      <c r="F403" s="5" t="s">
        <v>54</v>
      </c>
    </row>
    <row r="404">
      <c r="A404" s="5" t="s">
        <v>2608</v>
      </c>
      <c r="B404" s="8">
        <v>3.0</v>
      </c>
      <c r="C404" s="7" t="s">
        <v>49</v>
      </c>
      <c r="D404" s="7" t="s">
        <v>221</v>
      </c>
      <c r="E404" s="5" t="s">
        <v>2719</v>
      </c>
      <c r="F404" s="5" t="s">
        <v>54</v>
      </c>
    </row>
    <row r="405">
      <c r="A405" s="5" t="s">
        <v>2609</v>
      </c>
      <c r="B405" s="8">
        <v>3.0</v>
      </c>
      <c r="C405" s="7" t="s">
        <v>49</v>
      </c>
      <c r="D405" s="7" t="s">
        <v>221</v>
      </c>
      <c r="E405" s="5" t="s">
        <v>2719</v>
      </c>
      <c r="F405" s="5" t="s">
        <v>54</v>
      </c>
    </row>
    <row r="406">
      <c r="A406" s="7" t="s">
        <v>188</v>
      </c>
      <c r="B406" s="8">
        <v>3.0</v>
      </c>
      <c r="C406" s="7" t="s">
        <v>223</v>
      </c>
      <c r="D406" s="7" t="s">
        <v>224</v>
      </c>
      <c r="E406" s="5" t="s">
        <v>2720</v>
      </c>
      <c r="F406" s="7" t="s">
        <v>47</v>
      </c>
    </row>
    <row r="407">
      <c r="A407" s="5" t="s">
        <v>2592</v>
      </c>
      <c r="B407" s="8">
        <v>3.0</v>
      </c>
      <c r="C407" s="7" t="s">
        <v>223</v>
      </c>
      <c r="D407" s="7" t="s">
        <v>224</v>
      </c>
      <c r="E407" s="5" t="s">
        <v>2720</v>
      </c>
      <c r="F407" s="7" t="s">
        <v>47</v>
      </c>
    </row>
    <row r="408">
      <c r="A408" s="5" t="s">
        <v>2594</v>
      </c>
      <c r="B408" s="8">
        <v>3.0</v>
      </c>
      <c r="C408" s="7" t="s">
        <v>223</v>
      </c>
      <c r="D408" s="7" t="s">
        <v>224</v>
      </c>
      <c r="E408" s="5" t="s">
        <v>2720</v>
      </c>
      <c r="F408" s="7" t="s">
        <v>47</v>
      </c>
    </row>
    <row r="409">
      <c r="A409" s="5" t="s">
        <v>2595</v>
      </c>
      <c r="B409" s="8">
        <v>3.0</v>
      </c>
      <c r="C409" s="7" t="s">
        <v>223</v>
      </c>
      <c r="D409" s="7" t="s">
        <v>224</v>
      </c>
      <c r="E409" s="5" t="s">
        <v>2720</v>
      </c>
      <c r="F409" s="7" t="s">
        <v>47</v>
      </c>
    </row>
    <row r="410">
      <c r="A410" s="5" t="s">
        <v>2597</v>
      </c>
      <c r="B410" s="8">
        <v>3.0</v>
      </c>
      <c r="C410" s="7" t="s">
        <v>223</v>
      </c>
      <c r="D410" s="7" t="s">
        <v>224</v>
      </c>
      <c r="E410" s="5" t="s">
        <v>2720</v>
      </c>
      <c r="F410" s="7" t="s">
        <v>47</v>
      </c>
    </row>
    <row r="411">
      <c r="A411" s="7" t="s">
        <v>8</v>
      </c>
      <c r="B411" s="8">
        <v>3.0</v>
      </c>
      <c r="C411" s="7" t="s">
        <v>223</v>
      </c>
      <c r="D411" s="7" t="s">
        <v>224</v>
      </c>
      <c r="E411" s="5" t="s">
        <v>2720</v>
      </c>
      <c r="F411" s="7" t="s">
        <v>226</v>
      </c>
    </row>
    <row r="412">
      <c r="A412" s="5" t="s">
        <v>2702</v>
      </c>
      <c r="B412" s="8">
        <v>3.0</v>
      </c>
      <c r="C412" s="7" t="s">
        <v>223</v>
      </c>
      <c r="D412" s="7" t="s">
        <v>224</v>
      </c>
      <c r="E412" s="5" t="s">
        <v>2720</v>
      </c>
      <c r="F412" s="7" t="s">
        <v>47</v>
      </c>
    </row>
    <row r="413">
      <c r="A413" s="5" t="s">
        <v>2599</v>
      </c>
      <c r="B413" s="8">
        <v>3.0</v>
      </c>
      <c r="C413" s="7" t="s">
        <v>223</v>
      </c>
      <c r="D413" s="7" t="s">
        <v>224</v>
      </c>
      <c r="E413" s="5" t="s">
        <v>2720</v>
      </c>
      <c r="F413" s="7" t="s">
        <v>47</v>
      </c>
    </row>
    <row r="414">
      <c r="A414" s="5" t="s">
        <v>2600</v>
      </c>
      <c r="B414" s="8">
        <v>3.0</v>
      </c>
      <c r="C414" s="7" t="s">
        <v>223</v>
      </c>
      <c r="D414" s="7" t="s">
        <v>224</v>
      </c>
      <c r="E414" s="5" t="s">
        <v>2720</v>
      </c>
      <c r="F414" s="7" t="s">
        <v>47</v>
      </c>
    </row>
    <row r="415">
      <c r="A415" s="5" t="s">
        <v>2602</v>
      </c>
      <c r="B415" s="8">
        <v>3.0</v>
      </c>
      <c r="C415" s="7" t="s">
        <v>223</v>
      </c>
      <c r="D415" s="7" t="s">
        <v>224</v>
      </c>
      <c r="E415" s="5" t="s">
        <v>2720</v>
      </c>
      <c r="F415" s="7" t="s">
        <v>47</v>
      </c>
    </row>
    <row r="416">
      <c r="A416" s="5" t="s">
        <v>2603</v>
      </c>
      <c r="B416" s="8">
        <v>3.0</v>
      </c>
      <c r="C416" s="7" t="s">
        <v>223</v>
      </c>
      <c r="D416" s="7" t="s">
        <v>224</v>
      </c>
      <c r="E416" s="5" t="s">
        <v>2720</v>
      </c>
      <c r="F416" s="7" t="s">
        <v>47</v>
      </c>
    </row>
    <row r="417">
      <c r="A417" s="5" t="s">
        <v>2604</v>
      </c>
      <c r="B417" s="8">
        <v>3.0</v>
      </c>
      <c r="C417" s="7" t="s">
        <v>223</v>
      </c>
      <c r="D417" s="7" t="s">
        <v>224</v>
      </c>
      <c r="E417" s="5" t="s">
        <v>2720</v>
      </c>
      <c r="F417" s="7" t="s">
        <v>47</v>
      </c>
    </row>
    <row r="418">
      <c r="A418" s="5" t="s">
        <v>2605</v>
      </c>
      <c r="B418" s="8">
        <v>3.0</v>
      </c>
      <c r="C418" s="7" t="s">
        <v>223</v>
      </c>
      <c r="D418" s="7" t="s">
        <v>224</v>
      </c>
      <c r="E418" s="5" t="s">
        <v>2720</v>
      </c>
      <c r="F418" s="7" t="s">
        <v>47</v>
      </c>
    </row>
    <row r="419">
      <c r="A419" s="5" t="s">
        <v>2606</v>
      </c>
      <c r="B419" s="8">
        <v>3.0</v>
      </c>
      <c r="C419" s="7" t="s">
        <v>223</v>
      </c>
      <c r="D419" s="7" t="s">
        <v>224</v>
      </c>
      <c r="E419" s="5" t="s">
        <v>2720</v>
      </c>
      <c r="F419" s="7" t="s">
        <v>47</v>
      </c>
    </row>
    <row r="420">
      <c r="A420" s="5" t="s">
        <v>2607</v>
      </c>
      <c r="B420" s="8">
        <v>3.0</v>
      </c>
      <c r="C420" s="7" t="s">
        <v>223</v>
      </c>
      <c r="D420" s="7" t="s">
        <v>224</v>
      </c>
      <c r="E420" s="5" t="s">
        <v>2720</v>
      </c>
      <c r="F420" s="7" t="s">
        <v>47</v>
      </c>
    </row>
    <row r="421">
      <c r="A421" s="5" t="s">
        <v>2614</v>
      </c>
      <c r="B421" s="8">
        <v>3.0</v>
      </c>
      <c r="C421" s="7" t="s">
        <v>223</v>
      </c>
      <c r="D421" s="7" t="s">
        <v>224</v>
      </c>
      <c r="E421" s="5" t="s">
        <v>2720</v>
      </c>
      <c r="F421" s="7" t="s">
        <v>47</v>
      </c>
    </row>
    <row r="422">
      <c r="A422" s="5" t="s">
        <v>2608</v>
      </c>
      <c r="B422" s="8">
        <v>3.0</v>
      </c>
      <c r="C422" s="7" t="s">
        <v>223</v>
      </c>
      <c r="D422" s="7" t="s">
        <v>224</v>
      </c>
      <c r="E422" s="5" t="s">
        <v>2720</v>
      </c>
      <c r="F422" s="7" t="s">
        <v>47</v>
      </c>
    </row>
    <row r="423">
      <c r="A423" s="5" t="s">
        <v>2609</v>
      </c>
      <c r="B423" s="8">
        <v>3.0</v>
      </c>
      <c r="C423" s="7" t="s">
        <v>223</v>
      </c>
      <c r="D423" s="7" t="s">
        <v>224</v>
      </c>
      <c r="E423" s="5" t="s">
        <v>2720</v>
      </c>
      <c r="F423" s="7" t="s">
        <v>47</v>
      </c>
    </row>
    <row r="424">
      <c r="A424" s="7" t="s">
        <v>188</v>
      </c>
      <c r="B424" s="8">
        <v>3.0</v>
      </c>
      <c r="C424" s="4" t="s">
        <v>227</v>
      </c>
      <c r="D424" s="7" t="s">
        <v>228</v>
      </c>
      <c r="E424" s="5" t="s">
        <v>2721</v>
      </c>
      <c r="F424" s="7" t="s">
        <v>379</v>
      </c>
    </row>
    <row r="425">
      <c r="A425" s="5" t="s">
        <v>2592</v>
      </c>
      <c r="B425" s="8">
        <v>3.0</v>
      </c>
      <c r="C425" s="4" t="s">
        <v>227</v>
      </c>
      <c r="D425" s="7" t="s">
        <v>228</v>
      </c>
      <c r="E425" s="5" t="s">
        <v>2721</v>
      </c>
      <c r="F425" s="7" t="s">
        <v>380</v>
      </c>
    </row>
    <row r="426">
      <c r="A426" s="5" t="s">
        <v>2594</v>
      </c>
      <c r="B426" s="8">
        <v>3.0</v>
      </c>
      <c r="C426" s="4" t="s">
        <v>227</v>
      </c>
      <c r="D426" s="7" t="s">
        <v>228</v>
      </c>
      <c r="E426" s="5" t="s">
        <v>2721</v>
      </c>
      <c r="F426" s="7" t="s">
        <v>381</v>
      </c>
    </row>
    <row r="427">
      <c r="A427" s="5" t="s">
        <v>2595</v>
      </c>
      <c r="B427" s="8">
        <v>3.0</v>
      </c>
      <c r="C427" s="4" t="s">
        <v>227</v>
      </c>
      <c r="D427" s="7" t="s">
        <v>228</v>
      </c>
      <c r="E427" s="5" t="s">
        <v>2721</v>
      </c>
      <c r="F427" s="7" t="s">
        <v>380</v>
      </c>
    </row>
    <row r="428">
      <c r="A428" s="5" t="s">
        <v>2597</v>
      </c>
      <c r="B428" s="8">
        <v>3.0</v>
      </c>
      <c r="C428" s="4" t="s">
        <v>227</v>
      </c>
      <c r="D428" s="7" t="s">
        <v>228</v>
      </c>
      <c r="E428" s="5" t="s">
        <v>2721</v>
      </c>
      <c r="F428" s="7" t="s">
        <v>382</v>
      </c>
    </row>
    <row r="429">
      <c r="A429" s="7" t="s">
        <v>8</v>
      </c>
      <c r="B429" s="8">
        <v>3.0</v>
      </c>
      <c r="C429" s="4" t="s">
        <v>227</v>
      </c>
      <c r="D429" s="7" t="s">
        <v>228</v>
      </c>
      <c r="E429" s="5" t="s">
        <v>2721</v>
      </c>
      <c r="F429" s="7" t="s">
        <v>382</v>
      </c>
    </row>
    <row r="430">
      <c r="A430" s="5" t="s">
        <v>2702</v>
      </c>
      <c r="B430" s="8">
        <v>3.0</v>
      </c>
      <c r="C430" s="4" t="s">
        <v>227</v>
      </c>
      <c r="D430" s="7" t="s">
        <v>228</v>
      </c>
      <c r="E430" s="5" t="s">
        <v>2721</v>
      </c>
      <c r="F430" s="7" t="s">
        <v>382</v>
      </c>
    </row>
    <row r="431">
      <c r="A431" s="5" t="s">
        <v>2599</v>
      </c>
      <c r="B431" s="8">
        <v>3.0</v>
      </c>
      <c r="C431" s="4" t="s">
        <v>227</v>
      </c>
      <c r="D431" s="7" t="s">
        <v>228</v>
      </c>
      <c r="E431" s="5" t="s">
        <v>2721</v>
      </c>
      <c r="F431" s="7" t="s">
        <v>380</v>
      </c>
    </row>
    <row r="432">
      <c r="A432" s="5" t="s">
        <v>2600</v>
      </c>
      <c r="B432" s="8">
        <v>3.0</v>
      </c>
      <c r="C432" s="4" t="s">
        <v>227</v>
      </c>
      <c r="D432" s="7" t="s">
        <v>228</v>
      </c>
      <c r="E432" s="5" t="s">
        <v>2721</v>
      </c>
      <c r="F432" s="7" t="s">
        <v>382</v>
      </c>
    </row>
    <row r="433">
      <c r="A433" s="5" t="s">
        <v>2602</v>
      </c>
      <c r="B433" s="8">
        <v>3.0</v>
      </c>
      <c r="C433" s="4" t="s">
        <v>227</v>
      </c>
      <c r="D433" s="7" t="s">
        <v>228</v>
      </c>
      <c r="E433" s="5" t="s">
        <v>2721</v>
      </c>
      <c r="F433" s="7" t="s">
        <v>380</v>
      </c>
    </row>
    <row r="434">
      <c r="A434" s="5" t="s">
        <v>2603</v>
      </c>
      <c r="B434" s="8">
        <v>3.0</v>
      </c>
      <c r="C434" s="4" t="s">
        <v>227</v>
      </c>
      <c r="D434" s="7" t="s">
        <v>228</v>
      </c>
      <c r="E434" s="5" t="s">
        <v>2721</v>
      </c>
      <c r="F434" s="7" t="s">
        <v>380</v>
      </c>
    </row>
    <row r="435">
      <c r="A435" s="5" t="s">
        <v>2604</v>
      </c>
      <c r="B435" s="8">
        <v>3.0</v>
      </c>
      <c r="C435" s="4" t="s">
        <v>227</v>
      </c>
      <c r="D435" s="7" t="s">
        <v>228</v>
      </c>
      <c r="E435" s="5" t="s">
        <v>2721</v>
      </c>
      <c r="F435" s="7" t="s">
        <v>379</v>
      </c>
    </row>
    <row r="436">
      <c r="A436" s="5" t="s">
        <v>2605</v>
      </c>
      <c r="B436" s="8">
        <v>3.0</v>
      </c>
      <c r="C436" s="4" t="s">
        <v>227</v>
      </c>
      <c r="D436" s="7" t="s">
        <v>228</v>
      </c>
      <c r="E436" s="5" t="s">
        <v>2721</v>
      </c>
      <c r="F436" s="7" t="s">
        <v>383</v>
      </c>
    </row>
    <row r="437">
      <c r="A437" s="5" t="s">
        <v>2606</v>
      </c>
      <c r="B437" s="8">
        <v>3.0</v>
      </c>
      <c r="C437" s="4" t="s">
        <v>227</v>
      </c>
      <c r="D437" s="7" t="s">
        <v>228</v>
      </c>
      <c r="E437" s="5" t="s">
        <v>2721</v>
      </c>
      <c r="F437" s="7" t="s">
        <v>380</v>
      </c>
    </row>
    <row r="438">
      <c r="A438" s="5" t="s">
        <v>2607</v>
      </c>
      <c r="B438" s="8">
        <v>3.0</v>
      </c>
      <c r="C438" s="4" t="s">
        <v>227</v>
      </c>
      <c r="D438" s="7" t="s">
        <v>228</v>
      </c>
      <c r="E438" s="5" t="s">
        <v>2721</v>
      </c>
      <c r="F438" s="7" t="s">
        <v>383</v>
      </c>
    </row>
    <row r="439">
      <c r="A439" s="5" t="s">
        <v>2614</v>
      </c>
      <c r="B439" s="8">
        <v>3.0</v>
      </c>
      <c r="C439" s="4" t="s">
        <v>227</v>
      </c>
      <c r="D439" s="7" t="s">
        <v>228</v>
      </c>
      <c r="E439" s="5" t="s">
        <v>2721</v>
      </c>
      <c r="F439" s="7" t="s">
        <v>382</v>
      </c>
    </row>
    <row r="440">
      <c r="A440" s="5" t="s">
        <v>2608</v>
      </c>
      <c r="B440" s="8">
        <v>3.0</v>
      </c>
      <c r="C440" s="4" t="s">
        <v>227</v>
      </c>
      <c r="D440" s="7" t="s">
        <v>228</v>
      </c>
      <c r="E440" s="5" t="s">
        <v>2721</v>
      </c>
      <c r="F440" s="7" t="s">
        <v>381</v>
      </c>
    </row>
    <row r="441">
      <c r="A441" s="5" t="s">
        <v>2609</v>
      </c>
      <c r="B441" s="8">
        <v>3.0</v>
      </c>
      <c r="C441" s="4" t="s">
        <v>227</v>
      </c>
      <c r="D441" s="7" t="s">
        <v>228</v>
      </c>
      <c r="E441" s="5" t="s">
        <v>2721</v>
      </c>
      <c r="F441" s="7" t="s">
        <v>385</v>
      </c>
    </row>
    <row r="442">
      <c r="A442" s="7" t="s">
        <v>188</v>
      </c>
      <c r="B442" s="8">
        <v>3.0</v>
      </c>
      <c r="C442" s="7" t="s">
        <v>62</v>
      </c>
      <c r="D442" s="7" t="s">
        <v>230</v>
      </c>
      <c r="E442" s="7" t="s">
        <v>231</v>
      </c>
      <c r="F442" s="7" t="s">
        <v>65</v>
      </c>
    </row>
    <row r="443">
      <c r="A443" s="5" t="s">
        <v>2592</v>
      </c>
      <c r="B443" s="8">
        <v>3.0</v>
      </c>
      <c r="C443" s="7" t="s">
        <v>62</v>
      </c>
      <c r="D443" s="7" t="s">
        <v>230</v>
      </c>
      <c r="E443" s="7" t="s">
        <v>231</v>
      </c>
      <c r="F443" s="7" t="s">
        <v>65</v>
      </c>
    </row>
    <row r="444">
      <c r="A444" s="5" t="s">
        <v>2594</v>
      </c>
      <c r="B444" s="8">
        <v>3.0</v>
      </c>
      <c r="C444" s="7" t="s">
        <v>62</v>
      </c>
      <c r="D444" s="7" t="s">
        <v>230</v>
      </c>
      <c r="E444" s="7" t="s">
        <v>231</v>
      </c>
      <c r="F444" s="7" t="s">
        <v>65</v>
      </c>
    </row>
    <row r="445">
      <c r="A445" s="5" t="s">
        <v>2595</v>
      </c>
      <c r="B445" s="8">
        <v>3.0</v>
      </c>
      <c r="C445" s="7" t="s">
        <v>62</v>
      </c>
      <c r="D445" s="7" t="s">
        <v>230</v>
      </c>
      <c r="E445" s="7" t="s">
        <v>231</v>
      </c>
      <c r="F445" s="7" t="s">
        <v>65</v>
      </c>
    </row>
    <row r="446">
      <c r="A446" s="5" t="s">
        <v>2597</v>
      </c>
      <c r="B446" s="8">
        <v>3.0</v>
      </c>
      <c r="C446" s="7" t="s">
        <v>62</v>
      </c>
      <c r="D446" s="7" t="s">
        <v>230</v>
      </c>
      <c r="E446" s="7" t="s">
        <v>231</v>
      </c>
      <c r="F446" s="7" t="s">
        <v>65</v>
      </c>
    </row>
    <row r="447">
      <c r="A447" s="7" t="s">
        <v>8</v>
      </c>
      <c r="B447" s="8">
        <v>3.0</v>
      </c>
      <c r="C447" s="7" t="s">
        <v>62</v>
      </c>
      <c r="D447" s="7" t="s">
        <v>230</v>
      </c>
      <c r="E447" s="7" t="s">
        <v>231</v>
      </c>
      <c r="F447" s="7" t="s">
        <v>66</v>
      </c>
    </row>
    <row r="448">
      <c r="A448" s="5" t="s">
        <v>2702</v>
      </c>
      <c r="B448" s="8">
        <v>3.0</v>
      </c>
      <c r="C448" s="7" t="s">
        <v>62</v>
      </c>
      <c r="D448" s="7" t="s">
        <v>230</v>
      </c>
      <c r="E448" s="7" t="s">
        <v>231</v>
      </c>
      <c r="F448" s="7" t="s">
        <v>65</v>
      </c>
    </row>
    <row r="449">
      <c r="A449" s="5" t="s">
        <v>2599</v>
      </c>
      <c r="B449" s="8">
        <v>3.0</v>
      </c>
      <c r="C449" s="7" t="s">
        <v>62</v>
      </c>
      <c r="D449" s="7" t="s">
        <v>230</v>
      </c>
      <c r="E449" s="7" t="s">
        <v>231</v>
      </c>
      <c r="F449" s="7" t="s">
        <v>65</v>
      </c>
    </row>
    <row r="450">
      <c r="A450" s="5" t="s">
        <v>2600</v>
      </c>
      <c r="B450" s="8">
        <v>3.0</v>
      </c>
      <c r="C450" s="7" t="s">
        <v>62</v>
      </c>
      <c r="D450" s="7" t="s">
        <v>230</v>
      </c>
      <c r="E450" s="7" t="s">
        <v>231</v>
      </c>
      <c r="F450" s="7" t="s">
        <v>65</v>
      </c>
    </row>
    <row r="451">
      <c r="A451" s="5" t="s">
        <v>2602</v>
      </c>
      <c r="B451" s="8">
        <v>3.0</v>
      </c>
      <c r="C451" s="7" t="s">
        <v>62</v>
      </c>
      <c r="D451" s="7" t="s">
        <v>230</v>
      </c>
      <c r="E451" s="7" t="s">
        <v>231</v>
      </c>
      <c r="F451" s="7" t="s">
        <v>65</v>
      </c>
    </row>
    <row r="452">
      <c r="A452" s="5" t="s">
        <v>2603</v>
      </c>
      <c r="B452" s="8">
        <v>3.0</v>
      </c>
      <c r="C452" s="7" t="s">
        <v>62</v>
      </c>
      <c r="D452" s="7" t="s">
        <v>230</v>
      </c>
      <c r="E452" s="7" t="s">
        <v>231</v>
      </c>
      <c r="F452" s="7" t="s">
        <v>65</v>
      </c>
    </row>
    <row r="453">
      <c r="A453" s="5" t="s">
        <v>2604</v>
      </c>
      <c r="B453" s="8">
        <v>3.0</v>
      </c>
      <c r="C453" s="7" t="s">
        <v>62</v>
      </c>
      <c r="D453" s="7" t="s">
        <v>230</v>
      </c>
      <c r="E453" s="7" t="s">
        <v>231</v>
      </c>
      <c r="F453" s="7" t="s">
        <v>65</v>
      </c>
    </row>
    <row r="454">
      <c r="A454" s="5" t="s">
        <v>2605</v>
      </c>
      <c r="B454" s="8">
        <v>3.0</v>
      </c>
      <c r="C454" s="7" t="s">
        <v>62</v>
      </c>
      <c r="D454" s="7" t="s">
        <v>230</v>
      </c>
      <c r="E454" s="7" t="s">
        <v>231</v>
      </c>
      <c r="F454" s="7" t="s">
        <v>232</v>
      </c>
    </row>
    <row r="455">
      <c r="A455" s="5" t="s">
        <v>2606</v>
      </c>
      <c r="B455" s="8">
        <v>3.0</v>
      </c>
      <c r="C455" s="7" t="s">
        <v>62</v>
      </c>
      <c r="D455" s="7" t="s">
        <v>230</v>
      </c>
      <c r="E455" s="7" t="s">
        <v>231</v>
      </c>
      <c r="F455" s="7" t="s">
        <v>65</v>
      </c>
    </row>
    <row r="456">
      <c r="A456" s="5" t="s">
        <v>2607</v>
      </c>
      <c r="B456" s="8">
        <v>3.0</v>
      </c>
      <c r="C456" s="7" t="s">
        <v>62</v>
      </c>
      <c r="D456" s="7" t="s">
        <v>230</v>
      </c>
      <c r="E456" s="7" t="s">
        <v>231</v>
      </c>
      <c r="F456" s="7" t="s">
        <v>65</v>
      </c>
    </row>
    <row r="457">
      <c r="A457" s="5" t="s">
        <v>2614</v>
      </c>
      <c r="B457" s="8">
        <v>3.0</v>
      </c>
      <c r="C457" s="7" t="s">
        <v>62</v>
      </c>
      <c r="D457" s="7" t="s">
        <v>230</v>
      </c>
      <c r="E457" s="7" t="s">
        <v>231</v>
      </c>
      <c r="F457" s="7" t="s">
        <v>65</v>
      </c>
    </row>
    <row r="458">
      <c r="A458" s="5" t="s">
        <v>2608</v>
      </c>
      <c r="B458" s="8">
        <v>3.0</v>
      </c>
      <c r="C458" s="7" t="s">
        <v>62</v>
      </c>
      <c r="D458" s="7" t="s">
        <v>230</v>
      </c>
      <c r="E458" s="7" t="s">
        <v>231</v>
      </c>
      <c r="F458" s="7" t="s">
        <v>65</v>
      </c>
    </row>
    <row r="459">
      <c r="A459" s="5" t="s">
        <v>2609</v>
      </c>
      <c r="B459" s="8">
        <v>3.0</v>
      </c>
      <c r="C459" s="7" t="s">
        <v>62</v>
      </c>
      <c r="D459" s="7" t="s">
        <v>230</v>
      </c>
      <c r="E459" s="7" t="s">
        <v>231</v>
      </c>
      <c r="F459" s="7" t="s">
        <v>65</v>
      </c>
    </row>
    <row r="460">
      <c r="A460" s="7" t="s">
        <v>188</v>
      </c>
      <c r="B460" s="8">
        <v>3.0</v>
      </c>
      <c r="C460" s="7" t="s">
        <v>67</v>
      </c>
      <c r="D460" s="5" t="s">
        <v>534</v>
      </c>
      <c r="E460" s="5" t="s">
        <v>2722</v>
      </c>
      <c r="F460" s="7" t="s">
        <v>131</v>
      </c>
    </row>
    <row r="461">
      <c r="A461" s="5" t="s">
        <v>2592</v>
      </c>
      <c r="B461" s="8">
        <v>3.0</v>
      </c>
      <c r="C461" s="7" t="s">
        <v>67</v>
      </c>
      <c r="D461" s="5" t="s">
        <v>534</v>
      </c>
      <c r="E461" s="5" t="s">
        <v>2722</v>
      </c>
      <c r="F461" s="7" t="s">
        <v>70</v>
      </c>
    </row>
    <row r="462">
      <c r="A462" s="5" t="s">
        <v>2594</v>
      </c>
      <c r="B462" s="8">
        <v>3.0</v>
      </c>
      <c r="C462" s="7" t="s">
        <v>67</v>
      </c>
      <c r="D462" s="5" t="s">
        <v>534</v>
      </c>
      <c r="E462" s="5" t="s">
        <v>2722</v>
      </c>
      <c r="F462" s="7" t="s">
        <v>131</v>
      </c>
    </row>
    <row r="463">
      <c r="A463" s="5" t="s">
        <v>2595</v>
      </c>
      <c r="B463" s="8">
        <v>3.0</v>
      </c>
      <c r="C463" s="7" t="s">
        <v>67</v>
      </c>
      <c r="D463" s="5" t="s">
        <v>534</v>
      </c>
      <c r="E463" s="5" t="s">
        <v>2722</v>
      </c>
      <c r="F463" s="7" t="s">
        <v>70</v>
      </c>
    </row>
    <row r="464">
      <c r="A464" s="5" t="s">
        <v>2597</v>
      </c>
      <c r="B464" s="8">
        <v>3.0</v>
      </c>
      <c r="C464" s="7" t="s">
        <v>67</v>
      </c>
      <c r="D464" s="5" t="s">
        <v>534</v>
      </c>
      <c r="E464" s="5" t="s">
        <v>2722</v>
      </c>
      <c r="F464" s="7" t="s">
        <v>70</v>
      </c>
    </row>
    <row r="465">
      <c r="A465" s="7" t="s">
        <v>8</v>
      </c>
      <c r="B465" s="8">
        <v>3.0</v>
      </c>
      <c r="C465" s="7" t="s">
        <v>67</v>
      </c>
      <c r="D465" s="5" t="s">
        <v>534</v>
      </c>
      <c r="E465" s="5" t="s">
        <v>2722</v>
      </c>
      <c r="F465" s="7" t="s">
        <v>71</v>
      </c>
    </row>
    <row r="466">
      <c r="A466" s="5" t="s">
        <v>2702</v>
      </c>
      <c r="B466" s="8">
        <v>3.0</v>
      </c>
      <c r="C466" s="7" t="s">
        <v>67</v>
      </c>
      <c r="D466" s="5" t="s">
        <v>534</v>
      </c>
      <c r="E466" s="5" t="s">
        <v>2722</v>
      </c>
      <c r="F466" s="7" t="s">
        <v>65</v>
      </c>
    </row>
    <row r="467">
      <c r="A467" s="5" t="s">
        <v>2599</v>
      </c>
      <c r="B467" s="8">
        <v>3.0</v>
      </c>
      <c r="C467" s="7" t="s">
        <v>67</v>
      </c>
      <c r="D467" s="5" t="s">
        <v>534</v>
      </c>
      <c r="E467" s="5" t="s">
        <v>2722</v>
      </c>
      <c r="F467" s="7" t="s">
        <v>70</v>
      </c>
    </row>
    <row r="468">
      <c r="A468" s="5" t="s">
        <v>2600</v>
      </c>
      <c r="B468" s="8">
        <v>3.0</v>
      </c>
      <c r="C468" s="7" t="s">
        <v>67</v>
      </c>
      <c r="D468" s="5" t="s">
        <v>534</v>
      </c>
      <c r="E468" s="5" t="s">
        <v>2722</v>
      </c>
      <c r="F468" s="7" t="s">
        <v>70</v>
      </c>
    </row>
    <row r="469">
      <c r="A469" s="5" t="s">
        <v>2602</v>
      </c>
      <c r="B469" s="8">
        <v>3.0</v>
      </c>
      <c r="C469" s="7" t="s">
        <v>67</v>
      </c>
      <c r="D469" s="5" t="s">
        <v>534</v>
      </c>
      <c r="E469" s="5" t="s">
        <v>2722</v>
      </c>
      <c r="F469" s="7" t="s">
        <v>70</v>
      </c>
    </row>
    <row r="470">
      <c r="A470" s="5" t="s">
        <v>2603</v>
      </c>
      <c r="B470" s="8">
        <v>3.0</v>
      </c>
      <c r="C470" s="7" t="s">
        <v>67</v>
      </c>
      <c r="D470" s="5" t="s">
        <v>534</v>
      </c>
      <c r="E470" s="5" t="s">
        <v>2722</v>
      </c>
      <c r="F470" s="7" t="s">
        <v>70</v>
      </c>
    </row>
    <row r="471">
      <c r="A471" s="5" t="s">
        <v>2604</v>
      </c>
      <c r="B471" s="8">
        <v>3.0</v>
      </c>
      <c r="C471" s="7" t="s">
        <v>67</v>
      </c>
      <c r="D471" s="5" t="s">
        <v>534</v>
      </c>
      <c r="E471" s="5" t="s">
        <v>2722</v>
      </c>
      <c r="F471" s="7" t="s">
        <v>70</v>
      </c>
    </row>
    <row r="472">
      <c r="A472" s="5" t="s">
        <v>2605</v>
      </c>
      <c r="B472" s="8">
        <v>3.0</v>
      </c>
      <c r="C472" s="7" t="s">
        <v>67</v>
      </c>
      <c r="D472" s="5" t="s">
        <v>534</v>
      </c>
      <c r="E472" s="5" t="s">
        <v>2722</v>
      </c>
      <c r="F472" s="7" t="s">
        <v>131</v>
      </c>
    </row>
    <row r="473">
      <c r="A473" s="5" t="s">
        <v>2606</v>
      </c>
      <c r="B473" s="8">
        <v>3.0</v>
      </c>
      <c r="C473" s="7" t="s">
        <v>67</v>
      </c>
      <c r="D473" s="5" t="s">
        <v>534</v>
      </c>
      <c r="E473" s="5" t="s">
        <v>2722</v>
      </c>
      <c r="F473" s="7" t="s">
        <v>70</v>
      </c>
    </row>
    <row r="474">
      <c r="A474" s="5" t="s">
        <v>2607</v>
      </c>
      <c r="B474" s="8">
        <v>3.0</v>
      </c>
      <c r="C474" s="7" t="s">
        <v>67</v>
      </c>
      <c r="D474" s="5" t="s">
        <v>534</v>
      </c>
      <c r="E474" s="5" t="s">
        <v>2722</v>
      </c>
      <c r="F474" s="7" t="s">
        <v>70</v>
      </c>
    </row>
    <row r="475">
      <c r="A475" s="5" t="s">
        <v>2614</v>
      </c>
      <c r="B475" s="8">
        <v>3.0</v>
      </c>
      <c r="C475" s="7" t="s">
        <v>67</v>
      </c>
      <c r="D475" s="5" t="s">
        <v>534</v>
      </c>
      <c r="E475" s="5" t="s">
        <v>2722</v>
      </c>
      <c r="F475" s="7" t="s">
        <v>70</v>
      </c>
    </row>
    <row r="476">
      <c r="A476" s="5" t="s">
        <v>2608</v>
      </c>
      <c r="B476" s="8">
        <v>3.0</v>
      </c>
      <c r="C476" s="7" t="s">
        <v>67</v>
      </c>
      <c r="D476" s="5" t="s">
        <v>534</v>
      </c>
      <c r="E476" s="5" t="s">
        <v>2722</v>
      </c>
      <c r="F476" s="7" t="s">
        <v>70</v>
      </c>
    </row>
    <row r="477">
      <c r="A477" s="5" t="s">
        <v>2609</v>
      </c>
      <c r="B477" s="8">
        <v>3.0</v>
      </c>
      <c r="C477" s="7" t="s">
        <v>67</v>
      </c>
      <c r="D477" s="5" t="s">
        <v>534</v>
      </c>
      <c r="E477" s="5" t="s">
        <v>2722</v>
      </c>
      <c r="F477" s="7" t="s">
        <v>70</v>
      </c>
    </row>
    <row r="478">
      <c r="A478" s="7" t="s">
        <v>188</v>
      </c>
      <c r="B478" s="8">
        <v>3.0</v>
      </c>
      <c r="C478" s="7" t="s">
        <v>72</v>
      </c>
      <c r="D478" s="7" t="s">
        <v>235</v>
      </c>
      <c r="E478" s="5" t="s">
        <v>236</v>
      </c>
      <c r="F478" s="5" t="s">
        <v>76</v>
      </c>
    </row>
    <row r="479">
      <c r="A479" s="5" t="s">
        <v>2592</v>
      </c>
      <c r="B479" s="8">
        <v>3.0</v>
      </c>
      <c r="C479" s="7" t="s">
        <v>72</v>
      </c>
      <c r="D479" s="7" t="s">
        <v>235</v>
      </c>
      <c r="E479" s="5" t="s">
        <v>236</v>
      </c>
      <c r="F479" s="5" t="s">
        <v>237</v>
      </c>
    </row>
    <row r="480">
      <c r="A480" s="5" t="s">
        <v>2594</v>
      </c>
      <c r="B480" s="8">
        <v>3.0</v>
      </c>
      <c r="C480" s="7" t="s">
        <v>72</v>
      </c>
      <c r="D480" s="7" t="s">
        <v>235</v>
      </c>
      <c r="E480" s="5" t="s">
        <v>236</v>
      </c>
      <c r="F480" s="5" t="s">
        <v>76</v>
      </c>
    </row>
    <row r="481">
      <c r="A481" s="5" t="s">
        <v>2595</v>
      </c>
      <c r="B481" s="8">
        <v>3.0</v>
      </c>
      <c r="C481" s="7" t="s">
        <v>72</v>
      </c>
      <c r="D481" s="7" t="s">
        <v>235</v>
      </c>
      <c r="E481" s="5" t="s">
        <v>236</v>
      </c>
      <c r="F481" s="5" t="s">
        <v>237</v>
      </c>
    </row>
    <row r="482">
      <c r="A482" s="5" t="s">
        <v>2597</v>
      </c>
      <c r="B482" s="8">
        <v>3.0</v>
      </c>
      <c r="C482" s="7" t="s">
        <v>72</v>
      </c>
      <c r="D482" s="7" t="s">
        <v>235</v>
      </c>
      <c r="E482" s="5" t="s">
        <v>236</v>
      </c>
      <c r="F482" s="5" t="s">
        <v>77</v>
      </c>
    </row>
    <row r="483">
      <c r="A483" s="7" t="s">
        <v>8</v>
      </c>
      <c r="B483" s="8">
        <v>3.0</v>
      </c>
      <c r="C483" s="7" t="s">
        <v>72</v>
      </c>
      <c r="D483" s="7" t="s">
        <v>235</v>
      </c>
      <c r="E483" s="5" t="s">
        <v>236</v>
      </c>
      <c r="F483" s="5" t="s">
        <v>238</v>
      </c>
    </row>
    <row r="484">
      <c r="A484" s="5" t="s">
        <v>2702</v>
      </c>
      <c r="B484" s="8">
        <v>3.0</v>
      </c>
      <c r="C484" s="7" t="s">
        <v>72</v>
      </c>
      <c r="D484" s="7" t="s">
        <v>235</v>
      </c>
      <c r="E484" s="5" t="s">
        <v>236</v>
      </c>
      <c r="F484" s="5" t="s">
        <v>76</v>
      </c>
    </row>
    <row r="485">
      <c r="A485" s="5" t="s">
        <v>2599</v>
      </c>
      <c r="B485" s="8">
        <v>3.0</v>
      </c>
      <c r="C485" s="7" t="s">
        <v>72</v>
      </c>
      <c r="D485" s="7" t="s">
        <v>235</v>
      </c>
      <c r="E485" s="5" t="s">
        <v>236</v>
      </c>
      <c r="F485" s="5" t="s">
        <v>240</v>
      </c>
    </row>
    <row r="486">
      <c r="A486" s="5" t="s">
        <v>2600</v>
      </c>
      <c r="B486" s="8">
        <v>3.0</v>
      </c>
      <c r="C486" s="7" t="s">
        <v>72</v>
      </c>
      <c r="D486" s="7" t="s">
        <v>235</v>
      </c>
      <c r="E486" s="5" t="s">
        <v>236</v>
      </c>
      <c r="F486" s="5" t="s">
        <v>76</v>
      </c>
    </row>
    <row r="487">
      <c r="A487" s="5" t="s">
        <v>2602</v>
      </c>
      <c r="B487" s="8">
        <v>3.0</v>
      </c>
      <c r="C487" s="7" t="s">
        <v>72</v>
      </c>
      <c r="D487" s="7" t="s">
        <v>235</v>
      </c>
      <c r="E487" s="5" t="s">
        <v>236</v>
      </c>
      <c r="F487" s="5" t="s">
        <v>76</v>
      </c>
    </row>
    <row r="488">
      <c r="A488" s="5" t="s">
        <v>2603</v>
      </c>
      <c r="B488" s="8">
        <v>3.0</v>
      </c>
      <c r="C488" s="7" t="s">
        <v>72</v>
      </c>
      <c r="D488" s="7" t="s">
        <v>235</v>
      </c>
      <c r="E488" s="5" t="s">
        <v>236</v>
      </c>
      <c r="F488" s="5" t="s">
        <v>76</v>
      </c>
    </row>
    <row r="489">
      <c r="A489" s="5" t="s">
        <v>2604</v>
      </c>
      <c r="B489" s="8">
        <v>3.0</v>
      </c>
      <c r="C489" s="7" t="s">
        <v>72</v>
      </c>
      <c r="D489" s="7" t="s">
        <v>235</v>
      </c>
      <c r="E489" s="5" t="s">
        <v>236</v>
      </c>
      <c r="F489" s="5" t="s">
        <v>76</v>
      </c>
    </row>
    <row r="490">
      <c r="A490" s="5" t="s">
        <v>2605</v>
      </c>
      <c r="B490" s="8">
        <v>3.0</v>
      </c>
      <c r="C490" s="7" t="s">
        <v>72</v>
      </c>
      <c r="D490" s="7" t="s">
        <v>235</v>
      </c>
      <c r="E490" s="5" t="s">
        <v>236</v>
      </c>
      <c r="F490" s="5" t="s">
        <v>76</v>
      </c>
    </row>
    <row r="491">
      <c r="A491" s="5" t="s">
        <v>2606</v>
      </c>
      <c r="B491" s="8">
        <v>3.0</v>
      </c>
      <c r="C491" s="7" t="s">
        <v>72</v>
      </c>
      <c r="D491" s="7" t="s">
        <v>235</v>
      </c>
      <c r="E491" s="5" t="s">
        <v>236</v>
      </c>
      <c r="F491" s="5" t="s">
        <v>76</v>
      </c>
    </row>
    <row r="492">
      <c r="A492" s="5" t="s">
        <v>2607</v>
      </c>
      <c r="B492" s="8">
        <v>3.0</v>
      </c>
      <c r="C492" s="7" t="s">
        <v>72</v>
      </c>
      <c r="D492" s="7" t="s">
        <v>235</v>
      </c>
      <c r="E492" s="5" t="s">
        <v>236</v>
      </c>
      <c r="F492" s="5" t="s">
        <v>75</v>
      </c>
    </row>
    <row r="493">
      <c r="A493" s="5" t="s">
        <v>2614</v>
      </c>
      <c r="B493" s="8">
        <v>3.0</v>
      </c>
      <c r="C493" s="7" t="s">
        <v>72</v>
      </c>
      <c r="D493" s="7" t="s">
        <v>235</v>
      </c>
      <c r="E493" s="5" t="s">
        <v>236</v>
      </c>
      <c r="F493" s="5" t="s">
        <v>75</v>
      </c>
    </row>
    <row r="494">
      <c r="A494" s="5" t="s">
        <v>2608</v>
      </c>
      <c r="B494" s="8">
        <v>3.0</v>
      </c>
      <c r="C494" s="7" t="s">
        <v>72</v>
      </c>
      <c r="D494" s="7" t="s">
        <v>235</v>
      </c>
      <c r="E494" s="5" t="s">
        <v>236</v>
      </c>
      <c r="F494" s="5" t="s">
        <v>75</v>
      </c>
    </row>
    <row r="495">
      <c r="A495" s="5" t="s">
        <v>2609</v>
      </c>
      <c r="B495" s="8">
        <v>3.0</v>
      </c>
      <c r="C495" s="7" t="s">
        <v>72</v>
      </c>
      <c r="D495" s="7" t="s">
        <v>235</v>
      </c>
      <c r="E495" s="5" t="s">
        <v>236</v>
      </c>
      <c r="F495" s="5" t="s">
        <v>77</v>
      </c>
    </row>
    <row r="496">
      <c r="A496" s="7" t="s">
        <v>188</v>
      </c>
      <c r="B496" s="8">
        <v>3.0</v>
      </c>
      <c r="C496" s="7" t="s">
        <v>78</v>
      </c>
      <c r="D496" s="7" t="s">
        <v>241</v>
      </c>
      <c r="E496" s="5" t="s">
        <v>2723</v>
      </c>
      <c r="F496" s="5" t="s">
        <v>2724</v>
      </c>
    </row>
    <row r="497">
      <c r="A497" s="5" t="s">
        <v>2592</v>
      </c>
      <c r="B497" s="8">
        <v>3.0</v>
      </c>
      <c r="C497" s="7" t="s">
        <v>78</v>
      </c>
      <c r="D497" s="7" t="s">
        <v>241</v>
      </c>
      <c r="E497" s="5" t="s">
        <v>2723</v>
      </c>
      <c r="F497" s="5" t="s">
        <v>2627</v>
      </c>
    </row>
    <row r="498">
      <c r="A498" s="5" t="s">
        <v>2594</v>
      </c>
      <c r="B498" s="8">
        <v>3.0</v>
      </c>
      <c r="C498" s="7" t="s">
        <v>78</v>
      </c>
      <c r="D498" s="7" t="s">
        <v>241</v>
      </c>
      <c r="E498" s="5" t="s">
        <v>2723</v>
      </c>
      <c r="F498" s="5" t="s">
        <v>244</v>
      </c>
    </row>
    <row r="499">
      <c r="A499" s="5" t="s">
        <v>2595</v>
      </c>
      <c r="B499" s="8">
        <v>3.0</v>
      </c>
      <c r="C499" s="7" t="s">
        <v>78</v>
      </c>
      <c r="D499" s="7" t="s">
        <v>241</v>
      </c>
      <c r="E499" s="5" t="s">
        <v>2723</v>
      </c>
      <c r="F499" s="5" t="s">
        <v>2725</v>
      </c>
    </row>
    <row r="500">
      <c r="A500" s="5" t="s">
        <v>2597</v>
      </c>
      <c r="B500" s="8">
        <v>3.0</v>
      </c>
      <c r="C500" s="7" t="s">
        <v>78</v>
      </c>
      <c r="D500" s="7" t="s">
        <v>241</v>
      </c>
      <c r="E500" s="5" t="s">
        <v>2723</v>
      </c>
      <c r="F500" s="5" t="s">
        <v>2629</v>
      </c>
    </row>
    <row r="501">
      <c r="A501" s="7" t="s">
        <v>8</v>
      </c>
      <c r="B501" s="8">
        <v>3.0</v>
      </c>
      <c r="C501" s="7" t="s">
        <v>78</v>
      </c>
      <c r="D501" s="7" t="s">
        <v>241</v>
      </c>
      <c r="E501" s="5" t="s">
        <v>2723</v>
      </c>
      <c r="F501" s="5" t="s">
        <v>2627</v>
      </c>
    </row>
    <row r="502">
      <c r="A502" s="5" t="s">
        <v>2702</v>
      </c>
      <c r="B502" s="8">
        <v>3.0</v>
      </c>
      <c r="C502" s="7" t="s">
        <v>78</v>
      </c>
      <c r="D502" s="7" t="s">
        <v>241</v>
      </c>
      <c r="E502" s="5" t="s">
        <v>2723</v>
      </c>
      <c r="F502" s="5" t="s">
        <v>2627</v>
      </c>
    </row>
    <row r="503">
      <c r="A503" s="5" t="s">
        <v>2599</v>
      </c>
      <c r="B503" s="8">
        <v>3.0</v>
      </c>
      <c r="C503" s="7" t="s">
        <v>78</v>
      </c>
      <c r="D503" s="7" t="s">
        <v>241</v>
      </c>
      <c r="E503" s="5" t="s">
        <v>2723</v>
      </c>
      <c r="F503" s="5" t="s">
        <v>2627</v>
      </c>
    </row>
    <row r="504">
      <c r="A504" s="5" t="s">
        <v>2600</v>
      </c>
      <c r="B504" s="8">
        <v>3.0</v>
      </c>
      <c r="C504" s="7" t="s">
        <v>78</v>
      </c>
      <c r="D504" s="7" t="s">
        <v>241</v>
      </c>
      <c r="E504" s="5" t="s">
        <v>2723</v>
      </c>
      <c r="F504" s="5" t="s">
        <v>2627</v>
      </c>
    </row>
    <row r="505">
      <c r="A505" s="5" t="s">
        <v>2602</v>
      </c>
      <c r="B505" s="8">
        <v>3.0</v>
      </c>
      <c r="C505" s="7" t="s">
        <v>78</v>
      </c>
      <c r="D505" s="7" t="s">
        <v>241</v>
      </c>
      <c r="E505" s="5" t="s">
        <v>2723</v>
      </c>
      <c r="F505" s="5" t="s">
        <v>2627</v>
      </c>
    </row>
    <row r="506">
      <c r="A506" s="5" t="s">
        <v>2603</v>
      </c>
      <c r="B506" s="8">
        <v>3.0</v>
      </c>
      <c r="C506" s="7" t="s">
        <v>78</v>
      </c>
      <c r="D506" s="7" t="s">
        <v>241</v>
      </c>
      <c r="E506" s="5" t="s">
        <v>2723</v>
      </c>
      <c r="F506" s="5" t="s">
        <v>2630</v>
      </c>
    </row>
    <row r="507">
      <c r="A507" s="5" t="s">
        <v>2604</v>
      </c>
      <c r="B507" s="8">
        <v>3.0</v>
      </c>
      <c r="C507" s="7" t="s">
        <v>78</v>
      </c>
      <c r="D507" s="7" t="s">
        <v>241</v>
      </c>
      <c r="E507" s="5" t="s">
        <v>2723</v>
      </c>
      <c r="F507" s="5" t="s">
        <v>2726</v>
      </c>
    </row>
    <row r="508">
      <c r="A508" s="5" t="s">
        <v>2605</v>
      </c>
      <c r="B508" s="8">
        <v>3.0</v>
      </c>
      <c r="C508" s="7" t="s">
        <v>78</v>
      </c>
      <c r="D508" s="7" t="s">
        <v>241</v>
      </c>
      <c r="E508" s="5" t="s">
        <v>2723</v>
      </c>
      <c r="F508" s="5" t="s">
        <v>2727</v>
      </c>
    </row>
    <row r="509">
      <c r="A509" s="5" t="s">
        <v>2606</v>
      </c>
      <c r="B509" s="8">
        <v>3.0</v>
      </c>
      <c r="C509" s="7" t="s">
        <v>78</v>
      </c>
      <c r="D509" s="7" t="s">
        <v>241</v>
      </c>
      <c r="E509" s="5" t="s">
        <v>2723</v>
      </c>
      <c r="F509" s="5" t="s">
        <v>2627</v>
      </c>
    </row>
    <row r="510">
      <c r="A510" s="5" t="s">
        <v>2607</v>
      </c>
      <c r="B510" s="8">
        <v>3.0</v>
      </c>
      <c r="C510" s="7" t="s">
        <v>78</v>
      </c>
      <c r="D510" s="7" t="s">
        <v>241</v>
      </c>
      <c r="E510" s="5" t="s">
        <v>2723</v>
      </c>
      <c r="F510" s="5" t="s">
        <v>2628</v>
      </c>
    </row>
    <row r="511">
      <c r="A511" s="5" t="s">
        <v>2614</v>
      </c>
      <c r="B511" s="8">
        <v>3.0</v>
      </c>
      <c r="C511" s="7" t="s">
        <v>78</v>
      </c>
      <c r="D511" s="7" t="s">
        <v>241</v>
      </c>
      <c r="E511" s="5" t="s">
        <v>2723</v>
      </c>
      <c r="F511" s="5" t="s">
        <v>2627</v>
      </c>
    </row>
    <row r="512">
      <c r="A512" s="5" t="s">
        <v>2608</v>
      </c>
      <c r="B512" s="8">
        <v>3.0</v>
      </c>
      <c r="C512" s="7" t="s">
        <v>78</v>
      </c>
      <c r="D512" s="7" t="s">
        <v>241</v>
      </c>
      <c r="E512" s="5" t="s">
        <v>2723</v>
      </c>
      <c r="F512" s="5" t="s">
        <v>2728</v>
      </c>
    </row>
    <row r="513">
      <c r="A513" s="5" t="s">
        <v>2609</v>
      </c>
      <c r="B513" s="8">
        <v>3.0</v>
      </c>
      <c r="C513" s="7" t="s">
        <v>78</v>
      </c>
      <c r="D513" s="7" t="s">
        <v>241</v>
      </c>
      <c r="E513" s="5" t="s">
        <v>2723</v>
      </c>
      <c r="F513" s="5" t="s">
        <v>2633</v>
      </c>
    </row>
    <row r="514">
      <c r="A514" s="7" t="s">
        <v>188</v>
      </c>
      <c r="B514" s="8">
        <v>3.0</v>
      </c>
      <c r="C514" s="7" t="s">
        <v>101</v>
      </c>
      <c r="D514" s="7" t="s">
        <v>249</v>
      </c>
      <c r="E514" s="5" t="s">
        <v>2729</v>
      </c>
      <c r="F514" s="5" t="s">
        <v>2730</v>
      </c>
    </row>
    <row r="515">
      <c r="A515" s="5" t="s">
        <v>2592</v>
      </c>
      <c r="B515" s="8">
        <v>3.0</v>
      </c>
      <c r="C515" s="7" t="s">
        <v>101</v>
      </c>
      <c r="D515" s="7" t="s">
        <v>249</v>
      </c>
      <c r="E515" s="5" t="s">
        <v>2729</v>
      </c>
      <c r="F515" s="5" t="s">
        <v>2731</v>
      </c>
    </row>
    <row r="516">
      <c r="A516" s="5" t="s">
        <v>2594</v>
      </c>
      <c r="B516" s="8">
        <v>3.0</v>
      </c>
      <c r="C516" s="7" t="s">
        <v>101</v>
      </c>
      <c r="D516" s="7" t="s">
        <v>249</v>
      </c>
      <c r="E516" s="5" t="s">
        <v>2729</v>
      </c>
      <c r="F516" s="5" t="s">
        <v>2732</v>
      </c>
    </row>
    <row r="517">
      <c r="A517" s="5" t="s">
        <v>2595</v>
      </c>
      <c r="B517" s="8">
        <v>3.0</v>
      </c>
      <c r="C517" s="7" t="s">
        <v>101</v>
      </c>
      <c r="D517" s="7" t="s">
        <v>249</v>
      </c>
      <c r="E517" s="5" t="s">
        <v>2729</v>
      </c>
      <c r="F517" s="5" t="s">
        <v>2733</v>
      </c>
    </row>
    <row r="518">
      <c r="A518" s="5" t="s">
        <v>2597</v>
      </c>
      <c r="B518" s="8">
        <v>3.0</v>
      </c>
      <c r="C518" s="7" t="s">
        <v>101</v>
      </c>
      <c r="D518" s="7" t="s">
        <v>249</v>
      </c>
      <c r="E518" s="5" t="s">
        <v>2729</v>
      </c>
      <c r="F518" s="5" t="s">
        <v>2731</v>
      </c>
    </row>
    <row r="519">
      <c r="A519" s="7" t="s">
        <v>8</v>
      </c>
      <c r="B519" s="8">
        <v>3.0</v>
      </c>
      <c r="C519" s="7" t="s">
        <v>101</v>
      </c>
      <c r="D519" s="7" t="s">
        <v>249</v>
      </c>
      <c r="E519" s="5" t="s">
        <v>2729</v>
      </c>
      <c r="F519" s="5" t="s">
        <v>2647</v>
      </c>
    </row>
    <row r="520">
      <c r="A520" s="5" t="s">
        <v>2702</v>
      </c>
      <c r="B520" s="8">
        <v>3.0</v>
      </c>
      <c r="C520" s="7" t="s">
        <v>101</v>
      </c>
      <c r="D520" s="7" t="s">
        <v>249</v>
      </c>
      <c r="E520" s="5" t="s">
        <v>2729</v>
      </c>
      <c r="F520" s="5" t="s">
        <v>2734</v>
      </c>
    </row>
    <row r="521">
      <c r="A521" s="5" t="s">
        <v>2599</v>
      </c>
      <c r="B521" s="8">
        <v>3.0</v>
      </c>
      <c r="C521" s="7" t="s">
        <v>101</v>
      </c>
      <c r="D521" s="7" t="s">
        <v>249</v>
      </c>
      <c r="E521" s="5" t="s">
        <v>2729</v>
      </c>
      <c r="F521" s="5" t="s">
        <v>2731</v>
      </c>
    </row>
    <row r="522">
      <c r="A522" s="5" t="s">
        <v>2600</v>
      </c>
      <c r="B522" s="8">
        <v>3.0</v>
      </c>
      <c r="C522" s="7" t="s">
        <v>101</v>
      </c>
      <c r="D522" s="7" t="s">
        <v>249</v>
      </c>
      <c r="E522" s="5" t="s">
        <v>2729</v>
      </c>
      <c r="F522" s="5" t="s">
        <v>2730</v>
      </c>
    </row>
    <row r="523">
      <c r="A523" s="5" t="s">
        <v>2602</v>
      </c>
      <c r="B523" s="8">
        <v>3.0</v>
      </c>
      <c r="C523" s="7" t="s">
        <v>101</v>
      </c>
      <c r="D523" s="7" t="s">
        <v>249</v>
      </c>
      <c r="E523" s="5" t="s">
        <v>2729</v>
      </c>
      <c r="F523" s="5" t="s">
        <v>2731</v>
      </c>
    </row>
    <row r="524">
      <c r="A524" s="5" t="s">
        <v>2603</v>
      </c>
      <c r="B524" s="8">
        <v>3.0</v>
      </c>
      <c r="C524" s="7" t="s">
        <v>101</v>
      </c>
      <c r="D524" s="7" t="s">
        <v>249</v>
      </c>
      <c r="E524" s="5" t="s">
        <v>2729</v>
      </c>
      <c r="F524" s="5" t="s">
        <v>2731</v>
      </c>
    </row>
    <row r="525">
      <c r="A525" s="5" t="s">
        <v>2604</v>
      </c>
      <c r="B525" s="8">
        <v>3.0</v>
      </c>
      <c r="C525" s="7" t="s">
        <v>101</v>
      </c>
      <c r="D525" s="7" t="s">
        <v>249</v>
      </c>
      <c r="E525" s="5" t="s">
        <v>2729</v>
      </c>
      <c r="F525" s="5" t="s">
        <v>2735</v>
      </c>
    </row>
    <row r="526">
      <c r="A526" s="5" t="s">
        <v>2605</v>
      </c>
      <c r="B526" s="8">
        <v>3.0</v>
      </c>
      <c r="C526" s="7" t="s">
        <v>101</v>
      </c>
      <c r="D526" s="7" t="s">
        <v>249</v>
      </c>
      <c r="E526" s="5" t="s">
        <v>2729</v>
      </c>
      <c r="F526" s="5" t="s">
        <v>2730</v>
      </c>
    </row>
    <row r="527">
      <c r="A527" s="5" t="s">
        <v>2606</v>
      </c>
      <c r="B527" s="8">
        <v>3.0</v>
      </c>
      <c r="C527" s="7" t="s">
        <v>101</v>
      </c>
      <c r="D527" s="7" t="s">
        <v>249</v>
      </c>
      <c r="E527" s="5" t="s">
        <v>2729</v>
      </c>
      <c r="F527" s="5" t="s">
        <v>2731</v>
      </c>
    </row>
    <row r="528">
      <c r="A528" s="5" t="s">
        <v>2607</v>
      </c>
      <c r="B528" s="8">
        <v>3.0</v>
      </c>
      <c r="C528" s="7" t="s">
        <v>101</v>
      </c>
      <c r="D528" s="7" t="s">
        <v>249</v>
      </c>
      <c r="E528" s="5" t="s">
        <v>2729</v>
      </c>
      <c r="F528" s="5" t="s">
        <v>2731</v>
      </c>
    </row>
    <row r="529">
      <c r="A529" s="5" t="s">
        <v>2614</v>
      </c>
      <c r="B529" s="8">
        <v>3.0</v>
      </c>
      <c r="C529" s="7" t="s">
        <v>101</v>
      </c>
      <c r="D529" s="7" t="s">
        <v>249</v>
      </c>
      <c r="E529" s="5" t="s">
        <v>2729</v>
      </c>
      <c r="F529" s="5" t="s">
        <v>2736</v>
      </c>
    </row>
    <row r="530">
      <c r="A530" s="5" t="s">
        <v>2608</v>
      </c>
      <c r="B530" s="8">
        <v>3.0</v>
      </c>
      <c r="C530" s="7" t="s">
        <v>101</v>
      </c>
      <c r="D530" s="7" t="s">
        <v>249</v>
      </c>
      <c r="E530" s="5" t="s">
        <v>2729</v>
      </c>
      <c r="F530" s="5" t="s">
        <v>2737</v>
      </c>
    </row>
    <row r="531">
      <c r="A531" s="5" t="s">
        <v>2609</v>
      </c>
      <c r="B531" s="8">
        <v>3.0</v>
      </c>
      <c r="C531" s="7" t="s">
        <v>101</v>
      </c>
      <c r="D531" s="7" t="s">
        <v>249</v>
      </c>
      <c r="E531" s="5" t="s">
        <v>2729</v>
      </c>
      <c r="F531" s="5" t="s">
        <v>2731</v>
      </c>
    </row>
    <row r="532">
      <c r="A532" s="7" t="s">
        <v>188</v>
      </c>
      <c r="B532" s="8">
        <v>3.0</v>
      </c>
      <c r="C532" s="7" t="s">
        <v>112</v>
      </c>
      <c r="D532" s="7" t="s">
        <v>259</v>
      </c>
      <c r="E532" s="5" t="s">
        <v>260</v>
      </c>
      <c r="F532" s="5" t="s">
        <v>2738</v>
      </c>
    </row>
    <row r="533">
      <c r="A533" s="5" t="s">
        <v>2592</v>
      </c>
      <c r="B533" s="8">
        <v>3.0</v>
      </c>
      <c r="C533" s="7" t="s">
        <v>112</v>
      </c>
      <c r="D533" s="7" t="s">
        <v>259</v>
      </c>
      <c r="E533" s="5" t="s">
        <v>260</v>
      </c>
      <c r="F533" s="5" t="s">
        <v>2653</v>
      </c>
    </row>
    <row r="534">
      <c r="A534" s="5" t="s">
        <v>2594</v>
      </c>
      <c r="B534" s="8">
        <v>3.0</v>
      </c>
      <c r="C534" s="7" t="s">
        <v>112</v>
      </c>
      <c r="D534" s="7" t="s">
        <v>259</v>
      </c>
      <c r="E534" s="5" t="s">
        <v>260</v>
      </c>
      <c r="F534" s="5" t="s">
        <v>2653</v>
      </c>
    </row>
    <row r="535">
      <c r="A535" s="5" t="s">
        <v>2595</v>
      </c>
      <c r="B535" s="8">
        <v>3.0</v>
      </c>
      <c r="C535" s="7" t="s">
        <v>112</v>
      </c>
      <c r="D535" s="7" t="s">
        <v>259</v>
      </c>
      <c r="E535" s="5" t="s">
        <v>260</v>
      </c>
      <c r="F535" s="5" t="s">
        <v>2653</v>
      </c>
    </row>
    <row r="536">
      <c r="A536" s="5" t="s">
        <v>2597</v>
      </c>
      <c r="B536" s="8">
        <v>3.0</v>
      </c>
      <c r="C536" s="7" t="s">
        <v>112</v>
      </c>
      <c r="D536" s="7" t="s">
        <v>259</v>
      </c>
      <c r="E536" s="5" t="s">
        <v>260</v>
      </c>
      <c r="F536" s="5" t="s">
        <v>2653</v>
      </c>
    </row>
    <row r="537">
      <c r="A537" s="7" t="s">
        <v>8</v>
      </c>
      <c r="B537" s="8">
        <v>3.0</v>
      </c>
      <c r="C537" s="7" t="s">
        <v>112</v>
      </c>
      <c r="D537" s="7" t="s">
        <v>259</v>
      </c>
      <c r="E537" s="5" t="s">
        <v>260</v>
      </c>
      <c r="F537" s="5" t="s">
        <v>2653</v>
      </c>
    </row>
    <row r="538">
      <c r="A538" s="5" t="s">
        <v>2702</v>
      </c>
      <c r="B538" s="8">
        <v>3.0</v>
      </c>
      <c r="C538" s="7" t="s">
        <v>112</v>
      </c>
      <c r="D538" s="7" t="s">
        <v>259</v>
      </c>
      <c r="E538" s="5" t="s">
        <v>260</v>
      </c>
      <c r="F538" s="5" t="s">
        <v>2653</v>
      </c>
    </row>
    <row r="539">
      <c r="A539" s="5" t="s">
        <v>2599</v>
      </c>
      <c r="B539" s="8">
        <v>3.0</v>
      </c>
      <c r="C539" s="7" t="s">
        <v>112</v>
      </c>
      <c r="D539" s="7" t="s">
        <v>259</v>
      </c>
      <c r="E539" s="5" t="s">
        <v>260</v>
      </c>
      <c r="F539" s="5" t="s">
        <v>2653</v>
      </c>
    </row>
    <row r="540">
      <c r="A540" s="5" t="s">
        <v>2600</v>
      </c>
      <c r="B540" s="8">
        <v>3.0</v>
      </c>
      <c r="C540" s="7" t="s">
        <v>112</v>
      </c>
      <c r="D540" s="7" t="s">
        <v>259</v>
      </c>
      <c r="E540" s="5" t="s">
        <v>260</v>
      </c>
      <c r="F540" s="5" t="s">
        <v>2653</v>
      </c>
    </row>
    <row r="541">
      <c r="A541" s="5" t="s">
        <v>2602</v>
      </c>
      <c r="B541" s="8">
        <v>3.0</v>
      </c>
      <c r="C541" s="7" t="s">
        <v>112</v>
      </c>
      <c r="D541" s="7" t="s">
        <v>259</v>
      </c>
      <c r="E541" s="5" t="s">
        <v>260</v>
      </c>
      <c r="F541" s="5" t="s">
        <v>2653</v>
      </c>
    </row>
    <row r="542">
      <c r="A542" s="5" t="s">
        <v>2603</v>
      </c>
      <c r="B542" s="8">
        <v>3.0</v>
      </c>
      <c r="C542" s="7" t="s">
        <v>112</v>
      </c>
      <c r="D542" s="7" t="s">
        <v>259</v>
      </c>
      <c r="E542" s="5" t="s">
        <v>260</v>
      </c>
      <c r="F542" s="5" t="s">
        <v>2653</v>
      </c>
    </row>
    <row r="543">
      <c r="A543" s="5" t="s">
        <v>2604</v>
      </c>
      <c r="B543" s="8">
        <v>3.0</v>
      </c>
      <c r="C543" s="7" t="s">
        <v>112</v>
      </c>
      <c r="D543" s="7" t="s">
        <v>259</v>
      </c>
      <c r="E543" s="5" t="s">
        <v>260</v>
      </c>
      <c r="F543" s="5" t="s">
        <v>2653</v>
      </c>
    </row>
    <row r="544">
      <c r="A544" s="5" t="s">
        <v>2605</v>
      </c>
      <c r="B544" s="8">
        <v>3.0</v>
      </c>
      <c r="C544" s="7" t="s">
        <v>112</v>
      </c>
      <c r="D544" s="7" t="s">
        <v>259</v>
      </c>
      <c r="E544" s="5" t="s">
        <v>260</v>
      </c>
      <c r="F544" s="5" t="s">
        <v>2653</v>
      </c>
    </row>
    <row r="545">
      <c r="A545" s="5" t="s">
        <v>2606</v>
      </c>
      <c r="B545" s="8">
        <v>3.0</v>
      </c>
      <c r="C545" s="7" t="s">
        <v>112</v>
      </c>
      <c r="D545" s="7" t="s">
        <v>259</v>
      </c>
      <c r="E545" s="5" t="s">
        <v>260</v>
      </c>
      <c r="F545" s="5" t="s">
        <v>2653</v>
      </c>
    </row>
    <row r="546">
      <c r="A546" s="5" t="s">
        <v>2607</v>
      </c>
      <c r="B546" s="8">
        <v>3.0</v>
      </c>
      <c r="C546" s="7" t="s">
        <v>112</v>
      </c>
      <c r="D546" s="7" t="s">
        <v>259</v>
      </c>
      <c r="E546" s="5" t="s">
        <v>260</v>
      </c>
      <c r="F546" s="5" t="s">
        <v>2653</v>
      </c>
    </row>
    <row r="547">
      <c r="A547" s="5" t="s">
        <v>2614</v>
      </c>
      <c r="B547" s="8">
        <v>3.0</v>
      </c>
      <c r="C547" s="7" t="s">
        <v>112</v>
      </c>
      <c r="D547" s="7" t="s">
        <v>259</v>
      </c>
      <c r="E547" s="5" t="s">
        <v>260</v>
      </c>
      <c r="F547" s="7" t="s">
        <v>116</v>
      </c>
    </row>
    <row r="548">
      <c r="A548" s="5" t="s">
        <v>2608</v>
      </c>
      <c r="B548" s="8">
        <v>3.0</v>
      </c>
      <c r="C548" s="7" t="s">
        <v>112</v>
      </c>
      <c r="D548" s="7" t="s">
        <v>259</v>
      </c>
      <c r="E548" s="5" t="s">
        <v>260</v>
      </c>
      <c r="F548" s="5" t="s">
        <v>2653</v>
      </c>
    </row>
    <row r="549">
      <c r="A549" s="5" t="s">
        <v>2609</v>
      </c>
      <c r="B549" s="8">
        <v>3.0</v>
      </c>
      <c r="C549" s="7" t="s">
        <v>112</v>
      </c>
      <c r="D549" s="7" t="s">
        <v>259</v>
      </c>
      <c r="E549" s="5" t="s">
        <v>260</v>
      </c>
      <c r="F549" s="5" t="s">
        <v>2653</v>
      </c>
    </row>
    <row r="550">
      <c r="A550" s="7" t="s">
        <v>188</v>
      </c>
      <c r="B550" s="8">
        <v>3.0</v>
      </c>
      <c r="C550" s="7" t="s">
        <v>172</v>
      </c>
      <c r="D550" s="5" t="s">
        <v>2739</v>
      </c>
      <c r="E550" s="5" t="s">
        <v>2740</v>
      </c>
      <c r="F550" s="7" t="s">
        <v>264</v>
      </c>
    </row>
    <row r="551">
      <c r="A551" s="5" t="s">
        <v>2592</v>
      </c>
      <c r="B551" s="8">
        <v>3.0</v>
      </c>
      <c r="C551" s="7" t="s">
        <v>172</v>
      </c>
      <c r="D551" s="5" t="s">
        <v>2739</v>
      </c>
      <c r="E551" s="5" t="s">
        <v>2740</v>
      </c>
      <c r="F551" s="7" t="s">
        <v>264</v>
      </c>
    </row>
    <row r="552">
      <c r="A552" s="5" t="s">
        <v>2594</v>
      </c>
      <c r="B552" s="8">
        <v>3.0</v>
      </c>
      <c r="C552" s="7" t="s">
        <v>172</v>
      </c>
      <c r="D552" s="5" t="s">
        <v>2739</v>
      </c>
      <c r="E552" s="5" t="s">
        <v>2740</v>
      </c>
      <c r="F552" s="7" t="s">
        <v>264</v>
      </c>
    </row>
    <row r="553">
      <c r="A553" s="5" t="s">
        <v>2595</v>
      </c>
      <c r="B553" s="8">
        <v>3.0</v>
      </c>
      <c r="C553" s="7" t="s">
        <v>172</v>
      </c>
      <c r="D553" s="5" t="s">
        <v>2739</v>
      </c>
      <c r="E553" s="5" t="s">
        <v>2740</v>
      </c>
      <c r="F553" s="7" t="s">
        <v>264</v>
      </c>
    </row>
    <row r="554">
      <c r="A554" s="5" t="s">
        <v>2597</v>
      </c>
      <c r="B554" s="8">
        <v>3.0</v>
      </c>
      <c r="C554" s="7" t="s">
        <v>172</v>
      </c>
      <c r="D554" s="5" t="s">
        <v>2739</v>
      </c>
      <c r="E554" s="5" t="s">
        <v>2740</v>
      </c>
      <c r="F554" s="7" t="s">
        <v>264</v>
      </c>
    </row>
    <row r="555">
      <c r="A555" s="7" t="s">
        <v>8</v>
      </c>
      <c r="B555" s="8">
        <v>3.0</v>
      </c>
      <c r="C555" s="7" t="s">
        <v>172</v>
      </c>
      <c r="D555" s="5" t="s">
        <v>2739</v>
      </c>
      <c r="E555" s="5" t="s">
        <v>2740</v>
      </c>
      <c r="F555" s="7" t="s">
        <v>265</v>
      </c>
    </row>
    <row r="556">
      <c r="A556" s="5" t="s">
        <v>2702</v>
      </c>
      <c r="B556" s="8">
        <v>3.0</v>
      </c>
      <c r="C556" s="7" t="s">
        <v>172</v>
      </c>
      <c r="D556" s="5" t="s">
        <v>2739</v>
      </c>
      <c r="E556" s="5" t="s">
        <v>2740</v>
      </c>
      <c r="F556" s="7" t="s">
        <v>175</v>
      </c>
    </row>
    <row r="557">
      <c r="A557" s="5" t="s">
        <v>2599</v>
      </c>
      <c r="B557" s="8">
        <v>3.0</v>
      </c>
      <c r="C557" s="7" t="s">
        <v>172</v>
      </c>
      <c r="D557" s="5" t="s">
        <v>2739</v>
      </c>
      <c r="E557" s="5" t="s">
        <v>2740</v>
      </c>
      <c r="F557" s="7" t="s">
        <v>175</v>
      </c>
    </row>
    <row r="558">
      <c r="A558" s="5" t="s">
        <v>2600</v>
      </c>
      <c r="B558" s="8">
        <v>3.0</v>
      </c>
      <c r="C558" s="7" t="s">
        <v>172</v>
      </c>
      <c r="D558" s="5" t="s">
        <v>2739</v>
      </c>
      <c r="E558" s="5" t="s">
        <v>2740</v>
      </c>
      <c r="F558" s="7" t="s">
        <v>175</v>
      </c>
    </row>
    <row r="559">
      <c r="A559" s="5" t="s">
        <v>2602</v>
      </c>
      <c r="B559" s="8">
        <v>3.0</v>
      </c>
      <c r="C559" s="7" t="s">
        <v>172</v>
      </c>
      <c r="D559" s="5" t="s">
        <v>2739</v>
      </c>
      <c r="E559" s="5" t="s">
        <v>2740</v>
      </c>
      <c r="F559" s="7" t="s">
        <v>175</v>
      </c>
    </row>
    <row r="560">
      <c r="A560" s="5" t="s">
        <v>2603</v>
      </c>
      <c r="B560" s="8">
        <v>3.0</v>
      </c>
      <c r="C560" s="7" t="s">
        <v>172</v>
      </c>
      <c r="D560" s="5" t="s">
        <v>2739</v>
      </c>
      <c r="E560" s="5" t="s">
        <v>2740</v>
      </c>
      <c r="F560" s="7" t="s">
        <v>175</v>
      </c>
    </row>
    <row r="561">
      <c r="A561" s="5" t="s">
        <v>2604</v>
      </c>
      <c r="B561" s="8">
        <v>3.0</v>
      </c>
      <c r="C561" s="7" t="s">
        <v>172</v>
      </c>
      <c r="D561" s="5" t="s">
        <v>2739</v>
      </c>
      <c r="E561" s="5" t="s">
        <v>2740</v>
      </c>
      <c r="F561" s="7" t="s">
        <v>47</v>
      </c>
    </row>
    <row r="562">
      <c r="A562" s="5" t="s">
        <v>2605</v>
      </c>
      <c r="B562" s="8">
        <v>3.0</v>
      </c>
      <c r="C562" s="7" t="s">
        <v>172</v>
      </c>
      <c r="D562" s="5" t="s">
        <v>2739</v>
      </c>
      <c r="E562" s="5" t="s">
        <v>2740</v>
      </c>
      <c r="F562" s="7" t="s">
        <v>264</v>
      </c>
    </row>
    <row r="563">
      <c r="A563" s="5" t="s">
        <v>2606</v>
      </c>
      <c r="B563" s="8">
        <v>3.0</v>
      </c>
      <c r="C563" s="7" t="s">
        <v>172</v>
      </c>
      <c r="D563" s="5" t="s">
        <v>2739</v>
      </c>
      <c r="E563" s="5" t="s">
        <v>2740</v>
      </c>
      <c r="F563" s="7" t="s">
        <v>47</v>
      </c>
    </row>
    <row r="564">
      <c r="A564" s="5" t="s">
        <v>2607</v>
      </c>
      <c r="B564" s="8">
        <v>3.0</v>
      </c>
      <c r="C564" s="7" t="s">
        <v>172</v>
      </c>
      <c r="D564" s="5" t="s">
        <v>2739</v>
      </c>
      <c r="E564" s="5" t="s">
        <v>2740</v>
      </c>
      <c r="F564" s="7" t="s">
        <v>266</v>
      </c>
    </row>
    <row r="565">
      <c r="A565" s="5" t="s">
        <v>2614</v>
      </c>
      <c r="B565" s="8">
        <v>3.0</v>
      </c>
      <c r="C565" s="7" t="s">
        <v>172</v>
      </c>
      <c r="D565" s="5" t="s">
        <v>2739</v>
      </c>
      <c r="E565" s="5" t="s">
        <v>2740</v>
      </c>
      <c r="F565" s="7" t="s">
        <v>175</v>
      </c>
    </row>
    <row r="566">
      <c r="A566" s="5" t="s">
        <v>2608</v>
      </c>
      <c r="B566" s="8">
        <v>3.0</v>
      </c>
      <c r="C566" s="7" t="s">
        <v>172</v>
      </c>
      <c r="D566" s="5" t="s">
        <v>2739</v>
      </c>
      <c r="E566" s="5" t="s">
        <v>2740</v>
      </c>
      <c r="F566" s="7" t="s">
        <v>175</v>
      </c>
    </row>
    <row r="567">
      <c r="A567" s="5" t="s">
        <v>2609</v>
      </c>
      <c r="B567" s="8">
        <v>3.0</v>
      </c>
      <c r="C567" s="7" t="s">
        <v>172</v>
      </c>
      <c r="D567" s="5" t="s">
        <v>2739</v>
      </c>
      <c r="E567" s="5" t="s">
        <v>2740</v>
      </c>
      <c r="F567" s="7" t="s">
        <v>175</v>
      </c>
    </row>
    <row r="568">
      <c r="A568" s="7" t="s">
        <v>188</v>
      </c>
      <c r="B568" s="8">
        <v>3.0</v>
      </c>
      <c r="C568" s="7" t="s">
        <v>267</v>
      </c>
      <c r="D568" s="7" t="s">
        <v>268</v>
      </c>
      <c r="E568" s="5" t="s">
        <v>269</v>
      </c>
      <c r="F568" s="5" t="s">
        <v>270</v>
      </c>
    </row>
    <row r="569">
      <c r="A569" s="5" t="s">
        <v>2592</v>
      </c>
      <c r="B569" s="8">
        <v>3.0</v>
      </c>
      <c r="C569" s="7" t="s">
        <v>267</v>
      </c>
      <c r="D569" s="7" t="s">
        <v>268</v>
      </c>
      <c r="E569" s="5" t="s">
        <v>269</v>
      </c>
      <c r="F569" s="5" t="s">
        <v>238</v>
      </c>
    </row>
    <row r="570">
      <c r="A570" s="5" t="s">
        <v>2594</v>
      </c>
      <c r="B570" s="8">
        <v>3.0</v>
      </c>
      <c r="C570" s="7" t="s">
        <v>267</v>
      </c>
      <c r="D570" s="7" t="s">
        <v>268</v>
      </c>
      <c r="E570" s="5" t="s">
        <v>269</v>
      </c>
      <c r="F570" s="5" t="s">
        <v>238</v>
      </c>
    </row>
    <row r="571">
      <c r="A571" s="5" t="s">
        <v>2595</v>
      </c>
      <c r="B571" s="8">
        <v>3.0</v>
      </c>
      <c r="C571" s="7" t="s">
        <v>267</v>
      </c>
      <c r="D571" s="7" t="s">
        <v>268</v>
      </c>
      <c r="E571" s="5" t="s">
        <v>269</v>
      </c>
      <c r="F571" s="5" t="s">
        <v>238</v>
      </c>
    </row>
    <row r="572">
      <c r="A572" s="5" t="s">
        <v>2597</v>
      </c>
      <c r="B572" s="8">
        <v>3.0</v>
      </c>
      <c r="C572" s="7" t="s">
        <v>267</v>
      </c>
      <c r="D572" s="7" t="s">
        <v>268</v>
      </c>
      <c r="E572" s="5" t="s">
        <v>269</v>
      </c>
      <c r="F572" s="5" t="s">
        <v>238</v>
      </c>
    </row>
    <row r="573">
      <c r="A573" s="7" t="s">
        <v>8</v>
      </c>
      <c r="B573" s="8">
        <v>3.0</v>
      </c>
      <c r="C573" s="7" t="s">
        <v>267</v>
      </c>
      <c r="D573" s="7" t="s">
        <v>268</v>
      </c>
      <c r="E573" s="5" t="s">
        <v>269</v>
      </c>
      <c r="F573" s="5" t="s">
        <v>238</v>
      </c>
    </row>
    <row r="574">
      <c r="A574" s="5" t="s">
        <v>2702</v>
      </c>
      <c r="B574" s="8">
        <v>3.0</v>
      </c>
      <c r="C574" s="7" t="s">
        <v>267</v>
      </c>
      <c r="D574" s="7" t="s">
        <v>268</v>
      </c>
      <c r="E574" s="5" t="s">
        <v>269</v>
      </c>
      <c r="F574" s="5" t="s">
        <v>271</v>
      </c>
    </row>
    <row r="575">
      <c r="A575" s="5" t="s">
        <v>2599</v>
      </c>
      <c r="B575" s="8">
        <v>3.0</v>
      </c>
      <c r="C575" s="7" t="s">
        <v>267</v>
      </c>
      <c r="D575" s="7" t="s">
        <v>268</v>
      </c>
      <c r="E575" s="5" t="s">
        <v>269</v>
      </c>
      <c r="F575" s="5" t="s">
        <v>238</v>
      </c>
    </row>
    <row r="576">
      <c r="A576" s="5" t="s">
        <v>2600</v>
      </c>
      <c r="B576" s="8">
        <v>3.0</v>
      </c>
      <c r="C576" s="7" t="s">
        <v>267</v>
      </c>
      <c r="D576" s="7" t="s">
        <v>268</v>
      </c>
      <c r="E576" s="5" t="s">
        <v>269</v>
      </c>
      <c r="F576" s="5" t="s">
        <v>270</v>
      </c>
    </row>
    <row r="577">
      <c r="A577" s="5" t="s">
        <v>2602</v>
      </c>
      <c r="B577" s="8">
        <v>3.0</v>
      </c>
      <c r="C577" s="7" t="s">
        <v>267</v>
      </c>
      <c r="D577" s="7" t="s">
        <v>268</v>
      </c>
      <c r="E577" s="5" t="s">
        <v>269</v>
      </c>
      <c r="F577" s="5" t="s">
        <v>238</v>
      </c>
    </row>
    <row r="578">
      <c r="A578" s="5" t="s">
        <v>2603</v>
      </c>
      <c r="B578" s="8">
        <v>3.0</v>
      </c>
      <c r="C578" s="7" t="s">
        <v>267</v>
      </c>
      <c r="D578" s="7" t="s">
        <v>268</v>
      </c>
      <c r="E578" s="5" t="s">
        <v>269</v>
      </c>
      <c r="F578" s="5" t="s">
        <v>2741</v>
      </c>
    </row>
    <row r="579">
      <c r="A579" s="5" t="s">
        <v>2604</v>
      </c>
      <c r="B579" s="8">
        <v>3.0</v>
      </c>
      <c r="C579" s="7" t="s">
        <v>267</v>
      </c>
      <c r="D579" s="7" t="s">
        <v>268</v>
      </c>
      <c r="E579" s="5" t="s">
        <v>269</v>
      </c>
      <c r="F579" s="5" t="s">
        <v>273</v>
      </c>
    </row>
    <row r="580">
      <c r="A580" s="5" t="s">
        <v>2605</v>
      </c>
      <c r="B580" s="8">
        <v>3.0</v>
      </c>
      <c r="C580" s="7" t="s">
        <v>267</v>
      </c>
      <c r="D580" s="7" t="s">
        <v>268</v>
      </c>
      <c r="E580" s="5" t="s">
        <v>269</v>
      </c>
      <c r="F580" s="5" t="s">
        <v>270</v>
      </c>
    </row>
    <row r="581">
      <c r="A581" s="5" t="s">
        <v>2606</v>
      </c>
      <c r="B581" s="8">
        <v>3.0</v>
      </c>
      <c r="C581" s="7" t="s">
        <v>267</v>
      </c>
      <c r="D581" s="7" t="s">
        <v>268</v>
      </c>
      <c r="E581" s="5" t="s">
        <v>269</v>
      </c>
      <c r="F581" s="5" t="s">
        <v>271</v>
      </c>
    </row>
    <row r="582">
      <c r="A582" s="5" t="s">
        <v>2607</v>
      </c>
      <c r="B582" s="8">
        <v>3.0</v>
      </c>
      <c r="C582" s="7" t="s">
        <v>267</v>
      </c>
      <c r="D582" s="7" t="s">
        <v>268</v>
      </c>
      <c r="E582" s="5" t="s">
        <v>269</v>
      </c>
      <c r="F582" s="5" t="s">
        <v>238</v>
      </c>
    </row>
    <row r="583">
      <c r="A583" s="5" t="s">
        <v>2614</v>
      </c>
      <c r="B583" s="8">
        <v>3.0</v>
      </c>
      <c r="C583" s="7" t="s">
        <v>267</v>
      </c>
      <c r="D583" s="7" t="s">
        <v>268</v>
      </c>
      <c r="E583" s="5" t="s">
        <v>269</v>
      </c>
      <c r="F583" s="5" t="s">
        <v>238</v>
      </c>
    </row>
    <row r="584">
      <c r="A584" s="5" t="s">
        <v>2608</v>
      </c>
      <c r="B584" s="8">
        <v>3.0</v>
      </c>
      <c r="C584" s="7" t="s">
        <v>267</v>
      </c>
      <c r="D584" s="7" t="s">
        <v>268</v>
      </c>
      <c r="E584" s="5" t="s">
        <v>269</v>
      </c>
      <c r="F584" s="5" t="s">
        <v>238</v>
      </c>
    </row>
    <row r="585">
      <c r="A585" s="5" t="s">
        <v>2609</v>
      </c>
      <c r="B585" s="8">
        <v>3.0</v>
      </c>
      <c r="C585" s="7" t="s">
        <v>267</v>
      </c>
      <c r="D585" s="7" t="s">
        <v>268</v>
      </c>
      <c r="E585" s="5" t="s">
        <v>269</v>
      </c>
      <c r="F585" s="5" t="s">
        <v>238</v>
      </c>
    </row>
    <row r="586">
      <c r="A586" s="7" t="s">
        <v>188</v>
      </c>
      <c r="B586" s="8">
        <v>3.0</v>
      </c>
      <c r="C586" s="7" t="s">
        <v>274</v>
      </c>
      <c r="D586" s="7" t="s">
        <v>275</v>
      </c>
      <c r="E586" s="5" t="s">
        <v>2742</v>
      </c>
      <c r="F586" s="5" t="s">
        <v>2398</v>
      </c>
    </row>
    <row r="587">
      <c r="A587" s="5" t="s">
        <v>2592</v>
      </c>
      <c r="B587" s="8">
        <v>3.0</v>
      </c>
      <c r="C587" s="7" t="s">
        <v>274</v>
      </c>
      <c r="D587" s="7" t="s">
        <v>275</v>
      </c>
      <c r="E587" s="5" t="s">
        <v>2742</v>
      </c>
      <c r="F587" s="5" t="s">
        <v>2743</v>
      </c>
    </row>
    <row r="588">
      <c r="A588" s="5" t="s">
        <v>2594</v>
      </c>
      <c r="B588" s="8">
        <v>3.0</v>
      </c>
      <c r="C588" s="7" t="s">
        <v>274</v>
      </c>
      <c r="D588" s="7" t="s">
        <v>275</v>
      </c>
      <c r="E588" s="5" t="s">
        <v>2742</v>
      </c>
      <c r="F588" s="5" t="s">
        <v>2398</v>
      </c>
    </row>
    <row r="589">
      <c r="A589" s="5" t="s">
        <v>2595</v>
      </c>
      <c r="B589" s="8">
        <v>3.0</v>
      </c>
      <c r="C589" s="7" t="s">
        <v>274</v>
      </c>
      <c r="D589" s="7" t="s">
        <v>275</v>
      </c>
      <c r="E589" s="5" t="s">
        <v>2742</v>
      </c>
      <c r="F589" s="5" t="s">
        <v>2744</v>
      </c>
    </row>
    <row r="590">
      <c r="A590" s="5" t="s">
        <v>2597</v>
      </c>
      <c r="B590" s="8">
        <v>3.0</v>
      </c>
      <c r="C590" s="7" t="s">
        <v>274</v>
      </c>
      <c r="D590" s="7" t="s">
        <v>275</v>
      </c>
      <c r="E590" s="5" t="s">
        <v>2742</v>
      </c>
      <c r="F590" s="5" t="s">
        <v>2743</v>
      </c>
    </row>
    <row r="591">
      <c r="A591" s="7" t="s">
        <v>8</v>
      </c>
      <c r="B591" s="8">
        <v>3.0</v>
      </c>
      <c r="C591" s="7" t="s">
        <v>274</v>
      </c>
      <c r="D591" s="7" t="s">
        <v>275</v>
      </c>
      <c r="E591" s="5" t="s">
        <v>2742</v>
      </c>
      <c r="F591" s="5" t="s">
        <v>2745</v>
      </c>
    </row>
    <row r="592">
      <c r="A592" s="5" t="s">
        <v>2702</v>
      </c>
      <c r="B592" s="8">
        <v>3.0</v>
      </c>
      <c r="C592" s="7" t="s">
        <v>274</v>
      </c>
      <c r="D592" s="7" t="s">
        <v>275</v>
      </c>
      <c r="E592" s="5" t="s">
        <v>2742</v>
      </c>
      <c r="F592" s="5" t="s">
        <v>2398</v>
      </c>
    </row>
    <row r="593">
      <c r="A593" s="5" t="s">
        <v>2599</v>
      </c>
      <c r="B593" s="8">
        <v>3.0</v>
      </c>
      <c r="C593" s="7" t="s">
        <v>274</v>
      </c>
      <c r="D593" s="7" t="s">
        <v>275</v>
      </c>
      <c r="E593" s="5" t="s">
        <v>2742</v>
      </c>
      <c r="F593" s="5" t="s">
        <v>2743</v>
      </c>
    </row>
    <row r="594">
      <c r="A594" s="5" t="s">
        <v>2600</v>
      </c>
      <c r="B594" s="8">
        <v>3.0</v>
      </c>
      <c r="C594" s="7" t="s">
        <v>274</v>
      </c>
      <c r="D594" s="7" t="s">
        <v>275</v>
      </c>
      <c r="E594" s="5" t="s">
        <v>2742</v>
      </c>
      <c r="F594" s="5" t="s">
        <v>2398</v>
      </c>
    </row>
    <row r="595">
      <c r="A595" s="5" t="s">
        <v>2602</v>
      </c>
      <c r="B595" s="8">
        <v>3.0</v>
      </c>
      <c r="C595" s="7" t="s">
        <v>274</v>
      </c>
      <c r="D595" s="7" t="s">
        <v>275</v>
      </c>
      <c r="E595" s="5" t="s">
        <v>2742</v>
      </c>
      <c r="F595" s="5" t="s">
        <v>2746</v>
      </c>
    </row>
    <row r="596">
      <c r="A596" s="5" t="s">
        <v>2603</v>
      </c>
      <c r="B596" s="8">
        <v>3.0</v>
      </c>
      <c r="C596" s="7" t="s">
        <v>274</v>
      </c>
      <c r="D596" s="7" t="s">
        <v>275</v>
      </c>
      <c r="E596" s="5" t="s">
        <v>2742</v>
      </c>
      <c r="F596" s="5" t="s">
        <v>2743</v>
      </c>
    </row>
    <row r="597">
      <c r="A597" s="5" t="s">
        <v>2604</v>
      </c>
      <c r="B597" s="8">
        <v>3.0</v>
      </c>
      <c r="C597" s="7" t="s">
        <v>274</v>
      </c>
      <c r="D597" s="7" t="s">
        <v>275</v>
      </c>
      <c r="E597" s="5" t="s">
        <v>2742</v>
      </c>
      <c r="F597" s="5" t="s">
        <v>2743</v>
      </c>
    </row>
    <row r="598">
      <c r="A598" s="5" t="s">
        <v>2605</v>
      </c>
      <c r="B598" s="8">
        <v>3.0</v>
      </c>
      <c r="C598" s="7" t="s">
        <v>274</v>
      </c>
      <c r="D598" s="7" t="s">
        <v>275</v>
      </c>
      <c r="E598" s="5" t="s">
        <v>2742</v>
      </c>
      <c r="F598" s="5" t="s">
        <v>2398</v>
      </c>
    </row>
    <row r="599">
      <c r="A599" s="5" t="s">
        <v>2606</v>
      </c>
      <c r="B599" s="8">
        <v>3.0</v>
      </c>
      <c r="C599" s="7" t="s">
        <v>274</v>
      </c>
      <c r="D599" s="7" t="s">
        <v>275</v>
      </c>
      <c r="E599" s="5" t="s">
        <v>2742</v>
      </c>
      <c r="F599" s="5" t="s">
        <v>2743</v>
      </c>
    </row>
    <row r="600">
      <c r="A600" s="5" t="s">
        <v>2607</v>
      </c>
      <c r="B600" s="8">
        <v>3.0</v>
      </c>
      <c r="C600" s="7" t="s">
        <v>274</v>
      </c>
      <c r="D600" s="7" t="s">
        <v>275</v>
      </c>
      <c r="E600" s="5" t="s">
        <v>2742</v>
      </c>
      <c r="F600" s="5" t="s">
        <v>2743</v>
      </c>
    </row>
    <row r="601">
      <c r="A601" s="5" t="s">
        <v>2614</v>
      </c>
      <c r="B601" s="8">
        <v>3.0</v>
      </c>
      <c r="C601" s="7" t="s">
        <v>274</v>
      </c>
      <c r="D601" s="7" t="s">
        <v>275</v>
      </c>
      <c r="E601" s="5" t="s">
        <v>2742</v>
      </c>
      <c r="F601" s="5" t="s">
        <v>2743</v>
      </c>
    </row>
    <row r="602">
      <c r="A602" s="5" t="s">
        <v>2608</v>
      </c>
      <c r="B602" s="8">
        <v>3.0</v>
      </c>
      <c r="C602" s="7" t="s">
        <v>274</v>
      </c>
      <c r="D602" s="7" t="s">
        <v>275</v>
      </c>
      <c r="E602" s="5" t="s">
        <v>2742</v>
      </c>
      <c r="F602" s="7" t="s">
        <v>283</v>
      </c>
    </row>
    <row r="603">
      <c r="A603" s="5" t="s">
        <v>2609</v>
      </c>
      <c r="B603" s="8">
        <v>3.0</v>
      </c>
      <c r="C603" s="7" t="s">
        <v>274</v>
      </c>
      <c r="D603" s="7" t="s">
        <v>275</v>
      </c>
      <c r="E603" s="5" t="s">
        <v>2742</v>
      </c>
      <c r="F603" s="5" t="s">
        <v>2743</v>
      </c>
    </row>
    <row r="604">
      <c r="A604" s="7" t="s">
        <v>188</v>
      </c>
      <c r="B604" s="8">
        <v>3.0</v>
      </c>
      <c r="C604" s="7" t="s">
        <v>284</v>
      </c>
      <c r="D604" s="7" t="s">
        <v>285</v>
      </c>
      <c r="E604" s="5" t="s">
        <v>2747</v>
      </c>
      <c r="F604" s="7" t="s">
        <v>287</v>
      </c>
    </row>
    <row r="605">
      <c r="A605" s="5" t="s">
        <v>2592</v>
      </c>
      <c r="B605" s="8">
        <v>3.0</v>
      </c>
      <c r="C605" s="7" t="s">
        <v>284</v>
      </c>
      <c r="D605" s="7" t="s">
        <v>285</v>
      </c>
      <c r="E605" s="5" t="s">
        <v>2747</v>
      </c>
      <c r="F605" s="5" t="s">
        <v>2748</v>
      </c>
    </row>
    <row r="606">
      <c r="A606" s="5" t="s">
        <v>2594</v>
      </c>
      <c r="B606" s="8">
        <v>3.0</v>
      </c>
      <c r="C606" s="7" t="s">
        <v>284</v>
      </c>
      <c r="D606" s="7" t="s">
        <v>285</v>
      </c>
      <c r="E606" s="5" t="s">
        <v>2747</v>
      </c>
      <c r="F606" s="5" t="s">
        <v>2748</v>
      </c>
    </row>
    <row r="607">
      <c r="A607" s="5" t="s">
        <v>2595</v>
      </c>
      <c r="B607" s="8">
        <v>3.0</v>
      </c>
      <c r="C607" s="7" t="s">
        <v>284</v>
      </c>
      <c r="D607" s="7" t="s">
        <v>285</v>
      </c>
      <c r="E607" s="5" t="s">
        <v>2747</v>
      </c>
      <c r="F607" s="5" t="s">
        <v>2748</v>
      </c>
    </row>
    <row r="608">
      <c r="A608" s="5" t="s">
        <v>2597</v>
      </c>
      <c r="B608" s="8">
        <v>3.0</v>
      </c>
      <c r="C608" s="7" t="s">
        <v>284</v>
      </c>
      <c r="D608" s="7" t="s">
        <v>285</v>
      </c>
      <c r="E608" s="5" t="s">
        <v>2747</v>
      </c>
      <c r="F608" s="5" t="s">
        <v>2748</v>
      </c>
    </row>
    <row r="609">
      <c r="A609" s="7" t="s">
        <v>8</v>
      </c>
      <c r="B609" s="8">
        <v>3.0</v>
      </c>
      <c r="C609" s="7" t="s">
        <v>284</v>
      </c>
      <c r="D609" s="7" t="s">
        <v>285</v>
      </c>
      <c r="E609" s="5" t="s">
        <v>2747</v>
      </c>
      <c r="F609" s="5" t="s">
        <v>2748</v>
      </c>
    </row>
    <row r="610">
      <c r="A610" s="5" t="s">
        <v>2702</v>
      </c>
      <c r="B610" s="8">
        <v>3.0</v>
      </c>
      <c r="C610" s="7" t="s">
        <v>284</v>
      </c>
      <c r="D610" s="7" t="s">
        <v>285</v>
      </c>
      <c r="E610" s="5" t="s">
        <v>2747</v>
      </c>
      <c r="F610" s="5" t="s">
        <v>2748</v>
      </c>
    </row>
    <row r="611">
      <c r="A611" s="5" t="s">
        <v>2599</v>
      </c>
      <c r="B611" s="8">
        <v>3.0</v>
      </c>
      <c r="C611" s="7" t="s">
        <v>284</v>
      </c>
      <c r="D611" s="7" t="s">
        <v>285</v>
      </c>
      <c r="E611" s="5" t="s">
        <v>2747</v>
      </c>
      <c r="F611" s="5" t="s">
        <v>2748</v>
      </c>
    </row>
    <row r="612">
      <c r="A612" s="5" t="s">
        <v>2600</v>
      </c>
      <c r="B612" s="8">
        <v>3.0</v>
      </c>
      <c r="C612" s="7" t="s">
        <v>284</v>
      </c>
      <c r="D612" s="7" t="s">
        <v>285</v>
      </c>
      <c r="E612" s="5" t="s">
        <v>2747</v>
      </c>
      <c r="F612" s="7" t="s">
        <v>287</v>
      </c>
    </row>
    <row r="613">
      <c r="A613" s="5" t="s">
        <v>2602</v>
      </c>
      <c r="B613" s="8">
        <v>3.0</v>
      </c>
      <c r="C613" s="7" t="s">
        <v>284</v>
      </c>
      <c r="D613" s="7" t="s">
        <v>285</v>
      </c>
      <c r="E613" s="5" t="s">
        <v>2747</v>
      </c>
      <c r="F613" s="5" t="s">
        <v>2748</v>
      </c>
    </row>
    <row r="614">
      <c r="A614" s="5" t="s">
        <v>2603</v>
      </c>
      <c r="B614" s="8">
        <v>3.0</v>
      </c>
      <c r="C614" s="7" t="s">
        <v>284</v>
      </c>
      <c r="D614" s="7" t="s">
        <v>285</v>
      </c>
      <c r="E614" s="5" t="s">
        <v>2747</v>
      </c>
      <c r="F614" s="5" t="s">
        <v>2748</v>
      </c>
    </row>
    <row r="615">
      <c r="A615" s="5" t="s">
        <v>2604</v>
      </c>
      <c r="B615" s="8">
        <v>3.0</v>
      </c>
      <c r="C615" s="7" t="s">
        <v>284</v>
      </c>
      <c r="D615" s="7" t="s">
        <v>285</v>
      </c>
      <c r="E615" s="5" t="s">
        <v>2747</v>
      </c>
      <c r="F615" s="5" t="s">
        <v>2748</v>
      </c>
    </row>
    <row r="616">
      <c r="A616" s="5" t="s">
        <v>2605</v>
      </c>
      <c r="B616" s="8">
        <v>3.0</v>
      </c>
      <c r="C616" s="7" t="s">
        <v>284</v>
      </c>
      <c r="D616" s="7" t="s">
        <v>285</v>
      </c>
      <c r="E616" s="5" t="s">
        <v>2747</v>
      </c>
      <c r="F616" s="7" t="s">
        <v>287</v>
      </c>
    </row>
    <row r="617">
      <c r="A617" s="5" t="s">
        <v>2606</v>
      </c>
      <c r="B617" s="8">
        <v>3.0</v>
      </c>
      <c r="C617" s="7" t="s">
        <v>284</v>
      </c>
      <c r="D617" s="7" t="s">
        <v>285</v>
      </c>
      <c r="E617" s="5" t="s">
        <v>2747</v>
      </c>
      <c r="F617" s="5" t="s">
        <v>2748</v>
      </c>
    </row>
    <row r="618">
      <c r="A618" s="5" t="s">
        <v>2607</v>
      </c>
      <c r="B618" s="8">
        <v>3.0</v>
      </c>
      <c r="C618" s="7" t="s">
        <v>284</v>
      </c>
      <c r="D618" s="7" t="s">
        <v>285</v>
      </c>
      <c r="E618" s="5" t="s">
        <v>2747</v>
      </c>
      <c r="F618" s="5" t="s">
        <v>2748</v>
      </c>
    </row>
    <row r="619">
      <c r="A619" s="5" t="s">
        <v>2614</v>
      </c>
      <c r="B619" s="8">
        <v>3.0</v>
      </c>
      <c r="C619" s="7" t="s">
        <v>284</v>
      </c>
      <c r="D619" s="7" t="s">
        <v>285</v>
      </c>
      <c r="E619" s="5" t="s">
        <v>2747</v>
      </c>
      <c r="F619" s="5" t="s">
        <v>2749</v>
      </c>
    </row>
    <row r="620">
      <c r="A620" s="5" t="s">
        <v>2608</v>
      </c>
      <c r="B620" s="8">
        <v>3.0</v>
      </c>
      <c r="C620" s="7" t="s">
        <v>284</v>
      </c>
      <c r="D620" s="7" t="s">
        <v>285</v>
      </c>
      <c r="E620" s="5" t="s">
        <v>2747</v>
      </c>
      <c r="F620" s="5" t="s">
        <v>2748</v>
      </c>
    </row>
    <row r="621">
      <c r="A621" s="5" t="s">
        <v>2609</v>
      </c>
      <c r="B621" s="8">
        <v>3.0</v>
      </c>
      <c r="C621" s="7" t="s">
        <v>284</v>
      </c>
      <c r="D621" s="7" t="s">
        <v>285</v>
      </c>
      <c r="E621" s="5" t="s">
        <v>2747</v>
      </c>
      <c r="F621" s="5" t="s">
        <v>2748</v>
      </c>
    </row>
    <row r="622">
      <c r="A622" s="7" t="s">
        <v>188</v>
      </c>
      <c r="B622" s="8">
        <v>3.0</v>
      </c>
      <c r="C622" s="7" t="s">
        <v>290</v>
      </c>
      <c r="D622" s="7" t="s">
        <v>291</v>
      </c>
      <c r="E622" s="5" t="s">
        <v>2750</v>
      </c>
      <c r="F622" s="5" t="s">
        <v>2751</v>
      </c>
    </row>
    <row r="623">
      <c r="A623" s="5" t="s">
        <v>2592</v>
      </c>
      <c r="B623" s="8">
        <v>3.0</v>
      </c>
      <c r="C623" s="7" t="s">
        <v>290</v>
      </c>
      <c r="D623" s="7" t="s">
        <v>291</v>
      </c>
      <c r="E623" s="5" t="s">
        <v>2750</v>
      </c>
      <c r="F623" s="5" t="s">
        <v>2751</v>
      </c>
    </row>
    <row r="624">
      <c r="A624" s="5" t="s">
        <v>2594</v>
      </c>
      <c r="B624" s="8">
        <v>3.0</v>
      </c>
      <c r="C624" s="7" t="s">
        <v>290</v>
      </c>
      <c r="D624" s="7" t="s">
        <v>291</v>
      </c>
      <c r="E624" s="5" t="s">
        <v>2750</v>
      </c>
      <c r="F624" s="5" t="s">
        <v>2751</v>
      </c>
    </row>
    <row r="625">
      <c r="A625" s="5" t="s">
        <v>2595</v>
      </c>
      <c r="B625" s="8">
        <v>3.0</v>
      </c>
      <c r="C625" s="7" t="s">
        <v>290</v>
      </c>
      <c r="D625" s="7" t="s">
        <v>291</v>
      </c>
      <c r="E625" s="5" t="s">
        <v>2750</v>
      </c>
      <c r="F625" s="5" t="s">
        <v>2751</v>
      </c>
    </row>
    <row r="626">
      <c r="A626" s="5" t="s">
        <v>2597</v>
      </c>
      <c r="B626" s="8">
        <v>3.0</v>
      </c>
      <c r="C626" s="7" t="s">
        <v>290</v>
      </c>
      <c r="D626" s="7" t="s">
        <v>291</v>
      </c>
      <c r="E626" s="5" t="s">
        <v>2750</v>
      </c>
      <c r="F626" s="5" t="s">
        <v>2751</v>
      </c>
    </row>
    <row r="627">
      <c r="A627" s="7" t="s">
        <v>8</v>
      </c>
      <c r="B627" s="8">
        <v>3.0</v>
      </c>
      <c r="C627" s="7" t="s">
        <v>290</v>
      </c>
      <c r="D627" s="7" t="s">
        <v>291</v>
      </c>
      <c r="E627" s="5" t="s">
        <v>2750</v>
      </c>
      <c r="F627" s="5" t="s">
        <v>2751</v>
      </c>
    </row>
    <row r="628">
      <c r="A628" s="5" t="s">
        <v>2702</v>
      </c>
      <c r="B628" s="8">
        <v>3.0</v>
      </c>
      <c r="C628" s="7" t="s">
        <v>290</v>
      </c>
      <c r="D628" s="7" t="s">
        <v>291</v>
      </c>
      <c r="E628" s="5" t="s">
        <v>2750</v>
      </c>
      <c r="F628" s="5" t="s">
        <v>2752</v>
      </c>
    </row>
    <row r="629">
      <c r="A629" s="5" t="s">
        <v>2599</v>
      </c>
      <c r="B629" s="8">
        <v>3.0</v>
      </c>
      <c r="C629" s="7" t="s">
        <v>290</v>
      </c>
      <c r="D629" s="7" t="s">
        <v>291</v>
      </c>
      <c r="E629" s="5" t="s">
        <v>2750</v>
      </c>
      <c r="F629" s="5" t="s">
        <v>2751</v>
      </c>
    </row>
    <row r="630">
      <c r="A630" s="5" t="s">
        <v>2600</v>
      </c>
      <c r="B630" s="8">
        <v>3.0</v>
      </c>
      <c r="C630" s="7" t="s">
        <v>290</v>
      </c>
      <c r="D630" s="7" t="s">
        <v>291</v>
      </c>
      <c r="E630" s="5" t="s">
        <v>2750</v>
      </c>
      <c r="F630" s="5" t="s">
        <v>2751</v>
      </c>
    </row>
    <row r="631">
      <c r="A631" s="5" t="s">
        <v>2602</v>
      </c>
      <c r="B631" s="8">
        <v>3.0</v>
      </c>
      <c r="C631" s="7" t="s">
        <v>290</v>
      </c>
      <c r="D631" s="7" t="s">
        <v>291</v>
      </c>
      <c r="E631" s="5" t="s">
        <v>2750</v>
      </c>
      <c r="F631" s="5" t="s">
        <v>2751</v>
      </c>
    </row>
    <row r="632">
      <c r="A632" s="5" t="s">
        <v>2603</v>
      </c>
      <c r="B632" s="8">
        <v>3.0</v>
      </c>
      <c r="C632" s="7" t="s">
        <v>290</v>
      </c>
      <c r="D632" s="7" t="s">
        <v>291</v>
      </c>
      <c r="E632" s="5" t="s">
        <v>2750</v>
      </c>
      <c r="F632" s="5" t="s">
        <v>2751</v>
      </c>
    </row>
    <row r="633">
      <c r="A633" s="5" t="s">
        <v>2604</v>
      </c>
      <c r="B633" s="8">
        <v>3.0</v>
      </c>
      <c r="C633" s="7" t="s">
        <v>290</v>
      </c>
      <c r="D633" s="7" t="s">
        <v>291</v>
      </c>
      <c r="E633" s="5" t="s">
        <v>2750</v>
      </c>
      <c r="F633" s="5" t="s">
        <v>2751</v>
      </c>
    </row>
    <row r="634">
      <c r="A634" s="5" t="s">
        <v>2605</v>
      </c>
      <c r="B634" s="8">
        <v>3.0</v>
      </c>
      <c r="C634" s="7" t="s">
        <v>290</v>
      </c>
      <c r="D634" s="7" t="s">
        <v>291</v>
      </c>
      <c r="E634" s="5" t="s">
        <v>2750</v>
      </c>
      <c r="F634" s="5" t="s">
        <v>2751</v>
      </c>
    </row>
    <row r="635">
      <c r="A635" s="5" t="s">
        <v>2606</v>
      </c>
      <c r="B635" s="8">
        <v>3.0</v>
      </c>
      <c r="C635" s="7" t="s">
        <v>290</v>
      </c>
      <c r="D635" s="7" t="s">
        <v>291</v>
      </c>
      <c r="E635" s="5" t="s">
        <v>2750</v>
      </c>
      <c r="F635" s="5" t="s">
        <v>2751</v>
      </c>
    </row>
    <row r="636">
      <c r="A636" s="5" t="s">
        <v>2607</v>
      </c>
      <c r="B636" s="8">
        <v>3.0</v>
      </c>
      <c r="C636" s="7" t="s">
        <v>290</v>
      </c>
      <c r="D636" s="7" t="s">
        <v>291</v>
      </c>
      <c r="E636" s="5" t="s">
        <v>2750</v>
      </c>
      <c r="F636" s="5" t="s">
        <v>2751</v>
      </c>
    </row>
    <row r="637">
      <c r="A637" s="5" t="s">
        <v>2614</v>
      </c>
      <c r="B637" s="8">
        <v>3.0</v>
      </c>
      <c r="C637" s="7" t="s">
        <v>290</v>
      </c>
      <c r="D637" s="7" t="s">
        <v>291</v>
      </c>
      <c r="E637" s="5" t="s">
        <v>2750</v>
      </c>
      <c r="F637" s="5" t="s">
        <v>2751</v>
      </c>
    </row>
    <row r="638">
      <c r="A638" s="5" t="s">
        <v>2608</v>
      </c>
      <c r="B638" s="8">
        <v>3.0</v>
      </c>
      <c r="C638" s="7" t="s">
        <v>290</v>
      </c>
      <c r="D638" s="7" t="s">
        <v>291</v>
      </c>
      <c r="E638" s="5" t="s">
        <v>2750</v>
      </c>
      <c r="F638" s="5" t="s">
        <v>2751</v>
      </c>
    </row>
    <row r="639">
      <c r="A639" s="5" t="s">
        <v>2609</v>
      </c>
      <c r="B639" s="8">
        <v>3.0</v>
      </c>
      <c r="C639" s="7" t="s">
        <v>290</v>
      </c>
      <c r="D639" s="7" t="s">
        <v>291</v>
      </c>
      <c r="E639" s="5" t="s">
        <v>2750</v>
      </c>
      <c r="F639" s="5" t="s">
        <v>2751</v>
      </c>
    </row>
    <row r="640">
      <c r="A640" s="7" t="s">
        <v>188</v>
      </c>
      <c r="B640" s="8">
        <v>3.0</v>
      </c>
      <c r="C640" s="4" t="s">
        <v>295</v>
      </c>
      <c r="D640" s="7" t="s">
        <v>296</v>
      </c>
      <c r="E640" s="7" t="s">
        <v>297</v>
      </c>
      <c r="F640" s="7" t="s">
        <v>379</v>
      </c>
    </row>
    <row r="641">
      <c r="A641" s="5" t="s">
        <v>2592</v>
      </c>
      <c r="B641" s="8">
        <v>3.0</v>
      </c>
      <c r="C641" s="4" t="s">
        <v>295</v>
      </c>
      <c r="D641" s="7" t="s">
        <v>296</v>
      </c>
      <c r="E641" s="7" t="s">
        <v>297</v>
      </c>
      <c r="F641" s="7" t="s">
        <v>380</v>
      </c>
    </row>
    <row r="642">
      <c r="A642" s="5" t="s">
        <v>2594</v>
      </c>
      <c r="B642" s="8">
        <v>3.0</v>
      </c>
      <c r="C642" s="4" t="s">
        <v>295</v>
      </c>
      <c r="D642" s="7" t="s">
        <v>296</v>
      </c>
      <c r="E642" s="7" t="s">
        <v>297</v>
      </c>
      <c r="F642" s="7" t="s">
        <v>381</v>
      </c>
    </row>
    <row r="643">
      <c r="A643" s="5" t="s">
        <v>2595</v>
      </c>
      <c r="B643" s="8">
        <v>3.0</v>
      </c>
      <c r="C643" s="4" t="s">
        <v>295</v>
      </c>
      <c r="D643" s="7" t="s">
        <v>296</v>
      </c>
      <c r="E643" s="7" t="s">
        <v>297</v>
      </c>
      <c r="F643" s="7" t="s">
        <v>380</v>
      </c>
    </row>
    <row r="644">
      <c r="A644" s="5" t="s">
        <v>2597</v>
      </c>
      <c r="B644" s="8">
        <v>3.0</v>
      </c>
      <c r="C644" s="4" t="s">
        <v>295</v>
      </c>
      <c r="D644" s="7" t="s">
        <v>296</v>
      </c>
      <c r="E644" s="7" t="s">
        <v>297</v>
      </c>
      <c r="F644" s="7" t="s">
        <v>382</v>
      </c>
    </row>
    <row r="645">
      <c r="A645" s="7" t="s">
        <v>8</v>
      </c>
      <c r="B645" s="8">
        <v>3.0</v>
      </c>
      <c r="C645" s="4" t="s">
        <v>295</v>
      </c>
      <c r="D645" s="7" t="s">
        <v>296</v>
      </c>
      <c r="E645" s="7" t="s">
        <v>297</v>
      </c>
      <c r="F645" s="7" t="s">
        <v>382</v>
      </c>
    </row>
    <row r="646">
      <c r="A646" s="5" t="s">
        <v>2702</v>
      </c>
      <c r="B646" s="8">
        <v>3.0</v>
      </c>
      <c r="C646" s="4" t="s">
        <v>295</v>
      </c>
      <c r="D646" s="7" t="s">
        <v>296</v>
      </c>
      <c r="E646" s="7" t="s">
        <v>297</v>
      </c>
      <c r="F646" s="7" t="s">
        <v>382</v>
      </c>
    </row>
    <row r="647">
      <c r="A647" s="5" t="s">
        <v>2599</v>
      </c>
      <c r="B647" s="8">
        <v>3.0</v>
      </c>
      <c r="C647" s="4" t="s">
        <v>295</v>
      </c>
      <c r="D647" s="7" t="s">
        <v>296</v>
      </c>
      <c r="E647" s="7" t="s">
        <v>297</v>
      </c>
      <c r="F647" s="7" t="s">
        <v>380</v>
      </c>
    </row>
    <row r="648">
      <c r="A648" s="5" t="s">
        <v>2600</v>
      </c>
      <c r="B648" s="8">
        <v>3.0</v>
      </c>
      <c r="C648" s="4" t="s">
        <v>295</v>
      </c>
      <c r="D648" s="7" t="s">
        <v>296</v>
      </c>
      <c r="E648" s="7" t="s">
        <v>297</v>
      </c>
      <c r="F648" s="7" t="s">
        <v>382</v>
      </c>
    </row>
    <row r="649">
      <c r="A649" s="5" t="s">
        <v>2602</v>
      </c>
      <c r="B649" s="8">
        <v>3.0</v>
      </c>
      <c r="C649" s="4" t="s">
        <v>295</v>
      </c>
      <c r="D649" s="7" t="s">
        <v>296</v>
      </c>
      <c r="E649" s="7" t="s">
        <v>297</v>
      </c>
      <c r="F649" s="7" t="s">
        <v>380</v>
      </c>
    </row>
    <row r="650">
      <c r="A650" s="5" t="s">
        <v>2603</v>
      </c>
      <c r="B650" s="8">
        <v>3.0</v>
      </c>
      <c r="C650" s="4" t="s">
        <v>295</v>
      </c>
      <c r="D650" s="7" t="s">
        <v>296</v>
      </c>
      <c r="E650" s="7" t="s">
        <v>297</v>
      </c>
      <c r="F650" s="7" t="s">
        <v>380</v>
      </c>
    </row>
    <row r="651">
      <c r="A651" s="5" t="s">
        <v>2604</v>
      </c>
      <c r="B651" s="8">
        <v>3.0</v>
      </c>
      <c r="C651" s="4" t="s">
        <v>295</v>
      </c>
      <c r="D651" s="7" t="s">
        <v>296</v>
      </c>
      <c r="E651" s="7" t="s">
        <v>297</v>
      </c>
      <c r="F651" s="7" t="s">
        <v>379</v>
      </c>
    </row>
    <row r="652">
      <c r="A652" s="5" t="s">
        <v>2605</v>
      </c>
      <c r="B652" s="8">
        <v>3.0</v>
      </c>
      <c r="C652" s="4" t="s">
        <v>295</v>
      </c>
      <c r="D652" s="7" t="s">
        <v>296</v>
      </c>
      <c r="E652" s="7" t="s">
        <v>297</v>
      </c>
      <c r="F652" s="7" t="s">
        <v>382</v>
      </c>
    </row>
    <row r="653">
      <c r="A653" s="5" t="s">
        <v>2606</v>
      </c>
      <c r="B653" s="8">
        <v>3.0</v>
      </c>
      <c r="C653" s="4" t="s">
        <v>295</v>
      </c>
      <c r="D653" s="7" t="s">
        <v>296</v>
      </c>
      <c r="E653" s="7" t="s">
        <v>297</v>
      </c>
      <c r="F653" s="7" t="s">
        <v>380</v>
      </c>
    </row>
    <row r="654">
      <c r="A654" s="5" t="s">
        <v>2607</v>
      </c>
      <c r="B654" s="8">
        <v>3.0</v>
      </c>
      <c r="C654" s="4" t="s">
        <v>295</v>
      </c>
      <c r="D654" s="7" t="s">
        <v>296</v>
      </c>
      <c r="E654" s="7" t="s">
        <v>297</v>
      </c>
      <c r="F654" s="7" t="s">
        <v>383</v>
      </c>
    </row>
    <row r="655">
      <c r="A655" s="5" t="s">
        <v>2614</v>
      </c>
      <c r="B655" s="8">
        <v>3.0</v>
      </c>
      <c r="C655" s="4" t="s">
        <v>295</v>
      </c>
      <c r="D655" s="7" t="s">
        <v>296</v>
      </c>
      <c r="E655" s="7" t="s">
        <v>297</v>
      </c>
      <c r="F655" s="7" t="s">
        <v>382</v>
      </c>
    </row>
    <row r="656">
      <c r="A656" s="5" t="s">
        <v>2608</v>
      </c>
      <c r="B656" s="8">
        <v>3.0</v>
      </c>
      <c r="C656" s="4" t="s">
        <v>295</v>
      </c>
      <c r="D656" s="7" t="s">
        <v>296</v>
      </c>
      <c r="E656" s="7" t="s">
        <v>297</v>
      </c>
      <c r="F656" s="7" t="s">
        <v>381</v>
      </c>
    </row>
    <row r="657">
      <c r="A657" s="5" t="s">
        <v>2609</v>
      </c>
      <c r="B657" s="8">
        <v>3.0</v>
      </c>
      <c r="C657" s="4" t="s">
        <v>295</v>
      </c>
      <c r="D657" s="7" t="s">
        <v>296</v>
      </c>
      <c r="E657" s="7" t="s">
        <v>297</v>
      </c>
      <c r="F657" s="7" t="s">
        <v>385</v>
      </c>
    </row>
    <row r="658">
      <c r="A658" s="7" t="s">
        <v>188</v>
      </c>
      <c r="B658" s="8">
        <v>3.0</v>
      </c>
      <c r="C658" s="7" t="s">
        <v>298</v>
      </c>
      <c r="D658" s="7" t="s">
        <v>299</v>
      </c>
      <c r="E658" s="5" t="s">
        <v>2753</v>
      </c>
      <c r="F658" s="5" t="s">
        <v>519</v>
      </c>
    </row>
    <row r="659">
      <c r="A659" s="5" t="s">
        <v>2592</v>
      </c>
      <c r="B659" s="8">
        <v>3.0</v>
      </c>
      <c r="C659" s="7" t="s">
        <v>298</v>
      </c>
      <c r="D659" s="7" t="s">
        <v>299</v>
      </c>
      <c r="E659" s="5" t="s">
        <v>2753</v>
      </c>
      <c r="F659" s="5" t="s">
        <v>240</v>
      </c>
    </row>
    <row r="660">
      <c r="A660" s="5" t="s">
        <v>2594</v>
      </c>
      <c r="B660" s="8">
        <v>3.0</v>
      </c>
      <c r="C660" s="7" t="s">
        <v>298</v>
      </c>
      <c r="D660" s="7" t="s">
        <v>299</v>
      </c>
      <c r="E660" s="5" t="s">
        <v>2753</v>
      </c>
      <c r="F660" s="5" t="s">
        <v>240</v>
      </c>
    </row>
    <row r="661">
      <c r="A661" s="5" t="s">
        <v>2595</v>
      </c>
      <c r="B661" s="8">
        <v>3.0</v>
      </c>
      <c r="C661" s="7" t="s">
        <v>298</v>
      </c>
      <c r="D661" s="7" t="s">
        <v>299</v>
      </c>
      <c r="E661" s="5" t="s">
        <v>2753</v>
      </c>
      <c r="F661" s="5" t="s">
        <v>240</v>
      </c>
    </row>
    <row r="662">
      <c r="A662" s="5" t="s">
        <v>2597</v>
      </c>
      <c r="B662" s="8">
        <v>3.0</v>
      </c>
      <c r="C662" s="7" t="s">
        <v>298</v>
      </c>
      <c r="D662" s="7" t="s">
        <v>299</v>
      </c>
      <c r="E662" s="5" t="s">
        <v>2753</v>
      </c>
      <c r="F662" s="5" t="s">
        <v>240</v>
      </c>
    </row>
    <row r="663">
      <c r="A663" s="7" t="s">
        <v>8</v>
      </c>
      <c r="B663" s="8">
        <v>3.0</v>
      </c>
      <c r="C663" s="7" t="s">
        <v>298</v>
      </c>
      <c r="D663" s="7" t="s">
        <v>299</v>
      </c>
      <c r="E663" s="5" t="s">
        <v>2753</v>
      </c>
      <c r="F663" s="5" t="s">
        <v>240</v>
      </c>
    </row>
    <row r="664">
      <c r="A664" s="5" t="s">
        <v>2702</v>
      </c>
      <c r="B664" s="8">
        <v>3.0</v>
      </c>
      <c r="C664" s="7" t="s">
        <v>298</v>
      </c>
      <c r="D664" s="7" t="s">
        <v>299</v>
      </c>
      <c r="E664" s="5" t="s">
        <v>2753</v>
      </c>
      <c r="F664" s="5" t="s">
        <v>2618</v>
      </c>
    </row>
    <row r="665">
      <c r="A665" s="5" t="s">
        <v>2599</v>
      </c>
      <c r="B665" s="8">
        <v>3.0</v>
      </c>
      <c r="C665" s="7" t="s">
        <v>298</v>
      </c>
      <c r="D665" s="7" t="s">
        <v>299</v>
      </c>
      <c r="E665" s="5" t="s">
        <v>2753</v>
      </c>
      <c r="F665" s="5" t="s">
        <v>240</v>
      </c>
    </row>
    <row r="666">
      <c r="A666" s="5" t="s">
        <v>2600</v>
      </c>
      <c r="B666" s="8">
        <v>3.0</v>
      </c>
      <c r="C666" s="7" t="s">
        <v>298</v>
      </c>
      <c r="D666" s="7" t="s">
        <v>299</v>
      </c>
      <c r="E666" s="5" t="s">
        <v>2753</v>
      </c>
      <c r="F666" s="5" t="s">
        <v>519</v>
      </c>
    </row>
    <row r="667">
      <c r="A667" s="5" t="s">
        <v>2602</v>
      </c>
      <c r="B667" s="8">
        <v>3.0</v>
      </c>
      <c r="C667" s="7" t="s">
        <v>298</v>
      </c>
      <c r="D667" s="7" t="s">
        <v>299</v>
      </c>
      <c r="E667" s="5" t="s">
        <v>2753</v>
      </c>
      <c r="F667" s="5" t="s">
        <v>240</v>
      </c>
    </row>
    <row r="668">
      <c r="A668" s="5" t="s">
        <v>2603</v>
      </c>
      <c r="B668" s="8">
        <v>3.0</v>
      </c>
      <c r="C668" s="7" t="s">
        <v>298</v>
      </c>
      <c r="D668" s="7" t="s">
        <v>299</v>
      </c>
      <c r="E668" s="5" t="s">
        <v>2753</v>
      </c>
      <c r="F668" s="5" t="s">
        <v>2754</v>
      </c>
    </row>
    <row r="669">
      <c r="A669" s="5" t="s">
        <v>2604</v>
      </c>
      <c r="B669" s="8">
        <v>3.0</v>
      </c>
      <c r="C669" s="7" t="s">
        <v>298</v>
      </c>
      <c r="D669" s="7" t="s">
        <v>299</v>
      </c>
      <c r="E669" s="5" t="s">
        <v>2753</v>
      </c>
      <c r="F669" s="5" t="s">
        <v>304</v>
      </c>
    </row>
    <row r="670">
      <c r="A670" s="5" t="s">
        <v>2605</v>
      </c>
      <c r="B670" s="8">
        <v>3.0</v>
      </c>
      <c r="C670" s="7" t="s">
        <v>298</v>
      </c>
      <c r="D670" s="7" t="s">
        <v>299</v>
      </c>
      <c r="E670" s="5" t="s">
        <v>2753</v>
      </c>
      <c r="F670" s="5" t="s">
        <v>305</v>
      </c>
    </row>
    <row r="671">
      <c r="A671" s="5" t="s">
        <v>2606</v>
      </c>
      <c r="B671" s="8">
        <v>3.0</v>
      </c>
      <c r="C671" s="7" t="s">
        <v>298</v>
      </c>
      <c r="D671" s="7" t="s">
        <v>299</v>
      </c>
      <c r="E671" s="5" t="s">
        <v>2753</v>
      </c>
      <c r="F671" s="5" t="s">
        <v>519</v>
      </c>
    </row>
    <row r="672">
      <c r="A672" s="5" t="s">
        <v>2607</v>
      </c>
      <c r="B672" s="8">
        <v>3.0</v>
      </c>
      <c r="C672" s="7" t="s">
        <v>298</v>
      </c>
      <c r="D672" s="7" t="s">
        <v>299</v>
      </c>
      <c r="E672" s="5" t="s">
        <v>2753</v>
      </c>
      <c r="F672" s="5" t="s">
        <v>240</v>
      </c>
    </row>
    <row r="673">
      <c r="A673" s="5" t="s">
        <v>2614</v>
      </c>
      <c r="B673" s="8">
        <v>3.0</v>
      </c>
      <c r="C673" s="7" t="s">
        <v>298</v>
      </c>
      <c r="D673" s="7" t="s">
        <v>299</v>
      </c>
      <c r="E673" s="5" t="s">
        <v>2753</v>
      </c>
      <c r="F673" s="5" t="s">
        <v>240</v>
      </c>
    </row>
    <row r="674">
      <c r="A674" s="5" t="s">
        <v>2608</v>
      </c>
      <c r="B674" s="8">
        <v>3.0</v>
      </c>
      <c r="C674" s="7" t="s">
        <v>298</v>
      </c>
      <c r="D674" s="7" t="s">
        <v>299</v>
      </c>
      <c r="E674" s="5" t="s">
        <v>2753</v>
      </c>
      <c r="F674" s="5" t="s">
        <v>240</v>
      </c>
    </row>
    <row r="675">
      <c r="A675" s="5" t="s">
        <v>2609</v>
      </c>
      <c r="B675" s="8">
        <v>3.0</v>
      </c>
      <c r="C675" s="7" t="s">
        <v>298</v>
      </c>
      <c r="D675" s="7" t="s">
        <v>299</v>
      </c>
      <c r="E675" s="5" t="s">
        <v>2753</v>
      </c>
      <c r="F675" s="5" t="s">
        <v>240</v>
      </c>
    </row>
    <row r="676">
      <c r="A676" s="7" t="s">
        <v>188</v>
      </c>
      <c r="B676" s="8">
        <v>3.0</v>
      </c>
      <c r="C676" s="7" t="s">
        <v>306</v>
      </c>
      <c r="D676" s="7" t="s">
        <v>307</v>
      </c>
      <c r="E676" s="5" t="s">
        <v>2755</v>
      </c>
      <c r="F676" s="5" t="s">
        <v>270</v>
      </c>
    </row>
    <row r="677">
      <c r="A677" s="5" t="s">
        <v>2592</v>
      </c>
      <c r="B677" s="8">
        <v>3.0</v>
      </c>
      <c r="C677" s="7" t="s">
        <v>306</v>
      </c>
      <c r="D677" s="7" t="s">
        <v>307</v>
      </c>
      <c r="E677" s="5" t="s">
        <v>2755</v>
      </c>
      <c r="F677" s="5" t="s">
        <v>240</v>
      </c>
    </row>
    <row r="678">
      <c r="A678" s="5" t="s">
        <v>2594</v>
      </c>
      <c r="B678" s="8">
        <v>3.0</v>
      </c>
      <c r="C678" s="7" t="s">
        <v>306</v>
      </c>
      <c r="D678" s="7" t="s">
        <v>307</v>
      </c>
      <c r="E678" s="5" t="s">
        <v>2755</v>
      </c>
      <c r="F678" s="5" t="s">
        <v>240</v>
      </c>
    </row>
    <row r="679">
      <c r="A679" s="5" t="s">
        <v>2595</v>
      </c>
      <c r="B679" s="8">
        <v>3.0</v>
      </c>
      <c r="C679" s="7" t="s">
        <v>306</v>
      </c>
      <c r="D679" s="7" t="s">
        <v>307</v>
      </c>
      <c r="E679" s="5" t="s">
        <v>2755</v>
      </c>
      <c r="F679" s="5" t="s">
        <v>240</v>
      </c>
    </row>
    <row r="680">
      <c r="A680" s="5" t="s">
        <v>2597</v>
      </c>
      <c r="B680" s="8">
        <v>3.0</v>
      </c>
      <c r="C680" s="7" t="s">
        <v>306</v>
      </c>
      <c r="D680" s="7" t="s">
        <v>307</v>
      </c>
      <c r="E680" s="5" t="s">
        <v>2755</v>
      </c>
      <c r="F680" s="5" t="s">
        <v>240</v>
      </c>
    </row>
    <row r="681">
      <c r="A681" s="7" t="s">
        <v>8</v>
      </c>
      <c r="B681" s="8">
        <v>3.0</v>
      </c>
      <c r="C681" s="7" t="s">
        <v>306</v>
      </c>
      <c r="D681" s="7" t="s">
        <v>307</v>
      </c>
      <c r="E681" s="5" t="s">
        <v>2755</v>
      </c>
      <c r="F681" s="5" t="s">
        <v>240</v>
      </c>
    </row>
    <row r="682">
      <c r="A682" s="5" t="s">
        <v>2702</v>
      </c>
      <c r="B682" s="8">
        <v>3.0</v>
      </c>
      <c r="C682" s="7" t="s">
        <v>306</v>
      </c>
      <c r="D682" s="7" t="s">
        <v>307</v>
      </c>
      <c r="E682" s="5" t="s">
        <v>2755</v>
      </c>
      <c r="F682" s="5" t="s">
        <v>2618</v>
      </c>
    </row>
    <row r="683">
      <c r="A683" s="5" t="s">
        <v>2599</v>
      </c>
      <c r="B683" s="8">
        <v>3.0</v>
      </c>
      <c r="C683" s="7" t="s">
        <v>306</v>
      </c>
      <c r="D683" s="7" t="s">
        <v>307</v>
      </c>
      <c r="E683" s="5" t="s">
        <v>2755</v>
      </c>
      <c r="F683" s="5" t="s">
        <v>240</v>
      </c>
    </row>
    <row r="684">
      <c r="A684" s="5" t="s">
        <v>2600</v>
      </c>
      <c r="B684" s="8">
        <v>3.0</v>
      </c>
      <c r="C684" s="7" t="s">
        <v>306</v>
      </c>
      <c r="D684" s="7" t="s">
        <v>307</v>
      </c>
      <c r="E684" s="5" t="s">
        <v>2755</v>
      </c>
      <c r="F684" s="5" t="s">
        <v>519</v>
      </c>
    </row>
    <row r="685">
      <c r="A685" s="5" t="s">
        <v>2602</v>
      </c>
      <c r="B685" s="8">
        <v>3.0</v>
      </c>
      <c r="C685" s="7" t="s">
        <v>306</v>
      </c>
      <c r="D685" s="7" t="s">
        <v>307</v>
      </c>
      <c r="E685" s="5" t="s">
        <v>2755</v>
      </c>
      <c r="F685" s="5" t="s">
        <v>240</v>
      </c>
    </row>
    <row r="686">
      <c r="A686" s="5" t="s">
        <v>2603</v>
      </c>
      <c r="B686" s="8">
        <v>3.0</v>
      </c>
      <c r="C686" s="7" t="s">
        <v>306</v>
      </c>
      <c r="D686" s="7" t="s">
        <v>307</v>
      </c>
      <c r="E686" s="5" t="s">
        <v>2755</v>
      </c>
      <c r="F686" s="5" t="s">
        <v>2754</v>
      </c>
    </row>
    <row r="687">
      <c r="A687" s="5" t="s">
        <v>2604</v>
      </c>
      <c r="B687" s="8">
        <v>3.0</v>
      </c>
      <c r="C687" s="7" t="s">
        <v>306</v>
      </c>
      <c r="D687" s="7" t="s">
        <v>307</v>
      </c>
      <c r="E687" s="5" t="s">
        <v>2755</v>
      </c>
      <c r="F687" s="5" t="s">
        <v>304</v>
      </c>
    </row>
    <row r="688">
      <c r="A688" s="5" t="s">
        <v>2605</v>
      </c>
      <c r="B688" s="8">
        <v>3.0</v>
      </c>
      <c r="C688" s="7" t="s">
        <v>306</v>
      </c>
      <c r="D688" s="7" t="s">
        <v>307</v>
      </c>
      <c r="E688" s="5" t="s">
        <v>2755</v>
      </c>
      <c r="F688" s="5" t="s">
        <v>305</v>
      </c>
    </row>
    <row r="689">
      <c r="A689" s="5" t="s">
        <v>2606</v>
      </c>
      <c r="B689" s="8">
        <v>3.0</v>
      </c>
      <c r="C689" s="7" t="s">
        <v>306</v>
      </c>
      <c r="D689" s="7" t="s">
        <v>307</v>
      </c>
      <c r="E689" s="5" t="s">
        <v>2755</v>
      </c>
      <c r="F689" s="5" t="s">
        <v>519</v>
      </c>
    </row>
    <row r="690">
      <c r="A690" s="5" t="s">
        <v>2607</v>
      </c>
      <c r="B690" s="8">
        <v>3.0</v>
      </c>
      <c r="C690" s="7" t="s">
        <v>306</v>
      </c>
      <c r="D690" s="7" t="s">
        <v>307</v>
      </c>
      <c r="E690" s="5" t="s">
        <v>2755</v>
      </c>
      <c r="F690" s="5" t="s">
        <v>240</v>
      </c>
    </row>
    <row r="691">
      <c r="A691" s="5" t="s">
        <v>2614</v>
      </c>
      <c r="B691" s="8">
        <v>3.0</v>
      </c>
      <c r="C691" s="7" t="s">
        <v>306</v>
      </c>
      <c r="D691" s="7" t="s">
        <v>307</v>
      </c>
      <c r="E691" s="5" t="s">
        <v>2755</v>
      </c>
      <c r="F691" s="5" t="s">
        <v>240</v>
      </c>
    </row>
    <row r="692">
      <c r="A692" s="5" t="s">
        <v>2608</v>
      </c>
      <c r="B692" s="8">
        <v>3.0</v>
      </c>
      <c r="C692" s="7" t="s">
        <v>306</v>
      </c>
      <c r="D692" s="7" t="s">
        <v>307</v>
      </c>
      <c r="E692" s="5" t="s">
        <v>2755</v>
      </c>
      <c r="F692" s="5" t="s">
        <v>240</v>
      </c>
    </row>
    <row r="693">
      <c r="A693" s="5" t="s">
        <v>2609</v>
      </c>
      <c r="B693" s="8">
        <v>3.0</v>
      </c>
      <c r="C693" s="7" t="s">
        <v>306</v>
      </c>
      <c r="D693" s="7" t="s">
        <v>307</v>
      </c>
      <c r="E693" s="5" t="s">
        <v>2755</v>
      </c>
      <c r="F693" s="5" t="s">
        <v>240</v>
      </c>
    </row>
    <row r="694">
      <c r="A694" s="7" t="s">
        <v>188</v>
      </c>
      <c r="B694" s="8">
        <v>3.0</v>
      </c>
      <c r="C694" s="7" t="s">
        <v>309</v>
      </c>
      <c r="D694" s="5" t="s">
        <v>1879</v>
      </c>
      <c r="E694" s="5" t="s">
        <v>2756</v>
      </c>
      <c r="F694" s="5" t="s">
        <v>270</v>
      </c>
    </row>
    <row r="695">
      <c r="A695" s="5" t="s">
        <v>2592</v>
      </c>
      <c r="B695" s="8">
        <v>3.0</v>
      </c>
      <c r="C695" s="7" t="s">
        <v>309</v>
      </c>
      <c r="D695" s="5" t="s">
        <v>1879</v>
      </c>
      <c r="E695" s="5" t="s">
        <v>2756</v>
      </c>
      <c r="F695" s="5" t="s">
        <v>238</v>
      </c>
    </row>
    <row r="696">
      <c r="A696" s="5" t="s">
        <v>2594</v>
      </c>
      <c r="B696" s="8">
        <v>3.0</v>
      </c>
      <c r="C696" s="7" t="s">
        <v>309</v>
      </c>
      <c r="D696" s="5" t="s">
        <v>1879</v>
      </c>
      <c r="E696" s="5" t="s">
        <v>2756</v>
      </c>
      <c r="F696" s="5" t="s">
        <v>238</v>
      </c>
    </row>
    <row r="697">
      <c r="A697" s="5" t="s">
        <v>2595</v>
      </c>
      <c r="B697" s="8">
        <v>3.0</v>
      </c>
      <c r="C697" s="7" t="s">
        <v>309</v>
      </c>
      <c r="D697" s="5" t="s">
        <v>1879</v>
      </c>
      <c r="E697" s="5" t="s">
        <v>2756</v>
      </c>
      <c r="F697" s="5" t="s">
        <v>238</v>
      </c>
    </row>
    <row r="698">
      <c r="A698" s="5" t="s">
        <v>2597</v>
      </c>
      <c r="B698" s="8">
        <v>3.0</v>
      </c>
      <c r="C698" s="7" t="s">
        <v>309</v>
      </c>
      <c r="D698" s="5" t="s">
        <v>1879</v>
      </c>
      <c r="E698" s="5" t="s">
        <v>2756</v>
      </c>
      <c r="F698" s="5" t="s">
        <v>238</v>
      </c>
    </row>
    <row r="699">
      <c r="A699" s="7" t="s">
        <v>8</v>
      </c>
      <c r="B699" s="8">
        <v>3.0</v>
      </c>
      <c r="C699" s="7" t="s">
        <v>309</v>
      </c>
      <c r="D699" s="5" t="s">
        <v>1879</v>
      </c>
      <c r="E699" s="5" t="s">
        <v>2756</v>
      </c>
      <c r="F699" s="5" t="s">
        <v>238</v>
      </c>
    </row>
    <row r="700">
      <c r="A700" s="5" t="s">
        <v>2702</v>
      </c>
      <c r="B700" s="8">
        <v>3.0</v>
      </c>
      <c r="C700" s="7" t="s">
        <v>309</v>
      </c>
      <c r="D700" s="5" t="s">
        <v>1879</v>
      </c>
      <c r="E700" s="5" t="s">
        <v>2756</v>
      </c>
      <c r="F700" s="5" t="s">
        <v>2757</v>
      </c>
    </row>
    <row r="701">
      <c r="A701" s="5" t="s">
        <v>2599</v>
      </c>
      <c r="B701" s="8">
        <v>3.0</v>
      </c>
      <c r="C701" s="7" t="s">
        <v>309</v>
      </c>
      <c r="D701" s="5" t="s">
        <v>1879</v>
      </c>
      <c r="E701" s="5" t="s">
        <v>2756</v>
      </c>
      <c r="F701" s="5" t="s">
        <v>238</v>
      </c>
    </row>
    <row r="702">
      <c r="A702" s="5" t="s">
        <v>2600</v>
      </c>
      <c r="B702" s="8">
        <v>3.0</v>
      </c>
      <c r="C702" s="7" t="s">
        <v>309</v>
      </c>
      <c r="D702" s="5" t="s">
        <v>1879</v>
      </c>
      <c r="E702" s="5" t="s">
        <v>2756</v>
      </c>
      <c r="F702" s="7" t="s">
        <v>313</v>
      </c>
    </row>
    <row r="703">
      <c r="A703" s="5" t="s">
        <v>2602</v>
      </c>
      <c r="B703" s="8">
        <v>3.0</v>
      </c>
      <c r="C703" s="7" t="s">
        <v>309</v>
      </c>
      <c r="D703" s="5" t="s">
        <v>1879</v>
      </c>
      <c r="E703" s="5" t="s">
        <v>2756</v>
      </c>
      <c r="F703" s="5" t="s">
        <v>238</v>
      </c>
    </row>
    <row r="704">
      <c r="A704" s="5" t="s">
        <v>2603</v>
      </c>
      <c r="B704" s="8">
        <v>3.0</v>
      </c>
      <c r="C704" s="7" t="s">
        <v>309</v>
      </c>
      <c r="D704" s="5" t="s">
        <v>1879</v>
      </c>
      <c r="E704" s="5" t="s">
        <v>2756</v>
      </c>
      <c r="F704" s="5" t="s">
        <v>2741</v>
      </c>
    </row>
    <row r="705">
      <c r="A705" s="5" t="s">
        <v>2604</v>
      </c>
      <c r="B705" s="8">
        <v>3.0</v>
      </c>
      <c r="C705" s="7" t="s">
        <v>309</v>
      </c>
      <c r="D705" s="5" t="s">
        <v>1879</v>
      </c>
      <c r="E705" s="5" t="s">
        <v>2756</v>
      </c>
      <c r="F705" s="5" t="s">
        <v>273</v>
      </c>
    </row>
    <row r="706">
      <c r="A706" s="5" t="s">
        <v>2605</v>
      </c>
      <c r="B706" s="8">
        <v>3.0</v>
      </c>
      <c r="C706" s="7" t="s">
        <v>309</v>
      </c>
      <c r="D706" s="5" t="s">
        <v>1879</v>
      </c>
      <c r="E706" s="5" t="s">
        <v>2756</v>
      </c>
      <c r="F706" s="7" t="s">
        <v>313</v>
      </c>
    </row>
    <row r="707">
      <c r="A707" s="5" t="s">
        <v>2606</v>
      </c>
      <c r="B707" s="8">
        <v>3.0</v>
      </c>
      <c r="C707" s="7" t="s">
        <v>309</v>
      </c>
      <c r="D707" s="5" t="s">
        <v>1879</v>
      </c>
      <c r="E707" s="5" t="s">
        <v>2756</v>
      </c>
      <c r="F707" s="5" t="s">
        <v>519</v>
      </c>
    </row>
    <row r="708">
      <c r="A708" s="5" t="s">
        <v>2607</v>
      </c>
      <c r="B708" s="8">
        <v>3.0</v>
      </c>
      <c r="C708" s="7" t="s">
        <v>309</v>
      </c>
      <c r="D708" s="5" t="s">
        <v>1879</v>
      </c>
      <c r="E708" s="5" t="s">
        <v>2756</v>
      </c>
      <c r="F708" s="5" t="s">
        <v>238</v>
      </c>
    </row>
    <row r="709">
      <c r="A709" s="5" t="s">
        <v>2614</v>
      </c>
      <c r="B709" s="8">
        <v>3.0</v>
      </c>
      <c r="C709" s="7" t="s">
        <v>309</v>
      </c>
      <c r="D709" s="5" t="s">
        <v>1879</v>
      </c>
      <c r="E709" s="5" t="s">
        <v>2756</v>
      </c>
      <c r="F709" s="5" t="s">
        <v>238</v>
      </c>
    </row>
    <row r="710">
      <c r="A710" s="5" t="s">
        <v>2608</v>
      </c>
      <c r="B710" s="8">
        <v>3.0</v>
      </c>
      <c r="C710" s="7" t="s">
        <v>309</v>
      </c>
      <c r="D710" s="5" t="s">
        <v>1879</v>
      </c>
      <c r="E710" s="5" t="s">
        <v>2756</v>
      </c>
      <c r="F710" s="5" t="s">
        <v>238</v>
      </c>
    </row>
    <row r="711">
      <c r="A711" s="5" t="s">
        <v>2609</v>
      </c>
      <c r="B711" s="8">
        <v>3.0</v>
      </c>
      <c r="C711" s="7" t="s">
        <v>309</v>
      </c>
      <c r="D711" s="5" t="s">
        <v>1879</v>
      </c>
      <c r="E711" s="5" t="s">
        <v>2756</v>
      </c>
      <c r="F711" s="5" t="s">
        <v>238</v>
      </c>
    </row>
    <row r="712">
      <c r="A712" s="7" t="s">
        <v>188</v>
      </c>
      <c r="B712" s="8">
        <v>3.0</v>
      </c>
      <c r="C712" s="7" t="s">
        <v>314</v>
      </c>
      <c r="D712" s="7" t="s">
        <v>315</v>
      </c>
      <c r="E712" s="5" t="s">
        <v>316</v>
      </c>
      <c r="F712" s="5" t="s">
        <v>2398</v>
      </c>
    </row>
    <row r="713">
      <c r="A713" s="5" t="s">
        <v>2592</v>
      </c>
      <c r="B713" s="8">
        <v>3.0</v>
      </c>
      <c r="C713" s="7" t="s">
        <v>314</v>
      </c>
      <c r="D713" s="7" t="s">
        <v>315</v>
      </c>
      <c r="E713" s="5" t="s">
        <v>316</v>
      </c>
      <c r="F713" s="5" t="s">
        <v>2743</v>
      </c>
    </row>
    <row r="714">
      <c r="A714" s="5" t="s">
        <v>2594</v>
      </c>
      <c r="B714" s="8">
        <v>3.0</v>
      </c>
      <c r="C714" s="7" t="s">
        <v>314</v>
      </c>
      <c r="D714" s="7" t="s">
        <v>315</v>
      </c>
      <c r="E714" s="5" t="s">
        <v>316</v>
      </c>
      <c r="F714" s="5" t="s">
        <v>2398</v>
      </c>
    </row>
    <row r="715">
      <c r="A715" s="5" t="s">
        <v>2595</v>
      </c>
      <c r="B715" s="8">
        <v>3.0</v>
      </c>
      <c r="C715" s="7" t="s">
        <v>314</v>
      </c>
      <c r="D715" s="7" t="s">
        <v>315</v>
      </c>
      <c r="E715" s="5" t="s">
        <v>316</v>
      </c>
      <c r="F715" s="5" t="s">
        <v>2744</v>
      </c>
    </row>
    <row r="716">
      <c r="A716" s="5" t="s">
        <v>2597</v>
      </c>
      <c r="B716" s="8">
        <v>3.0</v>
      </c>
      <c r="C716" s="7" t="s">
        <v>314</v>
      </c>
      <c r="D716" s="7" t="s">
        <v>315</v>
      </c>
      <c r="E716" s="5" t="s">
        <v>316</v>
      </c>
      <c r="F716" s="5" t="s">
        <v>2743</v>
      </c>
    </row>
    <row r="717">
      <c r="A717" s="7" t="s">
        <v>8</v>
      </c>
      <c r="B717" s="8">
        <v>3.0</v>
      </c>
      <c r="C717" s="7" t="s">
        <v>314</v>
      </c>
      <c r="D717" s="7" t="s">
        <v>315</v>
      </c>
      <c r="E717" s="5" t="s">
        <v>316</v>
      </c>
      <c r="F717" s="5" t="s">
        <v>2745</v>
      </c>
    </row>
    <row r="718">
      <c r="A718" s="5" t="s">
        <v>2702</v>
      </c>
      <c r="B718" s="8">
        <v>3.0</v>
      </c>
      <c r="C718" s="7" t="s">
        <v>314</v>
      </c>
      <c r="D718" s="7" t="s">
        <v>315</v>
      </c>
      <c r="E718" s="5" t="s">
        <v>316</v>
      </c>
      <c r="F718" s="5" t="s">
        <v>2398</v>
      </c>
    </row>
    <row r="719">
      <c r="A719" s="5" t="s">
        <v>2599</v>
      </c>
      <c r="B719" s="8">
        <v>3.0</v>
      </c>
      <c r="C719" s="7" t="s">
        <v>314</v>
      </c>
      <c r="D719" s="7" t="s">
        <v>315</v>
      </c>
      <c r="E719" s="5" t="s">
        <v>316</v>
      </c>
      <c r="F719" s="5" t="s">
        <v>2758</v>
      </c>
    </row>
    <row r="720">
      <c r="A720" s="5" t="s">
        <v>2600</v>
      </c>
      <c r="B720" s="8">
        <v>3.0</v>
      </c>
      <c r="C720" s="7" t="s">
        <v>314</v>
      </c>
      <c r="D720" s="7" t="s">
        <v>315</v>
      </c>
      <c r="E720" s="5" t="s">
        <v>316</v>
      </c>
      <c r="F720" s="5" t="s">
        <v>2398</v>
      </c>
    </row>
    <row r="721">
      <c r="A721" s="5" t="s">
        <v>2602</v>
      </c>
      <c r="B721" s="8">
        <v>3.0</v>
      </c>
      <c r="C721" s="7" t="s">
        <v>314</v>
      </c>
      <c r="D721" s="7" t="s">
        <v>315</v>
      </c>
      <c r="E721" s="5" t="s">
        <v>316</v>
      </c>
      <c r="F721" s="5" t="s">
        <v>2758</v>
      </c>
    </row>
    <row r="722">
      <c r="A722" s="5" t="s">
        <v>2603</v>
      </c>
      <c r="B722" s="8">
        <v>3.0</v>
      </c>
      <c r="C722" s="7" t="s">
        <v>314</v>
      </c>
      <c r="D722" s="7" t="s">
        <v>315</v>
      </c>
      <c r="E722" s="5" t="s">
        <v>316</v>
      </c>
      <c r="F722" s="5" t="s">
        <v>2743</v>
      </c>
    </row>
    <row r="723">
      <c r="A723" s="5" t="s">
        <v>2604</v>
      </c>
      <c r="B723" s="8">
        <v>3.0</v>
      </c>
      <c r="C723" s="7" t="s">
        <v>314</v>
      </c>
      <c r="D723" s="7" t="s">
        <v>315</v>
      </c>
      <c r="E723" s="5" t="s">
        <v>316</v>
      </c>
      <c r="F723" s="5" t="s">
        <v>2743</v>
      </c>
    </row>
    <row r="724">
      <c r="A724" s="5" t="s">
        <v>2605</v>
      </c>
      <c r="B724" s="8">
        <v>3.0</v>
      </c>
      <c r="C724" s="7" t="s">
        <v>314</v>
      </c>
      <c r="D724" s="7" t="s">
        <v>315</v>
      </c>
      <c r="E724" s="5" t="s">
        <v>316</v>
      </c>
      <c r="F724" s="5" t="s">
        <v>2398</v>
      </c>
    </row>
    <row r="725">
      <c r="A725" s="5" t="s">
        <v>2606</v>
      </c>
      <c r="B725" s="8">
        <v>3.0</v>
      </c>
      <c r="C725" s="7" t="s">
        <v>314</v>
      </c>
      <c r="D725" s="7" t="s">
        <v>315</v>
      </c>
      <c r="E725" s="5" t="s">
        <v>316</v>
      </c>
      <c r="F725" s="5" t="s">
        <v>2743</v>
      </c>
    </row>
    <row r="726">
      <c r="A726" s="5" t="s">
        <v>2607</v>
      </c>
      <c r="B726" s="8">
        <v>3.0</v>
      </c>
      <c r="C726" s="7" t="s">
        <v>314</v>
      </c>
      <c r="D726" s="7" t="s">
        <v>315</v>
      </c>
      <c r="E726" s="5" t="s">
        <v>316</v>
      </c>
      <c r="F726" s="5" t="s">
        <v>2743</v>
      </c>
    </row>
    <row r="727">
      <c r="A727" s="5" t="s">
        <v>2614</v>
      </c>
      <c r="B727" s="8">
        <v>3.0</v>
      </c>
      <c r="C727" s="7" t="s">
        <v>314</v>
      </c>
      <c r="D727" s="7" t="s">
        <v>315</v>
      </c>
      <c r="E727" s="5" t="s">
        <v>316</v>
      </c>
      <c r="F727" s="5" t="s">
        <v>1664</v>
      </c>
    </row>
    <row r="728">
      <c r="A728" s="5" t="s">
        <v>2608</v>
      </c>
      <c r="B728" s="8">
        <v>3.0</v>
      </c>
      <c r="C728" s="7" t="s">
        <v>314</v>
      </c>
      <c r="D728" s="7" t="s">
        <v>315</v>
      </c>
      <c r="E728" s="5" t="s">
        <v>316</v>
      </c>
      <c r="F728" s="7" t="s">
        <v>283</v>
      </c>
    </row>
    <row r="729">
      <c r="A729" s="5" t="s">
        <v>2609</v>
      </c>
      <c r="B729" s="8">
        <v>3.0</v>
      </c>
      <c r="C729" s="7" t="s">
        <v>314</v>
      </c>
      <c r="D729" s="7" t="s">
        <v>315</v>
      </c>
      <c r="E729" s="5" t="s">
        <v>316</v>
      </c>
      <c r="F729" s="5" t="s">
        <v>2743</v>
      </c>
    </row>
    <row r="730">
      <c r="A730" s="7" t="s">
        <v>188</v>
      </c>
      <c r="B730" s="8">
        <v>3.0</v>
      </c>
      <c r="C730" s="7" t="s">
        <v>122</v>
      </c>
      <c r="D730" s="5" t="s">
        <v>2759</v>
      </c>
      <c r="E730" s="5" t="s">
        <v>2760</v>
      </c>
      <c r="F730" s="7" t="s">
        <v>322</v>
      </c>
    </row>
    <row r="731">
      <c r="A731" s="5" t="s">
        <v>2592</v>
      </c>
      <c r="B731" s="8">
        <v>3.0</v>
      </c>
      <c r="C731" s="7" t="s">
        <v>122</v>
      </c>
      <c r="D731" s="5" t="s">
        <v>2759</v>
      </c>
      <c r="E731" s="5" t="s">
        <v>2760</v>
      </c>
      <c r="F731" s="5" t="s">
        <v>2659</v>
      </c>
    </row>
    <row r="732">
      <c r="A732" s="5" t="s">
        <v>2594</v>
      </c>
      <c r="B732" s="8">
        <v>3.0</v>
      </c>
      <c r="C732" s="7" t="s">
        <v>122</v>
      </c>
      <c r="D732" s="5" t="s">
        <v>2759</v>
      </c>
      <c r="E732" s="5" t="s">
        <v>2760</v>
      </c>
      <c r="F732" s="7" t="s">
        <v>323</v>
      </c>
    </row>
    <row r="733">
      <c r="A733" s="5" t="s">
        <v>2595</v>
      </c>
      <c r="B733" s="8">
        <v>3.0</v>
      </c>
      <c r="C733" s="7" t="s">
        <v>122</v>
      </c>
      <c r="D733" s="5" t="s">
        <v>2759</v>
      </c>
      <c r="E733" s="5" t="s">
        <v>2760</v>
      </c>
      <c r="F733" s="7" t="s">
        <v>324</v>
      </c>
    </row>
    <row r="734">
      <c r="A734" s="5" t="s">
        <v>2597</v>
      </c>
      <c r="B734" s="8">
        <v>3.0</v>
      </c>
      <c r="C734" s="7" t="s">
        <v>122</v>
      </c>
      <c r="D734" s="5" t="s">
        <v>2759</v>
      </c>
      <c r="E734" s="5" t="s">
        <v>2760</v>
      </c>
      <c r="F734" s="5" t="s">
        <v>2662</v>
      </c>
    </row>
    <row r="735">
      <c r="A735" s="7" t="s">
        <v>8</v>
      </c>
      <c r="B735" s="8">
        <v>3.0</v>
      </c>
      <c r="C735" s="7" t="s">
        <v>122</v>
      </c>
      <c r="D735" s="5" t="s">
        <v>2759</v>
      </c>
      <c r="E735" s="5" t="s">
        <v>2760</v>
      </c>
      <c r="F735" s="5" t="s">
        <v>2663</v>
      </c>
    </row>
    <row r="736">
      <c r="A736" s="5" t="s">
        <v>2702</v>
      </c>
      <c r="B736" s="8">
        <v>3.0</v>
      </c>
      <c r="C736" s="7" t="s">
        <v>122</v>
      </c>
      <c r="D736" s="5" t="s">
        <v>2759</v>
      </c>
      <c r="E736" s="5" t="s">
        <v>2760</v>
      </c>
      <c r="F736" s="5" t="s">
        <v>2761</v>
      </c>
    </row>
    <row r="737">
      <c r="A737" s="5" t="s">
        <v>2599</v>
      </c>
      <c r="B737" s="8">
        <v>3.0</v>
      </c>
      <c r="C737" s="7" t="s">
        <v>122</v>
      </c>
      <c r="D737" s="5" t="s">
        <v>2759</v>
      </c>
      <c r="E737" s="5" t="s">
        <v>2760</v>
      </c>
      <c r="F737" s="5" t="s">
        <v>2762</v>
      </c>
    </row>
    <row r="738">
      <c r="A738" s="5" t="s">
        <v>2600</v>
      </c>
      <c r="B738" s="8">
        <v>3.0</v>
      </c>
      <c r="C738" s="7" t="s">
        <v>122</v>
      </c>
      <c r="D738" s="5" t="s">
        <v>2759</v>
      </c>
      <c r="E738" s="5" t="s">
        <v>2760</v>
      </c>
      <c r="F738" s="7" t="s">
        <v>327</v>
      </c>
    </row>
    <row r="739">
      <c r="A739" s="5" t="s">
        <v>2602</v>
      </c>
      <c r="B739" s="8">
        <v>3.0</v>
      </c>
      <c r="C739" s="7" t="s">
        <v>122</v>
      </c>
      <c r="D739" s="5" t="s">
        <v>2759</v>
      </c>
      <c r="E739" s="5" t="s">
        <v>2760</v>
      </c>
      <c r="F739" s="5" t="s">
        <v>2763</v>
      </c>
    </row>
    <row r="740">
      <c r="A740" s="5" t="s">
        <v>2603</v>
      </c>
      <c r="B740" s="8">
        <v>3.0</v>
      </c>
      <c r="C740" s="7" t="s">
        <v>122</v>
      </c>
      <c r="D740" s="5" t="s">
        <v>2759</v>
      </c>
      <c r="E740" s="5" t="s">
        <v>2760</v>
      </c>
      <c r="F740" s="5" t="s">
        <v>2764</v>
      </c>
    </row>
    <row r="741">
      <c r="A741" s="5" t="s">
        <v>2604</v>
      </c>
      <c r="B741" s="8">
        <v>3.0</v>
      </c>
      <c r="C741" s="7" t="s">
        <v>122</v>
      </c>
      <c r="D741" s="5" t="s">
        <v>2759</v>
      </c>
      <c r="E741" s="5" t="s">
        <v>2760</v>
      </c>
      <c r="F741" s="5" t="s">
        <v>2765</v>
      </c>
    </row>
    <row r="742">
      <c r="A742" s="5" t="s">
        <v>2605</v>
      </c>
      <c r="B742" s="8">
        <v>3.0</v>
      </c>
      <c r="C742" s="7" t="s">
        <v>122</v>
      </c>
      <c r="D742" s="5" t="s">
        <v>2759</v>
      </c>
      <c r="E742" s="5" t="s">
        <v>2760</v>
      </c>
      <c r="F742" s="5" t="s">
        <v>2766</v>
      </c>
    </row>
    <row r="743">
      <c r="A743" s="5" t="s">
        <v>2606</v>
      </c>
      <c r="B743" s="8">
        <v>3.0</v>
      </c>
      <c r="C743" s="7" t="s">
        <v>122</v>
      </c>
      <c r="D743" s="5" t="s">
        <v>2759</v>
      </c>
      <c r="E743" s="5" t="s">
        <v>2760</v>
      </c>
      <c r="F743" s="7" t="s">
        <v>134</v>
      </c>
    </row>
    <row r="744">
      <c r="A744" s="5" t="s">
        <v>2607</v>
      </c>
      <c r="B744" s="8">
        <v>3.0</v>
      </c>
      <c r="C744" s="7" t="s">
        <v>122</v>
      </c>
      <c r="D744" s="5" t="s">
        <v>2759</v>
      </c>
      <c r="E744" s="5" t="s">
        <v>2760</v>
      </c>
      <c r="F744" s="5" t="s">
        <v>2666</v>
      </c>
    </row>
    <row r="745">
      <c r="A745" s="5" t="s">
        <v>2614</v>
      </c>
      <c r="B745" s="8">
        <v>3.0</v>
      </c>
      <c r="C745" s="7" t="s">
        <v>122</v>
      </c>
      <c r="D745" s="5" t="s">
        <v>2759</v>
      </c>
      <c r="E745" s="5" t="s">
        <v>2760</v>
      </c>
      <c r="F745" s="5" t="s">
        <v>2767</v>
      </c>
    </row>
    <row r="746">
      <c r="A746" s="5" t="s">
        <v>2608</v>
      </c>
      <c r="B746" s="8">
        <v>3.0</v>
      </c>
      <c r="C746" s="7" t="s">
        <v>122</v>
      </c>
      <c r="D746" s="5" t="s">
        <v>2759</v>
      </c>
      <c r="E746" s="5" t="s">
        <v>2760</v>
      </c>
      <c r="F746" s="5" t="s">
        <v>2768</v>
      </c>
    </row>
    <row r="747">
      <c r="A747" s="5" t="s">
        <v>2609</v>
      </c>
      <c r="B747" s="8">
        <v>3.0</v>
      </c>
      <c r="C747" s="7" t="s">
        <v>122</v>
      </c>
      <c r="D747" s="5" t="s">
        <v>2759</v>
      </c>
      <c r="E747" s="5" t="s">
        <v>2760</v>
      </c>
      <c r="F747" s="5" t="s">
        <v>2735</v>
      </c>
    </row>
    <row r="748">
      <c r="A748" s="7" t="s">
        <v>188</v>
      </c>
      <c r="B748" s="8">
        <v>3.0</v>
      </c>
      <c r="C748" s="7" t="s">
        <v>139</v>
      </c>
      <c r="D748" s="7" t="s">
        <v>334</v>
      </c>
      <c r="E748" s="5" t="s">
        <v>2769</v>
      </c>
      <c r="F748" s="5" t="s">
        <v>2770</v>
      </c>
    </row>
    <row r="749">
      <c r="A749" s="5" t="s">
        <v>2592</v>
      </c>
      <c r="B749" s="8">
        <v>3.0</v>
      </c>
      <c r="C749" s="7" t="s">
        <v>139</v>
      </c>
      <c r="D749" s="7" t="s">
        <v>334</v>
      </c>
      <c r="E749" s="5" t="s">
        <v>2769</v>
      </c>
      <c r="F749" s="5" t="s">
        <v>147</v>
      </c>
    </row>
    <row r="750">
      <c r="A750" s="5" t="s">
        <v>2594</v>
      </c>
      <c r="B750" s="8">
        <v>3.0</v>
      </c>
      <c r="C750" s="7" t="s">
        <v>139</v>
      </c>
      <c r="D750" s="7" t="s">
        <v>334</v>
      </c>
      <c r="E750" s="5" t="s">
        <v>2769</v>
      </c>
      <c r="F750" s="5" t="s">
        <v>305</v>
      </c>
    </row>
    <row r="751">
      <c r="A751" s="5" t="s">
        <v>2595</v>
      </c>
      <c r="B751" s="8">
        <v>3.0</v>
      </c>
      <c r="C751" s="7" t="s">
        <v>139</v>
      </c>
      <c r="D751" s="7" t="s">
        <v>334</v>
      </c>
      <c r="E751" s="5" t="s">
        <v>2769</v>
      </c>
      <c r="F751" s="5" t="s">
        <v>147</v>
      </c>
    </row>
    <row r="752">
      <c r="A752" s="5" t="s">
        <v>2597</v>
      </c>
      <c r="B752" s="8">
        <v>3.0</v>
      </c>
      <c r="C752" s="7" t="s">
        <v>139</v>
      </c>
      <c r="D752" s="7" t="s">
        <v>334</v>
      </c>
      <c r="E752" s="5" t="s">
        <v>2769</v>
      </c>
      <c r="F752" s="5" t="s">
        <v>2670</v>
      </c>
    </row>
    <row r="753">
      <c r="A753" s="7" t="s">
        <v>8</v>
      </c>
      <c r="B753" s="8">
        <v>3.0</v>
      </c>
      <c r="C753" s="7" t="s">
        <v>139</v>
      </c>
      <c r="D753" s="7" t="s">
        <v>334</v>
      </c>
      <c r="E753" s="5" t="s">
        <v>2769</v>
      </c>
      <c r="F753" s="5" t="s">
        <v>238</v>
      </c>
    </row>
    <row r="754">
      <c r="A754" s="5" t="s">
        <v>2702</v>
      </c>
      <c r="B754" s="8">
        <v>3.0</v>
      </c>
      <c r="C754" s="7" t="s">
        <v>139</v>
      </c>
      <c r="D754" s="7" t="s">
        <v>334</v>
      </c>
      <c r="E754" s="5" t="s">
        <v>2769</v>
      </c>
      <c r="F754" s="5" t="s">
        <v>2757</v>
      </c>
    </row>
    <row r="755">
      <c r="A755" s="5" t="s">
        <v>2599</v>
      </c>
      <c r="B755" s="8">
        <v>3.0</v>
      </c>
      <c r="C755" s="7" t="s">
        <v>139</v>
      </c>
      <c r="D755" s="7" t="s">
        <v>334</v>
      </c>
      <c r="E755" s="5" t="s">
        <v>2769</v>
      </c>
      <c r="F755" s="5" t="s">
        <v>238</v>
      </c>
    </row>
    <row r="756">
      <c r="A756" s="5" t="s">
        <v>2600</v>
      </c>
      <c r="B756" s="8">
        <v>3.0</v>
      </c>
      <c r="C756" s="7" t="s">
        <v>139</v>
      </c>
      <c r="D756" s="7" t="s">
        <v>334</v>
      </c>
      <c r="E756" s="5" t="s">
        <v>2769</v>
      </c>
      <c r="F756" s="5" t="s">
        <v>337</v>
      </c>
    </row>
    <row r="757">
      <c r="A757" s="5" t="s">
        <v>2602</v>
      </c>
      <c r="B757" s="8">
        <v>3.0</v>
      </c>
      <c r="C757" s="7" t="s">
        <v>139</v>
      </c>
      <c r="D757" s="7" t="s">
        <v>334</v>
      </c>
      <c r="E757" s="5" t="s">
        <v>2769</v>
      </c>
      <c r="F757" s="5" t="s">
        <v>2770</v>
      </c>
    </row>
    <row r="758">
      <c r="A758" s="5" t="s">
        <v>2603</v>
      </c>
      <c r="B758" s="8">
        <v>3.0</v>
      </c>
      <c r="C758" s="7" t="s">
        <v>139</v>
      </c>
      <c r="D758" s="7" t="s">
        <v>334</v>
      </c>
      <c r="E758" s="5" t="s">
        <v>2769</v>
      </c>
      <c r="F758" s="5" t="s">
        <v>2770</v>
      </c>
    </row>
    <row r="759">
      <c r="A759" s="5" t="s">
        <v>2604</v>
      </c>
      <c r="B759" s="8">
        <v>3.0</v>
      </c>
      <c r="C759" s="7" t="s">
        <v>139</v>
      </c>
      <c r="D759" s="7" t="s">
        <v>334</v>
      </c>
      <c r="E759" s="5" t="s">
        <v>2769</v>
      </c>
      <c r="F759" s="5" t="s">
        <v>2716</v>
      </c>
    </row>
    <row r="760">
      <c r="A760" s="5" t="s">
        <v>2605</v>
      </c>
      <c r="B760" s="8">
        <v>3.0</v>
      </c>
      <c r="C760" s="7" t="s">
        <v>139</v>
      </c>
      <c r="D760" s="7" t="s">
        <v>334</v>
      </c>
      <c r="E760" s="5" t="s">
        <v>2769</v>
      </c>
      <c r="F760" s="5" t="s">
        <v>2771</v>
      </c>
    </row>
    <row r="761">
      <c r="A761" s="5" t="s">
        <v>2606</v>
      </c>
      <c r="B761" s="8">
        <v>3.0</v>
      </c>
      <c r="C761" s="7" t="s">
        <v>139</v>
      </c>
      <c r="D761" s="7" t="s">
        <v>334</v>
      </c>
      <c r="E761" s="5" t="s">
        <v>2769</v>
      </c>
      <c r="F761" s="5" t="s">
        <v>2771</v>
      </c>
    </row>
    <row r="762">
      <c r="A762" s="5" t="s">
        <v>2607</v>
      </c>
      <c r="B762" s="8">
        <v>3.0</v>
      </c>
      <c r="C762" s="7" t="s">
        <v>139</v>
      </c>
      <c r="D762" s="7" t="s">
        <v>334</v>
      </c>
      <c r="E762" s="5" t="s">
        <v>2769</v>
      </c>
      <c r="F762" s="5" t="s">
        <v>2670</v>
      </c>
    </row>
    <row r="763">
      <c r="A763" s="5" t="s">
        <v>2614</v>
      </c>
      <c r="B763" s="8">
        <v>3.0</v>
      </c>
      <c r="C763" s="7" t="s">
        <v>139</v>
      </c>
      <c r="D763" s="7" t="s">
        <v>334</v>
      </c>
      <c r="E763" s="5" t="s">
        <v>2769</v>
      </c>
      <c r="F763" s="5" t="s">
        <v>238</v>
      </c>
    </row>
    <row r="764">
      <c r="A764" s="5" t="s">
        <v>2608</v>
      </c>
      <c r="B764" s="8">
        <v>3.0</v>
      </c>
      <c r="C764" s="7" t="s">
        <v>139</v>
      </c>
      <c r="D764" s="7" t="s">
        <v>334</v>
      </c>
      <c r="E764" s="5" t="s">
        <v>2769</v>
      </c>
      <c r="F764" s="5" t="s">
        <v>2772</v>
      </c>
    </row>
    <row r="765">
      <c r="A765" s="5" t="s">
        <v>2609</v>
      </c>
      <c r="B765" s="8">
        <v>3.0</v>
      </c>
      <c r="C765" s="7" t="s">
        <v>139</v>
      </c>
      <c r="D765" s="7" t="s">
        <v>334</v>
      </c>
      <c r="E765" s="5" t="s">
        <v>2769</v>
      </c>
      <c r="F765" s="5" t="s">
        <v>2670</v>
      </c>
    </row>
    <row r="766">
      <c r="A766" s="7" t="s">
        <v>188</v>
      </c>
      <c r="B766" s="8">
        <v>3.0</v>
      </c>
      <c r="C766" s="7" t="s">
        <v>162</v>
      </c>
      <c r="D766" s="7" t="s">
        <v>341</v>
      </c>
      <c r="E766" s="5" t="s">
        <v>2773</v>
      </c>
      <c r="F766" s="5" t="s">
        <v>2398</v>
      </c>
    </row>
    <row r="767">
      <c r="A767" s="5" t="s">
        <v>2592</v>
      </c>
      <c r="B767" s="8">
        <v>3.0</v>
      </c>
      <c r="C767" s="7" t="s">
        <v>162</v>
      </c>
      <c r="D767" s="7" t="s">
        <v>341</v>
      </c>
      <c r="E767" s="5" t="s">
        <v>2773</v>
      </c>
      <c r="F767" s="5" t="s">
        <v>2735</v>
      </c>
    </row>
    <row r="768">
      <c r="A768" s="5" t="s">
        <v>2594</v>
      </c>
      <c r="B768" s="8">
        <v>3.0</v>
      </c>
      <c r="C768" s="7" t="s">
        <v>162</v>
      </c>
      <c r="D768" s="7" t="s">
        <v>341</v>
      </c>
      <c r="E768" s="5" t="s">
        <v>2773</v>
      </c>
      <c r="F768" s="5" t="s">
        <v>2398</v>
      </c>
    </row>
    <row r="769">
      <c r="A769" s="5" t="s">
        <v>2595</v>
      </c>
      <c r="B769" s="8">
        <v>3.0</v>
      </c>
      <c r="C769" s="7" t="s">
        <v>162</v>
      </c>
      <c r="D769" s="7" t="s">
        <v>341</v>
      </c>
      <c r="E769" s="5" t="s">
        <v>2773</v>
      </c>
      <c r="F769" s="5" t="s">
        <v>2774</v>
      </c>
    </row>
    <row r="770">
      <c r="A770" s="5" t="s">
        <v>2597</v>
      </c>
      <c r="B770" s="8">
        <v>3.0</v>
      </c>
      <c r="C770" s="7" t="s">
        <v>162</v>
      </c>
      <c r="D770" s="7" t="s">
        <v>341</v>
      </c>
      <c r="E770" s="5" t="s">
        <v>2773</v>
      </c>
      <c r="F770" s="5" t="s">
        <v>2735</v>
      </c>
    </row>
    <row r="771">
      <c r="A771" s="7" t="s">
        <v>8</v>
      </c>
      <c r="B771" s="8">
        <v>3.0</v>
      </c>
      <c r="C771" s="7" t="s">
        <v>162</v>
      </c>
      <c r="D771" s="7" t="s">
        <v>341</v>
      </c>
      <c r="E771" s="5" t="s">
        <v>2773</v>
      </c>
      <c r="F771" s="5" t="s">
        <v>2775</v>
      </c>
    </row>
    <row r="772">
      <c r="A772" s="5" t="s">
        <v>2702</v>
      </c>
      <c r="B772" s="8">
        <v>3.0</v>
      </c>
      <c r="C772" s="7" t="s">
        <v>162</v>
      </c>
      <c r="D772" s="7" t="s">
        <v>341</v>
      </c>
      <c r="E772" s="5" t="s">
        <v>2773</v>
      </c>
      <c r="F772" s="5" t="s">
        <v>2735</v>
      </c>
    </row>
    <row r="773">
      <c r="A773" s="5" t="s">
        <v>2599</v>
      </c>
      <c r="B773" s="8">
        <v>3.0</v>
      </c>
      <c r="C773" s="7" t="s">
        <v>162</v>
      </c>
      <c r="D773" s="7" t="s">
        <v>341</v>
      </c>
      <c r="E773" s="5" t="s">
        <v>2773</v>
      </c>
      <c r="F773" s="5" t="s">
        <v>2776</v>
      </c>
    </row>
    <row r="774">
      <c r="A774" s="5" t="s">
        <v>2600</v>
      </c>
      <c r="B774" s="8">
        <v>3.0</v>
      </c>
      <c r="C774" s="7" t="s">
        <v>162</v>
      </c>
      <c r="D774" s="7" t="s">
        <v>341</v>
      </c>
      <c r="E774" s="5" t="s">
        <v>2773</v>
      </c>
      <c r="F774" s="5" t="s">
        <v>2777</v>
      </c>
    </row>
    <row r="775">
      <c r="A775" s="5" t="s">
        <v>2602</v>
      </c>
      <c r="B775" s="8">
        <v>3.0</v>
      </c>
      <c r="C775" s="7" t="s">
        <v>162</v>
      </c>
      <c r="D775" s="7" t="s">
        <v>341</v>
      </c>
      <c r="E775" s="5" t="s">
        <v>2773</v>
      </c>
      <c r="F775" s="5" t="s">
        <v>2743</v>
      </c>
    </row>
    <row r="776">
      <c r="A776" s="5" t="s">
        <v>2603</v>
      </c>
      <c r="B776" s="8">
        <v>3.0</v>
      </c>
      <c r="C776" s="7" t="s">
        <v>162</v>
      </c>
      <c r="D776" s="7" t="s">
        <v>341</v>
      </c>
      <c r="E776" s="5" t="s">
        <v>2773</v>
      </c>
      <c r="F776" s="5" t="s">
        <v>2735</v>
      </c>
    </row>
    <row r="777">
      <c r="A777" s="5" t="s">
        <v>2604</v>
      </c>
      <c r="B777" s="8">
        <v>3.0</v>
      </c>
      <c r="C777" s="7" t="s">
        <v>162</v>
      </c>
      <c r="D777" s="7" t="s">
        <v>341</v>
      </c>
      <c r="E777" s="5" t="s">
        <v>2773</v>
      </c>
      <c r="F777" s="5" t="s">
        <v>2735</v>
      </c>
    </row>
    <row r="778">
      <c r="A778" s="5" t="s">
        <v>2605</v>
      </c>
      <c r="B778" s="8">
        <v>3.0</v>
      </c>
      <c r="C778" s="7" t="s">
        <v>162</v>
      </c>
      <c r="D778" s="7" t="s">
        <v>341</v>
      </c>
      <c r="E778" s="5" t="s">
        <v>2773</v>
      </c>
      <c r="F778" s="5" t="s">
        <v>2398</v>
      </c>
    </row>
    <row r="779">
      <c r="A779" s="5" t="s">
        <v>2606</v>
      </c>
      <c r="B779" s="8">
        <v>3.0</v>
      </c>
      <c r="C779" s="7" t="s">
        <v>162</v>
      </c>
      <c r="D779" s="7" t="s">
        <v>341</v>
      </c>
      <c r="E779" s="5" t="s">
        <v>2773</v>
      </c>
      <c r="F779" s="5" t="s">
        <v>2735</v>
      </c>
    </row>
    <row r="780">
      <c r="A780" s="5" t="s">
        <v>2607</v>
      </c>
      <c r="B780" s="8">
        <v>3.0</v>
      </c>
      <c r="C780" s="7" t="s">
        <v>162</v>
      </c>
      <c r="D780" s="7" t="s">
        <v>341</v>
      </c>
      <c r="E780" s="5" t="s">
        <v>2773</v>
      </c>
      <c r="F780" s="5" t="s">
        <v>2735</v>
      </c>
    </row>
    <row r="781">
      <c r="A781" s="5" t="s">
        <v>2614</v>
      </c>
      <c r="B781" s="8">
        <v>3.0</v>
      </c>
      <c r="C781" s="7" t="s">
        <v>162</v>
      </c>
      <c r="D781" s="7" t="s">
        <v>341</v>
      </c>
      <c r="E781" s="5" t="s">
        <v>2773</v>
      </c>
      <c r="F781" s="5" t="s">
        <v>2735</v>
      </c>
    </row>
    <row r="782">
      <c r="A782" s="5" t="s">
        <v>2608</v>
      </c>
      <c r="B782" s="8">
        <v>3.0</v>
      </c>
      <c r="C782" s="7" t="s">
        <v>162</v>
      </c>
      <c r="D782" s="7" t="s">
        <v>341</v>
      </c>
      <c r="E782" s="5" t="s">
        <v>2773</v>
      </c>
      <c r="F782" s="5" t="s">
        <v>2737</v>
      </c>
    </row>
    <row r="783">
      <c r="A783" s="5" t="s">
        <v>2609</v>
      </c>
      <c r="B783" s="8">
        <v>3.0</v>
      </c>
      <c r="C783" s="7" t="s">
        <v>162</v>
      </c>
      <c r="D783" s="7" t="s">
        <v>341</v>
      </c>
      <c r="E783" s="5" t="s">
        <v>2773</v>
      </c>
      <c r="F783" s="7" t="s">
        <v>70</v>
      </c>
    </row>
    <row r="784">
      <c r="A784" s="7" t="s">
        <v>188</v>
      </c>
      <c r="B784" s="8">
        <v>3.0</v>
      </c>
      <c r="C784" s="7" t="s">
        <v>347</v>
      </c>
      <c r="D784" s="5" t="s">
        <v>2778</v>
      </c>
      <c r="E784" s="5" t="s">
        <v>2779</v>
      </c>
      <c r="F784" s="5" t="s">
        <v>270</v>
      </c>
    </row>
    <row r="785">
      <c r="A785" s="5" t="s">
        <v>2592</v>
      </c>
      <c r="B785" s="8">
        <v>3.0</v>
      </c>
      <c r="C785" s="7" t="s">
        <v>347</v>
      </c>
      <c r="D785" s="5" t="s">
        <v>2778</v>
      </c>
      <c r="E785" s="5" t="s">
        <v>2779</v>
      </c>
      <c r="F785" s="5" t="s">
        <v>350</v>
      </c>
    </row>
    <row r="786">
      <c r="A786" s="5" t="s">
        <v>2594</v>
      </c>
      <c r="B786" s="8">
        <v>3.0</v>
      </c>
      <c r="C786" s="7" t="s">
        <v>347</v>
      </c>
      <c r="D786" s="5" t="s">
        <v>2778</v>
      </c>
      <c r="E786" s="5" t="s">
        <v>2779</v>
      </c>
      <c r="F786" s="5" t="s">
        <v>238</v>
      </c>
    </row>
    <row r="787">
      <c r="A787" s="5" t="s">
        <v>2595</v>
      </c>
      <c r="B787" s="8">
        <v>3.0</v>
      </c>
      <c r="C787" s="7" t="s">
        <v>347</v>
      </c>
      <c r="D787" s="5" t="s">
        <v>2778</v>
      </c>
      <c r="E787" s="5" t="s">
        <v>2779</v>
      </c>
      <c r="F787" s="5" t="s">
        <v>350</v>
      </c>
    </row>
    <row r="788">
      <c r="A788" s="5" t="s">
        <v>2597</v>
      </c>
      <c r="B788" s="8">
        <v>3.0</v>
      </c>
      <c r="C788" s="7" t="s">
        <v>347</v>
      </c>
      <c r="D788" s="5" t="s">
        <v>2778</v>
      </c>
      <c r="E788" s="5" t="s">
        <v>2779</v>
      </c>
      <c r="F788" s="5" t="s">
        <v>350</v>
      </c>
    </row>
    <row r="789">
      <c r="A789" s="7" t="s">
        <v>8</v>
      </c>
      <c r="B789" s="8">
        <v>3.0</v>
      </c>
      <c r="C789" s="7" t="s">
        <v>347</v>
      </c>
      <c r="D789" s="5" t="s">
        <v>2778</v>
      </c>
      <c r="E789" s="5" t="s">
        <v>2779</v>
      </c>
      <c r="F789" s="5" t="s">
        <v>350</v>
      </c>
    </row>
    <row r="790">
      <c r="A790" s="5" t="s">
        <v>2702</v>
      </c>
      <c r="B790" s="8">
        <v>3.0</v>
      </c>
      <c r="C790" s="7" t="s">
        <v>347</v>
      </c>
      <c r="D790" s="5" t="s">
        <v>2778</v>
      </c>
      <c r="E790" s="5" t="s">
        <v>2779</v>
      </c>
      <c r="F790" s="5" t="s">
        <v>337</v>
      </c>
    </row>
    <row r="791">
      <c r="A791" s="5" t="s">
        <v>2599</v>
      </c>
      <c r="B791" s="8">
        <v>3.0</v>
      </c>
      <c r="C791" s="7" t="s">
        <v>347</v>
      </c>
      <c r="D791" s="5" t="s">
        <v>2778</v>
      </c>
      <c r="E791" s="5" t="s">
        <v>2779</v>
      </c>
      <c r="F791" s="5" t="s">
        <v>350</v>
      </c>
    </row>
    <row r="792">
      <c r="A792" s="5" t="s">
        <v>2600</v>
      </c>
      <c r="B792" s="8">
        <v>3.0</v>
      </c>
      <c r="C792" s="7" t="s">
        <v>347</v>
      </c>
      <c r="D792" s="5" t="s">
        <v>2778</v>
      </c>
      <c r="E792" s="5" t="s">
        <v>2779</v>
      </c>
      <c r="F792" s="7" t="s">
        <v>313</v>
      </c>
    </row>
    <row r="793">
      <c r="A793" s="5" t="s">
        <v>2602</v>
      </c>
      <c r="B793" s="8">
        <v>3.0</v>
      </c>
      <c r="C793" s="7" t="s">
        <v>347</v>
      </c>
      <c r="D793" s="5" t="s">
        <v>2778</v>
      </c>
      <c r="E793" s="5" t="s">
        <v>2779</v>
      </c>
      <c r="F793" s="5" t="s">
        <v>2780</v>
      </c>
    </row>
    <row r="794">
      <c r="A794" s="5" t="s">
        <v>2603</v>
      </c>
      <c r="B794" s="8">
        <v>3.0</v>
      </c>
      <c r="C794" s="7" t="s">
        <v>347</v>
      </c>
      <c r="D794" s="5" t="s">
        <v>2778</v>
      </c>
      <c r="E794" s="5" t="s">
        <v>2779</v>
      </c>
      <c r="F794" s="5" t="s">
        <v>2741</v>
      </c>
    </row>
    <row r="795">
      <c r="A795" s="5" t="s">
        <v>2604</v>
      </c>
      <c r="B795" s="8">
        <v>3.0</v>
      </c>
      <c r="C795" s="7" t="s">
        <v>347</v>
      </c>
      <c r="D795" s="5" t="s">
        <v>2778</v>
      </c>
      <c r="E795" s="5" t="s">
        <v>2779</v>
      </c>
      <c r="F795" s="5" t="s">
        <v>353</v>
      </c>
    </row>
    <row r="796">
      <c r="A796" s="5" t="s">
        <v>2605</v>
      </c>
      <c r="B796" s="8">
        <v>3.0</v>
      </c>
      <c r="C796" s="7" t="s">
        <v>347</v>
      </c>
      <c r="D796" s="5" t="s">
        <v>2778</v>
      </c>
      <c r="E796" s="5" t="s">
        <v>2779</v>
      </c>
      <c r="F796" s="7" t="s">
        <v>313</v>
      </c>
    </row>
    <row r="797">
      <c r="A797" s="5" t="s">
        <v>2606</v>
      </c>
      <c r="B797" s="8">
        <v>3.0</v>
      </c>
      <c r="C797" s="7" t="s">
        <v>347</v>
      </c>
      <c r="D797" s="5" t="s">
        <v>2778</v>
      </c>
      <c r="E797" s="5" t="s">
        <v>2779</v>
      </c>
      <c r="F797" s="5" t="s">
        <v>337</v>
      </c>
    </row>
    <row r="798">
      <c r="A798" s="5" t="s">
        <v>2607</v>
      </c>
      <c r="B798" s="8">
        <v>3.0</v>
      </c>
      <c r="C798" s="7" t="s">
        <v>347</v>
      </c>
      <c r="D798" s="5" t="s">
        <v>2778</v>
      </c>
      <c r="E798" s="5" t="s">
        <v>2779</v>
      </c>
      <c r="F798" s="5" t="s">
        <v>350</v>
      </c>
    </row>
    <row r="799">
      <c r="A799" s="5" t="s">
        <v>2614</v>
      </c>
      <c r="B799" s="8">
        <v>3.0</v>
      </c>
      <c r="C799" s="7" t="s">
        <v>347</v>
      </c>
      <c r="D799" s="5" t="s">
        <v>2778</v>
      </c>
      <c r="E799" s="5" t="s">
        <v>2779</v>
      </c>
      <c r="F799" s="5" t="s">
        <v>350</v>
      </c>
    </row>
    <row r="800">
      <c r="A800" s="5" t="s">
        <v>2608</v>
      </c>
      <c r="B800" s="8">
        <v>3.0</v>
      </c>
      <c r="C800" s="7" t="s">
        <v>347</v>
      </c>
      <c r="D800" s="5" t="s">
        <v>2778</v>
      </c>
      <c r="E800" s="5" t="s">
        <v>2779</v>
      </c>
      <c r="F800" s="5" t="s">
        <v>350</v>
      </c>
    </row>
    <row r="801">
      <c r="A801" s="5" t="s">
        <v>2609</v>
      </c>
      <c r="B801" s="8">
        <v>3.0</v>
      </c>
      <c r="C801" s="7" t="s">
        <v>347</v>
      </c>
      <c r="D801" s="5" t="s">
        <v>2778</v>
      </c>
      <c r="E801" s="5" t="s">
        <v>2779</v>
      </c>
      <c r="F801" s="5" t="s">
        <v>350</v>
      </c>
    </row>
    <row r="802">
      <c r="A802" s="7" t="s">
        <v>188</v>
      </c>
      <c r="B802" s="8">
        <v>3.0</v>
      </c>
      <c r="C802" s="7" t="s">
        <v>354</v>
      </c>
      <c r="D802" s="7" t="s">
        <v>355</v>
      </c>
      <c r="E802" s="5" t="s">
        <v>2781</v>
      </c>
      <c r="F802" s="5" t="s">
        <v>2398</v>
      </c>
    </row>
    <row r="803">
      <c r="A803" s="5" t="s">
        <v>2592</v>
      </c>
      <c r="B803" s="8">
        <v>3.0</v>
      </c>
      <c r="C803" s="7" t="s">
        <v>354</v>
      </c>
      <c r="D803" s="7" t="s">
        <v>355</v>
      </c>
      <c r="E803" s="5" t="s">
        <v>2781</v>
      </c>
      <c r="F803" s="5" t="s">
        <v>1664</v>
      </c>
    </row>
    <row r="804">
      <c r="A804" s="5" t="s">
        <v>2594</v>
      </c>
      <c r="B804" s="8">
        <v>3.0</v>
      </c>
      <c r="C804" s="7" t="s">
        <v>354</v>
      </c>
      <c r="D804" s="7" t="s">
        <v>355</v>
      </c>
      <c r="E804" s="5" t="s">
        <v>2781</v>
      </c>
      <c r="F804" s="5" t="s">
        <v>358</v>
      </c>
    </row>
    <row r="805">
      <c r="A805" s="5" t="s">
        <v>2595</v>
      </c>
      <c r="B805" s="8">
        <v>3.0</v>
      </c>
      <c r="C805" s="7" t="s">
        <v>354</v>
      </c>
      <c r="D805" s="7" t="s">
        <v>355</v>
      </c>
      <c r="E805" s="5" t="s">
        <v>2781</v>
      </c>
      <c r="F805" s="5" t="s">
        <v>2744</v>
      </c>
    </row>
    <row r="806">
      <c r="A806" s="5" t="s">
        <v>2597</v>
      </c>
      <c r="B806" s="8">
        <v>3.0</v>
      </c>
      <c r="C806" s="7" t="s">
        <v>354</v>
      </c>
      <c r="D806" s="7" t="s">
        <v>355</v>
      </c>
      <c r="E806" s="5" t="s">
        <v>2781</v>
      </c>
      <c r="F806" s="5" t="s">
        <v>350</v>
      </c>
    </row>
    <row r="807">
      <c r="A807" s="7" t="s">
        <v>8</v>
      </c>
      <c r="B807" s="8">
        <v>3.0</v>
      </c>
      <c r="C807" s="7" t="s">
        <v>354</v>
      </c>
      <c r="D807" s="7" t="s">
        <v>355</v>
      </c>
      <c r="E807" s="5" t="s">
        <v>2781</v>
      </c>
      <c r="F807" s="5" t="s">
        <v>2782</v>
      </c>
    </row>
    <row r="808">
      <c r="A808" s="5" t="s">
        <v>2702</v>
      </c>
      <c r="B808" s="8">
        <v>3.0</v>
      </c>
      <c r="C808" s="7" t="s">
        <v>354</v>
      </c>
      <c r="D808" s="7" t="s">
        <v>355</v>
      </c>
      <c r="E808" s="5" t="s">
        <v>2781</v>
      </c>
      <c r="F808" s="5" t="s">
        <v>2783</v>
      </c>
    </row>
    <row r="809">
      <c r="A809" s="5" t="s">
        <v>2599</v>
      </c>
      <c r="B809" s="8">
        <v>3.0</v>
      </c>
      <c r="C809" s="7" t="s">
        <v>354</v>
      </c>
      <c r="D809" s="7" t="s">
        <v>355</v>
      </c>
      <c r="E809" s="5" t="s">
        <v>2781</v>
      </c>
      <c r="F809" s="5" t="s">
        <v>1664</v>
      </c>
    </row>
    <row r="810">
      <c r="A810" s="5" t="s">
        <v>2600</v>
      </c>
      <c r="B810" s="8">
        <v>3.0</v>
      </c>
      <c r="C810" s="7" t="s">
        <v>354</v>
      </c>
      <c r="D810" s="7" t="s">
        <v>355</v>
      </c>
      <c r="E810" s="5" t="s">
        <v>2781</v>
      </c>
      <c r="F810" s="5" t="s">
        <v>2398</v>
      </c>
    </row>
    <row r="811">
      <c r="A811" s="5" t="s">
        <v>2602</v>
      </c>
      <c r="B811" s="8">
        <v>3.0</v>
      </c>
      <c r="C811" s="7" t="s">
        <v>354</v>
      </c>
      <c r="D811" s="7" t="s">
        <v>355</v>
      </c>
      <c r="E811" s="5" t="s">
        <v>2781</v>
      </c>
      <c r="F811" s="5" t="s">
        <v>2784</v>
      </c>
    </row>
    <row r="812">
      <c r="A812" s="5" t="s">
        <v>2603</v>
      </c>
      <c r="B812" s="8">
        <v>3.0</v>
      </c>
      <c r="C812" s="7" t="s">
        <v>354</v>
      </c>
      <c r="D812" s="7" t="s">
        <v>355</v>
      </c>
      <c r="E812" s="5" t="s">
        <v>2781</v>
      </c>
      <c r="F812" s="5" t="s">
        <v>2784</v>
      </c>
    </row>
    <row r="813">
      <c r="A813" s="5" t="s">
        <v>2604</v>
      </c>
      <c r="B813" s="8">
        <v>3.0</v>
      </c>
      <c r="C813" s="7" t="s">
        <v>354</v>
      </c>
      <c r="D813" s="7" t="s">
        <v>355</v>
      </c>
      <c r="E813" s="5" t="s">
        <v>2781</v>
      </c>
      <c r="F813" s="5" t="s">
        <v>1664</v>
      </c>
    </row>
    <row r="814">
      <c r="A814" s="5" t="s">
        <v>2605</v>
      </c>
      <c r="B814" s="8">
        <v>3.0</v>
      </c>
      <c r="C814" s="7" t="s">
        <v>354</v>
      </c>
      <c r="D814" s="7" t="s">
        <v>355</v>
      </c>
      <c r="E814" s="5" t="s">
        <v>2781</v>
      </c>
      <c r="F814" s="5" t="s">
        <v>2398</v>
      </c>
    </row>
    <row r="815">
      <c r="A815" s="5" t="s">
        <v>2606</v>
      </c>
      <c r="B815" s="8">
        <v>3.0</v>
      </c>
      <c r="C815" s="7" t="s">
        <v>354</v>
      </c>
      <c r="D815" s="7" t="s">
        <v>355</v>
      </c>
      <c r="E815" s="5" t="s">
        <v>2781</v>
      </c>
      <c r="F815" s="5" t="s">
        <v>1664</v>
      </c>
    </row>
    <row r="816">
      <c r="A816" s="5" t="s">
        <v>2607</v>
      </c>
      <c r="B816" s="8">
        <v>3.0</v>
      </c>
      <c r="C816" s="7" t="s">
        <v>354</v>
      </c>
      <c r="D816" s="7" t="s">
        <v>355</v>
      </c>
      <c r="E816" s="5" t="s">
        <v>2781</v>
      </c>
      <c r="F816" s="5" t="s">
        <v>1664</v>
      </c>
    </row>
    <row r="817">
      <c r="A817" s="5" t="s">
        <v>2614</v>
      </c>
      <c r="B817" s="8">
        <v>3.0</v>
      </c>
      <c r="C817" s="7" t="s">
        <v>354</v>
      </c>
      <c r="D817" s="7" t="s">
        <v>355</v>
      </c>
      <c r="E817" s="5" t="s">
        <v>2781</v>
      </c>
      <c r="F817" s="5" t="s">
        <v>1664</v>
      </c>
    </row>
    <row r="818">
      <c r="A818" s="5" t="s">
        <v>2608</v>
      </c>
      <c r="B818" s="8">
        <v>3.0</v>
      </c>
      <c r="C818" s="7" t="s">
        <v>354</v>
      </c>
      <c r="D818" s="7" t="s">
        <v>355</v>
      </c>
      <c r="E818" s="5" t="s">
        <v>2781</v>
      </c>
      <c r="F818" s="5" t="s">
        <v>1664</v>
      </c>
    </row>
    <row r="819">
      <c r="A819" s="5" t="s">
        <v>2609</v>
      </c>
      <c r="B819" s="8">
        <v>3.0</v>
      </c>
      <c r="C819" s="7" t="s">
        <v>354</v>
      </c>
      <c r="D819" s="7" t="s">
        <v>355</v>
      </c>
      <c r="E819" s="5" t="s">
        <v>2781</v>
      </c>
      <c r="F819" s="5" t="s">
        <v>1664</v>
      </c>
    </row>
    <row r="820">
      <c r="A820" s="7" t="s">
        <v>188</v>
      </c>
      <c r="B820" s="8">
        <v>3.0</v>
      </c>
      <c r="C820" s="4" t="s">
        <v>362</v>
      </c>
      <c r="D820" s="5" t="s">
        <v>2785</v>
      </c>
      <c r="E820" s="5" t="s">
        <v>2786</v>
      </c>
      <c r="F820" s="5" t="s">
        <v>270</v>
      </c>
    </row>
    <row r="821">
      <c r="A821" s="5" t="s">
        <v>2592</v>
      </c>
      <c r="B821" s="8">
        <v>3.0</v>
      </c>
      <c r="C821" s="4" t="s">
        <v>362</v>
      </c>
      <c r="D821" s="5" t="s">
        <v>2785</v>
      </c>
      <c r="E821" s="5" t="s">
        <v>2786</v>
      </c>
      <c r="F821" s="5" t="s">
        <v>350</v>
      </c>
    </row>
    <row r="822">
      <c r="A822" s="5" t="s">
        <v>2594</v>
      </c>
      <c r="B822" s="8">
        <v>3.0</v>
      </c>
      <c r="C822" s="4" t="s">
        <v>362</v>
      </c>
      <c r="D822" s="5" t="s">
        <v>2785</v>
      </c>
      <c r="E822" s="5" t="s">
        <v>2786</v>
      </c>
      <c r="F822" s="5" t="s">
        <v>238</v>
      </c>
    </row>
    <row r="823">
      <c r="A823" s="5" t="s">
        <v>2595</v>
      </c>
      <c r="B823" s="8">
        <v>3.0</v>
      </c>
      <c r="C823" s="4" t="s">
        <v>362</v>
      </c>
      <c r="D823" s="5" t="s">
        <v>2785</v>
      </c>
      <c r="E823" s="5" t="s">
        <v>2786</v>
      </c>
      <c r="F823" s="5" t="s">
        <v>350</v>
      </c>
    </row>
    <row r="824">
      <c r="A824" s="5" t="s">
        <v>2597</v>
      </c>
      <c r="B824" s="8">
        <v>3.0</v>
      </c>
      <c r="C824" s="4" t="s">
        <v>362</v>
      </c>
      <c r="D824" s="5" t="s">
        <v>2785</v>
      </c>
      <c r="E824" s="5" t="s">
        <v>2786</v>
      </c>
      <c r="F824" s="5" t="s">
        <v>350</v>
      </c>
    </row>
    <row r="825">
      <c r="A825" s="7" t="s">
        <v>8</v>
      </c>
      <c r="B825" s="8">
        <v>3.0</v>
      </c>
      <c r="C825" s="4" t="s">
        <v>362</v>
      </c>
      <c r="D825" s="5" t="s">
        <v>2785</v>
      </c>
      <c r="E825" s="5" t="s">
        <v>2786</v>
      </c>
      <c r="F825" s="5" t="s">
        <v>350</v>
      </c>
    </row>
    <row r="826">
      <c r="A826" s="5" t="s">
        <v>2702</v>
      </c>
      <c r="B826" s="8">
        <v>3.0</v>
      </c>
      <c r="C826" s="4" t="s">
        <v>362</v>
      </c>
      <c r="D826" s="5" t="s">
        <v>2785</v>
      </c>
      <c r="E826" s="5" t="s">
        <v>2786</v>
      </c>
      <c r="F826" s="5" t="s">
        <v>365</v>
      </c>
    </row>
    <row r="827">
      <c r="A827" s="5" t="s">
        <v>2599</v>
      </c>
      <c r="B827" s="8">
        <v>3.0</v>
      </c>
      <c r="C827" s="4" t="s">
        <v>362</v>
      </c>
      <c r="D827" s="5" t="s">
        <v>2785</v>
      </c>
      <c r="E827" s="5" t="s">
        <v>2786</v>
      </c>
      <c r="F827" s="5" t="s">
        <v>350</v>
      </c>
    </row>
    <row r="828">
      <c r="A828" s="5" t="s">
        <v>2600</v>
      </c>
      <c r="B828" s="8">
        <v>3.0</v>
      </c>
      <c r="C828" s="4" t="s">
        <v>362</v>
      </c>
      <c r="D828" s="5" t="s">
        <v>2785</v>
      </c>
      <c r="E828" s="5" t="s">
        <v>2786</v>
      </c>
      <c r="F828" s="7" t="s">
        <v>313</v>
      </c>
    </row>
    <row r="829">
      <c r="A829" s="5" t="s">
        <v>2602</v>
      </c>
      <c r="B829" s="8">
        <v>3.0</v>
      </c>
      <c r="C829" s="4" t="s">
        <v>362</v>
      </c>
      <c r="D829" s="5" t="s">
        <v>2785</v>
      </c>
      <c r="E829" s="5" t="s">
        <v>2786</v>
      </c>
      <c r="F829" s="5" t="s">
        <v>2741</v>
      </c>
    </row>
    <row r="830">
      <c r="A830" s="5" t="s">
        <v>2603</v>
      </c>
      <c r="B830" s="8">
        <v>3.0</v>
      </c>
      <c r="C830" s="4" t="s">
        <v>362</v>
      </c>
      <c r="D830" s="5" t="s">
        <v>2785</v>
      </c>
      <c r="E830" s="5" t="s">
        <v>2786</v>
      </c>
      <c r="F830" s="5" t="s">
        <v>2741</v>
      </c>
    </row>
    <row r="831">
      <c r="A831" s="5" t="s">
        <v>2604</v>
      </c>
      <c r="B831" s="8">
        <v>3.0</v>
      </c>
      <c r="C831" s="4" t="s">
        <v>362</v>
      </c>
      <c r="D831" s="5" t="s">
        <v>2785</v>
      </c>
      <c r="E831" s="5" t="s">
        <v>2786</v>
      </c>
      <c r="F831" s="5" t="s">
        <v>353</v>
      </c>
    </row>
    <row r="832">
      <c r="A832" s="5" t="s">
        <v>2605</v>
      </c>
      <c r="B832" s="8">
        <v>3.0</v>
      </c>
      <c r="C832" s="4" t="s">
        <v>362</v>
      </c>
      <c r="D832" s="5" t="s">
        <v>2785</v>
      </c>
      <c r="E832" s="5" t="s">
        <v>2786</v>
      </c>
      <c r="F832" s="7" t="s">
        <v>313</v>
      </c>
    </row>
    <row r="833">
      <c r="A833" s="5" t="s">
        <v>2606</v>
      </c>
      <c r="B833" s="8">
        <v>3.0</v>
      </c>
      <c r="C833" s="4" t="s">
        <v>362</v>
      </c>
      <c r="D833" s="5" t="s">
        <v>2785</v>
      </c>
      <c r="E833" s="5" t="s">
        <v>2786</v>
      </c>
      <c r="F833" s="5" t="s">
        <v>337</v>
      </c>
    </row>
    <row r="834">
      <c r="A834" s="5" t="s">
        <v>2607</v>
      </c>
      <c r="B834" s="8">
        <v>3.0</v>
      </c>
      <c r="C834" s="4" t="s">
        <v>362</v>
      </c>
      <c r="D834" s="5" t="s">
        <v>2785</v>
      </c>
      <c r="E834" s="5" t="s">
        <v>2786</v>
      </c>
      <c r="F834" s="5" t="s">
        <v>366</v>
      </c>
    </row>
    <row r="835">
      <c r="A835" s="5" t="s">
        <v>2614</v>
      </c>
      <c r="B835" s="8">
        <v>3.0</v>
      </c>
      <c r="C835" s="4" t="s">
        <v>362</v>
      </c>
      <c r="D835" s="5" t="s">
        <v>2785</v>
      </c>
      <c r="E835" s="5" t="s">
        <v>2786</v>
      </c>
      <c r="F835" s="5" t="s">
        <v>350</v>
      </c>
    </row>
    <row r="836">
      <c r="A836" s="5" t="s">
        <v>2608</v>
      </c>
      <c r="B836" s="8">
        <v>3.0</v>
      </c>
      <c r="C836" s="4" t="s">
        <v>362</v>
      </c>
      <c r="D836" s="5" t="s">
        <v>2785</v>
      </c>
      <c r="E836" s="5" t="s">
        <v>2786</v>
      </c>
      <c r="F836" s="5" t="s">
        <v>238</v>
      </c>
    </row>
    <row r="837">
      <c r="A837" s="5" t="s">
        <v>2609</v>
      </c>
      <c r="B837" s="8">
        <v>3.0</v>
      </c>
      <c r="C837" s="4" t="s">
        <v>362</v>
      </c>
      <c r="D837" s="5" t="s">
        <v>2785</v>
      </c>
      <c r="E837" s="5" t="s">
        <v>2786</v>
      </c>
      <c r="F837" s="5" t="s">
        <v>238</v>
      </c>
    </row>
    <row r="838">
      <c r="A838" s="7" t="s">
        <v>188</v>
      </c>
      <c r="B838" s="8">
        <v>3.0</v>
      </c>
      <c r="C838" s="4" t="s">
        <v>367</v>
      </c>
      <c r="D838" s="7" t="s">
        <v>368</v>
      </c>
      <c r="E838" s="5" t="s">
        <v>369</v>
      </c>
      <c r="F838" s="5" t="s">
        <v>2787</v>
      </c>
    </row>
    <row r="839">
      <c r="A839" s="5" t="s">
        <v>2592</v>
      </c>
      <c r="B839" s="8">
        <v>3.0</v>
      </c>
      <c r="C839" s="4" t="s">
        <v>367</v>
      </c>
      <c r="D839" s="7" t="s">
        <v>368</v>
      </c>
      <c r="E839" s="5" t="s">
        <v>369</v>
      </c>
      <c r="F839" s="5" t="s">
        <v>2788</v>
      </c>
    </row>
    <row r="840">
      <c r="A840" s="5" t="s">
        <v>2594</v>
      </c>
      <c r="B840" s="8">
        <v>3.0</v>
      </c>
      <c r="C840" s="4" t="s">
        <v>367</v>
      </c>
      <c r="D840" s="7" t="s">
        <v>368</v>
      </c>
      <c r="E840" s="5" t="s">
        <v>369</v>
      </c>
      <c r="F840" s="5" t="s">
        <v>2789</v>
      </c>
    </row>
    <row r="841">
      <c r="A841" s="5" t="s">
        <v>2595</v>
      </c>
      <c r="B841" s="8">
        <v>3.0</v>
      </c>
      <c r="C841" s="4" t="s">
        <v>367</v>
      </c>
      <c r="D841" s="7" t="s">
        <v>368</v>
      </c>
      <c r="E841" s="5" t="s">
        <v>369</v>
      </c>
      <c r="F841" s="5" t="s">
        <v>2788</v>
      </c>
    </row>
    <row r="842">
      <c r="A842" s="5" t="s">
        <v>2597</v>
      </c>
      <c r="B842" s="8">
        <v>3.0</v>
      </c>
      <c r="C842" s="4" t="s">
        <v>367</v>
      </c>
      <c r="D842" s="7" t="s">
        <v>368</v>
      </c>
      <c r="E842" s="5" t="s">
        <v>369</v>
      </c>
      <c r="F842" s="5" t="s">
        <v>2790</v>
      </c>
    </row>
    <row r="843">
      <c r="A843" s="7" t="s">
        <v>8</v>
      </c>
      <c r="B843" s="8">
        <v>3.0</v>
      </c>
      <c r="C843" s="4" t="s">
        <v>367</v>
      </c>
      <c r="D843" s="7" t="s">
        <v>368</v>
      </c>
      <c r="E843" s="5" t="s">
        <v>369</v>
      </c>
      <c r="F843" s="5" t="s">
        <v>2791</v>
      </c>
    </row>
    <row r="844">
      <c r="A844" s="5" t="s">
        <v>2702</v>
      </c>
      <c r="B844" s="8">
        <v>3.0</v>
      </c>
      <c r="C844" s="4" t="s">
        <v>367</v>
      </c>
      <c r="D844" s="7" t="s">
        <v>368</v>
      </c>
      <c r="E844" s="5" t="s">
        <v>369</v>
      </c>
      <c r="F844" s="5" t="s">
        <v>2790</v>
      </c>
    </row>
    <row r="845">
      <c r="A845" s="5" t="s">
        <v>2599</v>
      </c>
      <c r="B845" s="8">
        <v>3.0</v>
      </c>
      <c r="C845" s="4" t="s">
        <v>367</v>
      </c>
      <c r="D845" s="7" t="s">
        <v>368</v>
      </c>
      <c r="E845" s="5" t="s">
        <v>369</v>
      </c>
      <c r="F845" s="5" t="s">
        <v>2788</v>
      </c>
    </row>
    <row r="846">
      <c r="A846" s="5" t="s">
        <v>2600</v>
      </c>
      <c r="B846" s="8">
        <v>3.0</v>
      </c>
      <c r="C846" s="4" t="s">
        <v>367</v>
      </c>
      <c r="D846" s="7" t="s">
        <v>368</v>
      </c>
      <c r="E846" s="5" t="s">
        <v>369</v>
      </c>
      <c r="F846" s="5" t="s">
        <v>2790</v>
      </c>
    </row>
    <row r="847">
      <c r="A847" s="5" t="s">
        <v>2602</v>
      </c>
      <c r="B847" s="8">
        <v>3.0</v>
      </c>
      <c r="C847" s="4" t="s">
        <v>367</v>
      </c>
      <c r="D847" s="7" t="s">
        <v>368</v>
      </c>
      <c r="E847" s="5" t="s">
        <v>369</v>
      </c>
      <c r="F847" s="5" t="s">
        <v>2788</v>
      </c>
    </row>
    <row r="848">
      <c r="A848" s="5" t="s">
        <v>2603</v>
      </c>
      <c r="B848" s="8">
        <v>3.0</v>
      </c>
      <c r="C848" s="4" t="s">
        <v>367</v>
      </c>
      <c r="D848" s="7" t="s">
        <v>368</v>
      </c>
      <c r="E848" s="5" t="s">
        <v>369</v>
      </c>
      <c r="F848" s="5" t="s">
        <v>2788</v>
      </c>
    </row>
    <row r="849">
      <c r="A849" s="5" t="s">
        <v>2604</v>
      </c>
      <c r="B849" s="8">
        <v>3.0</v>
      </c>
      <c r="C849" s="4" t="s">
        <v>367</v>
      </c>
      <c r="D849" s="7" t="s">
        <v>368</v>
      </c>
      <c r="E849" s="5" t="s">
        <v>369</v>
      </c>
      <c r="F849" s="5" t="s">
        <v>2792</v>
      </c>
    </row>
    <row r="850">
      <c r="A850" s="5" t="s">
        <v>2605</v>
      </c>
      <c r="B850" s="8">
        <v>3.0</v>
      </c>
      <c r="C850" s="4" t="s">
        <v>367</v>
      </c>
      <c r="D850" s="7" t="s">
        <v>368</v>
      </c>
      <c r="E850" s="5" t="s">
        <v>369</v>
      </c>
      <c r="F850" s="5" t="s">
        <v>2790</v>
      </c>
    </row>
    <row r="851">
      <c r="A851" s="5" t="s">
        <v>2606</v>
      </c>
      <c r="B851" s="8">
        <v>3.0</v>
      </c>
      <c r="C851" s="4" t="s">
        <v>367</v>
      </c>
      <c r="D851" s="7" t="s">
        <v>368</v>
      </c>
      <c r="E851" s="5" t="s">
        <v>369</v>
      </c>
      <c r="F851" s="5" t="s">
        <v>2788</v>
      </c>
    </row>
    <row r="852">
      <c r="A852" s="5" t="s">
        <v>2607</v>
      </c>
      <c r="B852" s="8">
        <v>3.0</v>
      </c>
      <c r="C852" s="4" t="s">
        <v>367</v>
      </c>
      <c r="D852" s="7" t="s">
        <v>368</v>
      </c>
      <c r="E852" s="5" t="s">
        <v>369</v>
      </c>
      <c r="F852" s="5" t="s">
        <v>2793</v>
      </c>
    </row>
    <row r="853">
      <c r="A853" s="5" t="s">
        <v>2614</v>
      </c>
      <c r="B853" s="8">
        <v>3.0</v>
      </c>
      <c r="C853" s="4" t="s">
        <v>367</v>
      </c>
      <c r="D853" s="7" t="s">
        <v>368</v>
      </c>
      <c r="E853" s="5" t="s">
        <v>369</v>
      </c>
      <c r="F853" s="5" t="s">
        <v>2790</v>
      </c>
    </row>
    <row r="854">
      <c r="A854" s="5" t="s">
        <v>2608</v>
      </c>
      <c r="B854" s="8">
        <v>3.0</v>
      </c>
      <c r="C854" s="4" t="s">
        <v>367</v>
      </c>
      <c r="D854" s="7" t="s">
        <v>368</v>
      </c>
      <c r="E854" s="5" t="s">
        <v>369</v>
      </c>
      <c r="F854" s="5" t="s">
        <v>2789</v>
      </c>
    </row>
    <row r="855">
      <c r="A855" s="5" t="s">
        <v>2609</v>
      </c>
      <c r="B855" s="8">
        <v>3.0</v>
      </c>
      <c r="C855" s="4" t="s">
        <v>367</v>
      </c>
      <c r="D855" s="7" t="s">
        <v>368</v>
      </c>
      <c r="E855" s="5" t="s">
        <v>369</v>
      </c>
      <c r="F855" s="5" t="s">
        <v>2794</v>
      </c>
    </row>
    <row r="856">
      <c r="A856" s="7" t="s">
        <v>188</v>
      </c>
      <c r="B856" s="8" t="s">
        <v>593</v>
      </c>
      <c r="C856" s="4" t="s">
        <v>193</v>
      </c>
      <c r="D856" s="7" t="s">
        <v>389</v>
      </c>
      <c r="E856" s="5" t="s">
        <v>2795</v>
      </c>
      <c r="F856" s="7" t="s">
        <v>384</v>
      </c>
    </row>
    <row r="857">
      <c r="A857" s="5" t="s">
        <v>2592</v>
      </c>
      <c r="B857" s="8">
        <v>4.0</v>
      </c>
      <c r="C857" s="4" t="s">
        <v>193</v>
      </c>
      <c r="D857" s="7" t="s">
        <v>389</v>
      </c>
      <c r="E857" s="5" t="s">
        <v>2795</v>
      </c>
      <c r="F857" s="7" t="s">
        <v>380</v>
      </c>
    </row>
    <row r="858">
      <c r="A858" s="5" t="s">
        <v>2796</v>
      </c>
      <c r="B858" s="8">
        <v>4.0</v>
      </c>
      <c r="C858" s="4" t="s">
        <v>193</v>
      </c>
      <c r="D858" s="7" t="s">
        <v>389</v>
      </c>
      <c r="E858" s="5" t="s">
        <v>2795</v>
      </c>
      <c r="F858" s="7" t="s">
        <v>384</v>
      </c>
    </row>
    <row r="859">
      <c r="A859" s="5" t="s">
        <v>2797</v>
      </c>
      <c r="B859" s="8">
        <v>4.0</v>
      </c>
      <c r="C859" s="4" t="s">
        <v>193</v>
      </c>
      <c r="D859" s="7" t="s">
        <v>389</v>
      </c>
      <c r="E859" s="5" t="s">
        <v>2795</v>
      </c>
      <c r="F859" s="7" t="s">
        <v>385</v>
      </c>
    </row>
    <row r="860">
      <c r="A860" s="5" t="s">
        <v>2595</v>
      </c>
      <c r="B860" s="8">
        <v>4.0</v>
      </c>
      <c r="C860" s="4" t="s">
        <v>193</v>
      </c>
      <c r="D860" s="7" t="s">
        <v>389</v>
      </c>
      <c r="E860" s="5" t="s">
        <v>2795</v>
      </c>
      <c r="F860" s="7" t="s">
        <v>380</v>
      </c>
    </row>
    <row r="861">
      <c r="A861" s="5" t="s">
        <v>2597</v>
      </c>
      <c r="B861" s="8">
        <v>4.0</v>
      </c>
      <c r="C861" s="4" t="s">
        <v>193</v>
      </c>
      <c r="D861" s="7" t="s">
        <v>389</v>
      </c>
      <c r="E861" s="5" t="s">
        <v>2795</v>
      </c>
      <c r="F861" s="7" t="s">
        <v>384</v>
      </c>
    </row>
    <row r="862">
      <c r="A862" s="7" t="s">
        <v>8</v>
      </c>
      <c r="B862" s="8">
        <v>4.0</v>
      </c>
      <c r="C862" s="4" t="s">
        <v>193</v>
      </c>
      <c r="D862" s="7" t="s">
        <v>389</v>
      </c>
      <c r="E862" s="5" t="s">
        <v>2795</v>
      </c>
      <c r="F862" s="7" t="s">
        <v>384</v>
      </c>
    </row>
    <row r="863">
      <c r="A863" s="5" t="s">
        <v>2798</v>
      </c>
      <c r="B863" s="8">
        <v>4.0</v>
      </c>
      <c r="C863" s="4" t="s">
        <v>193</v>
      </c>
      <c r="D863" s="7" t="s">
        <v>389</v>
      </c>
      <c r="E863" s="5" t="s">
        <v>2795</v>
      </c>
      <c r="F863" s="7" t="s">
        <v>385</v>
      </c>
    </row>
    <row r="864">
      <c r="A864" s="5" t="s">
        <v>2702</v>
      </c>
      <c r="B864" s="8">
        <v>4.0</v>
      </c>
      <c r="C864" s="4" t="s">
        <v>193</v>
      </c>
      <c r="D864" s="7" t="s">
        <v>389</v>
      </c>
      <c r="E864" s="5" t="s">
        <v>2795</v>
      </c>
      <c r="F864" s="7" t="s">
        <v>594</v>
      </c>
    </row>
    <row r="865">
      <c r="A865" s="5" t="s">
        <v>2599</v>
      </c>
      <c r="B865" s="8">
        <v>4.0</v>
      </c>
      <c r="C865" s="4" t="s">
        <v>193</v>
      </c>
      <c r="D865" s="7" t="s">
        <v>389</v>
      </c>
      <c r="E865" s="5" t="s">
        <v>2795</v>
      </c>
      <c r="F865" s="7" t="s">
        <v>380</v>
      </c>
    </row>
    <row r="866">
      <c r="A866" s="5" t="s">
        <v>2600</v>
      </c>
      <c r="B866" s="8">
        <v>4.0</v>
      </c>
      <c r="C866" s="4" t="s">
        <v>193</v>
      </c>
      <c r="D866" s="7" t="s">
        <v>389</v>
      </c>
      <c r="E866" s="5" t="s">
        <v>2795</v>
      </c>
      <c r="F866" s="7" t="s">
        <v>384</v>
      </c>
    </row>
    <row r="867">
      <c r="A867" s="5" t="s">
        <v>2602</v>
      </c>
      <c r="B867" s="8">
        <v>4.0</v>
      </c>
      <c r="C867" s="4" t="s">
        <v>193</v>
      </c>
      <c r="D867" s="7" t="s">
        <v>389</v>
      </c>
      <c r="E867" s="5" t="s">
        <v>2795</v>
      </c>
      <c r="F867" s="7" t="s">
        <v>380</v>
      </c>
    </row>
    <row r="868">
      <c r="A868" s="5" t="s">
        <v>2603</v>
      </c>
      <c r="B868" s="8">
        <v>4.0</v>
      </c>
      <c r="C868" s="4" t="s">
        <v>193</v>
      </c>
      <c r="D868" s="7" t="s">
        <v>389</v>
      </c>
      <c r="E868" s="5" t="s">
        <v>2795</v>
      </c>
      <c r="F868" s="7" t="s">
        <v>380</v>
      </c>
    </row>
    <row r="869">
      <c r="A869" s="5" t="s">
        <v>2604</v>
      </c>
      <c r="B869" s="8">
        <v>4.0</v>
      </c>
      <c r="C869" s="4" t="s">
        <v>193</v>
      </c>
      <c r="D869" s="7" t="s">
        <v>389</v>
      </c>
      <c r="E869" s="5" t="s">
        <v>2795</v>
      </c>
      <c r="F869" s="7" t="s">
        <v>384</v>
      </c>
    </row>
    <row r="870">
      <c r="A870" s="5" t="s">
        <v>2605</v>
      </c>
      <c r="B870" s="8">
        <v>4.0</v>
      </c>
      <c r="C870" s="4" t="s">
        <v>193</v>
      </c>
      <c r="D870" s="7" t="s">
        <v>389</v>
      </c>
      <c r="E870" s="5" t="s">
        <v>2795</v>
      </c>
      <c r="F870" s="7" t="s">
        <v>384</v>
      </c>
    </row>
    <row r="871">
      <c r="A871" s="5" t="s">
        <v>2606</v>
      </c>
      <c r="B871" s="8">
        <v>4.0</v>
      </c>
      <c r="C871" s="4" t="s">
        <v>193</v>
      </c>
      <c r="D871" s="7" t="s">
        <v>389</v>
      </c>
      <c r="E871" s="5" t="s">
        <v>2795</v>
      </c>
      <c r="F871" s="7" t="s">
        <v>380</v>
      </c>
    </row>
    <row r="872">
      <c r="A872" s="5" t="s">
        <v>2607</v>
      </c>
      <c r="B872" s="8">
        <v>4.0</v>
      </c>
      <c r="C872" s="4" t="s">
        <v>193</v>
      </c>
      <c r="D872" s="7" t="s">
        <v>389</v>
      </c>
      <c r="E872" s="5" t="s">
        <v>2795</v>
      </c>
      <c r="F872" s="7" t="s">
        <v>385</v>
      </c>
    </row>
    <row r="873">
      <c r="A873" s="5" t="s">
        <v>2614</v>
      </c>
      <c r="B873" s="8">
        <v>4.0</v>
      </c>
      <c r="C873" s="4" t="s">
        <v>193</v>
      </c>
      <c r="D873" s="7" t="s">
        <v>389</v>
      </c>
      <c r="E873" s="5" t="s">
        <v>2795</v>
      </c>
      <c r="F873" s="7" t="s">
        <v>595</v>
      </c>
    </row>
    <row r="874">
      <c r="A874" s="5" t="s">
        <v>2608</v>
      </c>
      <c r="B874" s="8">
        <v>4.0</v>
      </c>
      <c r="C874" s="4" t="s">
        <v>193</v>
      </c>
      <c r="D874" s="7" t="s">
        <v>389</v>
      </c>
      <c r="E874" s="5" t="s">
        <v>2795</v>
      </c>
      <c r="F874" s="7" t="s">
        <v>594</v>
      </c>
    </row>
    <row r="875">
      <c r="A875" s="5" t="s">
        <v>2609</v>
      </c>
      <c r="B875" s="8">
        <v>4.0</v>
      </c>
      <c r="C875" s="4" t="s">
        <v>193</v>
      </c>
      <c r="D875" s="7" t="s">
        <v>389</v>
      </c>
      <c r="E875" s="5" t="s">
        <v>2795</v>
      </c>
      <c r="F875" s="7" t="s">
        <v>594</v>
      </c>
    </row>
    <row r="876">
      <c r="A876" s="7" t="s">
        <v>188</v>
      </c>
      <c r="B876" s="8">
        <v>4.0</v>
      </c>
      <c r="C876" s="7" t="s">
        <v>391</v>
      </c>
      <c r="D876" s="5" t="s">
        <v>2799</v>
      </c>
      <c r="E876" s="5" t="s">
        <v>2800</v>
      </c>
      <c r="F876" s="5" t="s">
        <v>537</v>
      </c>
    </row>
    <row r="877">
      <c r="A877" s="5" t="s">
        <v>2592</v>
      </c>
      <c r="B877" s="8">
        <v>4.0</v>
      </c>
      <c r="C877" s="7" t="s">
        <v>391</v>
      </c>
      <c r="D877" s="5" t="s">
        <v>2799</v>
      </c>
      <c r="E877" s="5" t="s">
        <v>2800</v>
      </c>
      <c r="F877" s="5" t="s">
        <v>1251</v>
      </c>
    </row>
    <row r="878">
      <c r="A878" s="5" t="s">
        <v>2796</v>
      </c>
      <c r="B878" s="8">
        <v>4.0</v>
      </c>
      <c r="C878" s="7" t="s">
        <v>391</v>
      </c>
      <c r="D878" s="5" t="s">
        <v>2799</v>
      </c>
      <c r="E878" s="5" t="s">
        <v>2800</v>
      </c>
      <c r="F878" s="5" t="s">
        <v>537</v>
      </c>
    </row>
    <row r="879">
      <c r="A879" s="5" t="s">
        <v>2797</v>
      </c>
      <c r="B879" s="8">
        <v>4.0</v>
      </c>
      <c r="C879" s="7" t="s">
        <v>391</v>
      </c>
      <c r="D879" s="5" t="s">
        <v>2799</v>
      </c>
      <c r="E879" s="5" t="s">
        <v>2800</v>
      </c>
      <c r="F879" s="5" t="s">
        <v>2801</v>
      </c>
    </row>
    <row r="880">
      <c r="A880" s="5" t="s">
        <v>2595</v>
      </c>
      <c r="B880" s="8">
        <v>4.0</v>
      </c>
      <c r="C880" s="7" t="s">
        <v>391</v>
      </c>
      <c r="D880" s="5" t="s">
        <v>2799</v>
      </c>
      <c r="E880" s="5" t="s">
        <v>2800</v>
      </c>
      <c r="F880" s="5" t="s">
        <v>2802</v>
      </c>
    </row>
    <row r="881">
      <c r="A881" s="5" t="s">
        <v>2597</v>
      </c>
      <c r="B881" s="8">
        <v>4.0</v>
      </c>
      <c r="C881" s="7" t="s">
        <v>391</v>
      </c>
      <c r="D881" s="5" t="s">
        <v>2799</v>
      </c>
      <c r="E881" s="5" t="s">
        <v>2800</v>
      </c>
      <c r="F881" s="5" t="s">
        <v>2801</v>
      </c>
    </row>
    <row r="882">
      <c r="A882" s="7" t="s">
        <v>8</v>
      </c>
      <c r="B882" s="8">
        <v>4.0</v>
      </c>
      <c r="C882" s="7" t="s">
        <v>391</v>
      </c>
      <c r="D882" s="5" t="s">
        <v>2799</v>
      </c>
      <c r="E882" s="5" t="s">
        <v>2800</v>
      </c>
      <c r="F882" s="7" t="s">
        <v>398</v>
      </c>
    </row>
    <row r="883">
      <c r="A883" s="5" t="s">
        <v>2798</v>
      </c>
      <c r="B883" s="8">
        <v>4.0</v>
      </c>
      <c r="C883" s="7" t="s">
        <v>391</v>
      </c>
      <c r="D883" s="5" t="s">
        <v>2799</v>
      </c>
      <c r="E883" s="5" t="s">
        <v>2800</v>
      </c>
      <c r="F883" s="5" t="s">
        <v>2803</v>
      </c>
    </row>
    <row r="884">
      <c r="A884" s="5" t="s">
        <v>2702</v>
      </c>
      <c r="B884" s="8">
        <v>4.0</v>
      </c>
      <c r="C884" s="7" t="s">
        <v>391</v>
      </c>
      <c r="D884" s="5" t="s">
        <v>2799</v>
      </c>
      <c r="E884" s="5" t="s">
        <v>2800</v>
      </c>
      <c r="F884" s="5" t="s">
        <v>537</v>
      </c>
    </row>
    <row r="885">
      <c r="A885" s="5" t="s">
        <v>2599</v>
      </c>
      <c r="B885" s="8">
        <v>4.0</v>
      </c>
      <c r="C885" s="7" t="s">
        <v>391</v>
      </c>
      <c r="D885" s="5" t="s">
        <v>2799</v>
      </c>
      <c r="E885" s="5" t="s">
        <v>2800</v>
      </c>
      <c r="F885" s="7" t="s">
        <v>400</v>
      </c>
    </row>
    <row r="886">
      <c r="A886" s="5" t="s">
        <v>2600</v>
      </c>
      <c r="B886" s="8">
        <v>4.0</v>
      </c>
      <c r="C886" s="7" t="s">
        <v>391</v>
      </c>
      <c r="D886" s="5" t="s">
        <v>2799</v>
      </c>
      <c r="E886" s="5" t="s">
        <v>2800</v>
      </c>
      <c r="F886" s="5" t="s">
        <v>537</v>
      </c>
    </row>
    <row r="887">
      <c r="A887" s="5" t="s">
        <v>2602</v>
      </c>
      <c r="B887" s="8">
        <v>4.0</v>
      </c>
      <c r="C887" s="7" t="s">
        <v>391</v>
      </c>
      <c r="D887" s="5" t="s">
        <v>2799</v>
      </c>
      <c r="E887" s="5" t="s">
        <v>2800</v>
      </c>
      <c r="F887" s="5" t="s">
        <v>2804</v>
      </c>
    </row>
    <row r="888">
      <c r="A888" s="5" t="s">
        <v>2603</v>
      </c>
      <c r="B888" s="8">
        <v>4.0</v>
      </c>
      <c r="C888" s="7" t="s">
        <v>391</v>
      </c>
      <c r="D888" s="5" t="s">
        <v>2799</v>
      </c>
      <c r="E888" s="5" t="s">
        <v>2800</v>
      </c>
      <c r="F888" s="5" t="s">
        <v>2805</v>
      </c>
    </row>
    <row r="889">
      <c r="A889" s="5" t="s">
        <v>2604</v>
      </c>
      <c r="B889" s="8">
        <v>4.0</v>
      </c>
      <c r="C889" s="7" t="s">
        <v>391</v>
      </c>
      <c r="D889" s="5" t="s">
        <v>2799</v>
      </c>
      <c r="E889" s="5" t="s">
        <v>2800</v>
      </c>
      <c r="F889" s="5" t="s">
        <v>2801</v>
      </c>
    </row>
    <row r="890">
      <c r="A890" s="5" t="s">
        <v>2605</v>
      </c>
      <c r="B890" s="8">
        <v>4.0</v>
      </c>
      <c r="C890" s="7" t="s">
        <v>391</v>
      </c>
      <c r="D890" s="5" t="s">
        <v>2799</v>
      </c>
      <c r="E890" s="5" t="s">
        <v>2800</v>
      </c>
      <c r="F890" s="5" t="s">
        <v>2806</v>
      </c>
    </row>
    <row r="891">
      <c r="A891" s="5" t="s">
        <v>2606</v>
      </c>
      <c r="B891" s="8">
        <v>4.0</v>
      </c>
      <c r="C891" s="7" t="s">
        <v>391</v>
      </c>
      <c r="D891" s="5" t="s">
        <v>2799</v>
      </c>
      <c r="E891" s="5" t="s">
        <v>2800</v>
      </c>
      <c r="F891" s="5" t="s">
        <v>2807</v>
      </c>
    </row>
    <row r="892">
      <c r="A892" s="5" t="s">
        <v>2607</v>
      </c>
      <c r="B892" s="8">
        <v>4.0</v>
      </c>
      <c r="C892" s="7" t="s">
        <v>391</v>
      </c>
      <c r="D892" s="5" t="s">
        <v>2799</v>
      </c>
      <c r="E892" s="5" t="s">
        <v>2800</v>
      </c>
      <c r="F892" s="5" t="s">
        <v>2801</v>
      </c>
    </row>
    <row r="893">
      <c r="A893" s="5" t="s">
        <v>2614</v>
      </c>
      <c r="B893" s="8">
        <v>4.0</v>
      </c>
      <c r="C893" s="7" t="s">
        <v>391</v>
      </c>
      <c r="D893" s="5" t="s">
        <v>2799</v>
      </c>
      <c r="E893" s="5" t="s">
        <v>2800</v>
      </c>
      <c r="F893" s="5" t="s">
        <v>2801</v>
      </c>
    </row>
    <row r="894">
      <c r="A894" s="5" t="s">
        <v>2608</v>
      </c>
      <c r="B894" s="8">
        <v>4.0</v>
      </c>
      <c r="C894" s="7" t="s">
        <v>391</v>
      </c>
      <c r="D894" s="5" t="s">
        <v>2799</v>
      </c>
      <c r="E894" s="5" t="s">
        <v>2800</v>
      </c>
      <c r="F894" s="5" t="s">
        <v>2801</v>
      </c>
    </row>
    <row r="895">
      <c r="A895" s="5" t="s">
        <v>2609</v>
      </c>
      <c r="B895" s="8">
        <v>4.0</v>
      </c>
      <c r="C895" s="7" t="s">
        <v>391</v>
      </c>
      <c r="D895" s="5" t="s">
        <v>2799</v>
      </c>
      <c r="E895" s="5" t="s">
        <v>2800</v>
      </c>
      <c r="F895" s="5" t="s">
        <v>2801</v>
      </c>
    </row>
    <row r="896">
      <c r="A896" s="7" t="s">
        <v>188</v>
      </c>
      <c r="B896" s="8">
        <v>4.0</v>
      </c>
      <c r="C896" s="7" t="s">
        <v>405</v>
      </c>
      <c r="D896" s="7" t="s">
        <v>406</v>
      </c>
      <c r="E896" s="5" t="s">
        <v>2808</v>
      </c>
      <c r="F896" s="5" t="s">
        <v>2671</v>
      </c>
    </row>
    <row r="897">
      <c r="A897" s="5" t="s">
        <v>2592</v>
      </c>
      <c r="B897" s="8">
        <v>4.0</v>
      </c>
      <c r="C897" s="7" t="s">
        <v>405</v>
      </c>
      <c r="D897" s="7" t="s">
        <v>406</v>
      </c>
      <c r="E897" s="5" t="s">
        <v>2808</v>
      </c>
      <c r="F897" s="5" t="s">
        <v>409</v>
      </c>
    </row>
    <row r="898">
      <c r="A898" s="5" t="s">
        <v>2796</v>
      </c>
      <c r="B898" s="8">
        <v>4.0</v>
      </c>
      <c r="C898" s="7" t="s">
        <v>405</v>
      </c>
      <c r="D898" s="7" t="s">
        <v>406</v>
      </c>
      <c r="E898" s="5" t="s">
        <v>2808</v>
      </c>
      <c r="F898" s="5" t="s">
        <v>2671</v>
      </c>
    </row>
    <row r="899">
      <c r="A899" s="5" t="s">
        <v>2797</v>
      </c>
      <c r="B899" s="8">
        <v>4.0</v>
      </c>
      <c r="C899" s="7" t="s">
        <v>405</v>
      </c>
      <c r="D899" s="7" t="s">
        <v>406</v>
      </c>
      <c r="E899" s="5" t="s">
        <v>2808</v>
      </c>
      <c r="F899" s="5" t="s">
        <v>519</v>
      </c>
    </row>
    <row r="900">
      <c r="A900" s="5" t="s">
        <v>2595</v>
      </c>
      <c r="B900" s="8">
        <v>4.0</v>
      </c>
      <c r="C900" s="7" t="s">
        <v>405</v>
      </c>
      <c r="D900" s="7" t="s">
        <v>406</v>
      </c>
      <c r="E900" s="5" t="s">
        <v>2808</v>
      </c>
      <c r="F900" s="5" t="s">
        <v>240</v>
      </c>
    </row>
    <row r="901">
      <c r="A901" s="5" t="s">
        <v>2597</v>
      </c>
      <c r="B901" s="8">
        <v>4.0</v>
      </c>
      <c r="C901" s="7" t="s">
        <v>405</v>
      </c>
      <c r="D901" s="7" t="s">
        <v>406</v>
      </c>
      <c r="E901" s="5" t="s">
        <v>2808</v>
      </c>
      <c r="F901" s="5" t="s">
        <v>240</v>
      </c>
    </row>
    <row r="902">
      <c r="A902" s="7" t="s">
        <v>8</v>
      </c>
      <c r="B902" s="8">
        <v>4.0</v>
      </c>
      <c r="C902" s="7" t="s">
        <v>405</v>
      </c>
      <c r="D902" s="7" t="s">
        <v>406</v>
      </c>
      <c r="E902" s="5" t="s">
        <v>2808</v>
      </c>
      <c r="F902" s="5" t="s">
        <v>2671</v>
      </c>
    </row>
    <row r="903">
      <c r="A903" s="5" t="s">
        <v>2798</v>
      </c>
      <c r="B903" s="8">
        <v>4.0</v>
      </c>
      <c r="C903" s="7" t="s">
        <v>405</v>
      </c>
      <c r="D903" s="7" t="s">
        <v>406</v>
      </c>
      <c r="E903" s="5" t="s">
        <v>2808</v>
      </c>
      <c r="F903" s="5" t="s">
        <v>2809</v>
      </c>
    </row>
    <row r="904">
      <c r="A904" s="5" t="s">
        <v>2702</v>
      </c>
      <c r="B904" s="8">
        <v>4.0</v>
      </c>
      <c r="C904" s="7" t="s">
        <v>405</v>
      </c>
      <c r="D904" s="7" t="s">
        <v>406</v>
      </c>
      <c r="E904" s="5" t="s">
        <v>2808</v>
      </c>
      <c r="F904" s="5" t="s">
        <v>411</v>
      </c>
    </row>
    <row r="905">
      <c r="A905" s="5" t="s">
        <v>2599</v>
      </c>
      <c r="B905" s="8">
        <v>4.0</v>
      </c>
      <c r="C905" s="7" t="s">
        <v>405</v>
      </c>
      <c r="D905" s="7" t="s">
        <v>406</v>
      </c>
      <c r="E905" s="5" t="s">
        <v>2808</v>
      </c>
      <c r="F905" s="5" t="s">
        <v>240</v>
      </c>
    </row>
    <row r="906">
      <c r="A906" s="5" t="s">
        <v>2600</v>
      </c>
      <c r="B906" s="8">
        <v>4.0</v>
      </c>
      <c r="C906" s="7" t="s">
        <v>405</v>
      </c>
      <c r="D906" s="7" t="s">
        <v>406</v>
      </c>
      <c r="E906" s="5" t="s">
        <v>2808</v>
      </c>
      <c r="F906" s="5" t="s">
        <v>305</v>
      </c>
    </row>
    <row r="907">
      <c r="A907" s="5" t="s">
        <v>2602</v>
      </c>
      <c r="B907" s="8">
        <v>4.0</v>
      </c>
      <c r="C907" s="7" t="s">
        <v>405</v>
      </c>
      <c r="D907" s="7" t="s">
        <v>406</v>
      </c>
      <c r="E907" s="5" t="s">
        <v>2808</v>
      </c>
      <c r="F907" s="5" t="s">
        <v>2810</v>
      </c>
    </row>
    <row r="908">
      <c r="A908" s="5" t="s">
        <v>2603</v>
      </c>
      <c r="B908" s="8">
        <v>4.0</v>
      </c>
      <c r="C908" s="7" t="s">
        <v>405</v>
      </c>
      <c r="D908" s="7" t="s">
        <v>406</v>
      </c>
      <c r="E908" s="5" t="s">
        <v>2808</v>
      </c>
      <c r="F908" s="5" t="s">
        <v>2671</v>
      </c>
    </row>
    <row r="909">
      <c r="A909" s="5" t="s">
        <v>2604</v>
      </c>
      <c r="B909" s="8">
        <v>4.0</v>
      </c>
      <c r="C909" s="7" t="s">
        <v>405</v>
      </c>
      <c r="D909" s="7" t="s">
        <v>406</v>
      </c>
      <c r="E909" s="5" t="s">
        <v>2808</v>
      </c>
      <c r="F909" s="5" t="s">
        <v>2671</v>
      </c>
    </row>
    <row r="910">
      <c r="A910" s="5" t="s">
        <v>2605</v>
      </c>
      <c r="B910" s="8">
        <v>4.0</v>
      </c>
      <c r="C910" s="7" t="s">
        <v>405</v>
      </c>
      <c r="D910" s="7" t="s">
        <v>406</v>
      </c>
      <c r="E910" s="5" t="s">
        <v>2808</v>
      </c>
      <c r="F910" s="5" t="s">
        <v>411</v>
      </c>
    </row>
    <row r="911">
      <c r="A911" s="5" t="s">
        <v>2606</v>
      </c>
      <c r="B911" s="8">
        <v>4.0</v>
      </c>
      <c r="C911" s="7" t="s">
        <v>405</v>
      </c>
      <c r="D911" s="7" t="s">
        <v>406</v>
      </c>
      <c r="E911" s="5" t="s">
        <v>2808</v>
      </c>
      <c r="F911" s="5" t="s">
        <v>2741</v>
      </c>
    </row>
    <row r="912">
      <c r="A912" s="5" t="s">
        <v>2607</v>
      </c>
      <c r="B912" s="8">
        <v>4.0</v>
      </c>
      <c r="C912" s="7" t="s">
        <v>405</v>
      </c>
      <c r="D912" s="7" t="s">
        <v>406</v>
      </c>
      <c r="E912" s="5" t="s">
        <v>2808</v>
      </c>
      <c r="F912" s="5" t="s">
        <v>240</v>
      </c>
    </row>
    <row r="913">
      <c r="A913" s="5" t="s">
        <v>2614</v>
      </c>
      <c r="B913" s="8">
        <v>4.0</v>
      </c>
      <c r="C913" s="7" t="s">
        <v>405</v>
      </c>
      <c r="D913" s="7" t="s">
        <v>406</v>
      </c>
      <c r="E913" s="5" t="s">
        <v>2808</v>
      </c>
      <c r="F913" s="5" t="s">
        <v>240</v>
      </c>
    </row>
    <row r="914">
      <c r="A914" s="5" t="s">
        <v>2608</v>
      </c>
      <c r="B914" s="8">
        <v>4.0</v>
      </c>
      <c r="C914" s="7" t="s">
        <v>405</v>
      </c>
      <c r="D914" s="7" t="s">
        <v>406</v>
      </c>
      <c r="E914" s="5" t="s">
        <v>2808</v>
      </c>
      <c r="F914" s="5" t="s">
        <v>240</v>
      </c>
    </row>
    <row r="915">
      <c r="A915" s="5" t="s">
        <v>2609</v>
      </c>
      <c r="B915" s="8">
        <v>4.0</v>
      </c>
      <c r="C915" s="7" t="s">
        <v>405</v>
      </c>
      <c r="D915" s="7" t="s">
        <v>406</v>
      </c>
      <c r="E915" s="5" t="s">
        <v>2808</v>
      </c>
      <c r="F915" s="5" t="s">
        <v>2811</v>
      </c>
    </row>
    <row r="916">
      <c r="A916" s="7" t="s">
        <v>188</v>
      </c>
      <c r="B916" s="8">
        <v>4.0</v>
      </c>
      <c r="C916" s="4" t="s">
        <v>20</v>
      </c>
      <c r="D916" s="5" t="s">
        <v>1593</v>
      </c>
      <c r="E916" s="5" t="s">
        <v>2812</v>
      </c>
      <c r="F916" s="5" t="s">
        <v>2711</v>
      </c>
    </row>
    <row r="917">
      <c r="A917" s="5" t="s">
        <v>2592</v>
      </c>
      <c r="B917" s="8">
        <v>4.0</v>
      </c>
      <c r="C917" s="4" t="s">
        <v>20</v>
      </c>
      <c r="D917" s="5" t="s">
        <v>1593</v>
      </c>
      <c r="E917" s="5" t="s">
        <v>2812</v>
      </c>
      <c r="F917" s="5" t="s">
        <v>2001</v>
      </c>
    </row>
    <row r="918">
      <c r="A918" s="5" t="s">
        <v>2796</v>
      </c>
      <c r="B918" s="8">
        <v>4.0</v>
      </c>
      <c r="C918" s="4" t="s">
        <v>20</v>
      </c>
      <c r="D918" s="5" t="s">
        <v>1593</v>
      </c>
      <c r="E918" s="5" t="s">
        <v>2812</v>
      </c>
      <c r="F918" s="5" t="s">
        <v>2711</v>
      </c>
    </row>
    <row r="919">
      <c r="A919" s="5" t="s">
        <v>2797</v>
      </c>
      <c r="B919" s="8">
        <v>4.0</v>
      </c>
      <c r="C919" s="4" t="s">
        <v>20</v>
      </c>
      <c r="D919" s="5" t="s">
        <v>1593</v>
      </c>
      <c r="E919" s="5" t="s">
        <v>2812</v>
      </c>
      <c r="F919" s="5" t="s">
        <v>2001</v>
      </c>
    </row>
    <row r="920">
      <c r="A920" s="5" t="s">
        <v>2595</v>
      </c>
      <c r="B920" s="8">
        <v>4.0</v>
      </c>
      <c r="C920" s="4" t="s">
        <v>20</v>
      </c>
      <c r="D920" s="5" t="s">
        <v>1593</v>
      </c>
      <c r="E920" s="5" t="s">
        <v>2812</v>
      </c>
      <c r="F920" s="5" t="s">
        <v>2813</v>
      </c>
    </row>
    <row r="921">
      <c r="A921" s="5" t="s">
        <v>2597</v>
      </c>
      <c r="B921" s="8">
        <v>4.0</v>
      </c>
      <c r="C921" s="4" t="s">
        <v>20</v>
      </c>
      <c r="D921" s="5" t="s">
        <v>1593</v>
      </c>
      <c r="E921" s="5" t="s">
        <v>2812</v>
      </c>
      <c r="F921" s="5" t="s">
        <v>2001</v>
      </c>
    </row>
    <row r="922">
      <c r="A922" s="7" t="s">
        <v>8</v>
      </c>
      <c r="B922" s="8">
        <v>4.0</v>
      </c>
      <c r="C922" s="4" t="s">
        <v>20</v>
      </c>
      <c r="D922" s="5" t="s">
        <v>1593</v>
      </c>
      <c r="E922" s="5" t="s">
        <v>2812</v>
      </c>
      <c r="F922" s="5" t="s">
        <v>2814</v>
      </c>
    </row>
    <row r="923">
      <c r="A923" s="5" t="s">
        <v>2798</v>
      </c>
      <c r="B923" s="8">
        <v>4.0</v>
      </c>
      <c r="C923" s="4" t="s">
        <v>20</v>
      </c>
      <c r="D923" s="5" t="s">
        <v>1593</v>
      </c>
      <c r="E923" s="5" t="s">
        <v>2812</v>
      </c>
      <c r="F923" s="5" t="s">
        <v>2815</v>
      </c>
    </row>
    <row r="924">
      <c r="A924" s="5" t="s">
        <v>2702</v>
      </c>
      <c r="B924" s="8">
        <v>4.0</v>
      </c>
      <c r="C924" s="4" t="s">
        <v>20</v>
      </c>
      <c r="D924" s="5" t="s">
        <v>1593</v>
      </c>
      <c r="E924" s="5" t="s">
        <v>2812</v>
      </c>
      <c r="F924" s="5" t="s">
        <v>2711</v>
      </c>
    </row>
    <row r="925">
      <c r="A925" s="5" t="s">
        <v>2599</v>
      </c>
      <c r="B925" s="8">
        <v>4.0</v>
      </c>
      <c r="C925" s="4" t="s">
        <v>20</v>
      </c>
      <c r="D925" s="5" t="s">
        <v>1593</v>
      </c>
      <c r="E925" s="5" t="s">
        <v>2812</v>
      </c>
      <c r="F925" s="5" t="s">
        <v>2679</v>
      </c>
    </row>
    <row r="926">
      <c r="A926" s="5" t="s">
        <v>2600</v>
      </c>
      <c r="B926" s="8">
        <v>4.0</v>
      </c>
      <c r="C926" s="4" t="s">
        <v>20</v>
      </c>
      <c r="D926" s="5" t="s">
        <v>1593</v>
      </c>
      <c r="E926" s="5" t="s">
        <v>2812</v>
      </c>
      <c r="F926" s="5" t="s">
        <v>2711</v>
      </c>
    </row>
    <row r="927">
      <c r="A927" s="5" t="s">
        <v>2602</v>
      </c>
      <c r="B927" s="8">
        <v>4.0</v>
      </c>
      <c r="C927" s="4" t="s">
        <v>20</v>
      </c>
      <c r="D927" s="5" t="s">
        <v>1593</v>
      </c>
      <c r="E927" s="5" t="s">
        <v>2812</v>
      </c>
      <c r="F927" s="5" t="s">
        <v>2816</v>
      </c>
    </row>
    <row r="928">
      <c r="A928" s="5" t="s">
        <v>2603</v>
      </c>
      <c r="B928" s="8">
        <v>4.0</v>
      </c>
      <c r="C928" s="4" t="s">
        <v>20</v>
      </c>
      <c r="D928" s="5" t="s">
        <v>1593</v>
      </c>
      <c r="E928" s="5" t="s">
        <v>2812</v>
      </c>
      <c r="F928" s="5" t="s">
        <v>2817</v>
      </c>
    </row>
    <row r="929">
      <c r="A929" s="5" t="s">
        <v>2604</v>
      </c>
      <c r="B929" s="8">
        <v>4.0</v>
      </c>
      <c r="C929" s="4" t="s">
        <v>20</v>
      </c>
      <c r="D929" s="5" t="s">
        <v>1593</v>
      </c>
      <c r="E929" s="5" t="s">
        <v>2812</v>
      </c>
      <c r="F929" s="5" t="s">
        <v>2001</v>
      </c>
    </row>
    <row r="930">
      <c r="A930" s="5" t="s">
        <v>2605</v>
      </c>
      <c r="B930" s="8">
        <v>4.0</v>
      </c>
      <c r="C930" s="4" t="s">
        <v>20</v>
      </c>
      <c r="D930" s="5" t="s">
        <v>1593</v>
      </c>
      <c r="E930" s="5" t="s">
        <v>2812</v>
      </c>
      <c r="F930" s="5" t="s">
        <v>2806</v>
      </c>
    </row>
    <row r="931">
      <c r="A931" s="5" t="s">
        <v>2606</v>
      </c>
      <c r="B931" s="8">
        <v>4.0</v>
      </c>
      <c r="C931" s="4" t="s">
        <v>20</v>
      </c>
      <c r="D931" s="5" t="s">
        <v>1593</v>
      </c>
      <c r="E931" s="5" t="s">
        <v>2812</v>
      </c>
      <c r="F931" s="5" t="s">
        <v>2001</v>
      </c>
    </row>
    <row r="932">
      <c r="A932" s="5" t="s">
        <v>2607</v>
      </c>
      <c r="B932" s="8">
        <v>4.0</v>
      </c>
      <c r="C932" s="4" t="s">
        <v>20</v>
      </c>
      <c r="D932" s="5" t="s">
        <v>1593</v>
      </c>
      <c r="E932" s="5" t="s">
        <v>2812</v>
      </c>
      <c r="F932" s="5" t="s">
        <v>2001</v>
      </c>
    </row>
    <row r="933">
      <c r="A933" s="5" t="s">
        <v>2614</v>
      </c>
      <c r="B933" s="8">
        <v>4.0</v>
      </c>
      <c r="C933" s="4" t="s">
        <v>20</v>
      </c>
      <c r="D933" s="5" t="s">
        <v>1593</v>
      </c>
      <c r="E933" s="5" t="s">
        <v>2812</v>
      </c>
      <c r="F933" s="5" t="s">
        <v>2001</v>
      </c>
    </row>
    <row r="934">
      <c r="A934" s="5" t="s">
        <v>2608</v>
      </c>
      <c r="B934" s="8">
        <v>4.0</v>
      </c>
      <c r="C934" s="4" t="s">
        <v>20</v>
      </c>
      <c r="D934" s="5" t="s">
        <v>1593</v>
      </c>
      <c r="E934" s="5" t="s">
        <v>2812</v>
      </c>
      <c r="F934" s="5" t="s">
        <v>2001</v>
      </c>
    </row>
    <row r="935">
      <c r="A935" s="5" t="s">
        <v>2609</v>
      </c>
      <c r="B935" s="8">
        <v>4.0</v>
      </c>
      <c r="C935" s="4" t="s">
        <v>20</v>
      </c>
      <c r="D935" s="5" t="s">
        <v>1593</v>
      </c>
      <c r="E935" s="5" t="s">
        <v>2812</v>
      </c>
      <c r="F935" s="5" t="s">
        <v>2001</v>
      </c>
    </row>
    <row r="936">
      <c r="A936" s="7" t="s">
        <v>188</v>
      </c>
      <c r="B936" s="8">
        <v>4.0</v>
      </c>
      <c r="C936" s="4" t="s">
        <v>35</v>
      </c>
      <c r="D936" s="7" t="s">
        <v>423</v>
      </c>
      <c r="E936" s="5" t="s">
        <v>2818</v>
      </c>
      <c r="F936" s="5" t="s">
        <v>2671</v>
      </c>
    </row>
    <row r="937">
      <c r="A937" s="5" t="s">
        <v>2592</v>
      </c>
      <c r="B937" s="8">
        <v>4.0</v>
      </c>
      <c r="C937" s="4" t="s">
        <v>35</v>
      </c>
      <c r="D937" s="7" t="s">
        <v>423</v>
      </c>
      <c r="E937" s="5" t="s">
        <v>2818</v>
      </c>
      <c r="F937" s="5" t="s">
        <v>2819</v>
      </c>
    </row>
    <row r="938">
      <c r="A938" s="5" t="s">
        <v>2796</v>
      </c>
      <c r="B938" s="8">
        <v>4.0</v>
      </c>
      <c r="C938" s="4" t="s">
        <v>35</v>
      </c>
      <c r="D938" s="7" t="s">
        <v>423</v>
      </c>
      <c r="E938" s="5" t="s">
        <v>2818</v>
      </c>
      <c r="F938" s="5" t="s">
        <v>2671</v>
      </c>
    </row>
    <row r="939">
      <c r="A939" s="5" t="s">
        <v>2797</v>
      </c>
      <c r="B939" s="8">
        <v>4.0</v>
      </c>
      <c r="C939" s="4" t="s">
        <v>35</v>
      </c>
      <c r="D939" s="7" t="s">
        <v>423</v>
      </c>
      <c r="E939" s="5" t="s">
        <v>2818</v>
      </c>
      <c r="F939" s="5" t="s">
        <v>2671</v>
      </c>
    </row>
    <row r="940">
      <c r="A940" s="5" t="s">
        <v>2595</v>
      </c>
      <c r="B940" s="8">
        <v>4.0</v>
      </c>
      <c r="C940" s="4" t="s">
        <v>35</v>
      </c>
      <c r="D940" s="7" t="s">
        <v>423</v>
      </c>
      <c r="E940" s="5" t="s">
        <v>2818</v>
      </c>
      <c r="F940" s="5" t="s">
        <v>2670</v>
      </c>
    </row>
    <row r="941">
      <c r="A941" s="5" t="s">
        <v>2597</v>
      </c>
      <c r="B941" s="8">
        <v>4.0</v>
      </c>
      <c r="C941" s="4" t="s">
        <v>35</v>
      </c>
      <c r="D941" s="7" t="s">
        <v>423</v>
      </c>
      <c r="E941" s="5" t="s">
        <v>2818</v>
      </c>
      <c r="F941" s="5" t="s">
        <v>2670</v>
      </c>
    </row>
    <row r="942">
      <c r="A942" s="7" t="s">
        <v>8</v>
      </c>
      <c r="B942" s="8">
        <v>4.0</v>
      </c>
      <c r="C942" s="4" t="s">
        <v>35</v>
      </c>
      <c r="D942" s="7" t="s">
        <v>423</v>
      </c>
      <c r="E942" s="5" t="s">
        <v>2818</v>
      </c>
      <c r="F942" s="5" t="s">
        <v>2671</v>
      </c>
    </row>
    <row r="943">
      <c r="A943" s="5" t="s">
        <v>2798</v>
      </c>
      <c r="B943" s="8">
        <v>4.0</v>
      </c>
      <c r="C943" s="4" t="s">
        <v>35</v>
      </c>
      <c r="D943" s="7" t="s">
        <v>423</v>
      </c>
      <c r="E943" s="5" t="s">
        <v>2818</v>
      </c>
      <c r="F943" s="5" t="s">
        <v>2809</v>
      </c>
    </row>
    <row r="944">
      <c r="A944" s="5" t="s">
        <v>2702</v>
      </c>
      <c r="B944" s="8">
        <v>4.0</v>
      </c>
      <c r="C944" s="4" t="s">
        <v>35</v>
      </c>
      <c r="D944" s="7" t="s">
        <v>423</v>
      </c>
      <c r="E944" s="5" t="s">
        <v>2818</v>
      </c>
      <c r="F944" s="5" t="s">
        <v>305</v>
      </c>
    </row>
    <row r="945">
      <c r="A945" s="5" t="s">
        <v>2599</v>
      </c>
      <c r="B945" s="8">
        <v>4.0</v>
      </c>
      <c r="C945" s="4" t="s">
        <v>35</v>
      </c>
      <c r="D945" s="7" t="s">
        <v>423</v>
      </c>
      <c r="E945" s="5" t="s">
        <v>2818</v>
      </c>
      <c r="F945" s="5" t="s">
        <v>2670</v>
      </c>
    </row>
    <row r="946">
      <c r="A946" s="5" t="s">
        <v>2600</v>
      </c>
      <c r="B946" s="8">
        <v>4.0</v>
      </c>
      <c r="C946" s="4" t="s">
        <v>35</v>
      </c>
      <c r="D946" s="7" t="s">
        <v>423</v>
      </c>
      <c r="E946" s="5" t="s">
        <v>2818</v>
      </c>
      <c r="F946" s="5" t="s">
        <v>2820</v>
      </c>
    </row>
    <row r="947">
      <c r="A947" s="5" t="s">
        <v>2602</v>
      </c>
      <c r="B947" s="8">
        <v>4.0</v>
      </c>
      <c r="C947" s="4" t="s">
        <v>35</v>
      </c>
      <c r="D947" s="7" t="s">
        <v>423</v>
      </c>
      <c r="E947" s="5" t="s">
        <v>2818</v>
      </c>
      <c r="F947" s="5" t="s">
        <v>2810</v>
      </c>
    </row>
    <row r="948">
      <c r="A948" s="5" t="s">
        <v>2603</v>
      </c>
      <c r="B948" s="8">
        <v>4.0</v>
      </c>
      <c r="C948" s="4" t="s">
        <v>35</v>
      </c>
      <c r="D948" s="7" t="s">
        <v>423</v>
      </c>
      <c r="E948" s="5" t="s">
        <v>2818</v>
      </c>
      <c r="F948" s="5" t="s">
        <v>2671</v>
      </c>
    </row>
    <row r="949">
      <c r="A949" s="5" t="s">
        <v>2604</v>
      </c>
      <c r="B949" s="8">
        <v>4.0</v>
      </c>
      <c r="C949" s="4" t="s">
        <v>35</v>
      </c>
      <c r="D949" s="7" t="s">
        <v>423</v>
      </c>
      <c r="E949" s="5" t="s">
        <v>2818</v>
      </c>
      <c r="F949" s="5" t="s">
        <v>2671</v>
      </c>
    </row>
    <row r="950">
      <c r="A950" s="5" t="s">
        <v>2605</v>
      </c>
      <c r="B950" s="8">
        <v>4.0</v>
      </c>
      <c r="C950" s="4" t="s">
        <v>35</v>
      </c>
      <c r="D950" s="7" t="s">
        <v>423</v>
      </c>
      <c r="E950" s="5" t="s">
        <v>2818</v>
      </c>
      <c r="F950" s="5" t="s">
        <v>411</v>
      </c>
    </row>
    <row r="951">
      <c r="A951" s="5" t="s">
        <v>2606</v>
      </c>
      <c r="B951" s="8">
        <v>4.0</v>
      </c>
      <c r="C951" s="4" t="s">
        <v>35</v>
      </c>
      <c r="D951" s="7" t="s">
        <v>423</v>
      </c>
      <c r="E951" s="5" t="s">
        <v>2818</v>
      </c>
      <c r="F951" s="5" t="s">
        <v>2671</v>
      </c>
    </row>
    <row r="952">
      <c r="A952" s="5" t="s">
        <v>2607</v>
      </c>
      <c r="B952" s="8">
        <v>4.0</v>
      </c>
      <c r="C952" s="4" t="s">
        <v>35</v>
      </c>
      <c r="D952" s="7" t="s">
        <v>423</v>
      </c>
      <c r="E952" s="5" t="s">
        <v>2818</v>
      </c>
      <c r="F952" s="5" t="s">
        <v>2670</v>
      </c>
    </row>
    <row r="953">
      <c r="A953" s="5" t="s">
        <v>2614</v>
      </c>
      <c r="B953" s="8">
        <v>4.0</v>
      </c>
      <c r="C953" s="4" t="s">
        <v>35</v>
      </c>
      <c r="D953" s="7" t="s">
        <v>423</v>
      </c>
      <c r="E953" s="5" t="s">
        <v>2818</v>
      </c>
      <c r="F953" s="5" t="s">
        <v>2670</v>
      </c>
    </row>
    <row r="954">
      <c r="A954" s="5" t="s">
        <v>2608</v>
      </c>
      <c r="B954" s="8">
        <v>4.0</v>
      </c>
      <c r="C954" s="4" t="s">
        <v>35</v>
      </c>
      <c r="D954" s="7" t="s">
        <v>423</v>
      </c>
      <c r="E954" s="5" t="s">
        <v>2818</v>
      </c>
      <c r="F954" s="5" t="s">
        <v>2821</v>
      </c>
    </row>
    <row r="955">
      <c r="A955" s="5" t="s">
        <v>2609</v>
      </c>
      <c r="B955" s="8">
        <v>4.0</v>
      </c>
      <c r="C955" s="4" t="s">
        <v>35</v>
      </c>
      <c r="D955" s="7" t="s">
        <v>423</v>
      </c>
      <c r="E955" s="5" t="s">
        <v>2818</v>
      </c>
      <c r="F955" s="5" t="s">
        <v>2822</v>
      </c>
    </row>
    <row r="956">
      <c r="A956" s="7" t="s">
        <v>188</v>
      </c>
      <c r="B956" s="8">
        <v>4.0</v>
      </c>
      <c r="C956" s="4" t="s">
        <v>59</v>
      </c>
      <c r="D956" s="7" t="s">
        <v>431</v>
      </c>
      <c r="E956" s="5" t="s">
        <v>2823</v>
      </c>
      <c r="F956" s="5" t="s">
        <v>56</v>
      </c>
    </row>
    <row r="957">
      <c r="A957" s="5" t="s">
        <v>2592</v>
      </c>
      <c r="B957" s="8">
        <v>4.0</v>
      </c>
      <c r="C957" s="4" t="s">
        <v>59</v>
      </c>
      <c r="D957" s="7" t="s">
        <v>431</v>
      </c>
      <c r="E957" s="5" t="s">
        <v>2823</v>
      </c>
      <c r="F957" s="5" t="s">
        <v>433</v>
      </c>
    </row>
    <row r="958">
      <c r="A958" s="5" t="s">
        <v>2796</v>
      </c>
      <c r="B958" s="8">
        <v>4.0</v>
      </c>
      <c r="C958" s="4" t="s">
        <v>59</v>
      </c>
      <c r="D958" s="7" t="s">
        <v>431</v>
      </c>
      <c r="E958" s="5" t="s">
        <v>2823</v>
      </c>
      <c r="F958" s="5" t="s">
        <v>56</v>
      </c>
    </row>
    <row r="959">
      <c r="A959" s="5" t="s">
        <v>2797</v>
      </c>
      <c r="B959" s="8">
        <v>4.0</v>
      </c>
      <c r="C959" s="4" t="s">
        <v>59</v>
      </c>
      <c r="D959" s="7" t="s">
        <v>431</v>
      </c>
      <c r="E959" s="5" t="s">
        <v>2823</v>
      </c>
      <c r="F959" s="5" t="s">
        <v>56</v>
      </c>
    </row>
    <row r="960">
      <c r="A960" s="5" t="s">
        <v>2595</v>
      </c>
      <c r="B960" s="8">
        <v>4.0</v>
      </c>
      <c r="C960" s="4" t="s">
        <v>59</v>
      </c>
      <c r="D960" s="7" t="s">
        <v>431</v>
      </c>
      <c r="E960" s="5" t="s">
        <v>2823</v>
      </c>
      <c r="F960" s="5" t="s">
        <v>54</v>
      </c>
    </row>
    <row r="961">
      <c r="A961" s="5" t="s">
        <v>2597</v>
      </c>
      <c r="B961" s="8">
        <v>4.0</v>
      </c>
      <c r="C961" s="4" t="s">
        <v>59</v>
      </c>
      <c r="D961" s="7" t="s">
        <v>431</v>
      </c>
      <c r="E961" s="5" t="s">
        <v>2823</v>
      </c>
      <c r="F961" s="5" t="s">
        <v>54</v>
      </c>
    </row>
    <row r="962">
      <c r="A962" s="7" t="s">
        <v>8</v>
      </c>
      <c r="B962" s="8">
        <v>4.0</v>
      </c>
      <c r="C962" s="4" t="s">
        <v>59</v>
      </c>
      <c r="D962" s="7" t="s">
        <v>431</v>
      </c>
      <c r="E962" s="5" t="s">
        <v>2823</v>
      </c>
      <c r="F962" s="5" t="s">
        <v>55</v>
      </c>
    </row>
    <row r="963">
      <c r="A963" s="5" t="s">
        <v>2798</v>
      </c>
      <c r="B963" s="8">
        <v>4.0</v>
      </c>
      <c r="C963" s="4" t="s">
        <v>59</v>
      </c>
      <c r="D963" s="7" t="s">
        <v>431</v>
      </c>
      <c r="E963" s="5" t="s">
        <v>2823</v>
      </c>
      <c r="F963" s="5" t="s">
        <v>434</v>
      </c>
    </row>
    <row r="964">
      <c r="A964" s="5" t="s">
        <v>2702</v>
      </c>
      <c r="B964" s="8">
        <v>4.0</v>
      </c>
      <c r="C964" s="4" t="s">
        <v>59</v>
      </c>
      <c r="D964" s="7" t="s">
        <v>431</v>
      </c>
      <c r="E964" s="5" t="s">
        <v>2823</v>
      </c>
      <c r="F964" s="5" t="s">
        <v>435</v>
      </c>
    </row>
    <row r="965">
      <c r="A965" s="5" t="s">
        <v>2599</v>
      </c>
      <c r="B965" s="8">
        <v>4.0</v>
      </c>
      <c r="C965" s="4" t="s">
        <v>59</v>
      </c>
      <c r="D965" s="7" t="s">
        <v>431</v>
      </c>
      <c r="E965" s="5" t="s">
        <v>2823</v>
      </c>
      <c r="F965" s="5" t="s">
        <v>54</v>
      </c>
    </row>
    <row r="966">
      <c r="A966" s="5" t="s">
        <v>2600</v>
      </c>
      <c r="B966" s="8">
        <v>4.0</v>
      </c>
      <c r="C966" s="4" t="s">
        <v>59</v>
      </c>
      <c r="D966" s="7" t="s">
        <v>431</v>
      </c>
      <c r="E966" s="5" t="s">
        <v>2823</v>
      </c>
      <c r="F966" s="5" t="s">
        <v>435</v>
      </c>
    </row>
    <row r="967">
      <c r="A967" s="5" t="s">
        <v>2602</v>
      </c>
      <c r="B967" s="8">
        <v>4.0</v>
      </c>
      <c r="C967" s="4" t="s">
        <v>59</v>
      </c>
      <c r="D967" s="7" t="s">
        <v>431</v>
      </c>
      <c r="E967" s="5" t="s">
        <v>2823</v>
      </c>
      <c r="F967" s="5" t="s">
        <v>2824</v>
      </c>
    </row>
    <row r="968">
      <c r="A968" s="5" t="s">
        <v>2603</v>
      </c>
      <c r="B968" s="8">
        <v>4.0</v>
      </c>
      <c r="C968" s="4" t="s">
        <v>59</v>
      </c>
      <c r="D968" s="7" t="s">
        <v>431</v>
      </c>
      <c r="E968" s="5" t="s">
        <v>2823</v>
      </c>
      <c r="F968" s="5" t="s">
        <v>56</v>
      </c>
    </row>
    <row r="969">
      <c r="A969" s="5" t="s">
        <v>2604</v>
      </c>
      <c r="B969" s="8">
        <v>4.0</v>
      </c>
      <c r="C969" s="4" t="s">
        <v>59</v>
      </c>
      <c r="D969" s="7" t="s">
        <v>431</v>
      </c>
      <c r="E969" s="5" t="s">
        <v>2823</v>
      </c>
      <c r="F969" s="5" t="s">
        <v>53</v>
      </c>
    </row>
    <row r="970">
      <c r="A970" s="5" t="s">
        <v>2605</v>
      </c>
      <c r="B970" s="8">
        <v>4.0</v>
      </c>
      <c r="C970" s="4" t="s">
        <v>59</v>
      </c>
      <c r="D970" s="7" t="s">
        <v>431</v>
      </c>
      <c r="E970" s="5" t="s">
        <v>2823</v>
      </c>
      <c r="F970" s="5" t="s">
        <v>56</v>
      </c>
    </row>
    <row r="971">
      <c r="A971" s="5" t="s">
        <v>2606</v>
      </c>
      <c r="B971" s="8">
        <v>4.0</v>
      </c>
      <c r="C971" s="4" t="s">
        <v>59</v>
      </c>
      <c r="D971" s="7" t="s">
        <v>431</v>
      </c>
      <c r="E971" s="5" t="s">
        <v>2823</v>
      </c>
      <c r="F971" s="5" t="s">
        <v>56</v>
      </c>
    </row>
    <row r="972">
      <c r="A972" s="5" t="s">
        <v>2607</v>
      </c>
      <c r="B972" s="8">
        <v>4.0</v>
      </c>
      <c r="C972" s="4" t="s">
        <v>59</v>
      </c>
      <c r="D972" s="7" t="s">
        <v>431</v>
      </c>
      <c r="E972" s="5" t="s">
        <v>2823</v>
      </c>
      <c r="F972" s="5" t="s">
        <v>54</v>
      </c>
    </row>
    <row r="973">
      <c r="A973" s="5" t="s">
        <v>2614</v>
      </c>
      <c r="B973" s="8">
        <v>4.0</v>
      </c>
      <c r="C973" s="4" t="s">
        <v>59</v>
      </c>
      <c r="D973" s="7" t="s">
        <v>431</v>
      </c>
      <c r="E973" s="5" t="s">
        <v>2823</v>
      </c>
      <c r="F973" s="5" t="s">
        <v>54</v>
      </c>
    </row>
    <row r="974">
      <c r="A974" s="5" t="s">
        <v>2608</v>
      </c>
      <c r="B974" s="8">
        <v>4.0</v>
      </c>
      <c r="C974" s="4" t="s">
        <v>59</v>
      </c>
      <c r="D974" s="7" t="s">
        <v>431</v>
      </c>
      <c r="E974" s="5" t="s">
        <v>2823</v>
      </c>
      <c r="F974" s="5" t="s">
        <v>54</v>
      </c>
    </row>
    <row r="975">
      <c r="A975" s="5" t="s">
        <v>2609</v>
      </c>
      <c r="B975" s="8">
        <v>4.0</v>
      </c>
      <c r="C975" s="4" t="s">
        <v>59</v>
      </c>
      <c r="D975" s="7" t="s">
        <v>431</v>
      </c>
      <c r="E975" s="5" t="s">
        <v>2823</v>
      </c>
      <c r="F975" s="5" t="s">
        <v>54</v>
      </c>
    </row>
    <row r="976">
      <c r="A976" s="7" t="s">
        <v>188</v>
      </c>
      <c r="B976" s="8">
        <v>4.0</v>
      </c>
      <c r="C976" s="7" t="s">
        <v>437</v>
      </c>
      <c r="D976" s="7" t="s">
        <v>50</v>
      </c>
      <c r="E976" s="5" t="s">
        <v>2825</v>
      </c>
      <c r="F976" s="5" t="s">
        <v>56</v>
      </c>
    </row>
    <row r="977">
      <c r="A977" s="5" t="s">
        <v>2592</v>
      </c>
      <c r="B977" s="8">
        <v>4.0</v>
      </c>
      <c r="C977" s="7" t="s">
        <v>437</v>
      </c>
      <c r="D977" s="7" t="s">
        <v>50</v>
      </c>
      <c r="E977" s="5" t="s">
        <v>2825</v>
      </c>
      <c r="F977" s="5" t="s">
        <v>433</v>
      </c>
    </row>
    <row r="978">
      <c r="A978" s="5" t="s">
        <v>2796</v>
      </c>
      <c r="B978" s="8">
        <v>4.0</v>
      </c>
      <c r="C978" s="7" t="s">
        <v>437</v>
      </c>
      <c r="D978" s="7" t="s">
        <v>50</v>
      </c>
      <c r="E978" s="5" t="s">
        <v>2825</v>
      </c>
      <c r="F978" s="5" t="s">
        <v>56</v>
      </c>
    </row>
    <row r="979">
      <c r="A979" s="5" t="s">
        <v>2797</v>
      </c>
      <c r="B979" s="8">
        <v>4.0</v>
      </c>
      <c r="C979" s="7" t="s">
        <v>437</v>
      </c>
      <c r="D979" s="7" t="s">
        <v>50</v>
      </c>
      <c r="E979" s="5" t="s">
        <v>2825</v>
      </c>
      <c r="F979" s="5" t="s">
        <v>56</v>
      </c>
    </row>
    <row r="980">
      <c r="A980" s="5" t="s">
        <v>2595</v>
      </c>
      <c r="B980" s="8">
        <v>4.0</v>
      </c>
      <c r="C980" s="7" t="s">
        <v>437</v>
      </c>
      <c r="D980" s="7" t="s">
        <v>50</v>
      </c>
      <c r="E980" s="5" t="s">
        <v>2825</v>
      </c>
      <c r="F980" s="5" t="s">
        <v>54</v>
      </c>
    </row>
    <row r="981">
      <c r="A981" s="5" t="s">
        <v>2597</v>
      </c>
      <c r="B981" s="8">
        <v>4.0</v>
      </c>
      <c r="C981" s="7" t="s">
        <v>437</v>
      </c>
      <c r="D981" s="7" t="s">
        <v>50</v>
      </c>
      <c r="E981" s="5" t="s">
        <v>2825</v>
      </c>
      <c r="F981" s="5" t="s">
        <v>54</v>
      </c>
    </row>
    <row r="982">
      <c r="A982" s="7" t="s">
        <v>8</v>
      </c>
      <c r="B982" s="8">
        <v>4.0</v>
      </c>
      <c r="C982" s="7" t="s">
        <v>437</v>
      </c>
      <c r="D982" s="7" t="s">
        <v>50</v>
      </c>
      <c r="E982" s="5" t="s">
        <v>2825</v>
      </c>
      <c r="F982" s="5" t="s">
        <v>55</v>
      </c>
    </row>
    <row r="983">
      <c r="A983" s="5" t="s">
        <v>2798</v>
      </c>
      <c r="B983" s="8">
        <v>4.0</v>
      </c>
      <c r="C983" s="7" t="s">
        <v>437</v>
      </c>
      <c r="D983" s="7" t="s">
        <v>50</v>
      </c>
      <c r="E983" s="5" t="s">
        <v>2825</v>
      </c>
      <c r="F983" s="5" t="s">
        <v>434</v>
      </c>
    </row>
    <row r="984">
      <c r="A984" s="5" t="s">
        <v>2702</v>
      </c>
      <c r="B984" s="8">
        <v>4.0</v>
      </c>
      <c r="C984" s="7" t="s">
        <v>437</v>
      </c>
      <c r="D984" s="7" t="s">
        <v>50</v>
      </c>
      <c r="E984" s="5" t="s">
        <v>2825</v>
      </c>
      <c r="F984" s="5" t="s">
        <v>435</v>
      </c>
    </row>
    <row r="985">
      <c r="A985" s="5" t="s">
        <v>2599</v>
      </c>
      <c r="B985" s="8">
        <v>4.0</v>
      </c>
      <c r="C985" s="7" t="s">
        <v>437</v>
      </c>
      <c r="D985" s="7" t="s">
        <v>50</v>
      </c>
      <c r="E985" s="5" t="s">
        <v>2825</v>
      </c>
      <c r="F985" s="5" t="s">
        <v>54</v>
      </c>
    </row>
    <row r="986">
      <c r="A986" s="5" t="s">
        <v>2600</v>
      </c>
      <c r="B986" s="8">
        <v>4.0</v>
      </c>
      <c r="C986" s="7" t="s">
        <v>437</v>
      </c>
      <c r="D986" s="7" t="s">
        <v>50</v>
      </c>
      <c r="E986" s="5" t="s">
        <v>2825</v>
      </c>
      <c r="F986" s="5" t="s">
        <v>435</v>
      </c>
    </row>
    <row r="987">
      <c r="A987" s="5" t="s">
        <v>2602</v>
      </c>
      <c r="B987" s="8">
        <v>4.0</v>
      </c>
      <c r="C987" s="7" t="s">
        <v>437</v>
      </c>
      <c r="D987" s="7" t="s">
        <v>50</v>
      </c>
      <c r="E987" s="5" t="s">
        <v>2825</v>
      </c>
      <c r="F987" s="5" t="s">
        <v>2824</v>
      </c>
    </row>
    <row r="988">
      <c r="A988" s="5" t="s">
        <v>2603</v>
      </c>
      <c r="B988" s="8">
        <v>4.0</v>
      </c>
      <c r="C988" s="7" t="s">
        <v>437</v>
      </c>
      <c r="D988" s="7" t="s">
        <v>50</v>
      </c>
      <c r="E988" s="5" t="s">
        <v>2825</v>
      </c>
      <c r="F988" s="5" t="s">
        <v>56</v>
      </c>
    </row>
    <row r="989">
      <c r="A989" s="5" t="s">
        <v>2604</v>
      </c>
      <c r="B989" s="8">
        <v>4.0</v>
      </c>
      <c r="C989" s="7" t="s">
        <v>437</v>
      </c>
      <c r="D989" s="7" t="s">
        <v>50</v>
      </c>
      <c r="E989" s="5" t="s">
        <v>2825</v>
      </c>
      <c r="F989" s="5" t="s">
        <v>53</v>
      </c>
    </row>
    <row r="990">
      <c r="A990" s="5" t="s">
        <v>2605</v>
      </c>
      <c r="B990" s="8">
        <v>4.0</v>
      </c>
      <c r="C990" s="7" t="s">
        <v>437</v>
      </c>
      <c r="D990" s="7" t="s">
        <v>50</v>
      </c>
      <c r="E990" s="5" t="s">
        <v>2825</v>
      </c>
      <c r="F990" s="5" t="s">
        <v>56</v>
      </c>
    </row>
    <row r="991">
      <c r="A991" s="5" t="s">
        <v>2606</v>
      </c>
      <c r="B991" s="8">
        <v>4.0</v>
      </c>
      <c r="C991" s="7" t="s">
        <v>437</v>
      </c>
      <c r="D991" s="7" t="s">
        <v>50</v>
      </c>
      <c r="E991" s="5" t="s">
        <v>2825</v>
      </c>
      <c r="F991" s="5" t="s">
        <v>56</v>
      </c>
    </row>
    <row r="992">
      <c r="A992" s="5" t="s">
        <v>2607</v>
      </c>
      <c r="B992" s="8">
        <v>4.0</v>
      </c>
      <c r="C992" s="7" t="s">
        <v>437</v>
      </c>
      <c r="D992" s="7" t="s">
        <v>50</v>
      </c>
      <c r="E992" s="5" t="s">
        <v>2825</v>
      </c>
      <c r="F992" s="5" t="s">
        <v>54</v>
      </c>
    </row>
    <row r="993">
      <c r="A993" s="5" t="s">
        <v>2614</v>
      </c>
      <c r="B993" s="8">
        <v>4.0</v>
      </c>
      <c r="C993" s="7" t="s">
        <v>437</v>
      </c>
      <c r="D993" s="7" t="s">
        <v>50</v>
      </c>
      <c r="E993" s="5" t="s">
        <v>2825</v>
      </c>
      <c r="F993" s="5" t="s">
        <v>54</v>
      </c>
    </row>
    <row r="994">
      <c r="A994" s="5" t="s">
        <v>2608</v>
      </c>
      <c r="B994" s="8">
        <v>4.0</v>
      </c>
      <c r="C994" s="7" t="s">
        <v>437</v>
      </c>
      <c r="D994" s="7" t="s">
        <v>50</v>
      </c>
      <c r="E994" s="5" t="s">
        <v>2825</v>
      </c>
      <c r="F994" s="5" t="s">
        <v>54</v>
      </c>
    </row>
    <row r="995">
      <c r="A995" s="5" t="s">
        <v>2609</v>
      </c>
      <c r="B995" s="8">
        <v>4.0</v>
      </c>
      <c r="C995" s="7" t="s">
        <v>437</v>
      </c>
      <c r="D995" s="7" t="s">
        <v>50</v>
      </c>
      <c r="E995" s="5" t="s">
        <v>2825</v>
      </c>
      <c r="F995" s="5" t="s">
        <v>54</v>
      </c>
    </row>
    <row r="996">
      <c r="A996" s="7" t="s">
        <v>188</v>
      </c>
      <c r="B996" s="8">
        <v>4.0</v>
      </c>
      <c r="C996" s="7" t="s">
        <v>49</v>
      </c>
      <c r="D996" s="7" t="s">
        <v>439</v>
      </c>
      <c r="E996" s="5" t="s">
        <v>2826</v>
      </c>
      <c r="F996" s="5" t="s">
        <v>56</v>
      </c>
    </row>
    <row r="997">
      <c r="A997" s="5" t="s">
        <v>2592</v>
      </c>
      <c r="B997" s="8">
        <v>4.0</v>
      </c>
      <c r="C997" s="7" t="s">
        <v>49</v>
      </c>
      <c r="D997" s="7" t="s">
        <v>439</v>
      </c>
      <c r="E997" s="5" t="s">
        <v>2826</v>
      </c>
      <c r="F997" s="5" t="s">
        <v>54</v>
      </c>
    </row>
    <row r="998">
      <c r="A998" s="5" t="s">
        <v>2796</v>
      </c>
      <c r="B998" s="8">
        <v>4.0</v>
      </c>
      <c r="C998" s="7" t="s">
        <v>49</v>
      </c>
      <c r="D998" s="7" t="s">
        <v>439</v>
      </c>
      <c r="E998" s="5" t="s">
        <v>2826</v>
      </c>
      <c r="F998" s="5" t="s">
        <v>56</v>
      </c>
    </row>
    <row r="999">
      <c r="A999" s="5" t="s">
        <v>2797</v>
      </c>
      <c r="B999" s="8">
        <v>4.0</v>
      </c>
      <c r="C999" s="7" t="s">
        <v>49</v>
      </c>
      <c r="D999" s="7" t="s">
        <v>439</v>
      </c>
      <c r="E999" s="5" t="s">
        <v>2826</v>
      </c>
      <c r="F999" s="5" t="s">
        <v>56</v>
      </c>
    </row>
    <row r="1000">
      <c r="A1000" s="5" t="s">
        <v>2595</v>
      </c>
      <c r="B1000" s="8">
        <v>4.0</v>
      </c>
      <c r="C1000" s="7" t="s">
        <v>49</v>
      </c>
      <c r="D1000" s="7" t="s">
        <v>439</v>
      </c>
      <c r="E1000" s="5" t="s">
        <v>2826</v>
      </c>
      <c r="F1000" s="5" t="s">
        <v>54</v>
      </c>
    </row>
    <row r="1001">
      <c r="A1001" s="5" t="s">
        <v>2597</v>
      </c>
      <c r="B1001" s="8">
        <v>4.0</v>
      </c>
      <c r="C1001" s="7" t="s">
        <v>49</v>
      </c>
      <c r="D1001" s="7" t="s">
        <v>439</v>
      </c>
      <c r="E1001" s="5" t="s">
        <v>2826</v>
      </c>
      <c r="F1001" s="5" t="s">
        <v>54</v>
      </c>
    </row>
    <row r="1002">
      <c r="A1002" s="7" t="s">
        <v>8</v>
      </c>
      <c r="B1002" s="8">
        <v>4.0</v>
      </c>
      <c r="C1002" s="7" t="s">
        <v>49</v>
      </c>
      <c r="D1002" s="7" t="s">
        <v>439</v>
      </c>
      <c r="E1002" s="5" t="s">
        <v>2826</v>
      </c>
      <c r="F1002" s="5" t="s">
        <v>55</v>
      </c>
    </row>
    <row r="1003">
      <c r="A1003" s="5" t="s">
        <v>2798</v>
      </c>
      <c r="B1003" s="8">
        <v>4.0</v>
      </c>
      <c r="C1003" s="7" t="s">
        <v>49</v>
      </c>
      <c r="D1003" s="7" t="s">
        <v>439</v>
      </c>
      <c r="E1003" s="5" t="s">
        <v>2826</v>
      </c>
      <c r="F1003" s="5" t="s">
        <v>434</v>
      </c>
    </row>
    <row r="1004">
      <c r="A1004" s="5" t="s">
        <v>2702</v>
      </c>
      <c r="B1004" s="8">
        <v>4.0</v>
      </c>
      <c r="C1004" s="7" t="s">
        <v>49</v>
      </c>
      <c r="D1004" s="7" t="s">
        <v>439</v>
      </c>
      <c r="E1004" s="5" t="s">
        <v>2826</v>
      </c>
      <c r="F1004" s="5" t="s">
        <v>56</v>
      </c>
    </row>
    <row r="1005">
      <c r="A1005" s="5" t="s">
        <v>2599</v>
      </c>
      <c r="B1005" s="8">
        <v>4.0</v>
      </c>
      <c r="C1005" s="7" t="s">
        <v>49</v>
      </c>
      <c r="D1005" s="7" t="s">
        <v>439</v>
      </c>
      <c r="E1005" s="5" t="s">
        <v>2826</v>
      </c>
      <c r="F1005" s="5" t="s">
        <v>54</v>
      </c>
    </row>
    <row r="1006">
      <c r="A1006" s="5" t="s">
        <v>2600</v>
      </c>
      <c r="B1006" s="8">
        <v>4.0</v>
      </c>
      <c r="C1006" s="7" t="s">
        <v>49</v>
      </c>
      <c r="D1006" s="7" t="s">
        <v>439</v>
      </c>
      <c r="E1006" s="5" t="s">
        <v>2826</v>
      </c>
      <c r="F1006" s="5" t="s">
        <v>56</v>
      </c>
    </row>
    <row r="1007">
      <c r="A1007" s="5" t="s">
        <v>2602</v>
      </c>
      <c r="B1007" s="8">
        <v>4.0</v>
      </c>
      <c r="C1007" s="7" t="s">
        <v>49</v>
      </c>
      <c r="D1007" s="7" t="s">
        <v>439</v>
      </c>
      <c r="E1007" s="5" t="s">
        <v>2826</v>
      </c>
      <c r="F1007" s="5" t="s">
        <v>2824</v>
      </c>
    </row>
    <row r="1008">
      <c r="A1008" s="5" t="s">
        <v>2603</v>
      </c>
      <c r="B1008" s="8">
        <v>4.0</v>
      </c>
      <c r="C1008" s="7" t="s">
        <v>49</v>
      </c>
      <c r="D1008" s="7" t="s">
        <v>439</v>
      </c>
      <c r="E1008" s="5" t="s">
        <v>2826</v>
      </c>
      <c r="F1008" s="5" t="s">
        <v>56</v>
      </c>
    </row>
    <row r="1009">
      <c r="A1009" s="5" t="s">
        <v>2604</v>
      </c>
      <c r="B1009" s="8">
        <v>4.0</v>
      </c>
      <c r="C1009" s="7" t="s">
        <v>49</v>
      </c>
      <c r="D1009" s="7" t="s">
        <v>439</v>
      </c>
      <c r="E1009" s="5" t="s">
        <v>2826</v>
      </c>
      <c r="F1009" s="5" t="s">
        <v>56</v>
      </c>
    </row>
    <row r="1010">
      <c r="A1010" s="5" t="s">
        <v>2605</v>
      </c>
      <c r="B1010" s="8">
        <v>4.0</v>
      </c>
      <c r="C1010" s="7" t="s">
        <v>49</v>
      </c>
      <c r="D1010" s="7" t="s">
        <v>439</v>
      </c>
      <c r="E1010" s="5" t="s">
        <v>2826</v>
      </c>
      <c r="F1010" s="5" t="s">
        <v>56</v>
      </c>
    </row>
    <row r="1011">
      <c r="A1011" s="5" t="s">
        <v>2606</v>
      </c>
      <c r="B1011" s="8">
        <v>4.0</v>
      </c>
      <c r="C1011" s="7" t="s">
        <v>49</v>
      </c>
      <c r="D1011" s="7" t="s">
        <v>439</v>
      </c>
      <c r="E1011" s="5" t="s">
        <v>2826</v>
      </c>
      <c r="F1011" s="5" t="s">
        <v>56</v>
      </c>
    </row>
    <row r="1012">
      <c r="A1012" s="5" t="s">
        <v>2607</v>
      </c>
      <c r="B1012" s="8">
        <v>4.0</v>
      </c>
      <c r="C1012" s="7" t="s">
        <v>49</v>
      </c>
      <c r="D1012" s="7" t="s">
        <v>439</v>
      </c>
      <c r="E1012" s="5" t="s">
        <v>2826</v>
      </c>
      <c r="F1012" s="5" t="s">
        <v>54</v>
      </c>
    </row>
    <row r="1013">
      <c r="A1013" s="5" t="s">
        <v>2614</v>
      </c>
      <c r="B1013" s="8">
        <v>4.0</v>
      </c>
      <c r="C1013" s="7" t="s">
        <v>49</v>
      </c>
      <c r="D1013" s="7" t="s">
        <v>439</v>
      </c>
      <c r="E1013" s="5" t="s">
        <v>2826</v>
      </c>
      <c r="F1013" s="5" t="s">
        <v>54</v>
      </c>
    </row>
    <row r="1014">
      <c r="A1014" s="5" t="s">
        <v>2608</v>
      </c>
      <c r="B1014" s="8">
        <v>4.0</v>
      </c>
      <c r="C1014" s="7" t="s">
        <v>49</v>
      </c>
      <c r="D1014" s="7" t="s">
        <v>439</v>
      </c>
      <c r="E1014" s="5" t="s">
        <v>2826</v>
      </c>
      <c r="F1014" s="5" t="s">
        <v>54</v>
      </c>
    </row>
    <row r="1015">
      <c r="A1015" s="5" t="s">
        <v>2609</v>
      </c>
      <c r="B1015" s="8">
        <v>4.0</v>
      </c>
      <c r="C1015" s="7" t="s">
        <v>49</v>
      </c>
      <c r="D1015" s="7" t="s">
        <v>439</v>
      </c>
      <c r="E1015" s="5" t="s">
        <v>2826</v>
      </c>
      <c r="F1015" s="5" t="s">
        <v>54</v>
      </c>
    </row>
    <row r="1016">
      <c r="A1016" s="7" t="s">
        <v>188</v>
      </c>
      <c r="B1016" s="8">
        <v>4.0</v>
      </c>
      <c r="C1016" s="7" t="s">
        <v>223</v>
      </c>
      <c r="D1016" s="7" t="s">
        <v>441</v>
      </c>
      <c r="E1016" s="5" t="s">
        <v>2827</v>
      </c>
      <c r="F1016" s="7" t="s">
        <v>47</v>
      </c>
    </row>
    <row r="1017">
      <c r="A1017" s="5" t="s">
        <v>2592</v>
      </c>
      <c r="B1017" s="8">
        <v>4.0</v>
      </c>
      <c r="C1017" s="7" t="s">
        <v>223</v>
      </c>
      <c r="D1017" s="7" t="s">
        <v>441</v>
      </c>
      <c r="E1017" s="5" t="s">
        <v>2827</v>
      </c>
      <c r="F1017" s="7" t="s">
        <v>47</v>
      </c>
    </row>
    <row r="1018">
      <c r="A1018" s="5" t="s">
        <v>2796</v>
      </c>
      <c r="B1018" s="8">
        <v>4.0</v>
      </c>
      <c r="C1018" s="7" t="s">
        <v>223</v>
      </c>
      <c r="D1018" s="7" t="s">
        <v>441</v>
      </c>
      <c r="E1018" s="5" t="s">
        <v>2827</v>
      </c>
      <c r="F1018" s="7" t="s">
        <v>47</v>
      </c>
    </row>
    <row r="1019">
      <c r="A1019" s="5" t="s">
        <v>2797</v>
      </c>
      <c r="B1019" s="8">
        <v>4.0</v>
      </c>
      <c r="C1019" s="7" t="s">
        <v>223</v>
      </c>
      <c r="D1019" s="7" t="s">
        <v>441</v>
      </c>
      <c r="E1019" s="5" t="s">
        <v>2827</v>
      </c>
      <c r="F1019" s="7" t="s">
        <v>47</v>
      </c>
    </row>
    <row r="1020">
      <c r="A1020" s="5" t="s">
        <v>2595</v>
      </c>
      <c r="B1020" s="8">
        <v>4.0</v>
      </c>
      <c r="C1020" s="7" t="s">
        <v>223</v>
      </c>
      <c r="D1020" s="7" t="s">
        <v>441</v>
      </c>
      <c r="E1020" s="5" t="s">
        <v>2827</v>
      </c>
      <c r="F1020" s="7" t="s">
        <v>47</v>
      </c>
    </row>
    <row r="1021">
      <c r="A1021" s="5" t="s">
        <v>2597</v>
      </c>
      <c r="B1021" s="8">
        <v>4.0</v>
      </c>
      <c r="C1021" s="7" t="s">
        <v>223</v>
      </c>
      <c r="D1021" s="7" t="s">
        <v>441</v>
      </c>
      <c r="E1021" s="5" t="s">
        <v>2827</v>
      </c>
      <c r="F1021" s="7" t="s">
        <v>47</v>
      </c>
    </row>
    <row r="1022">
      <c r="A1022" s="7" t="s">
        <v>8</v>
      </c>
      <c r="B1022" s="8">
        <v>4.0</v>
      </c>
      <c r="C1022" s="7" t="s">
        <v>223</v>
      </c>
      <c r="D1022" s="7" t="s">
        <v>441</v>
      </c>
      <c r="E1022" s="5" t="s">
        <v>2827</v>
      </c>
      <c r="F1022" s="7" t="s">
        <v>48</v>
      </c>
    </row>
    <row r="1023">
      <c r="A1023" s="5" t="s">
        <v>2798</v>
      </c>
      <c r="B1023" s="8">
        <v>4.0</v>
      </c>
      <c r="C1023" s="7" t="s">
        <v>223</v>
      </c>
      <c r="D1023" s="7" t="s">
        <v>441</v>
      </c>
      <c r="E1023" s="5" t="s">
        <v>2827</v>
      </c>
      <c r="F1023" s="7" t="s">
        <v>443</v>
      </c>
    </row>
    <row r="1024">
      <c r="A1024" s="5" t="s">
        <v>2702</v>
      </c>
      <c r="B1024" s="8">
        <v>4.0</v>
      </c>
      <c r="C1024" s="7" t="s">
        <v>223</v>
      </c>
      <c r="D1024" s="7" t="s">
        <v>441</v>
      </c>
      <c r="E1024" s="5" t="s">
        <v>2827</v>
      </c>
      <c r="F1024" s="7" t="s">
        <v>444</v>
      </c>
    </row>
    <row r="1025">
      <c r="A1025" s="5" t="s">
        <v>2599</v>
      </c>
      <c r="B1025" s="8">
        <v>4.0</v>
      </c>
      <c r="C1025" s="7" t="s">
        <v>223</v>
      </c>
      <c r="D1025" s="7" t="s">
        <v>441</v>
      </c>
      <c r="E1025" s="5" t="s">
        <v>2827</v>
      </c>
      <c r="F1025" s="7" t="s">
        <v>444</v>
      </c>
    </row>
    <row r="1026">
      <c r="A1026" s="5" t="s">
        <v>2600</v>
      </c>
      <c r="B1026" s="8">
        <v>4.0</v>
      </c>
      <c r="C1026" s="7" t="s">
        <v>223</v>
      </c>
      <c r="D1026" s="7" t="s">
        <v>441</v>
      </c>
      <c r="E1026" s="5" t="s">
        <v>2827</v>
      </c>
      <c r="F1026" s="7" t="s">
        <v>444</v>
      </c>
    </row>
    <row r="1027">
      <c r="A1027" s="5" t="s">
        <v>2602</v>
      </c>
      <c r="B1027" s="8">
        <v>4.0</v>
      </c>
      <c r="C1027" s="7" t="s">
        <v>223</v>
      </c>
      <c r="D1027" s="7" t="s">
        <v>441</v>
      </c>
      <c r="E1027" s="5" t="s">
        <v>2827</v>
      </c>
      <c r="F1027" s="7" t="s">
        <v>444</v>
      </c>
    </row>
    <row r="1028">
      <c r="A1028" s="5" t="s">
        <v>2603</v>
      </c>
      <c r="B1028" s="8">
        <v>4.0</v>
      </c>
      <c r="C1028" s="7" t="s">
        <v>223</v>
      </c>
      <c r="D1028" s="7" t="s">
        <v>441</v>
      </c>
      <c r="E1028" s="5" t="s">
        <v>2827</v>
      </c>
      <c r="F1028" s="7" t="s">
        <v>444</v>
      </c>
    </row>
    <row r="1029">
      <c r="A1029" s="5" t="s">
        <v>2604</v>
      </c>
      <c r="B1029" s="8">
        <v>4.0</v>
      </c>
      <c r="C1029" s="7" t="s">
        <v>223</v>
      </c>
      <c r="D1029" s="7" t="s">
        <v>441</v>
      </c>
      <c r="E1029" s="5" t="s">
        <v>2827</v>
      </c>
      <c r="F1029" s="7" t="s">
        <v>444</v>
      </c>
    </row>
    <row r="1030">
      <c r="A1030" s="5" t="s">
        <v>2605</v>
      </c>
      <c r="B1030" s="8">
        <v>4.0</v>
      </c>
      <c r="C1030" s="7" t="s">
        <v>223</v>
      </c>
      <c r="D1030" s="7" t="s">
        <v>441</v>
      </c>
      <c r="E1030" s="5" t="s">
        <v>2827</v>
      </c>
      <c r="F1030" s="7" t="s">
        <v>444</v>
      </c>
    </row>
    <row r="1031">
      <c r="A1031" s="5" t="s">
        <v>2606</v>
      </c>
      <c r="B1031" s="8">
        <v>4.0</v>
      </c>
      <c r="C1031" s="7" t="s">
        <v>223</v>
      </c>
      <c r="D1031" s="7" t="s">
        <v>441</v>
      </c>
      <c r="E1031" s="5" t="s">
        <v>2827</v>
      </c>
      <c r="F1031" s="7" t="s">
        <v>444</v>
      </c>
    </row>
    <row r="1032">
      <c r="A1032" s="5" t="s">
        <v>2607</v>
      </c>
      <c r="B1032" s="8">
        <v>4.0</v>
      </c>
      <c r="C1032" s="7" t="s">
        <v>223</v>
      </c>
      <c r="D1032" s="7" t="s">
        <v>441</v>
      </c>
      <c r="E1032" s="5" t="s">
        <v>2827</v>
      </c>
      <c r="F1032" s="7" t="s">
        <v>47</v>
      </c>
    </row>
    <row r="1033">
      <c r="A1033" s="5" t="s">
        <v>2614</v>
      </c>
      <c r="B1033" s="8">
        <v>4.0</v>
      </c>
      <c r="C1033" s="7" t="s">
        <v>223</v>
      </c>
      <c r="D1033" s="7" t="s">
        <v>441</v>
      </c>
      <c r="E1033" s="5" t="s">
        <v>2827</v>
      </c>
      <c r="F1033" s="7" t="s">
        <v>47</v>
      </c>
    </row>
    <row r="1034">
      <c r="A1034" s="5" t="s">
        <v>2608</v>
      </c>
      <c r="B1034" s="8">
        <v>4.0</v>
      </c>
      <c r="C1034" s="7" t="s">
        <v>223</v>
      </c>
      <c r="D1034" s="7" t="s">
        <v>441</v>
      </c>
      <c r="E1034" s="5" t="s">
        <v>2827</v>
      </c>
      <c r="F1034" s="7" t="s">
        <v>445</v>
      </c>
    </row>
    <row r="1035">
      <c r="A1035" s="5" t="s">
        <v>2609</v>
      </c>
      <c r="B1035" s="8">
        <v>4.0</v>
      </c>
      <c r="C1035" s="7" t="s">
        <v>223</v>
      </c>
      <c r="D1035" s="7" t="s">
        <v>441</v>
      </c>
      <c r="E1035" s="5" t="s">
        <v>2827</v>
      </c>
      <c r="F1035" s="7" t="s">
        <v>445</v>
      </c>
    </row>
    <row r="1036">
      <c r="A1036" s="7" t="s">
        <v>188</v>
      </c>
      <c r="B1036" s="8">
        <v>4.0</v>
      </c>
      <c r="C1036" s="7" t="s">
        <v>43</v>
      </c>
      <c r="D1036" s="7" t="s">
        <v>446</v>
      </c>
      <c r="E1036" s="5" t="s">
        <v>2828</v>
      </c>
      <c r="F1036" s="7" t="s">
        <v>65</v>
      </c>
    </row>
    <row r="1037">
      <c r="A1037" s="5" t="s">
        <v>2592</v>
      </c>
      <c r="B1037" s="8">
        <v>4.0</v>
      </c>
      <c r="C1037" s="7" t="s">
        <v>43</v>
      </c>
      <c r="D1037" s="7" t="s">
        <v>446</v>
      </c>
      <c r="E1037" s="5" t="s">
        <v>2828</v>
      </c>
      <c r="F1037" s="7" t="s">
        <v>65</v>
      </c>
    </row>
    <row r="1038">
      <c r="A1038" s="5" t="s">
        <v>2796</v>
      </c>
      <c r="B1038" s="8">
        <v>4.0</v>
      </c>
      <c r="C1038" s="7" t="s">
        <v>43</v>
      </c>
      <c r="D1038" s="7" t="s">
        <v>446</v>
      </c>
      <c r="E1038" s="5" t="s">
        <v>2828</v>
      </c>
      <c r="F1038" s="7" t="s">
        <v>65</v>
      </c>
    </row>
    <row r="1039">
      <c r="A1039" s="5" t="s">
        <v>2797</v>
      </c>
      <c r="B1039" s="8">
        <v>4.0</v>
      </c>
      <c r="C1039" s="7" t="s">
        <v>43</v>
      </c>
      <c r="D1039" s="7" t="s">
        <v>446</v>
      </c>
      <c r="E1039" s="5" t="s">
        <v>2828</v>
      </c>
      <c r="F1039" s="7" t="s">
        <v>65</v>
      </c>
    </row>
    <row r="1040">
      <c r="A1040" s="5" t="s">
        <v>2595</v>
      </c>
      <c r="B1040" s="8">
        <v>4.0</v>
      </c>
      <c r="C1040" s="7" t="s">
        <v>43</v>
      </c>
      <c r="D1040" s="7" t="s">
        <v>446</v>
      </c>
      <c r="E1040" s="5" t="s">
        <v>2828</v>
      </c>
      <c r="F1040" s="7" t="s">
        <v>232</v>
      </c>
    </row>
    <row r="1041">
      <c r="A1041" s="5" t="s">
        <v>2597</v>
      </c>
      <c r="B1041" s="8">
        <v>4.0</v>
      </c>
      <c r="C1041" s="7" t="s">
        <v>43</v>
      </c>
      <c r="D1041" s="7" t="s">
        <v>446</v>
      </c>
      <c r="E1041" s="5" t="s">
        <v>2828</v>
      </c>
      <c r="F1041" s="7" t="s">
        <v>65</v>
      </c>
    </row>
    <row r="1042">
      <c r="A1042" s="7" t="s">
        <v>8</v>
      </c>
      <c r="B1042" s="8">
        <v>4.0</v>
      </c>
      <c r="C1042" s="7" t="s">
        <v>43</v>
      </c>
      <c r="D1042" s="7" t="s">
        <v>446</v>
      </c>
      <c r="E1042" s="5" t="s">
        <v>2828</v>
      </c>
      <c r="F1042" s="7" t="s">
        <v>448</v>
      </c>
    </row>
    <row r="1043">
      <c r="A1043" s="5" t="s">
        <v>2798</v>
      </c>
      <c r="B1043" s="8">
        <v>4.0</v>
      </c>
      <c r="C1043" s="7" t="s">
        <v>43</v>
      </c>
      <c r="D1043" s="7" t="s">
        <v>446</v>
      </c>
      <c r="E1043" s="5" t="s">
        <v>2828</v>
      </c>
      <c r="F1043" s="7" t="s">
        <v>232</v>
      </c>
    </row>
    <row r="1044">
      <c r="A1044" s="5" t="s">
        <v>2702</v>
      </c>
      <c r="B1044" s="8">
        <v>4.0</v>
      </c>
      <c r="C1044" s="7" t="s">
        <v>43</v>
      </c>
      <c r="D1044" s="7" t="s">
        <v>446</v>
      </c>
      <c r="E1044" s="5" t="s">
        <v>2828</v>
      </c>
      <c r="F1044" s="7" t="s">
        <v>65</v>
      </c>
    </row>
    <row r="1045">
      <c r="A1045" s="5" t="s">
        <v>2599</v>
      </c>
      <c r="B1045" s="8">
        <v>4.0</v>
      </c>
      <c r="C1045" s="7" t="s">
        <v>43</v>
      </c>
      <c r="D1045" s="7" t="s">
        <v>446</v>
      </c>
      <c r="E1045" s="5" t="s">
        <v>2828</v>
      </c>
      <c r="F1045" s="7" t="s">
        <v>65</v>
      </c>
    </row>
    <row r="1046">
      <c r="A1046" s="5" t="s">
        <v>2600</v>
      </c>
      <c r="B1046" s="8">
        <v>4.0</v>
      </c>
      <c r="C1046" s="7" t="s">
        <v>43</v>
      </c>
      <c r="D1046" s="7" t="s">
        <v>446</v>
      </c>
      <c r="E1046" s="5" t="s">
        <v>2828</v>
      </c>
      <c r="F1046" s="7" t="s">
        <v>65</v>
      </c>
    </row>
    <row r="1047">
      <c r="A1047" s="5" t="s">
        <v>2602</v>
      </c>
      <c r="B1047" s="8">
        <v>4.0</v>
      </c>
      <c r="C1047" s="7" t="s">
        <v>43</v>
      </c>
      <c r="D1047" s="7" t="s">
        <v>446</v>
      </c>
      <c r="E1047" s="5" t="s">
        <v>2828</v>
      </c>
      <c r="F1047" s="7" t="s">
        <v>232</v>
      </c>
    </row>
    <row r="1048">
      <c r="A1048" s="5" t="s">
        <v>2603</v>
      </c>
      <c r="B1048" s="8">
        <v>4.0</v>
      </c>
      <c r="C1048" s="7" t="s">
        <v>43</v>
      </c>
      <c r="D1048" s="7" t="s">
        <v>446</v>
      </c>
      <c r="E1048" s="5" t="s">
        <v>2828</v>
      </c>
      <c r="F1048" s="7" t="s">
        <v>65</v>
      </c>
    </row>
    <row r="1049">
      <c r="A1049" s="5" t="s">
        <v>2604</v>
      </c>
      <c r="B1049" s="8">
        <v>4.0</v>
      </c>
      <c r="C1049" s="7" t="s">
        <v>43</v>
      </c>
      <c r="D1049" s="7" t="s">
        <v>446</v>
      </c>
      <c r="E1049" s="5" t="s">
        <v>2828</v>
      </c>
      <c r="F1049" s="7" t="s">
        <v>65</v>
      </c>
    </row>
    <row r="1050">
      <c r="A1050" s="5" t="s">
        <v>2605</v>
      </c>
      <c r="B1050" s="8">
        <v>4.0</v>
      </c>
      <c r="C1050" s="7" t="s">
        <v>43</v>
      </c>
      <c r="D1050" s="7" t="s">
        <v>446</v>
      </c>
      <c r="E1050" s="5" t="s">
        <v>2828</v>
      </c>
      <c r="F1050" s="7" t="s">
        <v>65</v>
      </c>
    </row>
    <row r="1051">
      <c r="A1051" s="5" t="s">
        <v>2606</v>
      </c>
      <c r="B1051" s="8">
        <v>4.0</v>
      </c>
      <c r="C1051" s="7" t="s">
        <v>43</v>
      </c>
      <c r="D1051" s="7" t="s">
        <v>446</v>
      </c>
      <c r="E1051" s="5" t="s">
        <v>2828</v>
      </c>
      <c r="F1051" s="7" t="s">
        <v>65</v>
      </c>
    </row>
    <row r="1052">
      <c r="A1052" s="5" t="s">
        <v>2607</v>
      </c>
      <c r="B1052" s="8">
        <v>4.0</v>
      </c>
      <c r="C1052" s="7" t="s">
        <v>43</v>
      </c>
      <c r="D1052" s="7" t="s">
        <v>446</v>
      </c>
      <c r="E1052" s="5" t="s">
        <v>2828</v>
      </c>
      <c r="F1052" s="7" t="s">
        <v>65</v>
      </c>
    </row>
    <row r="1053">
      <c r="A1053" s="5" t="s">
        <v>2614</v>
      </c>
      <c r="B1053" s="8">
        <v>4.0</v>
      </c>
      <c r="C1053" s="7" t="s">
        <v>43</v>
      </c>
      <c r="D1053" s="7" t="s">
        <v>446</v>
      </c>
      <c r="E1053" s="5" t="s">
        <v>2828</v>
      </c>
      <c r="F1053" s="7" t="s">
        <v>65</v>
      </c>
    </row>
    <row r="1054">
      <c r="A1054" s="5" t="s">
        <v>2608</v>
      </c>
      <c r="B1054" s="8">
        <v>4.0</v>
      </c>
      <c r="C1054" s="7" t="s">
        <v>43</v>
      </c>
      <c r="D1054" s="7" t="s">
        <v>446</v>
      </c>
      <c r="E1054" s="5" t="s">
        <v>2828</v>
      </c>
      <c r="F1054" s="7" t="s">
        <v>232</v>
      </c>
    </row>
    <row r="1055">
      <c r="A1055" s="5" t="s">
        <v>2609</v>
      </c>
      <c r="B1055" s="8">
        <v>4.0</v>
      </c>
      <c r="C1055" s="7" t="s">
        <v>43</v>
      </c>
      <c r="D1055" s="7" t="s">
        <v>446</v>
      </c>
      <c r="E1055" s="5" t="s">
        <v>2828</v>
      </c>
      <c r="F1055" s="7" t="s">
        <v>232</v>
      </c>
    </row>
    <row r="1056">
      <c r="A1056" s="7" t="s">
        <v>188</v>
      </c>
      <c r="B1056" s="8">
        <v>4.0</v>
      </c>
      <c r="C1056" s="7" t="s">
        <v>62</v>
      </c>
      <c r="D1056" s="7" t="s">
        <v>449</v>
      </c>
      <c r="E1056" s="5" t="s">
        <v>450</v>
      </c>
      <c r="F1056" s="7" t="s">
        <v>65</v>
      </c>
    </row>
    <row r="1057">
      <c r="A1057" s="5" t="s">
        <v>2592</v>
      </c>
      <c r="B1057" s="8">
        <v>4.0</v>
      </c>
      <c r="C1057" s="7" t="s">
        <v>62</v>
      </c>
      <c r="D1057" s="7" t="s">
        <v>449</v>
      </c>
      <c r="E1057" s="5" t="s">
        <v>450</v>
      </c>
      <c r="F1057" s="7" t="s">
        <v>65</v>
      </c>
    </row>
    <row r="1058">
      <c r="A1058" s="5" t="s">
        <v>2796</v>
      </c>
      <c r="B1058" s="8">
        <v>4.0</v>
      </c>
      <c r="C1058" s="7" t="s">
        <v>62</v>
      </c>
      <c r="D1058" s="7" t="s">
        <v>449</v>
      </c>
      <c r="E1058" s="5" t="s">
        <v>450</v>
      </c>
      <c r="F1058" s="7" t="s">
        <v>65</v>
      </c>
    </row>
    <row r="1059">
      <c r="A1059" s="5" t="s">
        <v>2797</v>
      </c>
      <c r="B1059" s="8">
        <v>4.0</v>
      </c>
      <c r="C1059" s="7" t="s">
        <v>62</v>
      </c>
      <c r="D1059" s="7" t="s">
        <v>449</v>
      </c>
      <c r="E1059" s="5" t="s">
        <v>450</v>
      </c>
      <c r="F1059" s="7" t="s">
        <v>65</v>
      </c>
    </row>
    <row r="1060">
      <c r="A1060" s="5" t="s">
        <v>2595</v>
      </c>
      <c r="B1060" s="8">
        <v>4.0</v>
      </c>
      <c r="C1060" s="7" t="s">
        <v>62</v>
      </c>
      <c r="D1060" s="7" t="s">
        <v>449</v>
      </c>
      <c r="E1060" s="5" t="s">
        <v>450</v>
      </c>
      <c r="F1060" s="7" t="s">
        <v>65</v>
      </c>
    </row>
    <row r="1061">
      <c r="A1061" s="5" t="s">
        <v>2597</v>
      </c>
      <c r="B1061" s="8">
        <v>4.0</v>
      </c>
      <c r="C1061" s="7" t="s">
        <v>62</v>
      </c>
      <c r="D1061" s="7" t="s">
        <v>449</v>
      </c>
      <c r="E1061" s="5" t="s">
        <v>450</v>
      </c>
      <c r="F1061" s="7" t="s">
        <v>65</v>
      </c>
    </row>
    <row r="1062">
      <c r="A1062" s="7" t="s">
        <v>8</v>
      </c>
      <c r="B1062" s="8">
        <v>4.0</v>
      </c>
      <c r="C1062" s="7" t="s">
        <v>62</v>
      </c>
      <c r="D1062" s="7" t="s">
        <v>449</v>
      </c>
      <c r="E1062" s="5" t="s">
        <v>450</v>
      </c>
      <c r="F1062" s="7" t="s">
        <v>66</v>
      </c>
    </row>
    <row r="1063">
      <c r="A1063" s="5" t="s">
        <v>2798</v>
      </c>
      <c r="B1063" s="8">
        <v>4.0</v>
      </c>
      <c r="C1063" s="7" t="s">
        <v>62</v>
      </c>
      <c r="D1063" s="7" t="s">
        <v>449</v>
      </c>
      <c r="E1063" s="5" t="s">
        <v>450</v>
      </c>
      <c r="F1063" s="7" t="s">
        <v>65</v>
      </c>
    </row>
    <row r="1064">
      <c r="A1064" s="5" t="s">
        <v>2702</v>
      </c>
      <c r="B1064" s="8">
        <v>4.0</v>
      </c>
      <c r="C1064" s="7" t="s">
        <v>62</v>
      </c>
      <c r="D1064" s="7" t="s">
        <v>449</v>
      </c>
      <c r="E1064" s="5" t="s">
        <v>450</v>
      </c>
      <c r="F1064" s="7" t="s">
        <v>65</v>
      </c>
    </row>
    <row r="1065">
      <c r="A1065" s="5" t="s">
        <v>2599</v>
      </c>
      <c r="B1065" s="8">
        <v>4.0</v>
      </c>
      <c r="C1065" s="7" t="s">
        <v>62</v>
      </c>
      <c r="D1065" s="7" t="s">
        <v>449</v>
      </c>
      <c r="E1065" s="5" t="s">
        <v>450</v>
      </c>
      <c r="F1065" s="7" t="s">
        <v>65</v>
      </c>
    </row>
    <row r="1066">
      <c r="A1066" s="5" t="s">
        <v>2600</v>
      </c>
      <c r="B1066" s="8">
        <v>4.0</v>
      </c>
      <c r="C1066" s="7" t="s">
        <v>62</v>
      </c>
      <c r="D1066" s="7" t="s">
        <v>449</v>
      </c>
      <c r="E1066" s="5" t="s">
        <v>450</v>
      </c>
      <c r="F1066" s="7" t="s">
        <v>65</v>
      </c>
    </row>
    <row r="1067">
      <c r="A1067" s="5" t="s">
        <v>2602</v>
      </c>
      <c r="B1067" s="8">
        <v>4.0</v>
      </c>
      <c r="C1067" s="7" t="s">
        <v>62</v>
      </c>
      <c r="D1067" s="7" t="s">
        <v>449</v>
      </c>
      <c r="E1067" s="5" t="s">
        <v>450</v>
      </c>
      <c r="F1067" s="7" t="s">
        <v>65</v>
      </c>
    </row>
    <row r="1068">
      <c r="A1068" s="5" t="s">
        <v>2603</v>
      </c>
      <c r="B1068" s="8">
        <v>4.0</v>
      </c>
      <c r="C1068" s="7" t="s">
        <v>62</v>
      </c>
      <c r="D1068" s="7" t="s">
        <v>449</v>
      </c>
      <c r="E1068" s="5" t="s">
        <v>450</v>
      </c>
      <c r="F1068" s="7" t="s">
        <v>65</v>
      </c>
    </row>
    <row r="1069">
      <c r="A1069" s="5" t="s">
        <v>2604</v>
      </c>
      <c r="B1069" s="8">
        <v>4.0</v>
      </c>
      <c r="C1069" s="7" t="s">
        <v>62</v>
      </c>
      <c r="D1069" s="7" t="s">
        <v>449</v>
      </c>
      <c r="E1069" s="5" t="s">
        <v>450</v>
      </c>
      <c r="F1069" s="7" t="s">
        <v>65</v>
      </c>
    </row>
    <row r="1070">
      <c r="A1070" s="5" t="s">
        <v>2605</v>
      </c>
      <c r="B1070" s="8">
        <v>4.0</v>
      </c>
      <c r="C1070" s="7" t="s">
        <v>62</v>
      </c>
      <c r="D1070" s="7" t="s">
        <v>449</v>
      </c>
      <c r="E1070" s="5" t="s">
        <v>450</v>
      </c>
      <c r="F1070" s="7" t="s">
        <v>65</v>
      </c>
    </row>
    <row r="1071">
      <c r="A1071" s="5" t="s">
        <v>2606</v>
      </c>
      <c r="B1071" s="8">
        <v>4.0</v>
      </c>
      <c r="C1071" s="7" t="s">
        <v>62</v>
      </c>
      <c r="D1071" s="7" t="s">
        <v>449</v>
      </c>
      <c r="E1071" s="5" t="s">
        <v>450</v>
      </c>
      <c r="F1071" s="7" t="s">
        <v>65</v>
      </c>
    </row>
    <row r="1072">
      <c r="A1072" s="5" t="s">
        <v>2607</v>
      </c>
      <c r="B1072" s="8">
        <v>4.0</v>
      </c>
      <c r="C1072" s="7" t="s">
        <v>62</v>
      </c>
      <c r="D1072" s="7" t="s">
        <v>449</v>
      </c>
      <c r="E1072" s="5" t="s">
        <v>450</v>
      </c>
      <c r="F1072" s="7" t="s">
        <v>65</v>
      </c>
    </row>
    <row r="1073">
      <c r="A1073" s="5" t="s">
        <v>2614</v>
      </c>
      <c r="B1073" s="8">
        <v>4.0</v>
      </c>
      <c r="C1073" s="7" t="s">
        <v>62</v>
      </c>
      <c r="D1073" s="7" t="s">
        <v>449</v>
      </c>
      <c r="E1073" s="5" t="s">
        <v>450</v>
      </c>
      <c r="F1073" s="7" t="s">
        <v>65</v>
      </c>
    </row>
    <row r="1074">
      <c r="A1074" s="5" t="s">
        <v>2608</v>
      </c>
      <c r="B1074" s="8">
        <v>4.0</v>
      </c>
      <c r="C1074" s="7" t="s">
        <v>62</v>
      </c>
      <c r="D1074" s="7" t="s">
        <v>449</v>
      </c>
      <c r="E1074" s="5" t="s">
        <v>450</v>
      </c>
      <c r="F1074" s="7" t="s">
        <v>451</v>
      </c>
    </row>
    <row r="1075">
      <c r="A1075" s="5" t="s">
        <v>2609</v>
      </c>
      <c r="B1075" s="8">
        <v>4.0</v>
      </c>
      <c r="C1075" s="7" t="s">
        <v>62</v>
      </c>
      <c r="D1075" s="7" t="s">
        <v>449</v>
      </c>
      <c r="E1075" s="5" t="s">
        <v>450</v>
      </c>
      <c r="F1075" s="7" t="s">
        <v>451</v>
      </c>
    </row>
    <row r="1076">
      <c r="A1076" s="7" t="s">
        <v>188</v>
      </c>
      <c r="B1076" s="8">
        <v>4.0</v>
      </c>
      <c r="C1076" s="7" t="s">
        <v>67</v>
      </c>
      <c r="D1076" s="5" t="s">
        <v>2829</v>
      </c>
      <c r="E1076" s="5" t="s">
        <v>2830</v>
      </c>
      <c r="F1076" s="7" t="s">
        <v>131</v>
      </c>
    </row>
    <row r="1077">
      <c r="A1077" s="5" t="s">
        <v>2592</v>
      </c>
      <c r="B1077" s="8">
        <v>4.0</v>
      </c>
      <c r="C1077" s="7" t="s">
        <v>67</v>
      </c>
      <c r="D1077" s="5" t="s">
        <v>2829</v>
      </c>
      <c r="E1077" s="5" t="s">
        <v>2830</v>
      </c>
      <c r="F1077" s="7" t="s">
        <v>70</v>
      </c>
    </row>
    <row r="1078">
      <c r="A1078" s="5" t="s">
        <v>2796</v>
      </c>
      <c r="B1078" s="8">
        <v>4.0</v>
      </c>
      <c r="C1078" s="7" t="s">
        <v>67</v>
      </c>
      <c r="D1078" s="5" t="s">
        <v>2829</v>
      </c>
      <c r="E1078" s="5" t="s">
        <v>2830</v>
      </c>
      <c r="F1078" s="5" t="s">
        <v>2831</v>
      </c>
    </row>
    <row r="1079">
      <c r="A1079" s="5" t="s">
        <v>2797</v>
      </c>
      <c r="B1079" s="8">
        <v>4.0</v>
      </c>
      <c r="C1079" s="7" t="s">
        <v>67</v>
      </c>
      <c r="D1079" s="5" t="s">
        <v>2829</v>
      </c>
      <c r="E1079" s="5" t="s">
        <v>2830</v>
      </c>
      <c r="F1079" s="7" t="s">
        <v>70</v>
      </c>
    </row>
    <row r="1080">
      <c r="A1080" s="5" t="s">
        <v>2595</v>
      </c>
      <c r="B1080" s="8">
        <v>4.0</v>
      </c>
      <c r="C1080" s="7" t="s">
        <v>67</v>
      </c>
      <c r="D1080" s="5" t="s">
        <v>2829</v>
      </c>
      <c r="E1080" s="5" t="s">
        <v>2830</v>
      </c>
      <c r="F1080" s="7" t="s">
        <v>70</v>
      </c>
    </row>
    <row r="1081">
      <c r="A1081" s="5" t="s">
        <v>2597</v>
      </c>
      <c r="B1081" s="8">
        <v>4.0</v>
      </c>
      <c r="C1081" s="7" t="s">
        <v>67</v>
      </c>
      <c r="D1081" s="5" t="s">
        <v>2829</v>
      </c>
      <c r="E1081" s="5" t="s">
        <v>2830</v>
      </c>
      <c r="F1081" s="7" t="s">
        <v>70</v>
      </c>
    </row>
    <row r="1082">
      <c r="A1082" s="7" t="s">
        <v>8</v>
      </c>
      <c r="B1082" s="8">
        <v>4.0</v>
      </c>
      <c r="C1082" s="7" t="s">
        <v>67</v>
      </c>
      <c r="D1082" s="5" t="s">
        <v>2829</v>
      </c>
      <c r="E1082" s="5" t="s">
        <v>2830</v>
      </c>
      <c r="F1082" s="7" t="s">
        <v>71</v>
      </c>
    </row>
    <row r="1083">
      <c r="A1083" s="5" t="s">
        <v>2798</v>
      </c>
      <c r="B1083" s="8">
        <v>4.0</v>
      </c>
      <c r="C1083" s="7" t="s">
        <v>67</v>
      </c>
      <c r="D1083" s="5" t="s">
        <v>2829</v>
      </c>
      <c r="E1083" s="5" t="s">
        <v>2830</v>
      </c>
      <c r="F1083" s="7" t="s">
        <v>70</v>
      </c>
    </row>
    <row r="1084">
      <c r="A1084" s="5" t="s">
        <v>2702</v>
      </c>
      <c r="B1084" s="8">
        <v>4.0</v>
      </c>
      <c r="C1084" s="7" t="s">
        <v>67</v>
      </c>
      <c r="D1084" s="5" t="s">
        <v>2829</v>
      </c>
      <c r="E1084" s="5" t="s">
        <v>2830</v>
      </c>
      <c r="F1084" s="7" t="s">
        <v>131</v>
      </c>
    </row>
    <row r="1085">
      <c r="A1085" s="5" t="s">
        <v>2599</v>
      </c>
      <c r="B1085" s="8">
        <v>4.0</v>
      </c>
      <c r="C1085" s="7" t="s">
        <v>67</v>
      </c>
      <c r="D1085" s="5" t="s">
        <v>2829</v>
      </c>
      <c r="E1085" s="5" t="s">
        <v>2830</v>
      </c>
      <c r="F1085" s="7" t="s">
        <v>70</v>
      </c>
    </row>
    <row r="1086">
      <c r="A1086" s="5" t="s">
        <v>2600</v>
      </c>
      <c r="B1086" s="8">
        <v>4.0</v>
      </c>
      <c r="C1086" s="7" t="s">
        <v>67</v>
      </c>
      <c r="D1086" s="5" t="s">
        <v>2829</v>
      </c>
      <c r="E1086" s="5" t="s">
        <v>2830</v>
      </c>
      <c r="F1086" s="7" t="s">
        <v>70</v>
      </c>
    </row>
    <row r="1087">
      <c r="A1087" s="5" t="s">
        <v>2602</v>
      </c>
      <c r="B1087" s="8">
        <v>4.0</v>
      </c>
      <c r="C1087" s="7" t="s">
        <v>67</v>
      </c>
      <c r="D1087" s="5" t="s">
        <v>2829</v>
      </c>
      <c r="E1087" s="5" t="s">
        <v>2830</v>
      </c>
      <c r="F1087" s="7" t="s">
        <v>131</v>
      </c>
    </row>
    <row r="1088">
      <c r="A1088" s="5" t="s">
        <v>2603</v>
      </c>
      <c r="B1088" s="8">
        <v>4.0</v>
      </c>
      <c r="C1088" s="7" t="s">
        <v>67</v>
      </c>
      <c r="D1088" s="5" t="s">
        <v>2829</v>
      </c>
      <c r="E1088" s="5" t="s">
        <v>2830</v>
      </c>
      <c r="F1088" s="7" t="s">
        <v>70</v>
      </c>
    </row>
    <row r="1089">
      <c r="A1089" s="5" t="s">
        <v>2604</v>
      </c>
      <c r="B1089" s="8">
        <v>4.0</v>
      </c>
      <c r="C1089" s="7" t="s">
        <v>67</v>
      </c>
      <c r="D1089" s="5" t="s">
        <v>2829</v>
      </c>
      <c r="E1089" s="5" t="s">
        <v>2830</v>
      </c>
      <c r="F1089" s="7" t="s">
        <v>70</v>
      </c>
    </row>
    <row r="1090">
      <c r="A1090" s="5" t="s">
        <v>2605</v>
      </c>
      <c r="B1090" s="8">
        <v>4.0</v>
      </c>
      <c r="C1090" s="7" t="s">
        <v>67</v>
      </c>
      <c r="D1090" s="5" t="s">
        <v>2829</v>
      </c>
      <c r="E1090" s="5" t="s">
        <v>2830</v>
      </c>
      <c r="F1090" s="7" t="s">
        <v>131</v>
      </c>
    </row>
    <row r="1091">
      <c r="A1091" s="5" t="s">
        <v>2606</v>
      </c>
      <c r="B1091" s="8">
        <v>4.0</v>
      </c>
      <c r="C1091" s="7" t="s">
        <v>67</v>
      </c>
      <c r="D1091" s="5" t="s">
        <v>2829</v>
      </c>
      <c r="E1091" s="5" t="s">
        <v>2830</v>
      </c>
      <c r="F1091" s="5" t="s">
        <v>2832</v>
      </c>
    </row>
    <row r="1092">
      <c r="A1092" s="5" t="s">
        <v>2607</v>
      </c>
      <c r="B1092" s="8">
        <v>4.0</v>
      </c>
      <c r="C1092" s="7" t="s">
        <v>67</v>
      </c>
      <c r="D1092" s="5" t="s">
        <v>2829</v>
      </c>
      <c r="E1092" s="5" t="s">
        <v>2830</v>
      </c>
      <c r="F1092" s="7" t="s">
        <v>70</v>
      </c>
    </row>
    <row r="1093">
      <c r="A1093" s="5" t="s">
        <v>2614</v>
      </c>
      <c r="B1093" s="8">
        <v>4.0</v>
      </c>
      <c r="C1093" s="7" t="s">
        <v>67</v>
      </c>
      <c r="D1093" s="5" t="s">
        <v>2829</v>
      </c>
      <c r="E1093" s="5" t="s">
        <v>2830</v>
      </c>
      <c r="F1093" s="7" t="s">
        <v>70</v>
      </c>
    </row>
    <row r="1094">
      <c r="A1094" s="5" t="s">
        <v>2608</v>
      </c>
      <c r="B1094" s="8">
        <v>4.0</v>
      </c>
      <c r="C1094" s="7" t="s">
        <v>67</v>
      </c>
      <c r="D1094" s="5" t="s">
        <v>2829</v>
      </c>
      <c r="E1094" s="5" t="s">
        <v>2830</v>
      </c>
      <c r="F1094" s="5" t="s">
        <v>2833</v>
      </c>
    </row>
    <row r="1095">
      <c r="A1095" s="5" t="s">
        <v>2609</v>
      </c>
      <c r="B1095" s="8">
        <v>4.0</v>
      </c>
      <c r="C1095" s="7" t="s">
        <v>67</v>
      </c>
      <c r="D1095" s="5" t="s">
        <v>2829</v>
      </c>
      <c r="E1095" s="5" t="s">
        <v>2830</v>
      </c>
      <c r="F1095" s="7" t="s">
        <v>70</v>
      </c>
    </row>
    <row r="1096">
      <c r="A1096" s="7" t="s">
        <v>188</v>
      </c>
      <c r="B1096" s="8">
        <v>4.0</v>
      </c>
      <c r="C1096" s="7" t="s">
        <v>72</v>
      </c>
      <c r="D1096" s="7" t="s">
        <v>457</v>
      </c>
      <c r="E1096" s="5" t="s">
        <v>2834</v>
      </c>
      <c r="F1096" s="5" t="s">
        <v>76</v>
      </c>
    </row>
    <row r="1097">
      <c r="A1097" s="5" t="s">
        <v>2592</v>
      </c>
      <c r="B1097" s="8">
        <v>4.0</v>
      </c>
      <c r="C1097" s="7" t="s">
        <v>72</v>
      </c>
      <c r="D1097" s="7" t="s">
        <v>457</v>
      </c>
      <c r="E1097" s="5" t="s">
        <v>2834</v>
      </c>
      <c r="F1097" s="5" t="s">
        <v>77</v>
      </c>
    </row>
    <row r="1098">
      <c r="A1098" s="5" t="s">
        <v>2796</v>
      </c>
      <c r="B1098" s="8">
        <v>4.0</v>
      </c>
      <c r="C1098" s="7" t="s">
        <v>72</v>
      </c>
      <c r="D1098" s="7" t="s">
        <v>457</v>
      </c>
      <c r="E1098" s="5" t="s">
        <v>2834</v>
      </c>
      <c r="F1098" s="5" t="s">
        <v>76</v>
      </c>
    </row>
    <row r="1099">
      <c r="A1099" s="5" t="s">
        <v>2797</v>
      </c>
      <c r="B1099" s="8">
        <v>4.0</v>
      </c>
      <c r="C1099" s="7" t="s">
        <v>72</v>
      </c>
      <c r="D1099" s="7" t="s">
        <v>457</v>
      </c>
      <c r="E1099" s="5" t="s">
        <v>2834</v>
      </c>
      <c r="F1099" s="5" t="s">
        <v>76</v>
      </c>
    </row>
    <row r="1100">
      <c r="A1100" s="5" t="s">
        <v>2595</v>
      </c>
      <c r="B1100" s="8">
        <v>4.0</v>
      </c>
      <c r="C1100" s="7" t="s">
        <v>72</v>
      </c>
      <c r="D1100" s="7" t="s">
        <v>457</v>
      </c>
      <c r="E1100" s="5" t="s">
        <v>2834</v>
      </c>
      <c r="F1100" s="5" t="s">
        <v>77</v>
      </c>
    </row>
    <row r="1101">
      <c r="A1101" s="5" t="s">
        <v>2597</v>
      </c>
      <c r="B1101" s="8">
        <v>4.0</v>
      </c>
      <c r="C1101" s="7" t="s">
        <v>72</v>
      </c>
      <c r="D1101" s="7" t="s">
        <v>457</v>
      </c>
      <c r="E1101" s="5" t="s">
        <v>2834</v>
      </c>
      <c r="F1101" s="5" t="s">
        <v>77</v>
      </c>
    </row>
    <row r="1102">
      <c r="A1102" s="7" t="s">
        <v>8</v>
      </c>
      <c r="B1102" s="8">
        <v>4.0</v>
      </c>
      <c r="C1102" s="7" t="s">
        <v>72</v>
      </c>
      <c r="D1102" s="7" t="s">
        <v>457</v>
      </c>
      <c r="E1102" s="5" t="s">
        <v>2834</v>
      </c>
      <c r="F1102" s="5" t="s">
        <v>76</v>
      </c>
    </row>
    <row r="1103">
      <c r="A1103" s="5" t="s">
        <v>2798</v>
      </c>
      <c r="B1103" s="8">
        <v>4.0</v>
      </c>
      <c r="C1103" s="7" t="s">
        <v>72</v>
      </c>
      <c r="D1103" s="7" t="s">
        <v>457</v>
      </c>
      <c r="E1103" s="5" t="s">
        <v>2834</v>
      </c>
      <c r="F1103" s="5" t="s">
        <v>459</v>
      </c>
    </row>
    <row r="1104">
      <c r="A1104" s="5" t="s">
        <v>2702</v>
      </c>
      <c r="B1104" s="8">
        <v>4.0</v>
      </c>
      <c r="C1104" s="7" t="s">
        <v>72</v>
      </c>
      <c r="D1104" s="7" t="s">
        <v>457</v>
      </c>
      <c r="E1104" s="5" t="s">
        <v>2834</v>
      </c>
      <c r="F1104" s="5" t="s">
        <v>76</v>
      </c>
    </row>
    <row r="1105">
      <c r="A1105" s="5" t="s">
        <v>2599</v>
      </c>
      <c r="B1105" s="8">
        <v>4.0</v>
      </c>
      <c r="C1105" s="7" t="s">
        <v>72</v>
      </c>
      <c r="D1105" s="7" t="s">
        <v>457</v>
      </c>
      <c r="E1105" s="5" t="s">
        <v>2834</v>
      </c>
      <c r="F1105" s="5" t="s">
        <v>75</v>
      </c>
    </row>
    <row r="1106">
      <c r="A1106" s="5" t="s">
        <v>2600</v>
      </c>
      <c r="B1106" s="8">
        <v>4.0</v>
      </c>
      <c r="C1106" s="7" t="s">
        <v>72</v>
      </c>
      <c r="D1106" s="7" t="s">
        <v>457</v>
      </c>
      <c r="E1106" s="5" t="s">
        <v>2834</v>
      </c>
      <c r="F1106" s="5" t="s">
        <v>76</v>
      </c>
    </row>
    <row r="1107">
      <c r="A1107" s="5" t="s">
        <v>2602</v>
      </c>
      <c r="B1107" s="8">
        <v>4.0</v>
      </c>
      <c r="C1107" s="7" t="s">
        <v>72</v>
      </c>
      <c r="D1107" s="7" t="s">
        <v>457</v>
      </c>
      <c r="E1107" s="5" t="s">
        <v>2834</v>
      </c>
      <c r="F1107" s="5" t="s">
        <v>2835</v>
      </c>
    </row>
    <row r="1108">
      <c r="A1108" s="5" t="s">
        <v>2603</v>
      </c>
      <c r="B1108" s="8">
        <v>4.0</v>
      </c>
      <c r="C1108" s="7" t="s">
        <v>72</v>
      </c>
      <c r="D1108" s="7" t="s">
        <v>457</v>
      </c>
      <c r="E1108" s="5" t="s">
        <v>2834</v>
      </c>
      <c r="F1108" s="5" t="s">
        <v>76</v>
      </c>
    </row>
    <row r="1109">
      <c r="A1109" s="5" t="s">
        <v>2604</v>
      </c>
      <c r="B1109" s="8">
        <v>4.0</v>
      </c>
      <c r="C1109" s="7" t="s">
        <v>72</v>
      </c>
      <c r="D1109" s="7" t="s">
        <v>457</v>
      </c>
      <c r="E1109" s="5" t="s">
        <v>2834</v>
      </c>
      <c r="F1109" s="5" t="s">
        <v>76</v>
      </c>
    </row>
    <row r="1110">
      <c r="A1110" s="5" t="s">
        <v>2605</v>
      </c>
      <c r="B1110" s="8">
        <v>4.0</v>
      </c>
      <c r="C1110" s="7" t="s">
        <v>72</v>
      </c>
      <c r="D1110" s="7" t="s">
        <v>457</v>
      </c>
      <c r="E1110" s="5" t="s">
        <v>2834</v>
      </c>
      <c r="F1110" s="5" t="s">
        <v>76</v>
      </c>
    </row>
    <row r="1111">
      <c r="A1111" s="5" t="s">
        <v>2606</v>
      </c>
      <c r="B1111" s="8">
        <v>4.0</v>
      </c>
      <c r="C1111" s="7" t="s">
        <v>72</v>
      </c>
      <c r="D1111" s="7" t="s">
        <v>457</v>
      </c>
      <c r="E1111" s="5" t="s">
        <v>2834</v>
      </c>
      <c r="F1111" s="5" t="s">
        <v>76</v>
      </c>
    </row>
    <row r="1112">
      <c r="A1112" s="5" t="s">
        <v>2607</v>
      </c>
      <c r="B1112" s="8">
        <v>4.0</v>
      </c>
      <c r="C1112" s="7" t="s">
        <v>72</v>
      </c>
      <c r="D1112" s="7" t="s">
        <v>457</v>
      </c>
      <c r="E1112" s="5" t="s">
        <v>2834</v>
      </c>
      <c r="F1112" s="5" t="s">
        <v>75</v>
      </c>
    </row>
    <row r="1113">
      <c r="A1113" s="5" t="s">
        <v>2614</v>
      </c>
      <c r="B1113" s="8">
        <v>4.0</v>
      </c>
      <c r="C1113" s="7" t="s">
        <v>72</v>
      </c>
      <c r="D1113" s="7" t="s">
        <v>457</v>
      </c>
      <c r="E1113" s="5" t="s">
        <v>2834</v>
      </c>
      <c r="F1113" s="5" t="s">
        <v>75</v>
      </c>
    </row>
    <row r="1114">
      <c r="A1114" s="5" t="s">
        <v>2608</v>
      </c>
      <c r="B1114" s="8">
        <v>4.0</v>
      </c>
      <c r="C1114" s="7" t="s">
        <v>72</v>
      </c>
      <c r="D1114" s="7" t="s">
        <v>457</v>
      </c>
      <c r="E1114" s="5" t="s">
        <v>2834</v>
      </c>
      <c r="F1114" s="5" t="s">
        <v>75</v>
      </c>
    </row>
    <row r="1115">
      <c r="A1115" s="5" t="s">
        <v>2609</v>
      </c>
      <c r="B1115" s="8">
        <v>4.0</v>
      </c>
      <c r="C1115" s="7" t="s">
        <v>72</v>
      </c>
      <c r="D1115" s="7" t="s">
        <v>457</v>
      </c>
      <c r="E1115" s="5" t="s">
        <v>2834</v>
      </c>
      <c r="F1115" s="5" t="s">
        <v>75</v>
      </c>
    </row>
    <row r="1116">
      <c r="A1116" s="7" t="s">
        <v>188</v>
      </c>
      <c r="B1116" s="8">
        <v>4.0</v>
      </c>
      <c r="C1116" s="7" t="s">
        <v>78</v>
      </c>
      <c r="D1116" s="7" t="s">
        <v>461</v>
      </c>
      <c r="E1116" s="5" t="s">
        <v>2836</v>
      </c>
      <c r="F1116" s="5" t="s">
        <v>2724</v>
      </c>
    </row>
    <row r="1117">
      <c r="A1117" s="5" t="s">
        <v>2592</v>
      </c>
      <c r="B1117" s="8">
        <v>4.0</v>
      </c>
      <c r="C1117" s="7" t="s">
        <v>78</v>
      </c>
      <c r="D1117" s="7" t="s">
        <v>461</v>
      </c>
      <c r="E1117" s="5" t="s">
        <v>2836</v>
      </c>
      <c r="F1117" s="5" t="s">
        <v>2837</v>
      </c>
    </row>
    <row r="1118">
      <c r="A1118" s="5" t="s">
        <v>2796</v>
      </c>
      <c r="B1118" s="8">
        <v>4.0</v>
      </c>
      <c r="C1118" s="7" t="s">
        <v>78</v>
      </c>
      <c r="D1118" s="7" t="s">
        <v>461</v>
      </c>
      <c r="E1118" s="5" t="s">
        <v>2836</v>
      </c>
      <c r="F1118" s="5" t="s">
        <v>2838</v>
      </c>
    </row>
    <row r="1119">
      <c r="A1119" s="5" t="s">
        <v>2797</v>
      </c>
      <c r="B1119" s="8">
        <v>4.0</v>
      </c>
      <c r="C1119" s="7" t="s">
        <v>78</v>
      </c>
      <c r="D1119" s="7" t="s">
        <v>461</v>
      </c>
      <c r="E1119" s="5" t="s">
        <v>2836</v>
      </c>
      <c r="F1119" s="5" t="s">
        <v>2839</v>
      </c>
    </row>
    <row r="1120">
      <c r="A1120" s="5" t="s">
        <v>2595</v>
      </c>
      <c r="B1120" s="8">
        <v>4.0</v>
      </c>
      <c r="C1120" s="7" t="s">
        <v>78</v>
      </c>
      <c r="D1120" s="7" t="s">
        <v>461</v>
      </c>
      <c r="E1120" s="5" t="s">
        <v>2836</v>
      </c>
      <c r="F1120" s="5" t="s">
        <v>2840</v>
      </c>
    </row>
    <row r="1121">
      <c r="A1121" s="5" t="s">
        <v>2597</v>
      </c>
      <c r="B1121" s="8">
        <v>4.0</v>
      </c>
      <c r="C1121" s="7" t="s">
        <v>78</v>
      </c>
      <c r="D1121" s="7" t="s">
        <v>461</v>
      </c>
      <c r="E1121" s="5" t="s">
        <v>2836</v>
      </c>
      <c r="F1121" s="5" t="s">
        <v>2629</v>
      </c>
    </row>
    <row r="1122">
      <c r="A1122" s="7" t="s">
        <v>8</v>
      </c>
      <c r="B1122" s="8">
        <v>4.0</v>
      </c>
      <c r="C1122" s="7" t="s">
        <v>78</v>
      </c>
      <c r="D1122" s="7" t="s">
        <v>461</v>
      </c>
      <c r="E1122" s="5" t="s">
        <v>2836</v>
      </c>
      <c r="F1122" s="5" t="s">
        <v>2627</v>
      </c>
    </row>
    <row r="1123">
      <c r="A1123" s="5" t="s">
        <v>2798</v>
      </c>
      <c r="B1123" s="8">
        <v>4.0</v>
      </c>
      <c r="C1123" s="7" t="s">
        <v>78</v>
      </c>
      <c r="D1123" s="7" t="s">
        <v>461</v>
      </c>
      <c r="E1123" s="5" t="s">
        <v>2836</v>
      </c>
      <c r="F1123" s="5" t="s">
        <v>2841</v>
      </c>
    </row>
    <row r="1124">
      <c r="A1124" s="5" t="s">
        <v>2702</v>
      </c>
      <c r="B1124" s="8">
        <v>4.0</v>
      </c>
      <c r="C1124" s="7" t="s">
        <v>78</v>
      </c>
      <c r="D1124" s="7" t="s">
        <v>461</v>
      </c>
      <c r="E1124" s="5" t="s">
        <v>2836</v>
      </c>
      <c r="F1124" s="5" t="s">
        <v>2838</v>
      </c>
    </row>
    <row r="1125">
      <c r="A1125" s="5" t="s">
        <v>2599</v>
      </c>
      <c r="B1125" s="8">
        <v>4.0</v>
      </c>
      <c r="C1125" s="7" t="s">
        <v>78</v>
      </c>
      <c r="D1125" s="7" t="s">
        <v>461</v>
      </c>
      <c r="E1125" s="5" t="s">
        <v>2836</v>
      </c>
      <c r="F1125" s="5" t="s">
        <v>2842</v>
      </c>
    </row>
    <row r="1126">
      <c r="A1126" s="5" t="s">
        <v>2600</v>
      </c>
      <c r="B1126" s="8">
        <v>4.0</v>
      </c>
      <c r="C1126" s="7" t="s">
        <v>78</v>
      </c>
      <c r="D1126" s="7" t="s">
        <v>461</v>
      </c>
      <c r="E1126" s="5" t="s">
        <v>2836</v>
      </c>
      <c r="F1126" s="5" t="s">
        <v>2838</v>
      </c>
    </row>
    <row r="1127">
      <c r="A1127" s="5" t="s">
        <v>2602</v>
      </c>
      <c r="B1127" s="8">
        <v>4.0</v>
      </c>
      <c r="C1127" s="7" t="s">
        <v>78</v>
      </c>
      <c r="D1127" s="7" t="s">
        <v>461</v>
      </c>
      <c r="E1127" s="5" t="s">
        <v>2836</v>
      </c>
      <c r="F1127" s="5" t="s">
        <v>2628</v>
      </c>
    </row>
    <row r="1128">
      <c r="A1128" s="5" t="s">
        <v>2603</v>
      </c>
      <c r="B1128" s="8">
        <v>4.0</v>
      </c>
      <c r="C1128" s="7" t="s">
        <v>78</v>
      </c>
      <c r="D1128" s="7" t="s">
        <v>461</v>
      </c>
      <c r="E1128" s="5" t="s">
        <v>2836</v>
      </c>
      <c r="F1128" s="5" t="s">
        <v>2843</v>
      </c>
    </row>
    <row r="1129">
      <c r="A1129" s="5" t="s">
        <v>2604</v>
      </c>
      <c r="B1129" s="8">
        <v>4.0</v>
      </c>
      <c r="C1129" s="7" t="s">
        <v>78</v>
      </c>
      <c r="D1129" s="7" t="s">
        <v>461</v>
      </c>
      <c r="E1129" s="5" t="s">
        <v>2836</v>
      </c>
      <c r="F1129" s="5" t="s">
        <v>2726</v>
      </c>
    </row>
    <row r="1130">
      <c r="A1130" s="5" t="s">
        <v>2605</v>
      </c>
      <c r="B1130" s="8">
        <v>4.0</v>
      </c>
      <c r="C1130" s="7" t="s">
        <v>78</v>
      </c>
      <c r="D1130" s="7" t="s">
        <v>461</v>
      </c>
      <c r="E1130" s="5" t="s">
        <v>2836</v>
      </c>
      <c r="F1130" s="5" t="s">
        <v>2844</v>
      </c>
    </row>
    <row r="1131">
      <c r="A1131" s="5" t="s">
        <v>2606</v>
      </c>
      <c r="B1131" s="8">
        <v>4.0</v>
      </c>
      <c r="C1131" s="7" t="s">
        <v>78</v>
      </c>
      <c r="D1131" s="7" t="s">
        <v>461</v>
      </c>
      <c r="E1131" s="5" t="s">
        <v>2836</v>
      </c>
      <c r="F1131" s="5" t="s">
        <v>2627</v>
      </c>
    </row>
    <row r="1132">
      <c r="A1132" s="5" t="s">
        <v>2607</v>
      </c>
      <c r="B1132" s="8">
        <v>4.0</v>
      </c>
      <c r="C1132" s="7" t="s">
        <v>78</v>
      </c>
      <c r="D1132" s="7" t="s">
        <v>461</v>
      </c>
      <c r="E1132" s="5" t="s">
        <v>2836</v>
      </c>
      <c r="F1132" s="5" t="s">
        <v>2628</v>
      </c>
    </row>
    <row r="1133">
      <c r="A1133" s="5" t="s">
        <v>2614</v>
      </c>
      <c r="B1133" s="8">
        <v>4.0</v>
      </c>
      <c r="C1133" s="7" t="s">
        <v>78</v>
      </c>
      <c r="D1133" s="7" t="s">
        <v>461</v>
      </c>
      <c r="E1133" s="5" t="s">
        <v>2836</v>
      </c>
      <c r="F1133" s="5" t="s">
        <v>2845</v>
      </c>
    </row>
    <row r="1134">
      <c r="A1134" s="5" t="s">
        <v>2608</v>
      </c>
      <c r="B1134" s="8">
        <v>4.0</v>
      </c>
      <c r="C1134" s="7" t="s">
        <v>78</v>
      </c>
      <c r="D1134" s="7" t="s">
        <v>461</v>
      </c>
      <c r="E1134" s="5" t="s">
        <v>2836</v>
      </c>
      <c r="F1134" s="5" t="s">
        <v>2846</v>
      </c>
    </row>
    <row r="1135">
      <c r="A1135" s="5" t="s">
        <v>2609</v>
      </c>
      <c r="B1135" s="8">
        <v>4.0</v>
      </c>
      <c r="C1135" s="7" t="s">
        <v>78</v>
      </c>
      <c r="D1135" s="7" t="s">
        <v>461</v>
      </c>
      <c r="E1135" s="5" t="s">
        <v>2836</v>
      </c>
      <c r="F1135" s="5" t="s">
        <v>2847</v>
      </c>
    </row>
    <row r="1136">
      <c r="A1136" s="7" t="s">
        <v>188</v>
      </c>
      <c r="B1136" s="8">
        <v>4.0</v>
      </c>
      <c r="C1136" s="7" t="s">
        <v>101</v>
      </c>
      <c r="D1136" s="7" t="s">
        <v>474</v>
      </c>
      <c r="E1136" s="5" t="s">
        <v>2848</v>
      </c>
      <c r="F1136" s="5" t="s">
        <v>2730</v>
      </c>
    </row>
    <row r="1137">
      <c r="A1137" s="5" t="s">
        <v>2592</v>
      </c>
      <c r="B1137" s="8">
        <v>4.0</v>
      </c>
      <c r="C1137" s="7" t="s">
        <v>101</v>
      </c>
      <c r="D1137" s="7" t="s">
        <v>474</v>
      </c>
      <c r="E1137" s="5" t="s">
        <v>2848</v>
      </c>
      <c r="F1137" s="5" t="s">
        <v>2735</v>
      </c>
    </row>
    <row r="1138">
      <c r="A1138" s="5" t="s">
        <v>2796</v>
      </c>
      <c r="B1138" s="8">
        <v>4.0</v>
      </c>
      <c r="C1138" s="7" t="s">
        <v>101</v>
      </c>
      <c r="D1138" s="7" t="s">
        <v>474</v>
      </c>
      <c r="E1138" s="5" t="s">
        <v>2848</v>
      </c>
      <c r="F1138" s="5" t="s">
        <v>2849</v>
      </c>
    </row>
    <row r="1139">
      <c r="A1139" s="5" t="s">
        <v>2797</v>
      </c>
      <c r="B1139" s="8">
        <v>4.0</v>
      </c>
      <c r="C1139" s="7" t="s">
        <v>101</v>
      </c>
      <c r="D1139" s="7" t="s">
        <v>474</v>
      </c>
      <c r="E1139" s="5" t="s">
        <v>2848</v>
      </c>
      <c r="F1139" s="5" t="s">
        <v>2731</v>
      </c>
    </row>
    <row r="1140">
      <c r="A1140" s="5" t="s">
        <v>2595</v>
      </c>
      <c r="B1140" s="8">
        <v>4.0</v>
      </c>
      <c r="C1140" s="7" t="s">
        <v>101</v>
      </c>
      <c r="D1140" s="7" t="s">
        <v>474</v>
      </c>
      <c r="E1140" s="5" t="s">
        <v>2848</v>
      </c>
      <c r="F1140" s="5" t="s">
        <v>2850</v>
      </c>
    </row>
    <row r="1141">
      <c r="A1141" s="5" t="s">
        <v>2597</v>
      </c>
      <c r="B1141" s="8">
        <v>4.0</v>
      </c>
      <c r="C1141" s="7" t="s">
        <v>101</v>
      </c>
      <c r="D1141" s="7" t="s">
        <v>474</v>
      </c>
      <c r="E1141" s="5" t="s">
        <v>2848</v>
      </c>
      <c r="F1141" s="5" t="s">
        <v>2650</v>
      </c>
    </row>
    <row r="1142">
      <c r="A1142" s="7" t="s">
        <v>8</v>
      </c>
      <c r="B1142" s="8">
        <v>4.0</v>
      </c>
      <c r="C1142" s="7" t="s">
        <v>101</v>
      </c>
      <c r="D1142" s="7" t="s">
        <v>474</v>
      </c>
      <c r="E1142" s="5" t="s">
        <v>2848</v>
      </c>
      <c r="F1142" s="5" t="s">
        <v>2851</v>
      </c>
    </row>
    <row r="1143">
      <c r="A1143" s="5" t="s">
        <v>2798</v>
      </c>
      <c r="B1143" s="8">
        <v>4.0</v>
      </c>
      <c r="C1143" s="7" t="s">
        <v>101</v>
      </c>
      <c r="D1143" s="7" t="s">
        <v>474</v>
      </c>
      <c r="E1143" s="5" t="s">
        <v>2848</v>
      </c>
      <c r="F1143" s="5" t="s">
        <v>2852</v>
      </c>
    </row>
    <row r="1144">
      <c r="A1144" s="5" t="s">
        <v>2702</v>
      </c>
      <c r="B1144" s="8">
        <v>4.0</v>
      </c>
      <c r="C1144" s="7" t="s">
        <v>101</v>
      </c>
      <c r="D1144" s="7" t="s">
        <v>474</v>
      </c>
      <c r="E1144" s="5" t="s">
        <v>2848</v>
      </c>
      <c r="F1144" s="5" t="s">
        <v>537</v>
      </c>
    </row>
    <row r="1145">
      <c r="A1145" s="5" t="s">
        <v>2599</v>
      </c>
      <c r="B1145" s="8">
        <v>4.0</v>
      </c>
      <c r="C1145" s="7" t="s">
        <v>101</v>
      </c>
      <c r="D1145" s="7" t="s">
        <v>474</v>
      </c>
      <c r="E1145" s="5" t="s">
        <v>2848</v>
      </c>
      <c r="F1145" s="5" t="s">
        <v>2853</v>
      </c>
    </row>
    <row r="1146">
      <c r="A1146" s="5" t="s">
        <v>2600</v>
      </c>
      <c r="B1146" s="8">
        <v>4.0</v>
      </c>
      <c r="C1146" s="7" t="s">
        <v>101</v>
      </c>
      <c r="D1146" s="7" t="s">
        <v>474</v>
      </c>
      <c r="E1146" s="5" t="s">
        <v>2848</v>
      </c>
      <c r="F1146" s="5" t="s">
        <v>537</v>
      </c>
    </row>
    <row r="1147">
      <c r="A1147" s="5" t="s">
        <v>2602</v>
      </c>
      <c r="B1147" s="8">
        <v>4.0</v>
      </c>
      <c r="C1147" s="7" t="s">
        <v>101</v>
      </c>
      <c r="D1147" s="7" t="s">
        <v>474</v>
      </c>
      <c r="E1147" s="5" t="s">
        <v>2848</v>
      </c>
      <c r="F1147" s="5" t="s">
        <v>2854</v>
      </c>
    </row>
    <row r="1148">
      <c r="A1148" s="5" t="s">
        <v>2603</v>
      </c>
      <c r="B1148" s="8">
        <v>4.0</v>
      </c>
      <c r="C1148" s="7" t="s">
        <v>101</v>
      </c>
      <c r="D1148" s="7" t="s">
        <v>474</v>
      </c>
      <c r="E1148" s="5" t="s">
        <v>2848</v>
      </c>
      <c r="F1148" s="5" t="s">
        <v>2855</v>
      </c>
    </row>
    <row r="1149">
      <c r="A1149" s="5" t="s">
        <v>2604</v>
      </c>
      <c r="B1149" s="8">
        <v>4.0</v>
      </c>
      <c r="C1149" s="7" t="s">
        <v>101</v>
      </c>
      <c r="D1149" s="7" t="s">
        <v>474</v>
      </c>
      <c r="E1149" s="5" t="s">
        <v>2848</v>
      </c>
      <c r="F1149" s="5" t="s">
        <v>2731</v>
      </c>
    </row>
    <row r="1150">
      <c r="A1150" s="5" t="s">
        <v>2605</v>
      </c>
      <c r="B1150" s="8">
        <v>4.0</v>
      </c>
      <c r="C1150" s="7" t="s">
        <v>101</v>
      </c>
      <c r="D1150" s="7" t="s">
        <v>474</v>
      </c>
      <c r="E1150" s="5" t="s">
        <v>2848</v>
      </c>
      <c r="F1150" s="5" t="s">
        <v>2806</v>
      </c>
    </row>
    <row r="1151">
      <c r="A1151" s="5" t="s">
        <v>2606</v>
      </c>
      <c r="B1151" s="8">
        <v>4.0</v>
      </c>
      <c r="C1151" s="7" t="s">
        <v>101</v>
      </c>
      <c r="D1151" s="7" t="s">
        <v>474</v>
      </c>
      <c r="E1151" s="5" t="s">
        <v>2848</v>
      </c>
      <c r="F1151" s="5" t="s">
        <v>2731</v>
      </c>
    </row>
    <row r="1152">
      <c r="A1152" s="5" t="s">
        <v>2607</v>
      </c>
      <c r="B1152" s="8">
        <v>4.0</v>
      </c>
      <c r="C1152" s="7" t="s">
        <v>101</v>
      </c>
      <c r="D1152" s="7" t="s">
        <v>474</v>
      </c>
      <c r="E1152" s="5" t="s">
        <v>2848</v>
      </c>
      <c r="F1152" s="5" t="s">
        <v>2731</v>
      </c>
    </row>
    <row r="1153">
      <c r="A1153" s="5" t="s">
        <v>2614</v>
      </c>
      <c r="B1153" s="8">
        <v>4.0</v>
      </c>
      <c r="C1153" s="7" t="s">
        <v>101</v>
      </c>
      <c r="D1153" s="7" t="s">
        <v>474</v>
      </c>
      <c r="E1153" s="5" t="s">
        <v>2848</v>
      </c>
      <c r="F1153" s="5" t="s">
        <v>2731</v>
      </c>
    </row>
    <row r="1154">
      <c r="A1154" s="5" t="s">
        <v>2608</v>
      </c>
      <c r="B1154" s="8">
        <v>4.0</v>
      </c>
      <c r="C1154" s="7" t="s">
        <v>101</v>
      </c>
      <c r="D1154" s="7" t="s">
        <v>474</v>
      </c>
      <c r="E1154" s="5" t="s">
        <v>2848</v>
      </c>
      <c r="F1154" s="5" t="s">
        <v>2856</v>
      </c>
    </row>
    <row r="1155">
      <c r="A1155" s="5" t="s">
        <v>2609</v>
      </c>
      <c r="B1155" s="8">
        <v>4.0</v>
      </c>
      <c r="C1155" s="7" t="s">
        <v>101</v>
      </c>
      <c r="D1155" s="7" t="s">
        <v>474</v>
      </c>
      <c r="E1155" s="5" t="s">
        <v>2848</v>
      </c>
      <c r="F1155" s="5" t="s">
        <v>2731</v>
      </c>
    </row>
    <row r="1156">
      <c r="A1156" s="7" t="s">
        <v>188</v>
      </c>
      <c r="B1156" s="8">
        <v>4.0</v>
      </c>
      <c r="C1156" s="7" t="s">
        <v>112</v>
      </c>
      <c r="D1156" s="7" t="s">
        <v>484</v>
      </c>
      <c r="E1156" s="5" t="s">
        <v>485</v>
      </c>
      <c r="F1156" s="5" t="s">
        <v>2738</v>
      </c>
    </row>
    <row r="1157">
      <c r="A1157" s="5" t="s">
        <v>2592</v>
      </c>
      <c r="B1157" s="8">
        <v>4.0</v>
      </c>
      <c r="C1157" s="7" t="s">
        <v>112</v>
      </c>
      <c r="D1157" s="7" t="s">
        <v>484</v>
      </c>
      <c r="E1157" s="5" t="s">
        <v>485</v>
      </c>
      <c r="F1157" s="5" t="s">
        <v>2653</v>
      </c>
    </row>
    <row r="1158">
      <c r="A1158" s="5" t="s">
        <v>2796</v>
      </c>
      <c r="B1158" s="8">
        <v>4.0</v>
      </c>
      <c r="C1158" s="7" t="s">
        <v>112</v>
      </c>
      <c r="D1158" s="7" t="s">
        <v>484</v>
      </c>
      <c r="E1158" s="5" t="s">
        <v>485</v>
      </c>
      <c r="F1158" s="5" t="s">
        <v>2738</v>
      </c>
    </row>
    <row r="1159">
      <c r="A1159" s="5" t="s">
        <v>2797</v>
      </c>
      <c r="B1159" s="8">
        <v>4.0</v>
      </c>
      <c r="C1159" s="7" t="s">
        <v>112</v>
      </c>
      <c r="D1159" s="7" t="s">
        <v>484</v>
      </c>
      <c r="E1159" s="5" t="s">
        <v>485</v>
      </c>
      <c r="F1159" s="5" t="s">
        <v>2653</v>
      </c>
    </row>
    <row r="1160">
      <c r="A1160" s="5" t="s">
        <v>2595</v>
      </c>
      <c r="B1160" s="8">
        <v>4.0</v>
      </c>
      <c r="C1160" s="7" t="s">
        <v>112</v>
      </c>
      <c r="D1160" s="7" t="s">
        <v>484</v>
      </c>
      <c r="E1160" s="5" t="s">
        <v>485</v>
      </c>
      <c r="F1160" s="5" t="s">
        <v>2653</v>
      </c>
    </row>
    <row r="1161">
      <c r="A1161" s="5" t="s">
        <v>2597</v>
      </c>
      <c r="B1161" s="8">
        <v>4.0</v>
      </c>
      <c r="C1161" s="7" t="s">
        <v>112</v>
      </c>
      <c r="D1161" s="7" t="s">
        <v>484</v>
      </c>
      <c r="E1161" s="5" t="s">
        <v>485</v>
      </c>
      <c r="F1161" s="5" t="s">
        <v>2857</v>
      </c>
    </row>
    <row r="1162">
      <c r="A1162" s="7" t="s">
        <v>8</v>
      </c>
      <c r="B1162" s="8">
        <v>4.0</v>
      </c>
      <c r="C1162" s="7" t="s">
        <v>112</v>
      </c>
      <c r="D1162" s="7" t="s">
        <v>484</v>
      </c>
      <c r="E1162" s="5" t="s">
        <v>485</v>
      </c>
      <c r="F1162" s="5" t="s">
        <v>2653</v>
      </c>
    </row>
    <row r="1163">
      <c r="A1163" s="5" t="s">
        <v>2798</v>
      </c>
      <c r="B1163" s="8">
        <v>4.0</v>
      </c>
      <c r="C1163" s="7" t="s">
        <v>112</v>
      </c>
      <c r="D1163" s="7" t="s">
        <v>484</v>
      </c>
      <c r="E1163" s="5" t="s">
        <v>485</v>
      </c>
      <c r="F1163" s="5" t="s">
        <v>2653</v>
      </c>
    </row>
    <row r="1164">
      <c r="A1164" s="5" t="s">
        <v>2702</v>
      </c>
      <c r="B1164" s="8">
        <v>4.0</v>
      </c>
      <c r="C1164" s="7" t="s">
        <v>112</v>
      </c>
      <c r="D1164" s="7" t="s">
        <v>484</v>
      </c>
      <c r="E1164" s="5" t="s">
        <v>485</v>
      </c>
      <c r="F1164" s="5" t="s">
        <v>2653</v>
      </c>
    </row>
    <row r="1165">
      <c r="A1165" s="5" t="s">
        <v>2599</v>
      </c>
      <c r="B1165" s="8">
        <v>4.0</v>
      </c>
      <c r="C1165" s="7" t="s">
        <v>112</v>
      </c>
      <c r="D1165" s="7" t="s">
        <v>484</v>
      </c>
      <c r="E1165" s="5" t="s">
        <v>485</v>
      </c>
      <c r="F1165" s="5" t="s">
        <v>2653</v>
      </c>
    </row>
    <row r="1166">
      <c r="A1166" s="5" t="s">
        <v>2600</v>
      </c>
      <c r="B1166" s="8">
        <v>4.0</v>
      </c>
      <c r="C1166" s="7" t="s">
        <v>112</v>
      </c>
      <c r="D1166" s="7" t="s">
        <v>484</v>
      </c>
      <c r="E1166" s="5" t="s">
        <v>485</v>
      </c>
      <c r="F1166" s="5" t="s">
        <v>2653</v>
      </c>
    </row>
    <row r="1167">
      <c r="A1167" s="5" t="s">
        <v>2602</v>
      </c>
      <c r="B1167" s="8">
        <v>4.0</v>
      </c>
      <c r="C1167" s="7" t="s">
        <v>112</v>
      </c>
      <c r="D1167" s="7" t="s">
        <v>484</v>
      </c>
      <c r="E1167" s="5" t="s">
        <v>485</v>
      </c>
      <c r="F1167" s="5" t="s">
        <v>2653</v>
      </c>
    </row>
    <row r="1168">
      <c r="A1168" s="5" t="s">
        <v>2603</v>
      </c>
      <c r="B1168" s="8">
        <v>4.0</v>
      </c>
      <c r="C1168" s="7" t="s">
        <v>112</v>
      </c>
      <c r="D1168" s="7" t="s">
        <v>484</v>
      </c>
      <c r="E1168" s="5" t="s">
        <v>485</v>
      </c>
      <c r="F1168" s="5" t="s">
        <v>2653</v>
      </c>
    </row>
    <row r="1169">
      <c r="A1169" s="5" t="s">
        <v>2604</v>
      </c>
      <c r="B1169" s="8">
        <v>4.0</v>
      </c>
      <c r="C1169" s="7" t="s">
        <v>112</v>
      </c>
      <c r="D1169" s="7" t="s">
        <v>484</v>
      </c>
      <c r="E1169" s="5" t="s">
        <v>485</v>
      </c>
      <c r="F1169" s="5" t="s">
        <v>2653</v>
      </c>
    </row>
    <row r="1170">
      <c r="A1170" s="5" t="s">
        <v>2605</v>
      </c>
      <c r="B1170" s="8">
        <v>4.0</v>
      </c>
      <c r="C1170" s="7" t="s">
        <v>112</v>
      </c>
      <c r="D1170" s="7" t="s">
        <v>484</v>
      </c>
      <c r="E1170" s="5" t="s">
        <v>485</v>
      </c>
      <c r="F1170" s="5" t="s">
        <v>2653</v>
      </c>
    </row>
    <row r="1171">
      <c r="A1171" s="5" t="s">
        <v>2606</v>
      </c>
      <c r="B1171" s="8">
        <v>4.0</v>
      </c>
      <c r="C1171" s="7" t="s">
        <v>112</v>
      </c>
      <c r="D1171" s="7" t="s">
        <v>484</v>
      </c>
      <c r="E1171" s="5" t="s">
        <v>485</v>
      </c>
      <c r="F1171" s="5" t="s">
        <v>2653</v>
      </c>
    </row>
    <row r="1172">
      <c r="A1172" s="5" t="s">
        <v>2607</v>
      </c>
      <c r="B1172" s="8">
        <v>4.0</v>
      </c>
      <c r="C1172" s="7" t="s">
        <v>112</v>
      </c>
      <c r="D1172" s="7" t="s">
        <v>484</v>
      </c>
      <c r="E1172" s="5" t="s">
        <v>485</v>
      </c>
      <c r="F1172" s="5" t="s">
        <v>2653</v>
      </c>
    </row>
    <row r="1173">
      <c r="A1173" s="5" t="s">
        <v>2614</v>
      </c>
      <c r="B1173" s="8">
        <v>4.0</v>
      </c>
      <c r="C1173" s="7" t="s">
        <v>112</v>
      </c>
      <c r="D1173" s="7" t="s">
        <v>484</v>
      </c>
      <c r="E1173" s="5" t="s">
        <v>485</v>
      </c>
      <c r="F1173" s="5" t="s">
        <v>2653</v>
      </c>
    </row>
    <row r="1174">
      <c r="A1174" s="5" t="s">
        <v>2608</v>
      </c>
      <c r="B1174" s="8">
        <v>4.0</v>
      </c>
      <c r="C1174" s="7" t="s">
        <v>112</v>
      </c>
      <c r="D1174" s="7" t="s">
        <v>484</v>
      </c>
      <c r="E1174" s="5" t="s">
        <v>485</v>
      </c>
      <c r="F1174" s="5" t="s">
        <v>2653</v>
      </c>
    </row>
    <row r="1175">
      <c r="A1175" s="5" t="s">
        <v>2609</v>
      </c>
      <c r="B1175" s="8">
        <v>4.0</v>
      </c>
      <c r="C1175" s="7" t="s">
        <v>112</v>
      </c>
      <c r="D1175" s="7" t="s">
        <v>484</v>
      </c>
      <c r="E1175" s="5" t="s">
        <v>485</v>
      </c>
      <c r="F1175" s="5" t="s">
        <v>2653</v>
      </c>
    </row>
    <row r="1176">
      <c r="A1176" s="7" t="s">
        <v>188</v>
      </c>
      <c r="B1176" s="8">
        <v>4.0</v>
      </c>
      <c r="C1176" s="7" t="s">
        <v>172</v>
      </c>
      <c r="D1176" s="5" t="s">
        <v>2858</v>
      </c>
      <c r="E1176" s="5" t="s">
        <v>2859</v>
      </c>
      <c r="F1176" s="7" t="s">
        <v>264</v>
      </c>
    </row>
    <row r="1177">
      <c r="A1177" s="5" t="s">
        <v>2592</v>
      </c>
      <c r="B1177" s="8">
        <v>4.0</v>
      </c>
      <c r="C1177" s="7" t="s">
        <v>172</v>
      </c>
      <c r="D1177" s="5" t="s">
        <v>2858</v>
      </c>
      <c r="E1177" s="5" t="s">
        <v>2859</v>
      </c>
      <c r="F1177" s="7" t="s">
        <v>175</v>
      </c>
    </row>
    <row r="1178">
      <c r="A1178" s="5" t="s">
        <v>2796</v>
      </c>
      <c r="B1178" s="8">
        <v>4.0</v>
      </c>
      <c r="C1178" s="7" t="s">
        <v>172</v>
      </c>
      <c r="D1178" s="5" t="s">
        <v>2858</v>
      </c>
      <c r="E1178" s="5" t="s">
        <v>2859</v>
      </c>
      <c r="F1178" s="7" t="s">
        <v>175</v>
      </c>
    </row>
    <row r="1179">
      <c r="A1179" s="5" t="s">
        <v>2797</v>
      </c>
      <c r="B1179" s="8">
        <v>4.0</v>
      </c>
      <c r="C1179" s="7" t="s">
        <v>172</v>
      </c>
      <c r="D1179" s="5" t="s">
        <v>2858</v>
      </c>
      <c r="E1179" s="5" t="s">
        <v>2859</v>
      </c>
      <c r="F1179" s="7" t="s">
        <v>175</v>
      </c>
    </row>
    <row r="1180">
      <c r="A1180" s="5" t="s">
        <v>2595</v>
      </c>
      <c r="B1180" s="8">
        <v>4.0</v>
      </c>
      <c r="C1180" s="7" t="s">
        <v>172</v>
      </c>
      <c r="D1180" s="5" t="s">
        <v>2858</v>
      </c>
      <c r="E1180" s="5" t="s">
        <v>2859</v>
      </c>
      <c r="F1180" s="7" t="s">
        <v>175</v>
      </c>
    </row>
    <row r="1181">
      <c r="A1181" s="5" t="s">
        <v>2597</v>
      </c>
      <c r="B1181" s="8">
        <v>4.0</v>
      </c>
      <c r="C1181" s="7" t="s">
        <v>172</v>
      </c>
      <c r="D1181" s="5" t="s">
        <v>2858</v>
      </c>
      <c r="E1181" s="5" t="s">
        <v>2859</v>
      </c>
      <c r="F1181" s="7" t="s">
        <v>175</v>
      </c>
    </row>
    <row r="1182">
      <c r="A1182" s="7" t="s">
        <v>8</v>
      </c>
      <c r="B1182" s="8">
        <v>4.0</v>
      </c>
      <c r="C1182" s="7" t="s">
        <v>172</v>
      </c>
      <c r="D1182" s="5" t="s">
        <v>2858</v>
      </c>
      <c r="E1182" s="5" t="s">
        <v>2859</v>
      </c>
      <c r="F1182" s="7" t="s">
        <v>176</v>
      </c>
    </row>
    <row r="1183">
      <c r="A1183" s="5" t="s">
        <v>2798</v>
      </c>
      <c r="B1183" s="8">
        <v>4.0</v>
      </c>
      <c r="C1183" s="7" t="s">
        <v>172</v>
      </c>
      <c r="D1183" s="5" t="s">
        <v>2858</v>
      </c>
      <c r="E1183" s="5" t="s">
        <v>2859</v>
      </c>
      <c r="F1183" s="7" t="s">
        <v>489</v>
      </c>
    </row>
    <row r="1184">
      <c r="A1184" s="5" t="s">
        <v>2702</v>
      </c>
      <c r="B1184" s="8">
        <v>4.0</v>
      </c>
      <c r="C1184" s="7" t="s">
        <v>172</v>
      </c>
      <c r="D1184" s="5" t="s">
        <v>2858</v>
      </c>
      <c r="E1184" s="5" t="s">
        <v>2859</v>
      </c>
      <c r="F1184" s="7" t="s">
        <v>490</v>
      </c>
    </row>
    <row r="1185">
      <c r="A1185" s="5" t="s">
        <v>2599</v>
      </c>
      <c r="B1185" s="8">
        <v>4.0</v>
      </c>
      <c r="C1185" s="7" t="s">
        <v>172</v>
      </c>
      <c r="D1185" s="5" t="s">
        <v>2858</v>
      </c>
      <c r="E1185" s="5" t="s">
        <v>2859</v>
      </c>
      <c r="F1185" s="7" t="s">
        <v>490</v>
      </c>
    </row>
    <row r="1186">
      <c r="A1186" s="5" t="s">
        <v>2600</v>
      </c>
      <c r="B1186" s="8">
        <v>4.0</v>
      </c>
      <c r="C1186" s="7" t="s">
        <v>172</v>
      </c>
      <c r="D1186" s="5" t="s">
        <v>2858</v>
      </c>
      <c r="E1186" s="5" t="s">
        <v>2859</v>
      </c>
      <c r="F1186" s="7" t="s">
        <v>490</v>
      </c>
    </row>
    <row r="1187">
      <c r="A1187" s="5" t="s">
        <v>2602</v>
      </c>
      <c r="B1187" s="8">
        <v>4.0</v>
      </c>
      <c r="C1187" s="7" t="s">
        <v>172</v>
      </c>
      <c r="D1187" s="5" t="s">
        <v>2858</v>
      </c>
      <c r="E1187" s="5" t="s">
        <v>2859</v>
      </c>
      <c r="F1187" s="7" t="s">
        <v>491</v>
      </c>
    </row>
    <row r="1188">
      <c r="A1188" s="5" t="s">
        <v>2603</v>
      </c>
      <c r="B1188" s="8">
        <v>4.0</v>
      </c>
      <c r="C1188" s="7" t="s">
        <v>172</v>
      </c>
      <c r="D1188" s="5" t="s">
        <v>2858</v>
      </c>
      <c r="E1188" s="5" t="s">
        <v>2859</v>
      </c>
      <c r="F1188" s="7" t="s">
        <v>175</v>
      </c>
    </row>
    <row r="1189">
      <c r="A1189" s="5" t="s">
        <v>2604</v>
      </c>
      <c r="B1189" s="8">
        <v>4.0</v>
      </c>
      <c r="C1189" s="7" t="s">
        <v>172</v>
      </c>
      <c r="D1189" s="5" t="s">
        <v>2858</v>
      </c>
      <c r="E1189" s="5" t="s">
        <v>2859</v>
      </c>
      <c r="F1189" s="7" t="s">
        <v>175</v>
      </c>
    </row>
    <row r="1190">
      <c r="A1190" s="5" t="s">
        <v>2605</v>
      </c>
      <c r="B1190" s="8">
        <v>4.0</v>
      </c>
      <c r="C1190" s="7" t="s">
        <v>172</v>
      </c>
      <c r="D1190" s="5" t="s">
        <v>2858</v>
      </c>
      <c r="E1190" s="5" t="s">
        <v>2859</v>
      </c>
      <c r="F1190" s="5" t="s">
        <v>2860</v>
      </c>
    </row>
    <row r="1191">
      <c r="A1191" s="5" t="s">
        <v>2606</v>
      </c>
      <c r="B1191" s="8">
        <v>4.0</v>
      </c>
      <c r="C1191" s="7" t="s">
        <v>172</v>
      </c>
      <c r="D1191" s="5" t="s">
        <v>2858</v>
      </c>
      <c r="E1191" s="5" t="s">
        <v>2859</v>
      </c>
      <c r="F1191" s="5" t="s">
        <v>2860</v>
      </c>
    </row>
    <row r="1192">
      <c r="A1192" s="5" t="s">
        <v>2607</v>
      </c>
      <c r="B1192" s="8">
        <v>4.0</v>
      </c>
      <c r="C1192" s="7" t="s">
        <v>172</v>
      </c>
      <c r="D1192" s="5" t="s">
        <v>2858</v>
      </c>
      <c r="E1192" s="5" t="s">
        <v>2859</v>
      </c>
      <c r="F1192" s="7" t="s">
        <v>47</v>
      </c>
    </row>
    <row r="1193">
      <c r="A1193" s="5" t="s">
        <v>2614</v>
      </c>
      <c r="B1193" s="8">
        <v>4.0</v>
      </c>
      <c r="C1193" s="7" t="s">
        <v>172</v>
      </c>
      <c r="D1193" s="5" t="s">
        <v>2858</v>
      </c>
      <c r="E1193" s="5" t="s">
        <v>2859</v>
      </c>
      <c r="F1193" s="7" t="s">
        <v>47</v>
      </c>
    </row>
    <row r="1194">
      <c r="A1194" s="5" t="s">
        <v>2608</v>
      </c>
      <c r="B1194" s="8">
        <v>4.0</v>
      </c>
      <c r="C1194" s="7" t="s">
        <v>172</v>
      </c>
      <c r="D1194" s="5" t="s">
        <v>2858</v>
      </c>
      <c r="E1194" s="5" t="s">
        <v>2859</v>
      </c>
      <c r="F1194" s="7" t="s">
        <v>47</v>
      </c>
    </row>
    <row r="1195">
      <c r="A1195" s="5" t="s">
        <v>2609</v>
      </c>
      <c r="B1195" s="8">
        <v>4.0</v>
      </c>
      <c r="C1195" s="7" t="s">
        <v>172</v>
      </c>
      <c r="D1195" s="5" t="s">
        <v>2858</v>
      </c>
      <c r="E1195" s="5" t="s">
        <v>2859</v>
      </c>
      <c r="F1195" s="7" t="s">
        <v>47</v>
      </c>
    </row>
    <row r="1196">
      <c r="A1196" s="7" t="s">
        <v>188</v>
      </c>
      <c r="B1196" s="8">
        <v>4.0</v>
      </c>
      <c r="C1196" s="7" t="s">
        <v>267</v>
      </c>
      <c r="D1196" s="7" t="s">
        <v>493</v>
      </c>
      <c r="E1196" s="5" t="s">
        <v>494</v>
      </c>
      <c r="F1196" s="5" t="s">
        <v>2741</v>
      </c>
    </row>
    <row r="1197">
      <c r="A1197" s="5" t="s">
        <v>2592</v>
      </c>
      <c r="B1197" s="8">
        <v>4.0</v>
      </c>
      <c r="C1197" s="7" t="s">
        <v>267</v>
      </c>
      <c r="D1197" s="7" t="s">
        <v>493</v>
      </c>
      <c r="E1197" s="5" t="s">
        <v>494</v>
      </c>
      <c r="F1197" s="5" t="s">
        <v>495</v>
      </c>
    </row>
    <row r="1198">
      <c r="A1198" s="5" t="s">
        <v>2796</v>
      </c>
      <c r="B1198" s="8">
        <v>4.0</v>
      </c>
      <c r="C1198" s="7" t="s">
        <v>267</v>
      </c>
      <c r="D1198" s="7" t="s">
        <v>493</v>
      </c>
      <c r="E1198" s="5" t="s">
        <v>494</v>
      </c>
      <c r="F1198" s="5" t="s">
        <v>2741</v>
      </c>
    </row>
    <row r="1199">
      <c r="A1199" s="5" t="s">
        <v>2797</v>
      </c>
      <c r="B1199" s="8">
        <v>4.0</v>
      </c>
      <c r="C1199" s="7" t="s">
        <v>267</v>
      </c>
      <c r="D1199" s="7" t="s">
        <v>493</v>
      </c>
      <c r="E1199" s="5" t="s">
        <v>494</v>
      </c>
      <c r="F1199" s="5" t="s">
        <v>2741</v>
      </c>
    </row>
    <row r="1200">
      <c r="A1200" s="5" t="s">
        <v>2595</v>
      </c>
      <c r="B1200" s="8">
        <v>4.0</v>
      </c>
      <c r="C1200" s="7" t="s">
        <v>267</v>
      </c>
      <c r="D1200" s="7" t="s">
        <v>493</v>
      </c>
      <c r="E1200" s="5" t="s">
        <v>494</v>
      </c>
      <c r="F1200" s="5" t="s">
        <v>238</v>
      </c>
    </row>
    <row r="1201">
      <c r="A1201" s="5" t="s">
        <v>2597</v>
      </c>
      <c r="B1201" s="8">
        <v>4.0</v>
      </c>
      <c r="C1201" s="7" t="s">
        <v>267</v>
      </c>
      <c r="D1201" s="7" t="s">
        <v>493</v>
      </c>
      <c r="E1201" s="5" t="s">
        <v>494</v>
      </c>
      <c r="F1201" s="5" t="s">
        <v>238</v>
      </c>
    </row>
    <row r="1202">
      <c r="A1202" s="7" t="s">
        <v>8</v>
      </c>
      <c r="B1202" s="8">
        <v>4.0</v>
      </c>
      <c r="C1202" s="7" t="s">
        <v>267</v>
      </c>
      <c r="D1202" s="7" t="s">
        <v>493</v>
      </c>
      <c r="E1202" s="5" t="s">
        <v>494</v>
      </c>
      <c r="F1202" s="5" t="s">
        <v>2741</v>
      </c>
    </row>
    <row r="1203">
      <c r="A1203" s="5" t="s">
        <v>2798</v>
      </c>
      <c r="B1203" s="8">
        <v>4.0</v>
      </c>
      <c r="C1203" s="7" t="s">
        <v>267</v>
      </c>
      <c r="D1203" s="7" t="s">
        <v>493</v>
      </c>
      <c r="E1203" s="5" t="s">
        <v>494</v>
      </c>
      <c r="F1203" s="5" t="s">
        <v>2861</v>
      </c>
    </row>
    <row r="1204">
      <c r="A1204" s="5" t="s">
        <v>2702</v>
      </c>
      <c r="B1204" s="8">
        <v>4.0</v>
      </c>
      <c r="C1204" s="7" t="s">
        <v>267</v>
      </c>
      <c r="D1204" s="7" t="s">
        <v>493</v>
      </c>
      <c r="E1204" s="5" t="s">
        <v>494</v>
      </c>
      <c r="F1204" s="5" t="s">
        <v>271</v>
      </c>
    </row>
    <row r="1205">
      <c r="A1205" s="5" t="s">
        <v>2599</v>
      </c>
      <c r="B1205" s="8">
        <v>4.0</v>
      </c>
      <c r="C1205" s="7" t="s">
        <v>267</v>
      </c>
      <c r="D1205" s="7" t="s">
        <v>493</v>
      </c>
      <c r="E1205" s="5" t="s">
        <v>494</v>
      </c>
      <c r="F1205" s="5" t="s">
        <v>238</v>
      </c>
    </row>
    <row r="1206">
      <c r="A1206" s="5" t="s">
        <v>2600</v>
      </c>
      <c r="B1206" s="8">
        <v>4.0</v>
      </c>
      <c r="C1206" s="7" t="s">
        <v>267</v>
      </c>
      <c r="D1206" s="7" t="s">
        <v>493</v>
      </c>
      <c r="E1206" s="5" t="s">
        <v>494</v>
      </c>
      <c r="F1206" s="5" t="s">
        <v>271</v>
      </c>
    </row>
    <row r="1207">
      <c r="A1207" s="5" t="s">
        <v>2602</v>
      </c>
      <c r="B1207" s="8">
        <v>4.0</v>
      </c>
      <c r="C1207" s="7" t="s">
        <v>267</v>
      </c>
      <c r="D1207" s="7" t="s">
        <v>493</v>
      </c>
      <c r="E1207" s="5" t="s">
        <v>494</v>
      </c>
      <c r="F1207" s="5" t="s">
        <v>2862</v>
      </c>
    </row>
    <row r="1208">
      <c r="A1208" s="5" t="s">
        <v>2603</v>
      </c>
      <c r="B1208" s="8">
        <v>4.0</v>
      </c>
      <c r="C1208" s="7" t="s">
        <v>267</v>
      </c>
      <c r="D1208" s="7" t="s">
        <v>493</v>
      </c>
      <c r="E1208" s="5" t="s">
        <v>494</v>
      </c>
      <c r="F1208" s="5" t="s">
        <v>2741</v>
      </c>
    </row>
    <row r="1209">
      <c r="A1209" s="5" t="s">
        <v>2604</v>
      </c>
      <c r="B1209" s="8">
        <v>4.0</v>
      </c>
      <c r="C1209" s="7" t="s">
        <v>267</v>
      </c>
      <c r="D1209" s="7" t="s">
        <v>493</v>
      </c>
      <c r="E1209" s="5" t="s">
        <v>494</v>
      </c>
      <c r="F1209" s="5" t="s">
        <v>2741</v>
      </c>
    </row>
    <row r="1210">
      <c r="A1210" s="5" t="s">
        <v>2605</v>
      </c>
      <c r="B1210" s="8">
        <v>4.0</v>
      </c>
      <c r="C1210" s="7" t="s">
        <v>267</v>
      </c>
      <c r="D1210" s="7" t="s">
        <v>493</v>
      </c>
      <c r="E1210" s="5" t="s">
        <v>494</v>
      </c>
      <c r="F1210" s="5" t="s">
        <v>2741</v>
      </c>
    </row>
    <row r="1211">
      <c r="A1211" s="5" t="s">
        <v>2606</v>
      </c>
      <c r="B1211" s="8">
        <v>4.0</v>
      </c>
      <c r="C1211" s="7" t="s">
        <v>267</v>
      </c>
      <c r="D1211" s="7" t="s">
        <v>493</v>
      </c>
      <c r="E1211" s="5" t="s">
        <v>494</v>
      </c>
      <c r="F1211" s="5" t="s">
        <v>2741</v>
      </c>
    </row>
    <row r="1212">
      <c r="A1212" s="5" t="s">
        <v>2607</v>
      </c>
      <c r="B1212" s="8">
        <v>4.0</v>
      </c>
      <c r="C1212" s="7" t="s">
        <v>267</v>
      </c>
      <c r="D1212" s="7" t="s">
        <v>493</v>
      </c>
      <c r="E1212" s="5" t="s">
        <v>494</v>
      </c>
      <c r="F1212" s="5" t="s">
        <v>495</v>
      </c>
    </row>
    <row r="1213">
      <c r="A1213" s="5" t="s">
        <v>2614</v>
      </c>
      <c r="B1213" s="8">
        <v>4.0</v>
      </c>
      <c r="C1213" s="7" t="s">
        <v>267</v>
      </c>
      <c r="D1213" s="7" t="s">
        <v>493</v>
      </c>
      <c r="E1213" s="5" t="s">
        <v>494</v>
      </c>
      <c r="F1213" s="5" t="s">
        <v>238</v>
      </c>
    </row>
    <row r="1214">
      <c r="A1214" s="5" t="s">
        <v>2608</v>
      </c>
      <c r="B1214" s="8">
        <v>4.0</v>
      </c>
      <c r="C1214" s="7" t="s">
        <v>267</v>
      </c>
      <c r="D1214" s="7" t="s">
        <v>493</v>
      </c>
      <c r="E1214" s="5" t="s">
        <v>494</v>
      </c>
      <c r="F1214" s="5" t="s">
        <v>238</v>
      </c>
    </row>
    <row r="1215">
      <c r="A1215" s="5" t="s">
        <v>2609</v>
      </c>
      <c r="B1215" s="8">
        <v>4.0</v>
      </c>
      <c r="C1215" s="7" t="s">
        <v>267</v>
      </c>
      <c r="D1215" s="7" t="s">
        <v>493</v>
      </c>
      <c r="E1215" s="5" t="s">
        <v>494</v>
      </c>
      <c r="F1215" s="5" t="s">
        <v>2863</v>
      </c>
    </row>
    <row r="1216">
      <c r="A1216" s="7" t="s">
        <v>188</v>
      </c>
      <c r="B1216" s="8">
        <v>4.0</v>
      </c>
      <c r="C1216" s="7" t="s">
        <v>274</v>
      </c>
      <c r="D1216" s="7" t="s">
        <v>499</v>
      </c>
      <c r="E1216" s="5" t="s">
        <v>2864</v>
      </c>
      <c r="F1216" s="5" t="s">
        <v>2398</v>
      </c>
    </row>
    <row r="1217">
      <c r="A1217" s="5" t="s">
        <v>2592</v>
      </c>
      <c r="B1217" s="8">
        <v>4.0</v>
      </c>
      <c r="C1217" s="7" t="s">
        <v>274</v>
      </c>
      <c r="D1217" s="7" t="s">
        <v>499</v>
      </c>
      <c r="E1217" s="5" t="s">
        <v>2864</v>
      </c>
      <c r="F1217" s="5" t="s">
        <v>2743</v>
      </c>
    </row>
    <row r="1218">
      <c r="A1218" s="5" t="s">
        <v>2796</v>
      </c>
      <c r="B1218" s="8">
        <v>4.0</v>
      </c>
      <c r="C1218" s="7" t="s">
        <v>274</v>
      </c>
      <c r="D1218" s="7" t="s">
        <v>499</v>
      </c>
      <c r="E1218" s="5" t="s">
        <v>2864</v>
      </c>
      <c r="F1218" s="5" t="s">
        <v>358</v>
      </c>
    </row>
    <row r="1219">
      <c r="A1219" s="5" t="s">
        <v>2797</v>
      </c>
      <c r="B1219" s="8">
        <v>4.0</v>
      </c>
      <c r="C1219" s="7" t="s">
        <v>274</v>
      </c>
      <c r="D1219" s="7" t="s">
        <v>499</v>
      </c>
      <c r="E1219" s="5" t="s">
        <v>2864</v>
      </c>
      <c r="F1219" s="5" t="s">
        <v>2743</v>
      </c>
    </row>
    <row r="1220">
      <c r="A1220" s="5" t="s">
        <v>2595</v>
      </c>
      <c r="B1220" s="8">
        <v>4.0</v>
      </c>
      <c r="C1220" s="7" t="s">
        <v>274</v>
      </c>
      <c r="D1220" s="7" t="s">
        <v>499</v>
      </c>
      <c r="E1220" s="5" t="s">
        <v>2864</v>
      </c>
      <c r="F1220" s="5" t="s">
        <v>2865</v>
      </c>
    </row>
    <row r="1221">
      <c r="A1221" s="5" t="s">
        <v>2597</v>
      </c>
      <c r="B1221" s="8">
        <v>4.0</v>
      </c>
      <c r="C1221" s="7" t="s">
        <v>274</v>
      </c>
      <c r="D1221" s="7" t="s">
        <v>499</v>
      </c>
      <c r="E1221" s="5" t="s">
        <v>2864</v>
      </c>
      <c r="F1221" s="5" t="s">
        <v>1664</v>
      </c>
    </row>
    <row r="1222">
      <c r="A1222" s="7" t="s">
        <v>8</v>
      </c>
      <c r="B1222" s="8">
        <v>4.0</v>
      </c>
      <c r="C1222" s="7" t="s">
        <v>274</v>
      </c>
      <c r="D1222" s="7" t="s">
        <v>499</v>
      </c>
      <c r="E1222" s="5" t="s">
        <v>2864</v>
      </c>
      <c r="F1222" s="7" t="s">
        <v>503</v>
      </c>
    </row>
    <row r="1223">
      <c r="A1223" s="5" t="s">
        <v>2798</v>
      </c>
      <c r="B1223" s="8">
        <v>4.0</v>
      </c>
      <c r="C1223" s="7" t="s">
        <v>274</v>
      </c>
      <c r="D1223" s="7" t="s">
        <v>499</v>
      </c>
      <c r="E1223" s="5" t="s">
        <v>2864</v>
      </c>
      <c r="F1223" s="5" t="s">
        <v>2751</v>
      </c>
    </row>
    <row r="1224">
      <c r="A1224" s="5" t="s">
        <v>2702</v>
      </c>
      <c r="B1224" s="8">
        <v>4.0</v>
      </c>
      <c r="C1224" s="7" t="s">
        <v>274</v>
      </c>
      <c r="D1224" s="7" t="s">
        <v>499</v>
      </c>
      <c r="E1224" s="5" t="s">
        <v>2864</v>
      </c>
      <c r="F1224" s="5" t="s">
        <v>358</v>
      </c>
    </row>
    <row r="1225">
      <c r="A1225" s="5" t="s">
        <v>2599</v>
      </c>
      <c r="B1225" s="8">
        <v>4.0</v>
      </c>
      <c r="C1225" s="7" t="s">
        <v>274</v>
      </c>
      <c r="D1225" s="7" t="s">
        <v>499</v>
      </c>
      <c r="E1225" s="5" t="s">
        <v>2864</v>
      </c>
      <c r="F1225" s="7" t="s">
        <v>504</v>
      </c>
    </row>
    <row r="1226">
      <c r="A1226" s="5" t="s">
        <v>2600</v>
      </c>
      <c r="B1226" s="8">
        <v>4.0</v>
      </c>
      <c r="C1226" s="7" t="s">
        <v>274</v>
      </c>
      <c r="D1226" s="7" t="s">
        <v>499</v>
      </c>
      <c r="E1226" s="5" t="s">
        <v>2864</v>
      </c>
      <c r="F1226" s="5" t="s">
        <v>358</v>
      </c>
    </row>
    <row r="1227">
      <c r="A1227" s="5" t="s">
        <v>2602</v>
      </c>
      <c r="B1227" s="8">
        <v>4.0</v>
      </c>
      <c r="C1227" s="7" t="s">
        <v>274</v>
      </c>
      <c r="D1227" s="7" t="s">
        <v>499</v>
      </c>
      <c r="E1227" s="5" t="s">
        <v>2864</v>
      </c>
      <c r="F1227" s="5" t="s">
        <v>2866</v>
      </c>
    </row>
    <row r="1228">
      <c r="A1228" s="5" t="s">
        <v>2603</v>
      </c>
      <c r="B1228" s="8">
        <v>4.0</v>
      </c>
      <c r="C1228" s="7" t="s">
        <v>274</v>
      </c>
      <c r="D1228" s="7" t="s">
        <v>499</v>
      </c>
      <c r="E1228" s="5" t="s">
        <v>2864</v>
      </c>
      <c r="F1228" s="5" t="s">
        <v>2867</v>
      </c>
    </row>
    <row r="1229">
      <c r="A1229" s="5" t="s">
        <v>2604</v>
      </c>
      <c r="B1229" s="8">
        <v>4.0</v>
      </c>
      <c r="C1229" s="7" t="s">
        <v>274</v>
      </c>
      <c r="D1229" s="7" t="s">
        <v>499</v>
      </c>
      <c r="E1229" s="5" t="s">
        <v>2864</v>
      </c>
      <c r="F1229" s="5" t="s">
        <v>2743</v>
      </c>
    </row>
    <row r="1230">
      <c r="A1230" s="5" t="s">
        <v>2605</v>
      </c>
      <c r="B1230" s="8">
        <v>4.0</v>
      </c>
      <c r="C1230" s="7" t="s">
        <v>274</v>
      </c>
      <c r="D1230" s="7" t="s">
        <v>499</v>
      </c>
      <c r="E1230" s="5" t="s">
        <v>2864</v>
      </c>
      <c r="F1230" s="5" t="s">
        <v>2806</v>
      </c>
    </row>
    <row r="1231">
      <c r="A1231" s="5" t="s">
        <v>2606</v>
      </c>
      <c r="B1231" s="8">
        <v>4.0</v>
      </c>
      <c r="C1231" s="7" t="s">
        <v>274</v>
      </c>
      <c r="D1231" s="7" t="s">
        <v>499</v>
      </c>
      <c r="E1231" s="5" t="s">
        <v>2864</v>
      </c>
      <c r="F1231" s="5" t="s">
        <v>2743</v>
      </c>
    </row>
    <row r="1232">
      <c r="A1232" s="5" t="s">
        <v>2607</v>
      </c>
      <c r="B1232" s="8">
        <v>4.0</v>
      </c>
      <c r="C1232" s="7" t="s">
        <v>274</v>
      </c>
      <c r="D1232" s="7" t="s">
        <v>499</v>
      </c>
      <c r="E1232" s="5" t="s">
        <v>2864</v>
      </c>
      <c r="F1232" s="5" t="s">
        <v>2743</v>
      </c>
    </row>
    <row r="1233">
      <c r="A1233" s="5" t="s">
        <v>2614</v>
      </c>
      <c r="B1233" s="8">
        <v>4.0</v>
      </c>
      <c r="C1233" s="7" t="s">
        <v>274</v>
      </c>
      <c r="D1233" s="7" t="s">
        <v>499</v>
      </c>
      <c r="E1233" s="5" t="s">
        <v>2864</v>
      </c>
      <c r="F1233" s="5" t="s">
        <v>2743</v>
      </c>
    </row>
    <row r="1234">
      <c r="A1234" s="5" t="s">
        <v>2608</v>
      </c>
      <c r="B1234" s="8">
        <v>4.0</v>
      </c>
      <c r="C1234" s="7" t="s">
        <v>274</v>
      </c>
      <c r="D1234" s="7" t="s">
        <v>499</v>
      </c>
      <c r="E1234" s="5" t="s">
        <v>2864</v>
      </c>
      <c r="F1234" s="5" t="s">
        <v>2743</v>
      </c>
    </row>
    <row r="1235">
      <c r="A1235" s="5" t="s">
        <v>2609</v>
      </c>
      <c r="B1235" s="8">
        <v>4.0</v>
      </c>
      <c r="C1235" s="7" t="s">
        <v>274</v>
      </c>
      <c r="D1235" s="7" t="s">
        <v>499</v>
      </c>
      <c r="E1235" s="5" t="s">
        <v>2864</v>
      </c>
      <c r="F1235" s="5" t="s">
        <v>2743</v>
      </c>
    </row>
    <row r="1236">
      <c r="A1236" s="7" t="s">
        <v>188</v>
      </c>
      <c r="B1236" s="8">
        <v>4.0</v>
      </c>
      <c r="C1236" s="7" t="s">
        <v>507</v>
      </c>
      <c r="D1236" s="7" t="s">
        <v>508</v>
      </c>
      <c r="E1236" s="5" t="s">
        <v>2868</v>
      </c>
      <c r="F1236" s="5" t="s">
        <v>2869</v>
      </c>
    </row>
    <row r="1237">
      <c r="A1237" s="5" t="s">
        <v>2592</v>
      </c>
      <c r="B1237" s="8">
        <v>4.0</v>
      </c>
      <c r="C1237" s="7" t="s">
        <v>507</v>
      </c>
      <c r="D1237" s="7" t="s">
        <v>508</v>
      </c>
      <c r="E1237" s="5" t="s">
        <v>2868</v>
      </c>
      <c r="F1237" s="5" t="s">
        <v>238</v>
      </c>
    </row>
    <row r="1238">
      <c r="A1238" s="5" t="s">
        <v>2796</v>
      </c>
      <c r="B1238" s="8">
        <v>4.0</v>
      </c>
      <c r="C1238" s="7" t="s">
        <v>507</v>
      </c>
      <c r="D1238" s="7" t="s">
        <v>508</v>
      </c>
      <c r="E1238" s="5" t="s">
        <v>2868</v>
      </c>
      <c r="F1238" s="5" t="s">
        <v>2869</v>
      </c>
    </row>
    <row r="1239">
      <c r="A1239" s="5" t="s">
        <v>2797</v>
      </c>
      <c r="B1239" s="8">
        <v>4.0</v>
      </c>
      <c r="C1239" s="7" t="s">
        <v>507</v>
      </c>
      <c r="D1239" s="7" t="s">
        <v>508</v>
      </c>
      <c r="E1239" s="5" t="s">
        <v>2868</v>
      </c>
      <c r="F1239" s="5" t="s">
        <v>2869</v>
      </c>
    </row>
    <row r="1240">
      <c r="A1240" s="5" t="s">
        <v>2595</v>
      </c>
      <c r="B1240" s="8">
        <v>4.0</v>
      </c>
      <c r="C1240" s="7" t="s">
        <v>507</v>
      </c>
      <c r="D1240" s="7" t="s">
        <v>508</v>
      </c>
      <c r="E1240" s="5" t="s">
        <v>2868</v>
      </c>
      <c r="F1240" s="5" t="s">
        <v>238</v>
      </c>
    </row>
    <row r="1241">
      <c r="A1241" s="5" t="s">
        <v>2597</v>
      </c>
      <c r="B1241" s="8">
        <v>4.0</v>
      </c>
      <c r="C1241" s="7" t="s">
        <v>507</v>
      </c>
      <c r="D1241" s="7" t="s">
        <v>508</v>
      </c>
      <c r="E1241" s="5" t="s">
        <v>2868</v>
      </c>
      <c r="F1241" s="5" t="s">
        <v>238</v>
      </c>
    </row>
    <row r="1242">
      <c r="A1242" s="7" t="s">
        <v>8</v>
      </c>
      <c r="B1242" s="8">
        <v>4.0</v>
      </c>
      <c r="C1242" s="7" t="s">
        <v>507</v>
      </c>
      <c r="D1242" s="7" t="s">
        <v>508</v>
      </c>
      <c r="E1242" s="5" t="s">
        <v>2868</v>
      </c>
      <c r="F1242" s="5" t="s">
        <v>2741</v>
      </c>
    </row>
    <row r="1243">
      <c r="A1243" s="5" t="s">
        <v>2798</v>
      </c>
      <c r="B1243" s="8">
        <v>4.0</v>
      </c>
      <c r="C1243" s="7" t="s">
        <v>507</v>
      </c>
      <c r="D1243" s="7" t="s">
        <v>508</v>
      </c>
      <c r="E1243" s="5" t="s">
        <v>2868</v>
      </c>
      <c r="F1243" s="5" t="s">
        <v>2861</v>
      </c>
    </row>
    <row r="1244">
      <c r="A1244" s="5" t="s">
        <v>2702</v>
      </c>
      <c r="B1244" s="8">
        <v>4.0</v>
      </c>
      <c r="C1244" s="7" t="s">
        <v>507</v>
      </c>
      <c r="D1244" s="7" t="s">
        <v>508</v>
      </c>
      <c r="E1244" s="5" t="s">
        <v>2868</v>
      </c>
      <c r="F1244" s="5" t="s">
        <v>271</v>
      </c>
    </row>
    <row r="1245">
      <c r="A1245" s="5" t="s">
        <v>2599</v>
      </c>
      <c r="B1245" s="8">
        <v>4.0</v>
      </c>
      <c r="C1245" s="7" t="s">
        <v>507</v>
      </c>
      <c r="D1245" s="7" t="s">
        <v>508</v>
      </c>
      <c r="E1245" s="5" t="s">
        <v>2868</v>
      </c>
      <c r="F1245" s="5" t="s">
        <v>238</v>
      </c>
    </row>
    <row r="1246">
      <c r="A1246" s="5" t="s">
        <v>2600</v>
      </c>
      <c r="B1246" s="8">
        <v>4.0</v>
      </c>
      <c r="C1246" s="7" t="s">
        <v>507</v>
      </c>
      <c r="D1246" s="7" t="s">
        <v>508</v>
      </c>
      <c r="E1246" s="5" t="s">
        <v>2868</v>
      </c>
      <c r="F1246" s="5" t="s">
        <v>271</v>
      </c>
    </row>
    <row r="1247">
      <c r="A1247" s="5" t="s">
        <v>2602</v>
      </c>
      <c r="B1247" s="8">
        <v>4.0</v>
      </c>
      <c r="C1247" s="7" t="s">
        <v>507</v>
      </c>
      <c r="D1247" s="7" t="s">
        <v>508</v>
      </c>
      <c r="E1247" s="5" t="s">
        <v>2868</v>
      </c>
      <c r="F1247" s="5" t="s">
        <v>2862</v>
      </c>
    </row>
    <row r="1248">
      <c r="A1248" s="5" t="s">
        <v>2603</v>
      </c>
      <c r="B1248" s="8">
        <v>4.0</v>
      </c>
      <c r="C1248" s="7" t="s">
        <v>507</v>
      </c>
      <c r="D1248" s="7" t="s">
        <v>508</v>
      </c>
      <c r="E1248" s="5" t="s">
        <v>2868</v>
      </c>
      <c r="F1248" s="5" t="s">
        <v>2741</v>
      </c>
    </row>
    <row r="1249">
      <c r="A1249" s="5" t="s">
        <v>2604</v>
      </c>
      <c r="B1249" s="8">
        <v>4.0</v>
      </c>
      <c r="C1249" s="7" t="s">
        <v>507</v>
      </c>
      <c r="D1249" s="7" t="s">
        <v>508</v>
      </c>
      <c r="E1249" s="5" t="s">
        <v>2868</v>
      </c>
      <c r="F1249" s="5" t="s">
        <v>2741</v>
      </c>
    </row>
    <row r="1250">
      <c r="A1250" s="5" t="s">
        <v>2605</v>
      </c>
      <c r="B1250" s="8">
        <v>4.0</v>
      </c>
      <c r="C1250" s="7" t="s">
        <v>507</v>
      </c>
      <c r="D1250" s="7" t="s">
        <v>508</v>
      </c>
      <c r="E1250" s="5" t="s">
        <v>2868</v>
      </c>
      <c r="F1250" s="5" t="s">
        <v>305</v>
      </c>
    </row>
    <row r="1251">
      <c r="A1251" s="5" t="s">
        <v>2606</v>
      </c>
      <c r="B1251" s="8">
        <v>4.0</v>
      </c>
      <c r="C1251" s="7" t="s">
        <v>507</v>
      </c>
      <c r="D1251" s="7" t="s">
        <v>508</v>
      </c>
      <c r="E1251" s="5" t="s">
        <v>2868</v>
      </c>
      <c r="F1251" s="5" t="s">
        <v>2741</v>
      </c>
    </row>
    <row r="1252">
      <c r="A1252" s="5" t="s">
        <v>2607</v>
      </c>
      <c r="B1252" s="8">
        <v>4.0</v>
      </c>
      <c r="C1252" s="7" t="s">
        <v>507</v>
      </c>
      <c r="D1252" s="7" t="s">
        <v>508</v>
      </c>
      <c r="E1252" s="5" t="s">
        <v>2868</v>
      </c>
      <c r="F1252" s="5" t="s">
        <v>238</v>
      </c>
    </row>
    <row r="1253">
      <c r="A1253" s="5" t="s">
        <v>2614</v>
      </c>
      <c r="B1253" s="8">
        <v>4.0</v>
      </c>
      <c r="C1253" s="7" t="s">
        <v>507</v>
      </c>
      <c r="D1253" s="7" t="s">
        <v>508</v>
      </c>
      <c r="E1253" s="5" t="s">
        <v>2868</v>
      </c>
      <c r="F1253" s="5" t="s">
        <v>238</v>
      </c>
    </row>
    <row r="1254">
      <c r="A1254" s="5" t="s">
        <v>2608</v>
      </c>
      <c r="B1254" s="8">
        <v>4.0</v>
      </c>
      <c r="C1254" s="7" t="s">
        <v>507</v>
      </c>
      <c r="D1254" s="7" t="s">
        <v>508</v>
      </c>
      <c r="E1254" s="5" t="s">
        <v>2868</v>
      </c>
      <c r="F1254" s="5" t="s">
        <v>511</v>
      </c>
    </row>
    <row r="1255">
      <c r="A1255" s="5" t="s">
        <v>2609</v>
      </c>
      <c r="B1255" s="8">
        <v>4.0</v>
      </c>
      <c r="C1255" s="7" t="s">
        <v>507</v>
      </c>
      <c r="D1255" s="7" t="s">
        <v>508</v>
      </c>
      <c r="E1255" s="5" t="s">
        <v>2868</v>
      </c>
      <c r="F1255" s="5" t="s">
        <v>2863</v>
      </c>
    </row>
    <row r="1256">
      <c r="A1256" s="7" t="s">
        <v>188</v>
      </c>
      <c r="B1256" s="8">
        <v>4.0</v>
      </c>
      <c r="C1256" s="7" t="s">
        <v>298</v>
      </c>
      <c r="D1256" s="5" t="s">
        <v>2870</v>
      </c>
      <c r="E1256" s="5" t="s">
        <v>2871</v>
      </c>
      <c r="F1256" s="5" t="s">
        <v>519</v>
      </c>
    </row>
    <row r="1257">
      <c r="A1257" s="5" t="s">
        <v>2592</v>
      </c>
      <c r="B1257" s="8">
        <v>4.0</v>
      </c>
      <c r="C1257" s="7" t="s">
        <v>298</v>
      </c>
      <c r="D1257" s="5" t="s">
        <v>2870</v>
      </c>
      <c r="E1257" s="5" t="s">
        <v>2871</v>
      </c>
      <c r="F1257" s="5" t="s">
        <v>514</v>
      </c>
    </row>
    <row r="1258">
      <c r="A1258" s="5" t="s">
        <v>2796</v>
      </c>
      <c r="B1258" s="8">
        <v>4.0</v>
      </c>
      <c r="C1258" s="7" t="s">
        <v>298</v>
      </c>
      <c r="D1258" s="5" t="s">
        <v>2870</v>
      </c>
      <c r="E1258" s="5" t="s">
        <v>2871</v>
      </c>
      <c r="F1258" s="5" t="s">
        <v>519</v>
      </c>
    </row>
    <row r="1259">
      <c r="A1259" s="5" t="s">
        <v>2797</v>
      </c>
      <c r="B1259" s="8">
        <v>4.0</v>
      </c>
      <c r="C1259" s="7" t="s">
        <v>298</v>
      </c>
      <c r="D1259" s="5" t="s">
        <v>2870</v>
      </c>
      <c r="E1259" s="5" t="s">
        <v>2871</v>
      </c>
      <c r="F1259" s="5" t="s">
        <v>519</v>
      </c>
    </row>
    <row r="1260">
      <c r="A1260" s="5" t="s">
        <v>2595</v>
      </c>
      <c r="B1260" s="8">
        <v>4.0</v>
      </c>
      <c r="C1260" s="7" t="s">
        <v>298</v>
      </c>
      <c r="D1260" s="5" t="s">
        <v>2870</v>
      </c>
      <c r="E1260" s="5" t="s">
        <v>2871</v>
      </c>
      <c r="F1260" s="5" t="s">
        <v>240</v>
      </c>
    </row>
    <row r="1261">
      <c r="A1261" s="5" t="s">
        <v>2597</v>
      </c>
      <c r="B1261" s="8">
        <v>4.0</v>
      </c>
      <c r="C1261" s="7" t="s">
        <v>298</v>
      </c>
      <c r="D1261" s="5" t="s">
        <v>2870</v>
      </c>
      <c r="E1261" s="5" t="s">
        <v>2871</v>
      </c>
      <c r="F1261" s="5" t="s">
        <v>240</v>
      </c>
    </row>
    <row r="1262">
      <c r="A1262" s="7" t="s">
        <v>8</v>
      </c>
      <c r="B1262" s="8">
        <v>4.0</v>
      </c>
      <c r="C1262" s="7" t="s">
        <v>298</v>
      </c>
      <c r="D1262" s="5" t="s">
        <v>2870</v>
      </c>
      <c r="E1262" s="5" t="s">
        <v>2871</v>
      </c>
      <c r="F1262" s="5" t="s">
        <v>2741</v>
      </c>
    </row>
    <row r="1263">
      <c r="A1263" s="5" t="s">
        <v>2798</v>
      </c>
      <c r="B1263" s="8">
        <v>4.0</v>
      </c>
      <c r="C1263" s="7" t="s">
        <v>298</v>
      </c>
      <c r="D1263" s="5" t="s">
        <v>2870</v>
      </c>
      <c r="E1263" s="5" t="s">
        <v>2871</v>
      </c>
      <c r="F1263" s="5" t="s">
        <v>520</v>
      </c>
    </row>
    <row r="1264">
      <c r="A1264" s="5" t="s">
        <v>2702</v>
      </c>
      <c r="B1264" s="8">
        <v>4.0</v>
      </c>
      <c r="C1264" s="7" t="s">
        <v>298</v>
      </c>
      <c r="D1264" s="5" t="s">
        <v>2870</v>
      </c>
      <c r="E1264" s="5" t="s">
        <v>2871</v>
      </c>
      <c r="F1264" s="5" t="s">
        <v>305</v>
      </c>
    </row>
    <row r="1265">
      <c r="A1265" s="5" t="s">
        <v>2599</v>
      </c>
      <c r="B1265" s="8">
        <v>4.0</v>
      </c>
      <c r="C1265" s="7" t="s">
        <v>298</v>
      </c>
      <c r="D1265" s="5" t="s">
        <v>2870</v>
      </c>
      <c r="E1265" s="5" t="s">
        <v>2871</v>
      </c>
      <c r="F1265" s="5" t="s">
        <v>240</v>
      </c>
    </row>
    <row r="1266">
      <c r="A1266" s="5" t="s">
        <v>2600</v>
      </c>
      <c r="B1266" s="8">
        <v>4.0</v>
      </c>
      <c r="C1266" s="7" t="s">
        <v>298</v>
      </c>
      <c r="D1266" s="5" t="s">
        <v>2870</v>
      </c>
      <c r="E1266" s="5" t="s">
        <v>2871</v>
      </c>
      <c r="F1266" s="5" t="s">
        <v>305</v>
      </c>
    </row>
    <row r="1267">
      <c r="A1267" s="5" t="s">
        <v>2602</v>
      </c>
      <c r="B1267" s="8">
        <v>4.0</v>
      </c>
      <c r="C1267" s="7" t="s">
        <v>298</v>
      </c>
      <c r="D1267" s="5" t="s">
        <v>2870</v>
      </c>
      <c r="E1267" s="5" t="s">
        <v>2871</v>
      </c>
      <c r="F1267" s="5" t="s">
        <v>2872</v>
      </c>
    </row>
    <row r="1268">
      <c r="A1268" s="5" t="s">
        <v>2603</v>
      </c>
      <c r="B1268" s="8">
        <v>4.0</v>
      </c>
      <c r="C1268" s="7" t="s">
        <v>298</v>
      </c>
      <c r="D1268" s="5" t="s">
        <v>2870</v>
      </c>
      <c r="E1268" s="5" t="s">
        <v>2871</v>
      </c>
      <c r="F1268" s="5" t="s">
        <v>2754</v>
      </c>
    </row>
    <row r="1269">
      <c r="A1269" s="5" t="s">
        <v>2604</v>
      </c>
      <c r="B1269" s="8">
        <v>4.0</v>
      </c>
      <c r="C1269" s="7" t="s">
        <v>298</v>
      </c>
      <c r="D1269" s="5" t="s">
        <v>2870</v>
      </c>
      <c r="E1269" s="5" t="s">
        <v>2871</v>
      </c>
      <c r="F1269" s="5" t="s">
        <v>519</v>
      </c>
    </row>
    <row r="1270">
      <c r="A1270" s="5" t="s">
        <v>2605</v>
      </c>
      <c r="B1270" s="8">
        <v>4.0</v>
      </c>
      <c r="C1270" s="7" t="s">
        <v>298</v>
      </c>
      <c r="D1270" s="5" t="s">
        <v>2870</v>
      </c>
      <c r="E1270" s="5" t="s">
        <v>2871</v>
      </c>
      <c r="F1270" s="5" t="s">
        <v>305</v>
      </c>
    </row>
    <row r="1271">
      <c r="A1271" s="5" t="s">
        <v>2606</v>
      </c>
      <c r="B1271" s="8">
        <v>4.0</v>
      </c>
      <c r="C1271" s="7" t="s">
        <v>298</v>
      </c>
      <c r="D1271" s="5" t="s">
        <v>2870</v>
      </c>
      <c r="E1271" s="5" t="s">
        <v>2871</v>
      </c>
      <c r="F1271" s="5" t="s">
        <v>519</v>
      </c>
    </row>
    <row r="1272">
      <c r="A1272" s="5" t="s">
        <v>2607</v>
      </c>
      <c r="B1272" s="8">
        <v>4.0</v>
      </c>
      <c r="C1272" s="7" t="s">
        <v>298</v>
      </c>
      <c r="D1272" s="5" t="s">
        <v>2870</v>
      </c>
      <c r="E1272" s="5" t="s">
        <v>2871</v>
      </c>
      <c r="F1272" s="5" t="s">
        <v>240</v>
      </c>
    </row>
    <row r="1273">
      <c r="A1273" s="5" t="s">
        <v>2614</v>
      </c>
      <c r="B1273" s="8">
        <v>4.0</v>
      </c>
      <c r="C1273" s="7" t="s">
        <v>298</v>
      </c>
      <c r="D1273" s="5" t="s">
        <v>2870</v>
      </c>
      <c r="E1273" s="5" t="s">
        <v>2871</v>
      </c>
      <c r="F1273" s="5" t="s">
        <v>238</v>
      </c>
    </row>
    <row r="1274">
      <c r="A1274" s="5" t="s">
        <v>2608</v>
      </c>
      <c r="B1274" s="8">
        <v>4.0</v>
      </c>
      <c r="C1274" s="7" t="s">
        <v>298</v>
      </c>
      <c r="D1274" s="5" t="s">
        <v>2870</v>
      </c>
      <c r="E1274" s="5" t="s">
        <v>2871</v>
      </c>
      <c r="F1274" s="5" t="s">
        <v>240</v>
      </c>
    </row>
    <row r="1275">
      <c r="A1275" s="5" t="s">
        <v>2609</v>
      </c>
      <c r="B1275" s="8">
        <v>4.0</v>
      </c>
      <c r="C1275" s="7" t="s">
        <v>298</v>
      </c>
      <c r="D1275" s="5" t="s">
        <v>2870</v>
      </c>
      <c r="E1275" s="5" t="s">
        <v>2871</v>
      </c>
      <c r="F1275" s="5" t="s">
        <v>2873</v>
      </c>
    </row>
    <row r="1276">
      <c r="A1276" s="7" t="s">
        <v>188</v>
      </c>
      <c r="B1276" s="8">
        <v>4.0</v>
      </c>
      <c r="C1276" s="7" t="s">
        <v>306</v>
      </c>
      <c r="D1276" s="7" t="s">
        <v>230</v>
      </c>
      <c r="E1276" s="5" t="s">
        <v>2874</v>
      </c>
      <c r="F1276" s="5" t="s">
        <v>2754</v>
      </c>
    </row>
    <row r="1277">
      <c r="A1277" s="5" t="s">
        <v>2592</v>
      </c>
      <c r="B1277" s="8">
        <v>4.0</v>
      </c>
      <c r="C1277" s="7" t="s">
        <v>306</v>
      </c>
      <c r="D1277" s="7" t="s">
        <v>230</v>
      </c>
      <c r="E1277" s="5" t="s">
        <v>2874</v>
      </c>
      <c r="F1277" s="5" t="s">
        <v>514</v>
      </c>
    </row>
    <row r="1278">
      <c r="A1278" s="5" t="s">
        <v>2796</v>
      </c>
      <c r="B1278" s="8">
        <v>4.0</v>
      </c>
      <c r="C1278" s="7" t="s">
        <v>306</v>
      </c>
      <c r="D1278" s="7" t="s">
        <v>230</v>
      </c>
      <c r="E1278" s="5" t="s">
        <v>2874</v>
      </c>
      <c r="F1278" s="5" t="s">
        <v>2754</v>
      </c>
    </row>
    <row r="1279">
      <c r="A1279" s="5" t="s">
        <v>2797</v>
      </c>
      <c r="B1279" s="8">
        <v>4.0</v>
      </c>
      <c r="C1279" s="7" t="s">
        <v>306</v>
      </c>
      <c r="D1279" s="7" t="s">
        <v>230</v>
      </c>
      <c r="E1279" s="5" t="s">
        <v>2874</v>
      </c>
      <c r="F1279" s="5" t="s">
        <v>2754</v>
      </c>
    </row>
    <row r="1280">
      <c r="A1280" s="5" t="s">
        <v>2595</v>
      </c>
      <c r="B1280" s="8">
        <v>4.0</v>
      </c>
      <c r="C1280" s="7" t="s">
        <v>306</v>
      </c>
      <c r="D1280" s="7" t="s">
        <v>230</v>
      </c>
      <c r="E1280" s="5" t="s">
        <v>2874</v>
      </c>
      <c r="F1280" s="5" t="s">
        <v>240</v>
      </c>
    </row>
    <row r="1281">
      <c r="A1281" s="5" t="s">
        <v>2597</v>
      </c>
      <c r="B1281" s="8">
        <v>4.0</v>
      </c>
      <c r="C1281" s="7" t="s">
        <v>306</v>
      </c>
      <c r="D1281" s="7" t="s">
        <v>230</v>
      </c>
      <c r="E1281" s="5" t="s">
        <v>2874</v>
      </c>
      <c r="F1281" s="5" t="s">
        <v>240</v>
      </c>
    </row>
    <row r="1282">
      <c r="A1282" s="7" t="s">
        <v>8</v>
      </c>
      <c r="B1282" s="8">
        <v>4.0</v>
      </c>
      <c r="C1282" s="7" t="s">
        <v>306</v>
      </c>
      <c r="D1282" s="7" t="s">
        <v>230</v>
      </c>
      <c r="E1282" s="5" t="s">
        <v>2874</v>
      </c>
      <c r="F1282" s="5" t="s">
        <v>519</v>
      </c>
    </row>
    <row r="1283">
      <c r="A1283" s="5" t="s">
        <v>2798</v>
      </c>
      <c r="B1283" s="8">
        <v>4.0</v>
      </c>
      <c r="C1283" s="7" t="s">
        <v>306</v>
      </c>
      <c r="D1283" s="7" t="s">
        <v>230</v>
      </c>
      <c r="E1283" s="5" t="s">
        <v>2874</v>
      </c>
      <c r="F1283" s="5" t="s">
        <v>520</v>
      </c>
    </row>
    <row r="1284">
      <c r="A1284" s="5" t="s">
        <v>2702</v>
      </c>
      <c r="B1284" s="8">
        <v>4.0</v>
      </c>
      <c r="C1284" s="7" t="s">
        <v>306</v>
      </c>
      <c r="D1284" s="7" t="s">
        <v>230</v>
      </c>
      <c r="E1284" s="5" t="s">
        <v>2874</v>
      </c>
      <c r="F1284" s="5" t="s">
        <v>305</v>
      </c>
    </row>
    <row r="1285">
      <c r="A1285" s="5" t="s">
        <v>2599</v>
      </c>
      <c r="B1285" s="8">
        <v>4.0</v>
      </c>
      <c r="C1285" s="7" t="s">
        <v>306</v>
      </c>
      <c r="D1285" s="7" t="s">
        <v>230</v>
      </c>
      <c r="E1285" s="5" t="s">
        <v>2874</v>
      </c>
      <c r="F1285" s="5" t="s">
        <v>240</v>
      </c>
    </row>
    <row r="1286">
      <c r="A1286" s="5" t="s">
        <v>2600</v>
      </c>
      <c r="B1286" s="8">
        <v>4.0</v>
      </c>
      <c r="C1286" s="7" t="s">
        <v>306</v>
      </c>
      <c r="D1286" s="7" t="s">
        <v>230</v>
      </c>
      <c r="E1286" s="5" t="s">
        <v>2874</v>
      </c>
      <c r="F1286" s="5" t="s">
        <v>305</v>
      </c>
    </row>
    <row r="1287">
      <c r="A1287" s="5" t="s">
        <v>2602</v>
      </c>
      <c r="B1287" s="8">
        <v>4.0</v>
      </c>
      <c r="C1287" s="7" t="s">
        <v>306</v>
      </c>
      <c r="D1287" s="7" t="s">
        <v>230</v>
      </c>
      <c r="E1287" s="5" t="s">
        <v>2874</v>
      </c>
      <c r="F1287" s="5" t="s">
        <v>2872</v>
      </c>
    </row>
    <row r="1288">
      <c r="A1288" s="5" t="s">
        <v>2603</v>
      </c>
      <c r="B1288" s="8">
        <v>4.0</v>
      </c>
      <c r="C1288" s="7" t="s">
        <v>306</v>
      </c>
      <c r="D1288" s="7" t="s">
        <v>230</v>
      </c>
      <c r="E1288" s="5" t="s">
        <v>2874</v>
      </c>
      <c r="F1288" s="5" t="s">
        <v>2754</v>
      </c>
    </row>
    <row r="1289">
      <c r="A1289" s="5" t="s">
        <v>2604</v>
      </c>
      <c r="B1289" s="8">
        <v>4.0</v>
      </c>
      <c r="C1289" s="7" t="s">
        <v>306</v>
      </c>
      <c r="D1289" s="7" t="s">
        <v>230</v>
      </c>
      <c r="E1289" s="5" t="s">
        <v>2874</v>
      </c>
      <c r="F1289" s="5" t="s">
        <v>519</v>
      </c>
    </row>
    <row r="1290">
      <c r="A1290" s="5" t="s">
        <v>2605</v>
      </c>
      <c r="B1290" s="8">
        <v>4.0</v>
      </c>
      <c r="C1290" s="7" t="s">
        <v>306</v>
      </c>
      <c r="D1290" s="7" t="s">
        <v>230</v>
      </c>
      <c r="E1290" s="5" t="s">
        <v>2874</v>
      </c>
      <c r="F1290" s="5" t="s">
        <v>305</v>
      </c>
    </row>
    <row r="1291">
      <c r="A1291" s="5" t="s">
        <v>2606</v>
      </c>
      <c r="B1291" s="8">
        <v>4.0</v>
      </c>
      <c r="C1291" s="7" t="s">
        <v>306</v>
      </c>
      <c r="D1291" s="7" t="s">
        <v>230</v>
      </c>
      <c r="E1291" s="5" t="s">
        <v>2874</v>
      </c>
      <c r="F1291" s="4" t="s">
        <v>519</v>
      </c>
    </row>
    <row r="1292">
      <c r="A1292" s="5" t="s">
        <v>2607</v>
      </c>
      <c r="B1292" s="8">
        <v>4.0</v>
      </c>
      <c r="C1292" s="7" t="s">
        <v>306</v>
      </c>
      <c r="D1292" s="7" t="s">
        <v>230</v>
      </c>
      <c r="E1292" s="5" t="s">
        <v>2874</v>
      </c>
      <c r="F1292" s="5" t="s">
        <v>240</v>
      </c>
    </row>
    <row r="1293">
      <c r="A1293" s="5" t="s">
        <v>2614</v>
      </c>
      <c r="B1293" s="8">
        <v>4.0</v>
      </c>
      <c r="C1293" s="7" t="s">
        <v>306</v>
      </c>
      <c r="D1293" s="7" t="s">
        <v>230</v>
      </c>
      <c r="E1293" s="5" t="s">
        <v>2874</v>
      </c>
      <c r="F1293" s="5" t="s">
        <v>238</v>
      </c>
    </row>
    <row r="1294">
      <c r="A1294" s="5" t="s">
        <v>2608</v>
      </c>
      <c r="B1294" s="8">
        <v>4.0</v>
      </c>
      <c r="C1294" s="7" t="s">
        <v>306</v>
      </c>
      <c r="D1294" s="7" t="s">
        <v>230</v>
      </c>
      <c r="E1294" s="5" t="s">
        <v>2874</v>
      </c>
      <c r="F1294" s="5" t="s">
        <v>240</v>
      </c>
    </row>
    <row r="1295">
      <c r="A1295" s="5" t="s">
        <v>2609</v>
      </c>
      <c r="B1295" s="8">
        <v>4.0</v>
      </c>
      <c r="C1295" s="7" t="s">
        <v>306</v>
      </c>
      <c r="D1295" s="7" t="s">
        <v>230</v>
      </c>
      <c r="E1295" s="5" t="s">
        <v>2874</v>
      </c>
      <c r="F1295" s="5" t="s">
        <v>2873</v>
      </c>
    </row>
    <row r="1296">
      <c r="A1296" s="7" t="s">
        <v>188</v>
      </c>
      <c r="B1296" s="8">
        <v>4.0</v>
      </c>
      <c r="C1296" s="7" t="s">
        <v>309</v>
      </c>
      <c r="D1296" s="5" t="s">
        <v>2875</v>
      </c>
      <c r="E1296" s="5" t="s">
        <v>2876</v>
      </c>
      <c r="F1296" s="5" t="s">
        <v>337</v>
      </c>
    </row>
    <row r="1297">
      <c r="A1297" s="5" t="s">
        <v>2592</v>
      </c>
      <c r="B1297" s="8">
        <v>4.0</v>
      </c>
      <c r="C1297" s="7" t="s">
        <v>309</v>
      </c>
      <c r="D1297" s="5" t="s">
        <v>2875</v>
      </c>
      <c r="E1297" s="5" t="s">
        <v>2876</v>
      </c>
      <c r="F1297" s="5" t="s">
        <v>495</v>
      </c>
    </row>
    <row r="1298">
      <c r="A1298" s="5" t="s">
        <v>2796</v>
      </c>
      <c r="B1298" s="8">
        <v>4.0</v>
      </c>
      <c r="C1298" s="7" t="s">
        <v>309</v>
      </c>
      <c r="D1298" s="5" t="s">
        <v>2875</v>
      </c>
      <c r="E1298" s="5" t="s">
        <v>2876</v>
      </c>
      <c r="F1298" s="5" t="s">
        <v>337</v>
      </c>
    </row>
    <row r="1299">
      <c r="A1299" s="5" t="s">
        <v>2797</v>
      </c>
      <c r="B1299" s="8">
        <v>4.0</v>
      </c>
      <c r="C1299" s="7" t="s">
        <v>309</v>
      </c>
      <c r="D1299" s="5" t="s">
        <v>2875</v>
      </c>
      <c r="E1299" s="5" t="s">
        <v>2876</v>
      </c>
      <c r="F1299" s="5" t="s">
        <v>2741</v>
      </c>
    </row>
    <row r="1300">
      <c r="A1300" s="5" t="s">
        <v>2595</v>
      </c>
      <c r="B1300" s="8">
        <v>4.0</v>
      </c>
      <c r="C1300" s="7" t="s">
        <v>309</v>
      </c>
      <c r="D1300" s="5" t="s">
        <v>2875</v>
      </c>
      <c r="E1300" s="5" t="s">
        <v>2876</v>
      </c>
      <c r="F1300" s="5" t="s">
        <v>238</v>
      </c>
    </row>
    <row r="1301">
      <c r="A1301" s="5" t="s">
        <v>2597</v>
      </c>
      <c r="B1301" s="8">
        <v>4.0</v>
      </c>
      <c r="C1301" s="7" t="s">
        <v>309</v>
      </c>
      <c r="D1301" s="5" t="s">
        <v>2875</v>
      </c>
      <c r="E1301" s="5" t="s">
        <v>2876</v>
      </c>
      <c r="F1301" s="5" t="s">
        <v>238</v>
      </c>
    </row>
    <row r="1302">
      <c r="A1302" s="7" t="s">
        <v>8</v>
      </c>
      <c r="B1302" s="8">
        <v>4.0</v>
      </c>
      <c r="C1302" s="7" t="s">
        <v>309</v>
      </c>
      <c r="D1302" s="5" t="s">
        <v>2875</v>
      </c>
      <c r="E1302" s="5" t="s">
        <v>2876</v>
      </c>
      <c r="F1302" s="5" t="s">
        <v>2741</v>
      </c>
    </row>
    <row r="1303">
      <c r="A1303" s="5" t="s">
        <v>2798</v>
      </c>
      <c r="B1303" s="8">
        <v>4.0</v>
      </c>
      <c r="C1303" s="7" t="s">
        <v>309</v>
      </c>
      <c r="D1303" s="5" t="s">
        <v>2875</v>
      </c>
      <c r="E1303" s="5" t="s">
        <v>2876</v>
      </c>
      <c r="F1303" s="5" t="s">
        <v>520</v>
      </c>
    </row>
    <row r="1304">
      <c r="A1304" s="5" t="s">
        <v>2702</v>
      </c>
      <c r="B1304" s="8">
        <v>4.0</v>
      </c>
      <c r="C1304" s="7" t="s">
        <v>309</v>
      </c>
      <c r="D1304" s="5" t="s">
        <v>2875</v>
      </c>
      <c r="E1304" s="5" t="s">
        <v>2876</v>
      </c>
      <c r="F1304" s="5" t="s">
        <v>271</v>
      </c>
    </row>
    <row r="1305">
      <c r="A1305" s="5" t="s">
        <v>2599</v>
      </c>
      <c r="B1305" s="8">
        <v>4.0</v>
      </c>
      <c r="C1305" s="7" t="s">
        <v>309</v>
      </c>
      <c r="D1305" s="5" t="s">
        <v>2875</v>
      </c>
      <c r="E1305" s="5" t="s">
        <v>2876</v>
      </c>
      <c r="F1305" s="5" t="s">
        <v>238</v>
      </c>
    </row>
    <row r="1306">
      <c r="A1306" s="5" t="s">
        <v>2600</v>
      </c>
      <c r="B1306" s="8">
        <v>4.0</v>
      </c>
      <c r="C1306" s="7" t="s">
        <v>309</v>
      </c>
      <c r="D1306" s="5" t="s">
        <v>2875</v>
      </c>
      <c r="E1306" s="5" t="s">
        <v>2876</v>
      </c>
      <c r="F1306" s="5" t="s">
        <v>271</v>
      </c>
    </row>
    <row r="1307">
      <c r="A1307" s="5" t="s">
        <v>2602</v>
      </c>
      <c r="B1307" s="8">
        <v>4.0</v>
      </c>
      <c r="C1307" s="7" t="s">
        <v>309</v>
      </c>
      <c r="D1307" s="5" t="s">
        <v>2875</v>
      </c>
      <c r="E1307" s="5" t="s">
        <v>2876</v>
      </c>
      <c r="F1307" s="5" t="s">
        <v>2862</v>
      </c>
    </row>
    <row r="1308">
      <c r="A1308" s="5" t="s">
        <v>2603</v>
      </c>
      <c r="B1308" s="8">
        <v>4.0</v>
      </c>
      <c r="C1308" s="7" t="s">
        <v>309</v>
      </c>
      <c r="D1308" s="5" t="s">
        <v>2875</v>
      </c>
      <c r="E1308" s="5" t="s">
        <v>2876</v>
      </c>
      <c r="F1308" s="5" t="s">
        <v>2741</v>
      </c>
    </row>
    <row r="1309">
      <c r="A1309" s="5" t="s">
        <v>2604</v>
      </c>
      <c r="B1309" s="8">
        <v>4.0</v>
      </c>
      <c r="C1309" s="7" t="s">
        <v>309</v>
      </c>
      <c r="D1309" s="5" t="s">
        <v>2875</v>
      </c>
      <c r="E1309" s="5" t="s">
        <v>2876</v>
      </c>
      <c r="F1309" s="5" t="s">
        <v>2741</v>
      </c>
    </row>
    <row r="1310">
      <c r="A1310" s="5" t="s">
        <v>2605</v>
      </c>
      <c r="B1310" s="8">
        <v>4.0</v>
      </c>
      <c r="C1310" s="7" t="s">
        <v>309</v>
      </c>
      <c r="D1310" s="5" t="s">
        <v>2875</v>
      </c>
      <c r="E1310" s="5" t="s">
        <v>2876</v>
      </c>
      <c r="F1310" s="5" t="s">
        <v>271</v>
      </c>
    </row>
    <row r="1311">
      <c r="A1311" s="5" t="s">
        <v>2606</v>
      </c>
      <c r="B1311" s="8">
        <v>4.0</v>
      </c>
      <c r="C1311" s="7" t="s">
        <v>309</v>
      </c>
      <c r="D1311" s="5" t="s">
        <v>2875</v>
      </c>
      <c r="E1311" s="5" t="s">
        <v>2876</v>
      </c>
      <c r="F1311" s="5" t="s">
        <v>2741</v>
      </c>
    </row>
    <row r="1312">
      <c r="A1312" s="5" t="s">
        <v>2607</v>
      </c>
      <c r="B1312" s="8">
        <v>4.0</v>
      </c>
      <c r="C1312" s="7" t="s">
        <v>309</v>
      </c>
      <c r="D1312" s="5" t="s">
        <v>2875</v>
      </c>
      <c r="E1312" s="5" t="s">
        <v>2876</v>
      </c>
      <c r="F1312" s="5" t="s">
        <v>238</v>
      </c>
    </row>
    <row r="1313">
      <c r="A1313" s="5" t="s">
        <v>2614</v>
      </c>
      <c r="B1313" s="8">
        <v>4.0</v>
      </c>
      <c r="C1313" s="7" t="s">
        <v>309</v>
      </c>
      <c r="D1313" s="5" t="s">
        <v>2875</v>
      </c>
      <c r="E1313" s="5" t="s">
        <v>2876</v>
      </c>
      <c r="F1313" s="5" t="s">
        <v>238</v>
      </c>
    </row>
    <row r="1314">
      <c r="A1314" s="5" t="s">
        <v>2608</v>
      </c>
      <c r="B1314" s="8">
        <v>4.0</v>
      </c>
      <c r="C1314" s="7" t="s">
        <v>309</v>
      </c>
      <c r="D1314" s="5" t="s">
        <v>2875</v>
      </c>
      <c r="E1314" s="5" t="s">
        <v>2876</v>
      </c>
      <c r="F1314" s="5" t="s">
        <v>238</v>
      </c>
    </row>
    <row r="1315">
      <c r="A1315" s="5" t="s">
        <v>2609</v>
      </c>
      <c r="B1315" s="8">
        <v>4.0</v>
      </c>
      <c r="C1315" s="7" t="s">
        <v>309</v>
      </c>
      <c r="D1315" s="5" t="s">
        <v>2875</v>
      </c>
      <c r="E1315" s="5" t="s">
        <v>2876</v>
      </c>
      <c r="F1315" s="5" t="s">
        <v>2863</v>
      </c>
    </row>
    <row r="1316">
      <c r="A1316" s="7" t="s">
        <v>188</v>
      </c>
      <c r="B1316" s="8">
        <v>4.0</v>
      </c>
      <c r="C1316" s="7" t="s">
        <v>314</v>
      </c>
      <c r="D1316" s="7" t="s">
        <v>524</v>
      </c>
      <c r="E1316" s="5" t="s">
        <v>525</v>
      </c>
      <c r="F1316" s="5" t="s">
        <v>358</v>
      </c>
    </row>
    <row r="1317">
      <c r="A1317" s="5" t="s">
        <v>2592</v>
      </c>
      <c r="B1317" s="8">
        <v>4.0</v>
      </c>
      <c r="C1317" s="7" t="s">
        <v>314</v>
      </c>
      <c r="D1317" s="7" t="s">
        <v>524</v>
      </c>
      <c r="E1317" s="5" t="s">
        <v>525</v>
      </c>
      <c r="F1317" s="5" t="s">
        <v>2877</v>
      </c>
    </row>
    <row r="1318">
      <c r="A1318" s="5" t="s">
        <v>2796</v>
      </c>
      <c r="B1318" s="8">
        <v>4.0</v>
      </c>
      <c r="C1318" s="7" t="s">
        <v>314</v>
      </c>
      <c r="D1318" s="7" t="s">
        <v>524</v>
      </c>
      <c r="E1318" s="5" t="s">
        <v>525</v>
      </c>
      <c r="F1318" s="5" t="s">
        <v>358</v>
      </c>
    </row>
    <row r="1319">
      <c r="A1319" s="5" t="s">
        <v>2797</v>
      </c>
      <c r="B1319" s="8">
        <v>4.0</v>
      </c>
      <c r="C1319" s="7" t="s">
        <v>314</v>
      </c>
      <c r="D1319" s="7" t="s">
        <v>524</v>
      </c>
      <c r="E1319" s="5" t="s">
        <v>525</v>
      </c>
      <c r="F1319" s="5" t="s">
        <v>2743</v>
      </c>
    </row>
    <row r="1320">
      <c r="A1320" s="5" t="s">
        <v>2595</v>
      </c>
      <c r="B1320" s="8">
        <v>4.0</v>
      </c>
      <c r="C1320" s="7" t="s">
        <v>314</v>
      </c>
      <c r="D1320" s="7" t="s">
        <v>524</v>
      </c>
      <c r="E1320" s="5" t="s">
        <v>525</v>
      </c>
      <c r="F1320" s="5" t="s">
        <v>2878</v>
      </c>
    </row>
    <row r="1321">
      <c r="A1321" s="5" t="s">
        <v>2597</v>
      </c>
      <c r="B1321" s="8">
        <v>4.0</v>
      </c>
      <c r="C1321" s="7" t="s">
        <v>314</v>
      </c>
      <c r="D1321" s="7" t="s">
        <v>524</v>
      </c>
      <c r="E1321" s="5" t="s">
        <v>525</v>
      </c>
      <c r="F1321" s="5" t="s">
        <v>1664</v>
      </c>
    </row>
    <row r="1322">
      <c r="A1322" s="7" t="s">
        <v>8</v>
      </c>
      <c r="B1322" s="8">
        <v>4.0</v>
      </c>
      <c r="C1322" s="7" t="s">
        <v>314</v>
      </c>
      <c r="D1322" s="7" t="s">
        <v>524</v>
      </c>
      <c r="E1322" s="5" t="s">
        <v>525</v>
      </c>
      <c r="F1322" s="7" t="s">
        <v>503</v>
      </c>
    </row>
    <row r="1323">
      <c r="A1323" s="5" t="s">
        <v>2798</v>
      </c>
      <c r="B1323" s="8">
        <v>4.0</v>
      </c>
      <c r="C1323" s="7" t="s">
        <v>314</v>
      </c>
      <c r="D1323" s="7" t="s">
        <v>524</v>
      </c>
      <c r="E1323" s="5" t="s">
        <v>525</v>
      </c>
      <c r="F1323" s="5" t="s">
        <v>2751</v>
      </c>
    </row>
    <row r="1324">
      <c r="A1324" s="5" t="s">
        <v>2702</v>
      </c>
      <c r="B1324" s="8">
        <v>4.0</v>
      </c>
      <c r="C1324" s="7" t="s">
        <v>314</v>
      </c>
      <c r="D1324" s="7" t="s">
        <v>524</v>
      </c>
      <c r="E1324" s="5" t="s">
        <v>525</v>
      </c>
      <c r="F1324" s="5" t="s">
        <v>271</v>
      </c>
    </row>
    <row r="1325">
      <c r="A1325" s="5" t="s">
        <v>2599</v>
      </c>
      <c r="B1325" s="8">
        <v>4.0</v>
      </c>
      <c r="C1325" s="7" t="s">
        <v>314</v>
      </c>
      <c r="D1325" s="7" t="s">
        <v>524</v>
      </c>
      <c r="E1325" s="5" t="s">
        <v>525</v>
      </c>
      <c r="F1325" s="7" t="s">
        <v>504</v>
      </c>
    </row>
    <row r="1326">
      <c r="A1326" s="5" t="s">
        <v>2600</v>
      </c>
      <c r="B1326" s="8">
        <v>4.0</v>
      </c>
      <c r="C1326" s="7" t="s">
        <v>314</v>
      </c>
      <c r="D1326" s="7" t="s">
        <v>524</v>
      </c>
      <c r="E1326" s="5" t="s">
        <v>525</v>
      </c>
      <c r="F1326" s="5" t="s">
        <v>271</v>
      </c>
    </row>
    <row r="1327">
      <c r="A1327" s="5" t="s">
        <v>2602</v>
      </c>
      <c r="B1327" s="8">
        <v>4.0</v>
      </c>
      <c r="C1327" s="7" t="s">
        <v>314</v>
      </c>
      <c r="D1327" s="7" t="s">
        <v>524</v>
      </c>
      <c r="E1327" s="5" t="s">
        <v>525</v>
      </c>
      <c r="F1327" s="5" t="s">
        <v>2879</v>
      </c>
    </row>
    <row r="1328">
      <c r="A1328" s="5" t="s">
        <v>2603</v>
      </c>
      <c r="B1328" s="8">
        <v>4.0</v>
      </c>
      <c r="C1328" s="7" t="s">
        <v>314</v>
      </c>
      <c r="D1328" s="7" t="s">
        <v>524</v>
      </c>
      <c r="E1328" s="5" t="s">
        <v>525</v>
      </c>
      <c r="F1328" s="5" t="s">
        <v>2867</v>
      </c>
    </row>
    <row r="1329">
      <c r="A1329" s="5" t="s">
        <v>2604</v>
      </c>
      <c r="B1329" s="8">
        <v>4.0</v>
      </c>
      <c r="C1329" s="7" t="s">
        <v>314</v>
      </c>
      <c r="D1329" s="7" t="s">
        <v>524</v>
      </c>
      <c r="E1329" s="5" t="s">
        <v>525</v>
      </c>
      <c r="F1329" s="5" t="s">
        <v>2743</v>
      </c>
    </row>
    <row r="1330">
      <c r="A1330" s="5" t="s">
        <v>2605</v>
      </c>
      <c r="B1330" s="8">
        <v>4.0</v>
      </c>
      <c r="C1330" s="7" t="s">
        <v>314</v>
      </c>
      <c r="D1330" s="7" t="s">
        <v>524</v>
      </c>
      <c r="E1330" s="5" t="s">
        <v>525</v>
      </c>
      <c r="F1330" s="5" t="s">
        <v>2806</v>
      </c>
    </row>
    <row r="1331">
      <c r="A1331" s="5" t="s">
        <v>2606</v>
      </c>
      <c r="B1331" s="8">
        <v>4.0</v>
      </c>
      <c r="C1331" s="7" t="s">
        <v>314</v>
      </c>
      <c r="D1331" s="7" t="s">
        <v>524</v>
      </c>
      <c r="E1331" s="5" t="s">
        <v>525</v>
      </c>
      <c r="F1331" s="5" t="s">
        <v>2743</v>
      </c>
    </row>
    <row r="1332">
      <c r="A1332" s="5" t="s">
        <v>2607</v>
      </c>
      <c r="B1332" s="8">
        <v>4.0</v>
      </c>
      <c r="C1332" s="7" t="s">
        <v>314</v>
      </c>
      <c r="D1332" s="7" t="s">
        <v>524</v>
      </c>
      <c r="E1332" s="5" t="s">
        <v>525</v>
      </c>
      <c r="F1332" s="5" t="s">
        <v>2743</v>
      </c>
    </row>
    <row r="1333">
      <c r="A1333" s="5" t="s">
        <v>2614</v>
      </c>
      <c r="B1333" s="8">
        <v>4.0</v>
      </c>
      <c r="C1333" s="7" t="s">
        <v>314</v>
      </c>
      <c r="D1333" s="7" t="s">
        <v>524</v>
      </c>
      <c r="E1333" s="5" t="s">
        <v>525</v>
      </c>
      <c r="F1333" s="5" t="s">
        <v>2743</v>
      </c>
    </row>
    <row r="1334">
      <c r="A1334" s="5" t="s">
        <v>2608</v>
      </c>
      <c r="B1334" s="8">
        <v>4.0</v>
      </c>
      <c r="C1334" s="7" t="s">
        <v>314</v>
      </c>
      <c r="D1334" s="7" t="s">
        <v>524</v>
      </c>
      <c r="E1334" s="5" t="s">
        <v>525</v>
      </c>
      <c r="F1334" s="5" t="s">
        <v>2743</v>
      </c>
    </row>
    <row r="1335">
      <c r="A1335" s="5" t="s">
        <v>2609</v>
      </c>
      <c r="B1335" s="8">
        <v>4.0</v>
      </c>
      <c r="C1335" s="7" t="s">
        <v>314</v>
      </c>
      <c r="D1335" s="7" t="s">
        <v>524</v>
      </c>
      <c r="E1335" s="5" t="s">
        <v>525</v>
      </c>
      <c r="F1335" s="5" t="s">
        <v>2743</v>
      </c>
    </row>
    <row r="1336">
      <c r="A1336" s="7" t="s">
        <v>188</v>
      </c>
      <c r="B1336" s="8">
        <v>4.0</v>
      </c>
      <c r="C1336" s="7" t="s">
        <v>529</v>
      </c>
      <c r="D1336" s="7" t="s">
        <v>530</v>
      </c>
      <c r="E1336" s="5" t="s">
        <v>2880</v>
      </c>
      <c r="F1336" s="5" t="s">
        <v>933</v>
      </c>
    </row>
    <row r="1337">
      <c r="A1337" s="5" t="s">
        <v>2592</v>
      </c>
      <c r="B1337" s="8">
        <v>4.0</v>
      </c>
      <c r="C1337" s="7" t="s">
        <v>529</v>
      </c>
      <c r="D1337" s="7" t="s">
        <v>530</v>
      </c>
      <c r="E1337" s="5" t="s">
        <v>2880</v>
      </c>
      <c r="F1337" s="5" t="s">
        <v>933</v>
      </c>
    </row>
    <row r="1338">
      <c r="A1338" s="5" t="s">
        <v>2796</v>
      </c>
      <c r="B1338" s="8">
        <v>4.0</v>
      </c>
      <c r="C1338" s="7" t="s">
        <v>529</v>
      </c>
      <c r="D1338" s="7" t="s">
        <v>530</v>
      </c>
      <c r="E1338" s="5" t="s">
        <v>2880</v>
      </c>
      <c r="F1338" s="5" t="s">
        <v>933</v>
      </c>
    </row>
    <row r="1339">
      <c r="A1339" s="5" t="s">
        <v>2595</v>
      </c>
      <c r="B1339" s="8">
        <v>4.0</v>
      </c>
      <c r="C1339" s="7" t="s">
        <v>529</v>
      </c>
      <c r="D1339" s="7" t="s">
        <v>530</v>
      </c>
      <c r="E1339" s="5" t="s">
        <v>2880</v>
      </c>
      <c r="F1339" s="5" t="s">
        <v>933</v>
      </c>
    </row>
    <row r="1340">
      <c r="A1340" s="5" t="s">
        <v>2597</v>
      </c>
      <c r="B1340" s="8">
        <v>4.0</v>
      </c>
      <c r="C1340" s="7" t="s">
        <v>529</v>
      </c>
      <c r="D1340" s="7" t="s">
        <v>530</v>
      </c>
      <c r="E1340" s="5" t="s">
        <v>2880</v>
      </c>
      <c r="F1340" s="5" t="s">
        <v>933</v>
      </c>
    </row>
    <row r="1341">
      <c r="A1341" s="7" t="s">
        <v>8</v>
      </c>
      <c r="B1341" s="8">
        <v>4.0</v>
      </c>
      <c r="C1341" s="7" t="s">
        <v>529</v>
      </c>
      <c r="D1341" s="7" t="s">
        <v>530</v>
      </c>
      <c r="E1341" s="5" t="s">
        <v>2880</v>
      </c>
      <c r="F1341" s="5" t="s">
        <v>933</v>
      </c>
    </row>
    <row r="1342">
      <c r="A1342" s="5" t="s">
        <v>2798</v>
      </c>
      <c r="B1342" s="8">
        <v>4.0</v>
      </c>
      <c r="C1342" s="7" t="s">
        <v>529</v>
      </c>
      <c r="D1342" s="7" t="s">
        <v>530</v>
      </c>
      <c r="E1342" s="5" t="s">
        <v>2880</v>
      </c>
      <c r="F1342" s="5" t="s">
        <v>933</v>
      </c>
    </row>
    <row r="1343">
      <c r="A1343" s="5" t="s">
        <v>2702</v>
      </c>
      <c r="B1343" s="8">
        <v>4.0</v>
      </c>
      <c r="C1343" s="7" t="s">
        <v>529</v>
      </c>
      <c r="D1343" s="7" t="s">
        <v>530</v>
      </c>
      <c r="E1343" s="5" t="s">
        <v>2880</v>
      </c>
      <c r="F1343" s="5" t="s">
        <v>933</v>
      </c>
    </row>
    <row r="1344">
      <c r="A1344" s="5" t="s">
        <v>2599</v>
      </c>
      <c r="B1344" s="8">
        <v>4.0</v>
      </c>
      <c r="C1344" s="7" t="s">
        <v>529</v>
      </c>
      <c r="D1344" s="7" t="s">
        <v>530</v>
      </c>
      <c r="E1344" s="5" t="s">
        <v>2880</v>
      </c>
      <c r="F1344" s="5" t="s">
        <v>933</v>
      </c>
    </row>
    <row r="1345">
      <c r="A1345" s="5" t="s">
        <v>2600</v>
      </c>
      <c r="B1345" s="8">
        <v>4.0</v>
      </c>
      <c r="C1345" s="7" t="s">
        <v>529</v>
      </c>
      <c r="D1345" s="7" t="s">
        <v>530</v>
      </c>
      <c r="E1345" s="5" t="s">
        <v>2880</v>
      </c>
      <c r="F1345" s="5" t="s">
        <v>933</v>
      </c>
    </row>
    <row r="1346">
      <c r="A1346" s="5" t="s">
        <v>2602</v>
      </c>
      <c r="B1346" s="8">
        <v>4.0</v>
      </c>
      <c r="C1346" s="7" t="s">
        <v>529</v>
      </c>
      <c r="D1346" s="7" t="s">
        <v>530</v>
      </c>
      <c r="E1346" s="5" t="s">
        <v>2880</v>
      </c>
      <c r="F1346" s="5" t="s">
        <v>933</v>
      </c>
    </row>
    <row r="1347">
      <c r="A1347" s="5" t="s">
        <v>2603</v>
      </c>
      <c r="B1347" s="8">
        <v>4.0</v>
      </c>
      <c r="C1347" s="7" t="s">
        <v>529</v>
      </c>
      <c r="D1347" s="7" t="s">
        <v>530</v>
      </c>
      <c r="E1347" s="5" t="s">
        <v>2880</v>
      </c>
      <c r="F1347" s="5" t="s">
        <v>933</v>
      </c>
    </row>
    <row r="1348">
      <c r="A1348" s="5" t="s">
        <v>2604</v>
      </c>
      <c r="B1348" s="8">
        <v>4.0</v>
      </c>
      <c r="C1348" s="7" t="s">
        <v>529</v>
      </c>
      <c r="D1348" s="7" t="s">
        <v>530</v>
      </c>
      <c r="E1348" s="5" t="s">
        <v>2880</v>
      </c>
      <c r="F1348" s="5" t="s">
        <v>933</v>
      </c>
    </row>
    <row r="1349">
      <c r="A1349" s="5" t="s">
        <v>2605</v>
      </c>
      <c r="B1349" s="8">
        <v>4.0</v>
      </c>
      <c r="C1349" s="7" t="s">
        <v>529</v>
      </c>
      <c r="D1349" s="7" t="s">
        <v>530</v>
      </c>
      <c r="E1349" s="5" t="s">
        <v>2880</v>
      </c>
      <c r="F1349" s="5" t="s">
        <v>933</v>
      </c>
    </row>
    <row r="1350">
      <c r="A1350" s="5" t="s">
        <v>2606</v>
      </c>
      <c r="B1350" s="8">
        <v>4.0</v>
      </c>
      <c r="C1350" s="7" t="s">
        <v>529</v>
      </c>
      <c r="D1350" s="7" t="s">
        <v>530</v>
      </c>
      <c r="E1350" s="5" t="s">
        <v>2880</v>
      </c>
      <c r="F1350" s="5" t="s">
        <v>933</v>
      </c>
    </row>
    <row r="1351">
      <c r="A1351" s="5" t="s">
        <v>2607</v>
      </c>
      <c r="B1351" s="8">
        <v>4.0</v>
      </c>
      <c r="C1351" s="7" t="s">
        <v>529</v>
      </c>
      <c r="D1351" s="7" t="s">
        <v>530</v>
      </c>
      <c r="E1351" s="5" t="s">
        <v>2880</v>
      </c>
      <c r="F1351" s="5" t="s">
        <v>933</v>
      </c>
    </row>
    <row r="1352">
      <c r="A1352" s="5" t="s">
        <v>2614</v>
      </c>
      <c r="B1352" s="8">
        <v>4.0</v>
      </c>
      <c r="C1352" s="7" t="s">
        <v>529</v>
      </c>
      <c r="D1352" s="7" t="s">
        <v>530</v>
      </c>
      <c r="E1352" s="5" t="s">
        <v>2880</v>
      </c>
      <c r="F1352" s="4" t="s">
        <v>933</v>
      </c>
    </row>
    <row r="1353">
      <c r="A1353" s="5" t="s">
        <v>2608</v>
      </c>
      <c r="B1353" s="8">
        <v>4.0</v>
      </c>
      <c r="C1353" s="7" t="s">
        <v>529</v>
      </c>
      <c r="D1353" s="7" t="s">
        <v>530</v>
      </c>
      <c r="E1353" s="5" t="s">
        <v>2880</v>
      </c>
      <c r="F1353" s="5" t="s">
        <v>933</v>
      </c>
    </row>
    <row r="1354">
      <c r="A1354" s="5" t="s">
        <v>2609</v>
      </c>
      <c r="B1354" s="8">
        <v>4.0</v>
      </c>
      <c r="C1354" s="7" t="s">
        <v>529</v>
      </c>
      <c r="D1354" s="7" t="s">
        <v>530</v>
      </c>
      <c r="E1354" s="5" t="s">
        <v>2880</v>
      </c>
      <c r="F1354" s="5" t="s">
        <v>933</v>
      </c>
    </row>
    <row r="1355">
      <c r="A1355" s="7" t="s">
        <v>188</v>
      </c>
      <c r="B1355" s="8">
        <v>4.0</v>
      </c>
      <c r="C1355" s="7" t="s">
        <v>533</v>
      </c>
      <c r="D1355" s="7" t="s">
        <v>534</v>
      </c>
      <c r="E1355" s="5" t="s">
        <v>2881</v>
      </c>
      <c r="F1355" s="5" t="s">
        <v>2882</v>
      </c>
    </row>
    <row r="1356">
      <c r="A1356" s="5" t="s">
        <v>2592</v>
      </c>
      <c r="B1356" s="8">
        <v>4.0</v>
      </c>
      <c r="C1356" s="7" t="s">
        <v>533</v>
      </c>
      <c r="D1356" s="7" t="s">
        <v>534</v>
      </c>
      <c r="E1356" s="5" t="s">
        <v>2881</v>
      </c>
      <c r="F1356" s="5" t="s">
        <v>514</v>
      </c>
    </row>
    <row r="1357">
      <c r="A1357" s="5" t="s">
        <v>2796</v>
      </c>
      <c r="B1357" s="8">
        <v>4.0</v>
      </c>
      <c r="C1357" s="7" t="s">
        <v>533</v>
      </c>
      <c r="D1357" s="7" t="s">
        <v>534</v>
      </c>
      <c r="E1357" s="5" t="s">
        <v>2881</v>
      </c>
      <c r="F1357" s="5" t="s">
        <v>2882</v>
      </c>
    </row>
    <row r="1358">
      <c r="A1358" s="5" t="s">
        <v>2797</v>
      </c>
      <c r="B1358" s="8">
        <v>4.0</v>
      </c>
      <c r="C1358" s="7" t="s">
        <v>533</v>
      </c>
      <c r="D1358" s="7" t="s">
        <v>534</v>
      </c>
      <c r="E1358" s="5" t="s">
        <v>2881</v>
      </c>
      <c r="F1358" s="5" t="s">
        <v>2882</v>
      </c>
    </row>
    <row r="1359">
      <c r="A1359" s="5" t="s">
        <v>2595</v>
      </c>
      <c r="B1359" s="8">
        <v>4.0</v>
      </c>
      <c r="C1359" s="7" t="s">
        <v>533</v>
      </c>
      <c r="D1359" s="7" t="s">
        <v>534</v>
      </c>
      <c r="E1359" s="5" t="s">
        <v>2881</v>
      </c>
      <c r="F1359" s="5" t="s">
        <v>240</v>
      </c>
    </row>
    <row r="1360">
      <c r="A1360" s="5" t="s">
        <v>2597</v>
      </c>
      <c r="B1360" s="8">
        <v>4.0</v>
      </c>
      <c r="C1360" s="7" t="s">
        <v>533</v>
      </c>
      <c r="D1360" s="7" t="s">
        <v>534</v>
      </c>
      <c r="E1360" s="5" t="s">
        <v>2881</v>
      </c>
      <c r="F1360" s="5" t="s">
        <v>240</v>
      </c>
    </row>
    <row r="1361">
      <c r="A1361" s="7" t="s">
        <v>8</v>
      </c>
      <c r="B1361" s="8">
        <v>4.0</v>
      </c>
      <c r="C1361" s="7" t="s">
        <v>533</v>
      </c>
      <c r="D1361" s="7" t="s">
        <v>534</v>
      </c>
      <c r="E1361" s="5" t="s">
        <v>2881</v>
      </c>
      <c r="F1361" s="5" t="s">
        <v>519</v>
      </c>
    </row>
    <row r="1362">
      <c r="A1362" s="5" t="s">
        <v>2798</v>
      </c>
      <c r="B1362" s="8">
        <v>4.0</v>
      </c>
      <c r="C1362" s="7" t="s">
        <v>533</v>
      </c>
      <c r="D1362" s="7" t="s">
        <v>534</v>
      </c>
      <c r="E1362" s="5" t="s">
        <v>2881</v>
      </c>
      <c r="F1362" s="5" t="s">
        <v>520</v>
      </c>
    </row>
    <row r="1363">
      <c r="A1363" s="5" t="s">
        <v>2702</v>
      </c>
      <c r="B1363" s="8">
        <v>4.0</v>
      </c>
      <c r="C1363" s="7" t="s">
        <v>533</v>
      </c>
      <c r="D1363" s="7" t="s">
        <v>534</v>
      </c>
      <c r="E1363" s="5" t="s">
        <v>2881</v>
      </c>
      <c r="F1363" s="5" t="s">
        <v>537</v>
      </c>
    </row>
    <row r="1364">
      <c r="A1364" s="5" t="s">
        <v>2599</v>
      </c>
      <c r="B1364" s="8">
        <v>4.0</v>
      </c>
      <c r="C1364" s="7" t="s">
        <v>533</v>
      </c>
      <c r="D1364" s="7" t="s">
        <v>534</v>
      </c>
      <c r="E1364" s="5" t="s">
        <v>2881</v>
      </c>
      <c r="F1364" s="5" t="s">
        <v>240</v>
      </c>
    </row>
    <row r="1365">
      <c r="A1365" s="5" t="s">
        <v>2600</v>
      </c>
      <c r="B1365" s="8">
        <v>4.0</v>
      </c>
      <c r="C1365" s="7" t="s">
        <v>533</v>
      </c>
      <c r="D1365" s="7" t="s">
        <v>534</v>
      </c>
      <c r="E1365" s="5" t="s">
        <v>2881</v>
      </c>
      <c r="F1365" s="5" t="s">
        <v>537</v>
      </c>
    </row>
    <row r="1366">
      <c r="A1366" s="5" t="s">
        <v>2602</v>
      </c>
      <c r="B1366" s="8">
        <v>4.0</v>
      </c>
      <c r="C1366" s="7" t="s">
        <v>533</v>
      </c>
      <c r="D1366" s="7" t="s">
        <v>534</v>
      </c>
      <c r="E1366" s="5" t="s">
        <v>2881</v>
      </c>
      <c r="F1366" s="4" t="s">
        <v>2883</v>
      </c>
    </row>
    <row r="1367">
      <c r="A1367" s="5" t="s">
        <v>2603</v>
      </c>
      <c r="B1367" s="8">
        <v>4.0</v>
      </c>
      <c r="C1367" s="7" t="s">
        <v>533</v>
      </c>
      <c r="D1367" s="7" t="s">
        <v>534</v>
      </c>
      <c r="E1367" s="5" t="s">
        <v>2881</v>
      </c>
      <c r="F1367" s="5" t="s">
        <v>2754</v>
      </c>
    </row>
    <row r="1368">
      <c r="A1368" s="5" t="s">
        <v>2604</v>
      </c>
      <c r="B1368" s="8">
        <v>4.0</v>
      </c>
      <c r="C1368" s="7" t="s">
        <v>533</v>
      </c>
      <c r="D1368" s="7" t="s">
        <v>534</v>
      </c>
      <c r="E1368" s="5" t="s">
        <v>2881</v>
      </c>
      <c r="F1368" s="5" t="s">
        <v>519</v>
      </c>
    </row>
    <row r="1369">
      <c r="A1369" s="5" t="s">
        <v>2605</v>
      </c>
      <c r="B1369" s="8">
        <v>4.0</v>
      </c>
      <c r="C1369" s="7" t="s">
        <v>533</v>
      </c>
      <c r="D1369" s="7" t="s">
        <v>534</v>
      </c>
      <c r="E1369" s="5" t="s">
        <v>2881</v>
      </c>
      <c r="F1369" s="5" t="s">
        <v>2754</v>
      </c>
    </row>
    <row r="1370">
      <c r="A1370" s="5" t="s">
        <v>2606</v>
      </c>
      <c r="B1370" s="8">
        <v>4.0</v>
      </c>
      <c r="C1370" s="7" t="s">
        <v>533</v>
      </c>
      <c r="D1370" s="7" t="s">
        <v>534</v>
      </c>
      <c r="E1370" s="5" t="s">
        <v>2881</v>
      </c>
      <c r="F1370" s="5" t="s">
        <v>2754</v>
      </c>
    </row>
    <row r="1371">
      <c r="A1371" s="5" t="s">
        <v>2607</v>
      </c>
      <c r="B1371" s="8">
        <v>4.0</v>
      </c>
      <c r="C1371" s="7" t="s">
        <v>533</v>
      </c>
      <c r="D1371" s="7" t="s">
        <v>534</v>
      </c>
      <c r="E1371" s="5" t="s">
        <v>2881</v>
      </c>
      <c r="F1371" s="5" t="s">
        <v>240</v>
      </c>
    </row>
    <row r="1372">
      <c r="A1372" s="5" t="s">
        <v>2614</v>
      </c>
      <c r="B1372" s="8">
        <v>4.0</v>
      </c>
      <c r="C1372" s="7" t="s">
        <v>533</v>
      </c>
      <c r="D1372" s="7" t="s">
        <v>534</v>
      </c>
      <c r="E1372" s="5" t="s">
        <v>2881</v>
      </c>
      <c r="F1372" s="5" t="s">
        <v>514</v>
      </c>
    </row>
    <row r="1373">
      <c r="A1373" s="5" t="s">
        <v>2608</v>
      </c>
      <c r="B1373" s="8">
        <v>4.0</v>
      </c>
      <c r="C1373" s="7" t="s">
        <v>533</v>
      </c>
      <c r="D1373" s="7" t="s">
        <v>534</v>
      </c>
      <c r="E1373" s="5" t="s">
        <v>2881</v>
      </c>
      <c r="F1373" s="5" t="s">
        <v>240</v>
      </c>
    </row>
    <row r="1374">
      <c r="A1374" s="5" t="s">
        <v>2609</v>
      </c>
      <c r="B1374" s="8">
        <v>4.0</v>
      </c>
      <c r="C1374" s="7" t="s">
        <v>533</v>
      </c>
      <c r="D1374" s="7" t="s">
        <v>534</v>
      </c>
      <c r="E1374" s="5" t="s">
        <v>2881</v>
      </c>
      <c r="F1374" s="5" t="s">
        <v>2884</v>
      </c>
    </row>
    <row r="1375">
      <c r="A1375" s="7" t="s">
        <v>188</v>
      </c>
      <c r="B1375" s="8">
        <v>4.0</v>
      </c>
      <c r="C1375" s="7" t="s">
        <v>122</v>
      </c>
      <c r="D1375" s="5" t="s">
        <v>2885</v>
      </c>
      <c r="E1375" s="5" t="s">
        <v>2886</v>
      </c>
      <c r="F1375" s="5" t="s">
        <v>2887</v>
      </c>
    </row>
    <row r="1376">
      <c r="A1376" s="5" t="s">
        <v>2592</v>
      </c>
      <c r="B1376" s="8">
        <v>4.0</v>
      </c>
      <c r="C1376" s="7" t="s">
        <v>122</v>
      </c>
      <c r="D1376" s="5" t="s">
        <v>2885</v>
      </c>
      <c r="E1376" s="5" t="s">
        <v>2886</v>
      </c>
      <c r="F1376" s="5" t="s">
        <v>2821</v>
      </c>
    </row>
    <row r="1377">
      <c r="A1377" s="5" t="s">
        <v>2796</v>
      </c>
      <c r="B1377" s="8">
        <v>4.0</v>
      </c>
      <c r="C1377" s="7" t="s">
        <v>122</v>
      </c>
      <c r="D1377" s="5" t="s">
        <v>2885</v>
      </c>
      <c r="E1377" s="5" t="s">
        <v>2886</v>
      </c>
      <c r="F1377" s="5" t="s">
        <v>2888</v>
      </c>
    </row>
    <row r="1378">
      <c r="A1378" s="5" t="s">
        <v>2797</v>
      </c>
      <c r="B1378" s="8">
        <v>4.0</v>
      </c>
      <c r="C1378" s="7" t="s">
        <v>122</v>
      </c>
      <c r="D1378" s="5" t="s">
        <v>2885</v>
      </c>
      <c r="E1378" s="5" t="s">
        <v>2886</v>
      </c>
      <c r="F1378" s="7" t="s">
        <v>323</v>
      </c>
    </row>
    <row r="1379">
      <c r="A1379" s="5" t="s">
        <v>2595</v>
      </c>
      <c r="B1379" s="8">
        <v>4.0</v>
      </c>
      <c r="C1379" s="7" t="s">
        <v>122</v>
      </c>
      <c r="D1379" s="5" t="s">
        <v>2885</v>
      </c>
      <c r="E1379" s="5" t="s">
        <v>2886</v>
      </c>
      <c r="F1379" s="5" t="s">
        <v>2889</v>
      </c>
    </row>
    <row r="1380">
      <c r="A1380" s="5" t="s">
        <v>2597</v>
      </c>
      <c r="B1380" s="8">
        <v>4.0</v>
      </c>
      <c r="C1380" s="7" t="s">
        <v>122</v>
      </c>
      <c r="D1380" s="5" t="s">
        <v>2885</v>
      </c>
      <c r="E1380" s="5" t="s">
        <v>2886</v>
      </c>
      <c r="F1380" s="5" t="s">
        <v>2890</v>
      </c>
    </row>
    <row r="1381">
      <c r="A1381" s="7" t="s">
        <v>8</v>
      </c>
      <c r="B1381" s="8">
        <v>4.0</v>
      </c>
      <c r="C1381" s="7" t="s">
        <v>122</v>
      </c>
      <c r="D1381" s="5" t="s">
        <v>2885</v>
      </c>
      <c r="E1381" s="5" t="s">
        <v>2886</v>
      </c>
      <c r="F1381" s="5" t="s">
        <v>2663</v>
      </c>
    </row>
    <row r="1382">
      <c r="A1382" s="5" t="s">
        <v>2798</v>
      </c>
      <c r="B1382" s="8">
        <v>4.0</v>
      </c>
      <c r="C1382" s="7" t="s">
        <v>122</v>
      </c>
      <c r="D1382" s="5" t="s">
        <v>2885</v>
      </c>
      <c r="E1382" s="5" t="s">
        <v>2886</v>
      </c>
      <c r="F1382" s="5" t="s">
        <v>2891</v>
      </c>
    </row>
    <row r="1383">
      <c r="A1383" s="5" t="s">
        <v>2702</v>
      </c>
      <c r="B1383" s="8">
        <v>4.0</v>
      </c>
      <c r="C1383" s="7" t="s">
        <v>122</v>
      </c>
      <c r="D1383" s="5" t="s">
        <v>2885</v>
      </c>
      <c r="E1383" s="5" t="s">
        <v>2886</v>
      </c>
      <c r="F1383" s="5" t="s">
        <v>2892</v>
      </c>
    </row>
    <row r="1384">
      <c r="A1384" s="5" t="s">
        <v>2599</v>
      </c>
      <c r="B1384" s="8">
        <v>4.0</v>
      </c>
      <c r="C1384" s="7" t="s">
        <v>122</v>
      </c>
      <c r="D1384" s="5" t="s">
        <v>2885</v>
      </c>
      <c r="E1384" s="5" t="s">
        <v>2886</v>
      </c>
      <c r="F1384" s="5" t="s">
        <v>2893</v>
      </c>
    </row>
    <row r="1385">
      <c r="A1385" s="5" t="s">
        <v>2600</v>
      </c>
      <c r="B1385" s="8">
        <v>4.0</v>
      </c>
      <c r="C1385" s="7" t="s">
        <v>122</v>
      </c>
      <c r="D1385" s="5" t="s">
        <v>2885</v>
      </c>
      <c r="E1385" s="5" t="s">
        <v>2886</v>
      </c>
      <c r="F1385" s="5" t="s">
        <v>2894</v>
      </c>
    </row>
    <row r="1386">
      <c r="A1386" s="5" t="s">
        <v>2602</v>
      </c>
      <c r="B1386" s="8">
        <v>4.0</v>
      </c>
      <c r="C1386" s="7" t="s">
        <v>122</v>
      </c>
      <c r="D1386" s="5" t="s">
        <v>2885</v>
      </c>
      <c r="E1386" s="5" t="s">
        <v>2886</v>
      </c>
      <c r="F1386" s="5" t="s">
        <v>2763</v>
      </c>
    </row>
    <row r="1387">
      <c r="A1387" s="5" t="s">
        <v>2603</v>
      </c>
      <c r="B1387" s="8">
        <v>4.0</v>
      </c>
      <c r="C1387" s="7" t="s">
        <v>122</v>
      </c>
      <c r="D1387" s="5" t="s">
        <v>2885</v>
      </c>
      <c r="E1387" s="5" t="s">
        <v>2886</v>
      </c>
      <c r="F1387" s="5" t="s">
        <v>2764</v>
      </c>
    </row>
    <row r="1388">
      <c r="A1388" s="5" t="s">
        <v>2604</v>
      </c>
      <c r="B1388" s="8">
        <v>4.0</v>
      </c>
      <c r="C1388" s="7" t="s">
        <v>122</v>
      </c>
      <c r="D1388" s="5" t="s">
        <v>2885</v>
      </c>
      <c r="E1388" s="5" t="s">
        <v>2886</v>
      </c>
      <c r="F1388" s="5" t="s">
        <v>2895</v>
      </c>
    </row>
    <row r="1389">
      <c r="A1389" s="5" t="s">
        <v>2605</v>
      </c>
      <c r="B1389" s="8">
        <v>4.0</v>
      </c>
      <c r="C1389" s="7" t="s">
        <v>122</v>
      </c>
      <c r="D1389" s="5" t="s">
        <v>2885</v>
      </c>
      <c r="E1389" s="5" t="s">
        <v>2886</v>
      </c>
      <c r="F1389" s="5" t="s">
        <v>2896</v>
      </c>
    </row>
    <row r="1390">
      <c r="A1390" s="5" t="s">
        <v>2606</v>
      </c>
      <c r="B1390" s="8">
        <v>4.0</v>
      </c>
      <c r="C1390" s="7" t="s">
        <v>122</v>
      </c>
      <c r="D1390" s="5" t="s">
        <v>2885</v>
      </c>
      <c r="E1390" s="5" t="s">
        <v>2886</v>
      </c>
      <c r="F1390" s="5" t="s">
        <v>2897</v>
      </c>
    </row>
    <row r="1391">
      <c r="A1391" s="5" t="s">
        <v>2607</v>
      </c>
      <c r="B1391" s="8">
        <v>4.0</v>
      </c>
      <c r="C1391" s="7" t="s">
        <v>122</v>
      </c>
      <c r="D1391" s="5" t="s">
        <v>2885</v>
      </c>
      <c r="E1391" s="5" t="s">
        <v>2886</v>
      </c>
      <c r="F1391" s="7" t="s">
        <v>555</v>
      </c>
    </row>
    <row r="1392">
      <c r="A1392" s="5" t="s">
        <v>2614</v>
      </c>
      <c r="B1392" s="8">
        <v>4.0</v>
      </c>
      <c r="C1392" s="7" t="s">
        <v>122</v>
      </c>
      <c r="D1392" s="5" t="s">
        <v>2885</v>
      </c>
      <c r="E1392" s="5" t="s">
        <v>2886</v>
      </c>
      <c r="F1392" s="7" t="s">
        <v>556</v>
      </c>
    </row>
    <row r="1393">
      <c r="A1393" s="5" t="s">
        <v>2608</v>
      </c>
      <c r="B1393" s="8">
        <v>4.0</v>
      </c>
      <c r="C1393" s="7" t="s">
        <v>122</v>
      </c>
      <c r="D1393" s="5" t="s">
        <v>2885</v>
      </c>
      <c r="E1393" s="5" t="s">
        <v>2886</v>
      </c>
      <c r="F1393" s="5" t="s">
        <v>2898</v>
      </c>
    </row>
    <row r="1394">
      <c r="A1394" s="5" t="s">
        <v>2609</v>
      </c>
      <c r="B1394" s="8">
        <v>4.0</v>
      </c>
      <c r="C1394" s="7" t="s">
        <v>122</v>
      </c>
      <c r="D1394" s="5" t="s">
        <v>2885</v>
      </c>
      <c r="E1394" s="5" t="s">
        <v>2886</v>
      </c>
      <c r="F1394" s="5" t="s">
        <v>2899</v>
      </c>
    </row>
    <row r="1395">
      <c r="A1395" s="7" t="s">
        <v>188</v>
      </c>
      <c r="B1395" s="8">
        <v>4.0</v>
      </c>
      <c r="C1395" s="7" t="s">
        <v>139</v>
      </c>
      <c r="D1395" s="7" t="s">
        <v>559</v>
      </c>
      <c r="E1395" s="5" t="s">
        <v>2900</v>
      </c>
      <c r="F1395" s="5" t="s">
        <v>2671</v>
      </c>
    </row>
    <row r="1396">
      <c r="A1396" s="5" t="s">
        <v>2592</v>
      </c>
      <c r="B1396" s="8">
        <v>4.0</v>
      </c>
      <c r="C1396" s="7" t="s">
        <v>139</v>
      </c>
      <c r="D1396" s="7" t="s">
        <v>559</v>
      </c>
      <c r="E1396" s="5" t="s">
        <v>2900</v>
      </c>
      <c r="F1396" s="5" t="s">
        <v>2735</v>
      </c>
    </row>
    <row r="1397">
      <c r="A1397" s="5" t="s">
        <v>2796</v>
      </c>
      <c r="B1397" s="8">
        <v>4.0</v>
      </c>
      <c r="C1397" s="7" t="s">
        <v>139</v>
      </c>
      <c r="D1397" s="7" t="s">
        <v>559</v>
      </c>
      <c r="E1397" s="5" t="s">
        <v>2900</v>
      </c>
      <c r="F1397" s="5" t="s">
        <v>2671</v>
      </c>
    </row>
    <row r="1398">
      <c r="A1398" s="5" t="s">
        <v>2797</v>
      </c>
      <c r="B1398" s="8">
        <v>4.0</v>
      </c>
      <c r="C1398" s="7" t="s">
        <v>139</v>
      </c>
      <c r="D1398" s="7" t="s">
        <v>559</v>
      </c>
      <c r="E1398" s="5" t="s">
        <v>2900</v>
      </c>
      <c r="F1398" s="5" t="s">
        <v>2671</v>
      </c>
    </row>
    <row r="1399">
      <c r="A1399" s="5" t="s">
        <v>2595</v>
      </c>
      <c r="B1399" s="8">
        <v>4.0</v>
      </c>
      <c r="C1399" s="7" t="s">
        <v>139</v>
      </c>
      <c r="D1399" s="7" t="s">
        <v>559</v>
      </c>
      <c r="E1399" s="5" t="s">
        <v>2900</v>
      </c>
      <c r="F1399" s="5" t="s">
        <v>2670</v>
      </c>
    </row>
    <row r="1400">
      <c r="A1400" s="5" t="s">
        <v>2597</v>
      </c>
      <c r="B1400" s="8">
        <v>4.0</v>
      </c>
      <c r="C1400" s="7" t="s">
        <v>139</v>
      </c>
      <c r="D1400" s="7" t="s">
        <v>559</v>
      </c>
      <c r="E1400" s="5" t="s">
        <v>2900</v>
      </c>
      <c r="F1400" s="5" t="s">
        <v>2890</v>
      </c>
    </row>
    <row r="1401">
      <c r="A1401" s="7" t="s">
        <v>8</v>
      </c>
      <c r="B1401" s="8">
        <v>4.0</v>
      </c>
      <c r="C1401" s="7" t="s">
        <v>139</v>
      </c>
      <c r="D1401" s="7" t="s">
        <v>559</v>
      </c>
      <c r="E1401" s="5" t="s">
        <v>2900</v>
      </c>
      <c r="F1401" s="5" t="s">
        <v>2671</v>
      </c>
    </row>
    <row r="1402">
      <c r="A1402" s="5" t="s">
        <v>2798</v>
      </c>
      <c r="B1402" s="8">
        <v>4.0</v>
      </c>
      <c r="C1402" s="7" t="s">
        <v>139</v>
      </c>
      <c r="D1402" s="7" t="s">
        <v>559</v>
      </c>
      <c r="E1402" s="5" t="s">
        <v>2900</v>
      </c>
      <c r="F1402" s="5" t="s">
        <v>2809</v>
      </c>
    </row>
    <row r="1403">
      <c r="A1403" s="5" t="s">
        <v>2702</v>
      </c>
      <c r="B1403" s="8">
        <v>4.0</v>
      </c>
      <c r="C1403" s="7" t="s">
        <v>139</v>
      </c>
      <c r="D1403" s="7" t="s">
        <v>559</v>
      </c>
      <c r="E1403" s="5" t="s">
        <v>2900</v>
      </c>
      <c r="F1403" s="5" t="s">
        <v>305</v>
      </c>
    </row>
    <row r="1404">
      <c r="A1404" s="5" t="s">
        <v>2599</v>
      </c>
      <c r="B1404" s="8">
        <v>4.0</v>
      </c>
      <c r="C1404" s="7" t="s">
        <v>139</v>
      </c>
      <c r="D1404" s="7" t="s">
        <v>559</v>
      </c>
      <c r="E1404" s="5" t="s">
        <v>2900</v>
      </c>
      <c r="F1404" s="5" t="s">
        <v>2670</v>
      </c>
    </row>
    <row r="1405">
      <c r="A1405" s="5" t="s">
        <v>2600</v>
      </c>
      <c r="B1405" s="8">
        <v>4.0</v>
      </c>
      <c r="C1405" s="7" t="s">
        <v>139</v>
      </c>
      <c r="D1405" s="7" t="s">
        <v>559</v>
      </c>
      <c r="E1405" s="5" t="s">
        <v>2900</v>
      </c>
      <c r="F1405" s="5" t="s">
        <v>305</v>
      </c>
    </row>
    <row r="1406">
      <c r="A1406" s="5" t="s">
        <v>2602</v>
      </c>
      <c r="B1406" s="8">
        <v>4.0</v>
      </c>
      <c r="C1406" s="7" t="s">
        <v>139</v>
      </c>
      <c r="D1406" s="7" t="s">
        <v>559</v>
      </c>
      <c r="E1406" s="5" t="s">
        <v>2900</v>
      </c>
      <c r="F1406" s="5" t="s">
        <v>2810</v>
      </c>
    </row>
    <row r="1407">
      <c r="A1407" s="5" t="s">
        <v>2603</v>
      </c>
      <c r="B1407" s="8">
        <v>4.0</v>
      </c>
      <c r="C1407" s="7" t="s">
        <v>139</v>
      </c>
      <c r="D1407" s="7" t="s">
        <v>559</v>
      </c>
      <c r="E1407" s="5" t="s">
        <v>2900</v>
      </c>
      <c r="F1407" s="5" t="s">
        <v>2770</v>
      </c>
    </row>
    <row r="1408">
      <c r="A1408" s="5" t="s">
        <v>2604</v>
      </c>
      <c r="B1408" s="8">
        <v>4.0</v>
      </c>
      <c r="C1408" s="7" t="s">
        <v>139</v>
      </c>
      <c r="D1408" s="7" t="s">
        <v>559</v>
      </c>
      <c r="E1408" s="5" t="s">
        <v>2900</v>
      </c>
      <c r="F1408" s="5" t="s">
        <v>2671</v>
      </c>
    </row>
    <row r="1409">
      <c r="A1409" s="5" t="s">
        <v>2605</v>
      </c>
      <c r="B1409" s="8">
        <v>4.0</v>
      </c>
      <c r="C1409" s="7" t="s">
        <v>139</v>
      </c>
      <c r="D1409" s="7" t="s">
        <v>559</v>
      </c>
      <c r="E1409" s="5" t="s">
        <v>2900</v>
      </c>
      <c r="F1409" s="5" t="s">
        <v>305</v>
      </c>
    </row>
    <row r="1410">
      <c r="A1410" s="5" t="s">
        <v>2606</v>
      </c>
      <c r="B1410" s="8">
        <v>4.0</v>
      </c>
      <c r="C1410" s="7" t="s">
        <v>139</v>
      </c>
      <c r="D1410" s="7" t="s">
        <v>559</v>
      </c>
      <c r="E1410" s="5" t="s">
        <v>2900</v>
      </c>
      <c r="F1410" s="5" t="s">
        <v>2770</v>
      </c>
    </row>
    <row r="1411">
      <c r="A1411" s="5" t="s">
        <v>2607</v>
      </c>
      <c r="B1411" s="8">
        <v>4.0</v>
      </c>
      <c r="C1411" s="7" t="s">
        <v>139</v>
      </c>
      <c r="D1411" s="7" t="s">
        <v>559</v>
      </c>
      <c r="E1411" s="5" t="s">
        <v>2900</v>
      </c>
      <c r="F1411" s="5" t="s">
        <v>2670</v>
      </c>
    </row>
    <row r="1412">
      <c r="A1412" s="5" t="s">
        <v>2614</v>
      </c>
      <c r="B1412" s="8">
        <v>4.0</v>
      </c>
      <c r="C1412" s="7" t="s">
        <v>139</v>
      </c>
      <c r="D1412" s="7" t="s">
        <v>559</v>
      </c>
      <c r="E1412" s="5" t="s">
        <v>2900</v>
      </c>
      <c r="F1412" s="5" t="s">
        <v>2670</v>
      </c>
    </row>
    <row r="1413">
      <c r="A1413" s="5" t="s">
        <v>2608</v>
      </c>
      <c r="B1413" s="8">
        <v>4.0</v>
      </c>
      <c r="C1413" s="7" t="s">
        <v>139</v>
      </c>
      <c r="D1413" s="7" t="s">
        <v>559</v>
      </c>
      <c r="E1413" s="5" t="s">
        <v>2900</v>
      </c>
      <c r="F1413" s="5" t="s">
        <v>2670</v>
      </c>
    </row>
    <row r="1414">
      <c r="A1414" s="5" t="s">
        <v>2609</v>
      </c>
      <c r="B1414" s="8">
        <v>4.0</v>
      </c>
      <c r="C1414" s="7" t="s">
        <v>139</v>
      </c>
      <c r="D1414" s="7" t="s">
        <v>559</v>
      </c>
      <c r="E1414" s="5" t="s">
        <v>2900</v>
      </c>
      <c r="F1414" s="5" t="s">
        <v>2901</v>
      </c>
    </row>
    <row r="1415">
      <c r="A1415" s="7" t="s">
        <v>188</v>
      </c>
      <c r="B1415" s="8">
        <v>4.0</v>
      </c>
      <c r="C1415" s="7" t="s">
        <v>162</v>
      </c>
      <c r="D1415" s="7" t="s">
        <v>564</v>
      </c>
      <c r="E1415" s="5" t="s">
        <v>2902</v>
      </c>
      <c r="F1415" s="5" t="s">
        <v>358</v>
      </c>
    </row>
    <row r="1416">
      <c r="A1416" s="5" t="s">
        <v>2592</v>
      </c>
      <c r="B1416" s="8">
        <v>4.0</v>
      </c>
      <c r="C1416" s="7" t="s">
        <v>162</v>
      </c>
      <c r="D1416" s="7" t="s">
        <v>564</v>
      </c>
      <c r="E1416" s="5" t="s">
        <v>2902</v>
      </c>
      <c r="F1416" s="5" t="s">
        <v>2903</v>
      </c>
    </row>
    <row r="1417">
      <c r="A1417" s="5" t="s">
        <v>2796</v>
      </c>
      <c r="B1417" s="8">
        <v>4.0</v>
      </c>
      <c r="C1417" s="7" t="s">
        <v>162</v>
      </c>
      <c r="D1417" s="7" t="s">
        <v>564</v>
      </c>
      <c r="E1417" s="5" t="s">
        <v>2902</v>
      </c>
      <c r="F1417" s="5" t="s">
        <v>358</v>
      </c>
    </row>
    <row r="1418">
      <c r="A1418" s="5" t="s">
        <v>2797</v>
      </c>
      <c r="B1418" s="8">
        <v>4.0</v>
      </c>
      <c r="C1418" s="7" t="s">
        <v>162</v>
      </c>
      <c r="D1418" s="7" t="s">
        <v>564</v>
      </c>
      <c r="E1418" s="5" t="s">
        <v>2902</v>
      </c>
      <c r="F1418" s="5" t="s">
        <v>2735</v>
      </c>
    </row>
    <row r="1419">
      <c r="A1419" s="5" t="s">
        <v>2595</v>
      </c>
      <c r="B1419" s="8">
        <v>4.0</v>
      </c>
      <c r="C1419" s="7" t="s">
        <v>162</v>
      </c>
      <c r="D1419" s="7" t="s">
        <v>564</v>
      </c>
      <c r="E1419" s="5" t="s">
        <v>2902</v>
      </c>
      <c r="F1419" s="5" t="s">
        <v>2904</v>
      </c>
    </row>
    <row r="1420">
      <c r="A1420" s="5" t="s">
        <v>2597</v>
      </c>
      <c r="B1420" s="8">
        <v>4.0</v>
      </c>
      <c r="C1420" s="7" t="s">
        <v>162</v>
      </c>
      <c r="D1420" s="7" t="s">
        <v>564</v>
      </c>
      <c r="E1420" s="5" t="s">
        <v>2902</v>
      </c>
      <c r="F1420" s="5" t="s">
        <v>2735</v>
      </c>
    </row>
    <row r="1421">
      <c r="A1421" s="7" t="s">
        <v>8</v>
      </c>
      <c r="B1421" s="8">
        <v>4.0</v>
      </c>
      <c r="C1421" s="7" t="s">
        <v>162</v>
      </c>
      <c r="D1421" s="7" t="s">
        <v>564</v>
      </c>
      <c r="E1421" s="5" t="s">
        <v>2902</v>
      </c>
      <c r="F1421" s="5" t="s">
        <v>2905</v>
      </c>
    </row>
    <row r="1422">
      <c r="A1422" s="5" t="s">
        <v>2798</v>
      </c>
      <c r="B1422" s="8">
        <v>4.0</v>
      </c>
      <c r="C1422" s="7" t="s">
        <v>162</v>
      </c>
      <c r="D1422" s="7" t="s">
        <v>564</v>
      </c>
      <c r="E1422" s="5" t="s">
        <v>2902</v>
      </c>
      <c r="F1422" s="5" t="s">
        <v>2906</v>
      </c>
    </row>
    <row r="1423">
      <c r="A1423" s="5" t="s">
        <v>2702</v>
      </c>
      <c r="B1423" s="8">
        <v>4.0</v>
      </c>
      <c r="C1423" s="7" t="s">
        <v>162</v>
      </c>
      <c r="D1423" s="7" t="s">
        <v>564</v>
      </c>
      <c r="E1423" s="5" t="s">
        <v>2902</v>
      </c>
      <c r="F1423" s="5" t="s">
        <v>2711</v>
      </c>
    </row>
    <row r="1424">
      <c r="A1424" s="5" t="s">
        <v>2599</v>
      </c>
      <c r="B1424" s="8">
        <v>4.0</v>
      </c>
      <c r="C1424" s="7" t="s">
        <v>162</v>
      </c>
      <c r="D1424" s="7" t="s">
        <v>564</v>
      </c>
      <c r="E1424" s="5" t="s">
        <v>2902</v>
      </c>
      <c r="F1424" s="5" t="s">
        <v>2670</v>
      </c>
    </row>
    <row r="1425">
      <c r="A1425" s="5" t="s">
        <v>2600</v>
      </c>
      <c r="B1425" s="8">
        <v>4.0</v>
      </c>
      <c r="C1425" s="7" t="s">
        <v>162</v>
      </c>
      <c r="D1425" s="7" t="s">
        <v>564</v>
      </c>
      <c r="E1425" s="5" t="s">
        <v>2902</v>
      </c>
      <c r="F1425" s="5" t="s">
        <v>2711</v>
      </c>
    </row>
    <row r="1426">
      <c r="A1426" s="5" t="s">
        <v>2602</v>
      </c>
      <c r="B1426" s="8">
        <v>4.0</v>
      </c>
      <c r="C1426" s="7" t="s">
        <v>162</v>
      </c>
      <c r="D1426" s="7" t="s">
        <v>564</v>
      </c>
      <c r="E1426" s="5" t="s">
        <v>2902</v>
      </c>
      <c r="F1426" s="5" t="s">
        <v>2907</v>
      </c>
    </row>
    <row r="1427">
      <c r="A1427" s="5" t="s">
        <v>2603</v>
      </c>
      <c r="B1427" s="8">
        <v>4.0</v>
      </c>
      <c r="C1427" s="7" t="s">
        <v>162</v>
      </c>
      <c r="D1427" s="7" t="s">
        <v>564</v>
      </c>
      <c r="E1427" s="5" t="s">
        <v>2902</v>
      </c>
      <c r="F1427" s="5" t="s">
        <v>2908</v>
      </c>
    </row>
    <row r="1428">
      <c r="A1428" s="5" t="s">
        <v>2604</v>
      </c>
      <c r="B1428" s="8">
        <v>4.0</v>
      </c>
      <c r="C1428" s="7" t="s">
        <v>162</v>
      </c>
      <c r="D1428" s="7" t="s">
        <v>564</v>
      </c>
      <c r="E1428" s="5" t="s">
        <v>2902</v>
      </c>
      <c r="F1428" s="5" t="s">
        <v>2735</v>
      </c>
    </row>
    <row r="1429">
      <c r="A1429" s="5" t="s">
        <v>2605</v>
      </c>
      <c r="B1429" s="8">
        <v>4.0</v>
      </c>
      <c r="C1429" s="7" t="s">
        <v>162</v>
      </c>
      <c r="D1429" s="7" t="s">
        <v>564</v>
      </c>
      <c r="E1429" s="5" t="s">
        <v>2902</v>
      </c>
      <c r="F1429" s="5" t="s">
        <v>2806</v>
      </c>
    </row>
    <row r="1430">
      <c r="A1430" s="5" t="s">
        <v>2606</v>
      </c>
      <c r="B1430" s="8">
        <v>4.0</v>
      </c>
      <c r="C1430" s="7" t="s">
        <v>162</v>
      </c>
      <c r="D1430" s="7" t="s">
        <v>564</v>
      </c>
      <c r="E1430" s="5" t="s">
        <v>2902</v>
      </c>
      <c r="F1430" s="5" t="s">
        <v>2735</v>
      </c>
    </row>
    <row r="1431">
      <c r="A1431" s="5" t="s">
        <v>2607</v>
      </c>
      <c r="B1431" s="8">
        <v>4.0</v>
      </c>
      <c r="C1431" s="7" t="s">
        <v>162</v>
      </c>
      <c r="D1431" s="7" t="s">
        <v>564</v>
      </c>
      <c r="E1431" s="5" t="s">
        <v>2902</v>
      </c>
      <c r="F1431" s="5" t="s">
        <v>2735</v>
      </c>
    </row>
    <row r="1432">
      <c r="A1432" s="5" t="s">
        <v>2614</v>
      </c>
      <c r="B1432" s="8">
        <v>4.0</v>
      </c>
      <c r="C1432" s="7" t="s">
        <v>162</v>
      </c>
      <c r="D1432" s="7" t="s">
        <v>564</v>
      </c>
      <c r="E1432" s="5" t="s">
        <v>2902</v>
      </c>
      <c r="F1432" s="5" t="s">
        <v>2735</v>
      </c>
    </row>
    <row r="1433">
      <c r="A1433" s="5" t="s">
        <v>2608</v>
      </c>
      <c r="B1433" s="8">
        <v>4.0</v>
      </c>
      <c r="C1433" s="7" t="s">
        <v>162</v>
      </c>
      <c r="D1433" s="7" t="s">
        <v>564</v>
      </c>
      <c r="E1433" s="5" t="s">
        <v>2902</v>
      </c>
      <c r="F1433" s="5" t="s">
        <v>2735</v>
      </c>
    </row>
    <row r="1434">
      <c r="A1434" s="5" t="s">
        <v>2609</v>
      </c>
      <c r="B1434" s="8">
        <v>4.0</v>
      </c>
      <c r="C1434" s="7" t="s">
        <v>162</v>
      </c>
      <c r="D1434" s="7" t="s">
        <v>564</v>
      </c>
      <c r="E1434" s="5" t="s">
        <v>2902</v>
      </c>
      <c r="F1434" s="5" t="s">
        <v>2735</v>
      </c>
    </row>
    <row r="1435">
      <c r="A1435" s="7" t="s">
        <v>188</v>
      </c>
      <c r="B1435" s="8">
        <v>4.0</v>
      </c>
      <c r="C1435" s="4" t="s">
        <v>227</v>
      </c>
      <c r="D1435" s="7" t="s">
        <v>573</v>
      </c>
      <c r="E1435" s="5" t="s">
        <v>2909</v>
      </c>
      <c r="F1435" s="7" t="s">
        <v>384</v>
      </c>
    </row>
    <row r="1436">
      <c r="A1436" s="5" t="s">
        <v>2592</v>
      </c>
      <c r="B1436" s="8">
        <v>4.0</v>
      </c>
      <c r="C1436" s="4" t="s">
        <v>227</v>
      </c>
      <c r="D1436" s="7" t="s">
        <v>573</v>
      </c>
      <c r="E1436" s="5" t="s">
        <v>2909</v>
      </c>
      <c r="F1436" s="7" t="s">
        <v>380</v>
      </c>
    </row>
    <row r="1437">
      <c r="A1437" s="5" t="s">
        <v>2796</v>
      </c>
      <c r="B1437" s="8">
        <v>4.0</v>
      </c>
      <c r="C1437" s="4" t="s">
        <v>227</v>
      </c>
      <c r="D1437" s="7" t="s">
        <v>573</v>
      </c>
      <c r="E1437" s="5" t="s">
        <v>2909</v>
      </c>
      <c r="F1437" s="7" t="s">
        <v>384</v>
      </c>
    </row>
    <row r="1438">
      <c r="A1438" s="5" t="s">
        <v>2797</v>
      </c>
      <c r="B1438" s="8">
        <v>4.0</v>
      </c>
      <c r="C1438" s="4" t="s">
        <v>227</v>
      </c>
      <c r="D1438" s="7" t="s">
        <v>573</v>
      </c>
      <c r="E1438" s="5" t="s">
        <v>2909</v>
      </c>
      <c r="F1438" s="7" t="s">
        <v>575</v>
      </c>
    </row>
    <row r="1439">
      <c r="A1439" s="5" t="s">
        <v>2595</v>
      </c>
      <c r="B1439" s="8">
        <v>4.0</v>
      </c>
      <c r="C1439" s="4" t="s">
        <v>227</v>
      </c>
      <c r="D1439" s="7" t="s">
        <v>573</v>
      </c>
      <c r="E1439" s="5" t="s">
        <v>2909</v>
      </c>
      <c r="F1439" s="7" t="s">
        <v>380</v>
      </c>
    </row>
    <row r="1440">
      <c r="A1440" s="5" t="s">
        <v>2597</v>
      </c>
      <c r="B1440" s="8">
        <v>4.0</v>
      </c>
      <c r="C1440" s="4" t="s">
        <v>227</v>
      </c>
      <c r="D1440" s="7" t="s">
        <v>573</v>
      </c>
      <c r="E1440" s="5" t="s">
        <v>2909</v>
      </c>
      <c r="F1440" s="7" t="s">
        <v>384</v>
      </c>
    </row>
    <row r="1441">
      <c r="A1441" s="7" t="s">
        <v>8</v>
      </c>
      <c r="B1441" s="8">
        <v>4.0</v>
      </c>
      <c r="C1441" s="4" t="s">
        <v>227</v>
      </c>
      <c r="D1441" s="7" t="s">
        <v>573</v>
      </c>
      <c r="E1441" s="5" t="s">
        <v>2909</v>
      </c>
      <c r="F1441" s="7" t="s">
        <v>384</v>
      </c>
    </row>
    <row r="1442">
      <c r="A1442" s="5" t="s">
        <v>2798</v>
      </c>
      <c r="B1442" s="8">
        <v>4.0</v>
      </c>
      <c r="C1442" s="4" t="s">
        <v>227</v>
      </c>
      <c r="D1442" s="7" t="s">
        <v>573</v>
      </c>
      <c r="E1442" s="5" t="s">
        <v>2909</v>
      </c>
      <c r="F1442" s="7" t="s">
        <v>385</v>
      </c>
    </row>
    <row r="1443">
      <c r="A1443" s="5" t="s">
        <v>2702</v>
      </c>
      <c r="B1443" s="8">
        <v>4.0</v>
      </c>
      <c r="C1443" s="4" t="s">
        <v>227</v>
      </c>
      <c r="D1443" s="7" t="s">
        <v>573</v>
      </c>
      <c r="E1443" s="5" t="s">
        <v>2909</v>
      </c>
      <c r="F1443" s="7" t="s">
        <v>594</v>
      </c>
    </row>
    <row r="1444">
      <c r="A1444" s="5" t="s">
        <v>2599</v>
      </c>
      <c r="B1444" s="8">
        <v>4.0</v>
      </c>
      <c r="C1444" s="4" t="s">
        <v>227</v>
      </c>
      <c r="D1444" s="7" t="s">
        <v>573</v>
      </c>
      <c r="E1444" s="5" t="s">
        <v>2909</v>
      </c>
      <c r="F1444" s="7" t="s">
        <v>380</v>
      </c>
    </row>
    <row r="1445">
      <c r="A1445" s="5" t="s">
        <v>2600</v>
      </c>
      <c r="B1445" s="8">
        <v>4.0</v>
      </c>
      <c r="C1445" s="4" t="s">
        <v>227</v>
      </c>
      <c r="D1445" s="7" t="s">
        <v>573</v>
      </c>
      <c r="E1445" s="5" t="s">
        <v>2909</v>
      </c>
      <c r="F1445" s="7" t="s">
        <v>384</v>
      </c>
    </row>
    <row r="1446">
      <c r="A1446" s="5" t="s">
        <v>2602</v>
      </c>
      <c r="B1446" s="8">
        <v>4.0</v>
      </c>
      <c r="C1446" s="4" t="s">
        <v>227</v>
      </c>
      <c r="D1446" s="7" t="s">
        <v>573</v>
      </c>
      <c r="E1446" s="5" t="s">
        <v>2909</v>
      </c>
      <c r="F1446" s="7" t="s">
        <v>380</v>
      </c>
    </row>
    <row r="1447">
      <c r="A1447" s="5" t="s">
        <v>2603</v>
      </c>
      <c r="B1447" s="8">
        <v>4.0</v>
      </c>
      <c r="C1447" s="4" t="s">
        <v>227</v>
      </c>
      <c r="D1447" s="7" t="s">
        <v>573</v>
      </c>
      <c r="E1447" s="5" t="s">
        <v>2909</v>
      </c>
      <c r="F1447" s="7" t="s">
        <v>380</v>
      </c>
    </row>
    <row r="1448">
      <c r="A1448" s="5" t="s">
        <v>2604</v>
      </c>
      <c r="B1448" s="8">
        <v>4.0</v>
      </c>
      <c r="C1448" s="4" t="s">
        <v>227</v>
      </c>
      <c r="D1448" s="7" t="s">
        <v>573</v>
      </c>
      <c r="E1448" s="5" t="s">
        <v>2909</v>
      </c>
      <c r="F1448" s="7" t="s">
        <v>384</v>
      </c>
    </row>
    <row r="1449">
      <c r="A1449" s="5" t="s">
        <v>2605</v>
      </c>
      <c r="B1449" s="8">
        <v>4.0</v>
      </c>
      <c r="C1449" s="4" t="s">
        <v>227</v>
      </c>
      <c r="D1449" s="7" t="s">
        <v>573</v>
      </c>
      <c r="E1449" s="5" t="s">
        <v>2909</v>
      </c>
      <c r="F1449" s="7" t="s">
        <v>384</v>
      </c>
    </row>
    <row r="1450">
      <c r="A1450" s="5" t="s">
        <v>2606</v>
      </c>
      <c r="B1450" s="8">
        <v>4.0</v>
      </c>
      <c r="C1450" s="4" t="s">
        <v>227</v>
      </c>
      <c r="D1450" s="7" t="s">
        <v>573</v>
      </c>
      <c r="E1450" s="5" t="s">
        <v>2909</v>
      </c>
      <c r="F1450" s="7" t="s">
        <v>384</v>
      </c>
    </row>
    <row r="1451">
      <c r="A1451" s="5" t="s">
        <v>2607</v>
      </c>
      <c r="B1451" s="8">
        <v>4.0</v>
      </c>
      <c r="C1451" s="4" t="s">
        <v>227</v>
      </c>
      <c r="D1451" s="7" t="s">
        <v>573</v>
      </c>
      <c r="E1451" s="5" t="s">
        <v>2909</v>
      </c>
      <c r="F1451" s="7" t="s">
        <v>385</v>
      </c>
    </row>
    <row r="1452">
      <c r="A1452" s="5" t="s">
        <v>2614</v>
      </c>
      <c r="B1452" s="8">
        <v>4.0</v>
      </c>
      <c r="C1452" s="4" t="s">
        <v>227</v>
      </c>
      <c r="D1452" s="7" t="s">
        <v>573</v>
      </c>
      <c r="E1452" s="5" t="s">
        <v>2909</v>
      </c>
      <c r="F1452" s="7" t="s">
        <v>595</v>
      </c>
    </row>
    <row r="1453">
      <c r="A1453" s="5" t="s">
        <v>2608</v>
      </c>
      <c r="B1453" s="8">
        <v>4.0</v>
      </c>
      <c r="C1453" s="4" t="s">
        <v>227</v>
      </c>
      <c r="D1453" s="7" t="s">
        <v>573</v>
      </c>
      <c r="E1453" s="5" t="s">
        <v>2909</v>
      </c>
      <c r="F1453" s="7" t="s">
        <v>594</v>
      </c>
    </row>
    <row r="1454">
      <c r="A1454" s="5" t="s">
        <v>2609</v>
      </c>
      <c r="B1454" s="8">
        <v>4.0</v>
      </c>
      <c r="C1454" s="4" t="s">
        <v>227</v>
      </c>
      <c r="D1454" s="7" t="s">
        <v>573</v>
      </c>
      <c r="E1454" s="5" t="s">
        <v>2909</v>
      </c>
      <c r="F1454" s="7" t="s">
        <v>594</v>
      </c>
    </row>
    <row r="1455">
      <c r="A1455" s="7" t="s">
        <v>188</v>
      </c>
      <c r="B1455" s="8">
        <v>4.0</v>
      </c>
      <c r="C1455" s="4" t="s">
        <v>362</v>
      </c>
      <c r="D1455" s="5" t="s">
        <v>2910</v>
      </c>
      <c r="E1455" s="5" t="s">
        <v>2911</v>
      </c>
      <c r="F1455" s="5" t="s">
        <v>2741</v>
      </c>
    </row>
    <row r="1456">
      <c r="A1456" s="5" t="s">
        <v>2592</v>
      </c>
      <c r="B1456" s="8">
        <v>4.0</v>
      </c>
      <c r="C1456" s="4" t="s">
        <v>362</v>
      </c>
      <c r="D1456" s="5" t="s">
        <v>2910</v>
      </c>
      <c r="E1456" s="5" t="s">
        <v>2911</v>
      </c>
      <c r="F1456" s="5" t="s">
        <v>350</v>
      </c>
    </row>
    <row r="1457">
      <c r="A1457" s="5" t="s">
        <v>2796</v>
      </c>
      <c r="B1457" s="8">
        <v>4.0</v>
      </c>
      <c r="C1457" s="4" t="s">
        <v>362</v>
      </c>
      <c r="D1457" s="5" t="s">
        <v>2910</v>
      </c>
      <c r="E1457" s="5" t="s">
        <v>2911</v>
      </c>
      <c r="F1457" s="5" t="s">
        <v>2741</v>
      </c>
    </row>
    <row r="1458">
      <c r="A1458" s="5" t="s">
        <v>2797</v>
      </c>
      <c r="B1458" s="8">
        <v>4.0</v>
      </c>
      <c r="C1458" s="4" t="s">
        <v>362</v>
      </c>
      <c r="D1458" s="5" t="s">
        <v>2910</v>
      </c>
      <c r="E1458" s="5" t="s">
        <v>2911</v>
      </c>
      <c r="F1458" s="5" t="s">
        <v>2741</v>
      </c>
    </row>
    <row r="1459">
      <c r="A1459" s="5" t="s">
        <v>2595</v>
      </c>
      <c r="B1459" s="8">
        <v>4.0</v>
      </c>
      <c r="C1459" s="4" t="s">
        <v>362</v>
      </c>
      <c r="D1459" s="5" t="s">
        <v>2910</v>
      </c>
      <c r="E1459" s="5" t="s">
        <v>2911</v>
      </c>
      <c r="F1459" s="5" t="s">
        <v>238</v>
      </c>
    </row>
    <row r="1460">
      <c r="A1460" s="5" t="s">
        <v>2597</v>
      </c>
      <c r="B1460" s="8">
        <v>4.0</v>
      </c>
      <c r="C1460" s="4" t="s">
        <v>362</v>
      </c>
      <c r="D1460" s="5" t="s">
        <v>2910</v>
      </c>
      <c r="E1460" s="5" t="s">
        <v>2911</v>
      </c>
      <c r="F1460" s="5" t="s">
        <v>238</v>
      </c>
    </row>
    <row r="1461">
      <c r="A1461" s="7" t="s">
        <v>8</v>
      </c>
      <c r="B1461" s="8">
        <v>4.0</v>
      </c>
      <c r="C1461" s="4" t="s">
        <v>362</v>
      </c>
      <c r="D1461" s="5" t="s">
        <v>2910</v>
      </c>
      <c r="E1461" s="5" t="s">
        <v>2911</v>
      </c>
      <c r="F1461" s="5" t="s">
        <v>2741</v>
      </c>
    </row>
    <row r="1462">
      <c r="A1462" s="5" t="s">
        <v>2798</v>
      </c>
      <c r="B1462" s="8">
        <v>4.0</v>
      </c>
      <c r="C1462" s="4" t="s">
        <v>362</v>
      </c>
      <c r="D1462" s="5" t="s">
        <v>2910</v>
      </c>
      <c r="E1462" s="5" t="s">
        <v>2911</v>
      </c>
      <c r="F1462" s="5" t="s">
        <v>2861</v>
      </c>
    </row>
    <row r="1463">
      <c r="A1463" s="5" t="s">
        <v>2599</v>
      </c>
      <c r="B1463" s="8">
        <v>4.0</v>
      </c>
      <c r="C1463" s="4" t="s">
        <v>362</v>
      </c>
      <c r="D1463" s="5" t="s">
        <v>2910</v>
      </c>
      <c r="E1463" s="5" t="s">
        <v>2911</v>
      </c>
      <c r="F1463" s="5" t="s">
        <v>238</v>
      </c>
    </row>
    <row r="1464">
      <c r="A1464" s="5" t="s">
        <v>2600</v>
      </c>
      <c r="B1464" s="8">
        <v>4.0</v>
      </c>
      <c r="C1464" s="4" t="s">
        <v>362</v>
      </c>
      <c r="D1464" s="5" t="s">
        <v>2910</v>
      </c>
      <c r="E1464" s="5" t="s">
        <v>2911</v>
      </c>
      <c r="F1464" s="5" t="s">
        <v>2912</v>
      </c>
    </row>
    <row r="1465">
      <c r="A1465" s="5" t="s">
        <v>2602</v>
      </c>
      <c r="B1465" s="8">
        <v>4.0</v>
      </c>
      <c r="C1465" s="4" t="s">
        <v>362</v>
      </c>
      <c r="D1465" s="5" t="s">
        <v>2910</v>
      </c>
      <c r="E1465" s="5" t="s">
        <v>2911</v>
      </c>
      <c r="F1465" s="5" t="s">
        <v>2862</v>
      </c>
    </row>
    <row r="1466">
      <c r="A1466" s="5" t="s">
        <v>2603</v>
      </c>
      <c r="B1466" s="8">
        <v>4.0</v>
      </c>
      <c r="C1466" s="4" t="s">
        <v>362</v>
      </c>
      <c r="D1466" s="5" t="s">
        <v>2910</v>
      </c>
      <c r="E1466" s="5" t="s">
        <v>2911</v>
      </c>
      <c r="F1466" s="5" t="s">
        <v>2741</v>
      </c>
    </row>
    <row r="1467">
      <c r="A1467" s="5" t="s">
        <v>2604</v>
      </c>
      <c r="B1467" s="8">
        <v>4.0</v>
      </c>
      <c r="C1467" s="4" t="s">
        <v>362</v>
      </c>
      <c r="D1467" s="5" t="s">
        <v>2910</v>
      </c>
      <c r="E1467" s="5" t="s">
        <v>2911</v>
      </c>
      <c r="F1467" s="5" t="s">
        <v>2741</v>
      </c>
    </row>
    <row r="1468">
      <c r="A1468" s="5" t="s">
        <v>2605</v>
      </c>
      <c r="B1468" s="8">
        <v>4.0</v>
      </c>
      <c r="C1468" s="4" t="s">
        <v>362</v>
      </c>
      <c r="D1468" s="5" t="s">
        <v>2910</v>
      </c>
      <c r="E1468" s="5" t="s">
        <v>2911</v>
      </c>
      <c r="F1468" s="5" t="s">
        <v>305</v>
      </c>
    </row>
    <row r="1469">
      <c r="A1469" s="5" t="s">
        <v>2606</v>
      </c>
      <c r="B1469" s="8">
        <v>4.0</v>
      </c>
      <c r="C1469" s="4" t="s">
        <v>362</v>
      </c>
      <c r="D1469" s="5" t="s">
        <v>2910</v>
      </c>
      <c r="E1469" s="5" t="s">
        <v>2911</v>
      </c>
      <c r="F1469" s="5" t="s">
        <v>2913</v>
      </c>
    </row>
    <row r="1470">
      <c r="A1470" s="5" t="s">
        <v>2607</v>
      </c>
      <c r="B1470" s="8">
        <v>4.0</v>
      </c>
      <c r="C1470" s="4" t="s">
        <v>362</v>
      </c>
      <c r="D1470" s="5" t="s">
        <v>2910</v>
      </c>
      <c r="E1470" s="5" t="s">
        <v>2911</v>
      </c>
      <c r="F1470" s="5" t="s">
        <v>238</v>
      </c>
    </row>
    <row r="1471">
      <c r="A1471" s="5" t="s">
        <v>2614</v>
      </c>
      <c r="B1471" s="8">
        <v>4.0</v>
      </c>
      <c r="C1471" s="4" t="s">
        <v>362</v>
      </c>
      <c r="D1471" s="5" t="s">
        <v>2910</v>
      </c>
      <c r="E1471" s="5" t="s">
        <v>2911</v>
      </c>
      <c r="F1471" s="5" t="s">
        <v>238</v>
      </c>
    </row>
    <row r="1472">
      <c r="A1472" s="5" t="s">
        <v>2608</v>
      </c>
      <c r="B1472" s="8">
        <v>4.0</v>
      </c>
      <c r="C1472" s="4" t="s">
        <v>362</v>
      </c>
      <c r="D1472" s="5" t="s">
        <v>2910</v>
      </c>
      <c r="E1472" s="5" t="s">
        <v>2911</v>
      </c>
      <c r="F1472" s="5" t="s">
        <v>238</v>
      </c>
    </row>
    <row r="1473">
      <c r="A1473" s="5" t="s">
        <v>2609</v>
      </c>
      <c r="B1473" s="8">
        <v>4.0</v>
      </c>
      <c r="C1473" s="4" t="s">
        <v>362</v>
      </c>
      <c r="D1473" s="5" t="s">
        <v>2910</v>
      </c>
      <c r="E1473" s="5" t="s">
        <v>2911</v>
      </c>
      <c r="F1473" s="5" t="s">
        <v>2863</v>
      </c>
    </row>
    <row r="1474">
      <c r="A1474" s="7" t="s">
        <v>188</v>
      </c>
      <c r="B1474" s="8">
        <v>4.0</v>
      </c>
      <c r="C1474" s="7" t="s">
        <v>347</v>
      </c>
      <c r="D1474" s="5" t="s">
        <v>2914</v>
      </c>
      <c r="E1474" s="5" t="s">
        <v>2915</v>
      </c>
      <c r="F1474" s="5" t="s">
        <v>337</v>
      </c>
    </row>
    <row r="1475">
      <c r="A1475" s="5" t="s">
        <v>2592</v>
      </c>
      <c r="B1475" s="8">
        <v>4.0</v>
      </c>
      <c r="C1475" s="7" t="s">
        <v>347</v>
      </c>
      <c r="D1475" s="5" t="s">
        <v>2914</v>
      </c>
      <c r="E1475" s="5" t="s">
        <v>2915</v>
      </c>
      <c r="F1475" s="5" t="s">
        <v>350</v>
      </c>
    </row>
    <row r="1476">
      <c r="A1476" s="5" t="s">
        <v>2796</v>
      </c>
      <c r="B1476" s="8">
        <v>4.0</v>
      </c>
      <c r="C1476" s="7" t="s">
        <v>347</v>
      </c>
      <c r="D1476" s="5" t="s">
        <v>2914</v>
      </c>
      <c r="E1476" s="5" t="s">
        <v>2915</v>
      </c>
      <c r="F1476" s="5" t="s">
        <v>337</v>
      </c>
    </row>
    <row r="1477">
      <c r="A1477" s="5" t="s">
        <v>2797</v>
      </c>
      <c r="B1477" s="8">
        <v>4.0</v>
      </c>
      <c r="C1477" s="7" t="s">
        <v>347</v>
      </c>
      <c r="D1477" s="5" t="s">
        <v>2914</v>
      </c>
      <c r="E1477" s="5" t="s">
        <v>2915</v>
      </c>
      <c r="F1477" s="5" t="s">
        <v>2741</v>
      </c>
    </row>
    <row r="1478">
      <c r="A1478" s="5" t="s">
        <v>2595</v>
      </c>
      <c r="B1478" s="8">
        <v>4.0</v>
      </c>
      <c r="C1478" s="7" t="s">
        <v>347</v>
      </c>
      <c r="D1478" s="5" t="s">
        <v>2914</v>
      </c>
      <c r="E1478" s="5" t="s">
        <v>2915</v>
      </c>
      <c r="F1478" s="5" t="s">
        <v>238</v>
      </c>
    </row>
    <row r="1479">
      <c r="A1479" s="5" t="s">
        <v>2597</v>
      </c>
      <c r="B1479" s="8">
        <v>4.0</v>
      </c>
      <c r="C1479" s="7" t="s">
        <v>347</v>
      </c>
      <c r="D1479" s="5" t="s">
        <v>2914</v>
      </c>
      <c r="E1479" s="5" t="s">
        <v>2915</v>
      </c>
      <c r="F1479" s="5" t="s">
        <v>238</v>
      </c>
    </row>
    <row r="1480">
      <c r="A1480" s="7" t="s">
        <v>8</v>
      </c>
      <c r="B1480" s="8">
        <v>4.0</v>
      </c>
      <c r="C1480" s="7" t="s">
        <v>347</v>
      </c>
      <c r="D1480" s="5" t="s">
        <v>2914</v>
      </c>
      <c r="E1480" s="5" t="s">
        <v>2915</v>
      </c>
      <c r="F1480" s="5" t="s">
        <v>2741</v>
      </c>
    </row>
    <row r="1481">
      <c r="A1481" s="5" t="s">
        <v>2798</v>
      </c>
      <c r="B1481" s="8">
        <v>4.0</v>
      </c>
      <c r="C1481" s="7" t="s">
        <v>347</v>
      </c>
      <c r="D1481" s="5" t="s">
        <v>2914</v>
      </c>
      <c r="E1481" s="5" t="s">
        <v>2915</v>
      </c>
      <c r="F1481" s="5" t="s">
        <v>2861</v>
      </c>
    </row>
    <row r="1482">
      <c r="A1482" s="5" t="s">
        <v>2702</v>
      </c>
      <c r="B1482" s="8">
        <v>4.0</v>
      </c>
      <c r="C1482" s="7" t="s">
        <v>347</v>
      </c>
      <c r="D1482" s="5" t="s">
        <v>2914</v>
      </c>
      <c r="E1482" s="5" t="s">
        <v>2915</v>
      </c>
      <c r="F1482" s="5" t="s">
        <v>2912</v>
      </c>
    </row>
    <row r="1483">
      <c r="A1483" s="5" t="s">
        <v>2599</v>
      </c>
      <c r="B1483" s="8">
        <v>4.0</v>
      </c>
      <c r="C1483" s="7" t="s">
        <v>347</v>
      </c>
      <c r="D1483" s="5" t="s">
        <v>2914</v>
      </c>
      <c r="E1483" s="5" t="s">
        <v>2915</v>
      </c>
      <c r="F1483" s="5" t="s">
        <v>238</v>
      </c>
    </row>
    <row r="1484">
      <c r="A1484" s="5" t="s">
        <v>2600</v>
      </c>
      <c r="B1484" s="8">
        <v>4.0</v>
      </c>
      <c r="C1484" s="7" t="s">
        <v>347</v>
      </c>
      <c r="D1484" s="5" t="s">
        <v>2914</v>
      </c>
      <c r="E1484" s="5" t="s">
        <v>2915</v>
      </c>
      <c r="F1484" s="5" t="s">
        <v>2912</v>
      </c>
    </row>
    <row r="1485">
      <c r="A1485" s="5" t="s">
        <v>2602</v>
      </c>
      <c r="B1485" s="8">
        <v>4.0</v>
      </c>
      <c r="C1485" s="7" t="s">
        <v>347</v>
      </c>
      <c r="D1485" s="5" t="s">
        <v>2914</v>
      </c>
      <c r="E1485" s="5" t="s">
        <v>2915</v>
      </c>
      <c r="F1485" s="5" t="s">
        <v>2862</v>
      </c>
    </row>
    <row r="1486">
      <c r="A1486" s="5" t="s">
        <v>2603</v>
      </c>
      <c r="B1486" s="8">
        <v>4.0</v>
      </c>
      <c r="C1486" s="7" t="s">
        <v>347</v>
      </c>
      <c r="D1486" s="5" t="s">
        <v>2914</v>
      </c>
      <c r="E1486" s="5" t="s">
        <v>2915</v>
      </c>
      <c r="F1486" s="5" t="s">
        <v>2741</v>
      </c>
    </row>
    <row r="1487">
      <c r="A1487" s="5" t="s">
        <v>2604</v>
      </c>
      <c r="B1487" s="8">
        <v>4.0</v>
      </c>
      <c r="C1487" s="7" t="s">
        <v>347</v>
      </c>
      <c r="D1487" s="5" t="s">
        <v>2914</v>
      </c>
      <c r="E1487" s="5" t="s">
        <v>2915</v>
      </c>
      <c r="F1487" s="5" t="s">
        <v>2741</v>
      </c>
    </row>
    <row r="1488">
      <c r="A1488" s="5" t="s">
        <v>2605</v>
      </c>
      <c r="B1488" s="8">
        <v>4.0</v>
      </c>
      <c r="C1488" s="7" t="s">
        <v>347</v>
      </c>
      <c r="D1488" s="5" t="s">
        <v>2914</v>
      </c>
      <c r="E1488" s="5" t="s">
        <v>2915</v>
      </c>
      <c r="F1488" s="5" t="s">
        <v>305</v>
      </c>
    </row>
    <row r="1489">
      <c r="A1489" s="5" t="s">
        <v>2606</v>
      </c>
      <c r="B1489" s="8">
        <v>4.0</v>
      </c>
      <c r="C1489" s="7" t="s">
        <v>347</v>
      </c>
      <c r="D1489" s="5" t="s">
        <v>2914</v>
      </c>
      <c r="E1489" s="5" t="s">
        <v>2915</v>
      </c>
      <c r="F1489" s="5" t="s">
        <v>2754</v>
      </c>
    </row>
    <row r="1490">
      <c r="A1490" s="5" t="s">
        <v>2607</v>
      </c>
      <c r="B1490" s="8">
        <v>4.0</v>
      </c>
      <c r="C1490" s="7" t="s">
        <v>347</v>
      </c>
      <c r="D1490" s="5" t="s">
        <v>2914</v>
      </c>
      <c r="E1490" s="5" t="s">
        <v>2915</v>
      </c>
      <c r="F1490" s="5" t="s">
        <v>238</v>
      </c>
    </row>
    <row r="1491">
      <c r="A1491" s="5" t="s">
        <v>2614</v>
      </c>
      <c r="B1491" s="8">
        <v>4.0</v>
      </c>
      <c r="C1491" s="7" t="s">
        <v>347</v>
      </c>
      <c r="D1491" s="5" t="s">
        <v>2914</v>
      </c>
      <c r="E1491" s="5" t="s">
        <v>2915</v>
      </c>
      <c r="F1491" s="5" t="s">
        <v>238</v>
      </c>
    </row>
    <row r="1492">
      <c r="A1492" s="5" t="s">
        <v>2608</v>
      </c>
      <c r="B1492" s="8">
        <v>4.0</v>
      </c>
      <c r="C1492" s="7" t="s">
        <v>347</v>
      </c>
      <c r="D1492" s="5" t="s">
        <v>2914</v>
      </c>
      <c r="E1492" s="5" t="s">
        <v>2915</v>
      </c>
      <c r="F1492" s="5" t="s">
        <v>238</v>
      </c>
    </row>
    <row r="1493">
      <c r="A1493" s="5" t="s">
        <v>2609</v>
      </c>
      <c r="B1493" s="8">
        <v>4.0</v>
      </c>
      <c r="C1493" s="7" t="s">
        <v>347</v>
      </c>
      <c r="D1493" s="5" t="s">
        <v>2914</v>
      </c>
      <c r="E1493" s="5" t="s">
        <v>2915</v>
      </c>
      <c r="F1493" s="5" t="s">
        <v>2863</v>
      </c>
    </row>
    <row r="1494">
      <c r="A1494" s="7" t="s">
        <v>188</v>
      </c>
      <c r="B1494" s="8">
        <v>4.0</v>
      </c>
      <c r="C1494" s="7" t="s">
        <v>354</v>
      </c>
      <c r="D1494" s="7" t="s">
        <v>582</v>
      </c>
      <c r="E1494" s="5" t="s">
        <v>2916</v>
      </c>
      <c r="F1494" s="5" t="s">
        <v>358</v>
      </c>
    </row>
    <row r="1495">
      <c r="A1495" s="5" t="s">
        <v>2592</v>
      </c>
      <c r="B1495" s="8">
        <v>4.0</v>
      </c>
      <c r="C1495" s="7" t="s">
        <v>354</v>
      </c>
      <c r="D1495" s="7" t="s">
        <v>582</v>
      </c>
      <c r="E1495" s="5" t="s">
        <v>2916</v>
      </c>
      <c r="F1495" s="5" t="s">
        <v>1664</v>
      </c>
    </row>
    <row r="1496">
      <c r="A1496" s="5" t="s">
        <v>2796</v>
      </c>
      <c r="B1496" s="8">
        <v>4.0</v>
      </c>
      <c r="C1496" s="7" t="s">
        <v>354</v>
      </c>
      <c r="D1496" s="7" t="s">
        <v>582</v>
      </c>
      <c r="E1496" s="5" t="s">
        <v>2916</v>
      </c>
      <c r="F1496" s="5" t="s">
        <v>358</v>
      </c>
    </row>
    <row r="1497">
      <c r="A1497" s="5" t="s">
        <v>2797</v>
      </c>
      <c r="B1497" s="8">
        <v>4.0</v>
      </c>
      <c r="C1497" s="7" t="s">
        <v>354</v>
      </c>
      <c r="D1497" s="7" t="s">
        <v>582</v>
      </c>
      <c r="E1497" s="5" t="s">
        <v>2916</v>
      </c>
      <c r="F1497" s="5" t="s">
        <v>1664</v>
      </c>
    </row>
    <row r="1498">
      <c r="A1498" s="5" t="s">
        <v>2595</v>
      </c>
      <c r="B1498" s="8">
        <v>4.0</v>
      </c>
      <c r="C1498" s="7" t="s">
        <v>354</v>
      </c>
      <c r="D1498" s="7" t="s">
        <v>582</v>
      </c>
      <c r="E1498" s="5" t="s">
        <v>2916</v>
      </c>
      <c r="F1498" s="5" t="s">
        <v>2917</v>
      </c>
    </row>
    <row r="1499">
      <c r="A1499" s="5" t="s">
        <v>2597</v>
      </c>
      <c r="B1499" s="8">
        <v>4.0</v>
      </c>
      <c r="C1499" s="7" t="s">
        <v>354</v>
      </c>
      <c r="D1499" s="7" t="s">
        <v>582</v>
      </c>
      <c r="E1499" s="5" t="s">
        <v>2916</v>
      </c>
      <c r="F1499" s="5" t="s">
        <v>1664</v>
      </c>
    </row>
    <row r="1500">
      <c r="A1500" s="7" t="s">
        <v>8</v>
      </c>
      <c r="B1500" s="8">
        <v>4.0</v>
      </c>
      <c r="C1500" s="7" t="s">
        <v>354</v>
      </c>
      <c r="D1500" s="7" t="s">
        <v>582</v>
      </c>
      <c r="E1500" s="5" t="s">
        <v>2916</v>
      </c>
      <c r="F1500" s="7" t="s">
        <v>585</v>
      </c>
    </row>
    <row r="1501">
      <c r="A1501" s="5" t="s">
        <v>2798</v>
      </c>
      <c r="B1501" s="8">
        <v>4.0</v>
      </c>
      <c r="C1501" s="7" t="s">
        <v>354</v>
      </c>
      <c r="D1501" s="7" t="s">
        <v>582</v>
      </c>
      <c r="E1501" s="5" t="s">
        <v>2916</v>
      </c>
      <c r="F1501" s="5" t="s">
        <v>2918</v>
      </c>
    </row>
    <row r="1502">
      <c r="A1502" s="5" t="s">
        <v>2702</v>
      </c>
      <c r="B1502" s="8">
        <v>4.0</v>
      </c>
      <c r="C1502" s="7" t="s">
        <v>354</v>
      </c>
      <c r="D1502" s="7" t="s">
        <v>582</v>
      </c>
      <c r="E1502" s="5" t="s">
        <v>2916</v>
      </c>
      <c r="F1502" s="5" t="s">
        <v>537</v>
      </c>
    </row>
    <row r="1503">
      <c r="A1503" s="5" t="s">
        <v>2599</v>
      </c>
      <c r="B1503" s="8">
        <v>4.0</v>
      </c>
      <c r="C1503" s="7" t="s">
        <v>354</v>
      </c>
      <c r="D1503" s="7" t="s">
        <v>582</v>
      </c>
      <c r="E1503" s="5" t="s">
        <v>2916</v>
      </c>
      <c r="F1503" s="5" t="s">
        <v>2919</v>
      </c>
    </row>
    <row r="1504">
      <c r="A1504" s="5" t="s">
        <v>2600</v>
      </c>
      <c r="B1504" s="8">
        <v>4.0</v>
      </c>
      <c r="C1504" s="7" t="s">
        <v>354</v>
      </c>
      <c r="D1504" s="7" t="s">
        <v>582</v>
      </c>
      <c r="E1504" s="5" t="s">
        <v>2916</v>
      </c>
      <c r="F1504" s="5" t="s">
        <v>537</v>
      </c>
    </row>
    <row r="1505">
      <c r="A1505" s="5" t="s">
        <v>2602</v>
      </c>
      <c r="B1505" s="8">
        <v>4.0</v>
      </c>
      <c r="C1505" s="7" t="s">
        <v>354</v>
      </c>
      <c r="D1505" s="7" t="s">
        <v>582</v>
      </c>
      <c r="E1505" s="5" t="s">
        <v>2916</v>
      </c>
      <c r="F1505" s="5" t="s">
        <v>2920</v>
      </c>
    </row>
    <row r="1506">
      <c r="A1506" s="5" t="s">
        <v>2603</v>
      </c>
      <c r="B1506" s="8">
        <v>4.0</v>
      </c>
      <c r="C1506" s="7" t="s">
        <v>354</v>
      </c>
      <c r="D1506" s="7" t="s">
        <v>582</v>
      </c>
      <c r="E1506" s="5" t="s">
        <v>2916</v>
      </c>
      <c r="F1506" s="5" t="s">
        <v>2921</v>
      </c>
    </row>
    <row r="1507">
      <c r="A1507" s="5" t="s">
        <v>2604</v>
      </c>
      <c r="B1507" s="8">
        <v>4.0</v>
      </c>
      <c r="C1507" s="7" t="s">
        <v>354</v>
      </c>
      <c r="D1507" s="7" t="s">
        <v>582</v>
      </c>
      <c r="E1507" s="5" t="s">
        <v>2916</v>
      </c>
      <c r="F1507" s="5" t="s">
        <v>1664</v>
      </c>
    </row>
    <row r="1508">
      <c r="A1508" s="5" t="s">
        <v>2605</v>
      </c>
      <c r="B1508" s="8">
        <v>4.0</v>
      </c>
      <c r="C1508" s="7" t="s">
        <v>354</v>
      </c>
      <c r="D1508" s="7" t="s">
        <v>582</v>
      </c>
      <c r="E1508" s="5" t="s">
        <v>2916</v>
      </c>
      <c r="F1508" s="5" t="s">
        <v>2806</v>
      </c>
    </row>
    <row r="1509">
      <c r="A1509" s="5" t="s">
        <v>2606</v>
      </c>
      <c r="B1509" s="8">
        <v>4.0</v>
      </c>
      <c r="C1509" s="7" t="s">
        <v>354</v>
      </c>
      <c r="D1509" s="7" t="s">
        <v>582</v>
      </c>
      <c r="E1509" s="5" t="s">
        <v>2916</v>
      </c>
      <c r="F1509" s="5" t="s">
        <v>1664</v>
      </c>
    </row>
    <row r="1510">
      <c r="A1510" s="5" t="s">
        <v>2607</v>
      </c>
      <c r="B1510" s="8">
        <v>4.0</v>
      </c>
      <c r="C1510" s="7" t="s">
        <v>354</v>
      </c>
      <c r="D1510" s="7" t="s">
        <v>582</v>
      </c>
      <c r="E1510" s="5" t="s">
        <v>2916</v>
      </c>
      <c r="F1510" s="5" t="s">
        <v>1664</v>
      </c>
    </row>
    <row r="1511">
      <c r="A1511" s="5" t="s">
        <v>2614</v>
      </c>
      <c r="B1511" s="8">
        <v>4.0</v>
      </c>
      <c r="C1511" s="7" t="s">
        <v>354</v>
      </c>
      <c r="D1511" s="7" t="s">
        <v>582</v>
      </c>
      <c r="E1511" s="5" t="s">
        <v>2916</v>
      </c>
      <c r="F1511" s="5" t="s">
        <v>1664</v>
      </c>
    </row>
    <row r="1512">
      <c r="A1512" s="5" t="s">
        <v>2608</v>
      </c>
      <c r="B1512" s="8">
        <v>4.0</v>
      </c>
      <c r="C1512" s="7" t="s">
        <v>354</v>
      </c>
      <c r="D1512" s="7" t="s">
        <v>582</v>
      </c>
      <c r="E1512" s="5" t="s">
        <v>2916</v>
      </c>
      <c r="F1512" s="5" t="s">
        <v>1664</v>
      </c>
    </row>
    <row r="1513">
      <c r="A1513" s="5" t="s">
        <v>2609</v>
      </c>
      <c r="B1513" s="8">
        <v>4.0</v>
      </c>
      <c r="C1513" s="7" t="s">
        <v>354</v>
      </c>
      <c r="D1513" s="7" t="s">
        <v>582</v>
      </c>
      <c r="E1513" s="5" t="s">
        <v>2916</v>
      </c>
      <c r="F1513" s="5" t="s">
        <v>1664</v>
      </c>
    </row>
    <row r="1514">
      <c r="A1514" s="7" t="s">
        <v>188</v>
      </c>
      <c r="B1514" s="8">
        <v>4.0</v>
      </c>
      <c r="C1514" s="7" t="s">
        <v>590</v>
      </c>
      <c r="D1514" s="7" t="s">
        <v>591</v>
      </c>
      <c r="E1514" s="7" t="s">
        <v>592</v>
      </c>
      <c r="F1514" s="7" t="s">
        <v>65</v>
      </c>
    </row>
    <row r="1515">
      <c r="A1515" s="5" t="s">
        <v>2592</v>
      </c>
      <c r="B1515" s="8">
        <v>4.0</v>
      </c>
      <c r="C1515" s="7" t="s">
        <v>590</v>
      </c>
      <c r="D1515" s="7" t="s">
        <v>591</v>
      </c>
      <c r="E1515" s="7" t="s">
        <v>592</v>
      </c>
      <c r="F1515" s="7" t="s">
        <v>65</v>
      </c>
    </row>
    <row r="1516">
      <c r="A1516" s="5" t="s">
        <v>2796</v>
      </c>
      <c r="B1516" s="8">
        <v>4.0</v>
      </c>
      <c r="C1516" s="7" t="s">
        <v>590</v>
      </c>
      <c r="D1516" s="7" t="s">
        <v>591</v>
      </c>
      <c r="E1516" s="7" t="s">
        <v>592</v>
      </c>
      <c r="F1516" s="7" t="s">
        <v>65</v>
      </c>
    </row>
    <row r="1517">
      <c r="A1517" s="5" t="s">
        <v>2797</v>
      </c>
      <c r="B1517" s="8">
        <v>4.0</v>
      </c>
      <c r="C1517" s="7" t="s">
        <v>590</v>
      </c>
      <c r="D1517" s="7" t="s">
        <v>591</v>
      </c>
      <c r="E1517" s="7" t="s">
        <v>592</v>
      </c>
      <c r="F1517" s="7" t="s">
        <v>232</v>
      </c>
    </row>
    <row r="1518">
      <c r="A1518" s="5" t="s">
        <v>2595</v>
      </c>
      <c r="B1518" s="8">
        <v>4.0</v>
      </c>
      <c r="C1518" s="7" t="s">
        <v>590</v>
      </c>
      <c r="D1518" s="7" t="s">
        <v>591</v>
      </c>
      <c r="E1518" s="7" t="s">
        <v>592</v>
      </c>
      <c r="F1518" s="7" t="s">
        <v>232</v>
      </c>
    </row>
    <row r="1519">
      <c r="A1519" s="5" t="s">
        <v>2597</v>
      </c>
      <c r="B1519" s="8">
        <v>4.0</v>
      </c>
      <c r="C1519" s="7" t="s">
        <v>590</v>
      </c>
      <c r="D1519" s="7" t="s">
        <v>591</v>
      </c>
      <c r="E1519" s="7" t="s">
        <v>592</v>
      </c>
      <c r="F1519" s="7" t="s">
        <v>232</v>
      </c>
    </row>
    <row r="1520">
      <c r="A1520" s="7" t="s">
        <v>8</v>
      </c>
      <c r="B1520" s="8">
        <v>4.0</v>
      </c>
      <c r="C1520" s="7" t="s">
        <v>590</v>
      </c>
      <c r="D1520" s="7" t="s">
        <v>591</v>
      </c>
      <c r="E1520" s="7" t="s">
        <v>592</v>
      </c>
      <c r="F1520" s="7" t="s">
        <v>66</v>
      </c>
    </row>
    <row r="1521">
      <c r="A1521" s="5" t="s">
        <v>2798</v>
      </c>
      <c r="B1521" s="8">
        <v>4.0</v>
      </c>
      <c r="C1521" s="7" t="s">
        <v>590</v>
      </c>
      <c r="D1521" s="7" t="s">
        <v>591</v>
      </c>
      <c r="E1521" s="7" t="s">
        <v>592</v>
      </c>
      <c r="F1521" s="7" t="s">
        <v>232</v>
      </c>
    </row>
    <row r="1522">
      <c r="A1522" s="5" t="s">
        <v>2702</v>
      </c>
      <c r="B1522" s="8">
        <v>4.0</v>
      </c>
      <c r="C1522" s="7" t="s">
        <v>590</v>
      </c>
      <c r="D1522" s="7" t="s">
        <v>591</v>
      </c>
      <c r="E1522" s="7" t="s">
        <v>592</v>
      </c>
      <c r="F1522" s="7" t="s">
        <v>232</v>
      </c>
    </row>
    <row r="1523">
      <c r="A1523" s="5" t="s">
        <v>2599</v>
      </c>
      <c r="B1523" s="8">
        <v>4.0</v>
      </c>
      <c r="C1523" s="7" t="s">
        <v>590</v>
      </c>
      <c r="D1523" s="7" t="s">
        <v>591</v>
      </c>
      <c r="E1523" s="7" t="s">
        <v>592</v>
      </c>
      <c r="F1523" s="7" t="s">
        <v>232</v>
      </c>
    </row>
    <row r="1524">
      <c r="A1524" s="5" t="s">
        <v>2600</v>
      </c>
      <c r="B1524" s="8">
        <v>4.0</v>
      </c>
      <c r="C1524" s="7" t="s">
        <v>590</v>
      </c>
      <c r="D1524" s="7" t="s">
        <v>591</v>
      </c>
      <c r="E1524" s="7" t="s">
        <v>592</v>
      </c>
      <c r="F1524" s="7" t="s">
        <v>232</v>
      </c>
    </row>
    <row r="1525">
      <c r="A1525" s="5" t="s">
        <v>2602</v>
      </c>
      <c r="B1525" s="8">
        <v>4.0</v>
      </c>
      <c r="C1525" s="7" t="s">
        <v>590</v>
      </c>
      <c r="D1525" s="7" t="s">
        <v>591</v>
      </c>
      <c r="E1525" s="7" t="s">
        <v>592</v>
      </c>
      <c r="F1525" s="7" t="s">
        <v>232</v>
      </c>
    </row>
    <row r="1526">
      <c r="A1526" s="5" t="s">
        <v>2603</v>
      </c>
      <c r="B1526" s="8">
        <v>4.0</v>
      </c>
      <c r="C1526" s="7" t="s">
        <v>590</v>
      </c>
      <c r="D1526" s="7" t="s">
        <v>591</v>
      </c>
      <c r="E1526" s="7" t="s">
        <v>592</v>
      </c>
      <c r="F1526" s="7" t="s">
        <v>65</v>
      </c>
    </row>
    <row r="1527">
      <c r="A1527" s="5" t="s">
        <v>2604</v>
      </c>
      <c r="B1527" s="8">
        <v>4.0</v>
      </c>
      <c r="C1527" s="7" t="s">
        <v>590</v>
      </c>
      <c r="D1527" s="7" t="s">
        <v>591</v>
      </c>
      <c r="E1527" s="7" t="s">
        <v>592</v>
      </c>
      <c r="F1527" s="7" t="s">
        <v>232</v>
      </c>
    </row>
    <row r="1528">
      <c r="A1528" s="5" t="s">
        <v>2605</v>
      </c>
      <c r="B1528" s="8">
        <v>4.0</v>
      </c>
      <c r="C1528" s="7" t="s">
        <v>590</v>
      </c>
      <c r="D1528" s="7" t="s">
        <v>591</v>
      </c>
      <c r="E1528" s="7" t="s">
        <v>592</v>
      </c>
      <c r="F1528" s="7" t="s">
        <v>232</v>
      </c>
    </row>
    <row r="1529">
      <c r="A1529" s="5" t="s">
        <v>2606</v>
      </c>
      <c r="B1529" s="8">
        <v>4.0</v>
      </c>
      <c r="C1529" s="7" t="s">
        <v>590</v>
      </c>
      <c r="D1529" s="7" t="s">
        <v>591</v>
      </c>
      <c r="E1529" s="7" t="s">
        <v>592</v>
      </c>
      <c r="F1529" s="7" t="s">
        <v>232</v>
      </c>
    </row>
    <row r="1530">
      <c r="A1530" s="5" t="s">
        <v>2607</v>
      </c>
      <c r="B1530" s="8">
        <v>4.0</v>
      </c>
      <c r="C1530" s="7" t="s">
        <v>590</v>
      </c>
      <c r="D1530" s="7" t="s">
        <v>591</v>
      </c>
      <c r="E1530" s="7" t="s">
        <v>592</v>
      </c>
      <c r="F1530" s="7" t="s">
        <v>232</v>
      </c>
    </row>
    <row r="1531">
      <c r="A1531" s="5" t="s">
        <v>2614</v>
      </c>
      <c r="B1531" s="8">
        <v>4.0</v>
      </c>
      <c r="C1531" s="7" t="s">
        <v>590</v>
      </c>
      <c r="D1531" s="7" t="s">
        <v>591</v>
      </c>
      <c r="E1531" s="7" t="s">
        <v>592</v>
      </c>
      <c r="F1531" s="7" t="s">
        <v>232</v>
      </c>
    </row>
    <row r="1532">
      <c r="A1532" s="5" t="s">
        <v>2608</v>
      </c>
      <c r="B1532" s="8">
        <v>4.0</v>
      </c>
      <c r="C1532" s="7" t="s">
        <v>590</v>
      </c>
      <c r="D1532" s="7" t="s">
        <v>591</v>
      </c>
      <c r="E1532" s="7" t="s">
        <v>592</v>
      </c>
      <c r="F1532" s="7" t="s">
        <v>232</v>
      </c>
    </row>
    <row r="1533">
      <c r="A1533" s="5" t="s">
        <v>2609</v>
      </c>
      <c r="B1533" s="8">
        <v>4.0</v>
      </c>
      <c r="C1533" s="7" t="s">
        <v>590</v>
      </c>
      <c r="D1533" s="7" t="s">
        <v>591</v>
      </c>
      <c r="E1533" s="7" t="s">
        <v>592</v>
      </c>
      <c r="F1533" s="7" t="s">
        <v>232</v>
      </c>
    </row>
    <row r="1534">
      <c r="A1534" s="5" t="s">
        <v>2922</v>
      </c>
      <c r="B1534" s="8" t="s">
        <v>861</v>
      </c>
      <c r="C1534" s="4" t="s">
        <v>193</v>
      </c>
      <c r="D1534" s="7" t="s">
        <v>613</v>
      </c>
      <c r="E1534" s="5" t="s">
        <v>2923</v>
      </c>
      <c r="F1534" s="7" t="s">
        <v>862</v>
      </c>
    </row>
    <row r="1535">
      <c r="A1535" s="5" t="s">
        <v>2924</v>
      </c>
      <c r="B1535" s="8">
        <v>5.0</v>
      </c>
      <c r="C1535" s="4" t="s">
        <v>193</v>
      </c>
      <c r="D1535" s="7" t="s">
        <v>613</v>
      </c>
      <c r="E1535" s="5" t="s">
        <v>2923</v>
      </c>
      <c r="F1535" s="7" t="s">
        <v>863</v>
      </c>
    </row>
    <row r="1536">
      <c r="A1536" s="5" t="s">
        <v>2925</v>
      </c>
      <c r="B1536" s="8">
        <v>5.0</v>
      </c>
      <c r="C1536" s="4" t="s">
        <v>193</v>
      </c>
      <c r="D1536" s="7" t="s">
        <v>613</v>
      </c>
      <c r="E1536" s="5" t="s">
        <v>2923</v>
      </c>
      <c r="F1536" s="7" t="s">
        <v>864</v>
      </c>
    </row>
    <row r="1537">
      <c r="A1537" s="7" t="s">
        <v>599</v>
      </c>
      <c r="B1537" s="8">
        <v>5.0</v>
      </c>
      <c r="C1537" s="4" t="s">
        <v>193</v>
      </c>
      <c r="D1537" s="7" t="s">
        <v>613</v>
      </c>
      <c r="E1537" s="5" t="s">
        <v>2923</v>
      </c>
      <c r="F1537" s="7" t="s">
        <v>862</v>
      </c>
    </row>
    <row r="1538">
      <c r="A1538" s="5" t="s">
        <v>2926</v>
      </c>
      <c r="B1538" s="8">
        <v>5.0</v>
      </c>
      <c r="C1538" s="4" t="s">
        <v>193</v>
      </c>
      <c r="D1538" s="7" t="s">
        <v>613</v>
      </c>
      <c r="E1538" s="5" t="s">
        <v>2923</v>
      </c>
      <c r="F1538" s="7" t="s">
        <v>865</v>
      </c>
    </row>
    <row r="1539">
      <c r="A1539" s="5" t="s">
        <v>2927</v>
      </c>
      <c r="B1539" s="8">
        <v>5.0</v>
      </c>
      <c r="C1539" s="4" t="s">
        <v>193</v>
      </c>
      <c r="D1539" s="7" t="s">
        <v>613</v>
      </c>
      <c r="E1539" s="5" t="s">
        <v>2923</v>
      </c>
      <c r="F1539" s="7" t="s">
        <v>594</v>
      </c>
    </row>
    <row r="1540">
      <c r="A1540" s="5" t="s">
        <v>2928</v>
      </c>
      <c r="B1540" s="8">
        <v>5.0</v>
      </c>
      <c r="C1540" s="4" t="s">
        <v>193</v>
      </c>
      <c r="D1540" s="7" t="s">
        <v>613</v>
      </c>
      <c r="E1540" s="5" t="s">
        <v>2923</v>
      </c>
      <c r="F1540" s="7" t="s">
        <v>384</v>
      </c>
    </row>
    <row r="1541">
      <c r="A1541" s="7" t="s">
        <v>603</v>
      </c>
      <c r="B1541" s="8">
        <v>5.0</v>
      </c>
      <c r="C1541" s="4" t="s">
        <v>193</v>
      </c>
      <c r="D1541" s="7" t="s">
        <v>613</v>
      </c>
      <c r="E1541" s="5" t="s">
        <v>2923</v>
      </c>
      <c r="F1541" s="7" t="s">
        <v>862</v>
      </c>
    </row>
    <row r="1542">
      <c r="A1542" s="5" t="s">
        <v>2929</v>
      </c>
      <c r="B1542" s="8">
        <v>5.0</v>
      </c>
      <c r="C1542" s="4" t="s">
        <v>193</v>
      </c>
      <c r="D1542" s="7" t="s">
        <v>613</v>
      </c>
      <c r="E1542" s="5" t="s">
        <v>2923</v>
      </c>
      <c r="F1542" s="7" t="s">
        <v>864</v>
      </c>
    </row>
    <row r="1543">
      <c r="A1543" s="5" t="s">
        <v>2930</v>
      </c>
      <c r="B1543" s="8">
        <v>5.0</v>
      </c>
      <c r="C1543" s="4" t="s">
        <v>193</v>
      </c>
      <c r="D1543" s="7" t="s">
        <v>613</v>
      </c>
      <c r="E1543" s="5" t="s">
        <v>2923</v>
      </c>
      <c r="F1543" s="7" t="s">
        <v>863</v>
      </c>
    </row>
    <row r="1544">
      <c r="A1544" s="7" t="s">
        <v>606</v>
      </c>
      <c r="B1544" s="8">
        <v>5.0</v>
      </c>
      <c r="C1544" s="4" t="s">
        <v>193</v>
      </c>
      <c r="D1544" s="7" t="s">
        <v>613</v>
      </c>
      <c r="E1544" s="5" t="s">
        <v>2923</v>
      </c>
      <c r="F1544" s="7" t="s">
        <v>864</v>
      </c>
    </row>
    <row r="1545">
      <c r="A1545" s="5" t="s">
        <v>2602</v>
      </c>
      <c r="B1545" s="8">
        <v>5.0</v>
      </c>
      <c r="C1545" s="4" t="s">
        <v>193</v>
      </c>
      <c r="D1545" s="7" t="s">
        <v>613</v>
      </c>
      <c r="E1545" s="5" t="s">
        <v>2923</v>
      </c>
      <c r="F1545" s="7" t="s">
        <v>863</v>
      </c>
    </row>
    <row r="1546">
      <c r="A1546" s="5" t="s">
        <v>2931</v>
      </c>
      <c r="B1546" s="8">
        <v>5.0</v>
      </c>
      <c r="C1546" s="4" t="s">
        <v>193</v>
      </c>
      <c r="D1546" s="7" t="s">
        <v>613</v>
      </c>
      <c r="E1546" s="5" t="s">
        <v>2923</v>
      </c>
      <c r="F1546" s="7" t="s">
        <v>863</v>
      </c>
    </row>
    <row r="1547">
      <c r="A1547" s="5" t="s">
        <v>2932</v>
      </c>
      <c r="B1547" s="8">
        <v>5.0</v>
      </c>
      <c r="C1547" s="4" t="s">
        <v>193</v>
      </c>
      <c r="D1547" s="7" t="s">
        <v>613</v>
      </c>
      <c r="E1547" s="5" t="s">
        <v>2923</v>
      </c>
      <c r="F1547" s="7" t="s">
        <v>864</v>
      </c>
    </row>
    <row r="1548">
      <c r="A1548" s="5" t="s">
        <v>2933</v>
      </c>
      <c r="B1548" s="8">
        <v>5.0</v>
      </c>
      <c r="C1548" s="4" t="s">
        <v>193</v>
      </c>
      <c r="D1548" s="7" t="s">
        <v>613</v>
      </c>
      <c r="E1548" s="5" t="s">
        <v>2923</v>
      </c>
      <c r="F1548" s="7" t="s">
        <v>384</v>
      </c>
    </row>
    <row r="1549">
      <c r="A1549" s="5" t="s">
        <v>2606</v>
      </c>
      <c r="B1549" s="8">
        <v>5.0</v>
      </c>
      <c r="C1549" s="4" t="s">
        <v>193</v>
      </c>
      <c r="D1549" s="7" t="s">
        <v>613</v>
      </c>
      <c r="E1549" s="5" t="s">
        <v>2923</v>
      </c>
      <c r="F1549" s="7" t="s">
        <v>863</v>
      </c>
    </row>
    <row r="1550">
      <c r="A1550" s="5" t="s">
        <v>2934</v>
      </c>
      <c r="B1550" s="8">
        <v>5.0</v>
      </c>
      <c r="C1550" s="4" t="s">
        <v>193</v>
      </c>
      <c r="D1550" s="7" t="s">
        <v>613</v>
      </c>
      <c r="E1550" s="5" t="s">
        <v>2923</v>
      </c>
      <c r="F1550" s="7" t="s">
        <v>865</v>
      </c>
    </row>
    <row r="1551">
      <c r="A1551" s="5" t="s">
        <v>2607</v>
      </c>
      <c r="B1551" s="8">
        <v>5.0</v>
      </c>
      <c r="C1551" s="4" t="s">
        <v>193</v>
      </c>
      <c r="D1551" s="7" t="s">
        <v>613</v>
      </c>
      <c r="E1551" s="5" t="s">
        <v>2923</v>
      </c>
      <c r="F1551" s="7" t="s">
        <v>865</v>
      </c>
    </row>
    <row r="1552">
      <c r="A1552" s="5" t="s">
        <v>2935</v>
      </c>
      <c r="B1552" s="8">
        <v>5.0</v>
      </c>
      <c r="C1552" s="4" t="s">
        <v>193</v>
      </c>
      <c r="D1552" s="7" t="s">
        <v>613</v>
      </c>
      <c r="E1552" s="5" t="s">
        <v>2923</v>
      </c>
      <c r="F1552" s="7" t="s">
        <v>865</v>
      </c>
    </row>
    <row r="1553">
      <c r="A1553" s="5" t="s">
        <v>2936</v>
      </c>
      <c r="B1553" s="8">
        <v>5.0</v>
      </c>
      <c r="C1553" s="4" t="s">
        <v>193</v>
      </c>
      <c r="D1553" s="7" t="s">
        <v>613</v>
      </c>
      <c r="E1553" s="5" t="s">
        <v>2923</v>
      </c>
      <c r="F1553" s="7" t="s">
        <v>864</v>
      </c>
    </row>
    <row r="1554">
      <c r="A1554" s="5" t="s">
        <v>2608</v>
      </c>
      <c r="B1554" s="8">
        <v>5.0</v>
      </c>
      <c r="C1554" s="4" t="s">
        <v>193</v>
      </c>
      <c r="D1554" s="7" t="s">
        <v>613</v>
      </c>
      <c r="E1554" s="5" t="s">
        <v>2923</v>
      </c>
      <c r="F1554" s="7" t="s">
        <v>864</v>
      </c>
    </row>
    <row r="1555">
      <c r="A1555" s="5" t="s">
        <v>2609</v>
      </c>
      <c r="B1555" s="8">
        <v>5.0</v>
      </c>
      <c r="C1555" s="4" t="s">
        <v>193</v>
      </c>
      <c r="D1555" s="7" t="s">
        <v>613</v>
      </c>
      <c r="E1555" s="5" t="s">
        <v>2923</v>
      </c>
      <c r="F1555" s="7" t="s">
        <v>594</v>
      </c>
    </row>
    <row r="1556">
      <c r="A1556" s="5" t="s">
        <v>2922</v>
      </c>
      <c r="B1556" s="8">
        <v>5.0</v>
      </c>
      <c r="C1556" s="4" t="s">
        <v>227</v>
      </c>
      <c r="D1556" s="7" t="s">
        <v>615</v>
      </c>
      <c r="E1556" s="5" t="s">
        <v>2937</v>
      </c>
      <c r="F1556" s="7" t="s">
        <v>862</v>
      </c>
    </row>
    <row r="1557">
      <c r="A1557" s="5" t="s">
        <v>2924</v>
      </c>
      <c r="B1557" s="8">
        <v>5.0</v>
      </c>
      <c r="C1557" s="4" t="s">
        <v>227</v>
      </c>
      <c r="D1557" s="7" t="s">
        <v>615</v>
      </c>
      <c r="E1557" s="5" t="s">
        <v>2937</v>
      </c>
      <c r="F1557" s="7" t="s">
        <v>863</v>
      </c>
    </row>
    <row r="1558">
      <c r="A1558" s="5" t="s">
        <v>2925</v>
      </c>
      <c r="B1558" s="8">
        <v>5.0</v>
      </c>
      <c r="C1558" s="4" t="s">
        <v>227</v>
      </c>
      <c r="D1558" s="7" t="s">
        <v>615</v>
      </c>
      <c r="E1558" s="5" t="s">
        <v>2937</v>
      </c>
      <c r="F1558" s="7" t="s">
        <v>864</v>
      </c>
    </row>
    <row r="1559">
      <c r="A1559" s="7" t="s">
        <v>599</v>
      </c>
      <c r="B1559" s="8">
        <v>5.0</v>
      </c>
      <c r="C1559" s="4" t="s">
        <v>227</v>
      </c>
      <c r="D1559" s="7" t="s">
        <v>615</v>
      </c>
      <c r="E1559" s="5" t="s">
        <v>2937</v>
      </c>
      <c r="F1559" s="7" t="s">
        <v>862</v>
      </c>
    </row>
    <row r="1560">
      <c r="A1560" s="5" t="s">
        <v>2926</v>
      </c>
      <c r="B1560" s="8">
        <v>5.0</v>
      </c>
      <c r="C1560" s="4" t="s">
        <v>227</v>
      </c>
      <c r="D1560" s="7" t="s">
        <v>615</v>
      </c>
      <c r="E1560" s="5" t="s">
        <v>2937</v>
      </c>
      <c r="F1560" s="7" t="s">
        <v>865</v>
      </c>
    </row>
    <row r="1561">
      <c r="A1561" s="5" t="s">
        <v>2927</v>
      </c>
      <c r="B1561" s="8">
        <v>5.0</v>
      </c>
      <c r="C1561" s="4" t="s">
        <v>227</v>
      </c>
      <c r="D1561" s="7" t="s">
        <v>615</v>
      </c>
      <c r="E1561" s="5" t="s">
        <v>2937</v>
      </c>
      <c r="F1561" s="7" t="s">
        <v>594</v>
      </c>
    </row>
    <row r="1562">
      <c r="A1562" s="5" t="s">
        <v>2928</v>
      </c>
      <c r="B1562" s="8">
        <v>5.0</v>
      </c>
      <c r="C1562" s="4" t="s">
        <v>227</v>
      </c>
      <c r="D1562" s="7" t="s">
        <v>615</v>
      </c>
      <c r="E1562" s="5" t="s">
        <v>2937</v>
      </c>
      <c r="F1562" s="7" t="s">
        <v>384</v>
      </c>
    </row>
    <row r="1563">
      <c r="A1563" s="7" t="s">
        <v>603</v>
      </c>
      <c r="B1563" s="8">
        <v>5.0</v>
      </c>
      <c r="C1563" s="4" t="s">
        <v>227</v>
      </c>
      <c r="D1563" s="7" t="s">
        <v>615</v>
      </c>
      <c r="E1563" s="5" t="s">
        <v>2937</v>
      </c>
      <c r="F1563" s="7" t="s">
        <v>862</v>
      </c>
    </row>
    <row r="1564">
      <c r="A1564" s="5" t="s">
        <v>2929</v>
      </c>
      <c r="B1564" s="8">
        <v>5.0</v>
      </c>
      <c r="C1564" s="4" t="s">
        <v>227</v>
      </c>
      <c r="D1564" s="7" t="s">
        <v>615</v>
      </c>
      <c r="E1564" s="5" t="s">
        <v>2937</v>
      </c>
      <c r="F1564" s="7" t="s">
        <v>864</v>
      </c>
    </row>
    <row r="1565">
      <c r="A1565" s="5" t="s">
        <v>2930</v>
      </c>
      <c r="B1565" s="8">
        <v>5.0</v>
      </c>
      <c r="C1565" s="4" t="s">
        <v>227</v>
      </c>
      <c r="D1565" s="7" t="s">
        <v>615</v>
      </c>
      <c r="E1565" s="5" t="s">
        <v>2937</v>
      </c>
      <c r="F1565" s="7" t="s">
        <v>863</v>
      </c>
    </row>
    <row r="1566">
      <c r="A1566" s="7" t="s">
        <v>606</v>
      </c>
      <c r="B1566" s="8">
        <v>5.0</v>
      </c>
      <c r="C1566" s="4" t="s">
        <v>227</v>
      </c>
      <c r="D1566" s="7" t="s">
        <v>615</v>
      </c>
      <c r="E1566" s="5" t="s">
        <v>2937</v>
      </c>
      <c r="F1566" s="7" t="s">
        <v>864</v>
      </c>
    </row>
    <row r="1567">
      <c r="A1567" s="5" t="s">
        <v>2602</v>
      </c>
      <c r="B1567" s="8">
        <v>5.0</v>
      </c>
      <c r="C1567" s="4" t="s">
        <v>227</v>
      </c>
      <c r="D1567" s="7" t="s">
        <v>615</v>
      </c>
      <c r="E1567" s="5" t="s">
        <v>2937</v>
      </c>
      <c r="F1567" s="7" t="s">
        <v>863</v>
      </c>
    </row>
    <row r="1568">
      <c r="A1568" s="5" t="s">
        <v>2931</v>
      </c>
      <c r="B1568" s="8">
        <v>5.0</v>
      </c>
      <c r="C1568" s="4" t="s">
        <v>227</v>
      </c>
      <c r="D1568" s="7" t="s">
        <v>615</v>
      </c>
      <c r="E1568" s="5" t="s">
        <v>2937</v>
      </c>
      <c r="F1568" s="7" t="s">
        <v>863</v>
      </c>
    </row>
    <row r="1569">
      <c r="A1569" s="5" t="s">
        <v>2932</v>
      </c>
      <c r="B1569" s="8">
        <v>5.0</v>
      </c>
      <c r="C1569" s="4" t="s">
        <v>227</v>
      </c>
      <c r="D1569" s="7" t="s">
        <v>615</v>
      </c>
      <c r="E1569" s="5" t="s">
        <v>2937</v>
      </c>
      <c r="F1569" s="7" t="s">
        <v>864</v>
      </c>
    </row>
    <row r="1570">
      <c r="A1570" s="5" t="s">
        <v>2933</v>
      </c>
      <c r="B1570" s="8">
        <v>5.0</v>
      </c>
      <c r="C1570" s="4" t="s">
        <v>227</v>
      </c>
      <c r="D1570" s="7" t="s">
        <v>615</v>
      </c>
      <c r="E1570" s="5" t="s">
        <v>2937</v>
      </c>
      <c r="F1570" s="7" t="s">
        <v>384</v>
      </c>
    </row>
    <row r="1571">
      <c r="A1571" s="5" t="s">
        <v>2606</v>
      </c>
      <c r="B1571" s="8">
        <v>5.0</v>
      </c>
      <c r="C1571" s="4" t="s">
        <v>227</v>
      </c>
      <c r="D1571" s="7" t="s">
        <v>615</v>
      </c>
      <c r="E1571" s="5" t="s">
        <v>2937</v>
      </c>
      <c r="F1571" s="7" t="s">
        <v>863</v>
      </c>
    </row>
    <row r="1572">
      <c r="A1572" s="5" t="s">
        <v>2934</v>
      </c>
      <c r="B1572" s="8">
        <v>5.0</v>
      </c>
      <c r="C1572" s="4" t="s">
        <v>227</v>
      </c>
      <c r="D1572" s="7" t="s">
        <v>615</v>
      </c>
      <c r="E1572" s="5" t="s">
        <v>2937</v>
      </c>
      <c r="F1572" s="7" t="s">
        <v>865</v>
      </c>
    </row>
    <row r="1573">
      <c r="A1573" s="5" t="s">
        <v>2607</v>
      </c>
      <c r="B1573" s="8">
        <v>5.0</v>
      </c>
      <c r="C1573" s="4" t="s">
        <v>227</v>
      </c>
      <c r="D1573" s="7" t="s">
        <v>615</v>
      </c>
      <c r="E1573" s="5" t="s">
        <v>2937</v>
      </c>
      <c r="F1573" s="7" t="s">
        <v>865</v>
      </c>
    </row>
    <row r="1574">
      <c r="A1574" s="5" t="s">
        <v>2935</v>
      </c>
      <c r="B1574" s="8">
        <v>5.0</v>
      </c>
      <c r="C1574" s="4" t="s">
        <v>227</v>
      </c>
      <c r="D1574" s="7" t="s">
        <v>615</v>
      </c>
      <c r="E1574" s="5" t="s">
        <v>2937</v>
      </c>
      <c r="F1574" s="7" t="s">
        <v>865</v>
      </c>
    </row>
    <row r="1575">
      <c r="A1575" s="5" t="s">
        <v>2936</v>
      </c>
      <c r="B1575" s="8">
        <v>5.0</v>
      </c>
      <c r="C1575" s="4" t="s">
        <v>227</v>
      </c>
      <c r="D1575" s="7" t="s">
        <v>615</v>
      </c>
      <c r="E1575" s="5" t="s">
        <v>2937</v>
      </c>
      <c r="F1575" s="7" t="s">
        <v>864</v>
      </c>
    </row>
    <row r="1576">
      <c r="A1576" s="5" t="s">
        <v>2608</v>
      </c>
      <c r="B1576" s="8">
        <v>5.0</v>
      </c>
      <c r="C1576" s="4" t="s">
        <v>227</v>
      </c>
      <c r="D1576" s="7" t="s">
        <v>615</v>
      </c>
      <c r="E1576" s="5" t="s">
        <v>2937</v>
      </c>
      <c r="F1576" s="7" t="s">
        <v>864</v>
      </c>
    </row>
    <row r="1577">
      <c r="A1577" s="5" t="s">
        <v>2609</v>
      </c>
      <c r="B1577" s="8">
        <v>5.0</v>
      </c>
      <c r="C1577" s="4" t="s">
        <v>227</v>
      </c>
      <c r="D1577" s="7" t="s">
        <v>615</v>
      </c>
      <c r="E1577" s="5" t="s">
        <v>2937</v>
      </c>
      <c r="F1577" s="7" t="s">
        <v>594</v>
      </c>
    </row>
    <row r="1578">
      <c r="A1578" s="5" t="s">
        <v>2922</v>
      </c>
      <c r="B1578" s="8">
        <v>5.0</v>
      </c>
      <c r="C1578" s="4" t="s">
        <v>617</v>
      </c>
      <c r="D1578" s="5" t="s">
        <v>191</v>
      </c>
      <c r="E1578" s="5" t="s">
        <v>2938</v>
      </c>
      <c r="F1578" s="7" t="s">
        <v>862</v>
      </c>
    </row>
    <row r="1579">
      <c r="A1579" s="5" t="s">
        <v>2924</v>
      </c>
      <c r="B1579" s="8">
        <v>5.0</v>
      </c>
      <c r="C1579" s="4" t="s">
        <v>617</v>
      </c>
      <c r="D1579" s="5" t="s">
        <v>191</v>
      </c>
      <c r="E1579" s="5" t="s">
        <v>2938</v>
      </c>
      <c r="F1579" s="7" t="s">
        <v>863</v>
      </c>
    </row>
    <row r="1580">
      <c r="A1580" s="5" t="s">
        <v>2925</v>
      </c>
      <c r="B1580" s="8">
        <v>5.0</v>
      </c>
      <c r="C1580" s="4" t="s">
        <v>617</v>
      </c>
      <c r="D1580" s="5" t="s">
        <v>191</v>
      </c>
      <c r="E1580" s="5" t="s">
        <v>2938</v>
      </c>
      <c r="F1580" s="7" t="s">
        <v>864</v>
      </c>
    </row>
    <row r="1581">
      <c r="A1581" s="7" t="s">
        <v>599</v>
      </c>
      <c r="B1581" s="8">
        <v>5.0</v>
      </c>
      <c r="C1581" s="4" t="s">
        <v>617</v>
      </c>
      <c r="D1581" s="5" t="s">
        <v>191</v>
      </c>
      <c r="E1581" s="5" t="s">
        <v>2938</v>
      </c>
      <c r="F1581" s="7" t="s">
        <v>862</v>
      </c>
    </row>
    <row r="1582">
      <c r="A1582" s="5" t="s">
        <v>2926</v>
      </c>
      <c r="B1582" s="8">
        <v>5.0</v>
      </c>
      <c r="C1582" s="4" t="s">
        <v>617</v>
      </c>
      <c r="D1582" s="5" t="s">
        <v>191</v>
      </c>
      <c r="E1582" s="5" t="s">
        <v>2938</v>
      </c>
      <c r="F1582" s="7" t="s">
        <v>865</v>
      </c>
    </row>
    <row r="1583">
      <c r="A1583" s="5" t="s">
        <v>2927</v>
      </c>
      <c r="B1583" s="8">
        <v>5.0</v>
      </c>
      <c r="C1583" s="4" t="s">
        <v>617</v>
      </c>
      <c r="D1583" s="5" t="s">
        <v>191</v>
      </c>
      <c r="E1583" s="5" t="s">
        <v>2938</v>
      </c>
      <c r="F1583" s="7" t="s">
        <v>594</v>
      </c>
    </row>
    <row r="1584">
      <c r="A1584" s="5" t="s">
        <v>2928</v>
      </c>
      <c r="B1584" s="8">
        <v>5.0</v>
      </c>
      <c r="C1584" s="4" t="s">
        <v>617</v>
      </c>
      <c r="D1584" s="5" t="s">
        <v>191</v>
      </c>
      <c r="E1584" s="5" t="s">
        <v>2938</v>
      </c>
      <c r="F1584" s="7" t="s">
        <v>384</v>
      </c>
    </row>
    <row r="1585">
      <c r="A1585" s="7" t="s">
        <v>603</v>
      </c>
      <c r="B1585" s="8">
        <v>5.0</v>
      </c>
      <c r="C1585" s="4" t="s">
        <v>617</v>
      </c>
      <c r="D1585" s="5" t="s">
        <v>191</v>
      </c>
      <c r="E1585" s="5" t="s">
        <v>2938</v>
      </c>
      <c r="F1585" s="7" t="s">
        <v>862</v>
      </c>
    </row>
    <row r="1586">
      <c r="A1586" s="5" t="s">
        <v>2929</v>
      </c>
      <c r="B1586" s="8">
        <v>5.0</v>
      </c>
      <c r="C1586" s="4" t="s">
        <v>617</v>
      </c>
      <c r="D1586" s="5" t="s">
        <v>191</v>
      </c>
      <c r="E1586" s="5" t="s">
        <v>2938</v>
      </c>
      <c r="F1586" s="7" t="s">
        <v>864</v>
      </c>
    </row>
    <row r="1587">
      <c r="A1587" s="5" t="s">
        <v>2930</v>
      </c>
      <c r="B1587" s="8">
        <v>5.0</v>
      </c>
      <c r="C1587" s="4" t="s">
        <v>617</v>
      </c>
      <c r="D1587" s="5" t="s">
        <v>191</v>
      </c>
      <c r="E1587" s="5" t="s">
        <v>2938</v>
      </c>
      <c r="F1587" s="7" t="s">
        <v>863</v>
      </c>
    </row>
    <row r="1588">
      <c r="A1588" s="7" t="s">
        <v>606</v>
      </c>
      <c r="B1588" s="8">
        <v>5.0</v>
      </c>
      <c r="C1588" s="4" t="s">
        <v>617</v>
      </c>
      <c r="D1588" s="5" t="s">
        <v>191</v>
      </c>
      <c r="E1588" s="5" t="s">
        <v>2938</v>
      </c>
      <c r="F1588" s="7" t="s">
        <v>864</v>
      </c>
    </row>
    <row r="1589">
      <c r="A1589" s="5" t="s">
        <v>2602</v>
      </c>
      <c r="B1589" s="8">
        <v>5.0</v>
      </c>
      <c r="C1589" s="4" t="s">
        <v>617</v>
      </c>
      <c r="D1589" s="5" t="s">
        <v>191</v>
      </c>
      <c r="E1589" s="5" t="s">
        <v>2938</v>
      </c>
      <c r="F1589" s="7" t="s">
        <v>863</v>
      </c>
    </row>
    <row r="1590">
      <c r="A1590" s="5" t="s">
        <v>2931</v>
      </c>
      <c r="B1590" s="8">
        <v>5.0</v>
      </c>
      <c r="C1590" s="4" t="s">
        <v>617</v>
      </c>
      <c r="D1590" s="5" t="s">
        <v>191</v>
      </c>
      <c r="E1590" s="5" t="s">
        <v>2938</v>
      </c>
      <c r="F1590" s="7" t="s">
        <v>863</v>
      </c>
    </row>
    <row r="1591">
      <c r="A1591" s="5" t="s">
        <v>2932</v>
      </c>
      <c r="B1591" s="8">
        <v>5.0</v>
      </c>
      <c r="C1591" s="4" t="s">
        <v>617</v>
      </c>
      <c r="D1591" s="5" t="s">
        <v>191</v>
      </c>
      <c r="E1591" s="5" t="s">
        <v>2938</v>
      </c>
      <c r="F1591" s="7" t="s">
        <v>864</v>
      </c>
    </row>
    <row r="1592">
      <c r="A1592" s="5" t="s">
        <v>2933</v>
      </c>
      <c r="B1592" s="8">
        <v>5.0</v>
      </c>
      <c r="C1592" s="4" t="s">
        <v>617</v>
      </c>
      <c r="D1592" s="5" t="s">
        <v>191</v>
      </c>
      <c r="E1592" s="5" t="s">
        <v>2938</v>
      </c>
      <c r="F1592" s="7" t="s">
        <v>384</v>
      </c>
    </row>
    <row r="1593">
      <c r="A1593" s="5" t="s">
        <v>2606</v>
      </c>
      <c r="B1593" s="8">
        <v>5.0</v>
      </c>
      <c r="C1593" s="4" t="s">
        <v>617</v>
      </c>
      <c r="D1593" s="5" t="s">
        <v>191</v>
      </c>
      <c r="E1593" s="5" t="s">
        <v>2938</v>
      </c>
      <c r="F1593" s="7" t="s">
        <v>863</v>
      </c>
    </row>
    <row r="1594">
      <c r="A1594" s="5" t="s">
        <v>2934</v>
      </c>
      <c r="B1594" s="8">
        <v>5.0</v>
      </c>
      <c r="C1594" s="4" t="s">
        <v>617</v>
      </c>
      <c r="D1594" s="5" t="s">
        <v>191</v>
      </c>
      <c r="E1594" s="5" t="s">
        <v>2938</v>
      </c>
      <c r="F1594" s="7" t="s">
        <v>865</v>
      </c>
    </row>
    <row r="1595">
      <c r="A1595" s="5" t="s">
        <v>2607</v>
      </c>
      <c r="B1595" s="8">
        <v>5.0</v>
      </c>
      <c r="C1595" s="4" t="s">
        <v>617</v>
      </c>
      <c r="D1595" s="5" t="s">
        <v>191</v>
      </c>
      <c r="E1595" s="5" t="s">
        <v>2938</v>
      </c>
      <c r="F1595" s="7" t="s">
        <v>865</v>
      </c>
    </row>
    <row r="1596">
      <c r="A1596" s="5" t="s">
        <v>2935</v>
      </c>
      <c r="B1596" s="8">
        <v>5.0</v>
      </c>
      <c r="C1596" s="4" t="s">
        <v>617</v>
      </c>
      <c r="D1596" s="5" t="s">
        <v>191</v>
      </c>
      <c r="E1596" s="5" t="s">
        <v>2938</v>
      </c>
      <c r="F1596" s="7" t="s">
        <v>865</v>
      </c>
    </row>
    <row r="1597">
      <c r="A1597" s="5" t="s">
        <v>2936</v>
      </c>
      <c r="B1597" s="8">
        <v>5.0</v>
      </c>
      <c r="C1597" s="4" t="s">
        <v>617</v>
      </c>
      <c r="D1597" s="5" t="s">
        <v>191</v>
      </c>
      <c r="E1597" s="5" t="s">
        <v>2938</v>
      </c>
      <c r="F1597" s="7" t="s">
        <v>864</v>
      </c>
    </row>
    <row r="1598">
      <c r="A1598" s="5" t="s">
        <v>2608</v>
      </c>
      <c r="B1598" s="8">
        <v>5.0</v>
      </c>
      <c r="C1598" s="4" t="s">
        <v>617</v>
      </c>
      <c r="D1598" s="5" t="s">
        <v>191</v>
      </c>
      <c r="E1598" s="5" t="s">
        <v>2938</v>
      </c>
      <c r="F1598" s="7" t="s">
        <v>864</v>
      </c>
    </row>
    <row r="1599">
      <c r="A1599" s="5" t="s">
        <v>2609</v>
      </c>
      <c r="B1599" s="8">
        <v>5.0</v>
      </c>
      <c r="C1599" s="4" t="s">
        <v>617</v>
      </c>
      <c r="D1599" s="5" t="s">
        <v>191</v>
      </c>
      <c r="E1599" s="5" t="s">
        <v>2938</v>
      </c>
      <c r="F1599" s="7" t="s">
        <v>594</v>
      </c>
    </row>
    <row r="1600">
      <c r="A1600" s="5" t="s">
        <v>2922</v>
      </c>
      <c r="B1600" s="8">
        <v>5.0</v>
      </c>
      <c r="C1600" s="4" t="s">
        <v>619</v>
      </c>
      <c r="D1600" s="7" t="s">
        <v>36</v>
      </c>
      <c r="E1600" s="5" t="s">
        <v>2939</v>
      </c>
      <c r="F1600" s="7" t="s">
        <v>862</v>
      </c>
    </row>
    <row r="1601">
      <c r="A1601" s="5" t="s">
        <v>2924</v>
      </c>
      <c r="B1601" s="8">
        <v>5.0</v>
      </c>
      <c r="C1601" s="4" t="s">
        <v>619</v>
      </c>
      <c r="D1601" s="7" t="s">
        <v>36</v>
      </c>
      <c r="E1601" s="5" t="s">
        <v>2939</v>
      </c>
      <c r="F1601" s="7" t="s">
        <v>863</v>
      </c>
    </row>
    <row r="1602">
      <c r="A1602" s="5" t="s">
        <v>2925</v>
      </c>
      <c r="B1602" s="8">
        <v>5.0</v>
      </c>
      <c r="C1602" s="4" t="s">
        <v>619</v>
      </c>
      <c r="D1602" s="7" t="s">
        <v>36</v>
      </c>
      <c r="E1602" s="5" t="s">
        <v>2939</v>
      </c>
      <c r="F1602" s="7" t="s">
        <v>864</v>
      </c>
    </row>
    <row r="1603">
      <c r="A1603" s="7" t="s">
        <v>599</v>
      </c>
      <c r="B1603" s="8">
        <v>5.0</v>
      </c>
      <c r="C1603" s="4" t="s">
        <v>619</v>
      </c>
      <c r="D1603" s="7" t="s">
        <v>36</v>
      </c>
      <c r="E1603" s="5" t="s">
        <v>2939</v>
      </c>
      <c r="F1603" s="7" t="s">
        <v>862</v>
      </c>
    </row>
    <row r="1604">
      <c r="A1604" s="5" t="s">
        <v>2926</v>
      </c>
      <c r="B1604" s="8">
        <v>5.0</v>
      </c>
      <c r="C1604" s="4" t="s">
        <v>619</v>
      </c>
      <c r="D1604" s="7" t="s">
        <v>36</v>
      </c>
      <c r="E1604" s="5" t="s">
        <v>2939</v>
      </c>
      <c r="F1604" s="7" t="s">
        <v>865</v>
      </c>
    </row>
    <row r="1605">
      <c r="A1605" s="5" t="s">
        <v>2927</v>
      </c>
      <c r="B1605" s="8">
        <v>5.0</v>
      </c>
      <c r="C1605" s="4" t="s">
        <v>619</v>
      </c>
      <c r="D1605" s="7" t="s">
        <v>36</v>
      </c>
      <c r="E1605" s="5" t="s">
        <v>2939</v>
      </c>
      <c r="F1605" s="7" t="s">
        <v>594</v>
      </c>
    </row>
    <row r="1606">
      <c r="A1606" s="5" t="s">
        <v>2928</v>
      </c>
      <c r="B1606" s="8">
        <v>5.0</v>
      </c>
      <c r="C1606" s="4" t="s">
        <v>619</v>
      </c>
      <c r="D1606" s="7" t="s">
        <v>36</v>
      </c>
      <c r="E1606" s="5" t="s">
        <v>2939</v>
      </c>
      <c r="F1606" s="7" t="s">
        <v>384</v>
      </c>
    </row>
    <row r="1607">
      <c r="A1607" s="7" t="s">
        <v>603</v>
      </c>
      <c r="B1607" s="8">
        <v>5.0</v>
      </c>
      <c r="C1607" s="4" t="s">
        <v>619</v>
      </c>
      <c r="D1607" s="7" t="s">
        <v>36</v>
      </c>
      <c r="E1607" s="5" t="s">
        <v>2939</v>
      </c>
      <c r="F1607" s="7" t="s">
        <v>862</v>
      </c>
    </row>
    <row r="1608">
      <c r="A1608" s="5" t="s">
        <v>2929</v>
      </c>
      <c r="B1608" s="8">
        <v>5.0</v>
      </c>
      <c r="C1608" s="4" t="s">
        <v>619</v>
      </c>
      <c r="D1608" s="7" t="s">
        <v>36</v>
      </c>
      <c r="E1608" s="5" t="s">
        <v>2939</v>
      </c>
      <c r="F1608" s="7" t="s">
        <v>864</v>
      </c>
    </row>
    <row r="1609">
      <c r="A1609" s="5" t="s">
        <v>2930</v>
      </c>
      <c r="B1609" s="8">
        <v>5.0</v>
      </c>
      <c r="C1609" s="4" t="s">
        <v>619</v>
      </c>
      <c r="D1609" s="7" t="s">
        <v>36</v>
      </c>
      <c r="E1609" s="5" t="s">
        <v>2939</v>
      </c>
      <c r="F1609" s="7" t="s">
        <v>863</v>
      </c>
    </row>
    <row r="1610">
      <c r="A1610" s="7" t="s">
        <v>606</v>
      </c>
      <c r="B1610" s="8">
        <v>5.0</v>
      </c>
      <c r="C1610" s="4" t="s">
        <v>619</v>
      </c>
      <c r="D1610" s="7" t="s">
        <v>36</v>
      </c>
      <c r="E1610" s="5" t="s">
        <v>2939</v>
      </c>
      <c r="F1610" s="7" t="s">
        <v>864</v>
      </c>
    </row>
    <row r="1611">
      <c r="A1611" s="5" t="s">
        <v>2602</v>
      </c>
      <c r="B1611" s="8">
        <v>5.0</v>
      </c>
      <c r="C1611" s="4" t="s">
        <v>619</v>
      </c>
      <c r="D1611" s="7" t="s">
        <v>36</v>
      </c>
      <c r="E1611" s="5" t="s">
        <v>2939</v>
      </c>
      <c r="F1611" s="7" t="s">
        <v>863</v>
      </c>
    </row>
    <row r="1612">
      <c r="A1612" s="5" t="s">
        <v>2931</v>
      </c>
      <c r="B1612" s="8">
        <v>5.0</v>
      </c>
      <c r="C1612" s="4" t="s">
        <v>619</v>
      </c>
      <c r="D1612" s="7" t="s">
        <v>36</v>
      </c>
      <c r="E1612" s="5" t="s">
        <v>2939</v>
      </c>
      <c r="F1612" s="7" t="s">
        <v>863</v>
      </c>
    </row>
    <row r="1613">
      <c r="A1613" s="5" t="s">
        <v>2932</v>
      </c>
      <c r="B1613" s="8">
        <v>5.0</v>
      </c>
      <c r="C1613" s="4" t="s">
        <v>619</v>
      </c>
      <c r="D1613" s="7" t="s">
        <v>36</v>
      </c>
      <c r="E1613" s="5" t="s">
        <v>2939</v>
      </c>
      <c r="F1613" s="7" t="s">
        <v>864</v>
      </c>
    </row>
    <row r="1614">
      <c r="A1614" s="5" t="s">
        <v>2933</v>
      </c>
      <c r="B1614" s="8">
        <v>5.0</v>
      </c>
      <c r="C1614" s="4" t="s">
        <v>619</v>
      </c>
      <c r="D1614" s="7" t="s">
        <v>36</v>
      </c>
      <c r="E1614" s="5" t="s">
        <v>2939</v>
      </c>
      <c r="F1614" s="7" t="s">
        <v>384</v>
      </c>
    </row>
    <row r="1615">
      <c r="A1615" s="5" t="s">
        <v>2606</v>
      </c>
      <c r="B1615" s="8">
        <v>5.0</v>
      </c>
      <c r="C1615" s="4" t="s">
        <v>619</v>
      </c>
      <c r="D1615" s="7" t="s">
        <v>36</v>
      </c>
      <c r="E1615" s="5" t="s">
        <v>2939</v>
      </c>
      <c r="F1615" s="7" t="s">
        <v>863</v>
      </c>
    </row>
    <row r="1616">
      <c r="A1616" s="5" t="s">
        <v>2934</v>
      </c>
      <c r="B1616" s="8">
        <v>5.0</v>
      </c>
      <c r="C1616" s="4" t="s">
        <v>619</v>
      </c>
      <c r="D1616" s="7" t="s">
        <v>36</v>
      </c>
      <c r="E1616" s="5" t="s">
        <v>2939</v>
      </c>
      <c r="F1616" s="7" t="s">
        <v>865</v>
      </c>
    </row>
    <row r="1617">
      <c r="A1617" s="5" t="s">
        <v>2607</v>
      </c>
      <c r="B1617" s="8">
        <v>5.0</v>
      </c>
      <c r="C1617" s="4" t="s">
        <v>619</v>
      </c>
      <c r="D1617" s="7" t="s">
        <v>36</v>
      </c>
      <c r="E1617" s="5" t="s">
        <v>2939</v>
      </c>
      <c r="F1617" s="7" t="s">
        <v>865</v>
      </c>
    </row>
    <row r="1618">
      <c r="A1618" s="5" t="s">
        <v>2935</v>
      </c>
      <c r="B1618" s="8">
        <v>5.0</v>
      </c>
      <c r="C1618" s="4" t="s">
        <v>619</v>
      </c>
      <c r="D1618" s="7" t="s">
        <v>36</v>
      </c>
      <c r="E1618" s="5" t="s">
        <v>2939</v>
      </c>
      <c r="F1618" s="7" t="s">
        <v>865</v>
      </c>
    </row>
    <row r="1619">
      <c r="A1619" s="5" t="s">
        <v>2936</v>
      </c>
      <c r="B1619" s="8">
        <v>5.0</v>
      </c>
      <c r="C1619" s="4" t="s">
        <v>619</v>
      </c>
      <c r="D1619" s="7" t="s">
        <v>36</v>
      </c>
      <c r="E1619" s="5" t="s">
        <v>2939</v>
      </c>
      <c r="F1619" s="7" t="s">
        <v>864</v>
      </c>
    </row>
    <row r="1620">
      <c r="A1620" s="5" t="s">
        <v>2608</v>
      </c>
      <c r="B1620" s="8">
        <v>5.0</v>
      </c>
      <c r="C1620" s="4" t="s">
        <v>619</v>
      </c>
      <c r="D1620" s="7" t="s">
        <v>36</v>
      </c>
      <c r="E1620" s="5" t="s">
        <v>2939</v>
      </c>
      <c r="F1620" s="7" t="s">
        <v>864</v>
      </c>
    </row>
    <row r="1621">
      <c r="A1621" s="5" t="s">
        <v>2609</v>
      </c>
      <c r="B1621" s="8">
        <v>5.0</v>
      </c>
      <c r="C1621" s="4" t="s">
        <v>619</v>
      </c>
      <c r="D1621" s="7" t="s">
        <v>36</v>
      </c>
      <c r="E1621" s="5" t="s">
        <v>2939</v>
      </c>
      <c r="F1621" s="7" t="s">
        <v>594</v>
      </c>
    </row>
    <row r="1622">
      <c r="A1622" s="5" t="s">
        <v>2922</v>
      </c>
      <c r="B1622" s="8">
        <v>5.0</v>
      </c>
      <c r="C1622" s="4" t="s">
        <v>621</v>
      </c>
      <c r="D1622" s="7" t="s">
        <v>431</v>
      </c>
      <c r="E1622" s="5" t="s">
        <v>2940</v>
      </c>
      <c r="F1622" s="7" t="s">
        <v>862</v>
      </c>
    </row>
    <row r="1623">
      <c r="A1623" s="5" t="s">
        <v>2924</v>
      </c>
      <c r="B1623" s="8">
        <v>5.0</v>
      </c>
      <c r="C1623" s="4" t="s">
        <v>621</v>
      </c>
      <c r="D1623" s="7" t="s">
        <v>431</v>
      </c>
      <c r="E1623" s="5" t="s">
        <v>2940</v>
      </c>
      <c r="F1623" s="7" t="s">
        <v>863</v>
      </c>
    </row>
    <row r="1624">
      <c r="A1624" s="5" t="s">
        <v>2925</v>
      </c>
      <c r="B1624" s="8">
        <v>5.0</v>
      </c>
      <c r="C1624" s="4" t="s">
        <v>621</v>
      </c>
      <c r="D1624" s="7" t="s">
        <v>431</v>
      </c>
      <c r="E1624" s="5" t="s">
        <v>2940</v>
      </c>
      <c r="F1624" s="7" t="s">
        <v>864</v>
      </c>
    </row>
    <row r="1625">
      <c r="A1625" s="7" t="s">
        <v>599</v>
      </c>
      <c r="B1625" s="8">
        <v>5.0</v>
      </c>
      <c r="C1625" s="4" t="s">
        <v>621</v>
      </c>
      <c r="D1625" s="7" t="s">
        <v>431</v>
      </c>
      <c r="E1625" s="5" t="s">
        <v>2940</v>
      </c>
      <c r="F1625" s="7" t="s">
        <v>862</v>
      </c>
    </row>
    <row r="1626">
      <c r="A1626" s="5" t="s">
        <v>2926</v>
      </c>
      <c r="B1626" s="8">
        <v>5.0</v>
      </c>
      <c r="C1626" s="4" t="s">
        <v>621</v>
      </c>
      <c r="D1626" s="7" t="s">
        <v>431</v>
      </c>
      <c r="E1626" s="5" t="s">
        <v>2940</v>
      </c>
      <c r="F1626" s="7" t="s">
        <v>865</v>
      </c>
    </row>
    <row r="1627">
      <c r="A1627" s="5" t="s">
        <v>2927</v>
      </c>
      <c r="B1627" s="8">
        <v>5.0</v>
      </c>
      <c r="C1627" s="4" t="s">
        <v>621</v>
      </c>
      <c r="D1627" s="7" t="s">
        <v>431</v>
      </c>
      <c r="E1627" s="5" t="s">
        <v>2940</v>
      </c>
      <c r="F1627" s="7" t="s">
        <v>594</v>
      </c>
    </row>
    <row r="1628">
      <c r="A1628" s="5" t="s">
        <v>2928</v>
      </c>
      <c r="B1628" s="8">
        <v>5.0</v>
      </c>
      <c r="C1628" s="4" t="s">
        <v>621</v>
      </c>
      <c r="D1628" s="7" t="s">
        <v>431</v>
      </c>
      <c r="E1628" s="5" t="s">
        <v>2940</v>
      </c>
      <c r="F1628" s="7" t="s">
        <v>384</v>
      </c>
    </row>
    <row r="1629">
      <c r="A1629" s="7" t="s">
        <v>603</v>
      </c>
      <c r="B1629" s="8">
        <v>5.0</v>
      </c>
      <c r="C1629" s="4" t="s">
        <v>621</v>
      </c>
      <c r="D1629" s="7" t="s">
        <v>431</v>
      </c>
      <c r="E1629" s="5" t="s">
        <v>2940</v>
      </c>
      <c r="F1629" s="7" t="s">
        <v>862</v>
      </c>
    </row>
    <row r="1630">
      <c r="A1630" s="5" t="s">
        <v>2929</v>
      </c>
      <c r="B1630" s="8">
        <v>5.0</v>
      </c>
      <c r="C1630" s="4" t="s">
        <v>621</v>
      </c>
      <c r="D1630" s="7" t="s">
        <v>431</v>
      </c>
      <c r="E1630" s="5" t="s">
        <v>2940</v>
      </c>
      <c r="F1630" s="7" t="s">
        <v>864</v>
      </c>
    </row>
    <row r="1631">
      <c r="A1631" s="5" t="s">
        <v>2930</v>
      </c>
      <c r="B1631" s="8">
        <v>5.0</v>
      </c>
      <c r="C1631" s="4" t="s">
        <v>621</v>
      </c>
      <c r="D1631" s="7" t="s">
        <v>431</v>
      </c>
      <c r="E1631" s="5" t="s">
        <v>2940</v>
      </c>
      <c r="F1631" s="7" t="s">
        <v>863</v>
      </c>
    </row>
    <row r="1632">
      <c r="A1632" s="7" t="s">
        <v>606</v>
      </c>
      <c r="B1632" s="8">
        <v>5.0</v>
      </c>
      <c r="C1632" s="4" t="s">
        <v>621</v>
      </c>
      <c r="D1632" s="7" t="s">
        <v>431</v>
      </c>
      <c r="E1632" s="5" t="s">
        <v>2940</v>
      </c>
      <c r="F1632" s="7" t="s">
        <v>864</v>
      </c>
    </row>
    <row r="1633">
      <c r="A1633" s="5" t="s">
        <v>2602</v>
      </c>
      <c r="B1633" s="8">
        <v>5.0</v>
      </c>
      <c r="C1633" s="4" t="s">
        <v>621</v>
      </c>
      <c r="D1633" s="7" t="s">
        <v>431</v>
      </c>
      <c r="E1633" s="5" t="s">
        <v>2940</v>
      </c>
      <c r="F1633" s="7" t="s">
        <v>863</v>
      </c>
    </row>
    <row r="1634">
      <c r="A1634" s="5" t="s">
        <v>2931</v>
      </c>
      <c r="B1634" s="8">
        <v>5.0</v>
      </c>
      <c r="C1634" s="4" t="s">
        <v>621</v>
      </c>
      <c r="D1634" s="7" t="s">
        <v>431</v>
      </c>
      <c r="E1634" s="5" t="s">
        <v>2940</v>
      </c>
      <c r="F1634" s="7" t="s">
        <v>863</v>
      </c>
    </row>
    <row r="1635">
      <c r="A1635" s="5" t="s">
        <v>2922</v>
      </c>
      <c r="B1635" s="8">
        <v>5.0</v>
      </c>
      <c r="C1635" s="4" t="s">
        <v>59</v>
      </c>
      <c r="D1635" s="7" t="s">
        <v>623</v>
      </c>
      <c r="E1635" s="5" t="s">
        <v>2941</v>
      </c>
      <c r="F1635" s="7" t="s">
        <v>625</v>
      </c>
    </row>
    <row r="1636">
      <c r="A1636" s="5" t="s">
        <v>2925</v>
      </c>
      <c r="B1636" s="8">
        <v>5.0</v>
      </c>
      <c r="C1636" s="4" t="s">
        <v>59</v>
      </c>
      <c r="D1636" s="7" t="s">
        <v>623</v>
      </c>
      <c r="E1636" s="5" t="s">
        <v>2941</v>
      </c>
      <c r="F1636" s="5" t="s">
        <v>2942</v>
      </c>
    </row>
    <row r="1637">
      <c r="A1637" s="5" t="s">
        <v>2922</v>
      </c>
      <c r="B1637" s="8">
        <v>5.0</v>
      </c>
      <c r="C1637" s="7" t="s">
        <v>437</v>
      </c>
      <c r="D1637" s="7" t="s">
        <v>627</v>
      </c>
      <c r="E1637" s="5" t="s">
        <v>2943</v>
      </c>
      <c r="F1637" s="5" t="s">
        <v>629</v>
      </c>
    </row>
    <row r="1638">
      <c r="A1638" s="5" t="s">
        <v>2924</v>
      </c>
      <c r="B1638" s="8">
        <v>5.0</v>
      </c>
      <c r="C1638" s="7" t="s">
        <v>437</v>
      </c>
      <c r="D1638" s="7" t="s">
        <v>627</v>
      </c>
      <c r="E1638" s="5" t="s">
        <v>2943</v>
      </c>
      <c r="F1638" s="5" t="s">
        <v>629</v>
      </c>
    </row>
    <row r="1639">
      <c r="A1639" s="5" t="s">
        <v>2922</v>
      </c>
      <c r="B1639" s="8">
        <v>5.0</v>
      </c>
      <c r="C1639" s="7" t="s">
        <v>49</v>
      </c>
      <c r="D1639" s="7" t="s">
        <v>631</v>
      </c>
      <c r="E1639" s="5" t="s">
        <v>2944</v>
      </c>
      <c r="F1639" s="5" t="s">
        <v>633</v>
      </c>
    </row>
    <row r="1640">
      <c r="A1640" s="5" t="s">
        <v>2924</v>
      </c>
      <c r="B1640" s="8">
        <v>5.0</v>
      </c>
      <c r="C1640" s="7" t="s">
        <v>49</v>
      </c>
      <c r="D1640" s="7" t="s">
        <v>631</v>
      </c>
      <c r="E1640" s="5" t="s">
        <v>2944</v>
      </c>
      <c r="F1640" s="5" t="s">
        <v>633</v>
      </c>
    </row>
    <row r="1641">
      <c r="A1641" s="5" t="s">
        <v>2925</v>
      </c>
      <c r="B1641" s="8">
        <v>5.0</v>
      </c>
      <c r="C1641" s="7" t="s">
        <v>49</v>
      </c>
      <c r="D1641" s="7" t="s">
        <v>631</v>
      </c>
      <c r="E1641" s="5" t="s">
        <v>2944</v>
      </c>
      <c r="F1641" s="5" t="s">
        <v>2945</v>
      </c>
    </row>
    <row r="1642">
      <c r="A1642" s="5" t="s">
        <v>2922</v>
      </c>
      <c r="B1642" s="8">
        <v>5.0</v>
      </c>
      <c r="C1642" s="7" t="s">
        <v>223</v>
      </c>
      <c r="D1642" s="7" t="s">
        <v>221</v>
      </c>
      <c r="E1642" s="5" t="s">
        <v>2946</v>
      </c>
      <c r="F1642" s="7" t="s">
        <v>65</v>
      </c>
    </row>
    <row r="1643">
      <c r="A1643" s="5" t="s">
        <v>2924</v>
      </c>
      <c r="B1643" s="8">
        <v>5.0</v>
      </c>
      <c r="C1643" s="7" t="s">
        <v>223</v>
      </c>
      <c r="D1643" s="7" t="s">
        <v>221</v>
      </c>
      <c r="E1643" s="5" t="s">
        <v>2946</v>
      </c>
      <c r="F1643" s="7" t="s">
        <v>65</v>
      </c>
    </row>
    <row r="1644">
      <c r="A1644" s="5" t="s">
        <v>2925</v>
      </c>
      <c r="B1644" s="8">
        <v>5.0</v>
      </c>
      <c r="C1644" s="7" t="s">
        <v>223</v>
      </c>
      <c r="D1644" s="7" t="s">
        <v>221</v>
      </c>
      <c r="E1644" s="5" t="s">
        <v>2946</v>
      </c>
      <c r="F1644" s="7" t="s">
        <v>65</v>
      </c>
    </row>
    <row r="1645">
      <c r="A1645" s="5" t="s">
        <v>2924</v>
      </c>
      <c r="B1645" s="8">
        <v>5.0</v>
      </c>
      <c r="C1645" s="4" t="s">
        <v>636</v>
      </c>
      <c r="D1645" s="7" t="s">
        <v>637</v>
      </c>
      <c r="E1645" s="5" t="s">
        <v>2947</v>
      </c>
      <c r="F1645" s="7" t="s">
        <v>381</v>
      </c>
    </row>
    <row r="1646">
      <c r="A1646" s="5" t="s">
        <v>2925</v>
      </c>
      <c r="B1646" s="8">
        <v>5.0</v>
      </c>
      <c r="C1646" s="4" t="s">
        <v>636</v>
      </c>
      <c r="D1646" s="7" t="s">
        <v>637</v>
      </c>
      <c r="E1646" s="5" t="s">
        <v>2947</v>
      </c>
      <c r="F1646" s="7" t="s">
        <v>381</v>
      </c>
    </row>
    <row r="1647">
      <c r="A1647" s="7" t="s">
        <v>599</v>
      </c>
      <c r="B1647" s="8">
        <v>5.0</v>
      </c>
      <c r="C1647" s="4" t="s">
        <v>636</v>
      </c>
      <c r="D1647" s="7" t="s">
        <v>637</v>
      </c>
      <c r="E1647" s="5" t="s">
        <v>2947</v>
      </c>
      <c r="F1647" s="7" t="s">
        <v>379</v>
      </c>
    </row>
    <row r="1648">
      <c r="A1648" s="5" t="s">
        <v>2926</v>
      </c>
      <c r="B1648" s="8">
        <v>5.0</v>
      </c>
      <c r="C1648" s="4" t="s">
        <v>636</v>
      </c>
      <c r="D1648" s="7" t="s">
        <v>637</v>
      </c>
      <c r="E1648" s="5" t="s">
        <v>2947</v>
      </c>
      <c r="F1648" s="7" t="s">
        <v>379</v>
      </c>
    </row>
    <row r="1649">
      <c r="A1649" s="5" t="s">
        <v>2927</v>
      </c>
      <c r="B1649" s="8">
        <v>5.0</v>
      </c>
      <c r="C1649" s="4" t="s">
        <v>636</v>
      </c>
      <c r="D1649" s="7" t="s">
        <v>637</v>
      </c>
      <c r="E1649" s="5" t="s">
        <v>2947</v>
      </c>
      <c r="F1649" s="7" t="s">
        <v>382</v>
      </c>
    </row>
    <row r="1650">
      <c r="A1650" s="5" t="s">
        <v>2928</v>
      </c>
      <c r="B1650" s="8">
        <v>5.0</v>
      </c>
      <c r="C1650" s="4" t="s">
        <v>636</v>
      </c>
      <c r="D1650" s="7" t="s">
        <v>637</v>
      </c>
      <c r="E1650" s="5" t="s">
        <v>2947</v>
      </c>
      <c r="F1650" s="7" t="s">
        <v>381</v>
      </c>
    </row>
    <row r="1651">
      <c r="A1651" s="7" t="s">
        <v>603</v>
      </c>
      <c r="B1651" s="8">
        <v>5.0</v>
      </c>
      <c r="C1651" s="4" t="s">
        <v>636</v>
      </c>
      <c r="D1651" s="7" t="s">
        <v>637</v>
      </c>
      <c r="E1651" s="5" t="s">
        <v>2947</v>
      </c>
      <c r="F1651" s="7" t="s">
        <v>382</v>
      </c>
    </row>
    <row r="1652">
      <c r="A1652" s="5" t="s">
        <v>2929</v>
      </c>
      <c r="B1652" s="8">
        <v>5.0</v>
      </c>
      <c r="C1652" s="4" t="s">
        <v>636</v>
      </c>
      <c r="D1652" s="7" t="s">
        <v>637</v>
      </c>
      <c r="E1652" s="5" t="s">
        <v>2947</v>
      </c>
      <c r="F1652" s="7" t="s">
        <v>381</v>
      </c>
    </row>
    <row r="1653">
      <c r="A1653" s="5" t="s">
        <v>2930</v>
      </c>
      <c r="B1653" s="8">
        <v>5.0</v>
      </c>
      <c r="C1653" s="4" t="s">
        <v>636</v>
      </c>
      <c r="D1653" s="7" t="s">
        <v>637</v>
      </c>
      <c r="E1653" s="5" t="s">
        <v>2947</v>
      </c>
      <c r="F1653" s="5" t="s">
        <v>2948</v>
      </c>
    </row>
    <row r="1654">
      <c r="A1654" s="7" t="s">
        <v>606</v>
      </c>
      <c r="B1654" s="8">
        <v>5.0</v>
      </c>
      <c r="C1654" s="4" t="s">
        <v>636</v>
      </c>
      <c r="D1654" s="7" t="s">
        <v>637</v>
      </c>
      <c r="E1654" s="5" t="s">
        <v>2947</v>
      </c>
      <c r="F1654" s="7" t="s">
        <v>379</v>
      </c>
    </row>
    <row r="1655">
      <c r="A1655" s="5" t="s">
        <v>2602</v>
      </c>
      <c r="B1655" s="8">
        <v>5.0</v>
      </c>
      <c r="C1655" s="4" t="s">
        <v>636</v>
      </c>
      <c r="D1655" s="7" t="s">
        <v>637</v>
      </c>
      <c r="E1655" s="5" t="s">
        <v>2947</v>
      </c>
      <c r="F1655" s="7" t="s">
        <v>382</v>
      </c>
    </row>
    <row r="1656">
      <c r="A1656" s="5" t="s">
        <v>2931</v>
      </c>
      <c r="B1656" s="8">
        <v>5.0</v>
      </c>
      <c r="C1656" s="4" t="s">
        <v>636</v>
      </c>
      <c r="D1656" s="7" t="s">
        <v>637</v>
      </c>
      <c r="E1656" s="5" t="s">
        <v>2947</v>
      </c>
      <c r="F1656" s="7" t="s">
        <v>382</v>
      </c>
    </row>
    <row r="1657">
      <c r="A1657" s="5" t="s">
        <v>2932</v>
      </c>
      <c r="B1657" s="8">
        <v>5.0</v>
      </c>
      <c r="C1657" s="4" t="s">
        <v>636</v>
      </c>
      <c r="D1657" s="7" t="s">
        <v>637</v>
      </c>
      <c r="E1657" s="5" t="s">
        <v>2947</v>
      </c>
      <c r="F1657" s="5" t="s">
        <v>2949</v>
      </c>
    </row>
    <row r="1658">
      <c r="A1658" s="5" t="s">
        <v>2933</v>
      </c>
      <c r="B1658" s="8">
        <v>5.0</v>
      </c>
      <c r="C1658" s="4" t="s">
        <v>636</v>
      </c>
      <c r="D1658" s="7" t="s">
        <v>637</v>
      </c>
      <c r="E1658" s="5" t="s">
        <v>2947</v>
      </c>
      <c r="F1658" s="5" t="s">
        <v>2949</v>
      </c>
    </row>
    <row r="1659">
      <c r="A1659" s="5" t="s">
        <v>2606</v>
      </c>
      <c r="B1659" s="8">
        <v>5.0</v>
      </c>
      <c r="C1659" s="4" t="s">
        <v>636</v>
      </c>
      <c r="D1659" s="7" t="s">
        <v>637</v>
      </c>
      <c r="E1659" s="5" t="s">
        <v>2947</v>
      </c>
      <c r="F1659" s="5" t="s">
        <v>2949</v>
      </c>
    </row>
    <row r="1660">
      <c r="A1660" s="5" t="s">
        <v>2934</v>
      </c>
      <c r="B1660" s="8">
        <v>5.0</v>
      </c>
      <c r="C1660" s="4" t="s">
        <v>636</v>
      </c>
      <c r="D1660" s="7" t="s">
        <v>637</v>
      </c>
      <c r="E1660" s="5" t="s">
        <v>2947</v>
      </c>
      <c r="F1660" s="5" t="s">
        <v>2950</v>
      </c>
    </row>
    <row r="1661">
      <c r="A1661" s="5" t="s">
        <v>2607</v>
      </c>
      <c r="B1661" s="8">
        <v>5.0</v>
      </c>
      <c r="C1661" s="4" t="s">
        <v>636</v>
      </c>
      <c r="D1661" s="7" t="s">
        <v>637</v>
      </c>
      <c r="E1661" s="5" t="s">
        <v>2947</v>
      </c>
      <c r="F1661" s="5" t="s">
        <v>2949</v>
      </c>
    </row>
    <row r="1662">
      <c r="A1662" s="5" t="s">
        <v>2935</v>
      </c>
      <c r="B1662" s="8">
        <v>5.0</v>
      </c>
      <c r="C1662" s="4" t="s">
        <v>636</v>
      </c>
      <c r="D1662" s="7" t="s">
        <v>637</v>
      </c>
      <c r="E1662" s="5" t="s">
        <v>2947</v>
      </c>
      <c r="F1662" s="5" t="s">
        <v>2951</v>
      </c>
    </row>
    <row r="1663">
      <c r="A1663" s="5" t="s">
        <v>2936</v>
      </c>
      <c r="B1663" s="8">
        <v>5.0</v>
      </c>
      <c r="C1663" s="4" t="s">
        <v>636</v>
      </c>
      <c r="D1663" s="7" t="s">
        <v>637</v>
      </c>
      <c r="E1663" s="5" t="s">
        <v>2947</v>
      </c>
      <c r="F1663" s="5" t="s">
        <v>2949</v>
      </c>
    </row>
    <row r="1664">
      <c r="A1664" s="5" t="s">
        <v>2608</v>
      </c>
      <c r="B1664" s="8">
        <v>5.0</v>
      </c>
      <c r="C1664" s="4" t="s">
        <v>636</v>
      </c>
      <c r="D1664" s="7" t="s">
        <v>637</v>
      </c>
      <c r="E1664" s="5" t="s">
        <v>2947</v>
      </c>
      <c r="F1664" s="5" t="s">
        <v>2952</v>
      </c>
    </row>
    <row r="1665">
      <c r="A1665" s="5" t="s">
        <v>2609</v>
      </c>
      <c r="B1665" s="8">
        <v>5.0</v>
      </c>
      <c r="C1665" s="4" t="s">
        <v>636</v>
      </c>
      <c r="D1665" s="7" t="s">
        <v>637</v>
      </c>
      <c r="E1665" s="5" t="s">
        <v>2947</v>
      </c>
      <c r="F1665" s="5" t="s">
        <v>2952</v>
      </c>
    </row>
    <row r="1666">
      <c r="A1666" s="5" t="s">
        <v>2924</v>
      </c>
      <c r="B1666" s="8">
        <v>5.0</v>
      </c>
      <c r="C1666" s="4" t="s">
        <v>644</v>
      </c>
      <c r="D1666" s="7" t="s">
        <v>645</v>
      </c>
      <c r="E1666" s="5" t="s">
        <v>2953</v>
      </c>
      <c r="F1666" s="7" t="s">
        <v>647</v>
      </c>
    </row>
    <row r="1667">
      <c r="A1667" s="5" t="s">
        <v>2925</v>
      </c>
      <c r="B1667" s="8">
        <v>5.0</v>
      </c>
      <c r="C1667" s="4" t="s">
        <v>644</v>
      </c>
      <c r="D1667" s="7" t="s">
        <v>645</v>
      </c>
      <c r="E1667" s="5" t="s">
        <v>2953</v>
      </c>
      <c r="F1667" s="5" t="s">
        <v>2954</v>
      </c>
    </row>
    <row r="1668">
      <c r="A1668" s="7" t="s">
        <v>599</v>
      </c>
      <c r="B1668" s="8">
        <v>5.0</v>
      </c>
      <c r="C1668" s="4" t="s">
        <v>644</v>
      </c>
      <c r="D1668" s="7" t="s">
        <v>645</v>
      </c>
      <c r="E1668" s="5" t="s">
        <v>2953</v>
      </c>
      <c r="F1668" s="5" t="s">
        <v>2955</v>
      </c>
    </row>
    <row r="1669">
      <c r="A1669" s="5" t="s">
        <v>2926</v>
      </c>
      <c r="B1669" s="8">
        <v>5.0</v>
      </c>
      <c r="C1669" s="4" t="s">
        <v>644</v>
      </c>
      <c r="D1669" s="7" t="s">
        <v>645</v>
      </c>
      <c r="E1669" s="5" t="s">
        <v>2953</v>
      </c>
      <c r="F1669" s="5" t="s">
        <v>2956</v>
      </c>
    </row>
    <row r="1670">
      <c r="A1670" s="5" t="s">
        <v>2927</v>
      </c>
      <c r="B1670" s="8">
        <v>5.0</v>
      </c>
      <c r="C1670" s="4" t="s">
        <v>644</v>
      </c>
      <c r="D1670" s="7" t="s">
        <v>645</v>
      </c>
      <c r="E1670" s="5" t="s">
        <v>2953</v>
      </c>
      <c r="F1670" s="5" t="s">
        <v>2957</v>
      </c>
    </row>
    <row r="1671">
      <c r="A1671" s="5" t="s">
        <v>2928</v>
      </c>
      <c r="B1671" s="8">
        <v>5.0</v>
      </c>
      <c r="C1671" s="4" t="s">
        <v>644</v>
      </c>
      <c r="D1671" s="7" t="s">
        <v>645</v>
      </c>
      <c r="E1671" s="5" t="s">
        <v>2953</v>
      </c>
      <c r="F1671" s="5" t="s">
        <v>652</v>
      </c>
    </row>
    <row r="1672">
      <c r="A1672" s="7" t="s">
        <v>603</v>
      </c>
      <c r="B1672" s="8">
        <v>5.0</v>
      </c>
      <c r="C1672" s="4" t="s">
        <v>644</v>
      </c>
      <c r="D1672" s="7" t="s">
        <v>645</v>
      </c>
      <c r="E1672" s="5" t="s">
        <v>2953</v>
      </c>
      <c r="F1672" s="5" t="s">
        <v>2958</v>
      </c>
    </row>
    <row r="1673">
      <c r="A1673" s="5" t="s">
        <v>2929</v>
      </c>
      <c r="B1673" s="8">
        <v>5.0</v>
      </c>
      <c r="C1673" s="4" t="s">
        <v>644</v>
      </c>
      <c r="D1673" s="7" t="s">
        <v>645</v>
      </c>
      <c r="E1673" s="5" t="s">
        <v>2953</v>
      </c>
      <c r="F1673" s="5" t="s">
        <v>2959</v>
      </c>
    </row>
    <row r="1674">
      <c r="A1674" s="5" t="s">
        <v>2930</v>
      </c>
      <c r="B1674" s="8">
        <v>5.0</v>
      </c>
      <c r="C1674" s="4" t="s">
        <v>644</v>
      </c>
      <c r="D1674" s="7" t="s">
        <v>645</v>
      </c>
      <c r="E1674" s="5" t="s">
        <v>2953</v>
      </c>
      <c r="F1674" s="5" t="s">
        <v>2960</v>
      </c>
    </row>
    <row r="1675">
      <c r="A1675" s="7" t="s">
        <v>606</v>
      </c>
      <c r="B1675" s="8">
        <v>5.0</v>
      </c>
      <c r="C1675" s="4" t="s">
        <v>644</v>
      </c>
      <c r="D1675" s="7" t="s">
        <v>645</v>
      </c>
      <c r="E1675" s="5" t="s">
        <v>2953</v>
      </c>
      <c r="F1675" s="5" t="s">
        <v>2961</v>
      </c>
    </row>
    <row r="1676">
      <c r="A1676" s="5" t="s">
        <v>2602</v>
      </c>
      <c r="B1676" s="8">
        <v>5.0</v>
      </c>
      <c r="C1676" s="4" t="s">
        <v>644</v>
      </c>
      <c r="D1676" s="7" t="s">
        <v>645</v>
      </c>
      <c r="E1676" s="5" t="s">
        <v>2953</v>
      </c>
      <c r="F1676" s="5" t="s">
        <v>2962</v>
      </c>
    </row>
    <row r="1677">
      <c r="A1677" s="5" t="s">
        <v>2931</v>
      </c>
      <c r="B1677" s="8">
        <v>5.0</v>
      </c>
      <c r="C1677" s="4" t="s">
        <v>644</v>
      </c>
      <c r="D1677" s="7" t="s">
        <v>645</v>
      </c>
      <c r="E1677" s="5" t="s">
        <v>2953</v>
      </c>
      <c r="F1677" s="5" t="s">
        <v>2963</v>
      </c>
    </row>
    <row r="1678">
      <c r="A1678" s="5" t="s">
        <v>2932</v>
      </c>
      <c r="B1678" s="8">
        <v>5.0</v>
      </c>
      <c r="C1678" s="4" t="s">
        <v>644</v>
      </c>
      <c r="D1678" s="7" t="s">
        <v>645</v>
      </c>
      <c r="E1678" s="5" t="s">
        <v>2953</v>
      </c>
      <c r="F1678" s="5" t="s">
        <v>2964</v>
      </c>
    </row>
    <row r="1679">
      <c r="A1679" s="5" t="s">
        <v>2933</v>
      </c>
      <c r="B1679" s="8">
        <v>5.0</v>
      </c>
      <c r="C1679" s="4" t="s">
        <v>644</v>
      </c>
      <c r="D1679" s="7" t="s">
        <v>645</v>
      </c>
      <c r="E1679" s="5" t="s">
        <v>2953</v>
      </c>
      <c r="F1679" s="5" t="s">
        <v>2965</v>
      </c>
    </row>
    <row r="1680">
      <c r="A1680" s="5" t="s">
        <v>2606</v>
      </c>
      <c r="B1680" s="8">
        <v>5.0</v>
      </c>
      <c r="C1680" s="4" t="s">
        <v>644</v>
      </c>
      <c r="D1680" s="7" t="s">
        <v>645</v>
      </c>
      <c r="E1680" s="5" t="s">
        <v>2953</v>
      </c>
      <c r="F1680" s="5" t="s">
        <v>2966</v>
      </c>
    </row>
    <row r="1681">
      <c r="A1681" s="5" t="s">
        <v>2934</v>
      </c>
      <c r="B1681" s="8">
        <v>5.0</v>
      </c>
      <c r="C1681" s="4" t="s">
        <v>644</v>
      </c>
      <c r="D1681" s="7" t="s">
        <v>645</v>
      </c>
      <c r="E1681" s="5" t="s">
        <v>2953</v>
      </c>
      <c r="F1681" s="5" t="s">
        <v>2967</v>
      </c>
    </row>
    <row r="1682">
      <c r="A1682" s="5" t="s">
        <v>2607</v>
      </c>
      <c r="B1682" s="8">
        <v>5.0</v>
      </c>
      <c r="C1682" s="4" t="s">
        <v>644</v>
      </c>
      <c r="D1682" s="7" t="s">
        <v>645</v>
      </c>
      <c r="E1682" s="5" t="s">
        <v>2953</v>
      </c>
      <c r="F1682" s="5" t="s">
        <v>2968</v>
      </c>
    </row>
    <row r="1683">
      <c r="A1683" s="5" t="s">
        <v>2935</v>
      </c>
      <c r="B1683" s="8">
        <v>5.0</v>
      </c>
      <c r="C1683" s="4" t="s">
        <v>644</v>
      </c>
      <c r="D1683" s="7" t="s">
        <v>645</v>
      </c>
      <c r="E1683" s="5" t="s">
        <v>2953</v>
      </c>
      <c r="F1683" s="5" t="s">
        <v>2969</v>
      </c>
    </row>
    <row r="1684">
      <c r="A1684" s="5" t="s">
        <v>2936</v>
      </c>
      <c r="B1684" s="8">
        <v>5.0</v>
      </c>
      <c r="C1684" s="4" t="s">
        <v>644</v>
      </c>
      <c r="D1684" s="7" t="s">
        <v>645</v>
      </c>
      <c r="E1684" s="5" t="s">
        <v>2953</v>
      </c>
      <c r="F1684" s="5" t="s">
        <v>2970</v>
      </c>
    </row>
    <row r="1685">
      <c r="A1685" s="5" t="s">
        <v>2608</v>
      </c>
      <c r="B1685" s="8">
        <v>5.0</v>
      </c>
      <c r="C1685" s="4" t="s">
        <v>644</v>
      </c>
      <c r="D1685" s="7" t="s">
        <v>645</v>
      </c>
      <c r="E1685" s="5" t="s">
        <v>2953</v>
      </c>
      <c r="F1685" s="5" t="s">
        <v>2971</v>
      </c>
    </row>
    <row r="1686">
      <c r="A1686" s="5" t="s">
        <v>2609</v>
      </c>
      <c r="B1686" s="8">
        <v>5.0</v>
      </c>
      <c r="C1686" s="4" t="s">
        <v>644</v>
      </c>
      <c r="D1686" s="7" t="s">
        <v>645</v>
      </c>
      <c r="E1686" s="5" t="s">
        <v>2953</v>
      </c>
      <c r="F1686" s="5" t="s">
        <v>2972</v>
      </c>
    </row>
    <row r="1687">
      <c r="A1687" s="5" t="s">
        <v>2925</v>
      </c>
      <c r="B1687" s="8">
        <v>5.0</v>
      </c>
      <c r="C1687" s="4" t="s">
        <v>668</v>
      </c>
      <c r="D1687" s="7" t="s">
        <v>669</v>
      </c>
      <c r="E1687" s="5" t="s">
        <v>2973</v>
      </c>
      <c r="F1687" s="5" t="s">
        <v>2974</v>
      </c>
    </row>
    <row r="1688">
      <c r="A1688" s="7" t="s">
        <v>599</v>
      </c>
      <c r="B1688" s="8">
        <v>5.0</v>
      </c>
      <c r="C1688" s="4" t="s">
        <v>668</v>
      </c>
      <c r="D1688" s="7" t="s">
        <v>669</v>
      </c>
      <c r="E1688" s="5" t="s">
        <v>2973</v>
      </c>
      <c r="F1688" s="5" t="s">
        <v>2975</v>
      </c>
    </row>
    <row r="1689">
      <c r="A1689" s="5" t="s">
        <v>2926</v>
      </c>
      <c r="B1689" s="8">
        <v>5.0</v>
      </c>
      <c r="C1689" s="4" t="s">
        <v>668</v>
      </c>
      <c r="D1689" s="7" t="s">
        <v>669</v>
      </c>
      <c r="E1689" s="5" t="s">
        <v>2973</v>
      </c>
      <c r="F1689" s="5" t="s">
        <v>2974</v>
      </c>
    </row>
    <row r="1690">
      <c r="A1690" s="5" t="s">
        <v>2924</v>
      </c>
      <c r="B1690" s="8">
        <v>5.0</v>
      </c>
      <c r="C1690" s="4" t="s">
        <v>673</v>
      </c>
      <c r="D1690" s="7" t="s">
        <v>674</v>
      </c>
      <c r="E1690" s="5" t="s">
        <v>2976</v>
      </c>
      <c r="F1690" s="5" t="s">
        <v>2977</v>
      </c>
    </row>
    <row r="1691">
      <c r="A1691" s="5" t="s">
        <v>2922</v>
      </c>
      <c r="B1691" s="8">
        <v>5.0</v>
      </c>
      <c r="C1691" s="7" t="s">
        <v>67</v>
      </c>
      <c r="D1691" s="5" t="s">
        <v>2978</v>
      </c>
      <c r="E1691" s="5" t="s">
        <v>678</v>
      </c>
      <c r="F1691" s="7" t="s">
        <v>65</v>
      </c>
    </row>
    <row r="1692">
      <c r="A1692" s="5" t="s">
        <v>2924</v>
      </c>
      <c r="B1692" s="8">
        <v>5.0</v>
      </c>
      <c r="C1692" s="7" t="s">
        <v>67</v>
      </c>
      <c r="D1692" s="5" t="s">
        <v>2978</v>
      </c>
      <c r="E1692" s="5" t="s">
        <v>678</v>
      </c>
      <c r="F1692" s="7" t="s">
        <v>70</v>
      </c>
    </row>
    <row r="1693">
      <c r="A1693" s="5" t="s">
        <v>2925</v>
      </c>
      <c r="B1693" s="8">
        <v>5.0</v>
      </c>
      <c r="C1693" s="7" t="s">
        <v>67</v>
      </c>
      <c r="D1693" s="5" t="s">
        <v>2978</v>
      </c>
      <c r="E1693" s="5" t="s">
        <v>678</v>
      </c>
      <c r="F1693" s="7" t="s">
        <v>70</v>
      </c>
    </row>
    <row r="1694">
      <c r="A1694" s="7" t="s">
        <v>599</v>
      </c>
      <c r="B1694" s="8">
        <v>5.0</v>
      </c>
      <c r="C1694" s="7" t="s">
        <v>67</v>
      </c>
      <c r="D1694" s="5" t="s">
        <v>2978</v>
      </c>
      <c r="E1694" s="5" t="s">
        <v>678</v>
      </c>
      <c r="F1694" s="7" t="s">
        <v>70</v>
      </c>
    </row>
    <row r="1695">
      <c r="A1695" s="5" t="s">
        <v>2926</v>
      </c>
      <c r="B1695" s="8">
        <v>5.0</v>
      </c>
      <c r="C1695" s="7" t="s">
        <v>67</v>
      </c>
      <c r="D1695" s="5" t="s">
        <v>2978</v>
      </c>
      <c r="E1695" s="5" t="s">
        <v>678</v>
      </c>
      <c r="F1695" s="7" t="s">
        <v>71</v>
      </c>
    </row>
    <row r="1696">
      <c r="A1696" s="5" t="s">
        <v>2927</v>
      </c>
      <c r="B1696" s="8">
        <v>5.0</v>
      </c>
      <c r="C1696" s="7" t="s">
        <v>67</v>
      </c>
      <c r="D1696" s="5" t="s">
        <v>2978</v>
      </c>
      <c r="E1696" s="5" t="s">
        <v>678</v>
      </c>
      <c r="F1696" s="5" t="s">
        <v>2979</v>
      </c>
    </row>
    <row r="1697">
      <c r="A1697" s="5" t="s">
        <v>2928</v>
      </c>
      <c r="B1697" s="8">
        <v>5.0</v>
      </c>
      <c r="C1697" s="7" t="s">
        <v>67</v>
      </c>
      <c r="D1697" s="5" t="s">
        <v>2978</v>
      </c>
      <c r="E1697" s="5" t="s">
        <v>678</v>
      </c>
      <c r="F1697" s="7" t="s">
        <v>70</v>
      </c>
    </row>
    <row r="1698">
      <c r="A1698" s="7" t="s">
        <v>603</v>
      </c>
      <c r="B1698" s="8">
        <v>5.0</v>
      </c>
      <c r="C1698" s="7" t="s">
        <v>67</v>
      </c>
      <c r="D1698" s="5" t="s">
        <v>2978</v>
      </c>
      <c r="E1698" s="5" t="s">
        <v>678</v>
      </c>
      <c r="F1698" s="7" t="s">
        <v>71</v>
      </c>
    </row>
    <row r="1699">
      <c r="A1699" s="5" t="s">
        <v>2929</v>
      </c>
      <c r="B1699" s="8">
        <v>5.0</v>
      </c>
      <c r="C1699" s="7" t="s">
        <v>67</v>
      </c>
      <c r="D1699" s="5" t="s">
        <v>2978</v>
      </c>
      <c r="E1699" s="5" t="s">
        <v>678</v>
      </c>
      <c r="F1699" s="7" t="s">
        <v>70</v>
      </c>
    </row>
    <row r="1700">
      <c r="A1700" s="5" t="s">
        <v>2930</v>
      </c>
      <c r="B1700" s="8">
        <v>5.0</v>
      </c>
      <c r="C1700" s="7" t="s">
        <v>67</v>
      </c>
      <c r="D1700" s="5" t="s">
        <v>2978</v>
      </c>
      <c r="E1700" s="5" t="s">
        <v>678</v>
      </c>
      <c r="F1700" s="5" t="s">
        <v>2980</v>
      </c>
    </row>
    <row r="1701">
      <c r="A1701" s="7" t="s">
        <v>606</v>
      </c>
      <c r="B1701" s="8">
        <v>5.0</v>
      </c>
      <c r="C1701" s="7" t="s">
        <v>67</v>
      </c>
      <c r="D1701" s="5" t="s">
        <v>2978</v>
      </c>
      <c r="E1701" s="5" t="s">
        <v>678</v>
      </c>
      <c r="F1701" s="7" t="s">
        <v>71</v>
      </c>
    </row>
    <row r="1702">
      <c r="A1702" s="5" t="s">
        <v>2602</v>
      </c>
      <c r="B1702" s="8">
        <v>5.0</v>
      </c>
      <c r="C1702" s="7" t="s">
        <v>67</v>
      </c>
      <c r="D1702" s="5" t="s">
        <v>2978</v>
      </c>
      <c r="E1702" s="5" t="s">
        <v>678</v>
      </c>
      <c r="F1702" s="7" t="s">
        <v>70</v>
      </c>
    </row>
    <row r="1703">
      <c r="A1703" s="5" t="s">
        <v>2931</v>
      </c>
      <c r="B1703" s="8">
        <v>5.0</v>
      </c>
      <c r="C1703" s="7" t="s">
        <v>67</v>
      </c>
      <c r="D1703" s="5" t="s">
        <v>2978</v>
      </c>
      <c r="E1703" s="5" t="s">
        <v>678</v>
      </c>
      <c r="F1703" s="7" t="s">
        <v>70</v>
      </c>
    </row>
    <row r="1704">
      <c r="A1704" s="5" t="s">
        <v>2932</v>
      </c>
      <c r="B1704" s="8">
        <v>5.0</v>
      </c>
      <c r="C1704" s="7" t="s">
        <v>67</v>
      </c>
      <c r="D1704" s="5" t="s">
        <v>2978</v>
      </c>
      <c r="E1704" s="5" t="s">
        <v>678</v>
      </c>
      <c r="F1704" s="7" t="s">
        <v>70</v>
      </c>
    </row>
    <row r="1705">
      <c r="A1705" s="5" t="s">
        <v>2933</v>
      </c>
      <c r="B1705" s="8">
        <v>5.0</v>
      </c>
      <c r="C1705" s="7" t="s">
        <v>67</v>
      </c>
      <c r="D1705" s="5" t="s">
        <v>2978</v>
      </c>
      <c r="E1705" s="5" t="s">
        <v>678</v>
      </c>
      <c r="F1705" s="7" t="s">
        <v>70</v>
      </c>
    </row>
    <row r="1706">
      <c r="A1706" s="5" t="s">
        <v>2606</v>
      </c>
      <c r="B1706" s="8">
        <v>5.0</v>
      </c>
      <c r="C1706" s="7" t="s">
        <v>67</v>
      </c>
      <c r="D1706" s="5" t="s">
        <v>2978</v>
      </c>
      <c r="E1706" s="5" t="s">
        <v>678</v>
      </c>
      <c r="F1706" s="7" t="s">
        <v>70</v>
      </c>
    </row>
    <row r="1707">
      <c r="A1707" s="5" t="s">
        <v>2934</v>
      </c>
      <c r="B1707" s="8">
        <v>5.0</v>
      </c>
      <c r="C1707" s="7" t="s">
        <v>67</v>
      </c>
      <c r="D1707" s="5" t="s">
        <v>2978</v>
      </c>
      <c r="E1707" s="5" t="s">
        <v>678</v>
      </c>
      <c r="F1707" s="7" t="s">
        <v>70</v>
      </c>
    </row>
    <row r="1708">
      <c r="A1708" s="5" t="s">
        <v>2607</v>
      </c>
      <c r="B1708" s="8">
        <v>5.0</v>
      </c>
      <c r="C1708" s="7" t="s">
        <v>67</v>
      </c>
      <c r="D1708" s="5" t="s">
        <v>2978</v>
      </c>
      <c r="E1708" s="5" t="s">
        <v>678</v>
      </c>
      <c r="F1708" s="7" t="s">
        <v>70</v>
      </c>
    </row>
    <row r="1709">
      <c r="A1709" s="5" t="s">
        <v>2935</v>
      </c>
      <c r="B1709" s="8">
        <v>5.0</v>
      </c>
      <c r="C1709" s="7" t="s">
        <v>67</v>
      </c>
      <c r="D1709" s="5" t="s">
        <v>2978</v>
      </c>
      <c r="E1709" s="5" t="s">
        <v>678</v>
      </c>
      <c r="F1709" s="7" t="s">
        <v>681</v>
      </c>
    </row>
    <row r="1710">
      <c r="A1710" s="5" t="s">
        <v>2936</v>
      </c>
      <c r="B1710" s="8">
        <v>5.0</v>
      </c>
      <c r="C1710" s="7" t="s">
        <v>67</v>
      </c>
      <c r="D1710" s="5" t="s">
        <v>2978</v>
      </c>
      <c r="E1710" s="5" t="s">
        <v>678</v>
      </c>
      <c r="F1710" s="7" t="s">
        <v>70</v>
      </c>
    </row>
    <row r="1711">
      <c r="A1711" s="5" t="s">
        <v>2608</v>
      </c>
      <c r="B1711" s="8">
        <v>5.0</v>
      </c>
      <c r="C1711" s="7" t="s">
        <v>67</v>
      </c>
      <c r="D1711" s="5" t="s">
        <v>2978</v>
      </c>
      <c r="E1711" s="5" t="s">
        <v>678</v>
      </c>
      <c r="F1711" s="7" t="s">
        <v>70</v>
      </c>
    </row>
    <row r="1712">
      <c r="A1712" s="5" t="s">
        <v>2609</v>
      </c>
      <c r="B1712" s="8">
        <v>5.0</v>
      </c>
      <c r="C1712" s="7" t="s">
        <v>67</v>
      </c>
      <c r="D1712" s="5" t="s">
        <v>2978</v>
      </c>
      <c r="E1712" s="5" t="s">
        <v>678</v>
      </c>
      <c r="F1712" s="7" t="s">
        <v>70</v>
      </c>
    </row>
    <row r="1713">
      <c r="A1713" s="5" t="s">
        <v>2922</v>
      </c>
      <c r="B1713" s="8">
        <v>5.0</v>
      </c>
      <c r="C1713" s="7" t="s">
        <v>72</v>
      </c>
      <c r="D1713" s="7" t="s">
        <v>682</v>
      </c>
      <c r="E1713" s="5" t="s">
        <v>2981</v>
      </c>
      <c r="F1713" s="5" t="s">
        <v>77</v>
      </c>
    </row>
    <row r="1714">
      <c r="A1714" s="5" t="s">
        <v>2924</v>
      </c>
      <c r="B1714" s="8">
        <v>5.0</v>
      </c>
      <c r="C1714" s="7" t="s">
        <v>72</v>
      </c>
      <c r="D1714" s="7" t="s">
        <v>682</v>
      </c>
      <c r="E1714" s="5" t="s">
        <v>2981</v>
      </c>
      <c r="F1714" s="5" t="s">
        <v>77</v>
      </c>
    </row>
    <row r="1715">
      <c r="A1715" s="5" t="s">
        <v>2925</v>
      </c>
      <c r="B1715" s="8">
        <v>5.0</v>
      </c>
      <c r="C1715" s="7" t="s">
        <v>72</v>
      </c>
      <c r="D1715" s="7" t="s">
        <v>682</v>
      </c>
      <c r="E1715" s="5" t="s">
        <v>2981</v>
      </c>
      <c r="F1715" s="7" t="s">
        <v>684</v>
      </c>
    </row>
    <row r="1716">
      <c r="A1716" s="7" t="s">
        <v>599</v>
      </c>
      <c r="B1716" s="8">
        <v>5.0</v>
      </c>
      <c r="C1716" s="7" t="s">
        <v>72</v>
      </c>
      <c r="D1716" s="7" t="s">
        <v>682</v>
      </c>
      <c r="E1716" s="5" t="s">
        <v>2981</v>
      </c>
      <c r="F1716" s="5" t="s">
        <v>77</v>
      </c>
    </row>
    <row r="1717">
      <c r="A1717" s="5" t="s">
        <v>2926</v>
      </c>
      <c r="B1717" s="8">
        <v>5.0</v>
      </c>
      <c r="C1717" s="7" t="s">
        <v>72</v>
      </c>
      <c r="D1717" s="7" t="s">
        <v>682</v>
      </c>
      <c r="E1717" s="5" t="s">
        <v>2981</v>
      </c>
      <c r="F1717" s="5" t="s">
        <v>2982</v>
      </c>
    </row>
    <row r="1718">
      <c r="A1718" s="5" t="s">
        <v>2927</v>
      </c>
      <c r="B1718" s="8">
        <v>5.0</v>
      </c>
      <c r="C1718" s="7" t="s">
        <v>72</v>
      </c>
      <c r="D1718" s="7" t="s">
        <v>682</v>
      </c>
      <c r="E1718" s="5" t="s">
        <v>2981</v>
      </c>
      <c r="F1718" s="5" t="s">
        <v>686</v>
      </c>
    </row>
    <row r="1719">
      <c r="A1719" s="5" t="s">
        <v>2928</v>
      </c>
      <c r="B1719" s="8">
        <v>5.0</v>
      </c>
      <c r="C1719" s="7" t="s">
        <v>72</v>
      </c>
      <c r="D1719" s="7" t="s">
        <v>682</v>
      </c>
      <c r="E1719" s="5" t="s">
        <v>2981</v>
      </c>
      <c r="F1719" s="5" t="s">
        <v>77</v>
      </c>
    </row>
    <row r="1720">
      <c r="A1720" s="7" t="s">
        <v>603</v>
      </c>
      <c r="B1720" s="8">
        <v>5.0</v>
      </c>
      <c r="C1720" s="7" t="s">
        <v>72</v>
      </c>
      <c r="D1720" s="7" t="s">
        <v>682</v>
      </c>
      <c r="E1720" s="5" t="s">
        <v>2981</v>
      </c>
      <c r="F1720" s="5" t="s">
        <v>77</v>
      </c>
    </row>
    <row r="1721">
      <c r="A1721" s="5" t="s">
        <v>2929</v>
      </c>
      <c r="B1721" s="8">
        <v>5.0</v>
      </c>
      <c r="C1721" s="7" t="s">
        <v>72</v>
      </c>
      <c r="D1721" s="7" t="s">
        <v>682</v>
      </c>
      <c r="E1721" s="5" t="s">
        <v>2981</v>
      </c>
      <c r="F1721" s="5" t="s">
        <v>2983</v>
      </c>
    </row>
    <row r="1722">
      <c r="A1722" s="5" t="s">
        <v>2930</v>
      </c>
      <c r="B1722" s="8">
        <v>5.0</v>
      </c>
      <c r="C1722" s="7" t="s">
        <v>72</v>
      </c>
      <c r="D1722" s="7" t="s">
        <v>682</v>
      </c>
      <c r="E1722" s="5" t="s">
        <v>2981</v>
      </c>
      <c r="F1722" s="5" t="s">
        <v>77</v>
      </c>
    </row>
    <row r="1723">
      <c r="A1723" s="7" t="s">
        <v>606</v>
      </c>
      <c r="B1723" s="8">
        <v>5.0</v>
      </c>
      <c r="C1723" s="7" t="s">
        <v>72</v>
      </c>
      <c r="D1723" s="7" t="s">
        <v>682</v>
      </c>
      <c r="E1723" s="5" t="s">
        <v>2981</v>
      </c>
      <c r="F1723" s="5" t="s">
        <v>77</v>
      </c>
    </row>
    <row r="1724">
      <c r="A1724" s="5" t="s">
        <v>2602</v>
      </c>
      <c r="B1724" s="8">
        <v>5.0</v>
      </c>
      <c r="C1724" s="7" t="s">
        <v>72</v>
      </c>
      <c r="D1724" s="7" t="s">
        <v>682</v>
      </c>
      <c r="E1724" s="5" t="s">
        <v>2981</v>
      </c>
      <c r="F1724" s="5" t="s">
        <v>2835</v>
      </c>
    </row>
    <row r="1725">
      <c r="A1725" s="5" t="s">
        <v>2931</v>
      </c>
      <c r="B1725" s="8">
        <v>5.0</v>
      </c>
      <c r="C1725" s="7" t="s">
        <v>72</v>
      </c>
      <c r="D1725" s="7" t="s">
        <v>682</v>
      </c>
      <c r="E1725" s="5" t="s">
        <v>2981</v>
      </c>
      <c r="F1725" s="5" t="s">
        <v>76</v>
      </c>
    </row>
    <row r="1726">
      <c r="A1726" s="5" t="s">
        <v>2932</v>
      </c>
      <c r="B1726" s="8">
        <v>5.0</v>
      </c>
      <c r="C1726" s="7" t="s">
        <v>72</v>
      </c>
      <c r="D1726" s="7" t="s">
        <v>682</v>
      </c>
      <c r="E1726" s="5" t="s">
        <v>2981</v>
      </c>
      <c r="F1726" s="5" t="s">
        <v>365</v>
      </c>
    </row>
    <row r="1727">
      <c r="A1727" s="5" t="s">
        <v>2933</v>
      </c>
      <c r="B1727" s="8">
        <v>5.0</v>
      </c>
      <c r="C1727" s="7" t="s">
        <v>72</v>
      </c>
      <c r="D1727" s="7" t="s">
        <v>682</v>
      </c>
      <c r="E1727" s="5" t="s">
        <v>2981</v>
      </c>
      <c r="F1727" s="5" t="s">
        <v>77</v>
      </c>
    </row>
    <row r="1728">
      <c r="A1728" s="5" t="s">
        <v>2606</v>
      </c>
      <c r="B1728" s="8">
        <v>5.0</v>
      </c>
      <c r="C1728" s="7" t="s">
        <v>72</v>
      </c>
      <c r="D1728" s="7" t="s">
        <v>682</v>
      </c>
      <c r="E1728" s="5" t="s">
        <v>2981</v>
      </c>
      <c r="F1728" s="5" t="s">
        <v>77</v>
      </c>
    </row>
    <row r="1729">
      <c r="A1729" s="5" t="s">
        <v>2934</v>
      </c>
      <c r="B1729" s="8">
        <v>5.0</v>
      </c>
      <c r="C1729" s="7" t="s">
        <v>72</v>
      </c>
      <c r="D1729" s="7" t="s">
        <v>682</v>
      </c>
      <c r="E1729" s="5" t="s">
        <v>2981</v>
      </c>
      <c r="F1729" s="5" t="s">
        <v>77</v>
      </c>
    </row>
    <row r="1730">
      <c r="A1730" s="5" t="s">
        <v>2607</v>
      </c>
      <c r="B1730" s="8">
        <v>5.0</v>
      </c>
      <c r="C1730" s="7" t="s">
        <v>72</v>
      </c>
      <c r="D1730" s="7" t="s">
        <v>682</v>
      </c>
      <c r="E1730" s="5" t="s">
        <v>2981</v>
      </c>
      <c r="F1730" s="5" t="s">
        <v>77</v>
      </c>
    </row>
    <row r="1731">
      <c r="A1731" s="5" t="s">
        <v>2935</v>
      </c>
      <c r="B1731" s="8">
        <v>5.0</v>
      </c>
      <c r="C1731" s="7" t="s">
        <v>72</v>
      </c>
      <c r="D1731" s="7" t="s">
        <v>682</v>
      </c>
      <c r="E1731" s="5" t="s">
        <v>2981</v>
      </c>
      <c r="F1731" s="5" t="s">
        <v>688</v>
      </c>
    </row>
    <row r="1732">
      <c r="A1732" s="5" t="s">
        <v>2936</v>
      </c>
      <c r="B1732" s="8">
        <v>5.0</v>
      </c>
      <c r="C1732" s="7" t="s">
        <v>72</v>
      </c>
      <c r="D1732" s="7" t="s">
        <v>682</v>
      </c>
      <c r="E1732" s="5" t="s">
        <v>2981</v>
      </c>
      <c r="F1732" s="5" t="s">
        <v>77</v>
      </c>
    </row>
    <row r="1733">
      <c r="A1733" s="5" t="s">
        <v>2608</v>
      </c>
      <c r="B1733" s="8">
        <v>5.0</v>
      </c>
      <c r="C1733" s="7" t="s">
        <v>72</v>
      </c>
      <c r="D1733" s="7" t="s">
        <v>682</v>
      </c>
      <c r="E1733" s="5" t="s">
        <v>2981</v>
      </c>
      <c r="F1733" s="5" t="s">
        <v>77</v>
      </c>
    </row>
    <row r="1734">
      <c r="A1734" s="5" t="s">
        <v>2609</v>
      </c>
      <c r="B1734" s="8">
        <v>5.0</v>
      </c>
      <c r="C1734" s="7" t="s">
        <v>72</v>
      </c>
      <c r="D1734" s="7" t="s">
        <v>682</v>
      </c>
      <c r="E1734" s="5" t="s">
        <v>2981</v>
      </c>
      <c r="F1734" s="5" t="s">
        <v>77</v>
      </c>
    </row>
    <row r="1735">
      <c r="A1735" s="5" t="s">
        <v>2922</v>
      </c>
      <c r="B1735" s="8">
        <v>5.0</v>
      </c>
      <c r="C1735" s="7" t="s">
        <v>78</v>
      </c>
      <c r="D1735" s="7" t="s">
        <v>689</v>
      </c>
      <c r="E1735" s="5" t="s">
        <v>2984</v>
      </c>
      <c r="F1735" s="5" t="s">
        <v>2725</v>
      </c>
    </row>
    <row r="1736">
      <c r="A1736" s="5" t="s">
        <v>2924</v>
      </c>
      <c r="B1736" s="8">
        <v>5.0</v>
      </c>
      <c r="C1736" s="7" t="s">
        <v>78</v>
      </c>
      <c r="D1736" s="7" t="s">
        <v>689</v>
      </c>
      <c r="E1736" s="5" t="s">
        <v>2984</v>
      </c>
      <c r="F1736" s="5" t="s">
        <v>2627</v>
      </c>
    </row>
    <row r="1737">
      <c r="A1737" s="5" t="s">
        <v>2925</v>
      </c>
      <c r="B1737" s="8">
        <v>5.0</v>
      </c>
      <c r="C1737" s="7" t="s">
        <v>78</v>
      </c>
      <c r="D1737" s="7" t="s">
        <v>689</v>
      </c>
      <c r="E1737" s="5" t="s">
        <v>2984</v>
      </c>
      <c r="F1737" s="5" t="s">
        <v>2628</v>
      </c>
    </row>
    <row r="1738">
      <c r="A1738" s="7" t="s">
        <v>599</v>
      </c>
      <c r="B1738" s="8">
        <v>5.0</v>
      </c>
      <c r="C1738" s="7" t="s">
        <v>78</v>
      </c>
      <c r="D1738" s="7" t="s">
        <v>689</v>
      </c>
      <c r="E1738" s="5" t="s">
        <v>2984</v>
      </c>
      <c r="F1738" s="5" t="s">
        <v>2725</v>
      </c>
    </row>
    <row r="1739">
      <c r="A1739" s="5" t="s">
        <v>2926</v>
      </c>
      <c r="B1739" s="8">
        <v>5.0</v>
      </c>
      <c r="C1739" s="7" t="s">
        <v>78</v>
      </c>
      <c r="D1739" s="7" t="s">
        <v>689</v>
      </c>
      <c r="E1739" s="5" t="s">
        <v>2984</v>
      </c>
      <c r="F1739" s="5" t="s">
        <v>2985</v>
      </c>
    </row>
    <row r="1740">
      <c r="A1740" s="5" t="s">
        <v>2927</v>
      </c>
      <c r="B1740" s="8">
        <v>5.0</v>
      </c>
      <c r="C1740" s="7" t="s">
        <v>78</v>
      </c>
      <c r="D1740" s="7" t="s">
        <v>689</v>
      </c>
      <c r="E1740" s="5" t="s">
        <v>2984</v>
      </c>
      <c r="F1740" s="5" t="s">
        <v>2986</v>
      </c>
    </row>
    <row r="1741">
      <c r="A1741" s="5" t="s">
        <v>2928</v>
      </c>
      <c r="B1741" s="8">
        <v>5.0</v>
      </c>
      <c r="C1741" s="7" t="s">
        <v>78</v>
      </c>
      <c r="D1741" s="7" t="s">
        <v>689</v>
      </c>
      <c r="E1741" s="5" t="s">
        <v>2984</v>
      </c>
      <c r="F1741" s="5" t="s">
        <v>2987</v>
      </c>
    </row>
    <row r="1742">
      <c r="A1742" s="7" t="s">
        <v>603</v>
      </c>
      <c r="B1742" s="8">
        <v>5.0</v>
      </c>
      <c r="C1742" s="7" t="s">
        <v>78</v>
      </c>
      <c r="D1742" s="7" t="s">
        <v>689</v>
      </c>
      <c r="E1742" s="5" t="s">
        <v>2984</v>
      </c>
      <c r="F1742" s="5" t="s">
        <v>2627</v>
      </c>
    </row>
    <row r="1743">
      <c r="A1743" s="5" t="s">
        <v>2929</v>
      </c>
      <c r="B1743" s="8">
        <v>5.0</v>
      </c>
      <c r="C1743" s="7" t="s">
        <v>78</v>
      </c>
      <c r="D1743" s="7" t="s">
        <v>689</v>
      </c>
      <c r="E1743" s="5" t="s">
        <v>2984</v>
      </c>
      <c r="F1743" s="5" t="s">
        <v>244</v>
      </c>
    </row>
    <row r="1744">
      <c r="A1744" s="5" t="s">
        <v>2930</v>
      </c>
      <c r="B1744" s="8">
        <v>5.0</v>
      </c>
      <c r="C1744" s="7" t="s">
        <v>78</v>
      </c>
      <c r="D1744" s="7" t="s">
        <v>689</v>
      </c>
      <c r="E1744" s="5" t="s">
        <v>2984</v>
      </c>
      <c r="F1744" s="5" t="s">
        <v>2842</v>
      </c>
    </row>
    <row r="1745">
      <c r="A1745" s="7" t="s">
        <v>606</v>
      </c>
      <c r="B1745" s="8">
        <v>5.0</v>
      </c>
      <c r="C1745" s="7" t="s">
        <v>78</v>
      </c>
      <c r="D1745" s="7" t="s">
        <v>689</v>
      </c>
      <c r="E1745" s="5" t="s">
        <v>2984</v>
      </c>
      <c r="F1745" s="5" t="s">
        <v>2725</v>
      </c>
    </row>
    <row r="1746">
      <c r="A1746" s="5" t="s">
        <v>2602</v>
      </c>
      <c r="B1746" s="8">
        <v>5.0</v>
      </c>
      <c r="C1746" s="7" t="s">
        <v>78</v>
      </c>
      <c r="D1746" s="7" t="s">
        <v>689</v>
      </c>
      <c r="E1746" s="5" t="s">
        <v>2984</v>
      </c>
      <c r="F1746" s="5" t="s">
        <v>2628</v>
      </c>
    </row>
    <row r="1747">
      <c r="A1747" s="5" t="s">
        <v>2931</v>
      </c>
      <c r="B1747" s="8">
        <v>5.0</v>
      </c>
      <c r="C1747" s="7" t="s">
        <v>78</v>
      </c>
      <c r="D1747" s="7" t="s">
        <v>689</v>
      </c>
      <c r="E1747" s="5" t="s">
        <v>2984</v>
      </c>
      <c r="F1747" s="5" t="s">
        <v>2843</v>
      </c>
    </row>
    <row r="1748">
      <c r="A1748" s="5" t="s">
        <v>2932</v>
      </c>
      <c r="B1748" s="8">
        <v>5.0</v>
      </c>
      <c r="C1748" s="7" t="s">
        <v>78</v>
      </c>
      <c r="D1748" s="7" t="s">
        <v>689</v>
      </c>
      <c r="E1748" s="5" t="s">
        <v>2984</v>
      </c>
      <c r="F1748" s="5" t="s">
        <v>2988</v>
      </c>
    </row>
    <row r="1749">
      <c r="A1749" s="5" t="s">
        <v>2933</v>
      </c>
      <c r="B1749" s="8">
        <v>5.0</v>
      </c>
      <c r="C1749" s="7" t="s">
        <v>78</v>
      </c>
      <c r="D1749" s="7" t="s">
        <v>689</v>
      </c>
      <c r="E1749" s="5" t="s">
        <v>2984</v>
      </c>
      <c r="F1749" s="5" t="s">
        <v>2989</v>
      </c>
    </row>
    <row r="1750">
      <c r="A1750" s="5" t="s">
        <v>2606</v>
      </c>
      <c r="B1750" s="8">
        <v>5.0</v>
      </c>
      <c r="C1750" s="7" t="s">
        <v>78</v>
      </c>
      <c r="D1750" s="7" t="s">
        <v>689</v>
      </c>
      <c r="E1750" s="5" t="s">
        <v>2984</v>
      </c>
      <c r="F1750" s="5" t="s">
        <v>2837</v>
      </c>
    </row>
    <row r="1751">
      <c r="A1751" s="5" t="s">
        <v>2934</v>
      </c>
      <c r="B1751" s="8">
        <v>5.0</v>
      </c>
      <c r="C1751" s="7" t="s">
        <v>78</v>
      </c>
      <c r="D1751" s="7" t="s">
        <v>689</v>
      </c>
      <c r="E1751" s="5" t="s">
        <v>2984</v>
      </c>
      <c r="F1751" s="5" t="s">
        <v>2725</v>
      </c>
    </row>
    <row r="1752">
      <c r="A1752" s="5" t="s">
        <v>2607</v>
      </c>
      <c r="B1752" s="8">
        <v>5.0</v>
      </c>
      <c r="C1752" s="7" t="s">
        <v>78</v>
      </c>
      <c r="D1752" s="7" t="s">
        <v>689</v>
      </c>
      <c r="E1752" s="5" t="s">
        <v>2984</v>
      </c>
      <c r="F1752" s="5" t="s">
        <v>2989</v>
      </c>
    </row>
    <row r="1753">
      <c r="A1753" s="5" t="s">
        <v>2935</v>
      </c>
      <c r="B1753" s="8">
        <v>5.0</v>
      </c>
      <c r="C1753" s="7" t="s">
        <v>78</v>
      </c>
      <c r="D1753" s="7" t="s">
        <v>689</v>
      </c>
      <c r="E1753" s="5" t="s">
        <v>2984</v>
      </c>
      <c r="F1753" s="5" t="s">
        <v>2990</v>
      </c>
    </row>
    <row r="1754">
      <c r="A1754" s="5" t="s">
        <v>2936</v>
      </c>
      <c r="B1754" s="8">
        <v>5.0</v>
      </c>
      <c r="C1754" s="7" t="s">
        <v>78</v>
      </c>
      <c r="D1754" s="7" t="s">
        <v>689</v>
      </c>
      <c r="E1754" s="5" t="s">
        <v>2984</v>
      </c>
      <c r="F1754" s="5" t="s">
        <v>2725</v>
      </c>
    </row>
    <row r="1755">
      <c r="A1755" s="5" t="s">
        <v>2608</v>
      </c>
      <c r="B1755" s="8">
        <v>5.0</v>
      </c>
      <c r="C1755" s="7" t="s">
        <v>78</v>
      </c>
      <c r="D1755" s="7" t="s">
        <v>689</v>
      </c>
      <c r="E1755" s="5" t="s">
        <v>2984</v>
      </c>
      <c r="F1755" s="5" t="s">
        <v>2991</v>
      </c>
    </row>
    <row r="1756">
      <c r="A1756" s="5" t="s">
        <v>2609</v>
      </c>
      <c r="B1756" s="8">
        <v>5.0</v>
      </c>
      <c r="C1756" s="7" t="s">
        <v>78</v>
      </c>
      <c r="D1756" s="7" t="s">
        <v>689</v>
      </c>
      <c r="E1756" s="5" t="s">
        <v>2984</v>
      </c>
      <c r="F1756" s="5" t="s">
        <v>2992</v>
      </c>
    </row>
    <row r="1757">
      <c r="A1757" s="5" t="s">
        <v>2922</v>
      </c>
      <c r="B1757" s="8">
        <v>5.0</v>
      </c>
      <c r="C1757" s="7" t="s">
        <v>699</v>
      </c>
      <c r="D1757" s="7" t="s">
        <v>700</v>
      </c>
      <c r="E1757" s="5" t="s">
        <v>2993</v>
      </c>
      <c r="F1757" s="5" t="s">
        <v>2994</v>
      </c>
    </row>
    <row r="1758">
      <c r="A1758" s="5" t="s">
        <v>2924</v>
      </c>
      <c r="B1758" s="8">
        <v>5.0</v>
      </c>
      <c r="C1758" s="7" t="s">
        <v>699</v>
      </c>
      <c r="D1758" s="7" t="s">
        <v>700</v>
      </c>
      <c r="E1758" s="5" t="s">
        <v>2993</v>
      </c>
      <c r="F1758" s="5" t="s">
        <v>2995</v>
      </c>
    </row>
    <row r="1759">
      <c r="A1759" s="5" t="s">
        <v>2925</v>
      </c>
      <c r="B1759" s="8">
        <v>5.0</v>
      </c>
      <c r="C1759" s="7" t="s">
        <v>699</v>
      </c>
      <c r="D1759" s="7" t="s">
        <v>700</v>
      </c>
      <c r="E1759" s="5" t="s">
        <v>2993</v>
      </c>
      <c r="F1759" s="5" t="s">
        <v>2996</v>
      </c>
    </row>
    <row r="1760">
      <c r="A1760" s="7" t="s">
        <v>599</v>
      </c>
      <c r="B1760" s="8">
        <v>5.0</v>
      </c>
      <c r="C1760" s="7" t="s">
        <v>699</v>
      </c>
      <c r="D1760" s="7" t="s">
        <v>700</v>
      </c>
      <c r="E1760" s="5" t="s">
        <v>2993</v>
      </c>
      <c r="F1760" s="5" t="s">
        <v>2994</v>
      </c>
    </row>
    <row r="1761">
      <c r="A1761" s="5" t="s">
        <v>2926</v>
      </c>
      <c r="B1761" s="8">
        <v>5.0</v>
      </c>
      <c r="C1761" s="7" t="s">
        <v>699</v>
      </c>
      <c r="D1761" s="7" t="s">
        <v>700</v>
      </c>
      <c r="E1761" s="5" t="s">
        <v>2993</v>
      </c>
      <c r="F1761" s="5" t="s">
        <v>2997</v>
      </c>
    </row>
    <row r="1762">
      <c r="A1762" s="5" t="s">
        <v>2927</v>
      </c>
      <c r="B1762" s="8">
        <v>5.0</v>
      </c>
      <c r="C1762" s="7" t="s">
        <v>699</v>
      </c>
      <c r="D1762" s="7" t="s">
        <v>700</v>
      </c>
      <c r="E1762" s="5" t="s">
        <v>2993</v>
      </c>
      <c r="F1762" s="5" t="s">
        <v>2998</v>
      </c>
    </row>
    <row r="1763">
      <c r="A1763" s="5" t="s">
        <v>2928</v>
      </c>
      <c r="B1763" s="8">
        <v>5.0</v>
      </c>
      <c r="C1763" s="7" t="s">
        <v>699</v>
      </c>
      <c r="D1763" s="7" t="s">
        <v>700</v>
      </c>
      <c r="E1763" s="5" t="s">
        <v>2993</v>
      </c>
      <c r="F1763" s="5" t="s">
        <v>2999</v>
      </c>
    </row>
    <row r="1764">
      <c r="A1764" s="7" t="s">
        <v>603</v>
      </c>
      <c r="B1764" s="8">
        <v>5.0</v>
      </c>
      <c r="C1764" s="7" t="s">
        <v>699</v>
      </c>
      <c r="D1764" s="7" t="s">
        <v>700</v>
      </c>
      <c r="E1764" s="5" t="s">
        <v>2993</v>
      </c>
      <c r="F1764" s="5" t="s">
        <v>3000</v>
      </c>
    </row>
    <row r="1765">
      <c r="A1765" s="5" t="s">
        <v>2929</v>
      </c>
      <c r="B1765" s="8">
        <v>5.0</v>
      </c>
      <c r="C1765" s="7" t="s">
        <v>699</v>
      </c>
      <c r="D1765" s="7" t="s">
        <v>700</v>
      </c>
      <c r="E1765" s="5" t="s">
        <v>2993</v>
      </c>
      <c r="F1765" s="5" t="s">
        <v>3001</v>
      </c>
    </row>
    <row r="1766">
      <c r="A1766" s="5" t="s">
        <v>2930</v>
      </c>
      <c r="B1766" s="8">
        <v>5.0</v>
      </c>
      <c r="C1766" s="7" t="s">
        <v>699</v>
      </c>
      <c r="D1766" s="7" t="s">
        <v>700</v>
      </c>
      <c r="E1766" s="5" t="s">
        <v>2993</v>
      </c>
      <c r="F1766" s="5" t="s">
        <v>3002</v>
      </c>
    </row>
    <row r="1767">
      <c r="A1767" s="7" t="s">
        <v>606</v>
      </c>
      <c r="B1767" s="8">
        <v>5.0</v>
      </c>
      <c r="C1767" s="7" t="s">
        <v>699</v>
      </c>
      <c r="D1767" s="7" t="s">
        <v>700</v>
      </c>
      <c r="E1767" s="5" t="s">
        <v>2993</v>
      </c>
      <c r="F1767" s="5" t="s">
        <v>2994</v>
      </c>
    </row>
    <row r="1768">
      <c r="A1768" s="5" t="s">
        <v>2602</v>
      </c>
      <c r="B1768" s="8">
        <v>5.0</v>
      </c>
      <c r="C1768" s="7" t="s">
        <v>699</v>
      </c>
      <c r="D1768" s="7" t="s">
        <v>700</v>
      </c>
      <c r="E1768" s="5" t="s">
        <v>2993</v>
      </c>
      <c r="F1768" s="5" t="s">
        <v>3003</v>
      </c>
    </row>
    <row r="1769">
      <c r="A1769" s="5" t="s">
        <v>2931</v>
      </c>
      <c r="B1769" s="8">
        <v>5.0</v>
      </c>
      <c r="C1769" s="7" t="s">
        <v>699</v>
      </c>
      <c r="D1769" s="7" t="s">
        <v>700</v>
      </c>
      <c r="E1769" s="5" t="s">
        <v>2993</v>
      </c>
      <c r="F1769" s="5" t="s">
        <v>3004</v>
      </c>
    </row>
    <row r="1770">
      <c r="A1770" s="5" t="s">
        <v>2932</v>
      </c>
      <c r="B1770" s="8">
        <v>5.0</v>
      </c>
      <c r="C1770" s="7" t="s">
        <v>699</v>
      </c>
      <c r="D1770" s="7" t="s">
        <v>700</v>
      </c>
      <c r="E1770" s="5" t="s">
        <v>2993</v>
      </c>
      <c r="F1770" s="5" t="s">
        <v>3005</v>
      </c>
    </row>
    <row r="1771">
      <c r="A1771" s="5" t="s">
        <v>2933</v>
      </c>
      <c r="B1771" s="8">
        <v>5.0</v>
      </c>
      <c r="C1771" s="7" t="s">
        <v>699</v>
      </c>
      <c r="D1771" s="7" t="s">
        <v>700</v>
      </c>
      <c r="E1771" s="5" t="s">
        <v>2993</v>
      </c>
      <c r="F1771" s="5" t="s">
        <v>3006</v>
      </c>
    </row>
    <row r="1772">
      <c r="A1772" s="5" t="s">
        <v>2606</v>
      </c>
      <c r="B1772" s="8">
        <v>5.0</v>
      </c>
      <c r="C1772" s="7" t="s">
        <v>699</v>
      </c>
      <c r="D1772" s="7" t="s">
        <v>700</v>
      </c>
      <c r="E1772" s="5" t="s">
        <v>2993</v>
      </c>
      <c r="F1772" s="5" t="s">
        <v>3007</v>
      </c>
    </row>
    <row r="1773">
      <c r="A1773" s="5" t="s">
        <v>2934</v>
      </c>
      <c r="B1773" s="8">
        <v>5.0</v>
      </c>
      <c r="C1773" s="7" t="s">
        <v>699</v>
      </c>
      <c r="D1773" s="7" t="s">
        <v>700</v>
      </c>
      <c r="E1773" s="5" t="s">
        <v>2993</v>
      </c>
      <c r="F1773" s="5" t="s">
        <v>2994</v>
      </c>
    </row>
    <row r="1774">
      <c r="A1774" s="5" t="s">
        <v>2607</v>
      </c>
      <c r="B1774" s="8">
        <v>5.0</v>
      </c>
      <c r="C1774" s="7" t="s">
        <v>699</v>
      </c>
      <c r="D1774" s="7" t="s">
        <v>700</v>
      </c>
      <c r="E1774" s="5" t="s">
        <v>2993</v>
      </c>
      <c r="F1774" s="5" t="s">
        <v>3008</v>
      </c>
    </row>
    <row r="1775">
      <c r="A1775" s="5" t="s">
        <v>2935</v>
      </c>
      <c r="B1775" s="8">
        <v>5.0</v>
      </c>
      <c r="C1775" s="7" t="s">
        <v>699</v>
      </c>
      <c r="D1775" s="7" t="s">
        <v>700</v>
      </c>
      <c r="E1775" s="5" t="s">
        <v>2993</v>
      </c>
      <c r="F1775" s="5" t="s">
        <v>2994</v>
      </c>
    </row>
    <row r="1776">
      <c r="A1776" s="5" t="s">
        <v>2936</v>
      </c>
      <c r="B1776" s="8">
        <v>5.0</v>
      </c>
      <c r="C1776" s="7" t="s">
        <v>699</v>
      </c>
      <c r="D1776" s="7" t="s">
        <v>700</v>
      </c>
      <c r="E1776" s="5" t="s">
        <v>2993</v>
      </c>
      <c r="F1776" s="5" t="s">
        <v>3009</v>
      </c>
    </row>
    <row r="1777">
      <c r="A1777" s="5" t="s">
        <v>2608</v>
      </c>
      <c r="B1777" s="8">
        <v>5.0</v>
      </c>
      <c r="C1777" s="7" t="s">
        <v>699</v>
      </c>
      <c r="D1777" s="7" t="s">
        <v>700</v>
      </c>
      <c r="E1777" s="5" t="s">
        <v>2993</v>
      </c>
      <c r="F1777" s="5" t="s">
        <v>3010</v>
      </c>
    </row>
    <row r="1778">
      <c r="A1778" s="5" t="s">
        <v>2609</v>
      </c>
      <c r="B1778" s="8">
        <v>5.0</v>
      </c>
      <c r="C1778" s="7" t="s">
        <v>699</v>
      </c>
      <c r="D1778" s="7" t="s">
        <v>700</v>
      </c>
      <c r="E1778" s="5" t="s">
        <v>2993</v>
      </c>
      <c r="F1778" s="5" t="s">
        <v>3011</v>
      </c>
    </row>
    <row r="1779">
      <c r="A1779" s="5" t="s">
        <v>2922</v>
      </c>
      <c r="B1779" s="8">
        <v>5.0</v>
      </c>
      <c r="C1779" s="7" t="s">
        <v>101</v>
      </c>
      <c r="D1779" s="7" t="s">
        <v>720</v>
      </c>
      <c r="E1779" s="5" t="s">
        <v>3012</v>
      </c>
      <c r="F1779" s="5" t="s">
        <v>2650</v>
      </c>
    </row>
    <row r="1780">
      <c r="A1780" s="5" t="s">
        <v>2924</v>
      </c>
      <c r="B1780" s="8">
        <v>5.0</v>
      </c>
      <c r="C1780" s="7" t="s">
        <v>101</v>
      </c>
      <c r="D1780" s="7" t="s">
        <v>720</v>
      </c>
      <c r="E1780" s="5" t="s">
        <v>3012</v>
      </c>
      <c r="F1780" s="5" t="s">
        <v>2650</v>
      </c>
    </row>
    <row r="1781">
      <c r="A1781" s="5" t="s">
        <v>2925</v>
      </c>
      <c r="B1781" s="8">
        <v>5.0</v>
      </c>
      <c r="C1781" s="7" t="s">
        <v>101</v>
      </c>
      <c r="D1781" s="7" t="s">
        <v>720</v>
      </c>
      <c r="E1781" s="5" t="s">
        <v>3012</v>
      </c>
      <c r="F1781" s="5" t="s">
        <v>2650</v>
      </c>
    </row>
    <row r="1782">
      <c r="A1782" s="7" t="s">
        <v>599</v>
      </c>
      <c r="B1782" s="8">
        <v>5.0</v>
      </c>
      <c r="C1782" s="7" t="s">
        <v>101</v>
      </c>
      <c r="D1782" s="7" t="s">
        <v>720</v>
      </c>
      <c r="E1782" s="5" t="s">
        <v>3012</v>
      </c>
      <c r="F1782" s="5" t="s">
        <v>2650</v>
      </c>
    </row>
    <row r="1783">
      <c r="A1783" s="5" t="s">
        <v>2926</v>
      </c>
      <c r="B1783" s="8">
        <v>5.0</v>
      </c>
      <c r="C1783" s="7" t="s">
        <v>101</v>
      </c>
      <c r="D1783" s="7" t="s">
        <v>720</v>
      </c>
      <c r="E1783" s="5" t="s">
        <v>3012</v>
      </c>
      <c r="F1783" s="5" t="s">
        <v>2645</v>
      </c>
    </row>
    <row r="1784">
      <c r="A1784" s="5" t="s">
        <v>2927</v>
      </c>
      <c r="B1784" s="8">
        <v>5.0</v>
      </c>
      <c r="C1784" s="7" t="s">
        <v>101</v>
      </c>
      <c r="D1784" s="7" t="s">
        <v>720</v>
      </c>
      <c r="E1784" s="5" t="s">
        <v>3012</v>
      </c>
      <c r="F1784" s="5" t="s">
        <v>3013</v>
      </c>
    </row>
    <row r="1785">
      <c r="A1785" s="5" t="s">
        <v>2928</v>
      </c>
      <c r="B1785" s="8">
        <v>5.0</v>
      </c>
      <c r="C1785" s="7" t="s">
        <v>101</v>
      </c>
      <c r="D1785" s="7" t="s">
        <v>720</v>
      </c>
      <c r="E1785" s="5" t="s">
        <v>3012</v>
      </c>
      <c r="F1785" s="5" t="s">
        <v>2650</v>
      </c>
    </row>
    <row r="1786">
      <c r="A1786" s="7" t="s">
        <v>603</v>
      </c>
      <c r="B1786" s="8">
        <v>5.0</v>
      </c>
      <c r="C1786" s="7" t="s">
        <v>101</v>
      </c>
      <c r="D1786" s="7" t="s">
        <v>720</v>
      </c>
      <c r="E1786" s="5" t="s">
        <v>3012</v>
      </c>
      <c r="F1786" s="5" t="s">
        <v>3014</v>
      </c>
    </row>
    <row r="1787">
      <c r="A1787" s="5" t="s">
        <v>2929</v>
      </c>
      <c r="B1787" s="8">
        <v>5.0</v>
      </c>
      <c r="C1787" s="7" t="s">
        <v>101</v>
      </c>
      <c r="D1787" s="7" t="s">
        <v>720</v>
      </c>
      <c r="E1787" s="5" t="s">
        <v>3012</v>
      </c>
      <c r="F1787" s="5" t="s">
        <v>2646</v>
      </c>
    </row>
    <row r="1788">
      <c r="A1788" s="5" t="s">
        <v>2930</v>
      </c>
      <c r="B1788" s="8">
        <v>5.0</v>
      </c>
      <c r="C1788" s="7" t="s">
        <v>101</v>
      </c>
      <c r="D1788" s="7" t="s">
        <v>720</v>
      </c>
      <c r="E1788" s="5" t="s">
        <v>3012</v>
      </c>
      <c r="F1788" s="5" t="s">
        <v>2650</v>
      </c>
    </row>
    <row r="1789">
      <c r="A1789" s="7" t="s">
        <v>606</v>
      </c>
      <c r="B1789" s="8">
        <v>5.0</v>
      </c>
      <c r="C1789" s="7" t="s">
        <v>101</v>
      </c>
      <c r="D1789" s="7" t="s">
        <v>720</v>
      </c>
      <c r="E1789" s="5" t="s">
        <v>3012</v>
      </c>
      <c r="F1789" s="5" t="s">
        <v>2650</v>
      </c>
    </row>
    <row r="1790">
      <c r="A1790" s="5" t="s">
        <v>2602</v>
      </c>
      <c r="B1790" s="8">
        <v>5.0</v>
      </c>
      <c r="C1790" s="7" t="s">
        <v>101</v>
      </c>
      <c r="D1790" s="7" t="s">
        <v>720</v>
      </c>
      <c r="E1790" s="5" t="s">
        <v>3012</v>
      </c>
      <c r="F1790" s="5" t="s">
        <v>3015</v>
      </c>
    </row>
    <row r="1791">
      <c r="A1791" s="5" t="s">
        <v>2931</v>
      </c>
      <c r="B1791" s="8">
        <v>5.0</v>
      </c>
      <c r="C1791" s="7" t="s">
        <v>101</v>
      </c>
      <c r="D1791" s="7" t="s">
        <v>720</v>
      </c>
      <c r="E1791" s="5" t="s">
        <v>3012</v>
      </c>
      <c r="F1791" s="5" t="s">
        <v>2646</v>
      </c>
    </row>
    <row r="1792">
      <c r="A1792" s="5" t="s">
        <v>2932</v>
      </c>
      <c r="B1792" s="8">
        <v>5.0</v>
      </c>
      <c r="C1792" s="7" t="s">
        <v>101</v>
      </c>
      <c r="D1792" s="7" t="s">
        <v>720</v>
      </c>
      <c r="E1792" s="5" t="s">
        <v>3012</v>
      </c>
      <c r="F1792" s="5" t="s">
        <v>2650</v>
      </c>
    </row>
    <row r="1793">
      <c r="A1793" s="5" t="s">
        <v>2933</v>
      </c>
      <c r="B1793" s="8">
        <v>5.0</v>
      </c>
      <c r="C1793" s="7" t="s">
        <v>101</v>
      </c>
      <c r="D1793" s="7" t="s">
        <v>720</v>
      </c>
      <c r="E1793" s="5" t="s">
        <v>3012</v>
      </c>
      <c r="F1793" s="5" t="s">
        <v>2650</v>
      </c>
    </row>
    <row r="1794">
      <c r="A1794" s="5" t="s">
        <v>2606</v>
      </c>
      <c r="B1794" s="8">
        <v>5.0</v>
      </c>
      <c r="C1794" s="7" t="s">
        <v>101</v>
      </c>
      <c r="D1794" s="7" t="s">
        <v>720</v>
      </c>
      <c r="E1794" s="5" t="s">
        <v>3012</v>
      </c>
      <c r="F1794" s="5" t="s">
        <v>2650</v>
      </c>
    </row>
    <row r="1795">
      <c r="A1795" s="5" t="s">
        <v>2934</v>
      </c>
      <c r="B1795" s="8">
        <v>5.0</v>
      </c>
      <c r="C1795" s="7" t="s">
        <v>101</v>
      </c>
      <c r="D1795" s="7" t="s">
        <v>720</v>
      </c>
      <c r="E1795" s="5" t="s">
        <v>3012</v>
      </c>
      <c r="F1795" s="5" t="s">
        <v>2650</v>
      </c>
    </row>
    <row r="1796">
      <c r="A1796" s="5" t="s">
        <v>2607</v>
      </c>
      <c r="B1796" s="8">
        <v>5.0</v>
      </c>
      <c r="C1796" s="7" t="s">
        <v>101</v>
      </c>
      <c r="D1796" s="7" t="s">
        <v>720</v>
      </c>
      <c r="E1796" s="5" t="s">
        <v>3012</v>
      </c>
      <c r="F1796" s="5" t="s">
        <v>2650</v>
      </c>
    </row>
    <row r="1797">
      <c r="A1797" s="5" t="s">
        <v>2935</v>
      </c>
      <c r="B1797" s="8">
        <v>5.0</v>
      </c>
      <c r="C1797" s="7" t="s">
        <v>101</v>
      </c>
      <c r="D1797" s="7" t="s">
        <v>720</v>
      </c>
      <c r="E1797" s="5" t="s">
        <v>3012</v>
      </c>
      <c r="F1797" s="5" t="s">
        <v>2650</v>
      </c>
    </row>
    <row r="1798">
      <c r="A1798" s="5" t="s">
        <v>2936</v>
      </c>
      <c r="B1798" s="8">
        <v>5.0</v>
      </c>
      <c r="C1798" s="7" t="s">
        <v>101</v>
      </c>
      <c r="D1798" s="7" t="s">
        <v>720</v>
      </c>
      <c r="E1798" s="5" t="s">
        <v>3012</v>
      </c>
      <c r="F1798" s="5" t="s">
        <v>2650</v>
      </c>
    </row>
    <row r="1799">
      <c r="A1799" s="5" t="s">
        <v>2608</v>
      </c>
      <c r="B1799" s="8">
        <v>5.0</v>
      </c>
      <c r="C1799" s="7" t="s">
        <v>101</v>
      </c>
      <c r="D1799" s="7" t="s">
        <v>720</v>
      </c>
      <c r="E1799" s="5" t="s">
        <v>3012</v>
      </c>
      <c r="F1799" s="5" t="s">
        <v>3016</v>
      </c>
    </row>
    <row r="1800">
      <c r="A1800" s="5" t="s">
        <v>2609</v>
      </c>
      <c r="B1800" s="8">
        <v>5.0</v>
      </c>
      <c r="C1800" s="7" t="s">
        <v>101</v>
      </c>
      <c r="D1800" s="7" t="s">
        <v>720</v>
      </c>
      <c r="E1800" s="5" t="s">
        <v>3012</v>
      </c>
      <c r="F1800" s="5" t="s">
        <v>2650</v>
      </c>
    </row>
    <row r="1801">
      <c r="A1801" s="5" t="s">
        <v>2922</v>
      </c>
      <c r="B1801" s="8">
        <v>5.0</v>
      </c>
      <c r="C1801" s="7" t="s">
        <v>112</v>
      </c>
      <c r="D1801" s="7" t="s">
        <v>726</v>
      </c>
      <c r="E1801" s="5" t="s">
        <v>727</v>
      </c>
      <c r="F1801" s="5" t="s">
        <v>728</v>
      </c>
    </row>
    <row r="1802">
      <c r="A1802" s="5" t="s">
        <v>2924</v>
      </c>
      <c r="B1802" s="8">
        <v>5.0</v>
      </c>
      <c r="C1802" s="7" t="s">
        <v>112</v>
      </c>
      <c r="D1802" s="7" t="s">
        <v>726</v>
      </c>
      <c r="E1802" s="5" t="s">
        <v>727</v>
      </c>
      <c r="F1802" s="5" t="s">
        <v>2653</v>
      </c>
    </row>
    <row r="1803">
      <c r="A1803" s="5" t="s">
        <v>2925</v>
      </c>
      <c r="B1803" s="8">
        <v>5.0</v>
      </c>
      <c r="C1803" s="7" t="s">
        <v>112</v>
      </c>
      <c r="D1803" s="7" t="s">
        <v>726</v>
      </c>
      <c r="E1803" s="5" t="s">
        <v>727</v>
      </c>
      <c r="F1803" s="5" t="s">
        <v>2653</v>
      </c>
    </row>
    <row r="1804">
      <c r="A1804" s="7" t="s">
        <v>599</v>
      </c>
      <c r="B1804" s="8">
        <v>5.0</v>
      </c>
      <c r="C1804" s="7" t="s">
        <v>112</v>
      </c>
      <c r="D1804" s="7" t="s">
        <v>726</v>
      </c>
      <c r="E1804" s="5" t="s">
        <v>727</v>
      </c>
      <c r="F1804" s="5" t="s">
        <v>2653</v>
      </c>
    </row>
    <row r="1805">
      <c r="A1805" s="5" t="s">
        <v>2926</v>
      </c>
      <c r="B1805" s="8">
        <v>5.0</v>
      </c>
      <c r="C1805" s="7" t="s">
        <v>112</v>
      </c>
      <c r="D1805" s="7" t="s">
        <v>726</v>
      </c>
      <c r="E1805" s="5" t="s">
        <v>727</v>
      </c>
      <c r="F1805" s="5" t="s">
        <v>3017</v>
      </c>
    </row>
    <row r="1806">
      <c r="A1806" s="5" t="s">
        <v>2927</v>
      </c>
      <c r="B1806" s="8">
        <v>5.0</v>
      </c>
      <c r="C1806" s="7" t="s">
        <v>112</v>
      </c>
      <c r="D1806" s="7" t="s">
        <v>726</v>
      </c>
      <c r="E1806" s="5" t="s">
        <v>727</v>
      </c>
      <c r="F1806" s="5" t="s">
        <v>3018</v>
      </c>
    </row>
    <row r="1807">
      <c r="A1807" s="5" t="s">
        <v>2928</v>
      </c>
      <c r="B1807" s="8">
        <v>5.0</v>
      </c>
      <c r="C1807" s="7" t="s">
        <v>112</v>
      </c>
      <c r="D1807" s="7" t="s">
        <v>726</v>
      </c>
      <c r="E1807" s="5" t="s">
        <v>727</v>
      </c>
      <c r="F1807" s="5" t="s">
        <v>3019</v>
      </c>
    </row>
    <row r="1808">
      <c r="A1808" s="7" t="s">
        <v>603</v>
      </c>
      <c r="B1808" s="8">
        <v>5.0</v>
      </c>
      <c r="C1808" s="7" t="s">
        <v>112</v>
      </c>
      <c r="D1808" s="7" t="s">
        <v>726</v>
      </c>
      <c r="E1808" s="5" t="s">
        <v>727</v>
      </c>
      <c r="F1808" s="5" t="s">
        <v>3020</v>
      </c>
    </row>
    <row r="1809">
      <c r="A1809" s="5" t="s">
        <v>2929</v>
      </c>
      <c r="B1809" s="8">
        <v>5.0</v>
      </c>
      <c r="C1809" s="7" t="s">
        <v>112</v>
      </c>
      <c r="D1809" s="7" t="s">
        <v>726</v>
      </c>
      <c r="E1809" s="5" t="s">
        <v>727</v>
      </c>
      <c r="F1809" s="5" t="s">
        <v>2653</v>
      </c>
    </row>
    <row r="1810">
      <c r="A1810" s="5" t="s">
        <v>2930</v>
      </c>
      <c r="B1810" s="8">
        <v>5.0</v>
      </c>
      <c r="C1810" s="7" t="s">
        <v>112</v>
      </c>
      <c r="D1810" s="7" t="s">
        <v>726</v>
      </c>
      <c r="E1810" s="5" t="s">
        <v>727</v>
      </c>
      <c r="F1810" s="5" t="s">
        <v>2653</v>
      </c>
    </row>
    <row r="1811">
      <c r="A1811" s="7" t="s">
        <v>606</v>
      </c>
      <c r="B1811" s="8">
        <v>5.0</v>
      </c>
      <c r="C1811" s="7" t="s">
        <v>112</v>
      </c>
      <c r="D1811" s="7" t="s">
        <v>726</v>
      </c>
      <c r="E1811" s="5" t="s">
        <v>727</v>
      </c>
      <c r="F1811" s="5" t="s">
        <v>2653</v>
      </c>
    </row>
    <row r="1812">
      <c r="A1812" s="5" t="s">
        <v>2602</v>
      </c>
      <c r="B1812" s="8">
        <v>5.0</v>
      </c>
      <c r="C1812" s="7" t="s">
        <v>112</v>
      </c>
      <c r="D1812" s="7" t="s">
        <v>726</v>
      </c>
      <c r="E1812" s="5" t="s">
        <v>727</v>
      </c>
      <c r="F1812" s="5" t="s">
        <v>2653</v>
      </c>
    </row>
    <row r="1813">
      <c r="A1813" s="5" t="s">
        <v>2931</v>
      </c>
      <c r="B1813" s="8">
        <v>5.0</v>
      </c>
      <c r="C1813" s="7" t="s">
        <v>112</v>
      </c>
      <c r="D1813" s="7" t="s">
        <v>726</v>
      </c>
      <c r="E1813" s="5" t="s">
        <v>727</v>
      </c>
      <c r="F1813" s="5" t="s">
        <v>2653</v>
      </c>
    </row>
    <row r="1814">
      <c r="A1814" s="5" t="s">
        <v>2932</v>
      </c>
      <c r="B1814" s="8">
        <v>5.0</v>
      </c>
      <c r="C1814" s="7" t="s">
        <v>112</v>
      </c>
      <c r="D1814" s="7" t="s">
        <v>726</v>
      </c>
      <c r="E1814" s="5" t="s">
        <v>727</v>
      </c>
      <c r="F1814" s="5" t="s">
        <v>2653</v>
      </c>
    </row>
    <row r="1815">
      <c r="A1815" s="5" t="s">
        <v>2933</v>
      </c>
      <c r="B1815" s="8">
        <v>5.0</v>
      </c>
      <c r="C1815" s="7" t="s">
        <v>112</v>
      </c>
      <c r="D1815" s="7" t="s">
        <v>726</v>
      </c>
      <c r="E1815" s="5" t="s">
        <v>727</v>
      </c>
      <c r="F1815" s="5" t="s">
        <v>2653</v>
      </c>
    </row>
    <row r="1816">
      <c r="A1816" s="5" t="s">
        <v>2606</v>
      </c>
      <c r="B1816" s="8">
        <v>5.0</v>
      </c>
      <c r="C1816" s="7" t="s">
        <v>112</v>
      </c>
      <c r="D1816" s="7" t="s">
        <v>726</v>
      </c>
      <c r="E1816" s="5" t="s">
        <v>727</v>
      </c>
      <c r="F1816" s="5" t="s">
        <v>2653</v>
      </c>
    </row>
    <row r="1817">
      <c r="A1817" s="5" t="s">
        <v>2934</v>
      </c>
      <c r="B1817" s="8">
        <v>5.0</v>
      </c>
      <c r="C1817" s="7" t="s">
        <v>112</v>
      </c>
      <c r="D1817" s="7" t="s">
        <v>726</v>
      </c>
      <c r="E1817" s="5" t="s">
        <v>727</v>
      </c>
      <c r="F1817" s="5" t="s">
        <v>2653</v>
      </c>
    </row>
    <row r="1818">
      <c r="A1818" s="5" t="s">
        <v>2607</v>
      </c>
      <c r="B1818" s="8">
        <v>5.0</v>
      </c>
      <c r="C1818" s="7" t="s">
        <v>112</v>
      </c>
      <c r="D1818" s="7" t="s">
        <v>726</v>
      </c>
      <c r="E1818" s="5" t="s">
        <v>727</v>
      </c>
      <c r="F1818" s="5" t="s">
        <v>2653</v>
      </c>
    </row>
    <row r="1819">
      <c r="A1819" s="5" t="s">
        <v>2935</v>
      </c>
      <c r="B1819" s="8">
        <v>5.0</v>
      </c>
      <c r="C1819" s="7" t="s">
        <v>112</v>
      </c>
      <c r="D1819" s="7" t="s">
        <v>726</v>
      </c>
      <c r="E1819" s="5" t="s">
        <v>727</v>
      </c>
      <c r="F1819" s="5" t="s">
        <v>2653</v>
      </c>
    </row>
    <row r="1820">
      <c r="A1820" s="5" t="s">
        <v>2936</v>
      </c>
      <c r="B1820" s="8">
        <v>5.0</v>
      </c>
      <c r="C1820" s="7" t="s">
        <v>112</v>
      </c>
      <c r="D1820" s="7" t="s">
        <v>726</v>
      </c>
      <c r="E1820" s="5" t="s">
        <v>727</v>
      </c>
      <c r="F1820" s="5" t="s">
        <v>2653</v>
      </c>
    </row>
    <row r="1821">
      <c r="A1821" s="5" t="s">
        <v>2608</v>
      </c>
      <c r="B1821" s="8">
        <v>5.0</v>
      </c>
      <c r="C1821" s="7" t="s">
        <v>112</v>
      </c>
      <c r="D1821" s="7" t="s">
        <v>726</v>
      </c>
      <c r="E1821" s="5" t="s">
        <v>727</v>
      </c>
      <c r="F1821" s="5" t="s">
        <v>2653</v>
      </c>
    </row>
    <row r="1822">
      <c r="A1822" s="5" t="s">
        <v>2609</v>
      </c>
      <c r="B1822" s="8">
        <v>5.0</v>
      </c>
      <c r="C1822" s="7" t="s">
        <v>112</v>
      </c>
      <c r="D1822" s="7" t="s">
        <v>726</v>
      </c>
      <c r="E1822" s="5" t="s">
        <v>727</v>
      </c>
      <c r="F1822" s="5" t="s">
        <v>3021</v>
      </c>
    </row>
    <row r="1823">
      <c r="A1823" s="5" t="s">
        <v>2924</v>
      </c>
      <c r="B1823" s="8">
        <v>5.0</v>
      </c>
      <c r="C1823" s="7" t="s">
        <v>734</v>
      </c>
      <c r="D1823" s="7" t="s">
        <v>735</v>
      </c>
      <c r="E1823" s="5" t="s">
        <v>3022</v>
      </c>
      <c r="F1823" s="5" t="s">
        <v>737</v>
      </c>
    </row>
    <row r="1824">
      <c r="A1824" s="5" t="s">
        <v>2925</v>
      </c>
      <c r="B1824" s="8">
        <v>5.0</v>
      </c>
      <c r="C1824" s="7" t="s">
        <v>734</v>
      </c>
      <c r="D1824" s="7" t="s">
        <v>735</v>
      </c>
      <c r="E1824" s="5" t="s">
        <v>3022</v>
      </c>
      <c r="F1824" s="5" t="s">
        <v>737</v>
      </c>
    </row>
    <row r="1825">
      <c r="A1825" s="7" t="s">
        <v>599</v>
      </c>
      <c r="B1825" s="8">
        <v>5.0</v>
      </c>
      <c r="C1825" s="7" t="s">
        <v>734</v>
      </c>
      <c r="D1825" s="7" t="s">
        <v>735</v>
      </c>
      <c r="E1825" s="5" t="s">
        <v>3022</v>
      </c>
      <c r="F1825" s="5" t="s">
        <v>737</v>
      </c>
    </row>
    <row r="1826">
      <c r="A1826" s="5" t="s">
        <v>2926</v>
      </c>
      <c r="B1826" s="8">
        <v>5.0</v>
      </c>
      <c r="C1826" s="7" t="s">
        <v>734</v>
      </c>
      <c r="D1826" s="7" t="s">
        <v>735</v>
      </c>
      <c r="E1826" s="5" t="s">
        <v>3022</v>
      </c>
      <c r="F1826" s="5" t="s">
        <v>737</v>
      </c>
    </row>
    <row r="1827">
      <c r="A1827" s="5" t="s">
        <v>2927</v>
      </c>
      <c r="B1827" s="8">
        <v>5.0</v>
      </c>
      <c r="C1827" s="7" t="s">
        <v>734</v>
      </c>
      <c r="D1827" s="7" t="s">
        <v>735</v>
      </c>
      <c r="E1827" s="5" t="s">
        <v>3022</v>
      </c>
      <c r="F1827" s="5" t="s">
        <v>738</v>
      </c>
    </row>
    <row r="1828">
      <c r="A1828" s="5" t="s">
        <v>2928</v>
      </c>
      <c r="B1828" s="8">
        <v>5.0</v>
      </c>
      <c r="C1828" s="7" t="s">
        <v>734</v>
      </c>
      <c r="D1828" s="7" t="s">
        <v>735</v>
      </c>
      <c r="E1828" s="5" t="s">
        <v>3022</v>
      </c>
      <c r="F1828" s="5" t="s">
        <v>3023</v>
      </c>
    </row>
    <row r="1829">
      <c r="A1829" s="7" t="s">
        <v>603</v>
      </c>
      <c r="B1829" s="8">
        <v>5.0</v>
      </c>
      <c r="C1829" s="7" t="s">
        <v>734</v>
      </c>
      <c r="D1829" s="7" t="s">
        <v>735</v>
      </c>
      <c r="E1829" s="5" t="s">
        <v>3022</v>
      </c>
      <c r="F1829" s="5" t="s">
        <v>737</v>
      </c>
    </row>
    <row r="1830">
      <c r="A1830" s="5" t="s">
        <v>2929</v>
      </c>
      <c r="B1830" s="8">
        <v>5.0</v>
      </c>
      <c r="C1830" s="7" t="s">
        <v>734</v>
      </c>
      <c r="D1830" s="7" t="s">
        <v>735</v>
      </c>
      <c r="E1830" s="5" t="s">
        <v>3022</v>
      </c>
      <c r="F1830" s="5" t="s">
        <v>737</v>
      </c>
    </row>
    <row r="1831">
      <c r="A1831" s="5" t="s">
        <v>2930</v>
      </c>
      <c r="B1831" s="8">
        <v>5.0</v>
      </c>
      <c r="C1831" s="7" t="s">
        <v>734</v>
      </c>
      <c r="D1831" s="7" t="s">
        <v>735</v>
      </c>
      <c r="E1831" s="5" t="s">
        <v>3022</v>
      </c>
      <c r="F1831" s="5" t="s">
        <v>737</v>
      </c>
    </row>
    <row r="1832">
      <c r="A1832" s="7" t="s">
        <v>606</v>
      </c>
      <c r="B1832" s="8">
        <v>5.0</v>
      </c>
      <c r="C1832" s="7" t="s">
        <v>734</v>
      </c>
      <c r="D1832" s="7" t="s">
        <v>735</v>
      </c>
      <c r="E1832" s="5" t="s">
        <v>3022</v>
      </c>
      <c r="F1832" s="5" t="s">
        <v>737</v>
      </c>
    </row>
    <row r="1833">
      <c r="A1833" s="5" t="s">
        <v>2602</v>
      </c>
      <c r="B1833" s="8">
        <v>5.0</v>
      </c>
      <c r="C1833" s="7" t="s">
        <v>734</v>
      </c>
      <c r="D1833" s="7" t="s">
        <v>735</v>
      </c>
      <c r="E1833" s="5" t="s">
        <v>3022</v>
      </c>
      <c r="F1833" s="5" t="s">
        <v>737</v>
      </c>
    </row>
    <row r="1834">
      <c r="A1834" s="5" t="s">
        <v>2931</v>
      </c>
      <c r="B1834" s="8">
        <v>5.0</v>
      </c>
      <c r="C1834" s="7" t="s">
        <v>734</v>
      </c>
      <c r="D1834" s="7" t="s">
        <v>735</v>
      </c>
      <c r="E1834" s="5" t="s">
        <v>3022</v>
      </c>
      <c r="F1834" s="5" t="s">
        <v>737</v>
      </c>
    </row>
    <row r="1835">
      <c r="A1835" s="5" t="s">
        <v>2932</v>
      </c>
      <c r="B1835" s="8">
        <v>5.0</v>
      </c>
      <c r="C1835" s="7" t="s">
        <v>734</v>
      </c>
      <c r="D1835" s="7" t="s">
        <v>735</v>
      </c>
      <c r="E1835" s="5" t="s">
        <v>3022</v>
      </c>
      <c r="F1835" s="5" t="s">
        <v>737</v>
      </c>
    </row>
    <row r="1836">
      <c r="A1836" s="5" t="s">
        <v>2933</v>
      </c>
      <c r="B1836" s="8">
        <v>5.0</v>
      </c>
      <c r="C1836" s="7" t="s">
        <v>734</v>
      </c>
      <c r="D1836" s="7" t="s">
        <v>735</v>
      </c>
      <c r="E1836" s="5" t="s">
        <v>3022</v>
      </c>
      <c r="F1836" s="5" t="s">
        <v>737</v>
      </c>
    </row>
    <row r="1837">
      <c r="A1837" s="5" t="s">
        <v>2606</v>
      </c>
      <c r="B1837" s="8">
        <v>5.0</v>
      </c>
      <c r="C1837" s="7" t="s">
        <v>734</v>
      </c>
      <c r="D1837" s="7" t="s">
        <v>735</v>
      </c>
      <c r="E1837" s="5" t="s">
        <v>3022</v>
      </c>
      <c r="F1837" s="5" t="s">
        <v>737</v>
      </c>
    </row>
    <row r="1838">
      <c r="A1838" s="5" t="s">
        <v>2934</v>
      </c>
      <c r="B1838" s="8">
        <v>5.0</v>
      </c>
      <c r="C1838" s="7" t="s">
        <v>734</v>
      </c>
      <c r="D1838" s="7" t="s">
        <v>735</v>
      </c>
      <c r="E1838" s="5" t="s">
        <v>3022</v>
      </c>
      <c r="F1838" s="5" t="s">
        <v>737</v>
      </c>
    </row>
    <row r="1839">
      <c r="A1839" s="5" t="s">
        <v>2607</v>
      </c>
      <c r="B1839" s="8">
        <v>5.0</v>
      </c>
      <c r="C1839" s="7" t="s">
        <v>734</v>
      </c>
      <c r="D1839" s="7" t="s">
        <v>735</v>
      </c>
      <c r="E1839" s="5" t="s">
        <v>3022</v>
      </c>
      <c r="F1839" s="5" t="s">
        <v>737</v>
      </c>
    </row>
    <row r="1840">
      <c r="A1840" s="5" t="s">
        <v>2935</v>
      </c>
      <c r="B1840" s="8">
        <v>5.0</v>
      </c>
      <c r="C1840" s="7" t="s">
        <v>734</v>
      </c>
      <c r="D1840" s="7" t="s">
        <v>735</v>
      </c>
      <c r="E1840" s="5" t="s">
        <v>3022</v>
      </c>
      <c r="F1840" s="5" t="s">
        <v>737</v>
      </c>
    </row>
    <row r="1841">
      <c r="A1841" s="5" t="s">
        <v>2936</v>
      </c>
      <c r="B1841" s="8">
        <v>5.0</v>
      </c>
      <c r="C1841" s="7" t="s">
        <v>734</v>
      </c>
      <c r="D1841" s="7" t="s">
        <v>735</v>
      </c>
      <c r="E1841" s="5" t="s">
        <v>3022</v>
      </c>
      <c r="F1841" s="5" t="s">
        <v>737</v>
      </c>
    </row>
    <row r="1842">
      <c r="A1842" s="5" t="s">
        <v>2608</v>
      </c>
      <c r="B1842" s="8">
        <v>5.0</v>
      </c>
      <c r="C1842" s="7" t="s">
        <v>734</v>
      </c>
      <c r="D1842" s="7" t="s">
        <v>735</v>
      </c>
      <c r="E1842" s="5" t="s">
        <v>3022</v>
      </c>
      <c r="F1842" s="5" t="s">
        <v>737</v>
      </c>
    </row>
    <row r="1843">
      <c r="A1843" s="5" t="s">
        <v>2609</v>
      </c>
      <c r="B1843" s="8">
        <v>5.0</v>
      </c>
      <c r="C1843" s="7" t="s">
        <v>734</v>
      </c>
      <c r="D1843" s="7" t="s">
        <v>735</v>
      </c>
      <c r="E1843" s="5" t="s">
        <v>3022</v>
      </c>
      <c r="F1843" s="5" t="s">
        <v>3024</v>
      </c>
    </row>
    <row r="1844">
      <c r="A1844" s="5" t="s">
        <v>2924</v>
      </c>
      <c r="B1844" s="8">
        <v>5.0</v>
      </c>
      <c r="C1844" s="7" t="s">
        <v>741</v>
      </c>
      <c r="D1844" s="7" t="s">
        <v>742</v>
      </c>
      <c r="E1844" s="7" t="s">
        <v>743</v>
      </c>
      <c r="F1844" s="7" t="s">
        <v>744</v>
      </c>
    </row>
    <row r="1845">
      <c r="A1845" s="5" t="s">
        <v>2925</v>
      </c>
      <c r="B1845" s="8">
        <v>5.0</v>
      </c>
      <c r="C1845" s="7" t="s">
        <v>741</v>
      </c>
      <c r="D1845" s="7" t="s">
        <v>742</v>
      </c>
      <c r="E1845" s="7" t="s">
        <v>743</v>
      </c>
      <c r="F1845" s="7" t="s">
        <v>744</v>
      </c>
    </row>
    <row r="1846">
      <c r="A1846" s="7" t="s">
        <v>599</v>
      </c>
      <c r="B1846" s="8">
        <v>5.0</v>
      </c>
      <c r="C1846" s="7" t="s">
        <v>741</v>
      </c>
      <c r="D1846" s="7" t="s">
        <v>742</v>
      </c>
      <c r="E1846" s="7" t="s">
        <v>743</v>
      </c>
      <c r="F1846" s="7" t="s">
        <v>744</v>
      </c>
    </row>
    <row r="1847">
      <c r="A1847" s="5" t="s">
        <v>2926</v>
      </c>
      <c r="B1847" s="8">
        <v>5.0</v>
      </c>
      <c r="C1847" s="7" t="s">
        <v>741</v>
      </c>
      <c r="D1847" s="7" t="s">
        <v>742</v>
      </c>
      <c r="E1847" s="7" t="s">
        <v>743</v>
      </c>
      <c r="F1847" s="7" t="s">
        <v>744</v>
      </c>
    </row>
    <row r="1848">
      <c r="A1848" s="5" t="s">
        <v>2927</v>
      </c>
      <c r="B1848" s="8">
        <v>5.0</v>
      </c>
      <c r="C1848" s="7" t="s">
        <v>741</v>
      </c>
      <c r="D1848" s="7" t="s">
        <v>742</v>
      </c>
      <c r="E1848" s="7" t="s">
        <v>743</v>
      </c>
      <c r="F1848" s="7" t="s">
        <v>745</v>
      </c>
    </row>
    <row r="1849">
      <c r="A1849" s="5" t="s">
        <v>2928</v>
      </c>
      <c r="B1849" s="8">
        <v>5.0</v>
      </c>
      <c r="C1849" s="7" t="s">
        <v>741</v>
      </c>
      <c r="D1849" s="7" t="s">
        <v>742</v>
      </c>
      <c r="E1849" s="7" t="s">
        <v>743</v>
      </c>
      <c r="F1849" s="7" t="s">
        <v>744</v>
      </c>
    </row>
    <row r="1850">
      <c r="A1850" s="7" t="s">
        <v>603</v>
      </c>
      <c r="B1850" s="8">
        <v>5.0</v>
      </c>
      <c r="C1850" s="7" t="s">
        <v>741</v>
      </c>
      <c r="D1850" s="7" t="s">
        <v>742</v>
      </c>
      <c r="E1850" s="7" t="s">
        <v>743</v>
      </c>
      <c r="F1850" s="7" t="s">
        <v>744</v>
      </c>
    </row>
    <row r="1851">
      <c r="A1851" s="5" t="s">
        <v>2929</v>
      </c>
      <c r="B1851" s="8">
        <v>5.0</v>
      </c>
      <c r="C1851" s="7" t="s">
        <v>741</v>
      </c>
      <c r="D1851" s="7" t="s">
        <v>742</v>
      </c>
      <c r="E1851" s="7" t="s">
        <v>743</v>
      </c>
      <c r="F1851" s="7" t="s">
        <v>744</v>
      </c>
    </row>
    <row r="1852">
      <c r="A1852" s="5" t="s">
        <v>2930</v>
      </c>
      <c r="B1852" s="8">
        <v>5.0</v>
      </c>
      <c r="C1852" s="7" t="s">
        <v>741</v>
      </c>
      <c r="D1852" s="7" t="s">
        <v>742</v>
      </c>
      <c r="E1852" s="7" t="s">
        <v>743</v>
      </c>
      <c r="F1852" s="7" t="s">
        <v>744</v>
      </c>
    </row>
    <row r="1853">
      <c r="A1853" s="7" t="s">
        <v>606</v>
      </c>
      <c r="B1853" s="8">
        <v>5.0</v>
      </c>
      <c r="C1853" s="7" t="s">
        <v>741</v>
      </c>
      <c r="D1853" s="7" t="s">
        <v>742</v>
      </c>
      <c r="E1853" s="7" t="s">
        <v>743</v>
      </c>
      <c r="F1853" s="7" t="s">
        <v>744</v>
      </c>
    </row>
    <row r="1854">
      <c r="A1854" s="5" t="s">
        <v>2602</v>
      </c>
      <c r="B1854" s="8">
        <v>5.0</v>
      </c>
      <c r="C1854" s="7" t="s">
        <v>741</v>
      </c>
      <c r="D1854" s="7" t="s">
        <v>742</v>
      </c>
      <c r="E1854" s="7" t="s">
        <v>743</v>
      </c>
      <c r="F1854" s="7" t="s">
        <v>744</v>
      </c>
    </row>
    <row r="1855">
      <c r="A1855" s="5" t="s">
        <v>2931</v>
      </c>
      <c r="B1855" s="8">
        <v>5.0</v>
      </c>
      <c r="C1855" s="7" t="s">
        <v>741</v>
      </c>
      <c r="D1855" s="7" t="s">
        <v>742</v>
      </c>
      <c r="E1855" s="7" t="s">
        <v>743</v>
      </c>
      <c r="F1855" s="7" t="s">
        <v>744</v>
      </c>
    </row>
    <row r="1856">
      <c r="A1856" s="5" t="s">
        <v>2932</v>
      </c>
      <c r="B1856" s="8">
        <v>5.0</v>
      </c>
      <c r="C1856" s="7" t="s">
        <v>741</v>
      </c>
      <c r="D1856" s="7" t="s">
        <v>742</v>
      </c>
      <c r="E1856" s="7" t="s">
        <v>743</v>
      </c>
      <c r="F1856" s="7" t="s">
        <v>744</v>
      </c>
    </row>
    <row r="1857">
      <c r="A1857" s="5" t="s">
        <v>2933</v>
      </c>
      <c r="B1857" s="8">
        <v>5.0</v>
      </c>
      <c r="C1857" s="7" t="s">
        <v>741</v>
      </c>
      <c r="D1857" s="7" t="s">
        <v>742</v>
      </c>
      <c r="E1857" s="7" t="s">
        <v>743</v>
      </c>
      <c r="F1857" s="7" t="s">
        <v>744</v>
      </c>
    </row>
    <row r="1858">
      <c r="A1858" s="5" t="s">
        <v>2606</v>
      </c>
      <c r="B1858" s="8">
        <v>5.0</v>
      </c>
      <c r="C1858" s="7" t="s">
        <v>741</v>
      </c>
      <c r="D1858" s="7" t="s">
        <v>742</v>
      </c>
      <c r="E1858" s="7" t="s">
        <v>743</v>
      </c>
      <c r="F1858" s="7" t="s">
        <v>744</v>
      </c>
    </row>
    <row r="1859">
      <c r="A1859" s="5" t="s">
        <v>2934</v>
      </c>
      <c r="B1859" s="8">
        <v>5.0</v>
      </c>
      <c r="C1859" s="7" t="s">
        <v>741</v>
      </c>
      <c r="D1859" s="7" t="s">
        <v>742</v>
      </c>
      <c r="E1859" s="7" t="s">
        <v>743</v>
      </c>
      <c r="F1859" s="7" t="s">
        <v>744</v>
      </c>
    </row>
    <row r="1860">
      <c r="A1860" s="5" t="s">
        <v>2607</v>
      </c>
      <c r="B1860" s="8">
        <v>5.0</v>
      </c>
      <c r="C1860" s="7" t="s">
        <v>741</v>
      </c>
      <c r="D1860" s="7" t="s">
        <v>742</v>
      </c>
      <c r="E1860" s="7" t="s">
        <v>743</v>
      </c>
      <c r="F1860" s="7" t="s">
        <v>744</v>
      </c>
    </row>
    <row r="1861">
      <c r="A1861" s="5" t="s">
        <v>2935</v>
      </c>
      <c r="B1861" s="8">
        <v>5.0</v>
      </c>
      <c r="C1861" s="7" t="s">
        <v>741</v>
      </c>
      <c r="D1861" s="7" t="s">
        <v>742</v>
      </c>
      <c r="E1861" s="7" t="s">
        <v>743</v>
      </c>
      <c r="F1861" s="7" t="s">
        <v>744</v>
      </c>
    </row>
    <row r="1862">
      <c r="A1862" s="5" t="s">
        <v>2936</v>
      </c>
      <c r="B1862" s="8">
        <v>5.0</v>
      </c>
      <c r="C1862" s="7" t="s">
        <v>741</v>
      </c>
      <c r="D1862" s="7" t="s">
        <v>742</v>
      </c>
      <c r="E1862" s="7" t="s">
        <v>743</v>
      </c>
      <c r="F1862" s="7" t="s">
        <v>744</v>
      </c>
    </row>
    <row r="1863">
      <c r="A1863" s="5" t="s">
        <v>2608</v>
      </c>
      <c r="B1863" s="8">
        <v>5.0</v>
      </c>
      <c r="C1863" s="7" t="s">
        <v>741</v>
      </c>
      <c r="D1863" s="7" t="s">
        <v>742</v>
      </c>
      <c r="E1863" s="7" t="s">
        <v>743</v>
      </c>
      <c r="F1863" s="7" t="s">
        <v>744</v>
      </c>
    </row>
    <row r="1864">
      <c r="A1864" s="5" t="s">
        <v>2609</v>
      </c>
      <c r="B1864" s="8">
        <v>5.0</v>
      </c>
      <c r="C1864" s="7" t="s">
        <v>741</v>
      </c>
      <c r="D1864" s="7" t="s">
        <v>742</v>
      </c>
      <c r="E1864" s="7" t="s">
        <v>743</v>
      </c>
      <c r="F1864" s="7" t="s">
        <v>744</v>
      </c>
    </row>
    <row r="1865">
      <c r="A1865" s="5" t="s">
        <v>2924</v>
      </c>
      <c r="B1865" s="8">
        <v>5.0</v>
      </c>
      <c r="C1865" s="7" t="s">
        <v>746</v>
      </c>
      <c r="D1865" s="7" t="s">
        <v>747</v>
      </c>
      <c r="E1865" s="5" t="s">
        <v>3025</v>
      </c>
      <c r="F1865" s="5" t="s">
        <v>3026</v>
      </c>
    </row>
    <row r="1866">
      <c r="A1866" s="5" t="s">
        <v>2925</v>
      </c>
      <c r="B1866" s="8">
        <v>5.0</v>
      </c>
      <c r="C1866" s="7" t="s">
        <v>746</v>
      </c>
      <c r="D1866" s="7" t="s">
        <v>747</v>
      </c>
      <c r="E1866" s="5" t="s">
        <v>3025</v>
      </c>
      <c r="F1866" s="5" t="s">
        <v>3026</v>
      </c>
    </row>
    <row r="1867">
      <c r="A1867" s="7" t="s">
        <v>599</v>
      </c>
      <c r="B1867" s="8">
        <v>5.0</v>
      </c>
      <c r="C1867" s="7" t="s">
        <v>746</v>
      </c>
      <c r="D1867" s="7" t="s">
        <v>747</v>
      </c>
      <c r="E1867" s="5" t="s">
        <v>3025</v>
      </c>
      <c r="F1867" s="5" t="s">
        <v>3026</v>
      </c>
    </row>
    <row r="1868">
      <c r="A1868" s="5" t="s">
        <v>2926</v>
      </c>
      <c r="B1868" s="8">
        <v>5.0</v>
      </c>
      <c r="C1868" s="7" t="s">
        <v>746</v>
      </c>
      <c r="D1868" s="7" t="s">
        <v>747</v>
      </c>
      <c r="E1868" s="5" t="s">
        <v>3025</v>
      </c>
      <c r="F1868" s="5" t="s">
        <v>3026</v>
      </c>
    </row>
    <row r="1869">
      <c r="A1869" s="5" t="s">
        <v>2927</v>
      </c>
      <c r="B1869" s="8">
        <v>5.0</v>
      </c>
      <c r="C1869" s="7" t="s">
        <v>746</v>
      </c>
      <c r="D1869" s="7" t="s">
        <v>747</v>
      </c>
      <c r="E1869" s="5" t="s">
        <v>3025</v>
      </c>
      <c r="F1869" s="5" t="s">
        <v>3027</v>
      </c>
    </row>
    <row r="1870">
      <c r="A1870" s="5" t="s">
        <v>2928</v>
      </c>
      <c r="B1870" s="8">
        <v>5.0</v>
      </c>
      <c r="C1870" s="7" t="s">
        <v>746</v>
      </c>
      <c r="D1870" s="7" t="s">
        <v>747</v>
      </c>
      <c r="E1870" s="5" t="s">
        <v>3025</v>
      </c>
      <c r="F1870" s="5" t="s">
        <v>3026</v>
      </c>
    </row>
    <row r="1871">
      <c r="A1871" s="7" t="s">
        <v>603</v>
      </c>
      <c r="B1871" s="8">
        <v>5.0</v>
      </c>
      <c r="C1871" s="7" t="s">
        <v>746</v>
      </c>
      <c r="D1871" s="7" t="s">
        <v>747</v>
      </c>
      <c r="E1871" s="5" t="s">
        <v>3025</v>
      </c>
      <c r="F1871" s="5" t="s">
        <v>3026</v>
      </c>
    </row>
    <row r="1872">
      <c r="A1872" s="5" t="s">
        <v>2929</v>
      </c>
      <c r="B1872" s="8">
        <v>5.0</v>
      </c>
      <c r="C1872" s="7" t="s">
        <v>746</v>
      </c>
      <c r="D1872" s="7" t="s">
        <v>747</v>
      </c>
      <c r="E1872" s="5" t="s">
        <v>3025</v>
      </c>
      <c r="F1872" s="5" t="s">
        <v>3026</v>
      </c>
    </row>
    <row r="1873">
      <c r="A1873" s="5" t="s">
        <v>2930</v>
      </c>
      <c r="B1873" s="8">
        <v>5.0</v>
      </c>
      <c r="C1873" s="7" t="s">
        <v>746</v>
      </c>
      <c r="D1873" s="7" t="s">
        <v>747</v>
      </c>
      <c r="E1873" s="5" t="s">
        <v>3025</v>
      </c>
      <c r="F1873" s="5" t="s">
        <v>3026</v>
      </c>
    </row>
    <row r="1874">
      <c r="A1874" s="7" t="s">
        <v>606</v>
      </c>
      <c r="B1874" s="8">
        <v>5.0</v>
      </c>
      <c r="C1874" s="7" t="s">
        <v>746</v>
      </c>
      <c r="D1874" s="7" t="s">
        <v>747</v>
      </c>
      <c r="E1874" s="5" t="s">
        <v>3025</v>
      </c>
      <c r="F1874" s="5" t="s">
        <v>3026</v>
      </c>
    </row>
    <row r="1875">
      <c r="A1875" s="5" t="s">
        <v>2602</v>
      </c>
      <c r="B1875" s="8">
        <v>5.0</v>
      </c>
      <c r="C1875" s="7" t="s">
        <v>746</v>
      </c>
      <c r="D1875" s="7" t="s">
        <v>747</v>
      </c>
      <c r="E1875" s="5" t="s">
        <v>3025</v>
      </c>
      <c r="F1875" s="5" t="s">
        <v>3026</v>
      </c>
    </row>
    <row r="1876">
      <c r="A1876" s="5" t="s">
        <v>2931</v>
      </c>
      <c r="B1876" s="8">
        <v>5.0</v>
      </c>
      <c r="C1876" s="7" t="s">
        <v>746</v>
      </c>
      <c r="D1876" s="7" t="s">
        <v>747</v>
      </c>
      <c r="E1876" s="5" t="s">
        <v>3025</v>
      </c>
      <c r="F1876" s="5" t="s">
        <v>3028</v>
      </c>
    </row>
    <row r="1877">
      <c r="A1877" s="5" t="s">
        <v>2932</v>
      </c>
      <c r="B1877" s="8">
        <v>5.0</v>
      </c>
      <c r="C1877" s="7" t="s">
        <v>746</v>
      </c>
      <c r="D1877" s="7" t="s">
        <v>747</v>
      </c>
      <c r="E1877" s="5" t="s">
        <v>3025</v>
      </c>
      <c r="F1877" s="5" t="s">
        <v>3026</v>
      </c>
    </row>
    <row r="1878">
      <c r="A1878" s="5" t="s">
        <v>2933</v>
      </c>
      <c r="B1878" s="8">
        <v>5.0</v>
      </c>
      <c r="C1878" s="7" t="s">
        <v>746</v>
      </c>
      <c r="D1878" s="7" t="s">
        <v>747</v>
      </c>
      <c r="E1878" s="5" t="s">
        <v>3025</v>
      </c>
      <c r="F1878" s="5" t="s">
        <v>3026</v>
      </c>
    </row>
    <row r="1879">
      <c r="A1879" s="5" t="s">
        <v>2606</v>
      </c>
      <c r="B1879" s="8">
        <v>5.0</v>
      </c>
      <c r="C1879" s="7" t="s">
        <v>746</v>
      </c>
      <c r="D1879" s="7" t="s">
        <v>747</v>
      </c>
      <c r="E1879" s="5" t="s">
        <v>3025</v>
      </c>
      <c r="F1879" s="5" t="s">
        <v>3026</v>
      </c>
    </row>
    <row r="1880">
      <c r="A1880" s="5" t="s">
        <v>2934</v>
      </c>
      <c r="B1880" s="8">
        <v>5.0</v>
      </c>
      <c r="C1880" s="7" t="s">
        <v>746</v>
      </c>
      <c r="D1880" s="7" t="s">
        <v>747</v>
      </c>
      <c r="E1880" s="5" t="s">
        <v>3025</v>
      </c>
      <c r="F1880" s="5" t="s">
        <v>3026</v>
      </c>
    </row>
    <row r="1881">
      <c r="A1881" s="5" t="s">
        <v>2607</v>
      </c>
      <c r="B1881" s="8">
        <v>5.0</v>
      </c>
      <c r="C1881" s="7" t="s">
        <v>746</v>
      </c>
      <c r="D1881" s="7" t="s">
        <v>747</v>
      </c>
      <c r="E1881" s="5" t="s">
        <v>3025</v>
      </c>
      <c r="F1881" s="5" t="s">
        <v>3026</v>
      </c>
    </row>
    <row r="1882">
      <c r="A1882" s="5" t="s">
        <v>2935</v>
      </c>
      <c r="B1882" s="8">
        <v>5.0</v>
      </c>
      <c r="C1882" s="7" t="s">
        <v>746</v>
      </c>
      <c r="D1882" s="7" t="s">
        <v>747</v>
      </c>
      <c r="E1882" s="5" t="s">
        <v>3025</v>
      </c>
      <c r="F1882" s="5" t="s">
        <v>3026</v>
      </c>
    </row>
    <row r="1883">
      <c r="A1883" s="5" t="s">
        <v>2936</v>
      </c>
      <c r="B1883" s="8">
        <v>5.0</v>
      </c>
      <c r="C1883" s="7" t="s">
        <v>746</v>
      </c>
      <c r="D1883" s="7" t="s">
        <v>747</v>
      </c>
      <c r="E1883" s="5" t="s">
        <v>3025</v>
      </c>
      <c r="F1883" s="5" t="s">
        <v>3026</v>
      </c>
    </row>
    <row r="1884">
      <c r="A1884" s="5" t="s">
        <v>2608</v>
      </c>
      <c r="B1884" s="8">
        <v>5.0</v>
      </c>
      <c r="C1884" s="7" t="s">
        <v>746</v>
      </c>
      <c r="D1884" s="7" t="s">
        <v>747</v>
      </c>
      <c r="E1884" s="5" t="s">
        <v>3025</v>
      </c>
      <c r="F1884" s="5" t="s">
        <v>3026</v>
      </c>
    </row>
    <row r="1885">
      <c r="A1885" s="5" t="s">
        <v>2609</v>
      </c>
      <c r="B1885" s="8">
        <v>5.0</v>
      </c>
      <c r="C1885" s="7" t="s">
        <v>746</v>
      </c>
      <c r="D1885" s="7" t="s">
        <v>747</v>
      </c>
      <c r="E1885" s="5" t="s">
        <v>3025</v>
      </c>
      <c r="F1885" s="5" t="s">
        <v>3026</v>
      </c>
    </row>
    <row r="1886">
      <c r="A1886" s="5" t="s">
        <v>2924</v>
      </c>
      <c r="B1886" s="8">
        <v>5.0</v>
      </c>
      <c r="C1886" s="7" t="s">
        <v>752</v>
      </c>
      <c r="D1886" s="7" t="s">
        <v>753</v>
      </c>
      <c r="E1886" s="5" t="s">
        <v>754</v>
      </c>
      <c r="F1886" s="5" t="s">
        <v>755</v>
      </c>
    </row>
    <row r="1887">
      <c r="A1887" s="5" t="s">
        <v>2925</v>
      </c>
      <c r="B1887" s="8">
        <v>5.0</v>
      </c>
      <c r="C1887" s="7" t="s">
        <v>752</v>
      </c>
      <c r="D1887" s="7" t="s">
        <v>753</v>
      </c>
      <c r="E1887" s="5" t="s">
        <v>754</v>
      </c>
      <c r="F1887" s="5" t="s">
        <v>755</v>
      </c>
    </row>
    <row r="1888">
      <c r="A1888" s="7" t="s">
        <v>599</v>
      </c>
      <c r="B1888" s="8">
        <v>5.0</v>
      </c>
      <c r="C1888" s="7" t="s">
        <v>752</v>
      </c>
      <c r="D1888" s="7" t="s">
        <v>753</v>
      </c>
      <c r="E1888" s="5" t="s">
        <v>754</v>
      </c>
      <c r="F1888" s="5" t="s">
        <v>755</v>
      </c>
    </row>
    <row r="1889">
      <c r="A1889" s="5" t="s">
        <v>2926</v>
      </c>
      <c r="B1889" s="8">
        <v>5.0</v>
      </c>
      <c r="C1889" s="7" t="s">
        <v>752</v>
      </c>
      <c r="D1889" s="7" t="s">
        <v>753</v>
      </c>
      <c r="E1889" s="5" t="s">
        <v>754</v>
      </c>
      <c r="F1889" s="5" t="s">
        <v>755</v>
      </c>
    </row>
    <row r="1890">
      <c r="A1890" s="5" t="s">
        <v>2927</v>
      </c>
      <c r="B1890" s="8">
        <v>5.0</v>
      </c>
      <c r="C1890" s="7" t="s">
        <v>752</v>
      </c>
      <c r="D1890" s="7" t="s">
        <v>753</v>
      </c>
      <c r="E1890" s="5" t="s">
        <v>754</v>
      </c>
      <c r="F1890" s="5" t="s">
        <v>756</v>
      </c>
    </row>
    <row r="1891">
      <c r="A1891" s="5" t="s">
        <v>2928</v>
      </c>
      <c r="B1891" s="8">
        <v>5.0</v>
      </c>
      <c r="C1891" s="7" t="s">
        <v>752</v>
      </c>
      <c r="D1891" s="7" t="s">
        <v>753</v>
      </c>
      <c r="E1891" s="5" t="s">
        <v>754</v>
      </c>
      <c r="F1891" s="5" t="s">
        <v>755</v>
      </c>
    </row>
    <row r="1892">
      <c r="A1892" s="7" t="s">
        <v>603</v>
      </c>
      <c r="B1892" s="8">
        <v>5.0</v>
      </c>
      <c r="C1892" s="7" t="s">
        <v>752</v>
      </c>
      <c r="D1892" s="7" t="s">
        <v>753</v>
      </c>
      <c r="E1892" s="5" t="s">
        <v>754</v>
      </c>
      <c r="F1892" s="5" t="s">
        <v>755</v>
      </c>
    </row>
    <row r="1893">
      <c r="A1893" s="5" t="s">
        <v>2929</v>
      </c>
      <c r="B1893" s="8">
        <v>5.0</v>
      </c>
      <c r="C1893" s="7" t="s">
        <v>752</v>
      </c>
      <c r="D1893" s="7" t="s">
        <v>753</v>
      </c>
      <c r="E1893" s="5" t="s">
        <v>754</v>
      </c>
      <c r="F1893" s="5" t="s">
        <v>755</v>
      </c>
    </row>
    <row r="1894">
      <c r="A1894" s="5" t="s">
        <v>2930</v>
      </c>
      <c r="B1894" s="8">
        <v>5.0</v>
      </c>
      <c r="C1894" s="7" t="s">
        <v>752</v>
      </c>
      <c r="D1894" s="7" t="s">
        <v>753</v>
      </c>
      <c r="E1894" s="5" t="s">
        <v>754</v>
      </c>
      <c r="F1894" s="5" t="s">
        <v>755</v>
      </c>
    </row>
    <row r="1895">
      <c r="A1895" s="7" t="s">
        <v>606</v>
      </c>
      <c r="B1895" s="8">
        <v>5.0</v>
      </c>
      <c r="C1895" s="7" t="s">
        <v>752</v>
      </c>
      <c r="D1895" s="7" t="s">
        <v>753</v>
      </c>
      <c r="E1895" s="5" t="s">
        <v>754</v>
      </c>
      <c r="F1895" s="5" t="s">
        <v>755</v>
      </c>
    </row>
    <row r="1896">
      <c r="A1896" s="5" t="s">
        <v>2602</v>
      </c>
      <c r="B1896" s="8">
        <v>5.0</v>
      </c>
      <c r="C1896" s="7" t="s">
        <v>752</v>
      </c>
      <c r="D1896" s="7" t="s">
        <v>753</v>
      </c>
      <c r="E1896" s="5" t="s">
        <v>754</v>
      </c>
      <c r="F1896" s="5" t="s">
        <v>755</v>
      </c>
    </row>
    <row r="1897">
      <c r="A1897" s="5" t="s">
        <v>2931</v>
      </c>
      <c r="B1897" s="8">
        <v>5.0</v>
      </c>
      <c r="C1897" s="7" t="s">
        <v>752</v>
      </c>
      <c r="D1897" s="7" t="s">
        <v>753</v>
      </c>
      <c r="E1897" s="5" t="s">
        <v>754</v>
      </c>
      <c r="F1897" s="5" t="s">
        <v>755</v>
      </c>
    </row>
    <row r="1898">
      <c r="A1898" s="5" t="s">
        <v>2932</v>
      </c>
      <c r="B1898" s="8">
        <v>5.0</v>
      </c>
      <c r="C1898" s="7" t="s">
        <v>752</v>
      </c>
      <c r="D1898" s="7" t="s">
        <v>753</v>
      </c>
      <c r="E1898" s="5" t="s">
        <v>754</v>
      </c>
      <c r="F1898" s="5" t="s">
        <v>755</v>
      </c>
    </row>
    <row r="1899">
      <c r="A1899" s="5" t="s">
        <v>2933</v>
      </c>
      <c r="B1899" s="8">
        <v>5.0</v>
      </c>
      <c r="C1899" s="7" t="s">
        <v>752</v>
      </c>
      <c r="D1899" s="7" t="s">
        <v>753</v>
      </c>
      <c r="E1899" s="5" t="s">
        <v>754</v>
      </c>
      <c r="F1899" s="5" t="s">
        <v>755</v>
      </c>
    </row>
    <row r="1900">
      <c r="A1900" s="5" t="s">
        <v>2606</v>
      </c>
      <c r="B1900" s="8">
        <v>5.0</v>
      </c>
      <c r="C1900" s="7" t="s">
        <v>752</v>
      </c>
      <c r="D1900" s="7" t="s">
        <v>753</v>
      </c>
      <c r="E1900" s="5" t="s">
        <v>754</v>
      </c>
      <c r="F1900" s="5" t="s">
        <v>755</v>
      </c>
    </row>
    <row r="1901">
      <c r="A1901" s="5" t="s">
        <v>2934</v>
      </c>
      <c r="B1901" s="8">
        <v>5.0</v>
      </c>
      <c r="C1901" s="7" t="s">
        <v>752</v>
      </c>
      <c r="D1901" s="7" t="s">
        <v>753</v>
      </c>
      <c r="E1901" s="5" t="s">
        <v>754</v>
      </c>
      <c r="F1901" s="5" t="s">
        <v>755</v>
      </c>
    </row>
    <row r="1902">
      <c r="A1902" s="5" t="s">
        <v>2607</v>
      </c>
      <c r="B1902" s="8">
        <v>5.0</v>
      </c>
      <c r="C1902" s="7" t="s">
        <v>752</v>
      </c>
      <c r="D1902" s="7" t="s">
        <v>753</v>
      </c>
      <c r="E1902" s="5" t="s">
        <v>754</v>
      </c>
      <c r="F1902" s="5" t="s">
        <v>755</v>
      </c>
    </row>
    <row r="1903">
      <c r="A1903" s="5" t="s">
        <v>2935</v>
      </c>
      <c r="B1903" s="8">
        <v>5.0</v>
      </c>
      <c r="C1903" s="7" t="s">
        <v>752</v>
      </c>
      <c r="D1903" s="7" t="s">
        <v>753</v>
      </c>
      <c r="E1903" s="5" t="s">
        <v>754</v>
      </c>
      <c r="F1903" s="5" t="s">
        <v>755</v>
      </c>
    </row>
    <row r="1904">
      <c r="A1904" s="5" t="s">
        <v>2936</v>
      </c>
      <c r="B1904" s="8">
        <v>5.0</v>
      </c>
      <c r="C1904" s="7" t="s">
        <v>752</v>
      </c>
      <c r="D1904" s="7" t="s">
        <v>753</v>
      </c>
      <c r="E1904" s="5" t="s">
        <v>754</v>
      </c>
      <c r="F1904" s="5" t="s">
        <v>755</v>
      </c>
    </row>
    <row r="1905">
      <c r="A1905" s="5" t="s">
        <v>2608</v>
      </c>
      <c r="B1905" s="8">
        <v>5.0</v>
      </c>
      <c r="C1905" s="7" t="s">
        <v>752</v>
      </c>
      <c r="D1905" s="7" t="s">
        <v>753</v>
      </c>
      <c r="E1905" s="5" t="s">
        <v>754</v>
      </c>
      <c r="F1905" s="5" t="s">
        <v>755</v>
      </c>
    </row>
    <row r="1906">
      <c r="A1906" s="5" t="s">
        <v>2609</v>
      </c>
      <c r="B1906" s="8">
        <v>5.0</v>
      </c>
      <c r="C1906" s="7" t="s">
        <v>752</v>
      </c>
      <c r="D1906" s="7" t="s">
        <v>753</v>
      </c>
      <c r="E1906" s="5" t="s">
        <v>754</v>
      </c>
      <c r="F1906" s="5" t="s">
        <v>755</v>
      </c>
    </row>
    <row r="1907">
      <c r="A1907" s="5" t="s">
        <v>2922</v>
      </c>
      <c r="B1907" s="8">
        <v>5.0</v>
      </c>
      <c r="C1907" s="7" t="s">
        <v>172</v>
      </c>
      <c r="D1907" s="5" t="s">
        <v>299</v>
      </c>
      <c r="E1907" s="7" t="s">
        <v>758</v>
      </c>
      <c r="F1907" s="5" t="s">
        <v>3029</v>
      </c>
    </row>
    <row r="1908">
      <c r="A1908" s="5" t="s">
        <v>2924</v>
      </c>
      <c r="B1908" s="8">
        <v>5.0</v>
      </c>
      <c r="C1908" s="7" t="s">
        <v>172</v>
      </c>
      <c r="D1908" s="5" t="s">
        <v>299</v>
      </c>
      <c r="E1908" s="7" t="s">
        <v>758</v>
      </c>
      <c r="F1908" s="5" t="s">
        <v>3030</v>
      </c>
    </row>
    <row r="1909">
      <c r="A1909" s="5" t="s">
        <v>2925</v>
      </c>
      <c r="B1909" s="8">
        <v>5.0</v>
      </c>
      <c r="C1909" s="7" t="s">
        <v>172</v>
      </c>
      <c r="D1909" s="5" t="s">
        <v>299</v>
      </c>
      <c r="E1909" s="7" t="s">
        <v>758</v>
      </c>
      <c r="F1909" s="5" t="s">
        <v>3030</v>
      </c>
    </row>
    <row r="1910">
      <c r="A1910" s="7" t="s">
        <v>599</v>
      </c>
      <c r="B1910" s="8">
        <v>5.0</v>
      </c>
      <c r="C1910" s="7" t="s">
        <v>172</v>
      </c>
      <c r="D1910" s="5" t="s">
        <v>299</v>
      </c>
      <c r="E1910" s="7" t="s">
        <v>758</v>
      </c>
      <c r="F1910" s="5" t="s">
        <v>3030</v>
      </c>
    </row>
    <row r="1911">
      <c r="A1911" s="5" t="s">
        <v>2926</v>
      </c>
      <c r="B1911" s="8">
        <v>5.0</v>
      </c>
      <c r="C1911" s="7" t="s">
        <v>172</v>
      </c>
      <c r="D1911" s="5" t="s">
        <v>299</v>
      </c>
      <c r="E1911" s="7" t="s">
        <v>758</v>
      </c>
      <c r="F1911" s="5" t="s">
        <v>3031</v>
      </c>
    </row>
    <row r="1912">
      <c r="A1912" s="5" t="s">
        <v>2927</v>
      </c>
      <c r="B1912" s="8">
        <v>5.0</v>
      </c>
      <c r="C1912" s="7" t="s">
        <v>172</v>
      </c>
      <c r="D1912" s="5" t="s">
        <v>299</v>
      </c>
      <c r="E1912" s="7" t="s">
        <v>758</v>
      </c>
      <c r="F1912" s="5" t="s">
        <v>3032</v>
      </c>
    </row>
    <row r="1913">
      <c r="A1913" s="5" t="s">
        <v>2928</v>
      </c>
      <c r="B1913" s="8">
        <v>5.0</v>
      </c>
      <c r="C1913" s="7" t="s">
        <v>172</v>
      </c>
      <c r="D1913" s="5" t="s">
        <v>299</v>
      </c>
      <c r="E1913" s="7" t="s">
        <v>758</v>
      </c>
      <c r="F1913" s="5" t="s">
        <v>3030</v>
      </c>
    </row>
    <row r="1914">
      <c r="A1914" s="7" t="s">
        <v>603</v>
      </c>
      <c r="B1914" s="8">
        <v>5.0</v>
      </c>
      <c r="C1914" s="7" t="s">
        <v>172</v>
      </c>
      <c r="D1914" s="5" t="s">
        <v>299</v>
      </c>
      <c r="E1914" s="7" t="s">
        <v>758</v>
      </c>
      <c r="F1914" s="5" t="s">
        <v>3031</v>
      </c>
    </row>
    <row r="1915">
      <c r="A1915" s="5" t="s">
        <v>2929</v>
      </c>
      <c r="B1915" s="8">
        <v>5.0</v>
      </c>
      <c r="C1915" s="7" t="s">
        <v>172</v>
      </c>
      <c r="D1915" s="5" t="s">
        <v>299</v>
      </c>
      <c r="E1915" s="7" t="s">
        <v>758</v>
      </c>
      <c r="F1915" s="5" t="s">
        <v>3033</v>
      </c>
    </row>
    <row r="1916">
      <c r="A1916" s="5" t="s">
        <v>2930</v>
      </c>
      <c r="B1916" s="8">
        <v>5.0</v>
      </c>
      <c r="C1916" s="7" t="s">
        <v>172</v>
      </c>
      <c r="D1916" s="5" t="s">
        <v>299</v>
      </c>
      <c r="E1916" s="7" t="s">
        <v>758</v>
      </c>
      <c r="F1916" s="5" t="s">
        <v>3034</v>
      </c>
    </row>
    <row r="1917">
      <c r="A1917" s="7" t="s">
        <v>606</v>
      </c>
      <c r="B1917" s="8">
        <v>5.0</v>
      </c>
      <c r="C1917" s="7" t="s">
        <v>172</v>
      </c>
      <c r="D1917" s="5" t="s">
        <v>299</v>
      </c>
      <c r="E1917" s="7" t="s">
        <v>758</v>
      </c>
      <c r="F1917" s="5" t="s">
        <v>3031</v>
      </c>
    </row>
    <row r="1918">
      <c r="A1918" s="5" t="s">
        <v>2602</v>
      </c>
      <c r="B1918" s="8">
        <v>5.0</v>
      </c>
      <c r="C1918" s="7" t="s">
        <v>172</v>
      </c>
      <c r="D1918" s="5" t="s">
        <v>299</v>
      </c>
      <c r="E1918" s="7" t="s">
        <v>758</v>
      </c>
      <c r="F1918" s="5" t="s">
        <v>3030</v>
      </c>
    </row>
    <row r="1919">
      <c r="A1919" s="5" t="s">
        <v>2931</v>
      </c>
      <c r="B1919" s="8">
        <v>5.0</v>
      </c>
      <c r="C1919" s="7" t="s">
        <v>172</v>
      </c>
      <c r="D1919" s="5" t="s">
        <v>299</v>
      </c>
      <c r="E1919" s="7" t="s">
        <v>758</v>
      </c>
      <c r="F1919" s="5" t="s">
        <v>3030</v>
      </c>
    </row>
    <row r="1920">
      <c r="A1920" s="5" t="s">
        <v>2932</v>
      </c>
      <c r="B1920" s="8">
        <v>5.0</v>
      </c>
      <c r="C1920" s="7" t="s">
        <v>172</v>
      </c>
      <c r="D1920" s="5" t="s">
        <v>299</v>
      </c>
      <c r="E1920" s="7" t="s">
        <v>758</v>
      </c>
      <c r="F1920" s="5" t="s">
        <v>3030</v>
      </c>
    </row>
    <row r="1921">
      <c r="A1921" s="5" t="s">
        <v>2933</v>
      </c>
      <c r="B1921" s="8">
        <v>5.0</v>
      </c>
      <c r="C1921" s="7" t="s">
        <v>172</v>
      </c>
      <c r="D1921" s="5" t="s">
        <v>299</v>
      </c>
      <c r="E1921" s="7" t="s">
        <v>758</v>
      </c>
      <c r="F1921" s="5" t="s">
        <v>3030</v>
      </c>
    </row>
    <row r="1922">
      <c r="A1922" s="5" t="s">
        <v>2606</v>
      </c>
      <c r="B1922" s="8">
        <v>5.0</v>
      </c>
      <c r="C1922" s="7" t="s">
        <v>172</v>
      </c>
      <c r="D1922" s="5" t="s">
        <v>299</v>
      </c>
      <c r="E1922" s="7" t="s">
        <v>758</v>
      </c>
      <c r="F1922" s="5" t="s">
        <v>3030</v>
      </c>
    </row>
    <row r="1923">
      <c r="A1923" s="5" t="s">
        <v>2934</v>
      </c>
      <c r="B1923" s="8">
        <v>5.0</v>
      </c>
      <c r="C1923" s="7" t="s">
        <v>172</v>
      </c>
      <c r="D1923" s="5" t="s">
        <v>299</v>
      </c>
      <c r="E1923" s="7" t="s">
        <v>758</v>
      </c>
      <c r="F1923" s="5" t="s">
        <v>3030</v>
      </c>
    </row>
    <row r="1924">
      <c r="A1924" s="5" t="s">
        <v>2607</v>
      </c>
      <c r="B1924" s="8">
        <v>5.0</v>
      </c>
      <c r="C1924" s="7" t="s">
        <v>172</v>
      </c>
      <c r="D1924" s="5" t="s">
        <v>299</v>
      </c>
      <c r="E1924" s="7" t="s">
        <v>758</v>
      </c>
      <c r="F1924" s="5" t="s">
        <v>3030</v>
      </c>
    </row>
    <row r="1925">
      <c r="A1925" s="5" t="s">
        <v>2935</v>
      </c>
      <c r="B1925" s="8">
        <v>5.0</v>
      </c>
      <c r="C1925" s="7" t="s">
        <v>172</v>
      </c>
      <c r="D1925" s="5" t="s">
        <v>299</v>
      </c>
      <c r="E1925" s="7" t="s">
        <v>758</v>
      </c>
      <c r="F1925" s="5" t="s">
        <v>3035</v>
      </c>
    </row>
    <row r="1926">
      <c r="A1926" s="5" t="s">
        <v>2936</v>
      </c>
      <c r="B1926" s="8">
        <v>5.0</v>
      </c>
      <c r="C1926" s="7" t="s">
        <v>172</v>
      </c>
      <c r="D1926" s="5" t="s">
        <v>299</v>
      </c>
      <c r="E1926" s="7" t="s">
        <v>758</v>
      </c>
      <c r="F1926" s="5" t="s">
        <v>3030</v>
      </c>
    </row>
    <row r="1927">
      <c r="A1927" s="5" t="s">
        <v>2608</v>
      </c>
      <c r="B1927" s="8">
        <v>5.0</v>
      </c>
      <c r="C1927" s="7" t="s">
        <v>172</v>
      </c>
      <c r="D1927" s="5" t="s">
        <v>299</v>
      </c>
      <c r="E1927" s="7" t="s">
        <v>758</v>
      </c>
      <c r="F1927" s="5" t="s">
        <v>3030</v>
      </c>
    </row>
    <row r="1928">
      <c r="A1928" s="5" t="s">
        <v>2609</v>
      </c>
      <c r="B1928" s="8">
        <v>5.0</v>
      </c>
      <c r="C1928" s="7" t="s">
        <v>172</v>
      </c>
      <c r="D1928" s="5" t="s">
        <v>299</v>
      </c>
      <c r="E1928" s="7" t="s">
        <v>758</v>
      </c>
      <c r="F1928" s="5" t="s">
        <v>3030</v>
      </c>
    </row>
    <row r="1929">
      <c r="A1929" s="5" t="s">
        <v>2922</v>
      </c>
      <c r="B1929" s="8">
        <v>5.0</v>
      </c>
      <c r="C1929" s="7" t="s">
        <v>267</v>
      </c>
      <c r="D1929" s="7" t="s">
        <v>766</v>
      </c>
      <c r="E1929" s="5" t="s">
        <v>767</v>
      </c>
      <c r="F1929" s="5" t="s">
        <v>238</v>
      </c>
    </row>
    <row r="1930">
      <c r="A1930" s="5" t="s">
        <v>2924</v>
      </c>
      <c r="B1930" s="8">
        <v>5.0</v>
      </c>
      <c r="C1930" s="7" t="s">
        <v>267</v>
      </c>
      <c r="D1930" s="7" t="s">
        <v>766</v>
      </c>
      <c r="E1930" s="5" t="s">
        <v>767</v>
      </c>
      <c r="F1930" s="5" t="s">
        <v>238</v>
      </c>
    </row>
    <row r="1931">
      <c r="A1931" s="5" t="s">
        <v>2925</v>
      </c>
      <c r="B1931" s="8">
        <v>5.0</v>
      </c>
      <c r="C1931" s="7" t="s">
        <v>267</v>
      </c>
      <c r="D1931" s="7" t="s">
        <v>766</v>
      </c>
      <c r="E1931" s="5" t="s">
        <v>767</v>
      </c>
      <c r="F1931" s="5" t="s">
        <v>271</v>
      </c>
    </row>
    <row r="1932">
      <c r="A1932" s="7" t="s">
        <v>599</v>
      </c>
      <c r="B1932" s="8">
        <v>5.0</v>
      </c>
      <c r="C1932" s="7" t="s">
        <v>267</v>
      </c>
      <c r="D1932" s="7" t="s">
        <v>766</v>
      </c>
      <c r="E1932" s="5" t="s">
        <v>767</v>
      </c>
      <c r="F1932" s="5" t="s">
        <v>238</v>
      </c>
    </row>
    <row r="1933">
      <c r="A1933" s="5" t="s">
        <v>2926</v>
      </c>
      <c r="B1933" s="8">
        <v>5.0</v>
      </c>
      <c r="C1933" s="7" t="s">
        <v>267</v>
      </c>
      <c r="D1933" s="7" t="s">
        <v>766</v>
      </c>
      <c r="E1933" s="5" t="s">
        <v>767</v>
      </c>
      <c r="F1933" s="5" t="s">
        <v>3036</v>
      </c>
    </row>
    <row r="1934">
      <c r="A1934" s="5" t="s">
        <v>2927</v>
      </c>
      <c r="B1934" s="8">
        <v>5.0</v>
      </c>
      <c r="C1934" s="7" t="s">
        <v>267</v>
      </c>
      <c r="D1934" s="7" t="s">
        <v>766</v>
      </c>
      <c r="E1934" s="5" t="s">
        <v>767</v>
      </c>
      <c r="F1934" s="5" t="s">
        <v>769</v>
      </c>
    </row>
    <row r="1935">
      <c r="A1935" s="5" t="s">
        <v>2928</v>
      </c>
      <c r="B1935" s="8">
        <v>5.0</v>
      </c>
      <c r="C1935" s="7" t="s">
        <v>267</v>
      </c>
      <c r="D1935" s="7" t="s">
        <v>766</v>
      </c>
      <c r="E1935" s="5" t="s">
        <v>767</v>
      </c>
      <c r="F1935" s="5" t="s">
        <v>238</v>
      </c>
    </row>
    <row r="1936">
      <c r="A1936" s="7" t="s">
        <v>603</v>
      </c>
      <c r="B1936" s="8">
        <v>5.0</v>
      </c>
      <c r="C1936" s="7" t="s">
        <v>267</v>
      </c>
      <c r="D1936" s="7" t="s">
        <v>766</v>
      </c>
      <c r="E1936" s="5" t="s">
        <v>767</v>
      </c>
      <c r="F1936" s="5" t="s">
        <v>238</v>
      </c>
    </row>
    <row r="1937">
      <c r="A1937" s="5" t="s">
        <v>2929</v>
      </c>
      <c r="B1937" s="8">
        <v>5.0</v>
      </c>
      <c r="C1937" s="7" t="s">
        <v>267</v>
      </c>
      <c r="D1937" s="7" t="s">
        <v>766</v>
      </c>
      <c r="E1937" s="5" t="s">
        <v>767</v>
      </c>
      <c r="F1937" s="5" t="s">
        <v>3037</v>
      </c>
    </row>
    <row r="1938">
      <c r="A1938" s="5" t="s">
        <v>2930</v>
      </c>
      <c r="B1938" s="8">
        <v>5.0</v>
      </c>
      <c r="C1938" s="7" t="s">
        <v>267</v>
      </c>
      <c r="D1938" s="7" t="s">
        <v>766</v>
      </c>
      <c r="E1938" s="5" t="s">
        <v>767</v>
      </c>
      <c r="F1938" s="5" t="s">
        <v>238</v>
      </c>
    </row>
    <row r="1939">
      <c r="A1939" s="7" t="s">
        <v>606</v>
      </c>
      <c r="B1939" s="8">
        <v>5.0</v>
      </c>
      <c r="C1939" s="7" t="s">
        <v>267</v>
      </c>
      <c r="D1939" s="7" t="s">
        <v>766</v>
      </c>
      <c r="E1939" s="5" t="s">
        <v>767</v>
      </c>
      <c r="F1939" s="5" t="s">
        <v>238</v>
      </c>
    </row>
    <row r="1940">
      <c r="A1940" s="5" t="s">
        <v>2602</v>
      </c>
      <c r="B1940" s="8">
        <v>5.0</v>
      </c>
      <c r="C1940" s="7" t="s">
        <v>267</v>
      </c>
      <c r="D1940" s="7" t="s">
        <v>766</v>
      </c>
      <c r="E1940" s="5" t="s">
        <v>767</v>
      </c>
      <c r="F1940" s="5" t="s">
        <v>3038</v>
      </c>
    </row>
    <row r="1941">
      <c r="A1941" s="5" t="s">
        <v>2931</v>
      </c>
      <c r="B1941" s="8">
        <v>5.0</v>
      </c>
      <c r="C1941" s="7" t="s">
        <v>267</v>
      </c>
      <c r="D1941" s="7" t="s">
        <v>766</v>
      </c>
      <c r="E1941" s="5" t="s">
        <v>767</v>
      </c>
      <c r="F1941" s="5" t="s">
        <v>271</v>
      </c>
    </row>
    <row r="1942">
      <c r="A1942" s="5" t="s">
        <v>2932</v>
      </c>
      <c r="B1942" s="8">
        <v>5.0</v>
      </c>
      <c r="C1942" s="7" t="s">
        <v>267</v>
      </c>
      <c r="D1942" s="7" t="s">
        <v>766</v>
      </c>
      <c r="E1942" s="5" t="s">
        <v>767</v>
      </c>
      <c r="F1942" s="5" t="s">
        <v>273</v>
      </c>
    </row>
    <row r="1943">
      <c r="A1943" s="5" t="s">
        <v>2933</v>
      </c>
      <c r="B1943" s="8">
        <v>5.0</v>
      </c>
      <c r="C1943" s="7" t="s">
        <v>267</v>
      </c>
      <c r="D1943" s="7" t="s">
        <v>766</v>
      </c>
      <c r="E1943" s="5" t="s">
        <v>767</v>
      </c>
      <c r="F1943" s="5" t="s">
        <v>238</v>
      </c>
    </row>
    <row r="1944">
      <c r="A1944" s="5" t="s">
        <v>2606</v>
      </c>
      <c r="B1944" s="8">
        <v>5.0</v>
      </c>
      <c r="C1944" s="7" t="s">
        <v>267</v>
      </c>
      <c r="D1944" s="7" t="s">
        <v>766</v>
      </c>
      <c r="E1944" s="5" t="s">
        <v>767</v>
      </c>
      <c r="F1944" s="5" t="s">
        <v>238</v>
      </c>
    </row>
    <row r="1945">
      <c r="A1945" s="5" t="s">
        <v>2934</v>
      </c>
      <c r="B1945" s="8">
        <v>5.0</v>
      </c>
      <c r="C1945" s="7" t="s">
        <v>267</v>
      </c>
      <c r="D1945" s="7" t="s">
        <v>766</v>
      </c>
      <c r="E1945" s="5" t="s">
        <v>767</v>
      </c>
      <c r="F1945" s="5" t="s">
        <v>238</v>
      </c>
    </row>
    <row r="1946">
      <c r="A1946" s="5" t="s">
        <v>2607</v>
      </c>
      <c r="B1946" s="8">
        <v>5.0</v>
      </c>
      <c r="C1946" s="7" t="s">
        <v>267</v>
      </c>
      <c r="D1946" s="7" t="s">
        <v>766</v>
      </c>
      <c r="E1946" s="5" t="s">
        <v>767</v>
      </c>
      <c r="F1946" s="5" t="s">
        <v>238</v>
      </c>
    </row>
    <row r="1947">
      <c r="A1947" s="5" t="s">
        <v>2935</v>
      </c>
      <c r="B1947" s="8">
        <v>5.0</v>
      </c>
      <c r="C1947" s="7" t="s">
        <v>267</v>
      </c>
      <c r="D1947" s="7" t="s">
        <v>766</v>
      </c>
      <c r="E1947" s="5" t="s">
        <v>767</v>
      </c>
      <c r="F1947" s="5" t="s">
        <v>772</v>
      </c>
    </row>
    <row r="1948">
      <c r="A1948" s="5" t="s">
        <v>2936</v>
      </c>
      <c r="B1948" s="8">
        <v>5.0</v>
      </c>
      <c r="C1948" s="7" t="s">
        <v>267</v>
      </c>
      <c r="D1948" s="7" t="s">
        <v>766</v>
      </c>
      <c r="E1948" s="5" t="s">
        <v>767</v>
      </c>
      <c r="F1948" s="5" t="s">
        <v>238</v>
      </c>
    </row>
    <row r="1949">
      <c r="A1949" s="5" t="s">
        <v>2608</v>
      </c>
      <c r="B1949" s="8">
        <v>5.0</v>
      </c>
      <c r="C1949" s="7" t="s">
        <v>267</v>
      </c>
      <c r="D1949" s="7" t="s">
        <v>766</v>
      </c>
      <c r="E1949" s="5" t="s">
        <v>767</v>
      </c>
      <c r="F1949" s="5" t="s">
        <v>238</v>
      </c>
    </row>
    <row r="1950">
      <c r="A1950" s="5" t="s">
        <v>2609</v>
      </c>
      <c r="B1950" s="8">
        <v>5.0</v>
      </c>
      <c r="C1950" s="7" t="s">
        <v>267</v>
      </c>
      <c r="D1950" s="7" t="s">
        <v>766</v>
      </c>
      <c r="E1950" s="5" t="s">
        <v>767</v>
      </c>
      <c r="F1950" s="5" t="s">
        <v>238</v>
      </c>
    </row>
    <row r="1951">
      <c r="A1951" s="5" t="s">
        <v>2922</v>
      </c>
      <c r="B1951" s="8">
        <v>5.0</v>
      </c>
      <c r="C1951" s="7" t="s">
        <v>773</v>
      </c>
      <c r="D1951" s="7" t="s">
        <v>774</v>
      </c>
      <c r="E1951" s="5" t="s">
        <v>775</v>
      </c>
      <c r="F1951" s="5" t="s">
        <v>776</v>
      </c>
    </row>
    <row r="1952">
      <c r="A1952" s="5" t="s">
        <v>2924</v>
      </c>
      <c r="B1952" s="8">
        <v>5.0</v>
      </c>
      <c r="C1952" s="7" t="s">
        <v>773</v>
      </c>
      <c r="D1952" s="7" t="s">
        <v>774</v>
      </c>
      <c r="E1952" s="5" t="s">
        <v>775</v>
      </c>
      <c r="F1952" s="5" t="s">
        <v>776</v>
      </c>
    </row>
    <row r="1953">
      <c r="A1953" s="5" t="s">
        <v>2925</v>
      </c>
      <c r="B1953" s="8">
        <v>5.0</v>
      </c>
      <c r="C1953" s="7" t="s">
        <v>773</v>
      </c>
      <c r="D1953" s="7" t="s">
        <v>774</v>
      </c>
      <c r="E1953" s="5" t="s">
        <v>775</v>
      </c>
      <c r="F1953" s="5" t="s">
        <v>776</v>
      </c>
    </row>
    <row r="1954">
      <c r="A1954" s="7" t="s">
        <v>599</v>
      </c>
      <c r="B1954" s="8">
        <v>5.0</v>
      </c>
      <c r="C1954" s="7" t="s">
        <v>773</v>
      </c>
      <c r="D1954" s="7" t="s">
        <v>774</v>
      </c>
      <c r="E1954" s="5" t="s">
        <v>775</v>
      </c>
      <c r="F1954" s="5" t="s">
        <v>776</v>
      </c>
    </row>
    <row r="1955">
      <c r="A1955" s="5" t="s">
        <v>2926</v>
      </c>
      <c r="B1955" s="8">
        <v>5.0</v>
      </c>
      <c r="C1955" s="7" t="s">
        <v>773</v>
      </c>
      <c r="D1955" s="7" t="s">
        <v>774</v>
      </c>
      <c r="E1955" s="5" t="s">
        <v>775</v>
      </c>
      <c r="F1955" s="5" t="s">
        <v>776</v>
      </c>
    </row>
    <row r="1956">
      <c r="A1956" s="5" t="s">
        <v>2927</v>
      </c>
      <c r="B1956" s="8">
        <v>5.0</v>
      </c>
      <c r="C1956" s="7" t="s">
        <v>773</v>
      </c>
      <c r="D1956" s="7" t="s">
        <v>774</v>
      </c>
      <c r="E1956" s="5" t="s">
        <v>775</v>
      </c>
      <c r="F1956" s="5" t="s">
        <v>777</v>
      </c>
    </row>
    <row r="1957">
      <c r="A1957" s="5" t="s">
        <v>2928</v>
      </c>
      <c r="B1957" s="8">
        <v>5.0</v>
      </c>
      <c r="C1957" s="7" t="s">
        <v>773</v>
      </c>
      <c r="D1957" s="7" t="s">
        <v>774</v>
      </c>
      <c r="E1957" s="5" t="s">
        <v>775</v>
      </c>
      <c r="F1957" s="5" t="s">
        <v>776</v>
      </c>
    </row>
    <row r="1958">
      <c r="A1958" s="7" t="s">
        <v>603</v>
      </c>
      <c r="B1958" s="8">
        <v>5.0</v>
      </c>
      <c r="C1958" s="7" t="s">
        <v>773</v>
      </c>
      <c r="D1958" s="7" t="s">
        <v>774</v>
      </c>
      <c r="E1958" s="5" t="s">
        <v>775</v>
      </c>
      <c r="F1958" s="5" t="s">
        <v>776</v>
      </c>
    </row>
    <row r="1959">
      <c r="A1959" s="5" t="s">
        <v>2929</v>
      </c>
      <c r="B1959" s="8">
        <v>5.0</v>
      </c>
      <c r="C1959" s="7" t="s">
        <v>773</v>
      </c>
      <c r="D1959" s="7" t="s">
        <v>774</v>
      </c>
      <c r="E1959" s="5" t="s">
        <v>775</v>
      </c>
      <c r="F1959" s="5" t="s">
        <v>776</v>
      </c>
    </row>
    <row r="1960">
      <c r="A1960" s="5" t="s">
        <v>2930</v>
      </c>
      <c r="B1960" s="8">
        <v>5.0</v>
      </c>
      <c r="C1960" s="7" t="s">
        <v>773</v>
      </c>
      <c r="D1960" s="7" t="s">
        <v>774</v>
      </c>
      <c r="E1960" s="5" t="s">
        <v>775</v>
      </c>
      <c r="F1960" s="5" t="s">
        <v>776</v>
      </c>
    </row>
    <row r="1961">
      <c r="A1961" s="7" t="s">
        <v>606</v>
      </c>
      <c r="B1961" s="8">
        <v>5.0</v>
      </c>
      <c r="C1961" s="7" t="s">
        <v>773</v>
      </c>
      <c r="D1961" s="7" t="s">
        <v>774</v>
      </c>
      <c r="E1961" s="5" t="s">
        <v>775</v>
      </c>
      <c r="F1961" s="5" t="s">
        <v>776</v>
      </c>
    </row>
    <row r="1962">
      <c r="A1962" s="5" t="s">
        <v>2602</v>
      </c>
      <c r="B1962" s="8">
        <v>5.0</v>
      </c>
      <c r="C1962" s="7" t="s">
        <v>773</v>
      </c>
      <c r="D1962" s="7" t="s">
        <v>774</v>
      </c>
      <c r="E1962" s="5" t="s">
        <v>775</v>
      </c>
      <c r="F1962" s="5" t="s">
        <v>776</v>
      </c>
    </row>
    <row r="1963">
      <c r="A1963" s="5" t="s">
        <v>2931</v>
      </c>
      <c r="B1963" s="8">
        <v>5.0</v>
      </c>
      <c r="C1963" s="7" t="s">
        <v>773</v>
      </c>
      <c r="D1963" s="7" t="s">
        <v>774</v>
      </c>
      <c r="E1963" s="5" t="s">
        <v>775</v>
      </c>
      <c r="F1963" s="5" t="s">
        <v>776</v>
      </c>
    </row>
    <row r="1964">
      <c r="A1964" s="5" t="s">
        <v>2932</v>
      </c>
      <c r="B1964" s="8">
        <v>5.0</v>
      </c>
      <c r="C1964" s="7" t="s">
        <v>773</v>
      </c>
      <c r="D1964" s="7" t="s">
        <v>774</v>
      </c>
      <c r="E1964" s="5" t="s">
        <v>775</v>
      </c>
      <c r="F1964" s="5" t="s">
        <v>776</v>
      </c>
    </row>
    <row r="1965">
      <c r="A1965" s="5" t="s">
        <v>2933</v>
      </c>
      <c r="B1965" s="8">
        <v>5.0</v>
      </c>
      <c r="C1965" s="7" t="s">
        <v>773</v>
      </c>
      <c r="D1965" s="7" t="s">
        <v>774</v>
      </c>
      <c r="E1965" s="5" t="s">
        <v>775</v>
      </c>
      <c r="F1965" s="5" t="s">
        <v>776</v>
      </c>
    </row>
    <row r="1966">
      <c r="A1966" s="5" t="s">
        <v>2606</v>
      </c>
      <c r="B1966" s="8">
        <v>5.0</v>
      </c>
      <c r="C1966" s="7" t="s">
        <v>773</v>
      </c>
      <c r="D1966" s="7" t="s">
        <v>774</v>
      </c>
      <c r="E1966" s="5" t="s">
        <v>775</v>
      </c>
      <c r="F1966" s="5" t="s">
        <v>776</v>
      </c>
    </row>
    <row r="1967">
      <c r="A1967" s="5" t="s">
        <v>2934</v>
      </c>
      <c r="B1967" s="8">
        <v>5.0</v>
      </c>
      <c r="C1967" s="7" t="s">
        <v>773</v>
      </c>
      <c r="D1967" s="7" t="s">
        <v>774</v>
      </c>
      <c r="E1967" s="5" t="s">
        <v>775</v>
      </c>
      <c r="F1967" s="5" t="s">
        <v>776</v>
      </c>
    </row>
    <row r="1968">
      <c r="A1968" s="5" t="s">
        <v>2607</v>
      </c>
      <c r="B1968" s="8">
        <v>5.0</v>
      </c>
      <c r="C1968" s="7" t="s">
        <v>773</v>
      </c>
      <c r="D1968" s="7" t="s">
        <v>774</v>
      </c>
      <c r="E1968" s="5" t="s">
        <v>775</v>
      </c>
      <c r="F1968" s="5" t="s">
        <v>776</v>
      </c>
    </row>
    <row r="1969">
      <c r="A1969" s="5" t="s">
        <v>2935</v>
      </c>
      <c r="B1969" s="8">
        <v>5.0</v>
      </c>
      <c r="C1969" s="7" t="s">
        <v>773</v>
      </c>
      <c r="D1969" s="7" t="s">
        <v>774</v>
      </c>
      <c r="E1969" s="5" t="s">
        <v>775</v>
      </c>
      <c r="F1969" s="5" t="s">
        <v>776</v>
      </c>
    </row>
    <row r="1970">
      <c r="A1970" s="5" t="s">
        <v>2936</v>
      </c>
      <c r="B1970" s="8">
        <v>5.0</v>
      </c>
      <c r="C1970" s="7" t="s">
        <v>773</v>
      </c>
      <c r="D1970" s="7" t="s">
        <v>774</v>
      </c>
      <c r="E1970" s="5" t="s">
        <v>775</v>
      </c>
      <c r="F1970" s="5" t="s">
        <v>776</v>
      </c>
    </row>
    <row r="1971">
      <c r="A1971" s="5" t="s">
        <v>2608</v>
      </c>
      <c r="B1971" s="8">
        <v>5.0</v>
      </c>
      <c r="C1971" s="7" t="s">
        <v>773</v>
      </c>
      <c r="D1971" s="7" t="s">
        <v>774</v>
      </c>
      <c r="E1971" s="5" t="s">
        <v>775</v>
      </c>
      <c r="F1971" s="5" t="s">
        <v>776</v>
      </c>
    </row>
    <row r="1972">
      <c r="A1972" s="5" t="s">
        <v>2609</v>
      </c>
      <c r="B1972" s="8">
        <v>5.0</v>
      </c>
      <c r="C1972" s="7" t="s">
        <v>773</v>
      </c>
      <c r="D1972" s="7" t="s">
        <v>774</v>
      </c>
      <c r="E1972" s="5" t="s">
        <v>775</v>
      </c>
      <c r="F1972" s="5" t="s">
        <v>776</v>
      </c>
    </row>
    <row r="1973">
      <c r="A1973" s="5" t="s">
        <v>2922</v>
      </c>
      <c r="B1973" s="8">
        <v>5.0</v>
      </c>
      <c r="C1973" s="7" t="s">
        <v>274</v>
      </c>
      <c r="D1973" s="7" t="s">
        <v>778</v>
      </c>
      <c r="E1973" s="5" t="s">
        <v>3039</v>
      </c>
      <c r="F1973" s="5" t="s">
        <v>780</v>
      </c>
    </row>
    <row r="1974">
      <c r="A1974" s="5" t="s">
        <v>2924</v>
      </c>
      <c r="B1974" s="8">
        <v>5.0</v>
      </c>
      <c r="C1974" s="7" t="s">
        <v>274</v>
      </c>
      <c r="D1974" s="7" t="s">
        <v>778</v>
      </c>
      <c r="E1974" s="5" t="s">
        <v>3039</v>
      </c>
      <c r="F1974" s="5" t="s">
        <v>780</v>
      </c>
    </row>
    <row r="1975">
      <c r="A1975" s="5" t="s">
        <v>2925</v>
      </c>
      <c r="B1975" s="8">
        <v>5.0</v>
      </c>
      <c r="C1975" s="7" t="s">
        <v>274</v>
      </c>
      <c r="D1975" s="7" t="s">
        <v>778</v>
      </c>
      <c r="E1975" s="5" t="s">
        <v>3039</v>
      </c>
      <c r="F1975" s="5" t="s">
        <v>780</v>
      </c>
    </row>
    <row r="1976">
      <c r="A1976" s="7" t="s">
        <v>599</v>
      </c>
      <c r="B1976" s="8">
        <v>5.0</v>
      </c>
      <c r="C1976" s="7" t="s">
        <v>274</v>
      </c>
      <c r="D1976" s="7" t="s">
        <v>778</v>
      </c>
      <c r="E1976" s="5" t="s">
        <v>3039</v>
      </c>
      <c r="F1976" s="5" t="s">
        <v>781</v>
      </c>
    </row>
    <row r="1977">
      <c r="A1977" s="5" t="s">
        <v>2926</v>
      </c>
      <c r="B1977" s="8">
        <v>5.0</v>
      </c>
      <c r="C1977" s="7" t="s">
        <v>274</v>
      </c>
      <c r="D1977" s="7" t="s">
        <v>778</v>
      </c>
      <c r="E1977" s="5" t="s">
        <v>3039</v>
      </c>
      <c r="F1977" s="5" t="s">
        <v>3040</v>
      </c>
    </row>
    <row r="1978">
      <c r="A1978" s="5" t="s">
        <v>2927</v>
      </c>
      <c r="B1978" s="8">
        <v>5.0</v>
      </c>
      <c r="C1978" s="7" t="s">
        <v>274</v>
      </c>
      <c r="D1978" s="7" t="s">
        <v>778</v>
      </c>
      <c r="E1978" s="5" t="s">
        <v>3039</v>
      </c>
      <c r="F1978" s="5" t="s">
        <v>3041</v>
      </c>
    </row>
    <row r="1979">
      <c r="A1979" s="5" t="s">
        <v>2928</v>
      </c>
      <c r="B1979" s="8">
        <v>5.0</v>
      </c>
      <c r="C1979" s="7" t="s">
        <v>274</v>
      </c>
      <c r="D1979" s="7" t="s">
        <v>778</v>
      </c>
      <c r="E1979" s="5" t="s">
        <v>3039</v>
      </c>
      <c r="F1979" s="5" t="s">
        <v>780</v>
      </c>
    </row>
    <row r="1980">
      <c r="A1980" s="7" t="s">
        <v>603</v>
      </c>
      <c r="B1980" s="8">
        <v>5.0</v>
      </c>
      <c r="C1980" s="7" t="s">
        <v>274</v>
      </c>
      <c r="D1980" s="7" t="s">
        <v>778</v>
      </c>
      <c r="E1980" s="5" t="s">
        <v>3039</v>
      </c>
      <c r="F1980" s="7" t="s">
        <v>784</v>
      </c>
    </row>
    <row r="1981">
      <c r="A1981" s="5" t="s">
        <v>2929</v>
      </c>
      <c r="B1981" s="8">
        <v>5.0</v>
      </c>
      <c r="C1981" s="7" t="s">
        <v>274</v>
      </c>
      <c r="D1981" s="7" t="s">
        <v>778</v>
      </c>
      <c r="E1981" s="5" t="s">
        <v>3039</v>
      </c>
      <c r="F1981" s="5" t="s">
        <v>3042</v>
      </c>
    </row>
    <row r="1982">
      <c r="A1982" s="5" t="s">
        <v>2930</v>
      </c>
      <c r="B1982" s="8">
        <v>5.0</v>
      </c>
      <c r="C1982" s="7" t="s">
        <v>274</v>
      </c>
      <c r="D1982" s="7" t="s">
        <v>778</v>
      </c>
      <c r="E1982" s="5" t="s">
        <v>3039</v>
      </c>
      <c r="F1982" s="5" t="s">
        <v>780</v>
      </c>
    </row>
    <row r="1983">
      <c r="A1983" s="7" t="s">
        <v>606</v>
      </c>
      <c r="B1983" s="8">
        <v>5.0</v>
      </c>
      <c r="C1983" s="7" t="s">
        <v>274</v>
      </c>
      <c r="D1983" s="7" t="s">
        <v>778</v>
      </c>
      <c r="E1983" s="5" t="s">
        <v>3039</v>
      </c>
      <c r="F1983" s="5" t="s">
        <v>780</v>
      </c>
    </row>
    <row r="1984">
      <c r="A1984" s="5" t="s">
        <v>2602</v>
      </c>
      <c r="B1984" s="8">
        <v>5.0</v>
      </c>
      <c r="C1984" s="7" t="s">
        <v>274</v>
      </c>
      <c r="D1984" s="7" t="s">
        <v>778</v>
      </c>
      <c r="E1984" s="5" t="s">
        <v>3039</v>
      </c>
      <c r="F1984" s="5" t="s">
        <v>786</v>
      </c>
    </row>
    <row r="1985">
      <c r="A1985" s="5" t="s">
        <v>2931</v>
      </c>
      <c r="B1985" s="8">
        <v>5.0</v>
      </c>
      <c r="C1985" s="7" t="s">
        <v>274</v>
      </c>
      <c r="D1985" s="7" t="s">
        <v>778</v>
      </c>
      <c r="E1985" s="5" t="s">
        <v>3039</v>
      </c>
      <c r="F1985" s="5" t="s">
        <v>3043</v>
      </c>
    </row>
    <row r="1986">
      <c r="A1986" s="5" t="s">
        <v>2932</v>
      </c>
      <c r="B1986" s="8">
        <v>5.0</v>
      </c>
      <c r="C1986" s="7" t="s">
        <v>274</v>
      </c>
      <c r="D1986" s="7" t="s">
        <v>778</v>
      </c>
      <c r="E1986" s="5" t="s">
        <v>3039</v>
      </c>
      <c r="F1986" s="5" t="s">
        <v>780</v>
      </c>
    </row>
    <row r="1987">
      <c r="A1987" s="5" t="s">
        <v>2933</v>
      </c>
      <c r="B1987" s="8">
        <v>5.0</v>
      </c>
      <c r="C1987" s="7" t="s">
        <v>274</v>
      </c>
      <c r="D1987" s="7" t="s">
        <v>778</v>
      </c>
      <c r="E1987" s="5" t="s">
        <v>3039</v>
      </c>
      <c r="F1987" s="5" t="s">
        <v>780</v>
      </c>
    </row>
    <row r="1988">
      <c r="A1988" s="5" t="s">
        <v>2606</v>
      </c>
      <c r="B1988" s="8">
        <v>5.0</v>
      </c>
      <c r="C1988" s="7" t="s">
        <v>274</v>
      </c>
      <c r="D1988" s="7" t="s">
        <v>778</v>
      </c>
      <c r="E1988" s="5" t="s">
        <v>3039</v>
      </c>
      <c r="F1988" s="5" t="s">
        <v>780</v>
      </c>
    </row>
    <row r="1989">
      <c r="A1989" s="5" t="s">
        <v>2934</v>
      </c>
      <c r="B1989" s="8">
        <v>5.0</v>
      </c>
      <c r="C1989" s="7" t="s">
        <v>274</v>
      </c>
      <c r="D1989" s="7" t="s">
        <v>778</v>
      </c>
      <c r="E1989" s="5" t="s">
        <v>3039</v>
      </c>
      <c r="F1989" s="5" t="s">
        <v>780</v>
      </c>
    </row>
    <row r="1990">
      <c r="A1990" s="5" t="s">
        <v>2607</v>
      </c>
      <c r="B1990" s="8">
        <v>5.0</v>
      </c>
      <c r="C1990" s="7" t="s">
        <v>274</v>
      </c>
      <c r="D1990" s="7" t="s">
        <v>778</v>
      </c>
      <c r="E1990" s="5" t="s">
        <v>3039</v>
      </c>
      <c r="F1990" s="5" t="s">
        <v>780</v>
      </c>
    </row>
    <row r="1991">
      <c r="A1991" s="5" t="s">
        <v>2935</v>
      </c>
      <c r="B1991" s="8">
        <v>5.0</v>
      </c>
      <c r="C1991" s="7" t="s">
        <v>274</v>
      </c>
      <c r="D1991" s="7" t="s">
        <v>778</v>
      </c>
      <c r="E1991" s="5" t="s">
        <v>3039</v>
      </c>
      <c r="F1991" s="5" t="s">
        <v>780</v>
      </c>
    </row>
    <row r="1992">
      <c r="A1992" s="5" t="s">
        <v>2936</v>
      </c>
      <c r="B1992" s="8">
        <v>5.0</v>
      </c>
      <c r="C1992" s="7" t="s">
        <v>274</v>
      </c>
      <c r="D1992" s="7" t="s">
        <v>778</v>
      </c>
      <c r="E1992" s="5" t="s">
        <v>3039</v>
      </c>
      <c r="F1992" s="5" t="s">
        <v>780</v>
      </c>
    </row>
    <row r="1993">
      <c r="A1993" s="5" t="s">
        <v>2608</v>
      </c>
      <c r="B1993" s="8">
        <v>5.0</v>
      </c>
      <c r="C1993" s="7" t="s">
        <v>274</v>
      </c>
      <c r="D1993" s="7" t="s">
        <v>778</v>
      </c>
      <c r="E1993" s="5" t="s">
        <v>3039</v>
      </c>
      <c r="F1993" s="5" t="s">
        <v>780</v>
      </c>
    </row>
    <row r="1994">
      <c r="A1994" s="5" t="s">
        <v>2609</v>
      </c>
      <c r="B1994" s="8">
        <v>5.0</v>
      </c>
      <c r="C1994" s="7" t="s">
        <v>274</v>
      </c>
      <c r="D1994" s="7" t="s">
        <v>778</v>
      </c>
      <c r="E1994" s="5" t="s">
        <v>3039</v>
      </c>
      <c r="F1994" s="5" t="s">
        <v>780</v>
      </c>
    </row>
    <row r="1995">
      <c r="A1995" s="5" t="s">
        <v>2922</v>
      </c>
      <c r="B1995" s="8">
        <v>5.0</v>
      </c>
      <c r="C1995" s="7" t="s">
        <v>788</v>
      </c>
      <c r="D1995" s="7" t="s">
        <v>789</v>
      </c>
      <c r="E1995" s="7" t="s">
        <v>790</v>
      </c>
      <c r="F1995" s="5" t="s">
        <v>3044</v>
      </c>
    </row>
    <row r="1996">
      <c r="A1996" s="5" t="s">
        <v>2924</v>
      </c>
      <c r="B1996" s="8">
        <v>5.0</v>
      </c>
      <c r="C1996" s="7" t="s">
        <v>788</v>
      </c>
      <c r="D1996" s="7" t="s">
        <v>789</v>
      </c>
      <c r="E1996" s="7" t="s">
        <v>790</v>
      </c>
      <c r="F1996" s="7" t="s">
        <v>792</v>
      </c>
    </row>
    <row r="1997">
      <c r="A1997" s="5" t="s">
        <v>2925</v>
      </c>
      <c r="B1997" s="8">
        <v>5.0</v>
      </c>
      <c r="C1997" s="7" t="s">
        <v>788</v>
      </c>
      <c r="D1997" s="7" t="s">
        <v>789</v>
      </c>
      <c r="E1997" s="7" t="s">
        <v>790</v>
      </c>
      <c r="F1997" s="7" t="s">
        <v>792</v>
      </c>
    </row>
    <row r="1998">
      <c r="A1998" s="7" t="s">
        <v>599</v>
      </c>
      <c r="B1998" s="8">
        <v>5.0</v>
      </c>
      <c r="C1998" s="7" t="s">
        <v>788</v>
      </c>
      <c r="D1998" s="7" t="s">
        <v>789</v>
      </c>
      <c r="E1998" s="7" t="s">
        <v>790</v>
      </c>
      <c r="F1998" s="7" t="s">
        <v>792</v>
      </c>
    </row>
    <row r="1999">
      <c r="A1999" s="5" t="s">
        <v>2926</v>
      </c>
      <c r="B1999" s="8">
        <v>5.0</v>
      </c>
      <c r="C1999" s="7" t="s">
        <v>788</v>
      </c>
      <c r="D1999" s="7" t="s">
        <v>789</v>
      </c>
      <c r="E1999" s="7" t="s">
        <v>790</v>
      </c>
      <c r="F1999" s="7" t="s">
        <v>792</v>
      </c>
    </row>
    <row r="2000">
      <c r="A2000" s="5" t="s">
        <v>2927</v>
      </c>
      <c r="B2000" s="8">
        <v>5.0</v>
      </c>
      <c r="C2000" s="7" t="s">
        <v>788</v>
      </c>
      <c r="D2000" s="7" t="s">
        <v>789</v>
      </c>
      <c r="E2000" s="7" t="s">
        <v>790</v>
      </c>
      <c r="F2000" s="7" t="s">
        <v>793</v>
      </c>
    </row>
    <row r="2001">
      <c r="A2001" s="5" t="s">
        <v>2928</v>
      </c>
      <c r="B2001" s="8">
        <v>5.0</v>
      </c>
      <c r="C2001" s="7" t="s">
        <v>788</v>
      </c>
      <c r="D2001" s="7" t="s">
        <v>789</v>
      </c>
      <c r="E2001" s="7" t="s">
        <v>790</v>
      </c>
      <c r="F2001" s="7" t="s">
        <v>792</v>
      </c>
    </row>
    <row r="2002">
      <c r="A2002" s="7" t="s">
        <v>603</v>
      </c>
      <c r="B2002" s="8">
        <v>5.0</v>
      </c>
      <c r="C2002" s="7" t="s">
        <v>788</v>
      </c>
      <c r="D2002" s="7" t="s">
        <v>789</v>
      </c>
      <c r="E2002" s="7" t="s">
        <v>790</v>
      </c>
      <c r="F2002" s="7" t="s">
        <v>792</v>
      </c>
    </row>
    <row r="2003">
      <c r="A2003" s="5" t="s">
        <v>2929</v>
      </c>
      <c r="B2003" s="8">
        <v>5.0</v>
      </c>
      <c r="C2003" s="7" t="s">
        <v>788</v>
      </c>
      <c r="D2003" s="7" t="s">
        <v>789</v>
      </c>
      <c r="E2003" s="7" t="s">
        <v>790</v>
      </c>
      <c r="F2003" s="7" t="s">
        <v>792</v>
      </c>
    </row>
    <row r="2004">
      <c r="A2004" s="5" t="s">
        <v>2930</v>
      </c>
      <c r="B2004" s="8">
        <v>5.0</v>
      </c>
      <c r="C2004" s="7" t="s">
        <v>788</v>
      </c>
      <c r="D2004" s="7" t="s">
        <v>789</v>
      </c>
      <c r="E2004" s="7" t="s">
        <v>790</v>
      </c>
      <c r="F2004" s="7" t="s">
        <v>792</v>
      </c>
    </row>
    <row r="2005">
      <c r="A2005" s="7" t="s">
        <v>606</v>
      </c>
      <c r="B2005" s="8">
        <v>5.0</v>
      </c>
      <c r="C2005" s="7" t="s">
        <v>788</v>
      </c>
      <c r="D2005" s="7" t="s">
        <v>789</v>
      </c>
      <c r="E2005" s="7" t="s">
        <v>790</v>
      </c>
      <c r="F2005" s="7" t="s">
        <v>792</v>
      </c>
    </row>
    <row r="2006">
      <c r="A2006" s="5" t="s">
        <v>2602</v>
      </c>
      <c r="B2006" s="8">
        <v>5.0</v>
      </c>
      <c r="C2006" s="7" t="s">
        <v>788</v>
      </c>
      <c r="D2006" s="7" t="s">
        <v>789</v>
      </c>
      <c r="E2006" s="7" t="s">
        <v>790</v>
      </c>
      <c r="F2006" s="7" t="s">
        <v>792</v>
      </c>
    </row>
    <row r="2007">
      <c r="A2007" s="5" t="s">
        <v>2931</v>
      </c>
      <c r="B2007" s="8">
        <v>5.0</v>
      </c>
      <c r="C2007" s="7" t="s">
        <v>788</v>
      </c>
      <c r="D2007" s="7" t="s">
        <v>789</v>
      </c>
      <c r="E2007" s="7" t="s">
        <v>790</v>
      </c>
      <c r="F2007" s="7" t="s">
        <v>792</v>
      </c>
    </row>
    <row r="2008">
      <c r="A2008" s="5" t="s">
        <v>2932</v>
      </c>
      <c r="B2008" s="8">
        <v>5.0</v>
      </c>
      <c r="C2008" s="7" t="s">
        <v>788</v>
      </c>
      <c r="D2008" s="7" t="s">
        <v>789</v>
      </c>
      <c r="E2008" s="7" t="s">
        <v>790</v>
      </c>
      <c r="F2008" s="7" t="s">
        <v>792</v>
      </c>
    </row>
    <row r="2009">
      <c r="A2009" s="5" t="s">
        <v>2933</v>
      </c>
      <c r="B2009" s="8">
        <v>5.0</v>
      </c>
      <c r="C2009" s="7" t="s">
        <v>788</v>
      </c>
      <c r="D2009" s="7" t="s">
        <v>789</v>
      </c>
      <c r="E2009" s="7" t="s">
        <v>790</v>
      </c>
      <c r="F2009" s="7" t="s">
        <v>792</v>
      </c>
    </row>
    <row r="2010">
      <c r="A2010" s="5" t="s">
        <v>2606</v>
      </c>
      <c r="B2010" s="8">
        <v>5.0</v>
      </c>
      <c r="C2010" s="7" t="s">
        <v>788</v>
      </c>
      <c r="D2010" s="7" t="s">
        <v>789</v>
      </c>
      <c r="E2010" s="7" t="s">
        <v>790</v>
      </c>
      <c r="F2010" s="7" t="s">
        <v>792</v>
      </c>
    </row>
    <row r="2011">
      <c r="A2011" s="5" t="s">
        <v>2934</v>
      </c>
      <c r="B2011" s="8">
        <v>5.0</v>
      </c>
      <c r="C2011" s="7" t="s">
        <v>788</v>
      </c>
      <c r="D2011" s="7" t="s">
        <v>789</v>
      </c>
      <c r="E2011" s="7" t="s">
        <v>790</v>
      </c>
      <c r="F2011" s="7" t="s">
        <v>792</v>
      </c>
    </row>
    <row r="2012">
      <c r="A2012" s="5" t="s">
        <v>2607</v>
      </c>
      <c r="B2012" s="8">
        <v>5.0</v>
      </c>
      <c r="C2012" s="7" t="s">
        <v>788</v>
      </c>
      <c r="D2012" s="7" t="s">
        <v>789</v>
      </c>
      <c r="E2012" s="7" t="s">
        <v>790</v>
      </c>
      <c r="F2012" s="7" t="s">
        <v>792</v>
      </c>
    </row>
    <row r="2013">
      <c r="A2013" s="5" t="s">
        <v>2935</v>
      </c>
      <c r="B2013" s="8">
        <v>5.0</v>
      </c>
      <c r="C2013" s="7" t="s">
        <v>788</v>
      </c>
      <c r="D2013" s="7" t="s">
        <v>789</v>
      </c>
      <c r="E2013" s="7" t="s">
        <v>790</v>
      </c>
      <c r="F2013" s="7" t="s">
        <v>792</v>
      </c>
    </row>
    <row r="2014">
      <c r="A2014" s="5" t="s">
        <v>2936</v>
      </c>
      <c r="B2014" s="8">
        <v>5.0</v>
      </c>
      <c r="C2014" s="7" t="s">
        <v>788</v>
      </c>
      <c r="D2014" s="7" t="s">
        <v>789</v>
      </c>
      <c r="E2014" s="7" t="s">
        <v>790</v>
      </c>
      <c r="F2014" s="7" t="s">
        <v>792</v>
      </c>
    </row>
    <row r="2015">
      <c r="A2015" s="5" t="s">
        <v>2608</v>
      </c>
      <c r="B2015" s="8">
        <v>5.0</v>
      </c>
      <c r="C2015" s="7" t="s">
        <v>788</v>
      </c>
      <c r="D2015" s="7" t="s">
        <v>789</v>
      </c>
      <c r="E2015" s="7" t="s">
        <v>790</v>
      </c>
      <c r="F2015" s="7" t="s">
        <v>792</v>
      </c>
    </row>
    <row r="2016">
      <c r="A2016" s="5" t="s">
        <v>2609</v>
      </c>
      <c r="B2016" s="8">
        <v>5.0</v>
      </c>
      <c r="C2016" s="7" t="s">
        <v>788</v>
      </c>
      <c r="D2016" s="7" t="s">
        <v>789</v>
      </c>
      <c r="E2016" s="7" t="s">
        <v>790</v>
      </c>
      <c r="F2016" s="7" t="s">
        <v>792</v>
      </c>
    </row>
    <row r="2017">
      <c r="A2017" s="5" t="s">
        <v>2922</v>
      </c>
      <c r="B2017" s="8">
        <v>5.0</v>
      </c>
      <c r="C2017" s="7" t="s">
        <v>794</v>
      </c>
      <c r="D2017" s="7" t="s">
        <v>795</v>
      </c>
      <c r="E2017" s="5" t="s">
        <v>1788</v>
      </c>
      <c r="F2017" s="4" t="s">
        <v>3045</v>
      </c>
    </row>
    <row r="2018">
      <c r="A2018" s="5" t="s">
        <v>2924</v>
      </c>
      <c r="B2018" s="8">
        <v>5.0</v>
      </c>
      <c r="C2018" s="7" t="s">
        <v>794</v>
      </c>
      <c r="D2018" s="7" t="s">
        <v>795</v>
      </c>
      <c r="E2018" s="5" t="s">
        <v>1788</v>
      </c>
      <c r="F2018" s="5" t="s">
        <v>3046</v>
      </c>
    </row>
    <row r="2019">
      <c r="A2019" s="5" t="s">
        <v>2925</v>
      </c>
      <c r="B2019" s="8">
        <v>5.0</v>
      </c>
      <c r="C2019" s="7" t="s">
        <v>794</v>
      </c>
      <c r="D2019" s="7" t="s">
        <v>795</v>
      </c>
      <c r="E2019" s="5" t="s">
        <v>1788</v>
      </c>
      <c r="F2019" s="5" t="s">
        <v>3045</v>
      </c>
    </row>
    <row r="2020">
      <c r="A2020" s="7" t="s">
        <v>599</v>
      </c>
      <c r="B2020" s="8">
        <v>5.0</v>
      </c>
      <c r="C2020" s="7" t="s">
        <v>794</v>
      </c>
      <c r="D2020" s="7" t="s">
        <v>795</v>
      </c>
      <c r="E2020" s="5" t="s">
        <v>1788</v>
      </c>
      <c r="F2020" s="5" t="s">
        <v>3045</v>
      </c>
    </row>
    <row r="2021">
      <c r="A2021" s="5" t="s">
        <v>2926</v>
      </c>
      <c r="B2021" s="8">
        <v>5.0</v>
      </c>
      <c r="C2021" s="7" t="s">
        <v>794</v>
      </c>
      <c r="D2021" s="7" t="s">
        <v>795</v>
      </c>
      <c r="E2021" s="5" t="s">
        <v>1788</v>
      </c>
      <c r="F2021" s="5" t="s">
        <v>3047</v>
      </c>
    </row>
    <row r="2022">
      <c r="A2022" s="5" t="s">
        <v>2927</v>
      </c>
      <c r="B2022" s="8">
        <v>5.0</v>
      </c>
      <c r="C2022" s="7" t="s">
        <v>794</v>
      </c>
      <c r="D2022" s="7" t="s">
        <v>795</v>
      </c>
      <c r="E2022" s="5" t="s">
        <v>1788</v>
      </c>
      <c r="F2022" s="5" t="s">
        <v>3048</v>
      </c>
    </row>
    <row r="2023">
      <c r="A2023" s="5" t="s">
        <v>2928</v>
      </c>
      <c r="B2023" s="8">
        <v>5.0</v>
      </c>
      <c r="C2023" s="7" t="s">
        <v>794</v>
      </c>
      <c r="D2023" s="7" t="s">
        <v>795</v>
      </c>
      <c r="E2023" s="5" t="s">
        <v>1788</v>
      </c>
      <c r="F2023" s="5" t="s">
        <v>3049</v>
      </c>
    </row>
    <row r="2024">
      <c r="A2024" s="7" t="s">
        <v>603</v>
      </c>
      <c r="B2024" s="8">
        <v>5.0</v>
      </c>
      <c r="C2024" s="7" t="s">
        <v>794</v>
      </c>
      <c r="D2024" s="7" t="s">
        <v>795</v>
      </c>
      <c r="E2024" s="5" t="s">
        <v>1788</v>
      </c>
      <c r="F2024" s="5" t="s">
        <v>3050</v>
      </c>
    </row>
    <row r="2025">
      <c r="A2025" s="5" t="s">
        <v>2929</v>
      </c>
      <c r="B2025" s="8">
        <v>5.0</v>
      </c>
      <c r="C2025" s="7" t="s">
        <v>794</v>
      </c>
      <c r="D2025" s="7" t="s">
        <v>795</v>
      </c>
      <c r="E2025" s="5" t="s">
        <v>1788</v>
      </c>
      <c r="F2025" s="5" t="s">
        <v>3051</v>
      </c>
    </row>
    <row r="2026">
      <c r="A2026" s="5" t="s">
        <v>2930</v>
      </c>
      <c r="B2026" s="8">
        <v>5.0</v>
      </c>
      <c r="C2026" s="7" t="s">
        <v>794</v>
      </c>
      <c r="D2026" s="7" t="s">
        <v>795</v>
      </c>
      <c r="E2026" s="5" t="s">
        <v>1788</v>
      </c>
      <c r="F2026" s="5" t="s">
        <v>3052</v>
      </c>
    </row>
    <row r="2027">
      <c r="A2027" s="7" t="s">
        <v>606</v>
      </c>
      <c r="B2027" s="8">
        <v>5.0</v>
      </c>
      <c r="C2027" s="7" t="s">
        <v>794</v>
      </c>
      <c r="D2027" s="7" t="s">
        <v>795</v>
      </c>
      <c r="E2027" s="5" t="s">
        <v>1788</v>
      </c>
      <c r="F2027" s="5" t="s">
        <v>3045</v>
      </c>
    </row>
    <row r="2028">
      <c r="A2028" s="5" t="s">
        <v>2602</v>
      </c>
      <c r="B2028" s="8">
        <v>5.0</v>
      </c>
      <c r="C2028" s="7" t="s">
        <v>794</v>
      </c>
      <c r="D2028" s="7" t="s">
        <v>795</v>
      </c>
      <c r="E2028" s="5" t="s">
        <v>1788</v>
      </c>
      <c r="F2028" s="5" t="s">
        <v>3053</v>
      </c>
    </row>
    <row r="2029">
      <c r="A2029" s="5" t="s">
        <v>2931</v>
      </c>
      <c r="B2029" s="8">
        <v>5.0</v>
      </c>
      <c r="C2029" s="7" t="s">
        <v>794</v>
      </c>
      <c r="D2029" s="7" t="s">
        <v>795</v>
      </c>
      <c r="E2029" s="5" t="s">
        <v>1788</v>
      </c>
      <c r="F2029" s="5" t="s">
        <v>3054</v>
      </c>
    </row>
    <row r="2030">
      <c r="A2030" s="5" t="s">
        <v>2932</v>
      </c>
      <c r="B2030" s="8">
        <v>5.0</v>
      </c>
      <c r="C2030" s="7" t="s">
        <v>794</v>
      </c>
      <c r="D2030" s="7" t="s">
        <v>795</v>
      </c>
      <c r="E2030" s="5" t="s">
        <v>1788</v>
      </c>
      <c r="F2030" s="5" t="s">
        <v>3055</v>
      </c>
    </row>
    <row r="2031">
      <c r="A2031" s="5" t="s">
        <v>2933</v>
      </c>
      <c r="B2031" s="8">
        <v>5.0</v>
      </c>
      <c r="C2031" s="7" t="s">
        <v>794</v>
      </c>
      <c r="D2031" s="7" t="s">
        <v>795</v>
      </c>
      <c r="E2031" s="5" t="s">
        <v>1788</v>
      </c>
      <c r="F2031" s="5" t="s">
        <v>3056</v>
      </c>
    </row>
    <row r="2032">
      <c r="A2032" s="5" t="s">
        <v>2606</v>
      </c>
      <c r="B2032" s="8">
        <v>5.0</v>
      </c>
      <c r="C2032" s="7" t="s">
        <v>794</v>
      </c>
      <c r="D2032" s="7" t="s">
        <v>795</v>
      </c>
      <c r="E2032" s="5" t="s">
        <v>1788</v>
      </c>
      <c r="F2032" s="5" t="s">
        <v>3045</v>
      </c>
    </row>
    <row r="2033">
      <c r="A2033" s="5" t="s">
        <v>2934</v>
      </c>
      <c r="B2033" s="8">
        <v>5.0</v>
      </c>
      <c r="C2033" s="7" t="s">
        <v>794</v>
      </c>
      <c r="D2033" s="7" t="s">
        <v>795</v>
      </c>
      <c r="E2033" s="5" t="s">
        <v>1788</v>
      </c>
      <c r="F2033" s="5" t="s">
        <v>3045</v>
      </c>
    </row>
    <row r="2034">
      <c r="A2034" s="5" t="s">
        <v>2607</v>
      </c>
      <c r="B2034" s="8">
        <v>5.0</v>
      </c>
      <c r="C2034" s="7" t="s">
        <v>794</v>
      </c>
      <c r="D2034" s="7" t="s">
        <v>795</v>
      </c>
      <c r="E2034" s="5" t="s">
        <v>1788</v>
      </c>
      <c r="F2034" s="5" t="s">
        <v>3057</v>
      </c>
    </row>
    <row r="2035">
      <c r="A2035" s="5" t="s">
        <v>2935</v>
      </c>
      <c r="B2035" s="8">
        <v>5.0</v>
      </c>
      <c r="C2035" s="7" t="s">
        <v>794</v>
      </c>
      <c r="D2035" s="7" t="s">
        <v>795</v>
      </c>
      <c r="E2035" s="5" t="s">
        <v>1788</v>
      </c>
      <c r="F2035" s="4" t="s">
        <v>3045</v>
      </c>
    </row>
    <row r="2036">
      <c r="A2036" s="5" t="s">
        <v>2936</v>
      </c>
      <c r="B2036" s="8">
        <v>5.0</v>
      </c>
      <c r="C2036" s="7" t="s">
        <v>794</v>
      </c>
      <c r="D2036" s="7" t="s">
        <v>795</v>
      </c>
      <c r="E2036" s="5" t="s">
        <v>1788</v>
      </c>
      <c r="F2036" s="5" t="s">
        <v>3058</v>
      </c>
    </row>
    <row r="2037">
      <c r="A2037" s="5" t="s">
        <v>2608</v>
      </c>
      <c r="B2037" s="8">
        <v>5.0</v>
      </c>
      <c r="C2037" s="7" t="s">
        <v>794</v>
      </c>
      <c r="D2037" s="7" t="s">
        <v>795</v>
      </c>
      <c r="E2037" s="5" t="s">
        <v>1788</v>
      </c>
      <c r="F2037" s="4" t="s">
        <v>3059</v>
      </c>
    </row>
    <row r="2038">
      <c r="A2038" s="5" t="s">
        <v>2609</v>
      </c>
      <c r="B2038" s="8">
        <v>5.0</v>
      </c>
      <c r="C2038" s="7" t="s">
        <v>794</v>
      </c>
      <c r="D2038" s="7" t="s">
        <v>795</v>
      </c>
      <c r="E2038" s="5" t="s">
        <v>1788</v>
      </c>
      <c r="F2038" s="5" t="s">
        <v>3060</v>
      </c>
    </row>
    <row r="2039">
      <c r="A2039" s="5" t="s">
        <v>2922</v>
      </c>
      <c r="B2039" s="8">
        <v>5.0</v>
      </c>
      <c r="C2039" s="7" t="s">
        <v>813</v>
      </c>
      <c r="D2039" s="7" t="s">
        <v>814</v>
      </c>
      <c r="E2039" s="5" t="s">
        <v>3061</v>
      </c>
      <c r="F2039" s="5" t="s">
        <v>3062</v>
      </c>
    </row>
    <row r="2040">
      <c r="A2040" s="5" t="s">
        <v>2924</v>
      </c>
      <c r="B2040" s="8">
        <v>5.0</v>
      </c>
      <c r="C2040" s="7" t="s">
        <v>813</v>
      </c>
      <c r="D2040" s="7" t="s">
        <v>814</v>
      </c>
      <c r="E2040" s="5" t="s">
        <v>3061</v>
      </c>
      <c r="F2040" s="5" t="s">
        <v>3062</v>
      </c>
    </row>
    <row r="2041">
      <c r="A2041" s="5" t="s">
        <v>2925</v>
      </c>
      <c r="B2041" s="8">
        <v>5.0</v>
      </c>
      <c r="C2041" s="7" t="s">
        <v>813</v>
      </c>
      <c r="D2041" s="7" t="s">
        <v>814</v>
      </c>
      <c r="E2041" s="5" t="s">
        <v>3061</v>
      </c>
      <c r="F2041" s="5" t="s">
        <v>3062</v>
      </c>
    </row>
    <row r="2042">
      <c r="A2042" s="7" t="s">
        <v>599</v>
      </c>
      <c r="B2042" s="8">
        <v>5.0</v>
      </c>
      <c r="C2042" s="7" t="s">
        <v>813</v>
      </c>
      <c r="D2042" s="7" t="s">
        <v>814</v>
      </c>
      <c r="E2042" s="5" t="s">
        <v>3061</v>
      </c>
      <c r="F2042" s="5" t="s">
        <v>3062</v>
      </c>
    </row>
    <row r="2043">
      <c r="A2043" s="5" t="s">
        <v>2926</v>
      </c>
      <c r="B2043" s="8">
        <v>5.0</v>
      </c>
      <c r="C2043" s="7" t="s">
        <v>813</v>
      </c>
      <c r="D2043" s="7" t="s">
        <v>814</v>
      </c>
      <c r="E2043" s="5" t="s">
        <v>3061</v>
      </c>
      <c r="F2043" s="5" t="s">
        <v>3062</v>
      </c>
    </row>
    <row r="2044">
      <c r="A2044" s="5" t="s">
        <v>2927</v>
      </c>
      <c r="B2044" s="8">
        <v>5.0</v>
      </c>
      <c r="C2044" s="7" t="s">
        <v>813</v>
      </c>
      <c r="D2044" s="7" t="s">
        <v>814</v>
      </c>
      <c r="E2044" s="5" t="s">
        <v>3061</v>
      </c>
      <c r="F2044" s="5" t="s">
        <v>3063</v>
      </c>
    </row>
    <row r="2045">
      <c r="A2045" s="5" t="s">
        <v>2928</v>
      </c>
      <c r="B2045" s="8">
        <v>5.0</v>
      </c>
      <c r="C2045" s="7" t="s">
        <v>813</v>
      </c>
      <c r="D2045" s="7" t="s">
        <v>814</v>
      </c>
      <c r="E2045" s="5" t="s">
        <v>3061</v>
      </c>
      <c r="F2045" s="5" t="s">
        <v>3062</v>
      </c>
    </row>
    <row r="2046">
      <c r="A2046" s="7" t="s">
        <v>603</v>
      </c>
      <c r="B2046" s="8">
        <v>5.0</v>
      </c>
      <c r="C2046" s="7" t="s">
        <v>813</v>
      </c>
      <c r="D2046" s="7" t="s">
        <v>814</v>
      </c>
      <c r="E2046" s="5" t="s">
        <v>3061</v>
      </c>
      <c r="F2046" s="5" t="s">
        <v>3062</v>
      </c>
    </row>
    <row r="2047">
      <c r="A2047" s="5" t="s">
        <v>2929</v>
      </c>
      <c r="B2047" s="8">
        <v>5.0</v>
      </c>
      <c r="C2047" s="7" t="s">
        <v>813</v>
      </c>
      <c r="D2047" s="7" t="s">
        <v>814</v>
      </c>
      <c r="E2047" s="5" t="s">
        <v>3061</v>
      </c>
      <c r="F2047" s="5" t="s">
        <v>3062</v>
      </c>
    </row>
    <row r="2048">
      <c r="A2048" s="5" t="s">
        <v>2930</v>
      </c>
      <c r="B2048" s="8">
        <v>5.0</v>
      </c>
      <c r="C2048" s="7" t="s">
        <v>813</v>
      </c>
      <c r="D2048" s="7" t="s">
        <v>814</v>
      </c>
      <c r="E2048" s="5" t="s">
        <v>3061</v>
      </c>
      <c r="F2048" s="5" t="s">
        <v>3062</v>
      </c>
    </row>
    <row r="2049">
      <c r="A2049" s="7" t="s">
        <v>606</v>
      </c>
      <c r="B2049" s="8">
        <v>5.0</v>
      </c>
      <c r="C2049" s="7" t="s">
        <v>813</v>
      </c>
      <c r="D2049" s="7" t="s">
        <v>814</v>
      </c>
      <c r="E2049" s="5" t="s">
        <v>3061</v>
      </c>
      <c r="F2049" s="5" t="s">
        <v>3062</v>
      </c>
    </row>
    <row r="2050">
      <c r="A2050" s="5" t="s">
        <v>2602</v>
      </c>
      <c r="B2050" s="8">
        <v>5.0</v>
      </c>
      <c r="C2050" s="7" t="s">
        <v>813</v>
      </c>
      <c r="D2050" s="7" t="s">
        <v>814</v>
      </c>
      <c r="E2050" s="5" t="s">
        <v>3061</v>
      </c>
      <c r="F2050" s="5" t="s">
        <v>3062</v>
      </c>
    </row>
    <row r="2051">
      <c r="A2051" s="5" t="s">
        <v>2931</v>
      </c>
      <c r="B2051" s="8">
        <v>5.0</v>
      </c>
      <c r="C2051" s="7" t="s">
        <v>813</v>
      </c>
      <c r="D2051" s="7" t="s">
        <v>814</v>
      </c>
      <c r="E2051" s="5" t="s">
        <v>3061</v>
      </c>
      <c r="F2051" s="5" t="s">
        <v>3062</v>
      </c>
    </row>
    <row r="2052">
      <c r="A2052" s="5" t="s">
        <v>2932</v>
      </c>
      <c r="B2052" s="8">
        <v>5.0</v>
      </c>
      <c r="C2052" s="7" t="s">
        <v>813</v>
      </c>
      <c r="D2052" s="7" t="s">
        <v>814</v>
      </c>
      <c r="E2052" s="5" t="s">
        <v>3061</v>
      </c>
      <c r="F2052" s="5" t="s">
        <v>3062</v>
      </c>
    </row>
    <row r="2053">
      <c r="A2053" s="5" t="s">
        <v>2933</v>
      </c>
      <c r="B2053" s="8">
        <v>5.0</v>
      </c>
      <c r="C2053" s="7" t="s">
        <v>813</v>
      </c>
      <c r="D2053" s="7" t="s">
        <v>814</v>
      </c>
      <c r="E2053" s="5" t="s">
        <v>3061</v>
      </c>
      <c r="F2053" s="5" t="s">
        <v>3062</v>
      </c>
    </row>
    <row r="2054">
      <c r="A2054" s="5" t="s">
        <v>2606</v>
      </c>
      <c r="B2054" s="8">
        <v>5.0</v>
      </c>
      <c r="C2054" s="7" t="s">
        <v>813</v>
      </c>
      <c r="D2054" s="7" t="s">
        <v>814</v>
      </c>
      <c r="E2054" s="5" t="s">
        <v>3061</v>
      </c>
      <c r="F2054" s="5" t="s">
        <v>3062</v>
      </c>
    </row>
    <row r="2055">
      <c r="A2055" s="5" t="s">
        <v>2934</v>
      </c>
      <c r="B2055" s="8">
        <v>5.0</v>
      </c>
      <c r="C2055" s="7" t="s">
        <v>813</v>
      </c>
      <c r="D2055" s="7" t="s">
        <v>814</v>
      </c>
      <c r="E2055" s="5" t="s">
        <v>3061</v>
      </c>
      <c r="F2055" s="5" t="s">
        <v>3062</v>
      </c>
    </row>
    <row r="2056">
      <c r="A2056" s="5" t="s">
        <v>2607</v>
      </c>
      <c r="B2056" s="8">
        <v>5.0</v>
      </c>
      <c r="C2056" s="7" t="s">
        <v>813</v>
      </c>
      <c r="D2056" s="7" t="s">
        <v>814</v>
      </c>
      <c r="E2056" s="5" t="s">
        <v>3061</v>
      </c>
      <c r="F2056" s="5" t="s">
        <v>3062</v>
      </c>
    </row>
    <row r="2057">
      <c r="A2057" s="5" t="s">
        <v>2935</v>
      </c>
      <c r="B2057" s="8">
        <v>5.0</v>
      </c>
      <c r="C2057" s="7" t="s">
        <v>813</v>
      </c>
      <c r="D2057" s="7" t="s">
        <v>814</v>
      </c>
      <c r="E2057" s="5" t="s">
        <v>3061</v>
      </c>
      <c r="F2057" s="5" t="s">
        <v>3062</v>
      </c>
    </row>
    <row r="2058">
      <c r="A2058" s="5" t="s">
        <v>2936</v>
      </c>
      <c r="B2058" s="8">
        <v>5.0</v>
      </c>
      <c r="C2058" s="7" t="s">
        <v>813</v>
      </c>
      <c r="D2058" s="7" t="s">
        <v>814</v>
      </c>
      <c r="E2058" s="5" t="s">
        <v>3061</v>
      </c>
      <c r="F2058" s="5" t="s">
        <v>3062</v>
      </c>
    </row>
    <row r="2059">
      <c r="A2059" s="5" t="s">
        <v>2608</v>
      </c>
      <c r="B2059" s="8">
        <v>5.0</v>
      </c>
      <c r="C2059" s="7" t="s">
        <v>813</v>
      </c>
      <c r="D2059" s="7" t="s">
        <v>814</v>
      </c>
      <c r="E2059" s="5" t="s">
        <v>3061</v>
      </c>
      <c r="F2059" s="5" t="s">
        <v>3062</v>
      </c>
    </row>
    <row r="2060">
      <c r="A2060" s="5" t="s">
        <v>2609</v>
      </c>
      <c r="B2060" s="8">
        <v>5.0</v>
      </c>
      <c r="C2060" s="7" t="s">
        <v>813</v>
      </c>
      <c r="D2060" s="7" t="s">
        <v>814</v>
      </c>
      <c r="E2060" s="5" t="s">
        <v>3061</v>
      </c>
      <c r="F2060" s="5" t="s">
        <v>3062</v>
      </c>
    </row>
    <row r="2061">
      <c r="A2061" s="5" t="s">
        <v>2922</v>
      </c>
      <c r="B2061" s="8">
        <v>5.0</v>
      </c>
      <c r="C2061" s="4" t="s">
        <v>295</v>
      </c>
      <c r="D2061" s="7" t="s">
        <v>818</v>
      </c>
      <c r="E2061" s="7" t="s">
        <v>819</v>
      </c>
      <c r="F2061" s="7" t="s">
        <v>862</v>
      </c>
    </row>
    <row r="2062">
      <c r="A2062" s="5" t="s">
        <v>2924</v>
      </c>
      <c r="B2062" s="8">
        <v>5.0</v>
      </c>
      <c r="C2062" s="4" t="s">
        <v>295</v>
      </c>
      <c r="D2062" s="7" t="s">
        <v>818</v>
      </c>
      <c r="E2062" s="7" t="s">
        <v>819</v>
      </c>
      <c r="F2062" s="7" t="s">
        <v>863</v>
      </c>
    </row>
    <row r="2063">
      <c r="A2063" s="5" t="s">
        <v>2925</v>
      </c>
      <c r="B2063" s="8">
        <v>5.0</v>
      </c>
      <c r="C2063" s="4" t="s">
        <v>295</v>
      </c>
      <c r="D2063" s="7" t="s">
        <v>818</v>
      </c>
      <c r="E2063" s="7" t="s">
        <v>819</v>
      </c>
      <c r="F2063" s="7" t="s">
        <v>864</v>
      </c>
    </row>
    <row r="2064">
      <c r="A2064" s="7" t="s">
        <v>599</v>
      </c>
      <c r="B2064" s="8">
        <v>5.0</v>
      </c>
      <c r="C2064" s="4" t="s">
        <v>295</v>
      </c>
      <c r="D2064" s="7" t="s">
        <v>818</v>
      </c>
      <c r="E2064" s="7" t="s">
        <v>819</v>
      </c>
      <c r="F2064" s="7" t="s">
        <v>862</v>
      </c>
    </row>
    <row r="2065">
      <c r="A2065" s="5" t="s">
        <v>2926</v>
      </c>
      <c r="B2065" s="8">
        <v>5.0</v>
      </c>
      <c r="C2065" s="4" t="s">
        <v>295</v>
      </c>
      <c r="D2065" s="7" t="s">
        <v>818</v>
      </c>
      <c r="E2065" s="7" t="s">
        <v>819</v>
      </c>
      <c r="F2065" s="7" t="s">
        <v>865</v>
      </c>
    </row>
    <row r="2066">
      <c r="A2066" s="5" t="s">
        <v>2927</v>
      </c>
      <c r="B2066" s="8">
        <v>5.0</v>
      </c>
      <c r="C2066" s="4" t="s">
        <v>295</v>
      </c>
      <c r="D2066" s="7" t="s">
        <v>818</v>
      </c>
      <c r="E2066" s="7" t="s">
        <v>819</v>
      </c>
      <c r="F2066" s="7" t="s">
        <v>594</v>
      </c>
    </row>
    <row r="2067">
      <c r="A2067" s="5" t="s">
        <v>2928</v>
      </c>
      <c r="B2067" s="8">
        <v>5.0</v>
      </c>
      <c r="C2067" s="4" t="s">
        <v>295</v>
      </c>
      <c r="D2067" s="7" t="s">
        <v>818</v>
      </c>
      <c r="E2067" s="7" t="s">
        <v>819</v>
      </c>
      <c r="F2067" s="7" t="s">
        <v>384</v>
      </c>
    </row>
    <row r="2068">
      <c r="A2068" s="7" t="s">
        <v>603</v>
      </c>
      <c r="B2068" s="8">
        <v>5.0</v>
      </c>
      <c r="C2068" s="4" t="s">
        <v>295</v>
      </c>
      <c r="D2068" s="7" t="s">
        <v>818</v>
      </c>
      <c r="E2068" s="7" t="s">
        <v>819</v>
      </c>
      <c r="F2068" s="7" t="s">
        <v>862</v>
      </c>
    </row>
    <row r="2069">
      <c r="A2069" s="5" t="s">
        <v>2929</v>
      </c>
      <c r="B2069" s="8">
        <v>5.0</v>
      </c>
      <c r="C2069" s="4" t="s">
        <v>295</v>
      </c>
      <c r="D2069" s="7" t="s">
        <v>818</v>
      </c>
      <c r="E2069" s="7" t="s">
        <v>819</v>
      </c>
      <c r="F2069" s="7" t="s">
        <v>864</v>
      </c>
    </row>
    <row r="2070">
      <c r="A2070" s="5" t="s">
        <v>2930</v>
      </c>
      <c r="B2070" s="8">
        <v>5.0</v>
      </c>
      <c r="C2070" s="4" t="s">
        <v>295</v>
      </c>
      <c r="D2070" s="7" t="s">
        <v>818</v>
      </c>
      <c r="E2070" s="7" t="s">
        <v>819</v>
      </c>
      <c r="F2070" s="7" t="s">
        <v>863</v>
      </c>
    </row>
    <row r="2071">
      <c r="A2071" s="7" t="s">
        <v>606</v>
      </c>
      <c r="B2071" s="8">
        <v>5.0</v>
      </c>
      <c r="C2071" s="4" t="s">
        <v>295</v>
      </c>
      <c r="D2071" s="7" t="s">
        <v>818</v>
      </c>
      <c r="E2071" s="7" t="s">
        <v>819</v>
      </c>
      <c r="F2071" s="7" t="s">
        <v>864</v>
      </c>
    </row>
    <row r="2072">
      <c r="A2072" s="5" t="s">
        <v>2602</v>
      </c>
      <c r="B2072" s="8">
        <v>5.0</v>
      </c>
      <c r="C2072" s="4" t="s">
        <v>295</v>
      </c>
      <c r="D2072" s="7" t="s">
        <v>818</v>
      </c>
      <c r="E2072" s="7" t="s">
        <v>819</v>
      </c>
      <c r="F2072" s="7" t="s">
        <v>863</v>
      </c>
    </row>
    <row r="2073">
      <c r="A2073" s="5" t="s">
        <v>2931</v>
      </c>
      <c r="B2073" s="8">
        <v>5.0</v>
      </c>
      <c r="C2073" s="4" t="s">
        <v>295</v>
      </c>
      <c r="D2073" s="7" t="s">
        <v>818</v>
      </c>
      <c r="E2073" s="7" t="s">
        <v>819</v>
      </c>
      <c r="F2073" s="7" t="s">
        <v>863</v>
      </c>
    </row>
    <row r="2074">
      <c r="A2074" s="5" t="s">
        <v>2932</v>
      </c>
      <c r="B2074" s="8">
        <v>5.0</v>
      </c>
      <c r="C2074" s="4" t="s">
        <v>295</v>
      </c>
      <c r="D2074" s="7" t="s">
        <v>818</v>
      </c>
      <c r="E2074" s="7" t="s">
        <v>819</v>
      </c>
      <c r="F2074" s="7" t="s">
        <v>864</v>
      </c>
    </row>
    <row r="2075">
      <c r="A2075" s="5" t="s">
        <v>2933</v>
      </c>
      <c r="B2075" s="8">
        <v>5.0</v>
      </c>
      <c r="C2075" s="4" t="s">
        <v>295</v>
      </c>
      <c r="D2075" s="7" t="s">
        <v>818</v>
      </c>
      <c r="E2075" s="7" t="s">
        <v>819</v>
      </c>
      <c r="F2075" s="7" t="s">
        <v>384</v>
      </c>
    </row>
    <row r="2076">
      <c r="A2076" s="5" t="s">
        <v>2606</v>
      </c>
      <c r="B2076" s="8">
        <v>5.0</v>
      </c>
      <c r="C2076" s="4" t="s">
        <v>295</v>
      </c>
      <c r="D2076" s="7" t="s">
        <v>818</v>
      </c>
      <c r="E2076" s="7" t="s">
        <v>819</v>
      </c>
      <c r="F2076" s="7" t="s">
        <v>863</v>
      </c>
    </row>
    <row r="2077">
      <c r="A2077" s="5" t="s">
        <v>2934</v>
      </c>
      <c r="B2077" s="8">
        <v>5.0</v>
      </c>
      <c r="C2077" s="4" t="s">
        <v>295</v>
      </c>
      <c r="D2077" s="7" t="s">
        <v>818</v>
      </c>
      <c r="E2077" s="7" t="s">
        <v>819</v>
      </c>
      <c r="F2077" s="7" t="s">
        <v>865</v>
      </c>
    </row>
    <row r="2078">
      <c r="A2078" s="5" t="s">
        <v>2607</v>
      </c>
      <c r="B2078" s="8">
        <v>5.0</v>
      </c>
      <c r="C2078" s="4" t="s">
        <v>295</v>
      </c>
      <c r="D2078" s="7" t="s">
        <v>818</v>
      </c>
      <c r="E2078" s="7" t="s">
        <v>819</v>
      </c>
      <c r="F2078" s="7" t="s">
        <v>865</v>
      </c>
    </row>
    <row r="2079">
      <c r="A2079" s="5" t="s">
        <v>2935</v>
      </c>
      <c r="B2079" s="8">
        <v>5.0</v>
      </c>
      <c r="C2079" s="4" t="s">
        <v>295</v>
      </c>
      <c r="D2079" s="7" t="s">
        <v>818</v>
      </c>
      <c r="E2079" s="7" t="s">
        <v>819</v>
      </c>
      <c r="F2079" s="7" t="s">
        <v>865</v>
      </c>
    </row>
    <row r="2080">
      <c r="A2080" s="5" t="s">
        <v>2936</v>
      </c>
      <c r="B2080" s="8">
        <v>5.0</v>
      </c>
      <c r="C2080" s="4" t="s">
        <v>295</v>
      </c>
      <c r="D2080" s="7" t="s">
        <v>818</v>
      </c>
      <c r="E2080" s="7" t="s">
        <v>819</v>
      </c>
      <c r="F2080" s="7" t="s">
        <v>864</v>
      </c>
    </row>
    <row r="2081">
      <c r="A2081" s="5" t="s">
        <v>2608</v>
      </c>
      <c r="B2081" s="8">
        <v>5.0</v>
      </c>
      <c r="C2081" s="4" t="s">
        <v>295</v>
      </c>
      <c r="D2081" s="7" t="s">
        <v>818</v>
      </c>
      <c r="E2081" s="7" t="s">
        <v>819</v>
      </c>
      <c r="F2081" s="7" t="s">
        <v>864</v>
      </c>
    </row>
    <row r="2082">
      <c r="A2082" s="5" t="s">
        <v>2609</v>
      </c>
      <c r="B2082" s="8">
        <v>5.0</v>
      </c>
      <c r="C2082" s="4" t="s">
        <v>295</v>
      </c>
      <c r="D2082" s="7" t="s">
        <v>818</v>
      </c>
      <c r="E2082" s="7" t="s">
        <v>819</v>
      </c>
      <c r="F2082" s="7" t="s">
        <v>594</v>
      </c>
    </row>
    <row r="2083">
      <c r="A2083" s="5" t="s">
        <v>2922</v>
      </c>
      <c r="B2083" s="8">
        <v>5.0</v>
      </c>
      <c r="C2083" s="7" t="s">
        <v>309</v>
      </c>
      <c r="D2083" s="5" t="s">
        <v>1879</v>
      </c>
      <c r="E2083" s="7" t="s">
        <v>820</v>
      </c>
      <c r="F2083" s="7" t="s">
        <v>821</v>
      </c>
    </row>
    <row r="2084">
      <c r="A2084" s="5" t="s">
        <v>2924</v>
      </c>
      <c r="B2084" s="8">
        <v>5.0</v>
      </c>
      <c r="C2084" s="7" t="s">
        <v>309</v>
      </c>
      <c r="D2084" s="5" t="s">
        <v>1879</v>
      </c>
      <c r="E2084" s="7" t="s">
        <v>820</v>
      </c>
      <c r="F2084" s="5" t="s">
        <v>238</v>
      </c>
    </row>
    <row r="2085">
      <c r="A2085" s="5" t="s">
        <v>2925</v>
      </c>
      <c r="B2085" s="8">
        <v>5.0</v>
      </c>
      <c r="C2085" s="7" t="s">
        <v>309</v>
      </c>
      <c r="D2085" s="5" t="s">
        <v>1879</v>
      </c>
      <c r="E2085" s="7" t="s">
        <v>820</v>
      </c>
      <c r="F2085" s="5" t="s">
        <v>271</v>
      </c>
    </row>
    <row r="2086">
      <c r="A2086" s="7" t="s">
        <v>599</v>
      </c>
      <c r="B2086" s="8">
        <v>5.0</v>
      </c>
      <c r="C2086" s="7" t="s">
        <v>309</v>
      </c>
      <c r="D2086" s="5" t="s">
        <v>1879</v>
      </c>
      <c r="E2086" s="7" t="s">
        <v>820</v>
      </c>
      <c r="F2086" s="5" t="s">
        <v>238</v>
      </c>
    </row>
    <row r="2087">
      <c r="A2087" s="5" t="s">
        <v>2926</v>
      </c>
      <c r="B2087" s="8">
        <v>5.0</v>
      </c>
      <c r="C2087" s="7" t="s">
        <v>309</v>
      </c>
      <c r="D2087" s="5" t="s">
        <v>1879</v>
      </c>
      <c r="E2087" s="7" t="s">
        <v>820</v>
      </c>
      <c r="F2087" s="5" t="s">
        <v>3036</v>
      </c>
    </row>
    <row r="2088">
      <c r="A2088" s="5" t="s">
        <v>2927</v>
      </c>
      <c r="B2088" s="8">
        <v>5.0</v>
      </c>
      <c r="C2088" s="7" t="s">
        <v>309</v>
      </c>
      <c r="D2088" s="5" t="s">
        <v>1879</v>
      </c>
      <c r="E2088" s="7" t="s">
        <v>820</v>
      </c>
      <c r="F2088" s="5" t="s">
        <v>238</v>
      </c>
    </row>
    <row r="2089">
      <c r="A2089" s="5" t="s">
        <v>2928</v>
      </c>
      <c r="B2089" s="8">
        <v>5.0</v>
      </c>
      <c r="C2089" s="7" t="s">
        <v>309</v>
      </c>
      <c r="D2089" s="5" t="s">
        <v>1879</v>
      </c>
      <c r="E2089" s="7" t="s">
        <v>820</v>
      </c>
      <c r="F2089" s="5" t="s">
        <v>238</v>
      </c>
    </row>
    <row r="2090">
      <c r="A2090" s="7" t="s">
        <v>603</v>
      </c>
      <c r="B2090" s="8">
        <v>5.0</v>
      </c>
      <c r="C2090" s="7" t="s">
        <v>309</v>
      </c>
      <c r="D2090" s="5" t="s">
        <v>1879</v>
      </c>
      <c r="E2090" s="7" t="s">
        <v>820</v>
      </c>
      <c r="F2090" s="5" t="s">
        <v>238</v>
      </c>
    </row>
    <row r="2091">
      <c r="A2091" s="5" t="s">
        <v>2929</v>
      </c>
      <c r="B2091" s="8">
        <v>5.0</v>
      </c>
      <c r="C2091" s="7" t="s">
        <v>309</v>
      </c>
      <c r="D2091" s="5" t="s">
        <v>1879</v>
      </c>
      <c r="E2091" s="7" t="s">
        <v>820</v>
      </c>
      <c r="F2091" s="5" t="s">
        <v>3037</v>
      </c>
    </row>
    <row r="2092">
      <c r="A2092" s="5" t="s">
        <v>2930</v>
      </c>
      <c r="B2092" s="8">
        <v>5.0</v>
      </c>
      <c r="C2092" s="7" t="s">
        <v>309</v>
      </c>
      <c r="D2092" s="5" t="s">
        <v>1879</v>
      </c>
      <c r="E2092" s="7" t="s">
        <v>820</v>
      </c>
      <c r="F2092" s="5" t="s">
        <v>238</v>
      </c>
    </row>
    <row r="2093">
      <c r="A2093" s="7" t="s">
        <v>606</v>
      </c>
      <c r="B2093" s="8">
        <v>5.0</v>
      </c>
      <c r="C2093" s="7" t="s">
        <v>309</v>
      </c>
      <c r="D2093" s="5" t="s">
        <v>1879</v>
      </c>
      <c r="E2093" s="7" t="s">
        <v>820</v>
      </c>
      <c r="F2093" s="5" t="s">
        <v>238</v>
      </c>
    </row>
    <row r="2094">
      <c r="A2094" s="5" t="s">
        <v>2602</v>
      </c>
      <c r="B2094" s="8">
        <v>5.0</v>
      </c>
      <c r="C2094" s="7" t="s">
        <v>309</v>
      </c>
      <c r="D2094" s="5" t="s">
        <v>1879</v>
      </c>
      <c r="E2094" s="7" t="s">
        <v>820</v>
      </c>
      <c r="F2094" s="5" t="s">
        <v>3038</v>
      </c>
    </row>
    <row r="2095">
      <c r="A2095" s="5" t="s">
        <v>2931</v>
      </c>
      <c r="B2095" s="8">
        <v>5.0</v>
      </c>
      <c r="C2095" s="7" t="s">
        <v>309</v>
      </c>
      <c r="D2095" s="5" t="s">
        <v>1879</v>
      </c>
      <c r="E2095" s="7" t="s">
        <v>820</v>
      </c>
      <c r="F2095" s="5" t="s">
        <v>271</v>
      </c>
    </row>
    <row r="2096">
      <c r="A2096" s="5" t="s">
        <v>2932</v>
      </c>
      <c r="B2096" s="8">
        <v>5.0</v>
      </c>
      <c r="C2096" s="7" t="s">
        <v>309</v>
      </c>
      <c r="D2096" s="5" t="s">
        <v>1879</v>
      </c>
      <c r="E2096" s="7" t="s">
        <v>820</v>
      </c>
      <c r="F2096" s="5" t="s">
        <v>273</v>
      </c>
    </row>
    <row r="2097">
      <c r="A2097" s="5" t="s">
        <v>2933</v>
      </c>
      <c r="B2097" s="8">
        <v>5.0</v>
      </c>
      <c r="C2097" s="7" t="s">
        <v>309</v>
      </c>
      <c r="D2097" s="5" t="s">
        <v>1879</v>
      </c>
      <c r="E2097" s="7" t="s">
        <v>820</v>
      </c>
      <c r="F2097" s="5" t="s">
        <v>238</v>
      </c>
    </row>
    <row r="2098">
      <c r="A2098" s="5" t="s">
        <v>2606</v>
      </c>
      <c r="B2098" s="8">
        <v>5.0</v>
      </c>
      <c r="C2098" s="7" t="s">
        <v>309</v>
      </c>
      <c r="D2098" s="5" t="s">
        <v>1879</v>
      </c>
      <c r="E2098" s="7" t="s">
        <v>820</v>
      </c>
      <c r="F2098" s="5" t="s">
        <v>238</v>
      </c>
    </row>
    <row r="2099">
      <c r="A2099" s="5" t="s">
        <v>2934</v>
      </c>
      <c r="B2099" s="8">
        <v>5.0</v>
      </c>
      <c r="C2099" s="7" t="s">
        <v>309</v>
      </c>
      <c r="D2099" s="5" t="s">
        <v>1879</v>
      </c>
      <c r="E2099" s="7" t="s">
        <v>820</v>
      </c>
      <c r="F2099" s="5" t="s">
        <v>238</v>
      </c>
    </row>
    <row r="2100">
      <c r="A2100" s="5" t="s">
        <v>2607</v>
      </c>
      <c r="B2100" s="8">
        <v>5.0</v>
      </c>
      <c r="C2100" s="7" t="s">
        <v>309</v>
      </c>
      <c r="D2100" s="5" t="s">
        <v>1879</v>
      </c>
      <c r="E2100" s="7" t="s">
        <v>820</v>
      </c>
      <c r="F2100" s="5" t="s">
        <v>238</v>
      </c>
    </row>
    <row r="2101">
      <c r="A2101" s="5" t="s">
        <v>2935</v>
      </c>
      <c r="B2101" s="8">
        <v>5.0</v>
      </c>
      <c r="C2101" s="7" t="s">
        <v>309</v>
      </c>
      <c r="D2101" s="5" t="s">
        <v>1879</v>
      </c>
      <c r="E2101" s="7" t="s">
        <v>820</v>
      </c>
      <c r="F2101" s="5" t="s">
        <v>772</v>
      </c>
    </row>
    <row r="2102">
      <c r="A2102" s="5" t="s">
        <v>2936</v>
      </c>
      <c r="B2102" s="8">
        <v>5.0</v>
      </c>
      <c r="C2102" s="7" t="s">
        <v>309</v>
      </c>
      <c r="D2102" s="5" t="s">
        <v>1879</v>
      </c>
      <c r="E2102" s="7" t="s">
        <v>820</v>
      </c>
      <c r="F2102" s="5" t="s">
        <v>238</v>
      </c>
    </row>
    <row r="2103">
      <c r="A2103" s="5" t="s">
        <v>2608</v>
      </c>
      <c r="B2103" s="8">
        <v>5.0</v>
      </c>
      <c r="C2103" s="7" t="s">
        <v>309</v>
      </c>
      <c r="D2103" s="5" t="s">
        <v>1879</v>
      </c>
      <c r="E2103" s="7" t="s">
        <v>820</v>
      </c>
      <c r="F2103" s="5" t="s">
        <v>238</v>
      </c>
    </row>
    <row r="2104">
      <c r="A2104" s="5" t="s">
        <v>2609</v>
      </c>
      <c r="B2104" s="8">
        <v>5.0</v>
      </c>
      <c r="C2104" s="7" t="s">
        <v>309</v>
      </c>
      <c r="D2104" s="5" t="s">
        <v>1879</v>
      </c>
      <c r="E2104" s="7" t="s">
        <v>820</v>
      </c>
      <c r="F2104" s="5" t="s">
        <v>238</v>
      </c>
    </row>
    <row r="2105">
      <c r="A2105" s="5" t="s">
        <v>2922</v>
      </c>
      <c r="B2105" s="8">
        <v>5.0</v>
      </c>
      <c r="C2105" s="7" t="s">
        <v>314</v>
      </c>
      <c r="D2105" s="7" t="s">
        <v>315</v>
      </c>
      <c r="E2105" s="5" t="s">
        <v>822</v>
      </c>
      <c r="F2105" s="5" t="s">
        <v>823</v>
      </c>
    </row>
    <row r="2106">
      <c r="A2106" s="5" t="s">
        <v>2924</v>
      </c>
      <c r="B2106" s="8">
        <v>5.0</v>
      </c>
      <c r="C2106" s="7" t="s">
        <v>314</v>
      </c>
      <c r="D2106" s="7" t="s">
        <v>315</v>
      </c>
      <c r="E2106" s="5" t="s">
        <v>822</v>
      </c>
      <c r="F2106" s="5" t="s">
        <v>780</v>
      </c>
    </row>
    <row r="2107">
      <c r="A2107" s="5" t="s">
        <v>2925</v>
      </c>
      <c r="B2107" s="8">
        <v>5.0</v>
      </c>
      <c r="C2107" s="7" t="s">
        <v>314</v>
      </c>
      <c r="D2107" s="7" t="s">
        <v>315</v>
      </c>
      <c r="E2107" s="5" t="s">
        <v>822</v>
      </c>
      <c r="F2107" s="5" t="s">
        <v>780</v>
      </c>
    </row>
    <row r="2108">
      <c r="A2108" s="7" t="s">
        <v>599</v>
      </c>
      <c r="B2108" s="8">
        <v>5.0</v>
      </c>
      <c r="C2108" s="7" t="s">
        <v>314</v>
      </c>
      <c r="D2108" s="7" t="s">
        <v>315</v>
      </c>
      <c r="E2108" s="5" t="s">
        <v>822</v>
      </c>
      <c r="F2108" s="5" t="s">
        <v>780</v>
      </c>
    </row>
    <row r="2109">
      <c r="A2109" s="5" t="s">
        <v>2926</v>
      </c>
      <c r="B2109" s="8">
        <v>5.0</v>
      </c>
      <c r="C2109" s="7" t="s">
        <v>314</v>
      </c>
      <c r="D2109" s="7" t="s">
        <v>315</v>
      </c>
      <c r="E2109" s="5" t="s">
        <v>822</v>
      </c>
      <c r="F2109" s="5" t="s">
        <v>3040</v>
      </c>
    </row>
    <row r="2110">
      <c r="A2110" s="5" t="s">
        <v>2927</v>
      </c>
      <c r="B2110" s="8">
        <v>5.0</v>
      </c>
      <c r="C2110" s="7" t="s">
        <v>314</v>
      </c>
      <c r="D2110" s="7" t="s">
        <v>315</v>
      </c>
      <c r="E2110" s="5" t="s">
        <v>822</v>
      </c>
      <c r="F2110" s="5" t="s">
        <v>3064</v>
      </c>
    </row>
    <row r="2111">
      <c r="A2111" s="5" t="s">
        <v>2928</v>
      </c>
      <c r="B2111" s="8">
        <v>5.0</v>
      </c>
      <c r="C2111" s="7" t="s">
        <v>314</v>
      </c>
      <c r="D2111" s="7" t="s">
        <v>315</v>
      </c>
      <c r="E2111" s="5" t="s">
        <v>822</v>
      </c>
      <c r="F2111" s="5" t="s">
        <v>780</v>
      </c>
    </row>
    <row r="2112">
      <c r="A2112" s="7" t="s">
        <v>603</v>
      </c>
      <c r="B2112" s="8">
        <v>5.0</v>
      </c>
      <c r="C2112" s="7" t="s">
        <v>314</v>
      </c>
      <c r="D2112" s="7" t="s">
        <v>315</v>
      </c>
      <c r="E2112" s="5" t="s">
        <v>822</v>
      </c>
      <c r="F2112" s="7" t="s">
        <v>784</v>
      </c>
    </row>
    <row r="2113">
      <c r="A2113" s="5" t="s">
        <v>2929</v>
      </c>
      <c r="B2113" s="8">
        <v>5.0</v>
      </c>
      <c r="C2113" s="7" t="s">
        <v>314</v>
      </c>
      <c r="D2113" s="7" t="s">
        <v>315</v>
      </c>
      <c r="E2113" s="5" t="s">
        <v>822</v>
      </c>
      <c r="F2113" s="5" t="s">
        <v>3042</v>
      </c>
    </row>
    <row r="2114">
      <c r="A2114" s="5" t="s">
        <v>2930</v>
      </c>
      <c r="B2114" s="8">
        <v>5.0</v>
      </c>
      <c r="C2114" s="7" t="s">
        <v>314</v>
      </c>
      <c r="D2114" s="7" t="s">
        <v>315</v>
      </c>
      <c r="E2114" s="5" t="s">
        <v>822</v>
      </c>
      <c r="F2114" s="5" t="s">
        <v>780</v>
      </c>
    </row>
    <row r="2115">
      <c r="A2115" s="7" t="s">
        <v>606</v>
      </c>
      <c r="B2115" s="8">
        <v>5.0</v>
      </c>
      <c r="C2115" s="7" t="s">
        <v>314</v>
      </c>
      <c r="D2115" s="7" t="s">
        <v>315</v>
      </c>
      <c r="E2115" s="5" t="s">
        <v>822</v>
      </c>
      <c r="F2115" s="5" t="s">
        <v>780</v>
      </c>
    </row>
    <row r="2116">
      <c r="A2116" s="5" t="s">
        <v>2602</v>
      </c>
      <c r="B2116" s="8">
        <v>5.0</v>
      </c>
      <c r="C2116" s="7" t="s">
        <v>314</v>
      </c>
      <c r="D2116" s="7" t="s">
        <v>315</v>
      </c>
      <c r="E2116" s="5" t="s">
        <v>822</v>
      </c>
      <c r="F2116" s="5" t="s">
        <v>825</v>
      </c>
    </row>
    <row r="2117">
      <c r="A2117" s="5" t="s">
        <v>2931</v>
      </c>
      <c r="B2117" s="8">
        <v>5.0</v>
      </c>
      <c r="C2117" s="7" t="s">
        <v>314</v>
      </c>
      <c r="D2117" s="7" t="s">
        <v>315</v>
      </c>
      <c r="E2117" s="5" t="s">
        <v>822</v>
      </c>
      <c r="F2117" s="5" t="s">
        <v>3043</v>
      </c>
    </row>
    <row r="2118">
      <c r="A2118" s="5" t="s">
        <v>2932</v>
      </c>
      <c r="B2118" s="8">
        <v>5.0</v>
      </c>
      <c r="C2118" s="7" t="s">
        <v>314</v>
      </c>
      <c r="D2118" s="7" t="s">
        <v>315</v>
      </c>
      <c r="E2118" s="5" t="s">
        <v>822</v>
      </c>
      <c r="F2118" s="5" t="s">
        <v>780</v>
      </c>
    </row>
    <row r="2119">
      <c r="A2119" s="5" t="s">
        <v>2933</v>
      </c>
      <c r="B2119" s="8">
        <v>5.0</v>
      </c>
      <c r="C2119" s="7" t="s">
        <v>314</v>
      </c>
      <c r="D2119" s="7" t="s">
        <v>315</v>
      </c>
      <c r="E2119" s="5" t="s">
        <v>822</v>
      </c>
      <c r="F2119" s="5" t="s">
        <v>780</v>
      </c>
    </row>
    <row r="2120">
      <c r="A2120" s="5" t="s">
        <v>2606</v>
      </c>
      <c r="B2120" s="8">
        <v>5.0</v>
      </c>
      <c r="C2120" s="7" t="s">
        <v>314</v>
      </c>
      <c r="D2120" s="7" t="s">
        <v>315</v>
      </c>
      <c r="E2120" s="5" t="s">
        <v>822</v>
      </c>
      <c r="F2120" s="5" t="s">
        <v>780</v>
      </c>
    </row>
    <row r="2121">
      <c r="A2121" s="5" t="s">
        <v>2934</v>
      </c>
      <c r="B2121" s="8">
        <v>5.0</v>
      </c>
      <c r="C2121" s="7" t="s">
        <v>314</v>
      </c>
      <c r="D2121" s="7" t="s">
        <v>315</v>
      </c>
      <c r="E2121" s="5" t="s">
        <v>822</v>
      </c>
      <c r="F2121" s="5" t="s">
        <v>780</v>
      </c>
    </row>
    <row r="2122">
      <c r="A2122" s="5" t="s">
        <v>2607</v>
      </c>
      <c r="B2122" s="8">
        <v>5.0</v>
      </c>
      <c r="C2122" s="7" t="s">
        <v>314</v>
      </c>
      <c r="D2122" s="7" t="s">
        <v>315</v>
      </c>
      <c r="E2122" s="5" t="s">
        <v>822</v>
      </c>
      <c r="F2122" s="5" t="s">
        <v>780</v>
      </c>
    </row>
    <row r="2123">
      <c r="A2123" s="5" t="s">
        <v>2935</v>
      </c>
      <c r="B2123" s="8">
        <v>5.0</v>
      </c>
      <c r="C2123" s="7" t="s">
        <v>314</v>
      </c>
      <c r="D2123" s="7" t="s">
        <v>315</v>
      </c>
      <c r="E2123" s="5" t="s">
        <v>822</v>
      </c>
      <c r="F2123" s="5" t="s">
        <v>780</v>
      </c>
    </row>
    <row r="2124">
      <c r="A2124" s="5" t="s">
        <v>2936</v>
      </c>
      <c r="B2124" s="8">
        <v>5.0</v>
      </c>
      <c r="C2124" s="7" t="s">
        <v>314</v>
      </c>
      <c r="D2124" s="7" t="s">
        <v>315</v>
      </c>
      <c r="E2124" s="5" t="s">
        <v>822</v>
      </c>
      <c r="F2124" s="5" t="s">
        <v>780</v>
      </c>
    </row>
    <row r="2125">
      <c r="A2125" s="5" t="s">
        <v>2608</v>
      </c>
      <c r="B2125" s="8">
        <v>5.0</v>
      </c>
      <c r="C2125" s="7" t="s">
        <v>314</v>
      </c>
      <c r="D2125" s="7" t="s">
        <v>315</v>
      </c>
      <c r="E2125" s="5" t="s">
        <v>822</v>
      </c>
      <c r="F2125" s="5" t="s">
        <v>780</v>
      </c>
    </row>
    <row r="2126">
      <c r="A2126" s="5" t="s">
        <v>2609</v>
      </c>
      <c r="B2126" s="8">
        <v>5.0</v>
      </c>
      <c r="C2126" s="7" t="s">
        <v>314</v>
      </c>
      <c r="D2126" s="7" t="s">
        <v>315</v>
      </c>
      <c r="E2126" s="5" t="s">
        <v>822</v>
      </c>
      <c r="F2126" s="5" t="s">
        <v>780</v>
      </c>
    </row>
    <row r="2127">
      <c r="A2127" s="5" t="s">
        <v>2922</v>
      </c>
      <c r="B2127" s="8">
        <v>5.0</v>
      </c>
      <c r="C2127" s="7" t="s">
        <v>826</v>
      </c>
      <c r="D2127" s="7" t="s">
        <v>827</v>
      </c>
      <c r="E2127" s="5" t="s">
        <v>3065</v>
      </c>
      <c r="F2127" s="5" t="s">
        <v>2922</v>
      </c>
    </row>
    <row r="2128">
      <c r="A2128" s="5" t="s">
        <v>2922</v>
      </c>
      <c r="B2128" s="8">
        <v>5.0</v>
      </c>
      <c r="C2128" s="7" t="s">
        <v>829</v>
      </c>
      <c r="D2128" s="5" t="s">
        <v>3066</v>
      </c>
      <c r="E2128" s="5" t="s">
        <v>3067</v>
      </c>
      <c r="F2128" s="5" t="s">
        <v>832</v>
      </c>
    </row>
    <row r="2129">
      <c r="A2129" s="5" t="s">
        <v>2925</v>
      </c>
      <c r="B2129" s="8">
        <v>5.0</v>
      </c>
      <c r="C2129" s="7" t="s">
        <v>829</v>
      </c>
      <c r="D2129" s="5" t="s">
        <v>3066</v>
      </c>
      <c r="E2129" s="5" t="s">
        <v>3067</v>
      </c>
      <c r="F2129" s="5" t="s">
        <v>3068</v>
      </c>
    </row>
    <row r="2130">
      <c r="A2130" s="5" t="s">
        <v>2922</v>
      </c>
      <c r="B2130" s="8">
        <v>5.0</v>
      </c>
      <c r="C2130" s="7" t="s">
        <v>122</v>
      </c>
      <c r="D2130" s="5" t="s">
        <v>573</v>
      </c>
      <c r="E2130" s="5" t="s">
        <v>3069</v>
      </c>
      <c r="F2130" s="5" t="s">
        <v>3070</v>
      </c>
    </row>
    <row r="2131">
      <c r="A2131" s="5" t="s">
        <v>2924</v>
      </c>
      <c r="B2131" s="8">
        <v>5.0</v>
      </c>
      <c r="C2131" s="7" t="s">
        <v>122</v>
      </c>
      <c r="D2131" s="5" t="s">
        <v>573</v>
      </c>
      <c r="E2131" s="5" t="s">
        <v>3069</v>
      </c>
      <c r="F2131" s="5" t="s">
        <v>2903</v>
      </c>
    </row>
    <row r="2132">
      <c r="A2132" s="5" t="s">
        <v>2925</v>
      </c>
      <c r="B2132" s="8">
        <v>5.0</v>
      </c>
      <c r="C2132" s="7" t="s">
        <v>122</v>
      </c>
      <c r="D2132" s="5" t="s">
        <v>573</v>
      </c>
      <c r="E2132" s="5" t="s">
        <v>3069</v>
      </c>
      <c r="F2132" s="5" t="s">
        <v>3071</v>
      </c>
    </row>
    <row r="2133">
      <c r="A2133" s="7" t="s">
        <v>599</v>
      </c>
      <c r="B2133" s="8">
        <v>5.0</v>
      </c>
      <c r="C2133" s="7" t="s">
        <v>122</v>
      </c>
      <c r="D2133" s="5" t="s">
        <v>573</v>
      </c>
      <c r="E2133" s="5" t="s">
        <v>3069</v>
      </c>
      <c r="F2133" s="5" t="s">
        <v>3072</v>
      </c>
    </row>
    <row r="2134">
      <c r="A2134" s="5" t="s">
        <v>2922</v>
      </c>
      <c r="B2134" s="8">
        <v>5.0</v>
      </c>
      <c r="C2134" s="7" t="s">
        <v>139</v>
      </c>
      <c r="D2134" s="7" t="s">
        <v>839</v>
      </c>
      <c r="E2134" s="5" t="s">
        <v>3073</v>
      </c>
      <c r="F2134" s="5" t="s">
        <v>240</v>
      </c>
    </row>
    <row r="2135">
      <c r="A2135" s="5" t="s">
        <v>2924</v>
      </c>
      <c r="B2135" s="8">
        <v>5.0</v>
      </c>
      <c r="C2135" s="7" t="s">
        <v>139</v>
      </c>
      <c r="D2135" s="7" t="s">
        <v>839</v>
      </c>
      <c r="E2135" s="5" t="s">
        <v>3073</v>
      </c>
      <c r="F2135" s="5" t="s">
        <v>2670</v>
      </c>
    </row>
    <row r="2136">
      <c r="A2136" s="5" t="s">
        <v>2925</v>
      </c>
      <c r="B2136" s="8">
        <v>5.0</v>
      </c>
      <c r="C2136" s="7" t="s">
        <v>139</v>
      </c>
      <c r="D2136" s="7" t="s">
        <v>839</v>
      </c>
      <c r="E2136" s="5" t="s">
        <v>3073</v>
      </c>
      <c r="F2136" s="5" t="s">
        <v>2820</v>
      </c>
    </row>
    <row r="2137">
      <c r="A2137" s="7" t="s">
        <v>599</v>
      </c>
      <c r="B2137" s="8">
        <v>5.0</v>
      </c>
      <c r="C2137" s="7" t="s">
        <v>139</v>
      </c>
      <c r="D2137" s="7" t="s">
        <v>839</v>
      </c>
      <c r="E2137" s="5" t="s">
        <v>3073</v>
      </c>
      <c r="F2137" s="5" t="s">
        <v>2670</v>
      </c>
    </row>
    <row r="2138">
      <c r="A2138" s="5" t="s">
        <v>2922</v>
      </c>
      <c r="B2138" s="8">
        <v>5.0</v>
      </c>
      <c r="C2138" s="7" t="s">
        <v>162</v>
      </c>
      <c r="D2138" s="7" t="s">
        <v>842</v>
      </c>
      <c r="E2138" s="5" t="s">
        <v>3074</v>
      </c>
      <c r="F2138" s="5" t="s">
        <v>2687</v>
      </c>
    </row>
    <row r="2139">
      <c r="A2139" s="5" t="s">
        <v>2924</v>
      </c>
      <c r="B2139" s="8">
        <v>5.0</v>
      </c>
      <c r="C2139" s="7" t="s">
        <v>162</v>
      </c>
      <c r="D2139" s="7" t="s">
        <v>842</v>
      </c>
      <c r="E2139" s="5" t="s">
        <v>3074</v>
      </c>
      <c r="F2139" s="5" t="s">
        <v>3075</v>
      </c>
    </row>
    <row r="2140">
      <c r="A2140" s="5" t="s">
        <v>2925</v>
      </c>
      <c r="B2140" s="8">
        <v>5.0</v>
      </c>
      <c r="C2140" s="7" t="s">
        <v>162</v>
      </c>
      <c r="D2140" s="7" t="s">
        <v>842</v>
      </c>
      <c r="E2140" s="5" t="s">
        <v>3074</v>
      </c>
      <c r="F2140" s="5" t="s">
        <v>3076</v>
      </c>
    </row>
    <row r="2141">
      <c r="A2141" s="7" t="s">
        <v>599</v>
      </c>
      <c r="B2141" s="8">
        <v>5.0</v>
      </c>
      <c r="C2141" s="7" t="s">
        <v>162</v>
      </c>
      <c r="D2141" s="7" t="s">
        <v>842</v>
      </c>
      <c r="E2141" s="5" t="s">
        <v>3074</v>
      </c>
      <c r="F2141" s="5" t="s">
        <v>3077</v>
      </c>
    </row>
    <row r="2142">
      <c r="A2142" s="5" t="s">
        <v>2925</v>
      </c>
      <c r="B2142" s="8">
        <v>5.0</v>
      </c>
      <c r="C2142" s="7" t="s">
        <v>347</v>
      </c>
      <c r="D2142" s="5" t="s">
        <v>2910</v>
      </c>
      <c r="E2142" s="7" t="s">
        <v>848</v>
      </c>
      <c r="F2142" s="5" t="s">
        <v>3075</v>
      </c>
    </row>
    <row r="2143">
      <c r="A2143" s="7" t="s">
        <v>599</v>
      </c>
      <c r="B2143" s="8">
        <v>5.0</v>
      </c>
      <c r="C2143" s="7" t="s">
        <v>347</v>
      </c>
      <c r="D2143" s="5" t="s">
        <v>2910</v>
      </c>
      <c r="E2143" s="7" t="s">
        <v>848</v>
      </c>
      <c r="F2143" s="5" t="s">
        <v>3078</v>
      </c>
    </row>
    <row r="2144">
      <c r="A2144" s="5" t="s">
        <v>2922</v>
      </c>
      <c r="B2144" s="8">
        <v>5.0</v>
      </c>
      <c r="C2144" s="7" t="s">
        <v>354</v>
      </c>
      <c r="D2144" s="7" t="s">
        <v>850</v>
      </c>
      <c r="E2144" s="5" t="s">
        <v>3079</v>
      </c>
      <c r="F2144" s="5" t="s">
        <v>240</v>
      </c>
    </row>
    <row r="2145">
      <c r="A2145" s="5" t="s">
        <v>2925</v>
      </c>
      <c r="B2145" s="8">
        <v>5.0</v>
      </c>
      <c r="C2145" s="7" t="s">
        <v>354</v>
      </c>
      <c r="D2145" s="7" t="s">
        <v>850</v>
      </c>
      <c r="E2145" s="5" t="s">
        <v>3079</v>
      </c>
      <c r="F2145" s="5" t="s">
        <v>2820</v>
      </c>
    </row>
    <row r="2146">
      <c r="A2146" s="5" t="s">
        <v>2922</v>
      </c>
      <c r="B2146" s="8">
        <v>5.0</v>
      </c>
      <c r="C2146" s="7" t="s">
        <v>590</v>
      </c>
      <c r="D2146" s="7" t="s">
        <v>852</v>
      </c>
      <c r="E2146" s="7" t="s">
        <v>853</v>
      </c>
      <c r="F2146" s="7" t="s">
        <v>65</v>
      </c>
    </row>
    <row r="2147">
      <c r="A2147" s="5" t="s">
        <v>2925</v>
      </c>
      <c r="B2147" s="8">
        <v>5.0</v>
      </c>
      <c r="C2147" s="7" t="s">
        <v>590</v>
      </c>
      <c r="D2147" s="7" t="s">
        <v>852</v>
      </c>
      <c r="E2147" s="7" t="s">
        <v>853</v>
      </c>
      <c r="F2147" s="7" t="s">
        <v>232</v>
      </c>
    </row>
    <row r="2148">
      <c r="A2148" s="7" t="s">
        <v>599</v>
      </c>
      <c r="B2148" s="8">
        <v>5.0</v>
      </c>
      <c r="C2148" s="7" t="s">
        <v>590</v>
      </c>
      <c r="D2148" s="7" t="s">
        <v>852</v>
      </c>
      <c r="E2148" s="7" t="s">
        <v>853</v>
      </c>
      <c r="F2148" s="7" t="s">
        <v>65</v>
      </c>
    </row>
    <row r="2149">
      <c r="A2149" s="5" t="s">
        <v>2922</v>
      </c>
      <c r="B2149" s="8">
        <v>5.0</v>
      </c>
      <c r="C2149" s="7" t="s">
        <v>854</v>
      </c>
      <c r="D2149" s="7" t="s">
        <v>855</v>
      </c>
      <c r="E2149" s="5" t="s">
        <v>3080</v>
      </c>
      <c r="F2149" s="5" t="s">
        <v>3081</v>
      </c>
    </row>
    <row r="2150">
      <c r="A2150" s="5" t="s">
        <v>2922</v>
      </c>
      <c r="B2150" s="8">
        <v>5.0</v>
      </c>
      <c r="C2150" s="4" t="s">
        <v>367</v>
      </c>
      <c r="D2150" s="7" t="s">
        <v>368</v>
      </c>
      <c r="E2150" s="5" t="s">
        <v>858</v>
      </c>
      <c r="F2150" s="5" t="s">
        <v>3082</v>
      </c>
    </row>
    <row r="2151">
      <c r="A2151" s="5" t="s">
        <v>2924</v>
      </c>
      <c r="B2151" s="8">
        <v>5.0</v>
      </c>
      <c r="C2151" s="4" t="s">
        <v>367</v>
      </c>
      <c r="D2151" s="7" t="s">
        <v>368</v>
      </c>
      <c r="E2151" s="5" t="s">
        <v>858</v>
      </c>
      <c r="F2151" s="5" t="s">
        <v>3083</v>
      </c>
    </row>
    <row r="2152">
      <c r="A2152" s="5" t="s">
        <v>2922</v>
      </c>
      <c r="B2152" s="8" t="s">
        <v>1289</v>
      </c>
      <c r="C2152" s="4" t="s">
        <v>193</v>
      </c>
      <c r="D2152" s="7" t="s">
        <v>878</v>
      </c>
      <c r="E2152" s="5" t="s">
        <v>3084</v>
      </c>
      <c r="F2152" s="7" t="s">
        <v>1290</v>
      </c>
    </row>
    <row r="2153">
      <c r="A2153" s="7" t="s">
        <v>188</v>
      </c>
      <c r="B2153" s="8">
        <v>6.0</v>
      </c>
      <c r="C2153" s="4" t="s">
        <v>193</v>
      </c>
      <c r="D2153" s="7" t="s">
        <v>878</v>
      </c>
      <c r="E2153" s="5" t="s">
        <v>3084</v>
      </c>
      <c r="F2153" s="7" t="s">
        <v>864</v>
      </c>
    </row>
    <row r="2154">
      <c r="A2154" s="5" t="s">
        <v>2592</v>
      </c>
      <c r="B2154" s="8">
        <v>6.0</v>
      </c>
      <c r="C2154" s="4" t="s">
        <v>193</v>
      </c>
      <c r="D2154" s="7" t="s">
        <v>878</v>
      </c>
      <c r="E2154" s="5" t="s">
        <v>3084</v>
      </c>
      <c r="F2154" s="7" t="s">
        <v>863</v>
      </c>
    </row>
    <row r="2155">
      <c r="A2155" s="5" t="s">
        <v>2796</v>
      </c>
      <c r="B2155" s="8">
        <v>6.0</v>
      </c>
      <c r="C2155" s="4" t="s">
        <v>193</v>
      </c>
      <c r="D2155" s="7" t="s">
        <v>878</v>
      </c>
      <c r="E2155" s="5" t="s">
        <v>3084</v>
      </c>
      <c r="F2155" s="7" t="s">
        <v>865</v>
      </c>
    </row>
    <row r="2156">
      <c r="A2156" s="5" t="s">
        <v>3085</v>
      </c>
      <c r="B2156" s="8">
        <v>6.0</v>
      </c>
      <c r="C2156" s="4" t="s">
        <v>193</v>
      </c>
      <c r="D2156" s="7" t="s">
        <v>878</v>
      </c>
      <c r="E2156" s="5" t="s">
        <v>3084</v>
      </c>
      <c r="F2156" s="7" t="s">
        <v>865</v>
      </c>
    </row>
    <row r="2157">
      <c r="A2157" s="5" t="s">
        <v>2594</v>
      </c>
      <c r="B2157" s="8">
        <v>6.0</v>
      </c>
      <c r="C2157" s="4" t="s">
        <v>193</v>
      </c>
      <c r="D2157" s="7" t="s">
        <v>878</v>
      </c>
      <c r="E2157" s="5" t="s">
        <v>3084</v>
      </c>
      <c r="F2157" s="7" t="s">
        <v>864</v>
      </c>
    </row>
    <row r="2158">
      <c r="A2158" s="5" t="s">
        <v>3086</v>
      </c>
      <c r="B2158" s="8">
        <v>6.0</v>
      </c>
      <c r="C2158" s="4" t="s">
        <v>193</v>
      </c>
      <c r="D2158" s="7" t="s">
        <v>878</v>
      </c>
      <c r="E2158" s="5" t="s">
        <v>3084</v>
      </c>
      <c r="F2158" s="7" t="s">
        <v>1291</v>
      </c>
    </row>
    <row r="2159">
      <c r="A2159" s="7" t="s">
        <v>868</v>
      </c>
      <c r="B2159" s="8">
        <v>6.0</v>
      </c>
      <c r="C2159" s="4" t="s">
        <v>193</v>
      </c>
      <c r="D2159" s="7" t="s">
        <v>878</v>
      </c>
      <c r="E2159" s="5" t="s">
        <v>3084</v>
      </c>
      <c r="F2159" s="7" t="s">
        <v>864</v>
      </c>
    </row>
    <row r="2160">
      <c r="A2160" s="7" t="s">
        <v>599</v>
      </c>
      <c r="B2160" s="8">
        <v>6.0</v>
      </c>
      <c r="C2160" s="4" t="s">
        <v>193</v>
      </c>
      <c r="D2160" s="7" t="s">
        <v>878</v>
      </c>
      <c r="E2160" s="5" t="s">
        <v>3084</v>
      </c>
      <c r="F2160" s="7" t="s">
        <v>1290</v>
      </c>
    </row>
    <row r="2161">
      <c r="A2161" s="5" t="s">
        <v>3087</v>
      </c>
      <c r="B2161" s="8">
        <v>6.0</v>
      </c>
      <c r="C2161" s="4" t="s">
        <v>193</v>
      </c>
      <c r="D2161" s="7" t="s">
        <v>878</v>
      </c>
      <c r="E2161" s="5" t="s">
        <v>3084</v>
      </c>
      <c r="F2161" s="7" t="s">
        <v>1291</v>
      </c>
    </row>
    <row r="2162">
      <c r="A2162" s="5" t="s">
        <v>3088</v>
      </c>
      <c r="B2162" s="8">
        <v>6.0</v>
      </c>
      <c r="C2162" s="4" t="s">
        <v>193</v>
      </c>
      <c r="D2162" s="7" t="s">
        <v>878</v>
      </c>
      <c r="E2162" s="5" t="s">
        <v>3084</v>
      </c>
      <c r="F2162" s="7" t="s">
        <v>864</v>
      </c>
    </row>
    <row r="2163">
      <c r="A2163" s="5" t="s">
        <v>2595</v>
      </c>
      <c r="B2163" s="8">
        <v>6.0</v>
      </c>
      <c r="C2163" s="4" t="s">
        <v>193</v>
      </c>
      <c r="D2163" s="7" t="s">
        <v>878</v>
      </c>
      <c r="E2163" s="5" t="s">
        <v>3084</v>
      </c>
      <c r="F2163" s="7" t="s">
        <v>862</v>
      </c>
    </row>
    <row r="2164">
      <c r="A2164" s="5" t="s">
        <v>3089</v>
      </c>
      <c r="B2164" s="8">
        <v>6.0</v>
      </c>
      <c r="C2164" s="4" t="s">
        <v>193</v>
      </c>
      <c r="D2164" s="7" t="s">
        <v>878</v>
      </c>
      <c r="E2164" s="5" t="s">
        <v>3084</v>
      </c>
      <c r="F2164" s="7" t="s">
        <v>1291</v>
      </c>
    </row>
    <row r="2165">
      <c r="A2165" s="5" t="s">
        <v>2597</v>
      </c>
      <c r="B2165" s="8">
        <v>6.0</v>
      </c>
      <c r="C2165" s="4" t="s">
        <v>193</v>
      </c>
      <c r="D2165" s="7" t="s">
        <v>878</v>
      </c>
      <c r="E2165" s="5" t="s">
        <v>3084</v>
      </c>
      <c r="F2165" s="7" t="s">
        <v>1291</v>
      </c>
    </row>
    <row r="2166">
      <c r="A2166" s="7" t="s">
        <v>8</v>
      </c>
      <c r="B2166" s="8">
        <v>6.0</v>
      </c>
      <c r="C2166" s="4" t="s">
        <v>193</v>
      </c>
      <c r="D2166" s="7" t="s">
        <v>878</v>
      </c>
      <c r="E2166" s="5" t="s">
        <v>3084</v>
      </c>
      <c r="F2166" s="7" t="s">
        <v>862</v>
      </c>
    </row>
    <row r="2167">
      <c r="A2167" s="5" t="s">
        <v>2798</v>
      </c>
      <c r="B2167" s="8">
        <v>6.0</v>
      </c>
      <c r="C2167" s="4" t="s">
        <v>193</v>
      </c>
      <c r="D2167" s="7" t="s">
        <v>878</v>
      </c>
      <c r="E2167" s="5" t="s">
        <v>3084</v>
      </c>
      <c r="F2167" s="7" t="s">
        <v>864</v>
      </c>
    </row>
    <row r="2168">
      <c r="A2168" s="5" t="s">
        <v>2702</v>
      </c>
      <c r="B2168" s="8">
        <v>6.0</v>
      </c>
      <c r="C2168" s="4" t="s">
        <v>193</v>
      </c>
      <c r="D2168" s="7" t="s">
        <v>878</v>
      </c>
      <c r="E2168" s="5" t="s">
        <v>3084</v>
      </c>
      <c r="F2168" s="7" t="s">
        <v>1291</v>
      </c>
    </row>
    <row r="2169">
      <c r="A2169" s="5" t="s">
        <v>2599</v>
      </c>
      <c r="B2169" s="8">
        <v>6.0</v>
      </c>
      <c r="C2169" s="4" t="s">
        <v>193</v>
      </c>
      <c r="D2169" s="7" t="s">
        <v>878</v>
      </c>
      <c r="E2169" s="5" t="s">
        <v>3084</v>
      </c>
      <c r="F2169" s="7" t="s">
        <v>863</v>
      </c>
    </row>
    <row r="2170">
      <c r="A2170" s="5" t="s">
        <v>2600</v>
      </c>
      <c r="B2170" s="8">
        <v>6.0</v>
      </c>
      <c r="C2170" s="4" t="s">
        <v>193</v>
      </c>
      <c r="D2170" s="7" t="s">
        <v>878</v>
      </c>
      <c r="E2170" s="5" t="s">
        <v>3084</v>
      </c>
      <c r="F2170" s="7" t="s">
        <v>1291</v>
      </c>
    </row>
    <row r="2171">
      <c r="A2171" s="5" t="s">
        <v>3090</v>
      </c>
      <c r="B2171" s="8">
        <v>6.0</v>
      </c>
      <c r="C2171" s="4" t="s">
        <v>193</v>
      </c>
      <c r="D2171" s="7" t="s">
        <v>878</v>
      </c>
      <c r="E2171" s="5" t="s">
        <v>3084</v>
      </c>
      <c r="F2171" s="7" t="s">
        <v>865</v>
      </c>
    </row>
    <row r="2172">
      <c r="A2172" s="7" t="s">
        <v>873</v>
      </c>
      <c r="B2172" s="8">
        <v>6.0</v>
      </c>
      <c r="C2172" s="4" t="s">
        <v>193</v>
      </c>
      <c r="D2172" s="7" t="s">
        <v>878</v>
      </c>
      <c r="E2172" s="5" t="s">
        <v>3084</v>
      </c>
      <c r="F2172" s="7" t="s">
        <v>864</v>
      </c>
    </row>
    <row r="2173">
      <c r="A2173" s="5" t="s">
        <v>2602</v>
      </c>
      <c r="B2173" s="8">
        <v>6.0</v>
      </c>
      <c r="C2173" s="4" t="s">
        <v>193</v>
      </c>
      <c r="D2173" s="7" t="s">
        <v>878</v>
      </c>
      <c r="E2173" s="5" t="s">
        <v>3084</v>
      </c>
      <c r="F2173" s="7" t="s">
        <v>1290</v>
      </c>
    </row>
    <row r="2174">
      <c r="A2174" s="5" t="s">
        <v>2603</v>
      </c>
      <c r="B2174" s="8">
        <v>6.0</v>
      </c>
      <c r="C2174" s="4" t="s">
        <v>193</v>
      </c>
      <c r="D2174" s="7" t="s">
        <v>878</v>
      </c>
      <c r="E2174" s="5" t="s">
        <v>3084</v>
      </c>
      <c r="F2174" s="7" t="s">
        <v>863</v>
      </c>
    </row>
    <row r="2175">
      <c r="A2175" s="7" t="s">
        <v>874</v>
      </c>
      <c r="B2175" s="8">
        <v>6.0</v>
      </c>
      <c r="C2175" s="4" t="s">
        <v>193</v>
      </c>
      <c r="D2175" s="7" t="s">
        <v>878</v>
      </c>
      <c r="E2175" s="5" t="s">
        <v>3084</v>
      </c>
      <c r="F2175" s="7" t="s">
        <v>864</v>
      </c>
    </row>
    <row r="2176">
      <c r="A2176" s="5" t="s">
        <v>2604</v>
      </c>
      <c r="B2176" s="8">
        <v>6.0</v>
      </c>
      <c r="C2176" s="4" t="s">
        <v>193</v>
      </c>
      <c r="D2176" s="7" t="s">
        <v>878</v>
      </c>
      <c r="E2176" s="5" t="s">
        <v>3084</v>
      </c>
      <c r="F2176" s="7" t="s">
        <v>864</v>
      </c>
    </row>
    <row r="2177">
      <c r="A2177" s="5" t="s">
        <v>3091</v>
      </c>
      <c r="B2177" s="8">
        <v>6.0</v>
      </c>
      <c r="C2177" s="4" t="s">
        <v>193</v>
      </c>
      <c r="D2177" s="7" t="s">
        <v>878</v>
      </c>
      <c r="E2177" s="5" t="s">
        <v>3084</v>
      </c>
      <c r="F2177" s="7" t="s">
        <v>1290</v>
      </c>
    </row>
    <row r="2178">
      <c r="A2178" s="5" t="s">
        <v>2605</v>
      </c>
      <c r="B2178" s="8">
        <v>6.0</v>
      </c>
      <c r="C2178" s="4" t="s">
        <v>193</v>
      </c>
      <c r="D2178" s="7" t="s">
        <v>878</v>
      </c>
      <c r="E2178" s="5" t="s">
        <v>3084</v>
      </c>
      <c r="F2178" s="7" t="s">
        <v>1290</v>
      </c>
    </row>
    <row r="2179">
      <c r="A2179" s="5" t="s">
        <v>2933</v>
      </c>
      <c r="B2179" s="8">
        <v>6.0</v>
      </c>
      <c r="C2179" s="4" t="s">
        <v>193</v>
      </c>
      <c r="D2179" s="7" t="s">
        <v>878</v>
      </c>
      <c r="E2179" s="5" t="s">
        <v>3084</v>
      </c>
      <c r="F2179" s="7" t="s">
        <v>862</v>
      </c>
    </row>
    <row r="2180">
      <c r="A2180" s="5" t="s">
        <v>2606</v>
      </c>
      <c r="B2180" s="8">
        <v>6.0</v>
      </c>
      <c r="C2180" s="4" t="s">
        <v>193</v>
      </c>
      <c r="D2180" s="7" t="s">
        <v>878</v>
      </c>
      <c r="E2180" s="5" t="s">
        <v>3084</v>
      </c>
      <c r="F2180" s="7" t="s">
        <v>1290</v>
      </c>
    </row>
    <row r="2181">
      <c r="A2181" s="5" t="s">
        <v>2934</v>
      </c>
      <c r="B2181" s="8">
        <v>6.0</v>
      </c>
      <c r="C2181" s="4" t="s">
        <v>193</v>
      </c>
      <c r="D2181" s="7" t="s">
        <v>878</v>
      </c>
      <c r="E2181" s="5" t="s">
        <v>3084</v>
      </c>
      <c r="F2181" s="7" t="s">
        <v>1292</v>
      </c>
    </row>
    <row r="2182">
      <c r="A2182" s="5" t="s">
        <v>2607</v>
      </c>
      <c r="B2182" s="8">
        <v>6.0</v>
      </c>
      <c r="C2182" s="4" t="s">
        <v>193</v>
      </c>
      <c r="D2182" s="7" t="s">
        <v>878</v>
      </c>
      <c r="E2182" s="5" t="s">
        <v>3084</v>
      </c>
      <c r="F2182" s="7" t="s">
        <v>865</v>
      </c>
    </row>
    <row r="2183">
      <c r="A2183" s="7" t="s">
        <v>876</v>
      </c>
      <c r="B2183" s="8">
        <v>6.0</v>
      </c>
      <c r="C2183" s="4" t="s">
        <v>193</v>
      </c>
      <c r="D2183" s="7" t="s">
        <v>878</v>
      </c>
      <c r="E2183" s="5" t="s">
        <v>3084</v>
      </c>
      <c r="F2183" s="7" t="s">
        <v>1291</v>
      </c>
    </row>
    <row r="2184">
      <c r="A2184" s="5" t="s">
        <v>3092</v>
      </c>
      <c r="B2184" s="8">
        <v>6.0</v>
      </c>
      <c r="C2184" s="4" t="s">
        <v>193</v>
      </c>
      <c r="D2184" s="7" t="s">
        <v>878</v>
      </c>
      <c r="E2184" s="5" t="s">
        <v>3084</v>
      </c>
      <c r="F2184" s="7" t="s">
        <v>1290</v>
      </c>
    </row>
    <row r="2185">
      <c r="A2185" s="5" t="s">
        <v>2614</v>
      </c>
      <c r="B2185" s="8">
        <v>6.0</v>
      </c>
      <c r="C2185" s="4" t="s">
        <v>193</v>
      </c>
      <c r="D2185" s="7" t="s">
        <v>878</v>
      </c>
      <c r="E2185" s="5" t="s">
        <v>3084</v>
      </c>
      <c r="F2185" s="7" t="s">
        <v>864</v>
      </c>
    </row>
    <row r="2186">
      <c r="A2186" s="5" t="s">
        <v>2608</v>
      </c>
      <c r="B2186" s="8">
        <v>6.0</v>
      </c>
      <c r="C2186" s="4" t="s">
        <v>193</v>
      </c>
      <c r="D2186" s="7" t="s">
        <v>878</v>
      </c>
      <c r="E2186" s="5" t="s">
        <v>3084</v>
      </c>
      <c r="F2186" s="7" t="s">
        <v>864</v>
      </c>
    </row>
    <row r="2187">
      <c r="A2187" s="5" t="s">
        <v>2609</v>
      </c>
      <c r="B2187" s="8">
        <v>6.0</v>
      </c>
      <c r="C2187" s="4" t="s">
        <v>193</v>
      </c>
      <c r="D2187" s="7" t="s">
        <v>878</v>
      </c>
      <c r="E2187" s="5" t="s">
        <v>3084</v>
      </c>
      <c r="F2187" s="7" t="s">
        <v>1291</v>
      </c>
    </row>
    <row r="2188">
      <c r="A2188" s="5" t="s">
        <v>2922</v>
      </c>
      <c r="B2188" s="8">
        <v>6.0</v>
      </c>
      <c r="C2188" s="4" t="s">
        <v>227</v>
      </c>
      <c r="D2188" s="7" t="s">
        <v>880</v>
      </c>
      <c r="E2188" s="5" t="s">
        <v>3093</v>
      </c>
      <c r="F2188" s="7" t="s">
        <v>1290</v>
      </c>
    </row>
    <row r="2189">
      <c r="A2189" s="7" t="s">
        <v>188</v>
      </c>
      <c r="B2189" s="8">
        <v>6.0</v>
      </c>
      <c r="C2189" s="4" t="s">
        <v>227</v>
      </c>
      <c r="D2189" s="7" t="s">
        <v>880</v>
      </c>
      <c r="E2189" s="5" t="s">
        <v>3093</v>
      </c>
      <c r="F2189" s="7" t="s">
        <v>864</v>
      </c>
    </row>
    <row r="2190">
      <c r="A2190" s="5" t="s">
        <v>2592</v>
      </c>
      <c r="B2190" s="8">
        <v>6.0</v>
      </c>
      <c r="C2190" s="4" t="s">
        <v>227</v>
      </c>
      <c r="D2190" s="7" t="s">
        <v>880</v>
      </c>
      <c r="E2190" s="5" t="s">
        <v>3093</v>
      </c>
      <c r="F2190" s="7" t="s">
        <v>863</v>
      </c>
    </row>
    <row r="2191">
      <c r="A2191" s="5" t="s">
        <v>2796</v>
      </c>
      <c r="B2191" s="8">
        <v>6.0</v>
      </c>
      <c r="C2191" s="4" t="s">
        <v>227</v>
      </c>
      <c r="D2191" s="7" t="s">
        <v>880</v>
      </c>
      <c r="E2191" s="5" t="s">
        <v>3093</v>
      </c>
      <c r="F2191" s="7" t="s">
        <v>865</v>
      </c>
    </row>
    <row r="2192">
      <c r="A2192" s="5" t="s">
        <v>3085</v>
      </c>
      <c r="B2192" s="8">
        <v>6.0</v>
      </c>
      <c r="C2192" s="4" t="s">
        <v>227</v>
      </c>
      <c r="D2192" s="7" t="s">
        <v>880</v>
      </c>
      <c r="E2192" s="5" t="s">
        <v>3093</v>
      </c>
      <c r="F2192" s="7" t="s">
        <v>865</v>
      </c>
    </row>
    <row r="2193">
      <c r="A2193" s="5" t="s">
        <v>2594</v>
      </c>
      <c r="B2193" s="8">
        <v>6.0</v>
      </c>
      <c r="C2193" s="4" t="s">
        <v>227</v>
      </c>
      <c r="D2193" s="7" t="s">
        <v>880</v>
      </c>
      <c r="E2193" s="5" t="s">
        <v>3093</v>
      </c>
      <c r="F2193" s="7" t="s">
        <v>864</v>
      </c>
    </row>
    <row r="2194">
      <c r="A2194" s="5" t="s">
        <v>3086</v>
      </c>
      <c r="B2194" s="8">
        <v>6.0</v>
      </c>
      <c r="C2194" s="4" t="s">
        <v>227</v>
      </c>
      <c r="D2194" s="7" t="s">
        <v>880</v>
      </c>
      <c r="E2194" s="5" t="s">
        <v>3093</v>
      </c>
      <c r="F2194" s="7" t="s">
        <v>1291</v>
      </c>
    </row>
    <row r="2195">
      <c r="A2195" s="7" t="s">
        <v>868</v>
      </c>
      <c r="B2195" s="8">
        <v>6.0</v>
      </c>
      <c r="C2195" s="4" t="s">
        <v>227</v>
      </c>
      <c r="D2195" s="7" t="s">
        <v>880</v>
      </c>
      <c r="E2195" s="5" t="s">
        <v>3093</v>
      </c>
      <c r="F2195" s="7" t="s">
        <v>864</v>
      </c>
    </row>
    <row r="2196">
      <c r="A2196" s="7" t="s">
        <v>599</v>
      </c>
      <c r="B2196" s="8">
        <v>6.0</v>
      </c>
      <c r="C2196" s="4" t="s">
        <v>227</v>
      </c>
      <c r="D2196" s="7" t="s">
        <v>880</v>
      </c>
      <c r="E2196" s="5" t="s">
        <v>3093</v>
      </c>
      <c r="F2196" s="7" t="s">
        <v>1290</v>
      </c>
    </row>
    <row r="2197">
      <c r="A2197" s="5" t="s">
        <v>3087</v>
      </c>
      <c r="B2197" s="8">
        <v>6.0</v>
      </c>
      <c r="C2197" s="4" t="s">
        <v>227</v>
      </c>
      <c r="D2197" s="7" t="s">
        <v>880</v>
      </c>
      <c r="E2197" s="5" t="s">
        <v>3093</v>
      </c>
      <c r="F2197" s="7" t="s">
        <v>1291</v>
      </c>
    </row>
    <row r="2198">
      <c r="A2198" s="5" t="s">
        <v>3088</v>
      </c>
      <c r="B2198" s="8">
        <v>6.0</v>
      </c>
      <c r="C2198" s="4" t="s">
        <v>227</v>
      </c>
      <c r="D2198" s="7" t="s">
        <v>880</v>
      </c>
      <c r="E2198" s="5" t="s">
        <v>3093</v>
      </c>
      <c r="F2198" s="7" t="s">
        <v>864</v>
      </c>
    </row>
    <row r="2199">
      <c r="A2199" s="5" t="s">
        <v>2595</v>
      </c>
      <c r="B2199" s="8">
        <v>6.0</v>
      </c>
      <c r="C2199" s="4" t="s">
        <v>227</v>
      </c>
      <c r="D2199" s="7" t="s">
        <v>880</v>
      </c>
      <c r="E2199" s="5" t="s">
        <v>3093</v>
      </c>
      <c r="F2199" s="7" t="s">
        <v>862</v>
      </c>
    </row>
    <row r="2200">
      <c r="A2200" s="5" t="s">
        <v>3089</v>
      </c>
      <c r="B2200" s="8">
        <v>6.0</v>
      </c>
      <c r="C2200" s="4" t="s">
        <v>227</v>
      </c>
      <c r="D2200" s="7" t="s">
        <v>880</v>
      </c>
      <c r="E2200" s="5" t="s">
        <v>3093</v>
      </c>
      <c r="F2200" s="7" t="s">
        <v>1291</v>
      </c>
    </row>
    <row r="2201">
      <c r="A2201" s="5" t="s">
        <v>2597</v>
      </c>
      <c r="B2201" s="8">
        <v>6.0</v>
      </c>
      <c r="C2201" s="4" t="s">
        <v>227</v>
      </c>
      <c r="D2201" s="7" t="s">
        <v>880</v>
      </c>
      <c r="E2201" s="5" t="s">
        <v>3093</v>
      </c>
      <c r="F2201" s="7" t="s">
        <v>1291</v>
      </c>
    </row>
    <row r="2202">
      <c r="A2202" s="7" t="s">
        <v>8</v>
      </c>
      <c r="B2202" s="8">
        <v>6.0</v>
      </c>
      <c r="C2202" s="4" t="s">
        <v>227</v>
      </c>
      <c r="D2202" s="7" t="s">
        <v>880</v>
      </c>
      <c r="E2202" s="5" t="s">
        <v>3093</v>
      </c>
      <c r="F2202" s="7" t="s">
        <v>862</v>
      </c>
    </row>
    <row r="2203">
      <c r="A2203" s="5" t="s">
        <v>2798</v>
      </c>
      <c r="B2203" s="8">
        <v>6.0</v>
      </c>
      <c r="C2203" s="4" t="s">
        <v>227</v>
      </c>
      <c r="D2203" s="7" t="s">
        <v>880</v>
      </c>
      <c r="E2203" s="5" t="s">
        <v>3093</v>
      </c>
      <c r="F2203" s="7" t="s">
        <v>864</v>
      </c>
    </row>
    <row r="2204">
      <c r="A2204" s="5" t="s">
        <v>2702</v>
      </c>
      <c r="B2204" s="8">
        <v>6.0</v>
      </c>
      <c r="C2204" s="4" t="s">
        <v>227</v>
      </c>
      <c r="D2204" s="7" t="s">
        <v>880</v>
      </c>
      <c r="E2204" s="5" t="s">
        <v>3093</v>
      </c>
      <c r="F2204" s="7" t="s">
        <v>1291</v>
      </c>
    </row>
    <row r="2205">
      <c r="A2205" s="5" t="s">
        <v>2599</v>
      </c>
      <c r="B2205" s="8">
        <v>6.0</v>
      </c>
      <c r="C2205" s="4" t="s">
        <v>227</v>
      </c>
      <c r="D2205" s="7" t="s">
        <v>880</v>
      </c>
      <c r="E2205" s="5" t="s">
        <v>3093</v>
      </c>
      <c r="F2205" s="7" t="s">
        <v>863</v>
      </c>
    </row>
    <row r="2206">
      <c r="A2206" s="5" t="s">
        <v>2600</v>
      </c>
      <c r="B2206" s="8">
        <v>6.0</v>
      </c>
      <c r="C2206" s="4" t="s">
        <v>227</v>
      </c>
      <c r="D2206" s="7" t="s">
        <v>880</v>
      </c>
      <c r="E2206" s="5" t="s">
        <v>3093</v>
      </c>
      <c r="F2206" s="7" t="s">
        <v>1291</v>
      </c>
    </row>
    <row r="2207">
      <c r="A2207" s="5" t="s">
        <v>3090</v>
      </c>
      <c r="B2207" s="8">
        <v>6.0</v>
      </c>
      <c r="C2207" s="4" t="s">
        <v>227</v>
      </c>
      <c r="D2207" s="7" t="s">
        <v>880</v>
      </c>
      <c r="E2207" s="5" t="s">
        <v>3093</v>
      </c>
      <c r="F2207" s="7" t="s">
        <v>865</v>
      </c>
    </row>
    <row r="2208">
      <c r="A2208" s="7" t="s">
        <v>873</v>
      </c>
      <c r="B2208" s="8">
        <v>6.0</v>
      </c>
      <c r="C2208" s="4" t="s">
        <v>227</v>
      </c>
      <c r="D2208" s="7" t="s">
        <v>880</v>
      </c>
      <c r="E2208" s="5" t="s">
        <v>3093</v>
      </c>
      <c r="F2208" s="7" t="s">
        <v>864</v>
      </c>
    </row>
    <row r="2209">
      <c r="A2209" s="5" t="s">
        <v>2602</v>
      </c>
      <c r="B2209" s="8">
        <v>6.0</v>
      </c>
      <c r="C2209" s="4" t="s">
        <v>227</v>
      </c>
      <c r="D2209" s="7" t="s">
        <v>880</v>
      </c>
      <c r="E2209" s="5" t="s">
        <v>3093</v>
      </c>
      <c r="F2209" s="7" t="s">
        <v>1290</v>
      </c>
    </row>
    <row r="2210">
      <c r="A2210" s="5" t="s">
        <v>2603</v>
      </c>
      <c r="B2210" s="8">
        <v>6.0</v>
      </c>
      <c r="C2210" s="4" t="s">
        <v>227</v>
      </c>
      <c r="D2210" s="7" t="s">
        <v>880</v>
      </c>
      <c r="E2210" s="5" t="s">
        <v>3093</v>
      </c>
      <c r="F2210" s="7" t="s">
        <v>863</v>
      </c>
    </row>
    <row r="2211">
      <c r="A2211" s="7" t="s">
        <v>874</v>
      </c>
      <c r="B2211" s="8">
        <v>6.0</v>
      </c>
      <c r="C2211" s="4" t="s">
        <v>227</v>
      </c>
      <c r="D2211" s="7" t="s">
        <v>880</v>
      </c>
      <c r="E2211" s="5" t="s">
        <v>3093</v>
      </c>
      <c r="F2211" s="7" t="s">
        <v>864</v>
      </c>
    </row>
    <row r="2212">
      <c r="A2212" s="5" t="s">
        <v>2604</v>
      </c>
      <c r="B2212" s="8">
        <v>6.0</v>
      </c>
      <c r="C2212" s="4" t="s">
        <v>227</v>
      </c>
      <c r="D2212" s="7" t="s">
        <v>880</v>
      </c>
      <c r="E2212" s="5" t="s">
        <v>3093</v>
      </c>
      <c r="F2212" s="7" t="s">
        <v>864</v>
      </c>
    </row>
    <row r="2213">
      <c r="A2213" s="5" t="s">
        <v>3091</v>
      </c>
      <c r="B2213" s="8">
        <v>6.0</v>
      </c>
      <c r="C2213" s="4" t="s">
        <v>227</v>
      </c>
      <c r="D2213" s="7" t="s">
        <v>880</v>
      </c>
      <c r="E2213" s="5" t="s">
        <v>3093</v>
      </c>
      <c r="F2213" s="7" t="s">
        <v>1290</v>
      </c>
    </row>
    <row r="2214">
      <c r="A2214" s="5" t="s">
        <v>2605</v>
      </c>
      <c r="B2214" s="8">
        <v>6.0</v>
      </c>
      <c r="C2214" s="4" t="s">
        <v>227</v>
      </c>
      <c r="D2214" s="7" t="s">
        <v>880</v>
      </c>
      <c r="E2214" s="5" t="s">
        <v>3093</v>
      </c>
      <c r="F2214" s="7" t="s">
        <v>1290</v>
      </c>
    </row>
    <row r="2215">
      <c r="A2215" s="5" t="s">
        <v>2933</v>
      </c>
      <c r="B2215" s="8">
        <v>6.0</v>
      </c>
      <c r="C2215" s="4" t="s">
        <v>227</v>
      </c>
      <c r="D2215" s="7" t="s">
        <v>880</v>
      </c>
      <c r="E2215" s="5" t="s">
        <v>3093</v>
      </c>
      <c r="F2215" s="7" t="s">
        <v>862</v>
      </c>
    </row>
    <row r="2216">
      <c r="A2216" s="5" t="s">
        <v>2606</v>
      </c>
      <c r="B2216" s="8">
        <v>6.0</v>
      </c>
      <c r="C2216" s="4" t="s">
        <v>227</v>
      </c>
      <c r="D2216" s="7" t="s">
        <v>880</v>
      </c>
      <c r="E2216" s="5" t="s">
        <v>3093</v>
      </c>
      <c r="F2216" s="7" t="s">
        <v>1290</v>
      </c>
    </row>
    <row r="2217">
      <c r="A2217" s="5" t="s">
        <v>2934</v>
      </c>
      <c r="B2217" s="8">
        <v>6.0</v>
      </c>
      <c r="C2217" s="4" t="s">
        <v>227</v>
      </c>
      <c r="D2217" s="7" t="s">
        <v>880</v>
      </c>
      <c r="E2217" s="5" t="s">
        <v>3093</v>
      </c>
      <c r="F2217" s="7" t="s">
        <v>1292</v>
      </c>
    </row>
    <row r="2218">
      <c r="A2218" s="5" t="s">
        <v>2607</v>
      </c>
      <c r="B2218" s="8">
        <v>6.0</v>
      </c>
      <c r="C2218" s="4" t="s">
        <v>227</v>
      </c>
      <c r="D2218" s="7" t="s">
        <v>880</v>
      </c>
      <c r="E2218" s="5" t="s">
        <v>3093</v>
      </c>
      <c r="F2218" s="7" t="s">
        <v>865</v>
      </c>
    </row>
    <row r="2219">
      <c r="A2219" s="7" t="s">
        <v>876</v>
      </c>
      <c r="B2219" s="8">
        <v>6.0</v>
      </c>
      <c r="C2219" s="4" t="s">
        <v>227</v>
      </c>
      <c r="D2219" s="7" t="s">
        <v>880</v>
      </c>
      <c r="E2219" s="5" t="s">
        <v>3093</v>
      </c>
      <c r="F2219" s="7" t="s">
        <v>1291</v>
      </c>
    </row>
    <row r="2220">
      <c r="A2220" s="5" t="s">
        <v>3092</v>
      </c>
      <c r="B2220" s="8">
        <v>6.0</v>
      </c>
      <c r="C2220" s="4" t="s">
        <v>227</v>
      </c>
      <c r="D2220" s="7" t="s">
        <v>880</v>
      </c>
      <c r="E2220" s="5" t="s">
        <v>3093</v>
      </c>
      <c r="F2220" s="7" t="s">
        <v>1290</v>
      </c>
    </row>
    <row r="2221">
      <c r="A2221" s="5" t="s">
        <v>2614</v>
      </c>
      <c r="B2221" s="8">
        <v>6.0</v>
      </c>
      <c r="C2221" s="4" t="s">
        <v>227</v>
      </c>
      <c r="D2221" s="7" t="s">
        <v>880</v>
      </c>
      <c r="E2221" s="5" t="s">
        <v>3093</v>
      </c>
      <c r="F2221" s="7" t="s">
        <v>864</v>
      </c>
    </row>
    <row r="2222">
      <c r="A2222" s="5" t="s">
        <v>2608</v>
      </c>
      <c r="B2222" s="8">
        <v>6.0</v>
      </c>
      <c r="C2222" s="4" t="s">
        <v>227</v>
      </c>
      <c r="D2222" s="7" t="s">
        <v>880</v>
      </c>
      <c r="E2222" s="5" t="s">
        <v>3093</v>
      </c>
      <c r="F2222" s="7" t="s">
        <v>864</v>
      </c>
    </row>
    <row r="2223">
      <c r="A2223" s="5" t="s">
        <v>2609</v>
      </c>
      <c r="B2223" s="8">
        <v>6.0</v>
      </c>
      <c r="C2223" s="4" t="s">
        <v>227</v>
      </c>
      <c r="D2223" s="7" t="s">
        <v>880</v>
      </c>
      <c r="E2223" s="5" t="s">
        <v>3093</v>
      </c>
      <c r="F2223" s="7" t="s">
        <v>1291</v>
      </c>
    </row>
    <row r="2224">
      <c r="A2224" s="5" t="s">
        <v>2922</v>
      </c>
      <c r="B2224" s="8">
        <v>6.0</v>
      </c>
      <c r="C2224" s="4" t="s">
        <v>882</v>
      </c>
      <c r="D2224" s="5" t="s">
        <v>1295</v>
      </c>
      <c r="E2224" s="5" t="s">
        <v>3094</v>
      </c>
      <c r="F2224" s="7" t="s">
        <v>1290</v>
      </c>
    </row>
    <row r="2225">
      <c r="A2225" s="7" t="s">
        <v>188</v>
      </c>
      <c r="B2225" s="8">
        <v>6.0</v>
      </c>
      <c r="C2225" s="4" t="s">
        <v>882</v>
      </c>
      <c r="D2225" s="5" t="s">
        <v>1295</v>
      </c>
      <c r="E2225" s="5" t="s">
        <v>3094</v>
      </c>
      <c r="F2225" s="7" t="s">
        <v>864</v>
      </c>
    </row>
    <row r="2226">
      <c r="A2226" s="5" t="s">
        <v>2592</v>
      </c>
      <c r="B2226" s="8">
        <v>6.0</v>
      </c>
      <c r="C2226" s="4" t="s">
        <v>882</v>
      </c>
      <c r="D2226" s="5" t="s">
        <v>1295</v>
      </c>
      <c r="E2226" s="5" t="s">
        <v>3094</v>
      </c>
      <c r="F2226" s="7" t="s">
        <v>863</v>
      </c>
    </row>
    <row r="2227">
      <c r="A2227" s="5" t="s">
        <v>2796</v>
      </c>
      <c r="B2227" s="8">
        <v>6.0</v>
      </c>
      <c r="C2227" s="4" t="s">
        <v>882</v>
      </c>
      <c r="D2227" s="5" t="s">
        <v>1295</v>
      </c>
      <c r="E2227" s="5" t="s">
        <v>3094</v>
      </c>
      <c r="F2227" s="7" t="s">
        <v>865</v>
      </c>
    </row>
    <row r="2228">
      <c r="A2228" s="5" t="s">
        <v>3085</v>
      </c>
      <c r="B2228" s="8">
        <v>6.0</v>
      </c>
      <c r="C2228" s="4" t="s">
        <v>882</v>
      </c>
      <c r="D2228" s="5" t="s">
        <v>1295</v>
      </c>
      <c r="E2228" s="5" t="s">
        <v>3094</v>
      </c>
      <c r="F2228" s="7" t="s">
        <v>865</v>
      </c>
    </row>
    <row r="2229">
      <c r="A2229" s="5" t="s">
        <v>2594</v>
      </c>
      <c r="B2229" s="8">
        <v>6.0</v>
      </c>
      <c r="C2229" s="4" t="s">
        <v>882</v>
      </c>
      <c r="D2229" s="5" t="s">
        <v>1295</v>
      </c>
      <c r="E2229" s="5" t="s">
        <v>3094</v>
      </c>
      <c r="F2229" s="7" t="s">
        <v>864</v>
      </c>
    </row>
    <row r="2230">
      <c r="A2230" s="5" t="s">
        <v>3086</v>
      </c>
      <c r="B2230" s="8">
        <v>6.0</v>
      </c>
      <c r="C2230" s="4" t="s">
        <v>882</v>
      </c>
      <c r="D2230" s="5" t="s">
        <v>1295</v>
      </c>
      <c r="E2230" s="5" t="s">
        <v>3094</v>
      </c>
      <c r="F2230" s="7" t="s">
        <v>1291</v>
      </c>
    </row>
    <row r="2231">
      <c r="A2231" s="7" t="s">
        <v>868</v>
      </c>
      <c r="B2231" s="8">
        <v>6.0</v>
      </c>
      <c r="C2231" s="4" t="s">
        <v>882</v>
      </c>
      <c r="D2231" s="5" t="s">
        <v>1295</v>
      </c>
      <c r="E2231" s="5" t="s">
        <v>3094</v>
      </c>
      <c r="F2231" s="7" t="s">
        <v>864</v>
      </c>
    </row>
    <row r="2232">
      <c r="A2232" s="7" t="s">
        <v>599</v>
      </c>
      <c r="B2232" s="8">
        <v>6.0</v>
      </c>
      <c r="C2232" s="4" t="s">
        <v>882</v>
      </c>
      <c r="D2232" s="5" t="s">
        <v>1295</v>
      </c>
      <c r="E2232" s="5" t="s">
        <v>3094</v>
      </c>
      <c r="F2232" s="7" t="s">
        <v>1290</v>
      </c>
    </row>
    <row r="2233">
      <c r="A2233" s="5" t="s">
        <v>3087</v>
      </c>
      <c r="B2233" s="8">
        <v>6.0</v>
      </c>
      <c r="C2233" s="4" t="s">
        <v>882</v>
      </c>
      <c r="D2233" s="5" t="s">
        <v>1295</v>
      </c>
      <c r="E2233" s="5" t="s">
        <v>3094</v>
      </c>
      <c r="F2233" s="7" t="s">
        <v>1291</v>
      </c>
    </row>
    <row r="2234">
      <c r="A2234" s="5" t="s">
        <v>3088</v>
      </c>
      <c r="B2234" s="8">
        <v>6.0</v>
      </c>
      <c r="C2234" s="4" t="s">
        <v>882</v>
      </c>
      <c r="D2234" s="5" t="s">
        <v>1295</v>
      </c>
      <c r="E2234" s="5" t="s">
        <v>3094</v>
      </c>
      <c r="F2234" s="7" t="s">
        <v>864</v>
      </c>
    </row>
    <row r="2235">
      <c r="A2235" s="5" t="s">
        <v>2595</v>
      </c>
      <c r="B2235" s="8">
        <v>6.0</v>
      </c>
      <c r="C2235" s="4" t="s">
        <v>882</v>
      </c>
      <c r="D2235" s="5" t="s">
        <v>1295</v>
      </c>
      <c r="E2235" s="5" t="s">
        <v>3094</v>
      </c>
      <c r="F2235" s="7" t="s">
        <v>862</v>
      </c>
    </row>
    <row r="2236">
      <c r="A2236" s="5" t="s">
        <v>3089</v>
      </c>
      <c r="B2236" s="8">
        <v>6.0</v>
      </c>
      <c r="C2236" s="4" t="s">
        <v>882</v>
      </c>
      <c r="D2236" s="5" t="s">
        <v>1295</v>
      </c>
      <c r="E2236" s="5" t="s">
        <v>3094</v>
      </c>
      <c r="F2236" s="7" t="s">
        <v>1291</v>
      </c>
    </row>
    <row r="2237">
      <c r="A2237" s="5" t="s">
        <v>2597</v>
      </c>
      <c r="B2237" s="8">
        <v>6.0</v>
      </c>
      <c r="C2237" s="4" t="s">
        <v>882</v>
      </c>
      <c r="D2237" s="5" t="s">
        <v>1295</v>
      </c>
      <c r="E2237" s="5" t="s">
        <v>3094</v>
      </c>
      <c r="F2237" s="7" t="s">
        <v>1291</v>
      </c>
    </row>
    <row r="2238">
      <c r="A2238" s="7" t="s">
        <v>8</v>
      </c>
      <c r="B2238" s="8">
        <v>6.0</v>
      </c>
      <c r="C2238" s="4" t="s">
        <v>882</v>
      </c>
      <c r="D2238" s="5" t="s">
        <v>1295</v>
      </c>
      <c r="E2238" s="5" t="s">
        <v>3094</v>
      </c>
      <c r="F2238" s="7" t="s">
        <v>862</v>
      </c>
    </row>
    <row r="2239">
      <c r="A2239" s="5" t="s">
        <v>2798</v>
      </c>
      <c r="B2239" s="8">
        <v>6.0</v>
      </c>
      <c r="C2239" s="4" t="s">
        <v>882</v>
      </c>
      <c r="D2239" s="5" t="s">
        <v>1295</v>
      </c>
      <c r="E2239" s="5" t="s">
        <v>3094</v>
      </c>
      <c r="F2239" s="7" t="s">
        <v>864</v>
      </c>
    </row>
    <row r="2240">
      <c r="A2240" s="5" t="s">
        <v>2702</v>
      </c>
      <c r="B2240" s="8">
        <v>6.0</v>
      </c>
      <c r="C2240" s="4" t="s">
        <v>882</v>
      </c>
      <c r="D2240" s="5" t="s">
        <v>1295</v>
      </c>
      <c r="E2240" s="5" t="s">
        <v>3094</v>
      </c>
      <c r="F2240" s="7" t="s">
        <v>1291</v>
      </c>
    </row>
    <row r="2241">
      <c r="A2241" s="5" t="s">
        <v>2599</v>
      </c>
      <c r="B2241" s="8">
        <v>6.0</v>
      </c>
      <c r="C2241" s="4" t="s">
        <v>882</v>
      </c>
      <c r="D2241" s="5" t="s">
        <v>1295</v>
      </c>
      <c r="E2241" s="5" t="s">
        <v>3094</v>
      </c>
      <c r="F2241" s="7" t="s">
        <v>863</v>
      </c>
    </row>
    <row r="2242">
      <c r="A2242" s="5" t="s">
        <v>2600</v>
      </c>
      <c r="B2242" s="8">
        <v>6.0</v>
      </c>
      <c r="C2242" s="4" t="s">
        <v>882</v>
      </c>
      <c r="D2242" s="5" t="s">
        <v>1295</v>
      </c>
      <c r="E2242" s="5" t="s">
        <v>3094</v>
      </c>
      <c r="F2242" s="7" t="s">
        <v>1291</v>
      </c>
    </row>
    <row r="2243">
      <c r="A2243" s="5" t="s">
        <v>3090</v>
      </c>
      <c r="B2243" s="8">
        <v>6.0</v>
      </c>
      <c r="C2243" s="4" t="s">
        <v>882</v>
      </c>
      <c r="D2243" s="5" t="s">
        <v>1295</v>
      </c>
      <c r="E2243" s="5" t="s">
        <v>3094</v>
      </c>
      <c r="F2243" s="7" t="s">
        <v>865</v>
      </c>
    </row>
    <row r="2244">
      <c r="A2244" s="7" t="s">
        <v>873</v>
      </c>
      <c r="B2244" s="8">
        <v>6.0</v>
      </c>
      <c r="C2244" s="4" t="s">
        <v>882</v>
      </c>
      <c r="D2244" s="5" t="s">
        <v>1295</v>
      </c>
      <c r="E2244" s="5" t="s">
        <v>3094</v>
      </c>
      <c r="F2244" s="7" t="s">
        <v>864</v>
      </c>
    </row>
    <row r="2245">
      <c r="A2245" s="5" t="s">
        <v>2602</v>
      </c>
      <c r="B2245" s="8">
        <v>6.0</v>
      </c>
      <c r="C2245" s="4" t="s">
        <v>882</v>
      </c>
      <c r="D2245" s="5" t="s">
        <v>1295</v>
      </c>
      <c r="E2245" s="5" t="s">
        <v>3094</v>
      </c>
      <c r="F2245" s="7" t="s">
        <v>1290</v>
      </c>
    </row>
    <row r="2246">
      <c r="A2246" s="5" t="s">
        <v>2603</v>
      </c>
      <c r="B2246" s="8">
        <v>6.0</v>
      </c>
      <c r="C2246" s="4" t="s">
        <v>882</v>
      </c>
      <c r="D2246" s="5" t="s">
        <v>1295</v>
      </c>
      <c r="E2246" s="5" t="s">
        <v>3094</v>
      </c>
      <c r="F2246" s="7" t="s">
        <v>863</v>
      </c>
    </row>
    <row r="2247">
      <c r="A2247" s="7" t="s">
        <v>874</v>
      </c>
      <c r="B2247" s="8">
        <v>6.0</v>
      </c>
      <c r="C2247" s="4" t="s">
        <v>882</v>
      </c>
      <c r="D2247" s="5" t="s">
        <v>1295</v>
      </c>
      <c r="E2247" s="5" t="s">
        <v>3094</v>
      </c>
      <c r="F2247" s="7" t="s">
        <v>864</v>
      </c>
    </row>
    <row r="2248">
      <c r="A2248" s="5" t="s">
        <v>2604</v>
      </c>
      <c r="B2248" s="8">
        <v>6.0</v>
      </c>
      <c r="C2248" s="4" t="s">
        <v>882</v>
      </c>
      <c r="D2248" s="5" t="s">
        <v>1295</v>
      </c>
      <c r="E2248" s="5" t="s">
        <v>3094</v>
      </c>
      <c r="F2248" s="7" t="s">
        <v>864</v>
      </c>
    </row>
    <row r="2249">
      <c r="A2249" s="5" t="s">
        <v>3091</v>
      </c>
      <c r="B2249" s="8">
        <v>6.0</v>
      </c>
      <c r="C2249" s="4" t="s">
        <v>882</v>
      </c>
      <c r="D2249" s="5" t="s">
        <v>1295</v>
      </c>
      <c r="E2249" s="5" t="s">
        <v>3094</v>
      </c>
      <c r="F2249" s="7" t="s">
        <v>1290</v>
      </c>
    </row>
    <row r="2250">
      <c r="A2250" s="5" t="s">
        <v>2605</v>
      </c>
      <c r="B2250" s="8">
        <v>6.0</v>
      </c>
      <c r="C2250" s="4" t="s">
        <v>882</v>
      </c>
      <c r="D2250" s="5" t="s">
        <v>1295</v>
      </c>
      <c r="E2250" s="5" t="s">
        <v>3094</v>
      </c>
      <c r="F2250" s="7" t="s">
        <v>1290</v>
      </c>
    </row>
    <row r="2251">
      <c r="A2251" s="5" t="s">
        <v>2933</v>
      </c>
      <c r="B2251" s="8">
        <v>6.0</v>
      </c>
      <c r="C2251" s="4" t="s">
        <v>882</v>
      </c>
      <c r="D2251" s="5" t="s">
        <v>1295</v>
      </c>
      <c r="E2251" s="5" t="s">
        <v>3094</v>
      </c>
      <c r="F2251" s="7" t="s">
        <v>862</v>
      </c>
    </row>
    <row r="2252">
      <c r="A2252" s="5" t="s">
        <v>2606</v>
      </c>
      <c r="B2252" s="8">
        <v>6.0</v>
      </c>
      <c r="C2252" s="4" t="s">
        <v>882</v>
      </c>
      <c r="D2252" s="5" t="s">
        <v>1295</v>
      </c>
      <c r="E2252" s="5" t="s">
        <v>3094</v>
      </c>
      <c r="F2252" s="7" t="s">
        <v>1290</v>
      </c>
    </row>
    <row r="2253">
      <c r="A2253" s="5" t="s">
        <v>2934</v>
      </c>
      <c r="B2253" s="8">
        <v>6.0</v>
      </c>
      <c r="C2253" s="4" t="s">
        <v>882</v>
      </c>
      <c r="D2253" s="5" t="s">
        <v>1295</v>
      </c>
      <c r="E2253" s="5" t="s">
        <v>3094</v>
      </c>
      <c r="F2253" s="7" t="s">
        <v>1292</v>
      </c>
    </row>
    <row r="2254">
      <c r="A2254" s="5" t="s">
        <v>2607</v>
      </c>
      <c r="B2254" s="8">
        <v>6.0</v>
      </c>
      <c r="C2254" s="4" t="s">
        <v>882</v>
      </c>
      <c r="D2254" s="5" t="s">
        <v>1295</v>
      </c>
      <c r="E2254" s="5" t="s">
        <v>3094</v>
      </c>
      <c r="F2254" s="7" t="s">
        <v>865</v>
      </c>
    </row>
    <row r="2255">
      <c r="A2255" s="7" t="s">
        <v>876</v>
      </c>
      <c r="B2255" s="8">
        <v>6.0</v>
      </c>
      <c r="C2255" s="4" t="s">
        <v>882</v>
      </c>
      <c r="D2255" s="5" t="s">
        <v>1295</v>
      </c>
      <c r="E2255" s="5" t="s">
        <v>3094</v>
      </c>
      <c r="F2255" s="7" t="s">
        <v>1291</v>
      </c>
    </row>
    <row r="2256">
      <c r="A2256" s="5" t="s">
        <v>3092</v>
      </c>
      <c r="B2256" s="8">
        <v>6.0</v>
      </c>
      <c r="C2256" s="4" t="s">
        <v>882</v>
      </c>
      <c r="D2256" s="5" t="s">
        <v>1295</v>
      </c>
      <c r="E2256" s="5" t="s">
        <v>3094</v>
      </c>
      <c r="F2256" s="7" t="s">
        <v>1290</v>
      </c>
    </row>
    <row r="2257">
      <c r="A2257" s="5" t="s">
        <v>2614</v>
      </c>
      <c r="B2257" s="8">
        <v>6.0</v>
      </c>
      <c r="C2257" s="4" t="s">
        <v>882</v>
      </c>
      <c r="D2257" s="5" t="s">
        <v>1295</v>
      </c>
      <c r="E2257" s="5" t="s">
        <v>3094</v>
      </c>
      <c r="F2257" s="7" t="s">
        <v>864</v>
      </c>
    </row>
    <row r="2258">
      <c r="A2258" s="5" t="s">
        <v>2608</v>
      </c>
      <c r="B2258" s="8">
        <v>6.0</v>
      </c>
      <c r="C2258" s="4" t="s">
        <v>882</v>
      </c>
      <c r="D2258" s="5" t="s">
        <v>1295</v>
      </c>
      <c r="E2258" s="5" t="s">
        <v>3094</v>
      </c>
      <c r="F2258" s="7" t="s">
        <v>864</v>
      </c>
    </row>
    <row r="2259">
      <c r="A2259" s="5" t="s">
        <v>2609</v>
      </c>
      <c r="B2259" s="8">
        <v>6.0</v>
      </c>
      <c r="C2259" s="4" t="s">
        <v>882</v>
      </c>
      <c r="D2259" s="5" t="s">
        <v>1295</v>
      </c>
      <c r="E2259" s="5" t="s">
        <v>3094</v>
      </c>
      <c r="F2259" s="7" t="s">
        <v>1291</v>
      </c>
    </row>
    <row r="2260">
      <c r="A2260" s="5" t="s">
        <v>2922</v>
      </c>
      <c r="B2260" s="8">
        <v>6.0</v>
      </c>
      <c r="C2260" s="4" t="s">
        <v>885</v>
      </c>
      <c r="D2260" s="7" t="s">
        <v>886</v>
      </c>
      <c r="E2260" s="5" t="s">
        <v>3095</v>
      </c>
      <c r="F2260" s="7" t="s">
        <v>1290</v>
      </c>
    </row>
    <row r="2261">
      <c r="A2261" s="7" t="s">
        <v>188</v>
      </c>
      <c r="B2261" s="8">
        <v>6.0</v>
      </c>
      <c r="C2261" s="4" t="s">
        <v>885</v>
      </c>
      <c r="D2261" s="7" t="s">
        <v>886</v>
      </c>
      <c r="E2261" s="5" t="s">
        <v>3095</v>
      </c>
      <c r="F2261" s="7" t="s">
        <v>864</v>
      </c>
    </row>
    <row r="2262">
      <c r="A2262" s="5" t="s">
        <v>2592</v>
      </c>
      <c r="B2262" s="8">
        <v>6.0</v>
      </c>
      <c r="C2262" s="4" t="s">
        <v>885</v>
      </c>
      <c r="D2262" s="7" t="s">
        <v>886</v>
      </c>
      <c r="E2262" s="5" t="s">
        <v>3095</v>
      </c>
      <c r="F2262" s="7" t="s">
        <v>863</v>
      </c>
    </row>
    <row r="2263">
      <c r="A2263" s="5" t="s">
        <v>2796</v>
      </c>
      <c r="B2263" s="8">
        <v>6.0</v>
      </c>
      <c r="C2263" s="4" t="s">
        <v>885</v>
      </c>
      <c r="D2263" s="7" t="s">
        <v>886</v>
      </c>
      <c r="E2263" s="5" t="s">
        <v>3095</v>
      </c>
      <c r="F2263" s="7" t="s">
        <v>865</v>
      </c>
    </row>
    <row r="2264">
      <c r="A2264" s="5" t="s">
        <v>3085</v>
      </c>
      <c r="B2264" s="8">
        <v>6.0</v>
      </c>
      <c r="C2264" s="4" t="s">
        <v>885</v>
      </c>
      <c r="D2264" s="7" t="s">
        <v>886</v>
      </c>
      <c r="E2264" s="5" t="s">
        <v>3095</v>
      </c>
      <c r="F2264" s="7" t="s">
        <v>865</v>
      </c>
    </row>
    <row r="2265">
      <c r="A2265" s="5" t="s">
        <v>2594</v>
      </c>
      <c r="B2265" s="8">
        <v>6.0</v>
      </c>
      <c r="C2265" s="4" t="s">
        <v>885</v>
      </c>
      <c r="D2265" s="7" t="s">
        <v>886</v>
      </c>
      <c r="E2265" s="5" t="s">
        <v>3095</v>
      </c>
      <c r="F2265" s="7" t="s">
        <v>864</v>
      </c>
    </row>
    <row r="2266">
      <c r="A2266" s="5" t="s">
        <v>3086</v>
      </c>
      <c r="B2266" s="8">
        <v>6.0</v>
      </c>
      <c r="C2266" s="4" t="s">
        <v>885</v>
      </c>
      <c r="D2266" s="7" t="s">
        <v>886</v>
      </c>
      <c r="E2266" s="5" t="s">
        <v>3095</v>
      </c>
      <c r="F2266" s="7" t="s">
        <v>1291</v>
      </c>
    </row>
    <row r="2267">
      <c r="A2267" s="7" t="s">
        <v>868</v>
      </c>
      <c r="B2267" s="8">
        <v>6.0</v>
      </c>
      <c r="C2267" s="4" t="s">
        <v>885</v>
      </c>
      <c r="D2267" s="7" t="s">
        <v>886</v>
      </c>
      <c r="E2267" s="5" t="s">
        <v>3095</v>
      </c>
      <c r="F2267" s="7" t="s">
        <v>864</v>
      </c>
    </row>
    <row r="2268">
      <c r="A2268" s="7" t="s">
        <v>599</v>
      </c>
      <c r="B2268" s="8">
        <v>6.0</v>
      </c>
      <c r="C2268" s="4" t="s">
        <v>885</v>
      </c>
      <c r="D2268" s="7" t="s">
        <v>886</v>
      </c>
      <c r="E2268" s="5" t="s">
        <v>3095</v>
      </c>
      <c r="F2268" s="7" t="s">
        <v>1290</v>
      </c>
    </row>
    <row r="2269">
      <c r="A2269" s="5" t="s">
        <v>3087</v>
      </c>
      <c r="B2269" s="8">
        <v>6.0</v>
      </c>
      <c r="C2269" s="4" t="s">
        <v>885</v>
      </c>
      <c r="D2269" s="7" t="s">
        <v>886</v>
      </c>
      <c r="E2269" s="5" t="s">
        <v>3095</v>
      </c>
      <c r="F2269" s="7" t="s">
        <v>1291</v>
      </c>
    </row>
    <row r="2270">
      <c r="A2270" s="5" t="s">
        <v>3088</v>
      </c>
      <c r="B2270" s="8">
        <v>6.0</v>
      </c>
      <c r="C2270" s="4" t="s">
        <v>885</v>
      </c>
      <c r="D2270" s="7" t="s">
        <v>886</v>
      </c>
      <c r="E2270" s="5" t="s">
        <v>3095</v>
      </c>
      <c r="F2270" s="7" t="s">
        <v>864</v>
      </c>
    </row>
    <row r="2271">
      <c r="A2271" s="5" t="s">
        <v>2595</v>
      </c>
      <c r="B2271" s="8">
        <v>6.0</v>
      </c>
      <c r="C2271" s="4" t="s">
        <v>885</v>
      </c>
      <c r="D2271" s="7" t="s">
        <v>886</v>
      </c>
      <c r="E2271" s="5" t="s">
        <v>3095</v>
      </c>
      <c r="F2271" s="7" t="s">
        <v>862</v>
      </c>
    </row>
    <row r="2272">
      <c r="A2272" s="5" t="s">
        <v>3089</v>
      </c>
      <c r="B2272" s="8">
        <v>6.0</v>
      </c>
      <c r="C2272" s="4" t="s">
        <v>885</v>
      </c>
      <c r="D2272" s="7" t="s">
        <v>886</v>
      </c>
      <c r="E2272" s="5" t="s">
        <v>3095</v>
      </c>
      <c r="F2272" s="7" t="s">
        <v>1291</v>
      </c>
    </row>
    <row r="2273">
      <c r="A2273" s="5" t="s">
        <v>2597</v>
      </c>
      <c r="B2273" s="8">
        <v>6.0</v>
      </c>
      <c r="C2273" s="4" t="s">
        <v>885</v>
      </c>
      <c r="D2273" s="7" t="s">
        <v>886</v>
      </c>
      <c r="E2273" s="5" t="s">
        <v>3095</v>
      </c>
      <c r="F2273" s="7" t="s">
        <v>1291</v>
      </c>
    </row>
    <row r="2274">
      <c r="A2274" s="7" t="s">
        <v>8</v>
      </c>
      <c r="B2274" s="8">
        <v>6.0</v>
      </c>
      <c r="C2274" s="4" t="s">
        <v>885</v>
      </c>
      <c r="D2274" s="7" t="s">
        <v>886</v>
      </c>
      <c r="E2274" s="5" t="s">
        <v>3095</v>
      </c>
      <c r="F2274" s="7" t="s">
        <v>862</v>
      </c>
    </row>
    <row r="2275">
      <c r="A2275" s="5" t="s">
        <v>2798</v>
      </c>
      <c r="B2275" s="8">
        <v>6.0</v>
      </c>
      <c r="C2275" s="4" t="s">
        <v>885</v>
      </c>
      <c r="D2275" s="7" t="s">
        <v>886</v>
      </c>
      <c r="E2275" s="5" t="s">
        <v>3095</v>
      </c>
      <c r="F2275" s="7" t="s">
        <v>864</v>
      </c>
    </row>
    <row r="2276">
      <c r="A2276" s="5" t="s">
        <v>2702</v>
      </c>
      <c r="B2276" s="8">
        <v>6.0</v>
      </c>
      <c r="C2276" s="4" t="s">
        <v>885</v>
      </c>
      <c r="D2276" s="7" t="s">
        <v>886</v>
      </c>
      <c r="E2276" s="5" t="s">
        <v>3095</v>
      </c>
      <c r="F2276" s="7" t="s">
        <v>1291</v>
      </c>
    </row>
    <row r="2277">
      <c r="A2277" s="5" t="s">
        <v>2599</v>
      </c>
      <c r="B2277" s="8">
        <v>6.0</v>
      </c>
      <c r="C2277" s="4" t="s">
        <v>885</v>
      </c>
      <c r="D2277" s="7" t="s">
        <v>886</v>
      </c>
      <c r="E2277" s="5" t="s">
        <v>3095</v>
      </c>
      <c r="F2277" s="7" t="s">
        <v>863</v>
      </c>
    </row>
    <row r="2278">
      <c r="A2278" s="5" t="s">
        <v>2600</v>
      </c>
      <c r="B2278" s="8">
        <v>6.0</v>
      </c>
      <c r="C2278" s="4" t="s">
        <v>885</v>
      </c>
      <c r="D2278" s="7" t="s">
        <v>886</v>
      </c>
      <c r="E2278" s="5" t="s">
        <v>3095</v>
      </c>
      <c r="F2278" s="7" t="s">
        <v>1291</v>
      </c>
    </row>
    <row r="2279">
      <c r="A2279" s="5" t="s">
        <v>3090</v>
      </c>
      <c r="B2279" s="8">
        <v>6.0</v>
      </c>
      <c r="C2279" s="4" t="s">
        <v>885</v>
      </c>
      <c r="D2279" s="7" t="s">
        <v>886</v>
      </c>
      <c r="E2279" s="5" t="s">
        <v>3095</v>
      </c>
      <c r="F2279" s="7" t="s">
        <v>865</v>
      </c>
    </row>
    <row r="2280">
      <c r="A2280" s="7" t="s">
        <v>873</v>
      </c>
      <c r="B2280" s="8">
        <v>6.0</v>
      </c>
      <c r="C2280" s="4" t="s">
        <v>885</v>
      </c>
      <c r="D2280" s="7" t="s">
        <v>886</v>
      </c>
      <c r="E2280" s="5" t="s">
        <v>3095</v>
      </c>
      <c r="F2280" s="7" t="s">
        <v>864</v>
      </c>
    </row>
    <row r="2281">
      <c r="A2281" s="5" t="s">
        <v>2602</v>
      </c>
      <c r="B2281" s="8">
        <v>6.0</v>
      </c>
      <c r="C2281" s="4" t="s">
        <v>885</v>
      </c>
      <c r="D2281" s="7" t="s">
        <v>886</v>
      </c>
      <c r="E2281" s="5" t="s">
        <v>3095</v>
      </c>
      <c r="F2281" s="7" t="s">
        <v>1290</v>
      </c>
    </row>
    <row r="2282">
      <c r="A2282" s="5" t="s">
        <v>2603</v>
      </c>
      <c r="B2282" s="8">
        <v>6.0</v>
      </c>
      <c r="C2282" s="4" t="s">
        <v>885</v>
      </c>
      <c r="D2282" s="7" t="s">
        <v>886</v>
      </c>
      <c r="E2282" s="5" t="s">
        <v>3095</v>
      </c>
      <c r="F2282" s="7" t="s">
        <v>863</v>
      </c>
    </row>
    <row r="2283">
      <c r="A2283" s="7" t="s">
        <v>874</v>
      </c>
      <c r="B2283" s="8">
        <v>6.0</v>
      </c>
      <c r="C2283" s="4" t="s">
        <v>885</v>
      </c>
      <c r="D2283" s="7" t="s">
        <v>886</v>
      </c>
      <c r="E2283" s="5" t="s">
        <v>3095</v>
      </c>
      <c r="F2283" s="7" t="s">
        <v>864</v>
      </c>
    </row>
    <row r="2284">
      <c r="A2284" s="5" t="s">
        <v>2604</v>
      </c>
      <c r="B2284" s="8">
        <v>6.0</v>
      </c>
      <c r="C2284" s="4" t="s">
        <v>885</v>
      </c>
      <c r="D2284" s="7" t="s">
        <v>886</v>
      </c>
      <c r="E2284" s="5" t="s">
        <v>3095</v>
      </c>
      <c r="F2284" s="7" t="s">
        <v>864</v>
      </c>
    </row>
    <row r="2285">
      <c r="A2285" s="5" t="s">
        <v>3091</v>
      </c>
      <c r="B2285" s="8">
        <v>6.0</v>
      </c>
      <c r="C2285" s="4" t="s">
        <v>885</v>
      </c>
      <c r="D2285" s="7" t="s">
        <v>886</v>
      </c>
      <c r="E2285" s="5" t="s">
        <v>3095</v>
      </c>
      <c r="F2285" s="7" t="s">
        <v>1290</v>
      </c>
    </row>
    <row r="2286">
      <c r="A2286" s="5" t="s">
        <v>2605</v>
      </c>
      <c r="B2286" s="8">
        <v>6.0</v>
      </c>
      <c r="C2286" s="4" t="s">
        <v>885</v>
      </c>
      <c r="D2286" s="7" t="s">
        <v>886</v>
      </c>
      <c r="E2286" s="5" t="s">
        <v>3095</v>
      </c>
      <c r="F2286" s="7" t="s">
        <v>1290</v>
      </c>
    </row>
    <row r="2287">
      <c r="A2287" s="5" t="s">
        <v>2933</v>
      </c>
      <c r="B2287" s="8">
        <v>6.0</v>
      </c>
      <c r="C2287" s="4" t="s">
        <v>885</v>
      </c>
      <c r="D2287" s="7" t="s">
        <v>886</v>
      </c>
      <c r="E2287" s="5" t="s">
        <v>3095</v>
      </c>
      <c r="F2287" s="7" t="s">
        <v>862</v>
      </c>
    </row>
    <row r="2288">
      <c r="A2288" s="5" t="s">
        <v>2606</v>
      </c>
      <c r="B2288" s="8">
        <v>6.0</v>
      </c>
      <c r="C2288" s="4" t="s">
        <v>885</v>
      </c>
      <c r="D2288" s="7" t="s">
        <v>886</v>
      </c>
      <c r="E2288" s="5" t="s">
        <v>3095</v>
      </c>
      <c r="F2288" s="7" t="s">
        <v>1290</v>
      </c>
    </row>
    <row r="2289">
      <c r="A2289" s="5" t="s">
        <v>2934</v>
      </c>
      <c r="B2289" s="8">
        <v>6.0</v>
      </c>
      <c r="C2289" s="4" t="s">
        <v>885</v>
      </c>
      <c r="D2289" s="7" t="s">
        <v>886</v>
      </c>
      <c r="E2289" s="5" t="s">
        <v>3095</v>
      </c>
      <c r="F2289" s="7" t="s">
        <v>1292</v>
      </c>
    </row>
    <row r="2290">
      <c r="A2290" s="5" t="s">
        <v>2607</v>
      </c>
      <c r="B2290" s="8">
        <v>6.0</v>
      </c>
      <c r="C2290" s="4" t="s">
        <v>885</v>
      </c>
      <c r="D2290" s="7" t="s">
        <v>886</v>
      </c>
      <c r="E2290" s="5" t="s">
        <v>3095</v>
      </c>
      <c r="F2290" s="7" t="s">
        <v>865</v>
      </c>
    </row>
    <row r="2291">
      <c r="A2291" s="7" t="s">
        <v>876</v>
      </c>
      <c r="B2291" s="8">
        <v>6.0</v>
      </c>
      <c r="C2291" s="4" t="s">
        <v>885</v>
      </c>
      <c r="D2291" s="7" t="s">
        <v>886</v>
      </c>
      <c r="E2291" s="5" t="s">
        <v>3095</v>
      </c>
      <c r="F2291" s="7" t="s">
        <v>1291</v>
      </c>
    </row>
    <row r="2292">
      <c r="A2292" s="5" t="s">
        <v>3092</v>
      </c>
      <c r="B2292" s="8">
        <v>6.0</v>
      </c>
      <c r="C2292" s="4" t="s">
        <v>885</v>
      </c>
      <c r="D2292" s="7" t="s">
        <v>886</v>
      </c>
      <c r="E2292" s="5" t="s">
        <v>3095</v>
      </c>
      <c r="F2292" s="7" t="s">
        <v>1290</v>
      </c>
    </row>
    <row r="2293">
      <c r="A2293" s="5" t="s">
        <v>2614</v>
      </c>
      <c r="B2293" s="8">
        <v>6.0</v>
      </c>
      <c r="C2293" s="4" t="s">
        <v>885</v>
      </c>
      <c r="D2293" s="7" t="s">
        <v>886</v>
      </c>
      <c r="E2293" s="5" t="s">
        <v>3095</v>
      </c>
      <c r="F2293" s="7" t="s">
        <v>864</v>
      </c>
    </row>
    <row r="2294">
      <c r="A2294" s="5" t="s">
        <v>2608</v>
      </c>
      <c r="B2294" s="8">
        <v>6.0</v>
      </c>
      <c r="C2294" s="4" t="s">
        <v>885</v>
      </c>
      <c r="D2294" s="7" t="s">
        <v>886</v>
      </c>
      <c r="E2294" s="5" t="s">
        <v>3095</v>
      </c>
      <c r="F2294" s="7" t="s">
        <v>864</v>
      </c>
    </row>
    <row r="2295">
      <c r="A2295" s="5" t="s">
        <v>2609</v>
      </c>
      <c r="B2295" s="8">
        <v>6.0</v>
      </c>
      <c r="C2295" s="4" t="s">
        <v>885</v>
      </c>
      <c r="D2295" s="7" t="s">
        <v>886</v>
      </c>
      <c r="E2295" s="5" t="s">
        <v>3095</v>
      </c>
      <c r="F2295" s="7" t="s">
        <v>1291</v>
      </c>
    </row>
    <row r="2296">
      <c r="A2296" s="5" t="s">
        <v>2922</v>
      </c>
      <c r="B2296" s="8">
        <v>6.0</v>
      </c>
      <c r="C2296" s="4" t="s">
        <v>619</v>
      </c>
      <c r="D2296" s="7" t="s">
        <v>888</v>
      </c>
      <c r="E2296" s="5" t="s">
        <v>3096</v>
      </c>
      <c r="F2296" s="7" t="s">
        <v>1290</v>
      </c>
    </row>
    <row r="2297">
      <c r="A2297" s="7" t="s">
        <v>188</v>
      </c>
      <c r="B2297" s="8">
        <v>6.0</v>
      </c>
      <c r="C2297" s="4" t="s">
        <v>619</v>
      </c>
      <c r="D2297" s="7" t="s">
        <v>888</v>
      </c>
      <c r="E2297" s="5" t="s">
        <v>3096</v>
      </c>
      <c r="F2297" s="7" t="s">
        <v>864</v>
      </c>
    </row>
    <row r="2298">
      <c r="A2298" s="5" t="s">
        <v>2592</v>
      </c>
      <c r="B2298" s="8">
        <v>6.0</v>
      </c>
      <c r="C2298" s="4" t="s">
        <v>619</v>
      </c>
      <c r="D2298" s="7" t="s">
        <v>888</v>
      </c>
      <c r="E2298" s="5" t="s">
        <v>3096</v>
      </c>
      <c r="F2298" s="7" t="s">
        <v>863</v>
      </c>
    </row>
    <row r="2299">
      <c r="A2299" s="5" t="s">
        <v>2796</v>
      </c>
      <c r="B2299" s="8">
        <v>6.0</v>
      </c>
      <c r="C2299" s="4" t="s">
        <v>619</v>
      </c>
      <c r="D2299" s="7" t="s">
        <v>888</v>
      </c>
      <c r="E2299" s="5" t="s">
        <v>3096</v>
      </c>
      <c r="F2299" s="7" t="s">
        <v>865</v>
      </c>
    </row>
    <row r="2300">
      <c r="A2300" s="5" t="s">
        <v>3085</v>
      </c>
      <c r="B2300" s="8">
        <v>6.0</v>
      </c>
      <c r="C2300" s="4" t="s">
        <v>619</v>
      </c>
      <c r="D2300" s="7" t="s">
        <v>888</v>
      </c>
      <c r="E2300" s="5" t="s">
        <v>3096</v>
      </c>
      <c r="F2300" s="7" t="s">
        <v>865</v>
      </c>
    </row>
    <row r="2301">
      <c r="A2301" s="5" t="s">
        <v>2594</v>
      </c>
      <c r="B2301" s="8">
        <v>6.0</v>
      </c>
      <c r="C2301" s="4" t="s">
        <v>619</v>
      </c>
      <c r="D2301" s="7" t="s">
        <v>888</v>
      </c>
      <c r="E2301" s="5" t="s">
        <v>3096</v>
      </c>
      <c r="F2301" s="7" t="s">
        <v>864</v>
      </c>
    </row>
    <row r="2302">
      <c r="A2302" s="5" t="s">
        <v>3086</v>
      </c>
      <c r="B2302" s="8">
        <v>6.0</v>
      </c>
      <c r="C2302" s="4" t="s">
        <v>619</v>
      </c>
      <c r="D2302" s="7" t="s">
        <v>888</v>
      </c>
      <c r="E2302" s="5" t="s">
        <v>3096</v>
      </c>
      <c r="F2302" s="7" t="s">
        <v>1291</v>
      </c>
    </row>
    <row r="2303">
      <c r="A2303" s="7" t="s">
        <v>868</v>
      </c>
      <c r="B2303" s="8">
        <v>6.0</v>
      </c>
      <c r="C2303" s="4" t="s">
        <v>619</v>
      </c>
      <c r="D2303" s="7" t="s">
        <v>888</v>
      </c>
      <c r="E2303" s="5" t="s">
        <v>3096</v>
      </c>
      <c r="F2303" s="7" t="s">
        <v>864</v>
      </c>
    </row>
    <row r="2304">
      <c r="A2304" s="7" t="s">
        <v>599</v>
      </c>
      <c r="B2304" s="8">
        <v>6.0</v>
      </c>
      <c r="C2304" s="4" t="s">
        <v>619</v>
      </c>
      <c r="D2304" s="7" t="s">
        <v>888</v>
      </c>
      <c r="E2304" s="5" t="s">
        <v>3096</v>
      </c>
      <c r="F2304" s="7" t="s">
        <v>1290</v>
      </c>
    </row>
    <row r="2305">
      <c r="A2305" s="5" t="s">
        <v>3087</v>
      </c>
      <c r="B2305" s="8">
        <v>6.0</v>
      </c>
      <c r="C2305" s="4" t="s">
        <v>619</v>
      </c>
      <c r="D2305" s="7" t="s">
        <v>888</v>
      </c>
      <c r="E2305" s="5" t="s">
        <v>3096</v>
      </c>
      <c r="F2305" s="7" t="s">
        <v>1291</v>
      </c>
    </row>
    <row r="2306">
      <c r="A2306" s="5" t="s">
        <v>3088</v>
      </c>
      <c r="B2306" s="8">
        <v>6.0</v>
      </c>
      <c r="C2306" s="4" t="s">
        <v>619</v>
      </c>
      <c r="D2306" s="7" t="s">
        <v>888</v>
      </c>
      <c r="E2306" s="5" t="s">
        <v>3096</v>
      </c>
      <c r="F2306" s="7" t="s">
        <v>864</v>
      </c>
    </row>
    <row r="2307">
      <c r="A2307" s="5" t="s">
        <v>2595</v>
      </c>
      <c r="B2307" s="8">
        <v>6.0</v>
      </c>
      <c r="C2307" s="4" t="s">
        <v>619</v>
      </c>
      <c r="D2307" s="7" t="s">
        <v>888</v>
      </c>
      <c r="E2307" s="5" t="s">
        <v>3096</v>
      </c>
      <c r="F2307" s="7" t="s">
        <v>862</v>
      </c>
    </row>
    <row r="2308">
      <c r="A2308" s="5" t="s">
        <v>3089</v>
      </c>
      <c r="B2308" s="8">
        <v>6.0</v>
      </c>
      <c r="C2308" s="4" t="s">
        <v>619</v>
      </c>
      <c r="D2308" s="7" t="s">
        <v>888</v>
      </c>
      <c r="E2308" s="5" t="s">
        <v>3096</v>
      </c>
      <c r="F2308" s="7" t="s">
        <v>1291</v>
      </c>
    </row>
    <row r="2309">
      <c r="A2309" s="5" t="s">
        <v>2597</v>
      </c>
      <c r="B2309" s="8">
        <v>6.0</v>
      </c>
      <c r="C2309" s="4" t="s">
        <v>619</v>
      </c>
      <c r="D2309" s="7" t="s">
        <v>888</v>
      </c>
      <c r="E2309" s="5" t="s">
        <v>3096</v>
      </c>
      <c r="F2309" s="7" t="s">
        <v>1291</v>
      </c>
    </row>
    <row r="2310">
      <c r="A2310" s="7" t="s">
        <v>8</v>
      </c>
      <c r="B2310" s="8">
        <v>6.0</v>
      </c>
      <c r="C2310" s="4" t="s">
        <v>619</v>
      </c>
      <c r="D2310" s="7" t="s">
        <v>888</v>
      </c>
      <c r="E2310" s="5" t="s">
        <v>3096</v>
      </c>
      <c r="F2310" s="7" t="s">
        <v>862</v>
      </c>
    </row>
    <row r="2311">
      <c r="A2311" s="5" t="s">
        <v>2798</v>
      </c>
      <c r="B2311" s="8">
        <v>6.0</v>
      </c>
      <c r="C2311" s="4" t="s">
        <v>619</v>
      </c>
      <c r="D2311" s="7" t="s">
        <v>888</v>
      </c>
      <c r="E2311" s="5" t="s">
        <v>3096</v>
      </c>
      <c r="F2311" s="7" t="s">
        <v>864</v>
      </c>
    </row>
    <row r="2312">
      <c r="A2312" s="5" t="s">
        <v>2702</v>
      </c>
      <c r="B2312" s="8">
        <v>6.0</v>
      </c>
      <c r="C2312" s="4" t="s">
        <v>619</v>
      </c>
      <c r="D2312" s="7" t="s">
        <v>888</v>
      </c>
      <c r="E2312" s="5" t="s">
        <v>3096</v>
      </c>
      <c r="F2312" s="7" t="s">
        <v>1291</v>
      </c>
    </row>
    <row r="2313">
      <c r="A2313" s="5" t="s">
        <v>2599</v>
      </c>
      <c r="B2313" s="8">
        <v>6.0</v>
      </c>
      <c r="C2313" s="4" t="s">
        <v>619</v>
      </c>
      <c r="D2313" s="7" t="s">
        <v>888</v>
      </c>
      <c r="E2313" s="5" t="s">
        <v>3096</v>
      </c>
      <c r="F2313" s="7" t="s">
        <v>863</v>
      </c>
    </row>
    <row r="2314">
      <c r="A2314" s="5" t="s">
        <v>2600</v>
      </c>
      <c r="B2314" s="8">
        <v>6.0</v>
      </c>
      <c r="C2314" s="4" t="s">
        <v>619</v>
      </c>
      <c r="D2314" s="7" t="s">
        <v>888</v>
      </c>
      <c r="E2314" s="5" t="s">
        <v>3096</v>
      </c>
      <c r="F2314" s="7" t="s">
        <v>1291</v>
      </c>
    </row>
    <row r="2315">
      <c r="A2315" s="5" t="s">
        <v>3090</v>
      </c>
      <c r="B2315" s="8">
        <v>6.0</v>
      </c>
      <c r="C2315" s="4" t="s">
        <v>619</v>
      </c>
      <c r="D2315" s="7" t="s">
        <v>888</v>
      </c>
      <c r="E2315" s="5" t="s">
        <v>3096</v>
      </c>
      <c r="F2315" s="7" t="s">
        <v>865</v>
      </c>
    </row>
    <row r="2316">
      <c r="A2316" s="7" t="s">
        <v>873</v>
      </c>
      <c r="B2316" s="8">
        <v>6.0</v>
      </c>
      <c r="C2316" s="4" t="s">
        <v>619</v>
      </c>
      <c r="D2316" s="7" t="s">
        <v>888</v>
      </c>
      <c r="E2316" s="5" t="s">
        <v>3096</v>
      </c>
      <c r="F2316" s="7" t="s">
        <v>864</v>
      </c>
    </row>
    <row r="2317">
      <c r="A2317" s="5" t="s">
        <v>2602</v>
      </c>
      <c r="B2317" s="8">
        <v>6.0</v>
      </c>
      <c r="C2317" s="4" t="s">
        <v>619</v>
      </c>
      <c r="D2317" s="7" t="s">
        <v>888</v>
      </c>
      <c r="E2317" s="5" t="s">
        <v>3096</v>
      </c>
      <c r="F2317" s="7" t="s">
        <v>1290</v>
      </c>
    </row>
    <row r="2318">
      <c r="A2318" s="5" t="s">
        <v>2603</v>
      </c>
      <c r="B2318" s="8">
        <v>6.0</v>
      </c>
      <c r="C2318" s="4" t="s">
        <v>619</v>
      </c>
      <c r="D2318" s="7" t="s">
        <v>888</v>
      </c>
      <c r="E2318" s="5" t="s">
        <v>3096</v>
      </c>
      <c r="F2318" s="7" t="s">
        <v>863</v>
      </c>
    </row>
    <row r="2319">
      <c r="A2319" s="7" t="s">
        <v>874</v>
      </c>
      <c r="B2319" s="8">
        <v>6.0</v>
      </c>
      <c r="C2319" s="4" t="s">
        <v>619</v>
      </c>
      <c r="D2319" s="7" t="s">
        <v>888</v>
      </c>
      <c r="E2319" s="5" t="s">
        <v>3096</v>
      </c>
      <c r="F2319" s="7" t="s">
        <v>864</v>
      </c>
    </row>
    <row r="2320">
      <c r="A2320" s="5" t="s">
        <v>2604</v>
      </c>
      <c r="B2320" s="8">
        <v>6.0</v>
      </c>
      <c r="C2320" s="4" t="s">
        <v>619</v>
      </c>
      <c r="D2320" s="7" t="s">
        <v>888</v>
      </c>
      <c r="E2320" s="5" t="s">
        <v>3096</v>
      </c>
      <c r="F2320" s="7" t="s">
        <v>864</v>
      </c>
    </row>
    <row r="2321">
      <c r="A2321" s="5" t="s">
        <v>3091</v>
      </c>
      <c r="B2321" s="8">
        <v>6.0</v>
      </c>
      <c r="C2321" s="4" t="s">
        <v>619</v>
      </c>
      <c r="D2321" s="7" t="s">
        <v>888</v>
      </c>
      <c r="E2321" s="5" t="s">
        <v>3096</v>
      </c>
      <c r="F2321" s="7" t="s">
        <v>1290</v>
      </c>
    </row>
    <row r="2322">
      <c r="A2322" s="5" t="s">
        <v>2605</v>
      </c>
      <c r="B2322" s="8">
        <v>6.0</v>
      </c>
      <c r="C2322" s="4" t="s">
        <v>619</v>
      </c>
      <c r="D2322" s="7" t="s">
        <v>888</v>
      </c>
      <c r="E2322" s="5" t="s">
        <v>3096</v>
      </c>
      <c r="F2322" s="7" t="s">
        <v>1290</v>
      </c>
    </row>
    <row r="2323">
      <c r="A2323" s="5" t="s">
        <v>2933</v>
      </c>
      <c r="B2323" s="8">
        <v>6.0</v>
      </c>
      <c r="C2323" s="4" t="s">
        <v>619</v>
      </c>
      <c r="D2323" s="7" t="s">
        <v>888</v>
      </c>
      <c r="E2323" s="5" t="s">
        <v>3096</v>
      </c>
      <c r="F2323" s="7" t="s">
        <v>862</v>
      </c>
    </row>
    <row r="2324">
      <c r="A2324" s="5" t="s">
        <v>2606</v>
      </c>
      <c r="B2324" s="8">
        <v>6.0</v>
      </c>
      <c r="C2324" s="4" t="s">
        <v>619</v>
      </c>
      <c r="D2324" s="7" t="s">
        <v>888</v>
      </c>
      <c r="E2324" s="5" t="s">
        <v>3096</v>
      </c>
      <c r="F2324" s="7" t="s">
        <v>1290</v>
      </c>
    </row>
    <row r="2325">
      <c r="A2325" s="5" t="s">
        <v>2934</v>
      </c>
      <c r="B2325" s="8">
        <v>6.0</v>
      </c>
      <c r="C2325" s="4" t="s">
        <v>619</v>
      </c>
      <c r="D2325" s="7" t="s">
        <v>888</v>
      </c>
      <c r="E2325" s="5" t="s">
        <v>3096</v>
      </c>
      <c r="F2325" s="7" t="s">
        <v>1292</v>
      </c>
    </row>
    <row r="2326">
      <c r="A2326" s="5" t="s">
        <v>2607</v>
      </c>
      <c r="B2326" s="8">
        <v>6.0</v>
      </c>
      <c r="C2326" s="4" t="s">
        <v>619</v>
      </c>
      <c r="D2326" s="7" t="s">
        <v>888</v>
      </c>
      <c r="E2326" s="5" t="s">
        <v>3096</v>
      </c>
      <c r="F2326" s="7" t="s">
        <v>865</v>
      </c>
    </row>
    <row r="2327">
      <c r="A2327" s="7" t="s">
        <v>876</v>
      </c>
      <c r="B2327" s="8">
        <v>6.0</v>
      </c>
      <c r="C2327" s="4" t="s">
        <v>619</v>
      </c>
      <c r="D2327" s="7" t="s">
        <v>888</v>
      </c>
      <c r="E2327" s="5" t="s">
        <v>3096</v>
      </c>
      <c r="F2327" s="7" t="s">
        <v>1291</v>
      </c>
    </row>
    <row r="2328">
      <c r="A2328" s="5" t="s">
        <v>3092</v>
      </c>
      <c r="B2328" s="8">
        <v>6.0</v>
      </c>
      <c r="C2328" s="4" t="s">
        <v>619</v>
      </c>
      <c r="D2328" s="7" t="s">
        <v>888</v>
      </c>
      <c r="E2328" s="5" t="s">
        <v>3096</v>
      </c>
      <c r="F2328" s="7" t="s">
        <v>1290</v>
      </c>
    </row>
    <row r="2329">
      <c r="A2329" s="5" t="s">
        <v>2614</v>
      </c>
      <c r="B2329" s="8">
        <v>6.0</v>
      </c>
      <c r="C2329" s="4" t="s">
        <v>619</v>
      </c>
      <c r="D2329" s="7" t="s">
        <v>888</v>
      </c>
      <c r="E2329" s="5" t="s">
        <v>3096</v>
      </c>
      <c r="F2329" s="7" t="s">
        <v>864</v>
      </c>
    </row>
    <row r="2330">
      <c r="A2330" s="5" t="s">
        <v>2608</v>
      </c>
      <c r="B2330" s="8">
        <v>6.0</v>
      </c>
      <c r="C2330" s="4" t="s">
        <v>619</v>
      </c>
      <c r="D2330" s="7" t="s">
        <v>888</v>
      </c>
      <c r="E2330" s="5" t="s">
        <v>3096</v>
      </c>
      <c r="F2330" s="7" t="s">
        <v>864</v>
      </c>
    </row>
    <row r="2331">
      <c r="A2331" s="5" t="s">
        <v>2609</v>
      </c>
      <c r="B2331" s="8">
        <v>6.0</v>
      </c>
      <c r="C2331" s="4" t="s">
        <v>619</v>
      </c>
      <c r="D2331" s="7" t="s">
        <v>888</v>
      </c>
      <c r="E2331" s="5" t="s">
        <v>3096</v>
      </c>
      <c r="F2331" s="7" t="s">
        <v>1291</v>
      </c>
    </row>
    <row r="2332">
      <c r="A2332" s="5" t="s">
        <v>2922</v>
      </c>
      <c r="B2332" s="8">
        <v>6.0</v>
      </c>
      <c r="C2332" s="4" t="s">
        <v>621</v>
      </c>
      <c r="D2332" s="7" t="s">
        <v>890</v>
      </c>
      <c r="E2332" s="5" t="s">
        <v>3097</v>
      </c>
      <c r="F2332" s="7" t="s">
        <v>1290</v>
      </c>
    </row>
    <row r="2333">
      <c r="A2333" s="7" t="s">
        <v>188</v>
      </c>
      <c r="B2333" s="8">
        <v>6.0</v>
      </c>
      <c r="C2333" s="4" t="s">
        <v>621</v>
      </c>
      <c r="D2333" s="7" t="s">
        <v>890</v>
      </c>
      <c r="E2333" s="5" t="s">
        <v>3097</v>
      </c>
      <c r="F2333" s="7" t="s">
        <v>864</v>
      </c>
    </row>
    <row r="2334">
      <c r="A2334" s="5" t="s">
        <v>2592</v>
      </c>
      <c r="B2334" s="8">
        <v>6.0</v>
      </c>
      <c r="C2334" s="4" t="s">
        <v>621</v>
      </c>
      <c r="D2334" s="7" t="s">
        <v>890</v>
      </c>
      <c r="E2334" s="5" t="s">
        <v>3097</v>
      </c>
      <c r="F2334" s="7" t="s">
        <v>863</v>
      </c>
    </row>
    <row r="2335">
      <c r="A2335" s="5" t="s">
        <v>2796</v>
      </c>
      <c r="B2335" s="8">
        <v>6.0</v>
      </c>
      <c r="C2335" s="4" t="s">
        <v>621</v>
      </c>
      <c r="D2335" s="7" t="s">
        <v>890</v>
      </c>
      <c r="E2335" s="5" t="s">
        <v>3097</v>
      </c>
      <c r="F2335" s="7" t="s">
        <v>865</v>
      </c>
    </row>
    <row r="2336">
      <c r="A2336" s="5" t="s">
        <v>3085</v>
      </c>
      <c r="B2336" s="8">
        <v>6.0</v>
      </c>
      <c r="C2336" s="4" t="s">
        <v>621</v>
      </c>
      <c r="D2336" s="7" t="s">
        <v>890</v>
      </c>
      <c r="E2336" s="5" t="s">
        <v>3097</v>
      </c>
      <c r="F2336" s="7" t="s">
        <v>865</v>
      </c>
    </row>
    <row r="2337">
      <c r="A2337" s="5" t="s">
        <v>2594</v>
      </c>
      <c r="B2337" s="8">
        <v>6.0</v>
      </c>
      <c r="C2337" s="4" t="s">
        <v>621</v>
      </c>
      <c r="D2337" s="7" t="s">
        <v>890</v>
      </c>
      <c r="E2337" s="5" t="s">
        <v>3097</v>
      </c>
      <c r="F2337" s="7" t="s">
        <v>864</v>
      </c>
    </row>
    <row r="2338">
      <c r="A2338" s="5" t="s">
        <v>3086</v>
      </c>
      <c r="B2338" s="8">
        <v>6.0</v>
      </c>
      <c r="C2338" s="4" t="s">
        <v>621</v>
      </c>
      <c r="D2338" s="7" t="s">
        <v>890</v>
      </c>
      <c r="E2338" s="5" t="s">
        <v>3097</v>
      </c>
      <c r="F2338" s="7" t="s">
        <v>1291</v>
      </c>
    </row>
    <row r="2339">
      <c r="A2339" s="7" t="s">
        <v>868</v>
      </c>
      <c r="B2339" s="8">
        <v>6.0</v>
      </c>
      <c r="C2339" s="4" t="s">
        <v>621</v>
      </c>
      <c r="D2339" s="7" t="s">
        <v>890</v>
      </c>
      <c r="E2339" s="5" t="s">
        <v>3097</v>
      </c>
      <c r="F2339" s="7" t="s">
        <v>864</v>
      </c>
    </row>
    <row r="2340">
      <c r="A2340" s="7" t="s">
        <v>599</v>
      </c>
      <c r="B2340" s="8">
        <v>6.0</v>
      </c>
      <c r="C2340" s="4" t="s">
        <v>621</v>
      </c>
      <c r="D2340" s="7" t="s">
        <v>890</v>
      </c>
      <c r="E2340" s="5" t="s">
        <v>3097</v>
      </c>
      <c r="F2340" s="7" t="s">
        <v>1290</v>
      </c>
    </row>
    <row r="2341">
      <c r="A2341" s="5" t="s">
        <v>3087</v>
      </c>
      <c r="B2341" s="8">
        <v>6.0</v>
      </c>
      <c r="C2341" s="4" t="s">
        <v>621</v>
      </c>
      <c r="D2341" s="7" t="s">
        <v>890</v>
      </c>
      <c r="E2341" s="5" t="s">
        <v>3097</v>
      </c>
      <c r="F2341" s="7" t="s">
        <v>1291</v>
      </c>
    </row>
    <row r="2342">
      <c r="A2342" s="5" t="s">
        <v>3088</v>
      </c>
      <c r="B2342" s="8">
        <v>6.0</v>
      </c>
      <c r="C2342" s="4" t="s">
        <v>621</v>
      </c>
      <c r="D2342" s="7" t="s">
        <v>890</v>
      </c>
      <c r="E2342" s="5" t="s">
        <v>3097</v>
      </c>
      <c r="F2342" s="7" t="s">
        <v>864</v>
      </c>
    </row>
    <row r="2343">
      <c r="A2343" s="5" t="s">
        <v>2595</v>
      </c>
      <c r="B2343" s="8">
        <v>6.0</v>
      </c>
      <c r="C2343" s="4" t="s">
        <v>621</v>
      </c>
      <c r="D2343" s="7" t="s">
        <v>890</v>
      </c>
      <c r="E2343" s="5" t="s">
        <v>3097</v>
      </c>
      <c r="F2343" s="7" t="s">
        <v>862</v>
      </c>
    </row>
    <row r="2344">
      <c r="A2344" s="5" t="s">
        <v>3089</v>
      </c>
      <c r="B2344" s="8">
        <v>6.0</v>
      </c>
      <c r="C2344" s="4" t="s">
        <v>621</v>
      </c>
      <c r="D2344" s="7" t="s">
        <v>890</v>
      </c>
      <c r="E2344" s="5" t="s">
        <v>3097</v>
      </c>
      <c r="F2344" s="7" t="s">
        <v>1291</v>
      </c>
    </row>
    <row r="2345">
      <c r="A2345" s="5" t="s">
        <v>2597</v>
      </c>
      <c r="B2345" s="8">
        <v>6.0</v>
      </c>
      <c r="C2345" s="4" t="s">
        <v>621</v>
      </c>
      <c r="D2345" s="7" t="s">
        <v>890</v>
      </c>
      <c r="E2345" s="5" t="s">
        <v>3097</v>
      </c>
      <c r="F2345" s="7" t="s">
        <v>1291</v>
      </c>
    </row>
    <row r="2346">
      <c r="A2346" s="7" t="s">
        <v>8</v>
      </c>
      <c r="B2346" s="8">
        <v>6.0</v>
      </c>
      <c r="C2346" s="4" t="s">
        <v>621</v>
      </c>
      <c r="D2346" s="7" t="s">
        <v>890</v>
      </c>
      <c r="E2346" s="5" t="s">
        <v>3097</v>
      </c>
      <c r="F2346" s="7" t="s">
        <v>862</v>
      </c>
    </row>
    <row r="2347">
      <c r="A2347" s="5" t="s">
        <v>2798</v>
      </c>
      <c r="B2347" s="8">
        <v>6.0</v>
      </c>
      <c r="C2347" s="4" t="s">
        <v>621</v>
      </c>
      <c r="D2347" s="7" t="s">
        <v>890</v>
      </c>
      <c r="E2347" s="5" t="s">
        <v>3097</v>
      </c>
      <c r="F2347" s="7" t="s">
        <v>864</v>
      </c>
    </row>
    <row r="2348">
      <c r="A2348" s="5" t="s">
        <v>2702</v>
      </c>
      <c r="B2348" s="8">
        <v>6.0</v>
      </c>
      <c r="C2348" s="4" t="s">
        <v>621</v>
      </c>
      <c r="D2348" s="7" t="s">
        <v>890</v>
      </c>
      <c r="E2348" s="5" t="s">
        <v>3097</v>
      </c>
      <c r="F2348" s="7" t="s">
        <v>1291</v>
      </c>
    </row>
    <row r="2349">
      <c r="A2349" s="5" t="s">
        <v>2599</v>
      </c>
      <c r="B2349" s="8">
        <v>6.0</v>
      </c>
      <c r="C2349" s="4" t="s">
        <v>621</v>
      </c>
      <c r="D2349" s="7" t="s">
        <v>890</v>
      </c>
      <c r="E2349" s="5" t="s">
        <v>3097</v>
      </c>
      <c r="F2349" s="7" t="s">
        <v>863</v>
      </c>
    </row>
    <row r="2350">
      <c r="A2350" s="5" t="s">
        <v>2600</v>
      </c>
      <c r="B2350" s="8">
        <v>6.0</v>
      </c>
      <c r="C2350" s="4" t="s">
        <v>621</v>
      </c>
      <c r="D2350" s="7" t="s">
        <v>890</v>
      </c>
      <c r="E2350" s="5" t="s">
        <v>3097</v>
      </c>
      <c r="F2350" s="7" t="s">
        <v>1291</v>
      </c>
    </row>
    <row r="2351">
      <c r="A2351" s="5" t="s">
        <v>3090</v>
      </c>
      <c r="B2351" s="8">
        <v>6.0</v>
      </c>
      <c r="C2351" s="4" t="s">
        <v>621</v>
      </c>
      <c r="D2351" s="7" t="s">
        <v>890</v>
      </c>
      <c r="E2351" s="5" t="s">
        <v>3097</v>
      </c>
      <c r="F2351" s="7" t="s">
        <v>865</v>
      </c>
    </row>
    <row r="2352">
      <c r="A2352" s="7" t="s">
        <v>873</v>
      </c>
      <c r="B2352" s="8">
        <v>6.0</v>
      </c>
      <c r="C2352" s="4" t="s">
        <v>621</v>
      </c>
      <c r="D2352" s="7" t="s">
        <v>890</v>
      </c>
      <c r="E2352" s="5" t="s">
        <v>3097</v>
      </c>
      <c r="F2352" s="7" t="s">
        <v>864</v>
      </c>
    </row>
    <row r="2353">
      <c r="A2353" s="5" t="s">
        <v>2602</v>
      </c>
      <c r="B2353" s="8">
        <v>6.0</v>
      </c>
      <c r="C2353" s="4" t="s">
        <v>621</v>
      </c>
      <c r="D2353" s="7" t="s">
        <v>890</v>
      </c>
      <c r="E2353" s="5" t="s">
        <v>3097</v>
      </c>
      <c r="F2353" s="7" t="s">
        <v>1290</v>
      </c>
    </row>
    <row r="2354">
      <c r="A2354" s="5" t="s">
        <v>2603</v>
      </c>
      <c r="B2354" s="8">
        <v>6.0</v>
      </c>
      <c r="C2354" s="4" t="s">
        <v>621</v>
      </c>
      <c r="D2354" s="7" t="s">
        <v>890</v>
      </c>
      <c r="E2354" s="5" t="s">
        <v>3097</v>
      </c>
      <c r="F2354" s="7" t="s">
        <v>863</v>
      </c>
    </row>
    <row r="2355">
      <c r="A2355" s="7" t="s">
        <v>874</v>
      </c>
      <c r="B2355" s="8">
        <v>6.0</v>
      </c>
      <c r="C2355" s="4" t="s">
        <v>621</v>
      </c>
      <c r="D2355" s="7" t="s">
        <v>890</v>
      </c>
      <c r="E2355" s="5" t="s">
        <v>3097</v>
      </c>
      <c r="F2355" s="7" t="s">
        <v>864</v>
      </c>
    </row>
    <row r="2356">
      <c r="A2356" s="5" t="s">
        <v>2604</v>
      </c>
      <c r="B2356" s="8">
        <v>6.0</v>
      </c>
      <c r="C2356" s="4" t="s">
        <v>621</v>
      </c>
      <c r="D2356" s="7" t="s">
        <v>890</v>
      </c>
      <c r="E2356" s="5" t="s">
        <v>3097</v>
      </c>
      <c r="F2356" s="7" t="s">
        <v>864</v>
      </c>
    </row>
    <row r="2357">
      <c r="A2357" s="5" t="s">
        <v>3091</v>
      </c>
      <c r="B2357" s="8">
        <v>6.0</v>
      </c>
      <c r="C2357" s="4" t="s">
        <v>621</v>
      </c>
      <c r="D2357" s="7" t="s">
        <v>890</v>
      </c>
      <c r="E2357" s="5" t="s">
        <v>3097</v>
      </c>
      <c r="F2357" s="7" t="s">
        <v>1290</v>
      </c>
    </row>
    <row r="2358">
      <c r="A2358" s="5" t="s">
        <v>2605</v>
      </c>
      <c r="B2358" s="8">
        <v>6.0</v>
      </c>
      <c r="C2358" s="4" t="s">
        <v>621</v>
      </c>
      <c r="D2358" s="7" t="s">
        <v>890</v>
      </c>
      <c r="E2358" s="5" t="s">
        <v>3097</v>
      </c>
      <c r="F2358" s="7" t="s">
        <v>1290</v>
      </c>
    </row>
    <row r="2359">
      <c r="A2359" s="5" t="s">
        <v>2933</v>
      </c>
      <c r="B2359" s="8">
        <v>6.0</v>
      </c>
      <c r="C2359" s="4" t="s">
        <v>621</v>
      </c>
      <c r="D2359" s="7" t="s">
        <v>890</v>
      </c>
      <c r="E2359" s="5" t="s">
        <v>3097</v>
      </c>
      <c r="F2359" s="7" t="s">
        <v>862</v>
      </c>
    </row>
    <row r="2360">
      <c r="A2360" s="5" t="s">
        <v>2606</v>
      </c>
      <c r="B2360" s="8">
        <v>6.0</v>
      </c>
      <c r="C2360" s="4" t="s">
        <v>621</v>
      </c>
      <c r="D2360" s="7" t="s">
        <v>890</v>
      </c>
      <c r="E2360" s="5" t="s">
        <v>3097</v>
      </c>
      <c r="F2360" s="7" t="s">
        <v>1290</v>
      </c>
    </row>
    <row r="2361">
      <c r="A2361" s="5" t="s">
        <v>2934</v>
      </c>
      <c r="B2361" s="8">
        <v>6.0</v>
      </c>
      <c r="C2361" s="4" t="s">
        <v>621</v>
      </c>
      <c r="D2361" s="7" t="s">
        <v>890</v>
      </c>
      <c r="E2361" s="5" t="s">
        <v>3097</v>
      </c>
      <c r="F2361" s="7" t="s">
        <v>1292</v>
      </c>
    </row>
    <row r="2362">
      <c r="A2362" s="5" t="s">
        <v>2607</v>
      </c>
      <c r="B2362" s="8">
        <v>6.0</v>
      </c>
      <c r="C2362" s="4" t="s">
        <v>621</v>
      </c>
      <c r="D2362" s="7" t="s">
        <v>890</v>
      </c>
      <c r="E2362" s="5" t="s">
        <v>3097</v>
      </c>
      <c r="F2362" s="7" t="s">
        <v>865</v>
      </c>
    </row>
    <row r="2363">
      <c r="A2363" s="7" t="s">
        <v>876</v>
      </c>
      <c r="B2363" s="8">
        <v>6.0</v>
      </c>
      <c r="C2363" s="4" t="s">
        <v>621</v>
      </c>
      <c r="D2363" s="7" t="s">
        <v>890</v>
      </c>
      <c r="E2363" s="5" t="s">
        <v>3097</v>
      </c>
      <c r="F2363" s="7" t="s">
        <v>1291</v>
      </c>
    </row>
    <row r="2364">
      <c r="A2364" s="5" t="s">
        <v>3092</v>
      </c>
      <c r="B2364" s="8">
        <v>6.0</v>
      </c>
      <c r="C2364" s="4" t="s">
        <v>621</v>
      </c>
      <c r="D2364" s="7" t="s">
        <v>890</v>
      </c>
      <c r="E2364" s="5" t="s">
        <v>3097</v>
      </c>
      <c r="F2364" s="7" t="s">
        <v>1290</v>
      </c>
    </row>
    <row r="2365">
      <c r="A2365" s="5" t="s">
        <v>2614</v>
      </c>
      <c r="B2365" s="8">
        <v>6.0</v>
      </c>
      <c r="C2365" s="4" t="s">
        <v>621</v>
      </c>
      <c r="D2365" s="7" t="s">
        <v>890</v>
      </c>
      <c r="E2365" s="5" t="s">
        <v>3097</v>
      </c>
      <c r="F2365" s="7" t="s">
        <v>864</v>
      </c>
    </row>
    <row r="2366">
      <c r="A2366" s="5" t="s">
        <v>2608</v>
      </c>
      <c r="B2366" s="8">
        <v>6.0</v>
      </c>
      <c r="C2366" s="4" t="s">
        <v>621</v>
      </c>
      <c r="D2366" s="7" t="s">
        <v>890</v>
      </c>
      <c r="E2366" s="5" t="s">
        <v>3097</v>
      </c>
      <c r="F2366" s="7" t="s">
        <v>864</v>
      </c>
    </row>
    <row r="2367">
      <c r="A2367" s="5" t="s">
        <v>2609</v>
      </c>
      <c r="B2367" s="8">
        <v>6.0</v>
      </c>
      <c r="C2367" s="4" t="s">
        <v>621</v>
      </c>
      <c r="D2367" s="7" t="s">
        <v>890</v>
      </c>
      <c r="E2367" s="5" t="s">
        <v>3097</v>
      </c>
      <c r="F2367" s="7" t="s">
        <v>1291</v>
      </c>
    </row>
    <row r="2368">
      <c r="A2368" s="5" t="s">
        <v>2922</v>
      </c>
      <c r="B2368" s="8">
        <v>6.0</v>
      </c>
      <c r="C2368" s="4" t="s">
        <v>20</v>
      </c>
      <c r="D2368" s="5" t="s">
        <v>2799</v>
      </c>
      <c r="E2368" s="5" t="s">
        <v>3098</v>
      </c>
      <c r="F2368" s="5" t="s">
        <v>2687</v>
      </c>
    </row>
    <row r="2369">
      <c r="A2369" s="7" t="s">
        <v>188</v>
      </c>
      <c r="B2369" s="8">
        <v>6.0</v>
      </c>
      <c r="C2369" s="4" t="s">
        <v>20</v>
      </c>
      <c r="D2369" s="5" t="s">
        <v>2799</v>
      </c>
      <c r="E2369" s="5" t="s">
        <v>3098</v>
      </c>
      <c r="F2369" s="5" t="s">
        <v>2705</v>
      </c>
    </row>
    <row r="2370">
      <c r="A2370" s="5" t="s">
        <v>2592</v>
      </c>
      <c r="B2370" s="8">
        <v>6.0</v>
      </c>
      <c r="C2370" s="4" t="s">
        <v>20</v>
      </c>
      <c r="D2370" s="5" t="s">
        <v>2799</v>
      </c>
      <c r="E2370" s="5" t="s">
        <v>3098</v>
      </c>
      <c r="F2370" s="5" t="s">
        <v>2687</v>
      </c>
    </row>
    <row r="2371">
      <c r="A2371" s="5" t="s">
        <v>2796</v>
      </c>
      <c r="B2371" s="8">
        <v>6.0</v>
      </c>
      <c r="C2371" s="4" t="s">
        <v>20</v>
      </c>
      <c r="D2371" s="5" t="s">
        <v>2799</v>
      </c>
      <c r="E2371" s="5" t="s">
        <v>3098</v>
      </c>
      <c r="F2371" s="5" t="s">
        <v>2705</v>
      </c>
    </row>
    <row r="2372">
      <c r="A2372" s="5" t="s">
        <v>3085</v>
      </c>
      <c r="B2372" s="8">
        <v>6.0</v>
      </c>
      <c r="C2372" s="4" t="s">
        <v>20</v>
      </c>
      <c r="D2372" s="5" t="s">
        <v>2799</v>
      </c>
      <c r="E2372" s="5" t="s">
        <v>3098</v>
      </c>
      <c r="F2372" s="5" t="s">
        <v>2705</v>
      </c>
    </row>
    <row r="2373">
      <c r="A2373" s="5" t="s">
        <v>2594</v>
      </c>
      <c r="B2373" s="8">
        <v>6.0</v>
      </c>
      <c r="C2373" s="4" t="s">
        <v>20</v>
      </c>
      <c r="D2373" s="5" t="s">
        <v>2799</v>
      </c>
      <c r="E2373" s="5" t="s">
        <v>3098</v>
      </c>
      <c r="F2373" s="5" t="s">
        <v>2705</v>
      </c>
    </row>
    <row r="2374">
      <c r="A2374" s="5" t="s">
        <v>3086</v>
      </c>
      <c r="B2374" s="8">
        <v>6.0</v>
      </c>
      <c r="C2374" s="4" t="s">
        <v>20</v>
      </c>
      <c r="D2374" s="5" t="s">
        <v>2799</v>
      </c>
      <c r="E2374" s="5" t="s">
        <v>3098</v>
      </c>
      <c r="F2374" s="5" t="s">
        <v>2705</v>
      </c>
    </row>
    <row r="2375">
      <c r="A2375" s="7" t="s">
        <v>868</v>
      </c>
      <c r="B2375" s="8">
        <v>6.0</v>
      </c>
      <c r="C2375" s="4" t="s">
        <v>20</v>
      </c>
      <c r="D2375" s="5" t="s">
        <v>2799</v>
      </c>
      <c r="E2375" s="5" t="s">
        <v>3098</v>
      </c>
      <c r="F2375" s="5" t="s">
        <v>2705</v>
      </c>
    </row>
    <row r="2376">
      <c r="A2376" s="7" t="s">
        <v>599</v>
      </c>
      <c r="B2376" s="8">
        <v>6.0</v>
      </c>
      <c r="C2376" s="4" t="s">
        <v>20</v>
      </c>
      <c r="D2376" s="5" t="s">
        <v>2799</v>
      </c>
      <c r="E2376" s="5" t="s">
        <v>3098</v>
      </c>
      <c r="F2376" s="5" t="s">
        <v>2687</v>
      </c>
    </row>
    <row r="2377">
      <c r="A2377" s="5" t="s">
        <v>3087</v>
      </c>
      <c r="B2377" s="8">
        <v>6.0</v>
      </c>
      <c r="C2377" s="4" t="s">
        <v>20</v>
      </c>
      <c r="D2377" s="5" t="s">
        <v>2799</v>
      </c>
      <c r="E2377" s="5" t="s">
        <v>3098</v>
      </c>
      <c r="F2377" s="5" t="s">
        <v>2687</v>
      </c>
    </row>
    <row r="2378">
      <c r="A2378" s="5" t="s">
        <v>3088</v>
      </c>
      <c r="B2378" s="8">
        <v>6.0</v>
      </c>
      <c r="C2378" s="4" t="s">
        <v>20</v>
      </c>
      <c r="D2378" s="5" t="s">
        <v>2799</v>
      </c>
      <c r="E2378" s="5" t="s">
        <v>3098</v>
      </c>
      <c r="F2378" s="5" t="s">
        <v>3099</v>
      </c>
    </row>
    <row r="2379">
      <c r="A2379" s="5" t="s">
        <v>2595</v>
      </c>
      <c r="B2379" s="8">
        <v>6.0</v>
      </c>
      <c r="C2379" s="4" t="s">
        <v>20</v>
      </c>
      <c r="D2379" s="5" t="s">
        <v>2799</v>
      </c>
      <c r="E2379" s="5" t="s">
        <v>3098</v>
      </c>
      <c r="F2379" s="5" t="s">
        <v>3100</v>
      </c>
    </row>
    <row r="2380">
      <c r="A2380" s="5" t="s">
        <v>3089</v>
      </c>
      <c r="B2380" s="8">
        <v>6.0</v>
      </c>
      <c r="C2380" s="4" t="s">
        <v>20</v>
      </c>
      <c r="D2380" s="5" t="s">
        <v>2799</v>
      </c>
      <c r="E2380" s="5" t="s">
        <v>3098</v>
      </c>
      <c r="F2380" s="5" t="s">
        <v>3101</v>
      </c>
    </row>
    <row r="2381">
      <c r="A2381" s="5" t="s">
        <v>2597</v>
      </c>
      <c r="B2381" s="8">
        <v>6.0</v>
      </c>
      <c r="C2381" s="4" t="s">
        <v>20</v>
      </c>
      <c r="D2381" s="5" t="s">
        <v>2799</v>
      </c>
      <c r="E2381" s="5" t="s">
        <v>3098</v>
      </c>
      <c r="F2381" s="5" t="s">
        <v>3102</v>
      </c>
    </row>
    <row r="2382">
      <c r="A2382" s="7" t="s">
        <v>8</v>
      </c>
      <c r="B2382" s="8">
        <v>6.0</v>
      </c>
      <c r="C2382" s="4" t="s">
        <v>20</v>
      </c>
      <c r="D2382" s="5" t="s">
        <v>2799</v>
      </c>
      <c r="E2382" s="5" t="s">
        <v>3098</v>
      </c>
      <c r="F2382" s="7" t="s">
        <v>900</v>
      </c>
    </row>
    <row r="2383">
      <c r="A2383" s="5" t="s">
        <v>2798</v>
      </c>
      <c r="B2383" s="8">
        <v>6.0</v>
      </c>
      <c r="C2383" s="4" t="s">
        <v>20</v>
      </c>
      <c r="D2383" s="5" t="s">
        <v>2799</v>
      </c>
      <c r="E2383" s="5" t="s">
        <v>3098</v>
      </c>
      <c r="F2383" s="5" t="s">
        <v>3103</v>
      </c>
    </row>
    <row r="2384">
      <c r="A2384" s="5" t="s">
        <v>2702</v>
      </c>
      <c r="B2384" s="8">
        <v>6.0</v>
      </c>
      <c r="C2384" s="4" t="s">
        <v>20</v>
      </c>
      <c r="D2384" s="5" t="s">
        <v>2799</v>
      </c>
      <c r="E2384" s="5" t="s">
        <v>3098</v>
      </c>
      <c r="F2384" s="5" t="s">
        <v>2705</v>
      </c>
    </row>
    <row r="2385">
      <c r="A2385" s="5" t="s">
        <v>2599</v>
      </c>
      <c r="B2385" s="8">
        <v>6.0</v>
      </c>
      <c r="C2385" s="4" t="s">
        <v>20</v>
      </c>
      <c r="D2385" s="5" t="s">
        <v>2799</v>
      </c>
      <c r="E2385" s="5" t="s">
        <v>3098</v>
      </c>
      <c r="F2385" s="5" t="s">
        <v>3104</v>
      </c>
    </row>
    <row r="2386">
      <c r="A2386" s="5" t="s">
        <v>2600</v>
      </c>
      <c r="B2386" s="8">
        <v>6.0</v>
      </c>
      <c r="C2386" s="4" t="s">
        <v>20</v>
      </c>
      <c r="D2386" s="5" t="s">
        <v>2799</v>
      </c>
      <c r="E2386" s="5" t="s">
        <v>3098</v>
      </c>
      <c r="F2386" s="5" t="s">
        <v>2705</v>
      </c>
    </row>
    <row r="2387">
      <c r="A2387" s="5" t="s">
        <v>3090</v>
      </c>
      <c r="B2387" s="8">
        <v>6.0</v>
      </c>
      <c r="C2387" s="4" t="s">
        <v>20</v>
      </c>
      <c r="D2387" s="5" t="s">
        <v>2799</v>
      </c>
      <c r="E2387" s="5" t="s">
        <v>3098</v>
      </c>
      <c r="F2387" s="5" t="s">
        <v>3105</v>
      </c>
    </row>
    <row r="2388">
      <c r="A2388" s="7" t="s">
        <v>873</v>
      </c>
      <c r="B2388" s="8">
        <v>6.0</v>
      </c>
      <c r="C2388" s="4" t="s">
        <v>20</v>
      </c>
      <c r="D2388" s="5" t="s">
        <v>2799</v>
      </c>
      <c r="E2388" s="5" t="s">
        <v>3098</v>
      </c>
      <c r="F2388" s="5" t="s">
        <v>2687</v>
      </c>
    </row>
    <row r="2389">
      <c r="A2389" s="5" t="s">
        <v>2602</v>
      </c>
      <c r="B2389" s="8">
        <v>6.0</v>
      </c>
      <c r="C2389" s="4" t="s">
        <v>20</v>
      </c>
      <c r="D2389" s="5" t="s">
        <v>2799</v>
      </c>
      <c r="E2389" s="5" t="s">
        <v>3098</v>
      </c>
      <c r="F2389" s="5" t="s">
        <v>3106</v>
      </c>
    </row>
    <row r="2390">
      <c r="A2390" s="5" t="s">
        <v>2603</v>
      </c>
      <c r="B2390" s="8">
        <v>6.0</v>
      </c>
      <c r="C2390" s="4" t="s">
        <v>20</v>
      </c>
      <c r="D2390" s="5" t="s">
        <v>2799</v>
      </c>
      <c r="E2390" s="5" t="s">
        <v>3098</v>
      </c>
      <c r="F2390" s="5" t="s">
        <v>3107</v>
      </c>
    </row>
    <row r="2391">
      <c r="A2391" s="7" t="s">
        <v>874</v>
      </c>
      <c r="B2391" s="8">
        <v>6.0</v>
      </c>
      <c r="C2391" s="4" t="s">
        <v>20</v>
      </c>
      <c r="D2391" s="5" t="s">
        <v>2799</v>
      </c>
      <c r="E2391" s="5" t="s">
        <v>3098</v>
      </c>
      <c r="F2391" s="5" t="s">
        <v>2705</v>
      </c>
    </row>
    <row r="2392">
      <c r="A2392" s="5" t="s">
        <v>2604</v>
      </c>
      <c r="B2392" s="8">
        <v>6.0</v>
      </c>
      <c r="C2392" s="4" t="s">
        <v>20</v>
      </c>
      <c r="D2392" s="5" t="s">
        <v>2799</v>
      </c>
      <c r="E2392" s="5" t="s">
        <v>3098</v>
      </c>
      <c r="F2392" s="5" t="s">
        <v>2687</v>
      </c>
    </row>
    <row r="2393">
      <c r="A2393" s="5" t="s">
        <v>3091</v>
      </c>
      <c r="B2393" s="8">
        <v>6.0</v>
      </c>
      <c r="C2393" s="4" t="s">
        <v>20</v>
      </c>
      <c r="D2393" s="5" t="s">
        <v>2799</v>
      </c>
      <c r="E2393" s="5" t="s">
        <v>3098</v>
      </c>
      <c r="F2393" s="5" t="s">
        <v>906</v>
      </c>
    </row>
    <row r="2394">
      <c r="A2394" s="5" t="s">
        <v>2605</v>
      </c>
      <c r="B2394" s="8">
        <v>6.0</v>
      </c>
      <c r="C2394" s="4" t="s">
        <v>20</v>
      </c>
      <c r="D2394" s="5" t="s">
        <v>2799</v>
      </c>
      <c r="E2394" s="5" t="s">
        <v>3098</v>
      </c>
      <c r="F2394" s="5" t="s">
        <v>537</v>
      </c>
    </row>
    <row r="2395">
      <c r="A2395" s="5" t="s">
        <v>2933</v>
      </c>
      <c r="B2395" s="8">
        <v>6.0</v>
      </c>
      <c r="C2395" s="4" t="s">
        <v>20</v>
      </c>
      <c r="D2395" s="5" t="s">
        <v>2799</v>
      </c>
      <c r="E2395" s="5" t="s">
        <v>3098</v>
      </c>
      <c r="F2395" s="5" t="s">
        <v>906</v>
      </c>
    </row>
    <row r="2396">
      <c r="A2396" s="5" t="s">
        <v>2606</v>
      </c>
      <c r="B2396" s="8">
        <v>6.0</v>
      </c>
      <c r="C2396" s="4" t="s">
        <v>20</v>
      </c>
      <c r="D2396" s="5" t="s">
        <v>2799</v>
      </c>
      <c r="E2396" s="5" t="s">
        <v>3098</v>
      </c>
      <c r="F2396" s="5" t="s">
        <v>906</v>
      </c>
    </row>
    <row r="2397">
      <c r="A2397" s="5" t="s">
        <v>2934</v>
      </c>
      <c r="B2397" s="8">
        <v>6.0</v>
      </c>
      <c r="C2397" s="4" t="s">
        <v>20</v>
      </c>
      <c r="D2397" s="5" t="s">
        <v>2799</v>
      </c>
      <c r="E2397" s="5" t="s">
        <v>3098</v>
      </c>
      <c r="F2397" s="5" t="s">
        <v>906</v>
      </c>
    </row>
    <row r="2398">
      <c r="A2398" s="5" t="s">
        <v>2607</v>
      </c>
      <c r="B2398" s="8">
        <v>6.0</v>
      </c>
      <c r="C2398" s="4" t="s">
        <v>20</v>
      </c>
      <c r="D2398" s="5" t="s">
        <v>2799</v>
      </c>
      <c r="E2398" s="5" t="s">
        <v>3098</v>
      </c>
      <c r="F2398" s="5" t="s">
        <v>906</v>
      </c>
    </row>
    <row r="2399">
      <c r="A2399" s="7" t="s">
        <v>876</v>
      </c>
      <c r="B2399" s="8">
        <v>6.0</v>
      </c>
      <c r="C2399" s="4" t="s">
        <v>20</v>
      </c>
      <c r="D2399" s="5" t="s">
        <v>2799</v>
      </c>
      <c r="E2399" s="5" t="s">
        <v>3098</v>
      </c>
      <c r="F2399" s="5" t="s">
        <v>3108</v>
      </c>
    </row>
    <row r="2400">
      <c r="A2400" s="5" t="s">
        <v>3092</v>
      </c>
      <c r="B2400" s="8">
        <v>6.0</v>
      </c>
      <c r="C2400" s="4" t="s">
        <v>20</v>
      </c>
      <c r="D2400" s="5" t="s">
        <v>2799</v>
      </c>
      <c r="E2400" s="5" t="s">
        <v>3098</v>
      </c>
      <c r="F2400" s="5" t="s">
        <v>906</v>
      </c>
    </row>
    <row r="2401">
      <c r="A2401" s="5" t="s">
        <v>2614</v>
      </c>
      <c r="B2401" s="8">
        <v>6.0</v>
      </c>
      <c r="C2401" s="4" t="s">
        <v>20</v>
      </c>
      <c r="D2401" s="5" t="s">
        <v>2799</v>
      </c>
      <c r="E2401" s="5" t="s">
        <v>3098</v>
      </c>
      <c r="F2401" s="7" t="s">
        <v>908</v>
      </c>
    </row>
    <row r="2402">
      <c r="A2402" s="5" t="s">
        <v>2608</v>
      </c>
      <c r="B2402" s="8">
        <v>6.0</v>
      </c>
      <c r="C2402" s="4" t="s">
        <v>20</v>
      </c>
      <c r="D2402" s="5" t="s">
        <v>2799</v>
      </c>
      <c r="E2402" s="5" t="s">
        <v>3098</v>
      </c>
      <c r="F2402" s="5" t="s">
        <v>906</v>
      </c>
    </row>
    <row r="2403">
      <c r="A2403" s="5" t="s">
        <v>2609</v>
      </c>
      <c r="B2403" s="8">
        <v>6.0</v>
      </c>
      <c r="C2403" s="4" t="s">
        <v>20</v>
      </c>
      <c r="D2403" s="5" t="s">
        <v>2799</v>
      </c>
      <c r="E2403" s="5" t="s">
        <v>3098</v>
      </c>
      <c r="F2403" s="5" t="s">
        <v>906</v>
      </c>
    </row>
    <row r="2404">
      <c r="A2404" s="5" t="s">
        <v>2922</v>
      </c>
      <c r="B2404" s="8">
        <v>6.0</v>
      </c>
      <c r="C2404" s="4" t="s">
        <v>35</v>
      </c>
      <c r="D2404" s="7" t="s">
        <v>909</v>
      </c>
      <c r="E2404" s="5" t="s">
        <v>3109</v>
      </c>
      <c r="F2404" s="5" t="s">
        <v>2670</v>
      </c>
    </row>
    <row r="2405">
      <c r="A2405" s="7" t="s">
        <v>188</v>
      </c>
      <c r="B2405" s="8">
        <v>6.0</v>
      </c>
      <c r="C2405" s="4" t="s">
        <v>35</v>
      </c>
      <c r="D2405" s="7" t="s">
        <v>909</v>
      </c>
      <c r="E2405" s="5" t="s">
        <v>3109</v>
      </c>
      <c r="F2405" s="5" t="s">
        <v>2820</v>
      </c>
    </row>
    <row r="2406">
      <c r="A2406" s="5" t="s">
        <v>2592</v>
      </c>
      <c r="B2406" s="8">
        <v>6.0</v>
      </c>
      <c r="C2406" s="4" t="s">
        <v>35</v>
      </c>
      <c r="D2406" s="7" t="s">
        <v>909</v>
      </c>
      <c r="E2406" s="5" t="s">
        <v>3109</v>
      </c>
      <c r="F2406" s="5" t="s">
        <v>2670</v>
      </c>
    </row>
    <row r="2407">
      <c r="A2407" s="5" t="s">
        <v>2796</v>
      </c>
      <c r="B2407" s="8">
        <v>6.0</v>
      </c>
      <c r="C2407" s="4" t="s">
        <v>35</v>
      </c>
      <c r="D2407" s="7" t="s">
        <v>909</v>
      </c>
      <c r="E2407" s="5" t="s">
        <v>3109</v>
      </c>
      <c r="F2407" s="5" t="s">
        <v>2820</v>
      </c>
    </row>
    <row r="2408">
      <c r="A2408" s="5" t="s">
        <v>3085</v>
      </c>
      <c r="B2408" s="8">
        <v>6.0</v>
      </c>
      <c r="C2408" s="4" t="s">
        <v>35</v>
      </c>
      <c r="D2408" s="7" t="s">
        <v>909</v>
      </c>
      <c r="E2408" s="5" t="s">
        <v>3109</v>
      </c>
      <c r="F2408" s="5" t="s">
        <v>2820</v>
      </c>
    </row>
    <row r="2409">
      <c r="A2409" s="5" t="s">
        <v>2594</v>
      </c>
      <c r="B2409" s="8">
        <v>6.0</v>
      </c>
      <c r="C2409" s="4" t="s">
        <v>35</v>
      </c>
      <c r="D2409" s="7" t="s">
        <v>909</v>
      </c>
      <c r="E2409" s="5" t="s">
        <v>3109</v>
      </c>
      <c r="F2409" s="5" t="s">
        <v>2820</v>
      </c>
    </row>
    <row r="2410">
      <c r="A2410" s="5" t="s">
        <v>3086</v>
      </c>
      <c r="B2410" s="8">
        <v>6.0</v>
      </c>
      <c r="C2410" s="4" t="s">
        <v>35</v>
      </c>
      <c r="D2410" s="7" t="s">
        <v>909</v>
      </c>
      <c r="E2410" s="5" t="s">
        <v>3109</v>
      </c>
      <c r="F2410" s="5" t="s">
        <v>3110</v>
      </c>
    </row>
    <row r="2411">
      <c r="A2411" s="7" t="s">
        <v>868</v>
      </c>
      <c r="B2411" s="8">
        <v>6.0</v>
      </c>
      <c r="C2411" s="4" t="s">
        <v>35</v>
      </c>
      <c r="D2411" s="7" t="s">
        <v>909</v>
      </c>
      <c r="E2411" s="5" t="s">
        <v>3109</v>
      </c>
      <c r="F2411" s="5" t="s">
        <v>2820</v>
      </c>
    </row>
    <row r="2412">
      <c r="A2412" s="7" t="s">
        <v>599</v>
      </c>
      <c r="B2412" s="8">
        <v>6.0</v>
      </c>
      <c r="C2412" s="4" t="s">
        <v>35</v>
      </c>
      <c r="D2412" s="7" t="s">
        <v>909</v>
      </c>
      <c r="E2412" s="5" t="s">
        <v>3109</v>
      </c>
      <c r="F2412" s="5" t="s">
        <v>3104</v>
      </c>
    </row>
    <row r="2413">
      <c r="A2413" s="5" t="s">
        <v>3087</v>
      </c>
      <c r="B2413" s="8">
        <v>6.0</v>
      </c>
      <c r="C2413" s="4" t="s">
        <v>35</v>
      </c>
      <c r="D2413" s="7" t="s">
        <v>909</v>
      </c>
      <c r="E2413" s="5" t="s">
        <v>3109</v>
      </c>
      <c r="F2413" s="5" t="s">
        <v>2670</v>
      </c>
    </row>
    <row r="2414">
      <c r="A2414" s="5" t="s">
        <v>3088</v>
      </c>
      <c r="B2414" s="8">
        <v>6.0</v>
      </c>
      <c r="C2414" s="4" t="s">
        <v>35</v>
      </c>
      <c r="D2414" s="7" t="s">
        <v>909</v>
      </c>
      <c r="E2414" s="5" t="s">
        <v>3109</v>
      </c>
      <c r="F2414" s="5" t="s">
        <v>3111</v>
      </c>
    </row>
    <row r="2415">
      <c r="A2415" s="5" t="s">
        <v>2595</v>
      </c>
      <c r="B2415" s="8">
        <v>6.0</v>
      </c>
      <c r="C2415" s="4" t="s">
        <v>35</v>
      </c>
      <c r="D2415" s="7" t="s">
        <v>909</v>
      </c>
      <c r="E2415" s="5" t="s">
        <v>3109</v>
      </c>
      <c r="F2415" s="5" t="s">
        <v>2670</v>
      </c>
    </row>
    <row r="2416">
      <c r="A2416" s="5" t="s">
        <v>3089</v>
      </c>
      <c r="B2416" s="8">
        <v>6.0</v>
      </c>
      <c r="C2416" s="4" t="s">
        <v>35</v>
      </c>
      <c r="D2416" s="7" t="s">
        <v>909</v>
      </c>
      <c r="E2416" s="5" t="s">
        <v>3109</v>
      </c>
      <c r="F2416" s="5" t="s">
        <v>3112</v>
      </c>
    </row>
    <row r="2417">
      <c r="A2417" s="5" t="s">
        <v>2597</v>
      </c>
      <c r="B2417" s="8">
        <v>6.0</v>
      </c>
      <c r="C2417" s="4" t="s">
        <v>35</v>
      </c>
      <c r="D2417" s="7" t="s">
        <v>909</v>
      </c>
      <c r="E2417" s="5" t="s">
        <v>3109</v>
      </c>
      <c r="F2417" s="5" t="s">
        <v>240</v>
      </c>
    </row>
    <row r="2418">
      <c r="A2418" s="7" t="s">
        <v>8</v>
      </c>
      <c r="B2418" s="8">
        <v>6.0</v>
      </c>
      <c r="C2418" s="4" t="s">
        <v>35</v>
      </c>
      <c r="D2418" s="7" t="s">
        <v>909</v>
      </c>
      <c r="E2418" s="5" t="s">
        <v>3109</v>
      </c>
      <c r="F2418" s="5" t="s">
        <v>240</v>
      </c>
    </row>
    <row r="2419">
      <c r="A2419" s="5" t="s">
        <v>2798</v>
      </c>
      <c r="B2419" s="8">
        <v>6.0</v>
      </c>
      <c r="C2419" s="4" t="s">
        <v>35</v>
      </c>
      <c r="D2419" s="7" t="s">
        <v>909</v>
      </c>
      <c r="E2419" s="5" t="s">
        <v>3109</v>
      </c>
      <c r="F2419" s="5" t="s">
        <v>3113</v>
      </c>
    </row>
    <row r="2420">
      <c r="A2420" s="5" t="s">
        <v>2702</v>
      </c>
      <c r="B2420" s="8">
        <v>6.0</v>
      </c>
      <c r="C2420" s="4" t="s">
        <v>35</v>
      </c>
      <c r="D2420" s="7" t="s">
        <v>909</v>
      </c>
      <c r="E2420" s="5" t="s">
        <v>3109</v>
      </c>
      <c r="F2420" s="5" t="s">
        <v>305</v>
      </c>
    </row>
    <row r="2421">
      <c r="A2421" s="5" t="s">
        <v>2599</v>
      </c>
      <c r="B2421" s="8">
        <v>6.0</v>
      </c>
      <c r="C2421" s="4" t="s">
        <v>35</v>
      </c>
      <c r="D2421" s="7" t="s">
        <v>909</v>
      </c>
      <c r="E2421" s="5" t="s">
        <v>3109</v>
      </c>
      <c r="F2421" s="5" t="s">
        <v>2670</v>
      </c>
    </row>
    <row r="2422">
      <c r="A2422" s="5" t="s">
        <v>2600</v>
      </c>
      <c r="B2422" s="8">
        <v>6.0</v>
      </c>
      <c r="C2422" s="4" t="s">
        <v>35</v>
      </c>
      <c r="D2422" s="7" t="s">
        <v>909</v>
      </c>
      <c r="E2422" s="5" t="s">
        <v>3109</v>
      </c>
      <c r="F2422" s="5" t="s">
        <v>305</v>
      </c>
    </row>
    <row r="2423">
      <c r="A2423" s="5" t="s">
        <v>3090</v>
      </c>
      <c r="B2423" s="8">
        <v>6.0</v>
      </c>
      <c r="C2423" s="4" t="s">
        <v>35</v>
      </c>
      <c r="D2423" s="7" t="s">
        <v>909</v>
      </c>
      <c r="E2423" s="5" t="s">
        <v>3109</v>
      </c>
      <c r="F2423" s="5" t="s">
        <v>2820</v>
      </c>
    </row>
    <row r="2424">
      <c r="A2424" s="7" t="s">
        <v>873</v>
      </c>
      <c r="B2424" s="8">
        <v>6.0</v>
      </c>
      <c r="C2424" s="4" t="s">
        <v>35</v>
      </c>
      <c r="D2424" s="7" t="s">
        <v>909</v>
      </c>
      <c r="E2424" s="5" t="s">
        <v>3109</v>
      </c>
      <c r="F2424" s="5" t="s">
        <v>2670</v>
      </c>
    </row>
    <row r="2425">
      <c r="A2425" s="5" t="s">
        <v>2602</v>
      </c>
      <c r="B2425" s="8">
        <v>6.0</v>
      </c>
      <c r="C2425" s="4" t="s">
        <v>35</v>
      </c>
      <c r="D2425" s="7" t="s">
        <v>909</v>
      </c>
      <c r="E2425" s="5" t="s">
        <v>3109</v>
      </c>
      <c r="F2425" s="5" t="s">
        <v>3114</v>
      </c>
    </row>
    <row r="2426">
      <c r="A2426" s="5" t="s">
        <v>2603</v>
      </c>
      <c r="B2426" s="8">
        <v>6.0</v>
      </c>
      <c r="C2426" s="4" t="s">
        <v>35</v>
      </c>
      <c r="D2426" s="7" t="s">
        <v>909</v>
      </c>
      <c r="E2426" s="5" t="s">
        <v>3109</v>
      </c>
      <c r="F2426" s="5" t="s">
        <v>3115</v>
      </c>
    </row>
    <row r="2427">
      <c r="A2427" s="7" t="s">
        <v>874</v>
      </c>
      <c r="B2427" s="8">
        <v>6.0</v>
      </c>
      <c r="C2427" s="4" t="s">
        <v>35</v>
      </c>
      <c r="D2427" s="7" t="s">
        <v>909</v>
      </c>
      <c r="E2427" s="5" t="s">
        <v>3109</v>
      </c>
      <c r="F2427" s="5" t="s">
        <v>305</v>
      </c>
    </row>
    <row r="2428">
      <c r="A2428" s="5" t="s">
        <v>2604</v>
      </c>
      <c r="B2428" s="8">
        <v>6.0</v>
      </c>
      <c r="C2428" s="4" t="s">
        <v>35</v>
      </c>
      <c r="D2428" s="7" t="s">
        <v>909</v>
      </c>
      <c r="E2428" s="5" t="s">
        <v>3109</v>
      </c>
      <c r="F2428" s="5" t="s">
        <v>2820</v>
      </c>
    </row>
    <row r="2429">
      <c r="A2429" s="5" t="s">
        <v>3091</v>
      </c>
      <c r="B2429" s="8">
        <v>6.0</v>
      </c>
      <c r="C2429" s="4" t="s">
        <v>35</v>
      </c>
      <c r="D2429" s="7" t="s">
        <v>909</v>
      </c>
      <c r="E2429" s="5" t="s">
        <v>3109</v>
      </c>
      <c r="F2429" s="5" t="s">
        <v>2820</v>
      </c>
    </row>
    <row r="2430">
      <c r="A2430" s="5" t="s">
        <v>2605</v>
      </c>
      <c r="B2430" s="8">
        <v>6.0</v>
      </c>
      <c r="C2430" s="4" t="s">
        <v>35</v>
      </c>
      <c r="D2430" s="7" t="s">
        <v>909</v>
      </c>
      <c r="E2430" s="5" t="s">
        <v>3109</v>
      </c>
      <c r="F2430" s="5" t="s">
        <v>2820</v>
      </c>
    </row>
    <row r="2431">
      <c r="A2431" s="5" t="s">
        <v>2933</v>
      </c>
      <c r="B2431" s="8">
        <v>6.0</v>
      </c>
      <c r="C2431" s="4" t="s">
        <v>35</v>
      </c>
      <c r="D2431" s="7" t="s">
        <v>909</v>
      </c>
      <c r="E2431" s="5" t="s">
        <v>3109</v>
      </c>
      <c r="F2431" s="5" t="s">
        <v>3116</v>
      </c>
    </row>
    <row r="2432">
      <c r="A2432" s="5" t="s">
        <v>2606</v>
      </c>
      <c r="B2432" s="8">
        <v>6.0</v>
      </c>
      <c r="C2432" s="4" t="s">
        <v>35</v>
      </c>
      <c r="D2432" s="7" t="s">
        <v>909</v>
      </c>
      <c r="E2432" s="5" t="s">
        <v>3109</v>
      </c>
      <c r="F2432" s="5" t="s">
        <v>240</v>
      </c>
    </row>
    <row r="2433">
      <c r="A2433" s="5" t="s">
        <v>2934</v>
      </c>
      <c r="B2433" s="8">
        <v>6.0</v>
      </c>
      <c r="C2433" s="4" t="s">
        <v>35</v>
      </c>
      <c r="D2433" s="7" t="s">
        <v>909</v>
      </c>
      <c r="E2433" s="5" t="s">
        <v>3109</v>
      </c>
      <c r="F2433" s="5" t="s">
        <v>304</v>
      </c>
    </row>
    <row r="2434">
      <c r="A2434" s="5" t="s">
        <v>2607</v>
      </c>
      <c r="B2434" s="8">
        <v>6.0</v>
      </c>
      <c r="C2434" s="4" t="s">
        <v>35</v>
      </c>
      <c r="D2434" s="7" t="s">
        <v>909</v>
      </c>
      <c r="E2434" s="5" t="s">
        <v>3109</v>
      </c>
      <c r="F2434" s="5" t="s">
        <v>240</v>
      </c>
    </row>
    <row r="2435">
      <c r="A2435" s="7" t="s">
        <v>876</v>
      </c>
      <c r="B2435" s="8">
        <v>6.0</v>
      </c>
      <c r="C2435" s="4" t="s">
        <v>35</v>
      </c>
      <c r="D2435" s="7" t="s">
        <v>909</v>
      </c>
      <c r="E2435" s="5" t="s">
        <v>3109</v>
      </c>
      <c r="F2435" s="5" t="s">
        <v>3112</v>
      </c>
    </row>
    <row r="2436">
      <c r="A2436" s="5" t="s">
        <v>3092</v>
      </c>
      <c r="B2436" s="8">
        <v>6.0</v>
      </c>
      <c r="C2436" s="4" t="s">
        <v>35</v>
      </c>
      <c r="D2436" s="7" t="s">
        <v>909</v>
      </c>
      <c r="E2436" s="5" t="s">
        <v>3109</v>
      </c>
      <c r="F2436" s="5" t="s">
        <v>240</v>
      </c>
    </row>
    <row r="2437">
      <c r="A2437" s="5" t="s">
        <v>2614</v>
      </c>
      <c r="B2437" s="8">
        <v>6.0</v>
      </c>
      <c r="C2437" s="4" t="s">
        <v>35</v>
      </c>
      <c r="D2437" s="7" t="s">
        <v>909</v>
      </c>
      <c r="E2437" s="5" t="s">
        <v>3109</v>
      </c>
      <c r="F2437" s="5" t="s">
        <v>2670</v>
      </c>
    </row>
    <row r="2438">
      <c r="A2438" s="5" t="s">
        <v>2608</v>
      </c>
      <c r="B2438" s="8">
        <v>6.0</v>
      </c>
      <c r="C2438" s="4" t="s">
        <v>35</v>
      </c>
      <c r="D2438" s="7" t="s">
        <v>909</v>
      </c>
      <c r="E2438" s="5" t="s">
        <v>3109</v>
      </c>
      <c r="F2438" s="5" t="s">
        <v>240</v>
      </c>
    </row>
    <row r="2439">
      <c r="A2439" s="5" t="s">
        <v>2609</v>
      </c>
      <c r="B2439" s="8">
        <v>6.0</v>
      </c>
      <c r="C2439" s="4" t="s">
        <v>35</v>
      </c>
      <c r="D2439" s="7" t="s">
        <v>909</v>
      </c>
      <c r="E2439" s="5" t="s">
        <v>3109</v>
      </c>
      <c r="F2439" s="5" t="s">
        <v>240</v>
      </c>
    </row>
    <row r="2440">
      <c r="A2440" s="5" t="s">
        <v>2922</v>
      </c>
      <c r="B2440" s="8">
        <v>6.0</v>
      </c>
      <c r="C2440" s="4" t="s">
        <v>918</v>
      </c>
      <c r="D2440" s="7" t="s">
        <v>919</v>
      </c>
      <c r="E2440" s="5" t="s">
        <v>3117</v>
      </c>
      <c r="F2440" s="5" t="s">
        <v>3118</v>
      </c>
    </row>
    <row r="2441">
      <c r="A2441" s="7" t="s">
        <v>188</v>
      </c>
      <c r="B2441" s="8">
        <v>6.0</v>
      </c>
      <c r="C2441" s="4" t="s">
        <v>918</v>
      </c>
      <c r="D2441" s="7" t="s">
        <v>919</v>
      </c>
      <c r="E2441" s="5" t="s">
        <v>3117</v>
      </c>
      <c r="F2441" s="5" t="s">
        <v>3119</v>
      </c>
    </row>
    <row r="2442">
      <c r="A2442" s="5" t="s">
        <v>2592</v>
      </c>
      <c r="B2442" s="8">
        <v>6.0</v>
      </c>
      <c r="C2442" s="4" t="s">
        <v>918</v>
      </c>
      <c r="D2442" s="7" t="s">
        <v>919</v>
      </c>
      <c r="E2442" s="5" t="s">
        <v>3117</v>
      </c>
      <c r="F2442" s="5" t="s">
        <v>3118</v>
      </c>
    </row>
    <row r="2443">
      <c r="A2443" s="5" t="s">
        <v>2796</v>
      </c>
      <c r="B2443" s="8">
        <v>6.0</v>
      </c>
      <c r="C2443" s="4" t="s">
        <v>918</v>
      </c>
      <c r="D2443" s="7" t="s">
        <v>919</v>
      </c>
      <c r="E2443" s="5" t="s">
        <v>3117</v>
      </c>
      <c r="F2443" s="5" t="s">
        <v>3119</v>
      </c>
    </row>
    <row r="2444">
      <c r="A2444" s="5" t="s">
        <v>3085</v>
      </c>
      <c r="B2444" s="8">
        <v>6.0</v>
      </c>
      <c r="C2444" s="4" t="s">
        <v>918</v>
      </c>
      <c r="D2444" s="7" t="s">
        <v>919</v>
      </c>
      <c r="E2444" s="5" t="s">
        <v>3117</v>
      </c>
      <c r="F2444" s="5" t="s">
        <v>3119</v>
      </c>
    </row>
    <row r="2445">
      <c r="A2445" s="5" t="s">
        <v>2594</v>
      </c>
      <c r="B2445" s="8">
        <v>6.0</v>
      </c>
      <c r="C2445" s="4" t="s">
        <v>918</v>
      </c>
      <c r="D2445" s="7" t="s">
        <v>919</v>
      </c>
      <c r="E2445" s="5" t="s">
        <v>3117</v>
      </c>
      <c r="F2445" s="5" t="s">
        <v>3119</v>
      </c>
    </row>
    <row r="2446">
      <c r="A2446" s="5" t="s">
        <v>3086</v>
      </c>
      <c r="B2446" s="8">
        <v>6.0</v>
      </c>
      <c r="C2446" s="4" t="s">
        <v>918</v>
      </c>
      <c r="D2446" s="7" t="s">
        <v>919</v>
      </c>
      <c r="E2446" s="5" t="s">
        <v>3117</v>
      </c>
      <c r="F2446" s="5" t="s">
        <v>3119</v>
      </c>
    </row>
    <row r="2447">
      <c r="A2447" s="7" t="s">
        <v>868</v>
      </c>
      <c r="B2447" s="8">
        <v>6.0</v>
      </c>
      <c r="C2447" s="4" t="s">
        <v>918</v>
      </c>
      <c r="D2447" s="7" t="s">
        <v>919</v>
      </c>
      <c r="E2447" s="5" t="s">
        <v>3117</v>
      </c>
      <c r="F2447" s="5" t="s">
        <v>3119</v>
      </c>
    </row>
    <row r="2448">
      <c r="A2448" s="7" t="s">
        <v>599</v>
      </c>
      <c r="B2448" s="8">
        <v>6.0</v>
      </c>
      <c r="C2448" s="4" t="s">
        <v>918</v>
      </c>
      <c r="D2448" s="7" t="s">
        <v>919</v>
      </c>
      <c r="E2448" s="5" t="s">
        <v>3117</v>
      </c>
      <c r="F2448" s="5" t="s">
        <v>3118</v>
      </c>
    </row>
    <row r="2449">
      <c r="A2449" s="5" t="s">
        <v>3087</v>
      </c>
      <c r="B2449" s="8">
        <v>6.0</v>
      </c>
      <c r="C2449" s="4" t="s">
        <v>918</v>
      </c>
      <c r="D2449" s="7" t="s">
        <v>919</v>
      </c>
      <c r="E2449" s="5" t="s">
        <v>3117</v>
      </c>
      <c r="F2449" s="5" t="s">
        <v>3118</v>
      </c>
    </row>
    <row r="2450">
      <c r="A2450" s="5" t="s">
        <v>3088</v>
      </c>
      <c r="B2450" s="8">
        <v>6.0</v>
      </c>
      <c r="C2450" s="4" t="s">
        <v>918</v>
      </c>
      <c r="D2450" s="7" t="s">
        <v>919</v>
      </c>
      <c r="E2450" s="5" t="s">
        <v>3117</v>
      </c>
      <c r="F2450" s="5" t="s">
        <v>3119</v>
      </c>
    </row>
    <row r="2451">
      <c r="A2451" s="5" t="s">
        <v>2595</v>
      </c>
      <c r="B2451" s="8">
        <v>6.0</v>
      </c>
      <c r="C2451" s="4" t="s">
        <v>918</v>
      </c>
      <c r="D2451" s="7" t="s">
        <v>919</v>
      </c>
      <c r="E2451" s="5" t="s">
        <v>3117</v>
      </c>
      <c r="F2451" s="5" t="s">
        <v>3118</v>
      </c>
    </row>
    <row r="2452">
      <c r="A2452" s="5" t="s">
        <v>3089</v>
      </c>
      <c r="B2452" s="8">
        <v>6.0</v>
      </c>
      <c r="C2452" s="4" t="s">
        <v>918</v>
      </c>
      <c r="D2452" s="7" t="s">
        <v>919</v>
      </c>
      <c r="E2452" s="5" t="s">
        <v>3117</v>
      </c>
      <c r="F2452" s="5" t="s">
        <v>3119</v>
      </c>
    </row>
    <row r="2453">
      <c r="A2453" s="5" t="s">
        <v>2597</v>
      </c>
      <c r="B2453" s="8">
        <v>6.0</v>
      </c>
      <c r="C2453" s="4" t="s">
        <v>918</v>
      </c>
      <c r="D2453" s="7" t="s">
        <v>919</v>
      </c>
      <c r="E2453" s="5" t="s">
        <v>3117</v>
      </c>
      <c r="F2453" s="5" t="s">
        <v>3118</v>
      </c>
    </row>
    <row r="2454">
      <c r="A2454" s="7" t="s">
        <v>8</v>
      </c>
      <c r="B2454" s="8">
        <v>6.0</v>
      </c>
      <c r="C2454" s="4" t="s">
        <v>918</v>
      </c>
      <c r="D2454" s="7" t="s">
        <v>919</v>
      </c>
      <c r="E2454" s="5" t="s">
        <v>3117</v>
      </c>
      <c r="F2454" s="5" t="s">
        <v>3120</v>
      </c>
    </row>
    <row r="2455">
      <c r="A2455" s="5" t="s">
        <v>2798</v>
      </c>
      <c r="B2455" s="8">
        <v>6.0</v>
      </c>
      <c r="C2455" s="4" t="s">
        <v>918</v>
      </c>
      <c r="D2455" s="7" t="s">
        <v>919</v>
      </c>
      <c r="E2455" s="5" t="s">
        <v>3117</v>
      </c>
      <c r="F2455" s="5" t="s">
        <v>3118</v>
      </c>
    </row>
    <row r="2456">
      <c r="A2456" s="5" t="s">
        <v>2702</v>
      </c>
      <c r="B2456" s="8">
        <v>6.0</v>
      </c>
      <c r="C2456" s="4" t="s">
        <v>918</v>
      </c>
      <c r="D2456" s="7" t="s">
        <v>919</v>
      </c>
      <c r="E2456" s="5" t="s">
        <v>3117</v>
      </c>
      <c r="F2456" s="5" t="s">
        <v>3119</v>
      </c>
    </row>
    <row r="2457">
      <c r="A2457" s="5" t="s">
        <v>2599</v>
      </c>
      <c r="B2457" s="8">
        <v>6.0</v>
      </c>
      <c r="C2457" s="4" t="s">
        <v>918</v>
      </c>
      <c r="D2457" s="7" t="s">
        <v>919</v>
      </c>
      <c r="E2457" s="5" t="s">
        <v>3117</v>
      </c>
      <c r="F2457" s="5" t="s">
        <v>3118</v>
      </c>
    </row>
    <row r="2458">
      <c r="A2458" s="5" t="s">
        <v>2600</v>
      </c>
      <c r="B2458" s="8">
        <v>6.0</v>
      </c>
      <c r="C2458" s="4" t="s">
        <v>918</v>
      </c>
      <c r="D2458" s="7" t="s">
        <v>919</v>
      </c>
      <c r="E2458" s="5" t="s">
        <v>3117</v>
      </c>
      <c r="F2458" s="5" t="s">
        <v>3119</v>
      </c>
    </row>
    <row r="2459">
      <c r="A2459" s="5" t="s">
        <v>3090</v>
      </c>
      <c r="B2459" s="8">
        <v>6.0</v>
      </c>
      <c r="C2459" s="4" t="s">
        <v>918</v>
      </c>
      <c r="D2459" s="7" t="s">
        <v>919</v>
      </c>
      <c r="E2459" s="5" t="s">
        <v>3117</v>
      </c>
      <c r="F2459" s="5" t="s">
        <v>3118</v>
      </c>
    </row>
    <row r="2460">
      <c r="A2460" s="7" t="s">
        <v>873</v>
      </c>
      <c r="B2460" s="8">
        <v>6.0</v>
      </c>
      <c r="C2460" s="4" t="s">
        <v>918</v>
      </c>
      <c r="D2460" s="7" t="s">
        <v>919</v>
      </c>
      <c r="E2460" s="5" t="s">
        <v>3117</v>
      </c>
      <c r="F2460" s="5" t="s">
        <v>3118</v>
      </c>
    </row>
    <row r="2461">
      <c r="A2461" s="5" t="s">
        <v>2602</v>
      </c>
      <c r="B2461" s="8">
        <v>6.0</v>
      </c>
      <c r="C2461" s="4" t="s">
        <v>918</v>
      </c>
      <c r="D2461" s="7" t="s">
        <v>919</v>
      </c>
      <c r="E2461" s="5" t="s">
        <v>3117</v>
      </c>
      <c r="F2461" s="5" t="s">
        <v>3121</v>
      </c>
    </row>
    <row r="2462">
      <c r="A2462" s="5" t="s">
        <v>2603</v>
      </c>
      <c r="B2462" s="8">
        <v>6.0</v>
      </c>
      <c r="C2462" s="4" t="s">
        <v>918</v>
      </c>
      <c r="D2462" s="7" t="s">
        <v>919</v>
      </c>
      <c r="E2462" s="5" t="s">
        <v>3117</v>
      </c>
      <c r="F2462" s="5" t="s">
        <v>3118</v>
      </c>
    </row>
    <row r="2463">
      <c r="A2463" s="7" t="s">
        <v>874</v>
      </c>
      <c r="B2463" s="8">
        <v>6.0</v>
      </c>
      <c r="C2463" s="4" t="s">
        <v>918</v>
      </c>
      <c r="D2463" s="7" t="s">
        <v>919</v>
      </c>
      <c r="E2463" s="5" t="s">
        <v>3117</v>
      </c>
      <c r="F2463" s="5" t="s">
        <v>3119</v>
      </c>
    </row>
    <row r="2464">
      <c r="A2464" s="5" t="s">
        <v>2922</v>
      </c>
      <c r="B2464" s="8">
        <v>6.0</v>
      </c>
      <c r="C2464" s="4" t="s">
        <v>925</v>
      </c>
      <c r="D2464" s="7" t="s">
        <v>926</v>
      </c>
      <c r="E2464" s="5" t="s">
        <v>3122</v>
      </c>
      <c r="F2464" s="5" t="s">
        <v>3123</v>
      </c>
    </row>
    <row r="2465">
      <c r="A2465" s="7" t="s">
        <v>188</v>
      </c>
      <c r="B2465" s="8">
        <v>6.0</v>
      </c>
      <c r="C2465" s="4" t="s">
        <v>925</v>
      </c>
      <c r="D2465" s="7" t="s">
        <v>926</v>
      </c>
      <c r="E2465" s="5" t="s">
        <v>3122</v>
      </c>
      <c r="F2465" s="5" t="s">
        <v>3123</v>
      </c>
    </row>
    <row r="2466">
      <c r="A2466" s="5" t="s">
        <v>2592</v>
      </c>
      <c r="B2466" s="8">
        <v>6.0</v>
      </c>
      <c r="C2466" s="4" t="s">
        <v>925</v>
      </c>
      <c r="D2466" s="7" t="s">
        <v>926</v>
      </c>
      <c r="E2466" s="5" t="s">
        <v>3122</v>
      </c>
      <c r="F2466" s="5" t="s">
        <v>3123</v>
      </c>
    </row>
    <row r="2467">
      <c r="A2467" s="5" t="s">
        <v>2796</v>
      </c>
      <c r="B2467" s="8">
        <v>6.0</v>
      </c>
      <c r="C2467" s="4" t="s">
        <v>925</v>
      </c>
      <c r="D2467" s="7" t="s">
        <v>926</v>
      </c>
      <c r="E2467" s="5" t="s">
        <v>3122</v>
      </c>
      <c r="F2467" s="5" t="s">
        <v>3123</v>
      </c>
    </row>
    <row r="2468">
      <c r="A2468" s="5" t="s">
        <v>3085</v>
      </c>
      <c r="B2468" s="8">
        <v>6.0</v>
      </c>
      <c r="C2468" s="4" t="s">
        <v>925</v>
      </c>
      <c r="D2468" s="7" t="s">
        <v>926</v>
      </c>
      <c r="E2468" s="5" t="s">
        <v>3122</v>
      </c>
      <c r="F2468" s="5" t="s">
        <v>3123</v>
      </c>
    </row>
    <row r="2469">
      <c r="A2469" s="5" t="s">
        <v>2594</v>
      </c>
      <c r="B2469" s="8">
        <v>6.0</v>
      </c>
      <c r="C2469" s="4" t="s">
        <v>925</v>
      </c>
      <c r="D2469" s="7" t="s">
        <v>926</v>
      </c>
      <c r="E2469" s="5" t="s">
        <v>3122</v>
      </c>
      <c r="F2469" s="5" t="s">
        <v>3123</v>
      </c>
    </row>
    <row r="2470">
      <c r="A2470" s="5" t="s">
        <v>3086</v>
      </c>
      <c r="B2470" s="8">
        <v>6.0</v>
      </c>
      <c r="C2470" s="4" t="s">
        <v>925</v>
      </c>
      <c r="D2470" s="7" t="s">
        <v>926</v>
      </c>
      <c r="E2470" s="5" t="s">
        <v>3122</v>
      </c>
      <c r="F2470" s="5" t="s">
        <v>3123</v>
      </c>
    </row>
    <row r="2471">
      <c r="A2471" s="7" t="s">
        <v>868</v>
      </c>
      <c r="B2471" s="8">
        <v>6.0</v>
      </c>
      <c r="C2471" s="4" t="s">
        <v>925</v>
      </c>
      <c r="D2471" s="7" t="s">
        <v>926</v>
      </c>
      <c r="E2471" s="5" t="s">
        <v>3122</v>
      </c>
      <c r="F2471" s="5" t="s">
        <v>3123</v>
      </c>
    </row>
    <row r="2472">
      <c r="A2472" s="7" t="s">
        <v>599</v>
      </c>
      <c r="B2472" s="8">
        <v>6.0</v>
      </c>
      <c r="C2472" s="4" t="s">
        <v>925</v>
      </c>
      <c r="D2472" s="7" t="s">
        <v>926</v>
      </c>
      <c r="E2472" s="5" t="s">
        <v>3122</v>
      </c>
      <c r="F2472" s="5" t="s">
        <v>3123</v>
      </c>
    </row>
    <row r="2473">
      <c r="A2473" s="5" t="s">
        <v>3087</v>
      </c>
      <c r="B2473" s="8">
        <v>6.0</v>
      </c>
      <c r="C2473" s="4" t="s">
        <v>925</v>
      </c>
      <c r="D2473" s="7" t="s">
        <v>926</v>
      </c>
      <c r="E2473" s="5" t="s">
        <v>3122</v>
      </c>
      <c r="F2473" s="5" t="s">
        <v>3104</v>
      </c>
    </row>
    <row r="2474">
      <c r="A2474" s="5" t="s">
        <v>2595</v>
      </c>
      <c r="B2474" s="8">
        <v>6.0</v>
      </c>
      <c r="C2474" s="4" t="s">
        <v>925</v>
      </c>
      <c r="D2474" s="7" t="s">
        <v>926</v>
      </c>
      <c r="E2474" s="5" t="s">
        <v>3122</v>
      </c>
      <c r="F2474" s="5" t="s">
        <v>3123</v>
      </c>
    </row>
    <row r="2475">
      <c r="A2475" s="7" t="s">
        <v>8</v>
      </c>
      <c r="B2475" s="8">
        <v>6.0</v>
      </c>
      <c r="C2475" s="4" t="s">
        <v>925</v>
      </c>
      <c r="D2475" s="7" t="s">
        <v>926</v>
      </c>
      <c r="E2475" s="5" t="s">
        <v>3122</v>
      </c>
      <c r="F2475" s="5" t="s">
        <v>3124</v>
      </c>
    </row>
    <row r="2476">
      <c r="A2476" s="7" t="s">
        <v>874</v>
      </c>
      <c r="B2476" s="8">
        <v>6.0</v>
      </c>
      <c r="C2476" s="4" t="s">
        <v>925</v>
      </c>
      <c r="D2476" s="7" t="s">
        <v>926</v>
      </c>
      <c r="E2476" s="5" t="s">
        <v>3122</v>
      </c>
      <c r="F2476" s="5" t="s">
        <v>3123</v>
      </c>
    </row>
    <row r="2477">
      <c r="A2477" s="5" t="s">
        <v>2922</v>
      </c>
      <c r="B2477" s="8">
        <v>6.0</v>
      </c>
      <c r="C2477" s="4" t="s">
        <v>930</v>
      </c>
      <c r="D2477" s="7" t="s">
        <v>931</v>
      </c>
      <c r="E2477" s="5" t="s">
        <v>3125</v>
      </c>
      <c r="F2477" s="5" t="s">
        <v>933</v>
      </c>
    </row>
    <row r="2478">
      <c r="A2478" s="7" t="s">
        <v>188</v>
      </c>
      <c r="B2478" s="8">
        <v>6.0</v>
      </c>
      <c r="C2478" s="4" t="s">
        <v>930</v>
      </c>
      <c r="D2478" s="7" t="s">
        <v>931</v>
      </c>
      <c r="E2478" s="5" t="s">
        <v>3125</v>
      </c>
      <c r="F2478" s="5" t="s">
        <v>3126</v>
      </c>
    </row>
    <row r="2479">
      <c r="A2479" s="5" t="s">
        <v>2592</v>
      </c>
      <c r="B2479" s="8">
        <v>6.0</v>
      </c>
      <c r="C2479" s="4" t="s">
        <v>930</v>
      </c>
      <c r="D2479" s="7" t="s">
        <v>931</v>
      </c>
      <c r="E2479" s="5" t="s">
        <v>3125</v>
      </c>
      <c r="F2479" s="5" t="s">
        <v>933</v>
      </c>
    </row>
    <row r="2480">
      <c r="A2480" s="5" t="s">
        <v>2796</v>
      </c>
      <c r="B2480" s="8">
        <v>6.0</v>
      </c>
      <c r="C2480" s="4" t="s">
        <v>930</v>
      </c>
      <c r="D2480" s="7" t="s">
        <v>931</v>
      </c>
      <c r="E2480" s="5" t="s">
        <v>3125</v>
      </c>
      <c r="F2480" s="5" t="s">
        <v>3127</v>
      </c>
    </row>
    <row r="2481">
      <c r="A2481" s="5" t="s">
        <v>3085</v>
      </c>
      <c r="B2481" s="8">
        <v>6.0</v>
      </c>
      <c r="C2481" s="4" t="s">
        <v>930</v>
      </c>
      <c r="D2481" s="7" t="s">
        <v>931</v>
      </c>
      <c r="E2481" s="5" t="s">
        <v>3125</v>
      </c>
      <c r="F2481" s="5" t="s">
        <v>3127</v>
      </c>
    </row>
    <row r="2482">
      <c r="A2482" s="5" t="s">
        <v>2594</v>
      </c>
      <c r="B2482" s="8">
        <v>6.0</v>
      </c>
      <c r="C2482" s="4" t="s">
        <v>930</v>
      </c>
      <c r="D2482" s="7" t="s">
        <v>931</v>
      </c>
      <c r="E2482" s="5" t="s">
        <v>3125</v>
      </c>
      <c r="F2482" s="5" t="s">
        <v>3127</v>
      </c>
    </row>
    <row r="2483">
      <c r="A2483" s="5" t="s">
        <v>3086</v>
      </c>
      <c r="B2483" s="8">
        <v>6.0</v>
      </c>
      <c r="C2483" s="4" t="s">
        <v>930</v>
      </c>
      <c r="D2483" s="7" t="s">
        <v>931</v>
      </c>
      <c r="E2483" s="5" t="s">
        <v>3125</v>
      </c>
      <c r="F2483" s="5" t="s">
        <v>3128</v>
      </c>
    </row>
    <row r="2484">
      <c r="A2484" s="7" t="s">
        <v>868</v>
      </c>
      <c r="B2484" s="8">
        <v>6.0</v>
      </c>
      <c r="C2484" s="4" t="s">
        <v>930</v>
      </c>
      <c r="D2484" s="7" t="s">
        <v>931</v>
      </c>
      <c r="E2484" s="5" t="s">
        <v>3125</v>
      </c>
      <c r="F2484" s="5" t="s">
        <v>3127</v>
      </c>
    </row>
    <row r="2485">
      <c r="A2485" s="7" t="s">
        <v>599</v>
      </c>
      <c r="B2485" s="8">
        <v>6.0</v>
      </c>
      <c r="C2485" s="4" t="s">
        <v>930</v>
      </c>
      <c r="D2485" s="7" t="s">
        <v>931</v>
      </c>
      <c r="E2485" s="5" t="s">
        <v>3125</v>
      </c>
      <c r="F2485" s="5" t="s">
        <v>3127</v>
      </c>
    </row>
    <row r="2486">
      <c r="A2486" s="5" t="s">
        <v>3087</v>
      </c>
      <c r="B2486" s="8">
        <v>6.0</v>
      </c>
      <c r="C2486" s="4" t="s">
        <v>930</v>
      </c>
      <c r="D2486" s="7" t="s">
        <v>931</v>
      </c>
      <c r="E2486" s="5" t="s">
        <v>3125</v>
      </c>
      <c r="F2486" s="5" t="s">
        <v>937</v>
      </c>
    </row>
    <row r="2487">
      <c r="A2487" s="5" t="s">
        <v>3088</v>
      </c>
      <c r="B2487" s="8">
        <v>6.0</v>
      </c>
      <c r="C2487" s="4" t="s">
        <v>930</v>
      </c>
      <c r="D2487" s="7" t="s">
        <v>931</v>
      </c>
      <c r="E2487" s="5" t="s">
        <v>3125</v>
      </c>
      <c r="F2487" s="5" t="s">
        <v>3128</v>
      </c>
    </row>
    <row r="2488">
      <c r="A2488" s="5" t="s">
        <v>2595</v>
      </c>
      <c r="B2488" s="8">
        <v>6.0</v>
      </c>
      <c r="C2488" s="4" t="s">
        <v>930</v>
      </c>
      <c r="D2488" s="7" t="s">
        <v>931</v>
      </c>
      <c r="E2488" s="5" t="s">
        <v>3125</v>
      </c>
      <c r="F2488" s="5" t="s">
        <v>933</v>
      </c>
    </row>
    <row r="2489">
      <c r="A2489" s="5" t="s">
        <v>3089</v>
      </c>
      <c r="B2489" s="8">
        <v>6.0</v>
      </c>
      <c r="C2489" s="4" t="s">
        <v>930</v>
      </c>
      <c r="D2489" s="7" t="s">
        <v>931</v>
      </c>
      <c r="E2489" s="5" t="s">
        <v>3125</v>
      </c>
      <c r="F2489" s="5" t="s">
        <v>3129</v>
      </c>
    </row>
    <row r="2490">
      <c r="A2490" s="7" t="s">
        <v>8</v>
      </c>
      <c r="B2490" s="8">
        <v>6.0</v>
      </c>
      <c r="C2490" s="4" t="s">
        <v>930</v>
      </c>
      <c r="D2490" s="7" t="s">
        <v>931</v>
      </c>
      <c r="E2490" s="5" t="s">
        <v>3125</v>
      </c>
      <c r="F2490" s="5" t="s">
        <v>3130</v>
      </c>
    </row>
    <row r="2491">
      <c r="A2491" s="5" t="s">
        <v>3090</v>
      </c>
      <c r="B2491" s="8">
        <v>6.0</v>
      </c>
      <c r="C2491" s="4" t="s">
        <v>930</v>
      </c>
      <c r="D2491" s="7" t="s">
        <v>931</v>
      </c>
      <c r="E2491" s="5" t="s">
        <v>3125</v>
      </c>
      <c r="F2491" s="5" t="s">
        <v>3104</v>
      </c>
    </row>
    <row r="2492">
      <c r="A2492" s="7" t="s">
        <v>874</v>
      </c>
      <c r="B2492" s="8">
        <v>6.0</v>
      </c>
      <c r="C2492" s="4" t="s">
        <v>930</v>
      </c>
      <c r="D2492" s="7" t="s">
        <v>931</v>
      </c>
      <c r="E2492" s="5" t="s">
        <v>3125</v>
      </c>
      <c r="F2492" s="5" t="s">
        <v>3128</v>
      </c>
    </row>
    <row r="2493">
      <c r="A2493" s="5" t="s">
        <v>3091</v>
      </c>
      <c r="B2493" s="8">
        <v>6.0</v>
      </c>
      <c r="C2493" s="4" t="s">
        <v>930</v>
      </c>
      <c r="D2493" s="7" t="s">
        <v>931</v>
      </c>
      <c r="E2493" s="5" t="s">
        <v>3125</v>
      </c>
      <c r="F2493" s="5" t="s">
        <v>3104</v>
      </c>
    </row>
    <row r="2494">
      <c r="A2494" s="5" t="s">
        <v>2922</v>
      </c>
      <c r="B2494" s="8">
        <v>6.0</v>
      </c>
      <c r="C2494" s="4" t="s">
        <v>940</v>
      </c>
      <c r="D2494" s="5" t="s">
        <v>3131</v>
      </c>
      <c r="E2494" s="5" t="s">
        <v>3132</v>
      </c>
      <c r="F2494" s="7" t="s">
        <v>1290</v>
      </c>
    </row>
    <row r="2495">
      <c r="A2495" s="7" t="s">
        <v>188</v>
      </c>
      <c r="B2495" s="8">
        <v>6.0</v>
      </c>
      <c r="C2495" s="4" t="s">
        <v>940</v>
      </c>
      <c r="D2495" s="5" t="s">
        <v>3131</v>
      </c>
      <c r="E2495" s="5" t="s">
        <v>3132</v>
      </c>
      <c r="F2495" s="7" t="s">
        <v>864</v>
      </c>
    </row>
    <row r="2496">
      <c r="A2496" s="5" t="s">
        <v>2592</v>
      </c>
      <c r="B2496" s="8">
        <v>6.0</v>
      </c>
      <c r="C2496" s="4" t="s">
        <v>940</v>
      </c>
      <c r="D2496" s="5" t="s">
        <v>3131</v>
      </c>
      <c r="E2496" s="5" t="s">
        <v>3132</v>
      </c>
      <c r="F2496" s="7" t="s">
        <v>863</v>
      </c>
    </row>
    <row r="2497">
      <c r="A2497" s="5" t="s">
        <v>2796</v>
      </c>
      <c r="B2497" s="8">
        <v>6.0</v>
      </c>
      <c r="C2497" s="4" t="s">
        <v>940</v>
      </c>
      <c r="D2497" s="5" t="s">
        <v>3131</v>
      </c>
      <c r="E2497" s="5" t="s">
        <v>3132</v>
      </c>
      <c r="F2497" s="7" t="s">
        <v>865</v>
      </c>
    </row>
    <row r="2498">
      <c r="A2498" s="5" t="s">
        <v>3085</v>
      </c>
      <c r="B2498" s="8">
        <v>6.0</v>
      </c>
      <c r="C2498" s="4" t="s">
        <v>940</v>
      </c>
      <c r="D2498" s="5" t="s">
        <v>3131</v>
      </c>
      <c r="E2498" s="5" t="s">
        <v>3132</v>
      </c>
      <c r="F2498" s="7" t="s">
        <v>865</v>
      </c>
    </row>
    <row r="2499">
      <c r="A2499" s="5" t="s">
        <v>2594</v>
      </c>
      <c r="B2499" s="8">
        <v>6.0</v>
      </c>
      <c r="C2499" s="4" t="s">
        <v>940</v>
      </c>
      <c r="D2499" s="5" t="s">
        <v>3131</v>
      </c>
      <c r="E2499" s="5" t="s">
        <v>3132</v>
      </c>
      <c r="F2499" s="7" t="s">
        <v>864</v>
      </c>
    </row>
    <row r="2500">
      <c r="A2500" s="5" t="s">
        <v>3086</v>
      </c>
      <c r="B2500" s="8">
        <v>6.0</v>
      </c>
      <c r="C2500" s="4" t="s">
        <v>940</v>
      </c>
      <c r="D2500" s="5" t="s">
        <v>3131</v>
      </c>
      <c r="E2500" s="5" t="s">
        <v>3132</v>
      </c>
      <c r="F2500" s="7" t="s">
        <v>1291</v>
      </c>
    </row>
    <row r="2501">
      <c r="A2501" s="7" t="s">
        <v>868</v>
      </c>
      <c r="B2501" s="8">
        <v>6.0</v>
      </c>
      <c r="C2501" s="4" t="s">
        <v>940</v>
      </c>
      <c r="D2501" s="5" t="s">
        <v>3131</v>
      </c>
      <c r="E2501" s="5" t="s">
        <v>3132</v>
      </c>
      <c r="F2501" s="7" t="s">
        <v>864</v>
      </c>
    </row>
    <row r="2502">
      <c r="A2502" s="7" t="s">
        <v>599</v>
      </c>
      <c r="B2502" s="8">
        <v>6.0</v>
      </c>
      <c r="C2502" s="4" t="s">
        <v>940</v>
      </c>
      <c r="D2502" s="5" t="s">
        <v>3131</v>
      </c>
      <c r="E2502" s="5" t="s">
        <v>3132</v>
      </c>
      <c r="F2502" s="7" t="s">
        <v>1290</v>
      </c>
    </row>
    <row r="2503">
      <c r="A2503" s="5" t="s">
        <v>3087</v>
      </c>
      <c r="B2503" s="8">
        <v>6.0</v>
      </c>
      <c r="C2503" s="4" t="s">
        <v>940</v>
      </c>
      <c r="D2503" s="5" t="s">
        <v>3131</v>
      </c>
      <c r="E2503" s="5" t="s">
        <v>3132</v>
      </c>
      <c r="F2503" s="7" t="s">
        <v>1291</v>
      </c>
    </row>
    <row r="2504">
      <c r="A2504" s="5" t="s">
        <v>3088</v>
      </c>
      <c r="B2504" s="8">
        <v>6.0</v>
      </c>
      <c r="C2504" s="4" t="s">
        <v>940</v>
      </c>
      <c r="D2504" s="5" t="s">
        <v>3131</v>
      </c>
      <c r="E2504" s="5" t="s">
        <v>3132</v>
      </c>
      <c r="F2504" s="7" t="s">
        <v>864</v>
      </c>
    </row>
    <row r="2505">
      <c r="A2505" s="5" t="s">
        <v>2595</v>
      </c>
      <c r="B2505" s="8">
        <v>6.0</v>
      </c>
      <c r="C2505" s="4" t="s">
        <v>940</v>
      </c>
      <c r="D2505" s="5" t="s">
        <v>3131</v>
      </c>
      <c r="E2505" s="5" t="s">
        <v>3132</v>
      </c>
      <c r="F2505" s="7" t="s">
        <v>862</v>
      </c>
    </row>
    <row r="2506">
      <c r="A2506" s="5" t="s">
        <v>3089</v>
      </c>
      <c r="B2506" s="8">
        <v>6.0</v>
      </c>
      <c r="C2506" s="4" t="s">
        <v>940</v>
      </c>
      <c r="D2506" s="5" t="s">
        <v>3131</v>
      </c>
      <c r="E2506" s="5" t="s">
        <v>3132</v>
      </c>
      <c r="F2506" s="7" t="s">
        <v>1291</v>
      </c>
    </row>
    <row r="2507">
      <c r="A2507" s="5" t="s">
        <v>2597</v>
      </c>
      <c r="B2507" s="8">
        <v>6.0</v>
      </c>
      <c r="C2507" s="4" t="s">
        <v>940</v>
      </c>
      <c r="D2507" s="5" t="s">
        <v>3131</v>
      </c>
      <c r="E2507" s="5" t="s">
        <v>3132</v>
      </c>
      <c r="F2507" s="7" t="s">
        <v>1291</v>
      </c>
    </row>
    <row r="2508">
      <c r="A2508" s="7" t="s">
        <v>8</v>
      </c>
      <c r="B2508" s="8">
        <v>6.0</v>
      </c>
      <c r="C2508" s="4" t="s">
        <v>940</v>
      </c>
      <c r="D2508" s="5" t="s">
        <v>3131</v>
      </c>
      <c r="E2508" s="5" t="s">
        <v>3132</v>
      </c>
      <c r="F2508" s="7" t="s">
        <v>862</v>
      </c>
    </row>
    <row r="2509">
      <c r="A2509" s="5" t="s">
        <v>2798</v>
      </c>
      <c r="B2509" s="8">
        <v>6.0</v>
      </c>
      <c r="C2509" s="4" t="s">
        <v>940</v>
      </c>
      <c r="D2509" s="5" t="s">
        <v>3131</v>
      </c>
      <c r="E2509" s="5" t="s">
        <v>3132</v>
      </c>
      <c r="F2509" s="7" t="s">
        <v>864</v>
      </c>
    </row>
    <row r="2510">
      <c r="A2510" s="5" t="s">
        <v>2702</v>
      </c>
      <c r="B2510" s="8">
        <v>6.0</v>
      </c>
      <c r="C2510" s="4" t="s">
        <v>940</v>
      </c>
      <c r="D2510" s="5" t="s">
        <v>3131</v>
      </c>
      <c r="E2510" s="5" t="s">
        <v>3132</v>
      </c>
      <c r="F2510" s="7" t="s">
        <v>1291</v>
      </c>
    </row>
    <row r="2511">
      <c r="A2511" s="5" t="s">
        <v>2599</v>
      </c>
      <c r="B2511" s="8">
        <v>6.0</v>
      </c>
      <c r="C2511" s="4" t="s">
        <v>940</v>
      </c>
      <c r="D2511" s="5" t="s">
        <v>3131</v>
      </c>
      <c r="E2511" s="5" t="s">
        <v>3132</v>
      </c>
      <c r="F2511" s="7" t="s">
        <v>863</v>
      </c>
    </row>
    <row r="2512">
      <c r="A2512" s="5" t="s">
        <v>2600</v>
      </c>
      <c r="B2512" s="8">
        <v>6.0</v>
      </c>
      <c r="C2512" s="4" t="s">
        <v>940</v>
      </c>
      <c r="D2512" s="5" t="s">
        <v>3131</v>
      </c>
      <c r="E2512" s="5" t="s">
        <v>3132</v>
      </c>
      <c r="F2512" s="7" t="s">
        <v>1291</v>
      </c>
    </row>
    <row r="2513">
      <c r="A2513" s="5" t="s">
        <v>3090</v>
      </c>
      <c r="B2513" s="8">
        <v>6.0</v>
      </c>
      <c r="C2513" s="4" t="s">
        <v>940</v>
      </c>
      <c r="D2513" s="5" t="s">
        <v>3131</v>
      </c>
      <c r="E2513" s="5" t="s">
        <v>3132</v>
      </c>
      <c r="F2513" s="7" t="s">
        <v>865</v>
      </c>
    </row>
    <row r="2514">
      <c r="A2514" s="7" t="s">
        <v>873</v>
      </c>
      <c r="B2514" s="8">
        <v>6.0</v>
      </c>
      <c r="C2514" s="4" t="s">
        <v>940</v>
      </c>
      <c r="D2514" s="5" t="s">
        <v>3131</v>
      </c>
      <c r="E2514" s="5" t="s">
        <v>3132</v>
      </c>
      <c r="F2514" s="7" t="s">
        <v>864</v>
      </c>
    </row>
    <row r="2515">
      <c r="A2515" s="5" t="s">
        <v>2602</v>
      </c>
      <c r="B2515" s="8">
        <v>6.0</v>
      </c>
      <c r="C2515" s="4" t="s">
        <v>940</v>
      </c>
      <c r="D2515" s="5" t="s">
        <v>3131</v>
      </c>
      <c r="E2515" s="5" t="s">
        <v>3132</v>
      </c>
      <c r="F2515" s="7" t="s">
        <v>1290</v>
      </c>
    </row>
    <row r="2516">
      <c r="A2516" s="5" t="s">
        <v>2603</v>
      </c>
      <c r="B2516" s="8">
        <v>6.0</v>
      </c>
      <c r="C2516" s="4" t="s">
        <v>940</v>
      </c>
      <c r="D2516" s="5" t="s">
        <v>3131</v>
      </c>
      <c r="E2516" s="5" t="s">
        <v>3132</v>
      </c>
      <c r="F2516" s="7" t="s">
        <v>863</v>
      </c>
    </row>
    <row r="2517">
      <c r="A2517" s="7" t="s">
        <v>874</v>
      </c>
      <c r="B2517" s="8">
        <v>6.0</v>
      </c>
      <c r="C2517" s="4" t="s">
        <v>940</v>
      </c>
      <c r="D2517" s="5" t="s">
        <v>3131</v>
      </c>
      <c r="E2517" s="5" t="s">
        <v>3132</v>
      </c>
      <c r="F2517" s="7" t="s">
        <v>864</v>
      </c>
    </row>
    <row r="2518">
      <c r="A2518" s="5" t="s">
        <v>2604</v>
      </c>
      <c r="B2518" s="8">
        <v>6.0</v>
      </c>
      <c r="C2518" s="4" t="s">
        <v>940</v>
      </c>
      <c r="D2518" s="5" t="s">
        <v>3131</v>
      </c>
      <c r="E2518" s="5" t="s">
        <v>3132</v>
      </c>
      <c r="F2518" s="7" t="s">
        <v>864</v>
      </c>
    </row>
    <row r="2519">
      <c r="A2519" s="5" t="s">
        <v>3091</v>
      </c>
      <c r="B2519" s="8">
        <v>6.0</v>
      </c>
      <c r="C2519" s="4" t="s">
        <v>940</v>
      </c>
      <c r="D2519" s="5" t="s">
        <v>3131</v>
      </c>
      <c r="E2519" s="5" t="s">
        <v>3132</v>
      </c>
      <c r="F2519" s="7" t="s">
        <v>1290</v>
      </c>
    </row>
    <row r="2520">
      <c r="A2520" s="5" t="s">
        <v>2605</v>
      </c>
      <c r="B2520" s="8">
        <v>6.0</v>
      </c>
      <c r="C2520" s="4" t="s">
        <v>940</v>
      </c>
      <c r="D2520" s="5" t="s">
        <v>3131</v>
      </c>
      <c r="E2520" s="5" t="s">
        <v>3132</v>
      </c>
      <c r="F2520" s="7" t="s">
        <v>1290</v>
      </c>
    </row>
    <row r="2521">
      <c r="A2521" s="5" t="s">
        <v>2933</v>
      </c>
      <c r="B2521" s="8">
        <v>6.0</v>
      </c>
      <c r="C2521" s="4" t="s">
        <v>940</v>
      </c>
      <c r="D2521" s="5" t="s">
        <v>3131</v>
      </c>
      <c r="E2521" s="5" t="s">
        <v>3132</v>
      </c>
      <c r="F2521" s="7" t="s">
        <v>862</v>
      </c>
    </row>
    <row r="2522">
      <c r="A2522" s="5" t="s">
        <v>2606</v>
      </c>
      <c r="B2522" s="8">
        <v>6.0</v>
      </c>
      <c r="C2522" s="4" t="s">
        <v>940</v>
      </c>
      <c r="D2522" s="5" t="s">
        <v>3131</v>
      </c>
      <c r="E2522" s="5" t="s">
        <v>3132</v>
      </c>
      <c r="F2522" s="7" t="s">
        <v>1290</v>
      </c>
    </row>
    <row r="2523">
      <c r="A2523" s="5" t="s">
        <v>2934</v>
      </c>
      <c r="B2523" s="8">
        <v>6.0</v>
      </c>
      <c r="C2523" s="4" t="s">
        <v>940</v>
      </c>
      <c r="D2523" s="5" t="s">
        <v>3131</v>
      </c>
      <c r="E2523" s="5" t="s">
        <v>3132</v>
      </c>
      <c r="F2523" s="7" t="s">
        <v>1292</v>
      </c>
    </row>
    <row r="2524">
      <c r="A2524" s="5" t="s">
        <v>2607</v>
      </c>
      <c r="B2524" s="8">
        <v>6.0</v>
      </c>
      <c r="C2524" s="4" t="s">
        <v>940</v>
      </c>
      <c r="D2524" s="5" t="s">
        <v>3131</v>
      </c>
      <c r="E2524" s="5" t="s">
        <v>3132</v>
      </c>
      <c r="F2524" s="7" t="s">
        <v>865</v>
      </c>
    </row>
    <row r="2525">
      <c r="A2525" s="7" t="s">
        <v>876</v>
      </c>
      <c r="B2525" s="8">
        <v>6.0</v>
      </c>
      <c r="C2525" s="4" t="s">
        <v>940</v>
      </c>
      <c r="D2525" s="5" t="s">
        <v>3131</v>
      </c>
      <c r="E2525" s="5" t="s">
        <v>3132</v>
      </c>
      <c r="F2525" s="7" t="s">
        <v>1291</v>
      </c>
    </row>
    <row r="2526">
      <c r="A2526" s="5" t="s">
        <v>3092</v>
      </c>
      <c r="B2526" s="8">
        <v>6.0</v>
      </c>
      <c r="C2526" s="4" t="s">
        <v>940</v>
      </c>
      <c r="D2526" s="5" t="s">
        <v>3131</v>
      </c>
      <c r="E2526" s="5" t="s">
        <v>3132</v>
      </c>
      <c r="F2526" s="7" t="s">
        <v>1290</v>
      </c>
    </row>
    <row r="2527">
      <c r="A2527" s="5" t="s">
        <v>2614</v>
      </c>
      <c r="B2527" s="8">
        <v>6.0</v>
      </c>
      <c r="C2527" s="4" t="s">
        <v>940</v>
      </c>
      <c r="D2527" s="5" t="s">
        <v>3131</v>
      </c>
      <c r="E2527" s="5" t="s">
        <v>3132</v>
      </c>
      <c r="F2527" s="7" t="s">
        <v>864</v>
      </c>
    </row>
    <row r="2528">
      <c r="A2528" s="5" t="s">
        <v>2608</v>
      </c>
      <c r="B2528" s="8">
        <v>6.0</v>
      </c>
      <c r="C2528" s="4" t="s">
        <v>940</v>
      </c>
      <c r="D2528" s="5" t="s">
        <v>3131</v>
      </c>
      <c r="E2528" s="5" t="s">
        <v>3132</v>
      </c>
      <c r="F2528" s="7" t="s">
        <v>864</v>
      </c>
    </row>
    <row r="2529">
      <c r="A2529" s="5" t="s">
        <v>2609</v>
      </c>
      <c r="B2529" s="8">
        <v>6.0</v>
      </c>
      <c r="C2529" s="4" t="s">
        <v>940</v>
      </c>
      <c r="D2529" s="5" t="s">
        <v>3131</v>
      </c>
      <c r="E2529" s="5" t="s">
        <v>3132</v>
      </c>
      <c r="F2529" s="7" t="s">
        <v>1291</v>
      </c>
    </row>
    <row r="2530">
      <c r="A2530" s="7" t="s">
        <v>599</v>
      </c>
      <c r="B2530" s="8">
        <v>6.0</v>
      </c>
      <c r="C2530" s="7" t="s">
        <v>943</v>
      </c>
      <c r="D2530" s="7" t="s">
        <v>439</v>
      </c>
      <c r="E2530" s="5" t="s">
        <v>3133</v>
      </c>
      <c r="F2530" s="7" t="s">
        <v>444</v>
      </c>
    </row>
    <row r="2531">
      <c r="A2531" s="5" t="s">
        <v>3087</v>
      </c>
      <c r="B2531" s="8">
        <v>6.0</v>
      </c>
      <c r="C2531" s="7" t="s">
        <v>943</v>
      </c>
      <c r="D2531" s="7" t="s">
        <v>439</v>
      </c>
      <c r="E2531" s="5" t="s">
        <v>3133</v>
      </c>
      <c r="F2531" s="7" t="s">
        <v>945</v>
      </c>
    </row>
    <row r="2532">
      <c r="A2532" s="5" t="s">
        <v>3088</v>
      </c>
      <c r="B2532" s="8">
        <v>6.0</v>
      </c>
      <c r="C2532" s="7" t="s">
        <v>943</v>
      </c>
      <c r="D2532" s="7" t="s">
        <v>439</v>
      </c>
      <c r="E2532" s="5" t="s">
        <v>3133</v>
      </c>
      <c r="F2532" s="7" t="s">
        <v>444</v>
      </c>
    </row>
    <row r="2533">
      <c r="A2533" s="5" t="s">
        <v>2595</v>
      </c>
      <c r="B2533" s="8">
        <v>6.0</v>
      </c>
      <c r="C2533" s="7" t="s">
        <v>943</v>
      </c>
      <c r="D2533" s="7" t="s">
        <v>439</v>
      </c>
      <c r="E2533" s="5" t="s">
        <v>3133</v>
      </c>
      <c r="F2533" s="7" t="s">
        <v>444</v>
      </c>
    </row>
    <row r="2534">
      <c r="A2534" s="5" t="s">
        <v>3089</v>
      </c>
      <c r="B2534" s="8">
        <v>6.0</v>
      </c>
      <c r="C2534" s="7" t="s">
        <v>943</v>
      </c>
      <c r="D2534" s="7" t="s">
        <v>439</v>
      </c>
      <c r="E2534" s="5" t="s">
        <v>3133</v>
      </c>
      <c r="F2534" s="7" t="s">
        <v>444</v>
      </c>
    </row>
    <row r="2535">
      <c r="A2535" s="5" t="s">
        <v>2597</v>
      </c>
      <c r="B2535" s="8">
        <v>6.0</v>
      </c>
      <c r="C2535" s="7" t="s">
        <v>943</v>
      </c>
      <c r="D2535" s="7" t="s">
        <v>439</v>
      </c>
      <c r="E2535" s="5" t="s">
        <v>3133</v>
      </c>
      <c r="F2535" s="7" t="s">
        <v>444</v>
      </c>
    </row>
    <row r="2536">
      <c r="A2536" s="5" t="s">
        <v>2922</v>
      </c>
      <c r="B2536" s="8">
        <v>6.0</v>
      </c>
      <c r="C2536" s="7" t="s">
        <v>49</v>
      </c>
      <c r="D2536" s="7" t="s">
        <v>441</v>
      </c>
      <c r="E2536" s="5" t="s">
        <v>3134</v>
      </c>
      <c r="F2536" s="5" t="s">
        <v>57</v>
      </c>
    </row>
    <row r="2537">
      <c r="A2537" s="7" t="s">
        <v>188</v>
      </c>
      <c r="B2537" s="8">
        <v>6.0</v>
      </c>
      <c r="C2537" s="7" t="s">
        <v>49</v>
      </c>
      <c r="D2537" s="7" t="s">
        <v>441</v>
      </c>
      <c r="E2537" s="5" t="s">
        <v>3134</v>
      </c>
      <c r="F2537" s="5" t="s">
        <v>3135</v>
      </c>
    </row>
    <row r="2538">
      <c r="A2538" s="5" t="s">
        <v>2592</v>
      </c>
      <c r="B2538" s="8">
        <v>6.0</v>
      </c>
      <c r="C2538" s="7" t="s">
        <v>49</v>
      </c>
      <c r="D2538" s="7" t="s">
        <v>441</v>
      </c>
      <c r="E2538" s="5" t="s">
        <v>3134</v>
      </c>
      <c r="F2538" s="5" t="s">
        <v>57</v>
      </c>
    </row>
    <row r="2539">
      <c r="A2539" s="5" t="s">
        <v>2796</v>
      </c>
      <c r="B2539" s="8">
        <v>6.0</v>
      </c>
      <c r="C2539" s="7" t="s">
        <v>49</v>
      </c>
      <c r="D2539" s="7" t="s">
        <v>441</v>
      </c>
      <c r="E2539" s="5" t="s">
        <v>3134</v>
      </c>
      <c r="F2539" s="5" t="s">
        <v>2045</v>
      </c>
    </row>
    <row r="2540">
      <c r="A2540" s="5" t="s">
        <v>3085</v>
      </c>
      <c r="B2540" s="8">
        <v>6.0</v>
      </c>
      <c r="C2540" s="7" t="s">
        <v>49</v>
      </c>
      <c r="D2540" s="7" t="s">
        <v>441</v>
      </c>
      <c r="E2540" s="5" t="s">
        <v>3134</v>
      </c>
      <c r="F2540" s="5" t="s">
        <v>2045</v>
      </c>
    </row>
    <row r="2541">
      <c r="A2541" s="5" t="s">
        <v>2594</v>
      </c>
      <c r="B2541" s="8">
        <v>6.0</v>
      </c>
      <c r="C2541" s="7" t="s">
        <v>49</v>
      </c>
      <c r="D2541" s="7" t="s">
        <v>441</v>
      </c>
      <c r="E2541" s="5" t="s">
        <v>3134</v>
      </c>
      <c r="F2541" s="7" t="s">
        <v>444</v>
      </c>
    </row>
    <row r="2542">
      <c r="A2542" s="5" t="s">
        <v>3086</v>
      </c>
      <c r="B2542" s="8">
        <v>6.0</v>
      </c>
      <c r="C2542" s="7" t="s">
        <v>49</v>
      </c>
      <c r="D2542" s="7" t="s">
        <v>441</v>
      </c>
      <c r="E2542" s="5" t="s">
        <v>3134</v>
      </c>
      <c r="F2542" s="7" t="s">
        <v>444</v>
      </c>
    </row>
    <row r="2543">
      <c r="A2543" s="7" t="s">
        <v>868</v>
      </c>
      <c r="B2543" s="8">
        <v>6.0</v>
      </c>
      <c r="C2543" s="7" t="s">
        <v>49</v>
      </c>
      <c r="D2543" s="7" t="s">
        <v>441</v>
      </c>
      <c r="E2543" s="5" t="s">
        <v>3134</v>
      </c>
      <c r="F2543" s="5" t="s">
        <v>954</v>
      </c>
    </row>
    <row r="2544">
      <c r="A2544" s="7" t="s">
        <v>599</v>
      </c>
      <c r="B2544" s="8">
        <v>6.0</v>
      </c>
      <c r="C2544" s="7" t="s">
        <v>49</v>
      </c>
      <c r="D2544" s="7" t="s">
        <v>441</v>
      </c>
      <c r="E2544" s="5" t="s">
        <v>3134</v>
      </c>
      <c r="F2544" s="5" t="s">
        <v>3136</v>
      </c>
    </row>
    <row r="2545">
      <c r="A2545" s="5" t="s">
        <v>3087</v>
      </c>
      <c r="B2545" s="8">
        <v>6.0</v>
      </c>
      <c r="C2545" s="7" t="s">
        <v>49</v>
      </c>
      <c r="D2545" s="7" t="s">
        <v>441</v>
      </c>
      <c r="E2545" s="5" t="s">
        <v>3134</v>
      </c>
      <c r="F2545" s="5" t="s">
        <v>952</v>
      </c>
    </row>
    <row r="2546">
      <c r="A2546" s="5" t="s">
        <v>3088</v>
      </c>
      <c r="B2546" s="8">
        <v>6.0</v>
      </c>
      <c r="C2546" s="7" t="s">
        <v>49</v>
      </c>
      <c r="D2546" s="7" t="s">
        <v>441</v>
      </c>
      <c r="E2546" s="5" t="s">
        <v>3134</v>
      </c>
      <c r="F2546" s="5" t="s">
        <v>953</v>
      </c>
    </row>
    <row r="2547">
      <c r="A2547" s="5" t="s">
        <v>2595</v>
      </c>
      <c r="B2547" s="8">
        <v>6.0</v>
      </c>
      <c r="C2547" s="7" t="s">
        <v>49</v>
      </c>
      <c r="D2547" s="7" t="s">
        <v>441</v>
      </c>
      <c r="E2547" s="5" t="s">
        <v>3134</v>
      </c>
      <c r="F2547" s="5" t="s">
        <v>953</v>
      </c>
    </row>
    <row r="2548">
      <c r="A2548" s="5" t="s">
        <v>3089</v>
      </c>
      <c r="B2548" s="8">
        <v>6.0</v>
      </c>
      <c r="C2548" s="7" t="s">
        <v>49</v>
      </c>
      <c r="D2548" s="7" t="s">
        <v>441</v>
      </c>
      <c r="E2548" s="5" t="s">
        <v>3134</v>
      </c>
      <c r="F2548" s="5" t="s">
        <v>954</v>
      </c>
    </row>
    <row r="2549">
      <c r="A2549" s="5" t="s">
        <v>2597</v>
      </c>
      <c r="B2549" s="8">
        <v>6.0</v>
      </c>
      <c r="C2549" s="7" t="s">
        <v>49</v>
      </c>
      <c r="D2549" s="7" t="s">
        <v>441</v>
      </c>
      <c r="E2549" s="5" t="s">
        <v>3134</v>
      </c>
      <c r="F2549" s="5" t="s">
        <v>955</v>
      </c>
    </row>
    <row r="2550">
      <c r="A2550" s="7" t="s">
        <v>8</v>
      </c>
      <c r="B2550" s="8">
        <v>6.0</v>
      </c>
      <c r="C2550" s="7" t="s">
        <v>49</v>
      </c>
      <c r="D2550" s="7" t="s">
        <v>441</v>
      </c>
      <c r="E2550" s="5" t="s">
        <v>3134</v>
      </c>
      <c r="F2550" s="5" t="s">
        <v>219</v>
      </c>
    </row>
    <row r="2551">
      <c r="A2551" s="5" t="s">
        <v>2798</v>
      </c>
      <c r="B2551" s="8">
        <v>6.0</v>
      </c>
      <c r="C2551" s="7" t="s">
        <v>49</v>
      </c>
      <c r="D2551" s="7" t="s">
        <v>441</v>
      </c>
      <c r="E2551" s="5" t="s">
        <v>3134</v>
      </c>
      <c r="F2551" s="5" t="s">
        <v>3137</v>
      </c>
    </row>
    <row r="2552">
      <c r="A2552" s="5" t="s">
        <v>2702</v>
      </c>
      <c r="B2552" s="8">
        <v>6.0</v>
      </c>
      <c r="C2552" s="7" t="s">
        <v>49</v>
      </c>
      <c r="D2552" s="7" t="s">
        <v>441</v>
      </c>
      <c r="E2552" s="5" t="s">
        <v>3134</v>
      </c>
      <c r="F2552" s="5" t="s">
        <v>3138</v>
      </c>
    </row>
    <row r="2553">
      <c r="A2553" s="5" t="s">
        <v>2599</v>
      </c>
      <c r="B2553" s="8">
        <v>6.0</v>
      </c>
      <c r="C2553" s="7" t="s">
        <v>49</v>
      </c>
      <c r="D2553" s="7" t="s">
        <v>441</v>
      </c>
      <c r="E2553" s="5" t="s">
        <v>3134</v>
      </c>
      <c r="F2553" s="5" t="s">
        <v>958</v>
      </c>
    </row>
    <row r="2554">
      <c r="A2554" s="5" t="s">
        <v>2600</v>
      </c>
      <c r="B2554" s="8">
        <v>6.0</v>
      </c>
      <c r="C2554" s="7" t="s">
        <v>49</v>
      </c>
      <c r="D2554" s="7" t="s">
        <v>441</v>
      </c>
      <c r="E2554" s="5" t="s">
        <v>3134</v>
      </c>
      <c r="F2554" s="5" t="s">
        <v>56</v>
      </c>
    </row>
    <row r="2555">
      <c r="A2555" s="5" t="s">
        <v>3090</v>
      </c>
      <c r="B2555" s="8">
        <v>6.0</v>
      </c>
      <c r="C2555" s="7" t="s">
        <v>49</v>
      </c>
      <c r="D2555" s="7" t="s">
        <v>441</v>
      </c>
      <c r="E2555" s="5" t="s">
        <v>3134</v>
      </c>
      <c r="F2555" s="5" t="s">
        <v>56</v>
      </c>
    </row>
    <row r="2556">
      <c r="A2556" s="7" t="s">
        <v>873</v>
      </c>
      <c r="B2556" s="8">
        <v>6.0</v>
      </c>
      <c r="C2556" s="7" t="s">
        <v>49</v>
      </c>
      <c r="D2556" s="7" t="s">
        <v>441</v>
      </c>
      <c r="E2556" s="5" t="s">
        <v>3134</v>
      </c>
      <c r="F2556" s="5" t="s">
        <v>54</v>
      </c>
    </row>
    <row r="2557">
      <c r="A2557" s="5" t="s">
        <v>2602</v>
      </c>
      <c r="B2557" s="8">
        <v>6.0</v>
      </c>
      <c r="C2557" s="7" t="s">
        <v>49</v>
      </c>
      <c r="D2557" s="7" t="s">
        <v>441</v>
      </c>
      <c r="E2557" s="5" t="s">
        <v>3134</v>
      </c>
      <c r="F2557" s="5" t="s">
        <v>56</v>
      </c>
    </row>
    <row r="2558">
      <c r="A2558" s="5" t="s">
        <v>2603</v>
      </c>
      <c r="B2558" s="8">
        <v>6.0</v>
      </c>
      <c r="C2558" s="7" t="s">
        <v>49</v>
      </c>
      <c r="D2558" s="7" t="s">
        <v>441</v>
      </c>
      <c r="E2558" s="5" t="s">
        <v>3134</v>
      </c>
      <c r="F2558" s="5" t="s">
        <v>56</v>
      </c>
    </row>
    <row r="2559">
      <c r="A2559" s="7" t="s">
        <v>874</v>
      </c>
      <c r="B2559" s="8">
        <v>6.0</v>
      </c>
      <c r="C2559" s="7" t="s">
        <v>49</v>
      </c>
      <c r="D2559" s="7" t="s">
        <v>441</v>
      </c>
      <c r="E2559" s="5" t="s">
        <v>3134</v>
      </c>
      <c r="F2559" s="5" t="s">
        <v>56</v>
      </c>
    </row>
    <row r="2560">
      <c r="A2560" s="5" t="s">
        <v>2604</v>
      </c>
      <c r="B2560" s="8">
        <v>6.0</v>
      </c>
      <c r="C2560" s="7" t="s">
        <v>49</v>
      </c>
      <c r="D2560" s="7" t="s">
        <v>441</v>
      </c>
      <c r="E2560" s="5" t="s">
        <v>3134</v>
      </c>
      <c r="F2560" s="5" t="s">
        <v>56</v>
      </c>
    </row>
    <row r="2561">
      <c r="A2561" s="5" t="s">
        <v>3091</v>
      </c>
      <c r="B2561" s="8">
        <v>6.0</v>
      </c>
      <c r="C2561" s="7" t="s">
        <v>49</v>
      </c>
      <c r="D2561" s="7" t="s">
        <v>441</v>
      </c>
      <c r="E2561" s="5" t="s">
        <v>3134</v>
      </c>
      <c r="F2561" s="5" t="s">
        <v>959</v>
      </c>
    </row>
    <row r="2562">
      <c r="A2562" s="5" t="s">
        <v>2605</v>
      </c>
      <c r="B2562" s="8">
        <v>6.0</v>
      </c>
      <c r="C2562" s="7" t="s">
        <v>49</v>
      </c>
      <c r="D2562" s="7" t="s">
        <v>441</v>
      </c>
      <c r="E2562" s="5" t="s">
        <v>3134</v>
      </c>
      <c r="F2562" s="5" t="s">
        <v>959</v>
      </c>
    </row>
    <row r="2563">
      <c r="A2563" s="5" t="s">
        <v>2933</v>
      </c>
      <c r="B2563" s="8">
        <v>6.0</v>
      </c>
      <c r="C2563" s="7" t="s">
        <v>49</v>
      </c>
      <c r="D2563" s="7" t="s">
        <v>441</v>
      </c>
      <c r="E2563" s="5" t="s">
        <v>3134</v>
      </c>
      <c r="F2563" s="5" t="s">
        <v>955</v>
      </c>
    </row>
    <row r="2564">
      <c r="A2564" s="5" t="s">
        <v>2606</v>
      </c>
      <c r="B2564" s="8">
        <v>6.0</v>
      </c>
      <c r="C2564" s="7" t="s">
        <v>49</v>
      </c>
      <c r="D2564" s="7" t="s">
        <v>441</v>
      </c>
      <c r="E2564" s="5" t="s">
        <v>3134</v>
      </c>
      <c r="F2564" s="5" t="s">
        <v>955</v>
      </c>
    </row>
    <row r="2565">
      <c r="A2565" s="5" t="s">
        <v>2934</v>
      </c>
      <c r="B2565" s="8">
        <v>6.0</v>
      </c>
      <c r="C2565" s="7" t="s">
        <v>49</v>
      </c>
      <c r="D2565" s="7" t="s">
        <v>441</v>
      </c>
      <c r="E2565" s="5" t="s">
        <v>3134</v>
      </c>
      <c r="F2565" s="5" t="s">
        <v>959</v>
      </c>
    </row>
    <row r="2566">
      <c r="A2566" s="5" t="s">
        <v>2607</v>
      </c>
      <c r="B2566" s="8">
        <v>6.0</v>
      </c>
      <c r="C2566" s="7" t="s">
        <v>49</v>
      </c>
      <c r="D2566" s="7" t="s">
        <v>441</v>
      </c>
      <c r="E2566" s="5" t="s">
        <v>3134</v>
      </c>
      <c r="F2566" s="5" t="s">
        <v>955</v>
      </c>
    </row>
    <row r="2567">
      <c r="A2567" s="7" t="s">
        <v>876</v>
      </c>
      <c r="B2567" s="8">
        <v>6.0</v>
      </c>
      <c r="C2567" s="7" t="s">
        <v>49</v>
      </c>
      <c r="D2567" s="7" t="s">
        <v>441</v>
      </c>
      <c r="E2567" s="5" t="s">
        <v>3134</v>
      </c>
      <c r="F2567" s="5" t="s">
        <v>959</v>
      </c>
    </row>
    <row r="2568">
      <c r="A2568" s="5" t="s">
        <v>3092</v>
      </c>
      <c r="B2568" s="8">
        <v>6.0</v>
      </c>
      <c r="C2568" s="7" t="s">
        <v>49</v>
      </c>
      <c r="D2568" s="7" t="s">
        <v>441</v>
      </c>
      <c r="E2568" s="5" t="s">
        <v>3134</v>
      </c>
      <c r="F2568" s="5" t="s">
        <v>955</v>
      </c>
    </row>
    <row r="2569">
      <c r="A2569" s="5" t="s">
        <v>2614</v>
      </c>
      <c r="B2569" s="8">
        <v>6.0</v>
      </c>
      <c r="C2569" s="7" t="s">
        <v>49</v>
      </c>
      <c r="D2569" s="7" t="s">
        <v>441</v>
      </c>
      <c r="E2569" s="5" t="s">
        <v>3134</v>
      </c>
      <c r="F2569" s="5" t="s">
        <v>955</v>
      </c>
    </row>
    <row r="2570">
      <c r="A2570" s="5" t="s">
        <v>2608</v>
      </c>
      <c r="B2570" s="8">
        <v>6.0</v>
      </c>
      <c r="C2570" s="7" t="s">
        <v>49</v>
      </c>
      <c r="D2570" s="7" t="s">
        <v>441</v>
      </c>
      <c r="E2570" s="5" t="s">
        <v>3134</v>
      </c>
      <c r="F2570" s="5" t="s">
        <v>955</v>
      </c>
    </row>
    <row r="2571">
      <c r="A2571" s="5" t="s">
        <v>2609</v>
      </c>
      <c r="B2571" s="8">
        <v>6.0</v>
      </c>
      <c r="C2571" s="7" t="s">
        <v>49</v>
      </c>
      <c r="D2571" s="7" t="s">
        <v>441</v>
      </c>
      <c r="E2571" s="5" t="s">
        <v>3134</v>
      </c>
      <c r="F2571" s="5" t="s">
        <v>955</v>
      </c>
    </row>
    <row r="2572">
      <c r="A2572" s="5" t="s">
        <v>2922</v>
      </c>
      <c r="B2572" s="8">
        <v>6.0</v>
      </c>
      <c r="C2572" s="7" t="s">
        <v>223</v>
      </c>
      <c r="D2572" s="7" t="s">
        <v>446</v>
      </c>
      <c r="E2572" s="5" t="s">
        <v>3139</v>
      </c>
      <c r="F2572" s="5" t="s">
        <v>953</v>
      </c>
    </row>
    <row r="2573">
      <c r="A2573" s="7" t="s">
        <v>188</v>
      </c>
      <c r="B2573" s="8">
        <v>6.0</v>
      </c>
      <c r="C2573" s="7" t="s">
        <v>223</v>
      </c>
      <c r="D2573" s="7" t="s">
        <v>446</v>
      </c>
      <c r="E2573" s="5" t="s">
        <v>3139</v>
      </c>
      <c r="F2573" s="5" t="s">
        <v>954</v>
      </c>
    </row>
    <row r="2574">
      <c r="A2574" s="5" t="s">
        <v>2592</v>
      </c>
      <c r="B2574" s="8">
        <v>6.0</v>
      </c>
      <c r="C2574" s="7" t="s">
        <v>223</v>
      </c>
      <c r="D2574" s="7" t="s">
        <v>446</v>
      </c>
      <c r="E2574" s="5" t="s">
        <v>3139</v>
      </c>
      <c r="F2574" s="5" t="s">
        <v>953</v>
      </c>
    </row>
    <row r="2575">
      <c r="A2575" s="5" t="s">
        <v>2796</v>
      </c>
      <c r="B2575" s="8">
        <v>6.0</v>
      </c>
      <c r="C2575" s="7" t="s">
        <v>223</v>
      </c>
      <c r="D2575" s="7" t="s">
        <v>446</v>
      </c>
      <c r="E2575" s="5" t="s">
        <v>3139</v>
      </c>
      <c r="F2575" s="5" t="s">
        <v>954</v>
      </c>
    </row>
    <row r="2576">
      <c r="A2576" s="5" t="s">
        <v>3085</v>
      </c>
      <c r="B2576" s="8">
        <v>6.0</v>
      </c>
      <c r="C2576" s="7" t="s">
        <v>223</v>
      </c>
      <c r="D2576" s="7" t="s">
        <v>446</v>
      </c>
      <c r="E2576" s="5" t="s">
        <v>3139</v>
      </c>
      <c r="F2576" s="5" t="s">
        <v>954</v>
      </c>
    </row>
    <row r="2577">
      <c r="A2577" s="5" t="s">
        <v>2594</v>
      </c>
      <c r="B2577" s="8">
        <v>6.0</v>
      </c>
      <c r="C2577" s="7" t="s">
        <v>223</v>
      </c>
      <c r="D2577" s="7" t="s">
        <v>446</v>
      </c>
      <c r="E2577" s="5" t="s">
        <v>3139</v>
      </c>
      <c r="F2577" s="5" t="s">
        <v>954</v>
      </c>
    </row>
    <row r="2578">
      <c r="A2578" s="5" t="s">
        <v>3086</v>
      </c>
      <c r="B2578" s="8">
        <v>6.0</v>
      </c>
      <c r="C2578" s="7" t="s">
        <v>223</v>
      </c>
      <c r="D2578" s="7" t="s">
        <v>446</v>
      </c>
      <c r="E2578" s="5" t="s">
        <v>3139</v>
      </c>
      <c r="F2578" s="5" t="s">
        <v>954</v>
      </c>
    </row>
    <row r="2579">
      <c r="A2579" s="7" t="s">
        <v>868</v>
      </c>
      <c r="B2579" s="8">
        <v>6.0</v>
      </c>
      <c r="C2579" s="7" t="s">
        <v>223</v>
      </c>
      <c r="D2579" s="7" t="s">
        <v>446</v>
      </c>
      <c r="E2579" s="5" t="s">
        <v>3139</v>
      </c>
      <c r="F2579" s="7" t="s">
        <v>65</v>
      </c>
    </row>
    <row r="2580">
      <c r="A2580" s="7" t="s">
        <v>599</v>
      </c>
      <c r="B2580" s="8">
        <v>6.0</v>
      </c>
      <c r="C2580" s="7" t="s">
        <v>223</v>
      </c>
      <c r="D2580" s="7" t="s">
        <v>446</v>
      </c>
      <c r="E2580" s="5" t="s">
        <v>3139</v>
      </c>
      <c r="F2580" s="7" t="s">
        <v>444</v>
      </c>
    </row>
    <row r="2581">
      <c r="A2581" s="5" t="s">
        <v>3087</v>
      </c>
      <c r="B2581" s="8">
        <v>6.0</v>
      </c>
      <c r="C2581" s="7" t="s">
        <v>223</v>
      </c>
      <c r="D2581" s="7" t="s">
        <v>446</v>
      </c>
      <c r="E2581" s="5" t="s">
        <v>3139</v>
      </c>
      <c r="F2581" s="7" t="s">
        <v>66</v>
      </c>
    </row>
    <row r="2582">
      <c r="A2582" s="5" t="s">
        <v>3088</v>
      </c>
      <c r="B2582" s="8">
        <v>6.0</v>
      </c>
      <c r="C2582" s="7" t="s">
        <v>223</v>
      </c>
      <c r="D2582" s="7" t="s">
        <v>446</v>
      </c>
      <c r="E2582" s="5" t="s">
        <v>3139</v>
      </c>
      <c r="F2582" s="7" t="s">
        <v>444</v>
      </c>
    </row>
    <row r="2583">
      <c r="A2583" s="5" t="s">
        <v>2595</v>
      </c>
      <c r="B2583" s="8">
        <v>6.0</v>
      </c>
      <c r="C2583" s="7" t="s">
        <v>223</v>
      </c>
      <c r="D2583" s="7" t="s">
        <v>446</v>
      </c>
      <c r="E2583" s="5" t="s">
        <v>3139</v>
      </c>
      <c r="F2583" s="7" t="s">
        <v>444</v>
      </c>
    </row>
    <row r="2584">
      <c r="A2584" s="5" t="s">
        <v>3089</v>
      </c>
      <c r="B2584" s="8">
        <v>6.0</v>
      </c>
      <c r="C2584" s="7" t="s">
        <v>223</v>
      </c>
      <c r="D2584" s="7" t="s">
        <v>446</v>
      </c>
      <c r="E2584" s="5" t="s">
        <v>3139</v>
      </c>
      <c r="F2584" s="7" t="s">
        <v>444</v>
      </c>
    </row>
    <row r="2585">
      <c r="A2585" s="5" t="s">
        <v>2597</v>
      </c>
      <c r="B2585" s="8">
        <v>6.0</v>
      </c>
      <c r="C2585" s="7" t="s">
        <v>223</v>
      </c>
      <c r="D2585" s="7" t="s">
        <v>446</v>
      </c>
      <c r="E2585" s="5" t="s">
        <v>3139</v>
      </c>
      <c r="F2585" s="7" t="s">
        <v>444</v>
      </c>
    </row>
    <row r="2586">
      <c r="A2586" s="7" t="s">
        <v>8</v>
      </c>
      <c r="B2586" s="8">
        <v>6.0</v>
      </c>
      <c r="C2586" s="7" t="s">
        <v>223</v>
      </c>
      <c r="D2586" s="7" t="s">
        <v>446</v>
      </c>
      <c r="E2586" s="5" t="s">
        <v>3139</v>
      </c>
      <c r="F2586" s="7" t="s">
        <v>66</v>
      </c>
    </row>
    <row r="2587">
      <c r="A2587" s="5" t="s">
        <v>2798</v>
      </c>
      <c r="B2587" s="8">
        <v>6.0</v>
      </c>
      <c r="C2587" s="7" t="s">
        <v>223</v>
      </c>
      <c r="D2587" s="7" t="s">
        <v>446</v>
      </c>
      <c r="E2587" s="5" t="s">
        <v>3139</v>
      </c>
      <c r="F2587" s="7" t="s">
        <v>443</v>
      </c>
    </row>
    <row r="2588">
      <c r="A2588" s="5" t="s">
        <v>2702</v>
      </c>
      <c r="B2588" s="8">
        <v>6.0</v>
      </c>
      <c r="C2588" s="7" t="s">
        <v>223</v>
      </c>
      <c r="D2588" s="7" t="s">
        <v>446</v>
      </c>
      <c r="E2588" s="5" t="s">
        <v>3139</v>
      </c>
      <c r="F2588" s="7" t="s">
        <v>444</v>
      </c>
    </row>
    <row r="2589">
      <c r="A2589" s="5" t="s">
        <v>2599</v>
      </c>
      <c r="B2589" s="8">
        <v>6.0</v>
      </c>
      <c r="C2589" s="7" t="s">
        <v>223</v>
      </c>
      <c r="D2589" s="7" t="s">
        <v>446</v>
      </c>
      <c r="E2589" s="5" t="s">
        <v>3139</v>
      </c>
      <c r="F2589" s="7" t="s">
        <v>443</v>
      </c>
    </row>
    <row r="2590">
      <c r="A2590" s="5" t="s">
        <v>2600</v>
      </c>
      <c r="B2590" s="8">
        <v>6.0</v>
      </c>
      <c r="C2590" s="7" t="s">
        <v>223</v>
      </c>
      <c r="D2590" s="7" t="s">
        <v>446</v>
      </c>
      <c r="E2590" s="5" t="s">
        <v>3139</v>
      </c>
      <c r="F2590" s="7" t="s">
        <v>444</v>
      </c>
    </row>
    <row r="2591">
      <c r="A2591" s="5" t="s">
        <v>3090</v>
      </c>
      <c r="B2591" s="8">
        <v>6.0</v>
      </c>
      <c r="C2591" s="7" t="s">
        <v>223</v>
      </c>
      <c r="D2591" s="7" t="s">
        <v>446</v>
      </c>
      <c r="E2591" s="5" t="s">
        <v>3139</v>
      </c>
      <c r="F2591" s="7" t="s">
        <v>961</v>
      </c>
    </row>
    <row r="2592">
      <c r="A2592" s="7" t="s">
        <v>873</v>
      </c>
      <c r="B2592" s="8">
        <v>6.0</v>
      </c>
      <c r="C2592" s="7" t="s">
        <v>223</v>
      </c>
      <c r="D2592" s="7" t="s">
        <v>446</v>
      </c>
      <c r="E2592" s="5" t="s">
        <v>3139</v>
      </c>
      <c r="F2592" s="7" t="s">
        <v>444</v>
      </c>
    </row>
    <row r="2593">
      <c r="A2593" s="5" t="s">
        <v>2602</v>
      </c>
      <c r="B2593" s="8">
        <v>6.0</v>
      </c>
      <c r="C2593" s="7" t="s">
        <v>223</v>
      </c>
      <c r="D2593" s="7" t="s">
        <v>446</v>
      </c>
      <c r="E2593" s="5" t="s">
        <v>3139</v>
      </c>
      <c r="F2593" s="7" t="s">
        <v>444</v>
      </c>
    </row>
    <row r="2594">
      <c r="A2594" s="5" t="s">
        <v>2603</v>
      </c>
      <c r="B2594" s="8">
        <v>6.0</v>
      </c>
      <c r="C2594" s="7" t="s">
        <v>223</v>
      </c>
      <c r="D2594" s="7" t="s">
        <v>446</v>
      </c>
      <c r="E2594" s="5" t="s">
        <v>3139</v>
      </c>
      <c r="F2594" s="7" t="s">
        <v>444</v>
      </c>
    </row>
    <row r="2595">
      <c r="A2595" s="7" t="s">
        <v>874</v>
      </c>
      <c r="B2595" s="8">
        <v>6.0</v>
      </c>
      <c r="C2595" s="7" t="s">
        <v>223</v>
      </c>
      <c r="D2595" s="7" t="s">
        <v>446</v>
      </c>
      <c r="E2595" s="5" t="s">
        <v>3139</v>
      </c>
      <c r="F2595" s="7" t="s">
        <v>444</v>
      </c>
    </row>
    <row r="2596">
      <c r="A2596" s="5" t="s">
        <v>2604</v>
      </c>
      <c r="B2596" s="8">
        <v>6.0</v>
      </c>
      <c r="C2596" s="7" t="s">
        <v>223</v>
      </c>
      <c r="D2596" s="7" t="s">
        <v>446</v>
      </c>
      <c r="E2596" s="5" t="s">
        <v>3139</v>
      </c>
      <c r="F2596" s="7" t="s">
        <v>444</v>
      </c>
    </row>
    <row r="2597">
      <c r="A2597" s="5" t="s">
        <v>3091</v>
      </c>
      <c r="B2597" s="8">
        <v>6.0</v>
      </c>
      <c r="C2597" s="7" t="s">
        <v>223</v>
      </c>
      <c r="D2597" s="7" t="s">
        <v>446</v>
      </c>
      <c r="E2597" s="5" t="s">
        <v>3139</v>
      </c>
      <c r="F2597" s="7" t="s">
        <v>444</v>
      </c>
    </row>
    <row r="2598">
      <c r="A2598" s="5" t="s">
        <v>2605</v>
      </c>
      <c r="B2598" s="8">
        <v>6.0</v>
      </c>
      <c r="C2598" s="7" t="s">
        <v>223</v>
      </c>
      <c r="D2598" s="7" t="s">
        <v>446</v>
      </c>
      <c r="E2598" s="5" t="s">
        <v>3139</v>
      </c>
      <c r="F2598" s="7" t="s">
        <v>444</v>
      </c>
    </row>
    <row r="2599">
      <c r="A2599" s="5" t="s">
        <v>2933</v>
      </c>
      <c r="B2599" s="8">
        <v>6.0</v>
      </c>
      <c r="C2599" s="7" t="s">
        <v>223</v>
      </c>
      <c r="D2599" s="7" t="s">
        <v>446</v>
      </c>
      <c r="E2599" s="5" t="s">
        <v>3139</v>
      </c>
      <c r="F2599" s="7" t="s">
        <v>444</v>
      </c>
    </row>
    <row r="2600">
      <c r="A2600" s="5" t="s">
        <v>2606</v>
      </c>
      <c r="B2600" s="8">
        <v>6.0</v>
      </c>
      <c r="C2600" s="7" t="s">
        <v>223</v>
      </c>
      <c r="D2600" s="7" t="s">
        <v>446</v>
      </c>
      <c r="E2600" s="5" t="s">
        <v>3139</v>
      </c>
      <c r="F2600" s="7" t="s">
        <v>444</v>
      </c>
    </row>
    <row r="2601">
      <c r="A2601" s="5" t="s">
        <v>2934</v>
      </c>
      <c r="B2601" s="8">
        <v>6.0</v>
      </c>
      <c r="C2601" s="7" t="s">
        <v>223</v>
      </c>
      <c r="D2601" s="7" t="s">
        <v>446</v>
      </c>
      <c r="E2601" s="5" t="s">
        <v>3139</v>
      </c>
      <c r="F2601" s="7" t="s">
        <v>444</v>
      </c>
    </row>
    <row r="2602">
      <c r="A2602" s="5" t="s">
        <v>2607</v>
      </c>
      <c r="B2602" s="8">
        <v>6.0</v>
      </c>
      <c r="C2602" s="7" t="s">
        <v>223</v>
      </c>
      <c r="D2602" s="7" t="s">
        <v>446</v>
      </c>
      <c r="E2602" s="5" t="s">
        <v>3139</v>
      </c>
      <c r="F2602" s="7" t="s">
        <v>444</v>
      </c>
    </row>
    <row r="2603">
      <c r="A2603" s="7" t="s">
        <v>876</v>
      </c>
      <c r="B2603" s="8">
        <v>6.0</v>
      </c>
      <c r="C2603" s="7" t="s">
        <v>223</v>
      </c>
      <c r="D2603" s="7" t="s">
        <v>446</v>
      </c>
      <c r="E2603" s="5" t="s">
        <v>3139</v>
      </c>
      <c r="F2603" s="7" t="s">
        <v>444</v>
      </c>
    </row>
    <row r="2604">
      <c r="A2604" s="5" t="s">
        <v>3092</v>
      </c>
      <c r="B2604" s="8">
        <v>6.0</v>
      </c>
      <c r="C2604" s="7" t="s">
        <v>223</v>
      </c>
      <c r="D2604" s="7" t="s">
        <v>446</v>
      </c>
      <c r="E2604" s="5" t="s">
        <v>3139</v>
      </c>
      <c r="F2604" s="7" t="s">
        <v>444</v>
      </c>
    </row>
    <row r="2605">
      <c r="A2605" s="5" t="s">
        <v>2614</v>
      </c>
      <c r="B2605" s="8">
        <v>6.0</v>
      </c>
      <c r="C2605" s="7" t="s">
        <v>223</v>
      </c>
      <c r="D2605" s="7" t="s">
        <v>446</v>
      </c>
      <c r="E2605" s="5" t="s">
        <v>3139</v>
      </c>
      <c r="F2605" s="7" t="s">
        <v>444</v>
      </c>
    </row>
    <row r="2606">
      <c r="A2606" s="5" t="s">
        <v>2608</v>
      </c>
      <c r="B2606" s="8">
        <v>6.0</v>
      </c>
      <c r="C2606" s="7" t="s">
        <v>223</v>
      </c>
      <c r="D2606" s="7" t="s">
        <v>446</v>
      </c>
      <c r="E2606" s="5" t="s">
        <v>3139</v>
      </c>
      <c r="F2606" s="7" t="s">
        <v>444</v>
      </c>
    </row>
    <row r="2607">
      <c r="A2607" s="5" t="s">
        <v>2609</v>
      </c>
      <c r="B2607" s="8">
        <v>6.0</v>
      </c>
      <c r="C2607" s="7" t="s">
        <v>223</v>
      </c>
      <c r="D2607" s="7" t="s">
        <v>446</v>
      </c>
      <c r="E2607" s="5" t="s">
        <v>3139</v>
      </c>
      <c r="F2607" s="7" t="s">
        <v>444</v>
      </c>
    </row>
    <row r="2608">
      <c r="A2608" s="5" t="s">
        <v>2922</v>
      </c>
      <c r="B2608" s="8">
        <v>6.0</v>
      </c>
      <c r="C2608" s="7" t="s">
        <v>43</v>
      </c>
      <c r="D2608" s="7" t="s">
        <v>631</v>
      </c>
      <c r="E2608" s="5" t="s">
        <v>3140</v>
      </c>
      <c r="F2608" s="7" t="s">
        <v>444</v>
      </c>
    </row>
    <row r="2609">
      <c r="A2609" s="7" t="s">
        <v>188</v>
      </c>
      <c r="B2609" s="8">
        <v>6.0</v>
      </c>
      <c r="C2609" s="7" t="s">
        <v>43</v>
      </c>
      <c r="D2609" s="7" t="s">
        <v>631</v>
      </c>
      <c r="E2609" s="5" t="s">
        <v>3140</v>
      </c>
      <c r="F2609" s="7" t="s">
        <v>444</v>
      </c>
    </row>
    <row r="2610">
      <c r="A2610" s="5" t="s">
        <v>2592</v>
      </c>
      <c r="B2610" s="8">
        <v>6.0</v>
      </c>
      <c r="C2610" s="7" t="s">
        <v>43</v>
      </c>
      <c r="D2610" s="7" t="s">
        <v>631</v>
      </c>
      <c r="E2610" s="5" t="s">
        <v>3140</v>
      </c>
      <c r="F2610" s="7" t="s">
        <v>444</v>
      </c>
    </row>
    <row r="2611">
      <c r="A2611" s="5" t="s">
        <v>2796</v>
      </c>
      <c r="B2611" s="8">
        <v>6.0</v>
      </c>
      <c r="C2611" s="7" t="s">
        <v>43</v>
      </c>
      <c r="D2611" s="7" t="s">
        <v>631</v>
      </c>
      <c r="E2611" s="5" t="s">
        <v>3140</v>
      </c>
      <c r="F2611" s="7" t="s">
        <v>444</v>
      </c>
    </row>
    <row r="2612">
      <c r="A2612" s="5" t="s">
        <v>3085</v>
      </c>
      <c r="B2612" s="8">
        <v>6.0</v>
      </c>
      <c r="C2612" s="7" t="s">
        <v>43</v>
      </c>
      <c r="D2612" s="7" t="s">
        <v>631</v>
      </c>
      <c r="E2612" s="5" t="s">
        <v>3140</v>
      </c>
      <c r="F2612" s="7" t="s">
        <v>65</v>
      </c>
    </row>
    <row r="2613">
      <c r="A2613" s="5" t="s">
        <v>2594</v>
      </c>
      <c r="B2613" s="8">
        <v>6.0</v>
      </c>
      <c r="C2613" s="7" t="s">
        <v>43</v>
      </c>
      <c r="D2613" s="7" t="s">
        <v>631</v>
      </c>
      <c r="E2613" s="5" t="s">
        <v>3140</v>
      </c>
      <c r="F2613" s="7" t="s">
        <v>65</v>
      </c>
    </row>
    <row r="2614">
      <c r="A2614" s="5" t="s">
        <v>3086</v>
      </c>
      <c r="B2614" s="8">
        <v>6.0</v>
      </c>
      <c r="C2614" s="7" t="s">
        <v>43</v>
      </c>
      <c r="D2614" s="7" t="s">
        <v>631</v>
      </c>
      <c r="E2614" s="5" t="s">
        <v>3140</v>
      </c>
      <c r="F2614" s="7" t="s">
        <v>444</v>
      </c>
    </row>
    <row r="2615">
      <c r="A2615" s="7" t="s">
        <v>868</v>
      </c>
      <c r="B2615" s="8">
        <v>6.0</v>
      </c>
      <c r="C2615" s="7" t="s">
        <v>43</v>
      </c>
      <c r="D2615" s="7" t="s">
        <v>631</v>
      </c>
      <c r="E2615" s="5" t="s">
        <v>3140</v>
      </c>
      <c r="F2615" s="7" t="s">
        <v>444</v>
      </c>
    </row>
    <row r="2616">
      <c r="A2616" s="7" t="s">
        <v>599</v>
      </c>
      <c r="B2616" s="8">
        <v>6.0</v>
      </c>
      <c r="C2616" s="7" t="s">
        <v>43</v>
      </c>
      <c r="D2616" s="7" t="s">
        <v>631</v>
      </c>
      <c r="E2616" s="5" t="s">
        <v>3140</v>
      </c>
      <c r="F2616" s="7" t="s">
        <v>444</v>
      </c>
    </row>
    <row r="2617">
      <c r="A2617" s="5" t="s">
        <v>3087</v>
      </c>
      <c r="B2617" s="8">
        <v>6.0</v>
      </c>
      <c r="C2617" s="7" t="s">
        <v>43</v>
      </c>
      <c r="D2617" s="7" t="s">
        <v>631</v>
      </c>
      <c r="E2617" s="5" t="s">
        <v>3140</v>
      </c>
      <c r="F2617" s="7" t="s">
        <v>66</v>
      </c>
    </row>
    <row r="2618">
      <c r="A2618" s="5" t="s">
        <v>3088</v>
      </c>
      <c r="B2618" s="8">
        <v>6.0</v>
      </c>
      <c r="C2618" s="7" t="s">
        <v>43</v>
      </c>
      <c r="D2618" s="7" t="s">
        <v>631</v>
      </c>
      <c r="E2618" s="5" t="s">
        <v>3140</v>
      </c>
      <c r="F2618" s="7" t="s">
        <v>444</v>
      </c>
    </row>
    <row r="2619">
      <c r="A2619" s="5" t="s">
        <v>2595</v>
      </c>
      <c r="B2619" s="8">
        <v>6.0</v>
      </c>
      <c r="C2619" s="7" t="s">
        <v>43</v>
      </c>
      <c r="D2619" s="7" t="s">
        <v>631</v>
      </c>
      <c r="E2619" s="5" t="s">
        <v>3140</v>
      </c>
      <c r="F2619" s="7" t="s">
        <v>444</v>
      </c>
    </row>
    <row r="2620">
      <c r="A2620" s="5" t="s">
        <v>3089</v>
      </c>
      <c r="B2620" s="8">
        <v>6.0</v>
      </c>
      <c r="C2620" s="7" t="s">
        <v>43</v>
      </c>
      <c r="D2620" s="7" t="s">
        <v>631</v>
      </c>
      <c r="E2620" s="5" t="s">
        <v>3140</v>
      </c>
      <c r="F2620" s="7" t="s">
        <v>444</v>
      </c>
    </row>
    <row r="2621">
      <c r="A2621" s="5" t="s">
        <v>2597</v>
      </c>
      <c r="B2621" s="8">
        <v>6.0</v>
      </c>
      <c r="C2621" s="7" t="s">
        <v>43</v>
      </c>
      <c r="D2621" s="7" t="s">
        <v>631</v>
      </c>
      <c r="E2621" s="5" t="s">
        <v>3140</v>
      </c>
      <c r="F2621" s="7" t="s">
        <v>444</v>
      </c>
    </row>
    <row r="2622">
      <c r="A2622" s="7" t="s">
        <v>8</v>
      </c>
      <c r="B2622" s="8">
        <v>6.0</v>
      </c>
      <c r="C2622" s="7" t="s">
        <v>43</v>
      </c>
      <c r="D2622" s="7" t="s">
        <v>631</v>
      </c>
      <c r="E2622" s="5" t="s">
        <v>3140</v>
      </c>
      <c r="F2622" s="7" t="s">
        <v>66</v>
      </c>
    </row>
    <row r="2623">
      <c r="A2623" s="5" t="s">
        <v>2798</v>
      </c>
      <c r="B2623" s="8">
        <v>6.0</v>
      </c>
      <c r="C2623" s="7" t="s">
        <v>43</v>
      </c>
      <c r="D2623" s="7" t="s">
        <v>631</v>
      </c>
      <c r="E2623" s="5" t="s">
        <v>3140</v>
      </c>
      <c r="F2623" s="7" t="s">
        <v>443</v>
      </c>
    </row>
    <row r="2624">
      <c r="A2624" s="5" t="s">
        <v>2702</v>
      </c>
      <c r="B2624" s="8">
        <v>6.0</v>
      </c>
      <c r="C2624" s="7" t="s">
        <v>43</v>
      </c>
      <c r="D2624" s="7" t="s">
        <v>631</v>
      </c>
      <c r="E2624" s="5" t="s">
        <v>3140</v>
      </c>
      <c r="F2624" s="7" t="s">
        <v>444</v>
      </c>
    </row>
    <row r="2625">
      <c r="A2625" s="5" t="s">
        <v>2599</v>
      </c>
      <c r="B2625" s="8">
        <v>6.0</v>
      </c>
      <c r="C2625" s="7" t="s">
        <v>43</v>
      </c>
      <c r="D2625" s="7" t="s">
        <v>631</v>
      </c>
      <c r="E2625" s="5" t="s">
        <v>3140</v>
      </c>
      <c r="F2625" s="7" t="s">
        <v>443</v>
      </c>
    </row>
    <row r="2626">
      <c r="A2626" s="5" t="s">
        <v>2600</v>
      </c>
      <c r="B2626" s="8">
        <v>6.0</v>
      </c>
      <c r="C2626" s="7" t="s">
        <v>43</v>
      </c>
      <c r="D2626" s="7" t="s">
        <v>631</v>
      </c>
      <c r="E2626" s="5" t="s">
        <v>3140</v>
      </c>
      <c r="F2626" s="7" t="s">
        <v>444</v>
      </c>
    </row>
    <row r="2627">
      <c r="A2627" s="5" t="s">
        <v>3090</v>
      </c>
      <c r="B2627" s="8">
        <v>6.0</v>
      </c>
      <c r="C2627" s="7" t="s">
        <v>43</v>
      </c>
      <c r="D2627" s="7" t="s">
        <v>631</v>
      </c>
      <c r="E2627" s="5" t="s">
        <v>3140</v>
      </c>
      <c r="F2627" s="7" t="s">
        <v>961</v>
      </c>
    </row>
    <row r="2628">
      <c r="A2628" s="7" t="s">
        <v>873</v>
      </c>
      <c r="B2628" s="8">
        <v>6.0</v>
      </c>
      <c r="C2628" s="7" t="s">
        <v>43</v>
      </c>
      <c r="D2628" s="7" t="s">
        <v>631</v>
      </c>
      <c r="E2628" s="5" t="s">
        <v>3140</v>
      </c>
      <c r="F2628" s="7" t="s">
        <v>444</v>
      </c>
    </row>
    <row r="2629">
      <c r="A2629" s="5" t="s">
        <v>2602</v>
      </c>
      <c r="B2629" s="8">
        <v>6.0</v>
      </c>
      <c r="C2629" s="7" t="s">
        <v>43</v>
      </c>
      <c r="D2629" s="7" t="s">
        <v>631</v>
      </c>
      <c r="E2629" s="5" t="s">
        <v>3140</v>
      </c>
      <c r="F2629" s="7" t="s">
        <v>444</v>
      </c>
    </row>
    <row r="2630">
      <c r="A2630" s="5" t="s">
        <v>2603</v>
      </c>
      <c r="B2630" s="8">
        <v>6.0</v>
      </c>
      <c r="C2630" s="7" t="s">
        <v>43</v>
      </c>
      <c r="D2630" s="7" t="s">
        <v>631</v>
      </c>
      <c r="E2630" s="5" t="s">
        <v>3140</v>
      </c>
      <c r="F2630" s="7" t="s">
        <v>444</v>
      </c>
    </row>
    <row r="2631">
      <c r="A2631" s="7" t="s">
        <v>874</v>
      </c>
      <c r="B2631" s="8">
        <v>6.0</v>
      </c>
      <c r="C2631" s="7" t="s">
        <v>43</v>
      </c>
      <c r="D2631" s="7" t="s">
        <v>631</v>
      </c>
      <c r="E2631" s="5" t="s">
        <v>3140</v>
      </c>
      <c r="F2631" s="7" t="s">
        <v>444</v>
      </c>
    </row>
    <row r="2632">
      <c r="A2632" s="5" t="s">
        <v>2604</v>
      </c>
      <c r="B2632" s="8">
        <v>6.0</v>
      </c>
      <c r="C2632" s="7" t="s">
        <v>43</v>
      </c>
      <c r="D2632" s="7" t="s">
        <v>631</v>
      </c>
      <c r="E2632" s="5" t="s">
        <v>3140</v>
      </c>
      <c r="F2632" s="7" t="s">
        <v>444</v>
      </c>
    </row>
    <row r="2633">
      <c r="A2633" s="5" t="s">
        <v>3091</v>
      </c>
      <c r="B2633" s="8">
        <v>6.0</v>
      </c>
      <c r="C2633" s="7" t="s">
        <v>43</v>
      </c>
      <c r="D2633" s="7" t="s">
        <v>631</v>
      </c>
      <c r="E2633" s="5" t="s">
        <v>3140</v>
      </c>
      <c r="F2633" s="7" t="s">
        <v>444</v>
      </c>
    </row>
    <row r="2634">
      <c r="A2634" s="5" t="s">
        <v>2605</v>
      </c>
      <c r="B2634" s="8">
        <v>6.0</v>
      </c>
      <c r="C2634" s="7" t="s">
        <v>43</v>
      </c>
      <c r="D2634" s="7" t="s">
        <v>631</v>
      </c>
      <c r="E2634" s="5" t="s">
        <v>3140</v>
      </c>
      <c r="F2634" s="7" t="s">
        <v>444</v>
      </c>
    </row>
    <row r="2635">
      <c r="A2635" s="5" t="s">
        <v>2933</v>
      </c>
      <c r="B2635" s="8">
        <v>6.0</v>
      </c>
      <c r="C2635" s="7" t="s">
        <v>43</v>
      </c>
      <c r="D2635" s="7" t="s">
        <v>631</v>
      </c>
      <c r="E2635" s="5" t="s">
        <v>3140</v>
      </c>
      <c r="F2635" s="7" t="s">
        <v>444</v>
      </c>
    </row>
    <row r="2636">
      <c r="A2636" s="5" t="s">
        <v>2606</v>
      </c>
      <c r="B2636" s="8">
        <v>6.0</v>
      </c>
      <c r="C2636" s="7" t="s">
        <v>43</v>
      </c>
      <c r="D2636" s="7" t="s">
        <v>631</v>
      </c>
      <c r="E2636" s="5" t="s">
        <v>3140</v>
      </c>
      <c r="F2636" s="7" t="s">
        <v>444</v>
      </c>
    </row>
    <row r="2637">
      <c r="A2637" s="5" t="s">
        <v>2934</v>
      </c>
      <c r="B2637" s="8">
        <v>6.0</v>
      </c>
      <c r="C2637" s="7" t="s">
        <v>43</v>
      </c>
      <c r="D2637" s="7" t="s">
        <v>631</v>
      </c>
      <c r="E2637" s="5" t="s">
        <v>3140</v>
      </c>
      <c r="F2637" s="7" t="s">
        <v>444</v>
      </c>
    </row>
    <row r="2638">
      <c r="A2638" s="5" t="s">
        <v>2607</v>
      </c>
      <c r="B2638" s="8">
        <v>6.0</v>
      </c>
      <c r="C2638" s="7" t="s">
        <v>43</v>
      </c>
      <c r="D2638" s="7" t="s">
        <v>631</v>
      </c>
      <c r="E2638" s="5" t="s">
        <v>3140</v>
      </c>
      <c r="F2638" s="7" t="s">
        <v>444</v>
      </c>
    </row>
    <row r="2639">
      <c r="A2639" s="7" t="s">
        <v>876</v>
      </c>
      <c r="B2639" s="8">
        <v>6.0</v>
      </c>
      <c r="C2639" s="7" t="s">
        <v>43</v>
      </c>
      <c r="D2639" s="7" t="s">
        <v>631</v>
      </c>
      <c r="E2639" s="5" t="s">
        <v>3140</v>
      </c>
      <c r="F2639" s="7" t="s">
        <v>444</v>
      </c>
    </row>
    <row r="2640">
      <c r="A2640" s="5" t="s">
        <v>3092</v>
      </c>
      <c r="B2640" s="8">
        <v>6.0</v>
      </c>
      <c r="C2640" s="7" t="s">
        <v>43</v>
      </c>
      <c r="D2640" s="7" t="s">
        <v>631</v>
      </c>
      <c r="E2640" s="5" t="s">
        <v>3140</v>
      </c>
      <c r="F2640" s="7" t="s">
        <v>444</v>
      </c>
    </row>
    <row r="2641">
      <c r="A2641" s="5" t="s">
        <v>2614</v>
      </c>
      <c r="B2641" s="8">
        <v>6.0</v>
      </c>
      <c r="C2641" s="7" t="s">
        <v>43</v>
      </c>
      <c r="D2641" s="7" t="s">
        <v>631</v>
      </c>
      <c r="E2641" s="5" t="s">
        <v>3140</v>
      </c>
      <c r="F2641" s="7" t="s">
        <v>444</v>
      </c>
    </row>
    <row r="2642">
      <c r="A2642" s="5" t="s">
        <v>2608</v>
      </c>
      <c r="B2642" s="8">
        <v>6.0</v>
      </c>
      <c r="C2642" s="7" t="s">
        <v>43</v>
      </c>
      <c r="D2642" s="7" t="s">
        <v>631</v>
      </c>
      <c r="E2642" s="5" t="s">
        <v>3140</v>
      </c>
      <c r="F2642" s="7" t="s">
        <v>444</v>
      </c>
    </row>
    <row r="2643">
      <c r="A2643" s="5" t="s">
        <v>2609</v>
      </c>
      <c r="B2643" s="8">
        <v>6.0</v>
      </c>
      <c r="C2643" s="7" t="s">
        <v>43</v>
      </c>
      <c r="D2643" s="7" t="s">
        <v>631</v>
      </c>
      <c r="E2643" s="5" t="s">
        <v>3140</v>
      </c>
      <c r="F2643" s="7" t="s">
        <v>444</v>
      </c>
    </row>
    <row r="2644">
      <c r="A2644" s="5" t="s">
        <v>2922</v>
      </c>
      <c r="B2644" s="8">
        <v>6.0</v>
      </c>
      <c r="C2644" s="7" t="s">
        <v>62</v>
      </c>
      <c r="D2644" s="7" t="s">
        <v>963</v>
      </c>
      <c r="E2644" s="5" t="s">
        <v>964</v>
      </c>
      <c r="F2644" s="7" t="s">
        <v>47</v>
      </c>
    </row>
    <row r="2645">
      <c r="A2645" s="7" t="s">
        <v>188</v>
      </c>
      <c r="B2645" s="8">
        <v>6.0</v>
      </c>
      <c r="C2645" s="7" t="s">
        <v>62</v>
      </c>
      <c r="D2645" s="7" t="s">
        <v>963</v>
      </c>
      <c r="E2645" s="5" t="s">
        <v>964</v>
      </c>
      <c r="F2645" s="7" t="s">
        <v>47</v>
      </c>
    </row>
    <row r="2646">
      <c r="A2646" s="5" t="s">
        <v>2592</v>
      </c>
      <c r="B2646" s="8">
        <v>6.0</v>
      </c>
      <c r="C2646" s="7" t="s">
        <v>62</v>
      </c>
      <c r="D2646" s="7" t="s">
        <v>963</v>
      </c>
      <c r="E2646" s="5" t="s">
        <v>964</v>
      </c>
      <c r="F2646" s="7" t="s">
        <v>47</v>
      </c>
    </row>
    <row r="2647">
      <c r="A2647" s="5" t="s">
        <v>2796</v>
      </c>
      <c r="B2647" s="8">
        <v>6.0</v>
      </c>
      <c r="C2647" s="7" t="s">
        <v>62</v>
      </c>
      <c r="D2647" s="7" t="s">
        <v>963</v>
      </c>
      <c r="E2647" s="5" t="s">
        <v>964</v>
      </c>
      <c r="F2647" s="7" t="s">
        <v>47</v>
      </c>
    </row>
    <row r="2648">
      <c r="A2648" s="5" t="s">
        <v>3085</v>
      </c>
      <c r="B2648" s="8">
        <v>6.0</v>
      </c>
      <c r="C2648" s="7" t="s">
        <v>62</v>
      </c>
      <c r="D2648" s="7" t="s">
        <v>963</v>
      </c>
      <c r="E2648" s="5" t="s">
        <v>964</v>
      </c>
      <c r="F2648" s="7" t="s">
        <v>47</v>
      </c>
    </row>
    <row r="2649">
      <c r="A2649" s="5" t="s">
        <v>2594</v>
      </c>
      <c r="B2649" s="8">
        <v>6.0</v>
      </c>
      <c r="C2649" s="7" t="s">
        <v>62</v>
      </c>
      <c r="D2649" s="7" t="s">
        <v>963</v>
      </c>
      <c r="E2649" s="5" t="s">
        <v>964</v>
      </c>
      <c r="F2649" s="7" t="s">
        <v>47</v>
      </c>
    </row>
    <row r="2650">
      <c r="A2650" s="5" t="s">
        <v>3086</v>
      </c>
      <c r="B2650" s="8">
        <v>6.0</v>
      </c>
      <c r="C2650" s="7" t="s">
        <v>62</v>
      </c>
      <c r="D2650" s="7" t="s">
        <v>963</v>
      </c>
      <c r="E2650" s="5" t="s">
        <v>964</v>
      </c>
      <c r="F2650" s="7" t="s">
        <v>47</v>
      </c>
    </row>
    <row r="2651">
      <c r="A2651" s="7" t="s">
        <v>868</v>
      </c>
      <c r="B2651" s="8">
        <v>6.0</v>
      </c>
      <c r="C2651" s="7" t="s">
        <v>62</v>
      </c>
      <c r="D2651" s="7" t="s">
        <v>963</v>
      </c>
      <c r="E2651" s="5" t="s">
        <v>964</v>
      </c>
      <c r="F2651" s="7" t="s">
        <v>47</v>
      </c>
    </row>
    <row r="2652">
      <c r="A2652" s="7" t="s">
        <v>599</v>
      </c>
      <c r="B2652" s="8">
        <v>6.0</v>
      </c>
      <c r="C2652" s="7" t="s">
        <v>62</v>
      </c>
      <c r="D2652" s="7" t="s">
        <v>963</v>
      </c>
      <c r="E2652" s="5" t="s">
        <v>964</v>
      </c>
      <c r="F2652" s="7" t="s">
        <v>47</v>
      </c>
    </row>
    <row r="2653">
      <c r="A2653" s="5" t="s">
        <v>3087</v>
      </c>
      <c r="B2653" s="8">
        <v>6.0</v>
      </c>
      <c r="C2653" s="7" t="s">
        <v>62</v>
      </c>
      <c r="D2653" s="7" t="s">
        <v>963</v>
      </c>
      <c r="E2653" s="5" t="s">
        <v>964</v>
      </c>
      <c r="F2653" s="7" t="s">
        <v>66</v>
      </c>
    </row>
    <row r="2654">
      <c r="A2654" s="5" t="s">
        <v>3088</v>
      </c>
      <c r="B2654" s="8">
        <v>6.0</v>
      </c>
      <c r="C2654" s="7" t="s">
        <v>62</v>
      </c>
      <c r="D2654" s="7" t="s">
        <v>963</v>
      </c>
      <c r="E2654" s="5" t="s">
        <v>964</v>
      </c>
      <c r="F2654" s="7" t="s">
        <v>47</v>
      </c>
    </row>
    <row r="2655">
      <c r="A2655" s="5" t="s">
        <v>2595</v>
      </c>
      <c r="B2655" s="8">
        <v>6.0</v>
      </c>
      <c r="C2655" s="7" t="s">
        <v>62</v>
      </c>
      <c r="D2655" s="7" t="s">
        <v>963</v>
      </c>
      <c r="E2655" s="5" t="s">
        <v>964</v>
      </c>
      <c r="F2655" s="7" t="s">
        <v>47</v>
      </c>
    </row>
    <row r="2656">
      <c r="A2656" s="5" t="s">
        <v>3089</v>
      </c>
      <c r="B2656" s="8">
        <v>6.0</v>
      </c>
      <c r="C2656" s="7" t="s">
        <v>62</v>
      </c>
      <c r="D2656" s="7" t="s">
        <v>963</v>
      </c>
      <c r="E2656" s="5" t="s">
        <v>964</v>
      </c>
      <c r="F2656" s="7" t="s">
        <v>47</v>
      </c>
    </row>
    <row r="2657">
      <c r="A2657" s="5" t="s">
        <v>2597</v>
      </c>
      <c r="B2657" s="8">
        <v>6.0</v>
      </c>
      <c r="C2657" s="7" t="s">
        <v>62</v>
      </c>
      <c r="D2657" s="7" t="s">
        <v>963</v>
      </c>
      <c r="E2657" s="5" t="s">
        <v>964</v>
      </c>
      <c r="F2657" s="7" t="s">
        <v>47</v>
      </c>
    </row>
    <row r="2658">
      <c r="A2658" s="7" t="s">
        <v>8</v>
      </c>
      <c r="B2658" s="8">
        <v>6.0</v>
      </c>
      <c r="C2658" s="7" t="s">
        <v>62</v>
      </c>
      <c r="D2658" s="7" t="s">
        <v>963</v>
      </c>
      <c r="E2658" s="5" t="s">
        <v>964</v>
      </c>
      <c r="F2658" s="7" t="s">
        <v>66</v>
      </c>
    </row>
    <row r="2659">
      <c r="A2659" s="5" t="s">
        <v>2798</v>
      </c>
      <c r="B2659" s="8">
        <v>6.0</v>
      </c>
      <c r="C2659" s="7" t="s">
        <v>62</v>
      </c>
      <c r="D2659" s="7" t="s">
        <v>963</v>
      </c>
      <c r="E2659" s="5" t="s">
        <v>964</v>
      </c>
      <c r="F2659" s="7" t="s">
        <v>443</v>
      </c>
    </row>
    <row r="2660">
      <c r="A2660" s="5" t="s">
        <v>2702</v>
      </c>
      <c r="B2660" s="8">
        <v>6.0</v>
      </c>
      <c r="C2660" s="7" t="s">
        <v>62</v>
      </c>
      <c r="D2660" s="7" t="s">
        <v>963</v>
      </c>
      <c r="E2660" s="5" t="s">
        <v>964</v>
      </c>
      <c r="F2660" s="7" t="s">
        <v>444</v>
      </c>
    </row>
    <row r="2661">
      <c r="A2661" s="5" t="s">
        <v>2599</v>
      </c>
      <c r="B2661" s="8">
        <v>6.0</v>
      </c>
      <c r="C2661" s="7" t="s">
        <v>62</v>
      </c>
      <c r="D2661" s="7" t="s">
        <v>963</v>
      </c>
      <c r="E2661" s="5" t="s">
        <v>964</v>
      </c>
      <c r="F2661" s="7" t="s">
        <v>443</v>
      </c>
    </row>
    <row r="2662">
      <c r="A2662" s="5" t="s">
        <v>2600</v>
      </c>
      <c r="B2662" s="8">
        <v>6.0</v>
      </c>
      <c r="C2662" s="7" t="s">
        <v>62</v>
      </c>
      <c r="D2662" s="7" t="s">
        <v>963</v>
      </c>
      <c r="E2662" s="5" t="s">
        <v>964</v>
      </c>
      <c r="F2662" s="7" t="s">
        <v>444</v>
      </c>
    </row>
    <row r="2663">
      <c r="A2663" s="5" t="s">
        <v>3090</v>
      </c>
      <c r="B2663" s="8">
        <v>6.0</v>
      </c>
      <c r="C2663" s="7" t="s">
        <v>62</v>
      </c>
      <c r="D2663" s="7" t="s">
        <v>963</v>
      </c>
      <c r="E2663" s="5" t="s">
        <v>964</v>
      </c>
      <c r="F2663" s="7" t="s">
        <v>961</v>
      </c>
    </row>
    <row r="2664">
      <c r="A2664" s="7" t="s">
        <v>873</v>
      </c>
      <c r="B2664" s="8">
        <v>6.0</v>
      </c>
      <c r="C2664" s="7" t="s">
        <v>62</v>
      </c>
      <c r="D2664" s="7" t="s">
        <v>963</v>
      </c>
      <c r="E2664" s="5" t="s">
        <v>964</v>
      </c>
      <c r="F2664" s="7" t="s">
        <v>444</v>
      </c>
    </row>
    <row r="2665">
      <c r="A2665" s="5" t="s">
        <v>2602</v>
      </c>
      <c r="B2665" s="8">
        <v>6.0</v>
      </c>
      <c r="C2665" s="7" t="s">
        <v>62</v>
      </c>
      <c r="D2665" s="7" t="s">
        <v>963</v>
      </c>
      <c r="E2665" s="5" t="s">
        <v>964</v>
      </c>
      <c r="F2665" s="7" t="s">
        <v>444</v>
      </c>
    </row>
    <row r="2666">
      <c r="A2666" s="5" t="s">
        <v>2603</v>
      </c>
      <c r="B2666" s="8">
        <v>6.0</v>
      </c>
      <c r="C2666" s="7" t="s">
        <v>62</v>
      </c>
      <c r="D2666" s="7" t="s">
        <v>963</v>
      </c>
      <c r="E2666" s="5" t="s">
        <v>964</v>
      </c>
      <c r="F2666" s="7" t="s">
        <v>444</v>
      </c>
    </row>
    <row r="2667">
      <c r="A2667" s="7" t="s">
        <v>874</v>
      </c>
      <c r="B2667" s="8">
        <v>6.0</v>
      </c>
      <c r="C2667" s="7" t="s">
        <v>62</v>
      </c>
      <c r="D2667" s="7" t="s">
        <v>963</v>
      </c>
      <c r="E2667" s="5" t="s">
        <v>964</v>
      </c>
      <c r="F2667" s="7" t="s">
        <v>444</v>
      </c>
    </row>
    <row r="2668">
      <c r="A2668" s="5" t="s">
        <v>2604</v>
      </c>
      <c r="B2668" s="8">
        <v>6.0</v>
      </c>
      <c r="C2668" s="7" t="s">
        <v>62</v>
      </c>
      <c r="D2668" s="7" t="s">
        <v>963</v>
      </c>
      <c r="E2668" s="5" t="s">
        <v>964</v>
      </c>
      <c r="F2668" s="7" t="s">
        <v>444</v>
      </c>
    </row>
    <row r="2669">
      <c r="A2669" s="5" t="s">
        <v>3091</v>
      </c>
      <c r="B2669" s="8">
        <v>6.0</v>
      </c>
      <c r="C2669" s="7" t="s">
        <v>62</v>
      </c>
      <c r="D2669" s="7" t="s">
        <v>963</v>
      </c>
      <c r="E2669" s="5" t="s">
        <v>964</v>
      </c>
      <c r="F2669" s="7" t="s">
        <v>965</v>
      </c>
    </row>
    <row r="2670">
      <c r="A2670" s="5" t="s">
        <v>2605</v>
      </c>
      <c r="B2670" s="8">
        <v>6.0</v>
      </c>
      <c r="C2670" s="7" t="s">
        <v>62</v>
      </c>
      <c r="D2670" s="7" t="s">
        <v>963</v>
      </c>
      <c r="E2670" s="5" t="s">
        <v>964</v>
      </c>
      <c r="F2670" s="7" t="s">
        <v>444</v>
      </c>
    </row>
    <row r="2671">
      <c r="A2671" s="5" t="s">
        <v>2933</v>
      </c>
      <c r="B2671" s="8">
        <v>6.0</v>
      </c>
      <c r="C2671" s="7" t="s">
        <v>62</v>
      </c>
      <c r="D2671" s="7" t="s">
        <v>963</v>
      </c>
      <c r="E2671" s="5" t="s">
        <v>964</v>
      </c>
      <c r="F2671" s="7" t="s">
        <v>444</v>
      </c>
    </row>
    <row r="2672">
      <c r="A2672" s="5" t="s">
        <v>2606</v>
      </c>
      <c r="B2672" s="8">
        <v>6.0</v>
      </c>
      <c r="C2672" s="7" t="s">
        <v>62</v>
      </c>
      <c r="D2672" s="7" t="s">
        <v>963</v>
      </c>
      <c r="E2672" s="5" t="s">
        <v>964</v>
      </c>
      <c r="F2672" s="7" t="s">
        <v>444</v>
      </c>
    </row>
    <row r="2673">
      <c r="A2673" s="5" t="s">
        <v>2934</v>
      </c>
      <c r="B2673" s="8">
        <v>6.0</v>
      </c>
      <c r="C2673" s="7" t="s">
        <v>62</v>
      </c>
      <c r="D2673" s="7" t="s">
        <v>963</v>
      </c>
      <c r="E2673" s="5" t="s">
        <v>964</v>
      </c>
      <c r="F2673" s="7" t="s">
        <v>444</v>
      </c>
    </row>
    <row r="2674">
      <c r="A2674" s="5" t="s">
        <v>2607</v>
      </c>
      <c r="B2674" s="8">
        <v>6.0</v>
      </c>
      <c r="C2674" s="7" t="s">
        <v>62</v>
      </c>
      <c r="D2674" s="7" t="s">
        <v>963</v>
      </c>
      <c r="E2674" s="5" t="s">
        <v>964</v>
      </c>
      <c r="F2674" s="7" t="s">
        <v>444</v>
      </c>
    </row>
    <row r="2675">
      <c r="A2675" s="7" t="s">
        <v>876</v>
      </c>
      <c r="B2675" s="8">
        <v>6.0</v>
      </c>
      <c r="C2675" s="7" t="s">
        <v>62</v>
      </c>
      <c r="D2675" s="7" t="s">
        <v>963</v>
      </c>
      <c r="E2675" s="5" t="s">
        <v>964</v>
      </c>
      <c r="F2675" s="7" t="s">
        <v>444</v>
      </c>
    </row>
    <row r="2676">
      <c r="A2676" s="5" t="s">
        <v>3092</v>
      </c>
      <c r="B2676" s="8">
        <v>6.0</v>
      </c>
      <c r="C2676" s="7" t="s">
        <v>62</v>
      </c>
      <c r="D2676" s="7" t="s">
        <v>963</v>
      </c>
      <c r="E2676" s="5" t="s">
        <v>964</v>
      </c>
      <c r="F2676" s="7" t="s">
        <v>444</v>
      </c>
    </row>
    <row r="2677">
      <c r="A2677" s="5" t="s">
        <v>2614</v>
      </c>
      <c r="B2677" s="8">
        <v>6.0</v>
      </c>
      <c r="C2677" s="7" t="s">
        <v>62</v>
      </c>
      <c r="D2677" s="7" t="s">
        <v>963</v>
      </c>
      <c r="E2677" s="5" t="s">
        <v>964</v>
      </c>
      <c r="F2677" s="7" t="s">
        <v>444</v>
      </c>
    </row>
    <row r="2678">
      <c r="A2678" s="5" t="s">
        <v>2608</v>
      </c>
      <c r="B2678" s="8">
        <v>6.0</v>
      </c>
      <c r="C2678" s="7" t="s">
        <v>62</v>
      </c>
      <c r="D2678" s="7" t="s">
        <v>963</v>
      </c>
      <c r="E2678" s="5" t="s">
        <v>964</v>
      </c>
      <c r="F2678" s="7" t="s">
        <v>444</v>
      </c>
    </row>
    <row r="2679">
      <c r="A2679" s="5" t="s">
        <v>2609</v>
      </c>
      <c r="B2679" s="8">
        <v>6.0</v>
      </c>
      <c r="C2679" s="7" t="s">
        <v>62</v>
      </c>
      <c r="D2679" s="7" t="s">
        <v>963</v>
      </c>
      <c r="E2679" s="5" t="s">
        <v>964</v>
      </c>
      <c r="F2679" s="7" t="s">
        <v>444</v>
      </c>
    </row>
    <row r="2680">
      <c r="A2680" s="5" t="s">
        <v>2922</v>
      </c>
      <c r="B2680" s="8">
        <v>6.0</v>
      </c>
      <c r="C2680" s="7" t="s">
        <v>966</v>
      </c>
      <c r="D2680" s="7" t="s">
        <v>967</v>
      </c>
      <c r="E2680" s="5" t="s">
        <v>3141</v>
      </c>
      <c r="F2680" s="7" t="s">
        <v>47</v>
      </c>
    </row>
    <row r="2681">
      <c r="A2681" s="7" t="s">
        <v>188</v>
      </c>
      <c r="B2681" s="8">
        <v>6.0</v>
      </c>
      <c r="C2681" s="7" t="s">
        <v>966</v>
      </c>
      <c r="D2681" s="7" t="s">
        <v>967</v>
      </c>
      <c r="E2681" s="5" t="s">
        <v>3141</v>
      </c>
      <c r="F2681" s="7" t="s">
        <v>47</v>
      </c>
    </row>
    <row r="2682">
      <c r="A2682" s="5" t="s">
        <v>2592</v>
      </c>
      <c r="B2682" s="8">
        <v>6.0</v>
      </c>
      <c r="C2682" s="7" t="s">
        <v>966</v>
      </c>
      <c r="D2682" s="7" t="s">
        <v>967</v>
      </c>
      <c r="E2682" s="5" t="s">
        <v>3141</v>
      </c>
      <c r="F2682" s="7" t="s">
        <v>47</v>
      </c>
    </row>
    <row r="2683">
      <c r="A2683" s="5" t="s">
        <v>2796</v>
      </c>
      <c r="B2683" s="8">
        <v>6.0</v>
      </c>
      <c r="C2683" s="7" t="s">
        <v>966</v>
      </c>
      <c r="D2683" s="7" t="s">
        <v>967</v>
      </c>
      <c r="E2683" s="5" t="s">
        <v>3141</v>
      </c>
      <c r="F2683" s="7" t="s">
        <v>47</v>
      </c>
    </row>
    <row r="2684">
      <c r="A2684" s="5" t="s">
        <v>3085</v>
      </c>
      <c r="B2684" s="8">
        <v>6.0</v>
      </c>
      <c r="C2684" s="7" t="s">
        <v>966</v>
      </c>
      <c r="D2684" s="7" t="s">
        <v>967</v>
      </c>
      <c r="E2684" s="5" t="s">
        <v>3141</v>
      </c>
      <c r="F2684" s="7" t="s">
        <v>47</v>
      </c>
    </row>
    <row r="2685">
      <c r="A2685" s="5" t="s">
        <v>2594</v>
      </c>
      <c r="B2685" s="8">
        <v>6.0</v>
      </c>
      <c r="C2685" s="7" t="s">
        <v>966</v>
      </c>
      <c r="D2685" s="7" t="s">
        <v>967</v>
      </c>
      <c r="E2685" s="5" t="s">
        <v>3141</v>
      </c>
      <c r="F2685" s="7" t="s">
        <v>47</v>
      </c>
    </row>
    <row r="2686">
      <c r="A2686" s="5" t="s">
        <v>3086</v>
      </c>
      <c r="B2686" s="8">
        <v>6.0</v>
      </c>
      <c r="C2686" s="7" t="s">
        <v>966</v>
      </c>
      <c r="D2686" s="7" t="s">
        <v>967</v>
      </c>
      <c r="E2686" s="5" t="s">
        <v>3141</v>
      </c>
      <c r="F2686" s="7" t="s">
        <v>47</v>
      </c>
    </row>
    <row r="2687">
      <c r="A2687" s="7" t="s">
        <v>868</v>
      </c>
      <c r="B2687" s="8">
        <v>6.0</v>
      </c>
      <c r="C2687" s="7" t="s">
        <v>966</v>
      </c>
      <c r="D2687" s="7" t="s">
        <v>967</v>
      </c>
      <c r="E2687" s="5" t="s">
        <v>3141</v>
      </c>
      <c r="F2687" s="7" t="s">
        <v>47</v>
      </c>
    </row>
    <row r="2688">
      <c r="A2688" s="7" t="s">
        <v>599</v>
      </c>
      <c r="B2688" s="8">
        <v>6.0</v>
      </c>
      <c r="C2688" s="7" t="s">
        <v>966</v>
      </c>
      <c r="D2688" s="7" t="s">
        <v>967</v>
      </c>
      <c r="E2688" s="5" t="s">
        <v>3141</v>
      </c>
      <c r="F2688" s="7" t="s">
        <v>47</v>
      </c>
    </row>
    <row r="2689">
      <c r="A2689" s="5" t="s">
        <v>3087</v>
      </c>
      <c r="B2689" s="8">
        <v>6.0</v>
      </c>
      <c r="C2689" s="7" t="s">
        <v>966</v>
      </c>
      <c r="D2689" s="7" t="s">
        <v>967</v>
      </c>
      <c r="E2689" s="5" t="s">
        <v>3141</v>
      </c>
      <c r="F2689" s="7" t="s">
        <v>66</v>
      </c>
    </row>
    <row r="2690">
      <c r="A2690" s="5" t="s">
        <v>3088</v>
      </c>
      <c r="B2690" s="8">
        <v>6.0</v>
      </c>
      <c r="C2690" s="7" t="s">
        <v>966</v>
      </c>
      <c r="D2690" s="7" t="s">
        <v>967</v>
      </c>
      <c r="E2690" s="5" t="s">
        <v>3141</v>
      </c>
      <c r="F2690" s="7" t="s">
        <v>47</v>
      </c>
    </row>
    <row r="2691">
      <c r="A2691" s="5" t="s">
        <v>2595</v>
      </c>
      <c r="B2691" s="8">
        <v>6.0</v>
      </c>
      <c r="C2691" s="7" t="s">
        <v>966</v>
      </c>
      <c r="D2691" s="7" t="s">
        <v>967</v>
      </c>
      <c r="E2691" s="5" t="s">
        <v>3141</v>
      </c>
      <c r="F2691" s="7" t="s">
        <v>47</v>
      </c>
    </row>
    <row r="2692">
      <c r="A2692" s="5" t="s">
        <v>3089</v>
      </c>
      <c r="B2692" s="8">
        <v>6.0</v>
      </c>
      <c r="C2692" s="7" t="s">
        <v>966</v>
      </c>
      <c r="D2692" s="7" t="s">
        <v>967</v>
      </c>
      <c r="E2692" s="5" t="s">
        <v>3141</v>
      </c>
      <c r="F2692" s="7" t="s">
        <v>47</v>
      </c>
    </row>
    <row r="2693">
      <c r="A2693" s="5" t="s">
        <v>2597</v>
      </c>
      <c r="B2693" s="8">
        <v>6.0</v>
      </c>
      <c r="C2693" s="7" t="s">
        <v>966</v>
      </c>
      <c r="D2693" s="7" t="s">
        <v>967</v>
      </c>
      <c r="E2693" s="5" t="s">
        <v>3141</v>
      </c>
      <c r="F2693" s="7" t="s">
        <v>47</v>
      </c>
    </row>
    <row r="2694">
      <c r="A2694" s="7" t="s">
        <v>8</v>
      </c>
      <c r="B2694" s="8">
        <v>6.0</v>
      </c>
      <c r="C2694" s="7" t="s">
        <v>966</v>
      </c>
      <c r="D2694" s="7" t="s">
        <v>967</v>
      </c>
      <c r="E2694" s="5" t="s">
        <v>3141</v>
      </c>
      <c r="F2694" s="7" t="s">
        <v>66</v>
      </c>
    </row>
    <row r="2695">
      <c r="A2695" s="5" t="s">
        <v>2798</v>
      </c>
      <c r="B2695" s="8">
        <v>6.0</v>
      </c>
      <c r="C2695" s="7" t="s">
        <v>966</v>
      </c>
      <c r="D2695" s="7" t="s">
        <v>967</v>
      </c>
      <c r="E2695" s="5" t="s">
        <v>3141</v>
      </c>
      <c r="F2695" s="7" t="s">
        <v>443</v>
      </c>
    </row>
    <row r="2696">
      <c r="A2696" s="5" t="s">
        <v>2702</v>
      </c>
      <c r="B2696" s="8">
        <v>6.0</v>
      </c>
      <c r="C2696" s="7" t="s">
        <v>966</v>
      </c>
      <c r="D2696" s="7" t="s">
        <v>967</v>
      </c>
      <c r="E2696" s="5" t="s">
        <v>3141</v>
      </c>
      <c r="F2696" s="7" t="s">
        <v>444</v>
      </c>
    </row>
    <row r="2697">
      <c r="A2697" s="5" t="s">
        <v>2599</v>
      </c>
      <c r="B2697" s="8">
        <v>6.0</v>
      </c>
      <c r="C2697" s="7" t="s">
        <v>966</v>
      </c>
      <c r="D2697" s="7" t="s">
        <v>967</v>
      </c>
      <c r="E2697" s="5" t="s">
        <v>3141</v>
      </c>
      <c r="F2697" s="7" t="s">
        <v>443</v>
      </c>
    </row>
    <row r="2698">
      <c r="A2698" s="5" t="s">
        <v>2600</v>
      </c>
      <c r="B2698" s="8">
        <v>6.0</v>
      </c>
      <c r="C2698" s="7" t="s">
        <v>966</v>
      </c>
      <c r="D2698" s="7" t="s">
        <v>967</v>
      </c>
      <c r="E2698" s="5" t="s">
        <v>3141</v>
      </c>
      <c r="F2698" s="7" t="s">
        <v>444</v>
      </c>
    </row>
    <row r="2699">
      <c r="A2699" s="5" t="s">
        <v>3090</v>
      </c>
      <c r="B2699" s="8">
        <v>6.0</v>
      </c>
      <c r="C2699" s="7" t="s">
        <v>966</v>
      </c>
      <c r="D2699" s="7" t="s">
        <v>967</v>
      </c>
      <c r="E2699" s="5" t="s">
        <v>3141</v>
      </c>
      <c r="F2699" s="7" t="s">
        <v>961</v>
      </c>
    </row>
    <row r="2700">
      <c r="A2700" s="7" t="s">
        <v>873</v>
      </c>
      <c r="B2700" s="8">
        <v>6.0</v>
      </c>
      <c r="C2700" s="7" t="s">
        <v>966</v>
      </c>
      <c r="D2700" s="7" t="s">
        <v>967</v>
      </c>
      <c r="E2700" s="5" t="s">
        <v>3141</v>
      </c>
      <c r="F2700" s="7" t="s">
        <v>444</v>
      </c>
    </row>
    <row r="2701">
      <c r="A2701" s="5" t="s">
        <v>2602</v>
      </c>
      <c r="B2701" s="8">
        <v>6.0</v>
      </c>
      <c r="C2701" s="7" t="s">
        <v>966</v>
      </c>
      <c r="D2701" s="7" t="s">
        <v>967</v>
      </c>
      <c r="E2701" s="5" t="s">
        <v>3141</v>
      </c>
      <c r="F2701" s="7" t="s">
        <v>444</v>
      </c>
    </row>
    <row r="2702">
      <c r="A2702" s="5" t="s">
        <v>2603</v>
      </c>
      <c r="B2702" s="8">
        <v>6.0</v>
      </c>
      <c r="C2702" s="7" t="s">
        <v>966</v>
      </c>
      <c r="D2702" s="7" t="s">
        <v>967</v>
      </c>
      <c r="E2702" s="5" t="s">
        <v>3141</v>
      </c>
      <c r="F2702" s="7" t="s">
        <v>444</v>
      </c>
    </row>
    <row r="2703">
      <c r="A2703" s="7" t="s">
        <v>874</v>
      </c>
      <c r="B2703" s="8">
        <v>6.0</v>
      </c>
      <c r="C2703" s="7" t="s">
        <v>966</v>
      </c>
      <c r="D2703" s="7" t="s">
        <v>967</v>
      </c>
      <c r="E2703" s="5" t="s">
        <v>3141</v>
      </c>
      <c r="F2703" s="7" t="s">
        <v>444</v>
      </c>
    </row>
    <row r="2704">
      <c r="A2704" s="5" t="s">
        <v>2604</v>
      </c>
      <c r="B2704" s="8">
        <v>6.0</v>
      </c>
      <c r="C2704" s="7" t="s">
        <v>966</v>
      </c>
      <c r="D2704" s="7" t="s">
        <v>967</v>
      </c>
      <c r="E2704" s="5" t="s">
        <v>3141</v>
      </c>
      <c r="F2704" s="7" t="s">
        <v>444</v>
      </c>
    </row>
    <row r="2705">
      <c r="A2705" s="5" t="s">
        <v>3091</v>
      </c>
      <c r="B2705" s="8">
        <v>6.0</v>
      </c>
      <c r="C2705" s="7" t="s">
        <v>966</v>
      </c>
      <c r="D2705" s="7" t="s">
        <v>967</v>
      </c>
      <c r="E2705" s="5" t="s">
        <v>3141</v>
      </c>
      <c r="F2705" s="7" t="s">
        <v>965</v>
      </c>
    </row>
    <row r="2706">
      <c r="A2706" s="5" t="s">
        <v>2605</v>
      </c>
      <c r="B2706" s="8">
        <v>6.0</v>
      </c>
      <c r="C2706" s="7" t="s">
        <v>966</v>
      </c>
      <c r="D2706" s="7" t="s">
        <v>967</v>
      </c>
      <c r="E2706" s="5" t="s">
        <v>3141</v>
      </c>
      <c r="F2706" s="7" t="s">
        <v>444</v>
      </c>
    </row>
    <row r="2707">
      <c r="A2707" s="5" t="s">
        <v>2933</v>
      </c>
      <c r="B2707" s="8">
        <v>6.0</v>
      </c>
      <c r="C2707" s="7" t="s">
        <v>966</v>
      </c>
      <c r="D2707" s="7" t="s">
        <v>967</v>
      </c>
      <c r="E2707" s="5" t="s">
        <v>3141</v>
      </c>
      <c r="F2707" s="7" t="s">
        <v>444</v>
      </c>
    </row>
    <row r="2708">
      <c r="A2708" s="5" t="s">
        <v>2606</v>
      </c>
      <c r="B2708" s="8">
        <v>6.0</v>
      </c>
      <c r="C2708" s="7" t="s">
        <v>966</v>
      </c>
      <c r="D2708" s="7" t="s">
        <v>967</v>
      </c>
      <c r="E2708" s="5" t="s">
        <v>3141</v>
      </c>
      <c r="F2708" s="7" t="s">
        <v>444</v>
      </c>
    </row>
    <row r="2709">
      <c r="A2709" s="5" t="s">
        <v>2934</v>
      </c>
      <c r="B2709" s="8">
        <v>6.0</v>
      </c>
      <c r="C2709" s="7" t="s">
        <v>966</v>
      </c>
      <c r="D2709" s="7" t="s">
        <v>967</v>
      </c>
      <c r="E2709" s="5" t="s">
        <v>3141</v>
      </c>
      <c r="F2709" s="7" t="s">
        <v>444</v>
      </c>
    </row>
    <row r="2710">
      <c r="A2710" s="5" t="s">
        <v>2607</v>
      </c>
      <c r="B2710" s="8">
        <v>6.0</v>
      </c>
      <c r="C2710" s="7" t="s">
        <v>966</v>
      </c>
      <c r="D2710" s="7" t="s">
        <v>967</v>
      </c>
      <c r="E2710" s="5" t="s">
        <v>3141</v>
      </c>
      <c r="F2710" s="7" t="s">
        <v>444</v>
      </c>
    </row>
    <row r="2711">
      <c r="A2711" s="7" t="s">
        <v>876</v>
      </c>
      <c r="B2711" s="8">
        <v>6.0</v>
      </c>
      <c r="C2711" s="7" t="s">
        <v>966</v>
      </c>
      <c r="D2711" s="7" t="s">
        <v>967</v>
      </c>
      <c r="E2711" s="5" t="s">
        <v>3141</v>
      </c>
      <c r="F2711" s="7" t="s">
        <v>444</v>
      </c>
    </row>
    <row r="2712">
      <c r="A2712" s="5" t="s">
        <v>3092</v>
      </c>
      <c r="B2712" s="8">
        <v>6.0</v>
      </c>
      <c r="C2712" s="7" t="s">
        <v>966</v>
      </c>
      <c r="D2712" s="7" t="s">
        <v>967</v>
      </c>
      <c r="E2712" s="5" t="s">
        <v>3141</v>
      </c>
      <c r="F2712" s="7" t="s">
        <v>444</v>
      </c>
    </row>
    <row r="2713">
      <c r="A2713" s="5" t="s">
        <v>2614</v>
      </c>
      <c r="B2713" s="8">
        <v>6.0</v>
      </c>
      <c r="C2713" s="7" t="s">
        <v>966</v>
      </c>
      <c r="D2713" s="7" t="s">
        <v>967</v>
      </c>
      <c r="E2713" s="5" t="s">
        <v>3141</v>
      </c>
      <c r="F2713" s="7" t="s">
        <v>444</v>
      </c>
    </row>
    <row r="2714">
      <c r="A2714" s="5" t="s">
        <v>2608</v>
      </c>
      <c r="B2714" s="8">
        <v>6.0</v>
      </c>
      <c r="C2714" s="7" t="s">
        <v>966</v>
      </c>
      <c r="D2714" s="7" t="s">
        <v>967</v>
      </c>
      <c r="E2714" s="5" t="s">
        <v>3141</v>
      </c>
      <c r="F2714" s="7" t="s">
        <v>444</v>
      </c>
    </row>
    <row r="2715">
      <c r="A2715" s="5" t="s">
        <v>2609</v>
      </c>
      <c r="B2715" s="8">
        <v>6.0</v>
      </c>
      <c r="C2715" s="7" t="s">
        <v>966</v>
      </c>
      <c r="D2715" s="7" t="s">
        <v>967</v>
      </c>
      <c r="E2715" s="5" t="s">
        <v>3141</v>
      </c>
      <c r="F2715" s="7" t="s">
        <v>444</v>
      </c>
    </row>
    <row r="2716">
      <c r="A2716" s="5" t="s">
        <v>2922</v>
      </c>
      <c r="B2716" s="8">
        <v>6.0</v>
      </c>
      <c r="C2716" s="7" t="s">
        <v>67</v>
      </c>
      <c r="D2716" s="5" t="s">
        <v>508</v>
      </c>
      <c r="E2716" s="5" t="s">
        <v>3142</v>
      </c>
      <c r="F2716" s="7" t="s">
        <v>444</v>
      </c>
    </row>
    <row r="2717">
      <c r="A2717" s="7" t="s">
        <v>188</v>
      </c>
      <c r="B2717" s="8">
        <v>6.0</v>
      </c>
      <c r="C2717" s="7" t="s">
        <v>67</v>
      </c>
      <c r="D2717" s="5" t="s">
        <v>508</v>
      </c>
      <c r="E2717" s="5" t="s">
        <v>3142</v>
      </c>
      <c r="F2717" s="7" t="s">
        <v>444</v>
      </c>
    </row>
    <row r="2718">
      <c r="A2718" s="5" t="s">
        <v>2592</v>
      </c>
      <c r="B2718" s="8">
        <v>6.0</v>
      </c>
      <c r="C2718" s="7" t="s">
        <v>67</v>
      </c>
      <c r="D2718" s="5" t="s">
        <v>508</v>
      </c>
      <c r="E2718" s="5" t="s">
        <v>3142</v>
      </c>
      <c r="F2718" s="7" t="s">
        <v>971</v>
      </c>
    </row>
    <row r="2719">
      <c r="A2719" s="5" t="s">
        <v>2796</v>
      </c>
      <c r="B2719" s="8">
        <v>6.0</v>
      </c>
      <c r="C2719" s="7" t="s">
        <v>67</v>
      </c>
      <c r="D2719" s="5" t="s">
        <v>508</v>
      </c>
      <c r="E2719" s="5" t="s">
        <v>3142</v>
      </c>
      <c r="F2719" s="7" t="s">
        <v>444</v>
      </c>
    </row>
    <row r="2720">
      <c r="A2720" s="5" t="s">
        <v>3085</v>
      </c>
      <c r="B2720" s="8">
        <v>6.0</v>
      </c>
      <c r="C2720" s="7" t="s">
        <v>67</v>
      </c>
      <c r="D2720" s="5" t="s">
        <v>508</v>
      </c>
      <c r="E2720" s="5" t="s">
        <v>3142</v>
      </c>
      <c r="F2720" s="7" t="s">
        <v>444</v>
      </c>
    </row>
    <row r="2721">
      <c r="A2721" s="5" t="s">
        <v>2594</v>
      </c>
      <c r="B2721" s="8">
        <v>6.0</v>
      </c>
      <c r="C2721" s="7" t="s">
        <v>67</v>
      </c>
      <c r="D2721" s="5" t="s">
        <v>508</v>
      </c>
      <c r="E2721" s="5" t="s">
        <v>3142</v>
      </c>
      <c r="F2721" s="5" t="s">
        <v>3143</v>
      </c>
    </row>
    <row r="2722">
      <c r="A2722" s="5" t="s">
        <v>3086</v>
      </c>
      <c r="B2722" s="8">
        <v>6.0</v>
      </c>
      <c r="C2722" s="7" t="s">
        <v>67</v>
      </c>
      <c r="D2722" s="5" t="s">
        <v>508</v>
      </c>
      <c r="E2722" s="5" t="s">
        <v>3142</v>
      </c>
      <c r="F2722" s="7" t="s">
        <v>131</v>
      </c>
    </row>
    <row r="2723">
      <c r="A2723" s="7" t="s">
        <v>868</v>
      </c>
      <c r="B2723" s="8">
        <v>6.0</v>
      </c>
      <c r="C2723" s="7" t="s">
        <v>67</v>
      </c>
      <c r="D2723" s="5" t="s">
        <v>508</v>
      </c>
      <c r="E2723" s="5" t="s">
        <v>3142</v>
      </c>
      <c r="F2723" s="7" t="s">
        <v>131</v>
      </c>
    </row>
    <row r="2724">
      <c r="A2724" s="7" t="s">
        <v>599</v>
      </c>
      <c r="B2724" s="8">
        <v>6.0</v>
      </c>
      <c r="C2724" s="7" t="s">
        <v>67</v>
      </c>
      <c r="D2724" s="5" t="s">
        <v>508</v>
      </c>
      <c r="E2724" s="5" t="s">
        <v>3142</v>
      </c>
      <c r="F2724" s="7" t="s">
        <v>70</v>
      </c>
    </row>
    <row r="2725">
      <c r="A2725" s="5" t="s">
        <v>3087</v>
      </c>
      <c r="B2725" s="8">
        <v>6.0</v>
      </c>
      <c r="C2725" s="7" t="s">
        <v>67</v>
      </c>
      <c r="D2725" s="5" t="s">
        <v>508</v>
      </c>
      <c r="E2725" s="5" t="s">
        <v>3142</v>
      </c>
      <c r="F2725" s="5" t="s">
        <v>3144</v>
      </c>
    </row>
    <row r="2726">
      <c r="A2726" s="5" t="s">
        <v>3088</v>
      </c>
      <c r="B2726" s="8">
        <v>6.0</v>
      </c>
      <c r="C2726" s="7" t="s">
        <v>67</v>
      </c>
      <c r="D2726" s="5" t="s">
        <v>508</v>
      </c>
      <c r="E2726" s="5" t="s">
        <v>3142</v>
      </c>
      <c r="F2726" s="7" t="s">
        <v>131</v>
      </c>
    </row>
    <row r="2727">
      <c r="A2727" s="5" t="s">
        <v>2595</v>
      </c>
      <c r="B2727" s="8">
        <v>6.0</v>
      </c>
      <c r="C2727" s="7" t="s">
        <v>67</v>
      </c>
      <c r="D2727" s="5" t="s">
        <v>508</v>
      </c>
      <c r="E2727" s="5" t="s">
        <v>3142</v>
      </c>
      <c r="F2727" s="7" t="s">
        <v>131</v>
      </c>
    </row>
    <row r="2728">
      <c r="A2728" s="5" t="s">
        <v>3089</v>
      </c>
      <c r="B2728" s="8">
        <v>6.0</v>
      </c>
      <c r="C2728" s="7" t="s">
        <v>67</v>
      </c>
      <c r="D2728" s="5" t="s">
        <v>508</v>
      </c>
      <c r="E2728" s="5" t="s">
        <v>3142</v>
      </c>
      <c r="F2728" s="7" t="s">
        <v>131</v>
      </c>
    </row>
    <row r="2729">
      <c r="A2729" s="5" t="s">
        <v>2597</v>
      </c>
      <c r="B2729" s="8">
        <v>6.0</v>
      </c>
      <c r="C2729" s="7" t="s">
        <v>67</v>
      </c>
      <c r="D2729" s="5" t="s">
        <v>508</v>
      </c>
      <c r="E2729" s="5" t="s">
        <v>3142</v>
      </c>
      <c r="F2729" s="7" t="s">
        <v>70</v>
      </c>
    </row>
    <row r="2730">
      <c r="A2730" s="7" t="s">
        <v>8</v>
      </c>
      <c r="B2730" s="8">
        <v>6.0</v>
      </c>
      <c r="C2730" s="7" t="s">
        <v>67</v>
      </c>
      <c r="D2730" s="5" t="s">
        <v>508</v>
      </c>
      <c r="E2730" s="5" t="s">
        <v>3142</v>
      </c>
      <c r="F2730" s="7" t="s">
        <v>66</v>
      </c>
    </row>
    <row r="2731">
      <c r="A2731" s="5" t="s">
        <v>2798</v>
      </c>
      <c r="B2731" s="8">
        <v>6.0</v>
      </c>
      <c r="C2731" s="7" t="s">
        <v>67</v>
      </c>
      <c r="D2731" s="5" t="s">
        <v>508</v>
      </c>
      <c r="E2731" s="5" t="s">
        <v>3142</v>
      </c>
      <c r="F2731" s="7" t="s">
        <v>443</v>
      </c>
    </row>
    <row r="2732">
      <c r="A2732" s="5" t="s">
        <v>2702</v>
      </c>
      <c r="B2732" s="8">
        <v>6.0</v>
      </c>
      <c r="C2732" s="7" t="s">
        <v>67</v>
      </c>
      <c r="D2732" s="5" t="s">
        <v>508</v>
      </c>
      <c r="E2732" s="5" t="s">
        <v>3142</v>
      </c>
      <c r="F2732" s="7" t="s">
        <v>444</v>
      </c>
    </row>
    <row r="2733">
      <c r="A2733" s="5" t="s">
        <v>2599</v>
      </c>
      <c r="B2733" s="8">
        <v>6.0</v>
      </c>
      <c r="C2733" s="7" t="s">
        <v>67</v>
      </c>
      <c r="D2733" s="5" t="s">
        <v>508</v>
      </c>
      <c r="E2733" s="5" t="s">
        <v>3142</v>
      </c>
      <c r="F2733" s="7" t="s">
        <v>443</v>
      </c>
    </row>
    <row r="2734">
      <c r="A2734" s="5" t="s">
        <v>2600</v>
      </c>
      <c r="B2734" s="8">
        <v>6.0</v>
      </c>
      <c r="C2734" s="7" t="s">
        <v>67</v>
      </c>
      <c r="D2734" s="5" t="s">
        <v>508</v>
      </c>
      <c r="E2734" s="5" t="s">
        <v>3142</v>
      </c>
      <c r="F2734" s="7" t="s">
        <v>444</v>
      </c>
    </row>
    <row r="2735">
      <c r="A2735" s="5" t="s">
        <v>3090</v>
      </c>
      <c r="B2735" s="8">
        <v>6.0</v>
      </c>
      <c r="C2735" s="7" t="s">
        <v>67</v>
      </c>
      <c r="D2735" s="5" t="s">
        <v>508</v>
      </c>
      <c r="E2735" s="5" t="s">
        <v>3142</v>
      </c>
      <c r="F2735" s="5" t="s">
        <v>3145</v>
      </c>
    </row>
    <row r="2736">
      <c r="A2736" s="7" t="s">
        <v>873</v>
      </c>
      <c r="B2736" s="8">
        <v>6.0</v>
      </c>
      <c r="C2736" s="7" t="s">
        <v>67</v>
      </c>
      <c r="D2736" s="5" t="s">
        <v>508</v>
      </c>
      <c r="E2736" s="5" t="s">
        <v>3142</v>
      </c>
      <c r="F2736" s="7" t="s">
        <v>975</v>
      </c>
    </row>
    <row r="2737">
      <c r="A2737" s="5" t="s">
        <v>2602</v>
      </c>
      <c r="B2737" s="8">
        <v>6.0</v>
      </c>
      <c r="C2737" s="7" t="s">
        <v>67</v>
      </c>
      <c r="D2737" s="5" t="s">
        <v>508</v>
      </c>
      <c r="E2737" s="5" t="s">
        <v>3142</v>
      </c>
      <c r="F2737" s="5" t="s">
        <v>3146</v>
      </c>
    </row>
    <row r="2738">
      <c r="A2738" s="5" t="s">
        <v>2603</v>
      </c>
      <c r="B2738" s="8">
        <v>6.0</v>
      </c>
      <c r="C2738" s="7" t="s">
        <v>67</v>
      </c>
      <c r="D2738" s="5" t="s">
        <v>508</v>
      </c>
      <c r="E2738" s="5" t="s">
        <v>3142</v>
      </c>
      <c r="F2738" s="5" t="s">
        <v>3147</v>
      </c>
    </row>
    <row r="2739">
      <c r="A2739" s="7" t="s">
        <v>874</v>
      </c>
      <c r="B2739" s="8">
        <v>6.0</v>
      </c>
      <c r="C2739" s="7" t="s">
        <v>67</v>
      </c>
      <c r="D2739" s="5" t="s">
        <v>508</v>
      </c>
      <c r="E2739" s="5" t="s">
        <v>3142</v>
      </c>
      <c r="F2739" s="7" t="s">
        <v>444</v>
      </c>
    </row>
    <row r="2740">
      <c r="A2740" s="5" t="s">
        <v>2604</v>
      </c>
      <c r="B2740" s="8">
        <v>6.0</v>
      </c>
      <c r="C2740" s="7" t="s">
        <v>67</v>
      </c>
      <c r="D2740" s="5" t="s">
        <v>508</v>
      </c>
      <c r="E2740" s="5" t="s">
        <v>3142</v>
      </c>
      <c r="F2740" s="7" t="s">
        <v>444</v>
      </c>
    </row>
    <row r="2741">
      <c r="A2741" s="5" t="s">
        <v>3091</v>
      </c>
      <c r="B2741" s="8">
        <v>6.0</v>
      </c>
      <c r="C2741" s="7" t="s">
        <v>67</v>
      </c>
      <c r="D2741" s="5" t="s">
        <v>508</v>
      </c>
      <c r="E2741" s="5" t="s">
        <v>3142</v>
      </c>
      <c r="F2741" s="7" t="s">
        <v>965</v>
      </c>
    </row>
    <row r="2742">
      <c r="A2742" s="5" t="s">
        <v>2605</v>
      </c>
      <c r="B2742" s="8">
        <v>6.0</v>
      </c>
      <c r="C2742" s="7" t="s">
        <v>67</v>
      </c>
      <c r="D2742" s="5" t="s">
        <v>508</v>
      </c>
      <c r="E2742" s="5" t="s">
        <v>3142</v>
      </c>
      <c r="F2742" s="7" t="s">
        <v>444</v>
      </c>
    </row>
    <row r="2743">
      <c r="A2743" s="5" t="s">
        <v>2933</v>
      </c>
      <c r="B2743" s="8">
        <v>6.0</v>
      </c>
      <c r="C2743" s="7" t="s">
        <v>67</v>
      </c>
      <c r="D2743" s="5" t="s">
        <v>508</v>
      </c>
      <c r="E2743" s="5" t="s">
        <v>3142</v>
      </c>
      <c r="F2743" s="7" t="s">
        <v>444</v>
      </c>
    </row>
    <row r="2744">
      <c r="A2744" s="5" t="s">
        <v>2606</v>
      </c>
      <c r="B2744" s="8">
        <v>6.0</v>
      </c>
      <c r="C2744" s="7" t="s">
        <v>67</v>
      </c>
      <c r="D2744" s="5" t="s">
        <v>508</v>
      </c>
      <c r="E2744" s="5" t="s">
        <v>3142</v>
      </c>
      <c r="F2744" s="7" t="s">
        <v>444</v>
      </c>
    </row>
    <row r="2745">
      <c r="A2745" s="5" t="s">
        <v>2934</v>
      </c>
      <c r="B2745" s="8">
        <v>6.0</v>
      </c>
      <c r="C2745" s="7" t="s">
        <v>67</v>
      </c>
      <c r="D2745" s="5" t="s">
        <v>508</v>
      </c>
      <c r="E2745" s="5" t="s">
        <v>3142</v>
      </c>
      <c r="F2745" s="7" t="s">
        <v>444</v>
      </c>
    </row>
    <row r="2746">
      <c r="A2746" s="5" t="s">
        <v>2607</v>
      </c>
      <c r="B2746" s="8">
        <v>6.0</v>
      </c>
      <c r="C2746" s="7" t="s">
        <v>67</v>
      </c>
      <c r="D2746" s="5" t="s">
        <v>508</v>
      </c>
      <c r="E2746" s="5" t="s">
        <v>3142</v>
      </c>
      <c r="F2746" s="7" t="s">
        <v>444</v>
      </c>
    </row>
    <row r="2747">
      <c r="A2747" s="7" t="s">
        <v>876</v>
      </c>
      <c r="B2747" s="8">
        <v>6.0</v>
      </c>
      <c r="C2747" s="7" t="s">
        <v>67</v>
      </c>
      <c r="D2747" s="5" t="s">
        <v>508</v>
      </c>
      <c r="E2747" s="5" t="s">
        <v>3142</v>
      </c>
      <c r="F2747" s="7" t="s">
        <v>444</v>
      </c>
    </row>
    <row r="2748">
      <c r="A2748" s="5" t="s">
        <v>3092</v>
      </c>
      <c r="B2748" s="8">
        <v>6.0</v>
      </c>
      <c r="C2748" s="7" t="s">
        <v>67</v>
      </c>
      <c r="D2748" s="5" t="s">
        <v>508</v>
      </c>
      <c r="E2748" s="5" t="s">
        <v>3142</v>
      </c>
      <c r="F2748" s="7" t="s">
        <v>444</v>
      </c>
    </row>
    <row r="2749">
      <c r="A2749" s="5" t="s">
        <v>2614</v>
      </c>
      <c r="B2749" s="8">
        <v>6.0</v>
      </c>
      <c r="C2749" s="7" t="s">
        <v>67</v>
      </c>
      <c r="D2749" s="5" t="s">
        <v>508</v>
      </c>
      <c r="E2749" s="5" t="s">
        <v>3142</v>
      </c>
      <c r="F2749" s="7" t="s">
        <v>444</v>
      </c>
    </row>
    <row r="2750">
      <c r="A2750" s="5" t="s">
        <v>2608</v>
      </c>
      <c r="B2750" s="8">
        <v>6.0</v>
      </c>
      <c r="C2750" s="7" t="s">
        <v>67</v>
      </c>
      <c r="D2750" s="5" t="s">
        <v>508</v>
      </c>
      <c r="E2750" s="5" t="s">
        <v>3142</v>
      </c>
      <c r="F2750" s="7" t="s">
        <v>444</v>
      </c>
    </row>
    <row r="2751">
      <c r="A2751" s="5" t="s">
        <v>2609</v>
      </c>
      <c r="B2751" s="8">
        <v>6.0</v>
      </c>
      <c r="C2751" s="7" t="s">
        <v>67</v>
      </c>
      <c r="D2751" s="5" t="s">
        <v>508</v>
      </c>
      <c r="E2751" s="5" t="s">
        <v>3142</v>
      </c>
      <c r="F2751" s="7" t="s">
        <v>444</v>
      </c>
    </row>
    <row r="2752">
      <c r="A2752" s="5" t="s">
        <v>2922</v>
      </c>
      <c r="B2752" s="8">
        <v>6.0</v>
      </c>
      <c r="C2752" s="7" t="s">
        <v>72</v>
      </c>
      <c r="D2752" s="7" t="s">
        <v>978</v>
      </c>
      <c r="E2752" s="5" t="s">
        <v>3148</v>
      </c>
      <c r="F2752" s="5" t="s">
        <v>238</v>
      </c>
    </row>
    <row r="2753">
      <c r="A2753" s="7" t="s">
        <v>188</v>
      </c>
      <c r="B2753" s="8">
        <v>6.0</v>
      </c>
      <c r="C2753" s="7" t="s">
        <v>72</v>
      </c>
      <c r="D2753" s="7" t="s">
        <v>978</v>
      </c>
      <c r="E2753" s="5" t="s">
        <v>3148</v>
      </c>
      <c r="F2753" s="5" t="s">
        <v>3149</v>
      </c>
    </row>
    <row r="2754">
      <c r="A2754" s="5" t="s">
        <v>2592</v>
      </c>
      <c r="B2754" s="8">
        <v>6.0</v>
      </c>
      <c r="C2754" s="7" t="s">
        <v>72</v>
      </c>
      <c r="D2754" s="7" t="s">
        <v>978</v>
      </c>
      <c r="E2754" s="5" t="s">
        <v>3148</v>
      </c>
      <c r="F2754" s="5" t="s">
        <v>238</v>
      </c>
    </row>
    <row r="2755">
      <c r="A2755" s="5" t="s">
        <v>2796</v>
      </c>
      <c r="B2755" s="8">
        <v>6.0</v>
      </c>
      <c r="C2755" s="7" t="s">
        <v>72</v>
      </c>
      <c r="D2755" s="7" t="s">
        <v>978</v>
      </c>
      <c r="E2755" s="5" t="s">
        <v>3148</v>
      </c>
      <c r="F2755" s="5" t="s">
        <v>3149</v>
      </c>
    </row>
    <row r="2756">
      <c r="A2756" s="5" t="s">
        <v>3085</v>
      </c>
      <c r="B2756" s="8">
        <v>6.0</v>
      </c>
      <c r="C2756" s="7" t="s">
        <v>72</v>
      </c>
      <c r="D2756" s="7" t="s">
        <v>978</v>
      </c>
      <c r="E2756" s="5" t="s">
        <v>3148</v>
      </c>
      <c r="F2756" s="5" t="s">
        <v>3149</v>
      </c>
    </row>
    <row r="2757">
      <c r="A2757" s="5" t="s">
        <v>2594</v>
      </c>
      <c r="B2757" s="8">
        <v>6.0</v>
      </c>
      <c r="C2757" s="7" t="s">
        <v>72</v>
      </c>
      <c r="D2757" s="7" t="s">
        <v>978</v>
      </c>
      <c r="E2757" s="5" t="s">
        <v>3148</v>
      </c>
      <c r="F2757" s="5" t="s">
        <v>76</v>
      </c>
    </row>
    <row r="2758">
      <c r="A2758" s="5" t="s">
        <v>3086</v>
      </c>
      <c r="B2758" s="8">
        <v>6.0</v>
      </c>
      <c r="C2758" s="7" t="s">
        <v>72</v>
      </c>
      <c r="D2758" s="7" t="s">
        <v>978</v>
      </c>
      <c r="E2758" s="5" t="s">
        <v>3148</v>
      </c>
      <c r="F2758" s="5" t="s">
        <v>3150</v>
      </c>
    </row>
    <row r="2759">
      <c r="A2759" s="7" t="s">
        <v>868</v>
      </c>
      <c r="B2759" s="8">
        <v>6.0</v>
      </c>
      <c r="C2759" s="7" t="s">
        <v>72</v>
      </c>
      <c r="D2759" s="7" t="s">
        <v>978</v>
      </c>
      <c r="E2759" s="5" t="s">
        <v>3148</v>
      </c>
      <c r="F2759" s="5" t="s">
        <v>76</v>
      </c>
    </row>
    <row r="2760">
      <c r="A2760" s="7" t="s">
        <v>599</v>
      </c>
      <c r="B2760" s="8">
        <v>6.0</v>
      </c>
      <c r="C2760" s="7" t="s">
        <v>72</v>
      </c>
      <c r="D2760" s="7" t="s">
        <v>978</v>
      </c>
      <c r="E2760" s="5" t="s">
        <v>3148</v>
      </c>
      <c r="F2760" s="5" t="s">
        <v>3104</v>
      </c>
    </row>
    <row r="2761">
      <c r="A2761" s="5" t="s">
        <v>3087</v>
      </c>
      <c r="B2761" s="8">
        <v>6.0</v>
      </c>
      <c r="C2761" s="7" t="s">
        <v>72</v>
      </c>
      <c r="D2761" s="7" t="s">
        <v>978</v>
      </c>
      <c r="E2761" s="5" t="s">
        <v>3148</v>
      </c>
      <c r="F2761" s="5" t="s">
        <v>982</v>
      </c>
    </row>
    <row r="2762">
      <c r="A2762" s="5" t="s">
        <v>3088</v>
      </c>
      <c r="B2762" s="8">
        <v>6.0</v>
      </c>
      <c r="C2762" s="7" t="s">
        <v>72</v>
      </c>
      <c r="D2762" s="7" t="s">
        <v>978</v>
      </c>
      <c r="E2762" s="5" t="s">
        <v>3148</v>
      </c>
      <c r="F2762" s="5" t="s">
        <v>75</v>
      </c>
    </row>
    <row r="2763">
      <c r="A2763" s="5" t="s">
        <v>2595</v>
      </c>
      <c r="B2763" s="8">
        <v>6.0</v>
      </c>
      <c r="C2763" s="7" t="s">
        <v>72</v>
      </c>
      <c r="D2763" s="7" t="s">
        <v>978</v>
      </c>
      <c r="E2763" s="5" t="s">
        <v>3148</v>
      </c>
      <c r="F2763" s="5" t="s">
        <v>75</v>
      </c>
    </row>
    <row r="2764">
      <c r="A2764" s="5" t="s">
        <v>3089</v>
      </c>
      <c r="B2764" s="8">
        <v>6.0</v>
      </c>
      <c r="C2764" s="7" t="s">
        <v>72</v>
      </c>
      <c r="D2764" s="7" t="s">
        <v>978</v>
      </c>
      <c r="E2764" s="5" t="s">
        <v>3148</v>
      </c>
      <c r="F2764" s="5" t="s">
        <v>76</v>
      </c>
    </row>
    <row r="2765">
      <c r="A2765" s="5" t="s">
        <v>2597</v>
      </c>
      <c r="B2765" s="8">
        <v>6.0</v>
      </c>
      <c r="C2765" s="7" t="s">
        <v>72</v>
      </c>
      <c r="D2765" s="7" t="s">
        <v>978</v>
      </c>
      <c r="E2765" s="5" t="s">
        <v>3148</v>
      </c>
      <c r="F2765" s="5" t="s">
        <v>77</v>
      </c>
    </row>
    <row r="2766">
      <c r="A2766" s="7" t="s">
        <v>8</v>
      </c>
      <c r="B2766" s="8">
        <v>6.0</v>
      </c>
      <c r="C2766" s="7" t="s">
        <v>72</v>
      </c>
      <c r="D2766" s="7" t="s">
        <v>978</v>
      </c>
      <c r="E2766" s="5" t="s">
        <v>3148</v>
      </c>
      <c r="F2766" s="5" t="s">
        <v>77</v>
      </c>
    </row>
    <row r="2767">
      <c r="A2767" s="5" t="s">
        <v>2798</v>
      </c>
      <c r="B2767" s="8">
        <v>6.0</v>
      </c>
      <c r="C2767" s="7" t="s">
        <v>72</v>
      </c>
      <c r="D2767" s="7" t="s">
        <v>978</v>
      </c>
      <c r="E2767" s="5" t="s">
        <v>3148</v>
      </c>
      <c r="F2767" s="5" t="s">
        <v>3151</v>
      </c>
    </row>
    <row r="2768">
      <c r="A2768" s="5" t="s">
        <v>2702</v>
      </c>
      <c r="B2768" s="8">
        <v>6.0</v>
      </c>
      <c r="C2768" s="7" t="s">
        <v>72</v>
      </c>
      <c r="D2768" s="7" t="s">
        <v>978</v>
      </c>
      <c r="E2768" s="5" t="s">
        <v>3148</v>
      </c>
      <c r="F2768" s="5" t="s">
        <v>76</v>
      </c>
    </row>
    <row r="2769">
      <c r="A2769" s="5" t="s">
        <v>2599</v>
      </c>
      <c r="B2769" s="8">
        <v>6.0</v>
      </c>
      <c r="C2769" s="7" t="s">
        <v>72</v>
      </c>
      <c r="D2769" s="7" t="s">
        <v>978</v>
      </c>
      <c r="E2769" s="5" t="s">
        <v>3148</v>
      </c>
      <c r="F2769" s="5" t="s">
        <v>77</v>
      </c>
    </row>
    <row r="2770">
      <c r="A2770" s="5" t="s">
        <v>2600</v>
      </c>
      <c r="B2770" s="8">
        <v>6.0</v>
      </c>
      <c r="C2770" s="7" t="s">
        <v>72</v>
      </c>
      <c r="D2770" s="7" t="s">
        <v>978</v>
      </c>
      <c r="E2770" s="5" t="s">
        <v>3148</v>
      </c>
      <c r="F2770" s="5" t="s">
        <v>365</v>
      </c>
    </row>
    <row r="2771">
      <c r="A2771" s="5" t="s">
        <v>3090</v>
      </c>
      <c r="B2771" s="8">
        <v>6.0</v>
      </c>
      <c r="C2771" s="7" t="s">
        <v>72</v>
      </c>
      <c r="D2771" s="7" t="s">
        <v>978</v>
      </c>
      <c r="E2771" s="5" t="s">
        <v>3148</v>
      </c>
      <c r="F2771" s="5" t="s">
        <v>365</v>
      </c>
    </row>
    <row r="2772">
      <c r="A2772" s="7" t="s">
        <v>873</v>
      </c>
      <c r="B2772" s="8">
        <v>6.0</v>
      </c>
      <c r="C2772" s="7" t="s">
        <v>72</v>
      </c>
      <c r="D2772" s="7" t="s">
        <v>978</v>
      </c>
      <c r="E2772" s="5" t="s">
        <v>3148</v>
      </c>
      <c r="F2772" s="5" t="s">
        <v>77</v>
      </c>
    </row>
    <row r="2773">
      <c r="A2773" s="5" t="s">
        <v>2602</v>
      </c>
      <c r="B2773" s="8">
        <v>6.0</v>
      </c>
      <c r="C2773" s="7" t="s">
        <v>72</v>
      </c>
      <c r="D2773" s="7" t="s">
        <v>978</v>
      </c>
      <c r="E2773" s="5" t="s">
        <v>3148</v>
      </c>
      <c r="F2773" s="5" t="s">
        <v>3152</v>
      </c>
    </row>
    <row r="2774">
      <c r="A2774" s="5" t="s">
        <v>2603</v>
      </c>
      <c r="B2774" s="8">
        <v>6.0</v>
      </c>
      <c r="C2774" s="7" t="s">
        <v>72</v>
      </c>
      <c r="D2774" s="7" t="s">
        <v>978</v>
      </c>
      <c r="E2774" s="5" t="s">
        <v>3148</v>
      </c>
      <c r="F2774" s="5" t="s">
        <v>3153</v>
      </c>
    </row>
    <row r="2775">
      <c r="A2775" s="7" t="s">
        <v>874</v>
      </c>
      <c r="B2775" s="8">
        <v>6.0</v>
      </c>
      <c r="C2775" s="7" t="s">
        <v>72</v>
      </c>
      <c r="D2775" s="7" t="s">
        <v>978</v>
      </c>
      <c r="E2775" s="5" t="s">
        <v>3148</v>
      </c>
      <c r="F2775" s="5" t="s">
        <v>76</v>
      </c>
    </row>
    <row r="2776">
      <c r="A2776" s="5" t="s">
        <v>2604</v>
      </c>
      <c r="B2776" s="8">
        <v>6.0</v>
      </c>
      <c r="C2776" s="7" t="s">
        <v>72</v>
      </c>
      <c r="D2776" s="7" t="s">
        <v>978</v>
      </c>
      <c r="E2776" s="5" t="s">
        <v>3148</v>
      </c>
      <c r="F2776" s="5" t="s">
        <v>76</v>
      </c>
    </row>
    <row r="2777">
      <c r="A2777" s="5" t="s">
        <v>3091</v>
      </c>
      <c r="B2777" s="8">
        <v>6.0</v>
      </c>
      <c r="C2777" s="7" t="s">
        <v>72</v>
      </c>
      <c r="D2777" s="7" t="s">
        <v>978</v>
      </c>
      <c r="E2777" s="5" t="s">
        <v>3148</v>
      </c>
      <c r="F2777" s="5" t="s">
        <v>76</v>
      </c>
    </row>
    <row r="2778">
      <c r="A2778" s="5" t="s">
        <v>2605</v>
      </c>
      <c r="B2778" s="8">
        <v>6.0</v>
      </c>
      <c r="C2778" s="7" t="s">
        <v>72</v>
      </c>
      <c r="D2778" s="7" t="s">
        <v>978</v>
      </c>
      <c r="E2778" s="5" t="s">
        <v>3148</v>
      </c>
      <c r="F2778" s="5" t="s">
        <v>76</v>
      </c>
    </row>
    <row r="2779">
      <c r="A2779" s="5" t="s">
        <v>2933</v>
      </c>
      <c r="B2779" s="8">
        <v>6.0</v>
      </c>
      <c r="C2779" s="7" t="s">
        <v>72</v>
      </c>
      <c r="D2779" s="7" t="s">
        <v>978</v>
      </c>
      <c r="E2779" s="5" t="s">
        <v>3148</v>
      </c>
      <c r="F2779" s="5" t="s">
        <v>77</v>
      </c>
    </row>
    <row r="2780">
      <c r="A2780" s="5" t="s">
        <v>2606</v>
      </c>
      <c r="B2780" s="8">
        <v>6.0</v>
      </c>
      <c r="C2780" s="7" t="s">
        <v>72</v>
      </c>
      <c r="D2780" s="7" t="s">
        <v>978</v>
      </c>
      <c r="E2780" s="5" t="s">
        <v>3148</v>
      </c>
      <c r="F2780" s="5" t="s">
        <v>77</v>
      </c>
    </row>
    <row r="2781">
      <c r="A2781" s="5" t="s">
        <v>2934</v>
      </c>
      <c r="B2781" s="8">
        <v>6.0</v>
      </c>
      <c r="C2781" s="7" t="s">
        <v>72</v>
      </c>
      <c r="D2781" s="7" t="s">
        <v>978</v>
      </c>
      <c r="E2781" s="5" t="s">
        <v>3148</v>
      </c>
      <c r="F2781" s="5" t="s">
        <v>365</v>
      </c>
    </row>
    <row r="2782">
      <c r="A2782" s="5" t="s">
        <v>2607</v>
      </c>
      <c r="B2782" s="8">
        <v>6.0</v>
      </c>
      <c r="C2782" s="7" t="s">
        <v>72</v>
      </c>
      <c r="D2782" s="7" t="s">
        <v>978</v>
      </c>
      <c r="E2782" s="5" t="s">
        <v>3148</v>
      </c>
      <c r="F2782" s="5" t="s">
        <v>77</v>
      </c>
    </row>
    <row r="2783">
      <c r="A2783" s="7" t="s">
        <v>876</v>
      </c>
      <c r="B2783" s="8">
        <v>6.0</v>
      </c>
      <c r="C2783" s="7" t="s">
        <v>72</v>
      </c>
      <c r="D2783" s="7" t="s">
        <v>978</v>
      </c>
      <c r="E2783" s="5" t="s">
        <v>3148</v>
      </c>
      <c r="F2783" s="5" t="s">
        <v>365</v>
      </c>
    </row>
    <row r="2784">
      <c r="A2784" s="5" t="s">
        <v>3092</v>
      </c>
      <c r="B2784" s="8">
        <v>6.0</v>
      </c>
      <c r="C2784" s="7" t="s">
        <v>72</v>
      </c>
      <c r="D2784" s="7" t="s">
        <v>978</v>
      </c>
      <c r="E2784" s="5" t="s">
        <v>3148</v>
      </c>
      <c r="F2784" s="5" t="s">
        <v>77</v>
      </c>
    </row>
    <row r="2785">
      <c r="A2785" s="5" t="s">
        <v>2614</v>
      </c>
      <c r="B2785" s="8">
        <v>6.0</v>
      </c>
      <c r="C2785" s="7" t="s">
        <v>72</v>
      </c>
      <c r="D2785" s="7" t="s">
        <v>978</v>
      </c>
      <c r="E2785" s="5" t="s">
        <v>3148</v>
      </c>
      <c r="F2785" s="5" t="s">
        <v>77</v>
      </c>
    </row>
    <row r="2786">
      <c r="A2786" s="5" t="s">
        <v>2608</v>
      </c>
      <c r="B2786" s="8">
        <v>6.0</v>
      </c>
      <c r="C2786" s="7" t="s">
        <v>72</v>
      </c>
      <c r="D2786" s="7" t="s">
        <v>978</v>
      </c>
      <c r="E2786" s="5" t="s">
        <v>3148</v>
      </c>
      <c r="F2786" s="5" t="s">
        <v>77</v>
      </c>
    </row>
    <row r="2787">
      <c r="A2787" s="5" t="s">
        <v>2609</v>
      </c>
      <c r="B2787" s="8">
        <v>6.0</v>
      </c>
      <c r="C2787" s="7" t="s">
        <v>72</v>
      </c>
      <c r="D2787" s="7" t="s">
        <v>978</v>
      </c>
      <c r="E2787" s="5" t="s">
        <v>3148</v>
      </c>
      <c r="F2787" s="5" t="s">
        <v>77</v>
      </c>
    </row>
    <row r="2788">
      <c r="A2788" s="5" t="s">
        <v>2922</v>
      </c>
      <c r="B2788" s="8">
        <v>6.0</v>
      </c>
      <c r="C2788" s="7" t="s">
        <v>78</v>
      </c>
      <c r="D2788" s="7" t="s">
        <v>986</v>
      </c>
      <c r="E2788" s="5" t="s">
        <v>3154</v>
      </c>
      <c r="F2788" s="5" t="s">
        <v>2725</v>
      </c>
    </row>
    <row r="2789">
      <c r="A2789" s="7" t="s">
        <v>188</v>
      </c>
      <c r="B2789" s="8">
        <v>6.0</v>
      </c>
      <c r="C2789" s="7" t="s">
        <v>78</v>
      </c>
      <c r="D2789" s="7" t="s">
        <v>986</v>
      </c>
      <c r="E2789" s="5" t="s">
        <v>3154</v>
      </c>
      <c r="F2789" s="5" t="s">
        <v>2844</v>
      </c>
    </row>
    <row r="2790">
      <c r="A2790" s="5" t="s">
        <v>2592</v>
      </c>
      <c r="B2790" s="8">
        <v>6.0</v>
      </c>
      <c r="C2790" s="7" t="s">
        <v>78</v>
      </c>
      <c r="D2790" s="7" t="s">
        <v>986</v>
      </c>
      <c r="E2790" s="5" t="s">
        <v>3154</v>
      </c>
      <c r="F2790" s="5" t="s">
        <v>2627</v>
      </c>
    </row>
    <row r="2791">
      <c r="A2791" s="5" t="s">
        <v>2796</v>
      </c>
      <c r="B2791" s="8">
        <v>6.0</v>
      </c>
      <c r="C2791" s="7" t="s">
        <v>78</v>
      </c>
      <c r="D2791" s="7" t="s">
        <v>986</v>
      </c>
      <c r="E2791" s="5" t="s">
        <v>3154</v>
      </c>
      <c r="F2791" s="5" t="s">
        <v>2727</v>
      </c>
    </row>
    <row r="2792">
      <c r="A2792" s="5" t="s">
        <v>3085</v>
      </c>
      <c r="B2792" s="8">
        <v>6.0</v>
      </c>
      <c r="C2792" s="7" t="s">
        <v>78</v>
      </c>
      <c r="D2792" s="7" t="s">
        <v>986</v>
      </c>
      <c r="E2792" s="5" t="s">
        <v>3154</v>
      </c>
      <c r="F2792" s="5" t="s">
        <v>3155</v>
      </c>
    </row>
    <row r="2793">
      <c r="A2793" s="5" t="s">
        <v>2594</v>
      </c>
      <c r="B2793" s="8">
        <v>6.0</v>
      </c>
      <c r="C2793" s="7" t="s">
        <v>78</v>
      </c>
      <c r="D2793" s="7" t="s">
        <v>986</v>
      </c>
      <c r="E2793" s="5" t="s">
        <v>3154</v>
      </c>
      <c r="F2793" s="5" t="s">
        <v>2628</v>
      </c>
    </row>
    <row r="2794">
      <c r="A2794" s="5" t="s">
        <v>3086</v>
      </c>
      <c r="B2794" s="8">
        <v>6.0</v>
      </c>
      <c r="C2794" s="7" t="s">
        <v>78</v>
      </c>
      <c r="D2794" s="7" t="s">
        <v>986</v>
      </c>
      <c r="E2794" s="5" t="s">
        <v>3154</v>
      </c>
      <c r="F2794" s="5" t="s">
        <v>3156</v>
      </c>
    </row>
    <row r="2795">
      <c r="A2795" s="7" t="s">
        <v>868</v>
      </c>
      <c r="B2795" s="8">
        <v>6.0</v>
      </c>
      <c r="C2795" s="7" t="s">
        <v>78</v>
      </c>
      <c r="D2795" s="7" t="s">
        <v>986</v>
      </c>
      <c r="E2795" s="5" t="s">
        <v>3154</v>
      </c>
      <c r="F2795" s="5" t="s">
        <v>2627</v>
      </c>
    </row>
    <row r="2796">
      <c r="A2796" s="7" t="s">
        <v>599</v>
      </c>
      <c r="B2796" s="8">
        <v>6.0</v>
      </c>
      <c r="C2796" s="7" t="s">
        <v>78</v>
      </c>
      <c r="D2796" s="7" t="s">
        <v>986</v>
      </c>
      <c r="E2796" s="5" t="s">
        <v>3154</v>
      </c>
      <c r="F2796" s="5" t="s">
        <v>2725</v>
      </c>
    </row>
    <row r="2797">
      <c r="A2797" s="5" t="s">
        <v>3087</v>
      </c>
      <c r="B2797" s="8">
        <v>6.0</v>
      </c>
      <c r="C2797" s="7" t="s">
        <v>78</v>
      </c>
      <c r="D2797" s="7" t="s">
        <v>986</v>
      </c>
      <c r="E2797" s="5" t="s">
        <v>3154</v>
      </c>
      <c r="F2797" s="5" t="s">
        <v>3157</v>
      </c>
    </row>
    <row r="2798">
      <c r="A2798" s="5" t="s">
        <v>3088</v>
      </c>
      <c r="B2798" s="8">
        <v>6.0</v>
      </c>
      <c r="C2798" s="7" t="s">
        <v>78</v>
      </c>
      <c r="D2798" s="7" t="s">
        <v>986</v>
      </c>
      <c r="E2798" s="5" t="s">
        <v>3154</v>
      </c>
      <c r="F2798" s="5" t="s">
        <v>3158</v>
      </c>
    </row>
    <row r="2799">
      <c r="A2799" s="5" t="s">
        <v>2595</v>
      </c>
      <c r="B2799" s="8">
        <v>6.0</v>
      </c>
      <c r="C2799" s="7" t="s">
        <v>78</v>
      </c>
      <c r="D2799" s="7" t="s">
        <v>986</v>
      </c>
      <c r="E2799" s="5" t="s">
        <v>3154</v>
      </c>
      <c r="F2799" s="5" t="s">
        <v>2725</v>
      </c>
    </row>
    <row r="2800">
      <c r="A2800" s="5" t="s">
        <v>3089</v>
      </c>
      <c r="B2800" s="8">
        <v>6.0</v>
      </c>
      <c r="C2800" s="7" t="s">
        <v>78</v>
      </c>
      <c r="D2800" s="7" t="s">
        <v>986</v>
      </c>
      <c r="E2800" s="5" t="s">
        <v>3154</v>
      </c>
      <c r="F2800" s="5" t="s">
        <v>2631</v>
      </c>
    </row>
    <row r="2801">
      <c r="A2801" s="5" t="s">
        <v>2597</v>
      </c>
      <c r="B2801" s="8">
        <v>6.0</v>
      </c>
      <c r="C2801" s="7" t="s">
        <v>78</v>
      </c>
      <c r="D2801" s="7" t="s">
        <v>986</v>
      </c>
      <c r="E2801" s="5" t="s">
        <v>3154</v>
      </c>
      <c r="F2801" s="5" t="s">
        <v>2987</v>
      </c>
    </row>
    <row r="2802">
      <c r="A2802" s="7" t="s">
        <v>8</v>
      </c>
      <c r="B2802" s="8">
        <v>6.0</v>
      </c>
      <c r="C2802" s="7" t="s">
        <v>78</v>
      </c>
      <c r="D2802" s="7" t="s">
        <v>986</v>
      </c>
      <c r="E2802" s="5" t="s">
        <v>3154</v>
      </c>
      <c r="F2802" s="5" t="s">
        <v>3159</v>
      </c>
    </row>
    <row r="2803">
      <c r="A2803" s="5" t="s">
        <v>2798</v>
      </c>
      <c r="B2803" s="8">
        <v>6.0</v>
      </c>
      <c r="C2803" s="7" t="s">
        <v>78</v>
      </c>
      <c r="D2803" s="7" t="s">
        <v>986</v>
      </c>
      <c r="E2803" s="5" t="s">
        <v>3154</v>
      </c>
      <c r="F2803" s="5" t="s">
        <v>2628</v>
      </c>
    </row>
    <row r="2804">
      <c r="A2804" s="5" t="s">
        <v>2702</v>
      </c>
      <c r="B2804" s="8">
        <v>6.0</v>
      </c>
      <c r="C2804" s="7" t="s">
        <v>78</v>
      </c>
      <c r="D2804" s="7" t="s">
        <v>986</v>
      </c>
      <c r="E2804" s="5" t="s">
        <v>3154</v>
      </c>
      <c r="F2804" s="5" t="s">
        <v>3160</v>
      </c>
    </row>
    <row r="2805">
      <c r="A2805" s="5" t="s">
        <v>2599</v>
      </c>
      <c r="B2805" s="8">
        <v>6.0</v>
      </c>
      <c r="C2805" s="7" t="s">
        <v>78</v>
      </c>
      <c r="D2805" s="7" t="s">
        <v>986</v>
      </c>
      <c r="E2805" s="5" t="s">
        <v>3154</v>
      </c>
      <c r="F2805" s="5" t="s">
        <v>2725</v>
      </c>
    </row>
    <row r="2806">
      <c r="A2806" s="5" t="s">
        <v>2600</v>
      </c>
      <c r="B2806" s="8">
        <v>6.0</v>
      </c>
      <c r="C2806" s="7" t="s">
        <v>78</v>
      </c>
      <c r="D2806" s="7" t="s">
        <v>986</v>
      </c>
      <c r="E2806" s="5" t="s">
        <v>3154</v>
      </c>
      <c r="F2806" s="5" t="s">
        <v>2631</v>
      </c>
    </row>
    <row r="2807">
      <c r="A2807" s="5" t="s">
        <v>3090</v>
      </c>
      <c r="B2807" s="8">
        <v>6.0</v>
      </c>
      <c r="C2807" s="7" t="s">
        <v>78</v>
      </c>
      <c r="D2807" s="7" t="s">
        <v>986</v>
      </c>
      <c r="E2807" s="5" t="s">
        <v>3154</v>
      </c>
      <c r="F2807" s="5" t="s">
        <v>2725</v>
      </c>
    </row>
    <row r="2808">
      <c r="A2808" s="7" t="s">
        <v>873</v>
      </c>
      <c r="B2808" s="8">
        <v>6.0</v>
      </c>
      <c r="C2808" s="7" t="s">
        <v>78</v>
      </c>
      <c r="D2808" s="7" t="s">
        <v>986</v>
      </c>
      <c r="E2808" s="5" t="s">
        <v>3154</v>
      </c>
      <c r="F2808" s="5" t="s">
        <v>3104</v>
      </c>
    </row>
    <row r="2809">
      <c r="A2809" s="5" t="s">
        <v>2602</v>
      </c>
      <c r="B2809" s="8">
        <v>6.0</v>
      </c>
      <c r="C2809" s="7" t="s">
        <v>78</v>
      </c>
      <c r="D2809" s="7" t="s">
        <v>986</v>
      </c>
      <c r="E2809" s="5" t="s">
        <v>3154</v>
      </c>
      <c r="F2809" s="5" t="s">
        <v>2725</v>
      </c>
    </row>
    <row r="2810">
      <c r="A2810" s="5" t="s">
        <v>2603</v>
      </c>
      <c r="B2810" s="8">
        <v>6.0</v>
      </c>
      <c r="C2810" s="7" t="s">
        <v>78</v>
      </c>
      <c r="D2810" s="7" t="s">
        <v>986</v>
      </c>
      <c r="E2810" s="5" t="s">
        <v>3154</v>
      </c>
      <c r="F2810" s="5" t="s">
        <v>2843</v>
      </c>
    </row>
    <row r="2811">
      <c r="A2811" s="7" t="s">
        <v>874</v>
      </c>
      <c r="B2811" s="8">
        <v>6.0</v>
      </c>
      <c r="C2811" s="7" t="s">
        <v>78</v>
      </c>
      <c r="D2811" s="7" t="s">
        <v>986</v>
      </c>
      <c r="E2811" s="5" t="s">
        <v>3154</v>
      </c>
      <c r="F2811" s="5" t="s">
        <v>2727</v>
      </c>
    </row>
    <row r="2812">
      <c r="A2812" s="5" t="s">
        <v>2604</v>
      </c>
      <c r="B2812" s="8">
        <v>6.0</v>
      </c>
      <c r="C2812" s="7" t="s">
        <v>78</v>
      </c>
      <c r="D2812" s="7" t="s">
        <v>986</v>
      </c>
      <c r="E2812" s="5" t="s">
        <v>3154</v>
      </c>
      <c r="F2812" s="5" t="s">
        <v>3161</v>
      </c>
    </row>
    <row r="2813">
      <c r="A2813" s="5" t="s">
        <v>3091</v>
      </c>
      <c r="B2813" s="8">
        <v>6.0</v>
      </c>
      <c r="C2813" s="7" t="s">
        <v>78</v>
      </c>
      <c r="D2813" s="7" t="s">
        <v>986</v>
      </c>
      <c r="E2813" s="5" t="s">
        <v>3154</v>
      </c>
      <c r="F2813" s="5" t="s">
        <v>2725</v>
      </c>
    </row>
    <row r="2814">
      <c r="A2814" s="5" t="s">
        <v>2605</v>
      </c>
      <c r="B2814" s="8">
        <v>6.0</v>
      </c>
      <c r="C2814" s="7" t="s">
        <v>78</v>
      </c>
      <c r="D2814" s="7" t="s">
        <v>986</v>
      </c>
      <c r="E2814" s="5" t="s">
        <v>3154</v>
      </c>
      <c r="F2814" s="5" t="s">
        <v>3162</v>
      </c>
    </row>
    <row r="2815">
      <c r="A2815" s="5" t="s">
        <v>2933</v>
      </c>
      <c r="B2815" s="8">
        <v>6.0</v>
      </c>
      <c r="C2815" s="7" t="s">
        <v>78</v>
      </c>
      <c r="D2815" s="7" t="s">
        <v>986</v>
      </c>
      <c r="E2815" s="5" t="s">
        <v>3154</v>
      </c>
      <c r="F2815" s="5" t="s">
        <v>2725</v>
      </c>
    </row>
    <row r="2816">
      <c r="A2816" s="5" t="s">
        <v>2606</v>
      </c>
      <c r="B2816" s="8">
        <v>6.0</v>
      </c>
      <c r="C2816" s="7" t="s">
        <v>78</v>
      </c>
      <c r="D2816" s="7" t="s">
        <v>986</v>
      </c>
      <c r="E2816" s="5" t="s">
        <v>3154</v>
      </c>
      <c r="F2816" s="5" t="s">
        <v>3163</v>
      </c>
    </row>
    <row r="2817">
      <c r="A2817" s="5" t="s">
        <v>2934</v>
      </c>
      <c r="B2817" s="8">
        <v>6.0</v>
      </c>
      <c r="C2817" s="7" t="s">
        <v>78</v>
      </c>
      <c r="D2817" s="7" t="s">
        <v>986</v>
      </c>
      <c r="E2817" s="5" t="s">
        <v>3154</v>
      </c>
      <c r="F2817" s="5" t="s">
        <v>997</v>
      </c>
    </row>
    <row r="2818">
      <c r="A2818" s="5" t="s">
        <v>2607</v>
      </c>
      <c r="B2818" s="8">
        <v>6.0</v>
      </c>
      <c r="C2818" s="7" t="s">
        <v>78</v>
      </c>
      <c r="D2818" s="7" t="s">
        <v>986</v>
      </c>
      <c r="E2818" s="5" t="s">
        <v>3154</v>
      </c>
      <c r="F2818" s="5" t="s">
        <v>2989</v>
      </c>
    </row>
    <row r="2819">
      <c r="A2819" s="7" t="s">
        <v>876</v>
      </c>
      <c r="B2819" s="8">
        <v>6.0</v>
      </c>
      <c r="C2819" s="7" t="s">
        <v>78</v>
      </c>
      <c r="D2819" s="7" t="s">
        <v>986</v>
      </c>
      <c r="E2819" s="5" t="s">
        <v>3154</v>
      </c>
      <c r="F2819" s="5" t="s">
        <v>2631</v>
      </c>
    </row>
    <row r="2820">
      <c r="A2820" s="5" t="s">
        <v>3092</v>
      </c>
      <c r="B2820" s="8">
        <v>6.0</v>
      </c>
      <c r="C2820" s="7" t="s">
        <v>78</v>
      </c>
      <c r="D2820" s="7" t="s">
        <v>986</v>
      </c>
      <c r="E2820" s="5" t="s">
        <v>3154</v>
      </c>
      <c r="F2820" s="5" t="s">
        <v>2725</v>
      </c>
    </row>
    <row r="2821">
      <c r="A2821" s="5" t="s">
        <v>2614</v>
      </c>
      <c r="B2821" s="8">
        <v>6.0</v>
      </c>
      <c r="C2821" s="7" t="s">
        <v>78</v>
      </c>
      <c r="D2821" s="7" t="s">
        <v>986</v>
      </c>
      <c r="E2821" s="5" t="s">
        <v>3154</v>
      </c>
      <c r="F2821" s="5" t="s">
        <v>3164</v>
      </c>
    </row>
    <row r="2822">
      <c r="A2822" s="5" t="s">
        <v>2608</v>
      </c>
      <c r="B2822" s="8">
        <v>6.0</v>
      </c>
      <c r="C2822" s="7" t="s">
        <v>78</v>
      </c>
      <c r="D2822" s="7" t="s">
        <v>986</v>
      </c>
      <c r="E2822" s="5" t="s">
        <v>3154</v>
      </c>
      <c r="F2822" s="5" t="s">
        <v>2725</v>
      </c>
    </row>
    <row r="2823">
      <c r="A2823" s="5" t="s">
        <v>2609</v>
      </c>
      <c r="B2823" s="8">
        <v>6.0</v>
      </c>
      <c r="C2823" s="7" t="s">
        <v>78</v>
      </c>
      <c r="D2823" s="7" t="s">
        <v>986</v>
      </c>
      <c r="E2823" s="5" t="s">
        <v>3154</v>
      </c>
      <c r="F2823" s="5" t="s">
        <v>3165</v>
      </c>
    </row>
    <row r="2824">
      <c r="A2824" s="5" t="s">
        <v>2922</v>
      </c>
      <c r="B2824" s="8">
        <v>6.0</v>
      </c>
      <c r="C2824" s="7" t="s">
        <v>699</v>
      </c>
      <c r="D2824" s="7" t="s">
        <v>1000</v>
      </c>
      <c r="E2824" s="5" t="s">
        <v>3166</v>
      </c>
      <c r="F2824" s="5" t="s">
        <v>3167</v>
      </c>
    </row>
    <row r="2825">
      <c r="A2825" s="7" t="s">
        <v>188</v>
      </c>
      <c r="B2825" s="8">
        <v>6.0</v>
      </c>
      <c r="C2825" s="7" t="s">
        <v>699</v>
      </c>
      <c r="D2825" s="7" t="s">
        <v>1000</v>
      </c>
      <c r="E2825" s="5" t="s">
        <v>3166</v>
      </c>
      <c r="F2825" s="5" t="s">
        <v>1003</v>
      </c>
    </row>
    <row r="2826">
      <c r="A2826" s="5" t="s">
        <v>2592</v>
      </c>
      <c r="B2826" s="8">
        <v>6.0</v>
      </c>
      <c r="C2826" s="7" t="s">
        <v>699</v>
      </c>
      <c r="D2826" s="7" t="s">
        <v>1000</v>
      </c>
      <c r="E2826" s="5" t="s">
        <v>3166</v>
      </c>
      <c r="F2826" s="5" t="s">
        <v>2995</v>
      </c>
    </row>
    <row r="2827">
      <c r="A2827" s="5" t="s">
        <v>2796</v>
      </c>
      <c r="B2827" s="8">
        <v>6.0</v>
      </c>
      <c r="C2827" s="7" t="s">
        <v>699</v>
      </c>
      <c r="D2827" s="7" t="s">
        <v>1000</v>
      </c>
      <c r="E2827" s="5" t="s">
        <v>3166</v>
      </c>
      <c r="F2827" s="5" t="s">
        <v>1003</v>
      </c>
    </row>
    <row r="2828">
      <c r="A2828" s="5" t="s">
        <v>3085</v>
      </c>
      <c r="B2828" s="8">
        <v>6.0</v>
      </c>
      <c r="C2828" s="7" t="s">
        <v>699</v>
      </c>
      <c r="D2828" s="7" t="s">
        <v>1000</v>
      </c>
      <c r="E2828" s="5" t="s">
        <v>3166</v>
      </c>
      <c r="F2828" s="5" t="s">
        <v>3168</v>
      </c>
    </row>
    <row r="2829">
      <c r="A2829" s="5" t="s">
        <v>2594</v>
      </c>
      <c r="B2829" s="8">
        <v>6.0</v>
      </c>
      <c r="C2829" s="7" t="s">
        <v>699</v>
      </c>
      <c r="D2829" s="7" t="s">
        <v>1000</v>
      </c>
      <c r="E2829" s="5" t="s">
        <v>3166</v>
      </c>
      <c r="F2829" s="5" t="s">
        <v>3169</v>
      </c>
    </row>
    <row r="2830">
      <c r="A2830" s="5" t="s">
        <v>3086</v>
      </c>
      <c r="B2830" s="8">
        <v>6.0</v>
      </c>
      <c r="C2830" s="7" t="s">
        <v>699</v>
      </c>
      <c r="D2830" s="7" t="s">
        <v>1000</v>
      </c>
      <c r="E2830" s="5" t="s">
        <v>3166</v>
      </c>
      <c r="F2830" s="5" t="s">
        <v>3170</v>
      </c>
    </row>
    <row r="2831">
      <c r="A2831" s="7" t="s">
        <v>868</v>
      </c>
      <c r="B2831" s="8">
        <v>6.0</v>
      </c>
      <c r="C2831" s="7" t="s">
        <v>699</v>
      </c>
      <c r="D2831" s="7" t="s">
        <v>1000</v>
      </c>
      <c r="E2831" s="5" t="s">
        <v>3166</v>
      </c>
      <c r="F2831" s="5" t="s">
        <v>3170</v>
      </c>
    </row>
    <row r="2832">
      <c r="A2832" s="7" t="s">
        <v>599</v>
      </c>
      <c r="B2832" s="8">
        <v>6.0</v>
      </c>
      <c r="C2832" s="7" t="s">
        <v>699</v>
      </c>
      <c r="D2832" s="7" t="s">
        <v>1000</v>
      </c>
      <c r="E2832" s="5" t="s">
        <v>3166</v>
      </c>
      <c r="F2832" s="5" t="s">
        <v>2994</v>
      </c>
    </row>
    <row r="2833">
      <c r="A2833" s="5" t="s">
        <v>3087</v>
      </c>
      <c r="B2833" s="8">
        <v>6.0</v>
      </c>
      <c r="C2833" s="7" t="s">
        <v>699</v>
      </c>
      <c r="D2833" s="7" t="s">
        <v>1000</v>
      </c>
      <c r="E2833" s="5" t="s">
        <v>3166</v>
      </c>
      <c r="F2833" s="5" t="s">
        <v>3171</v>
      </c>
    </row>
    <row r="2834">
      <c r="A2834" s="5" t="s">
        <v>3088</v>
      </c>
      <c r="B2834" s="8">
        <v>6.0</v>
      </c>
      <c r="C2834" s="7" t="s">
        <v>699</v>
      </c>
      <c r="D2834" s="7" t="s">
        <v>1000</v>
      </c>
      <c r="E2834" s="5" t="s">
        <v>3166</v>
      </c>
      <c r="F2834" s="5" t="s">
        <v>1003</v>
      </c>
    </row>
    <row r="2835">
      <c r="A2835" s="5" t="s">
        <v>2595</v>
      </c>
      <c r="B2835" s="8">
        <v>6.0</v>
      </c>
      <c r="C2835" s="7" t="s">
        <v>699</v>
      </c>
      <c r="D2835" s="7" t="s">
        <v>1000</v>
      </c>
      <c r="E2835" s="5" t="s">
        <v>3166</v>
      </c>
      <c r="F2835" s="5" t="s">
        <v>3172</v>
      </c>
    </row>
    <row r="2836">
      <c r="A2836" s="5" t="s">
        <v>3089</v>
      </c>
      <c r="B2836" s="8">
        <v>6.0</v>
      </c>
      <c r="C2836" s="7" t="s">
        <v>699</v>
      </c>
      <c r="D2836" s="7" t="s">
        <v>1000</v>
      </c>
      <c r="E2836" s="5" t="s">
        <v>3166</v>
      </c>
      <c r="F2836" s="5" t="s">
        <v>3173</v>
      </c>
    </row>
    <row r="2837">
      <c r="A2837" s="5" t="s">
        <v>2597</v>
      </c>
      <c r="B2837" s="8">
        <v>6.0</v>
      </c>
      <c r="C2837" s="7" t="s">
        <v>699</v>
      </c>
      <c r="D2837" s="7" t="s">
        <v>1000</v>
      </c>
      <c r="E2837" s="5" t="s">
        <v>3166</v>
      </c>
      <c r="F2837" s="5" t="s">
        <v>2999</v>
      </c>
    </row>
    <row r="2838">
      <c r="A2838" s="7" t="s">
        <v>8</v>
      </c>
      <c r="B2838" s="8">
        <v>6.0</v>
      </c>
      <c r="C2838" s="7" t="s">
        <v>699</v>
      </c>
      <c r="D2838" s="7" t="s">
        <v>1000</v>
      </c>
      <c r="E2838" s="5" t="s">
        <v>3166</v>
      </c>
      <c r="F2838" s="5" t="s">
        <v>3174</v>
      </c>
    </row>
    <row r="2839">
      <c r="A2839" s="5" t="s">
        <v>2798</v>
      </c>
      <c r="B2839" s="8">
        <v>6.0</v>
      </c>
      <c r="C2839" s="7" t="s">
        <v>699</v>
      </c>
      <c r="D2839" s="7" t="s">
        <v>1000</v>
      </c>
      <c r="E2839" s="5" t="s">
        <v>3166</v>
      </c>
      <c r="F2839" s="5" t="s">
        <v>3001</v>
      </c>
    </row>
    <row r="2840">
      <c r="A2840" s="5" t="s">
        <v>2702</v>
      </c>
      <c r="B2840" s="8">
        <v>6.0</v>
      </c>
      <c r="C2840" s="7" t="s">
        <v>699</v>
      </c>
      <c r="D2840" s="7" t="s">
        <v>1000</v>
      </c>
      <c r="E2840" s="5" t="s">
        <v>3166</v>
      </c>
      <c r="F2840" s="5" t="s">
        <v>3170</v>
      </c>
    </row>
    <row r="2841">
      <c r="A2841" s="5" t="s">
        <v>2599</v>
      </c>
      <c r="B2841" s="8">
        <v>6.0</v>
      </c>
      <c r="C2841" s="7" t="s">
        <v>699</v>
      </c>
      <c r="D2841" s="7" t="s">
        <v>1000</v>
      </c>
      <c r="E2841" s="5" t="s">
        <v>3166</v>
      </c>
      <c r="F2841" s="5" t="s">
        <v>2994</v>
      </c>
    </row>
    <row r="2842">
      <c r="A2842" s="5" t="s">
        <v>2600</v>
      </c>
      <c r="B2842" s="8">
        <v>6.0</v>
      </c>
      <c r="C2842" s="7" t="s">
        <v>699</v>
      </c>
      <c r="D2842" s="7" t="s">
        <v>1000</v>
      </c>
      <c r="E2842" s="5" t="s">
        <v>3166</v>
      </c>
      <c r="F2842" s="5" t="s">
        <v>3170</v>
      </c>
    </row>
    <row r="2843">
      <c r="A2843" s="5" t="s">
        <v>3090</v>
      </c>
      <c r="B2843" s="8">
        <v>6.0</v>
      </c>
      <c r="C2843" s="7" t="s">
        <v>699</v>
      </c>
      <c r="D2843" s="7" t="s">
        <v>1000</v>
      </c>
      <c r="E2843" s="5" t="s">
        <v>3166</v>
      </c>
      <c r="F2843" s="5" t="s">
        <v>3175</v>
      </c>
    </row>
    <row r="2844">
      <c r="A2844" s="7" t="s">
        <v>873</v>
      </c>
      <c r="B2844" s="8">
        <v>6.0</v>
      </c>
      <c r="C2844" s="7" t="s">
        <v>699</v>
      </c>
      <c r="D2844" s="7" t="s">
        <v>1000</v>
      </c>
      <c r="E2844" s="5" t="s">
        <v>3166</v>
      </c>
      <c r="F2844" s="5" t="s">
        <v>3176</v>
      </c>
    </row>
    <row r="2845">
      <c r="A2845" s="5" t="s">
        <v>2602</v>
      </c>
      <c r="B2845" s="8">
        <v>6.0</v>
      </c>
      <c r="C2845" s="7" t="s">
        <v>699</v>
      </c>
      <c r="D2845" s="7" t="s">
        <v>1000</v>
      </c>
      <c r="E2845" s="5" t="s">
        <v>3166</v>
      </c>
      <c r="F2845" s="5" t="s">
        <v>3177</v>
      </c>
    </row>
    <row r="2846">
      <c r="A2846" s="5" t="s">
        <v>2603</v>
      </c>
      <c r="B2846" s="8">
        <v>6.0</v>
      </c>
      <c r="C2846" s="7" t="s">
        <v>699</v>
      </c>
      <c r="D2846" s="7" t="s">
        <v>1000</v>
      </c>
      <c r="E2846" s="5" t="s">
        <v>3166</v>
      </c>
      <c r="F2846" s="5" t="s">
        <v>3178</v>
      </c>
    </row>
    <row r="2847">
      <c r="A2847" s="7" t="s">
        <v>874</v>
      </c>
      <c r="B2847" s="8">
        <v>6.0</v>
      </c>
      <c r="C2847" s="7" t="s">
        <v>699</v>
      </c>
      <c r="D2847" s="7" t="s">
        <v>1000</v>
      </c>
      <c r="E2847" s="5" t="s">
        <v>3166</v>
      </c>
      <c r="F2847" s="5" t="s">
        <v>1015</v>
      </c>
    </row>
    <row r="2848">
      <c r="A2848" s="5" t="s">
        <v>2604</v>
      </c>
      <c r="B2848" s="8">
        <v>6.0</v>
      </c>
      <c r="C2848" s="7" t="s">
        <v>699</v>
      </c>
      <c r="D2848" s="7" t="s">
        <v>1000</v>
      </c>
      <c r="E2848" s="5" t="s">
        <v>3166</v>
      </c>
      <c r="F2848" s="5" t="s">
        <v>3179</v>
      </c>
    </row>
    <row r="2849">
      <c r="A2849" s="5" t="s">
        <v>3091</v>
      </c>
      <c r="B2849" s="8">
        <v>6.0</v>
      </c>
      <c r="C2849" s="7" t="s">
        <v>699</v>
      </c>
      <c r="D2849" s="7" t="s">
        <v>1000</v>
      </c>
      <c r="E2849" s="5" t="s">
        <v>3166</v>
      </c>
      <c r="F2849" s="5" t="s">
        <v>3180</v>
      </c>
    </row>
    <row r="2850">
      <c r="A2850" s="5" t="s">
        <v>2605</v>
      </c>
      <c r="B2850" s="8">
        <v>6.0</v>
      </c>
      <c r="C2850" s="7" t="s">
        <v>699</v>
      </c>
      <c r="D2850" s="7" t="s">
        <v>1000</v>
      </c>
      <c r="E2850" s="5" t="s">
        <v>3166</v>
      </c>
      <c r="F2850" s="5" t="s">
        <v>3170</v>
      </c>
    </row>
    <row r="2851">
      <c r="A2851" s="5" t="s">
        <v>2933</v>
      </c>
      <c r="B2851" s="8">
        <v>6.0</v>
      </c>
      <c r="C2851" s="7" t="s">
        <v>699</v>
      </c>
      <c r="D2851" s="7" t="s">
        <v>1000</v>
      </c>
      <c r="E2851" s="5" t="s">
        <v>3166</v>
      </c>
      <c r="F2851" s="5" t="s">
        <v>3181</v>
      </c>
    </row>
    <row r="2852">
      <c r="A2852" s="5" t="s">
        <v>2606</v>
      </c>
      <c r="B2852" s="8">
        <v>6.0</v>
      </c>
      <c r="C2852" s="7" t="s">
        <v>699</v>
      </c>
      <c r="D2852" s="7" t="s">
        <v>1000</v>
      </c>
      <c r="E2852" s="5" t="s">
        <v>3166</v>
      </c>
      <c r="F2852" s="5" t="s">
        <v>3182</v>
      </c>
    </row>
    <row r="2853">
      <c r="A2853" s="5" t="s">
        <v>2934</v>
      </c>
      <c r="B2853" s="8">
        <v>6.0</v>
      </c>
      <c r="C2853" s="7" t="s">
        <v>699</v>
      </c>
      <c r="D2853" s="7" t="s">
        <v>1000</v>
      </c>
      <c r="E2853" s="5" t="s">
        <v>3166</v>
      </c>
      <c r="F2853" s="5" t="s">
        <v>2994</v>
      </c>
    </row>
    <row r="2854">
      <c r="A2854" s="5" t="s">
        <v>2607</v>
      </c>
      <c r="B2854" s="8">
        <v>6.0</v>
      </c>
      <c r="C2854" s="7" t="s">
        <v>699</v>
      </c>
      <c r="D2854" s="7" t="s">
        <v>1000</v>
      </c>
      <c r="E2854" s="5" t="s">
        <v>3166</v>
      </c>
      <c r="F2854" s="5" t="s">
        <v>3008</v>
      </c>
    </row>
    <row r="2855">
      <c r="A2855" s="7" t="s">
        <v>876</v>
      </c>
      <c r="B2855" s="8">
        <v>6.0</v>
      </c>
      <c r="C2855" s="7" t="s">
        <v>699</v>
      </c>
      <c r="D2855" s="7" t="s">
        <v>1000</v>
      </c>
      <c r="E2855" s="5" t="s">
        <v>3166</v>
      </c>
      <c r="F2855" s="5" t="s">
        <v>3170</v>
      </c>
    </row>
    <row r="2856">
      <c r="A2856" s="5" t="s">
        <v>3092</v>
      </c>
      <c r="B2856" s="8">
        <v>6.0</v>
      </c>
      <c r="C2856" s="7" t="s">
        <v>699</v>
      </c>
      <c r="D2856" s="7" t="s">
        <v>1000</v>
      </c>
      <c r="E2856" s="5" t="s">
        <v>3166</v>
      </c>
      <c r="F2856" s="5" t="s">
        <v>2994</v>
      </c>
    </row>
    <row r="2857">
      <c r="A2857" s="5" t="s">
        <v>2614</v>
      </c>
      <c r="B2857" s="8">
        <v>6.0</v>
      </c>
      <c r="C2857" s="7" t="s">
        <v>699</v>
      </c>
      <c r="D2857" s="7" t="s">
        <v>1000</v>
      </c>
      <c r="E2857" s="5" t="s">
        <v>3166</v>
      </c>
      <c r="F2857" s="5" t="s">
        <v>3183</v>
      </c>
    </row>
    <row r="2858">
      <c r="A2858" s="5" t="s">
        <v>2608</v>
      </c>
      <c r="B2858" s="8">
        <v>6.0</v>
      </c>
      <c r="C2858" s="7" t="s">
        <v>699</v>
      </c>
      <c r="D2858" s="7" t="s">
        <v>1000</v>
      </c>
      <c r="E2858" s="5" t="s">
        <v>3166</v>
      </c>
      <c r="F2858" s="5" t="s">
        <v>3184</v>
      </c>
    </row>
    <row r="2859">
      <c r="A2859" s="5" t="s">
        <v>2609</v>
      </c>
      <c r="B2859" s="8">
        <v>6.0</v>
      </c>
      <c r="C2859" s="7" t="s">
        <v>699</v>
      </c>
      <c r="D2859" s="7" t="s">
        <v>1000</v>
      </c>
      <c r="E2859" s="5" t="s">
        <v>3166</v>
      </c>
      <c r="F2859" s="5" t="s">
        <v>3011</v>
      </c>
    </row>
    <row r="2860">
      <c r="A2860" s="5" t="s">
        <v>2922</v>
      </c>
      <c r="B2860" s="8">
        <v>6.0</v>
      </c>
      <c r="C2860" s="7" t="s">
        <v>101</v>
      </c>
      <c r="D2860" s="7" t="s">
        <v>1022</v>
      </c>
      <c r="E2860" s="5" t="s">
        <v>3185</v>
      </c>
      <c r="F2860" s="5" t="s">
        <v>780</v>
      </c>
    </row>
    <row r="2861">
      <c r="A2861" s="7" t="s">
        <v>188</v>
      </c>
      <c r="B2861" s="8">
        <v>6.0</v>
      </c>
      <c r="C2861" s="7" t="s">
        <v>101</v>
      </c>
      <c r="D2861" s="7" t="s">
        <v>1022</v>
      </c>
      <c r="E2861" s="5" t="s">
        <v>3185</v>
      </c>
      <c r="F2861" s="5" t="s">
        <v>3186</v>
      </c>
    </row>
    <row r="2862">
      <c r="A2862" s="5" t="s">
        <v>2796</v>
      </c>
      <c r="B2862" s="8">
        <v>6.0</v>
      </c>
      <c r="C2862" s="7" t="s">
        <v>101</v>
      </c>
      <c r="D2862" s="7" t="s">
        <v>1022</v>
      </c>
      <c r="E2862" s="5" t="s">
        <v>3185</v>
      </c>
      <c r="F2862" s="5" t="s">
        <v>3186</v>
      </c>
    </row>
    <row r="2863">
      <c r="A2863" s="5" t="s">
        <v>3085</v>
      </c>
      <c r="B2863" s="8">
        <v>6.0</v>
      </c>
      <c r="C2863" s="7" t="s">
        <v>101</v>
      </c>
      <c r="D2863" s="7" t="s">
        <v>1022</v>
      </c>
      <c r="E2863" s="5" t="s">
        <v>3185</v>
      </c>
      <c r="F2863" s="5" t="s">
        <v>3186</v>
      </c>
    </row>
    <row r="2864">
      <c r="A2864" s="5" t="s">
        <v>2594</v>
      </c>
      <c r="B2864" s="8">
        <v>6.0</v>
      </c>
      <c r="C2864" s="7" t="s">
        <v>101</v>
      </c>
      <c r="D2864" s="7" t="s">
        <v>1022</v>
      </c>
      <c r="E2864" s="5" t="s">
        <v>3185</v>
      </c>
      <c r="F2864" s="5" t="s">
        <v>3187</v>
      </c>
    </row>
    <row r="2865">
      <c r="A2865" s="5" t="s">
        <v>3086</v>
      </c>
      <c r="B2865" s="8">
        <v>6.0</v>
      </c>
      <c r="C2865" s="7" t="s">
        <v>101</v>
      </c>
      <c r="D2865" s="7" t="s">
        <v>1022</v>
      </c>
      <c r="E2865" s="5" t="s">
        <v>3185</v>
      </c>
      <c r="F2865" s="5" t="s">
        <v>3188</v>
      </c>
    </row>
    <row r="2866">
      <c r="A2866" s="7" t="s">
        <v>868</v>
      </c>
      <c r="B2866" s="8">
        <v>6.0</v>
      </c>
      <c r="C2866" s="7" t="s">
        <v>101</v>
      </c>
      <c r="D2866" s="7" t="s">
        <v>1022</v>
      </c>
      <c r="E2866" s="5" t="s">
        <v>3185</v>
      </c>
      <c r="F2866" s="5" t="s">
        <v>2730</v>
      </c>
    </row>
    <row r="2867">
      <c r="A2867" s="7" t="s">
        <v>599</v>
      </c>
      <c r="B2867" s="8">
        <v>6.0</v>
      </c>
      <c r="C2867" s="7" t="s">
        <v>101</v>
      </c>
      <c r="D2867" s="7" t="s">
        <v>1022</v>
      </c>
      <c r="E2867" s="5" t="s">
        <v>3185</v>
      </c>
      <c r="F2867" s="5" t="s">
        <v>2650</v>
      </c>
    </row>
    <row r="2868">
      <c r="A2868" s="5" t="s">
        <v>3087</v>
      </c>
      <c r="B2868" s="8">
        <v>6.0</v>
      </c>
      <c r="C2868" s="7" t="s">
        <v>101</v>
      </c>
      <c r="D2868" s="7" t="s">
        <v>1022</v>
      </c>
      <c r="E2868" s="5" t="s">
        <v>3185</v>
      </c>
      <c r="F2868" s="5" t="s">
        <v>2650</v>
      </c>
    </row>
    <row r="2869">
      <c r="A2869" s="5" t="s">
        <v>3088</v>
      </c>
      <c r="B2869" s="8">
        <v>6.0</v>
      </c>
      <c r="C2869" s="7" t="s">
        <v>101</v>
      </c>
      <c r="D2869" s="7" t="s">
        <v>1022</v>
      </c>
      <c r="E2869" s="5" t="s">
        <v>3185</v>
      </c>
      <c r="F2869" s="5" t="s">
        <v>3189</v>
      </c>
    </row>
    <row r="2870">
      <c r="A2870" s="5" t="s">
        <v>2595</v>
      </c>
      <c r="B2870" s="8">
        <v>6.0</v>
      </c>
      <c r="C2870" s="7" t="s">
        <v>101</v>
      </c>
      <c r="D2870" s="7" t="s">
        <v>1022</v>
      </c>
      <c r="E2870" s="5" t="s">
        <v>3185</v>
      </c>
      <c r="F2870" s="5" t="s">
        <v>2850</v>
      </c>
    </row>
    <row r="2871">
      <c r="A2871" s="5" t="s">
        <v>3089</v>
      </c>
      <c r="B2871" s="8">
        <v>6.0</v>
      </c>
      <c r="C2871" s="7" t="s">
        <v>101</v>
      </c>
      <c r="D2871" s="7" t="s">
        <v>1022</v>
      </c>
      <c r="E2871" s="5" t="s">
        <v>3185</v>
      </c>
      <c r="F2871" s="5" t="s">
        <v>3190</v>
      </c>
    </row>
    <row r="2872">
      <c r="A2872" s="5" t="s">
        <v>2597</v>
      </c>
      <c r="B2872" s="8">
        <v>6.0</v>
      </c>
      <c r="C2872" s="7" t="s">
        <v>101</v>
      </c>
      <c r="D2872" s="7" t="s">
        <v>1022</v>
      </c>
      <c r="E2872" s="5" t="s">
        <v>3185</v>
      </c>
      <c r="F2872" s="5" t="s">
        <v>3191</v>
      </c>
    </row>
    <row r="2873">
      <c r="A2873" s="7" t="s">
        <v>8</v>
      </c>
      <c r="B2873" s="8">
        <v>6.0</v>
      </c>
      <c r="C2873" s="7" t="s">
        <v>101</v>
      </c>
      <c r="D2873" s="7" t="s">
        <v>1022</v>
      </c>
      <c r="E2873" s="5" t="s">
        <v>3185</v>
      </c>
      <c r="F2873" s="5" t="s">
        <v>1363</v>
      </c>
    </row>
    <row r="2874">
      <c r="A2874" s="5" t="s">
        <v>2798</v>
      </c>
      <c r="B2874" s="8">
        <v>6.0</v>
      </c>
      <c r="C2874" s="7" t="s">
        <v>101</v>
      </c>
      <c r="D2874" s="7" t="s">
        <v>1022</v>
      </c>
      <c r="E2874" s="5" t="s">
        <v>3185</v>
      </c>
      <c r="F2874" s="5" t="s">
        <v>2646</v>
      </c>
    </row>
    <row r="2875">
      <c r="A2875" s="5" t="s">
        <v>2702</v>
      </c>
      <c r="B2875" s="8">
        <v>6.0</v>
      </c>
      <c r="C2875" s="7" t="s">
        <v>101</v>
      </c>
      <c r="D2875" s="7" t="s">
        <v>1022</v>
      </c>
      <c r="E2875" s="5" t="s">
        <v>3185</v>
      </c>
      <c r="F2875" s="5" t="s">
        <v>3186</v>
      </c>
    </row>
    <row r="2876">
      <c r="A2876" s="5" t="s">
        <v>2599</v>
      </c>
      <c r="B2876" s="8">
        <v>6.0</v>
      </c>
      <c r="C2876" s="7" t="s">
        <v>101</v>
      </c>
      <c r="D2876" s="7" t="s">
        <v>1022</v>
      </c>
      <c r="E2876" s="5" t="s">
        <v>3185</v>
      </c>
      <c r="F2876" s="5" t="s">
        <v>2650</v>
      </c>
    </row>
    <row r="2877">
      <c r="A2877" s="5" t="s">
        <v>2600</v>
      </c>
      <c r="B2877" s="8">
        <v>6.0</v>
      </c>
      <c r="C2877" s="7" t="s">
        <v>101</v>
      </c>
      <c r="D2877" s="7" t="s">
        <v>1022</v>
      </c>
      <c r="E2877" s="5" t="s">
        <v>3185</v>
      </c>
      <c r="F2877" s="5" t="s">
        <v>3192</v>
      </c>
    </row>
    <row r="2878">
      <c r="A2878" s="5" t="s">
        <v>3090</v>
      </c>
      <c r="B2878" s="8">
        <v>6.0</v>
      </c>
      <c r="C2878" s="7" t="s">
        <v>101</v>
      </c>
      <c r="D2878" s="7" t="s">
        <v>1022</v>
      </c>
      <c r="E2878" s="5" t="s">
        <v>3185</v>
      </c>
      <c r="F2878" s="5" t="s">
        <v>3193</v>
      </c>
    </row>
    <row r="2879">
      <c r="A2879" s="7" t="s">
        <v>873</v>
      </c>
      <c r="B2879" s="8">
        <v>6.0</v>
      </c>
      <c r="C2879" s="7" t="s">
        <v>101</v>
      </c>
      <c r="D2879" s="7" t="s">
        <v>1022</v>
      </c>
      <c r="E2879" s="5" t="s">
        <v>3185</v>
      </c>
      <c r="F2879" s="5" t="s">
        <v>1363</v>
      </c>
    </row>
    <row r="2880">
      <c r="A2880" s="5" t="s">
        <v>2602</v>
      </c>
      <c r="B2880" s="8">
        <v>6.0</v>
      </c>
      <c r="C2880" s="7" t="s">
        <v>101</v>
      </c>
      <c r="D2880" s="7" t="s">
        <v>1022</v>
      </c>
      <c r="E2880" s="5" t="s">
        <v>3185</v>
      </c>
      <c r="F2880" s="5" t="s">
        <v>3194</v>
      </c>
    </row>
    <row r="2881">
      <c r="A2881" s="5" t="s">
        <v>2603</v>
      </c>
      <c r="B2881" s="8">
        <v>6.0</v>
      </c>
      <c r="C2881" s="7" t="s">
        <v>101</v>
      </c>
      <c r="D2881" s="7" t="s">
        <v>1022</v>
      </c>
      <c r="E2881" s="5" t="s">
        <v>3185</v>
      </c>
      <c r="F2881" s="5" t="s">
        <v>3195</v>
      </c>
    </row>
    <row r="2882">
      <c r="A2882" s="7" t="s">
        <v>874</v>
      </c>
      <c r="B2882" s="8">
        <v>6.0</v>
      </c>
      <c r="C2882" s="7" t="s">
        <v>101</v>
      </c>
      <c r="D2882" s="7" t="s">
        <v>1022</v>
      </c>
      <c r="E2882" s="5" t="s">
        <v>3185</v>
      </c>
      <c r="F2882" s="5" t="s">
        <v>3196</v>
      </c>
    </row>
    <row r="2883">
      <c r="A2883" s="5" t="s">
        <v>2604</v>
      </c>
      <c r="B2883" s="8">
        <v>6.0</v>
      </c>
      <c r="C2883" s="7" t="s">
        <v>101</v>
      </c>
      <c r="D2883" s="7" t="s">
        <v>1022</v>
      </c>
      <c r="E2883" s="5" t="s">
        <v>3185</v>
      </c>
      <c r="F2883" s="5" t="s">
        <v>1363</v>
      </c>
    </row>
    <row r="2884">
      <c r="A2884" s="5" t="s">
        <v>3091</v>
      </c>
      <c r="B2884" s="8">
        <v>6.0</v>
      </c>
      <c r="C2884" s="7" t="s">
        <v>101</v>
      </c>
      <c r="D2884" s="7" t="s">
        <v>1022</v>
      </c>
      <c r="E2884" s="5" t="s">
        <v>3185</v>
      </c>
      <c r="F2884" s="5" t="s">
        <v>1363</v>
      </c>
    </row>
    <row r="2885">
      <c r="A2885" s="5" t="s">
        <v>2605</v>
      </c>
      <c r="B2885" s="8">
        <v>6.0</v>
      </c>
      <c r="C2885" s="7" t="s">
        <v>101</v>
      </c>
      <c r="D2885" s="7" t="s">
        <v>1022</v>
      </c>
      <c r="E2885" s="5" t="s">
        <v>3185</v>
      </c>
      <c r="F2885" s="5" t="s">
        <v>3197</v>
      </c>
    </row>
    <row r="2886">
      <c r="A2886" s="5" t="s">
        <v>2933</v>
      </c>
      <c r="B2886" s="8">
        <v>6.0</v>
      </c>
      <c r="C2886" s="7" t="s">
        <v>101</v>
      </c>
      <c r="D2886" s="7" t="s">
        <v>1022</v>
      </c>
      <c r="E2886" s="5" t="s">
        <v>3185</v>
      </c>
      <c r="F2886" s="5" t="s">
        <v>1363</v>
      </c>
    </row>
    <row r="2887">
      <c r="A2887" s="5" t="s">
        <v>2606</v>
      </c>
      <c r="B2887" s="8">
        <v>6.0</v>
      </c>
      <c r="C2887" s="7" t="s">
        <v>101</v>
      </c>
      <c r="D2887" s="7" t="s">
        <v>1022</v>
      </c>
      <c r="E2887" s="5" t="s">
        <v>3185</v>
      </c>
      <c r="F2887" s="5" t="s">
        <v>1363</v>
      </c>
    </row>
    <row r="2888">
      <c r="A2888" s="5" t="s">
        <v>2934</v>
      </c>
      <c r="B2888" s="8">
        <v>6.0</v>
      </c>
      <c r="C2888" s="7" t="s">
        <v>101</v>
      </c>
      <c r="D2888" s="7" t="s">
        <v>1022</v>
      </c>
      <c r="E2888" s="5" t="s">
        <v>3185</v>
      </c>
      <c r="F2888" s="5" t="s">
        <v>3198</v>
      </c>
    </row>
    <row r="2889">
      <c r="A2889" s="5" t="s">
        <v>2607</v>
      </c>
      <c r="B2889" s="8">
        <v>6.0</v>
      </c>
      <c r="C2889" s="7" t="s">
        <v>101</v>
      </c>
      <c r="D2889" s="7" t="s">
        <v>1022</v>
      </c>
      <c r="E2889" s="5" t="s">
        <v>3185</v>
      </c>
      <c r="F2889" s="5" t="s">
        <v>1363</v>
      </c>
    </row>
    <row r="2890">
      <c r="A2890" s="7" t="s">
        <v>876</v>
      </c>
      <c r="B2890" s="8">
        <v>6.0</v>
      </c>
      <c r="C2890" s="7" t="s">
        <v>101</v>
      </c>
      <c r="D2890" s="7" t="s">
        <v>1022</v>
      </c>
      <c r="E2890" s="5" t="s">
        <v>3185</v>
      </c>
      <c r="F2890" s="5" t="s">
        <v>3199</v>
      </c>
    </row>
    <row r="2891">
      <c r="A2891" s="5" t="s">
        <v>3092</v>
      </c>
      <c r="B2891" s="8">
        <v>6.0</v>
      </c>
      <c r="C2891" s="7" t="s">
        <v>101</v>
      </c>
      <c r="D2891" s="7" t="s">
        <v>1022</v>
      </c>
      <c r="E2891" s="5" t="s">
        <v>3185</v>
      </c>
      <c r="F2891" s="5" t="s">
        <v>1363</v>
      </c>
    </row>
    <row r="2892">
      <c r="A2892" s="5" t="s">
        <v>2614</v>
      </c>
      <c r="B2892" s="8">
        <v>6.0</v>
      </c>
      <c r="C2892" s="7" t="s">
        <v>101</v>
      </c>
      <c r="D2892" s="7" t="s">
        <v>1022</v>
      </c>
      <c r="E2892" s="5" t="s">
        <v>3185</v>
      </c>
      <c r="F2892" s="5" t="s">
        <v>3200</v>
      </c>
    </row>
    <row r="2893">
      <c r="A2893" s="5" t="s">
        <v>2608</v>
      </c>
      <c r="B2893" s="8">
        <v>6.0</v>
      </c>
      <c r="C2893" s="7" t="s">
        <v>101</v>
      </c>
      <c r="D2893" s="7" t="s">
        <v>1022</v>
      </c>
      <c r="E2893" s="5" t="s">
        <v>3185</v>
      </c>
      <c r="F2893" s="5" t="s">
        <v>1363</v>
      </c>
    </row>
    <row r="2894">
      <c r="A2894" s="5" t="s">
        <v>2609</v>
      </c>
      <c r="B2894" s="8">
        <v>6.0</v>
      </c>
      <c r="C2894" s="7" t="s">
        <v>101</v>
      </c>
      <c r="D2894" s="7" t="s">
        <v>1022</v>
      </c>
      <c r="E2894" s="5" t="s">
        <v>3185</v>
      </c>
      <c r="F2894" s="5" t="s">
        <v>1363</v>
      </c>
    </row>
    <row r="2895">
      <c r="A2895" s="7" t="s">
        <v>188</v>
      </c>
      <c r="B2895" s="8">
        <v>6.0</v>
      </c>
      <c r="C2895" s="7" t="s">
        <v>112</v>
      </c>
      <c r="D2895" s="7" t="s">
        <v>1040</v>
      </c>
      <c r="E2895" s="5" t="s">
        <v>1041</v>
      </c>
      <c r="F2895" s="5" t="s">
        <v>3201</v>
      </c>
    </row>
    <row r="2896">
      <c r="A2896" s="5" t="s">
        <v>2592</v>
      </c>
      <c r="B2896" s="8">
        <v>6.0</v>
      </c>
      <c r="C2896" s="7" t="s">
        <v>112</v>
      </c>
      <c r="D2896" s="7" t="s">
        <v>1040</v>
      </c>
      <c r="E2896" s="5" t="s">
        <v>1041</v>
      </c>
      <c r="F2896" s="5" t="s">
        <v>2650</v>
      </c>
    </row>
    <row r="2897">
      <c r="A2897" s="5" t="s">
        <v>2796</v>
      </c>
      <c r="B2897" s="8">
        <v>6.0</v>
      </c>
      <c r="C2897" s="7" t="s">
        <v>112</v>
      </c>
      <c r="D2897" s="7" t="s">
        <v>1040</v>
      </c>
      <c r="E2897" s="5" t="s">
        <v>1041</v>
      </c>
      <c r="F2897" s="5" t="s">
        <v>3201</v>
      </c>
    </row>
    <row r="2898">
      <c r="A2898" s="5" t="s">
        <v>3085</v>
      </c>
      <c r="B2898" s="8">
        <v>6.0</v>
      </c>
      <c r="C2898" s="7" t="s">
        <v>112</v>
      </c>
      <c r="D2898" s="7" t="s">
        <v>1040</v>
      </c>
      <c r="E2898" s="5" t="s">
        <v>1041</v>
      </c>
      <c r="F2898" s="5" t="s">
        <v>3201</v>
      </c>
    </row>
    <row r="2899">
      <c r="A2899" s="5" t="s">
        <v>2594</v>
      </c>
      <c r="B2899" s="8">
        <v>6.0</v>
      </c>
      <c r="C2899" s="7" t="s">
        <v>112</v>
      </c>
      <c r="D2899" s="7" t="s">
        <v>1040</v>
      </c>
      <c r="E2899" s="5" t="s">
        <v>1041</v>
      </c>
      <c r="F2899" s="5" t="s">
        <v>2653</v>
      </c>
    </row>
    <row r="2900">
      <c r="A2900" s="5" t="s">
        <v>3086</v>
      </c>
      <c r="B2900" s="8">
        <v>6.0</v>
      </c>
      <c r="C2900" s="7" t="s">
        <v>112</v>
      </c>
      <c r="D2900" s="7" t="s">
        <v>1040</v>
      </c>
      <c r="E2900" s="5" t="s">
        <v>1041</v>
      </c>
      <c r="F2900" s="5" t="s">
        <v>3201</v>
      </c>
    </row>
    <row r="2901">
      <c r="A2901" s="7" t="s">
        <v>868</v>
      </c>
      <c r="B2901" s="8">
        <v>6.0</v>
      </c>
      <c r="C2901" s="7" t="s">
        <v>112</v>
      </c>
      <c r="D2901" s="7" t="s">
        <v>1040</v>
      </c>
      <c r="E2901" s="5" t="s">
        <v>1041</v>
      </c>
      <c r="F2901" s="5" t="s">
        <v>3201</v>
      </c>
    </row>
    <row r="2902">
      <c r="A2902" s="7" t="s">
        <v>599</v>
      </c>
      <c r="B2902" s="8">
        <v>6.0</v>
      </c>
      <c r="C2902" s="7" t="s">
        <v>112</v>
      </c>
      <c r="D2902" s="7" t="s">
        <v>1040</v>
      </c>
      <c r="E2902" s="5" t="s">
        <v>1041</v>
      </c>
      <c r="F2902" s="7" t="s">
        <v>1043</v>
      </c>
    </row>
    <row r="2903">
      <c r="A2903" s="5" t="s">
        <v>3087</v>
      </c>
      <c r="B2903" s="8">
        <v>6.0</v>
      </c>
      <c r="C2903" s="7" t="s">
        <v>112</v>
      </c>
      <c r="D2903" s="7" t="s">
        <v>1040</v>
      </c>
      <c r="E2903" s="5" t="s">
        <v>1041</v>
      </c>
      <c r="F2903" s="5" t="s">
        <v>3104</v>
      </c>
    </row>
    <row r="2904">
      <c r="A2904" s="5" t="s">
        <v>3088</v>
      </c>
      <c r="B2904" s="8">
        <v>6.0</v>
      </c>
      <c r="C2904" s="7" t="s">
        <v>112</v>
      </c>
      <c r="D2904" s="7" t="s">
        <v>1040</v>
      </c>
      <c r="E2904" s="5" t="s">
        <v>1041</v>
      </c>
      <c r="F2904" s="5" t="s">
        <v>3202</v>
      </c>
    </row>
    <row r="2905">
      <c r="A2905" s="5" t="s">
        <v>2595</v>
      </c>
      <c r="B2905" s="8">
        <v>6.0</v>
      </c>
      <c r="C2905" s="7" t="s">
        <v>112</v>
      </c>
      <c r="D2905" s="7" t="s">
        <v>1040</v>
      </c>
      <c r="E2905" s="5" t="s">
        <v>1041</v>
      </c>
      <c r="F2905" s="5" t="s">
        <v>2653</v>
      </c>
    </row>
    <row r="2906">
      <c r="A2906" s="5" t="s">
        <v>3089</v>
      </c>
      <c r="B2906" s="8">
        <v>6.0</v>
      </c>
      <c r="C2906" s="7" t="s">
        <v>112</v>
      </c>
      <c r="D2906" s="7" t="s">
        <v>1040</v>
      </c>
      <c r="E2906" s="5" t="s">
        <v>1041</v>
      </c>
      <c r="F2906" s="5" t="s">
        <v>3201</v>
      </c>
    </row>
    <row r="2907">
      <c r="A2907" s="5" t="s">
        <v>2597</v>
      </c>
      <c r="B2907" s="8">
        <v>6.0</v>
      </c>
      <c r="C2907" s="7" t="s">
        <v>112</v>
      </c>
      <c r="D2907" s="7" t="s">
        <v>1040</v>
      </c>
      <c r="E2907" s="5" t="s">
        <v>1041</v>
      </c>
      <c r="F2907" s="5" t="s">
        <v>3203</v>
      </c>
    </row>
    <row r="2908">
      <c r="A2908" s="7" t="s">
        <v>8</v>
      </c>
      <c r="B2908" s="8">
        <v>6.0</v>
      </c>
      <c r="C2908" s="7" t="s">
        <v>112</v>
      </c>
      <c r="D2908" s="7" t="s">
        <v>1040</v>
      </c>
      <c r="E2908" s="5" t="s">
        <v>1041</v>
      </c>
      <c r="F2908" s="5" t="s">
        <v>3204</v>
      </c>
    </row>
    <row r="2909">
      <c r="A2909" s="5" t="s">
        <v>2702</v>
      </c>
      <c r="B2909" s="8">
        <v>6.0</v>
      </c>
      <c r="C2909" s="7" t="s">
        <v>112</v>
      </c>
      <c r="D2909" s="7" t="s">
        <v>1040</v>
      </c>
      <c r="E2909" s="5" t="s">
        <v>1041</v>
      </c>
      <c r="F2909" s="5" t="s">
        <v>3201</v>
      </c>
    </row>
    <row r="2910">
      <c r="A2910" s="5" t="s">
        <v>2600</v>
      </c>
      <c r="B2910" s="8">
        <v>6.0</v>
      </c>
      <c r="C2910" s="7" t="s">
        <v>112</v>
      </c>
      <c r="D2910" s="7" t="s">
        <v>1040</v>
      </c>
      <c r="E2910" s="5" t="s">
        <v>1041</v>
      </c>
      <c r="F2910" s="5" t="s">
        <v>3205</v>
      </c>
    </row>
    <row r="2911">
      <c r="A2911" s="7" t="s">
        <v>874</v>
      </c>
      <c r="B2911" s="8">
        <v>6.0</v>
      </c>
      <c r="C2911" s="7" t="s">
        <v>112</v>
      </c>
      <c r="D2911" s="7" t="s">
        <v>1040</v>
      </c>
      <c r="E2911" s="5" t="s">
        <v>1041</v>
      </c>
      <c r="F2911" s="5" t="s">
        <v>3201</v>
      </c>
    </row>
    <row r="2912">
      <c r="A2912" s="5" t="s">
        <v>2605</v>
      </c>
      <c r="B2912" s="8">
        <v>6.0</v>
      </c>
      <c r="C2912" s="7" t="s">
        <v>112</v>
      </c>
      <c r="D2912" s="7" t="s">
        <v>1040</v>
      </c>
      <c r="E2912" s="5" t="s">
        <v>1041</v>
      </c>
      <c r="F2912" s="5" t="s">
        <v>3206</v>
      </c>
    </row>
    <row r="2913">
      <c r="A2913" s="5" t="s">
        <v>2933</v>
      </c>
      <c r="B2913" s="8">
        <v>6.0</v>
      </c>
      <c r="C2913" s="7" t="s">
        <v>112</v>
      </c>
      <c r="D2913" s="7" t="s">
        <v>1040</v>
      </c>
      <c r="E2913" s="5" t="s">
        <v>1041</v>
      </c>
      <c r="F2913" s="5" t="s">
        <v>2653</v>
      </c>
    </row>
    <row r="2914">
      <c r="A2914" s="5" t="s">
        <v>3087</v>
      </c>
      <c r="B2914" s="8">
        <v>6.0</v>
      </c>
      <c r="C2914" s="7" t="s">
        <v>734</v>
      </c>
      <c r="D2914" s="7" t="s">
        <v>1049</v>
      </c>
      <c r="E2914" s="5" t="s">
        <v>3207</v>
      </c>
      <c r="F2914" s="5" t="s">
        <v>3104</v>
      </c>
    </row>
    <row r="2915">
      <c r="A2915" s="5" t="s">
        <v>2597</v>
      </c>
      <c r="B2915" s="8">
        <v>6.0</v>
      </c>
      <c r="C2915" s="7" t="s">
        <v>746</v>
      </c>
      <c r="D2915" s="7" t="s">
        <v>1051</v>
      </c>
      <c r="E2915" s="5" t="s">
        <v>3208</v>
      </c>
      <c r="F2915" s="5" t="s">
        <v>3209</v>
      </c>
    </row>
    <row r="2916">
      <c r="A2916" s="5" t="s">
        <v>2614</v>
      </c>
      <c r="B2916" s="8">
        <v>6.0</v>
      </c>
      <c r="C2916" s="7" t="s">
        <v>746</v>
      </c>
      <c r="D2916" s="7" t="s">
        <v>1051</v>
      </c>
      <c r="E2916" s="5" t="s">
        <v>3208</v>
      </c>
      <c r="F2916" s="5" t="s">
        <v>3210</v>
      </c>
    </row>
    <row r="2917">
      <c r="A2917" s="5" t="s">
        <v>3088</v>
      </c>
      <c r="B2917" s="8">
        <v>6.0</v>
      </c>
      <c r="C2917" s="7" t="s">
        <v>752</v>
      </c>
      <c r="D2917" s="7" t="s">
        <v>1055</v>
      </c>
      <c r="E2917" s="5" t="s">
        <v>1056</v>
      </c>
      <c r="F2917" s="5" t="s">
        <v>3211</v>
      </c>
    </row>
    <row r="2918">
      <c r="A2918" s="5" t="s">
        <v>3087</v>
      </c>
      <c r="B2918" s="8">
        <v>6.0</v>
      </c>
      <c r="C2918" s="7" t="s">
        <v>1058</v>
      </c>
      <c r="D2918" s="7" t="s">
        <v>1059</v>
      </c>
      <c r="E2918" s="5" t="s">
        <v>3212</v>
      </c>
      <c r="F2918" s="5" t="s">
        <v>3213</v>
      </c>
    </row>
    <row r="2919">
      <c r="A2919" s="5" t="s">
        <v>3088</v>
      </c>
      <c r="B2919" s="8">
        <v>6.0</v>
      </c>
      <c r="C2919" s="7" t="s">
        <v>1058</v>
      </c>
      <c r="D2919" s="7" t="s">
        <v>1059</v>
      </c>
      <c r="E2919" s="5" t="s">
        <v>3212</v>
      </c>
      <c r="F2919" s="5" t="s">
        <v>3214</v>
      </c>
    </row>
    <row r="2920">
      <c r="A2920" s="5" t="s">
        <v>3089</v>
      </c>
      <c r="B2920" s="8">
        <v>6.0</v>
      </c>
      <c r="C2920" s="7" t="s">
        <v>1058</v>
      </c>
      <c r="D2920" s="7" t="s">
        <v>1059</v>
      </c>
      <c r="E2920" s="5" t="s">
        <v>3212</v>
      </c>
      <c r="F2920" s="5" t="s">
        <v>3215</v>
      </c>
    </row>
    <row r="2921">
      <c r="A2921" s="5" t="s">
        <v>3090</v>
      </c>
      <c r="B2921" s="8">
        <v>6.0</v>
      </c>
      <c r="C2921" s="7" t="s">
        <v>1058</v>
      </c>
      <c r="D2921" s="7" t="s">
        <v>1059</v>
      </c>
      <c r="E2921" s="5" t="s">
        <v>3212</v>
      </c>
      <c r="F2921" s="5" t="s">
        <v>3104</v>
      </c>
    </row>
    <row r="2922">
      <c r="A2922" s="5" t="s">
        <v>3091</v>
      </c>
      <c r="B2922" s="8">
        <v>6.0</v>
      </c>
      <c r="C2922" s="7" t="s">
        <v>1058</v>
      </c>
      <c r="D2922" s="7" t="s">
        <v>1059</v>
      </c>
      <c r="E2922" s="5" t="s">
        <v>3212</v>
      </c>
      <c r="F2922" s="5" t="s">
        <v>3104</v>
      </c>
    </row>
    <row r="2923">
      <c r="A2923" s="5" t="s">
        <v>2922</v>
      </c>
      <c r="B2923" s="8">
        <v>6.0</v>
      </c>
      <c r="C2923" s="7" t="s">
        <v>172</v>
      </c>
      <c r="D2923" s="5" t="s">
        <v>2870</v>
      </c>
      <c r="E2923" s="5" t="s">
        <v>3216</v>
      </c>
      <c r="F2923" s="7" t="s">
        <v>444</v>
      </c>
    </row>
    <row r="2924">
      <c r="A2924" s="7" t="s">
        <v>188</v>
      </c>
      <c r="B2924" s="8">
        <v>6.0</v>
      </c>
      <c r="C2924" s="7" t="s">
        <v>172</v>
      </c>
      <c r="D2924" s="5" t="s">
        <v>2870</v>
      </c>
      <c r="E2924" s="5" t="s">
        <v>3216</v>
      </c>
      <c r="F2924" s="7" t="s">
        <v>444</v>
      </c>
    </row>
    <row r="2925">
      <c r="A2925" s="5" t="s">
        <v>2592</v>
      </c>
      <c r="B2925" s="8">
        <v>6.0</v>
      </c>
      <c r="C2925" s="7" t="s">
        <v>172</v>
      </c>
      <c r="D2925" s="5" t="s">
        <v>2870</v>
      </c>
      <c r="E2925" s="5" t="s">
        <v>3216</v>
      </c>
      <c r="F2925" s="5" t="s">
        <v>3030</v>
      </c>
    </row>
    <row r="2926">
      <c r="A2926" s="5" t="s">
        <v>2796</v>
      </c>
      <c r="B2926" s="8">
        <v>6.0</v>
      </c>
      <c r="C2926" s="7" t="s">
        <v>172</v>
      </c>
      <c r="D2926" s="5" t="s">
        <v>2870</v>
      </c>
      <c r="E2926" s="5" t="s">
        <v>3216</v>
      </c>
      <c r="F2926" s="5" t="s">
        <v>1066</v>
      </c>
    </row>
    <row r="2927">
      <c r="A2927" s="5" t="s">
        <v>3085</v>
      </c>
      <c r="B2927" s="8">
        <v>6.0</v>
      </c>
      <c r="C2927" s="7" t="s">
        <v>172</v>
      </c>
      <c r="D2927" s="5" t="s">
        <v>2870</v>
      </c>
      <c r="E2927" s="5" t="s">
        <v>3216</v>
      </c>
      <c r="F2927" s="5" t="s">
        <v>1066</v>
      </c>
    </row>
    <row r="2928">
      <c r="A2928" s="5" t="s">
        <v>2594</v>
      </c>
      <c r="B2928" s="8">
        <v>6.0</v>
      </c>
      <c r="C2928" s="7" t="s">
        <v>172</v>
      </c>
      <c r="D2928" s="5" t="s">
        <v>2870</v>
      </c>
      <c r="E2928" s="5" t="s">
        <v>3216</v>
      </c>
      <c r="F2928" s="5" t="s">
        <v>3217</v>
      </c>
    </row>
    <row r="2929">
      <c r="A2929" s="5" t="s">
        <v>3086</v>
      </c>
      <c r="B2929" s="8">
        <v>6.0</v>
      </c>
      <c r="C2929" s="7" t="s">
        <v>172</v>
      </c>
      <c r="D2929" s="5" t="s">
        <v>2870</v>
      </c>
      <c r="E2929" s="5" t="s">
        <v>3216</v>
      </c>
      <c r="F2929" s="5" t="s">
        <v>1068</v>
      </c>
    </row>
    <row r="2930">
      <c r="A2930" s="7" t="s">
        <v>868</v>
      </c>
      <c r="B2930" s="8">
        <v>6.0</v>
      </c>
      <c r="C2930" s="7" t="s">
        <v>172</v>
      </c>
      <c r="D2930" s="5" t="s">
        <v>2870</v>
      </c>
      <c r="E2930" s="5" t="s">
        <v>3216</v>
      </c>
      <c r="F2930" s="5" t="s">
        <v>1068</v>
      </c>
    </row>
    <row r="2931">
      <c r="A2931" s="7" t="s">
        <v>599</v>
      </c>
      <c r="B2931" s="8">
        <v>6.0</v>
      </c>
      <c r="C2931" s="7" t="s">
        <v>172</v>
      </c>
      <c r="D2931" s="5" t="s">
        <v>2870</v>
      </c>
      <c r="E2931" s="5" t="s">
        <v>3216</v>
      </c>
      <c r="F2931" s="5" t="s">
        <v>3218</v>
      </c>
    </row>
    <row r="2932">
      <c r="A2932" s="5" t="s">
        <v>3087</v>
      </c>
      <c r="B2932" s="8">
        <v>6.0</v>
      </c>
      <c r="C2932" s="7" t="s">
        <v>172</v>
      </c>
      <c r="D2932" s="5" t="s">
        <v>2870</v>
      </c>
      <c r="E2932" s="5" t="s">
        <v>3216</v>
      </c>
      <c r="F2932" s="5" t="s">
        <v>3031</v>
      </c>
    </row>
    <row r="2933">
      <c r="A2933" s="5" t="s">
        <v>3088</v>
      </c>
      <c r="B2933" s="8">
        <v>6.0</v>
      </c>
      <c r="C2933" s="7" t="s">
        <v>172</v>
      </c>
      <c r="D2933" s="5" t="s">
        <v>2870</v>
      </c>
      <c r="E2933" s="5" t="s">
        <v>3216</v>
      </c>
      <c r="F2933" s="5" t="s">
        <v>1070</v>
      </c>
    </row>
    <row r="2934">
      <c r="A2934" s="5" t="s">
        <v>2595</v>
      </c>
      <c r="B2934" s="8">
        <v>6.0</v>
      </c>
      <c r="C2934" s="7" t="s">
        <v>172</v>
      </c>
      <c r="D2934" s="5" t="s">
        <v>2870</v>
      </c>
      <c r="E2934" s="5" t="s">
        <v>3216</v>
      </c>
      <c r="F2934" s="5" t="s">
        <v>3030</v>
      </c>
    </row>
    <row r="2935">
      <c r="A2935" s="5" t="s">
        <v>3089</v>
      </c>
      <c r="B2935" s="8">
        <v>6.0</v>
      </c>
      <c r="C2935" s="7" t="s">
        <v>172</v>
      </c>
      <c r="D2935" s="5" t="s">
        <v>2870</v>
      </c>
      <c r="E2935" s="5" t="s">
        <v>3216</v>
      </c>
      <c r="F2935" s="5" t="s">
        <v>1071</v>
      </c>
    </row>
    <row r="2936">
      <c r="A2936" s="5" t="s">
        <v>2597</v>
      </c>
      <c r="B2936" s="8">
        <v>6.0</v>
      </c>
      <c r="C2936" s="7" t="s">
        <v>172</v>
      </c>
      <c r="D2936" s="5" t="s">
        <v>2870</v>
      </c>
      <c r="E2936" s="5" t="s">
        <v>3216</v>
      </c>
      <c r="F2936" s="7" t="s">
        <v>444</v>
      </c>
    </row>
    <row r="2937">
      <c r="A2937" s="7" t="s">
        <v>8</v>
      </c>
      <c r="B2937" s="8">
        <v>6.0</v>
      </c>
      <c r="C2937" s="7" t="s">
        <v>172</v>
      </c>
      <c r="D2937" s="5" t="s">
        <v>2870</v>
      </c>
      <c r="E2937" s="5" t="s">
        <v>3216</v>
      </c>
      <c r="F2937" s="7" t="s">
        <v>48</v>
      </c>
    </row>
    <row r="2938">
      <c r="A2938" s="5" t="s">
        <v>2798</v>
      </c>
      <c r="B2938" s="8">
        <v>6.0</v>
      </c>
      <c r="C2938" s="7" t="s">
        <v>172</v>
      </c>
      <c r="D2938" s="5" t="s">
        <v>2870</v>
      </c>
      <c r="E2938" s="5" t="s">
        <v>3216</v>
      </c>
      <c r="F2938" s="7" t="s">
        <v>443</v>
      </c>
    </row>
    <row r="2939">
      <c r="A2939" s="5" t="s">
        <v>2702</v>
      </c>
      <c r="B2939" s="8">
        <v>6.0</v>
      </c>
      <c r="C2939" s="7" t="s">
        <v>172</v>
      </c>
      <c r="D2939" s="5" t="s">
        <v>2870</v>
      </c>
      <c r="E2939" s="5" t="s">
        <v>3216</v>
      </c>
      <c r="F2939" s="5" t="s">
        <v>1068</v>
      </c>
    </row>
    <row r="2940">
      <c r="A2940" s="5" t="s">
        <v>2599</v>
      </c>
      <c r="B2940" s="8">
        <v>6.0</v>
      </c>
      <c r="C2940" s="7" t="s">
        <v>172</v>
      </c>
      <c r="D2940" s="5" t="s">
        <v>2870</v>
      </c>
      <c r="E2940" s="5" t="s">
        <v>3216</v>
      </c>
      <c r="F2940" s="5" t="s">
        <v>3033</v>
      </c>
    </row>
    <row r="2941">
      <c r="A2941" s="5" t="s">
        <v>2600</v>
      </c>
      <c r="B2941" s="8">
        <v>6.0</v>
      </c>
      <c r="C2941" s="7" t="s">
        <v>172</v>
      </c>
      <c r="D2941" s="5" t="s">
        <v>2870</v>
      </c>
      <c r="E2941" s="5" t="s">
        <v>3216</v>
      </c>
      <c r="F2941" s="5" t="s">
        <v>1068</v>
      </c>
    </row>
    <row r="2942">
      <c r="A2942" s="5" t="s">
        <v>3090</v>
      </c>
      <c r="B2942" s="8">
        <v>6.0</v>
      </c>
      <c r="C2942" s="7" t="s">
        <v>172</v>
      </c>
      <c r="D2942" s="5" t="s">
        <v>2870</v>
      </c>
      <c r="E2942" s="5" t="s">
        <v>3216</v>
      </c>
      <c r="F2942" s="5" t="s">
        <v>3219</v>
      </c>
    </row>
    <row r="2943">
      <c r="A2943" s="7" t="s">
        <v>873</v>
      </c>
      <c r="B2943" s="8">
        <v>6.0</v>
      </c>
      <c r="C2943" s="7" t="s">
        <v>172</v>
      </c>
      <c r="D2943" s="5" t="s">
        <v>2870</v>
      </c>
      <c r="E2943" s="5" t="s">
        <v>3216</v>
      </c>
      <c r="F2943" s="5" t="s">
        <v>1073</v>
      </c>
    </row>
    <row r="2944">
      <c r="A2944" s="5" t="s">
        <v>2602</v>
      </c>
      <c r="B2944" s="8">
        <v>6.0</v>
      </c>
      <c r="C2944" s="7" t="s">
        <v>172</v>
      </c>
      <c r="D2944" s="5" t="s">
        <v>2870</v>
      </c>
      <c r="E2944" s="5" t="s">
        <v>3216</v>
      </c>
      <c r="F2944" s="5" t="s">
        <v>3030</v>
      </c>
    </row>
    <row r="2945">
      <c r="A2945" s="5" t="s">
        <v>2603</v>
      </c>
      <c r="B2945" s="8">
        <v>6.0</v>
      </c>
      <c r="C2945" s="7" t="s">
        <v>172</v>
      </c>
      <c r="D2945" s="5" t="s">
        <v>2870</v>
      </c>
      <c r="E2945" s="5" t="s">
        <v>3216</v>
      </c>
      <c r="F2945" s="5" t="s">
        <v>3220</v>
      </c>
    </row>
    <row r="2946">
      <c r="A2946" s="7" t="s">
        <v>874</v>
      </c>
      <c r="B2946" s="8">
        <v>6.0</v>
      </c>
      <c r="C2946" s="7" t="s">
        <v>172</v>
      </c>
      <c r="D2946" s="5" t="s">
        <v>2870</v>
      </c>
      <c r="E2946" s="5" t="s">
        <v>3216</v>
      </c>
      <c r="F2946" s="5" t="s">
        <v>1075</v>
      </c>
    </row>
    <row r="2947">
      <c r="A2947" s="5" t="s">
        <v>2604</v>
      </c>
      <c r="B2947" s="8">
        <v>6.0</v>
      </c>
      <c r="C2947" s="7" t="s">
        <v>172</v>
      </c>
      <c r="D2947" s="5" t="s">
        <v>2870</v>
      </c>
      <c r="E2947" s="5" t="s">
        <v>3216</v>
      </c>
      <c r="F2947" s="5" t="s">
        <v>3221</v>
      </c>
    </row>
    <row r="2948">
      <c r="A2948" s="5" t="s">
        <v>3091</v>
      </c>
      <c r="B2948" s="8">
        <v>6.0</v>
      </c>
      <c r="C2948" s="7" t="s">
        <v>172</v>
      </c>
      <c r="D2948" s="5" t="s">
        <v>2870</v>
      </c>
      <c r="E2948" s="5" t="s">
        <v>3216</v>
      </c>
      <c r="F2948" s="7" t="s">
        <v>965</v>
      </c>
    </row>
    <row r="2949">
      <c r="A2949" s="5" t="s">
        <v>2605</v>
      </c>
      <c r="B2949" s="8">
        <v>6.0</v>
      </c>
      <c r="C2949" s="7" t="s">
        <v>172</v>
      </c>
      <c r="D2949" s="5" t="s">
        <v>2870</v>
      </c>
      <c r="E2949" s="5" t="s">
        <v>3216</v>
      </c>
      <c r="F2949" s="7" t="s">
        <v>444</v>
      </c>
    </row>
    <row r="2950">
      <c r="A2950" s="5" t="s">
        <v>2933</v>
      </c>
      <c r="B2950" s="8">
        <v>6.0</v>
      </c>
      <c r="C2950" s="7" t="s">
        <v>172</v>
      </c>
      <c r="D2950" s="5" t="s">
        <v>2870</v>
      </c>
      <c r="E2950" s="5" t="s">
        <v>3216</v>
      </c>
      <c r="F2950" s="7" t="s">
        <v>444</v>
      </c>
    </row>
    <row r="2951">
      <c r="A2951" s="5" t="s">
        <v>2606</v>
      </c>
      <c r="B2951" s="8">
        <v>6.0</v>
      </c>
      <c r="C2951" s="7" t="s">
        <v>172</v>
      </c>
      <c r="D2951" s="5" t="s">
        <v>2870</v>
      </c>
      <c r="E2951" s="5" t="s">
        <v>3216</v>
      </c>
      <c r="F2951" s="7" t="s">
        <v>444</v>
      </c>
    </row>
    <row r="2952">
      <c r="A2952" s="5" t="s">
        <v>2934</v>
      </c>
      <c r="B2952" s="8">
        <v>6.0</v>
      </c>
      <c r="C2952" s="7" t="s">
        <v>172</v>
      </c>
      <c r="D2952" s="5" t="s">
        <v>2870</v>
      </c>
      <c r="E2952" s="5" t="s">
        <v>3216</v>
      </c>
      <c r="F2952" s="7" t="s">
        <v>444</v>
      </c>
    </row>
    <row r="2953">
      <c r="A2953" s="5" t="s">
        <v>2607</v>
      </c>
      <c r="B2953" s="8">
        <v>6.0</v>
      </c>
      <c r="C2953" s="7" t="s">
        <v>172</v>
      </c>
      <c r="D2953" s="5" t="s">
        <v>2870</v>
      </c>
      <c r="E2953" s="5" t="s">
        <v>3216</v>
      </c>
      <c r="F2953" s="7" t="s">
        <v>444</v>
      </c>
    </row>
    <row r="2954">
      <c r="A2954" s="7" t="s">
        <v>876</v>
      </c>
      <c r="B2954" s="8">
        <v>6.0</v>
      </c>
      <c r="C2954" s="7" t="s">
        <v>172</v>
      </c>
      <c r="D2954" s="5" t="s">
        <v>2870</v>
      </c>
      <c r="E2954" s="5" t="s">
        <v>3216</v>
      </c>
      <c r="F2954" s="7" t="s">
        <v>444</v>
      </c>
    </row>
    <row r="2955">
      <c r="A2955" s="5" t="s">
        <v>3092</v>
      </c>
      <c r="B2955" s="8">
        <v>6.0</v>
      </c>
      <c r="C2955" s="7" t="s">
        <v>172</v>
      </c>
      <c r="D2955" s="5" t="s">
        <v>2870</v>
      </c>
      <c r="E2955" s="5" t="s">
        <v>3216</v>
      </c>
      <c r="F2955" s="7" t="s">
        <v>444</v>
      </c>
    </row>
    <row r="2956">
      <c r="A2956" s="5" t="s">
        <v>2614</v>
      </c>
      <c r="B2956" s="8">
        <v>6.0</v>
      </c>
      <c r="C2956" s="7" t="s">
        <v>172</v>
      </c>
      <c r="D2956" s="5" t="s">
        <v>2870</v>
      </c>
      <c r="E2956" s="5" t="s">
        <v>3216</v>
      </c>
      <c r="F2956" s="7" t="s">
        <v>444</v>
      </c>
    </row>
    <row r="2957">
      <c r="A2957" s="5" t="s">
        <v>2608</v>
      </c>
      <c r="B2957" s="8">
        <v>6.0</v>
      </c>
      <c r="C2957" s="7" t="s">
        <v>172</v>
      </c>
      <c r="D2957" s="5" t="s">
        <v>2870</v>
      </c>
      <c r="E2957" s="5" t="s">
        <v>3216</v>
      </c>
      <c r="F2957" s="7" t="s">
        <v>444</v>
      </c>
    </row>
    <row r="2958">
      <c r="A2958" s="5" t="s">
        <v>2609</v>
      </c>
      <c r="B2958" s="8">
        <v>6.0</v>
      </c>
      <c r="C2958" s="7" t="s">
        <v>172</v>
      </c>
      <c r="D2958" s="5" t="s">
        <v>2870</v>
      </c>
      <c r="E2958" s="5" t="s">
        <v>3216</v>
      </c>
      <c r="F2958" s="7" t="s">
        <v>444</v>
      </c>
    </row>
    <row r="2959">
      <c r="A2959" s="5" t="s">
        <v>2922</v>
      </c>
      <c r="B2959" s="8">
        <v>6.0</v>
      </c>
      <c r="C2959" s="7" t="s">
        <v>267</v>
      </c>
      <c r="D2959" s="7" t="s">
        <v>1077</v>
      </c>
      <c r="E2959" s="5" t="s">
        <v>1078</v>
      </c>
      <c r="F2959" s="5" t="s">
        <v>238</v>
      </c>
    </row>
    <row r="2960">
      <c r="A2960" s="7" t="s">
        <v>188</v>
      </c>
      <c r="B2960" s="8">
        <v>6.0</v>
      </c>
      <c r="C2960" s="7" t="s">
        <v>267</v>
      </c>
      <c r="D2960" s="7" t="s">
        <v>1077</v>
      </c>
      <c r="E2960" s="5" t="s">
        <v>1078</v>
      </c>
      <c r="F2960" s="5" t="s">
        <v>3149</v>
      </c>
    </row>
    <row r="2961">
      <c r="A2961" s="5" t="s">
        <v>2592</v>
      </c>
      <c r="B2961" s="8">
        <v>6.0</v>
      </c>
      <c r="C2961" s="7" t="s">
        <v>267</v>
      </c>
      <c r="D2961" s="7" t="s">
        <v>1077</v>
      </c>
      <c r="E2961" s="5" t="s">
        <v>1078</v>
      </c>
      <c r="F2961" s="5" t="s">
        <v>238</v>
      </c>
    </row>
    <row r="2962">
      <c r="A2962" s="5" t="s">
        <v>2796</v>
      </c>
      <c r="B2962" s="8">
        <v>6.0</v>
      </c>
      <c r="C2962" s="7" t="s">
        <v>267</v>
      </c>
      <c r="D2962" s="7" t="s">
        <v>1077</v>
      </c>
      <c r="E2962" s="5" t="s">
        <v>1078</v>
      </c>
      <c r="F2962" s="5" t="s">
        <v>3149</v>
      </c>
    </row>
    <row r="2963">
      <c r="A2963" s="5" t="s">
        <v>3085</v>
      </c>
      <c r="B2963" s="8">
        <v>6.0</v>
      </c>
      <c r="C2963" s="7" t="s">
        <v>267</v>
      </c>
      <c r="D2963" s="7" t="s">
        <v>1077</v>
      </c>
      <c r="E2963" s="5" t="s">
        <v>1078</v>
      </c>
      <c r="F2963" s="5" t="s">
        <v>3149</v>
      </c>
    </row>
    <row r="2964">
      <c r="A2964" s="5" t="s">
        <v>2594</v>
      </c>
      <c r="B2964" s="8">
        <v>6.0</v>
      </c>
      <c r="C2964" s="7" t="s">
        <v>267</v>
      </c>
      <c r="D2964" s="7" t="s">
        <v>1077</v>
      </c>
      <c r="E2964" s="5" t="s">
        <v>1078</v>
      </c>
      <c r="F2964" s="5" t="s">
        <v>271</v>
      </c>
    </row>
    <row r="2965">
      <c r="A2965" s="5" t="s">
        <v>3086</v>
      </c>
      <c r="B2965" s="8">
        <v>6.0</v>
      </c>
      <c r="C2965" s="7" t="s">
        <v>267</v>
      </c>
      <c r="D2965" s="7" t="s">
        <v>1077</v>
      </c>
      <c r="E2965" s="5" t="s">
        <v>1078</v>
      </c>
      <c r="F2965" s="5" t="s">
        <v>3222</v>
      </c>
    </row>
    <row r="2966">
      <c r="A2966" s="7" t="s">
        <v>868</v>
      </c>
      <c r="B2966" s="8">
        <v>6.0</v>
      </c>
      <c r="C2966" s="7" t="s">
        <v>267</v>
      </c>
      <c r="D2966" s="7" t="s">
        <v>1077</v>
      </c>
      <c r="E2966" s="5" t="s">
        <v>1078</v>
      </c>
      <c r="F2966" s="5" t="s">
        <v>271</v>
      </c>
    </row>
    <row r="2967">
      <c r="A2967" s="7" t="s">
        <v>599</v>
      </c>
      <c r="B2967" s="8">
        <v>6.0</v>
      </c>
      <c r="C2967" s="7" t="s">
        <v>267</v>
      </c>
      <c r="D2967" s="7" t="s">
        <v>1077</v>
      </c>
      <c r="E2967" s="5" t="s">
        <v>1078</v>
      </c>
      <c r="F2967" s="5" t="s">
        <v>3104</v>
      </c>
    </row>
    <row r="2968">
      <c r="A2968" s="5" t="s">
        <v>3087</v>
      </c>
      <c r="B2968" s="8">
        <v>6.0</v>
      </c>
      <c r="C2968" s="7" t="s">
        <v>267</v>
      </c>
      <c r="D2968" s="7" t="s">
        <v>1077</v>
      </c>
      <c r="E2968" s="5" t="s">
        <v>1078</v>
      </c>
      <c r="F2968" s="5" t="s">
        <v>238</v>
      </c>
    </row>
    <row r="2969">
      <c r="A2969" s="5" t="s">
        <v>3088</v>
      </c>
      <c r="B2969" s="8">
        <v>6.0</v>
      </c>
      <c r="C2969" s="7" t="s">
        <v>267</v>
      </c>
      <c r="D2969" s="7" t="s">
        <v>1077</v>
      </c>
      <c r="E2969" s="5" t="s">
        <v>1078</v>
      </c>
      <c r="F2969" s="5" t="s">
        <v>238</v>
      </c>
    </row>
    <row r="2970">
      <c r="A2970" s="5" t="s">
        <v>2595</v>
      </c>
      <c r="B2970" s="8">
        <v>6.0</v>
      </c>
      <c r="C2970" s="7" t="s">
        <v>267</v>
      </c>
      <c r="D2970" s="7" t="s">
        <v>1077</v>
      </c>
      <c r="E2970" s="5" t="s">
        <v>1078</v>
      </c>
      <c r="F2970" s="5" t="s">
        <v>3223</v>
      </c>
    </row>
    <row r="2971">
      <c r="A2971" s="5" t="s">
        <v>3089</v>
      </c>
      <c r="B2971" s="8">
        <v>6.0</v>
      </c>
      <c r="C2971" s="7" t="s">
        <v>267</v>
      </c>
      <c r="D2971" s="7" t="s">
        <v>1077</v>
      </c>
      <c r="E2971" s="5" t="s">
        <v>1078</v>
      </c>
      <c r="F2971" s="5" t="s">
        <v>271</v>
      </c>
    </row>
    <row r="2972">
      <c r="A2972" s="5" t="s">
        <v>2597</v>
      </c>
      <c r="B2972" s="8">
        <v>6.0</v>
      </c>
      <c r="C2972" s="7" t="s">
        <v>267</v>
      </c>
      <c r="D2972" s="7" t="s">
        <v>1077</v>
      </c>
      <c r="E2972" s="5" t="s">
        <v>1078</v>
      </c>
      <c r="F2972" s="5" t="s">
        <v>238</v>
      </c>
    </row>
    <row r="2973">
      <c r="A2973" s="7" t="s">
        <v>8</v>
      </c>
      <c r="B2973" s="8">
        <v>6.0</v>
      </c>
      <c r="C2973" s="7" t="s">
        <v>267</v>
      </c>
      <c r="D2973" s="7" t="s">
        <v>1077</v>
      </c>
      <c r="E2973" s="5" t="s">
        <v>1078</v>
      </c>
      <c r="F2973" s="5" t="s">
        <v>238</v>
      </c>
    </row>
    <row r="2974">
      <c r="A2974" s="5" t="s">
        <v>2798</v>
      </c>
      <c r="B2974" s="8">
        <v>6.0</v>
      </c>
      <c r="C2974" s="7" t="s">
        <v>267</v>
      </c>
      <c r="D2974" s="7" t="s">
        <v>1077</v>
      </c>
      <c r="E2974" s="5" t="s">
        <v>1078</v>
      </c>
      <c r="F2974" s="5" t="s">
        <v>3037</v>
      </c>
    </row>
    <row r="2975">
      <c r="A2975" s="5" t="s">
        <v>2702</v>
      </c>
      <c r="B2975" s="8">
        <v>6.0</v>
      </c>
      <c r="C2975" s="7" t="s">
        <v>267</v>
      </c>
      <c r="D2975" s="7" t="s">
        <v>1077</v>
      </c>
      <c r="E2975" s="5" t="s">
        <v>1078</v>
      </c>
      <c r="F2975" s="5" t="s">
        <v>271</v>
      </c>
    </row>
    <row r="2976">
      <c r="A2976" s="5" t="s">
        <v>2599</v>
      </c>
      <c r="B2976" s="8">
        <v>6.0</v>
      </c>
      <c r="C2976" s="7" t="s">
        <v>267</v>
      </c>
      <c r="D2976" s="7" t="s">
        <v>1077</v>
      </c>
      <c r="E2976" s="5" t="s">
        <v>1078</v>
      </c>
      <c r="F2976" s="5" t="s">
        <v>238</v>
      </c>
    </row>
    <row r="2977">
      <c r="A2977" s="5" t="s">
        <v>2600</v>
      </c>
      <c r="B2977" s="8">
        <v>6.0</v>
      </c>
      <c r="C2977" s="7" t="s">
        <v>267</v>
      </c>
      <c r="D2977" s="7" t="s">
        <v>1077</v>
      </c>
      <c r="E2977" s="5" t="s">
        <v>1078</v>
      </c>
      <c r="F2977" s="5" t="s">
        <v>271</v>
      </c>
    </row>
    <row r="2978">
      <c r="A2978" s="5" t="s">
        <v>3090</v>
      </c>
      <c r="B2978" s="8">
        <v>6.0</v>
      </c>
      <c r="C2978" s="7" t="s">
        <v>267</v>
      </c>
      <c r="D2978" s="7" t="s">
        <v>1077</v>
      </c>
      <c r="E2978" s="5" t="s">
        <v>1078</v>
      </c>
      <c r="F2978" s="5" t="s">
        <v>271</v>
      </c>
    </row>
    <row r="2979">
      <c r="A2979" s="7" t="s">
        <v>873</v>
      </c>
      <c r="B2979" s="8">
        <v>6.0</v>
      </c>
      <c r="C2979" s="7" t="s">
        <v>267</v>
      </c>
      <c r="D2979" s="7" t="s">
        <v>1077</v>
      </c>
      <c r="E2979" s="5" t="s">
        <v>1078</v>
      </c>
      <c r="F2979" s="5" t="s">
        <v>238</v>
      </c>
    </row>
    <row r="2980">
      <c r="A2980" s="5" t="s">
        <v>2602</v>
      </c>
      <c r="B2980" s="8">
        <v>6.0</v>
      </c>
      <c r="C2980" s="7" t="s">
        <v>267</v>
      </c>
      <c r="D2980" s="7" t="s">
        <v>1077</v>
      </c>
      <c r="E2980" s="5" t="s">
        <v>1078</v>
      </c>
      <c r="F2980" s="5" t="s">
        <v>3224</v>
      </c>
    </row>
    <row r="2981">
      <c r="A2981" s="5" t="s">
        <v>2603</v>
      </c>
      <c r="B2981" s="8">
        <v>6.0</v>
      </c>
      <c r="C2981" s="7" t="s">
        <v>267</v>
      </c>
      <c r="D2981" s="7" t="s">
        <v>1077</v>
      </c>
      <c r="E2981" s="5" t="s">
        <v>1078</v>
      </c>
      <c r="F2981" s="5" t="s">
        <v>3225</v>
      </c>
    </row>
    <row r="2982">
      <c r="A2982" s="7" t="s">
        <v>874</v>
      </c>
      <c r="B2982" s="8">
        <v>6.0</v>
      </c>
      <c r="C2982" s="7" t="s">
        <v>267</v>
      </c>
      <c r="D2982" s="7" t="s">
        <v>1077</v>
      </c>
      <c r="E2982" s="5" t="s">
        <v>1078</v>
      </c>
      <c r="F2982" s="5" t="s">
        <v>271</v>
      </c>
    </row>
    <row r="2983">
      <c r="A2983" s="5" t="s">
        <v>2604</v>
      </c>
      <c r="B2983" s="8">
        <v>6.0</v>
      </c>
      <c r="C2983" s="7" t="s">
        <v>267</v>
      </c>
      <c r="D2983" s="7" t="s">
        <v>1077</v>
      </c>
      <c r="E2983" s="5" t="s">
        <v>1078</v>
      </c>
      <c r="F2983" s="5" t="s">
        <v>271</v>
      </c>
    </row>
    <row r="2984">
      <c r="A2984" s="5" t="s">
        <v>3091</v>
      </c>
      <c r="B2984" s="8">
        <v>6.0</v>
      </c>
      <c r="C2984" s="7" t="s">
        <v>267</v>
      </c>
      <c r="D2984" s="7" t="s">
        <v>1077</v>
      </c>
      <c r="E2984" s="5" t="s">
        <v>1078</v>
      </c>
      <c r="F2984" s="5" t="s">
        <v>271</v>
      </c>
    </row>
    <row r="2985">
      <c r="A2985" s="5" t="s">
        <v>2605</v>
      </c>
      <c r="B2985" s="8">
        <v>6.0</v>
      </c>
      <c r="C2985" s="7" t="s">
        <v>267</v>
      </c>
      <c r="D2985" s="7" t="s">
        <v>1077</v>
      </c>
      <c r="E2985" s="5" t="s">
        <v>1078</v>
      </c>
      <c r="F2985" s="5" t="s">
        <v>271</v>
      </c>
    </row>
    <row r="2986">
      <c r="A2986" s="5" t="s">
        <v>2933</v>
      </c>
      <c r="B2986" s="8">
        <v>6.0</v>
      </c>
      <c r="C2986" s="7" t="s">
        <v>267</v>
      </c>
      <c r="D2986" s="7" t="s">
        <v>1077</v>
      </c>
      <c r="E2986" s="5" t="s">
        <v>1078</v>
      </c>
      <c r="F2986" s="5" t="s">
        <v>238</v>
      </c>
    </row>
    <row r="2987">
      <c r="A2987" s="5" t="s">
        <v>2606</v>
      </c>
      <c r="B2987" s="8">
        <v>6.0</v>
      </c>
      <c r="C2987" s="7" t="s">
        <v>267</v>
      </c>
      <c r="D2987" s="7" t="s">
        <v>1077</v>
      </c>
      <c r="E2987" s="5" t="s">
        <v>1078</v>
      </c>
      <c r="F2987" s="5" t="s">
        <v>238</v>
      </c>
    </row>
    <row r="2988">
      <c r="A2988" s="5" t="s">
        <v>2934</v>
      </c>
      <c r="B2988" s="8">
        <v>6.0</v>
      </c>
      <c r="C2988" s="7" t="s">
        <v>267</v>
      </c>
      <c r="D2988" s="7" t="s">
        <v>1077</v>
      </c>
      <c r="E2988" s="5" t="s">
        <v>1078</v>
      </c>
      <c r="F2988" s="5" t="s">
        <v>273</v>
      </c>
    </row>
    <row r="2989">
      <c r="A2989" s="5" t="s">
        <v>2607</v>
      </c>
      <c r="B2989" s="8">
        <v>6.0</v>
      </c>
      <c r="C2989" s="7" t="s">
        <v>267</v>
      </c>
      <c r="D2989" s="7" t="s">
        <v>1077</v>
      </c>
      <c r="E2989" s="5" t="s">
        <v>1078</v>
      </c>
      <c r="F2989" s="5" t="s">
        <v>240</v>
      </c>
    </row>
    <row r="2990">
      <c r="A2990" s="7" t="s">
        <v>876</v>
      </c>
      <c r="B2990" s="8">
        <v>6.0</v>
      </c>
      <c r="C2990" s="7" t="s">
        <v>267</v>
      </c>
      <c r="D2990" s="7" t="s">
        <v>1077</v>
      </c>
      <c r="E2990" s="5" t="s">
        <v>1078</v>
      </c>
      <c r="F2990" s="5" t="s">
        <v>3112</v>
      </c>
    </row>
    <row r="2991">
      <c r="A2991" s="5" t="s">
        <v>3092</v>
      </c>
      <c r="B2991" s="8">
        <v>6.0</v>
      </c>
      <c r="C2991" s="7" t="s">
        <v>267</v>
      </c>
      <c r="D2991" s="7" t="s">
        <v>1077</v>
      </c>
      <c r="E2991" s="5" t="s">
        <v>1078</v>
      </c>
      <c r="F2991" s="5" t="s">
        <v>238</v>
      </c>
    </row>
    <row r="2992">
      <c r="A2992" s="5" t="s">
        <v>2614</v>
      </c>
      <c r="B2992" s="8">
        <v>6.0</v>
      </c>
      <c r="C2992" s="7" t="s">
        <v>267</v>
      </c>
      <c r="D2992" s="7" t="s">
        <v>1077</v>
      </c>
      <c r="E2992" s="5" t="s">
        <v>1078</v>
      </c>
      <c r="F2992" s="5" t="s">
        <v>238</v>
      </c>
    </row>
    <row r="2993">
      <c r="A2993" s="5" t="s">
        <v>2608</v>
      </c>
      <c r="B2993" s="8">
        <v>6.0</v>
      </c>
      <c r="C2993" s="7" t="s">
        <v>267</v>
      </c>
      <c r="D2993" s="7" t="s">
        <v>1077</v>
      </c>
      <c r="E2993" s="5" t="s">
        <v>1078</v>
      </c>
      <c r="F2993" s="5" t="s">
        <v>238</v>
      </c>
    </row>
    <row r="2994">
      <c r="A2994" s="5" t="s">
        <v>2609</v>
      </c>
      <c r="B2994" s="8">
        <v>6.0</v>
      </c>
      <c r="C2994" s="7" t="s">
        <v>267</v>
      </c>
      <c r="D2994" s="7" t="s">
        <v>1077</v>
      </c>
      <c r="E2994" s="5" t="s">
        <v>1078</v>
      </c>
      <c r="F2994" s="5" t="s">
        <v>238</v>
      </c>
    </row>
    <row r="2995">
      <c r="A2995" s="5" t="s">
        <v>2922</v>
      </c>
      <c r="B2995" s="8">
        <v>6.0</v>
      </c>
      <c r="C2995" s="7" t="s">
        <v>773</v>
      </c>
      <c r="D2995" s="7" t="s">
        <v>1083</v>
      </c>
      <c r="E2995" s="5" t="s">
        <v>1084</v>
      </c>
      <c r="F2995" s="5" t="s">
        <v>776</v>
      </c>
    </row>
    <row r="2996">
      <c r="A2996" s="7" t="s">
        <v>188</v>
      </c>
      <c r="B2996" s="8">
        <v>6.0</v>
      </c>
      <c r="C2996" s="7" t="s">
        <v>773</v>
      </c>
      <c r="D2996" s="7" t="s">
        <v>1083</v>
      </c>
      <c r="E2996" s="5" t="s">
        <v>1084</v>
      </c>
      <c r="F2996" s="5" t="s">
        <v>776</v>
      </c>
    </row>
    <row r="2997">
      <c r="A2997" s="5" t="s">
        <v>2592</v>
      </c>
      <c r="B2997" s="8">
        <v>6.0</v>
      </c>
      <c r="C2997" s="7" t="s">
        <v>773</v>
      </c>
      <c r="D2997" s="7" t="s">
        <v>1083</v>
      </c>
      <c r="E2997" s="5" t="s">
        <v>1084</v>
      </c>
      <c r="F2997" s="5" t="s">
        <v>776</v>
      </c>
    </row>
    <row r="2998">
      <c r="A2998" s="5" t="s">
        <v>2796</v>
      </c>
      <c r="B2998" s="8">
        <v>6.0</v>
      </c>
      <c r="C2998" s="7" t="s">
        <v>773</v>
      </c>
      <c r="D2998" s="7" t="s">
        <v>1083</v>
      </c>
      <c r="E2998" s="5" t="s">
        <v>1084</v>
      </c>
      <c r="F2998" s="7" t="s">
        <v>1085</v>
      </c>
    </row>
    <row r="2999">
      <c r="A2999" s="5" t="s">
        <v>3085</v>
      </c>
      <c r="B2999" s="8">
        <v>6.0</v>
      </c>
      <c r="C2999" s="7" t="s">
        <v>773</v>
      </c>
      <c r="D2999" s="7" t="s">
        <v>1083</v>
      </c>
      <c r="E2999" s="5" t="s">
        <v>1084</v>
      </c>
      <c r="F2999" s="7" t="s">
        <v>1085</v>
      </c>
    </row>
    <row r="3000">
      <c r="A3000" s="5" t="s">
        <v>2594</v>
      </c>
      <c r="B3000" s="8">
        <v>6.0</v>
      </c>
      <c r="C3000" s="7" t="s">
        <v>773</v>
      </c>
      <c r="D3000" s="7" t="s">
        <v>1083</v>
      </c>
      <c r="E3000" s="5" t="s">
        <v>1084</v>
      </c>
      <c r="F3000" s="5" t="s">
        <v>3226</v>
      </c>
    </row>
    <row r="3001">
      <c r="A3001" s="5" t="s">
        <v>3086</v>
      </c>
      <c r="B3001" s="8">
        <v>6.0</v>
      </c>
      <c r="C3001" s="7" t="s">
        <v>773</v>
      </c>
      <c r="D3001" s="7" t="s">
        <v>1083</v>
      </c>
      <c r="E3001" s="5" t="s">
        <v>1084</v>
      </c>
      <c r="F3001" s="5" t="s">
        <v>3227</v>
      </c>
    </row>
    <row r="3002">
      <c r="A3002" s="7" t="s">
        <v>868</v>
      </c>
      <c r="B3002" s="8">
        <v>6.0</v>
      </c>
      <c r="C3002" s="7" t="s">
        <v>773</v>
      </c>
      <c r="D3002" s="7" t="s">
        <v>1083</v>
      </c>
      <c r="E3002" s="5" t="s">
        <v>1084</v>
      </c>
      <c r="F3002" s="7" t="s">
        <v>1088</v>
      </c>
    </row>
    <row r="3003">
      <c r="A3003" s="7" t="s">
        <v>599</v>
      </c>
      <c r="B3003" s="8">
        <v>6.0</v>
      </c>
      <c r="C3003" s="7" t="s">
        <v>773</v>
      </c>
      <c r="D3003" s="7" t="s">
        <v>1083</v>
      </c>
      <c r="E3003" s="5" t="s">
        <v>1084</v>
      </c>
      <c r="F3003" s="5" t="s">
        <v>776</v>
      </c>
    </row>
    <row r="3004">
      <c r="A3004" s="5" t="s">
        <v>3087</v>
      </c>
      <c r="B3004" s="8">
        <v>6.0</v>
      </c>
      <c r="C3004" s="7" t="s">
        <v>773</v>
      </c>
      <c r="D3004" s="7" t="s">
        <v>1083</v>
      </c>
      <c r="E3004" s="5" t="s">
        <v>1084</v>
      </c>
      <c r="F3004" s="5" t="s">
        <v>776</v>
      </c>
    </row>
    <row r="3005">
      <c r="A3005" s="5" t="s">
        <v>3088</v>
      </c>
      <c r="B3005" s="8">
        <v>6.0</v>
      </c>
      <c r="C3005" s="7" t="s">
        <v>773</v>
      </c>
      <c r="D3005" s="7" t="s">
        <v>1083</v>
      </c>
      <c r="E3005" s="5" t="s">
        <v>1084</v>
      </c>
      <c r="F3005" s="7" t="s">
        <v>1088</v>
      </c>
    </row>
    <row r="3006">
      <c r="A3006" s="5" t="s">
        <v>2595</v>
      </c>
      <c r="B3006" s="8">
        <v>6.0</v>
      </c>
      <c r="C3006" s="7" t="s">
        <v>773</v>
      </c>
      <c r="D3006" s="7" t="s">
        <v>1083</v>
      </c>
      <c r="E3006" s="5" t="s">
        <v>1084</v>
      </c>
      <c r="F3006" s="5" t="s">
        <v>776</v>
      </c>
    </row>
    <row r="3007">
      <c r="A3007" s="5" t="s">
        <v>3089</v>
      </c>
      <c r="B3007" s="8">
        <v>6.0</v>
      </c>
      <c r="C3007" s="7" t="s">
        <v>773</v>
      </c>
      <c r="D3007" s="7" t="s">
        <v>1083</v>
      </c>
      <c r="E3007" s="5" t="s">
        <v>1084</v>
      </c>
      <c r="F3007" s="7" t="s">
        <v>1088</v>
      </c>
    </row>
    <row r="3008">
      <c r="A3008" s="5" t="s">
        <v>2597</v>
      </c>
      <c r="B3008" s="8">
        <v>6.0</v>
      </c>
      <c r="C3008" s="7" t="s">
        <v>773</v>
      </c>
      <c r="D3008" s="7" t="s">
        <v>1083</v>
      </c>
      <c r="E3008" s="5" t="s">
        <v>1084</v>
      </c>
      <c r="F3008" s="5" t="s">
        <v>776</v>
      </c>
    </row>
    <row r="3009">
      <c r="A3009" s="7" t="s">
        <v>8</v>
      </c>
      <c r="B3009" s="8">
        <v>6.0</v>
      </c>
      <c r="C3009" s="7" t="s">
        <v>773</v>
      </c>
      <c r="D3009" s="7" t="s">
        <v>1083</v>
      </c>
      <c r="E3009" s="5" t="s">
        <v>1084</v>
      </c>
      <c r="F3009" s="5" t="s">
        <v>1089</v>
      </c>
    </row>
    <row r="3010">
      <c r="A3010" s="5" t="s">
        <v>2798</v>
      </c>
      <c r="B3010" s="8">
        <v>6.0</v>
      </c>
      <c r="C3010" s="7" t="s">
        <v>773</v>
      </c>
      <c r="D3010" s="7" t="s">
        <v>1083</v>
      </c>
      <c r="E3010" s="5" t="s">
        <v>1084</v>
      </c>
      <c r="F3010" s="5" t="s">
        <v>1089</v>
      </c>
    </row>
    <row r="3011">
      <c r="A3011" s="5" t="s">
        <v>2702</v>
      </c>
      <c r="B3011" s="8">
        <v>6.0</v>
      </c>
      <c r="C3011" s="7" t="s">
        <v>773</v>
      </c>
      <c r="D3011" s="7" t="s">
        <v>1083</v>
      </c>
      <c r="E3011" s="5" t="s">
        <v>1084</v>
      </c>
      <c r="F3011" s="7" t="s">
        <v>1088</v>
      </c>
    </row>
    <row r="3012">
      <c r="A3012" s="5" t="s">
        <v>2599</v>
      </c>
      <c r="B3012" s="8">
        <v>6.0</v>
      </c>
      <c r="C3012" s="7" t="s">
        <v>773</v>
      </c>
      <c r="D3012" s="7" t="s">
        <v>1083</v>
      </c>
      <c r="E3012" s="5" t="s">
        <v>1084</v>
      </c>
      <c r="F3012" s="5" t="s">
        <v>776</v>
      </c>
    </row>
    <row r="3013">
      <c r="A3013" s="5" t="s">
        <v>2600</v>
      </c>
      <c r="B3013" s="8">
        <v>6.0</v>
      </c>
      <c r="C3013" s="7" t="s">
        <v>773</v>
      </c>
      <c r="D3013" s="7" t="s">
        <v>1083</v>
      </c>
      <c r="E3013" s="5" t="s">
        <v>1084</v>
      </c>
      <c r="F3013" s="7" t="s">
        <v>1088</v>
      </c>
    </row>
    <row r="3014">
      <c r="A3014" s="5" t="s">
        <v>3090</v>
      </c>
      <c r="B3014" s="8">
        <v>6.0</v>
      </c>
      <c r="C3014" s="7" t="s">
        <v>773</v>
      </c>
      <c r="D3014" s="7" t="s">
        <v>1083</v>
      </c>
      <c r="E3014" s="5" t="s">
        <v>1084</v>
      </c>
      <c r="F3014" s="5" t="s">
        <v>776</v>
      </c>
    </row>
    <row r="3015">
      <c r="A3015" s="5" t="s">
        <v>2602</v>
      </c>
      <c r="B3015" s="8">
        <v>6.0</v>
      </c>
      <c r="C3015" s="7" t="s">
        <v>773</v>
      </c>
      <c r="D3015" s="7" t="s">
        <v>1083</v>
      </c>
      <c r="E3015" s="5" t="s">
        <v>1084</v>
      </c>
      <c r="F3015" s="5" t="s">
        <v>776</v>
      </c>
    </row>
    <row r="3016">
      <c r="A3016" s="5" t="s">
        <v>2603</v>
      </c>
      <c r="B3016" s="8">
        <v>6.0</v>
      </c>
      <c r="C3016" s="7" t="s">
        <v>773</v>
      </c>
      <c r="D3016" s="7" t="s">
        <v>1083</v>
      </c>
      <c r="E3016" s="5" t="s">
        <v>1084</v>
      </c>
      <c r="F3016" s="5" t="s">
        <v>776</v>
      </c>
    </row>
    <row r="3017">
      <c r="A3017" s="5" t="s">
        <v>2922</v>
      </c>
      <c r="B3017" s="8">
        <v>6.0</v>
      </c>
      <c r="C3017" s="7" t="s">
        <v>274</v>
      </c>
      <c r="D3017" s="7" t="s">
        <v>1090</v>
      </c>
      <c r="E3017" s="5" t="s">
        <v>3228</v>
      </c>
      <c r="F3017" s="5" t="s">
        <v>780</v>
      </c>
    </row>
    <row r="3018">
      <c r="A3018" s="7" t="s">
        <v>188</v>
      </c>
      <c r="B3018" s="8">
        <v>6.0</v>
      </c>
      <c r="C3018" s="7" t="s">
        <v>274</v>
      </c>
      <c r="D3018" s="7" t="s">
        <v>1090</v>
      </c>
      <c r="E3018" s="5" t="s">
        <v>3228</v>
      </c>
      <c r="F3018" s="5" t="s">
        <v>3229</v>
      </c>
    </row>
    <row r="3019">
      <c r="A3019" s="5" t="s">
        <v>2592</v>
      </c>
      <c r="B3019" s="8">
        <v>6.0</v>
      </c>
      <c r="C3019" s="7" t="s">
        <v>274</v>
      </c>
      <c r="D3019" s="7" t="s">
        <v>1090</v>
      </c>
      <c r="E3019" s="5" t="s">
        <v>3228</v>
      </c>
      <c r="F3019" s="5" t="s">
        <v>780</v>
      </c>
    </row>
    <row r="3020">
      <c r="A3020" s="5" t="s">
        <v>2796</v>
      </c>
      <c r="B3020" s="8">
        <v>6.0</v>
      </c>
      <c r="C3020" s="7" t="s">
        <v>274</v>
      </c>
      <c r="D3020" s="7" t="s">
        <v>1090</v>
      </c>
      <c r="E3020" s="5" t="s">
        <v>3228</v>
      </c>
      <c r="F3020" s="5" t="s">
        <v>2398</v>
      </c>
    </row>
    <row r="3021">
      <c r="A3021" s="5" t="s">
        <v>3085</v>
      </c>
      <c r="B3021" s="8">
        <v>6.0</v>
      </c>
      <c r="C3021" s="7" t="s">
        <v>274</v>
      </c>
      <c r="D3021" s="7" t="s">
        <v>1090</v>
      </c>
      <c r="E3021" s="5" t="s">
        <v>3228</v>
      </c>
      <c r="F3021" s="5" t="s">
        <v>2398</v>
      </c>
    </row>
    <row r="3022">
      <c r="A3022" s="5" t="s">
        <v>2594</v>
      </c>
      <c r="B3022" s="8">
        <v>6.0</v>
      </c>
      <c r="C3022" s="7" t="s">
        <v>274</v>
      </c>
      <c r="D3022" s="7" t="s">
        <v>1090</v>
      </c>
      <c r="E3022" s="5" t="s">
        <v>3228</v>
      </c>
      <c r="F3022" s="5" t="s">
        <v>3187</v>
      </c>
    </row>
    <row r="3023">
      <c r="A3023" s="5" t="s">
        <v>3086</v>
      </c>
      <c r="B3023" s="8">
        <v>6.0</v>
      </c>
      <c r="C3023" s="7" t="s">
        <v>274</v>
      </c>
      <c r="D3023" s="7" t="s">
        <v>1090</v>
      </c>
      <c r="E3023" s="5" t="s">
        <v>3228</v>
      </c>
      <c r="F3023" s="5" t="s">
        <v>3230</v>
      </c>
    </row>
    <row r="3024">
      <c r="A3024" s="7" t="s">
        <v>868</v>
      </c>
      <c r="B3024" s="8">
        <v>6.0</v>
      </c>
      <c r="C3024" s="7" t="s">
        <v>274</v>
      </c>
      <c r="D3024" s="7" t="s">
        <v>1090</v>
      </c>
      <c r="E3024" s="5" t="s">
        <v>3228</v>
      </c>
      <c r="F3024" s="5" t="s">
        <v>2398</v>
      </c>
    </row>
    <row r="3025">
      <c r="A3025" s="7" t="s">
        <v>599</v>
      </c>
      <c r="B3025" s="8">
        <v>6.0</v>
      </c>
      <c r="C3025" s="7" t="s">
        <v>274</v>
      </c>
      <c r="D3025" s="7" t="s">
        <v>1090</v>
      </c>
      <c r="E3025" s="5" t="s">
        <v>3228</v>
      </c>
      <c r="F3025" s="5" t="s">
        <v>780</v>
      </c>
    </row>
    <row r="3026">
      <c r="A3026" s="5" t="s">
        <v>3087</v>
      </c>
      <c r="B3026" s="8">
        <v>6.0</v>
      </c>
      <c r="C3026" s="7" t="s">
        <v>274</v>
      </c>
      <c r="D3026" s="7" t="s">
        <v>1090</v>
      </c>
      <c r="E3026" s="5" t="s">
        <v>3228</v>
      </c>
      <c r="F3026" s="5" t="s">
        <v>780</v>
      </c>
    </row>
    <row r="3027">
      <c r="A3027" s="5" t="s">
        <v>3088</v>
      </c>
      <c r="B3027" s="8">
        <v>6.0</v>
      </c>
      <c r="C3027" s="7" t="s">
        <v>274</v>
      </c>
      <c r="D3027" s="7" t="s">
        <v>1090</v>
      </c>
      <c r="E3027" s="5" t="s">
        <v>3228</v>
      </c>
      <c r="F3027" s="5" t="s">
        <v>3231</v>
      </c>
    </row>
    <row r="3028">
      <c r="A3028" s="5" t="s">
        <v>2595</v>
      </c>
      <c r="B3028" s="8">
        <v>6.0</v>
      </c>
      <c r="C3028" s="7" t="s">
        <v>274</v>
      </c>
      <c r="D3028" s="7" t="s">
        <v>1090</v>
      </c>
      <c r="E3028" s="5" t="s">
        <v>3228</v>
      </c>
      <c r="F3028" s="5" t="s">
        <v>3232</v>
      </c>
    </row>
    <row r="3029">
      <c r="A3029" s="5" t="s">
        <v>3089</v>
      </c>
      <c r="B3029" s="8">
        <v>6.0</v>
      </c>
      <c r="C3029" s="7" t="s">
        <v>274</v>
      </c>
      <c r="D3029" s="7" t="s">
        <v>1090</v>
      </c>
      <c r="E3029" s="5" t="s">
        <v>3228</v>
      </c>
      <c r="F3029" s="5" t="s">
        <v>3233</v>
      </c>
    </row>
    <row r="3030">
      <c r="A3030" s="5" t="s">
        <v>2597</v>
      </c>
      <c r="B3030" s="8">
        <v>6.0</v>
      </c>
      <c r="C3030" s="7" t="s">
        <v>274</v>
      </c>
      <c r="D3030" s="7" t="s">
        <v>1090</v>
      </c>
      <c r="E3030" s="5" t="s">
        <v>3228</v>
      </c>
      <c r="F3030" s="5" t="s">
        <v>3234</v>
      </c>
    </row>
    <row r="3031">
      <c r="A3031" s="7" t="s">
        <v>8</v>
      </c>
      <c r="B3031" s="8">
        <v>6.0</v>
      </c>
      <c r="C3031" s="7" t="s">
        <v>274</v>
      </c>
      <c r="D3031" s="7" t="s">
        <v>1090</v>
      </c>
      <c r="E3031" s="5" t="s">
        <v>3228</v>
      </c>
      <c r="F3031" s="5" t="s">
        <v>3235</v>
      </c>
    </row>
    <row r="3032">
      <c r="A3032" s="5" t="s">
        <v>2798</v>
      </c>
      <c r="B3032" s="8">
        <v>6.0</v>
      </c>
      <c r="C3032" s="7" t="s">
        <v>274</v>
      </c>
      <c r="D3032" s="7" t="s">
        <v>1090</v>
      </c>
      <c r="E3032" s="5" t="s">
        <v>3228</v>
      </c>
      <c r="F3032" s="5" t="s">
        <v>3042</v>
      </c>
    </row>
    <row r="3033">
      <c r="A3033" s="5" t="s">
        <v>2702</v>
      </c>
      <c r="B3033" s="8">
        <v>6.0</v>
      </c>
      <c r="C3033" s="7" t="s">
        <v>274</v>
      </c>
      <c r="D3033" s="7" t="s">
        <v>1090</v>
      </c>
      <c r="E3033" s="5" t="s">
        <v>3228</v>
      </c>
      <c r="F3033" s="5" t="s">
        <v>3229</v>
      </c>
    </row>
    <row r="3034">
      <c r="A3034" s="5" t="s">
        <v>2599</v>
      </c>
      <c r="B3034" s="8">
        <v>6.0</v>
      </c>
      <c r="C3034" s="7" t="s">
        <v>274</v>
      </c>
      <c r="D3034" s="7" t="s">
        <v>1090</v>
      </c>
      <c r="E3034" s="5" t="s">
        <v>3228</v>
      </c>
      <c r="F3034" s="5" t="s">
        <v>3104</v>
      </c>
    </row>
    <row r="3035">
      <c r="A3035" s="5" t="s">
        <v>2600</v>
      </c>
      <c r="B3035" s="8">
        <v>6.0</v>
      </c>
      <c r="C3035" s="7" t="s">
        <v>274</v>
      </c>
      <c r="D3035" s="7" t="s">
        <v>1090</v>
      </c>
      <c r="E3035" s="5" t="s">
        <v>3228</v>
      </c>
      <c r="F3035" s="5" t="s">
        <v>3236</v>
      </c>
    </row>
    <row r="3036">
      <c r="A3036" s="5" t="s">
        <v>3090</v>
      </c>
      <c r="B3036" s="8">
        <v>6.0</v>
      </c>
      <c r="C3036" s="7" t="s">
        <v>274</v>
      </c>
      <c r="D3036" s="7" t="s">
        <v>1090</v>
      </c>
      <c r="E3036" s="5" t="s">
        <v>3228</v>
      </c>
      <c r="F3036" s="5" t="s">
        <v>1100</v>
      </c>
    </row>
    <row r="3037">
      <c r="A3037" s="7" t="s">
        <v>873</v>
      </c>
      <c r="B3037" s="8">
        <v>6.0</v>
      </c>
      <c r="C3037" s="7" t="s">
        <v>274</v>
      </c>
      <c r="D3037" s="7" t="s">
        <v>1090</v>
      </c>
      <c r="E3037" s="5" t="s">
        <v>3228</v>
      </c>
      <c r="F3037" s="5" t="s">
        <v>780</v>
      </c>
    </row>
    <row r="3038">
      <c r="A3038" s="5" t="s">
        <v>2602</v>
      </c>
      <c r="B3038" s="8">
        <v>6.0</v>
      </c>
      <c r="C3038" s="7" t="s">
        <v>274</v>
      </c>
      <c r="D3038" s="7" t="s">
        <v>1090</v>
      </c>
      <c r="E3038" s="5" t="s">
        <v>3228</v>
      </c>
      <c r="F3038" s="5" t="s">
        <v>3237</v>
      </c>
    </row>
    <row r="3039">
      <c r="A3039" s="5" t="s">
        <v>2603</v>
      </c>
      <c r="B3039" s="8">
        <v>6.0</v>
      </c>
      <c r="C3039" s="7" t="s">
        <v>274</v>
      </c>
      <c r="D3039" s="7" t="s">
        <v>1090</v>
      </c>
      <c r="E3039" s="5" t="s">
        <v>3228</v>
      </c>
      <c r="F3039" s="5" t="s">
        <v>3238</v>
      </c>
    </row>
    <row r="3040">
      <c r="A3040" s="7" t="s">
        <v>874</v>
      </c>
      <c r="B3040" s="8">
        <v>6.0</v>
      </c>
      <c r="C3040" s="7" t="s">
        <v>274</v>
      </c>
      <c r="D3040" s="7" t="s">
        <v>1090</v>
      </c>
      <c r="E3040" s="5" t="s">
        <v>3228</v>
      </c>
      <c r="F3040" s="5" t="s">
        <v>2398</v>
      </c>
    </row>
    <row r="3041">
      <c r="A3041" s="5" t="s">
        <v>2604</v>
      </c>
      <c r="B3041" s="8">
        <v>6.0</v>
      </c>
      <c r="C3041" s="7" t="s">
        <v>274</v>
      </c>
      <c r="D3041" s="7" t="s">
        <v>1090</v>
      </c>
      <c r="E3041" s="5" t="s">
        <v>3228</v>
      </c>
      <c r="F3041" s="5" t="s">
        <v>780</v>
      </c>
    </row>
    <row r="3042">
      <c r="A3042" s="5" t="s">
        <v>3091</v>
      </c>
      <c r="B3042" s="8">
        <v>6.0</v>
      </c>
      <c r="C3042" s="7" t="s">
        <v>274</v>
      </c>
      <c r="D3042" s="7" t="s">
        <v>1090</v>
      </c>
      <c r="E3042" s="5" t="s">
        <v>3228</v>
      </c>
      <c r="F3042" s="5" t="s">
        <v>780</v>
      </c>
    </row>
    <row r="3043">
      <c r="A3043" s="5" t="s">
        <v>2605</v>
      </c>
      <c r="B3043" s="8">
        <v>6.0</v>
      </c>
      <c r="C3043" s="7" t="s">
        <v>274</v>
      </c>
      <c r="D3043" s="7" t="s">
        <v>1090</v>
      </c>
      <c r="E3043" s="5" t="s">
        <v>3228</v>
      </c>
      <c r="F3043" s="5" t="s">
        <v>3239</v>
      </c>
    </row>
    <row r="3044">
      <c r="A3044" s="5" t="s">
        <v>2933</v>
      </c>
      <c r="B3044" s="8">
        <v>6.0</v>
      </c>
      <c r="C3044" s="7" t="s">
        <v>274</v>
      </c>
      <c r="D3044" s="7" t="s">
        <v>1090</v>
      </c>
      <c r="E3044" s="5" t="s">
        <v>3228</v>
      </c>
      <c r="F3044" s="5" t="s">
        <v>780</v>
      </c>
    </row>
    <row r="3045">
      <c r="A3045" s="5" t="s">
        <v>2606</v>
      </c>
      <c r="B3045" s="8">
        <v>6.0</v>
      </c>
      <c r="C3045" s="7" t="s">
        <v>274</v>
      </c>
      <c r="D3045" s="7" t="s">
        <v>1090</v>
      </c>
      <c r="E3045" s="5" t="s">
        <v>3228</v>
      </c>
      <c r="F3045" s="5" t="s">
        <v>1104</v>
      </c>
    </row>
    <row r="3046">
      <c r="A3046" s="5" t="s">
        <v>2934</v>
      </c>
      <c r="B3046" s="8">
        <v>6.0</v>
      </c>
      <c r="C3046" s="7" t="s">
        <v>274</v>
      </c>
      <c r="D3046" s="7" t="s">
        <v>1090</v>
      </c>
      <c r="E3046" s="5" t="s">
        <v>3228</v>
      </c>
      <c r="F3046" s="5" t="s">
        <v>780</v>
      </c>
    </row>
    <row r="3047">
      <c r="A3047" s="5" t="s">
        <v>2607</v>
      </c>
      <c r="B3047" s="8">
        <v>6.0</v>
      </c>
      <c r="C3047" s="7" t="s">
        <v>274</v>
      </c>
      <c r="D3047" s="7" t="s">
        <v>1090</v>
      </c>
      <c r="E3047" s="5" t="s">
        <v>3228</v>
      </c>
      <c r="F3047" s="5" t="s">
        <v>780</v>
      </c>
    </row>
    <row r="3048">
      <c r="A3048" s="7" t="s">
        <v>876</v>
      </c>
      <c r="B3048" s="8">
        <v>6.0</v>
      </c>
      <c r="C3048" s="7" t="s">
        <v>274</v>
      </c>
      <c r="D3048" s="7" t="s">
        <v>1090</v>
      </c>
      <c r="E3048" s="5" t="s">
        <v>3228</v>
      </c>
      <c r="F3048" s="5" t="s">
        <v>3108</v>
      </c>
    </row>
    <row r="3049">
      <c r="A3049" s="5" t="s">
        <v>3092</v>
      </c>
      <c r="B3049" s="8">
        <v>6.0</v>
      </c>
      <c r="C3049" s="7" t="s">
        <v>274</v>
      </c>
      <c r="D3049" s="7" t="s">
        <v>1090</v>
      </c>
      <c r="E3049" s="5" t="s">
        <v>3228</v>
      </c>
      <c r="F3049" s="5" t="s">
        <v>780</v>
      </c>
    </row>
    <row r="3050">
      <c r="A3050" s="5" t="s">
        <v>2614</v>
      </c>
      <c r="B3050" s="8">
        <v>6.0</v>
      </c>
      <c r="C3050" s="7" t="s">
        <v>274</v>
      </c>
      <c r="D3050" s="7" t="s">
        <v>1090</v>
      </c>
      <c r="E3050" s="5" t="s">
        <v>3228</v>
      </c>
      <c r="F3050" s="7" t="s">
        <v>1105</v>
      </c>
    </row>
    <row r="3051">
      <c r="A3051" s="5" t="s">
        <v>2608</v>
      </c>
      <c r="B3051" s="8">
        <v>6.0</v>
      </c>
      <c r="C3051" s="7" t="s">
        <v>274</v>
      </c>
      <c r="D3051" s="7" t="s">
        <v>1090</v>
      </c>
      <c r="E3051" s="5" t="s">
        <v>3228</v>
      </c>
      <c r="F3051" s="5" t="s">
        <v>780</v>
      </c>
    </row>
    <row r="3052">
      <c r="A3052" s="5" t="s">
        <v>2609</v>
      </c>
      <c r="B3052" s="8">
        <v>6.0</v>
      </c>
      <c r="C3052" s="7" t="s">
        <v>274</v>
      </c>
      <c r="D3052" s="7" t="s">
        <v>1090</v>
      </c>
      <c r="E3052" s="5" t="s">
        <v>3228</v>
      </c>
      <c r="F3052" s="5" t="s">
        <v>780</v>
      </c>
    </row>
    <row r="3053">
      <c r="A3053" s="5" t="s">
        <v>3088</v>
      </c>
      <c r="B3053" s="8">
        <v>6.0</v>
      </c>
      <c r="C3053" s="7" t="s">
        <v>788</v>
      </c>
      <c r="D3053" s="7" t="s">
        <v>1106</v>
      </c>
      <c r="E3053" s="7" t="s">
        <v>1107</v>
      </c>
      <c r="F3053" s="5" t="s">
        <v>3240</v>
      </c>
    </row>
    <row r="3054">
      <c r="A3054" s="5" t="s">
        <v>2597</v>
      </c>
      <c r="B3054" s="8">
        <v>6.0</v>
      </c>
      <c r="C3054" s="7" t="s">
        <v>788</v>
      </c>
      <c r="D3054" s="7" t="s">
        <v>1106</v>
      </c>
      <c r="E3054" s="7" t="s">
        <v>1107</v>
      </c>
      <c r="F3054" s="5" t="s">
        <v>3241</v>
      </c>
    </row>
    <row r="3055">
      <c r="A3055" s="5" t="s">
        <v>2614</v>
      </c>
      <c r="B3055" s="8">
        <v>6.0</v>
      </c>
      <c r="C3055" s="7" t="s">
        <v>788</v>
      </c>
      <c r="D3055" s="7" t="s">
        <v>1106</v>
      </c>
      <c r="E3055" s="7" t="s">
        <v>1107</v>
      </c>
      <c r="F3055" s="5" t="s">
        <v>3242</v>
      </c>
    </row>
    <row r="3056">
      <c r="A3056" s="5" t="s">
        <v>2922</v>
      </c>
      <c r="B3056" s="8">
        <v>6.0</v>
      </c>
      <c r="C3056" s="7" t="s">
        <v>794</v>
      </c>
      <c r="D3056" s="7" t="s">
        <v>1111</v>
      </c>
      <c r="E3056" s="5" t="s">
        <v>3243</v>
      </c>
      <c r="F3056" s="5" t="s">
        <v>3244</v>
      </c>
    </row>
    <row r="3057">
      <c r="A3057" s="7" t="s">
        <v>188</v>
      </c>
      <c r="B3057" s="8">
        <v>6.0</v>
      </c>
      <c r="C3057" s="7" t="s">
        <v>794</v>
      </c>
      <c r="D3057" s="7" t="s">
        <v>1111</v>
      </c>
      <c r="E3057" s="5" t="s">
        <v>3243</v>
      </c>
      <c r="F3057" s="5" t="s">
        <v>3245</v>
      </c>
    </row>
    <row r="3058">
      <c r="A3058" s="5" t="s">
        <v>2592</v>
      </c>
      <c r="B3058" s="8">
        <v>6.0</v>
      </c>
      <c r="C3058" s="7" t="s">
        <v>794</v>
      </c>
      <c r="D3058" s="7" t="s">
        <v>1111</v>
      </c>
      <c r="E3058" s="5" t="s">
        <v>3243</v>
      </c>
      <c r="F3058" s="5" t="s">
        <v>3246</v>
      </c>
    </row>
    <row r="3059">
      <c r="A3059" s="5" t="s">
        <v>2796</v>
      </c>
      <c r="B3059" s="8">
        <v>6.0</v>
      </c>
      <c r="C3059" s="7" t="s">
        <v>794</v>
      </c>
      <c r="D3059" s="7" t="s">
        <v>1111</v>
      </c>
      <c r="E3059" s="5" t="s">
        <v>3243</v>
      </c>
      <c r="F3059" s="5" t="s">
        <v>3247</v>
      </c>
    </row>
    <row r="3060">
      <c r="A3060" s="5" t="s">
        <v>3085</v>
      </c>
      <c r="B3060" s="8">
        <v>6.0</v>
      </c>
      <c r="C3060" s="7" t="s">
        <v>794</v>
      </c>
      <c r="D3060" s="7" t="s">
        <v>1111</v>
      </c>
      <c r="E3060" s="5" t="s">
        <v>3243</v>
      </c>
      <c r="F3060" s="5" t="s">
        <v>3248</v>
      </c>
    </row>
    <row r="3061">
      <c r="A3061" s="5" t="s">
        <v>2594</v>
      </c>
      <c r="B3061" s="8">
        <v>6.0</v>
      </c>
      <c r="C3061" s="7" t="s">
        <v>794</v>
      </c>
      <c r="D3061" s="7" t="s">
        <v>1111</v>
      </c>
      <c r="E3061" s="5" t="s">
        <v>3243</v>
      </c>
      <c r="F3061" s="5" t="s">
        <v>3169</v>
      </c>
    </row>
    <row r="3062">
      <c r="A3062" s="5" t="s">
        <v>3086</v>
      </c>
      <c r="B3062" s="8">
        <v>6.0</v>
      </c>
      <c r="C3062" s="7" t="s">
        <v>794</v>
      </c>
      <c r="D3062" s="7" t="s">
        <v>1111</v>
      </c>
      <c r="E3062" s="5" t="s">
        <v>3243</v>
      </c>
      <c r="F3062" s="5" t="s">
        <v>3249</v>
      </c>
    </row>
    <row r="3063">
      <c r="A3063" s="7" t="s">
        <v>868</v>
      </c>
      <c r="B3063" s="8">
        <v>6.0</v>
      </c>
      <c r="C3063" s="7" t="s">
        <v>794</v>
      </c>
      <c r="D3063" s="7" t="s">
        <v>1111</v>
      </c>
      <c r="E3063" s="5" t="s">
        <v>3243</v>
      </c>
      <c r="F3063" s="5" t="s">
        <v>3250</v>
      </c>
    </row>
    <row r="3064">
      <c r="A3064" s="7" t="s">
        <v>599</v>
      </c>
      <c r="B3064" s="8">
        <v>6.0</v>
      </c>
      <c r="C3064" s="7" t="s">
        <v>794</v>
      </c>
      <c r="D3064" s="7" t="s">
        <v>1111</v>
      </c>
      <c r="E3064" s="5" t="s">
        <v>3243</v>
      </c>
      <c r="F3064" s="5" t="s">
        <v>3251</v>
      </c>
    </row>
    <row r="3065">
      <c r="A3065" s="5" t="s">
        <v>3087</v>
      </c>
      <c r="B3065" s="8">
        <v>6.0</v>
      </c>
      <c r="C3065" s="7" t="s">
        <v>794</v>
      </c>
      <c r="D3065" s="7" t="s">
        <v>1111</v>
      </c>
      <c r="E3065" s="5" t="s">
        <v>3243</v>
      </c>
      <c r="F3065" s="5" t="s">
        <v>3252</v>
      </c>
    </row>
    <row r="3066">
      <c r="A3066" s="5" t="s">
        <v>3088</v>
      </c>
      <c r="B3066" s="8">
        <v>6.0</v>
      </c>
      <c r="C3066" s="7" t="s">
        <v>794</v>
      </c>
      <c r="D3066" s="7" t="s">
        <v>1111</v>
      </c>
      <c r="E3066" s="5" t="s">
        <v>3243</v>
      </c>
      <c r="F3066" s="5" t="s">
        <v>3253</v>
      </c>
    </row>
    <row r="3067">
      <c r="A3067" s="5" t="s">
        <v>2595</v>
      </c>
      <c r="B3067" s="8">
        <v>6.0</v>
      </c>
      <c r="C3067" s="7" t="s">
        <v>794</v>
      </c>
      <c r="D3067" s="7" t="s">
        <v>1111</v>
      </c>
      <c r="E3067" s="5" t="s">
        <v>3243</v>
      </c>
      <c r="F3067" s="5" t="s">
        <v>3254</v>
      </c>
    </row>
    <row r="3068">
      <c r="A3068" s="5" t="s">
        <v>3089</v>
      </c>
      <c r="B3068" s="8">
        <v>6.0</v>
      </c>
      <c r="C3068" s="7" t="s">
        <v>794</v>
      </c>
      <c r="D3068" s="7" t="s">
        <v>1111</v>
      </c>
      <c r="E3068" s="5" t="s">
        <v>3243</v>
      </c>
      <c r="F3068" s="5" t="s">
        <v>3245</v>
      </c>
    </row>
    <row r="3069">
      <c r="A3069" s="5" t="s">
        <v>2597</v>
      </c>
      <c r="B3069" s="8">
        <v>6.0</v>
      </c>
      <c r="C3069" s="7" t="s">
        <v>794</v>
      </c>
      <c r="D3069" s="7" t="s">
        <v>1111</v>
      </c>
      <c r="E3069" s="5" t="s">
        <v>3243</v>
      </c>
      <c r="F3069" s="5" t="s">
        <v>3255</v>
      </c>
    </row>
    <row r="3070">
      <c r="A3070" s="7" t="s">
        <v>8</v>
      </c>
      <c r="B3070" s="8">
        <v>6.0</v>
      </c>
      <c r="C3070" s="7" t="s">
        <v>794</v>
      </c>
      <c r="D3070" s="7" t="s">
        <v>1111</v>
      </c>
      <c r="E3070" s="5" t="s">
        <v>3243</v>
      </c>
      <c r="F3070" s="5" t="s">
        <v>3256</v>
      </c>
    </row>
    <row r="3071">
      <c r="A3071" s="5" t="s">
        <v>2798</v>
      </c>
      <c r="B3071" s="8">
        <v>6.0</v>
      </c>
      <c r="C3071" s="7" t="s">
        <v>794</v>
      </c>
      <c r="D3071" s="7" t="s">
        <v>1111</v>
      </c>
      <c r="E3071" s="5" t="s">
        <v>3243</v>
      </c>
      <c r="F3071" s="5" t="s">
        <v>3257</v>
      </c>
    </row>
    <row r="3072">
      <c r="A3072" s="5" t="s">
        <v>2702</v>
      </c>
      <c r="B3072" s="8">
        <v>6.0</v>
      </c>
      <c r="C3072" s="7" t="s">
        <v>794</v>
      </c>
      <c r="D3072" s="7" t="s">
        <v>1111</v>
      </c>
      <c r="E3072" s="5" t="s">
        <v>3243</v>
      </c>
      <c r="F3072" s="5" t="s">
        <v>3258</v>
      </c>
    </row>
    <row r="3073">
      <c r="A3073" s="5" t="s">
        <v>2599</v>
      </c>
      <c r="B3073" s="8">
        <v>6.0</v>
      </c>
      <c r="C3073" s="7" t="s">
        <v>794</v>
      </c>
      <c r="D3073" s="7" t="s">
        <v>1111</v>
      </c>
      <c r="E3073" s="5" t="s">
        <v>3243</v>
      </c>
      <c r="F3073" s="5" t="s">
        <v>3259</v>
      </c>
    </row>
    <row r="3074">
      <c r="A3074" s="5" t="s">
        <v>2600</v>
      </c>
      <c r="B3074" s="8">
        <v>6.0</v>
      </c>
      <c r="C3074" s="7" t="s">
        <v>794</v>
      </c>
      <c r="D3074" s="7" t="s">
        <v>1111</v>
      </c>
      <c r="E3074" s="5" t="s">
        <v>3243</v>
      </c>
      <c r="F3074" s="5" t="s">
        <v>3260</v>
      </c>
    </row>
    <row r="3075">
      <c r="A3075" s="5" t="s">
        <v>3090</v>
      </c>
      <c r="B3075" s="8">
        <v>6.0</v>
      </c>
      <c r="C3075" s="7" t="s">
        <v>794</v>
      </c>
      <c r="D3075" s="7" t="s">
        <v>1111</v>
      </c>
      <c r="E3075" s="5" t="s">
        <v>3243</v>
      </c>
      <c r="F3075" s="5" t="s">
        <v>3261</v>
      </c>
    </row>
    <row r="3076">
      <c r="A3076" s="7" t="s">
        <v>873</v>
      </c>
      <c r="B3076" s="8">
        <v>6.0</v>
      </c>
      <c r="C3076" s="7" t="s">
        <v>794</v>
      </c>
      <c r="D3076" s="7" t="s">
        <v>1111</v>
      </c>
      <c r="E3076" s="5" t="s">
        <v>3243</v>
      </c>
      <c r="F3076" s="5" t="s">
        <v>3262</v>
      </c>
    </row>
    <row r="3077">
      <c r="A3077" s="5" t="s">
        <v>2602</v>
      </c>
      <c r="B3077" s="8">
        <v>6.0</v>
      </c>
      <c r="C3077" s="7" t="s">
        <v>794</v>
      </c>
      <c r="D3077" s="7" t="s">
        <v>1111</v>
      </c>
      <c r="E3077" s="5" t="s">
        <v>3243</v>
      </c>
      <c r="F3077" s="5" t="s">
        <v>3263</v>
      </c>
    </row>
    <row r="3078">
      <c r="A3078" s="5" t="s">
        <v>2603</v>
      </c>
      <c r="B3078" s="8">
        <v>6.0</v>
      </c>
      <c r="C3078" s="7" t="s">
        <v>794</v>
      </c>
      <c r="D3078" s="7" t="s">
        <v>1111</v>
      </c>
      <c r="E3078" s="5" t="s">
        <v>3243</v>
      </c>
      <c r="F3078" s="5" t="s">
        <v>3264</v>
      </c>
    </row>
    <row r="3079">
      <c r="A3079" s="7" t="s">
        <v>874</v>
      </c>
      <c r="B3079" s="8">
        <v>6.0</v>
      </c>
      <c r="C3079" s="7" t="s">
        <v>794</v>
      </c>
      <c r="D3079" s="7" t="s">
        <v>1111</v>
      </c>
      <c r="E3079" s="5" t="s">
        <v>3243</v>
      </c>
      <c r="F3079" s="5" t="s">
        <v>3265</v>
      </c>
    </row>
    <row r="3080">
      <c r="A3080" s="5" t="s">
        <v>2604</v>
      </c>
      <c r="B3080" s="8">
        <v>6.0</v>
      </c>
      <c r="C3080" s="7" t="s">
        <v>794</v>
      </c>
      <c r="D3080" s="7" t="s">
        <v>1111</v>
      </c>
      <c r="E3080" s="5" t="s">
        <v>3243</v>
      </c>
      <c r="F3080" s="5" t="s">
        <v>3266</v>
      </c>
    </row>
    <row r="3081">
      <c r="A3081" s="5" t="s">
        <v>3091</v>
      </c>
      <c r="B3081" s="8">
        <v>6.0</v>
      </c>
      <c r="C3081" s="7" t="s">
        <v>794</v>
      </c>
      <c r="D3081" s="7" t="s">
        <v>1111</v>
      </c>
      <c r="E3081" s="5" t="s">
        <v>3243</v>
      </c>
      <c r="F3081" s="5" t="s">
        <v>3267</v>
      </c>
    </row>
    <row r="3082">
      <c r="A3082" s="5" t="s">
        <v>2605</v>
      </c>
      <c r="B3082" s="8">
        <v>6.0</v>
      </c>
      <c r="C3082" s="7" t="s">
        <v>794</v>
      </c>
      <c r="D3082" s="7" t="s">
        <v>1111</v>
      </c>
      <c r="E3082" s="5" t="s">
        <v>3243</v>
      </c>
      <c r="F3082" s="5" t="s">
        <v>3260</v>
      </c>
    </row>
    <row r="3083">
      <c r="A3083" s="5" t="s">
        <v>2933</v>
      </c>
      <c r="B3083" s="8">
        <v>6.0</v>
      </c>
      <c r="C3083" s="7" t="s">
        <v>794</v>
      </c>
      <c r="D3083" s="7" t="s">
        <v>1111</v>
      </c>
      <c r="E3083" s="5" t="s">
        <v>3243</v>
      </c>
      <c r="F3083" s="5" t="s">
        <v>3056</v>
      </c>
    </row>
    <row r="3084">
      <c r="A3084" s="5" t="s">
        <v>2606</v>
      </c>
      <c r="B3084" s="8">
        <v>6.0</v>
      </c>
      <c r="C3084" s="7" t="s">
        <v>794</v>
      </c>
      <c r="D3084" s="7" t="s">
        <v>1111</v>
      </c>
      <c r="E3084" s="5" t="s">
        <v>3243</v>
      </c>
      <c r="F3084" s="5" t="s">
        <v>3268</v>
      </c>
    </row>
    <row r="3085">
      <c r="A3085" s="5" t="s">
        <v>2934</v>
      </c>
      <c r="B3085" s="8">
        <v>6.0</v>
      </c>
      <c r="C3085" s="7" t="s">
        <v>794</v>
      </c>
      <c r="D3085" s="7" t="s">
        <v>1111</v>
      </c>
      <c r="E3085" s="5" t="s">
        <v>3243</v>
      </c>
      <c r="F3085" s="5" t="s">
        <v>3251</v>
      </c>
    </row>
    <row r="3086">
      <c r="A3086" s="5" t="s">
        <v>2607</v>
      </c>
      <c r="B3086" s="8">
        <v>6.0</v>
      </c>
      <c r="C3086" s="7" t="s">
        <v>794</v>
      </c>
      <c r="D3086" s="7" t="s">
        <v>1111</v>
      </c>
      <c r="E3086" s="5" t="s">
        <v>3243</v>
      </c>
      <c r="F3086" s="5" t="s">
        <v>3269</v>
      </c>
    </row>
    <row r="3087">
      <c r="A3087" s="7" t="s">
        <v>876</v>
      </c>
      <c r="B3087" s="8">
        <v>6.0</v>
      </c>
      <c r="C3087" s="7" t="s">
        <v>794</v>
      </c>
      <c r="D3087" s="7" t="s">
        <v>1111</v>
      </c>
      <c r="E3087" s="5" t="s">
        <v>3243</v>
      </c>
      <c r="F3087" s="5" t="s">
        <v>3270</v>
      </c>
    </row>
    <row r="3088">
      <c r="A3088" s="5" t="s">
        <v>3092</v>
      </c>
      <c r="B3088" s="8">
        <v>6.0</v>
      </c>
      <c r="C3088" s="7" t="s">
        <v>794</v>
      </c>
      <c r="D3088" s="7" t="s">
        <v>1111</v>
      </c>
      <c r="E3088" s="5" t="s">
        <v>3243</v>
      </c>
      <c r="F3088" s="5" t="s">
        <v>3045</v>
      </c>
    </row>
    <row r="3089">
      <c r="A3089" s="5" t="s">
        <v>2614</v>
      </c>
      <c r="B3089" s="8">
        <v>6.0</v>
      </c>
      <c r="C3089" s="7" t="s">
        <v>794</v>
      </c>
      <c r="D3089" s="7" t="s">
        <v>1111</v>
      </c>
      <c r="E3089" s="5" t="s">
        <v>3243</v>
      </c>
      <c r="F3089" s="5" t="s">
        <v>3271</v>
      </c>
    </row>
    <row r="3090">
      <c r="A3090" s="5" t="s">
        <v>2608</v>
      </c>
      <c r="B3090" s="8">
        <v>6.0</v>
      </c>
      <c r="C3090" s="7" t="s">
        <v>794</v>
      </c>
      <c r="D3090" s="7" t="s">
        <v>1111</v>
      </c>
      <c r="E3090" s="5" t="s">
        <v>3243</v>
      </c>
      <c r="F3090" s="5" t="s">
        <v>3272</v>
      </c>
    </row>
    <row r="3091">
      <c r="A3091" s="5" t="s">
        <v>2609</v>
      </c>
      <c r="B3091" s="8">
        <v>6.0</v>
      </c>
      <c r="C3091" s="7" t="s">
        <v>794</v>
      </c>
      <c r="D3091" s="7" t="s">
        <v>1111</v>
      </c>
      <c r="E3091" s="5" t="s">
        <v>3243</v>
      </c>
      <c r="F3091" s="5" t="s">
        <v>3273</v>
      </c>
    </row>
    <row r="3092">
      <c r="A3092" s="7" t="s">
        <v>599</v>
      </c>
      <c r="B3092" s="8">
        <v>6.0</v>
      </c>
      <c r="C3092" s="7" t="s">
        <v>813</v>
      </c>
      <c r="D3092" s="7" t="s">
        <v>1143</v>
      </c>
      <c r="E3092" s="5" t="s">
        <v>3274</v>
      </c>
      <c r="F3092" s="5" t="s">
        <v>3275</v>
      </c>
    </row>
    <row r="3093">
      <c r="A3093" s="5" t="s">
        <v>2594</v>
      </c>
      <c r="B3093" s="8">
        <v>6.0</v>
      </c>
      <c r="C3093" s="7" t="s">
        <v>1146</v>
      </c>
      <c r="D3093" s="7" t="s">
        <v>1147</v>
      </c>
      <c r="E3093" s="5" t="s">
        <v>3276</v>
      </c>
      <c r="F3093" s="5" t="s">
        <v>3215</v>
      </c>
    </row>
    <row r="3094">
      <c r="A3094" s="5" t="s">
        <v>3086</v>
      </c>
      <c r="B3094" s="8">
        <v>6.0</v>
      </c>
      <c r="C3094" s="7" t="s">
        <v>1146</v>
      </c>
      <c r="D3094" s="7" t="s">
        <v>1147</v>
      </c>
      <c r="E3094" s="5" t="s">
        <v>3276</v>
      </c>
      <c r="F3094" s="5" t="s">
        <v>3215</v>
      </c>
    </row>
    <row r="3095">
      <c r="A3095" s="5" t="s">
        <v>3087</v>
      </c>
      <c r="B3095" s="8">
        <v>6.0</v>
      </c>
      <c r="C3095" s="7" t="s">
        <v>1146</v>
      </c>
      <c r="D3095" s="7" t="s">
        <v>1147</v>
      </c>
      <c r="E3095" s="5" t="s">
        <v>3276</v>
      </c>
      <c r="F3095" s="5" t="s">
        <v>3277</v>
      </c>
    </row>
    <row r="3096">
      <c r="A3096" s="5" t="s">
        <v>3088</v>
      </c>
      <c r="B3096" s="8">
        <v>6.0</v>
      </c>
      <c r="C3096" s="7" t="s">
        <v>1146</v>
      </c>
      <c r="D3096" s="7" t="s">
        <v>1147</v>
      </c>
      <c r="E3096" s="5" t="s">
        <v>3276</v>
      </c>
      <c r="F3096" s="5" t="s">
        <v>3214</v>
      </c>
    </row>
    <row r="3097">
      <c r="A3097" s="5" t="s">
        <v>2595</v>
      </c>
      <c r="B3097" s="8">
        <v>6.0</v>
      </c>
      <c r="C3097" s="7" t="s">
        <v>1146</v>
      </c>
      <c r="D3097" s="7" t="s">
        <v>1147</v>
      </c>
      <c r="E3097" s="5" t="s">
        <v>3276</v>
      </c>
      <c r="F3097" s="5" t="s">
        <v>933</v>
      </c>
    </row>
    <row r="3098">
      <c r="A3098" s="5" t="s">
        <v>3089</v>
      </c>
      <c r="B3098" s="8">
        <v>6.0</v>
      </c>
      <c r="C3098" s="7" t="s">
        <v>1146</v>
      </c>
      <c r="D3098" s="7" t="s">
        <v>1147</v>
      </c>
      <c r="E3098" s="5" t="s">
        <v>3276</v>
      </c>
      <c r="F3098" s="5" t="s">
        <v>3214</v>
      </c>
    </row>
    <row r="3099">
      <c r="A3099" s="5" t="s">
        <v>3090</v>
      </c>
      <c r="B3099" s="8">
        <v>6.0</v>
      </c>
      <c r="C3099" s="7" t="s">
        <v>1146</v>
      </c>
      <c r="D3099" s="7" t="s">
        <v>1147</v>
      </c>
      <c r="E3099" s="5" t="s">
        <v>3276</v>
      </c>
      <c r="F3099" s="5" t="s">
        <v>3104</v>
      </c>
    </row>
    <row r="3100">
      <c r="A3100" s="5" t="s">
        <v>3091</v>
      </c>
      <c r="B3100" s="8">
        <v>6.0</v>
      </c>
      <c r="C3100" s="7" t="s">
        <v>1146</v>
      </c>
      <c r="D3100" s="7" t="s">
        <v>1147</v>
      </c>
      <c r="E3100" s="5" t="s">
        <v>3276</v>
      </c>
      <c r="F3100" s="5" t="s">
        <v>3104</v>
      </c>
    </row>
    <row r="3101">
      <c r="A3101" s="5" t="s">
        <v>2922</v>
      </c>
      <c r="B3101" s="8">
        <v>6.0</v>
      </c>
      <c r="C3101" s="7" t="s">
        <v>309</v>
      </c>
      <c r="D3101" s="5" t="s">
        <v>2978</v>
      </c>
      <c r="E3101" s="5" t="s">
        <v>3278</v>
      </c>
      <c r="F3101" s="5" t="s">
        <v>238</v>
      </c>
    </row>
    <row r="3102">
      <c r="A3102" s="7" t="s">
        <v>188</v>
      </c>
      <c r="B3102" s="8">
        <v>6.0</v>
      </c>
      <c r="C3102" s="7" t="s">
        <v>309</v>
      </c>
      <c r="D3102" s="5" t="s">
        <v>2978</v>
      </c>
      <c r="E3102" s="5" t="s">
        <v>3278</v>
      </c>
      <c r="F3102" s="5" t="s">
        <v>3149</v>
      </c>
    </row>
    <row r="3103">
      <c r="A3103" s="5" t="s">
        <v>2592</v>
      </c>
      <c r="B3103" s="8">
        <v>6.0</v>
      </c>
      <c r="C3103" s="7" t="s">
        <v>309</v>
      </c>
      <c r="D3103" s="5" t="s">
        <v>2978</v>
      </c>
      <c r="E3103" s="5" t="s">
        <v>3278</v>
      </c>
      <c r="F3103" s="5" t="s">
        <v>238</v>
      </c>
    </row>
    <row r="3104">
      <c r="A3104" s="5" t="s">
        <v>2796</v>
      </c>
      <c r="B3104" s="8">
        <v>6.0</v>
      </c>
      <c r="C3104" s="7" t="s">
        <v>309</v>
      </c>
      <c r="D3104" s="5" t="s">
        <v>2978</v>
      </c>
      <c r="E3104" s="5" t="s">
        <v>3278</v>
      </c>
      <c r="F3104" s="5" t="s">
        <v>273</v>
      </c>
    </row>
    <row r="3105">
      <c r="A3105" s="5" t="s">
        <v>3085</v>
      </c>
      <c r="B3105" s="8">
        <v>6.0</v>
      </c>
      <c r="C3105" s="7" t="s">
        <v>309</v>
      </c>
      <c r="D3105" s="5" t="s">
        <v>2978</v>
      </c>
      <c r="E3105" s="5" t="s">
        <v>3278</v>
      </c>
      <c r="F3105" s="5" t="s">
        <v>273</v>
      </c>
    </row>
    <row r="3106">
      <c r="A3106" s="5" t="s">
        <v>2594</v>
      </c>
      <c r="B3106" s="8">
        <v>6.0</v>
      </c>
      <c r="C3106" s="7" t="s">
        <v>309</v>
      </c>
      <c r="D3106" s="5" t="s">
        <v>2978</v>
      </c>
      <c r="E3106" s="5" t="s">
        <v>3278</v>
      </c>
      <c r="F3106" s="5" t="s">
        <v>271</v>
      </c>
    </row>
    <row r="3107">
      <c r="A3107" s="5" t="s">
        <v>3086</v>
      </c>
      <c r="B3107" s="8">
        <v>6.0</v>
      </c>
      <c r="C3107" s="7" t="s">
        <v>309</v>
      </c>
      <c r="D3107" s="5" t="s">
        <v>2978</v>
      </c>
      <c r="E3107" s="5" t="s">
        <v>3278</v>
      </c>
      <c r="F3107" s="5" t="s">
        <v>3222</v>
      </c>
    </row>
    <row r="3108">
      <c r="A3108" s="7" t="s">
        <v>868</v>
      </c>
      <c r="B3108" s="8">
        <v>6.0</v>
      </c>
      <c r="C3108" s="7" t="s">
        <v>309</v>
      </c>
      <c r="D3108" s="5" t="s">
        <v>2978</v>
      </c>
      <c r="E3108" s="5" t="s">
        <v>3278</v>
      </c>
      <c r="F3108" s="5" t="s">
        <v>271</v>
      </c>
    </row>
    <row r="3109">
      <c r="A3109" s="7" t="s">
        <v>599</v>
      </c>
      <c r="B3109" s="8">
        <v>6.0</v>
      </c>
      <c r="C3109" s="7" t="s">
        <v>309</v>
      </c>
      <c r="D3109" s="5" t="s">
        <v>2978</v>
      </c>
      <c r="E3109" s="5" t="s">
        <v>3278</v>
      </c>
      <c r="F3109" s="5" t="s">
        <v>3104</v>
      </c>
    </row>
    <row r="3110">
      <c r="A3110" s="5" t="s">
        <v>3087</v>
      </c>
      <c r="B3110" s="8">
        <v>6.0</v>
      </c>
      <c r="C3110" s="7" t="s">
        <v>309</v>
      </c>
      <c r="D3110" s="5" t="s">
        <v>2978</v>
      </c>
      <c r="E3110" s="5" t="s">
        <v>3278</v>
      </c>
      <c r="F3110" s="5" t="s">
        <v>238</v>
      </c>
    </row>
    <row r="3111">
      <c r="A3111" s="5" t="s">
        <v>3088</v>
      </c>
      <c r="B3111" s="8">
        <v>6.0</v>
      </c>
      <c r="C3111" s="7" t="s">
        <v>309</v>
      </c>
      <c r="D3111" s="5" t="s">
        <v>2978</v>
      </c>
      <c r="E3111" s="5" t="s">
        <v>3278</v>
      </c>
      <c r="F3111" s="5" t="s">
        <v>3279</v>
      </c>
    </row>
    <row r="3112">
      <c r="A3112" s="5" t="s">
        <v>2595</v>
      </c>
      <c r="B3112" s="8">
        <v>6.0</v>
      </c>
      <c r="C3112" s="7" t="s">
        <v>309</v>
      </c>
      <c r="D3112" s="5" t="s">
        <v>2978</v>
      </c>
      <c r="E3112" s="5" t="s">
        <v>3278</v>
      </c>
      <c r="F3112" s="5" t="s">
        <v>3279</v>
      </c>
    </row>
    <row r="3113">
      <c r="A3113" s="5" t="s">
        <v>3089</v>
      </c>
      <c r="B3113" s="8">
        <v>6.0</v>
      </c>
      <c r="C3113" s="7" t="s">
        <v>309</v>
      </c>
      <c r="D3113" s="5" t="s">
        <v>2978</v>
      </c>
      <c r="E3113" s="5" t="s">
        <v>3278</v>
      </c>
      <c r="F3113" s="5" t="s">
        <v>271</v>
      </c>
    </row>
    <row r="3114">
      <c r="A3114" s="5" t="s">
        <v>2597</v>
      </c>
      <c r="B3114" s="8">
        <v>6.0</v>
      </c>
      <c r="C3114" s="7" t="s">
        <v>309</v>
      </c>
      <c r="D3114" s="5" t="s">
        <v>2978</v>
      </c>
      <c r="E3114" s="5" t="s">
        <v>3278</v>
      </c>
      <c r="F3114" s="5" t="s">
        <v>238</v>
      </c>
    </row>
    <row r="3115">
      <c r="A3115" s="7" t="s">
        <v>8</v>
      </c>
      <c r="B3115" s="8">
        <v>6.0</v>
      </c>
      <c r="C3115" s="7" t="s">
        <v>309</v>
      </c>
      <c r="D3115" s="5" t="s">
        <v>2978</v>
      </c>
      <c r="E3115" s="5" t="s">
        <v>3278</v>
      </c>
      <c r="F3115" s="5" t="s">
        <v>238</v>
      </c>
    </row>
    <row r="3116">
      <c r="A3116" s="5" t="s">
        <v>2798</v>
      </c>
      <c r="B3116" s="8">
        <v>6.0</v>
      </c>
      <c r="C3116" s="7" t="s">
        <v>309</v>
      </c>
      <c r="D3116" s="5" t="s">
        <v>2978</v>
      </c>
      <c r="E3116" s="5" t="s">
        <v>3278</v>
      </c>
      <c r="F3116" s="5" t="s">
        <v>3037</v>
      </c>
    </row>
    <row r="3117">
      <c r="A3117" s="5" t="s">
        <v>2702</v>
      </c>
      <c r="B3117" s="8">
        <v>6.0</v>
      </c>
      <c r="C3117" s="7" t="s">
        <v>309</v>
      </c>
      <c r="D3117" s="5" t="s">
        <v>2978</v>
      </c>
      <c r="E3117" s="5" t="s">
        <v>3278</v>
      </c>
      <c r="F3117" s="5" t="s">
        <v>271</v>
      </c>
    </row>
    <row r="3118">
      <c r="A3118" s="5" t="s">
        <v>2599</v>
      </c>
      <c r="B3118" s="8">
        <v>6.0</v>
      </c>
      <c r="C3118" s="7" t="s">
        <v>309</v>
      </c>
      <c r="D3118" s="5" t="s">
        <v>2978</v>
      </c>
      <c r="E3118" s="5" t="s">
        <v>3278</v>
      </c>
      <c r="F3118" s="5" t="s">
        <v>238</v>
      </c>
    </row>
    <row r="3119">
      <c r="A3119" s="5" t="s">
        <v>2600</v>
      </c>
      <c r="B3119" s="8">
        <v>6.0</v>
      </c>
      <c r="C3119" s="7" t="s">
        <v>309</v>
      </c>
      <c r="D3119" s="5" t="s">
        <v>2978</v>
      </c>
      <c r="E3119" s="5" t="s">
        <v>3278</v>
      </c>
      <c r="F3119" s="5" t="s">
        <v>271</v>
      </c>
    </row>
    <row r="3120">
      <c r="A3120" s="5" t="s">
        <v>3090</v>
      </c>
      <c r="B3120" s="8">
        <v>6.0</v>
      </c>
      <c r="C3120" s="7" t="s">
        <v>309</v>
      </c>
      <c r="D3120" s="5" t="s">
        <v>2978</v>
      </c>
      <c r="E3120" s="5" t="s">
        <v>3278</v>
      </c>
      <c r="F3120" s="5" t="s">
        <v>271</v>
      </c>
    </row>
    <row r="3121">
      <c r="A3121" s="7" t="s">
        <v>873</v>
      </c>
      <c r="B3121" s="8">
        <v>6.0</v>
      </c>
      <c r="C3121" s="7" t="s">
        <v>309</v>
      </c>
      <c r="D3121" s="5" t="s">
        <v>2978</v>
      </c>
      <c r="E3121" s="5" t="s">
        <v>3278</v>
      </c>
      <c r="F3121" s="5" t="s">
        <v>238</v>
      </c>
    </row>
    <row r="3122">
      <c r="A3122" s="5" t="s">
        <v>2602</v>
      </c>
      <c r="B3122" s="8">
        <v>6.0</v>
      </c>
      <c r="C3122" s="7" t="s">
        <v>309</v>
      </c>
      <c r="D3122" s="5" t="s">
        <v>2978</v>
      </c>
      <c r="E3122" s="5" t="s">
        <v>3278</v>
      </c>
      <c r="F3122" s="5" t="s">
        <v>3224</v>
      </c>
    </row>
    <row r="3123">
      <c r="A3123" s="5" t="s">
        <v>2603</v>
      </c>
      <c r="B3123" s="8">
        <v>6.0</v>
      </c>
      <c r="C3123" s="7" t="s">
        <v>309</v>
      </c>
      <c r="D3123" s="5" t="s">
        <v>2978</v>
      </c>
      <c r="E3123" s="5" t="s">
        <v>3278</v>
      </c>
      <c r="F3123" s="5" t="s">
        <v>3280</v>
      </c>
    </row>
    <row r="3124">
      <c r="A3124" s="7" t="s">
        <v>874</v>
      </c>
      <c r="B3124" s="8">
        <v>6.0</v>
      </c>
      <c r="C3124" s="7" t="s">
        <v>309</v>
      </c>
      <c r="D3124" s="5" t="s">
        <v>2978</v>
      </c>
      <c r="E3124" s="5" t="s">
        <v>3278</v>
      </c>
      <c r="F3124" s="5" t="s">
        <v>1156</v>
      </c>
    </row>
    <row r="3125">
      <c r="A3125" s="5" t="s">
        <v>2604</v>
      </c>
      <c r="B3125" s="8">
        <v>6.0</v>
      </c>
      <c r="C3125" s="7" t="s">
        <v>309</v>
      </c>
      <c r="D3125" s="5" t="s">
        <v>2978</v>
      </c>
      <c r="E3125" s="5" t="s">
        <v>3278</v>
      </c>
      <c r="F3125" s="5" t="s">
        <v>271</v>
      </c>
    </row>
    <row r="3126">
      <c r="A3126" s="5" t="s">
        <v>3091</v>
      </c>
      <c r="B3126" s="8">
        <v>6.0</v>
      </c>
      <c r="C3126" s="7" t="s">
        <v>309</v>
      </c>
      <c r="D3126" s="5" t="s">
        <v>2978</v>
      </c>
      <c r="E3126" s="5" t="s">
        <v>3278</v>
      </c>
      <c r="F3126" s="5" t="s">
        <v>271</v>
      </c>
    </row>
    <row r="3127">
      <c r="A3127" s="5" t="s">
        <v>2605</v>
      </c>
      <c r="B3127" s="8">
        <v>6.0</v>
      </c>
      <c r="C3127" s="7" t="s">
        <v>309</v>
      </c>
      <c r="D3127" s="5" t="s">
        <v>2978</v>
      </c>
      <c r="E3127" s="5" t="s">
        <v>3278</v>
      </c>
      <c r="F3127" s="5" t="s">
        <v>271</v>
      </c>
    </row>
    <row r="3128">
      <c r="A3128" s="5" t="s">
        <v>2933</v>
      </c>
      <c r="B3128" s="8">
        <v>6.0</v>
      </c>
      <c r="C3128" s="7" t="s">
        <v>309</v>
      </c>
      <c r="D3128" s="5" t="s">
        <v>2978</v>
      </c>
      <c r="E3128" s="5" t="s">
        <v>3278</v>
      </c>
      <c r="F3128" s="5" t="s">
        <v>238</v>
      </c>
    </row>
    <row r="3129">
      <c r="A3129" s="5" t="s">
        <v>2606</v>
      </c>
      <c r="B3129" s="8">
        <v>6.0</v>
      </c>
      <c r="C3129" s="7" t="s">
        <v>309</v>
      </c>
      <c r="D3129" s="5" t="s">
        <v>2978</v>
      </c>
      <c r="E3129" s="5" t="s">
        <v>3278</v>
      </c>
      <c r="F3129" s="5" t="s">
        <v>238</v>
      </c>
    </row>
    <row r="3130">
      <c r="A3130" s="5" t="s">
        <v>2934</v>
      </c>
      <c r="B3130" s="8">
        <v>6.0</v>
      </c>
      <c r="C3130" s="7" t="s">
        <v>309</v>
      </c>
      <c r="D3130" s="5" t="s">
        <v>2978</v>
      </c>
      <c r="E3130" s="5" t="s">
        <v>3278</v>
      </c>
      <c r="F3130" s="5" t="s">
        <v>273</v>
      </c>
    </row>
    <row r="3131">
      <c r="A3131" s="5" t="s">
        <v>2607</v>
      </c>
      <c r="B3131" s="8">
        <v>6.0</v>
      </c>
      <c r="C3131" s="7" t="s">
        <v>309</v>
      </c>
      <c r="D3131" s="5" t="s">
        <v>2978</v>
      </c>
      <c r="E3131" s="5" t="s">
        <v>3278</v>
      </c>
      <c r="F3131" s="5" t="s">
        <v>238</v>
      </c>
    </row>
    <row r="3132">
      <c r="A3132" s="7" t="s">
        <v>876</v>
      </c>
      <c r="B3132" s="8">
        <v>6.0</v>
      </c>
      <c r="C3132" s="7" t="s">
        <v>309</v>
      </c>
      <c r="D3132" s="5" t="s">
        <v>2978</v>
      </c>
      <c r="E3132" s="5" t="s">
        <v>3278</v>
      </c>
      <c r="F3132" s="5" t="s">
        <v>3112</v>
      </c>
    </row>
    <row r="3133">
      <c r="A3133" s="5" t="s">
        <v>3092</v>
      </c>
      <c r="B3133" s="8">
        <v>6.0</v>
      </c>
      <c r="C3133" s="7" t="s">
        <v>309</v>
      </c>
      <c r="D3133" s="5" t="s">
        <v>2978</v>
      </c>
      <c r="E3133" s="5" t="s">
        <v>3278</v>
      </c>
      <c r="F3133" s="5" t="s">
        <v>238</v>
      </c>
    </row>
    <row r="3134">
      <c r="A3134" s="5" t="s">
        <v>2614</v>
      </c>
      <c r="B3134" s="8">
        <v>6.0</v>
      </c>
      <c r="C3134" s="7" t="s">
        <v>309</v>
      </c>
      <c r="D3134" s="5" t="s">
        <v>2978</v>
      </c>
      <c r="E3134" s="5" t="s">
        <v>3278</v>
      </c>
      <c r="F3134" s="5" t="s">
        <v>238</v>
      </c>
    </row>
    <row r="3135">
      <c r="A3135" s="5" t="s">
        <v>2608</v>
      </c>
      <c r="B3135" s="8">
        <v>6.0</v>
      </c>
      <c r="C3135" s="7" t="s">
        <v>309</v>
      </c>
      <c r="D3135" s="5" t="s">
        <v>2978</v>
      </c>
      <c r="E3135" s="5" t="s">
        <v>3278</v>
      </c>
      <c r="F3135" s="5" t="s">
        <v>238</v>
      </c>
    </row>
    <row r="3136">
      <c r="A3136" s="5" t="s">
        <v>2609</v>
      </c>
      <c r="B3136" s="8">
        <v>6.0</v>
      </c>
      <c r="C3136" s="7" t="s">
        <v>309</v>
      </c>
      <c r="D3136" s="5" t="s">
        <v>2978</v>
      </c>
      <c r="E3136" s="5" t="s">
        <v>3278</v>
      </c>
      <c r="F3136" s="5" t="s">
        <v>238</v>
      </c>
    </row>
    <row r="3137">
      <c r="A3137" s="5" t="s">
        <v>2922</v>
      </c>
      <c r="B3137" s="8">
        <v>6.0</v>
      </c>
      <c r="C3137" s="7" t="s">
        <v>314</v>
      </c>
      <c r="D3137" s="7" t="s">
        <v>1157</v>
      </c>
      <c r="E3137" s="5" t="s">
        <v>1158</v>
      </c>
      <c r="F3137" s="5" t="s">
        <v>780</v>
      </c>
    </row>
    <row r="3138">
      <c r="A3138" s="7" t="s">
        <v>188</v>
      </c>
      <c r="B3138" s="8">
        <v>6.0</v>
      </c>
      <c r="C3138" s="7" t="s">
        <v>314</v>
      </c>
      <c r="D3138" s="7" t="s">
        <v>1157</v>
      </c>
      <c r="E3138" s="5" t="s">
        <v>1158</v>
      </c>
      <c r="F3138" s="5" t="s">
        <v>3229</v>
      </c>
    </row>
    <row r="3139">
      <c r="A3139" s="5" t="s">
        <v>2592</v>
      </c>
      <c r="B3139" s="8">
        <v>6.0</v>
      </c>
      <c r="C3139" s="7" t="s">
        <v>314</v>
      </c>
      <c r="D3139" s="7" t="s">
        <v>1157</v>
      </c>
      <c r="E3139" s="5" t="s">
        <v>1158</v>
      </c>
      <c r="F3139" s="5" t="s">
        <v>780</v>
      </c>
    </row>
    <row r="3140">
      <c r="A3140" s="5" t="s">
        <v>2796</v>
      </c>
      <c r="B3140" s="8">
        <v>6.0</v>
      </c>
      <c r="C3140" s="7" t="s">
        <v>314</v>
      </c>
      <c r="D3140" s="7" t="s">
        <v>1157</v>
      </c>
      <c r="E3140" s="5" t="s">
        <v>1158</v>
      </c>
      <c r="F3140" s="5" t="s">
        <v>2398</v>
      </c>
    </row>
    <row r="3141">
      <c r="A3141" s="5" t="s">
        <v>3085</v>
      </c>
      <c r="B3141" s="8">
        <v>6.0</v>
      </c>
      <c r="C3141" s="7" t="s">
        <v>314</v>
      </c>
      <c r="D3141" s="7" t="s">
        <v>1157</v>
      </c>
      <c r="E3141" s="5" t="s">
        <v>1158</v>
      </c>
      <c r="F3141" s="5" t="s">
        <v>2398</v>
      </c>
    </row>
    <row r="3142">
      <c r="A3142" s="5" t="s">
        <v>2594</v>
      </c>
      <c r="B3142" s="8">
        <v>6.0</v>
      </c>
      <c r="C3142" s="7" t="s">
        <v>314</v>
      </c>
      <c r="D3142" s="7" t="s">
        <v>1157</v>
      </c>
      <c r="E3142" s="5" t="s">
        <v>1158</v>
      </c>
      <c r="F3142" s="7" t="s">
        <v>1159</v>
      </c>
    </row>
    <row r="3143">
      <c r="A3143" s="5" t="s">
        <v>3086</v>
      </c>
      <c r="B3143" s="8">
        <v>6.0</v>
      </c>
      <c r="C3143" s="7" t="s">
        <v>314</v>
      </c>
      <c r="D3143" s="7" t="s">
        <v>1157</v>
      </c>
      <c r="E3143" s="5" t="s">
        <v>1158</v>
      </c>
      <c r="F3143" s="5" t="s">
        <v>3230</v>
      </c>
    </row>
    <row r="3144">
      <c r="A3144" s="7" t="s">
        <v>868</v>
      </c>
      <c r="B3144" s="8">
        <v>6.0</v>
      </c>
      <c r="C3144" s="7" t="s">
        <v>314</v>
      </c>
      <c r="D3144" s="7" t="s">
        <v>1157</v>
      </c>
      <c r="E3144" s="5" t="s">
        <v>1158</v>
      </c>
      <c r="F3144" s="5" t="s">
        <v>2398</v>
      </c>
    </row>
    <row r="3145">
      <c r="A3145" s="7" t="s">
        <v>599</v>
      </c>
      <c r="B3145" s="8">
        <v>6.0</v>
      </c>
      <c r="C3145" s="7" t="s">
        <v>314</v>
      </c>
      <c r="D3145" s="7" t="s">
        <v>1157</v>
      </c>
      <c r="E3145" s="5" t="s">
        <v>1158</v>
      </c>
      <c r="F3145" s="5" t="s">
        <v>780</v>
      </c>
    </row>
    <row r="3146">
      <c r="A3146" s="5" t="s">
        <v>3087</v>
      </c>
      <c r="B3146" s="8">
        <v>6.0</v>
      </c>
      <c r="C3146" s="7" t="s">
        <v>314</v>
      </c>
      <c r="D3146" s="7" t="s">
        <v>1157</v>
      </c>
      <c r="E3146" s="5" t="s">
        <v>1158</v>
      </c>
      <c r="F3146" s="5" t="s">
        <v>780</v>
      </c>
    </row>
    <row r="3147">
      <c r="A3147" s="5" t="s">
        <v>3088</v>
      </c>
      <c r="B3147" s="8">
        <v>6.0</v>
      </c>
      <c r="C3147" s="7" t="s">
        <v>314</v>
      </c>
      <c r="D3147" s="7" t="s">
        <v>1157</v>
      </c>
      <c r="E3147" s="5" t="s">
        <v>1158</v>
      </c>
      <c r="F3147" s="5" t="s">
        <v>3281</v>
      </c>
    </row>
    <row r="3148">
      <c r="A3148" s="5" t="s">
        <v>2595</v>
      </c>
      <c r="B3148" s="8">
        <v>6.0</v>
      </c>
      <c r="C3148" s="7" t="s">
        <v>314</v>
      </c>
      <c r="D3148" s="7" t="s">
        <v>1157</v>
      </c>
      <c r="E3148" s="5" t="s">
        <v>1158</v>
      </c>
      <c r="F3148" s="5" t="s">
        <v>3064</v>
      </c>
    </row>
    <row r="3149">
      <c r="A3149" s="5" t="s">
        <v>3089</v>
      </c>
      <c r="B3149" s="8">
        <v>6.0</v>
      </c>
      <c r="C3149" s="7" t="s">
        <v>314</v>
      </c>
      <c r="D3149" s="7" t="s">
        <v>1157</v>
      </c>
      <c r="E3149" s="5" t="s">
        <v>1158</v>
      </c>
      <c r="F3149" s="5" t="s">
        <v>3233</v>
      </c>
    </row>
    <row r="3150">
      <c r="A3150" s="5" t="s">
        <v>2597</v>
      </c>
      <c r="B3150" s="8">
        <v>6.0</v>
      </c>
      <c r="C3150" s="7" t="s">
        <v>314</v>
      </c>
      <c r="D3150" s="7" t="s">
        <v>1157</v>
      </c>
      <c r="E3150" s="5" t="s">
        <v>1158</v>
      </c>
      <c r="F3150" s="5" t="s">
        <v>3282</v>
      </c>
    </row>
    <row r="3151">
      <c r="A3151" s="7" t="s">
        <v>8</v>
      </c>
      <c r="B3151" s="8">
        <v>6.0</v>
      </c>
      <c r="C3151" s="7" t="s">
        <v>314</v>
      </c>
      <c r="D3151" s="7" t="s">
        <v>1157</v>
      </c>
      <c r="E3151" s="5" t="s">
        <v>1158</v>
      </c>
      <c r="F3151" s="5" t="s">
        <v>3283</v>
      </c>
    </row>
    <row r="3152">
      <c r="A3152" s="5" t="s">
        <v>2798</v>
      </c>
      <c r="B3152" s="8">
        <v>6.0</v>
      </c>
      <c r="C3152" s="7" t="s">
        <v>314</v>
      </c>
      <c r="D3152" s="7" t="s">
        <v>1157</v>
      </c>
      <c r="E3152" s="5" t="s">
        <v>1158</v>
      </c>
      <c r="F3152" s="5" t="s">
        <v>3042</v>
      </c>
    </row>
    <row r="3153">
      <c r="A3153" s="5" t="s">
        <v>2702</v>
      </c>
      <c r="B3153" s="8">
        <v>6.0</v>
      </c>
      <c r="C3153" s="7" t="s">
        <v>314</v>
      </c>
      <c r="D3153" s="7" t="s">
        <v>1157</v>
      </c>
      <c r="E3153" s="5" t="s">
        <v>1158</v>
      </c>
      <c r="F3153" s="5" t="s">
        <v>3229</v>
      </c>
    </row>
    <row r="3154">
      <c r="A3154" s="5" t="s">
        <v>2599</v>
      </c>
      <c r="B3154" s="8">
        <v>6.0</v>
      </c>
      <c r="C3154" s="7" t="s">
        <v>314</v>
      </c>
      <c r="D3154" s="7" t="s">
        <v>1157</v>
      </c>
      <c r="E3154" s="5" t="s">
        <v>1158</v>
      </c>
      <c r="F3154" s="5" t="s">
        <v>780</v>
      </c>
    </row>
    <row r="3155">
      <c r="A3155" s="5" t="s">
        <v>2600</v>
      </c>
      <c r="B3155" s="8">
        <v>6.0</v>
      </c>
      <c r="C3155" s="7" t="s">
        <v>314</v>
      </c>
      <c r="D3155" s="7" t="s">
        <v>1157</v>
      </c>
      <c r="E3155" s="5" t="s">
        <v>1158</v>
      </c>
      <c r="F3155" s="5" t="s">
        <v>3236</v>
      </c>
    </row>
    <row r="3156">
      <c r="A3156" s="5" t="s">
        <v>3090</v>
      </c>
      <c r="B3156" s="8">
        <v>6.0</v>
      </c>
      <c r="C3156" s="7" t="s">
        <v>314</v>
      </c>
      <c r="D3156" s="7" t="s">
        <v>1157</v>
      </c>
      <c r="E3156" s="5" t="s">
        <v>1158</v>
      </c>
      <c r="F3156" s="5" t="s">
        <v>1100</v>
      </c>
    </row>
    <row r="3157">
      <c r="A3157" s="7" t="s">
        <v>873</v>
      </c>
      <c r="B3157" s="8">
        <v>6.0</v>
      </c>
      <c r="C3157" s="7" t="s">
        <v>314</v>
      </c>
      <c r="D3157" s="7" t="s">
        <v>1157</v>
      </c>
      <c r="E3157" s="5" t="s">
        <v>1158</v>
      </c>
      <c r="F3157" s="5" t="s">
        <v>780</v>
      </c>
    </row>
    <row r="3158">
      <c r="A3158" s="5" t="s">
        <v>2602</v>
      </c>
      <c r="B3158" s="8">
        <v>6.0</v>
      </c>
      <c r="C3158" s="7" t="s">
        <v>314</v>
      </c>
      <c r="D3158" s="7" t="s">
        <v>1157</v>
      </c>
      <c r="E3158" s="5" t="s">
        <v>1158</v>
      </c>
      <c r="F3158" s="5" t="s">
        <v>3104</v>
      </c>
    </row>
    <row r="3159">
      <c r="A3159" s="5" t="s">
        <v>2603</v>
      </c>
      <c r="B3159" s="8">
        <v>6.0</v>
      </c>
      <c r="C3159" s="7" t="s">
        <v>314</v>
      </c>
      <c r="D3159" s="7" t="s">
        <v>1157</v>
      </c>
      <c r="E3159" s="5" t="s">
        <v>1158</v>
      </c>
      <c r="F3159" s="5" t="s">
        <v>3284</v>
      </c>
    </row>
    <row r="3160">
      <c r="A3160" s="7" t="s">
        <v>874</v>
      </c>
      <c r="B3160" s="8">
        <v>6.0</v>
      </c>
      <c r="C3160" s="7" t="s">
        <v>314</v>
      </c>
      <c r="D3160" s="7" t="s">
        <v>1157</v>
      </c>
      <c r="E3160" s="5" t="s">
        <v>1158</v>
      </c>
      <c r="F3160" s="5" t="s">
        <v>1213</v>
      </c>
    </row>
    <row r="3161">
      <c r="A3161" s="5" t="s">
        <v>2604</v>
      </c>
      <c r="B3161" s="8">
        <v>6.0</v>
      </c>
      <c r="C3161" s="7" t="s">
        <v>314</v>
      </c>
      <c r="D3161" s="7" t="s">
        <v>1157</v>
      </c>
      <c r="E3161" s="5" t="s">
        <v>1158</v>
      </c>
      <c r="F3161" s="5" t="s">
        <v>780</v>
      </c>
    </row>
    <row r="3162">
      <c r="A3162" s="5" t="s">
        <v>3091</v>
      </c>
      <c r="B3162" s="8">
        <v>6.0</v>
      </c>
      <c r="C3162" s="7" t="s">
        <v>314</v>
      </c>
      <c r="D3162" s="7" t="s">
        <v>1157</v>
      </c>
      <c r="E3162" s="5" t="s">
        <v>1158</v>
      </c>
      <c r="F3162" s="5" t="s">
        <v>780</v>
      </c>
    </row>
    <row r="3163">
      <c r="A3163" s="5" t="s">
        <v>2605</v>
      </c>
      <c r="B3163" s="8">
        <v>6.0</v>
      </c>
      <c r="C3163" s="7" t="s">
        <v>314</v>
      </c>
      <c r="D3163" s="7" t="s">
        <v>1157</v>
      </c>
      <c r="E3163" s="5" t="s">
        <v>1158</v>
      </c>
      <c r="F3163" s="5" t="s">
        <v>3239</v>
      </c>
    </row>
    <row r="3164">
      <c r="A3164" s="5" t="s">
        <v>2933</v>
      </c>
      <c r="B3164" s="8">
        <v>6.0</v>
      </c>
      <c r="C3164" s="7" t="s">
        <v>314</v>
      </c>
      <c r="D3164" s="7" t="s">
        <v>1157</v>
      </c>
      <c r="E3164" s="5" t="s">
        <v>1158</v>
      </c>
      <c r="F3164" s="5" t="s">
        <v>780</v>
      </c>
    </row>
    <row r="3165">
      <c r="A3165" s="5" t="s">
        <v>2606</v>
      </c>
      <c r="B3165" s="8">
        <v>6.0</v>
      </c>
      <c r="C3165" s="7" t="s">
        <v>314</v>
      </c>
      <c r="D3165" s="7" t="s">
        <v>1157</v>
      </c>
      <c r="E3165" s="5" t="s">
        <v>1158</v>
      </c>
      <c r="F3165" s="5" t="s">
        <v>780</v>
      </c>
    </row>
    <row r="3166">
      <c r="A3166" s="5" t="s">
        <v>2934</v>
      </c>
      <c r="B3166" s="8">
        <v>6.0</v>
      </c>
      <c r="C3166" s="7" t="s">
        <v>314</v>
      </c>
      <c r="D3166" s="7" t="s">
        <v>1157</v>
      </c>
      <c r="E3166" s="5" t="s">
        <v>1158</v>
      </c>
      <c r="F3166" s="5" t="s">
        <v>780</v>
      </c>
    </row>
    <row r="3167">
      <c r="A3167" s="5" t="s">
        <v>2607</v>
      </c>
      <c r="B3167" s="8">
        <v>6.0</v>
      </c>
      <c r="C3167" s="7" t="s">
        <v>314</v>
      </c>
      <c r="D3167" s="7" t="s">
        <v>1157</v>
      </c>
      <c r="E3167" s="5" t="s">
        <v>1158</v>
      </c>
      <c r="F3167" s="5" t="s">
        <v>780</v>
      </c>
    </row>
    <row r="3168">
      <c r="A3168" s="7" t="s">
        <v>876</v>
      </c>
      <c r="B3168" s="8">
        <v>6.0</v>
      </c>
      <c r="C3168" s="7" t="s">
        <v>314</v>
      </c>
      <c r="D3168" s="7" t="s">
        <v>1157</v>
      </c>
      <c r="E3168" s="5" t="s">
        <v>1158</v>
      </c>
      <c r="F3168" s="5" t="s">
        <v>3108</v>
      </c>
    </row>
    <row r="3169">
      <c r="A3169" s="5" t="s">
        <v>3092</v>
      </c>
      <c r="B3169" s="8">
        <v>6.0</v>
      </c>
      <c r="C3169" s="7" t="s">
        <v>314</v>
      </c>
      <c r="D3169" s="7" t="s">
        <v>1157</v>
      </c>
      <c r="E3169" s="5" t="s">
        <v>1158</v>
      </c>
      <c r="F3169" s="5" t="s">
        <v>780</v>
      </c>
    </row>
    <row r="3170">
      <c r="A3170" s="5" t="s">
        <v>2614</v>
      </c>
      <c r="B3170" s="8">
        <v>6.0</v>
      </c>
      <c r="C3170" s="7" t="s">
        <v>314</v>
      </c>
      <c r="D3170" s="7" t="s">
        <v>1157</v>
      </c>
      <c r="E3170" s="5" t="s">
        <v>1158</v>
      </c>
      <c r="F3170" s="7" t="s">
        <v>1105</v>
      </c>
    </row>
    <row r="3171">
      <c r="A3171" s="5" t="s">
        <v>2608</v>
      </c>
      <c r="B3171" s="8">
        <v>6.0</v>
      </c>
      <c r="C3171" s="7" t="s">
        <v>314</v>
      </c>
      <c r="D3171" s="7" t="s">
        <v>1157</v>
      </c>
      <c r="E3171" s="5" t="s">
        <v>1158</v>
      </c>
      <c r="F3171" s="5" t="s">
        <v>780</v>
      </c>
    </row>
    <row r="3172">
      <c r="A3172" s="5" t="s">
        <v>2609</v>
      </c>
      <c r="B3172" s="8">
        <v>6.0</v>
      </c>
      <c r="C3172" s="7" t="s">
        <v>314</v>
      </c>
      <c r="D3172" s="7" t="s">
        <v>1157</v>
      </c>
      <c r="E3172" s="5" t="s">
        <v>1158</v>
      </c>
      <c r="F3172" s="5" t="s">
        <v>780</v>
      </c>
    </row>
    <row r="3173">
      <c r="A3173" s="5" t="s">
        <v>2922</v>
      </c>
      <c r="B3173" s="8">
        <v>6.0</v>
      </c>
      <c r="C3173" s="7" t="s">
        <v>122</v>
      </c>
      <c r="D3173" s="5" t="s">
        <v>2759</v>
      </c>
      <c r="E3173" s="5" t="s">
        <v>2760</v>
      </c>
      <c r="F3173" s="5" t="s">
        <v>3285</v>
      </c>
    </row>
    <row r="3174">
      <c r="A3174" s="7" t="s">
        <v>188</v>
      </c>
      <c r="B3174" s="8">
        <v>6.0</v>
      </c>
      <c r="C3174" s="7" t="s">
        <v>122</v>
      </c>
      <c r="D3174" s="5" t="s">
        <v>2759</v>
      </c>
      <c r="E3174" s="5" t="s">
        <v>2760</v>
      </c>
      <c r="F3174" s="5" t="s">
        <v>3286</v>
      </c>
    </row>
    <row r="3175">
      <c r="A3175" s="5" t="s">
        <v>2592</v>
      </c>
      <c r="B3175" s="8">
        <v>6.0</v>
      </c>
      <c r="C3175" s="7" t="s">
        <v>122</v>
      </c>
      <c r="D3175" s="5" t="s">
        <v>2759</v>
      </c>
      <c r="E3175" s="5" t="s">
        <v>2760</v>
      </c>
      <c r="F3175" s="5" t="s">
        <v>2903</v>
      </c>
    </row>
    <row r="3176">
      <c r="A3176" s="5" t="s">
        <v>2796</v>
      </c>
      <c r="B3176" s="8">
        <v>6.0</v>
      </c>
      <c r="C3176" s="7" t="s">
        <v>122</v>
      </c>
      <c r="D3176" s="5" t="s">
        <v>2759</v>
      </c>
      <c r="E3176" s="5" t="s">
        <v>2760</v>
      </c>
      <c r="F3176" s="5" t="s">
        <v>2888</v>
      </c>
    </row>
    <row r="3177">
      <c r="A3177" s="5" t="s">
        <v>3085</v>
      </c>
      <c r="B3177" s="8">
        <v>6.0</v>
      </c>
      <c r="C3177" s="7" t="s">
        <v>122</v>
      </c>
      <c r="D3177" s="5" t="s">
        <v>2759</v>
      </c>
      <c r="E3177" s="5" t="s">
        <v>2760</v>
      </c>
      <c r="F3177" s="5" t="s">
        <v>3287</v>
      </c>
    </row>
    <row r="3178">
      <c r="A3178" s="5" t="s">
        <v>2594</v>
      </c>
      <c r="B3178" s="8">
        <v>6.0</v>
      </c>
      <c r="C3178" s="7" t="s">
        <v>122</v>
      </c>
      <c r="D3178" s="5" t="s">
        <v>2759</v>
      </c>
      <c r="E3178" s="5" t="s">
        <v>2760</v>
      </c>
      <c r="F3178" s="5" t="s">
        <v>3288</v>
      </c>
    </row>
    <row r="3179">
      <c r="A3179" s="5" t="s">
        <v>3086</v>
      </c>
      <c r="B3179" s="8">
        <v>6.0</v>
      </c>
      <c r="C3179" s="7" t="s">
        <v>122</v>
      </c>
      <c r="D3179" s="5" t="s">
        <v>2759</v>
      </c>
      <c r="E3179" s="5" t="s">
        <v>2760</v>
      </c>
      <c r="F3179" s="5" t="s">
        <v>3289</v>
      </c>
    </row>
    <row r="3180">
      <c r="A3180" s="7" t="s">
        <v>868</v>
      </c>
      <c r="B3180" s="8">
        <v>6.0</v>
      </c>
      <c r="C3180" s="7" t="s">
        <v>122</v>
      </c>
      <c r="D3180" s="5" t="s">
        <v>2759</v>
      </c>
      <c r="E3180" s="5" t="s">
        <v>2760</v>
      </c>
      <c r="F3180" s="5" t="s">
        <v>3290</v>
      </c>
    </row>
    <row r="3181">
      <c r="A3181" s="7" t="s">
        <v>599</v>
      </c>
      <c r="B3181" s="8">
        <v>6.0</v>
      </c>
      <c r="C3181" s="7" t="s">
        <v>122</v>
      </c>
      <c r="D3181" s="5" t="s">
        <v>2759</v>
      </c>
      <c r="E3181" s="5" t="s">
        <v>2760</v>
      </c>
      <c r="F3181" s="5" t="s">
        <v>3291</v>
      </c>
    </row>
    <row r="3182">
      <c r="A3182" s="5" t="s">
        <v>3087</v>
      </c>
      <c r="B3182" s="8">
        <v>6.0</v>
      </c>
      <c r="C3182" s="7" t="s">
        <v>122</v>
      </c>
      <c r="D3182" s="5" t="s">
        <v>2759</v>
      </c>
      <c r="E3182" s="5" t="s">
        <v>2760</v>
      </c>
      <c r="F3182" s="5" t="s">
        <v>3292</v>
      </c>
    </row>
    <row r="3183">
      <c r="A3183" s="5" t="s">
        <v>3088</v>
      </c>
      <c r="B3183" s="8">
        <v>6.0</v>
      </c>
      <c r="C3183" s="7" t="s">
        <v>122</v>
      </c>
      <c r="D3183" s="5" t="s">
        <v>2759</v>
      </c>
      <c r="E3183" s="5" t="s">
        <v>2760</v>
      </c>
      <c r="F3183" s="5" t="s">
        <v>3293</v>
      </c>
    </row>
    <row r="3184">
      <c r="A3184" s="5" t="s">
        <v>2595</v>
      </c>
      <c r="B3184" s="8">
        <v>6.0</v>
      </c>
      <c r="C3184" s="7" t="s">
        <v>122</v>
      </c>
      <c r="D3184" s="5" t="s">
        <v>2759</v>
      </c>
      <c r="E3184" s="5" t="s">
        <v>2760</v>
      </c>
      <c r="F3184" s="5" t="s">
        <v>3294</v>
      </c>
    </row>
    <row r="3185">
      <c r="A3185" s="5" t="s">
        <v>3089</v>
      </c>
      <c r="B3185" s="8">
        <v>6.0</v>
      </c>
      <c r="C3185" s="7" t="s">
        <v>122</v>
      </c>
      <c r="D3185" s="5" t="s">
        <v>2759</v>
      </c>
      <c r="E3185" s="5" t="s">
        <v>2760</v>
      </c>
      <c r="F3185" s="5" t="s">
        <v>3295</v>
      </c>
    </row>
    <row r="3186">
      <c r="A3186" s="5" t="s">
        <v>2597</v>
      </c>
      <c r="B3186" s="8">
        <v>6.0</v>
      </c>
      <c r="C3186" s="7" t="s">
        <v>122</v>
      </c>
      <c r="D3186" s="5" t="s">
        <v>2759</v>
      </c>
      <c r="E3186" s="5" t="s">
        <v>2760</v>
      </c>
      <c r="F3186" s="5" t="s">
        <v>3296</v>
      </c>
    </row>
    <row r="3187">
      <c r="A3187" s="7" t="s">
        <v>8</v>
      </c>
      <c r="B3187" s="8">
        <v>6.0</v>
      </c>
      <c r="C3187" s="7" t="s">
        <v>122</v>
      </c>
      <c r="D3187" s="5" t="s">
        <v>2759</v>
      </c>
      <c r="E3187" s="5" t="s">
        <v>2760</v>
      </c>
      <c r="F3187" s="5" t="s">
        <v>3297</v>
      </c>
    </row>
    <row r="3188">
      <c r="A3188" s="5" t="s">
        <v>2798</v>
      </c>
      <c r="B3188" s="8">
        <v>6.0</v>
      </c>
      <c r="C3188" s="7" t="s">
        <v>122</v>
      </c>
      <c r="D3188" s="5" t="s">
        <v>2759</v>
      </c>
      <c r="E3188" s="5" t="s">
        <v>2760</v>
      </c>
      <c r="F3188" s="5" t="s">
        <v>2891</v>
      </c>
    </row>
    <row r="3189">
      <c r="A3189" s="5" t="s">
        <v>2702</v>
      </c>
      <c r="B3189" s="8">
        <v>6.0</v>
      </c>
      <c r="C3189" s="7" t="s">
        <v>122</v>
      </c>
      <c r="D3189" s="5" t="s">
        <v>2759</v>
      </c>
      <c r="E3189" s="5" t="s">
        <v>2760</v>
      </c>
      <c r="F3189" s="5" t="s">
        <v>3298</v>
      </c>
    </row>
    <row r="3190">
      <c r="A3190" s="5" t="s">
        <v>2599</v>
      </c>
      <c r="B3190" s="8">
        <v>6.0</v>
      </c>
      <c r="C3190" s="7" t="s">
        <v>122</v>
      </c>
      <c r="D3190" s="5" t="s">
        <v>2759</v>
      </c>
      <c r="E3190" s="5" t="s">
        <v>2760</v>
      </c>
      <c r="F3190" s="5" t="s">
        <v>2980</v>
      </c>
    </row>
    <row r="3191">
      <c r="A3191" s="5" t="s">
        <v>2600</v>
      </c>
      <c r="B3191" s="8">
        <v>6.0</v>
      </c>
      <c r="C3191" s="7" t="s">
        <v>122</v>
      </c>
      <c r="D3191" s="5" t="s">
        <v>2759</v>
      </c>
      <c r="E3191" s="5" t="s">
        <v>2760</v>
      </c>
      <c r="F3191" s="5" t="s">
        <v>3299</v>
      </c>
    </row>
    <row r="3192">
      <c r="A3192" s="5" t="s">
        <v>3090</v>
      </c>
      <c r="B3192" s="8">
        <v>6.0</v>
      </c>
      <c r="C3192" s="7" t="s">
        <v>122</v>
      </c>
      <c r="D3192" s="5" t="s">
        <v>2759</v>
      </c>
      <c r="E3192" s="5" t="s">
        <v>2760</v>
      </c>
      <c r="F3192" s="5" t="s">
        <v>3300</v>
      </c>
    </row>
    <row r="3193">
      <c r="A3193" s="7" t="s">
        <v>873</v>
      </c>
      <c r="B3193" s="8">
        <v>6.0</v>
      </c>
      <c r="C3193" s="7" t="s">
        <v>122</v>
      </c>
      <c r="D3193" s="5" t="s">
        <v>2759</v>
      </c>
      <c r="E3193" s="5" t="s">
        <v>2760</v>
      </c>
      <c r="F3193" s="5" t="s">
        <v>3301</v>
      </c>
    </row>
    <row r="3194">
      <c r="A3194" s="5" t="s">
        <v>2602</v>
      </c>
      <c r="B3194" s="8">
        <v>6.0</v>
      </c>
      <c r="C3194" s="7" t="s">
        <v>122</v>
      </c>
      <c r="D3194" s="5" t="s">
        <v>2759</v>
      </c>
      <c r="E3194" s="5" t="s">
        <v>2760</v>
      </c>
      <c r="F3194" s="5" t="s">
        <v>3302</v>
      </c>
    </row>
    <row r="3195">
      <c r="A3195" s="5" t="s">
        <v>2603</v>
      </c>
      <c r="B3195" s="8">
        <v>6.0</v>
      </c>
      <c r="C3195" s="7" t="s">
        <v>122</v>
      </c>
      <c r="D3195" s="5" t="s">
        <v>2759</v>
      </c>
      <c r="E3195" s="5" t="s">
        <v>2760</v>
      </c>
      <c r="F3195" s="5" t="s">
        <v>3303</v>
      </c>
    </row>
    <row r="3196">
      <c r="A3196" s="7" t="s">
        <v>874</v>
      </c>
      <c r="B3196" s="8">
        <v>6.0</v>
      </c>
      <c r="C3196" s="7" t="s">
        <v>122</v>
      </c>
      <c r="D3196" s="5" t="s">
        <v>2759</v>
      </c>
      <c r="E3196" s="5" t="s">
        <v>2760</v>
      </c>
      <c r="F3196" s="5" t="s">
        <v>3304</v>
      </c>
    </row>
    <row r="3197">
      <c r="A3197" s="5" t="s">
        <v>2604</v>
      </c>
      <c r="B3197" s="8">
        <v>6.0</v>
      </c>
      <c r="C3197" s="7" t="s">
        <v>122</v>
      </c>
      <c r="D3197" s="5" t="s">
        <v>2759</v>
      </c>
      <c r="E3197" s="5" t="s">
        <v>2760</v>
      </c>
      <c r="F3197" s="5" t="s">
        <v>3305</v>
      </c>
    </row>
    <row r="3198">
      <c r="A3198" s="5" t="s">
        <v>3091</v>
      </c>
      <c r="B3198" s="8">
        <v>6.0</v>
      </c>
      <c r="C3198" s="7" t="s">
        <v>122</v>
      </c>
      <c r="D3198" s="5" t="s">
        <v>2759</v>
      </c>
      <c r="E3198" s="5" t="s">
        <v>2760</v>
      </c>
      <c r="F3198" s="5" t="s">
        <v>3306</v>
      </c>
    </row>
    <row r="3199">
      <c r="A3199" s="5" t="s">
        <v>2605</v>
      </c>
      <c r="B3199" s="8">
        <v>6.0</v>
      </c>
      <c r="C3199" s="7" t="s">
        <v>122</v>
      </c>
      <c r="D3199" s="5" t="s">
        <v>2759</v>
      </c>
      <c r="E3199" s="5" t="s">
        <v>2760</v>
      </c>
      <c r="F3199" s="5" t="s">
        <v>3307</v>
      </c>
    </row>
    <row r="3200">
      <c r="A3200" s="5" t="s">
        <v>2933</v>
      </c>
      <c r="B3200" s="8">
        <v>6.0</v>
      </c>
      <c r="C3200" s="7" t="s">
        <v>122</v>
      </c>
      <c r="D3200" s="5" t="s">
        <v>2759</v>
      </c>
      <c r="E3200" s="5" t="s">
        <v>2760</v>
      </c>
      <c r="F3200" s="5" t="s">
        <v>3308</v>
      </c>
    </row>
    <row r="3201">
      <c r="A3201" s="5" t="s">
        <v>2606</v>
      </c>
      <c r="B3201" s="8">
        <v>6.0</v>
      </c>
      <c r="C3201" s="7" t="s">
        <v>122</v>
      </c>
      <c r="D3201" s="5" t="s">
        <v>2759</v>
      </c>
      <c r="E3201" s="5" t="s">
        <v>2760</v>
      </c>
      <c r="F3201" s="5" t="s">
        <v>3309</v>
      </c>
    </row>
    <row r="3202">
      <c r="A3202" s="5" t="s">
        <v>2934</v>
      </c>
      <c r="B3202" s="8">
        <v>6.0</v>
      </c>
      <c r="C3202" s="7" t="s">
        <v>122</v>
      </c>
      <c r="D3202" s="5" t="s">
        <v>2759</v>
      </c>
      <c r="E3202" s="5" t="s">
        <v>2760</v>
      </c>
      <c r="F3202" s="5" t="s">
        <v>3310</v>
      </c>
    </row>
    <row r="3203">
      <c r="A3203" s="5" t="s">
        <v>2607</v>
      </c>
      <c r="B3203" s="8">
        <v>6.0</v>
      </c>
      <c r="C3203" s="7" t="s">
        <v>122</v>
      </c>
      <c r="D3203" s="5" t="s">
        <v>2759</v>
      </c>
      <c r="E3203" s="5" t="s">
        <v>2760</v>
      </c>
      <c r="F3203" s="5" t="s">
        <v>3311</v>
      </c>
    </row>
    <row r="3204">
      <c r="A3204" s="7" t="s">
        <v>876</v>
      </c>
      <c r="B3204" s="8">
        <v>6.0</v>
      </c>
      <c r="C3204" s="7" t="s">
        <v>122</v>
      </c>
      <c r="D3204" s="5" t="s">
        <v>2759</v>
      </c>
      <c r="E3204" s="5" t="s">
        <v>2760</v>
      </c>
      <c r="F3204" s="5" t="s">
        <v>3312</v>
      </c>
    </row>
    <row r="3205">
      <c r="A3205" s="5" t="s">
        <v>3092</v>
      </c>
      <c r="B3205" s="8">
        <v>6.0</v>
      </c>
      <c r="C3205" s="7" t="s">
        <v>122</v>
      </c>
      <c r="D3205" s="5" t="s">
        <v>2759</v>
      </c>
      <c r="E3205" s="5" t="s">
        <v>2760</v>
      </c>
      <c r="F3205" s="5" t="s">
        <v>3313</v>
      </c>
    </row>
    <row r="3206">
      <c r="A3206" s="5" t="s">
        <v>2614</v>
      </c>
      <c r="B3206" s="8">
        <v>6.0</v>
      </c>
      <c r="C3206" s="7" t="s">
        <v>122</v>
      </c>
      <c r="D3206" s="5" t="s">
        <v>2759</v>
      </c>
      <c r="E3206" s="5" t="s">
        <v>2760</v>
      </c>
      <c r="F3206" s="5" t="s">
        <v>3314</v>
      </c>
    </row>
    <row r="3207">
      <c r="A3207" s="5" t="s">
        <v>2608</v>
      </c>
      <c r="B3207" s="8">
        <v>6.0</v>
      </c>
      <c r="C3207" s="7" t="s">
        <v>122</v>
      </c>
      <c r="D3207" s="5" t="s">
        <v>2759</v>
      </c>
      <c r="E3207" s="5" t="s">
        <v>2760</v>
      </c>
      <c r="F3207" s="5" t="s">
        <v>3315</v>
      </c>
    </row>
    <row r="3208">
      <c r="A3208" s="5" t="s">
        <v>2609</v>
      </c>
      <c r="B3208" s="8">
        <v>6.0</v>
      </c>
      <c r="C3208" s="7" t="s">
        <v>122</v>
      </c>
      <c r="D3208" s="5" t="s">
        <v>2759</v>
      </c>
      <c r="E3208" s="5" t="s">
        <v>2760</v>
      </c>
      <c r="F3208" s="5" t="s">
        <v>2899</v>
      </c>
    </row>
    <row r="3209">
      <c r="A3209" s="5" t="s">
        <v>2922</v>
      </c>
      <c r="B3209" s="8">
        <v>6.0</v>
      </c>
      <c r="C3209" s="7" t="s">
        <v>139</v>
      </c>
      <c r="D3209" s="7" t="s">
        <v>1197</v>
      </c>
      <c r="E3209" s="5" t="s">
        <v>3316</v>
      </c>
      <c r="F3209" s="5" t="s">
        <v>240</v>
      </c>
    </row>
    <row r="3210">
      <c r="A3210" s="7" t="s">
        <v>188</v>
      </c>
      <c r="B3210" s="8">
        <v>6.0</v>
      </c>
      <c r="C3210" s="7" t="s">
        <v>139</v>
      </c>
      <c r="D3210" s="7" t="s">
        <v>1197</v>
      </c>
      <c r="E3210" s="5" t="s">
        <v>3316</v>
      </c>
      <c r="F3210" s="5" t="s">
        <v>2820</v>
      </c>
    </row>
    <row r="3211">
      <c r="A3211" s="5" t="s">
        <v>2592</v>
      </c>
      <c r="B3211" s="8">
        <v>6.0</v>
      </c>
      <c r="C3211" s="7" t="s">
        <v>139</v>
      </c>
      <c r="D3211" s="7" t="s">
        <v>1197</v>
      </c>
      <c r="E3211" s="5" t="s">
        <v>3316</v>
      </c>
      <c r="F3211" s="5" t="s">
        <v>240</v>
      </c>
    </row>
    <row r="3212">
      <c r="A3212" s="5" t="s">
        <v>2796</v>
      </c>
      <c r="B3212" s="8">
        <v>6.0</v>
      </c>
      <c r="C3212" s="7" t="s">
        <v>139</v>
      </c>
      <c r="D3212" s="7" t="s">
        <v>1197</v>
      </c>
      <c r="E3212" s="5" t="s">
        <v>3316</v>
      </c>
      <c r="F3212" s="5" t="s">
        <v>2820</v>
      </c>
    </row>
    <row r="3213">
      <c r="A3213" s="5" t="s">
        <v>3085</v>
      </c>
      <c r="B3213" s="8">
        <v>6.0</v>
      </c>
      <c r="C3213" s="7" t="s">
        <v>139</v>
      </c>
      <c r="D3213" s="7" t="s">
        <v>1197</v>
      </c>
      <c r="E3213" s="5" t="s">
        <v>3316</v>
      </c>
      <c r="F3213" s="5" t="s">
        <v>2820</v>
      </c>
    </row>
    <row r="3214">
      <c r="A3214" s="5" t="s">
        <v>2594</v>
      </c>
      <c r="B3214" s="8">
        <v>6.0</v>
      </c>
      <c r="C3214" s="7" t="s">
        <v>139</v>
      </c>
      <c r="D3214" s="7" t="s">
        <v>1197</v>
      </c>
      <c r="E3214" s="5" t="s">
        <v>3316</v>
      </c>
      <c r="F3214" s="5" t="s">
        <v>3317</v>
      </c>
    </row>
    <row r="3215">
      <c r="A3215" s="5" t="s">
        <v>3086</v>
      </c>
      <c r="B3215" s="8">
        <v>6.0</v>
      </c>
      <c r="C3215" s="7" t="s">
        <v>139</v>
      </c>
      <c r="D3215" s="7" t="s">
        <v>1197</v>
      </c>
      <c r="E3215" s="5" t="s">
        <v>3316</v>
      </c>
      <c r="F3215" s="5" t="s">
        <v>3318</v>
      </c>
    </row>
    <row r="3216">
      <c r="A3216" s="7" t="s">
        <v>868</v>
      </c>
      <c r="B3216" s="8">
        <v>6.0</v>
      </c>
      <c r="C3216" s="7" t="s">
        <v>139</v>
      </c>
      <c r="D3216" s="7" t="s">
        <v>1197</v>
      </c>
      <c r="E3216" s="5" t="s">
        <v>3316</v>
      </c>
      <c r="F3216" s="5" t="s">
        <v>305</v>
      </c>
    </row>
    <row r="3217">
      <c r="A3217" s="7" t="s">
        <v>599</v>
      </c>
      <c r="B3217" s="8">
        <v>6.0</v>
      </c>
      <c r="C3217" s="7" t="s">
        <v>139</v>
      </c>
      <c r="D3217" s="7" t="s">
        <v>1197</v>
      </c>
      <c r="E3217" s="5" t="s">
        <v>3316</v>
      </c>
      <c r="F3217" s="5" t="s">
        <v>3104</v>
      </c>
    </row>
    <row r="3218">
      <c r="A3218" s="5" t="s">
        <v>3087</v>
      </c>
      <c r="B3218" s="8">
        <v>6.0</v>
      </c>
      <c r="C3218" s="7" t="s">
        <v>139</v>
      </c>
      <c r="D3218" s="7" t="s">
        <v>1197</v>
      </c>
      <c r="E3218" s="5" t="s">
        <v>3316</v>
      </c>
      <c r="F3218" s="5" t="s">
        <v>2670</v>
      </c>
    </row>
    <row r="3219">
      <c r="A3219" s="5" t="s">
        <v>3088</v>
      </c>
      <c r="B3219" s="8">
        <v>6.0</v>
      </c>
      <c r="C3219" s="7" t="s">
        <v>139</v>
      </c>
      <c r="D3219" s="7" t="s">
        <v>1197</v>
      </c>
      <c r="E3219" s="5" t="s">
        <v>3316</v>
      </c>
      <c r="F3219" s="5" t="s">
        <v>3319</v>
      </c>
    </row>
    <row r="3220">
      <c r="A3220" s="5" t="s">
        <v>2595</v>
      </c>
      <c r="B3220" s="8">
        <v>6.0</v>
      </c>
      <c r="C3220" s="7" t="s">
        <v>139</v>
      </c>
      <c r="D3220" s="7" t="s">
        <v>1197</v>
      </c>
      <c r="E3220" s="5" t="s">
        <v>3316</v>
      </c>
      <c r="F3220" s="5" t="s">
        <v>2670</v>
      </c>
    </row>
    <row r="3221">
      <c r="A3221" s="5" t="s">
        <v>3089</v>
      </c>
      <c r="B3221" s="8">
        <v>6.0</v>
      </c>
      <c r="C3221" s="7" t="s">
        <v>139</v>
      </c>
      <c r="D3221" s="7" t="s">
        <v>1197</v>
      </c>
      <c r="E3221" s="5" t="s">
        <v>3316</v>
      </c>
      <c r="F3221" s="5" t="s">
        <v>3320</v>
      </c>
    </row>
    <row r="3222">
      <c r="A3222" s="5" t="s">
        <v>2597</v>
      </c>
      <c r="B3222" s="8">
        <v>6.0</v>
      </c>
      <c r="C3222" s="7" t="s">
        <v>139</v>
      </c>
      <c r="D3222" s="7" t="s">
        <v>1197</v>
      </c>
      <c r="E3222" s="5" t="s">
        <v>3316</v>
      </c>
      <c r="F3222" s="5" t="s">
        <v>2670</v>
      </c>
    </row>
    <row r="3223">
      <c r="A3223" s="7" t="s">
        <v>8</v>
      </c>
      <c r="B3223" s="8">
        <v>6.0</v>
      </c>
      <c r="C3223" s="7" t="s">
        <v>139</v>
      </c>
      <c r="D3223" s="7" t="s">
        <v>1197</v>
      </c>
      <c r="E3223" s="5" t="s">
        <v>3316</v>
      </c>
      <c r="F3223" s="5" t="s">
        <v>240</v>
      </c>
    </row>
    <row r="3224">
      <c r="A3224" s="5" t="s">
        <v>2798</v>
      </c>
      <c r="B3224" s="8">
        <v>6.0</v>
      </c>
      <c r="C3224" s="7" t="s">
        <v>139</v>
      </c>
      <c r="D3224" s="7" t="s">
        <v>1197</v>
      </c>
      <c r="E3224" s="5" t="s">
        <v>3316</v>
      </c>
      <c r="F3224" s="5" t="s">
        <v>3321</v>
      </c>
    </row>
    <row r="3225">
      <c r="A3225" s="5" t="s">
        <v>2702</v>
      </c>
      <c r="B3225" s="8">
        <v>6.0</v>
      </c>
      <c r="C3225" s="7" t="s">
        <v>139</v>
      </c>
      <c r="D3225" s="7" t="s">
        <v>1197</v>
      </c>
      <c r="E3225" s="5" t="s">
        <v>3316</v>
      </c>
      <c r="F3225" s="5" t="s">
        <v>2820</v>
      </c>
    </row>
    <row r="3226">
      <c r="A3226" s="5" t="s">
        <v>2599</v>
      </c>
      <c r="B3226" s="8">
        <v>6.0</v>
      </c>
      <c r="C3226" s="7" t="s">
        <v>139</v>
      </c>
      <c r="D3226" s="7" t="s">
        <v>1197</v>
      </c>
      <c r="E3226" s="5" t="s">
        <v>3316</v>
      </c>
      <c r="F3226" s="5" t="s">
        <v>2670</v>
      </c>
    </row>
    <row r="3227">
      <c r="A3227" s="5" t="s">
        <v>2600</v>
      </c>
      <c r="B3227" s="8">
        <v>6.0</v>
      </c>
      <c r="C3227" s="7" t="s">
        <v>139</v>
      </c>
      <c r="D3227" s="7" t="s">
        <v>1197</v>
      </c>
      <c r="E3227" s="5" t="s">
        <v>3316</v>
      </c>
      <c r="F3227" s="5" t="s">
        <v>305</v>
      </c>
    </row>
    <row r="3228">
      <c r="A3228" s="5" t="s">
        <v>3090</v>
      </c>
      <c r="B3228" s="8">
        <v>6.0</v>
      </c>
      <c r="C3228" s="7" t="s">
        <v>139</v>
      </c>
      <c r="D3228" s="7" t="s">
        <v>1197</v>
      </c>
      <c r="E3228" s="5" t="s">
        <v>3316</v>
      </c>
      <c r="F3228" s="5" t="s">
        <v>2820</v>
      </c>
    </row>
    <row r="3229">
      <c r="A3229" s="7" t="s">
        <v>873</v>
      </c>
      <c r="B3229" s="8">
        <v>6.0</v>
      </c>
      <c r="C3229" s="7" t="s">
        <v>139</v>
      </c>
      <c r="D3229" s="7" t="s">
        <v>1197</v>
      </c>
      <c r="E3229" s="5" t="s">
        <v>3316</v>
      </c>
      <c r="F3229" s="5" t="s">
        <v>2670</v>
      </c>
    </row>
    <row r="3230">
      <c r="A3230" s="5" t="s">
        <v>2602</v>
      </c>
      <c r="B3230" s="8">
        <v>6.0</v>
      </c>
      <c r="C3230" s="7" t="s">
        <v>139</v>
      </c>
      <c r="D3230" s="7" t="s">
        <v>1197</v>
      </c>
      <c r="E3230" s="5" t="s">
        <v>3316</v>
      </c>
      <c r="F3230" s="5" t="s">
        <v>3104</v>
      </c>
    </row>
    <row r="3231">
      <c r="A3231" s="5" t="s">
        <v>2603</v>
      </c>
      <c r="B3231" s="8">
        <v>6.0</v>
      </c>
      <c r="C3231" s="7" t="s">
        <v>139</v>
      </c>
      <c r="D3231" s="7" t="s">
        <v>1197</v>
      </c>
      <c r="E3231" s="5" t="s">
        <v>3316</v>
      </c>
      <c r="F3231" s="5" t="s">
        <v>3322</v>
      </c>
    </row>
    <row r="3232">
      <c r="A3232" s="7" t="s">
        <v>874</v>
      </c>
      <c r="B3232" s="8">
        <v>6.0</v>
      </c>
      <c r="C3232" s="7" t="s">
        <v>139</v>
      </c>
      <c r="D3232" s="7" t="s">
        <v>1197</v>
      </c>
      <c r="E3232" s="5" t="s">
        <v>3316</v>
      </c>
      <c r="F3232" s="5" t="s">
        <v>3323</v>
      </c>
    </row>
    <row r="3233">
      <c r="A3233" s="5" t="s">
        <v>2604</v>
      </c>
      <c r="B3233" s="8">
        <v>6.0</v>
      </c>
      <c r="C3233" s="7" t="s">
        <v>139</v>
      </c>
      <c r="D3233" s="7" t="s">
        <v>1197</v>
      </c>
      <c r="E3233" s="5" t="s">
        <v>3316</v>
      </c>
      <c r="F3233" s="5" t="s">
        <v>3324</v>
      </c>
    </row>
    <row r="3234">
      <c r="A3234" s="5" t="s">
        <v>3091</v>
      </c>
      <c r="B3234" s="8">
        <v>6.0</v>
      </c>
      <c r="C3234" s="7" t="s">
        <v>139</v>
      </c>
      <c r="D3234" s="7" t="s">
        <v>1197</v>
      </c>
      <c r="E3234" s="5" t="s">
        <v>3316</v>
      </c>
      <c r="F3234" s="5" t="s">
        <v>3325</v>
      </c>
    </row>
    <row r="3235">
      <c r="A3235" s="5" t="s">
        <v>2605</v>
      </c>
      <c r="B3235" s="8">
        <v>6.0</v>
      </c>
      <c r="C3235" s="7" t="s">
        <v>139</v>
      </c>
      <c r="D3235" s="7" t="s">
        <v>1197</v>
      </c>
      <c r="E3235" s="5" t="s">
        <v>3316</v>
      </c>
      <c r="F3235" s="5" t="s">
        <v>305</v>
      </c>
    </row>
    <row r="3236">
      <c r="A3236" s="5" t="s">
        <v>2933</v>
      </c>
      <c r="B3236" s="8">
        <v>6.0</v>
      </c>
      <c r="C3236" s="7" t="s">
        <v>139</v>
      </c>
      <c r="D3236" s="7" t="s">
        <v>1197</v>
      </c>
      <c r="E3236" s="5" t="s">
        <v>3316</v>
      </c>
      <c r="F3236" s="5" t="s">
        <v>238</v>
      </c>
    </row>
    <row r="3237">
      <c r="A3237" s="5" t="s">
        <v>2606</v>
      </c>
      <c r="B3237" s="8">
        <v>6.0</v>
      </c>
      <c r="C3237" s="7" t="s">
        <v>139</v>
      </c>
      <c r="D3237" s="7" t="s">
        <v>1197</v>
      </c>
      <c r="E3237" s="5" t="s">
        <v>3316</v>
      </c>
      <c r="F3237" s="5" t="s">
        <v>3326</v>
      </c>
    </row>
    <row r="3238">
      <c r="A3238" s="5" t="s">
        <v>2934</v>
      </c>
      <c r="B3238" s="8">
        <v>6.0</v>
      </c>
      <c r="C3238" s="7" t="s">
        <v>139</v>
      </c>
      <c r="D3238" s="7" t="s">
        <v>1197</v>
      </c>
      <c r="E3238" s="5" t="s">
        <v>3316</v>
      </c>
      <c r="F3238" s="5" t="s">
        <v>273</v>
      </c>
    </row>
    <row r="3239">
      <c r="A3239" s="5" t="s">
        <v>2607</v>
      </c>
      <c r="B3239" s="8">
        <v>6.0</v>
      </c>
      <c r="C3239" s="7" t="s">
        <v>139</v>
      </c>
      <c r="D3239" s="7" t="s">
        <v>1197</v>
      </c>
      <c r="E3239" s="5" t="s">
        <v>3316</v>
      </c>
      <c r="F3239" s="5" t="s">
        <v>240</v>
      </c>
    </row>
    <row r="3240">
      <c r="A3240" s="7" t="s">
        <v>876</v>
      </c>
      <c r="B3240" s="8">
        <v>6.0</v>
      </c>
      <c r="C3240" s="7" t="s">
        <v>139</v>
      </c>
      <c r="D3240" s="7" t="s">
        <v>1197</v>
      </c>
      <c r="E3240" s="5" t="s">
        <v>3316</v>
      </c>
      <c r="F3240" s="5" t="s">
        <v>3112</v>
      </c>
    </row>
    <row r="3241">
      <c r="A3241" s="5" t="s">
        <v>3092</v>
      </c>
      <c r="B3241" s="8">
        <v>6.0</v>
      </c>
      <c r="C3241" s="7" t="s">
        <v>139</v>
      </c>
      <c r="D3241" s="7" t="s">
        <v>1197</v>
      </c>
      <c r="E3241" s="5" t="s">
        <v>3316</v>
      </c>
      <c r="F3241" s="5" t="s">
        <v>240</v>
      </c>
    </row>
    <row r="3242">
      <c r="A3242" s="5" t="s">
        <v>2614</v>
      </c>
      <c r="B3242" s="8">
        <v>6.0</v>
      </c>
      <c r="C3242" s="7" t="s">
        <v>139</v>
      </c>
      <c r="D3242" s="7" t="s">
        <v>1197</v>
      </c>
      <c r="E3242" s="5" t="s">
        <v>3316</v>
      </c>
      <c r="F3242" s="5" t="s">
        <v>240</v>
      </c>
    </row>
    <row r="3243">
      <c r="A3243" s="5" t="s">
        <v>2608</v>
      </c>
      <c r="B3243" s="8">
        <v>6.0</v>
      </c>
      <c r="C3243" s="7" t="s">
        <v>139</v>
      </c>
      <c r="D3243" s="7" t="s">
        <v>1197</v>
      </c>
      <c r="E3243" s="5" t="s">
        <v>3316</v>
      </c>
      <c r="F3243" s="5" t="s">
        <v>240</v>
      </c>
    </row>
    <row r="3244">
      <c r="A3244" s="5" t="s">
        <v>2609</v>
      </c>
      <c r="B3244" s="8">
        <v>6.0</v>
      </c>
      <c r="C3244" s="7" t="s">
        <v>139</v>
      </c>
      <c r="D3244" s="7" t="s">
        <v>1197</v>
      </c>
      <c r="E3244" s="5" t="s">
        <v>3316</v>
      </c>
      <c r="F3244" s="5" t="s">
        <v>240</v>
      </c>
    </row>
    <row r="3245">
      <c r="A3245" s="5" t="s">
        <v>2922</v>
      </c>
      <c r="B3245" s="8">
        <v>6.0</v>
      </c>
      <c r="C3245" s="7" t="s">
        <v>162</v>
      </c>
      <c r="D3245" s="7" t="s">
        <v>341</v>
      </c>
      <c r="E3245" s="5" t="s">
        <v>2773</v>
      </c>
      <c r="F3245" s="5" t="s">
        <v>906</v>
      </c>
    </row>
    <row r="3246">
      <c r="A3246" s="7" t="s">
        <v>188</v>
      </c>
      <c r="B3246" s="8">
        <v>6.0</v>
      </c>
      <c r="C3246" s="7" t="s">
        <v>162</v>
      </c>
      <c r="D3246" s="7" t="s">
        <v>341</v>
      </c>
      <c r="E3246" s="5" t="s">
        <v>2773</v>
      </c>
      <c r="F3246" s="5" t="s">
        <v>3327</v>
      </c>
    </row>
    <row r="3247">
      <c r="A3247" s="5" t="s">
        <v>2592</v>
      </c>
      <c r="B3247" s="8">
        <v>6.0</v>
      </c>
      <c r="C3247" s="7" t="s">
        <v>162</v>
      </c>
      <c r="D3247" s="7" t="s">
        <v>341</v>
      </c>
      <c r="E3247" s="5" t="s">
        <v>2773</v>
      </c>
      <c r="F3247" s="5" t="s">
        <v>906</v>
      </c>
    </row>
    <row r="3248">
      <c r="A3248" s="5" t="s">
        <v>2796</v>
      </c>
      <c r="B3248" s="8">
        <v>6.0</v>
      </c>
      <c r="C3248" s="7" t="s">
        <v>162</v>
      </c>
      <c r="D3248" s="7" t="s">
        <v>341</v>
      </c>
      <c r="E3248" s="5" t="s">
        <v>2773</v>
      </c>
      <c r="F3248" s="5" t="s">
        <v>2705</v>
      </c>
    </row>
    <row r="3249">
      <c r="A3249" s="5" t="s">
        <v>3085</v>
      </c>
      <c r="B3249" s="8">
        <v>6.0</v>
      </c>
      <c r="C3249" s="7" t="s">
        <v>162</v>
      </c>
      <c r="D3249" s="7" t="s">
        <v>341</v>
      </c>
      <c r="E3249" s="5" t="s">
        <v>2773</v>
      </c>
      <c r="F3249" s="5" t="s">
        <v>2705</v>
      </c>
    </row>
    <row r="3250">
      <c r="A3250" s="5" t="s">
        <v>2594</v>
      </c>
      <c r="B3250" s="8">
        <v>6.0</v>
      </c>
      <c r="C3250" s="7" t="s">
        <v>162</v>
      </c>
      <c r="D3250" s="7" t="s">
        <v>341</v>
      </c>
      <c r="E3250" s="5" t="s">
        <v>2773</v>
      </c>
      <c r="F3250" s="5" t="s">
        <v>1213</v>
      </c>
    </row>
    <row r="3251">
      <c r="A3251" s="5" t="s">
        <v>3086</v>
      </c>
      <c r="B3251" s="8">
        <v>6.0</v>
      </c>
      <c r="C3251" s="7" t="s">
        <v>162</v>
      </c>
      <c r="D3251" s="7" t="s">
        <v>341</v>
      </c>
      <c r="E3251" s="5" t="s">
        <v>2773</v>
      </c>
      <c r="F3251" s="5" t="s">
        <v>3328</v>
      </c>
    </row>
    <row r="3252">
      <c r="A3252" s="7" t="s">
        <v>868</v>
      </c>
      <c r="B3252" s="8">
        <v>6.0</v>
      </c>
      <c r="C3252" s="7" t="s">
        <v>162</v>
      </c>
      <c r="D3252" s="7" t="s">
        <v>341</v>
      </c>
      <c r="E3252" s="5" t="s">
        <v>2773</v>
      </c>
      <c r="F3252" s="5" t="s">
        <v>2705</v>
      </c>
    </row>
    <row r="3253">
      <c r="A3253" s="7" t="s">
        <v>599</v>
      </c>
      <c r="B3253" s="8">
        <v>6.0</v>
      </c>
      <c r="C3253" s="7" t="s">
        <v>162</v>
      </c>
      <c r="D3253" s="7" t="s">
        <v>341</v>
      </c>
      <c r="E3253" s="5" t="s">
        <v>2773</v>
      </c>
      <c r="F3253" s="5" t="s">
        <v>3104</v>
      </c>
    </row>
    <row r="3254">
      <c r="A3254" s="5" t="s">
        <v>3087</v>
      </c>
      <c r="B3254" s="8">
        <v>6.0</v>
      </c>
      <c r="C3254" s="7" t="s">
        <v>162</v>
      </c>
      <c r="D3254" s="7" t="s">
        <v>341</v>
      </c>
      <c r="E3254" s="5" t="s">
        <v>2773</v>
      </c>
      <c r="F3254" s="5" t="s">
        <v>3329</v>
      </c>
    </row>
    <row r="3255">
      <c r="A3255" s="5" t="s">
        <v>3088</v>
      </c>
      <c r="B3255" s="8">
        <v>6.0</v>
      </c>
      <c r="C3255" s="7" t="s">
        <v>162</v>
      </c>
      <c r="D3255" s="7" t="s">
        <v>341</v>
      </c>
      <c r="E3255" s="5" t="s">
        <v>2773</v>
      </c>
      <c r="F3255" s="5" t="s">
        <v>3330</v>
      </c>
    </row>
    <row r="3256">
      <c r="A3256" s="5" t="s">
        <v>2595</v>
      </c>
      <c r="B3256" s="8">
        <v>6.0</v>
      </c>
      <c r="C3256" s="7" t="s">
        <v>162</v>
      </c>
      <c r="D3256" s="7" t="s">
        <v>341</v>
      </c>
      <c r="E3256" s="5" t="s">
        <v>2773</v>
      </c>
      <c r="F3256" s="5" t="s">
        <v>3331</v>
      </c>
    </row>
    <row r="3257">
      <c r="A3257" s="5" t="s">
        <v>3089</v>
      </c>
      <c r="B3257" s="8">
        <v>6.0</v>
      </c>
      <c r="C3257" s="7" t="s">
        <v>162</v>
      </c>
      <c r="D3257" s="7" t="s">
        <v>341</v>
      </c>
      <c r="E3257" s="5" t="s">
        <v>2773</v>
      </c>
      <c r="F3257" s="5" t="s">
        <v>3332</v>
      </c>
    </row>
    <row r="3258">
      <c r="A3258" s="5" t="s">
        <v>2597</v>
      </c>
      <c r="B3258" s="8">
        <v>6.0</v>
      </c>
      <c r="C3258" s="7" t="s">
        <v>162</v>
      </c>
      <c r="D3258" s="7" t="s">
        <v>341</v>
      </c>
      <c r="E3258" s="5" t="s">
        <v>2773</v>
      </c>
      <c r="F3258" s="5" t="s">
        <v>3333</v>
      </c>
    </row>
    <row r="3259">
      <c r="A3259" s="7" t="s">
        <v>8</v>
      </c>
      <c r="B3259" s="8">
        <v>6.0</v>
      </c>
      <c r="C3259" s="7" t="s">
        <v>162</v>
      </c>
      <c r="D3259" s="7" t="s">
        <v>341</v>
      </c>
      <c r="E3259" s="5" t="s">
        <v>2773</v>
      </c>
      <c r="F3259" s="5" t="s">
        <v>3334</v>
      </c>
    </row>
    <row r="3260">
      <c r="A3260" s="5" t="s">
        <v>2798</v>
      </c>
      <c r="B3260" s="8">
        <v>6.0</v>
      </c>
      <c r="C3260" s="7" t="s">
        <v>162</v>
      </c>
      <c r="D3260" s="7" t="s">
        <v>341</v>
      </c>
      <c r="E3260" s="5" t="s">
        <v>2773</v>
      </c>
      <c r="F3260" s="5" t="s">
        <v>3335</v>
      </c>
    </row>
    <row r="3261">
      <c r="A3261" s="5" t="s">
        <v>2702</v>
      </c>
      <c r="B3261" s="8">
        <v>6.0</v>
      </c>
      <c r="C3261" s="7" t="s">
        <v>162</v>
      </c>
      <c r="D3261" s="7" t="s">
        <v>341</v>
      </c>
      <c r="E3261" s="5" t="s">
        <v>2773</v>
      </c>
      <c r="F3261" s="5" t="s">
        <v>3336</v>
      </c>
    </row>
    <row r="3262">
      <c r="A3262" s="5" t="s">
        <v>2599</v>
      </c>
      <c r="B3262" s="8">
        <v>6.0</v>
      </c>
      <c r="C3262" s="7" t="s">
        <v>162</v>
      </c>
      <c r="D3262" s="7" t="s">
        <v>341</v>
      </c>
      <c r="E3262" s="5" t="s">
        <v>2773</v>
      </c>
      <c r="F3262" s="5" t="s">
        <v>3104</v>
      </c>
    </row>
    <row r="3263">
      <c r="A3263" s="5" t="s">
        <v>2600</v>
      </c>
      <c r="B3263" s="8">
        <v>6.0</v>
      </c>
      <c r="C3263" s="7" t="s">
        <v>162</v>
      </c>
      <c r="D3263" s="7" t="s">
        <v>341</v>
      </c>
      <c r="E3263" s="5" t="s">
        <v>2773</v>
      </c>
      <c r="F3263" s="5" t="s">
        <v>3337</v>
      </c>
    </row>
    <row r="3264">
      <c r="A3264" s="5" t="s">
        <v>3090</v>
      </c>
      <c r="B3264" s="8">
        <v>6.0</v>
      </c>
      <c r="C3264" s="7" t="s">
        <v>162</v>
      </c>
      <c r="D3264" s="7" t="s">
        <v>341</v>
      </c>
      <c r="E3264" s="5" t="s">
        <v>2773</v>
      </c>
      <c r="F3264" s="5" t="s">
        <v>3338</v>
      </c>
    </row>
    <row r="3265">
      <c r="A3265" s="7" t="s">
        <v>873</v>
      </c>
      <c r="B3265" s="8">
        <v>6.0</v>
      </c>
      <c r="C3265" s="7" t="s">
        <v>162</v>
      </c>
      <c r="D3265" s="7" t="s">
        <v>341</v>
      </c>
      <c r="E3265" s="5" t="s">
        <v>2773</v>
      </c>
      <c r="F3265" s="5" t="s">
        <v>3075</v>
      </c>
    </row>
    <row r="3266">
      <c r="A3266" s="5" t="s">
        <v>2602</v>
      </c>
      <c r="B3266" s="8">
        <v>6.0</v>
      </c>
      <c r="C3266" s="7" t="s">
        <v>162</v>
      </c>
      <c r="D3266" s="7" t="s">
        <v>341</v>
      </c>
      <c r="E3266" s="5" t="s">
        <v>2773</v>
      </c>
      <c r="F3266" s="5" t="s">
        <v>3104</v>
      </c>
    </row>
    <row r="3267">
      <c r="A3267" s="5" t="s">
        <v>2603</v>
      </c>
      <c r="B3267" s="8">
        <v>6.0</v>
      </c>
      <c r="C3267" s="7" t="s">
        <v>162</v>
      </c>
      <c r="D3267" s="7" t="s">
        <v>341</v>
      </c>
      <c r="E3267" s="5" t="s">
        <v>2773</v>
      </c>
      <c r="F3267" s="5" t="s">
        <v>3339</v>
      </c>
    </row>
    <row r="3268">
      <c r="A3268" s="7" t="s">
        <v>874</v>
      </c>
      <c r="B3268" s="8">
        <v>6.0</v>
      </c>
      <c r="C3268" s="7" t="s">
        <v>162</v>
      </c>
      <c r="D3268" s="7" t="s">
        <v>341</v>
      </c>
      <c r="E3268" s="5" t="s">
        <v>2773</v>
      </c>
      <c r="F3268" s="5" t="s">
        <v>2705</v>
      </c>
    </row>
    <row r="3269">
      <c r="A3269" s="5" t="s">
        <v>2604</v>
      </c>
      <c r="B3269" s="8">
        <v>6.0</v>
      </c>
      <c r="C3269" s="7" t="s">
        <v>162</v>
      </c>
      <c r="D3269" s="7" t="s">
        <v>341</v>
      </c>
      <c r="E3269" s="5" t="s">
        <v>2773</v>
      </c>
      <c r="F3269" s="5" t="s">
        <v>3075</v>
      </c>
    </row>
    <row r="3270">
      <c r="A3270" s="5" t="s">
        <v>3091</v>
      </c>
      <c r="B3270" s="8">
        <v>6.0</v>
      </c>
      <c r="C3270" s="7" t="s">
        <v>162</v>
      </c>
      <c r="D3270" s="7" t="s">
        <v>341</v>
      </c>
      <c r="E3270" s="5" t="s">
        <v>2773</v>
      </c>
      <c r="F3270" s="5" t="s">
        <v>3075</v>
      </c>
    </row>
    <row r="3271">
      <c r="A3271" s="5" t="s">
        <v>2605</v>
      </c>
      <c r="B3271" s="8">
        <v>6.0</v>
      </c>
      <c r="C3271" s="7" t="s">
        <v>162</v>
      </c>
      <c r="D3271" s="7" t="s">
        <v>341</v>
      </c>
      <c r="E3271" s="5" t="s">
        <v>2773</v>
      </c>
      <c r="F3271" s="5" t="s">
        <v>3340</v>
      </c>
    </row>
    <row r="3272">
      <c r="A3272" s="5" t="s">
        <v>2933</v>
      </c>
      <c r="B3272" s="8">
        <v>6.0</v>
      </c>
      <c r="C3272" s="7" t="s">
        <v>162</v>
      </c>
      <c r="D3272" s="7" t="s">
        <v>341</v>
      </c>
      <c r="E3272" s="5" t="s">
        <v>2773</v>
      </c>
      <c r="F3272" s="5" t="s">
        <v>780</v>
      </c>
    </row>
    <row r="3273">
      <c r="A3273" s="5" t="s">
        <v>2606</v>
      </c>
      <c r="B3273" s="8">
        <v>6.0</v>
      </c>
      <c r="C3273" s="7" t="s">
        <v>162</v>
      </c>
      <c r="D3273" s="7" t="s">
        <v>341</v>
      </c>
      <c r="E3273" s="5" t="s">
        <v>2773</v>
      </c>
      <c r="F3273" s="5" t="s">
        <v>780</v>
      </c>
    </row>
    <row r="3274">
      <c r="A3274" s="5" t="s">
        <v>2934</v>
      </c>
      <c r="B3274" s="8">
        <v>6.0</v>
      </c>
      <c r="C3274" s="7" t="s">
        <v>162</v>
      </c>
      <c r="D3274" s="7" t="s">
        <v>341</v>
      </c>
      <c r="E3274" s="5" t="s">
        <v>2773</v>
      </c>
      <c r="F3274" s="4" t="s">
        <v>3104</v>
      </c>
    </row>
    <row r="3275">
      <c r="A3275" s="5" t="s">
        <v>2607</v>
      </c>
      <c r="B3275" s="8">
        <v>6.0</v>
      </c>
      <c r="C3275" s="7" t="s">
        <v>162</v>
      </c>
      <c r="D3275" s="7" t="s">
        <v>341</v>
      </c>
      <c r="E3275" s="5" t="s">
        <v>2773</v>
      </c>
      <c r="F3275" s="5" t="s">
        <v>906</v>
      </c>
    </row>
    <row r="3276">
      <c r="A3276" s="7" t="s">
        <v>876</v>
      </c>
      <c r="B3276" s="8">
        <v>6.0</v>
      </c>
      <c r="C3276" s="7" t="s">
        <v>162</v>
      </c>
      <c r="D3276" s="7" t="s">
        <v>341</v>
      </c>
      <c r="E3276" s="5" t="s">
        <v>2773</v>
      </c>
      <c r="F3276" s="5" t="s">
        <v>3108</v>
      </c>
    </row>
    <row r="3277">
      <c r="A3277" s="5" t="s">
        <v>3092</v>
      </c>
      <c r="B3277" s="8">
        <v>6.0</v>
      </c>
      <c r="C3277" s="7" t="s">
        <v>162</v>
      </c>
      <c r="D3277" s="7" t="s">
        <v>341</v>
      </c>
      <c r="E3277" s="5" t="s">
        <v>2773</v>
      </c>
      <c r="F3277" s="5" t="s">
        <v>906</v>
      </c>
    </row>
    <row r="3278">
      <c r="A3278" s="5" t="s">
        <v>2614</v>
      </c>
      <c r="B3278" s="8">
        <v>6.0</v>
      </c>
      <c r="C3278" s="7" t="s">
        <v>162</v>
      </c>
      <c r="D3278" s="7" t="s">
        <v>341</v>
      </c>
      <c r="E3278" s="5" t="s">
        <v>2773</v>
      </c>
      <c r="F3278" s="7" t="s">
        <v>908</v>
      </c>
    </row>
    <row r="3279">
      <c r="A3279" s="5" t="s">
        <v>2608</v>
      </c>
      <c r="B3279" s="8">
        <v>6.0</v>
      </c>
      <c r="C3279" s="7" t="s">
        <v>162</v>
      </c>
      <c r="D3279" s="7" t="s">
        <v>341</v>
      </c>
      <c r="E3279" s="5" t="s">
        <v>2773</v>
      </c>
      <c r="F3279" s="5" t="s">
        <v>906</v>
      </c>
    </row>
    <row r="3280">
      <c r="A3280" s="5" t="s">
        <v>2609</v>
      </c>
      <c r="B3280" s="8">
        <v>6.0</v>
      </c>
      <c r="C3280" s="7" t="s">
        <v>162</v>
      </c>
      <c r="D3280" s="7" t="s">
        <v>341</v>
      </c>
      <c r="E3280" s="5" t="s">
        <v>2773</v>
      </c>
      <c r="F3280" s="5" t="s">
        <v>780</v>
      </c>
    </row>
    <row r="3281">
      <c r="A3281" s="5" t="s">
        <v>2922</v>
      </c>
      <c r="B3281" s="8">
        <v>6.0</v>
      </c>
      <c r="C3281" s="7" t="s">
        <v>1229</v>
      </c>
      <c r="D3281" s="7" t="s">
        <v>1230</v>
      </c>
      <c r="E3281" s="5" t="s">
        <v>3341</v>
      </c>
      <c r="F3281" s="5" t="s">
        <v>3342</v>
      </c>
    </row>
    <row r="3282">
      <c r="A3282" s="5" t="s">
        <v>2592</v>
      </c>
      <c r="B3282" s="8">
        <v>6.0</v>
      </c>
      <c r="C3282" s="7" t="s">
        <v>1229</v>
      </c>
      <c r="D3282" s="7" t="s">
        <v>1230</v>
      </c>
      <c r="E3282" s="5" t="s">
        <v>3341</v>
      </c>
      <c r="F3282" s="5" t="s">
        <v>3342</v>
      </c>
    </row>
    <row r="3283">
      <c r="A3283" s="5" t="s">
        <v>2796</v>
      </c>
      <c r="B3283" s="8">
        <v>6.0</v>
      </c>
      <c r="C3283" s="7" t="s">
        <v>1229</v>
      </c>
      <c r="D3283" s="7" t="s">
        <v>1230</v>
      </c>
      <c r="E3283" s="5" t="s">
        <v>3341</v>
      </c>
      <c r="F3283" s="5" t="s">
        <v>3343</v>
      </c>
    </row>
    <row r="3284">
      <c r="A3284" s="5" t="s">
        <v>3085</v>
      </c>
      <c r="B3284" s="8">
        <v>6.0</v>
      </c>
      <c r="C3284" s="7" t="s">
        <v>1229</v>
      </c>
      <c r="D3284" s="7" t="s">
        <v>1230</v>
      </c>
      <c r="E3284" s="5" t="s">
        <v>3341</v>
      </c>
      <c r="F3284" s="5" t="s">
        <v>3343</v>
      </c>
    </row>
    <row r="3285">
      <c r="A3285" s="5" t="s">
        <v>3086</v>
      </c>
      <c r="B3285" s="8">
        <v>6.0</v>
      </c>
      <c r="C3285" s="7" t="s">
        <v>1229</v>
      </c>
      <c r="D3285" s="7" t="s">
        <v>1230</v>
      </c>
      <c r="E3285" s="5" t="s">
        <v>3341</v>
      </c>
      <c r="F3285" s="5" t="s">
        <v>3128</v>
      </c>
    </row>
    <row r="3286">
      <c r="A3286" s="7" t="s">
        <v>868</v>
      </c>
      <c r="B3286" s="8">
        <v>6.0</v>
      </c>
      <c r="C3286" s="7" t="s">
        <v>1229</v>
      </c>
      <c r="D3286" s="7" t="s">
        <v>1230</v>
      </c>
      <c r="E3286" s="5" t="s">
        <v>3341</v>
      </c>
      <c r="F3286" s="5" t="s">
        <v>3127</v>
      </c>
    </row>
    <row r="3287">
      <c r="A3287" s="7" t="s">
        <v>599</v>
      </c>
      <c r="B3287" s="8">
        <v>6.0</v>
      </c>
      <c r="C3287" s="7" t="s">
        <v>1229</v>
      </c>
      <c r="D3287" s="7" t="s">
        <v>1230</v>
      </c>
      <c r="E3287" s="5" t="s">
        <v>3341</v>
      </c>
      <c r="F3287" s="5" t="s">
        <v>3126</v>
      </c>
    </row>
    <row r="3288">
      <c r="A3288" s="5" t="s">
        <v>3087</v>
      </c>
      <c r="B3288" s="8">
        <v>6.0</v>
      </c>
      <c r="C3288" s="7" t="s">
        <v>1229</v>
      </c>
      <c r="D3288" s="7" t="s">
        <v>1230</v>
      </c>
      <c r="E3288" s="5" t="s">
        <v>3341</v>
      </c>
      <c r="F3288" s="5" t="s">
        <v>3344</v>
      </c>
    </row>
    <row r="3289">
      <c r="A3289" s="5" t="s">
        <v>3088</v>
      </c>
      <c r="B3289" s="8">
        <v>6.0</v>
      </c>
      <c r="C3289" s="7" t="s">
        <v>1229</v>
      </c>
      <c r="D3289" s="7" t="s">
        <v>1230</v>
      </c>
      <c r="E3289" s="5" t="s">
        <v>3341</v>
      </c>
      <c r="F3289" s="5" t="s">
        <v>3128</v>
      </c>
    </row>
    <row r="3290">
      <c r="A3290" s="5" t="s">
        <v>3089</v>
      </c>
      <c r="B3290" s="8">
        <v>6.0</v>
      </c>
      <c r="C3290" s="7" t="s">
        <v>1229</v>
      </c>
      <c r="D3290" s="7" t="s">
        <v>1230</v>
      </c>
      <c r="E3290" s="5" t="s">
        <v>3341</v>
      </c>
      <c r="F3290" s="5" t="s">
        <v>3128</v>
      </c>
    </row>
    <row r="3291">
      <c r="A3291" s="7" t="s">
        <v>8</v>
      </c>
      <c r="B3291" s="8">
        <v>6.0</v>
      </c>
      <c r="C3291" s="7" t="s">
        <v>1229</v>
      </c>
      <c r="D3291" s="7" t="s">
        <v>1230</v>
      </c>
      <c r="E3291" s="5" t="s">
        <v>3341</v>
      </c>
      <c r="F3291" s="5" t="s">
        <v>238</v>
      </c>
    </row>
    <row r="3292">
      <c r="A3292" s="5" t="s">
        <v>2702</v>
      </c>
      <c r="B3292" s="8">
        <v>6.0</v>
      </c>
      <c r="C3292" s="7" t="s">
        <v>1229</v>
      </c>
      <c r="D3292" s="7" t="s">
        <v>1230</v>
      </c>
      <c r="E3292" s="5" t="s">
        <v>3341</v>
      </c>
      <c r="F3292" s="5" t="s">
        <v>3128</v>
      </c>
    </row>
    <row r="3293">
      <c r="A3293" s="5" t="s">
        <v>3091</v>
      </c>
      <c r="B3293" s="8">
        <v>6.0</v>
      </c>
      <c r="C3293" s="7" t="s">
        <v>1229</v>
      </c>
      <c r="D3293" s="7" t="s">
        <v>1230</v>
      </c>
      <c r="E3293" s="5" t="s">
        <v>3341</v>
      </c>
      <c r="F3293" s="5" t="s">
        <v>3104</v>
      </c>
    </row>
    <row r="3294">
      <c r="A3294" s="5" t="s">
        <v>2922</v>
      </c>
      <c r="B3294" s="8">
        <v>6.0</v>
      </c>
      <c r="C3294" s="7" t="s">
        <v>347</v>
      </c>
      <c r="D3294" s="5" t="s">
        <v>3345</v>
      </c>
      <c r="E3294" s="5" t="s">
        <v>3346</v>
      </c>
      <c r="F3294" s="5" t="s">
        <v>240</v>
      </c>
    </row>
    <row r="3295">
      <c r="A3295" s="7" t="s">
        <v>188</v>
      </c>
      <c r="B3295" s="8">
        <v>6.0</v>
      </c>
      <c r="C3295" s="7" t="s">
        <v>347</v>
      </c>
      <c r="D3295" s="5" t="s">
        <v>3345</v>
      </c>
      <c r="E3295" s="5" t="s">
        <v>3346</v>
      </c>
      <c r="F3295" s="5" t="s">
        <v>2820</v>
      </c>
    </row>
    <row r="3296">
      <c r="A3296" s="5" t="s">
        <v>2592</v>
      </c>
      <c r="B3296" s="8">
        <v>6.0</v>
      </c>
      <c r="C3296" s="7" t="s">
        <v>347</v>
      </c>
      <c r="D3296" s="5" t="s">
        <v>3345</v>
      </c>
      <c r="E3296" s="5" t="s">
        <v>3346</v>
      </c>
      <c r="F3296" s="5" t="s">
        <v>240</v>
      </c>
    </row>
    <row r="3297">
      <c r="A3297" s="5" t="s">
        <v>2796</v>
      </c>
      <c r="B3297" s="8">
        <v>6.0</v>
      </c>
      <c r="C3297" s="7" t="s">
        <v>347</v>
      </c>
      <c r="D3297" s="5" t="s">
        <v>3345</v>
      </c>
      <c r="E3297" s="5" t="s">
        <v>3346</v>
      </c>
      <c r="F3297" s="5" t="s">
        <v>76</v>
      </c>
    </row>
    <row r="3298">
      <c r="A3298" s="5" t="s">
        <v>3085</v>
      </c>
      <c r="B3298" s="8">
        <v>6.0</v>
      </c>
      <c r="C3298" s="7" t="s">
        <v>347</v>
      </c>
      <c r="D3298" s="5" t="s">
        <v>3345</v>
      </c>
      <c r="E3298" s="5" t="s">
        <v>3346</v>
      </c>
      <c r="F3298" s="5" t="s">
        <v>76</v>
      </c>
    </row>
    <row r="3299">
      <c r="A3299" s="5" t="s">
        <v>2594</v>
      </c>
      <c r="B3299" s="8">
        <v>6.0</v>
      </c>
      <c r="C3299" s="7" t="s">
        <v>347</v>
      </c>
      <c r="D3299" s="5" t="s">
        <v>3345</v>
      </c>
      <c r="E3299" s="5" t="s">
        <v>3346</v>
      </c>
      <c r="F3299" s="5" t="s">
        <v>305</v>
      </c>
    </row>
    <row r="3300">
      <c r="A3300" s="5" t="s">
        <v>3086</v>
      </c>
      <c r="B3300" s="8">
        <v>6.0</v>
      </c>
      <c r="C3300" s="7" t="s">
        <v>347</v>
      </c>
      <c r="D3300" s="5" t="s">
        <v>3345</v>
      </c>
      <c r="E3300" s="5" t="s">
        <v>3346</v>
      </c>
      <c r="F3300" s="5" t="s">
        <v>3318</v>
      </c>
    </row>
    <row r="3301">
      <c r="A3301" s="7" t="s">
        <v>868</v>
      </c>
      <c r="B3301" s="8">
        <v>6.0</v>
      </c>
      <c r="C3301" s="7" t="s">
        <v>347</v>
      </c>
      <c r="D3301" s="5" t="s">
        <v>3345</v>
      </c>
      <c r="E3301" s="5" t="s">
        <v>3346</v>
      </c>
      <c r="F3301" s="5" t="s">
        <v>305</v>
      </c>
    </row>
    <row r="3302">
      <c r="A3302" s="5" t="s">
        <v>3087</v>
      </c>
      <c r="B3302" s="8">
        <v>6.0</v>
      </c>
      <c r="C3302" s="7" t="s">
        <v>347</v>
      </c>
      <c r="D3302" s="5" t="s">
        <v>3345</v>
      </c>
      <c r="E3302" s="5" t="s">
        <v>3346</v>
      </c>
      <c r="F3302" s="5" t="s">
        <v>238</v>
      </c>
    </row>
    <row r="3303">
      <c r="A3303" s="5" t="s">
        <v>3088</v>
      </c>
      <c r="B3303" s="8">
        <v>6.0</v>
      </c>
      <c r="C3303" s="7" t="s">
        <v>347</v>
      </c>
      <c r="D3303" s="5" t="s">
        <v>3345</v>
      </c>
      <c r="E3303" s="5" t="s">
        <v>3346</v>
      </c>
      <c r="F3303" s="5" t="s">
        <v>3347</v>
      </c>
    </row>
    <row r="3304">
      <c r="A3304" s="5" t="s">
        <v>2595</v>
      </c>
      <c r="B3304" s="8">
        <v>6.0</v>
      </c>
      <c r="C3304" s="7" t="s">
        <v>347</v>
      </c>
      <c r="D3304" s="5" t="s">
        <v>3345</v>
      </c>
      <c r="E3304" s="5" t="s">
        <v>3346</v>
      </c>
      <c r="F3304" s="5" t="s">
        <v>3279</v>
      </c>
    </row>
    <row r="3305">
      <c r="A3305" s="5" t="s">
        <v>3089</v>
      </c>
      <c r="B3305" s="8">
        <v>6.0</v>
      </c>
      <c r="C3305" s="7" t="s">
        <v>347</v>
      </c>
      <c r="D3305" s="5" t="s">
        <v>3345</v>
      </c>
      <c r="E3305" s="5" t="s">
        <v>3346</v>
      </c>
      <c r="F3305" s="5" t="s">
        <v>365</v>
      </c>
    </row>
    <row r="3306">
      <c r="A3306" s="5" t="s">
        <v>2597</v>
      </c>
      <c r="B3306" s="8">
        <v>6.0</v>
      </c>
      <c r="C3306" s="7" t="s">
        <v>347</v>
      </c>
      <c r="D3306" s="5" t="s">
        <v>3345</v>
      </c>
      <c r="E3306" s="5" t="s">
        <v>3346</v>
      </c>
      <c r="F3306" s="5" t="s">
        <v>238</v>
      </c>
    </row>
    <row r="3307">
      <c r="A3307" s="7" t="s">
        <v>8</v>
      </c>
      <c r="B3307" s="8">
        <v>6.0</v>
      </c>
      <c r="C3307" s="7" t="s">
        <v>347</v>
      </c>
      <c r="D3307" s="5" t="s">
        <v>3345</v>
      </c>
      <c r="E3307" s="5" t="s">
        <v>3346</v>
      </c>
      <c r="F3307" s="7" t="s">
        <v>66</v>
      </c>
    </row>
    <row r="3308">
      <c r="A3308" s="5" t="s">
        <v>2798</v>
      </c>
      <c r="B3308" s="8">
        <v>6.0</v>
      </c>
      <c r="C3308" s="7" t="s">
        <v>347</v>
      </c>
      <c r="D3308" s="5" t="s">
        <v>3345</v>
      </c>
      <c r="E3308" s="5" t="s">
        <v>3346</v>
      </c>
      <c r="F3308" s="5" t="s">
        <v>3037</v>
      </c>
    </row>
    <row r="3309">
      <c r="A3309" s="5" t="s">
        <v>2702</v>
      </c>
      <c r="B3309" s="8">
        <v>6.0</v>
      </c>
      <c r="C3309" s="7" t="s">
        <v>347</v>
      </c>
      <c r="D3309" s="5" t="s">
        <v>3345</v>
      </c>
      <c r="E3309" s="5" t="s">
        <v>3346</v>
      </c>
      <c r="F3309" s="5" t="s">
        <v>271</v>
      </c>
    </row>
    <row r="3310">
      <c r="A3310" s="5" t="s">
        <v>2599</v>
      </c>
      <c r="B3310" s="8">
        <v>6.0</v>
      </c>
      <c r="C3310" s="7" t="s">
        <v>347</v>
      </c>
      <c r="D3310" s="5" t="s">
        <v>3345</v>
      </c>
      <c r="E3310" s="5" t="s">
        <v>3346</v>
      </c>
      <c r="F3310" s="5" t="s">
        <v>238</v>
      </c>
    </row>
    <row r="3311">
      <c r="A3311" s="5" t="s">
        <v>2600</v>
      </c>
      <c r="B3311" s="8">
        <v>6.0</v>
      </c>
      <c r="C3311" s="7" t="s">
        <v>347</v>
      </c>
      <c r="D3311" s="5" t="s">
        <v>3345</v>
      </c>
      <c r="E3311" s="5" t="s">
        <v>3346</v>
      </c>
      <c r="F3311" s="5" t="s">
        <v>271</v>
      </c>
    </row>
    <row r="3312">
      <c r="A3312" s="5" t="s">
        <v>3090</v>
      </c>
      <c r="B3312" s="8">
        <v>6.0</v>
      </c>
      <c r="C3312" s="7" t="s">
        <v>347</v>
      </c>
      <c r="D3312" s="5" t="s">
        <v>3345</v>
      </c>
      <c r="E3312" s="5" t="s">
        <v>3346</v>
      </c>
      <c r="F3312" s="5" t="s">
        <v>271</v>
      </c>
    </row>
    <row r="3313">
      <c r="A3313" s="7" t="s">
        <v>873</v>
      </c>
      <c r="B3313" s="8">
        <v>6.0</v>
      </c>
      <c r="C3313" s="7" t="s">
        <v>347</v>
      </c>
      <c r="D3313" s="5" t="s">
        <v>3345</v>
      </c>
      <c r="E3313" s="5" t="s">
        <v>3346</v>
      </c>
      <c r="F3313" s="5" t="s">
        <v>238</v>
      </c>
    </row>
    <row r="3314">
      <c r="A3314" s="5" t="s">
        <v>2602</v>
      </c>
      <c r="B3314" s="8">
        <v>6.0</v>
      </c>
      <c r="C3314" s="7" t="s">
        <v>347</v>
      </c>
      <c r="D3314" s="5" t="s">
        <v>3345</v>
      </c>
      <c r="E3314" s="5" t="s">
        <v>3346</v>
      </c>
      <c r="F3314" s="5" t="s">
        <v>3348</v>
      </c>
    </row>
    <row r="3315">
      <c r="A3315" s="5" t="s">
        <v>2603</v>
      </c>
      <c r="B3315" s="8">
        <v>6.0</v>
      </c>
      <c r="C3315" s="7" t="s">
        <v>347</v>
      </c>
      <c r="D3315" s="5" t="s">
        <v>3345</v>
      </c>
      <c r="E3315" s="5" t="s">
        <v>3346</v>
      </c>
      <c r="F3315" s="5" t="s">
        <v>2741</v>
      </c>
    </row>
    <row r="3316">
      <c r="A3316" s="7" t="s">
        <v>874</v>
      </c>
      <c r="B3316" s="8">
        <v>6.0</v>
      </c>
      <c r="C3316" s="7" t="s">
        <v>347</v>
      </c>
      <c r="D3316" s="5" t="s">
        <v>3345</v>
      </c>
      <c r="E3316" s="5" t="s">
        <v>3346</v>
      </c>
      <c r="F3316" s="5" t="s">
        <v>1242</v>
      </c>
    </row>
    <row r="3317">
      <c r="A3317" s="5" t="s">
        <v>2604</v>
      </c>
      <c r="B3317" s="8">
        <v>6.0</v>
      </c>
      <c r="C3317" s="7" t="s">
        <v>347</v>
      </c>
      <c r="D3317" s="5" t="s">
        <v>3345</v>
      </c>
      <c r="E3317" s="5" t="s">
        <v>3346</v>
      </c>
      <c r="F3317" s="5" t="s">
        <v>271</v>
      </c>
    </row>
    <row r="3318">
      <c r="A3318" s="5" t="s">
        <v>3091</v>
      </c>
      <c r="B3318" s="8">
        <v>6.0</v>
      </c>
      <c r="C3318" s="7" t="s">
        <v>347</v>
      </c>
      <c r="D3318" s="5" t="s">
        <v>3345</v>
      </c>
      <c r="E3318" s="5" t="s">
        <v>3346</v>
      </c>
      <c r="F3318" s="5" t="s">
        <v>271</v>
      </c>
    </row>
    <row r="3319">
      <c r="A3319" s="5" t="s">
        <v>2605</v>
      </c>
      <c r="B3319" s="8">
        <v>6.0</v>
      </c>
      <c r="C3319" s="7" t="s">
        <v>347</v>
      </c>
      <c r="D3319" s="5" t="s">
        <v>3345</v>
      </c>
      <c r="E3319" s="5" t="s">
        <v>3346</v>
      </c>
      <c r="F3319" s="5" t="s">
        <v>271</v>
      </c>
    </row>
    <row r="3320">
      <c r="A3320" s="5" t="s">
        <v>2933</v>
      </c>
      <c r="B3320" s="8">
        <v>6.0</v>
      </c>
      <c r="C3320" s="7" t="s">
        <v>347</v>
      </c>
      <c r="D3320" s="5" t="s">
        <v>3345</v>
      </c>
      <c r="E3320" s="5" t="s">
        <v>3346</v>
      </c>
      <c r="F3320" s="5" t="s">
        <v>238</v>
      </c>
    </row>
    <row r="3321">
      <c r="A3321" s="5" t="s">
        <v>2606</v>
      </c>
      <c r="B3321" s="8">
        <v>6.0</v>
      </c>
      <c r="C3321" s="7" t="s">
        <v>347</v>
      </c>
      <c r="D3321" s="5" t="s">
        <v>3345</v>
      </c>
      <c r="E3321" s="5" t="s">
        <v>3346</v>
      </c>
      <c r="F3321" s="5" t="s">
        <v>238</v>
      </c>
    </row>
    <row r="3322">
      <c r="A3322" s="5" t="s">
        <v>2934</v>
      </c>
      <c r="B3322" s="8">
        <v>6.0</v>
      </c>
      <c r="C3322" s="7" t="s">
        <v>347</v>
      </c>
      <c r="D3322" s="5" t="s">
        <v>3345</v>
      </c>
      <c r="E3322" s="5" t="s">
        <v>3346</v>
      </c>
      <c r="F3322" s="5" t="s">
        <v>273</v>
      </c>
    </row>
    <row r="3323">
      <c r="A3323" s="5" t="s">
        <v>2607</v>
      </c>
      <c r="B3323" s="8">
        <v>6.0</v>
      </c>
      <c r="C3323" s="7" t="s">
        <v>347</v>
      </c>
      <c r="D3323" s="5" t="s">
        <v>3345</v>
      </c>
      <c r="E3323" s="5" t="s">
        <v>3346</v>
      </c>
      <c r="F3323" s="5" t="s">
        <v>238</v>
      </c>
    </row>
    <row r="3324">
      <c r="A3324" s="7" t="s">
        <v>876</v>
      </c>
      <c r="B3324" s="8">
        <v>6.0</v>
      </c>
      <c r="C3324" s="7" t="s">
        <v>347</v>
      </c>
      <c r="D3324" s="5" t="s">
        <v>3345</v>
      </c>
      <c r="E3324" s="5" t="s">
        <v>3346</v>
      </c>
      <c r="F3324" s="5" t="s">
        <v>3112</v>
      </c>
    </row>
    <row r="3325">
      <c r="A3325" s="5" t="s">
        <v>3092</v>
      </c>
      <c r="B3325" s="8">
        <v>6.0</v>
      </c>
      <c r="C3325" s="7" t="s">
        <v>347</v>
      </c>
      <c r="D3325" s="5" t="s">
        <v>3345</v>
      </c>
      <c r="E3325" s="5" t="s">
        <v>3346</v>
      </c>
      <c r="F3325" s="5" t="s">
        <v>238</v>
      </c>
    </row>
    <row r="3326">
      <c r="A3326" s="5" t="s">
        <v>2614</v>
      </c>
      <c r="B3326" s="8">
        <v>6.0</v>
      </c>
      <c r="C3326" s="7" t="s">
        <v>347</v>
      </c>
      <c r="D3326" s="5" t="s">
        <v>3345</v>
      </c>
      <c r="E3326" s="5" t="s">
        <v>3346</v>
      </c>
      <c r="F3326" s="5" t="s">
        <v>240</v>
      </c>
    </row>
    <row r="3327">
      <c r="A3327" s="5" t="s">
        <v>2608</v>
      </c>
      <c r="B3327" s="8">
        <v>6.0</v>
      </c>
      <c r="C3327" s="7" t="s">
        <v>347</v>
      </c>
      <c r="D3327" s="5" t="s">
        <v>3345</v>
      </c>
      <c r="E3327" s="5" t="s">
        <v>3346</v>
      </c>
      <c r="F3327" s="5" t="s">
        <v>238</v>
      </c>
    </row>
    <row r="3328">
      <c r="A3328" s="5" t="s">
        <v>2609</v>
      </c>
      <c r="B3328" s="8">
        <v>6.0</v>
      </c>
      <c r="C3328" s="7" t="s">
        <v>347</v>
      </c>
      <c r="D3328" s="5" t="s">
        <v>3345</v>
      </c>
      <c r="E3328" s="5" t="s">
        <v>3346</v>
      </c>
      <c r="F3328" s="5" t="s">
        <v>238</v>
      </c>
    </row>
    <row r="3329">
      <c r="A3329" s="5" t="s">
        <v>2922</v>
      </c>
      <c r="B3329" s="8">
        <v>6.0</v>
      </c>
      <c r="C3329" s="7" t="s">
        <v>354</v>
      </c>
      <c r="D3329" s="7" t="s">
        <v>1243</v>
      </c>
      <c r="E3329" s="5" t="s">
        <v>3349</v>
      </c>
      <c r="F3329" s="5" t="s">
        <v>906</v>
      </c>
    </row>
    <row r="3330">
      <c r="A3330" s="7" t="s">
        <v>188</v>
      </c>
      <c r="B3330" s="8">
        <v>6.0</v>
      </c>
      <c r="C3330" s="7" t="s">
        <v>354</v>
      </c>
      <c r="D3330" s="7" t="s">
        <v>1243</v>
      </c>
      <c r="E3330" s="5" t="s">
        <v>3349</v>
      </c>
      <c r="F3330" s="5" t="s">
        <v>3327</v>
      </c>
    </row>
    <row r="3331">
      <c r="A3331" s="5" t="s">
        <v>2592</v>
      </c>
      <c r="B3331" s="8">
        <v>6.0</v>
      </c>
      <c r="C3331" s="7" t="s">
        <v>354</v>
      </c>
      <c r="D3331" s="7" t="s">
        <v>1243</v>
      </c>
      <c r="E3331" s="5" t="s">
        <v>3349</v>
      </c>
      <c r="F3331" s="5" t="s">
        <v>906</v>
      </c>
    </row>
    <row r="3332">
      <c r="A3332" s="5" t="s">
        <v>2796</v>
      </c>
      <c r="B3332" s="8">
        <v>6.0</v>
      </c>
      <c r="C3332" s="7" t="s">
        <v>354</v>
      </c>
      <c r="D3332" s="7" t="s">
        <v>1243</v>
      </c>
      <c r="E3332" s="5" t="s">
        <v>3349</v>
      </c>
      <c r="F3332" s="5" t="s">
        <v>3350</v>
      </c>
    </row>
    <row r="3333">
      <c r="A3333" s="5" t="s">
        <v>3085</v>
      </c>
      <c r="B3333" s="8">
        <v>6.0</v>
      </c>
      <c r="C3333" s="7" t="s">
        <v>354</v>
      </c>
      <c r="D3333" s="7" t="s">
        <v>1243</v>
      </c>
      <c r="E3333" s="5" t="s">
        <v>3349</v>
      </c>
      <c r="F3333" s="5" t="s">
        <v>3350</v>
      </c>
    </row>
    <row r="3334">
      <c r="A3334" s="5" t="s">
        <v>2594</v>
      </c>
      <c r="B3334" s="8">
        <v>6.0</v>
      </c>
      <c r="C3334" s="7" t="s">
        <v>354</v>
      </c>
      <c r="D3334" s="7" t="s">
        <v>1243</v>
      </c>
      <c r="E3334" s="5" t="s">
        <v>3349</v>
      </c>
      <c r="F3334" s="5" t="s">
        <v>1213</v>
      </c>
    </row>
    <row r="3335">
      <c r="A3335" s="5" t="s">
        <v>3086</v>
      </c>
      <c r="B3335" s="8">
        <v>6.0</v>
      </c>
      <c r="C3335" s="7" t="s">
        <v>354</v>
      </c>
      <c r="D3335" s="7" t="s">
        <v>1243</v>
      </c>
      <c r="E3335" s="5" t="s">
        <v>3349</v>
      </c>
      <c r="F3335" s="5" t="s">
        <v>3328</v>
      </c>
    </row>
    <row r="3336">
      <c r="A3336" s="7" t="s">
        <v>868</v>
      </c>
      <c r="B3336" s="8">
        <v>6.0</v>
      </c>
      <c r="C3336" s="7" t="s">
        <v>354</v>
      </c>
      <c r="D3336" s="7" t="s">
        <v>1243</v>
      </c>
      <c r="E3336" s="5" t="s">
        <v>3349</v>
      </c>
      <c r="F3336" s="5" t="s">
        <v>2601</v>
      </c>
    </row>
    <row r="3337">
      <c r="A3337" s="5" t="s">
        <v>3087</v>
      </c>
      <c r="B3337" s="8">
        <v>6.0</v>
      </c>
      <c r="C3337" s="7" t="s">
        <v>354</v>
      </c>
      <c r="D3337" s="7" t="s">
        <v>1243</v>
      </c>
      <c r="E3337" s="5" t="s">
        <v>3349</v>
      </c>
      <c r="F3337" s="5" t="s">
        <v>3351</v>
      </c>
    </row>
    <row r="3338">
      <c r="A3338" s="5" t="s">
        <v>3088</v>
      </c>
      <c r="B3338" s="8">
        <v>6.0</v>
      </c>
      <c r="C3338" s="7" t="s">
        <v>354</v>
      </c>
      <c r="D3338" s="7" t="s">
        <v>1243</v>
      </c>
      <c r="E3338" s="5" t="s">
        <v>3349</v>
      </c>
      <c r="F3338" s="5" t="s">
        <v>3352</v>
      </c>
    </row>
    <row r="3339">
      <c r="A3339" s="5" t="s">
        <v>2595</v>
      </c>
      <c r="B3339" s="8">
        <v>6.0</v>
      </c>
      <c r="C3339" s="7" t="s">
        <v>354</v>
      </c>
      <c r="D3339" s="7" t="s">
        <v>1243</v>
      </c>
      <c r="E3339" s="5" t="s">
        <v>3349</v>
      </c>
      <c r="F3339" s="5" t="s">
        <v>3064</v>
      </c>
    </row>
    <row r="3340">
      <c r="A3340" s="5" t="s">
        <v>3089</v>
      </c>
      <c r="B3340" s="8">
        <v>6.0</v>
      </c>
      <c r="C3340" s="7" t="s">
        <v>354</v>
      </c>
      <c r="D3340" s="7" t="s">
        <v>1243</v>
      </c>
      <c r="E3340" s="5" t="s">
        <v>3349</v>
      </c>
      <c r="F3340" s="5" t="s">
        <v>3353</v>
      </c>
    </row>
    <row r="3341">
      <c r="A3341" s="5" t="s">
        <v>2597</v>
      </c>
      <c r="B3341" s="8">
        <v>6.0</v>
      </c>
      <c r="C3341" s="7" t="s">
        <v>354</v>
      </c>
      <c r="D3341" s="7" t="s">
        <v>1243</v>
      </c>
      <c r="E3341" s="5" t="s">
        <v>3349</v>
      </c>
      <c r="F3341" s="5" t="s">
        <v>3354</v>
      </c>
    </row>
    <row r="3342">
      <c r="A3342" s="7" t="s">
        <v>8</v>
      </c>
      <c r="B3342" s="8">
        <v>6.0</v>
      </c>
      <c r="C3342" s="7" t="s">
        <v>354</v>
      </c>
      <c r="D3342" s="7" t="s">
        <v>1243</v>
      </c>
      <c r="E3342" s="5" t="s">
        <v>3349</v>
      </c>
      <c r="F3342" s="5" t="s">
        <v>1251</v>
      </c>
    </row>
    <row r="3343">
      <c r="A3343" s="5" t="s">
        <v>2798</v>
      </c>
      <c r="B3343" s="8">
        <v>6.0</v>
      </c>
      <c r="C3343" s="7" t="s">
        <v>354</v>
      </c>
      <c r="D3343" s="7" t="s">
        <v>1243</v>
      </c>
      <c r="E3343" s="5" t="s">
        <v>3349</v>
      </c>
      <c r="F3343" s="5" t="s">
        <v>3355</v>
      </c>
    </row>
    <row r="3344">
      <c r="A3344" s="5" t="s">
        <v>2702</v>
      </c>
      <c r="B3344" s="8">
        <v>6.0</v>
      </c>
      <c r="C3344" s="7" t="s">
        <v>354</v>
      </c>
      <c r="D3344" s="7" t="s">
        <v>1243</v>
      </c>
      <c r="E3344" s="5" t="s">
        <v>3349</v>
      </c>
      <c r="F3344" s="5" t="s">
        <v>3229</v>
      </c>
    </row>
    <row r="3345">
      <c r="A3345" s="5" t="s">
        <v>2599</v>
      </c>
      <c r="B3345" s="8">
        <v>6.0</v>
      </c>
      <c r="C3345" s="7" t="s">
        <v>354</v>
      </c>
      <c r="D3345" s="7" t="s">
        <v>1243</v>
      </c>
      <c r="E3345" s="5" t="s">
        <v>3349</v>
      </c>
      <c r="F3345" s="5" t="s">
        <v>780</v>
      </c>
    </row>
    <row r="3346">
      <c r="A3346" s="5" t="s">
        <v>2600</v>
      </c>
      <c r="B3346" s="8">
        <v>6.0</v>
      </c>
      <c r="C3346" s="7" t="s">
        <v>354</v>
      </c>
      <c r="D3346" s="7" t="s">
        <v>1243</v>
      </c>
      <c r="E3346" s="5" t="s">
        <v>3349</v>
      </c>
      <c r="F3346" s="5" t="s">
        <v>3233</v>
      </c>
    </row>
    <row r="3347">
      <c r="A3347" s="5" t="s">
        <v>3090</v>
      </c>
      <c r="B3347" s="8">
        <v>6.0</v>
      </c>
      <c r="C3347" s="7" t="s">
        <v>354</v>
      </c>
      <c r="D3347" s="7" t="s">
        <v>1243</v>
      </c>
      <c r="E3347" s="5" t="s">
        <v>3349</v>
      </c>
      <c r="F3347" s="5" t="s">
        <v>1100</v>
      </c>
    </row>
    <row r="3348">
      <c r="A3348" s="7" t="s">
        <v>873</v>
      </c>
      <c r="B3348" s="8">
        <v>6.0</v>
      </c>
      <c r="C3348" s="7" t="s">
        <v>354</v>
      </c>
      <c r="D3348" s="7" t="s">
        <v>1243</v>
      </c>
      <c r="E3348" s="5" t="s">
        <v>3349</v>
      </c>
      <c r="F3348" s="5" t="s">
        <v>780</v>
      </c>
    </row>
    <row r="3349">
      <c r="A3349" s="5" t="s">
        <v>2602</v>
      </c>
      <c r="B3349" s="8">
        <v>6.0</v>
      </c>
      <c r="C3349" s="7" t="s">
        <v>354</v>
      </c>
      <c r="D3349" s="7" t="s">
        <v>1243</v>
      </c>
      <c r="E3349" s="5" t="s">
        <v>3349</v>
      </c>
      <c r="F3349" s="5" t="s">
        <v>3104</v>
      </c>
    </row>
    <row r="3350">
      <c r="A3350" s="5" t="s">
        <v>2603</v>
      </c>
      <c r="B3350" s="8">
        <v>6.0</v>
      </c>
      <c r="C3350" s="7" t="s">
        <v>354</v>
      </c>
      <c r="D3350" s="7" t="s">
        <v>1243</v>
      </c>
      <c r="E3350" s="5" t="s">
        <v>3349</v>
      </c>
      <c r="F3350" s="5" t="s">
        <v>3356</v>
      </c>
    </row>
    <row r="3351">
      <c r="A3351" s="7" t="s">
        <v>874</v>
      </c>
      <c r="B3351" s="8">
        <v>6.0</v>
      </c>
      <c r="C3351" s="7" t="s">
        <v>354</v>
      </c>
      <c r="D3351" s="7" t="s">
        <v>1243</v>
      </c>
      <c r="E3351" s="5" t="s">
        <v>3349</v>
      </c>
      <c r="F3351" s="5" t="s">
        <v>2398</v>
      </c>
    </row>
    <row r="3352">
      <c r="A3352" s="5" t="s">
        <v>2604</v>
      </c>
      <c r="B3352" s="8">
        <v>6.0</v>
      </c>
      <c r="C3352" s="7" t="s">
        <v>354</v>
      </c>
      <c r="D3352" s="7" t="s">
        <v>1243</v>
      </c>
      <c r="E3352" s="5" t="s">
        <v>3349</v>
      </c>
      <c r="F3352" s="5" t="s">
        <v>780</v>
      </c>
    </row>
    <row r="3353">
      <c r="A3353" s="5" t="s">
        <v>3091</v>
      </c>
      <c r="B3353" s="8">
        <v>6.0</v>
      </c>
      <c r="C3353" s="7" t="s">
        <v>354</v>
      </c>
      <c r="D3353" s="7" t="s">
        <v>1243</v>
      </c>
      <c r="E3353" s="5" t="s">
        <v>3349</v>
      </c>
      <c r="F3353" s="5" t="s">
        <v>780</v>
      </c>
    </row>
    <row r="3354">
      <c r="A3354" s="5" t="s">
        <v>2605</v>
      </c>
      <c r="B3354" s="8">
        <v>6.0</v>
      </c>
      <c r="C3354" s="7" t="s">
        <v>354</v>
      </c>
      <c r="D3354" s="7" t="s">
        <v>1243</v>
      </c>
      <c r="E3354" s="5" t="s">
        <v>3349</v>
      </c>
      <c r="F3354" s="5" t="s">
        <v>3239</v>
      </c>
    </row>
    <row r="3355">
      <c r="A3355" s="5" t="s">
        <v>2933</v>
      </c>
      <c r="B3355" s="8">
        <v>6.0</v>
      </c>
      <c r="C3355" s="7" t="s">
        <v>354</v>
      </c>
      <c r="D3355" s="7" t="s">
        <v>1243</v>
      </c>
      <c r="E3355" s="5" t="s">
        <v>3349</v>
      </c>
      <c r="F3355" s="5" t="s">
        <v>780</v>
      </c>
    </row>
    <row r="3356">
      <c r="A3356" s="5" t="s">
        <v>2606</v>
      </c>
      <c r="B3356" s="8">
        <v>6.0</v>
      </c>
      <c r="C3356" s="7" t="s">
        <v>354</v>
      </c>
      <c r="D3356" s="7" t="s">
        <v>1243</v>
      </c>
      <c r="E3356" s="5" t="s">
        <v>3349</v>
      </c>
      <c r="F3356" s="5" t="s">
        <v>780</v>
      </c>
    </row>
    <row r="3357">
      <c r="A3357" s="5" t="s">
        <v>2934</v>
      </c>
      <c r="B3357" s="8">
        <v>6.0</v>
      </c>
      <c r="C3357" s="7" t="s">
        <v>354</v>
      </c>
      <c r="D3357" s="7" t="s">
        <v>1243</v>
      </c>
      <c r="E3357" s="5" t="s">
        <v>3349</v>
      </c>
      <c r="F3357" s="5" t="s">
        <v>780</v>
      </c>
    </row>
    <row r="3358">
      <c r="A3358" s="5" t="s">
        <v>2607</v>
      </c>
      <c r="B3358" s="8">
        <v>6.0</v>
      </c>
      <c r="C3358" s="7" t="s">
        <v>354</v>
      </c>
      <c r="D3358" s="7" t="s">
        <v>1243</v>
      </c>
      <c r="E3358" s="5" t="s">
        <v>3349</v>
      </c>
      <c r="F3358" s="5" t="s">
        <v>780</v>
      </c>
    </row>
    <row r="3359">
      <c r="A3359" s="7" t="s">
        <v>876</v>
      </c>
      <c r="B3359" s="8">
        <v>6.0</v>
      </c>
      <c r="C3359" s="7" t="s">
        <v>354</v>
      </c>
      <c r="D3359" s="7" t="s">
        <v>1243</v>
      </c>
      <c r="E3359" s="5" t="s">
        <v>3349</v>
      </c>
      <c r="F3359" s="5" t="s">
        <v>3108</v>
      </c>
    </row>
    <row r="3360">
      <c r="A3360" s="5" t="s">
        <v>3092</v>
      </c>
      <c r="B3360" s="8">
        <v>6.0</v>
      </c>
      <c r="C3360" s="7" t="s">
        <v>354</v>
      </c>
      <c r="D3360" s="7" t="s">
        <v>1243</v>
      </c>
      <c r="E3360" s="5" t="s">
        <v>3349</v>
      </c>
      <c r="F3360" s="5" t="s">
        <v>906</v>
      </c>
    </row>
    <row r="3361">
      <c r="A3361" s="5" t="s">
        <v>2614</v>
      </c>
      <c r="B3361" s="8">
        <v>6.0</v>
      </c>
      <c r="C3361" s="7" t="s">
        <v>354</v>
      </c>
      <c r="D3361" s="7" t="s">
        <v>1243</v>
      </c>
      <c r="E3361" s="5" t="s">
        <v>3349</v>
      </c>
      <c r="F3361" s="7" t="s">
        <v>908</v>
      </c>
    </row>
    <row r="3362">
      <c r="A3362" s="5" t="s">
        <v>2608</v>
      </c>
      <c r="B3362" s="8">
        <v>6.0</v>
      </c>
      <c r="C3362" s="7" t="s">
        <v>354</v>
      </c>
      <c r="D3362" s="7" t="s">
        <v>1243</v>
      </c>
      <c r="E3362" s="5" t="s">
        <v>3349</v>
      </c>
      <c r="F3362" s="5" t="s">
        <v>780</v>
      </c>
    </row>
    <row r="3363">
      <c r="A3363" s="5" t="s">
        <v>2609</v>
      </c>
      <c r="B3363" s="8">
        <v>6.0</v>
      </c>
      <c r="C3363" s="7" t="s">
        <v>354</v>
      </c>
      <c r="D3363" s="7" t="s">
        <v>1243</v>
      </c>
      <c r="E3363" s="5" t="s">
        <v>3349</v>
      </c>
      <c r="F3363" s="5" t="s">
        <v>780</v>
      </c>
    </row>
    <row r="3364">
      <c r="A3364" s="5" t="s">
        <v>2922</v>
      </c>
      <c r="B3364" s="8">
        <v>6.0</v>
      </c>
      <c r="C3364" s="7" t="s">
        <v>590</v>
      </c>
      <c r="D3364" s="7" t="s">
        <v>1254</v>
      </c>
      <c r="E3364" s="7" t="s">
        <v>1255</v>
      </c>
      <c r="F3364" s="7" t="s">
        <v>65</v>
      </c>
    </row>
    <row r="3365">
      <c r="A3365" s="7" t="s">
        <v>188</v>
      </c>
      <c r="B3365" s="8">
        <v>6.0</v>
      </c>
      <c r="C3365" s="7" t="s">
        <v>590</v>
      </c>
      <c r="D3365" s="7" t="s">
        <v>1254</v>
      </c>
      <c r="E3365" s="7" t="s">
        <v>1255</v>
      </c>
      <c r="F3365" s="7" t="s">
        <v>444</v>
      </c>
    </row>
    <row r="3366">
      <c r="A3366" s="5" t="s">
        <v>2592</v>
      </c>
      <c r="B3366" s="8">
        <v>6.0</v>
      </c>
      <c r="C3366" s="7" t="s">
        <v>590</v>
      </c>
      <c r="D3366" s="7" t="s">
        <v>1254</v>
      </c>
      <c r="E3366" s="7" t="s">
        <v>1255</v>
      </c>
      <c r="F3366" s="7" t="s">
        <v>65</v>
      </c>
    </row>
    <row r="3367">
      <c r="A3367" s="5" t="s">
        <v>2796</v>
      </c>
      <c r="B3367" s="8">
        <v>6.0</v>
      </c>
      <c r="C3367" s="7" t="s">
        <v>590</v>
      </c>
      <c r="D3367" s="7" t="s">
        <v>1254</v>
      </c>
      <c r="E3367" s="7" t="s">
        <v>1255</v>
      </c>
      <c r="F3367" s="7" t="s">
        <v>65</v>
      </c>
    </row>
    <row r="3368">
      <c r="A3368" s="5" t="s">
        <v>3085</v>
      </c>
      <c r="B3368" s="8">
        <v>6.0</v>
      </c>
      <c r="C3368" s="7" t="s">
        <v>590</v>
      </c>
      <c r="D3368" s="7" t="s">
        <v>1254</v>
      </c>
      <c r="E3368" s="7" t="s">
        <v>1255</v>
      </c>
      <c r="F3368" s="7" t="s">
        <v>444</v>
      </c>
    </row>
    <row r="3369">
      <c r="A3369" s="5" t="s">
        <v>2594</v>
      </c>
      <c r="B3369" s="8">
        <v>6.0</v>
      </c>
      <c r="C3369" s="7" t="s">
        <v>590</v>
      </c>
      <c r="D3369" s="7" t="s">
        <v>1254</v>
      </c>
      <c r="E3369" s="7" t="s">
        <v>1255</v>
      </c>
      <c r="F3369" s="7" t="s">
        <v>444</v>
      </c>
    </row>
    <row r="3370">
      <c r="A3370" s="5" t="s">
        <v>3086</v>
      </c>
      <c r="B3370" s="8">
        <v>6.0</v>
      </c>
      <c r="C3370" s="7" t="s">
        <v>590</v>
      </c>
      <c r="D3370" s="7" t="s">
        <v>1254</v>
      </c>
      <c r="E3370" s="7" t="s">
        <v>1255</v>
      </c>
      <c r="F3370" s="7" t="s">
        <v>444</v>
      </c>
    </row>
    <row r="3371">
      <c r="A3371" s="7" t="s">
        <v>868</v>
      </c>
      <c r="B3371" s="8">
        <v>6.0</v>
      </c>
      <c r="C3371" s="7" t="s">
        <v>590</v>
      </c>
      <c r="D3371" s="7" t="s">
        <v>1254</v>
      </c>
      <c r="E3371" s="7" t="s">
        <v>1255</v>
      </c>
      <c r="F3371" s="7" t="s">
        <v>444</v>
      </c>
    </row>
    <row r="3372">
      <c r="A3372" s="5" t="s">
        <v>3087</v>
      </c>
      <c r="B3372" s="8">
        <v>6.0</v>
      </c>
      <c r="C3372" s="7" t="s">
        <v>590</v>
      </c>
      <c r="D3372" s="7" t="s">
        <v>1254</v>
      </c>
      <c r="E3372" s="7" t="s">
        <v>1255</v>
      </c>
      <c r="F3372" s="7" t="s">
        <v>66</v>
      </c>
    </row>
    <row r="3373">
      <c r="A3373" s="5" t="s">
        <v>3088</v>
      </c>
      <c r="B3373" s="8">
        <v>6.0</v>
      </c>
      <c r="C3373" s="7" t="s">
        <v>590</v>
      </c>
      <c r="D3373" s="7" t="s">
        <v>1254</v>
      </c>
      <c r="E3373" s="7" t="s">
        <v>1255</v>
      </c>
      <c r="F3373" s="7" t="s">
        <v>444</v>
      </c>
    </row>
    <row r="3374">
      <c r="A3374" s="5" t="s">
        <v>2595</v>
      </c>
      <c r="B3374" s="8">
        <v>6.0</v>
      </c>
      <c r="C3374" s="7" t="s">
        <v>590</v>
      </c>
      <c r="D3374" s="7" t="s">
        <v>1254</v>
      </c>
      <c r="E3374" s="7" t="s">
        <v>1255</v>
      </c>
      <c r="F3374" s="7" t="s">
        <v>444</v>
      </c>
    </row>
    <row r="3375">
      <c r="A3375" s="5" t="s">
        <v>3089</v>
      </c>
      <c r="B3375" s="8">
        <v>6.0</v>
      </c>
      <c r="C3375" s="7" t="s">
        <v>590</v>
      </c>
      <c r="D3375" s="7" t="s">
        <v>1254</v>
      </c>
      <c r="E3375" s="7" t="s">
        <v>1255</v>
      </c>
      <c r="F3375" s="7" t="s">
        <v>444</v>
      </c>
    </row>
    <row r="3376">
      <c r="A3376" s="5" t="s">
        <v>2597</v>
      </c>
      <c r="B3376" s="8">
        <v>6.0</v>
      </c>
      <c r="C3376" s="7" t="s">
        <v>590</v>
      </c>
      <c r="D3376" s="7" t="s">
        <v>1254</v>
      </c>
      <c r="E3376" s="7" t="s">
        <v>1255</v>
      </c>
      <c r="F3376" s="7" t="s">
        <v>444</v>
      </c>
    </row>
    <row r="3377">
      <c r="A3377" s="5" t="s">
        <v>2798</v>
      </c>
      <c r="B3377" s="8">
        <v>6.0</v>
      </c>
      <c r="C3377" s="7" t="s">
        <v>590</v>
      </c>
      <c r="D3377" s="7" t="s">
        <v>1254</v>
      </c>
      <c r="E3377" s="7" t="s">
        <v>1255</v>
      </c>
      <c r="F3377" s="7" t="s">
        <v>443</v>
      </c>
    </row>
    <row r="3378">
      <c r="A3378" s="5" t="s">
        <v>2702</v>
      </c>
      <c r="B3378" s="8">
        <v>6.0</v>
      </c>
      <c r="C3378" s="7" t="s">
        <v>590</v>
      </c>
      <c r="D3378" s="7" t="s">
        <v>1254</v>
      </c>
      <c r="E3378" s="7" t="s">
        <v>1255</v>
      </c>
      <c r="F3378" s="7" t="s">
        <v>444</v>
      </c>
    </row>
    <row r="3379">
      <c r="A3379" s="5" t="s">
        <v>2599</v>
      </c>
      <c r="B3379" s="8">
        <v>6.0</v>
      </c>
      <c r="C3379" s="7" t="s">
        <v>590</v>
      </c>
      <c r="D3379" s="7" t="s">
        <v>1254</v>
      </c>
      <c r="E3379" s="7" t="s">
        <v>1255</v>
      </c>
      <c r="F3379" s="7" t="s">
        <v>443</v>
      </c>
    </row>
    <row r="3380">
      <c r="A3380" s="5" t="s">
        <v>2600</v>
      </c>
      <c r="B3380" s="8">
        <v>6.0</v>
      </c>
      <c r="C3380" s="7" t="s">
        <v>590</v>
      </c>
      <c r="D3380" s="7" t="s">
        <v>1254</v>
      </c>
      <c r="E3380" s="7" t="s">
        <v>1255</v>
      </c>
      <c r="F3380" s="7" t="s">
        <v>444</v>
      </c>
    </row>
    <row r="3381">
      <c r="A3381" s="5" t="s">
        <v>3090</v>
      </c>
      <c r="B3381" s="8">
        <v>6.0</v>
      </c>
      <c r="C3381" s="7" t="s">
        <v>590</v>
      </c>
      <c r="D3381" s="7" t="s">
        <v>1254</v>
      </c>
      <c r="E3381" s="7" t="s">
        <v>1255</v>
      </c>
      <c r="F3381" s="7" t="s">
        <v>1256</v>
      </c>
    </row>
    <row r="3382">
      <c r="A3382" s="7" t="s">
        <v>873</v>
      </c>
      <c r="B3382" s="8">
        <v>6.0</v>
      </c>
      <c r="C3382" s="7" t="s">
        <v>590</v>
      </c>
      <c r="D3382" s="7" t="s">
        <v>1254</v>
      </c>
      <c r="E3382" s="7" t="s">
        <v>1255</v>
      </c>
      <c r="F3382" s="7" t="s">
        <v>444</v>
      </c>
    </row>
    <row r="3383">
      <c r="A3383" s="5" t="s">
        <v>2602</v>
      </c>
      <c r="B3383" s="8">
        <v>6.0</v>
      </c>
      <c r="C3383" s="7" t="s">
        <v>590</v>
      </c>
      <c r="D3383" s="7" t="s">
        <v>1254</v>
      </c>
      <c r="E3383" s="7" t="s">
        <v>1255</v>
      </c>
      <c r="F3383" s="7" t="s">
        <v>444</v>
      </c>
    </row>
    <row r="3384">
      <c r="A3384" s="5" t="s">
        <v>2603</v>
      </c>
      <c r="B3384" s="8">
        <v>6.0</v>
      </c>
      <c r="C3384" s="7" t="s">
        <v>590</v>
      </c>
      <c r="D3384" s="7" t="s">
        <v>1254</v>
      </c>
      <c r="E3384" s="7" t="s">
        <v>1255</v>
      </c>
      <c r="F3384" s="5" t="s">
        <v>3357</v>
      </c>
    </row>
    <row r="3385">
      <c r="A3385" s="7" t="s">
        <v>874</v>
      </c>
      <c r="B3385" s="8">
        <v>6.0</v>
      </c>
      <c r="C3385" s="7" t="s">
        <v>590</v>
      </c>
      <c r="D3385" s="7" t="s">
        <v>1254</v>
      </c>
      <c r="E3385" s="7" t="s">
        <v>1255</v>
      </c>
      <c r="F3385" s="7" t="s">
        <v>444</v>
      </c>
    </row>
    <row r="3386">
      <c r="A3386" s="5" t="s">
        <v>2604</v>
      </c>
      <c r="B3386" s="8">
        <v>6.0</v>
      </c>
      <c r="C3386" s="7" t="s">
        <v>590</v>
      </c>
      <c r="D3386" s="7" t="s">
        <v>1254</v>
      </c>
      <c r="E3386" s="7" t="s">
        <v>1255</v>
      </c>
      <c r="F3386" s="7" t="s">
        <v>444</v>
      </c>
    </row>
    <row r="3387">
      <c r="A3387" s="5" t="s">
        <v>3091</v>
      </c>
      <c r="B3387" s="8">
        <v>6.0</v>
      </c>
      <c r="C3387" s="7" t="s">
        <v>590</v>
      </c>
      <c r="D3387" s="7" t="s">
        <v>1254</v>
      </c>
      <c r="E3387" s="7" t="s">
        <v>1255</v>
      </c>
      <c r="F3387" s="7" t="s">
        <v>965</v>
      </c>
    </row>
    <row r="3388">
      <c r="A3388" s="5" t="s">
        <v>2605</v>
      </c>
      <c r="B3388" s="8">
        <v>6.0</v>
      </c>
      <c r="C3388" s="7" t="s">
        <v>590</v>
      </c>
      <c r="D3388" s="7" t="s">
        <v>1254</v>
      </c>
      <c r="E3388" s="7" t="s">
        <v>1255</v>
      </c>
      <c r="F3388" s="7" t="s">
        <v>444</v>
      </c>
    </row>
    <row r="3389">
      <c r="A3389" s="5" t="s">
        <v>2933</v>
      </c>
      <c r="B3389" s="8">
        <v>6.0</v>
      </c>
      <c r="C3389" s="7" t="s">
        <v>590</v>
      </c>
      <c r="D3389" s="7" t="s">
        <v>1254</v>
      </c>
      <c r="E3389" s="7" t="s">
        <v>1255</v>
      </c>
      <c r="F3389" s="7" t="s">
        <v>444</v>
      </c>
    </row>
    <row r="3390">
      <c r="A3390" s="5" t="s">
        <v>2606</v>
      </c>
      <c r="B3390" s="8">
        <v>6.0</v>
      </c>
      <c r="C3390" s="7" t="s">
        <v>590</v>
      </c>
      <c r="D3390" s="7" t="s">
        <v>1254</v>
      </c>
      <c r="E3390" s="7" t="s">
        <v>1255</v>
      </c>
      <c r="F3390" s="7" t="s">
        <v>444</v>
      </c>
    </row>
    <row r="3391">
      <c r="A3391" s="5" t="s">
        <v>2934</v>
      </c>
      <c r="B3391" s="8">
        <v>6.0</v>
      </c>
      <c r="C3391" s="7" t="s">
        <v>590</v>
      </c>
      <c r="D3391" s="7" t="s">
        <v>1254</v>
      </c>
      <c r="E3391" s="7" t="s">
        <v>1255</v>
      </c>
      <c r="F3391" s="7" t="s">
        <v>444</v>
      </c>
    </row>
    <row r="3392">
      <c r="A3392" s="5" t="s">
        <v>2607</v>
      </c>
      <c r="B3392" s="8">
        <v>6.0</v>
      </c>
      <c r="C3392" s="7" t="s">
        <v>590</v>
      </c>
      <c r="D3392" s="7" t="s">
        <v>1254</v>
      </c>
      <c r="E3392" s="7" t="s">
        <v>1255</v>
      </c>
      <c r="F3392" s="7" t="s">
        <v>444</v>
      </c>
    </row>
    <row r="3393">
      <c r="A3393" s="7" t="s">
        <v>876</v>
      </c>
      <c r="B3393" s="8">
        <v>6.0</v>
      </c>
      <c r="C3393" s="7" t="s">
        <v>590</v>
      </c>
      <c r="D3393" s="7" t="s">
        <v>1254</v>
      </c>
      <c r="E3393" s="7" t="s">
        <v>1255</v>
      </c>
      <c r="F3393" s="7" t="s">
        <v>444</v>
      </c>
    </row>
    <row r="3394">
      <c r="A3394" s="5" t="s">
        <v>3092</v>
      </c>
      <c r="B3394" s="8">
        <v>6.0</v>
      </c>
      <c r="C3394" s="7" t="s">
        <v>590</v>
      </c>
      <c r="D3394" s="7" t="s">
        <v>1254</v>
      </c>
      <c r="E3394" s="7" t="s">
        <v>1255</v>
      </c>
      <c r="F3394" s="7" t="s">
        <v>444</v>
      </c>
    </row>
    <row r="3395">
      <c r="A3395" s="5" t="s">
        <v>2614</v>
      </c>
      <c r="B3395" s="8">
        <v>6.0</v>
      </c>
      <c r="C3395" s="7" t="s">
        <v>590</v>
      </c>
      <c r="D3395" s="7" t="s">
        <v>1254</v>
      </c>
      <c r="E3395" s="7" t="s">
        <v>1255</v>
      </c>
      <c r="F3395" s="7" t="s">
        <v>444</v>
      </c>
    </row>
    <row r="3396">
      <c r="A3396" s="5" t="s">
        <v>2608</v>
      </c>
      <c r="B3396" s="8">
        <v>6.0</v>
      </c>
      <c r="C3396" s="7" t="s">
        <v>590</v>
      </c>
      <c r="D3396" s="7" t="s">
        <v>1254</v>
      </c>
      <c r="E3396" s="7" t="s">
        <v>1255</v>
      </c>
      <c r="F3396" s="7" t="s">
        <v>444</v>
      </c>
    </row>
    <row r="3397">
      <c r="A3397" s="5" t="s">
        <v>2609</v>
      </c>
      <c r="B3397" s="8">
        <v>6.0</v>
      </c>
      <c r="C3397" s="7" t="s">
        <v>590</v>
      </c>
      <c r="D3397" s="7" t="s">
        <v>1254</v>
      </c>
      <c r="E3397" s="7" t="s">
        <v>1255</v>
      </c>
      <c r="F3397" s="7" t="s">
        <v>444</v>
      </c>
    </row>
    <row r="3398">
      <c r="A3398" s="5" t="s">
        <v>2922</v>
      </c>
      <c r="B3398" s="8">
        <v>6.0</v>
      </c>
      <c r="C3398" s="7" t="s">
        <v>1258</v>
      </c>
      <c r="D3398" s="7" t="s">
        <v>1259</v>
      </c>
      <c r="E3398" s="7" t="s">
        <v>1260</v>
      </c>
      <c r="F3398" s="5" t="s">
        <v>3358</v>
      </c>
    </row>
    <row r="3399">
      <c r="A3399" s="7" t="s">
        <v>188</v>
      </c>
      <c r="B3399" s="8">
        <v>6.0</v>
      </c>
      <c r="C3399" s="7" t="s">
        <v>1258</v>
      </c>
      <c r="D3399" s="7" t="s">
        <v>1259</v>
      </c>
      <c r="E3399" s="7" t="s">
        <v>1260</v>
      </c>
      <c r="F3399" s="5" t="s">
        <v>3359</v>
      </c>
    </row>
    <row r="3400">
      <c r="A3400" s="5" t="s">
        <v>2592</v>
      </c>
      <c r="B3400" s="8">
        <v>6.0</v>
      </c>
      <c r="C3400" s="7" t="s">
        <v>1258</v>
      </c>
      <c r="D3400" s="7" t="s">
        <v>1259</v>
      </c>
      <c r="E3400" s="7" t="s">
        <v>1260</v>
      </c>
      <c r="F3400" s="5" t="s">
        <v>3360</v>
      </c>
    </row>
    <row r="3401">
      <c r="A3401" s="5" t="s">
        <v>2796</v>
      </c>
      <c r="B3401" s="8">
        <v>6.0</v>
      </c>
      <c r="C3401" s="7" t="s">
        <v>1258</v>
      </c>
      <c r="D3401" s="7" t="s">
        <v>1259</v>
      </c>
      <c r="E3401" s="7" t="s">
        <v>1260</v>
      </c>
      <c r="F3401" s="5" t="s">
        <v>3359</v>
      </c>
    </row>
    <row r="3402">
      <c r="A3402" s="5" t="s">
        <v>3085</v>
      </c>
      <c r="B3402" s="8">
        <v>6.0</v>
      </c>
      <c r="C3402" s="7" t="s">
        <v>1258</v>
      </c>
      <c r="D3402" s="7" t="s">
        <v>1259</v>
      </c>
      <c r="E3402" s="7" t="s">
        <v>1260</v>
      </c>
      <c r="F3402" s="5" t="s">
        <v>3361</v>
      </c>
    </row>
    <row r="3403">
      <c r="A3403" s="5" t="s">
        <v>2594</v>
      </c>
      <c r="B3403" s="8">
        <v>6.0</v>
      </c>
      <c r="C3403" s="7" t="s">
        <v>1258</v>
      </c>
      <c r="D3403" s="7" t="s">
        <v>1259</v>
      </c>
      <c r="E3403" s="7" t="s">
        <v>1260</v>
      </c>
      <c r="F3403" s="5" t="s">
        <v>3359</v>
      </c>
    </row>
    <row r="3404">
      <c r="A3404" s="5" t="s">
        <v>3086</v>
      </c>
      <c r="B3404" s="8">
        <v>6.0</v>
      </c>
      <c r="C3404" s="7" t="s">
        <v>1258</v>
      </c>
      <c r="D3404" s="7" t="s">
        <v>1259</v>
      </c>
      <c r="E3404" s="7" t="s">
        <v>1260</v>
      </c>
      <c r="F3404" s="5" t="s">
        <v>3362</v>
      </c>
    </row>
    <row r="3405">
      <c r="A3405" s="7" t="s">
        <v>868</v>
      </c>
      <c r="B3405" s="8">
        <v>6.0</v>
      </c>
      <c r="C3405" s="7" t="s">
        <v>1258</v>
      </c>
      <c r="D3405" s="7" t="s">
        <v>1259</v>
      </c>
      <c r="E3405" s="7" t="s">
        <v>1260</v>
      </c>
      <c r="F3405" s="5" t="s">
        <v>3359</v>
      </c>
    </row>
    <row r="3406">
      <c r="A3406" s="7" t="s">
        <v>599</v>
      </c>
      <c r="B3406" s="8">
        <v>6.0</v>
      </c>
      <c r="C3406" s="7" t="s">
        <v>1258</v>
      </c>
      <c r="D3406" s="7" t="s">
        <v>1259</v>
      </c>
      <c r="E3406" s="7" t="s">
        <v>1260</v>
      </c>
      <c r="F3406" s="5" t="s">
        <v>3358</v>
      </c>
    </row>
    <row r="3407">
      <c r="A3407" s="5" t="s">
        <v>3087</v>
      </c>
      <c r="B3407" s="8">
        <v>6.0</v>
      </c>
      <c r="C3407" s="7" t="s">
        <v>1258</v>
      </c>
      <c r="D3407" s="7" t="s">
        <v>1259</v>
      </c>
      <c r="E3407" s="7" t="s">
        <v>1260</v>
      </c>
      <c r="F3407" s="5" t="s">
        <v>3360</v>
      </c>
    </row>
    <row r="3408">
      <c r="A3408" s="5" t="s">
        <v>3088</v>
      </c>
      <c r="B3408" s="8">
        <v>6.0</v>
      </c>
      <c r="C3408" s="7" t="s">
        <v>1258</v>
      </c>
      <c r="D3408" s="7" t="s">
        <v>1259</v>
      </c>
      <c r="E3408" s="7" t="s">
        <v>1260</v>
      </c>
      <c r="F3408" s="5" t="s">
        <v>3362</v>
      </c>
    </row>
    <row r="3409">
      <c r="A3409" s="5" t="s">
        <v>2595</v>
      </c>
      <c r="B3409" s="8">
        <v>6.0</v>
      </c>
      <c r="C3409" s="7" t="s">
        <v>1258</v>
      </c>
      <c r="D3409" s="7" t="s">
        <v>1259</v>
      </c>
      <c r="E3409" s="7" t="s">
        <v>1260</v>
      </c>
      <c r="F3409" s="5" t="s">
        <v>3359</v>
      </c>
    </row>
    <row r="3410">
      <c r="A3410" s="5" t="s">
        <v>3089</v>
      </c>
      <c r="B3410" s="8">
        <v>6.0</v>
      </c>
      <c r="C3410" s="7" t="s">
        <v>1258</v>
      </c>
      <c r="D3410" s="7" t="s">
        <v>1259</v>
      </c>
      <c r="E3410" s="7" t="s">
        <v>1260</v>
      </c>
      <c r="F3410" s="5" t="s">
        <v>3359</v>
      </c>
    </row>
    <row r="3411">
      <c r="A3411" s="5" t="s">
        <v>2597</v>
      </c>
      <c r="B3411" s="8">
        <v>6.0</v>
      </c>
      <c r="C3411" s="7" t="s">
        <v>1258</v>
      </c>
      <c r="D3411" s="7" t="s">
        <v>1259</v>
      </c>
      <c r="E3411" s="7" t="s">
        <v>1260</v>
      </c>
      <c r="F3411" s="5" t="s">
        <v>3361</v>
      </c>
    </row>
    <row r="3412">
      <c r="A3412" s="7" t="s">
        <v>8</v>
      </c>
      <c r="B3412" s="8">
        <v>6.0</v>
      </c>
      <c r="C3412" s="7" t="s">
        <v>1258</v>
      </c>
      <c r="D3412" s="7" t="s">
        <v>1259</v>
      </c>
      <c r="E3412" s="7" t="s">
        <v>1260</v>
      </c>
      <c r="F3412" s="5" t="s">
        <v>3360</v>
      </c>
    </row>
    <row r="3413">
      <c r="A3413" s="5" t="s">
        <v>2798</v>
      </c>
      <c r="B3413" s="8">
        <v>6.0</v>
      </c>
      <c r="C3413" s="7" t="s">
        <v>1258</v>
      </c>
      <c r="D3413" s="7" t="s">
        <v>1259</v>
      </c>
      <c r="E3413" s="7" t="s">
        <v>1260</v>
      </c>
      <c r="F3413" s="5" t="s">
        <v>3359</v>
      </c>
    </row>
    <row r="3414">
      <c r="A3414" s="5" t="s">
        <v>2702</v>
      </c>
      <c r="B3414" s="8">
        <v>6.0</v>
      </c>
      <c r="C3414" s="7" t="s">
        <v>1258</v>
      </c>
      <c r="D3414" s="7" t="s">
        <v>1259</v>
      </c>
      <c r="E3414" s="7" t="s">
        <v>1260</v>
      </c>
      <c r="F3414" s="5" t="s">
        <v>3360</v>
      </c>
    </row>
    <row r="3415">
      <c r="A3415" s="5" t="s">
        <v>2599</v>
      </c>
      <c r="B3415" s="8">
        <v>6.0</v>
      </c>
      <c r="C3415" s="7" t="s">
        <v>1258</v>
      </c>
      <c r="D3415" s="7" t="s">
        <v>1259</v>
      </c>
      <c r="E3415" s="7" t="s">
        <v>1260</v>
      </c>
      <c r="F3415" s="5" t="s">
        <v>3360</v>
      </c>
    </row>
    <row r="3416">
      <c r="A3416" s="5" t="s">
        <v>2600</v>
      </c>
      <c r="B3416" s="8">
        <v>6.0</v>
      </c>
      <c r="C3416" s="7" t="s">
        <v>1258</v>
      </c>
      <c r="D3416" s="7" t="s">
        <v>1259</v>
      </c>
      <c r="E3416" s="7" t="s">
        <v>1260</v>
      </c>
      <c r="F3416" s="5" t="s">
        <v>3359</v>
      </c>
    </row>
    <row r="3417">
      <c r="A3417" s="5" t="s">
        <v>3090</v>
      </c>
      <c r="B3417" s="8">
        <v>6.0</v>
      </c>
      <c r="C3417" s="7" t="s">
        <v>1258</v>
      </c>
      <c r="D3417" s="7" t="s">
        <v>1259</v>
      </c>
      <c r="E3417" s="7" t="s">
        <v>1260</v>
      </c>
      <c r="F3417" s="5" t="s">
        <v>3360</v>
      </c>
    </row>
    <row r="3418">
      <c r="A3418" s="7" t="s">
        <v>873</v>
      </c>
      <c r="B3418" s="8">
        <v>6.0</v>
      </c>
      <c r="C3418" s="7" t="s">
        <v>1258</v>
      </c>
      <c r="D3418" s="7" t="s">
        <v>1259</v>
      </c>
      <c r="E3418" s="7" t="s">
        <v>1260</v>
      </c>
      <c r="F3418" s="5" t="s">
        <v>3358</v>
      </c>
    </row>
    <row r="3419">
      <c r="A3419" s="5" t="s">
        <v>2602</v>
      </c>
      <c r="B3419" s="8">
        <v>6.0</v>
      </c>
      <c r="C3419" s="7" t="s">
        <v>1258</v>
      </c>
      <c r="D3419" s="7" t="s">
        <v>1259</v>
      </c>
      <c r="E3419" s="7" t="s">
        <v>1260</v>
      </c>
      <c r="F3419" s="5" t="s">
        <v>3360</v>
      </c>
    </row>
    <row r="3420">
      <c r="A3420" s="5" t="s">
        <v>2603</v>
      </c>
      <c r="B3420" s="8">
        <v>6.0</v>
      </c>
      <c r="C3420" s="7" t="s">
        <v>1258</v>
      </c>
      <c r="D3420" s="7" t="s">
        <v>1259</v>
      </c>
      <c r="E3420" s="7" t="s">
        <v>1260</v>
      </c>
      <c r="F3420" s="5" t="s">
        <v>3360</v>
      </c>
    </row>
    <row r="3421">
      <c r="A3421" s="7" t="s">
        <v>874</v>
      </c>
      <c r="B3421" s="8">
        <v>6.0</v>
      </c>
      <c r="C3421" s="7" t="s">
        <v>1258</v>
      </c>
      <c r="D3421" s="7" t="s">
        <v>1259</v>
      </c>
      <c r="E3421" s="7" t="s">
        <v>1260</v>
      </c>
      <c r="F3421" s="5" t="s">
        <v>3359</v>
      </c>
    </row>
    <row r="3422">
      <c r="A3422" s="5" t="s">
        <v>2604</v>
      </c>
      <c r="B3422" s="8">
        <v>6.0</v>
      </c>
      <c r="C3422" s="7" t="s">
        <v>1258</v>
      </c>
      <c r="D3422" s="7" t="s">
        <v>1259</v>
      </c>
      <c r="E3422" s="7" t="s">
        <v>1260</v>
      </c>
      <c r="F3422" s="5" t="s">
        <v>3359</v>
      </c>
    </row>
    <row r="3423">
      <c r="A3423" s="5" t="s">
        <v>3091</v>
      </c>
      <c r="B3423" s="8">
        <v>6.0</v>
      </c>
      <c r="C3423" s="7" t="s">
        <v>1258</v>
      </c>
      <c r="D3423" s="7" t="s">
        <v>1259</v>
      </c>
      <c r="E3423" s="7" t="s">
        <v>1260</v>
      </c>
      <c r="F3423" s="5" t="s">
        <v>3362</v>
      </c>
    </row>
    <row r="3424">
      <c r="A3424" s="5" t="s">
        <v>2605</v>
      </c>
      <c r="B3424" s="8">
        <v>6.0</v>
      </c>
      <c r="C3424" s="7" t="s">
        <v>1258</v>
      </c>
      <c r="D3424" s="7" t="s">
        <v>1259</v>
      </c>
      <c r="E3424" s="7" t="s">
        <v>1260</v>
      </c>
      <c r="F3424" s="5" t="s">
        <v>3359</v>
      </c>
    </row>
    <row r="3425">
      <c r="A3425" s="5" t="s">
        <v>2933</v>
      </c>
      <c r="B3425" s="8">
        <v>6.0</v>
      </c>
      <c r="C3425" s="7" t="s">
        <v>1258</v>
      </c>
      <c r="D3425" s="7" t="s">
        <v>1259</v>
      </c>
      <c r="E3425" s="7" t="s">
        <v>1260</v>
      </c>
      <c r="F3425" s="5" t="s">
        <v>3359</v>
      </c>
    </row>
    <row r="3426">
      <c r="A3426" s="5" t="s">
        <v>2606</v>
      </c>
      <c r="B3426" s="8">
        <v>6.0</v>
      </c>
      <c r="C3426" s="7" t="s">
        <v>1258</v>
      </c>
      <c r="D3426" s="7" t="s">
        <v>1259</v>
      </c>
      <c r="E3426" s="7" t="s">
        <v>1260</v>
      </c>
      <c r="F3426" s="5" t="s">
        <v>3360</v>
      </c>
    </row>
    <row r="3427">
      <c r="A3427" s="5" t="s">
        <v>2934</v>
      </c>
      <c r="B3427" s="8">
        <v>6.0</v>
      </c>
      <c r="C3427" s="7" t="s">
        <v>1258</v>
      </c>
      <c r="D3427" s="7" t="s">
        <v>1259</v>
      </c>
      <c r="E3427" s="7" t="s">
        <v>1260</v>
      </c>
      <c r="F3427" s="5" t="s">
        <v>3358</v>
      </c>
    </row>
    <row r="3428">
      <c r="A3428" s="5" t="s">
        <v>2607</v>
      </c>
      <c r="B3428" s="8">
        <v>6.0</v>
      </c>
      <c r="C3428" s="7" t="s">
        <v>1258</v>
      </c>
      <c r="D3428" s="7" t="s">
        <v>1259</v>
      </c>
      <c r="E3428" s="7" t="s">
        <v>1260</v>
      </c>
      <c r="F3428" s="5" t="s">
        <v>3361</v>
      </c>
    </row>
    <row r="3429">
      <c r="A3429" s="7" t="s">
        <v>876</v>
      </c>
      <c r="B3429" s="8">
        <v>6.0</v>
      </c>
      <c r="C3429" s="7" t="s">
        <v>1258</v>
      </c>
      <c r="D3429" s="7" t="s">
        <v>1259</v>
      </c>
      <c r="E3429" s="7" t="s">
        <v>1260</v>
      </c>
      <c r="F3429" s="5" t="s">
        <v>3359</v>
      </c>
    </row>
    <row r="3430">
      <c r="A3430" s="5" t="s">
        <v>3092</v>
      </c>
      <c r="B3430" s="8">
        <v>6.0</v>
      </c>
      <c r="C3430" s="7" t="s">
        <v>1258</v>
      </c>
      <c r="D3430" s="7" t="s">
        <v>1259</v>
      </c>
      <c r="E3430" s="7" t="s">
        <v>1260</v>
      </c>
      <c r="F3430" s="5" t="s">
        <v>3358</v>
      </c>
    </row>
    <row r="3431">
      <c r="A3431" s="5" t="s">
        <v>2614</v>
      </c>
      <c r="B3431" s="8">
        <v>6.0</v>
      </c>
      <c r="C3431" s="7" t="s">
        <v>1258</v>
      </c>
      <c r="D3431" s="7" t="s">
        <v>1259</v>
      </c>
      <c r="E3431" s="7" t="s">
        <v>1260</v>
      </c>
      <c r="F3431" s="5" t="s">
        <v>3361</v>
      </c>
    </row>
    <row r="3432">
      <c r="A3432" s="5" t="s">
        <v>2608</v>
      </c>
      <c r="B3432" s="8">
        <v>6.0</v>
      </c>
      <c r="C3432" s="7" t="s">
        <v>1258</v>
      </c>
      <c r="D3432" s="7" t="s">
        <v>1259</v>
      </c>
      <c r="E3432" s="7" t="s">
        <v>1260</v>
      </c>
      <c r="F3432" s="5" t="s">
        <v>3360</v>
      </c>
    </row>
    <row r="3433">
      <c r="A3433" s="5" t="s">
        <v>2609</v>
      </c>
      <c r="B3433" s="8">
        <v>6.0</v>
      </c>
      <c r="C3433" s="7" t="s">
        <v>1258</v>
      </c>
      <c r="D3433" s="7" t="s">
        <v>1259</v>
      </c>
      <c r="E3433" s="7" t="s">
        <v>1260</v>
      </c>
      <c r="F3433" s="5" t="s">
        <v>3360</v>
      </c>
    </row>
    <row r="3434">
      <c r="A3434" s="5" t="s">
        <v>2922</v>
      </c>
      <c r="B3434" s="8">
        <v>6.0</v>
      </c>
      <c r="C3434" s="7" t="s">
        <v>1266</v>
      </c>
      <c r="D3434" s="5" t="s">
        <v>3363</v>
      </c>
      <c r="E3434" s="5" t="s">
        <v>3364</v>
      </c>
      <c r="F3434" s="5" t="s">
        <v>3365</v>
      </c>
    </row>
    <row r="3435">
      <c r="A3435" s="7" t="s">
        <v>188</v>
      </c>
      <c r="B3435" s="8">
        <v>6.0</v>
      </c>
      <c r="C3435" s="7" t="s">
        <v>1266</v>
      </c>
      <c r="D3435" s="5" t="s">
        <v>3363</v>
      </c>
      <c r="E3435" s="5" t="s">
        <v>3364</v>
      </c>
      <c r="F3435" s="5" t="s">
        <v>3366</v>
      </c>
    </row>
    <row r="3436">
      <c r="A3436" s="5" t="s">
        <v>2592</v>
      </c>
      <c r="B3436" s="8">
        <v>6.0</v>
      </c>
      <c r="C3436" s="7" t="s">
        <v>1266</v>
      </c>
      <c r="D3436" s="5" t="s">
        <v>3363</v>
      </c>
      <c r="E3436" s="5" t="s">
        <v>3364</v>
      </c>
      <c r="F3436" s="5" t="s">
        <v>3367</v>
      </c>
    </row>
    <row r="3437">
      <c r="A3437" s="5" t="s">
        <v>2796</v>
      </c>
      <c r="B3437" s="8">
        <v>6.0</v>
      </c>
      <c r="C3437" s="7" t="s">
        <v>1266</v>
      </c>
      <c r="D3437" s="5" t="s">
        <v>3363</v>
      </c>
      <c r="E3437" s="5" t="s">
        <v>3364</v>
      </c>
      <c r="F3437" s="5" t="s">
        <v>3368</v>
      </c>
    </row>
    <row r="3438">
      <c r="A3438" s="5" t="s">
        <v>3085</v>
      </c>
      <c r="B3438" s="8">
        <v>6.0</v>
      </c>
      <c r="C3438" s="7" t="s">
        <v>1266</v>
      </c>
      <c r="D3438" s="5" t="s">
        <v>3363</v>
      </c>
      <c r="E3438" s="5" t="s">
        <v>3364</v>
      </c>
      <c r="F3438" s="5" t="s">
        <v>3369</v>
      </c>
    </row>
    <row r="3439">
      <c r="A3439" s="5" t="s">
        <v>2594</v>
      </c>
      <c r="B3439" s="8">
        <v>6.0</v>
      </c>
      <c r="C3439" s="7" t="s">
        <v>1266</v>
      </c>
      <c r="D3439" s="5" t="s">
        <v>3363</v>
      </c>
      <c r="E3439" s="5" t="s">
        <v>3364</v>
      </c>
      <c r="F3439" s="5" t="s">
        <v>3368</v>
      </c>
    </row>
    <row r="3440">
      <c r="A3440" s="5" t="s">
        <v>3086</v>
      </c>
      <c r="B3440" s="8">
        <v>6.0</v>
      </c>
      <c r="C3440" s="7" t="s">
        <v>1266</v>
      </c>
      <c r="D3440" s="5" t="s">
        <v>3363</v>
      </c>
      <c r="E3440" s="5" t="s">
        <v>3364</v>
      </c>
      <c r="F3440" s="5" t="s">
        <v>3370</v>
      </c>
    </row>
    <row r="3441">
      <c r="A3441" s="7" t="s">
        <v>868</v>
      </c>
      <c r="B3441" s="8">
        <v>6.0</v>
      </c>
      <c r="C3441" s="7" t="s">
        <v>1266</v>
      </c>
      <c r="D3441" s="5" t="s">
        <v>3363</v>
      </c>
      <c r="E3441" s="5" t="s">
        <v>3364</v>
      </c>
      <c r="F3441" s="5" t="s">
        <v>3368</v>
      </c>
    </row>
    <row r="3442">
      <c r="A3442" s="7" t="s">
        <v>599</v>
      </c>
      <c r="B3442" s="8">
        <v>6.0</v>
      </c>
      <c r="C3442" s="7" t="s">
        <v>1266</v>
      </c>
      <c r="D3442" s="5" t="s">
        <v>3363</v>
      </c>
      <c r="E3442" s="5" t="s">
        <v>3364</v>
      </c>
      <c r="F3442" s="5" t="s">
        <v>3104</v>
      </c>
    </row>
    <row r="3443">
      <c r="A3443" s="5" t="s">
        <v>3087</v>
      </c>
      <c r="B3443" s="8">
        <v>6.0</v>
      </c>
      <c r="C3443" s="7" t="s">
        <v>1266</v>
      </c>
      <c r="D3443" s="5" t="s">
        <v>3363</v>
      </c>
      <c r="E3443" s="5" t="s">
        <v>3364</v>
      </c>
      <c r="F3443" s="5" t="s">
        <v>3371</v>
      </c>
    </row>
    <row r="3444">
      <c r="A3444" s="5" t="s">
        <v>3088</v>
      </c>
      <c r="B3444" s="8">
        <v>6.0</v>
      </c>
      <c r="C3444" s="7" t="s">
        <v>1266</v>
      </c>
      <c r="D3444" s="5" t="s">
        <v>3363</v>
      </c>
      <c r="E3444" s="5" t="s">
        <v>3364</v>
      </c>
      <c r="F3444" s="5" t="s">
        <v>3372</v>
      </c>
    </row>
    <row r="3445">
      <c r="A3445" s="5" t="s">
        <v>2595</v>
      </c>
      <c r="B3445" s="8">
        <v>6.0</v>
      </c>
      <c r="C3445" s="7" t="s">
        <v>1266</v>
      </c>
      <c r="D3445" s="5" t="s">
        <v>3363</v>
      </c>
      <c r="E3445" s="5" t="s">
        <v>3364</v>
      </c>
      <c r="F3445" s="5" t="s">
        <v>3368</v>
      </c>
    </row>
    <row r="3446">
      <c r="A3446" s="5" t="s">
        <v>3089</v>
      </c>
      <c r="B3446" s="8">
        <v>6.0</v>
      </c>
      <c r="C3446" s="7" t="s">
        <v>1266</v>
      </c>
      <c r="D3446" s="5" t="s">
        <v>3363</v>
      </c>
      <c r="E3446" s="5" t="s">
        <v>3364</v>
      </c>
      <c r="F3446" s="5" t="s">
        <v>3373</v>
      </c>
    </row>
    <row r="3447">
      <c r="A3447" s="5" t="s">
        <v>2597</v>
      </c>
      <c r="B3447" s="8">
        <v>6.0</v>
      </c>
      <c r="C3447" s="7" t="s">
        <v>1266</v>
      </c>
      <c r="D3447" s="5" t="s">
        <v>3363</v>
      </c>
      <c r="E3447" s="5" t="s">
        <v>3364</v>
      </c>
      <c r="F3447" s="5" t="s">
        <v>3374</v>
      </c>
    </row>
    <row r="3448">
      <c r="A3448" s="7" t="s">
        <v>8</v>
      </c>
      <c r="B3448" s="8">
        <v>6.0</v>
      </c>
      <c r="C3448" s="7" t="s">
        <v>1266</v>
      </c>
      <c r="D3448" s="5" t="s">
        <v>3363</v>
      </c>
      <c r="E3448" s="5" t="s">
        <v>3364</v>
      </c>
      <c r="F3448" s="5" t="s">
        <v>3375</v>
      </c>
    </row>
    <row r="3449">
      <c r="A3449" s="5" t="s">
        <v>2798</v>
      </c>
      <c r="B3449" s="8">
        <v>6.0</v>
      </c>
      <c r="C3449" s="7" t="s">
        <v>1266</v>
      </c>
      <c r="D3449" s="5" t="s">
        <v>3363</v>
      </c>
      <c r="E3449" s="5" t="s">
        <v>3364</v>
      </c>
      <c r="F3449" s="5" t="s">
        <v>3368</v>
      </c>
    </row>
    <row r="3450">
      <c r="A3450" s="5" t="s">
        <v>2702</v>
      </c>
      <c r="B3450" s="8">
        <v>6.0</v>
      </c>
      <c r="C3450" s="7" t="s">
        <v>1266</v>
      </c>
      <c r="D3450" s="5" t="s">
        <v>3363</v>
      </c>
      <c r="E3450" s="5" t="s">
        <v>3364</v>
      </c>
      <c r="F3450" s="5" t="s">
        <v>3376</v>
      </c>
    </row>
    <row r="3451">
      <c r="A3451" s="5" t="s">
        <v>2599</v>
      </c>
      <c r="B3451" s="8">
        <v>6.0</v>
      </c>
      <c r="C3451" s="7" t="s">
        <v>1266</v>
      </c>
      <c r="D3451" s="5" t="s">
        <v>3363</v>
      </c>
      <c r="E3451" s="5" t="s">
        <v>3364</v>
      </c>
      <c r="F3451" s="5" t="s">
        <v>3375</v>
      </c>
    </row>
    <row r="3452">
      <c r="A3452" s="5" t="s">
        <v>2600</v>
      </c>
      <c r="B3452" s="8">
        <v>6.0</v>
      </c>
      <c r="C3452" s="7" t="s">
        <v>1266</v>
      </c>
      <c r="D3452" s="5" t="s">
        <v>3363</v>
      </c>
      <c r="E3452" s="5" t="s">
        <v>3364</v>
      </c>
      <c r="F3452" s="5" t="s">
        <v>3368</v>
      </c>
    </row>
    <row r="3453">
      <c r="A3453" s="5" t="s">
        <v>3090</v>
      </c>
      <c r="B3453" s="8">
        <v>6.0</v>
      </c>
      <c r="C3453" s="7" t="s">
        <v>1266</v>
      </c>
      <c r="D3453" s="5" t="s">
        <v>3363</v>
      </c>
      <c r="E3453" s="5" t="s">
        <v>3364</v>
      </c>
      <c r="F3453" s="5" t="s">
        <v>3377</v>
      </c>
    </row>
    <row r="3454">
      <c r="A3454" s="7" t="s">
        <v>873</v>
      </c>
      <c r="B3454" s="8">
        <v>6.0</v>
      </c>
      <c r="C3454" s="7" t="s">
        <v>1266</v>
      </c>
      <c r="D3454" s="5" t="s">
        <v>3363</v>
      </c>
      <c r="E3454" s="5" t="s">
        <v>3364</v>
      </c>
      <c r="F3454" s="5" t="s">
        <v>3378</v>
      </c>
    </row>
    <row r="3455">
      <c r="A3455" s="5" t="s">
        <v>2602</v>
      </c>
      <c r="B3455" s="8">
        <v>6.0</v>
      </c>
      <c r="C3455" s="7" t="s">
        <v>1266</v>
      </c>
      <c r="D3455" s="5" t="s">
        <v>3363</v>
      </c>
      <c r="E3455" s="5" t="s">
        <v>3364</v>
      </c>
      <c r="F3455" s="5" t="s">
        <v>3379</v>
      </c>
    </row>
    <row r="3456">
      <c r="A3456" s="5" t="s">
        <v>2603</v>
      </c>
      <c r="B3456" s="8">
        <v>6.0</v>
      </c>
      <c r="C3456" s="7" t="s">
        <v>1266</v>
      </c>
      <c r="D3456" s="5" t="s">
        <v>3363</v>
      </c>
      <c r="E3456" s="5" t="s">
        <v>3364</v>
      </c>
      <c r="F3456" s="5" t="s">
        <v>3375</v>
      </c>
    </row>
    <row r="3457">
      <c r="A3457" s="7" t="s">
        <v>874</v>
      </c>
      <c r="B3457" s="8">
        <v>6.0</v>
      </c>
      <c r="C3457" s="7" t="s">
        <v>1266</v>
      </c>
      <c r="D3457" s="5" t="s">
        <v>3363</v>
      </c>
      <c r="E3457" s="5" t="s">
        <v>3364</v>
      </c>
      <c r="F3457" s="5" t="s">
        <v>3368</v>
      </c>
    </row>
    <row r="3458">
      <c r="A3458" s="5" t="s">
        <v>2604</v>
      </c>
      <c r="B3458" s="8">
        <v>6.0</v>
      </c>
      <c r="C3458" s="7" t="s">
        <v>1266</v>
      </c>
      <c r="D3458" s="5" t="s">
        <v>3363</v>
      </c>
      <c r="E3458" s="5" t="s">
        <v>3364</v>
      </c>
      <c r="F3458" s="5" t="s">
        <v>3368</v>
      </c>
    </row>
    <row r="3459">
      <c r="A3459" s="5" t="s">
        <v>3091</v>
      </c>
      <c r="B3459" s="8">
        <v>6.0</v>
      </c>
      <c r="C3459" s="7" t="s">
        <v>1266</v>
      </c>
      <c r="D3459" s="5" t="s">
        <v>3363</v>
      </c>
      <c r="E3459" s="5" t="s">
        <v>3364</v>
      </c>
      <c r="F3459" s="5" t="s">
        <v>3380</v>
      </c>
    </row>
    <row r="3460">
      <c r="A3460" s="5" t="s">
        <v>2605</v>
      </c>
      <c r="B3460" s="8">
        <v>6.0</v>
      </c>
      <c r="C3460" s="7" t="s">
        <v>1266</v>
      </c>
      <c r="D3460" s="5" t="s">
        <v>3363</v>
      </c>
      <c r="E3460" s="5" t="s">
        <v>3364</v>
      </c>
      <c r="F3460" s="5" t="s">
        <v>3368</v>
      </c>
    </row>
    <row r="3461">
      <c r="A3461" s="5" t="s">
        <v>2933</v>
      </c>
      <c r="B3461" s="8">
        <v>6.0</v>
      </c>
      <c r="C3461" s="7" t="s">
        <v>1266</v>
      </c>
      <c r="D3461" s="5" t="s">
        <v>3363</v>
      </c>
      <c r="E3461" s="5" t="s">
        <v>3364</v>
      </c>
      <c r="F3461" s="5" t="s">
        <v>3368</v>
      </c>
    </row>
    <row r="3462">
      <c r="A3462" s="5" t="s">
        <v>2606</v>
      </c>
      <c r="B3462" s="8">
        <v>6.0</v>
      </c>
      <c r="C3462" s="7" t="s">
        <v>1266</v>
      </c>
      <c r="D3462" s="5" t="s">
        <v>3363</v>
      </c>
      <c r="E3462" s="5" t="s">
        <v>3364</v>
      </c>
      <c r="F3462" s="5" t="s">
        <v>3381</v>
      </c>
    </row>
    <row r="3463">
      <c r="A3463" s="5" t="s">
        <v>2934</v>
      </c>
      <c r="B3463" s="8">
        <v>6.0</v>
      </c>
      <c r="C3463" s="7" t="s">
        <v>1266</v>
      </c>
      <c r="D3463" s="5" t="s">
        <v>3363</v>
      </c>
      <c r="E3463" s="5" t="s">
        <v>3364</v>
      </c>
      <c r="F3463" s="5" t="s">
        <v>3382</v>
      </c>
    </row>
    <row r="3464">
      <c r="A3464" s="5" t="s">
        <v>2607</v>
      </c>
      <c r="B3464" s="8">
        <v>6.0</v>
      </c>
      <c r="C3464" s="7" t="s">
        <v>1266</v>
      </c>
      <c r="D3464" s="5" t="s">
        <v>3363</v>
      </c>
      <c r="E3464" s="5" t="s">
        <v>3364</v>
      </c>
      <c r="F3464" s="5" t="s">
        <v>3383</v>
      </c>
    </row>
    <row r="3465">
      <c r="A3465" s="7" t="s">
        <v>876</v>
      </c>
      <c r="B3465" s="8">
        <v>6.0</v>
      </c>
      <c r="C3465" s="7" t="s">
        <v>1266</v>
      </c>
      <c r="D3465" s="5" t="s">
        <v>3363</v>
      </c>
      <c r="E3465" s="5" t="s">
        <v>3364</v>
      </c>
      <c r="F3465" s="5" t="s">
        <v>3368</v>
      </c>
    </row>
    <row r="3466">
      <c r="A3466" s="5" t="s">
        <v>3092</v>
      </c>
      <c r="B3466" s="8">
        <v>6.0</v>
      </c>
      <c r="C3466" s="7" t="s">
        <v>1266</v>
      </c>
      <c r="D3466" s="5" t="s">
        <v>3363</v>
      </c>
      <c r="E3466" s="5" t="s">
        <v>3364</v>
      </c>
      <c r="F3466" s="5" t="s">
        <v>3378</v>
      </c>
    </row>
    <row r="3467">
      <c r="A3467" s="5" t="s">
        <v>2614</v>
      </c>
      <c r="B3467" s="8">
        <v>6.0</v>
      </c>
      <c r="C3467" s="7" t="s">
        <v>1266</v>
      </c>
      <c r="D3467" s="5" t="s">
        <v>3363</v>
      </c>
      <c r="E3467" s="5" t="s">
        <v>3364</v>
      </c>
      <c r="F3467" s="5" t="s">
        <v>3374</v>
      </c>
    </row>
    <row r="3468">
      <c r="A3468" s="5" t="s">
        <v>2608</v>
      </c>
      <c r="B3468" s="8">
        <v>6.0</v>
      </c>
      <c r="C3468" s="7" t="s">
        <v>1266</v>
      </c>
      <c r="D3468" s="5" t="s">
        <v>3363</v>
      </c>
      <c r="E3468" s="5" t="s">
        <v>3364</v>
      </c>
      <c r="F3468" s="5" t="s">
        <v>3384</v>
      </c>
    </row>
    <row r="3469">
      <c r="A3469" s="5" t="s">
        <v>2609</v>
      </c>
      <c r="B3469" s="8">
        <v>6.0</v>
      </c>
      <c r="C3469" s="7" t="s">
        <v>1266</v>
      </c>
      <c r="D3469" s="5" t="s">
        <v>3363</v>
      </c>
      <c r="E3469" s="5" t="s">
        <v>3364</v>
      </c>
      <c r="F3469" s="5" t="s">
        <v>3384</v>
      </c>
    </row>
    <row r="3470">
      <c r="A3470" s="7" t="s">
        <v>188</v>
      </c>
      <c r="B3470" s="8" t="s">
        <v>3385</v>
      </c>
      <c r="C3470" s="4" t="s">
        <v>193</v>
      </c>
      <c r="D3470" s="7" t="s">
        <v>880</v>
      </c>
      <c r="E3470" s="5" t="s">
        <v>3386</v>
      </c>
      <c r="F3470" s="7" t="s">
        <v>3387</v>
      </c>
    </row>
    <row r="3471">
      <c r="A3471" s="5" t="s">
        <v>2592</v>
      </c>
      <c r="B3471" s="8">
        <v>7.0</v>
      </c>
      <c r="C3471" s="4" t="s">
        <v>193</v>
      </c>
      <c r="D3471" s="7" t="s">
        <v>880</v>
      </c>
      <c r="E3471" s="5" t="s">
        <v>3386</v>
      </c>
      <c r="F3471" s="7" t="s">
        <v>1290</v>
      </c>
    </row>
    <row r="3472">
      <c r="A3472" s="5" t="s">
        <v>2796</v>
      </c>
      <c r="B3472" s="8">
        <v>7.0</v>
      </c>
      <c r="C3472" s="4" t="s">
        <v>193</v>
      </c>
      <c r="D3472" s="7" t="s">
        <v>880</v>
      </c>
      <c r="E3472" s="5" t="s">
        <v>3386</v>
      </c>
      <c r="F3472" s="7" t="s">
        <v>1292</v>
      </c>
    </row>
    <row r="3473">
      <c r="A3473" s="5" t="s">
        <v>2594</v>
      </c>
      <c r="B3473" s="8">
        <v>7.0</v>
      </c>
      <c r="C3473" s="4" t="s">
        <v>193</v>
      </c>
      <c r="D3473" s="7" t="s">
        <v>880</v>
      </c>
      <c r="E3473" s="5" t="s">
        <v>3386</v>
      </c>
      <c r="F3473" s="7" t="s">
        <v>3387</v>
      </c>
    </row>
    <row r="3474">
      <c r="A3474" s="5" t="s">
        <v>3086</v>
      </c>
      <c r="B3474" s="8">
        <v>7.0</v>
      </c>
      <c r="C3474" s="4" t="s">
        <v>193</v>
      </c>
      <c r="D3474" s="7" t="s">
        <v>880</v>
      </c>
      <c r="E3474" s="5" t="s">
        <v>3386</v>
      </c>
      <c r="F3474" s="7" t="s">
        <v>1291</v>
      </c>
    </row>
    <row r="3475">
      <c r="A3475" s="7" t="s">
        <v>868</v>
      </c>
      <c r="B3475" s="8">
        <v>7.0</v>
      </c>
      <c r="C3475" s="4" t="s">
        <v>193</v>
      </c>
      <c r="D3475" s="7" t="s">
        <v>880</v>
      </c>
      <c r="E3475" s="5" t="s">
        <v>3386</v>
      </c>
      <c r="F3475" s="7" t="s">
        <v>3387</v>
      </c>
    </row>
    <row r="3476">
      <c r="A3476" s="5" t="s">
        <v>3087</v>
      </c>
      <c r="B3476" s="8">
        <v>7.0</v>
      </c>
      <c r="C3476" s="4" t="s">
        <v>193</v>
      </c>
      <c r="D3476" s="7" t="s">
        <v>880</v>
      </c>
      <c r="E3476" s="5" t="s">
        <v>3386</v>
      </c>
      <c r="F3476" s="7" t="s">
        <v>1291</v>
      </c>
    </row>
    <row r="3477">
      <c r="A3477" s="5" t="s">
        <v>3088</v>
      </c>
      <c r="B3477" s="8">
        <v>7.0</v>
      </c>
      <c r="C3477" s="4" t="s">
        <v>193</v>
      </c>
      <c r="D3477" s="7" t="s">
        <v>880</v>
      </c>
      <c r="E3477" s="5" t="s">
        <v>3386</v>
      </c>
      <c r="F3477" s="7" t="s">
        <v>3387</v>
      </c>
    </row>
    <row r="3478">
      <c r="A3478" s="5" t="s">
        <v>3388</v>
      </c>
      <c r="B3478" s="8">
        <v>7.0</v>
      </c>
      <c r="C3478" s="4" t="s">
        <v>193</v>
      </c>
      <c r="D3478" s="7" t="s">
        <v>880</v>
      </c>
      <c r="E3478" s="5" t="s">
        <v>3386</v>
      </c>
      <c r="F3478" s="7" t="s">
        <v>2312</v>
      </c>
    </row>
    <row r="3479">
      <c r="A3479" s="5" t="s">
        <v>2595</v>
      </c>
      <c r="B3479" s="8">
        <v>7.0</v>
      </c>
      <c r="C3479" s="4" t="s">
        <v>193</v>
      </c>
      <c r="D3479" s="7" t="s">
        <v>880</v>
      </c>
      <c r="E3479" s="5" t="s">
        <v>3386</v>
      </c>
      <c r="F3479" s="7" t="s">
        <v>3387</v>
      </c>
    </row>
    <row r="3480">
      <c r="A3480" s="5" t="s">
        <v>3089</v>
      </c>
      <c r="B3480" s="8">
        <v>7.0</v>
      </c>
      <c r="C3480" s="4" t="s">
        <v>193</v>
      </c>
      <c r="D3480" s="7" t="s">
        <v>880</v>
      </c>
      <c r="E3480" s="5" t="s">
        <v>3386</v>
      </c>
      <c r="F3480" s="7" t="s">
        <v>1292</v>
      </c>
    </row>
    <row r="3481">
      <c r="A3481" s="5" t="s">
        <v>2597</v>
      </c>
      <c r="B3481" s="8">
        <v>7.0</v>
      </c>
      <c r="C3481" s="4" t="s">
        <v>193</v>
      </c>
      <c r="D3481" s="7" t="s">
        <v>880</v>
      </c>
      <c r="E3481" s="5" t="s">
        <v>3386</v>
      </c>
      <c r="F3481" s="7" t="s">
        <v>1291</v>
      </c>
    </row>
    <row r="3482">
      <c r="A3482" s="7" t="s">
        <v>8</v>
      </c>
      <c r="B3482" s="8">
        <v>7.0</v>
      </c>
      <c r="C3482" s="4" t="s">
        <v>193</v>
      </c>
      <c r="D3482" s="7" t="s">
        <v>880</v>
      </c>
      <c r="E3482" s="5" t="s">
        <v>3386</v>
      </c>
      <c r="F3482" s="7" t="s">
        <v>2312</v>
      </c>
    </row>
    <row r="3483">
      <c r="A3483" s="5" t="s">
        <v>2798</v>
      </c>
      <c r="B3483" s="8">
        <v>7.0</v>
      </c>
      <c r="C3483" s="4" t="s">
        <v>193</v>
      </c>
      <c r="D3483" s="7" t="s">
        <v>880</v>
      </c>
      <c r="E3483" s="5" t="s">
        <v>3386</v>
      </c>
      <c r="F3483" s="7" t="s">
        <v>2312</v>
      </c>
    </row>
    <row r="3484">
      <c r="A3484" s="5" t="s">
        <v>2702</v>
      </c>
      <c r="B3484" s="8">
        <v>7.0</v>
      </c>
      <c r="C3484" s="4" t="s">
        <v>193</v>
      </c>
      <c r="D3484" s="7" t="s">
        <v>880</v>
      </c>
      <c r="E3484" s="5" t="s">
        <v>3386</v>
      </c>
      <c r="F3484" s="7" t="s">
        <v>1291</v>
      </c>
    </row>
    <row r="3485">
      <c r="A3485" s="5" t="s">
        <v>2599</v>
      </c>
      <c r="B3485" s="8">
        <v>7.0</v>
      </c>
      <c r="C3485" s="4" t="s">
        <v>193</v>
      </c>
      <c r="D3485" s="7" t="s">
        <v>880</v>
      </c>
      <c r="E3485" s="5" t="s">
        <v>3386</v>
      </c>
      <c r="F3485" s="7" t="s">
        <v>1290</v>
      </c>
    </row>
    <row r="3486">
      <c r="A3486" s="5" t="s">
        <v>2600</v>
      </c>
      <c r="B3486" s="8">
        <v>7.0</v>
      </c>
      <c r="C3486" s="4" t="s">
        <v>193</v>
      </c>
      <c r="D3486" s="7" t="s">
        <v>880</v>
      </c>
      <c r="E3486" s="5" t="s">
        <v>3386</v>
      </c>
      <c r="F3486" s="7" t="s">
        <v>3387</v>
      </c>
    </row>
    <row r="3487">
      <c r="A3487" s="5" t="s">
        <v>3090</v>
      </c>
      <c r="B3487" s="8">
        <v>7.0</v>
      </c>
      <c r="C3487" s="4" t="s">
        <v>193</v>
      </c>
      <c r="D3487" s="7" t="s">
        <v>880</v>
      </c>
      <c r="E3487" s="5" t="s">
        <v>3386</v>
      </c>
      <c r="F3487" s="7" t="s">
        <v>1290</v>
      </c>
    </row>
    <row r="3488">
      <c r="A3488" s="7" t="s">
        <v>873</v>
      </c>
      <c r="B3488" s="8">
        <v>7.0</v>
      </c>
      <c r="C3488" s="4" t="s">
        <v>193</v>
      </c>
      <c r="D3488" s="7" t="s">
        <v>880</v>
      </c>
      <c r="E3488" s="5" t="s">
        <v>3386</v>
      </c>
      <c r="F3488" s="7" t="s">
        <v>3387</v>
      </c>
    </row>
    <row r="3489">
      <c r="A3489" s="5" t="s">
        <v>2602</v>
      </c>
      <c r="B3489" s="8">
        <v>7.0</v>
      </c>
      <c r="C3489" s="4" t="s">
        <v>193</v>
      </c>
      <c r="D3489" s="7" t="s">
        <v>880</v>
      </c>
      <c r="E3489" s="5" t="s">
        <v>3386</v>
      </c>
      <c r="F3489" s="7" t="s">
        <v>1290</v>
      </c>
    </row>
    <row r="3490">
      <c r="A3490" s="5" t="s">
        <v>2603</v>
      </c>
      <c r="B3490" s="8">
        <v>7.0</v>
      </c>
      <c r="C3490" s="4" t="s">
        <v>193</v>
      </c>
      <c r="D3490" s="7" t="s">
        <v>880</v>
      </c>
      <c r="E3490" s="5" t="s">
        <v>3386</v>
      </c>
      <c r="F3490" s="7" t="s">
        <v>1290</v>
      </c>
    </row>
    <row r="3491">
      <c r="A3491" s="7" t="s">
        <v>874</v>
      </c>
      <c r="B3491" s="8">
        <v>7.0</v>
      </c>
      <c r="C3491" s="4" t="s">
        <v>193</v>
      </c>
      <c r="D3491" s="7" t="s">
        <v>880</v>
      </c>
      <c r="E3491" s="5" t="s">
        <v>3386</v>
      </c>
      <c r="F3491" s="7" t="s">
        <v>3387</v>
      </c>
    </row>
    <row r="3492">
      <c r="A3492" s="5" t="s">
        <v>2604</v>
      </c>
      <c r="B3492" s="8">
        <v>7.0</v>
      </c>
      <c r="C3492" s="4" t="s">
        <v>193</v>
      </c>
      <c r="D3492" s="7" t="s">
        <v>880</v>
      </c>
      <c r="E3492" s="5" t="s">
        <v>3386</v>
      </c>
      <c r="F3492" s="7" t="s">
        <v>1292</v>
      </c>
    </row>
    <row r="3493">
      <c r="A3493" s="5" t="s">
        <v>3091</v>
      </c>
      <c r="B3493" s="8">
        <v>7.0</v>
      </c>
      <c r="C3493" s="4" t="s">
        <v>193</v>
      </c>
      <c r="D3493" s="7" t="s">
        <v>880</v>
      </c>
      <c r="E3493" s="5" t="s">
        <v>3386</v>
      </c>
      <c r="F3493" s="7" t="s">
        <v>3387</v>
      </c>
    </row>
    <row r="3494">
      <c r="A3494" s="5" t="s">
        <v>2605</v>
      </c>
      <c r="B3494" s="8">
        <v>7.0</v>
      </c>
      <c r="C3494" s="4" t="s">
        <v>193</v>
      </c>
      <c r="D3494" s="7" t="s">
        <v>880</v>
      </c>
      <c r="E3494" s="5" t="s">
        <v>3386</v>
      </c>
      <c r="F3494" s="7" t="s">
        <v>2312</v>
      </c>
    </row>
    <row r="3495">
      <c r="A3495" s="5" t="s">
        <v>2933</v>
      </c>
      <c r="B3495" s="8">
        <v>7.0</v>
      </c>
      <c r="C3495" s="4" t="s">
        <v>193</v>
      </c>
      <c r="D3495" s="7" t="s">
        <v>880</v>
      </c>
      <c r="E3495" s="5" t="s">
        <v>3386</v>
      </c>
      <c r="F3495" s="7" t="s">
        <v>2317</v>
      </c>
    </row>
    <row r="3496">
      <c r="A3496" s="5" t="s">
        <v>2606</v>
      </c>
      <c r="B3496" s="8">
        <v>7.0</v>
      </c>
      <c r="C3496" s="4" t="s">
        <v>193</v>
      </c>
      <c r="D3496" s="7" t="s">
        <v>880</v>
      </c>
      <c r="E3496" s="5" t="s">
        <v>3386</v>
      </c>
      <c r="F3496" s="7" t="s">
        <v>1290</v>
      </c>
    </row>
    <row r="3497">
      <c r="A3497" s="5" t="s">
        <v>2934</v>
      </c>
      <c r="B3497" s="8">
        <v>7.0</v>
      </c>
      <c r="C3497" s="4" t="s">
        <v>193</v>
      </c>
      <c r="D3497" s="7" t="s">
        <v>880</v>
      </c>
      <c r="E3497" s="5" t="s">
        <v>3386</v>
      </c>
      <c r="F3497" s="7" t="s">
        <v>1292</v>
      </c>
    </row>
    <row r="3498">
      <c r="A3498" s="5" t="s">
        <v>2607</v>
      </c>
      <c r="B3498" s="8">
        <v>7.0</v>
      </c>
      <c r="C3498" s="4" t="s">
        <v>193</v>
      </c>
      <c r="D3498" s="7" t="s">
        <v>880</v>
      </c>
      <c r="E3498" s="5" t="s">
        <v>3386</v>
      </c>
      <c r="F3498" s="7" t="s">
        <v>1292</v>
      </c>
    </row>
    <row r="3499">
      <c r="A3499" s="7" t="s">
        <v>876</v>
      </c>
      <c r="B3499" s="8">
        <v>7.0</v>
      </c>
      <c r="C3499" s="4" t="s">
        <v>193</v>
      </c>
      <c r="D3499" s="7" t="s">
        <v>880</v>
      </c>
      <c r="E3499" s="5" t="s">
        <v>3386</v>
      </c>
      <c r="F3499" s="7" t="s">
        <v>1291</v>
      </c>
    </row>
    <row r="3500">
      <c r="A3500" s="5" t="s">
        <v>3092</v>
      </c>
      <c r="B3500" s="8">
        <v>7.0</v>
      </c>
      <c r="C3500" s="4" t="s">
        <v>193</v>
      </c>
      <c r="D3500" s="7" t="s">
        <v>880</v>
      </c>
      <c r="E3500" s="5" t="s">
        <v>3386</v>
      </c>
      <c r="F3500" s="7" t="s">
        <v>1290</v>
      </c>
    </row>
    <row r="3501">
      <c r="A3501" s="5" t="s">
        <v>2614</v>
      </c>
      <c r="B3501" s="8">
        <v>7.0</v>
      </c>
      <c r="C3501" s="4" t="s">
        <v>193</v>
      </c>
      <c r="D3501" s="7" t="s">
        <v>880</v>
      </c>
      <c r="E3501" s="5" t="s">
        <v>3386</v>
      </c>
      <c r="F3501" s="7" t="s">
        <v>3387</v>
      </c>
    </row>
    <row r="3502">
      <c r="A3502" s="5" t="s">
        <v>2608</v>
      </c>
      <c r="B3502" s="8">
        <v>7.0</v>
      </c>
      <c r="C3502" s="4" t="s">
        <v>193</v>
      </c>
      <c r="D3502" s="7" t="s">
        <v>880</v>
      </c>
      <c r="E3502" s="5" t="s">
        <v>3386</v>
      </c>
      <c r="F3502" s="7" t="s">
        <v>3387</v>
      </c>
    </row>
    <row r="3503">
      <c r="A3503" s="5" t="s">
        <v>2609</v>
      </c>
      <c r="B3503" s="8">
        <v>7.0</v>
      </c>
      <c r="C3503" s="4" t="s">
        <v>193</v>
      </c>
      <c r="D3503" s="7" t="s">
        <v>880</v>
      </c>
      <c r="E3503" s="5" t="s">
        <v>3386</v>
      </c>
      <c r="F3503" s="7" t="s">
        <v>1291</v>
      </c>
    </row>
    <row r="3504">
      <c r="A3504" s="7" t="s">
        <v>188</v>
      </c>
      <c r="B3504" s="8">
        <v>7.0</v>
      </c>
      <c r="C3504" s="4" t="s">
        <v>227</v>
      </c>
      <c r="D3504" s="7" t="s">
        <v>1295</v>
      </c>
      <c r="E3504" s="5" t="s">
        <v>3389</v>
      </c>
      <c r="F3504" s="7" t="s">
        <v>3387</v>
      </c>
    </row>
    <row r="3505">
      <c r="A3505" s="5" t="s">
        <v>2592</v>
      </c>
      <c r="B3505" s="8">
        <v>7.0</v>
      </c>
      <c r="C3505" s="4" t="s">
        <v>227</v>
      </c>
      <c r="D3505" s="7" t="s">
        <v>1295</v>
      </c>
      <c r="E3505" s="5" t="s">
        <v>3389</v>
      </c>
      <c r="F3505" s="7" t="s">
        <v>1290</v>
      </c>
    </row>
    <row r="3506">
      <c r="A3506" s="5" t="s">
        <v>2796</v>
      </c>
      <c r="B3506" s="8">
        <v>7.0</v>
      </c>
      <c r="C3506" s="4" t="s">
        <v>227</v>
      </c>
      <c r="D3506" s="7" t="s">
        <v>1295</v>
      </c>
      <c r="E3506" s="5" t="s">
        <v>3389</v>
      </c>
      <c r="F3506" s="7" t="s">
        <v>1292</v>
      </c>
    </row>
    <row r="3507">
      <c r="A3507" s="5" t="s">
        <v>2594</v>
      </c>
      <c r="B3507" s="8">
        <v>7.0</v>
      </c>
      <c r="C3507" s="4" t="s">
        <v>227</v>
      </c>
      <c r="D3507" s="7" t="s">
        <v>1295</v>
      </c>
      <c r="E3507" s="5" t="s">
        <v>3389</v>
      </c>
      <c r="F3507" s="7" t="s">
        <v>3387</v>
      </c>
    </row>
    <row r="3508">
      <c r="A3508" s="5" t="s">
        <v>3086</v>
      </c>
      <c r="B3508" s="8">
        <v>7.0</v>
      </c>
      <c r="C3508" s="4" t="s">
        <v>227</v>
      </c>
      <c r="D3508" s="7" t="s">
        <v>1295</v>
      </c>
      <c r="E3508" s="5" t="s">
        <v>3389</v>
      </c>
      <c r="F3508" s="7" t="s">
        <v>1291</v>
      </c>
    </row>
    <row r="3509">
      <c r="A3509" s="7" t="s">
        <v>868</v>
      </c>
      <c r="B3509" s="8">
        <v>7.0</v>
      </c>
      <c r="C3509" s="4" t="s">
        <v>227</v>
      </c>
      <c r="D3509" s="7" t="s">
        <v>1295</v>
      </c>
      <c r="E3509" s="5" t="s">
        <v>3389</v>
      </c>
      <c r="F3509" s="7" t="s">
        <v>3387</v>
      </c>
    </row>
    <row r="3510">
      <c r="A3510" s="5" t="s">
        <v>3087</v>
      </c>
      <c r="B3510" s="8">
        <v>7.0</v>
      </c>
      <c r="C3510" s="4" t="s">
        <v>227</v>
      </c>
      <c r="D3510" s="7" t="s">
        <v>1295</v>
      </c>
      <c r="E3510" s="5" t="s">
        <v>3389</v>
      </c>
      <c r="F3510" s="7" t="s">
        <v>1291</v>
      </c>
    </row>
    <row r="3511">
      <c r="A3511" s="5" t="s">
        <v>3088</v>
      </c>
      <c r="B3511" s="8">
        <v>7.0</v>
      </c>
      <c r="C3511" s="4" t="s">
        <v>227</v>
      </c>
      <c r="D3511" s="7" t="s">
        <v>1295</v>
      </c>
      <c r="E3511" s="5" t="s">
        <v>3389</v>
      </c>
      <c r="F3511" s="7" t="s">
        <v>3387</v>
      </c>
    </row>
    <row r="3512">
      <c r="A3512" s="5" t="s">
        <v>3388</v>
      </c>
      <c r="B3512" s="8">
        <v>7.0</v>
      </c>
      <c r="C3512" s="4" t="s">
        <v>227</v>
      </c>
      <c r="D3512" s="7" t="s">
        <v>1295</v>
      </c>
      <c r="E3512" s="5" t="s">
        <v>3389</v>
      </c>
      <c r="F3512" s="7" t="s">
        <v>2312</v>
      </c>
    </row>
    <row r="3513">
      <c r="A3513" s="5" t="s">
        <v>2595</v>
      </c>
      <c r="B3513" s="8">
        <v>7.0</v>
      </c>
      <c r="C3513" s="4" t="s">
        <v>227</v>
      </c>
      <c r="D3513" s="7" t="s">
        <v>1295</v>
      </c>
      <c r="E3513" s="5" t="s">
        <v>3389</v>
      </c>
      <c r="F3513" s="7" t="s">
        <v>3387</v>
      </c>
    </row>
    <row r="3514">
      <c r="A3514" s="5" t="s">
        <v>3089</v>
      </c>
      <c r="B3514" s="8">
        <v>7.0</v>
      </c>
      <c r="C3514" s="4" t="s">
        <v>227</v>
      </c>
      <c r="D3514" s="7" t="s">
        <v>1295</v>
      </c>
      <c r="E3514" s="5" t="s">
        <v>3389</v>
      </c>
      <c r="F3514" s="7" t="s">
        <v>1292</v>
      </c>
    </row>
    <row r="3515">
      <c r="A3515" s="5" t="s">
        <v>2597</v>
      </c>
      <c r="B3515" s="8">
        <v>7.0</v>
      </c>
      <c r="C3515" s="4" t="s">
        <v>227</v>
      </c>
      <c r="D3515" s="7" t="s">
        <v>1295</v>
      </c>
      <c r="E3515" s="5" t="s">
        <v>3389</v>
      </c>
      <c r="F3515" s="7" t="s">
        <v>1291</v>
      </c>
    </row>
    <row r="3516">
      <c r="A3516" s="7" t="s">
        <v>8</v>
      </c>
      <c r="B3516" s="8">
        <v>7.0</v>
      </c>
      <c r="C3516" s="4" t="s">
        <v>227</v>
      </c>
      <c r="D3516" s="7" t="s">
        <v>1295</v>
      </c>
      <c r="E3516" s="5" t="s">
        <v>3389</v>
      </c>
      <c r="F3516" s="7" t="s">
        <v>2312</v>
      </c>
    </row>
    <row r="3517">
      <c r="A3517" s="5" t="s">
        <v>2798</v>
      </c>
      <c r="B3517" s="8">
        <v>7.0</v>
      </c>
      <c r="C3517" s="4" t="s">
        <v>227</v>
      </c>
      <c r="D3517" s="7" t="s">
        <v>1295</v>
      </c>
      <c r="E3517" s="5" t="s">
        <v>3389</v>
      </c>
      <c r="F3517" s="7" t="s">
        <v>2312</v>
      </c>
    </row>
    <row r="3518">
      <c r="A3518" s="5" t="s">
        <v>2702</v>
      </c>
      <c r="B3518" s="8">
        <v>7.0</v>
      </c>
      <c r="C3518" s="4" t="s">
        <v>227</v>
      </c>
      <c r="D3518" s="7" t="s">
        <v>1295</v>
      </c>
      <c r="E3518" s="5" t="s">
        <v>3389</v>
      </c>
      <c r="F3518" s="7" t="s">
        <v>1291</v>
      </c>
    </row>
    <row r="3519">
      <c r="A3519" s="5" t="s">
        <v>2599</v>
      </c>
      <c r="B3519" s="8">
        <v>7.0</v>
      </c>
      <c r="C3519" s="4" t="s">
        <v>227</v>
      </c>
      <c r="D3519" s="7" t="s">
        <v>1295</v>
      </c>
      <c r="E3519" s="5" t="s">
        <v>3389</v>
      </c>
      <c r="F3519" s="7" t="s">
        <v>1290</v>
      </c>
    </row>
    <row r="3520">
      <c r="A3520" s="5" t="s">
        <v>2600</v>
      </c>
      <c r="B3520" s="8">
        <v>7.0</v>
      </c>
      <c r="C3520" s="4" t="s">
        <v>227</v>
      </c>
      <c r="D3520" s="7" t="s">
        <v>1295</v>
      </c>
      <c r="E3520" s="5" t="s">
        <v>3389</v>
      </c>
      <c r="F3520" s="7" t="s">
        <v>3387</v>
      </c>
    </row>
    <row r="3521">
      <c r="A3521" s="5" t="s">
        <v>3090</v>
      </c>
      <c r="B3521" s="8">
        <v>7.0</v>
      </c>
      <c r="C3521" s="4" t="s">
        <v>227</v>
      </c>
      <c r="D3521" s="7" t="s">
        <v>1295</v>
      </c>
      <c r="E3521" s="5" t="s">
        <v>3389</v>
      </c>
      <c r="F3521" s="7" t="s">
        <v>1290</v>
      </c>
    </row>
    <row r="3522">
      <c r="A3522" s="7" t="s">
        <v>873</v>
      </c>
      <c r="B3522" s="8">
        <v>7.0</v>
      </c>
      <c r="C3522" s="4" t="s">
        <v>227</v>
      </c>
      <c r="D3522" s="7" t="s">
        <v>1295</v>
      </c>
      <c r="E3522" s="5" t="s">
        <v>3389</v>
      </c>
      <c r="F3522" s="7" t="s">
        <v>3387</v>
      </c>
    </row>
    <row r="3523">
      <c r="A3523" s="5" t="s">
        <v>2602</v>
      </c>
      <c r="B3523" s="8">
        <v>7.0</v>
      </c>
      <c r="C3523" s="4" t="s">
        <v>227</v>
      </c>
      <c r="D3523" s="7" t="s">
        <v>1295</v>
      </c>
      <c r="E3523" s="5" t="s">
        <v>3389</v>
      </c>
      <c r="F3523" s="7" t="s">
        <v>1290</v>
      </c>
    </row>
    <row r="3524">
      <c r="A3524" s="5" t="s">
        <v>2603</v>
      </c>
      <c r="B3524" s="8">
        <v>7.0</v>
      </c>
      <c r="C3524" s="4" t="s">
        <v>227</v>
      </c>
      <c r="D3524" s="7" t="s">
        <v>1295</v>
      </c>
      <c r="E3524" s="5" t="s">
        <v>3389</v>
      </c>
      <c r="F3524" s="7" t="s">
        <v>1290</v>
      </c>
    </row>
    <row r="3525">
      <c r="A3525" s="7" t="s">
        <v>874</v>
      </c>
      <c r="B3525" s="8">
        <v>7.0</v>
      </c>
      <c r="C3525" s="4" t="s">
        <v>227</v>
      </c>
      <c r="D3525" s="7" t="s">
        <v>1295</v>
      </c>
      <c r="E3525" s="5" t="s">
        <v>3389</v>
      </c>
      <c r="F3525" s="7" t="s">
        <v>3387</v>
      </c>
    </row>
    <row r="3526">
      <c r="A3526" s="5" t="s">
        <v>2604</v>
      </c>
      <c r="B3526" s="8">
        <v>7.0</v>
      </c>
      <c r="C3526" s="4" t="s">
        <v>227</v>
      </c>
      <c r="D3526" s="7" t="s">
        <v>1295</v>
      </c>
      <c r="E3526" s="5" t="s">
        <v>3389</v>
      </c>
      <c r="F3526" s="7" t="s">
        <v>1292</v>
      </c>
    </row>
    <row r="3527">
      <c r="A3527" s="5" t="s">
        <v>3091</v>
      </c>
      <c r="B3527" s="8">
        <v>7.0</v>
      </c>
      <c r="C3527" s="4" t="s">
        <v>227</v>
      </c>
      <c r="D3527" s="7" t="s">
        <v>1295</v>
      </c>
      <c r="E3527" s="5" t="s">
        <v>3389</v>
      </c>
      <c r="F3527" s="7" t="s">
        <v>3387</v>
      </c>
    </row>
    <row r="3528">
      <c r="A3528" s="5" t="s">
        <v>2605</v>
      </c>
      <c r="B3528" s="8">
        <v>7.0</v>
      </c>
      <c r="C3528" s="4" t="s">
        <v>227</v>
      </c>
      <c r="D3528" s="7" t="s">
        <v>1295</v>
      </c>
      <c r="E3528" s="5" t="s">
        <v>3389</v>
      </c>
      <c r="F3528" s="7" t="s">
        <v>2312</v>
      </c>
    </row>
    <row r="3529">
      <c r="A3529" s="5" t="s">
        <v>2933</v>
      </c>
      <c r="B3529" s="8">
        <v>7.0</v>
      </c>
      <c r="C3529" s="4" t="s">
        <v>227</v>
      </c>
      <c r="D3529" s="7" t="s">
        <v>1295</v>
      </c>
      <c r="E3529" s="5" t="s">
        <v>3389</v>
      </c>
      <c r="F3529" s="7" t="s">
        <v>2317</v>
      </c>
    </row>
    <row r="3530">
      <c r="A3530" s="5" t="s">
        <v>2606</v>
      </c>
      <c r="B3530" s="8">
        <v>7.0</v>
      </c>
      <c r="C3530" s="4" t="s">
        <v>227</v>
      </c>
      <c r="D3530" s="7" t="s">
        <v>1295</v>
      </c>
      <c r="E3530" s="5" t="s">
        <v>3389</v>
      </c>
      <c r="F3530" s="7" t="s">
        <v>1290</v>
      </c>
    </row>
    <row r="3531">
      <c r="A3531" s="5" t="s">
        <v>2934</v>
      </c>
      <c r="B3531" s="8">
        <v>7.0</v>
      </c>
      <c r="C3531" s="4" t="s">
        <v>227</v>
      </c>
      <c r="D3531" s="7" t="s">
        <v>1295</v>
      </c>
      <c r="E3531" s="5" t="s">
        <v>3389</v>
      </c>
      <c r="F3531" s="7" t="s">
        <v>1292</v>
      </c>
    </row>
    <row r="3532">
      <c r="A3532" s="5" t="s">
        <v>2607</v>
      </c>
      <c r="B3532" s="8">
        <v>7.0</v>
      </c>
      <c r="C3532" s="4" t="s">
        <v>227</v>
      </c>
      <c r="D3532" s="7" t="s">
        <v>1295</v>
      </c>
      <c r="E3532" s="5" t="s">
        <v>3389</v>
      </c>
      <c r="F3532" s="7" t="s">
        <v>1292</v>
      </c>
    </row>
    <row r="3533">
      <c r="A3533" s="7" t="s">
        <v>876</v>
      </c>
      <c r="B3533" s="8">
        <v>7.0</v>
      </c>
      <c r="C3533" s="4" t="s">
        <v>227</v>
      </c>
      <c r="D3533" s="7" t="s">
        <v>1295</v>
      </c>
      <c r="E3533" s="5" t="s">
        <v>3389</v>
      </c>
      <c r="F3533" s="7" t="s">
        <v>1291</v>
      </c>
    </row>
    <row r="3534">
      <c r="A3534" s="5" t="s">
        <v>3092</v>
      </c>
      <c r="B3534" s="8">
        <v>7.0</v>
      </c>
      <c r="C3534" s="4" t="s">
        <v>227</v>
      </c>
      <c r="D3534" s="7" t="s">
        <v>1295</v>
      </c>
      <c r="E3534" s="5" t="s">
        <v>3389</v>
      </c>
      <c r="F3534" s="7" t="s">
        <v>1290</v>
      </c>
    </row>
    <row r="3535">
      <c r="A3535" s="5" t="s">
        <v>2614</v>
      </c>
      <c r="B3535" s="8">
        <v>7.0</v>
      </c>
      <c r="C3535" s="4" t="s">
        <v>227</v>
      </c>
      <c r="D3535" s="7" t="s">
        <v>1295</v>
      </c>
      <c r="E3535" s="5" t="s">
        <v>3389</v>
      </c>
      <c r="F3535" s="7" t="s">
        <v>3387</v>
      </c>
    </row>
    <row r="3536">
      <c r="A3536" s="5" t="s">
        <v>2608</v>
      </c>
      <c r="B3536" s="8">
        <v>7.0</v>
      </c>
      <c r="C3536" s="4" t="s">
        <v>227</v>
      </c>
      <c r="D3536" s="7" t="s">
        <v>1295</v>
      </c>
      <c r="E3536" s="5" t="s">
        <v>3389</v>
      </c>
      <c r="F3536" s="7" t="s">
        <v>3387</v>
      </c>
    </row>
    <row r="3537">
      <c r="A3537" s="5" t="s">
        <v>2609</v>
      </c>
      <c r="B3537" s="8">
        <v>7.0</v>
      </c>
      <c r="C3537" s="4" t="s">
        <v>227</v>
      </c>
      <c r="D3537" s="7" t="s">
        <v>1295</v>
      </c>
      <c r="E3537" s="5" t="s">
        <v>3389</v>
      </c>
      <c r="F3537" s="7" t="s">
        <v>1291</v>
      </c>
    </row>
    <row r="3538">
      <c r="A3538" s="7" t="s">
        <v>188</v>
      </c>
      <c r="B3538" s="8">
        <v>7.0</v>
      </c>
      <c r="C3538" s="4" t="s">
        <v>617</v>
      </c>
      <c r="D3538" s="5" t="s">
        <v>2799</v>
      </c>
      <c r="E3538" s="5" t="s">
        <v>3390</v>
      </c>
      <c r="F3538" s="7" t="s">
        <v>3387</v>
      </c>
    </row>
    <row r="3539">
      <c r="A3539" s="5" t="s">
        <v>2592</v>
      </c>
      <c r="B3539" s="8">
        <v>7.0</v>
      </c>
      <c r="C3539" s="4" t="s">
        <v>617</v>
      </c>
      <c r="D3539" s="5" t="s">
        <v>2799</v>
      </c>
      <c r="E3539" s="5" t="s">
        <v>3390</v>
      </c>
      <c r="F3539" s="7" t="s">
        <v>1290</v>
      </c>
    </row>
    <row r="3540">
      <c r="A3540" s="5" t="s">
        <v>2796</v>
      </c>
      <c r="B3540" s="8">
        <v>7.0</v>
      </c>
      <c r="C3540" s="4" t="s">
        <v>617</v>
      </c>
      <c r="D3540" s="5" t="s">
        <v>2799</v>
      </c>
      <c r="E3540" s="5" t="s">
        <v>3390</v>
      </c>
      <c r="F3540" s="7" t="s">
        <v>1292</v>
      </c>
    </row>
    <row r="3541">
      <c r="A3541" s="5" t="s">
        <v>2594</v>
      </c>
      <c r="B3541" s="8">
        <v>7.0</v>
      </c>
      <c r="C3541" s="4" t="s">
        <v>617</v>
      </c>
      <c r="D3541" s="5" t="s">
        <v>2799</v>
      </c>
      <c r="E3541" s="5" t="s">
        <v>3390</v>
      </c>
      <c r="F3541" s="7" t="s">
        <v>3387</v>
      </c>
    </row>
    <row r="3542">
      <c r="A3542" s="5" t="s">
        <v>3086</v>
      </c>
      <c r="B3542" s="8">
        <v>7.0</v>
      </c>
      <c r="C3542" s="4" t="s">
        <v>617</v>
      </c>
      <c r="D3542" s="5" t="s">
        <v>2799</v>
      </c>
      <c r="E3542" s="5" t="s">
        <v>3390</v>
      </c>
      <c r="F3542" s="7" t="s">
        <v>1291</v>
      </c>
    </row>
    <row r="3543">
      <c r="A3543" s="7" t="s">
        <v>868</v>
      </c>
      <c r="B3543" s="8">
        <v>7.0</v>
      </c>
      <c r="C3543" s="4" t="s">
        <v>617</v>
      </c>
      <c r="D3543" s="5" t="s">
        <v>2799</v>
      </c>
      <c r="E3543" s="5" t="s">
        <v>3390</v>
      </c>
      <c r="F3543" s="7" t="s">
        <v>3387</v>
      </c>
    </row>
    <row r="3544">
      <c r="A3544" s="5" t="s">
        <v>3087</v>
      </c>
      <c r="B3544" s="8">
        <v>7.0</v>
      </c>
      <c r="C3544" s="4" t="s">
        <v>617</v>
      </c>
      <c r="D3544" s="5" t="s">
        <v>2799</v>
      </c>
      <c r="E3544" s="5" t="s">
        <v>3390</v>
      </c>
      <c r="F3544" s="7" t="s">
        <v>1291</v>
      </c>
    </row>
    <row r="3545">
      <c r="A3545" s="5" t="s">
        <v>3088</v>
      </c>
      <c r="B3545" s="8">
        <v>7.0</v>
      </c>
      <c r="C3545" s="4" t="s">
        <v>617</v>
      </c>
      <c r="D3545" s="5" t="s">
        <v>2799</v>
      </c>
      <c r="E3545" s="5" t="s">
        <v>3390</v>
      </c>
      <c r="F3545" s="7" t="s">
        <v>3387</v>
      </c>
    </row>
    <row r="3546">
      <c r="A3546" s="5" t="s">
        <v>3388</v>
      </c>
      <c r="B3546" s="8">
        <v>7.0</v>
      </c>
      <c r="C3546" s="4" t="s">
        <v>617</v>
      </c>
      <c r="D3546" s="5" t="s">
        <v>2799</v>
      </c>
      <c r="E3546" s="5" t="s">
        <v>3390</v>
      </c>
      <c r="F3546" s="7" t="s">
        <v>2312</v>
      </c>
    </row>
    <row r="3547">
      <c r="A3547" s="5" t="s">
        <v>2595</v>
      </c>
      <c r="B3547" s="8">
        <v>7.0</v>
      </c>
      <c r="C3547" s="4" t="s">
        <v>617</v>
      </c>
      <c r="D3547" s="5" t="s">
        <v>2799</v>
      </c>
      <c r="E3547" s="5" t="s">
        <v>3390</v>
      </c>
      <c r="F3547" s="7" t="s">
        <v>3387</v>
      </c>
    </row>
    <row r="3548">
      <c r="A3548" s="5" t="s">
        <v>3089</v>
      </c>
      <c r="B3548" s="8">
        <v>7.0</v>
      </c>
      <c r="C3548" s="4" t="s">
        <v>617</v>
      </c>
      <c r="D3548" s="5" t="s">
        <v>2799</v>
      </c>
      <c r="E3548" s="5" t="s">
        <v>3390</v>
      </c>
      <c r="F3548" s="7" t="s">
        <v>1292</v>
      </c>
    </row>
    <row r="3549">
      <c r="A3549" s="5" t="s">
        <v>2597</v>
      </c>
      <c r="B3549" s="8">
        <v>7.0</v>
      </c>
      <c r="C3549" s="4" t="s">
        <v>617</v>
      </c>
      <c r="D3549" s="5" t="s">
        <v>2799</v>
      </c>
      <c r="E3549" s="5" t="s">
        <v>3390</v>
      </c>
      <c r="F3549" s="7" t="s">
        <v>1291</v>
      </c>
    </row>
    <row r="3550">
      <c r="A3550" s="7" t="s">
        <v>8</v>
      </c>
      <c r="B3550" s="8">
        <v>7.0</v>
      </c>
      <c r="C3550" s="4" t="s">
        <v>617</v>
      </c>
      <c r="D3550" s="5" t="s">
        <v>2799</v>
      </c>
      <c r="E3550" s="5" t="s">
        <v>3390</v>
      </c>
      <c r="F3550" s="7" t="s">
        <v>2312</v>
      </c>
    </row>
    <row r="3551">
      <c r="A3551" s="5" t="s">
        <v>2798</v>
      </c>
      <c r="B3551" s="8">
        <v>7.0</v>
      </c>
      <c r="C3551" s="4" t="s">
        <v>617</v>
      </c>
      <c r="D3551" s="5" t="s">
        <v>2799</v>
      </c>
      <c r="E3551" s="5" t="s">
        <v>3390</v>
      </c>
      <c r="F3551" s="7" t="s">
        <v>2312</v>
      </c>
    </row>
    <row r="3552">
      <c r="A3552" s="5" t="s">
        <v>2702</v>
      </c>
      <c r="B3552" s="8">
        <v>7.0</v>
      </c>
      <c r="C3552" s="4" t="s">
        <v>617</v>
      </c>
      <c r="D3552" s="5" t="s">
        <v>2799</v>
      </c>
      <c r="E3552" s="5" t="s">
        <v>3390</v>
      </c>
      <c r="F3552" s="7" t="s">
        <v>1291</v>
      </c>
    </row>
    <row r="3553">
      <c r="A3553" s="5" t="s">
        <v>2599</v>
      </c>
      <c r="B3553" s="8">
        <v>7.0</v>
      </c>
      <c r="C3553" s="4" t="s">
        <v>617</v>
      </c>
      <c r="D3553" s="5" t="s">
        <v>2799</v>
      </c>
      <c r="E3553" s="5" t="s">
        <v>3390</v>
      </c>
      <c r="F3553" s="7" t="s">
        <v>1290</v>
      </c>
    </row>
    <row r="3554">
      <c r="A3554" s="5" t="s">
        <v>2600</v>
      </c>
      <c r="B3554" s="8">
        <v>7.0</v>
      </c>
      <c r="C3554" s="4" t="s">
        <v>617</v>
      </c>
      <c r="D3554" s="5" t="s">
        <v>2799</v>
      </c>
      <c r="E3554" s="5" t="s">
        <v>3390</v>
      </c>
      <c r="F3554" s="7" t="s">
        <v>3387</v>
      </c>
    </row>
    <row r="3555">
      <c r="A3555" s="5" t="s">
        <v>3090</v>
      </c>
      <c r="B3555" s="8">
        <v>7.0</v>
      </c>
      <c r="C3555" s="4" t="s">
        <v>617</v>
      </c>
      <c r="D3555" s="5" t="s">
        <v>2799</v>
      </c>
      <c r="E3555" s="5" t="s">
        <v>3390</v>
      </c>
      <c r="F3555" s="7" t="s">
        <v>1290</v>
      </c>
    </row>
    <row r="3556">
      <c r="A3556" s="7" t="s">
        <v>873</v>
      </c>
      <c r="B3556" s="8">
        <v>7.0</v>
      </c>
      <c r="C3556" s="4" t="s">
        <v>617</v>
      </c>
      <c r="D3556" s="5" t="s">
        <v>2799</v>
      </c>
      <c r="E3556" s="5" t="s">
        <v>3390</v>
      </c>
      <c r="F3556" s="7" t="s">
        <v>3387</v>
      </c>
    </row>
    <row r="3557">
      <c r="A3557" s="5" t="s">
        <v>2602</v>
      </c>
      <c r="B3557" s="8">
        <v>7.0</v>
      </c>
      <c r="C3557" s="4" t="s">
        <v>617</v>
      </c>
      <c r="D3557" s="5" t="s">
        <v>2799</v>
      </c>
      <c r="E3557" s="5" t="s">
        <v>3390</v>
      </c>
      <c r="F3557" s="7" t="s">
        <v>1290</v>
      </c>
    </row>
    <row r="3558">
      <c r="A3558" s="5" t="s">
        <v>2603</v>
      </c>
      <c r="B3558" s="8">
        <v>7.0</v>
      </c>
      <c r="C3558" s="4" t="s">
        <v>617</v>
      </c>
      <c r="D3558" s="5" t="s">
        <v>2799</v>
      </c>
      <c r="E3558" s="5" t="s">
        <v>3390</v>
      </c>
      <c r="F3558" s="7" t="s">
        <v>1290</v>
      </c>
    </row>
    <row r="3559">
      <c r="A3559" s="7" t="s">
        <v>874</v>
      </c>
      <c r="B3559" s="8">
        <v>7.0</v>
      </c>
      <c r="C3559" s="4" t="s">
        <v>617</v>
      </c>
      <c r="D3559" s="5" t="s">
        <v>2799</v>
      </c>
      <c r="E3559" s="5" t="s">
        <v>3390</v>
      </c>
      <c r="F3559" s="7" t="s">
        <v>3387</v>
      </c>
    </row>
    <row r="3560">
      <c r="A3560" s="5" t="s">
        <v>2604</v>
      </c>
      <c r="B3560" s="8">
        <v>7.0</v>
      </c>
      <c r="C3560" s="4" t="s">
        <v>617</v>
      </c>
      <c r="D3560" s="5" t="s">
        <v>2799</v>
      </c>
      <c r="E3560" s="5" t="s">
        <v>3390</v>
      </c>
      <c r="F3560" s="7" t="s">
        <v>1292</v>
      </c>
    </row>
    <row r="3561">
      <c r="A3561" s="5" t="s">
        <v>3091</v>
      </c>
      <c r="B3561" s="8">
        <v>7.0</v>
      </c>
      <c r="C3561" s="4" t="s">
        <v>617</v>
      </c>
      <c r="D3561" s="5" t="s">
        <v>2799</v>
      </c>
      <c r="E3561" s="5" t="s">
        <v>3390</v>
      </c>
      <c r="F3561" s="7" t="s">
        <v>3387</v>
      </c>
    </row>
    <row r="3562">
      <c r="A3562" s="5" t="s">
        <v>2605</v>
      </c>
      <c r="B3562" s="8">
        <v>7.0</v>
      </c>
      <c r="C3562" s="4" t="s">
        <v>617</v>
      </c>
      <c r="D3562" s="5" t="s">
        <v>2799</v>
      </c>
      <c r="E3562" s="5" t="s">
        <v>3390</v>
      </c>
      <c r="F3562" s="7" t="s">
        <v>2312</v>
      </c>
    </row>
    <row r="3563">
      <c r="A3563" s="5" t="s">
        <v>2933</v>
      </c>
      <c r="B3563" s="8">
        <v>7.0</v>
      </c>
      <c r="C3563" s="4" t="s">
        <v>617</v>
      </c>
      <c r="D3563" s="5" t="s">
        <v>2799</v>
      </c>
      <c r="E3563" s="5" t="s">
        <v>3390</v>
      </c>
      <c r="F3563" s="7" t="s">
        <v>2317</v>
      </c>
    </row>
    <row r="3564">
      <c r="A3564" s="5" t="s">
        <v>2606</v>
      </c>
      <c r="B3564" s="8">
        <v>7.0</v>
      </c>
      <c r="C3564" s="4" t="s">
        <v>617</v>
      </c>
      <c r="D3564" s="5" t="s">
        <v>2799</v>
      </c>
      <c r="E3564" s="5" t="s">
        <v>3390</v>
      </c>
      <c r="F3564" s="7" t="s">
        <v>1290</v>
      </c>
    </row>
    <row r="3565">
      <c r="A3565" s="5" t="s">
        <v>2934</v>
      </c>
      <c r="B3565" s="8">
        <v>7.0</v>
      </c>
      <c r="C3565" s="4" t="s">
        <v>617</v>
      </c>
      <c r="D3565" s="5" t="s">
        <v>2799</v>
      </c>
      <c r="E3565" s="5" t="s">
        <v>3390</v>
      </c>
      <c r="F3565" s="7" t="s">
        <v>1292</v>
      </c>
    </row>
    <row r="3566">
      <c r="A3566" s="5" t="s">
        <v>2607</v>
      </c>
      <c r="B3566" s="8">
        <v>7.0</v>
      </c>
      <c r="C3566" s="4" t="s">
        <v>617</v>
      </c>
      <c r="D3566" s="5" t="s">
        <v>2799</v>
      </c>
      <c r="E3566" s="5" t="s">
        <v>3390</v>
      </c>
      <c r="F3566" s="7" t="s">
        <v>1292</v>
      </c>
    </row>
    <row r="3567">
      <c r="A3567" s="7" t="s">
        <v>876</v>
      </c>
      <c r="B3567" s="8">
        <v>7.0</v>
      </c>
      <c r="C3567" s="4" t="s">
        <v>617</v>
      </c>
      <c r="D3567" s="5" t="s">
        <v>2799</v>
      </c>
      <c r="E3567" s="5" t="s">
        <v>3390</v>
      </c>
      <c r="F3567" s="7" t="s">
        <v>1291</v>
      </c>
    </row>
    <row r="3568">
      <c r="A3568" s="5" t="s">
        <v>3092</v>
      </c>
      <c r="B3568" s="8">
        <v>7.0</v>
      </c>
      <c r="C3568" s="4" t="s">
        <v>617</v>
      </c>
      <c r="D3568" s="5" t="s">
        <v>2799</v>
      </c>
      <c r="E3568" s="5" t="s">
        <v>3390</v>
      </c>
      <c r="F3568" s="7" t="s">
        <v>1290</v>
      </c>
    </row>
    <row r="3569">
      <c r="A3569" s="5" t="s">
        <v>2614</v>
      </c>
      <c r="B3569" s="8">
        <v>7.0</v>
      </c>
      <c r="C3569" s="4" t="s">
        <v>617</v>
      </c>
      <c r="D3569" s="5" t="s">
        <v>2799</v>
      </c>
      <c r="E3569" s="5" t="s">
        <v>3390</v>
      </c>
      <c r="F3569" s="7" t="s">
        <v>3387</v>
      </c>
    </row>
    <row r="3570">
      <c r="A3570" s="5" t="s">
        <v>2608</v>
      </c>
      <c r="B3570" s="8">
        <v>7.0</v>
      </c>
      <c r="C3570" s="4" t="s">
        <v>617</v>
      </c>
      <c r="D3570" s="5" t="s">
        <v>2799</v>
      </c>
      <c r="E3570" s="5" t="s">
        <v>3390</v>
      </c>
      <c r="F3570" s="7" t="s">
        <v>3387</v>
      </c>
    </row>
    <row r="3571">
      <c r="A3571" s="5" t="s">
        <v>2609</v>
      </c>
      <c r="B3571" s="8">
        <v>7.0</v>
      </c>
      <c r="C3571" s="4" t="s">
        <v>617</v>
      </c>
      <c r="D3571" s="5" t="s">
        <v>2799</v>
      </c>
      <c r="E3571" s="5" t="s">
        <v>3390</v>
      </c>
      <c r="F3571" s="7" t="s">
        <v>1291</v>
      </c>
    </row>
    <row r="3572">
      <c r="A3572" s="7" t="s">
        <v>188</v>
      </c>
      <c r="B3572" s="8">
        <v>7.0</v>
      </c>
      <c r="C3572" s="4" t="s">
        <v>621</v>
      </c>
      <c r="D3572" s="7" t="s">
        <v>909</v>
      </c>
      <c r="E3572" s="5" t="s">
        <v>3391</v>
      </c>
      <c r="F3572" s="7" t="s">
        <v>3387</v>
      </c>
    </row>
    <row r="3573">
      <c r="A3573" s="5" t="s">
        <v>2592</v>
      </c>
      <c r="B3573" s="8">
        <v>7.0</v>
      </c>
      <c r="C3573" s="4" t="s">
        <v>621</v>
      </c>
      <c r="D3573" s="7" t="s">
        <v>909</v>
      </c>
      <c r="E3573" s="5" t="s">
        <v>3391</v>
      </c>
      <c r="F3573" s="7" t="s">
        <v>1290</v>
      </c>
    </row>
    <row r="3574">
      <c r="A3574" s="5" t="s">
        <v>2796</v>
      </c>
      <c r="B3574" s="8">
        <v>7.0</v>
      </c>
      <c r="C3574" s="4" t="s">
        <v>621</v>
      </c>
      <c r="D3574" s="7" t="s">
        <v>909</v>
      </c>
      <c r="E3574" s="5" t="s">
        <v>3391</v>
      </c>
      <c r="F3574" s="7" t="s">
        <v>1292</v>
      </c>
    </row>
    <row r="3575">
      <c r="A3575" s="5" t="s">
        <v>2594</v>
      </c>
      <c r="B3575" s="8">
        <v>7.0</v>
      </c>
      <c r="C3575" s="4" t="s">
        <v>621</v>
      </c>
      <c r="D3575" s="7" t="s">
        <v>909</v>
      </c>
      <c r="E3575" s="5" t="s">
        <v>3391</v>
      </c>
      <c r="F3575" s="7" t="s">
        <v>3387</v>
      </c>
    </row>
    <row r="3576">
      <c r="A3576" s="5" t="s">
        <v>3086</v>
      </c>
      <c r="B3576" s="8">
        <v>7.0</v>
      </c>
      <c r="C3576" s="4" t="s">
        <v>621</v>
      </c>
      <c r="D3576" s="7" t="s">
        <v>909</v>
      </c>
      <c r="E3576" s="5" t="s">
        <v>3391</v>
      </c>
      <c r="F3576" s="7" t="s">
        <v>1291</v>
      </c>
    </row>
    <row r="3577">
      <c r="A3577" s="7" t="s">
        <v>868</v>
      </c>
      <c r="B3577" s="8">
        <v>7.0</v>
      </c>
      <c r="C3577" s="4" t="s">
        <v>621</v>
      </c>
      <c r="D3577" s="7" t="s">
        <v>909</v>
      </c>
      <c r="E3577" s="5" t="s">
        <v>3391</v>
      </c>
      <c r="F3577" s="7" t="s">
        <v>3387</v>
      </c>
    </row>
    <row r="3578">
      <c r="A3578" s="5" t="s">
        <v>3087</v>
      </c>
      <c r="B3578" s="8">
        <v>7.0</v>
      </c>
      <c r="C3578" s="4" t="s">
        <v>621</v>
      </c>
      <c r="D3578" s="7" t="s">
        <v>909</v>
      </c>
      <c r="E3578" s="5" t="s">
        <v>3391</v>
      </c>
      <c r="F3578" s="5" t="s">
        <v>3104</v>
      </c>
    </row>
    <row r="3579">
      <c r="A3579" s="5" t="s">
        <v>3088</v>
      </c>
      <c r="B3579" s="8">
        <v>7.0</v>
      </c>
      <c r="C3579" s="4" t="s">
        <v>621</v>
      </c>
      <c r="D3579" s="7" t="s">
        <v>909</v>
      </c>
      <c r="E3579" s="5" t="s">
        <v>3391</v>
      </c>
      <c r="F3579" s="7" t="s">
        <v>3387</v>
      </c>
    </row>
    <row r="3580">
      <c r="A3580" s="5" t="s">
        <v>3388</v>
      </c>
      <c r="B3580" s="8">
        <v>7.0</v>
      </c>
      <c r="C3580" s="4" t="s">
        <v>621</v>
      </c>
      <c r="D3580" s="7" t="s">
        <v>909</v>
      </c>
      <c r="E3580" s="5" t="s">
        <v>3391</v>
      </c>
      <c r="F3580" s="7" t="s">
        <v>2312</v>
      </c>
    </row>
    <row r="3581">
      <c r="A3581" s="5" t="s">
        <v>2595</v>
      </c>
      <c r="B3581" s="8">
        <v>7.0</v>
      </c>
      <c r="C3581" s="4" t="s">
        <v>621</v>
      </c>
      <c r="D3581" s="7" t="s">
        <v>909</v>
      </c>
      <c r="E3581" s="5" t="s">
        <v>3391</v>
      </c>
      <c r="F3581" s="7" t="s">
        <v>3387</v>
      </c>
    </row>
    <row r="3582">
      <c r="A3582" s="5" t="s">
        <v>3089</v>
      </c>
      <c r="B3582" s="8">
        <v>7.0</v>
      </c>
      <c r="C3582" s="4" t="s">
        <v>621</v>
      </c>
      <c r="D3582" s="7" t="s">
        <v>909</v>
      </c>
      <c r="E3582" s="5" t="s">
        <v>3391</v>
      </c>
      <c r="F3582" s="7" t="s">
        <v>1292</v>
      </c>
    </row>
    <row r="3583">
      <c r="A3583" s="5" t="s">
        <v>2597</v>
      </c>
      <c r="B3583" s="8">
        <v>7.0</v>
      </c>
      <c r="C3583" s="4" t="s">
        <v>621</v>
      </c>
      <c r="D3583" s="7" t="s">
        <v>909</v>
      </c>
      <c r="E3583" s="5" t="s">
        <v>3391</v>
      </c>
      <c r="F3583" s="7" t="s">
        <v>1291</v>
      </c>
    </row>
    <row r="3584">
      <c r="A3584" s="7" t="s">
        <v>8</v>
      </c>
      <c r="B3584" s="8">
        <v>7.0</v>
      </c>
      <c r="C3584" s="4" t="s">
        <v>621</v>
      </c>
      <c r="D3584" s="7" t="s">
        <v>909</v>
      </c>
      <c r="E3584" s="5" t="s">
        <v>3391</v>
      </c>
      <c r="F3584" s="7" t="s">
        <v>2312</v>
      </c>
    </row>
    <row r="3585">
      <c r="A3585" s="5" t="s">
        <v>2798</v>
      </c>
      <c r="B3585" s="8">
        <v>7.0</v>
      </c>
      <c r="C3585" s="4" t="s">
        <v>621</v>
      </c>
      <c r="D3585" s="7" t="s">
        <v>909</v>
      </c>
      <c r="E3585" s="5" t="s">
        <v>3391</v>
      </c>
      <c r="F3585" s="7" t="s">
        <v>2312</v>
      </c>
    </row>
    <row r="3586">
      <c r="A3586" s="5" t="s">
        <v>2702</v>
      </c>
      <c r="B3586" s="8">
        <v>7.0</v>
      </c>
      <c r="C3586" s="4" t="s">
        <v>621</v>
      </c>
      <c r="D3586" s="7" t="s">
        <v>909</v>
      </c>
      <c r="E3586" s="5" t="s">
        <v>3391</v>
      </c>
      <c r="F3586" s="7" t="s">
        <v>1291</v>
      </c>
    </row>
    <row r="3587">
      <c r="A3587" s="5" t="s">
        <v>2599</v>
      </c>
      <c r="B3587" s="8">
        <v>7.0</v>
      </c>
      <c r="C3587" s="4" t="s">
        <v>621</v>
      </c>
      <c r="D3587" s="7" t="s">
        <v>909</v>
      </c>
      <c r="E3587" s="5" t="s">
        <v>3391</v>
      </c>
      <c r="F3587" s="7" t="s">
        <v>1290</v>
      </c>
    </row>
    <row r="3588">
      <c r="A3588" s="5" t="s">
        <v>2600</v>
      </c>
      <c r="B3588" s="8">
        <v>7.0</v>
      </c>
      <c r="C3588" s="4" t="s">
        <v>621</v>
      </c>
      <c r="D3588" s="7" t="s">
        <v>909</v>
      </c>
      <c r="E3588" s="5" t="s">
        <v>3391</v>
      </c>
      <c r="F3588" s="7" t="s">
        <v>3387</v>
      </c>
    </row>
    <row r="3589">
      <c r="A3589" s="5" t="s">
        <v>3090</v>
      </c>
      <c r="B3589" s="8">
        <v>7.0</v>
      </c>
      <c r="C3589" s="4" t="s">
        <v>621</v>
      </c>
      <c r="D3589" s="7" t="s">
        <v>909</v>
      </c>
      <c r="E3589" s="5" t="s">
        <v>3391</v>
      </c>
      <c r="F3589" s="7" t="s">
        <v>1290</v>
      </c>
    </row>
    <row r="3590">
      <c r="A3590" s="7" t="s">
        <v>873</v>
      </c>
      <c r="B3590" s="8">
        <v>7.0</v>
      </c>
      <c r="C3590" s="4" t="s">
        <v>621</v>
      </c>
      <c r="D3590" s="7" t="s">
        <v>909</v>
      </c>
      <c r="E3590" s="5" t="s">
        <v>3391</v>
      </c>
      <c r="F3590" s="7" t="s">
        <v>3387</v>
      </c>
    </row>
    <row r="3591">
      <c r="A3591" s="5" t="s">
        <v>2602</v>
      </c>
      <c r="B3591" s="8">
        <v>7.0</v>
      </c>
      <c r="C3591" s="4" t="s">
        <v>621</v>
      </c>
      <c r="D3591" s="7" t="s">
        <v>909</v>
      </c>
      <c r="E3591" s="5" t="s">
        <v>3391</v>
      </c>
      <c r="F3591" s="7" t="s">
        <v>1290</v>
      </c>
    </row>
    <row r="3592">
      <c r="A3592" s="5" t="s">
        <v>2603</v>
      </c>
      <c r="B3592" s="8">
        <v>7.0</v>
      </c>
      <c r="C3592" s="4" t="s">
        <v>621</v>
      </c>
      <c r="D3592" s="7" t="s">
        <v>909</v>
      </c>
      <c r="E3592" s="5" t="s">
        <v>3391</v>
      </c>
      <c r="F3592" s="7" t="s">
        <v>1290</v>
      </c>
    </row>
    <row r="3593">
      <c r="A3593" s="7" t="s">
        <v>874</v>
      </c>
      <c r="B3593" s="8">
        <v>7.0</v>
      </c>
      <c r="C3593" s="4" t="s">
        <v>621</v>
      </c>
      <c r="D3593" s="7" t="s">
        <v>909</v>
      </c>
      <c r="E3593" s="5" t="s">
        <v>3391</v>
      </c>
      <c r="F3593" s="7" t="s">
        <v>3387</v>
      </c>
    </row>
    <row r="3594">
      <c r="A3594" s="5" t="s">
        <v>2604</v>
      </c>
      <c r="B3594" s="8">
        <v>7.0</v>
      </c>
      <c r="C3594" s="4" t="s">
        <v>621</v>
      </c>
      <c r="D3594" s="7" t="s">
        <v>909</v>
      </c>
      <c r="E3594" s="5" t="s">
        <v>3391</v>
      </c>
      <c r="F3594" s="7" t="s">
        <v>1292</v>
      </c>
    </row>
    <row r="3595">
      <c r="A3595" s="5" t="s">
        <v>3091</v>
      </c>
      <c r="B3595" s="8">
        <v>7.0</v>
      </c>
      <c r="C3595" s="4" t="s">
        <v>621</v>
      </c>
      <c r="D3595" s="7" t="s">
        <v>909</v>
      </c>
      <c r="E3595" s="5" t="s">
        <v>3391</v>
      </c>
      <c r="F3595" s="7" t="s">
        <v>3387</v>
      </c>
    </row>
    <row r="3596">
      <c r="A3596" s="5" t="s">
        <v>2605</v>
      </c>
      <c r="B3596" s="8">
        <v>7.0</v>
      </c>
      <c r="C3596" s="4" t="s">
        <v>621</v>
      </c>
      <c r="D3596" s="7" t="s">
        <v>909</v>
      </c>
      <c r="E3596" s="5" t="s">
        <v>3391</v>
      </c>
      <c r="F3596" s="7" t="s">
        <v>2312</v>
      </c>
    </row>
    <row r="3597">
      <c r="A3597" s="5" t="s">
        <v>2933</v>
      </c>
      <c r="B3597" s="8">
        <v>7.0</v>
      </c>
      <c r="C3597" s="4" t="s">
        <v>621</v>
      </c>
      <c r="D3597" s="7" t="s">
        <v>909</v>
      </c>
      <c r="E3597" s="5" t="s">
        <v>3391</v>
      </c>
      <c r="F3597" s="7" t="s">
        <v>2317</v>
      </c>
    </row>
    <row r="3598">
      <c r="A3598" s="5" t="s">
        <v>2606</v>
      </c>
      <c r="B3598" s="8">
        <v>7.0</v>
      </c>
      <c r="C3598" s="4" t="s">
        <v>621</v>
      </c>
      <c r="D3598" s="7" t="s">
        <v>909</v>
      </c>
      <c r="E3598" s="5" t="s">
        <v>3391</v>
      </c>
      <c r="F3598" s="7" t="s">
        <v>1290</v>
      </c>
    </row>
    <row r="3599">
      <c r="A3599" s="5" t="s">
        <v>2934</v>
      </c>
      <c r="B3599" s="8">
        <v>7.0</v>
      </c>
      <c r="C3599" s="4" t="s">
        <v>621</v>
      </c>
      <c r="D3599" s="7" t="s">
        <v>909</v>
      </c>
      <c r="E3599" s="5" t="s">
        <v>3391</v>
      </c>
      <c r="F3599" s="7" t="s">
        <v>1292</v>
      </c>
    </row>
    <row r="3600">
      <c r="A3600" s="5" t="s">
        <v>2607</v>
      </c>
      <c r="B3600" s="8">
        <v>7.0</v>
      </c>
      <c r="C3600" s="4" t="s">
        <v>621</v>
      </c>
      <c r="D3600" s="7" t="s">
        <v>909</v>
      </c>
      <c r="E3600" s="5" t="s">
        <v>3391</v>
      </c>
      <c r="F3600" s="7" t="s">
        <v>1292</v>
      </c>
    </row>
    <row r="3601">
      <c r="A3601" s="7" t="s">
        <v>876</v>
      </c>
      <c r="B3601" s="8">
        <v>7.0</v>
      </c>
      <c r="C3601" s="4" t="s">
        <v>621</v>
      </c>
      <c r="D3601" s="7" t="s">
        <v>909</v>
      </c>
      <c r="E3601" s="5" t="s">
        <v>3391</v>
      </c>
      <c r="F3601" s="7" t="s">
        <v>1291</v>
      </c>
    </row>
    <row r="3602">
      <c r="A3602" s="5" t="s">
        <v>3092</v>
      </c>
      <c r="B3602" s="8">
        <v>7.0</v>
      </c>
      <c r="C3602" s="4" t="s">
        <v>621</v>
      </c>
      <c r="D3602" s="7" t="s">
        <v>909</v>
      </c>
      <c r="E3602" s="5" t="s">
        <v>3391</v>
      </c>
      <c r="F3602" s="7" t="s">
        <v>1290</v>
      </c>
    </row>
    <row r="3603">
      <c r="A3603" s="5" t="s">
        <v>2614</v>
      </c>
      <c r="B3603" s="8">
        <v>7.0</v>
      </c>
      <c r="C3603" s="4" t="s">
        <v>621</v>
      </c>
      <c r="D3603" s="7" t="s">
        <v>909</v>
      </c>
      <c r="E3603" s="5" t="s">
        <v>3391</v>
      </c>
      <c r="F3603" s="7" t="s">
        <v>3387</v>
      </c>
    </row>
    <row r="3604">
      <c r="A3604" s="5" t="s">
        <v>2608</v>
      </c>
      <c r="B3604" s="8">
        <v>7.0</v>
      </c>
      <c r="C3604" s="4" t="s">
        <v>621</v>
      </c>
      <c r="D3604" s="7" t="s">
        <v>909</v>
      </c>
      <c r="E3604" s="5" t="s">
        <v>3391</v>
      </c>
      <c r="F3604" s="7" t="s">
        <v>3387</v>
      </c>
    </row>
    <row r="3605">
      <c r="A3605" s="5" t="s">
        <v>2609</v>
      </c>
      <c r="B3605" s="8">
        <v>7.0</v>
      </c>
      <c r="C3605" s="4" t="s">
        <v>621</v>
      </c>
      <c r="D3605" s="7" t="s">
        <v>909</v>
      </c>
      <c r="E3605" s="5" t="s">
        <v>3391</v>
      </c>
      <c r="F3605" s="7" t="s">
        <v>1291</v>
      </c>
    </row>
    <row r="3606">
      <c r="A3606" s="7" t="s">
        <v>188</v>
      </c>
      <c r="B3606" s="8">
        <v>7.0</v>
      </c>
      <c r="C3606" s="4" t="s">
        <v>20</v>
      </c>
      <c r="D3606" s="5" t="s">
        <v>1593</v>
      </c>
      <c r="E3606" s="5" t="s">
        <v>2812</v>
      </c>
      <c r="F3606" s="5" t="s">
        <v>2705</v>
      </c>
    </row>
    <row r="3607">
      <c r="A3607" s="5" t="s">
        <v>2592</v>
      </c>
      <c r="B3607" s="8">
        <v>7.0</v>
      </c>
      <c r="C3607" s="4" t="s">
        <v>20</v>
      </c>
      <c r="D3607" s="5" t="s">
        <v>1593</v>
      </c>
      <c r="E3607" s="5" t="s">
        <v>2812</v>
      </c>
      <c r="F3607" s="5" t="s">
        <v>2687</v>
      </c>
    </row>
    <row r="3608">
      <c r="A3608" s="5" t="s">
        <v>2796</v>
      </c>
      <c r="B3608" s="8">
        <v>7.0</v>
      </c>
      <c r="C3608" s="4" t="s">
        <v>20</v>
      </c>
      <c r="D3608" s="5" t="s">
        <v>1593</v>
      </c>
      <c r="E3608" s="5" t="s">
        <v>2812</v>
      </c>
      <c r="F3608" s="5" t="s">
        <v>2705</v>
      </c>
    </row>
    <row r="3609">
      <c r="A3609" s="5" t="s">
        <v>2594</v>
      </c>
      <c r="B3609" s="8">
        <v>7.0</v>
      </c>
      <c r="C3609" s="4" t="s">
        <v>20</v>
      </c>
      <c r="D3609" s="5" t="s">
        <v>1593</v>
      </c>
      <c r="E3609" s="5" t="s">
        <v>2812</v>
      </c>
      <c r="F3609" s="5" t="s">
        <v>2705</v>
      </c>
    </row>
    <row r="3610">
      <c r="A3610" s="5" t="s">
        <v>3086</v>
      </c>
      <c r="B3610" s="8">
        <v>7.0</v>
      </c>
      <c r="C3610" s="4" t="s">
        <v>20</v>
      </c>
      <c r="D3610" s="5" t="s">
        <v>1593</v>
      </c>
      <c r="E3610" s="5" t="s">
        <v>2812</v>
      </c>
      <c r="F3610" s="5" t="s">
        <v>2705</v>
      </c>
    </row>
    <row r="3611">
      <c r="A3611" s="7" t="s">
        <v>868</v>
      </c>
      <c r="B3611" s="8">
        <v>7.0</v>
      </c>
      <c r="C3611" s="4" t="s">
        <v>20</v>
      </c>
      <c r="D3611" s="5" t="s">
        <v>1593</v>
      </c>
      <c r="E3611" s="5" t="s">
        <v>2812</v>
      </c>
      <c r="F3611" s="5" t="s">
        <v>2705</v>
      </c>
    </row>
    <row r="3612">
      <c r="A3612" s="5" t="s">
        <v>3087</v>
      </c>
      <c r="B3612" s="8">
        <v>7.0</v>
      </c>
      <c r="C3612" s="4" t="s">
        <v>20</v>
      </c>
      <c r="D3612" s="5" t="s">
        <v>1593</v>
      </c>
      <c r="E3612" s="5" t="s">
        <v>2812</v>
      </c>
      <c r="F3612" s="5" t="s">
        <v>2687</v>
      </c>
    </row>
    <row r="3613">
      <c r="A3613" s="5" t="s">
        <v>3088</v>
      </c>
      <c r="B3613" s="8">
        <v>7.0</v>
      </c>
      <c r="C3613" s="4" t="s">
        <v>20</v>
      </c>
      <c r="D3613" s="5" t="s">
        <v>1593</v>
      </c>
      <c r="E3613" s="5" t="s">
        <v>2812</v>
      </c>
      <c r="F3613" s="5" t="s">
        <v>3099</v>
      </c>
    </row>
    <row r="3614">
      <c r="A3614" s="5" t="s">
        <v>3388</v>
      </c>
      <c r="B3614" s="8">
        <v>7.0</v>
      </c>
      <c r="C3614" s="4" t="s">
        <v>20</v>
      </c>
      <c r="D3614" s="5" t="s">
        <v>1593</v>
      </c>
      <c r="E3614" s="5" t="s">
        <v>2812</v>
      </c>
      <c r="F3614" s="5" t="s">
        <v>2001</v>
      </c>
    </row>
    <row r="3615">
      <c r="A3615" s="5" t="s">
        <v>2595</v>
      </c>
      <c r="B3615" s="8">
        <v>7.0</v>
      </c>
      <c r="C3615" s="4" t="s">
        <v>20</v>
      </c>
      <c r="D3615" s="5" t="s">
        <v>1593</v>
      </c>
      <c r="E3615" s="5" t="s">
        <v>2812</v>
      </c>
      <c r="F3615" s="5" t="s">
        <v>3100</v>
      </c>
    </row>
    <row r="3616">
      <c r="A3616" s="5" t="s">
        <v>3089</v>
      </c>
      <c r="B3616" s="8">
        <v>7.0</v>
      </c>
      <c r="C3616" s="4" t="s">
        <v>20</v>
      </c>
      <c r="D3616" s="5" t="s">
        <v>1593</v>
      </c>
      <c r="E3616" s="5" t="s">
        <v>2812</v>
      </c>
      <c r="F3616" s="5" t="s">
        <v>3101</v>
      </c>
    </row>
    <row r="3617">
      <c r="A3617" s="5" t="s">
        <v>2597</v>
      </c>
      <c r="B3617" s="8">
        <v>7.0</v>
      </c>
      <c r="C3617" s="4" t="s">
        <v>20</v>
      </c>
      <c r="D3617" s="5" t="s">
        <v>1593</v>
      </c>
      <c r="E3617" s="5" t="s">
        <v>2812</v>
      </c>
      <c r="F3617" s="5" t="s">
        <v>3102</v>
      </c>
    </row>
    <row r="3618">
      <c r="A3618" s="7" t="s">
        <v>8</v>
      </c>
      <c r="B3618" s="8">
        <v>7.0</v>
      </c>
      <c r="C3618" s="4" t="s">
        <v>20</v>
      </c>
      <c r="D3618" s="5" t="s">
        <v>1593</v>
      </c>
      <c r="E3618" s="5" t="s">
        <v>2812</v>
      </c>
      <c r="F3618" s="7" t="s">
        <v>1300</v>
      </c>
    </row>
    <row r="3619">
      <c r="A3619" s="5" t="s">
        <v>2798</v>
      </c>
      <c r="B3619" s="8">
        <v>7.0</v>
      </c>
      <c r="C3619" s="4" t="s">
        <v>20</v>
      </c>
      <c r="D3619" s="5" t="s">
        <v>1593</v>
      </c>
      <c r="E3619" s="5" t="s">
        <v>2812</v>
      </c>
      <c r="F3619" s="5" t="s">
        <v>3103</v>
      </c>
    </row>
    <row r="3620">
      <c r="A3620" s="5" t="s">
        <v>2702</v>
      </c>
      <c r="B3620" s="8">
        <v>7.0</v>
      </c>
      <c r="C3620" s="4" t="s">
        <v>20</v>
      </c>
      <c r="D3620" s="5" t="s">
        <v>1593</v>
      </c>
      <c r="E3620" s="5" t="s">
        <v>2812</v>
      </c>
      <c r="F3620" s="5" t="s">
        <v>2705</v>
      </c>
    </row>
    <row r="3621">
      <c r="A3621" s="5" t="s">
        <v>2599</v>
      </c>
      <c r="B3621" s="8">
        <v>7.0</v>
      </c>
      <c r="C3621" s="4" t="s">
        <v>20</v>
      </c>
      <c r="D3621" s="5" t="s">
        <v>1593</v>
      </c>
      <c r="E3621" s="5" t="s">
        <v>2812</v>
      </c>
      <c r="F3621" s="5" t="s">
        <v>1251</v>
      </c>
    </row>
    <row r="3622">
      <c r="A3622" s="5" t="s">
        <v>2600</v>
      </c>
      <c r="B3622" s="8">
        <v>7.0</v>
      </c>
      <c r="C3622" s="4" t="s">
        <v>20</v>
      </c>
      <c r="D3622" s="5" t="s">
        <v>1593</v>
      </c>
      <c r="E3622" s="5" t="s">
        <v>2812</v>
      </c>
      <c r="F3622" s="5" t="s">
        <v>2705</v>
      </c>
    </row>
    <row r="3623">
      <c r="A3623" s="5" t="s">
        <v>3090</v>
      </c>
      <c r="B3623" s="8">
        <v>7.0</v>
      </c>
      <c r="C3623" s="4" t="s">
        <v>20</v>
      </c>
      <c r="D3623" s="5" t="s">
        <v>1593</v>
      </c>
      <c r="E3623" s="5" t="s">
        <v>2812</v>
      </c>
      <c r="F3623" s="5" t="s">
        <v>3105</v>
      </c>
    </row>
    <row r="3624">
      <c r="A3624" s="7" t="s">
        <v>873</v>
      </c>
      <c r="B3624" s="8">
        <v>7.0</v>
      </c>
      <c r="C3624" s="4" t="s">
        <v>20</v>
      </c>
      <c r="D3624" s="5" t="s">
        <v>1593</v>
      </c>
      <c r="E3624" s="5" t="s">
        <v>2812</v>
      </c>
      <c r="F3624" s="5" t="s">
        <v>3392</v>
      </c>
    </row>
    <row r="3625">
      <c r="A3625" s="5" t="s">
        <v>2602</v>
      </c>
      <c r="B3625" s="8">
        <v>7.0</v>
      </c>
      <c r="C3625" s="4" t="s">
        <v>20</v>
      </c>
      <c r="D3625" s="5" t="s">
        <v>1593</v>
      </c>
      <c r="E3625" s="5" t="s">
        <v>2812</v>
      </c>
      <c r="F3625" s="5" t="s">
        <v>1251</v>
      </c>
    </row>
    <row r="3626">
      <c r="A3626" s="5" t="s">
        <v>2603</v>
      </c>
      <c r="B3626" s="8">
        <v>7.0</v>
      </c>
      <c r="C3626" s="4" t="s">
        <v>20</v>
      </c>
      <c r="D3626" s="5" t="s">
        <v>1593</v>
      </c>
      <c r="E3626" s="5" t="s">
        <v>2812</v>
      </c>
      <c r="F3626" s="5" t="s">
        <v>3107</v>
      </c>
    </row>
    <row r="3627">
      <c r="A3627" s="7" t="s">
        <v>874</v>
      </c>
      <c r="B3627" s="8">
        <v>7.0</v>
      </c>
      <c r="C3627" s="4" t="s">
        <v>20</v>
      </c>
      <c r="D3627" s="5" t="s">
        <v>1593</v>
      </c>
      <c r="E3627" s="5" t="s">
        <v>2812</v>
      </c>
      <c r="F3627" s="5" t="s">
        <v>2705</v>
      </c>
    </row>
    <row r="3628">
      <c r="A3628" s="5" t="s">
        <v>2604</v>
      </c>
      <c r="B3628" s="8">
        <v>7.0</v>
      </c>
      <c r="C3628" s="4" t="s">
        <v>20</v>
      </c>
      <c r="D3628" s="5" t="s">
        <v>1593</v>
      </c>
      <c r="E3628" s="5" t="s">
        <v>2812</v>
      </c>
      <c r="F3628" s="5" t="s">
        <v>2687</v>
      </c>
    </row>
    <row r="3629">
      <c r="A3629" s="5" t="s">
        <v>3091</v>
      </c>
      <c r="B3629" s="8">
        <v>7.0</v>
      </c>
      <c r="C3629" s="4" t="s">
        <v>20</v>
      </c>
      <c r="D3629" s="5" t="s">
        <v>1593</v>
      </c>
      <c r="E3629" s="5" t="s">
        <v>2812</v>
      </c>
      <c r="F3629" s="7" t="s">
        <v>1302</v>
      </c>
    </row>
    <row r="3630">
      <c r="A3630" s="5" t="s">
        <v>2605</v>
      </c>
      <c r="B3630" s="8">
        <v>7.0</v>
      </c>
      <c r="C3630" s="4" t="s">
        <v>20</v>
      </c>
      <c r="D3630" s="5" t="s">
        <v>1593</v>
      </c>
      <c r="E3630" s="5" t="s">
        <v>2812</v>
      </c>
      <c r="F3630" s="5" t="s">
        <v>3099</v>
      </c>
    </row>
    <row r="3631">
      <c r="A3631" s="5" t="s">
        <v>2933</v>
      </c>
      <c r="B3631" s="8">
        <v>7.0</v>
      </c>
      <c r="C3631" s="4" t="s">
        <v>20</v>
      </c>
      <c r="D3631" s="5" t="s">
        <v>1593</v>
      </c>
      <c r="E3631" s="5" t="s">
        <v>2812</v>
      </c>
      <c r="F3631" s="5" t="s">
        <v>906</v>
      </c>
    </row>
    <row r="3632">
      <c r="A3632" s="5" t="s">
        <v>2606</v>
      </c>
      <c r="B3632" s="8">
        <v>7.0</v>
      </c>
      <c r="C3632" s="4" t="s">
        <v>20</v>
      </c>
      <c r="D3632" s="5" t="s">
        <v>1593</v>
      </c>
      <c r="E3632" s="5" t="s">
        <v>2812</v>
      </c>
      <c r="F3632" s="5" t="s">
        <v>906</v>
      </c>
    </row>
    <row r="3633">
      <c r="A3633" s="5" t="s">
        <v>2934</v>
      </c>
      <c r="B3633" s="8">
        <v>7.0</v>
      </c>
      <c r="C3633" s="4" t="s">
        <v>20</v>
      </c>
      <c r="D3633" s="5" t="s">
        <v>1593</v>
      </c>
      <c r="E3633" s="5" t="s">
        <v>2812</v>
      </c>
      <c r="F3633" s="5" t="s">
        <v>906</v>
      </c>
    </row>
    <row r="3634">
      <c r="A3634" s="5" t="s">
        <v>2607</v>
      </c>
      <c r="B3634" s="8">
        <v>7.0</v>
      </c>
      <c r="C3634" s="4" t="s">
        <v>20</v>
      </c>
      <c r="D3634" s="5" t="s">
        <v>1593</v>
      </c>
      <c r="E3634" s="5" t="s">
        <v>2812</v>
      </c>
      <c r="F3634" s="5" t="s">
        <v>906</v>
      </c>
    </row>
    <row r="3635">
      <c r="A3635" s="7" t="s">
        <v>876</v>
      </c>
      <c r="B3635" s="8">
        <v>7.0</v>
      </c>
      <c r="C3635" s="4" t="s">
        <v>20</v>
      </c>
      <c r="D3635" s="5" t="s">
        <v>1593</v>
      </c>
      <c r="E3635" s="5" t="s">
        <v>2812</v>
      </c>
      <c r="F3635" s="5" t="s">
        <v>3108</v>
      </c>
    </row>
    <row r="3636">
      <c r="A3636" s="5" t="s">
        <v>3092</v>
      </c>
      <c r="B3636" s="8">
        <v>7.0</v>
      </c>
      <c r="C3636" s="4" t="s">
        <v>20</v>
      </c>
      <c r="D3636" s="5" t="s">
        <v>1593</v>
      </c>
      <c r="E3636" s="5" t="s">
        <v>2812</v>
      </c>
      <c r="F3636" s="5" t="s">
        <v>906</v>
      </c>
    </row>
    <row r="3637">
      <c r="A3637" s="5" t="s">
        <v>2614</v>
      </c>
      <c r="B3637" s="8">
        <v>7.0</v>
      </c>
      <c r="C3637" s="4" t="s">
        <v>20</v>
      </c>
      <c r="D3637" s="5" t="s">
        <v>1593</v>
      </c>
      <c r="E3637" s="5" t="s">
        <v>2812</v>
      </c>
      <c r="F3637" s="7" t="s">
        <v>908</v>
      </c>
    </row>
    <row r="3638">
      <c r="A3638" s="5" t="s">
        <v>2608</v>
      </c>
      <c r="B3638" s="8">
        <v>7.0</v>
      </c>
      <c r="C3638" s="4" t="s">
        <v>20</v>
      </c>
      <c r="D3638" s="5" t="s">
        <v>1593</v>
      </c>
      <c r="E3638" s="5" t="s">
        <v>2812</v>
      </c>
      <c r="F3638" s="5" t="s">
        <v>906</v>
      </c>
    </row>
    <row r="3639">
      <c r="A3639" s="5" t="s">
        <v>2609</v>
      </c>
      <c r="B3639" s="8">
        <v>7.0</v>
      </c>
      <c r="C3639" s="4" t="s">
        <v>20</v>
      </c>
      <c r="D3639" s="5" t="s">
        <v>1593</v>
      </c>
      <c r="E3639" s="5" t="s">
        <v>2812</v>
      </c>
      <c r="F3639" s="5" t="s">
        <v>906</v>
      </c>
    </row>
    <row r="3640">
      <c r="A3640" s="7" t="s">
        <v>188</v>
      </c>
      <c r="B3640" s="8">
        <v>7.0</v>
      </c>
      <c r="C3640" s="4" t="s">
        <v>35</v>
      </c>
      <c r="D3640" s="7" t="s">
        <v>1303</v>
      </c>
      <c r="E3640" s="5" t="s">
        <v>2818</v>
      </c>
      <c r="F3640" s="5" t="s">
        <v>2820</v>
      </c>
    </row>
    <row r="3641">
      <c r="A3641" s="5" t="s">
        <v>2592</v>
      </c>
      <c r="B3641" s="8">
        <v>7.0</v>
      </c>
      <c r="C3641" s="4" t="s">
        <v>35</v>
      </c>
      <c r="D3641" s="7" t="s">
        <v>1303</v>
      </c>
      <c r="E3641" s="5" t="s">
        <v>2818</v>
      </c>
      <c r="F3641" s="5" t="s">
        <v>2670</v>
      </c>
    </row>
    <row r="3642">
      <c r="A3642" s="5" t="s">
        <v>2796</v>
      </c>
      <c r="B3642" s="8">
        <v>7.0</v>
      </c>
      <c r="C3642" s="4" t="s">
        <v>35</v>
      </c>
      <c r="D3642" s="7" t="s">
        <v>1303</v>
      </c>
      <c r="E3642" s="5" t="s">
        <v>2818</v>
      </c>
      <c r="F3642" s="5" t="s">
        <v>2820</v>
      </c>
    </row>
    <row r="3643">
      <c r="A3643" s="5" t="s">
        <v>2594</v>
      </c>
      <c r="B3643" s="8">
        <v>7.0</v>
      </c>
      <c r="C3643" s="4" t="s">
        <v>35</v>
      </c>
      <c r="D3643" s="7" t="s">
        <v>1303</v>
      </c>
      <c r="E3643" s="5" t="s">
        <v>2818</v>
      </c>
      <c r="F3643" s="5" t="s">
        <v>2820</v>
      </c>
    </row>
    <row r="3644">
      <c r="A3644" s="5" t="s">
        <v>3086</v>
      </c>
      <c r="B3644" s="8">
        <v>7.0</v>
      </c>
      <c r="C3644" s="4" t="s">
        <v>35</v>
      </c>
      <c r="D3644" s="7" t="s">
        <v>1303</v>
      </c>
      <c r="E3644" s="5" t="s">
        <v>2818</v>
      </c>
      <c r="F3644" s="5" t="s">
        <v>3110</v>
      </c>
    </row>
    <row r="3645">
      <c r="A3645" s="7" t="s">
        <v>868</v>
      </c>
      <c r="B3645" s="8">
        <v>7.0</v>
      </c>
      <c r="C3645" s="4" t="s">
        <v>35</v>
      </c>
      <c r="D3645" s="7" t="s">
        <v>1303</v>
      </c>
      <c r="E3645" s="5" t="s">
        <v>2818</v>
      </c>
      <c r="F3645" s="5" t="s">
        <v>2820</v>
      </c>
    </row>
    <row r="3646">
      <c r="A3646" s="5" t="s">
        <v>3087</v>
      </c>
      <c r="B3646" s="8">
        <v>7.0</v>
      </c>
      <c r="C3646" s="4" t="s">
        <v>35</v>
      </c>
      <c r="D3646" s="7" t="s">
        <v>1303</v>
      </c>
      <c r="E3646" s="5" t="s">
        <v>2818</v>
      </c>
      <c r="F3646" s="5" t="s">
        <v>2670</v>
      </c>
    </row>
    <row r="3647">
      <c r="A3647" s="5" t="s">
        <v>3088</v>
      </c>
      <c r="B3647" s="8">
        <v>7.0</v>
      </c>
      <c r="C3647" s="4" t="s">
        <v>35</v>
      </c>
      <c r="D3647" s="7" t="s">
        <v>1303</v>
      </c>
      <c r="E3647" s="5" t="s">
        <v>2818</v>
      </c>
      <c r="F3647" s="5" t="s">
        <v>3393</v>
      </c>
    </row>
    <row r="3648">
      <c r="A3648" s="5" t="s">
        <v>3388</v>
      </c>
      <c r="B3648" s="8">
        <v>7.0</v>
      </c>
      <c r="C3648" s="4" t="s">
        <v>35</v>
      </c>
      <c r="D3648" s="7" t="s">
        <v>1303</v>
      </c>
      <c r="E3648" s="5" t="s">
        <v>2818</v>
      </c>
      <c r="F3648" s="5" t="s">
        <v>3394</v>
      </c>
    </row>
    <row r="3649">
      <c r="A3649" s="5" t="s">
        <v>2595</v>
      </c>
      <c r="B3649" s="8">
        <v>7.0</v>
      </c>
      <c r="C3649" s="4" t="s">
        <v>35</v>
      </c>
      <c r="D3649" s="7" t="s">
        <v>1303</v>
      </c>
      <c r="E3649" s="5" t="s">
        <v>2818</v>
      </c>
      <c r="F3649" s="5" t="s">
        <v>2670</v>
      </c>
    </row>
    <row r="3650">
      <c r="A3650" s="5" t="s">
        <v>3089</v>
      </c>
      <c r="B3650" s="8">
        <v>7.0</v>
      </c>
      <c r="C3650" s="4" t="s">
        <v>35</v>
      </c>
      <c r="D3650" s="7" t="s">
        <v>1303</v>
      </c>
      <c r="E3650" s="5" t="s">
        <v>2818</v>
      </c>
      <c r="F3650" s="5" t="s">
        <v>3112</v>
      </c>
    </row>
    <row r="3651">
      <c r="A3651" s="5" t="s">
        <v>2597</v>
      </c>
      <c r="B3651" s="8">
        <v>7.0</v>
      </c>
      <c r="C3651" s="4" t="s">
        <v>35</v>
      </c>
      <c r="D3651" s="7" t="s">
        <v>1303</v>
      </c>
      <c r="E3651" s="5" t="s">
        <v>2818</v>
      </c>
      <c r="F3651" s="5" t="s">
        <v>2670</v>
      </c>
    </row>
    <row r="3652">
      <c r="A3652" s="7" t="s">
        <v>8</v>
      </c>
      <c r="B3652" s="8">
        <v>7.0</v>
      </c>
      <c r="C3652" s="4" t="s">
        <v>35</v>
      </c>
      <c r="D3652" s="7" t="s">
        <v>1303</v>
      </c>
      <c r="E3652" s="5" t="s">
        <v>2818</v>
      </c>
      <c r="F3652" s="5" t="s">
        <v>240</v>
      </c>
    </row>
    <row r="3653">
      <c r="A3653" s="5" t="s">
        <v>2798</v>
      </c>
      <c r="B3653" s="8">
        <v>7.0</v>
      </c>
      <c r="C3653" s="4" t="s">
        <v>35</v>
      </c>
      <c r="D3653" s="7" t="s">
        <v>1303</v>
      </c>
      <c r="E3653" s="5" t="s">
        <v>2818</v>
      </c>
      <c r="F3653" s="5" t="s">
        <v>3113</v>
      </c>
    </row>
    <row r="3654">
      <c r="A3654" s="5" t="s">
        <v>2702</v>
      </c>
      <c r="B3654" s="8">
        <v>7.0</v>
      </c>
      <c r="C3654" s="4" t="s">
        <v>35</v>
      </c>
      <c r="D3654" s="7" t="s">
        <v>1303</v>
      </c>
      <c r="E3654" s="5" t="s">
        <v>2818</v>
      </c>
      <c r="F3654" s="5" t="s">
        <v>305</v>
      </c>
    </row>
    <row r="3655">
      <c r="A3655" s="5" t="s">
        <v>2599</v>
      </c>
      <c r="B3655" s="8">
        <v>7.0</v>
      </c>
      <c r="C3655" s="4" t="s">
        <v>35</v>
      </c>
      <c r="D3655" s="7" t="s">
        <v>1303</v>
      </c>
      <c r="E3655" s="5" t="s">
        <v>2818</v>
      </c>
      <c r="F3655" s="5" t="s">
        <v>240</v>
      </c>
    </row>
    <row r="3656">
      <c r="A3656" s="5" t="s">
        <v>2600</v>
      </c>
      <c r="B3656" s="8">
        <v>7.0</v>
      </c>
      <c r="C3656" s="4" t="s">
        <v>35</v>
      </c>
      <c r="D3656" s="7" t="s">
        <v>1303</v>
      </c>
      <c r="E3656" s="5" t="s">
        <v>2818</v>
      </c>
      <c r="F3656" s="5" t="s">
        <v>305</v>
      </c>
    </row>
    <row r="3657">
      <c r="A3657" s="5" t="s">
        <v>3090</v>
      </c>
      <c r="B3657" s="8">
        <v>7.0</v>
      </c>
      <c r="C3657" s="4" t="s">
        <v>35</v>
      </c>
      <c r="D3657" s="7" t="s">
        <v>1303</v>
      </c>
      <c r="E3657" s="5" t="s">
        <v>2818</v>
      </c>
      <c r="F3657" s="5" t="s">
        <v>2820</v>
      </c>
    </row>
    <row r="3658">
      <c r="A3658" s="7" t="s">
        <v>873</v>
      </c>
      <c r="B3658" s="8">
        <v>7.0</v>
      </c>
      <c r="C3658" s="4" t="s">
        <v>35</v>
      </c>
      <c r="D3658" s="7" t="s">
        <v>1303</v>
      </c>
      <c r="E3658" s="5" t="s">
        <v>2818</v>
      </c>
      <c r="F3658" s="5" t="s">
        <v>2670</v>
      </c>
    </row>
    <row r="3659">
      <c r="A3659" s="5" t="s">
        <v>2602</v>
      </c>
      <c r="B3659" s="8">
        <v>7.0</v>
      </c>
      <c r="C3659" s="4" t="s">
        <v>35</v>
      </c>
      <c r="D3659" s="7" t="s">
        <v>1303</v>
      </c>
      <c r="E3659" s="5" t="s">
        <v>2818</v>
      </c>
      <c r="F3659" s="5" t="s">
        <v>2670</v>
      </c>
    </row>
    <row r="3660">
      <c r="A3660" s="5" t="s">
        <v>2603</v>
      </c>
      <c r="B3660" s="8">
        <v>7.0</v>
      </c>
      <c r="C3660" s="4" t="s">
        <v>35</v>
      </c>
      <c r="D3660" s="7" t="s">
        <v>1303</v>
      </c>
      <c r="E3660" s="5" t="s">
        <v>2818</v>
      </c>
      <c r="F3660" s="5" t="s">
        <v>3115</v>
      </c>
    </row>
    <row r="3661">
      <c r="A3661" s="7" t="s">
        <v>874</v>
      </c>
      <c r="B3661" s="8">
        <v>7.0</v>
      </c>
      <c r="C3661" s="4" t="s">
        <v>35</v>
      </c>
      <c r="D3661" s="7" t="s">
        <v>1303</v>
      </c>
      <c r="E3661" s="5" t="s">
        <v>2818</v>
      </c>
      <c r="F3661" s="5" t="s">
        <v>305</v>
      </c>
    </row>
    <row r="3662">
      <c r="A3662" s="5" t="s">
        <v>2604</v>
      </c>
      <c r="B3662" s="8">
        <v>7.0</v>
      </c>
      <c r="C3662" s="4" t="s">
        <v>35</v>
      </c>
      <c r="D3662" s="7" t="s">
        <v>1303</v>
      </c>
      <c r="E3662" s="5" t="s">
        <v>2818</v>
      </c>
      <c r="F3662" s="5" t="s">
        <v>2820</v>
      </c>
    </row>
    <row r="3663">
      <c r="A3663" s="5" t="s">
        <v>3091</v>
      </c>
      <c r="B3663" s="8">
        <v>7.0</v>
      </c>
      <c r="C3663" s="4" t="s">
        <v>35</v>
      </c>
      <c r="D3663" s="7" t="s">
        <v>1303</v>
      </c>
      <c r="E3663" s="5" t="s">
        <v>2818</v>
      </c>
      <c r="F3663" s="5" t="s">
        <v>2820</v>
      </c>
    </row>
    <row r="3664">
      <c r="A3664" s="5" t="s">
        <v>2605</v>
      </c>
      <c r="B3664" s="8">
        <v>7.0</v>
      </c>
      <c r="C3664" s="4" t="s">
        <v>35</v>
      </c>
      <c r="D3664" s="7" t="s">
        <v>1303</v>
      </c>
      <c r="E3664" s="5" t="s">
        <v>2818</v>
      </c>
      <c r="F3664" s="5" t="s">
        <v>2820</v>
      </c>
    </row>
    <row r="3665">
      <c r="A3665" s="5" t="s">
        <v>2933</v>
      </c>
      <c r="B3665" s="8">
        <v>7.0</v>
      </c>
      <c r="C3665" s="4" t="s">
        <v>35</v>
      </c>
      <c r="D3665" s="7" t="s">
        <v>1303</v>
      </c>
      <c r="E3665" s="5" t="s">
        <v>2818</v>
      </c>
      <c r="F3665" s="5" t="s">
        <v>3116</v>
      </c>
    </row>
    <row r="3666">
      <c r="A3666" s="5" t="s">
        <v>2606</v>
      </c>
      <c r="B3666" s="8">
        <v>7.0</v>
      </c>
      <c r="C3666" s="4" t="s">
        <v>35</v>
      </c>
      <c r="D3666" s="7" t="s">
        <v>1303</v>
      </c>
      <c r="E3666" s="5" t="s">
        <v>2818</v>
      </c>
      <c r="F3666" s="5" t="s">
        <v>240</v>
      </c>
    </row>
    <row r="3667">
      <c r="A3667" s="5" t="s">
        <v>2934</v>
      </c>
      <c r="B3667" s="8">
        <v>7.0</v>
      </c>
      <c r="C3667" s="4" t="s">
        <v>35</v>
      </c>
      <c r="D3667" s="7" t="s">
        <v>1303</v>
      </c>
      <c r="E3667" s="5" t="s">
        <v>2818</v>
      </c>
      <c r="F3667" s="5" t="s">
        <v>304</v>
      </c>
    </row>
    <row r="3668">
      <c r="A3668" s="5" t="s">
        <v>2607</v>
      </c>
      <c r="B3668" s="8">
        <v>7.0</v>
      </c>
      <c r="C3668" s="4" t="s">
        <v>35</v>
      </c>
      <c r="D3668" s="7" t="s">
        <v>1303</v>
      </c>
      <c r="E3668" s="5" t="s">
        <v>2818</v>
      </c>
      <c r="F3668" s="5" t="s">
        <v>240</v>
      </c>
    </row>
    <row r="3669">
      <c r="A3669" s="7" t="s">
        <v>876</v>
      </c>
      <c r="B3669" s="8">
        <v>7.0</v>
      </c>
      <c r="C3669" s="4" t="s">
        <v>35</v>
      </c>
      <c r="D3669" s="7" t="s">
        <v>1303</v>
      </c>
      <c r="E3669" s="5" t="s">
        <v>2818</v>
      </c>
      <c r="F3669" s="5" t="s">
        <v>3112</v>
      </c>
    </row>
    <row r="3670">
      <c r="A3670" s="5" t="s">
        <v>3092</v>
      </c>
      <c r="B3670" s="8">
        <v>7.0</v>
      </c>
      <c r="C3670" s="4" t="s">
        <v>35</v>
      </c>
      <c r="D3670" s="7" t="s">
        <v>1303</v>
      </c>
      <c r="E3670" s="5" t="s">
        <v>2818</v>
      </c>
      <c r="F3670" s="5" t="s">
        <v>240</v>
      </c>
    </row>
    <row r="3671">
      <c r="A3671" s="5" t="s">
        <v>2614</v>
      </c>
      <c r="B3671" s="8">
        <v>7.0</v>
      </c>
      <c r="C3671" s="4" t="s">
        <v>35</v>
      </c>
      <c r="D3671" s="7" t="s">
        <v>1303</v>
      </c>
      <c r="E3671" s="5" t="s">
        <v>2818</v>
      </c>
      <c r="F3671" s="5" t="s">
        <v>2670</v>
      </c>
    </row>
    <row r="3672">
      <c r="A3672" s="5" t="s">
        <v>2608</v>
      </c>
      <c r="B3672" s="8">
        <v>7.0</v>
      </c>
      <c r="C3672" s="4" t="s">
        <v>35</v>
      </c>
      <c r="D3672" s="7" t="s">
        <v>1303</v>
      </c>
      <c r="E3672" s="5" t="s">
        <v>2818</v>
      </c>
      <c r="F3672" s="5" t="s">
        <v>240</v>
      </c>
    </row>
    <row r="3673">
      <c r="A3673" s="5" t="s">
        <v>2609</v>
      </c>
      <c r="B3673" s="8">
        <v>7.0</v>
      </c>
      <c r="C3673" s="4" t="s">
        <v>35</v>
      </c>
      <c r="D3673" s="7" t="s">
        <v>1303</v>
      </c>
      <c r="E3673" s="5" t="s">
        <v>2818</v>
      </c>
      <c r="F3673" s="5" t="s">
        <v>240</v>
      </c>
    </row>
    <row r="3674">
      <c r="A3674" s="7" t="s">
        <v>188</v>
      </c>
      <c r="B3674" s="8">
        <v>7.0</v>
      </c>
      <c r="C3674" s="4" t="s">
        <v>918</v>
      </c>
      <c r="D3674" s="7" t="s">
        <v>1306</v>
      </c>
      <c r="E3674" s="5" t="s">
        <v>3395</v>
      </c>
      <c r="F3674" s="5" t="s">
        <v>3119</v>
      </c>
    </row>
    <row r="3675">
      <c r="A3675" s="5" t="s">
        <v>2592</v>
      </c>
      <c r="B3675" s="8">
        <v>7.0</v>
      </c>
      <c r="C3675" s="4" t="s">
        <v>918</v>
      </c>
      <c r="D3675" s="7" t="s">
        <v>1306</v>
      </c>
      <c r="E3675" s="5" t="s">
        <v>3395</v>
      </c>
      <c r="F3675" s="4" t="s">
        <v>3396</v>
      </c>
    </row>
    <row r="3676">
      <c r="A3676" s="5" t="s">
        <v>2796</v>
      </c>
      <c r="B3676" s="8">
        <v>7.0</v>
      </c>
      <c r="C3676" s="4" t="s">
        <v>918</v>
      </c>
      <c r="D3676" s="7" t="s">
        <v>1306</v>
      </c>
      <c r="E3676" s="5" t="s">
        <v>3395</v>
      </c>
      <c r="F3676" s="5" t="s">
        <v>3119</v>
      </c>
    </row>
    <row r="3677">
      <c r="A3677" s="5" t="s">
        <v>2594</v>
      </c>
      <c r="B3677" s="8">
        <v>7.0</v>
      </c>
      <c r="C3677" s="4" t="s">
        <v>918</v>
      </c>
      <c r="D3677" s="7" t="s">
        <v>1306</v>
      </c>
      <c r="E3677" s="5" t="s">
        <v>3395</v>
      </c>
      <c r="F3677" s="5" t="s">
        <v>3119</v>
      </c>
    </row>
    <row r="3678">
      <c r="A3678" s="5" t="s">
        <v>3086</v>
      </c>
      <c r="B3678" s="8">
        <v>7.0</v>
      </c>
      <c r="C3678" s="4" t="s">
        <v>918</v>
      </c>
      <c r="D3678" s="7" t="s">
        <v>1306</v>
      </c>
      <c r="E3678" s="5" t="s">
        <v>3395</v>
      </c>
      <c r="F3678" s="5" t="s">
        <v>3119</v>
      </c>
    </row>
    <row r="3679">
      <c r="A3679" s="7" t="s">
        <v>868</v>
      </c>
      <c r="B3679" s="8">
        <v>7.0</v>
      </c>
      <c r="C3679" s="4" t="s">
        <v>918</v>
      </c>
      <c r="D3679" s="7" t="s">
        <v>1306</v>
      </c>
      <c r="E3679" s="5" t="s">
        <v>3395</v>
      </c>
      <c r="F3679" s="5" t="s">
        <v>3119</v>
      </c>
    </row>
    <row r="3680">
      <c r="A3680" s="5" t="s">
        <v>3087</v>
      </c>
      <c r="B3680" s="8">
        <v>7.0</v>
      </c>
      <c r="C3680" s="4" t="s">
        <v>918</v>
      </c>
      <c r="D3680" s="7" t="s">
        <v>1306</v>
      </c>
      <c r="E3680" s="5" t="s">
        <v>3395</v>
      </c>
      <c r="F3680" s="4" t="s">
        <v>3396</v>
      </c>
    </row>
    <row r="3681">
      <c r="A3681" s="5" t="s">
        <v>3088</v>
      </c>
      <c r="B3681" s="8">
        <v>7.0</v>
      </c>
      <c r="C3681" s="4" t="s">
        <v>918</v>
      </c>
      <c r="D3681" s="7" t="s">
        <v>1306</v>
      </c>
      <c r="E3681" s="5" t="s">
        <v>3395</v>
      </c>
      <c r="F3681" s="5" t="s">
        <v>3119</v>
      </c>
    </row>
    <row r="3682">
      <c r="A3682" s="5" t="s">
        <v>3388</v>
      </c>
      <c r="B3682" s="8">
        <v>7.0</v>
      </c>
      <c r="C3682" s="4" t="s">
        <v>918</v>
      </c>
      <c r="D3682" s="7" t="s">
        <v>1306</v>
      </c>
      <c r="E3682" s="5" t="s">
        <v>3395</v>
      </c>
      <c r="F3682" s="4" t="s">
        <v>3396</v>
      </c>
    </row>
    <row r="3683">
      <c r="A3683" s="5" t="s">
        <v>2595</v>
      </c>
      <c r="B3683" s="8">
        <v>7.0</v>
      </c>
      <c r="C3683" s="4" t="s">
        <v>918</v>
      </c>
      <c r="D3683" s="7" t="s">
        <v>1306</v>
      </c>
      <c r="E3683" s="5" t="s">
        <v>3395</v>
      </c>
      <c r="F3683" s="4" t="s">
        <v>3396</v>
      </c>
    </row>
    <row r="3684">
      <c r="A3684" s="5" t="s">
        <v>3089</v>
      </c>
      <c r="B3684" s="8">
        <v>7.0</v>
      </c>
      <c r="C3684" s="4" t="s">
        <v>918</v>
      </c>
      <c r="D3684" s="7" t="s">
        <v>1306</v>
      </c>
      <c r="E3684" s="5" t="s">
        <v>3395</v>
      </c>
      <c r="F3684" s="5" t="s">
        <v>3119</v>
      </c>
    </row>
    <row r="3685">
      <c r="A3685" s="5" t="s">
        <v>2597</v>
      </c>
      <c r="B3685" s="8">
        <v>7.0</v>
      </c>
      <c r="C3685" s="4" t="s">
        <v>918</v>
      </c>
      <c r="D3685" s="7" t="s">
        <v>1306</v>
      </c>
      <c r="E3685" s="5" t="s">
        <v>3395</v>
      </c>
      <c r="F3685" s="4" t="s">
        <v>3396</v>
      </c>
    </row>
    <row r="3686">
      <c r="A3686" s="7" t="s">
        <v>8</v>
      </c>
      <c r="B3686" s="8">
        <v>7.0</v>
      </c>
      <c r="C3686" s="4" t="s">
        <v>918</v>
      </c>
      <c r="D3686" s="7" t="s">
        <v>1306</v>
      </c>
      <c r="E3686" s="5" t="s">
        <v>3395</v>
      </c>
      <c r="F3686" s="4" t="s">
        <v>3396</v>
      </c>
    </row>
    <row r="3687">
      <c r="A3687" s="5" t="s">
        <v>2798</v>
      </c>
      <c r="B3687" s="8">
        <v>7.0</v>
      </c>
      <c r="C3687" s="4" t="s">
        <v>918</v>
      </c>
      <c r="D3687" s="7" t="s">
        <v>1306</v>
      </c>
      <c r="E3687" s="5" t="s">
        <v>3395</v>
      </c>
      <c r="F3687" s="4" t="s">
        <v>3396</v>
      </c>
    </row>
    <row r="3688">
      <c r="A3688" s="5" t="s">
        <v>2702</v>
      </c>
      <c r="B3688" s="8">
        <v>7.0</v>
      </c>
      <c r="C3688" s="4" t="s">
        <v>918</v>
      </c>
      <c r="D3688" s="7" t="s">
        <v>1306</v>
      </c>
      <c r="E3688" s="5" t="s">
        <v>3395</v>
      </c>
      <c r="F3688" s="5" t="s">
        <v>3119</v>
      </c>
    </row>
    <row r="3689">
      <c r="A3689" s="5" t="s">
        <v>2599</v>
      </c>
      <c r="B3689" s="8">
        <v>7.0</v>
      </c>
      <c r="C3689" s="4" t="s">
        <v>918</v>
      </c>
      <c r="D3689" s="7" t="s">
        <v>1306</v>
      </c>
      <c r="E3689" s="5" t="s">
        <v>3395</v>
      </c>
      <c r="F3689" s="5" t="s">
        <v>3397</v>
      </c>
    </row>
    <row r="3690">
      <c r="A3690" s="5" t="s">
        <v>2600</v>
      </c>
      <c r="B3690" s="8">
        <v>7.0</v>
      </c>
      <c r="C3690" s="4" t="s">
        <v>918</v>
      </c>
      <c r="D3690" s="7" t="s">
        <v>1306</v>
      </c>
      <c r="E3690" s="5" t="s">
        <v>3395</v>
      </c>
      <c r="F3690" s="5" t="s">
        <v>3119</v>
      </c>
    </row>
    <row r="3691">
      <c r="A3691" s="5" t="s">
        <v>3090</v>
      </c>
      <c r="B3691" s="8">
        <v>7.0</v>
      </c>
      <c r="C3691" s="4" t="s">
        <v>918</v>
      </c>
      <c r="D3691" s="7" t="s">
        <v>1306</v>
      </c>
      <c r="E3691" s="5" t="s">
        <v>3395</v>
      </c>
      <c r="F3691" s="4" t="s">
        <v>3396</v>
      </c>
    </row>
    <row r="3692">
      <c r="A3692" s="7" t="s">
        <v>873</v>
      </c>
      <c r="B3692" s="8">
        <v>7.0</v>
      </c>
      <c r="C3692" s="4" t="s">
        <v>918</v>
      </c>
      <c r="D3692" s="7" t="s">
        <v>1306</v>
      </c>
      <c r="E3692" s="5" t="s">
        <v>3395</v>
      </c>
      <c r="F3692" s="4" t="s">
        <v>3396</v>
      </c>
    </row>
    <row r="3693">
      <c r="A3693" s="5" t="s">
        <v>2602</v>
      </c>
      <c r="B3693" s="8">
        <v>7.0</v>
      </c>
      <c r="C3693" s="4" t="s">
        <v>918</v>
      </c>
      <c r="D3693" s="7" t="s">
        <v>1306</v>
      </c>
      <c r="E3693" s="5" t="s">
        <v>3395</v>
      </c>
      <c r="F3693" s="4" t="s">
        <v>3396</v>
      </c>
    </row>
    <row r="3694">
      <c r="A3694" s="5" t="s">
        <v>2603</v>
      </c>
      <c r="B3694" s="8">
        <v>7.0</v>
      </c>
      <c r="C3694" s="4" t="s">
        <v>918</v>
      </c>
      <c r="D3694" s="7" t="s">
        <v>1306</v>
      </c>
      <c r="E3694" s="5" t="s">
        <v>3395</v>
      </c>
      <c r="F3694" s="4" t="s">
        <v>3396</v>
      </c>
    </row>
    <row r="3695">
      <c r="A3695" s="7" t="s">
        <v>874</v>
      </c>
      <c r="B3695" s="8">
        <v>7.0</v>
      </c>
      <c r="C3695" s="4" t="s">
        <v>918</v>
      </c>
      <c r="D3695" s="7" t="s">
        <v>1306</v>
      </c>
      <c r="E3695" s="5" t="s">
        <v>3395</v>
      </c>
      <c r="F3695" s="5" t="s">
        <v>3119</v>
      </c>
    </row>
    <row r="3696">
      <c r="A3696" s="5" t="s">
        <v>2604</v>
      </c>
      <c r="B3696" s="8">
        <v>7.0</v>
      </c>
      <c r="C3696" s="4" t="s">
        <v>918</v>
      </c>
      <c r="D3696" s="7" t="s">
        <v>1306</v>
      </c>
      <c r="E3696" s="5" t="s">
        <v>3395</v>
      </c>
      <c r="F3696" s="5" t="s">
        <v>3119</v>
      </c>
    </row>
    <row r="3697">
      <c r="A3697" s="5" t="s">
        <v>3091</v>
      </c>
      <c r="B3697" s="8">
        <v>7.0</v>
      </c>
      <c r="C3697" s="4" t="s">
        <v>918</v>
      </c>
      <c r="D3697" s="7" t="s">
        <v>1306</v>
      </c>
      <c r="E3697" s="5" t="s">
        <v>3395</v>
      </c>
      <c r="F3697" s="5" t="s">
        <v>3398</v>
      </c>
    </row>
    <row r="3698">
      <c r="A3698" s="5" t="s">
        <v>2605</v>
      </c>
      <c r="B3698" s="8">
        <v>7.0</v>
      </c>
      <c r="C3698" s="4" t="s">
        <v>918</v>
      </c>
      <c r="D3698" s="7" t="s">
        <v>1306</v>
      </c>
      <c r="E3698" s="5" t="s">
        <v>3395</v>
      </c>
      <c r="F3698" s="5" t="s">
        <v>3119</v>
      </c>
    </row>
    <row r="3699">
      <c r="A3699" s="5" t="s">
        <v>2933</v>
      </c>
      <c r="B3699" s="8">
        <v>7.0</v>
      </c>
      <c r="C3699" s="4" t="s">
        <v>918</v>
      </c>
      <c r="D3699" s="7" t="s">
        <v>1306</v>
      </c>
      <c r="E3699" s="5" t="s">
        <v>3395</v>
      </c>
      <c r="F3699" s="4" t="s">
        <v>3396</v>
      </c>
    </row>
    <row r="3700">
      <c r="A3700" s="5" t="s">
        <v>2606</v>
      </c>
      <c r="B3700" s="8">
        <v>7.0</v>
      </c>
      <c r="C3700" s="4" t="s">
        <v>918</v>
      </c>
      <c r="D3700" s="7" t="s">
        <v>1306</v>
      </c>
      <c r="E3700" s="5" t="s">
        <v>3395</v>
      </c>
      <c r="F3700" s="4" t="s">
        <v>3396</v>
      </c>
    </row>
    <row r="3701">
      <c r="A3701" s="5" t="s">
        <v>2934</v>
      </c>
      <c r="B3701" s="8">
        <v>7.0</v>
      </c>
      <c r="C3701" s="4" t="s">
        <v>918</v>
      </c>
      <c r="D3701" s="7" t="s">
        <v>1306</v>
      </c>
      <c r="E3701" s="5" t="s">
        <v>3395</v>
      </c>
      <c r="F3701" s="4" t="s">
        <v>3396</v>
      </c>
    </row>
    <row r="3702">
      <c r="A3702" s="5" t="s">
        <v>2607</v>
      </c>
      <c r="B3702" s="8">
        <v>7.0</v>
      </c>
      <c r="C3702" s="4" t="s">
        <v>918</v>
      </c>
      <c r="D3702" s="7" t="s">
        <v>1306</v>
      </c>
      <c r="E3702" s="5" t="s">
        <v>3395</v>
      </c>
      <c r="F3702" s="4" t="s">
        <v>3396</v>
      </c>
    </row>
    <row r="3703">
      <c r="A3703" s="7" t="s">
        <v>876</v>
      </c>
      <c r="B3703" s="8">
        <v>7.0</v>
      </c>
      <c r="C3703" s="4" t="s">
        <v>918</v>
      </c>
      <c r="D3703" s="7" t="s">
        <v>1306</v>
      </c>
      <c r="E3703" s="5" t="s">
        <v>3395</v>
      </c>
      <c r="F3703" s="4" t="s">
        <v>3119</v>
      </c>
    </row>
    <row r="3704">
      <c r="A3704" s="5" t="s">
        <v>3092</v>
      </c>
      <c r="B3704" s="8">
        <v>7.0</v>
      </c>
      <c r="C3704" s="4" t="s">
        <v>918</v>
      </c>
      <c r="D3704" s="7" t="s">
        <v>1306</v>
      </c>
      <c r="E3704" s="5" t="s">
        <v>3395</v>
      </c>
      <c r="F3704" s="4" t="s">
        <v>3396</v>
      </c>
    </row>
    <row r="3705">
      <c r="A3705" s="5" t="s">
        <v>2614</v>
      </c>
      <c r="B3705" s="8">
        <v>7.0</v>
      </c>
      <c r="C3705" s="4" t="s">
        <v>918</v>
      </c>
      <c r="D3705" s="7" t="s">
        <v>1306</v>
      </c>
      <c r="E3705" s="5" t="s">
        <v>3395</v>
      </c>
      <c r="F3705" s="4" t="s">
        <v>3396</v>
      </c>
    </row>
    <row r="3706">
      <c r="A3706" s="5" t="s">
        <v>2608</v>
      </c>
      <c r="B3706" s="8">
        <v>7.0</v>
      </c>
      <c r="C3706" s="4" t="s">
        <v>918</v>
      </c>
      <c r="D3706" s="7" t="s">
        <v>1306</v>
      </c>
      <c r="E3706" s="5" t="s">
        <v>3395</v>
      </c>
      <c r="F3706" s="4" t="s">
        <v>3396</v>
      </c>
    </row>
    <row r="3707">
      <c r="A3707" s="5" t="s">
        <v>2609</v>
      </c>
      <c r="B3707" s="8">
        <v>7.0</v>
      </c>
      <c r="C3707" s="4" t="s">
        <v>918</v>
      </c>
      <c r="D3707" s="7" t="s">
        <v>1306</v>
      </c>
      <c r="E3707" s="5" t="s">
        <v>3395</v>
      </c>
      <c r="F3707" s="4" t="s">
        <v>3396</v>
      </c>
    </row>
    <row r="3708">
      <c r="A3708" s="7" t="s">
        <v>188</v>
      </c>
      <c r="B3708" s="8">
        <v>7.0</v>
      </c>
      <c r="C3708" s="7" t="s">
        <v>437</v>
      </c>
      <c r="D3708" s="7" t="s">
        <v>44</v>
      </c>
      <c r="E3708" s="5" t="s">
        <v>3399</v>
      </c>
      <c r="F3708" s="5" t="s">
        <v>3135</v>
      </c>
    </row>
    <row r="3709">
      <c r="A3709" s="5" t="s">
        <v>2592</v>
      </c>
      <c r="B3709" s="8">
        <v>7.0</v>
      </c>
      <c r="C3709" s="7" t="s">
        <v>437</v>
      </c>
      <c r="D3709" s="7" t="s">
        <v>44</v>
      </c>
      <c r="E3709" s="5" t="s">
        <v>3399</v>
      </c>
      <c r="F3709" s="5" t="s">
        <v>57</v>
      </c>
    </row>
    <row r="3710">
      <c r="A3710" s="5" t="s">
        <v>2796</v>
      </c>
      <c r="B3710" s="8">
        <v>7.0</v>
      </c>
      <c r="C3710" s="7" t="s">
        <v>437</v>
      </c>
      <c r="D3710" s="7" t="s">
        <v>44</v>
      </c>
      <c r="E3710" s="5" t="s">
        <v>3399</v>
      </c>
      <c r="F3710" s="5" t="s">
        <v>2045</v>
      </c>
    </row>
    <row r="3711">
      <c r="A3711" s="5" t="s">
        <v>2594</v>
      </c>
      <c r="B3711" s="8">
        <v>7.0</v>
      </c>
      <c r="C3711" s="7" t="s">
        <v>437</v>
      </c>
      <c r="D3711" s="7" t="s">
        <v>44</v>
      </c>
      <c r="E3711" s="5" t="s">
        <v>3399</v>
      </c>
      <c r="F3711" s="7" t="s">
        <v>444</v>
      </c>
    </row>
    <row r="3712">
      <c r="A3712" s="5" t="s">
        <v>3086</v>
      </c>
      <c r="B3712" s="8">
        <v>7.0</v>
      </c>
      <c r="C3712" s="7" t="s">
        <v>437</v>
      </c>
      <c r="D3712" s="7" t="s">
        <v>44</v>
      </c>
      <c r="E3712" s="5" t="s">
        <v>3399</v>
      </c>
      <c r="F3712" s="7" t="s">
        <v>444</v>
      </c>
    </row>
    <row r="3713">
      <c r="A3713" s="7" t="s">
        <v>868</v>
      </c>
      <c r="B3713" s="8">
        <v>7.0</v>
      </c>
      <c r="C3713" s="7" t="s">
        <v>437</v>
      </c>
      <c r="D3713" s="7" t="s">
        <v>44</v>
      </c>
      <c r="E3713" s="5" t="s">
        <v>3399</v>
      </c>
      <c r="F3713" s="5" t="s">
        <v>954</v>
      </c>
    </row>
    <row r="3714">
      <c r="A3714" s="5" t="s">
        <v>3087</v>
      </c>
      <c r="B3714" s="8">
        <v>7.0</v>
      </c>
      <c r="C3714" s="7" t="s">
        <v>437</v>
      </c>
      <c r="D3714" s="7" t="s">
        <v>44</v>
      </c>
      <c r="E3714" s="5" t="s">
        <v>3399</v>
      </c>
      <c r="F3714" s="5" t="s">
        <v>1311</v>
      </c>
    </row>
    <row r="3715">
      <c r="A3715" s="5" t="s">
        <v>3088</v>
      </c>
      <c r="B3715" s="8">
        <v>7.0</v>
      </c>
      <c r="C3715" s="7" t="s">
        <v>437</v>
      </c>
      <c r="D3715" s="7" t="s">
        <v>44</v>
      </c>
      <c r="E3715" s="5" t="s">
        <v>3399</v>
      </c>
      <c r="F3715" s="5" t="s">
        <v>953</v>
      </c>
    </row>
    <row r="3716">
      <c r="A3716" s="5" t="s">
        <v>3388</v>
      </c>
      <c r="B3716" s="8">
        <v>7.0</v>
      </c>
      <c r="C3716" s="7" t="s">
        <v>437</v>
      </c>
      <c r="D3716" s="7" t="s">
        <v>44</v>
      </c>
      <c r="E3716" s="5" t="s">
        <v>3399</v>
      </c>
      <c r="F3716" s="5" t="s">
        <v>954</v>
      </c>
    </row>
    <row r="3717">
      <c r="A3717" s="5" t="s">
        <v>2595</v>
      </c>
      <c r="B3717" s="8">
        <v>7.0</v>
      </c>
      <c r="C3717" s="7" t="s">
        <v>437</v>
      </c>
      <c r="D3717" s="7" t="s">
        <v>44</v>
      </c>
      <c r="E3717" s="5" t="s">
        <v>3399</v>
      </c>
      <c r="F3717" s="5" t="s">
        <v>953</v>
      </c>
    </row>
    <row r="3718">
      <c r="A3718" s="5" t="s">
        <v>3089</v>
      </c>
      <c r="B3718" s="8">
        <v>7.0</v>
      </c>
      <c r="C3718" s="7" t="s">
        <v>437</v>
      </c>
      <c r="D3718" s="7" t="s">
        <v>44</v>
      </c>
      <c r="E3718" s="5" t="s">
        <v>3399</v>
      </c>
      <c r="F3718" s="5" t="s">
        <v>954</v>
      </c>
    </row>
    <row r="3719">
      <c r="A3719" s="5" t="s">
        <v>2597</v>
      </c>
      <c r="B3719" s="8">
        <v>7.0</v>
      </c>
      <c r="C3719" s="7" t="s">
        <v>437</v>
      </c>
      <c r="D3719" s="7" t="s">
        <v>44</v>
      </c>
      <c r="E3719" s="5" t="s">
        <v>3399</v>
      </c>
      <c r="F3719" s="5" t="s">
        <v>955</v>
      </c>
    </row>
    <row r="3720">
      <c r="A3720" s="7" t="s">
        <v>8</v>
      </c>
      <c r="B3720" s="8">
        <v>7.0</v>
      </c>
      <c r="C3720" s="7" t="s">
        <v>437</v>
      </c>
      <c r="D3720" s="7" t="s">
        <v>44</v>
      </c>
      <c r="E3720" s="5" t="s">
        <v>3399</v>
      </c>
      <c r="F3720" s="5" t="s">
        <v>219</v>
      </c>
    </row>
    <row r="3721">
      <c r="A3721" s="5" t="s">
        <v>2798</v>
      </c>
      <c r="B3721" s="8">
        <v>7.0</v>
      </c>
      <c r="C3721" s="7" t="s">
        <v>437</v>
      </c>
      <c r="D3721" s="7" t="s">
        <v>44</v>
      </c>
      <c r="E3721" s="5" t="s">
        <v>3399</v>
      </c>
      <c r="F3721" s="5" t="s">
        <v>3137</v>
      </c>
    </row>
    <row r="3722">
      <c r="A3722" s="5" t="s">
        <v>2702</v>
      </c>
      <c r="B3722" s="8">
        <v>7.0</v>
      </c>
      <c r="C3722" s="7" t="s">
        <v>437</v>
      </c>
      <c r="D3722" s="7" t="s">
        <v>44</v>
      </c>
      <c r="E3722" s="5" t="s">
        <v>3399</v>
      </c>
      <c r="F3722" s="5" t="s">
        <v>56</v>
      </c>
    </row>
    <row r="3723">
      <c r="A3723" s="5" t="s">
        <v>2599</v>
      </c>
      <c r="B3723" s="8">
        <v>7.0</v>
      </c>
      <c r="C3723" s="7" t="s">
        <v>437</v>
      </c>
      <c r="D3723" s="7" t="s">
        <v>44</v>
      </c>
      <c r="E3723" s="5" t="s">
        <v>3399</v>
      </c>
      <c r="F3723" s="5" t="s">
        <v>955</v>
      </c>
    </row>
    <row r="3724">
      <c r="A3724" s="5" t="s">
        <v>2600</v>
      </c>
      <c r="B3724" s="8">
        <v>7.0</v>
      </c>
      <c r="C3724" s="7" t="s">
        <v>437</v>
      </c>
      <c r="D3724" s="7" t="s">
        <v>44</v>
      </c>
      <c r="E3724" s="5" t="s">
        <v>3399</v>
      </c>
      <c r="F3724" s="5" t="s">
        <v>56</v>
      </c>
    </row>
    <row r="3725">
      <c r="A3725" s="5" t="s">
        <v>3090</v>
      </c>
      <c r="B3725" s="8">
        <v>7.0</v>
      </c>
      <c r="C3725" s="7" t="s">
        <v>437</v>
      </c>
      <c r="D3725" s="7" t="s">
        <v>44</v>
      </c>
      <c r="E3725" s="5" t="s">
        <v>3399</v>
      </c>
      <c r="F3725" s="5" t="s">
        <v>56</v>
      </c>
    </row>
    <row r="3726">
      <c r="A3726" s="7" t="s">
        <v>873</v>
      </c>
      <c r="B3726" s="8">
        <v>7.0</v>
      </c>
      <c r="C3726" s="7" t="s">
        <v>437</v>
      </c>
      <c r="D3726" s="7" t="s">
        <v>44</v>
      </c>
      <c r="E3726" s="5" t="s">
        <v>3399</v>
      </c>
      <c r="F3726" s="5" t="s">
        <v>54</v>
      </c>
    </row>
    <row r="3727">
      <c r="A3727" s="5" t="s">
        <v>2602</v>
      </c>
      <c r="B3727" s="8">
        <v>7.0</v>
      </c>
      <c r="C3727" s="7" t="s">
        <v>437</v>
      </c>
      <c r="D3727" s="7" t="s">
        <v>44</v>
      </c>
      <c r="E3727" s="5" t="s">
        <v>3399</v>
      </c>
      <c r="F3727" s="5" t="s">
        <v>54</v>
      </c>
    </row>
    <row r="3728">
      <c r="A3728" s="5" t="s">
        <v>2603</v>
      </c>
      <c r="B3728" s="8">
        <v>7.0</v>
      </c>
      <c r="C3728" s="7" t="s">
        <v>437</v>
      </c>
      <c r="D3728" s="7" t="s">
        <v>44</v>
      </c>
      <c r="E3728" s="5" t="s">
        <v>3399</v>
      </c>
      <c r="F3728" s="5" t="s">
        <v>56</v>
      </c>
    </row>
    <row r="3729">
      <c r="A3729" s="7" t="s">
        <v>874</v>
      </c>
      <c r="B3729" s="8">
        <v>7.0</v>
      </c>
      <c r="C3729" s="7" t="s">
        <v>437</v>
      </c>
      <c r="D3729" s="7" t="s">
        <v>44</v>
      </c>
      <c r="E3729" s="5" t="s">
        <v>3399</v>
      </c>
      <c r="F3729" s="5" t="s">
        <v>56</v>
      </c>
    </row>
    <row r="3730">
      <c r="A3730" s="5" t="s">
        <v>2604</v>
      </c>
      <c r="B3730" s="8">
        <v>7.0</v>
      </c>
      <c r="C3730" s="7" t="s">
        <v>437</v>
      </c>
      <c r="D3730" s="7" t="s">
        <v>44</v>
      </c>
      <c r="E3730" s="5" t="s">
        <v>3399</v>
      </c>
      <c r="F3730" s="5" t="s">
        <v>56</v>
      </c>
    </row>
    <row r="3731">
      <c r="A3731" s="5" t="s">
        <v>3091</v>
      </c>
      <c r="B3731" s="8">
        <v>7.0</v>
      </c>
      <c r="C3731" s="7" t="s">
        <v>437</v>
      </c>
      <c r="D3731" s="7" t="s">
        <v>44</v>
      </c>
      <c r="E3731" s="5" t="s">
        <v>3399</v>
      </c>
      <c r="F3731" s="5" t="s">
        <v>1312</v>
      </c>
    </row>
    <row r="3732">
      <c r="A3732" s="5" t="s">
        <v>2605</v>
      </c>
      <c r="B3732" s="8">
        <v>7.0</v>
      </c>
      <c r="C3732" s="7" t="s">
        <v>437</v>
      </c>
      <c r="D3732" s="7" t="s">
        <v>44</v>
      </c>
      <c r="E3732" s="5" t="s">
        <v>3399</v>
      </c>
      <c r="F3732" s="5" t="s">
        <v>959</v>
      </c>
    </row>
    <row r="3733">
      <c r="A3733" s="5" t="s">
        <v>2933</v>
      </c>
      <c r="B3733" s="8">
        <v>7.0</v>
      </c>
      <c r="C3733" s="7" t="s">
        <v>437</v>
      </c>
      <c r="D3733" s="7" t="s">
        <v>44</v>
      </c>
      <c r="E3733" s="5" t="s">
        <v>3399</v>
      </c>
      <c r="F3733" s="5" t="s">
        <v>955</v>
      </c>
    </row>
    <row r="3734">
      <c r="A3734" s="5" t="s">
        <v>2606</v>
      </c>
      <c r="B3734" s="8">
        <v>7.0</v>
      </c>
      <c r="C3734" s="7" t="s">
        <v>437</v>
      </c>
      <c r="D3734" s="7" t="s">
        <v>44</v>
      </c>
      <c r="E3734" s="5" t="s">
        <v>3399</v>
      </c>
      <c r="F3734" s="5" t="s">
        <v>955</v>
      </c>
    </row>
    <row r="3735">
      <c r="A3735" s="5" t="s">
        <v>2934</v>
      </c>
      <c r="B3735" s="8">
        <v>7.0</v>
      </c>
      <c r="C3735" s="7" t="s">
        <v>437</v>
      </c>
      <c r="D3735" s="7" t="s">
        <v>44</v>
      </c>
      <c r="E3735" s="5" t="s">
        <v>3399</v>
      </c>
      <c r="F3735" s="5" t="s">
        <v>959</v>
      </c>
    </row>
    <row r="3736">
      <c r="A3736" s="5" t="s">
        <v>2607</v>
      </c>
      <c r="B3736" s="8">
        <v>7.0</v>
      </c>
      <c r="C3736" s="7" t="s">
        <v>437</v>
      </c>
      <c r="D3736" s="7" t="s">
        <v>44</v>
      </c>
      <c r="E3736" s="5" t="s">
        <v>3399</v>
      </c>
      <c r="F3736" s="5" t="s">
        <v>955</v>
      </c>
    </row>
    <row r="3737">
      <c r="A3737" s="7" t="s">
        <v>876</v>
      </c>
      <c r="B3737" s="8">
        <v>7.0</v>
      </c>
      <c r="C3737" s="7" t="s">
        <v>437</v>
      </c>
      <c r="D3737" s="7" t="s">
        <v>44</v>
      </c>
      <c r="E3737" s="5" t="s">
        <v>3399</v>
      </c>
      <c r="F3737" s="5" t="s">
        <v>959</v>
      </c>
    </row>
    <row r="3738">
      <c r="A3738" s="5" t="s">
        <v>3092</v>
      </c>
      <c r="B3738" s="8">
        <v>7.0</v>
      </c>
      <c r="C3738" s="7" t="s">
        <v>437</v>
      </c>
      <c r="D3738" s="7" t="s">
        <v>44</v>
      </c>
      <c r="E3738" s="5" t="s">
        <v>3399</v>
      </c>
      <c r="F3738" s="5" t="s">
        <v>955</v>
      </c>
    </row>
    <row r="3739">
      <c r="A3739" s="5" t="s">
        <v>2614</v>
      </c>
      <c r="B3739" s="8">
        <v>7.0</v>
      </c>
      <c r="C3739" s="7" t="s">
        <v>437</v>
      </c>
      <c r="D3739" s="7" t="s">
        <v>44</v>
      </c>
      <c r="E3739" s="5" t="s">
        <v>3399</v>
      </c>
      <c r="F3739" s="5" t="s">
        <v>955</v>
      </c>
    </row>
    <row r="3740">
      <c r="A3740" s="5" t="s">
        <v>2608</v>
      </c>
      <c r="B3740" s="8">
        <v>7.0</v>
      </c>
      <c r="C3740" s="7" t="s">
        <v>437</v>
      </c>
      <c r="D3740" s="7" t="s">
        <v>44</v>
      </c>
      <c r="E3740" s="5" t="s">
        <v>3399</v>
      </c>
      <c r="F3740" s="5" t="s">
        <v>955</v>
      </c>
    </row>
    <row r="3741">
      <c r="A3741" s="5" t="s">
        <v>2609</v>
      </c>
      <c r="B3741" s="8">
        <v>7.0</v>
      </c>
      <c r="C3741" s="7" t="s">
        <v>437</v>
      </c>
      <c r="D3741" s="7" t="s">
        <v>44</v>
      </c>
      <c r="E3741" s="5" t="s">
        <v>3399</v>
      </c>
      <c r="F3741" s="5" t="s">
        <v>955</v>
      </c>
    </row>
    <row r="3742">
      <c r="A3742" s="7" t="s">
        <v>188</v>
      </c>
      <c r="B3742" s="8">
        <v>7.0</v>
      </c>
      <c r="C3742" s="7" t="s">
        <v>223</v>
      </c>
      <c r="D3742" s="7" t="s">
        <v>50</v>
      </c>
      <c r="E3742" s="5" t="s">
        <v>3400</v>
      </c>
      <c r="F3742" s="5" t="s">
        <v>954</v>
      </c>
    </row>
    <row r="3743">
      <c r="A3743" s="5" t="s">
        <v>2592</v>
      </c>
      <c r="B3743" s="8">
        <v>7.0</v>
      </c>
      <c r="C3743" s="7" t="s">
        <v>223</v>
      </c>
      <c r="D3743" s="7" t="s">
        <v>50</v>
      </c>
      <c r="E3743" s="5" t="s">
        <v>3400</v>
      </c>
      <c r="F3743" s="5" t="s">
        <v>953</v>
      </c>
    </row>
    <row r="3744">
      <c r="A3744" s="5" t="s">
        <v>2796</v>
      </c>
      <c r="B3744" s="8">
        <v>7.0</v>
      </c>
      <c r="C3744" s="7" t="s">
        <v>223</v>
      </c>
      <c r="D3744" s="7" t="s">
        <v>50</v>
      </c>
      <c r="E3744" s="5" t="s">
        <v>3400</v>
      </c>
      <c r="F3744" s="5" t="s">
        <v>959</v>
      </c>
    </row>
    <row r="3745">
      <c r="A3745" s="5" t="s">
        <v>2594</v>
      </c>
      <c r="B3745" s="8">
        <v>7.0</v>
      </c>
      <c r="C3745" s="7" t="s">
        <v>223</v>
      </c>
      <c r="D3745" s="7" t="s">
        <v>50</v>
      </c>
      <c r="E3745" s="5" t="s">
        <v>3400</v>
      </c>
      <c r="F3745" s="5" t="s">
        <v>959</v>
      </c>
    </row>
    <row r="3746">
      <c r="A3746" s="5" t="s">
        <v>3086</v>
      </c>
      <c r="B3746" s="8">
        <v>7.0</v>
      </c>
      <c r="C3746" s="7" t="s">
        <v>223</v>
      </c>
      <c r="D3746" s="7" t="s">
        <v>50</v>
      </c>
      <c r="E3746" s="5" t="s">
        <v>3400</v>
      </c>
      <c r="F3746" s="5" t="s">
        <v>954</v>
      </c>
    </row>
    <row r="3747">
      <c r="A3747" s="7" t="s">
        <v>868</v>
      </c>
      <c r="B3747" s="8">
        <v>7.0</v>
      </c>
      <c r="C3747" s="7" t="s">
        <v>223</v>
      </c>
      <c r="D3747" s="7" t="s">
        <v>50</v>
      </c>
      <c r="E3747" s="5" t="s">
        <v>3400</v>
      </c>
      <c r="F3747" s="7" t="s">
        <v>65</v>
      </c>
    </row>
    <row r="3748">
      <c r="A3748" s="5" t="s">
        <v>3087</v>
      </c>
      <c r="B3748" s="8">
        <v>7.0</v>
      </c>
      <c r="C3748" s="7" t="s">
        <v>223</v>
      </c>
      <c r="D3748" s="7" t="s">
        <v>50</v>
      </c>
      <c r="E3748" s="5" t="s">
        <v>3400</v>
      </c>
      <c r="F3748" s="7" t="s">
        <v>66</v>
      </c>
    </row>
    <row r="3749">
      <c r="A3749" s="5" t="s">
        <v>3088</v>
      </c>
      <c r="B3749" s="8">
        <v>7.0</v>
      </c>
      <c r="C3749" s="7" t="s">
        <v>223</v>
      </c>
      <c r="D3749" s="7" t="s">
        <v>50</v>
      </c>
      <c r="E3749" s="5" t="s">
        <v>3400</v>
      </c>
      <c r="F3749" s="7" t="s">
        <v>444</v>
      </c>
    </row>
    <row r="3750">
      <c r="A3750" s="5" t="s">
        <v>3388</v>
      </c>
      <c r="B3750" s="8">
        <v>7.0</v>
      </c>
      <c r="C3750" s="7" t="s">
        <v>223</v>
      </c>
      <c r="D3750" s="7" t="s">
        <v>50</v>
      </c>
      <c r="E3750" s="5" t="s">
        <v>3400</v>
      </c>
      <c r="F3750" s="7" t="s">
        <v>65</v>
      </c>
    </row>
    <row r="3751">
      <c r="A3751" s="5" t="s">
        <v>2595</v>
      </c>
      <c r="B3751" s="8">
        <v>7.0</v>
      </c>
      <c r="C3751" s="7" t="s">
        <v>223</v>
      </c>
      <c r="D3751" s="7" t="s">
        <v>50</v>
      </c>
      <c r="E3751" s="5" t="s">
        <v>3400</v>
      </c>
      <c r="F3751" s="7" t="s">
        <v>444</v>
      </c>
    </row>
    <row r="3752">
      <c r="A3752" s="5" t="s">
        <v>3089</v>
      </c>
      <c r="B3752" s="8">
        <v>7.0</v>
      </c>
      <c r="C3752" s="7" t="s">
        <v>223</v>
      </c>
      <c r="D3752" s="7" t="s">
        <v>50</v>
      </c>
      <c r="E3752" s="5" t="s">
        <v>3400</v>
      </c>
      <c r="F3752" s="7" t="s">
        <v>444</v>
      </c>
    </row>
    <row r="3753">
      <c r="A3753" s="5" t="s">
        <v>2597</v>
      </c>
      <c r="B3753" s="8">
        <v>7.0</v>
      </c>
      <c r="C3753" s="7" t="s">
        <v>223</v>
      </c>
      <c r="D3753" s="7" t="s">
        <v>50</v>
      </c>
      <c r="E3753" s="5" t="s">
        <v>3400</v>
      </c>
      <c r="F3753" s="7" t="s">
        <v>444</v>
      </c>
    </row>
    <row r="3754">
      <c r="A3754" s="7" t="s">
        <v>8</v>
      </c>
      <c r="B3754" s="8">
        <v>7.0</v>
      </c>
      <c r="C3754" s="7" t="s">
        <v>223</v>
      </c>
      <c r="D3754" s="7" t="s">
        <v>50</v>
      </c>
      <c r="E3754" s="5" t="s">
        <v>3400</v>
      </c>
      <c r="F3754" s="7" t="s">
        <v>961</v>
      </c>
    </row>
    <row r="3755">
      <c r="A3755" s="5" t="s">
        <v>2798</v>
      </c>
      <c r="B3755" s="8">
        <v>7.0</v>
      </c>
      <c r="C3755" s="7" t="s">
        <v>223</v>
      </c>
      <c r="D3755" s="7" t="s">
        <v>50</v>
      </c>
      <c r="E3755" s="5" t="s">
        <v>3400</v>
      </c>
      <c r="F3755" s="7" t="s">
        <v>444</v>
      </c>
    </row>
    <row r="3756">
      <c r="A3756" s="5" t="s">
        <v>2702</v>
      </c>
      <c r="B3756" s="8">
        <v>7.0</v>
      </c>
      <c r="C3756" s="7" t="s">
        <v>223</v>
      </c>
      <c r="D3756" s="7" t="s">
        <v>50</v>
      </c>
      <c r="E3756" s="5" t="s">
        <v>3400</v>
      </c>
      <c r="F3756" s="7" t="s">
        <v>444</v>
      </c>
    </row>
    <row r="3757">
      <c r="A3757" s="5" t="s">
        <v>2599</v>
      </c>
      <c r="B3757" s="8">
        <v>7.0</v>
      </c>
      <c r="C3757" s="7" t="s">
        <v>223</v>
      </c>
      <c r="D3757" s="7" t="s">
        <v>50</v>
      </c>
      <c r="E3757" s="5" t="s">
        <v>3400</v>
      </c>
      <c r="F3757" s="7" t="s">
        <v>444</v>
      </c>
    </row>
    <row r="3758">
      <c r="A3758" s="5" t="s">
        <v>2600</v>
      </c>
      <c r="B3758" s="8">
        <v>7.0</v>
      </c>
      <c r="C3758" s="7" t="s">
        <v>223</v>
      </c>
      <c r="D3758" s="7" t="s">
        <v>50</v>
      </c>
      <c r="E3758" s="5" t="s">
        <v>3400</v>
      </c>
      <c r="F3758" s="7" t="s">
        <v>444</v>
      </c>
    </row>
    <row r="3759">
      <c r="A3759" s="5" t="s">
        <v>3090</v>
      </c>
      <c r="B3759" s="8">
        <v>7.0</v>
      </c>
      <c r="C3759" s="7" t="s">
        <v>223</v>
      </c>
      <c r="D3759" s="7" t="s">
        <v>50</v>
      </c>
      <c r="E3759" s="5" t="s">
        <v>3400</v>
      </c>
      <c r="F3759" s="7" t="s">
        <v>961</v>
      </c>
    </row>
    <row r="3760">
      <c r="A3760" s="7" t="s">
        <v>873</v>
      </c>
      <c r="B3760" s="8">
        <v>7.0</v>
      </c>
      <c r="C3760" s="7" t="s">
        <v>223</v>
      </c>
      <c r="D3760" s="7" t="s">
        <v>50</v>
      </c>
      <c r="E3760" s="5" t="s">
        <v>3400</v>
      </c>
      <c r="F3760" s="7" t="s">
        <v>444</v>
      </c>
    </row>
    <row r="3761">
      <c r="A3761" s="5" t="s">
        <v>2602</v>
      </c>
      <c r="B3761" s="8">
        <v>7.0</v>
      </c>
      <c r="C3761" s="7" t="s">
        <v>223</v>
      </c>
      <c r="D3761" s="7" t="s">
        <v>50</v>
      </c>
      <c r="E3761" s="5" t="s">
        <v>3400</v>
      </c>
      <c r="F3761" s="7" t="s">
        <v>444</v>
      </c>
    </row>
    <row r="3762">
      <c r="A3762" s="5" t="s">
        <v>2603</v>
      </c>
      <c r="B3762" s="8">
        <v>7.0</v>
      </c>
      <c r="C3762" s="7" t="s">
        <v>223</v>
      </c>
      <c r="D3762" s="7" t="s">
        <v>50</v>
      </c>
      <c r="E3762" s="5" t="s">
        <v>3400</v>
      </c>
      <c r="F3762" s="7" t="s">
        <v>444</v>
      </c>
    </row>
    <row r="3763">
      <c r="A3763" s="7" t="s">
        <v>874</v>
      </c>
      <c r="B3763" s="8">
        <v>7.0</v>
      </c>
      <c r="C3763" s="7" t="s">
        <v>223</v>
      </c>
      <c r="D3763" s="7" t="s">
        <v>50</v>
      </c>
      <c r="E3763" s="5" t="s">
        <v>3400</v>
      </c>
      <c r="F3763" s="7" t="s">
        <v>444</v>
      </c>
    </row>
    <row r="3764">
      <c r="A3764" s="5" t="s">
        <v>2604</v>
      </c>
      <c r="B3764" s="8">
        <v>7.0</v>
      </c>
      <c r="C3764" s="7" t="s">
        <v>223</v>
      </c>
      <c r="D3764" s="7" t="s">
        <v>50</v>
      </c>
      <c r="E3764" s="5" t="s">
        <v>3400</v>
      </c>
      <c r="F3764" s="7" t="s">
        <v>444</v>
      </c>
    </row>
    <row r="3765">
      <c r="A3765" s="5" t="s">
        <v>3091</v>
      </c>
      <c r="B3765" s="8">
        <v>7.0</v>
      </c>
      <c r="C3765" s="7" t="s">
        <v>223</v>
      </c>
      <c r="D3765" s="7" t="s">
        <v>50</v>
      </c>
      <c r="E3765" s="5" t="s">
        <v>3400</v>
      </c>
      <c r="F3765" s="7" t="s">
        <v>444</v>
      </c>
    </row>
    <row r="3766">
      <c r="A3766" s="5" t="s">
        <v>2605</v>
      </c>
      <c r="B3766" s="8">
        <v>7.0</v>
      </c>
      <c r="C3766" s="7" t="s">
        <v>223</v>
      </c>
      <c r="D3766" s="7" t="s">
        <v>50</v>
      </c>
      <c r="E3766" s="5" t="s">
        <v>3400</v>
      </c>
      <c r="F3766" s="7" t="s">
        <v>444</v>
      </c>
    </row>
    <row r="3767">
      <c r="A3767" s="5" t="s">
        <v>2933</v>
      </c>
      <c r="B3767" s="8">
        <v>7.0</v>
      </c>
      <c r="C3767" s="7" t="s">
        <v>223</v>
      </c>
      <c r="D3767" s="7" t="s">
        <v>50</v>
      </c>
      <c r="E3767" s="5" t="s">
        <v>3400</v>
      </c>
      <c r="F3767" s="7" t="s">
        <v>444</v>
      </c>
    </row>
    <row r="3768">
      <c r="A3768" s="5" t="s">
        <v>2606</v>
      </c>
      <c r="B3768" s="8">
        <v>7.0</v>
      </c>
      <c r="C3768" s="7" t="s">
        <v>223</v>
      </c>
      <c r="D3768" s="7" t="s">
        <v>50</v>
      </c>
      <c r="E3768" s="5" t="s">
        <v>3400</v>
      </c>
      <c r="F3768" s="7" t="s">
        <v>444</v>
      </c>
    </row>
    <row r="3769">
      <c r="A3769" s="5" t="s">
        <v>2934</v>
      </c>
      <c r="B3769" s="8">
        <v>7.0</v>
      </c>
      <c r="C3769" s="7" t="s">
        <v>223</v>
      </c>
      <c r="D3769" s="7" t="s">
        <v>50</v>
      </c>
      <c r="E3769" s="5" t="s">
        <v>3400</v>
      </c>
      <c r="F3769" s="7" t="s">
        <v>444</v>
      </c>
    </row>
    <row r="3770">
      <c r="A3770" s="5" t="s">
        <v>2607</v>
      </c>
      <c r="B3770" s="8">
        <v>7.0</v>
      </c>
      <c r="C3770" s="7" t="s">
        <v>223</v>
      </c>
      <c r="D3770" s="7" t="s">
        <v>50</v>
      </c>
      <c r="E3770" s="5" t="s">
        <v>3400</v>
      </c>
      <c r="F3770" s="7" t="s">
        <v>444</v>
      </c>
    </row>
    <row r="3771">
      <c r="A3771" s="7" t="s">
        <v>876</v>
      </c>
      <c r="B3771" s="8">
        <v>7.0</v>
      </c>
      <c r="C3771" s="7" t="s">
        <v>223</v>
      </c>
      <c r="D3771" s="7" t="s">
        <v>50</v>
      </c>
      <c r="E3771" s="5" t="s">
        <v>3400</v>
      </c>
      <c r="F3771" s="7" t="s">
        <v>444</v>
      </c>
    </row>
    <row r="3772">
      <c r="A3772" s="5" t="s">
        <v>3092</v>
      </c>
      <c r="B3772" s="8">
        <v>7.0</v>
      </c>
      <c r="C3772" s="7" t="s">
        <v>223</v>
      </c>
      <c r="D3772" s="7" t="s">
        <v>50</v>
      </c>
      <c r="E3772" s="5" t="s">
        <v>3400</v>
      </c>
      <c r="F3772" s="7" t="s">
        <v>444</v>
      </c>
    </row>
    <row r="3773">
      <c r="A3773" s="5" t="s">
        <v>2614</v>
      </c>
      <c r="B3773" s="8">
        <v>7.0</v>
      </c>
      <c r="C3773" s="7" t="s">
        <v>223</v>
      </c>
      <c r="D3773" s="7" t="s">
        <v>50</v>
      </c>
      <c r="E3773" s="5" t="s">
        <v>3400</v>
      </c>
      <c r="F3773" s="7" t="s">
        <v>444</v>
      </c>
    </row>
    <row r="3774">
      <c r="A3774" s="5" t="s">
        <v>2608</v>
      </c>
      <c r="B3774" s="8">
        <v>7.0</v>
      </c>
      <c r="C3774" s="7" t="s">
        <v>223</v>
      </c>
      <c r="D3774" s="7" t="s">
        <v>50</v>
      </c>
      <c r="E3774" s="5" t="s">
        <v>3400</v>
      </c>
      <c r="F3774" s="7" t="s">
        <v>444</v>
      </c>
    </row>
    <row r="3775">
      <c r="A3775" s="5" t="s">
        <v>2609</v>
      </c>
      <c r="B3775" s="8">
        <v>7.0</v>
      </c>
      <c r="C3775" s="7" t="s">
        <v>223</v>
      </c>
      <c r="D3775" s="7" t="s">
        <v>50</v>
      </c>
      <c r="E3775" s="5" t="s">
        <v>3400</v>
      </c>
      <c r="F3775" s="7" t="s">
        <v>444</v>
      </c>
    </row>
    <row r="3776">
      <c r="A3776" s="7" t="s">
        <v>188</v>
      </c>
      <c r="B3776" s="8">
        <v>7.0</v>
      </c>
      <c r="C3776" s="7" t="s">
        <v>43</v>
      </c>
      <c r="D3776" s="7" t="s">
        <v>1315</v>
      </c>
      <c r="E3776" s="5" t="s">
        <v>3401</v>
      </c>
      <c r="F3776" s="7" t="s">
        <v>444</v>
      </c>
    </row>
    <row r="3777">
      <c r="A3777" s="5" t="s">
        <v>2592</v>
      </c>
      <c r="B3777" s="8">
        <v>7.0</v>
      </c>
      <c r="C3777" s="7" t="s">
        <v>43</v>
      </c>
      <c r="D3777" s="7" t="s">
        <v>1315</v>
      </c>
      <c r="E3777" s="5" t="s">
        <v>3401</v>
      </c>
      <c r="F3777" s="7" t="s">
        <v>444</v>
      </c>
    </row>
    <row r="3778">
      <c r="A3778" s="5" t="s">
        <v>2796</v>
      </c>
      <c r="B3778" s="8">
        <v>7.0</v>
      </c>
      <c r="C3778" s="7" t="s">
        <v>43</v>
      </c>
      <c r="D3778" s="7" t="s">
        <v>1315</v>
      </c>
      <c r="E3778" s="5" t="s">
        <v>3401</v>
      </c>
      <c r="F3778" s="7" t="s">
        <v>444</v>
      </c>
    </row>
    <row r="3779">
      <c r="A3779" s="5" t="s">
        <v>2594</v>
      </c>
      <c r="B3779" s="8">
        <v>7.0</v>
      </c>
      <c r="C3779" s="7" t="s">
        <v>43</v>
      </c>
      <c r="D3779" s="7" t="s">
        <v>1315</v>
      </c>
      <c r="E3779" s="5" t="s">
        <v>3401</v>
      </c>
      <c r="F3779" s="7" t="s">
        <v>444</v>
      </c>
    </row>
    <row r="3780">
      <c r="A3780" s="5" t="s">
        <v>3086</v>
      </c>
      <c r="B3780" s="8">
        <v>7.0</v>
      </c>
      <c r="C3780" s="7" t="s">
        <v>43</v>
      </c>
      <c r="D3780" s="7" t="s">
        <v>1315</v>
      </c>
      <c r="E3780" s="5" t="s">
        <v>3401</v>
      </c>
      <c r="F3780" s="7" t="s">
        <v>444</v>
      </c>
    </row>
    <row r="3781">
      <c r="A3781" s="7" t="s">
        <v>868</v>
      </c>
      <c r="B3781" s="8">
        <v>7.0</v>
      </c>
      <c r="C3781" s="7" t="s">
        <v>43</v>
      </c>
      <c r="D3781" s="7" t="s">
        <v>1315</v>
      </c>
      <c r="E3781" s="5" t="s">
        <v>3401</v>
      </c>
      <c r="F3781" s="7" t="s">
        <v>444</v>
      </c>
    </row>
    <row r="3782">
      <c r="A3782" s="5" t="s">
        <v>3087</v>
      </c>
      <c r="B3782" s="8">
        <v>7.0</v>
      </c>
      <c r="C3782" s="7" t="s">
        <v>43</v>
      </c>
      <c r="D3782" s="7" t="s">
        <v>1315</v>
      </c>
      <c r="E3782" s="5" t="s">
        <v>3401</v>
      </c>
      <c r="F3782" s="7" t="s">
        <v>66</v>
      </c>
    </row>
    <row r="3783">
      <c r="A3783" s="5" t="s">
        <v>3088</v>
      </c>
      <c r="B3783" s="8">
        <v>7.0</v>
      </c>
      <c r="C3783" s="7" t="s">
        <v>43</v>
      </c>
      <c r="D3783" s="7" t="s">
        <v>1315</v>
      </c>
      <c r="E3783" s="5" t="s">
        <v>3401</v>
      </c>
      <c r="F3783" s="7" t="s">
        <v>444</v>
      </c>
    </row>
    <row r="3784">
      <c r="A3784" s="5" t="s">
        <v>3388</v>
      </c>
      <c r="B3784" s="8">
        <v>7.0</v>
      </c>
      <c r="C3784" s="7" t="s">
        <v>43</v>
      </c>
      <c r="D3784" s="7" t="s">
        <v>1315</v>
      </c>
      <c r="E3784" s="5" t="s">
        <v>3401</v>
      </c>
      <c r="F3784" s="7" t="s">
        <v>444</v>
      </c>
    </row>
    <row r="3785">
      <c r="A3785" s="5" t="s">
        <v>2595</v>
      </c>
      <c r="B3785" s="8">
        <v>7.0</v>
      </c>
      <c r="C3785" s="7" t="s">
        <v>43</v>
      </c>
      <c r="D3785" s="7" t="s">
        <v>1315</v>
      </c>
      <c r="E3785" s="5" t="s">
        <v>3401</v>
      </c>
      <c r="F3785" s="7" t="s">
        <v>444</v>
      </c>
    </row>
    <row r="3786">
      <c r="A3786" s="5" t="s">
        <v>3089</v>
      </c>
      <c r="B3786" s="8">
        <v>7.0</v>
      </c>
      <c r="C3786" s="7" t="s">
        <v>43</v>
      </c>
      <c r="D3786" s="7" t="s">
        <v>1315</v>
      </c>
      <c r="E3786" s="5" t="s">
        <v>3401</v>
      </c>
      <c r="F3786" s="7" t="s">
        <v>444</v>
      </c>
    </row>
    <row r="3787">
      <c r="A3787" s="5" t="s">
        <v>2597</v>
      </c>
      <c r="B3787" s="8">
        <v>7.0</v>
      </c>
      <c r="C3787" s="7" t="s">
        <v>43</v>
      </c>
      <c r="D3787" s="7" t="s">
        <v>1315</v>
      </c>
      <c r="E3787" s="5" t="s">
        <v>3401</v>
      </c>
      <c r="F3787" s="7" t="s">
        <v>444</v>
      </c>
    </row>
    <row r="3788">
      <c r="A3788" s="7" t="s">
        <v>8</v>
      </c>
      <c r="B3788" s="8">
        <v>7.0</v>
      </c>
      <c r="C3788" s="7" t="s">
        <v>43</v>
      </c>
      <c r="D3788" s="7" t="s">
        <v>1315</v>
      </c>
      <c r="E3788" s="5" t="s">
        <v>3401</v>
      </c>
      <c r="F3788" s="7" t="s">
        <v>961</v>
      </c>
    </row>
    <row r="3789">
      <c r="A3789" s="5" t="s">
        <v>2798</v>
      </c>
      <c r="B3789" s="8">
        <v>7.0</v>
      </c>
      <c r="C3789" s="7" t="s">
        <v>43</v>
      </c>
      <c r="D3789" s="7" t="s">
        <v>1315</v>
      </c>
      <c r="E3789" s="5" t="s">
        <v>3401</v>
      </c>
      <c r="F3789" s="7" t="s">
        <v>444</v>
      </c>
    </row>
    <row r="3790">
      <c r="A3790" s="5" t="s">
        <v>2702</v>
      </c>
      <c r="B3790" s="8">
        <v>7.0</v>
      </c>
      <c r="C3790" s="7" t="s">
        <v>43</v>
      </c>
      <c r="D3790" s="7" t="s">
        <v>1315</v>
      </c>
      <c r="E3790" s="5" t="s">
        <v>3401</v>
      </c>
      <c r="F3790" s="7" t="s">
        <v>444</v>
      </c>
    </row>
    <row r="3791">
      <c r="A3791" s="5" t="s">
        <v>2599</v>
      </c>
      <c r="B3791" s="8">
        <v>7.0</v>
      </c>
      <c r="C3791" s="7" t="s">
        <v>43</v>
      </c>
      <c r="D3791" s="7" t="s">
        <v>1315</v>
      </c>
      <c r="E3791" s="5" t="s">
        <v>3401</v>
      </c>
      <c r="F3791" s="7" t="s">
        <v>444</v>
      </c>
    </row>
    <row r="3792">
      <c r="A3792" s="5" t="s">
        <v>2600</v>
      </c>
      <c r="B3792" s="8">
        <v>7.0</v>
      </c>
      <c r="C3792" s="7" t="s">
        <v>43</v>
      </c>
      <c r="D3792" s="7" t="s">
        <v>1315</v>
      </c>
      <c r="E3792" s="5" t="s">
        <v>3401</v>
      </c>
      <c r="F3792" s="7" t="s">
        <v>444</v>
      </c>
    </row>
    <row r="3793">
      <c r="A3793" s="5" t="s">
        <v>3090</v>
      </c>
      <c r="B3793" s="8">
        <v>7.0</v>
      </c>
      <c r="C3793" s="7" t="s">
        <v>43</v>
      </c>
      <c r="D3793" s="7" t="s">
        <v>1315</v>
      </c>
      <c r="E3793" s="5" t="s">
        <v>3401</v>
      </c>
      <c r="F3793" s="7" t="s">
        <v>961</v>
      </c>
    </row>
    <row r="3794">
      <c r="A3794" s="7" t="s">
        <v>873</v>
      </c>
      <c r="B3794" s="8">
        <v>7.0</v>
      </c>
      <c r="C3794" s="7" t="s">
        <v>43</v>
      </c>
      <c r="D3794" s="7" t="s">
        <v>1315</v>
      </c>
      <c r="E3794" s="5" t="s">
        <v>3401</v>
      </c>
      <c r="F3794" s="7" t="s">
        <v>444</v>
      </c>
    </row>
    <row r="3795">
      <c r="A3795" s="5" t="s">
        <v>2602</v>
      </c>
      <c r="B3795" s="8">
        <v>7.0</v>
      </c>
      <c r="C3795" s="7" t="s">
        <v>43</v>
      </c>
      <c r="D3795" s="7" t="s">
        <v>1315</v>
      </c>
      <c r="E3795" s="5" t="s">
        <v>3401</v>
      </c>
      <c r="F3795" s="7" t="s">
        <v>444</v>
      </c>
    </row>
    <row r="3796">
      <c r="A3796" s="5" t="s">
        <v>2603</v>
      </c>
      <c r="B3796" s="8">
        <v>7.0</v>
      </c>
      <c r="C3796" s="7" t="s">
        <v>43</v>
      </c>
      <c r="D3796" s="7" t="s">
        <v>1315</v>
      </c>
      <c r="E3796" s="5" t="s">
        <v>3401</v>
      </c>
      <c r="F3796" s="7" t="s">
        <v>444</v>
      </c>
    </row>
    <row r="3797">
      <c r="A3797" s="7" t="s">
        <v>874</v>
      </c>
      <c r="B3797" s="8">
        <v>7.0</v>
      </c>
      <c r="C3797" s="7" t="s">
        <v>43</v>
      </c>
      <c r="D3797" s="7" t="s">
        <v>1315</v>
      </c>
      <c r="E3797" s="5" t="s">
        <v>3401</v>
      </c>
      <c r="F3797" s="7" t="s">
        <v>444</v>
      </c>
    </row>
    <row r="3798">
      <c r="A3798" s="5" t="s">
        <v>2604</v>
      </c>
      <c r="B3798" s="8">
        <v>7.0</v>
      </c>
      <c r="C3798" s="7" t="s">
        <v>43</v>
      </c>
      <c r="D3798" s="7" t="s">
        <v>1315</v>
      </c>
      <c r="E3798" s="5" t="s">
        <v>3401</v>
      </c>
      <c r="F3798" s="7" t="s">
        <v>444</v>
      </c>
    </row>
    <row r="3799">
      <c r="A3799" s="5" t="s">
        <v>3091</v>
      </c>
      <c r="B3799" s="8">
        <v>7.0</v>
      </c>
      <c r="C3799" s="7" t="s">
        <v>43</v>
      </c>
      <c r="D3799" s="7" t="s">
        <v>1315</v>
      </c>
      <c r="E3799" s="5" t="s">
        <v>3401</v>
      </c>
      <c r="F3799" s="7" t="s">
        <v>444</v>
      </c>
    </row>
    <row r="3800">
      <c r="A3800" s="5" t="s">
        <v>2605</v>
      </c>
      <c r="B3800" s="8">
        <v>7.0</v>
      </c>
      <c r="C3800" s="7" t="s">
        <v>43</v>
      </c>
      <c r="D3800" s="7" t="s">
        <v>1315</v>
      </c>
      <c r="E3800" s="5" t="s">
        <v>3401</v>
      </c>
      <c r="F3800" s="7" t="s">
        <v>444</v>
      </c>
    </row>
    <row r="3801">
      <c r="A3801" s="5" t="s">
        <v>2933</v>
      </c>
      <c r="B3801" s="8">
        <v>7.0</v>
      </c>
      <c r="C3801" s="7" t="s">
        <v>43</v>
      </c>
      <c r="D3801" s="7" t="s">
        <v>1315</v>
      </c>
      <c r="E3801" s="5" t="s">
        <v>3401</v>
      </c>
      <c r="F3801" s="7" t="s">
        <v>444</v>
      </c>
    </row>
    <row r="3802">
      <c r="A3802" s="5" t="s">
        <v>2606</v>
      </c>
      <c r="B3802" s="8">
        <v>7.0</v>
      </c>
      <c r="C3802" s="7" t="s">
        <v>43</v>
      </c>
      <c r="D3802" s="7" t="s">
        <v>1315</v>
      </c>
      <c r="E3802" s="5" t="s">
        <v>3401</v>
      </c>
      <c r="F3802" s="7" t="s">
        <v>444</v>
      </c>
    </row>
    <row r="3803">
      <c r="A3803" s="5" t="s">
        <v>2934</v>
      </c>
      <c r="B3803" s="8">
        <v>7.0</v>
      </c>
      <c r="C3803" s="7" t="s">
        <v>43</v>
      </c>
      <c r="D3803" s="7" t="s">
        <v>1315</v>
      </c>
      <c r="E3803" s="5" t="s">
        <v>3401</v>
      </c>
      <c r="F3803" s="7" t="s">
        <v>444</v>
      </c>
    </row>
    <row r="3804">
      <c r="A3804" s="5" t="s">
        <v>2607</v>
      </c>
      <c r="B3804" s="8">
        <v>7.0</v>
      </c>
      <c r="C3804" s="7" t="s">
        <v>43</v>
      </c>
      <c r="D3804" s="7" t="s">
        <v>1315</v>
      </c>
      <c r="E3804" s="5" t="s">
        <v>3401</v>
      </c>
      <c r="F3804" s="7" t="s">
        <v>444</v>
      </c>
    </row>
    <row r="3805">
      <c r="A3805" s="7" t="s">
        <v>876</v>
      </c>
      <c r="B3805" s="8">
        <v>7.0</v>
      </c>
      <c r="C3805" s="7" t="s">
        <v>43</v>
      </c>
      <c r="D3805" s="7" t="s">
        <v>1315</v>
      </c>
      <c r="E3805" s="5" t="s">
        <v>3401</v>
      </c>
      <c r="F3805" s="7" t="s">
        <v>444</v>
      </c>
    </row>
    <row r="3806">
      <c r="A3806" s="5" t="s">
        <v>3092</v>
      </c>
      <c r="B3806" s="8">
        <v>7.0</v>
      </c>
      <c r="C3806" s="7" t="s">
        <v>43</v>
      </c>
      <c r="D3806" s="7" t="s">
        <v>1315</v>
      </c>
      <c r="E3806" s="5" t="s">
        <v>3401</v>
      </c>
      <c r="F3806" s="7" t="s">
        <v>444</v>
      </c>
    </row>
    <row r="3807">
      <c r="A3807" s="5" t="s">
        <v>2614</v>
      </c>
      <c r="B3807" s="8">
        <v>7.0</v>
      </c>
      <c r="C3807" s="7" t="s">
        <v>43</v>
      </c>
      <c r="D3807" s="7" t="s">
        <v>1315</v>
      </c>
      <c r="E3807" s="5" t="s">
        <v>3401</v>
      </c>
      <c r="F3807" s="7" t="s">
        <v>444</v>
      </c>
    </row>
    <row r="3808">
      <c r="A3808" s="5" t="s">
        <v>2608</v>
      </c>
      <c r="B3808" s="8">
        <v>7.0</v>
      </c>
      <c r="C3808" s="7" t="s">
        <v>43</v>
      </c>
      <c r="D3808" s="7" t="s">
        <v>1315</v>
      </c>
      <c r="E3808" s="5" t="s">
        <v>3401</v>
      </c>
      <c r="F3808" s="7" t="s">
        <v>444</v>
      </c>
    </row>
    <row r="3809">
      <c r="A3809" s="5" t="s">
        <v>2609</v>
      </c>
      <c r="B3809" s="8">
        <v>7.0</v>
      </c>
      <c r="C3809" s="7" t="s">
        <v>43</v>
      </c>
      <c r="D3809" s="7" t="s">
        <v>1315</v>
      </c>
      <c r="E3809" s="5" t="s">
        <v>3401</v>
      </c>
      <c r="F3809" s="7" t="s">
        <v>444</v>
      </c>
    </row>
    <row r="3810">
      <c r="A3810" s="7" t="s">
        <v>188</v>
      </c>
      <c r="B3810" s="8">
        <v>7.0</v>
      </c>
      <c r="C3810" s="7" t="s">
        <v>62</v>
      </c>
      <c r="D3810" s="7" t="s">
        <v>1317</v>
      </c>
      <c r="E3810" s="5" t="s">
        <v>1318</v>
      </c>
      <c r="F3810" s="7" t="s">
        <v>444</v>
      </c>
    </row>
    <row r="3811">
      <c r="A3811" s="5" t="s">
        <v>2592</v>
      </c>
      <c r="B3811" s="8">
        <v>7.0</v>
      </c>
      <c r="C3811" s="7" t="s">
        <v>62</v>
      </c>
      <c r="D3811" s="7" t="s">
        <v>1317</v>
      </c>
      <c r="E3811" s="5" t="s">
        <v>1318</v>
      </c>
      <c r="F3811" s="7" t="s">
        <v>47</v>
      </c>
    </row>
    <row r="3812">
      <c r="A3812" s="5" t="s">
        <v>2796</v>
      </c>
      <c r="B3812" s="8">
        <v>7.0</v>
      </c>
      <c r="C3812" s="7" t="s">
        <v>62</v>
      </c>
      <c r="D3812" s="7" t="s">
        <v>1317</v>
      </c>
      <c r="E3812" s="5" t="s">
        <v>1318</v>
      </c>
      <c r="F3812" s="7" t="s">
        <v>47</v>
      </c>
    </row>
    <row r="3813">
      <c r="A3813" s="5" t="s">
        <v>2594</v>
      </c>
      <c r="B3813" s="8">
        <v>7.0</v>
      </c>
      <c r="C3813" s="7" t="s">
        <v>62</v>
      </c>
      <c r="D3813" s="7" t="s">
        <v>1317</v>
      </c>
      <c r="E3813" s="5" t="s">
        <v>1318</v>
      </c>
      <c r="F3813" s="7" t="s">
        <v>47</v>
      </c>
    </row>
    <row r="3814">
      <c r="A3814" s="5" t="s">
        <v>3086</v>
      </c>
      <c r="B3814" s="8">
        <v>7.0</v>
      </c>
      <c r="C3814" s="7" t="s">
        <v>62</v>
      </c>
      <c r="D3814" s="7" t="s">
        <v>1317</v>
      </c>
      <c r="E3814" s="5" t="s">
        <v>1318</v>
      </c>
      <c r="F3814" s="7" t="s">
        <v>47</v>
      </c>
    </row>
    <row r="3815">
      <c r="A3815" s="7" t="s">
        <v>868</v>
      </c>
      <c r="B3815" s="8">
        <v>7.0</v>
      </c>
      <c r="C3815" s="7" t="s">
        <v>62</v>
      </c>
      <c r="D3815" s="7" t="s">
        <v>1317</v>
      </c>
      <c r="E3815" s="5" t="s">
        <v>1318</v>
      </c>
      <c r="F3815" s="7" t="s">
        <v>47</v>
      </c>
    </row>
    <row r="3816">
      <c r="A3816" s="5" t="s">
        <v>3087</v>
      </c>
      <c r="B3816" s="8">
        <v>7.0</v>
      </c>
      <c r="C3816" s="7" t="s">
        <v>62</v>
      </c>
      <c r="D3816" s="7" t="s">
        <v>1317</v>
      </c>
      <c r="E3816" s="5" t="s">
        <v>1318</v>
      </c>
      <c r="F3816" s="7" t="s">
        <v>66</v>
      </c>
    </row>
    <row r="3817">
      <c r="A3817" s="5" t="s">
        <v>3088</v>
      </c>
      <c r="B3817" s="8">
        <v>7.0</v>
      </c>
      <c r="C3817" s="7" t="s">
        <v>62</v>
      </c>
      <c r="D3817" s="7" t="s">
        <v>1317</v>
      </c>
      <c r="E3817" s="5" t="s">
        <v>1318</v>
      </c>
      <c r="F3817" s="7" t="s">
        <v>47</v>
      </c>
    </row>
    <row r="3818">
      <c r="A3818" s="5" t="s">
        <v>3388</v>
      </c>
      <c r="B3818" s="8">
        <v>7.0</v>
      </c>
      <c r="C3818" s="7" t="s">
        <v>62</v>
      </c>
      <c r="D3818" s="7" t="s">
        <v>1317</v>
      </c>
      <c r="E3818" s="5" t="s">
        <v>1318</v>
      </c>
      <c r="F3818" s="7" t="s">
        <v>47</v>
      </c>
    </row>
    <row r="3819">
      <c r="A3819" s="5" t="s">
        <v>2595</v>
      </c>
      <c r="B3819" s="8">
        <v>7.0</v>
      </c>
      <c r="C3819" s="7" t="s">
        <v>62</v>
      </c>
      <c r="D3819" s="7" t="s">
        <v>1317</v>
      </c>
      <c r="E3819" s="5" t="s">
        <v>1318</v>
      </c>
      <c r="F3819" s="7" t="s">
        <v>444</v>
      </c>
    </row>
    <row r="3820">
      <c r="A3820" s="5" t="s">
        <v>3089</v>
      </c>
      <c r="B3820" s="8">
        <v>7.0</v>
      </c>
      <c r="C3820" s="7" t="s">
        <v>62</v>
      </c>
      <c r="D3820" s="7" t="s">
        <v>1317</v>
      </c>
      <c r="E3820" s="5" t="s">
        <v>1318</v>
      </c>
      <c r="F3820" s="7" t="s">
        <v>444</v>
      </c>
    </row>
    <row r="3821">
      <c r="A3821" s="5" t="s">
        <v>2597</v>
      </c>
      <c r="B3821" s="8">
        <v>7.0</v>
      </c>
      <c r="C3821" s="7" t="s">
        <v>62</v>
      </c>
      <c r="D3821" s="7" t="s">
        <v>1317</v>
      </c>
      <c r="E3821" s="5" t="s">
        <v>1318</v>
      </c>
      <c r="F3821" s="7" t="s">
        <v>444</v>
      </c>
    </row>
    <row r="3822">
      <c r="A3822" s="7" t="s">
        <v>8</v>
      </c>
      <c r="B3822" s="8">
        <v>7.0</v>
      </c>
      <c r="C3822" s="7" t="s">
        <v>62</v>
      </c>
      <c r="D3822" s="7" t="s">
        <v>1317</v>
      </c>
      <c r="E3822" s="5" t="s">
        <v>1318</v>
      </c>
      <c r="F3822" s="7" t="s">
        <v>961</v>
      </c>
    </row>
    <row r="3823">
      <c r="A3823" s="5" t="s">
        <v>2798</v>
      </c>
      <c r="B3823" s="8">
        <v>7.0</v>
      </c>
      <c r="C3823" s="7" t="s">
        <v>62</v>
      </c>
      <c r="D3823" s="7" t="s">
        <v>1317</v>
      </c>
      <c r="E3823" s="5" t="s">
        <v>1318</v>
      </c>
      <c r="F3823" s="7" t="s">
        <v>444</v>
      </c>
    </row>
    <row r="3824">
      <c r="A3824" s="5" t="s">
        <v>2702</v>
      </c>
      <c r="B3824" s="8">
        <v>7.0</v>
      </c>
      <c r="C3824" s="7" t="s">
        <v>62</v>
      </c>
      <c r="D3824" s="7" t="s">
        <v>1317</v>
      </c>
      <c r="E3824" s="5" t="s">
        <v>1318</v>
      </c>
      <c r="F3824" s="7" t="s">
        <v>444</v>
      </c>
    </row>
    <row r="3825">
      <c r="A3825" s="5" t="s">
        <v>2599</v>
      </c>
      <c r="B3825" s="8">
        <v>7.0</v>
      </c>
      <c r="C3825" s="7" t="s">
        <v>62</v>
      </c>
      <c r="D3825" s="7" t="s">
        <v>1317</v>
      </c>
      <c r="E3825" s="5" t="s">
        <v>1318</v>
      </c>
      <c r="F3825" s="7" t="s">
        <v>444</v>
      </c>
    </row>
    <row r="3826">
      <c r="A3826" s="5" t="s">
        <v>2600</v>
      </c>
      <c r="B3826" s="8">
        <v>7.0</v>
      </c>
      <c r="C3826" s="7" t="s">
        <v>62</v>
      </c>
      <c r="D3826" s="7" t="s">
        <v>1317</v>
      </c>
      <c r="E3826" s="5" t="s">
        <v>1318</v>
      </c>
      <c r="F3826" s="7" t="s">
        <v>444</v>
      </c>
    </row>
    <row r="3827">
      <c r="A3827" s="5" t="s">
        <v>3090</v>
      </c>
      <c r="B3827" s="8">
        <v>7.0</v>
      </c>
      <c r="C3827" s="7" t="s">
        <v>62</v>
      </c>
      <c r="D3827" s="7" t="s">
        <v>1317</v>
      </c>
      <c r="E3827" s="5" t="s">
        <v>1318</v>
      </c>
      <c r="F3827" s="7" t="s">
        <v>961</v>
      </c>
    </row>
    <row r="3828">
      <c r="A3828" s="7" t="s">
        <v>873</v>
      </c>
      <c r="B3828" s="8">
        <v>7.0</v>
      </c>
      <c r="C3828" s="7" t="s">
        <v>62</v>
      </c>
      <c r="D3828" s="7" t="s">
        <v>1317</v>
      </c>
      <c r="E3828" s="5" t="s">
        <v>1318</v>
      </c>
      <c r="F3828" s="7" t="s">
        <v>444</v>
      </c>
    </row>
    <row r="3829">
      <c r="A3829" s="5" t="s">
        <v>2602</v>
      </c>
      <c r="B3829" s="8">
        <v>7.0</v>
      </c>
      <c r="C3829" s="7" t="s">
        <v>62</v>
      </c>
      <c r="D3829" s="7" t="s">
        <v>1317</v>
      </c>
      <c r="E3829" s="5" t="s">
        <v>1318</v>
      </c>
      <c r="F3829" s="7" t="s">
        <v>444</v>
      </c>
    </row>
    <row r="3830">
      <c r="A3830" s="5" t="s">
        <v>2603</v>
      </c>
      <c r="B3830" s="8">
        <v>7.0</v>
      </c>
      <c r="C3830" s="7" t="s">
        <v>62</v>
      </c>
      <c r="D3830" s="7" t="s">
        <v>1317</v>
      </c>
      <c r="E3830" s="5" t="s">
        <v>1318</v>
      </c>
      <c r="F3830" s="7" t="s">
        <v>444</v>
      </c>
    </row>
    <row r="3831">
      <c r="A3831" s="7" t="s">
        <v>874</v>
      </c>
      <c r="B3831" s="8">
        <v>7.0</v>
      </c>
      <c r="C3831" s="7" t="s">
        <v>62</v>
      </c>
      <c r="D3831" s="7" t="s">
        <v>1317</v>
      </c>
      <c r="E3831" s="5" t="s">
        <v>1318</v>
      </c>
      <c r="F3831" s="7" t="s">
        <v>444</v>
      </c>
    </row>
    <row r="3832">
      <c r="A3832" s="5" t="s">
        <v>2604</v>
      </c>
      <c r="B3832" s="8">
        <v>7.0</v>
      </c>
      <c r="C3832" s="7" t="s">
        <v>62</v>
      </c>
      <c r="D3832" s="7" t="s">
        <v>1317</v>
      </c>
      <c r="E3832" s="5" t="s">
        <v>1318</v>
      </c>
      <c r="F3832" s="7" t="s">
        <v>444</v>
      </c>
    </row>
    <row r="3833">
      <c r="A3833" s="5" t="s">
        <v>3091</v>
      </c>
      <c r="B3833" s="8">
        <v>7.0</v>
      </c>
      <c r="C3833" s="7" t="s">
        <v>62</v>
      </c>
      <c r="D3833" s="7" t="s">
        <v>1317</v>
      </c>
      <c r="E3833" s="5" t="s">
        <v>1318</v>
      </c>
      <c r="F3833" s="7" t="s">
        <v>965</v>
      </c>
    </row>
    <row r="3834">
      <c r="A3834" s="5" t="s">
        <v>2605</v>
      </c>
      <c r="B3834" s="8">
        <v>7.0</v>
      </c>
      <c r="C3834" s="7" t="s">
        <v>62</v>
      </c>
      <c r="D3834" s="7" t="s">
        <v>1317</v>
      </c>
      <c r="E3834" s="5" t="s">
        <v>1318</v>
      </c>
      <c r="F3834" s="7" t="s">
        <v>444</v>
      </c>
    </row>
    <row r="3835">
      <c r="A3835" s="5" t="s">
        <v>2933</v>
      </c>
      <c r="B3835" s="8">
        <v>7.0</v>
      </c>
      <c r="C3835" s="7" t="s">
        <v>62</v>
      </c>
      <c r="D3835" s="7" t="s">
        <v>1317</v>
      </c>
      <c r="E3835" s="5" t="s">
        <v>1318</v>
      </c>
      <c r="F3835" s="7" t="s">
        <v>444</v>
      </c>
    </row>
    <row r="3836">
      <c r="A3836" s="5" t="s">
        <v>2606</v>
      </c>
      <c r="B3836" s="8">
        <v>7.0</v>
      </c>
      <c r="C3836" s="7" t="s">
        <v>62</v>
      </c>
      <c r="D3836" s="7" t="s">
        <v>1317</v>
      </c>
      <c r="E3836" s="5" t="s">
        <v>1318</v>
      </c>
      <c r="F3836" s="7" t="s">
        <v>444</v>
      </c>
    </row>
    <row r="3837">
      <c r="A3837" s="5" t="s">
        <v>2934</v>
      </c>
      <c r="B3837" s="8">
        <v>7.0</v>
      </c>
      <c r="C3837" s="7" t="s">
        <v>62</v>
      </c>
      <c r="D3837" s="7" t="s">
        <v>1317</v>
      </c>
      <c r="E3837" s="5" t="s">
        <v>1318</v>
      </c>
      <c r="F3837" s="7" t="s">
        <v>444</v>
      </c>
    </row>
    <row r="3838">
      <c r="A3838" s="5" t="s">
        <v>2607</v>
      </c>
      <c r="B3838" s="8">
        <v>7.0</v>
      </c>
      <c r="C3838" s="7" t="s">
        <v>62</v>
      </c>
      <c r="D3838" s="7" t="s">
        <v>1317</v>
      </c>
      <c r="E3838" s="5" t="s">
        <v>1318</v>
      </c>
      <c r="F3838" s="7" t="s">
        <v>444</v>
      </c>
    </row>
    <row r="3839">
      <c r="A3839" s="7" t="s">
        <v>876</v>
      </c>
      <c r="B3839" s="8">
        <v>7.0</v>
      </c>
      <c r="C3839" s="7" t="s">
        <v>62</v>
      </c>
      <c r="D3839" s="7" t="s">
        <v>1317</v>
      </c>
      <c r="E3839" s="5" t="s">
        <v>1318</v>
      </c>
      <c r="F3839" s="7" t="s">
        <v>444</v>
      </c>
    </row>
    <row r="3840">
      <c r="A3840" s="5" t="s">
        <v>3092</v>
      </c>
      <c r="B3840" s="8">
        <v>7.0</v>
      </c>
      <c r="C3840" s="7" t="s">
        <v>62</v>
      </c>
      <c r="D3840" s="7" t="s">
        <v>1317</v>
      </c>
      <c r="E3840" s="5" t="s">
        <v>1318</v>
      </c>
      <c r="F3840" s="7" t="s">
        <v>444</v>
      </c>
    </row>
    <row r="3841">
      <c r="A3841" s="5" t="s">
        <v>2614</v>
      </c>
      <c r="B3841" s="8">
        <v>7.0</v>
      </c>
      <c r="C3841" s="7" t="s">
        <v>62</v>
      </c>
      <c r="D3841" s="7" t="s">
        <v>1317</v>
      </c>
      <c r="E3841" s="5" t="s">
        <v>1318</v>
      </c>
      <c r="F3841" s="7" t="s">
        <v>444</v>
      </c>
    </row>
    <row r="3842">
      <c r="A3842" s="5" t="s">
        <v>2608</v>
      </c>
      <c r="B3842" s="8">
        <v>7.0</v>
      </c>
      <c r="C3842" s="7" t="s">
        <v>62</v>
      </c>
      <c r="D3842" s="7" t="s">
        <v>1317</v>
      </c>
      <c r="E3842" s="5" t="s">
        <v>1318</v>
      </c>
      <c r="F3842" s="7" t="s">
        <v>444</v>
      </c>
    </row>
    <row r="3843">
      <c r="A3843" s="5" t="s">
        <v>2609</v>
      </c>
      <c r="B3843" s="8">
        <v>7.0</v>
      </c>
      <c r="C3843" s="7" t="s">
        <v>62</v>
      </c>
      <c r="D3843" s="7" t="s">
        <v>1317</v>
      </c>
      <c r="E3843" s="5" t="s">
        <v>1318</v>
      </c>
      <c r="F3843" s="7" t="s">
        <v>444</v>
      </c>
    </row>
    <row r="3844">
      <c r="A3844" s="7" t="s">
        <v>188</v>
      </c>
      <c r="B3844" s="8">
        <v>7.0</v>
      </c>
      <c r="C3844" s="7" t="s">
        <v>966</v>
      </c>
      <c r="D3844" s="7" t="s">
        <v>1319</v>
      </c>
      <c r="E3844" s="5" t="s">
        <v>3402</v>
      </c>
      <c r="F3844" s="7" t="s">
        <v>444</v>
      </c>
    </row>
    <row r="3845">
      <c r="A3845" s="5" t="s">
        <v>2592</v>
      </c>
      <c r="B3845" s="8">
        <v>7.0</v>
      </c>
      <c r="C3845" s="7" t="s">
        <v>966</v>
      </c>
      <c r="D3845" s="7" t="s">
        <v>1319</v>
      </c>
      <c r="E3845" s="5" t="s">
        <v>3402</v>
      </c>
      <c r="F3845" s="7" t="s">
        <v>47</v>
      </c>
    </row>
    <row r="3846">
      <c r="A3846" s="5" t="s">
        <v>2796</v>
      </c>
      <c r="B3846" s="8">
        <v>7.0</v>
      </c>
      <c r="C3846" s="7" t="s">
        <v>966</v>
      </c>
      <c r="D3846" s="7" t="s">
        <v>1319</v>
      </c>
      <c r="E3846" s="5" t="s">
        <v>3402</v>
      </c>
      <c r="F3846" s="7" t="s">
        <v>47</v>
      </c>
    </row>
    <row r="3847">
      <c r="A3847" s="5" t="s">
        <v>2594</v>
      </c>
      <c r="B3847" s="8">
        <v>7.0</v>
      </c>
      <c r="C3847" s="7" t="s">
        <v>966</v>
      </c>
      <c r="D3847" s="7" t="s">
        <v>1319</v>
      </c>
      <c r="E3847" s="5" t="s">
        <v>3402</v>
      </c>
      <c r="F3847" s="7" t="s">
        <v>47</v>
      </c>
    </row>
    <row r="3848">
      <c r="A3848" s="5" t="s">
        <v>3086</v>
      </c>
      <c r="B3848" s="8">
        <v>7.0</v>
      </c>
      <c r="C3848" s="7" t="s">
        <v>966</v>
      </c>
      <c r="D3848" s="7" t="s">
        <v>1319</v>
      </c>
      <c r="E3848" s="5" t="s">
        <v>3402</v>
      </c>
      <c r="F3848" s="7" t="s">
        <v>47</v>
      </c>
    </row>
    <row r="3849">
      <c r="A3849" s="7" t="s">
        <v>868</v>
      </c>
      <c r="B3849" s="8">
        <v>7.0</v>
      </c>
      <c r="C3849" s="7" t="s">
        <v>966</v>
      </c>
      <c r="D3849" s="7" t="s">
        <v>1319</v>
      </c>
      <c r="E3849" s="5" t="s">
        <v>3402</v>
      </c>
      <c r="F3849" s="7" t="s">
        <v>47</v>
      </c>
    </row>
    <row r="3850">
      <c r="A3850" s="5" t="s">
        <v>3087</v>
      </c>
      <c r="B3850" s="8">
        <v>7.0</v>
      </c>
      <c r="C3850" s="7" t="s">
        <v>966</v>
      </c>
      <c r="D3850" s="7" t="s">
        <v>1319</v>
      </c>
      <c r="E3850" s="5" t="s">
        <v>3402</v>
      </c>
      <c r="F3850" s="7" t="s">
        <v>66</v>
      </c>
    </row>
    <row r="3851">
      <c r="A3851" s="5" t="s">
        <v>3088</v>
      </c>
      <c r="B3851" s="8">
        <v>7.0</v>
      </c>
      <c r="C3851" s="7" t="s">
        <v>966</v>
      </c>
      <c r="D3851" s="7" t="s">
        <v>1319</v>
      </c>
      <c r="E3851" s="5" t="s">
        <v>3402</v>
      </c>
      <c r="F3851" s="7" t="s">
        <v>47</v>
      </c>
    </row>
    <row r="3852">
      <c r="A3852" s="5" t="s">
        <v>3388</v>
      </c>
      <c r="B3852" s="8">
        <v>7.0</v>
      </c>
      <c r="C3852" s="7" t="s">
        <v>966</v>
      </c>
      <c r="D3852" s="7" t="s">
        <v>1319</v>
      </c>
      <c r="E3852" s="5" t="s">
        <v>3402</v>
      </c>
      <c r="F3852" s="7" t="s">
        <v>47</v>
      </c>
    </row>
    <row r="3853">
      <c r="A3853" s="5" t="s">
        <v>2595</v>
      </c>
      <c r="B3853" s="8">
        <v>7.0</v>
      </c>
      <c r="C3853" s="7" t="s">
        <v>966</v>
      </c>
      <c r="D3853" s="7" t="s">
        <v>1319</v>
      </c>
      <c r="E3853" s="5" t="s">
        <v>3402</v>
      </c>
      <c r="F3853" s="7" t="s">
        <v>444</v>
      </c>
    </row>
    <row r="3854">
      <c r="A3854" s="5" t="s">
        <v>3089</v>
      </c>
      <c r="B3854" s="8">
        <v>7.0</v>
      </c>
      <c r="C3854" s="7" t="s">
        <v>966</v>
      </c>
      <c r="D3854" s="7" t="s">
        <v>1319</v>
      </c>
      <c r="E3854" s="5" t="s">
        <v>3402</v>
      </c>
      <c r="F3854" s="7" t="s">
        <v>444</v>
      </c>
    </row>
    <row r="3855">
      <c r="A3855" s="5" t="s">
        <v>2597</v>
      </c>
      <c r="B3855" s="8">
        <v>7.0</v>
      </c>
      <c r="C3855" s="7" t="s">
        <v>966</v>
      </c>
      <c r="D3855" s="7" t="s">
        <v>1319</v>
      </c>
      <c r="E3855" s="5" t="s">
        <v>3402</v>
      </c>
      <c r="F3855" s="7" t="s">
        <v>444</v>
      </c>
    </row>
    <row r="3856">
      <c r="A3856" s="7" t="s">
        <v>8</v>
      </c>
      <c r="B3856" s="8">
        <v>7.0</v>
      </c>
      <c r="C3856" s="7" t="s">
        <v>966</v>
      </c>
      <c r="D3856" s="7" t="s">
        <v>1319</v>
      </c>
      <c r="E3856" s="5" t="s">
        <v>3402</v>
      </c>
      <c r="F3856" s="7" t="s">
        <v>961</v>
      </c>
    </row>
    <row r="3857">
      <c r="A3857" s="5" t="s">
        <v>2798</v>
      </c>
      <c r="B3857" s="8">
        <v>7.0</v>
      </c>
      <c r="C3857" s="7" t="s">
        <v>966</v>
      </c>
      <c r="D3857" s="7" t="s">
        <v>1319</v>
      </c>
      <c r="E3857" s="5" t="s">
        <v>3402</v>
      </c>
      <c r="F3857" s="7" t="s">
        <v>444</v>
      </c>
    </row>
    <row r="3858">
      <c r="A3858" s="5" t="s">
        <v>2702</v>
      </c>
      <c r="B3858" s="8">
        <v>7.0</v>
      </c>
      <c r="C3858" s="7" t="s">
        <v>966</v>
      </c>
      <c r="D3858" s="7" t="s">
        <v>1319</v>
      </c>
      <c r="E3858" s="5" t="s">
        <v>3402</v>
      </c>
      <c r="F3858" s="7" t="s">
        <v>444</v>
      </c>
    </row>
    <row r="3859">
      <c r="A3859" s="5" t="s">
        <v>2599</v>
      </c>
      <c r="B3859" s="8">
        <v>7.0</v>
      </c>
      <c r="C3859" s="7" t="s">
        <v>966</v>
      </c>
      <c r="D3859" s="7" t="s">
        <v>1319</v>
      </c>
      <c r="E3859" s="5" t="s">
        <v>3402</v>
      </c>
      <c r="F3859" s="7" t="s">
        <v>444</v>
      </c>
    </row>
    <row r="3860">
      <c r="A3860" s="5" t="s">
        <v>2600</v>
      </c>
      <c r="B3860" s="8">
        <v>7.0</v>
      </c>
      <c r="C3860" s="7" t="s">
        <v>966</v>
      </c>
      <c r="D3860" s="7" t="s">
        <v>1319</v>
      </c>
      <c r="E3860" s="5" t="s">
        <v>3402</v>
      </c>
      <c r="F3860" s="7" t="s">
        <v>444</v>
      </c>
    </row>
    <row r="3861">
      <c r="A3861" s="5" t="s">
        <v>3090</v>
      </c>
      <c r="B3861" s="8">
        <v>7.0</v>
      </c>
      <c r="C3861" s="7" t="s">
        <v>966</v>
      </c>
      <c r="D3861" s="7" t="s">
        <v>1319</v>
      </c>
      <c r="E3861" s="5" t="s">
        <v>3402</v>
      </c>
      <c r="F3861" s="7" t="s">
        <v>961</v>
      </c>
    </row>
    <row r="3862">
      <c r="A3862" s="7" t="s">
        <v>873</v>
      </c>
      <c r="B3862" s="8">
        <v>7.0</v>
      </c>
      <c r="C3862" s="7" t="s">
        <v>966</v>
      </c>
      <c r="D3862" s="7" t="s">
        <v>1319</v>
      </c>
      <c r="E3862" s="5" t="s">
        <v>3402</v>
      </c>
      <c r="F3862" s="7" t="s">
        <v>444</v>
      </c>
    </row>
    <row r="3863">
      <c r="A3863" s="5" t="s">
        <v>2602</v>
      </c>
      <c r="B3863" s="8">
        <v>7.0</v>
      </c>
      <c r="C3863" s="7" t="s">
        <v>966</v>
      </c>
      <c r="D3863" s="7" t="s">
        <v>1319</v>
      </c>
      <c r="E3863" s="5" t="s">
        <v>3402</v>
      </c>
      <c r="F3863" s="7" t="s">
        <v>444</v>
      </c>
    </row>
    <row r="3864">
      <c r="A3864" s="5" t="s">
        <v>2603</v>
      </c>
      <c r="B3864" s="8">
        <v>7.0</v>
      </c>
      <c r="C3864" s="7" t="s">
        <v>966</v>
      </c>
      <c r="D3864" s="7" t="s">
        <v>1319</v>
      </c>
      <c r="E3864" s="5" t="s">
        <v>3402</v>
      </c>
      <c r="F3864" s="7" t="s">
        <v>444</v>
      </c>
    </row>
    <row r="3865">
      <c r="A3865" s="7" t="s">
        <v>874</v>
      </c>
      <c r="B3865" s="8">
        <v>7.0</v>
      </c>
      <c r="C3865" s="7" t="s">
        <v>966</v>
      </c>
      <c r="D3865" s="7" t="s">
        <v>1319</v>
      </c>
      <c r="E3865" s="5" t="s">
        <v>3402</v>
      </c>
      <c r="F3865" s="7" t="s">
        <v>444</v>
      </c>
    </row>
    <row r="3866">
      <c r="A3866" s="5" t="s">
        <v>2604</v>
      </c>
      <c r="B3866" s="8">
        <v>7.0</v>
      </c>
      <c r="C3866" s="7" t="s">
        <v>966</v>
      </c>
      <c r="D3866" s="7" t="s">
        <v>1319</v>
      </c>
      <c r="E3866" s="5" t="s">
        <v>3402</v>
      </c>
      <c r="F3866" s="7" t="s">
        <v>444</v>
      </c>
    </row>
    <row r="3867">
      <c r="A3867" s="5" t="s">
        <v>3091</v>
      </c>
      <c r="B3867" s="8">
        <v>7.0</v>
      </c>
      <c r="C3867" s="7" t="s">
        <v>966</v>
      </c>
      <c r="D3867" s="7" t="s">
        <v>1319</v>
      </c>
      <c r="E3867" s="5" t="s">
        <v>3402</v>
      </c>
      <c r="F3867" s="7" t="s">
        <v>965</v>
      </c>
    </row>
    <row r="3868">
      <c r="A3868" s="5" t="s">
        <v>2605</v>
      </c>
      <c r="B3868" s="8">
        <v>7.0</v>
      </c>
      <c r="C3868" s="7" t="s">
        <v>966</v>
      </c>
      <c r="D3868" s="7" t="s">
        <v>1319</v>
      </c>
      <c r="E3868" s="5" t="s">
        <v>3402</v>
      </c>
      <c r="F3868" s="7" t="s">
        <v>444</v>
      </c>
    </row>
    <row r="3869">
      <c r="A3869" s="5" t="s">
        <v>2933</v>
      </c>
      <c r="B3869" s="8">
        <v>7.0</v>
      </c>
      <c r="C3869" s="7" t="s">
        <v>966</v>
      </c>
      <c r="D3869" s="7" t="s">
        <v>1319</v>
      </c>
      <c r="E3869" s="5" t="s">
        <v>3402</v>
      </c>
      <c r="F3869" s="7" t="s">
        <v>444</v>
      </c>
    </row>
    <row r="3870">
      <c r="A3870" s="5" t="s">
        <v>2606</v>
      </c>
      <c r="B3870" s="8">
        <v>7.0</v>
      </c>
      <c r="C3870" s="7" t="s">
        <v>966</v>
      </c>
      <c r="D3870" s="7" t="s">
        <v>1319</v>
      </c>
      <c r="E3870" s="5" t="s">
        <v>3402</v>
      </c>
      <c r="F3870" s="7" t="s">
        <v>444</v>
      </c>
    </row>
    <row r="3871">
      <c r="A3871" s="5" t="s">
        <v>2934</v>
      </c>
      <c r="B3871" s="8">
        <v>7.0</v>
      </c>
      <c r="C3871" s="7" t="s">
        <v>966</v>
      </c>
      <c r="D3871" s="7" t="s">
        <v>1319</v>
      </c>
      <c r="E3871" s="5" t="s">
        <v>3402</v>
      </c>
      <c r="F3871" s="7" t="s">
        <v>444</v>
      </c>
    </row>
    <row r="3872">
      <c r="A3872" s="5" t="s">
        <v>2607</v>
      </c>
      <c r="B3872" s="8">
        <v>7.0</v>
      </c>
      <c r="C3872" s="7" t="s">
        <v>966</v>
      </c>
      <c r="D3872" s="7" t="s">
        <v>1319</v>
      </c>
      <c r="E3872" s="5" t="s">
        <v>3402</v>
      </c>
      <c r="F3872" s="7" t="s">
        <v>444</v>
      </c>
    </row>
    <row r="3873">
      <c r="A3873" s="7" t="s">
        <v>876</v>
      </c>
      <c r="B3873" s="8">
        <v>7.0</v>
      </c>
      <c r="C3873" s="7" t="s">
        <v>966</v>
      </c>
      <c r="D3873" s="7" t="s">
        <v>1319</v>
      </c>
      <c r="E3873" s="5" t="s">
        <v>3402</v>
      </c>
      <c r="F3873" s="7" t="s">
        <v>444</v>
      </c>
    </row>
    <row r="3874">
      <c r="A3874" s="5" t="s">
        <v>3092</v>
      </c>
      <c r="B3874" s="8">
        <v>7.0</v>
      </c>
      <c r="C3874" s="7" t="s">
        <v>966</v>
      </c>
      <c r="D3874" s="7" t="s">
        <v>1319</v>
      </c>
      <c r="E3874" s="5" t="s">
        <v>3402</v>
      </c>
      <c r="F3874" s="7" t="s">
        <v>444</v>
      </c>
    </row>
    <row r="3875">
      <c r="A3875" s="5" t="s">
        <v>2614</v>
      </c>
      <c r="B3875" s="8">
        <v>7.0</v>
      </c>
      <c r="C3875" s="7" t="s">
        <v>966</v>
      </c>
      <c r="D3875" s="7" t="s">
        <v>1319</v>
      </c>
      <c r="E3875" s="5" t="s">
        <v>3402</v>
      </c>
      <c r="F3875" s="7" t="s">
        <v>444</v>
      </c>
    </row>
    <row r="3876">
      <c r="A3876" s="5" t="s">
        <v>2608</v>
      </c>
      <c r="B3876" s="8">
        <v>7.0</v>
      </c>
      <c r="C3876" s="7" t="s">
        <v>966</v>
      </c>
      <c r="D3876" s="7" t="s">
        <v>1319</v>
      </c>
      <c r="E3876" s="5" t="s">
        <v>3402</v>
      </c>
      <c r="F3876" s="7" t="s">
        <v>444</v>
      </c>
    </row>
    <row r="3877">
      <c r="A3877" s="5" t="s">
        <v>2609</v>
      </c>
      <c r="B3877" s="8">
        <v>7.0</v>
      </c>
      <c r="C3877" s="7" t="s">
        <v>966</v>
      </c>
      <c r="D3877" s="7" t="s">
        <v>1319</v>
      </c>
      <c r="E3877" s="5" t="s">
        <v>3402</v>
      </c>
      <c r="F3877" s="7" t="s">
        <v>444</v>
      </c>
    </row>
    <row r="3878">
      <c r="A3878" s="7" t="s">
        <v>188</v>
      </c>
      <c r="B3878" s="8">
        <v>7.0</v>
      </c>
      <c r="C3878" s="7" t="s">
        <v>67</v>
      </c>
      <c r="D3878" s="5" t="s">
        <v>2624</v>
      </c>
      <c r="E3878" s="5" t="s">
        <v>3403</v>
      </c>
      <c r="F3878" s="7" t="s">
        <v>444</v>
      </c>
    </row>
    <row r="3879">
      <c r="A3879" s="5" t="s">
        <v>2592</v>
      </c>
      <c r="B3879" s="8">
        <v>7.0</v>
      </c>
      <c r="C3879" s="7" t="s">
        <v>67</v>
      </c>
      <c r="D3879" s="5" t="s">
        <v>2624</v>
      </c>
      <c r="E3879" s="5" t="s">
        <v>3403</v>
      </c>
      <c r="F3879" s="7" t="s">
        <v>971</v>
      </c>
    </row>
    <row r="3880">
      <c r="A3880" s="5" t="s">
        <v>2796</v>
      </c>
      <c r="B3880" s="8">
        <v>7.0</v>
      </c>
      <c r="C3880" s="7" t="s">
        <v>67</v>
      </c>
      <c r="D3880" s="5" t="s">
        <v>2624</v>
      </c>
      <c r="E3880" s="5" t="s">
        <v>3403</v>
      </c>
      <c r="F3880" s="7" t="s">
        <v>444</v>
      </c>
    </row>
    <row r="3881">
      <c r="A3881" s="5" t="s">
        <v>2594</v>
      </c>
      <c r="B3881" s="8">
        <v>7.0</v>
      </c>
      <c r="C3881" s="7" t="s">
        <v>67</v>
      </c>
      <c r="D3881" s="5" t="s">
        <v>2624</v>
      </c>
      <c r="E3881" s="5" t="s">
        <v>3403</v>
      </c>
      <c r="F3881" s="5" t="s">
        <v>3143</v>
      </c>
    </row>
    <row r="3882">
      <c r="A3882" s="5" t="s">
        <v>3086</v>
      </c>
      <c r="B3882" s="8">
        <v>7.0</v>
      </c>
      <c r="C3882" s="7" t="s">
        <v>67</v>
      </c>
      <c r="D3882" s="5" t="s">
        <v>2624</v>
      </c>
      <c r="E3882" s="5" t="s">
        <v>3403</v>
      </c>
      <c r="F3882" s="7" t="s">
        <v>131</v>
      </c>
    </row>
    <row r="3883">
      <c r="A3883" s="7" t="s">
        <v>868</v>
      </c>
      <c r="B3883" s="8">
        <v>7.0</v>
      </c>
      <c r="C3883" s="7" t="s">
        <v>67</v>
      </c>
      <c r="D3883" s="5" t="s">
        <v>2624</v>
      </c>
      <c r="E3883" s="5" t="s">
        <v>3403</v>
      </c>
      <c r="F3883" s="7" t="s">
        <v>131</v>
      </c>
    </row>
    <row r="3884">
      <c r="A3884" s="5" t="s">
        <v>3087</v>
      </c>
      <c r="B3884" s="8">
        <v>7.0</v>
      </c>
      <c r="C3884" s="7" t="s">
        <v>67</v>
      </c>
      <c r="D3884" s="5" t="s">
        <v>2624</v>
      </c>
      <c r="E3884" s="5" t="s">
        <v>3403</v>
      </c>
      <c r="F3884" s="7" t="s">
        <v>1323</v>
      </c>
    </row>
    <row r="3885">
      <c r="A3885" s="5" t="s">
        <v>3088</v>
      </c>
      <c r="B3885" s="8">
        <v>7.0</v>
      </c>
      <c r="C3885" s="7" t="s">
        <v>67</v>
      </c>
      <c r="D3885" s="5" t="s">
        <v>2624</v>
      </c>
      <c r="E3885" s="5" t="s">
        <v>3403</v>
      </c>
      <c r="F3885" s="7" t="s">
        <v>47</v>
      </c>
    </row>
    <row r="3886">
      <c r="A3886" s="5" t="s">
        <v>3388</v>
      </c>
      <c r="B3886" s="8">
        <v>7.0</v>
      </c>
      <c r="C3886" s="7" t="s">
        <v>67</v>
      </c>
      <c r="D3886" s="5" t="s">
        <v>2624</v>
      </c>
      <c r="E3886" s="5" t="s">
        <v>3403</v>
      </c>
      <c r="F3886" s="7" t="s">
        <v>47</v>
      </c>
    </row>
    <row r="3887">
      <c r="A3887" s="5" t="s">
        <v>2595</v>
      </c>
      <c r="B3887" s="8">
        <v>7.0</v>
      </c>
      <c r="C3887" s="7" t="s">
        <v>67</v>
      </c>
      <c r="D3887" s="5" t="s">
        <v>2624</v>
      </c>
      <c r="E3887" s="5" t="s">
        <v>3403</v>
      </c>
      <c r="F3887" s="7" t="s">
        <v>444</v>
      </c>
    </row>
    <row r="3888">
      <c r="A3888" s="5" t="s">
        <v>3089</v>
      </c>
      <c r="B3888" s="8">
        <v>7.0</v>
      </c>
      <c r="C3888" s="7" t="s">
        <v>67</v>
      </c>
      <c r="D3888" s="5" t="s">
        <v>2624</v>
      </c>
      <c r="E3888" s="5" t="s">
        <v>3403</v>
      </c>
      <c r="F3888" s="7" t="s">
        <v>444</v>
      </c>
    </row>
    <row r="3889">
      <c r="A3889" s="5" t="s">
        <v>2597</v>
      </c>
      <c r="B3889" s="8">
        <v>7.0</v>
      </c>
      <c r="C3889" s="7" t="s">
        <v>67</v>
      </c>
      <c r="D3889" s="5" t="s">
        <v>2624</v>
      </c>
      <c r="E3889" s="5" t="s">
        <v>3403</v>
      </c>
      <c r="F3889" s="7" t="s">
        <v>444</v>
      </c>
    </row>
    <row r="3890">
      <c r="A3890" s="7" t="s">
        <v>8</v>
      </c>
      <c r="B3890" s="8">
        <v>7.0</v>
      </c>
      <c r="C3890" s="7" t="s">
        <v>67</v>
      </c>
      <c r="D3890" s="5" t="s">
        <v>2624</v>
      </c>
      <c r="E3890" s="5" t="s">
        <v>3403</v>
      </c>
      <c r="F3890" s="5" t="s">
        <v>3404</v>
      </c>
    </row>
    <row r="3891">
      <c r="A3891" s="5" t="s">
        <v>2798</v>
      </c>
      <c r="B3891" s="8">
        <v>7.0</v>
      </c>
      <c r="C3891" s="7" t="s">
        <v>67</v>
      </c>
      <c r="D3891" s="5" t="s">
        <v>2624</v>
      </c>
      <c r="E3891" s="5" t="s">
        <v>3403</v>
      </c>
      <c r="F3891" s="7" t="s">
        <v>444</v>
      </c>
    </row>
    <row r="3892">
      <c r="A3892" s="5" t="s">
        <v>2702</v>
      </c>
      <c r="B3892" s="8">
        <v>7.0</v>
      </c>
      <c r="C3892" s="7" t="s">
        <v>67</v>
      </c>
      <c r="D3892" s="5" t="s">
        <v>2624</v>
      </c>
      <c r="E3892" s="5" t="s">
        <v>3403</v>
      </c>
      <c r="F3892" s="7" t="s">
        <v>444</v>
      </c>
    </row>
    <row r="3893">
      <c r="A3893" s="5" t="s">
        <v>2599</v>
      </c>
      <c r="B3893" s="8">
        <v>7.0</v>
      </c>
      <c r="C3893" s="7" t="s">
        <v>67</v>
      </c>
      <c r="D3893" s="5" t="s">
        <v>2624</v>
      </c>
      <c r="E3893" s="5" t="s">
        <v>3403</v>
      </c>
      <c r="F3893" s="7" t="s">
        <v>444</v>
      </c>
    </row>
    <row r="3894">
      <c r="A3894" s="5" t="s">
        <v>2600</v>
      </c>
      <c r="B3894" s="8">
        <v>7.0</v>
      </c>
      <c r="C3894" s="7" t="s">
        <v>67</v>
      </c>
      <c r="D3894" s="5" t="s">
        <v>2624</v>
      </c>
      <c r="E3894" s="5" t="s">
        <v>3403</v>
      </c>
      <c r="F3894" s="7" t="s">
        <v>444</v>
      </c>
    </row>
    <row r="3895">
      <c r="A3895" s="5" t="s">
        <v>3090</v>
      </c>
      <c r="B3895" s="8">
        <v>7.0</v>
      </c>
      <c r="C3895" s="7" t="s">
        <v>67</v>
      </c>
      <c r="D3895" s="5" t="s">
        <v>2624</v>
      </c>
      <c r="E3895" s="5" t="s">
        <v>3403</v>
      </c>
      <c r="F3895" s="5" t="s">
        <v>3405</v>
      </c>
    </row>
    <row r="3896">
      <c r="A3896" s="7" t="s">
        <v>873</v>
      </c>
      <c r="B3896" s="8">
        <v>7.0</v>
      </c>
      <c r="C3896" s="7" t="s">
        <v>67</v>
      </c>
      <c r="D3896" s="5" t="s">
        <v>2624</v>
      </c>
      <c r="E3896" s="5" t="s">
        <v>3403</v>
      </c>
      <c r="F3896" s="7" t="s">
        <v>444</v>
      </c>
    </row>
    <row r="3897">
      <c r="A3897" s="5" t="s">
        <v>2602</v>
      </c>
      <c r="B3897" s="8">
        <v>7.0</v>
      </c>
      <c r="C3897" s="7" t="s">
        <v>67</v>
      </c>
      <c r="D3897" s="5" t="s">
        <v>2624</v>
      </c>
      <c r="E3897" s="5" t="s">
        <v>3403</v>
      </c>
      <c r="F3897" s="5" t="s">
        <v>3406</v>
      </c>
    </row>
    <row r="3898">
      <c r="A3898" s="5" t="s">
        <v>2603</v>
      </c>
      <c r="B3898" s="8">
        <v>7.0</v>
      </c>
      <c r="C3898" s="7" t="s">
        <v>67</v>
      </c>
      <c r="D3898" s="5" t="s">
        <v>2624</v>
      </c>
      <c r="E3898" s="5" t="s">
        <v>3403</v>
      </c>
      <c r="F3898" s="5" t="s">
        <v>3407</v>
      </c>
    </row>
    <row r="3899">
      <c r="A3899" s="7" t="s">
        <v>874</v>
      </c>
      <c r="B3899" s="8">
        <v>7.0</v>
      </c>
      <c r="C3899" s="7" t="s">
        <v>67</v>
      </c>
      <c r="D3899" s="5" t="s">
        <v>2624</v>
      </c>
      <c r="E3899" s="5" t="s">
        <v>3403</v>
      </c>
      <c r="F3899" s="7" t="s">
        <v>444</v>
      </c>
    </row>
    <row r="3900">
      <c r="A3900" s="5" t="s">
        <v>2604</v>
      </c>
      <c r="B3900" s="8">
        <v>7.0</v>
      </c>
      <c r="C3900" s="7" t="s">
        <v>67</v>
      </c>
      <c r="D3900" s="5" t="s">
        <v>2624</v>
      </c>
      <c r="E3900" s="5" t="s">
        <v>3403</v>
      </c>
      <c r="F3900" s="7" t="s">
        <v>444</v>
      </c>
    </row>
    <row r="3901">
      <c r="A3901" s="5" t="s">
        <v>3091</v>
      </c>
      <c r="B3901" s="8">
        <v>7.0</v>
      </c>
      <c r="C3901" s="7" t="s">
        <v>67</v>
      </c>
      <c r="D3901" s="5" t="s">
        <v>2624</v>
      </c>
      <c r="E3901" s="5" t="s">
        <v>3403</v>
      </c>
      <c r="F3901" s="7" t="s">
        <v>965</v>
      </c>
    </row>
    <row r="3902">
      <c r="A3902" s="5" t="s">
        <v>2605</v>
      </c>
      <c r="B3902" s="8">
        <v>7.0</v>
      </c>
      <c r="C3902" s="7" t="s">
        <v>67</v>
      </c>
      <c r="D3902" s="5" t="s">
        <v>2624</v>
      </c>
      <c r="E3902" s="5" t="s">
        <v>3403</v>
      </c>
      <c r="F3902" s="7" t="s">
        <v>444</v>
      </c>
    </row>
    <row r="3903">
      <c r="A3903" s="5" t="s">
        <v>2933</v>
      </c>
      <c r="B3903" s="8">
        <v>7.0</v>
      </c>
      <c r="C3903" s="7" t="s">
        <v>67</v>
      </c>
      <c r="D3903" s="5" t="s">
        <v>2624</v>
      </c>
      <c r="E3903" s="5" t="s">
        <v>3403</v>
      </c>
      <c r="F3903" s="7" t="s">
        <v>444</v>
      </c>
    </row>
    <row r="3904">
      <c r="A3904" s="5" t="s">
        <v>2606</v>
      </c>
      <c r="B3904" s="8">
        <v>7.0</v>
      </c>
      <c r="C3904" s="7" t="s">
        <v>67</v>
      </c>
      <c r="D3904" s="5" t="s">
        <v>2624</v>
      </c>
      <c r="E3904" s="5" t="s">
        <v>3403</v>
      </c>
      <c r="F3904" s="7" t="s">
        <v>444</v>
      </c>
    </row>
    <row r="3905">
      <c r="A3905" s="5" t="s">
        <v>2934</v>
      </c>
      <c r="B3905" s="8">
        <v>7.0</v>
      </c>
      <c r="C3905" s="7" t="s">
        <v>67</v>
      </c>
      <c r="D3905" s="5" t="s">
        <v>2624</v>
      </c>
      <c r="E3905" s="5" t="s">
        <v>3403</v>
      </c>
      <c r="F3905" s="7" t="s">
        <v>444</v>
      </c>
    </row>
    <row r="3906">
      <c r="A3906" s="5" t="s">
        <v>2607</v>
      </c>
      <c r="B3906" s="8">
        <v>7.0</v>
      </c>
      <c r="C3906" s="7" t="s">
        <v>67</v>
      </c>
      <c r="D3906" s="5" t="s">
        <v>2624</v>
      </c>
      <c r="E3906" s="5" t="s">
        <v>3403</v>
      </c>
      <c r="F3906" s="7" t="s">
        <v>444</v>
      </c>
    </row>
    <row r="3907">
      <c r="A3907" s="7" t="s">
        <v>876</v>
      </c>
      <c r="B3907" s="8">
        <v>7.0</v>
      </c>
      <c r="C3907" s="7" t="s">
        <v>67</v>
      </c>
      <c r="D3907" s="5" t="s">
        <v>2624</v>
      </c>
      <c r="E3907" s="5" t="s">
        <v>3403</v>
      </c>
      <c r="F3907" s="7" t="s">
        <v>444</v>
      </c>
    </row>
    <row r="3908">
      <c r="A3908" s="5" t="s">
        <v>3092</v>
      </c>
      <c r="B3908" s="8">
        <v>7.0</v>
      </c>
      <c r="C3908" s="7" t="s">
        <v>67</v>
      </c>
      <c r="D3908" s="5" t="s">
        <v>2624</v>
      </c>
      <c r="E3908" s="5" t="s">
        <v>3403</v>
      </c>
      <c r="F3908" s="7" t="s">
        <v>444</v>
      </c>
    </row>
    <row r="3909">
      <c r="A3909" s="5" t="s">
        <v>2614</v>
      </c>
      <c r="B3909" s="8">
        <v>7.0</v>
      </c>
      <c r="C3909" s="7" t="s">
        <v>67</v>
      </c>
      <c r="D3909" s="5" t="s">
        <v>2624</v>
      </c>
      <c r="E3909" s="5" t="s">
        <v>3403</v>
      </c>
      <c r="F3909" s="7" t="s">
        <v>444</v>
      </c>
    </row>
    <row r="3910">
      <c r="A3910" s="5" t="s">
        <v>2608</v>
      </c>
      <c r="B3910" s="8">
        <v>7.0</v>
      </c>
      <c r="C3910" s="7" t="s">
        <v>67</v>
      </c>
      <c r="D3910" s="5" t="s">
        <v>2624</v>
      </c>
      <c r="E3910" s="5" t="s">
        <v>3403</v>
      </c>
      <c r="F3910" s="7" t="s">
        <v>444</v>
      </c>
    </row>
    <row r="3911">
      <c r="A3911" s="5" t="s">
        <v>2609</v>
      </c>
      <c r="B3911" s="8">
        <v>7.0</v>
      </c>
      <c r="C3911" s="7" t="s">
        <v>67</v>
      </c>
      <c r="D3911" s="5" t="s">
        <v>2624</v>
      </c>
      <c r="E3911" s="5" t="s">
        <v>3403</v>
      </c>
      <c r="F3911" s="7" t="s">
        <v>444</v>
      </c>
    </row>
    <row r="3912">
      <c r="A3912" s="7" t="s">
        <v>188</v>
      </c>
      <c r="B3912" s="8">
        <v>7.0</v>
      </c>
      <c r="C3912" s="7" t="s">
        <v>72</v>
      </c>
      <c r="D3912" s="7" t="s">
        <v>1328</v>
      </c>
      <c r="E3912" s="5" t="s">
        <v>74</v>
      </c>
      <c r="F3912" s="5" t="s">
        <v>3149</v>
      </c>
    </row>
    <row r="3913">
      <c r="A3913" s="5" t="s">
        <v>2592</v>
      </c>
      <c r="B3913" s="8">
        <v>7.0</v>
      </c>
      <c r="C3913" s="7" t="s">
        <v>72</v>
      </c>
      <c r="D3913" s="7" t="s">
        <v>1328</v>
      </c>
      <c r="E3913" s="5" t="s">
        <v>74</v>
      </c>
      <c r="F3913" s="5" t="s">
        <v>238</v>
      </c>
    </row>
    <row r="3914">
      <c r="A3914" s="5" t="s">
        <v>2796</v>
      </c>
      <c r="B3914" s="8">
        <v>7.0</v>
      </c>
      <c r="C3914" s="7" t="s">
        <v>72</v>
      </c>
      <c r="D3914" s="7" t="s">
        <v>1328</v>
      </c>
      <c r="E3914" s="5" t="s">
        <v>74</v>
      </c>
      <c r="F3914" s="5" t="s">
        <v>3149</v>
      </c>
    </row>
    <row r="3915">
      <c r="A3915" s="5" t="s">
        <v>2594</v>
      </c>
      <c r="B3915" s="8">
        <v>7.0</v>
      </c>
      <c r="C3915" s="7" t="s">
        <v>72</v>
      </c>
      <c r="D3915" s="7" t="s">
        <v>1328</v>
      </c>
      <c r="E3915" s="5" t="s">
        <v>74</v>
      </c>
      <c r="F3915" s="5" t="s">
        <v>76</v>
      </c>
    </row>
    <row r="3916">
      <c r="A3916" s="5" t="s">
        <v>3086</v>
      </c>
      <c r="B3916" s="8">
        <v>7.0</v>
      </c>
      <c r="C3916" s="7" t="s">
        <v>72</v>
      </c>
      <c r="D3916" s="7" t="s">
        <v>1328</v>
      </c>
      <c r="E3916" s="5" t="s">
        <v>74</v>
      </c>
      <c r="F3916" s="5" t="s">
        <v>3150</v>
      </c>
    </row>
    <row r="3917">
      <c r="A3917" s="7" t="s">
        <v>868</v>
      </c>
      <c r="B3917" s="8">
        <v>7.0</v>
      </c>
      <c r="C3917" s="7" t="s">
        <v>72</v>
      </c>
      <c r="D3917" s="7" t="s">
        <v>1328</v>
      </c>
      <c r="E3917" s="5" t="s">
        <v>74</v>
      </c>
      <c r="F3917" s="5" t="s">
        <v>76</v>
      </c>
    </row>
    <row r="3918">
      <c r="A3918" s="5" t="s">
        <v>3087</v>
      </c>
      <c r="B3918" s="8">
        <v>7.0</v>
      </c>
      <c r="C3918" s="7" t="s">
        <v>72</v>
      </c>
      <c r="D3918" s="7" t="s">
        <v>1328</v>
      </c>
      <c r="E3918" s="5" t="s">
        <v>74</v>
      </c>
      <c r="F3918" s="5" t="s">
        <v>1330</v>
      </c>
    </row>
    <row r="3919">
      <c r="A3919" s="5" t="s">
        <v>3088</v>
      </c>
      <c r="B3919" s="8">
        <v>7.0</v>
      </c>
      <c r="C3919" s="7" t="s">
        <v>72</v>
      </c>
      <c r="D3919" s="7" t="s">
        <v>1328</v>
      </c>
      <c r="E3919" s="5" t="s">
        <v>74</v>
      </c>
      <c r="F3919" s="5" t="s">
        <v>77</v>
      </c>
    </row>
    <row r="3920">
      <c r="A3920" s="5" t="s">
        <v>3388</v>
      </c>
      <c r="B3920" s="8">
        <v>7.0</v>
      </c>
      <c r="C3920" s="7" t="s">
        <v>72</v>
      </c>
      <c r="D3920" s="7" t="s">
        <v>1328</v>
      </c>
      <c r="E3920" s="5" t="s">
        <v>74</v>
      </c>
      <c r="F3920" s="5" t="s">
        <v>76</v>
      </c>
    </row>
    <row r="3921">
      <c r="A3921" s="5" t="s">
        <v>2595</v>
      </c>
      <c r="B3921" s="8">
        <v>7.0</v>
      </c>
      <c r="C3921" s="7" t="s">
        <v>72</v>
      </c>
      <c r="D3921" s="7" t="s">
        <v>1328</v>
      </c>
      <c r="E3921" s="5" t="s">
        <v>74</v>
      </c>
      <c r="F3921" s="5" t="s">
        <v>77</v>
      </c>
    </row>
    <row r="3922">
      <c r="A3922" s="5" t="s">
        <v>3089</v>
      </c>
      <c r="B3922" s="8">
        <v>7.0</v>
      </c>
      <c r="C3922" s="7" t="s">
        <v>72</v>
      </c>
      <c r="D3922" s="7" t="s">
        <v>1328</v>
      </c>
      <c r="E3922" s="5" t="s">
        <v>74</v>
      </c>
      <c r="F3922" s="5" t="s">
        <v>365</v>
      </c>
    </row>
    <row r="3923">
      <c r="A3923" s="5" t="s">
        <v>2597</v>
      </c>
      <c r="B3923" s="8">
        <v>7.0</v>
      </c>
      <c r="C3923" s="7" t="s">
        <v>72</v>
      </c>
      <c r="D3923" s="7" t="s">
        <v>1328</v>
      </c>
      <c r="E3923" s="5" t="s">
        <v>74</v>
      </c>
      <c r="F3923" s="5" t="s">
        <v>77</v>
      </c>
    </row>
    <row r="3924">
      <c r="A3924" s="7" t="s">
        <v>8</v>
      </c>
      <c r="B3924" s="8">
        <v>7.0</v>
      </c>
      <c r="C3924" s="7" t="s">
        <v>72</v>
      </c>
      <c r="D3924" s="7" t="s">
        <v>1328</v>
      </c>
      <c r="E3924" s="5" t="s">
        <v>74</v>
      </c>
      <c r="F3924" s="5" t="s">
        <v>77</v>
      </c>
    </row>
    <row r="3925">
      <c r="A3925" s="5" t="s">
        <v>2798</v>
      </c>
      <c r="B3925" s="8">
        <v>7.0</v>
      </c>
      <c r="C3925" s="7" t="s">
        <v>72</v>
      </c>
      <c r="D3925" s="7" t="s">
        <v>1328</v>
      </c>
      <c r="E3925" s="5" t="s">
        <v>74</v>
      </c>
      <c r="F3925" s="5" t="s">
        <v>3408</v>
      </c>
    </row>
    <row r="3926">
      <c r="A3926" s="5" t="s">
        <v>2702</v>
      </c>
      <c r="B3926" s="8">
        <v>7.0</v>
      </c>
      <c r="C3926" s="7" t="s">
        <v>72</v>
      </c>
      <c r="D3926" s="7" t="s">
        <v>1328</v>
      </c>
      <c r="E3926" s="5" t="s">
        <v>74</v>
      </c>
      <c r="F3926" s="5" t="s">
        <v>76</v>
      </c>
    </row>
    <row r="3927">
      <c r="A3927" s="5" t="s">
        <v>2599</v>
      </c>
      <c r="B3927" s="8">
        <v>7.0</v>
      </c>
      <c r="C3927" s="7" t="s">
        <v>72</v>
      </c>
      <c r="D3927" s="7" t="s">
        <v>1328</v>
      </c>
      <c r="E3927" s="5" t="s">
        <v>74</v>
      </c>
      <c r="F3927" s="5" t="s">
        <v>77</v>
      </c>
    </row>
    <row r="3928">
      <c r="A3928" s="5" t="s">
        <v>2600</v>
      </c>
      <c r="B3928" s="8">
        <v>7.0</v>
      </c>
      <c r="C3928" s="7" t="s">
        <v>72</v>
      </c>
      <c r="D3928" s="7" t="s">
        <v>1328</v>
      </c>
      <c r="E3928" s="5" t="s">
        <v>74</v>
      </c>
      <c r="F3928" s="5" t="s">
        <v>365</v>
      </c>
    </row>
    <row r="3929">
      <c r="A3929" s="5" t="s">
        <v>3090</v>
      </c>
      <c r="B3929" s="8">
        <v>7.0</v>
      </c>
      <c r="C3929" s="7" t="s">
        <v>72</v>
      </c>
      <c r="D3929" s="7" t="s">
        <v>1328</v>
      </c>
      <c r="E3929" s="5" t="s">
        <v>74</v>
      </c>
      <c r="F3929" s="5" t="s">
        <v>365</v>
      </c>
    </row>
    <row r="3930">
      <c r="A3930" s="7" t="s">
        <v>873</v>
      </c>
      <c r="B3930" s="8">
        <v>7.0</v>
      </c>
      <c r="C3930" s="7" t="s">
        <v>72</v>
      </c>
      <c r="D3930" s="7" t="s">
        <v>1328</v>
      </c>
      <c r="E3930" s="5" t="s">
        <v>74</v>
      </c>
      <c r="F3930" s="5" t="s">
        <v>77</v>
      </c>
    </row>
    <row r="3931">
      <c r="A3931" s="5" t="s">
        <v>2602</v>
      </c>
      <c r="B3931" s="8">
        <v>7.0</v>
      </c>
      <c r="C3931" s="7" t="s">
        <v>72</v>
      </c>
      <c r="D3931" s="7" t="s">
        <v>1328</v>
      </c>
      <c r="E3931" s="5" t="s">
        <v>74</v>
      </c>
      <c r="F3931" s="5" t="s">
        <v>77</v>
      </c>
    </row>
    <row r="3932">
      <c r="A3932" s="5" t="s">
        <v>2603</v>
      </c>
      <c r="B3932" s="8">
        <v>7.0</v>
      </c>
      <c r="C3932" s="7" t="s">
        <v>72</v>
      </c>
      <c r="D3932" s="7" t="s">
        <v>1328</v>
      </c>
      <c r="E3932" s="5" t="s">
        <v>74</v>
      </c>
      <c r="F3932" s="5" t="s">
        <v>3409</v>
      </c>
    </row>
    <row r="3933">
      <c r="A3933" s="7" t="s">
        <v>874</v>
      </c>
      <c r="B3933" s="8">
        <v>7.0</v>
      </c>
      <c r="C3933" s="7" t="s">
        <v>72</v>
      </c>
      <c r="D3933" s="7" t="s">
        <v>1328</v>
      </c>
      <c r="E3933" s="5" t="s">
        <v>74</v>
      </c>
      <c r="F3933" s="5" t="s">
        <v>76</v>
      </c>
    </row>
    <row r="3934">
      <c r="A3934" s="5" t="s">
        <v>2604</v>
      </c>
      <c r="B3934" s="8">
        <v>7.0</v>
      </c>
      <c r="C3934" s="7" t="s">
        <v>72</v>
      </c>
      <c r="D3934" s="7" t="s">
        <v>1328</v>
      </c>
      <c r="E3934" s="5" t="s">
        <v>74</v>
      </c>
      <c r="F3934" s="5" t="s">
        <v>76</v>
      </c>
    </row>
    <row r="3935">
      <c r="A3935" s="5" t="s">
        <v>3091</v>
      </c>
      <c r="B3935" s="8">
        <v>7.0</v>
      </c>
      <c r="C3935" s="7" t="s">
        <v>72</v>
      </c>
      <c r="D3935" s="7" t="s">
        <v>1328</v>
      </c>
      <c r="E3935" s="5" t="s">
        <v>74</v>
      </c>
      <c r="F3935" s="5" t="s">
        <v>76</v>
      </c>
    </row>
    <row r="3936">
      <c r="A3936" s="5" t="s">
        <v>2605</v>
      </c>
      <c r="B3936" s="8">
        <v>7.0</v>
      </c>
      <c r="C3936" s="7" t="s">
        <v>72</v>
      </c>
      <c r="D3936" s="7" t="s">
        <v>1328</v>
      </c>
      <c r="E3936" s="5" t="s">
        <v>74</v>
      </c>
      <c r="F3936" s="5" t="s">
        <v>76</v>
      </c>
    </row>
    <row r="3937">
      <c r="A3937" s="5" t="s">
        <v>2933</v>
      </c>
      <c r="B3937" s="8">
        <v>7.0</v>
      </c>
      <c r="C3937" s="7" t="s">
        <v>72</v>
      </c>
      <c r="D3937" s="7" t="s">
        <v>1328</v>
      </c>
      <c r="E3937" s="5" t="s">
        <v>74</v>
      </c>
      <c r="F3937" s="5" t="s">
        <v>77</v>
      </c>
    </row>
    <row r="3938">
      <c r="A3938" s="5" t="s">
        <v>2606</v>
      </c>
      <c r="B3938" s="8">
        <v>7.0</v>
      </c>
      <c r="C3938" s="7" t="s">
        <v>72</v>
      </c>
      <c r="D3938" s="7" t="s">
        <v>1328</v>
      </c>
      <c r="E3938" s="5" t="s">
        <v>74</v>
      </c>
      <c r="F3938" s="5" t="s">
        <v>77</v>
      </c>
    </row>
    <row r="3939">
      <c r="A3939" s="5" t="s">
        <v>2934</v>
      </c>
      <c r="B3939" s="8">
        <v>7.0</v>
      </c>
      <c r="C3939" s="7" t="s">
        <v>72</v>
      </c>
      <c r="D3939" s="7" t="s">
        <v>1328</v>
      </c>
      <c r="E3939" s="5" t="s">
        <v>74</v>
      </c>
      <c r="F3939" s="5" t="s">
        <v>365</v>
      </c>
    </row>
    <row r="3940">
      <c r="A3940" s="5" t="s">
        <v>2607</v>
      </c>
      <c r="B3940" s="8">
        <v>7.0</v>
      </c>
      <c r="C3940" s="7" t="s">
        <v>72</v>
      </c>
      <c r="D3940" s="7" t="s">
        <v>1328</v>
      </c>
      <c r="E3940" s="5" t="s">
        <v>74</v>
      </c>
      <c r="F3940" s="5" t="s">
        <v>77</v>
      </c>
    </row>
    <row r="3941">
      <c r="A3941" s="7" t="s">
        <v>876</v>
      </c>
      <c r="B3941" s="8">
        <v>7.0</v>
      </c>
      <c r="C3941" s="7" t="s">
        <v>72</v>
      </c>
      <c r="D3941" s="7" t="s">
        <v>1328</v>
      </c>
      <c r="E3941" s="5" t="s">
        <v>74</v>
      </c>
      <c r="F3941" s="5" t="s">
        <v>365</v>
      </c>
    </row>
    <row r="3942">
      <c r="A3942" s="5" t="s">
        <v>3092</v>
      </c>
      <c r="B3942" s="8">
        <v>7.0</v>
      </c>
      <c r="C3942" s="7" t="s">
        <v>72</v>
      </c>
      <c r="D3942" s="7" t="s">
        <v>1328</v>
      </c>
      <c r="E3942" s="5" t="s">
        <v>74</v>
      </c>
      <c r="F3942" s="5" t="s">
        <v>77</v>
      </c>
    </row>
    <row r="3943">
      <c r="A3943" s="5" t="s">
        <v>2614</v>
      </c>
      <c r="B3943" s="8">
        <v>7.0</v>
      </c>
      <c r="C3943" s="7" t="s">
        <v>72</v>
      </c>
      <c r="D3943" s="7" t="s">
        <v>1328</v>
      </c>
      <c r="E3943" s="5" t="s">
        <v>74</v>
      </c>
      <c r="F3943" s="5" t="s">
        <v>77</v>
      </c>
    </row>
    <row r="3944">
      <c r="A3944" s="5" t="s">
        <v>2608</v>
      </c>
      <c r="B3944" s="8">
        <v>7.0</v>
      </c>
      <c r="C3944" s="7" t="s">
        <v>72</v>
      </c>
      <c r="D3944" s="7" t="s">
        <v>1328</v>
      </c>
      <c r="E3944" s="5" t="s">
        <v>74</v>
      </c>
      <c r="F3944" s="5" t="s">
        <v>77</v>
      </c>
    </row>
    <row r="3945">
      <c r="A3945" s="5" t="s">
        <v>2609</v>
      </c>
      <c r="B3945" s="8">
        <v>7.0</v>
      </c>
      <c r="C3945" s="7" t="s">
        <v>72</v>
      </c>
      <c r="D3945" s="7" t="s">
        <v>1328</v>
      </c>
      <c r="E3945" s="5" t="s">
        <v>74</v>
      </c>
      <c r="F3945" s="5" t="s">
        <v>77</v>
      </c>
    </row>
    <row r="3946">
      <c r="A3946" s="7" t="s">
        <v>188</v>
      </c>
      <c r="B3946" s="8">
        <v>7.0</v>
      </c>
      <c r="C3946" s="7" t="s">
        <v>78</v>
      </c>
      <c r="D3946" s="7" t="s">
        <v>1333</v>
      </c>
      <c r="E3946" s="5" t="s">
        <v>3410</v>
      </c>
      <c r="F3946" s="5" t="s">
        <v>2844</v>
      </c>
    </row>
    <row r="3947">
      <c r="A3947" s="5" t="s">
        <v>2592</v>
      </c>
      <c r="B3947" s="8">
        <v>7.0</v>
      </c>
      <c r="C3947" s="7" t="s">
        <v>78</v>
      </c>
      <c r="D3947" s="7" t="s">
        <v>1333</v>
      </c>
      <c r="E3947" s="5" t="s">
        <v>3410</v>
      </c>
      <c r="F3947" s="5" t="s">
        <v>2627</v>
      </c>
    </row>
    <row r="3948">
      <c r="A3948" s="5" t="s">
        <v>2796</v>
      </c>
      <c r="B3948" s="8">
        <v>7.0</v>
      </c>
      <c r="C3948" s="7" t="s">
        <v>78</v>
      </c>
      <c r="D3948" s="7" t="s">
        <v>1333</v>
      </c>
      <c r="E3948" s="5" t="s">
        <v>3410</v>
      </c>
      <c r="F3948" s="5" t="s">
        <v>2727</v>
      </c>
    </row>
    <row r="3949">
      <c r="A3949" s="5" t="s">
        <v>2594</v>
      </c>
      <c r="B3949" s="8">
        <v>7.0</v>
      </c>
      <c r="C3949" s="7" t="s">
        <v>78</v>
      </c>
      <c r="D3949" s="7" t="s">
        <v>1333</v>
      </c>
      <c r="E3949" s="5" t="s">
        <v>3410</v>
      </c>
      <c r="F3949" s="5" t="s">
        <v>2628</v>
      </c>
    </row>
    <row r="3950">
      <c r="A3950" s="5" t="s">
        <v>3086</v>
      </c>
      <c r="B3950" s="8">
        <v>7.0</v>
      </c>
      <c r="C3950" s="7" t="s">
        <v>78</v>
      </c>
      <c r="D3950" s="7" t="s">
        <v>1333</v>
      </c>
      <c r="E3950" s="5" t="s">
        <v>3410</v>
      </c>
      <c r="F3950" s="5" t="s">
        <v>3156</v>
      </c>
    </row>
    <row r="3951">
      <c r="A3951" s="7" t="s">
        <v>868</v>
      </c>
      <c r="B3951" s="8">
        <v>7.0</v>
      </c>
      <c r="C3951" s="7" t="s">
        <v>78</v>
      </c>
      <c r="D3951" s="7" t="s">
        <v>1333</v>
      </c>
      <c r="E3951" s="5" t="s">
        <v>3410</v>
      </c>
      <c r="F3951" s="5" t="s">
        <v>2627</v>
      </c>
    </row>
    <row r="3952">
      <c r="A3952" s="5" t="s">
        <v>3087</v>
      </c>
      <c r="B3952" s="8">
        <v>7.0</v>
      </c>
      <c r="C3952" s="7" t="s">
        <v>78</v>
      </c>
      <c r="D3952" s="7" t="s">
        <v>1333</v>
      </c>
      <c r="E3952" s="5" t="s">
        <v>3410</v>
      </c>
      <c r="F3952" s="5" t="s">
        <v>3157</v>
      </c>
    </row>
    <row r="3953">
      <c r="A3953" s="5" t="s">
        <v>3088</v>
      </c>
      <c r="B3953" s="8">
        <v>7.0</v>
      </c>
      <c r="C3953" s="7" t="s">
        <v>78</v>
      </c>
      <c r="D3953" s="7" t="s">
        <v>1333</v>
      </c>
      <c r="E3953" s="5" t="s">
        <v>3410</v>
      </c>
      <c r="F3953" s="5" t="s">
        <v>3411</v>
      </c>
    </row>
    <row r="3954">
      <c r="A3954" s="5" t="s">
        <v>3388</v>
      </c>
      <c r="B3954" s="8">
        <v>7.0</v>
      </c>
      <c r="C3954" s="7" t="s">
        <v>78</v>
      </c>
      <c r="D3954" s="7" t="s">
        <v>1333</v>
      </c>
      <c r="E3954" s="5" t="s">
        <v>3410</v>
      </c>
      <c r="F3954" s="5" t="s">
        <v>3412</v>
      </c>
    </row>
    <row r="3955">
      <c r="A3955" s="5" t="s">
        <v>2595</v>
      </c>
      <c r="B3955" s="8">
        <v>7.0</v>
      </c>
      <c r="C3955" s="7" t="s">
        <v>78</v>
      </c>
      <c r="D3955" s="7" t="s">
        <v>1333</v>
      </c>
      <c r="E3955" s="5" t="s">
        <v>3410</v>
      </c>
      <c r="F3955" s="5" t="s">
        <v>3413</v>
      </c>
    </row>
    <row r="3956">
      <c r="A3956" s="5" t="s">
        <v>3089</v>
      </c>
      <c r="B3956" s="8">
        <v>7.0</v>
      </c>
      <c r="C3956" s="7" t="s">
        <v>78</v>
      </c>
      <c r="D3956" s="7" t="s">
        <v>1333</v>
      </c>
      <c r="E3956" s="5" t="s">
        <v>3410</v>
      </c>
      <c r="F3956" s="5" t="s">
        <v>3414</v>
      </c>
    </row>
    <row r="3957">
      <c r="A3957" s="5" t="s">
        <v>2597</v>
      </c>
      <c r="B3957" s="8">
        <v>7.0</v>
      </c>
      <c r="C3957" s="7" t="s">
        <v>78</v>
      </c>
      <c r="D3957" s="7" t="s">
        <v>1333</v>
      </c>
      <c r="E3957" s="5" t="s">
        <v>3410</v>
      </c>
      <c r="F3957" s="5" t="s">
        <v>2987</v>
      </c>
    </row>
    <row r="3958">
      <c r="A3958" s="7" t="s">
        <v>8</v>
      </c>
      <c r="B3958" s="8">
        <v>7.0</v>
      </c>
      <c r="C3958" s="7" t="s">
        <v>78</v>
      </c>
      <c r="D3958" s="7" t="s">
        <v>1333</v>
      </c>
      <c r="E3958" s="5" t="s">
        <v>3410</v>
      </c>
      <c r="F3958" s="5" t="s">
        <v>3415</v>
      </c>
    </row>
    <row r="3959">
      <c r="A3959" s="5" t="s">
        <v>2798</v>
      </c>
      <c r="B3959" s="8">
        <v>7.0</v>
      </c>
      <c r="C3959" s="7" t="s">
        <v>78</v>
      </c>
      <c r="D3959" s="7" t="s">
        <v>1333</v>
      </c>
      <c r="E3959" s="5" t="s">
        <v>3410</v>
      </c>
      <c r="F3959" s="5" t="s">
        <v>2628</v>
      </c>
    </row>
    <row r="3960">
      <c r="A3960" s="5" t="s">
        <v>2702</v>
      </c>
      <c r="B3960" s="8">
        <v>7.0</v>
      </c>
      <c r="C3960" s="7" t="s">
        <v>78</v>
      </c>
      <c r="D3960" s="7" t="s">
        <v>1333</v>
      </c>
      <c r="E3960" s="5" t="s">
        <v>3410</v>
      </c>
      <c r="F3960" s="5" t="s">
        <v>3160</v>
      </c>
    </row>
    <row r="3961">
      <c r="A3961" s="5" t="s">
        <v>2599</v>
      </c>
      <c r="B3961" s="8">
        <v>7.0</v>
      </c>
      <c r="C3961" s="7" t="s">
        <v>78</v>
      </c>
      <c r="D3961" s="7" t="s">
        <v>1333</v>
      </c>
      <c r="E3961" s="5" t="s">
        <v>3410</v>
      </c>
      <c r="F3961" s="5" t="s">
        <v>3416</v>
      </c>
    </row>
    <row r="3962">
      <c r="A3962" s="5" t="s">
        <v>2600</v>
      </c>
      <c r="B3962" s="8">
        <v>7.0</v>
      </c>
      <c r="C3962" s="7" t="s">
        <v>78</v>
      </c>
      <c r="D3962" s="7" t="s">
        <v>1333</v>
      </c>
      <c r="E3962" s="5" t="s">
        <v>3410</v>
      </c>
      <c r="F3962" s="5" t="s">
        <v>2631</v>
      </c>
    </row>
    <row r="3963">
      <c r="A3963" s="5" t="s">
        <v>3090</v>
      </c>
      <c r="B3963" s="8">
        <v>7.0</v>
      </c>
      <c r="C3963" s="7" t="s">
        <v>78</v>
      </c>
      <c r="D3963" s="7" t="s">
        <v>1333</v>
      </c>
      <c r="E3963" s="5" t="s">
        <v>3410</v>
      </c>
      <c r="F3963" s="5" t="s">
        <v>2725</v>
      </c>
    </row>
    <row r="3964">
      <c r="A3964" s="7" t="s">
        <v>873</v>
      </c>
      <c r="B3964" s="8">
        <v>7.0</v>
      </c>
      <c r="C3964" s="7" t="s">
        <v>78</v>
      </c>
      <c r="D3964" s="7" t="s">
        <v>1333</v>
      </c>
      <c r="E3964" s="5" t="s">
        <v>3410</v>
      </c>
      <c r="F3964" s="5" t="s">
        <v>3413</v>
      </c>
    </row>
    <row r="3965">
      <c r="A3965" s="5" t="s">
        <v>2602</v>
      </c>
      <c r="B3965" s="8">
        <v>7.0</v>
      </c>
      <c r="C3965" s="7" t="s">
        <v>78</v>
      </c>
      <c r="D3965" s="7" t="s">
        <v>1333</v>
      </c>
      <c r="E3965" s="5" t="s">
        <v>3410</v>
      </c>
      <c r="F3965" s="5" t="s">
        <v>1341</v>
      </c>
    </row>
    <row r="3966">
      <c r="A3966" s="5" t="s">
        <v>2603</v>
      </c>
      <c r="B3966" s="8">
        <v>7.0</v>
      </c>
      <c r="C3966" s="7" t="s">
        <v>78</v>
      </c>
      <c r="D3966" s="7" t="s">
        <v>1333</v>
      </c>
      <c r="E3966" s="5" t="s">
        <v>3410</v>
      </c>
      <c r="F3966" s="5" t="s">
        <v>2843</v>
      </c>
    </row>
    <row r="3967">
      <c r="A3967" s="7" t="s">
        <v>874</v>
      </c>
      <c r="B3967" s="8">
        <v>7.0</v>
      </c>
      <c r="C3967" s="7" t="s">
        <v>78</v>
      </c>
      <c r="D3967" s="7" t="s">
        <v>1333</v>
      </c>
      <c r="E3967" s="5" t="s">
        <v>3410</v>
      </c>
      <c r="F3967" s="5" t="s">
        <v>2627</v>
      </c>
    </row>
    <row r="3968">
      <c r="A3968" s="5" t="s">
        <v>2604</v>
      </c>
      <c r="B3968" s="8">
        <v>7.0</v>
      </c>
      <c r="C3968" s="7" t="s">
        <v>78</v>
      </c>
      <c r="D3968" s="7" t="s">
        <v>1333</v>
      </c>
      <c r="E3968" s="5" t="s">
        <v>3410</v>
      </c>
      <c r="F3968" s="5" t="s">
        <v>3161</v>
      </c>
    </row>
    <row r="3969">
      <c r="A3969" s="5" t="s">
        <v>3091</v>
      </c>
      <c r="B3969" s="8">
        <v>7.0</v>
      </c>
      <c r="C3969" s="7" t="s">
        <v>78</v>
      </c>
      <c r="D3969" s="7" t="s">
        <v>1333</v>
      </c>
      <c r="E3969" s="5" t="s">
        <v>3410</v>
      </c>
      <c r="F3969" s="5" t="s">
        <v>2725</v>
      </c>
    </row>
    <row r="3970">
      <c r="A3970" s="5" t="s">
        <v>2605</v>
      </c>
      <c r="B3970" s="8">
        <v>7.0</v>
      </c>
      <c r="C3970" s="7" t="s">
        <v>78</v>
      </c>
      <c r="D3970" s="7" t="s">
        <v>1333</v>
      </c>
      <c r="E3970" s="5" t="s">
        <v>3410</v>
      </c>
      <c r="F3970" s="5" t="s">
        <v>2631</v>
      </c>
    </row>
    <row r="3971">
      <c r="A3971" s="5" t="s">
        <v>2933</v>
      </c>
      <c r="B3971" s="8">
        <v>7.0</v>
      </c>
      <c r="C3971" s="7" t="s">
        <v>78</v>
      </c>
      <c r="D3971" s="7" t="s">
        <v>1333</v>
      </c>
      <c r="E3971" s="5" t="s">
        <v>3410</v>
      </c>
      <c r="F3971" s="5" t="s">
        <v>3417</v>
      </c>
    </row>
    <row r="3972">
      <c r="A3972" s="5" t="s">
        <v>2606</v>
      </c>
      <c r="B3972" s="8">
        <v>7.0</v>
      </c>
      <c r="C3972" s="7" t="s">
        <v>78</v>
      </c>
      <c r="D3972" s="7" t="s">
        <v>1333</v>
      </c>
      <c r="E3972" s="5" t="s">
        <v>3410</v>
      </c>
      <c r="F3972" s="5" t="s">
        <v>3418</v>
      </c>
    </row>
    <row r="3973">
      <c r="A3973" s="5" t="s">
        <v>2934</v>
      </c>
      <c r="B3973" s="8">
        <v>7.0</v>
      </c>
      <c r="C3973" s="7" t="s">
        <v>78</v>
      </c>
      <c r="D3973" s="7" t="s">
        <v>1333</v>
      </c>
      <c r="E3973" s="5" t="s">
        <v>3410</v>
      </c>
      <c r="F3973" s="5" t="s">
        <v>1344</v>
      </c>
    </row>
    <row r="3974">
      <c r="A3974" s="5" t="s">
        <v>2607</v>
      </c>
      <c r="B3974" s="8">
        <v>7.0</v>
      </c>
      <c r="C3974" s="7" t="s">
        <v>78</v>
      </c>
      <c r="D3974" s="7" t="s">
        <v>1333</v>
      </c>
      <c r="E3974" s="5" t="s">
        <v>3410</v>
      </c>
      <c r="F3974" s="5" t="s">
        <v>2989</v>
      </c>
    </row>
    <row r="3975">
      <c r="A3975" s="7" t="s">
        <v>876</v>
      </c>
      <c r="B3975" s="8">
        <v>7.0</v>
      </c>
      <c r="C3975" s="7" t="s">
        <v>78</v>
      </c>
      <c r="D3975" s="7" t="s">
        <v>1333</v>
      </c>
      <c r="E3975" s="5" t="s">
        <v>3410</v>
      </c>
      <c r="F3975" s="5" t="s">
        <v>2627</v>
      </c>
    </row>
    <row r="3976">
      <c r="A3976" s="5" t="s">
        <v>3092</v>
      </c>
      <c r="B3976" s="8">
        <v>7.0</v>
      </c>
      <c r="C3976" s="7" t="s">
        <v>78</v>
      </c>
      <c r="D3976" s="7" t="s">
        <v>1333</v>
      </c>
      <c r="E3976" s="5" t="s">
        <v>3410</v>
      </c>
      <c r="F3976" s="5" t="s">
        <v>3419</v>
      </c>
    </row>
    <row r="3977">
      <c r="A3977" s="5" t="s">
        <v>2614</v>
      </c>
      <c r="B3977" s="8">
        <v>7.0</v>
      </c>
      <c r="C3977" s="7" t="s">
        <v>78</v>
      </c>
      <c r="D3977" s="7" t="s">
        <v>1333</v>
      </c>
      <c r="E3977" s="5" t="s">
        <v>3410</v>
      </c>
      <c r="F3977" s="5" t="s">
        <v>3420</v>
      </c>
    </row>
    <row r="3978">
      <c r="A3978" s="5" t="s">
        <v>2608</v>
      </c>
      <c r="B3978" s="8">
        <v>7.0</v>
      </c>
      <c r="C3978" s="7" t="s">
        <v>78</v>
      </c>
      <c r="D3978" s="7" t="s">
        <v>1333</v>
      </c>
      <c r="E3978" s="5" t="s">
        <v>3410</v>
      </c>
      <c r="F3978" s="5" t="s">
        <v>3421</v>
      </c>
    </row>
    <row r="3979">
      <c r="A3979" s="5" t="s">
        <v>2609</v>
      </c>
      <c r="B3979" s="8">
        <v>7.0</v>
      </c>
      <c r="C3979" s="7" t="s">
        <v>78</v>
      </c>
      <c r="D3979" s="7" t="s">
        <v>1333</v>
      </c>
      <c r="E3979" s="5" t="s">
        <v>3410</v>
      </c>
      <c r="F3979" s="5" t="s">
        <v>2847</v>
      </c>
    </row>
    <row r="3980">
      <c r="A3980" s="7" t="s">
        <v>188</v>
      </c>
      <c r="B3980" s="8">
        <v>7.0</v>
      </c>
      <c r="C3980" s="7" t="s">
        <v>101</v>
      </c>
      <c r="D3980" s="7" t="s">
        <v>1348</v>
      </c>
      <c r="E3980" s="5" t="s">
        <v>3422</v>
      </c>
      <c r="F3980" s="5" t="s">
        <v>3186</v>
      </c>
    </row>
    <row r="3981">
      <c r="A3981" s="5" t="s">
        <v>2592</v>
      </c>
      <c r="B3981" s="8">
        <v>7.0</v>
      </c>
      <c r="C3981" s="7" t="s">
        <v>101</v>
      </c>
      <c r="D3981" s="7" t="s">
        <v>1348</v>
      </c>
      <c r="E3981" s="5" t="s">
        <v>3422</v>
      </c>
      <c r="F3981" s="5" t="s">
        <v>2650</v>
      </c>
    </row>
    <row r="3982">
      <c r="A3982" s="5" t="s">
        <v>2796</v>
      </c>
      <c r="B3982" s="8">
        <v>7.0</v>
      </c>
      <c r="C3982" s="7" t="s">
        <v>101</v>
      </c>
      <c r="D3982" s="7" t="s">
        <v>1348</v>
      </c>
      <c r="E3982" s="5" t="s">
        <v>3422</v>
      </c>
      <c r="F3982" s="5" t="s">
        <v>3186</v>
      </c>
    </row>
    <row r="3983">
      <c r="A3983" s="5" t="s">
        <v>2594</v>
      </c>
      <c r="B3983" s="8">
        <v>7.0</v>
      </c>
      <c r="C3983" s="7" t="s">
        <v>101</v>
      </c>
      <c r="D3983" s="7" t="s">
        <v>1348</v>
      </c>
      <c r="E3983" s="5" t="s">
        <v>3422</v>
      </c>
      <c r="F3983" s="5" t="s">
        <v>3187</v>
      </c>
    </row>
    <row r="3984">
      <c r="A3984" s="5" t="s">
        <v>3086</v>
      </c>
      <c r="B3984" s="8">
        <v>7.0</v>
      </c>
      <c r="C3984" s="7" t="s">
        <v>101</v>
      </c>
      <c r="D3984" s="7" t="s">
        <v>1348</v>
      </c>
      <c r="E3984" s="5" t="s">
        <v>3422</v>
      </c>
      <c r="F3984" s="5" t="s">
        <v>3188</v>
      </c>
    </row>
    <row r="3985">
      <c r="A3985" s="7" t="s">
        <v>868</v>
      </c>
      <c r="B3985" s="8">
        <v>7.0</v>
      </c>
      <c r="C3985" s="7" t="s">
        <v>101</v>
      </c>
      <c r="D3985" s="7" t="s">
        <v>1348</v>
      </c>
      <c r="E3985" s="5" t="s">
        <v>3422</v>
      </c>
      <c r="F3985" s="5" t="s">
        <v>2730</v>
      </c>
    </row>
    <row r="3986">
      <c r="A3986" s="5" t="s">
        <v>3087</v>
      </c>
      <c r="B3986" s="8">
        <v>7.0</v>
      </c>
      <c r="C3986" s="7" t="s">
        <v>101</v>
      </c>
      <c r="D3986" s="7" t="s">
        <v>1348</v>
      </c>
      <c r="E3986" s="5" t="s">
        <v>3422</v>
      </c>
      <c r="F3986" s="5" t="s">
        <v>2650</v>
      </c>
    </row>
    <row r="3987">
      <c r="A3987" s="5" t="s">
        <v>3088</v>
      </c>
      <c r="B3987" s="8">
        <v>7.0</v>
      </c>
      <c r="C3987" s="7" t="s">
        <v>101</v>
      </c>
      <c r="D3987" s="7" t="s">
        <v>1348</v>
      </c>
      <c r="E3987" s="5" t="s">
        <v>3422</v>
      </c>
      <c r="F3987" s="5" t="s">
        <v>3423</v>
      </c>
    </row>
    <row r="3988">
      <c r="A3988" s="5" t="s">
        <v>3388</v>
      </c>
      <c r="B3988" s="8">
        <v>7.0</v>
      </c>
      <c r="C3988" s="7" t="s">
        <v>101</v>
      </c>
      <c r="D3988" s="7" t="s">
        <v>1348</v>
      </c>
      <c r="E3988" s="5" t="s">
        <v>3422</v>
      </c>
      <c r="F3988" s="5" t="s">
        <v>2650</v>
      </c>
    </row>
    <row r="3989">
      <c r="A3989" s="5" t="s">
        <v>2595</v>
      </c>
      <c r="B3989" s="8">
        <v>7.0</v>
      </c>
      <c r="C3989" s="7" t="s">
        <v>101</v>
      </c>
      <c r="D3989" s="7" t="s">
        <v>1348</v>
      </c>
      <c r="E3989" s="5" t="s">
        <v>3422</v>
      </c>
      <c r="F3989" s="5" t="s">
        <v>3424</v>
      </c>
    </row>
    <row r="3990">
      <c r="A3990" s="5" t="s">
        <v>3089</v>
      </c>
      <c r="B3990" s="8">
        <v>7.0</v>
      </c>
      <c r="C3990" s="7" t="s">
        <v>101</v>
      </c>
      <c r="D3990" s="7" t="s">
        <v>1348</v>
      </c>
      <c r="E3990" s="5" t="s">
        <v>3422</v>
      </c>
      <c r="F3990" s="5" t="s">
        <v>2649</v>
      </c>
    </row>
    <row r="3991">
      <c r="A3991" s="5" t="s">
        <v>2597</v>
      </c>
      <c r="B3991" s="8">
        <v>7.0</v>
      </c>
      <c r="C3991" s="7" t="s">
        <v>101</v>
      </c>
      <c r="D3991" s="7" t="s">
        <v>1348</v>
      </c>
      <c r="E3991" s="5" t="s">
        <v>3422</v>
      </c>
      <c r="F3991" s="5" t="s">
        <v>3425</v>
      </c>
    </row>
    <row r="3992">
      <c r="A3992" s="7" t="s">
        <v>8</v>
      </c>
      <c r="B3992" s="8">
        <v>7.0</v>
      </c>
      <c r="C3992" s="7" t="s">
        <v>101</v>
      </c>
      <c r="D3992" s="7" t="s">
        <v>1348</v>
      </c>
      <c r="E3992" s="5" t="s">
        <v>3422</v>
      </c>
      <c r="F3992" s="7" t="s">
        <v>1354</v>
      </c>
    </row>
    <row r="3993">
      <c r="A3993" s="5" t="s">
        <v>2798</v>
      </c>
      <c r="B3993" s="8">
        <v>7.0</v>
      </c>
      <c r="C3993" s="7" t="s">
        <v>101</v>
      </c>
      <c r="D3993" s="7" t="s">
        <v>1348</v>
      </c>
      <c r="E3993" s="5" t="s">
        <v>3422</v>
      </c>
      <c r="F3993" s="5" t="s">
        <v>3426</v>
      </c>
    </row>
    <row r="3994">
      <c r="A3994" s="5" t="s">
        <v>2702</v>
      </c>
      <c r="B3994" s="8">
        <v>7.0</v>
      </c>
      <c r="C3994" s="7" t="s">
        <v>101</v>
      </c>
      <c r="D3994" s="7" t="s">
        <v>1348</v>
      </c>
      <c r="E3994" s="5" t="s">
        <v>3422</v>
      </c>
      <c r="F3994" s="5" t="s">
        <v>3186</v>
      </c>
    </row>
    <row r="3995">
      <c r="A3995" s="5" t="s">
        <v>2599</v>
      </c>
      <c r="B3995" s="8">
        <v>7.0</v>
      </c>
      <c r="C3995" s="7" t="s">
        <v>101</v>
      </c>
      <c r="D3995" s="7" t="s">
        <v>1348</v>
      </c>
      <c r="E3995" s="5" t="s">
        <v>3422</v>
      </c>
      <c r="F3995" s="7" t="s">
        <v>1356</v>
      </c>
    </row>
    <row r="3996">
      <c r="A3996" s="5" t="s">
        <v>2600</v>
      </c>
      <c r="B3996" s="8">
        <v>7.0</v>
      </c>
      <c r="C3996" s="7" t="s">
        <v>101</v>
      </c>
      <c r="D3996" s="7" t="s">
        <v>1348</v>
      </c>
      <c r="E3996" s="5" t="s">
        <v>3422</v>
      </c>
      <c r="F3996" s="5" t="s">
        <v>2736</v>
      </c>
    </row>
    <row r="3997">
      <c r="A3997" s="5" t="s">
        <v>3090</v>
      </c>
      <c r="B3997" s="8">
        <v>7.0</v>
      </c>
      <c r="C3997" s="7" t="s">
        <v>101</v>
      </c>
      <c r="D3997" s="7" t="s">
        <v>1348</v>
      </c>
      <c r="E3997" s="5" t="s">
        <v>3422</v>
      </c>
      <c r="F3997" s="5" t="s">
        <v>1357</v>
      </c>
    </row>
    <row r="3998">
      <c r="A3998" s="7" t="s">
        <v>873</v>
      </c>
      <c r="B3998" s="8">
        <v>7.0</v>
      </c>
      <c r="C3998" s="7" t="s">
        <v>101</v>
      </c>
      <c r="D3998" s="7" t="s">
        <v>1348</v>
      </c>
      <c r="E3998" s="5" t="s">
        <v>3422</v>
      </c>
      <c r="F3998" s="5" t="s">
        <v>3190</v>
      </c>
    </row>
    <row r="3999">
      <c r="A3999" s="5" t="s">
        <v>2602</v>
      </c>
      <c r="B3999" s="8">
        <v>7.0</v>
      </c>
      <c r="C3999" s="7" t="s">
        <v>101</v>
      </c>
      <c r="D3999" s="7" t="s">
        <v>1348</v>
      </c>
      <c r="E3999" s="5" t="s">
        <v>3422</v>
      </c>
      <c r="F3999" s="5" t="s">
        <v>3427</v>
      </c>
    </row>
    <row r="4000">
      <c r="A4000" s="5" t="s">
        <v>2603</v>
      </c>
      <c r="B4000" s="8">
        <v>7.0</v>
      </c>
      <c r="C4000" s="7" t="s">
        <v>101</v>
      </c>
      <c r="D4000" s="7" t="s">
        <v>1348</v>
      </c>
      <c r="E4000" s="5" t="s">
        <v>3422</v>
      </c>
      <c r="F4000" s="5" t="s">
        <v>3428</v>
      </c>
    </row>
    <row r="4001">
      <c r="A4001" s="7" t="s">
        <v>874</v>
      </c>
      <c r="B4001" s="8">
        <v>7.0</v>
      </c>
      <c r="C4001" s="7" t="s">
        <v>101</v>
      </c>
      <c r="D4001" s="7" t="s">
        <v>1348</v>
      </c>
      <c r="E4001" s="5" t="s">
        <v>3422</v>
      </c>
      <c r="F4001" s="5" t="s">
        <v>3429</v>
      </c>
    </row>
    <row r="4002">
      <c r="A4002" s="5" t="s">
        <v>2604</v>
      </c>
      <c r="B4002" s="8">
        <v>7.0</v>
      </c>
      <c r="C4002" s="7" t="s">
        <v>101</v>
      </c>
      <c r="D4002" s="7" t="s">
        <v>1348</v>
      </c>
      <c r="E4002" s="5" t="s">
        <v>3422</v>
      </c>
      <c r="F4002" s="5" t="s">
        <v>1363</v>
      </c>
    </row>
    <row r="4003">
      <c r="A4003" s="5" t="s">
        <v>3091</v>
      </c>
      <c r="B4003" s="8">
        <v>7.0</v>
      </c>
      <c r="C4003" s="7" t="s">
        <v>101</v>
      </c>
      <c r="D4003" s="7" t="s">
        <v>1348</v>
      </c>
      <c r="E4003" s="5" t="s">
        <v>3422</v>
      </c>
      <c r="F4003" s="5" t="s">
        <v>1361</v>
      </c>
    </row>
    <row r="4004">
      <c r="A4004" s="5" t="s">
        <v>2605</v>
      </c>
      <c r="B4004" s="8">
        <v>7.0</v>
      </c>
      <c r="C4004" s="7" t="s">
        <v>101</v>
      </c>
      <c r="D4004" s="7" t="s">
        <v>1348</v>
      </c>
      <c r="E4004" s="5" t="s">
        <v>3422</v>
      </c>
      <c r="F4004" s="5" t="s">
        <v>3430</v>
      </c>
    </row>
    <row r="4005">
      <c r="A4005" s="5" t="s">
        <v>2933</v>
      </c>
      <c r="B4005" s="8">
        <v>7.0</v>
      </c>
      <c r="C4005" s="7" t="s">
        <v>101</v>
      </c>
      <c r="D4005" s="7" t="s">
        <v>1348</v>
      </c>
      <c r="E4005" s="5" t="s">
        <v>3422</v>
      </c>
      <c r="F4005" s="5" t="s">
        <v>2649</v>
      </c>
    </row>
    <row r="4006">
      <c r="A4006" s="5" t="s">
        <v>2606</v>
      </c>
      <c r="B4006" s="8">
        <v>7.0</v>
      </c>
      <c r="C4006" s="7" t="s">
        <v>101</v>
      </c>
      <c r="D4006" s="7" t="s">
        <v>1348</v>
      </c>
      <c r="E4006" s="5" t="s">
        <v>3422</v>
      </c>
      <c r="F4006" s="5" t="s">
        <v>1363</v>
      </c>
    </row>
    <row r="4007">
      <c r="A4007" s="5" t="s">
        <v>2934</v>
      </c>
      <c r="B4007" s="8">
        <v>7.0</v>
      </c>
      <c r="C4007" s="7" t="s">
        <v>101</v>
      </c>
      <c r="D4007" s="7" t="s">
        <v>1348</v>
      </c>
      <c r="E4007" s="5" t="s">
        <v>3422</v>
      </c>
      <c r="F4007" s="5" t="s">
        <v>3198</v>
      </c>
    </row>
    <row r="4008">
      <c r="A4008" s="5" t="s">
        <v>2607</v>
      </c>
      <c r="B4008" s="8">
        <v>7.0</v>
      </c>
      <c r="C4008" s="7" t="s">
        <v>101</v>
      </c>
      <c r="D4008" s="7" t="s">
        <v>1348</v>
      </c>
      <c r="E4008" s="5" t="s">
        <v>3422</v>
      </c>
      <c r="F4008" s="5" t="s">
        <v>1363</v>
      </c>
    </row>
    <row r="4009">
      <c r="A4009" s="7" t="s">
        <v>876</v>
      </c>
      <c r="B4009" s="8">
        <v>7.0</v>
      </c>
      <c r="C4009" s="7" t="s">
        <v>101</v>
      </c>
      <c r="D4009" s="7" t="s">
        <v>1348</v>
      </c>
      <c r="E4009" s="5" t="s">
        <v>3422</v>
      </c>
      <c r="F4009" s="5" t="s">
        <v>3197</v>
      </c>
    </row>
    <row r="4010">
      <c r="A4010" s="5" t="s">
        <v>3092</v>
      </c>
      <c r="B4010" s="8">
        <v>7.0</v>
      </c>
      <c r="C4010" s="7" t="s">
        <v>101</v>
      </c>
      <c r="D4010" s="7" t="s">
        <v>1348</v>
      </c>
      <c r="E4010" s="5" t="s">
        <v>3422</v>
      </c>
      <c r="F4010" s="5" t="s">
        <v>1363</v>
      </c>
    </row>
    <row r="4011">
      <c r="A4011" s="5" t="s">
        <v>2614</v>
      </c>
      <c r="B4011" s="8">
        <v>7.0</v>
      </c>
      <c r="C4011" s="7" t="s">
        <v>101</v>
      </c>
      <c r="D4011" s="7" t="s">
        <v>1348</v>
      </c>
      <c r="E4011" s="5" t="s">
        <v>3422</v>
      </c>
      <c r="F4011" s="7" t="s">
        <v>1356</v>
      </c>
    </row>
    <row r="4012">
      <c r="A4012" s="5" t="s">
        <v>2608</v>
      </c>
      <c r="B4012" s="8">
        <v>7.0</v>
      </c>
      <c r="C4012" s="7" t="s">
        <v>101</v>
      </c>
      <c r="D4012" s="7" t="s">
        <v>1348</v>
      </c>
      <c r="E4012" s="5" t="s">
        <v>3422</v>
      </c>
      <c r="F4012" s="5" t="s">
        <v>1363</v>
      </c>
    </row>
    <row r="4013">
      <c r="A4013" s="5" t="s">
        <v>2609</v>
      </c>
      <c r="B4013" s="8">
        <v>7.0</v>
      </c>
      <c r="C4013" s="7" t="s">
        <v>101</v>
      </c>
      <c r="D4013" s="7" t="s">
        <v>1348</v>
      </c>
      <c r="E4013" s="5" t="s">
        <v>3422</v>
      </c>
      <c r="F4013" s="5" t="s">
        <v>1363</v>
      </c>
    </row>
    <row r="4014">
      <c r="A4014" s="7" t="s">
        <v>188</v>
      </c>
      <c r="B4014" s="8">
        <v>7.0</v>
      </c>
      <c r="C4014" s="7" t="s">
        <v>112</v>
      </c>
      <c r="D4014" s="7" t="s">
        <v>1365</v>
      </c>
      <c r="E4014" s="5" t="s">
        <v>1366</v>
      </c>
      <c r="F4014" s="5" t="s">
        <v>3201</v>
      </c>
    </row>
    <row r="4015">
      <c r="A4015" s="5" t="s">
        <v>2592</v>
      </c>
      <c r="B4015" s="8">
        <v>7.0</v>
      </c>
      <c r="C4015" s="7" t="s">
        <v>112</v>
      </c>
      <c r="D4015" s="7" t="s">
        <v>1365</v>
      </c>
      <c r="E4015" s="5" t="s">
        <v>1366</v>
      </c>
      <c r="F4015" s="5" t="s">
        <v>728</v>
      </c>
    </row>
    <row r="4016">
      <c r="A4016" s="5" t="s">
        <v>2796</v>
      </c>
      <c r="B4016" s="8">
        <v>7.0</v>
      </c>
      <c r="C4016" s="7" t="s">
        <v>112</v>
      </c>
      <c r="D4016" s="7" t="s">
        <v>1365</v>
      </c>
      <c r="E4016" s="5" t="s">
        <v>1366</v>
      </c>
      <c r="F4016" s="5" t="s">
        <v>3201</v>
      </c>
    </row>
    <row r="4017">
      <c r="A4017" s="5" t="s">
        <v>2594</v>
      </c>
      <c r="B4017" s="8">
        <v>7.0</v>
      </c>
      <c r="C4017" s="7" t="s">
        <v>112</v>
      </c>
      <c r="D4017" s="7" t="s">
        <v>1365</v>
      </c>
      <c r="E4017" s="5" t="s">
        <v>1366</v>
      </c>
      <c r="F4017" s="5" t="s">
        <v>2653</v>
      </c>
    </row>
    <row r="4018">
      <c r="A4018" s="5" t="s">
        <v>3086</v>
      </c>
      <c r="B4018" s="8">
        <v>7.0</v>
      </c>
      <c r="C4018" s="7" t="s">
        <v>112</v>
      </c>
      <c r="D4018" s="7" t="s">
        <v>1365</v>
      </c>
      <c r="E4018" s="5" t="s">
        <v>1366</v>
      </c>
      <c r="F4018" s="5" t="s">
        <v>3201</v>
      </c>
    </row>
    <row r="4019">
      <c r="A4019" s="7" t="s">
        <v>868</v>
      </c>
      <c r="B4019" s="8">
        <v>7.0</v>
      </c>
      <c r="C4019" s="7" t="s">
        <v>112</v>
      </c>
      <c r="D4019" s="7" t="s">
        <v>1365</v>
      </c>
      <c r="E4019" s="5" t="s">
        <v>1366</v>
      </c>
      <c r="F4019" s="5" t="s">
        <v>3201</v>
      </c>
    </row>
    <row r="4020">
      <c r="A4020" s="5" t="s">
        <v>2595</v>
      </c>
      <c r="B4020" s="8">
        <v>7.0</v>
      </c>
      <c r="C4020" s="7" t="s">
        <v>112</v>
      </c>
      <c r="D4020" s="7" t="s">
        <v>1365</v>
      </c>
      <c r="E4020" s="5" t="s">
        <v>1366</v>
      </c>
      <c r="F4020" s="5" t="s">
        <v>3431</v>
      </c>
    </row>
    <row r="4021">
      <c r="A4021" s="5" t="s">
        <v>3089</v>
      </c>
      <c r="B4021" s="8">
        <v>7.0</v>
      </c>
      <c r="C4021" s="7" t="s">
        <v>112</v>
      </c>
      <c r="D4021" s="7" t="s">
        <v>1365</v>
      </c>
      <c r="E4021" s="5" t="s">
        <v>1366</v>
      </c>
      <c r="F4021" s="5" t="s">
        <v>3432</v>
      </c>
    </row>
    <row r="4022">
      <c r="A4022" s="5" t="s">
        <v>2597</v>
      </c>
      <c r="B4022" s="8">
        <v>7.0</v>
      </c>
      <c r="C4022" s="7" t="s">
        <v>112</v>
      </c>
      <c r="D4022" s="7" t="s">
        <v>1365</v>
      </c>
      <c r="E4022" s="5" t="s">
        <v>1366</v>
      </c>
      <c r="F4022" s="5" t="s">
        <v>3203</v>
      </c>
    </row>
    <row r="4023">
      <c r="A4023" s="7" t="s">
        <v>8</v>
      </c>
      <c r="B4023" s="8">
        <v>7.0</v>
      </c>
      <c r="C4023" s="7" t="s">
        <v>112</v>
      </c>
      <c r="D4023" s="7" t="s">
        <v>1365</v>
      </c>
      <c r="E4023" s="5" t="s">
        <v>1366</v>
      </c>
      <c r="F4023" s="5" t="s">
        <v>3433</v>
      </c>
    </row>
    <row r="4024">
      <c r="A4024" s="5" t="s">
        <v>2798</v>
      </c>
      <c r="B4024" s="8">
        <v>7.0</v>
      </c>
      <c r="C4024" s="7" t="s">
        <v>112</v>
      </c>
      <c r="D4024" s="7" t="s">
        <v>1365</v>
      </c>
      <c r="E4024" s="5" t="s">
        <v>1366</v>
      </c>
      <c r="F4024" s="5" t="s">
        <v>1371</v>
      </c>
    </row>
    <row r="4025">
      <c r="A4025" s="5" t="s">
        <v>2702</v>
      </c>
      <c r="B4025" s="8">
        <v>7.0</v>
      </c>
      <c r="C4025" s="7" t="s">
        <v>112</v>
      </c>
      <c r="D4025" s="7" t="s">
        <v>1365</v>
      </c>
      <c r="E4025" s="5" t="s">
        <v>1366</v>
      </c>
      <c r="F4025" s="5" t="s">
        <v>3201</v>
      </c>
    </row>
    <row r="4026">
      <c r="A4026" s="5" t="s">
        <v>2599</v>
      </c>
      <c r="B4026" s="8">
        <v>7.0</v>
      </c>
      <c r="C4026" s="7" t="s">
        <v>112</v>
      </c>
      <c r="D4026" s="7" t="s">
        <v>1365</v>
      </c>
      <c r="E4026" s="5" t="s">
        <v>1366</v>
      </c>
      <c r="F4026" s="5" t="s">
        <v>3434</v>
      </c>
    </row>
    <row r="4027">
      <c r="A4027" s="5" t="s">
        <v>2600</v>
      </c>
      <c r="B4027" s="8">
        <v>7.0</v>
      </c>
      <c r="C4027" s="7" t="s">
        <v>112</v>
      </c>
      <c r="D4027" s="7" t="s">
        <v>1365</v>
      </c>
      <c r="E4027" s="5" t="s">
        <v>1366</v>
      </c>
      <c r="F4027" s="5" t="s">
        <v>3435</v>
      </c>
    </row>
    <row r="4028">
      <c r="A4028" s="5" t="s">
        <v>3090</v>
      </c>
      <c r="B4028" s="8">
        <v>7.0</v>
      </c>
      <c r="C4028" s="7" t="s">
        <v>112</v>
      </c>
      <c r="D4028" s="7" t="s">
        <v>1365</v>
      </c>
      <c r="E4028" s="5" t="s">
        <v>1366</v>
      </c>
      <c r="F4028" s="5" t="s">
        <v>3436</v>
      </c>
    </row>
    <row r="4029">
      <c r="A4029" s="7" t="s">
        <v>873</v>
      </c>
      <c r="B4029" s="8">
        <v>7.0</v>
      </c>
      <c r="C4029" s="7" t="s">
        <v>112</v>
      </c>
      <c r="D4029" s="7" t="s">
        <v>1365</v>
      </c>
      <c r="E4029" s="5" t="s">
        <v>1366</v>
      </c>
      <c r="F4029" s="5" t="s">
        <v>2653</v>
      </c>
    </row>
    <row r="4030">
      <c r="A4030" s="5" t="s">
        <v>2602</v>
      </c>
      <c r="B4030" s="8">
        <v>7.0</v>
      </c>
      <c r="C4030" s="7" t="s">
        <v>112</v>
      </c>
      <c r="D4030" s="7" t="s">
        <v>1365</v>
      </c>
      <c r="E4030" s="5" t="s">
        <v>1366</v>
      </c>
      <c r="F4030" s="5" t="s">
        <v>1371</v>
      </c>
    </row>
    <row r="4031">
      <c r="A4031" s="5" t="s">
        <v>2603</v>
      </c>
      <c r="B4031" s="8">
        <v>7.0</v>
      </c>
      <c r="C4031" s="7" t="s">
        <v>112</v>
      </c>
      <c r="D4031" s="7" t="s">
        <v>1365</v>
      </c>
      <c r="E4031" s="5" t="s">
        <v>1366</v>
      </c>
      <c r="F4031" s="5" t="s">
        <v>1371</v>
      </c>
    </row>
    <row r="4032">
      <c r="A4032" s="7" t="s">
        <v>874</v>
      </c>
      <c r="B4032" s="8">
        <v>7.0</v>
      </c>
      <c r="C4032" s="7" t="s">
        <v>112</v>
      </c>
      <c r="D4032" s="7" t="s">
        <v>1365</v>
      </c>
      <c r="E4032" s="5" t="s">
        <v>1366</v>
      </c>
      <c r="F4032" s="5" t="s">
        <v>3201</v>
      </c>
    </row>
    <row r="4033">
      <c r="A4033" s="5" t="s">
        <v>2604</v>
      </c>
      <c r="B4033" s="8">
        <v>7.0</v>
      </c>
      <c r="C4033" s="7" t="s">
        <v>112</v>
      </c>
      <c r="D4033" s="7" t="s">
        <v>1365</v>
      </c>
      <c r="E4033" s="5" t="s">
        <v>1366</v>
      </c>
      <c r="F4033" s="5" t="s">
        <v>3437</v>
      </c>
    </row>
    <row r="4034">
      <c r="A4034" s="5" t="s">
        <v>3091</v>
      </c>
      <c r="B4034" s="8">
        <v>7.0</v>
      </c>
      <c r="C4034" s="7" t="s">
        <v>112</v>
      </c>
      <c r="D4034" s="7" t="s">
        <v>1365</v>
      </c>
      <c r="E4034" s="5" t="s">
        <v>1366</v>
      </c>
      <c r="F4034" s="5" t="s">
        <v>3438</v>
      </c>
    </row>
    <row r="4035">
      <c r="A4035" s="5" t="s">
        <v>2605</v>
      </c>
      <c r="B4035" s="8">
        <v>7.0</v>
      </c>
      <c r="C4035" s="7" t="s">
        <v>112</v>
      </c>
      <c r="D4035" s="7" t="s">
        <v>1365</v>
      </c>
      <c r="E4035" s="5" t="s">
        <v>1366</v>
      </c>
      <c r="F4035" s="5" t="s">
        <v>3201</v>
      </c>
    </row>
    <row r="4036">
      <c r="A4036" s="5" t="s">
        <v>2933</v>
      </c>
      <c r="B4036" s="8">
        <v>7.0</v>
      </c>
      <c r="C4036" s="7" t="s">
        <v>112</v>
      </c>
      <c r="D4036" s="7" t="s">
        <v>1365</v>
      </c>
      <c r="E4036" s="5" t="s">
        <v>1366</v>
      </c>
      <c r="F4036" s="5" t="s">
        <v>728</v>
      </c>
    </row>
    <row r="4037">
      <c r="A4037" s="5" t="s">
        <v>2606</v>
      </c>
      <c r="B4037" s="8">
        <v>7.0</v>
      </c>
      <c r="C4037" s="7" t="s">
        <v>112</v>
      </c>
      <c r="D4037" s="7" t="s">
        <v>1365</v>
      </c>
      <c r="E4037" s="5" t="s">
        <v>1366</v>
      </c>
      <c r="F4037" s="5" t="s">
        <v>3439</v>
      </c>
    </row>
    <row r="4038">
      <c r="A4038" s="5" t="s">
        <v>2934</v>
      </c>
      <c r="B4038" s="8">
        <v>7.0</v>
      </c>
      <c r="C4038" s="7" t="s">
        <v>112</v>
      </c>
      <c r="D4038" s="7" t="s">
        <v>1365</v>
      </c>
      <c r="E4038" s="5" t="s">
        <v>1366</v>
      </c>
      <c r="F4038" s="5" t="s">
        <v>1371</v>
      </c>
    </row>
    <row r="4039">
      <c r="A4039" s="5" t="s">
        <v>2607</v>
      </c>
      <c r="B4039" s="8">
        <v>7.0</v>
      </c>
      <c r="C4039" s="7" t="s">
        <v>112</v>
      </c>
      <c r="D4039" s="7" t="s">
        <v>1365</v>
      </c>
      <c r="E4039" s="5" t="s">
        <v>1366</v>
      </c>
      <c r="F4039" s="5" t="s">
        <v>3440</v>
      </c>
    </row>
    <row r="4040">
      <c r="A4040" s="7" t="s">
        <v>876</v>
      </c>
      <c r="B4040" s="8">
        <v>7.0</v>
      </c>
      <c r="C4040" s="7" t="s">
        <v>112</v>
      </c>
      <c r="D4040" s="7" t="s">
        <v>1365</v>
      </c>
      <c r="E4040" s="5" t="s">
        <v>1366</v>
      </c>
      <c r="F4040" s="5" t="s">
        <v>1379</v>
      </c>
    </row>
    <row r="4041">
      <c r="A4041" s="5" t="s">
        <v>3092</v>
      </c>
      <c r="B4041" s="8">
        <v>7.0</v>
      </c>
      <c r="C4041" s="7" t="s">
        <v>112</v>
      </c>
      <c r="D4041" s="7" t="s">
        <v>1365</v>
      </c>
      <c r="E4041" s="5" t="s">
        <v>1366</v>
      </c>
      <c r="F4041" s="5" t="s">
        <v>1371</v>
      </c>
    </row>
    <row r="4042">
      <c r="A4042" s="5" t="s">
        <v>2614</v>
      </c>
      <c r="B4042" s="8">
        <v>7.0</v>
      </c>
      <c r="C4042" s="7" t="s">
        <v>112</v>
      </c>
      <c r="D4042" s="7" t="s">
        <v>1365</v>
      </c>
      <c r="E4042" s="5" t="s">
        <v>1366</v>
      </c>
      <c r="F4042" s="5" t="s">
        <v>1371</v>
      </c>
    </row>
    <row r="4043">
      <c r="A4043" s="5" t="s">
        <v>2608</v>
      </c>
      <c r="B4043" s="8">
        <v>7.0</v>
      </c>
      <c r="C4043" s="7" t="s">
        <v>112</v>
      </c>
      <c r="D4043" s="7" t="s">
        <v>1365</v>
      </c>
      <c r="E4043" s="5" t="s">
        <v>1366</v>
      </c>
      <c r="F4043" s="5" t="s">
        <v>3441</v>
      </c>
    </row>
    <row r="4044">
      <c r="A4044" s="5" t="s">
        <v>2609</v>
      </c>
      <c r="B4044" s="8">
        <v>7.0</v>
      </c>
      <c r="C4044" s="7" t="s">
        <v>112</v>
      </c>
      <c r="D4044" s="7" t="s">
        <v>1365</v>
      </c>
      <c r="E4044" s="5" t="s">
        <v>1366</v>
      </c>
      <c r="F4044" s="5" t="s">
        <v>2653</v>
      </c>
    </row>
    <row r="4045">
      <c r="A4045" s="5" t="s">
        <v>3086</v>
      </c>
      <c r="B4045" s="8">
        <v>7.0</v>
      </c>
      <c r="C4045" s="7" t="s">
        <v>746</v>
      </c>
      <c r="D4045" s="7" t="s">
        <v>1381</v>
      </c>
      <c r="E4045" s="5" t="s">
        <v>3442</v>
      </c>
      <c r="F4045" s="5" t="s">
        <v>3443</v>
      </c>
    </row>
    <row r="4046">
      <c r="A4046" s="7" t="s">
        <v>868</v>
      </c>
      <c r="B4046" s="8">
        <v>7.0</v>
      </c>
      <c r="C4046" s="7" t="s">
        <v>746</v>
      </c>
      <c r="D4046" s="7" t="s">
        <v>1381</v>
      </c>
      <c r="E4046" s="5" t="s">
        <v>3442</v>
      </c>
      <c r="F4046" s="5" t="s">
        <v>3444</v>
      </c>
    </row>
    <row r="4047">
      <c r="A4047" s="5" t="s">
        <v>3087</v>
      </c>
      <c r="B4047" s="8">
        <v>7.0</v>
      </c>
      <c r="C4047" s="7" t="s">
        <v>746</v>
      </c>
      <c r="D4047" s="7" t="s">
        <v>1381</v>
      </c>
      <c r="E4047" s="5" t="s">
        <v>3442</v>
      </c>
      <c r="F4047" s="5" t="s">
        <v>3445</v>
      </c>
    </row>
    <row r="4048">
      <c r="A4048" s="5" t="s">
        <v>3088</v>
      </c>
      <c r="B4048" s="8">
        <v>7.0</v>
      </c>
      <c r="C4048" s="7" t="s">
        <v>746</v>
      </c>
      <c r="D4048" s="7" t="s">
        <v>1381</v>
      </c>
      <c r="E4048" s="5" t="s">
        <v>3442</v>
      </c>
      <c r="F4048" s="5" t="s">
        <v>3446</v>
      </c>
    </row>
    <row r="4049">
      <c r="A4049" s="5" t="s">
        <v>3388</v>
      </c>
      <c r="B4049" s="8">
        <v>7.0</v>
      </c>
      <c r="C4049" s="7" t="s">
        <v>746</v>
      </c>
      <c r="D4049" s="7" t="s">
        <v>1381</v>
      </c>
      <c r="E4049" s="5" t="s">
        <v>3442</v>
      </c>
      <c r="F4049" s="5" t="s">
        <v>3026</v>
      </c>
    </row>
    <row r="4050">
      <c r="A4050" s="5" t="s">
        <v>2595</v>
      </c>
      <c r="B4050" s="8">
        <v>7.0</v>
      </c>
      <c r="C4050" s="7" t="s">
        <v>746</v>
      </c>
      <c r="D4050" s="7" t="s">
        <v>1381</v>
      </c>
      <c r="E4050" s="5" t="s">
        <v>3442</v>
      </c>
      <c r="F4050" s="5" t="s">
        <v>3447</v>
      </c>
    </row>
    <row r="4051">
      <c r="A4051" s="5" t="s">
        <v>3089</v>
      </c>
      <c r="B4051" s="8">
        <v>7.0</v>
      </c>
      <c r="C4051" s="7" t="s">
        <v>746</v>
      </c>
      <c r="D4051" s="7" t="s">
        <v>1381</v>
      </c>
      <c r="E4051" s="5" t="s">
        <v>3442</v>
      </c>
      <c r="F4051" s="5" t="s">
        <v>3448</v>
      </c>
    </row>
    <row r="4052">
      <c r="A4052" s="5" t="s">
        <v>2597</v>
      </c>
      <c r="B4052" s="8">
        <v>7.0</v>
      </c>
      <c r="C4052" s="7" t="s">
        <v>746</v>
      </c>
      <c r="D4052" s="7" t="s">
        <v>1381</v>
      </c>
      <c r="E4052" s="5" t="s">
        <v>3442</v>
      </c>
      <c r="F4052" s="5" t="s">
        <v>3209</v>
      </c>
    </row>
    <row r="4053">
      <c r="A4053" s="7" t="s">
        <v>8</v>
      </c>
      <c r="B4053" s="8">
        <v>7.0</v>
      </c>
      <c r="C4053" s="7" t="s">
        <v>746</v>
      </c>
      <c r="D4053" s="7" t="s">
        <v>1381</v>
      </c>
      <c r="E4053" s="5" t="s">
        <v>3442</v>
      </c>
      <c r="F4053" s="5" t="s">
        <v>3026</v>
      </c>
    </row>
    <row r="4054">
      <c r="A4054" s="5" t="s">
        <v>2798</v>
      </c>
      <c r="B4054" s="8">
        <v>7.0</v>
      </c>
      <c r="C4054" s="7" t="s">
        <v>746</v>
      </c>
      <c r="D4054" s="7" t="s">
        <v>1381</v>
      </c>
      <c r="E4054" s="5" t="s">
        <v>3442</v>
      </c>
      <c r="F4054" s="5" t="s">
        <v>3026</v>
      </c>
    </row>
    <row r="4055">
      <c r="A4055" s="5" t="s">
        <v>2702</v>
      </c>
      <c r="B4055" s="8">
        <v>7.0</v>
      </c>
      <c r="C4055" s="7" t="s">
        <v>746</v>
      </c>
      <c r="D4055" s="7" t="s">
        <v>1381</v>
      </c>
      <c r="E4055" s="5" t="s">
        <v>3442</v>
      </c>
      <c r="F4055" s="5" t="s">
        <v>3026</v>
      </c>
    </row>
    <row r="4056">
      <c r="A4056" s="5" t="s">
        <v>2599</v>
      </c>
      <c r="B4056" s="8">
        <v>7.0</v>
      </c>
      <c r="C4056" s="7" t="s">
        <v>746</v>
      </c>
      <c r="D4056" s="7" t="s">
        <v>1381</v>
      </c>
      <c r="E4056" s="5" t="s">
        <v>3442</v>
      </c>
      <c r="F4056" s="5" t="s">
        <v>3449</v>
      </c>
    </row>
    <row r="4057">
      <c r="A4057" s="5" t="s">
        <v>2600</v>
      </c>
      <c r="B4057" s="8">
        <v>7.0</v>
      </c>
      <c r="C4057" s="7" t="s">
        <v>746</v>
      </c>
      <c r="D4057" s="7" t="s">
        <v>1381</v>
      </c>
      <c r="E4057" s="5" t="s">
        <v>3442</v>
      </c>
      <c r="F4057" s="5" t="s">
        <v>3450</v>
      </c>
    </row>
    <row r="4058">
      <c r="A4058" s="5" t="s">
        <v>3090</v>
      </c>
      <c r="B4058" s="8">
        <v>7.0</v>
      </c>
      <c r="C4058" s="7" t="s">
        <v>746</v>
      </c>
      <c r="D4058" s="7" t="s">
        <v>1381</v>
      </c>
      <c r="E4058" s="5" t="s">
        <v>3442</v>
      </c>
      <c r="F4058" s="5" t="s">
        <v>3451</v>
      </c>
    </row>
    <row r="4059">
      <c r="A4059" s="7" t="s">
        <v>873</v>
      </c>
      <c r="B4059" s="8">
        <v>7.0</v>
      </c>
      <c r="C4059" s="7" t="s">
        <v>746</v>
      </c>
      <c r="D4059" s="7" t="s">
        <v>1381</v>
      </c>
      <c r="E4059" s="5" t="s">
        <v>3442</v>
      </c>
      <c r="F4059" s="5" t="s">
        <v>3452</v>
      </c>
    </row>
    <row r="4060">
      <c r="A4060" s="5" t="s">
        <v>2602</v>
      </c>
      <c r="B4060" s="8">
        <v>7.0</v>
      </c>
      <c r="C4060" s="7" t="s">
        <v>746</v>
      </c>
      <c r="D4060" s="7" t="s">
        <v>1381</v>
      </c>
      <c r="E4060" s="5" t="s">
        <v>3442</v>
      </c>
      <c r="F4060" s="5" t="s">
        <v>3026</v>
      </c>
    </row>
    <row r="4061">
      <c r="A4061" s="5" t="s">
        <v>2603</v>
      </c>
      <c r="B4061" s="8">
        <v>7.0</v>
      </c>
      <c r="C4061" s="7" t="s">
        <v>746</v>
      </c>
      <c r="D4061" s="7" t="s">
        <v>1381</v>
      </c>
      <c r="E4061" s="5" t="s">
        <v>3442</v>
      </c>
      <c r="F4061" s="5" t="s">
        <v>3026</v>
      </c>
    </row>
    <row r="4062">
      <c r="A4062" s="7" t="s">
        <v>874</v>
      </c>
      <c r="B4062" s="8">
        <v>7.0</v>
      </c>
      <c r="C4062" s="7" t="s">
        <v>746</v>
      </c>
      <c r="D4062" s="7" t="s">
        <v>1381</v>
      </c>
      <c r="E4062" s="5" t="s">
        <v>3442</v>
      </c>
      <c r="F4062" s="7" t="s">
        <v>1394</v>
      </c>
    </row>
    <row r="4063">
      <c r="A4063" s="5" t="s">
        <v>2604</v>
      </c>
      <c r="B4063" s="8">
        <v>7.0</v>
      </c>
      <c r="C4063" s="7" t="s">
        <v>746</v>
      </c>
      <c r="D4063" s="7" t="s">
        <v>1381</v>
      </c>
      <c r="E4063" s="5" t="s">
        <v>3442</v>
      </c>
      <c r="F4063" s="5" t="s">
        <v>3453</v>
      </c>
    </row>
    <row r="4064">
      <c r="A4064" s="5" t="s">
        <v>3091</v>
      </c>
      <c r="B4064" s="8">
        <v>7.0</v>
      </c>
      <c r="C4064" s="7" t="s">
        <v>746</v>
      </c>
      <c r="D4064" s="7" t="s">
        <v>1381</v>
      </c>
      <c r="E4064" s="5" t="s">
        <v>3442</v>
      </c>
      <c r="F4064" s="5" t="s">
        <v>3454</v>
      </c>
    </row>
    <row r="4065">
      <c r="A4065" s="5" t="s">
        <v>2605</v>
      </c>
      <c r="B4065" s="8">
        <v>7.0</v>
      </c>
      <c r="C4065" s="7" t="s">
        <v>746</v>
      </c>
      <c r="D4065" s="7" t="s">
        <v>1381</v>
      </c>
      <c r="E4065" s="5" t="s">
        <v>3442</v>
      </c>
      <c r="F4065" s="5" t="s">
        <v>3026</v>
      </c>
    </row>
    <row r="4066">
      <c r="A4066" s="5" t="s">
        <v>2933</v>
      </c>
      <c r="B4066" s="8">
        <v>7.0</v>
      </c>
      <c r="C4066" s="7" t="s">
        <v>746</v>
      </c>
      <c r="D4066" s="7" t="s">
        <v>1381</v>
      </c>
      <c r="E4066" s="5" t="s">
        <v>3442</v>
      </c>
      <c r="F4066" s="5" t="s">
        <v>3026</v>
      </c>
    </row>
    <row r="4067">
      <c r="A4067" s="5" t="s">
        <v>2606</v>
      </c>
      <c r="B4067" s="8">
        <v>7.0</v>
      </c>
      <c r="C4067" s="7" t="s">
        <v>746</v>
      </c>
      <c r="D4067" s="7" t="s">
        <v>1381</v>
      </c>
      <c r="E4067" s="5" t="s">
        <v>3442</v>
      </c>
      <c r="F4067" s="5" t="s">
        <v>3026</v>
      </c>
    </row>
    <row r="4068">
      <c r="A4068" s="5" t="s">
        <v>2934</v>
      </c>
      <c r="B4068" s="8">
        <v>7.0</v>
      </c>
      <c r="C4068" s="7" t="s">
        <v>746</v>
      </c>
      <c r="D4068" s="7" t="s">
        <v>1381</v>
      </c>
      <c r="E4068" s="5" t="s">
        <v>3442</v>
      </c>
      <c r="F4068" s="5" t="s">
        <v>3026</v>
      </c>
    </row>
    <row r="4069">
      <c r="A4069" s="5" t="s">
        <v>2607</v>
      </c>
      <c r="B4069" s="8">
        <v>7.0</v>
      </c>
      <c r="C4069" s="7" t="s">
        <v>746</v>
      </c>
      <c r="D4069" s="7" t="s">
        <v>1381</v>
      </c>
      <c r="E4069" s="5" t="s">
        <v>3442</v>
      </c>
      <c r="F4069" s="5" t="s">
        <v>3026</v>
      </c>
    </row>
    <row r="4070">
      <c r="A4070" s="7" t="s">
        <v>876</v>
      </c>
      <c r="B4070" s="8">
        <v>7.0</v>
      </c>
      <c r="C4070" s="7" t="s">
        <v>746</v>
      </c>
      <c r="D4070" s="7" t="s">
        <v>1381</v>
      </c>
      <c r="E4070" s="5" t="s">
        <v>3442</v>
      </c>
      <c r="F4070" s="5" t="s">
        <v>3026</v>
      </c>
    </row>
    <row r="4071">
      <c r="A4071" s="5" t="s">
        <v>3092</v>
      </c>
      <c r="B4071" s="8">
        <v>7.0</v>
      </c>
      <c r="C4071" s="7" t="s">
        <v>746</v>
      </c>
      <c r="D4071" s="7" t="s">
        <v>1381</v>
      </c>
      <c r="E4071" s="5" t="s">
        <v>3442</v>
      </c>
      <c r="F4071" s="5" t="s">
        <v>3026</v>
      </c>
    </row>
    <row r="4072">
      <c r="A4072" s="5" t="s">
        <v>2614</v>
      </c>
      <c r="B4072" s="8">
        <v>7.0</v>
      </c>
      <c r="C4072" s="7" t="s">
        <v>746</v>
      </c>
      <c r="D4072" s="7" t="s">
        <v>1381</v>
      </c>
      <c r="E4072" s="5" t="s">
        <v>3442</v>
      </c>
      <c r="F4072" s="5" t="s">
        <v>3210</v>
      </c>
    </row>
    <row r="4073">
      <c r="A4073" s="5" t="s">
        <v>2608</v>
      </c>
      <c r="B4073" s="8">
        <v>7.0</v>
      </c>
      <c r="C4073" s="7" t="s">
        <v>746</v>
      </c>
      <c r="D4073" s="7" t="s">
        <v>1381</v>
      </c>
      <c r="E4073" s="5" t="s">
        <v>3442</v>
      </c>
      <c r="F4073" s="5" t="s">
        <v>3455</v>
      </c>
    </row>
    <row r="4074">
      <c r="A4074" s="5" t="s">
        <v>2609</v>
      </c>
      <c r="B4074" s="8">
        <v>7.0</v>
      </c>
      <c r="C4074" s="7" t="s">
        <v>746</v>
      </c>
      <c r="D4074" s="7" t="s">
        <v>1381</v>
      </c>
      <c r="E4074" s="5" t="s">
        <v>3442</v>
      </c>
      <c r="F4074" s="5" t="s">
        <v>3026</v>
      </c>
    </row>
    <row r="4075">
      <c r="A4075" s="5" t="s">
        <v>3087</v>
      </c>
      <c r="B4075" s="8">
        <v>7.0</v>
      </c>
      <c r="C4075" s="7" t="s">
        <v>1058</v>
      </c>
      <c r="D4075" s="7" t="s">
        <v>1400</v>
      </c>
      <c r="E4075" s="5" t="s">
        <v>3456</v>
      </c>
      <c r="F4075" s="5" t="s">
        <v>3457</v>
      </c>
    </row>
    <row r="4076">
      <c r="A4076" s="5" t="s">
        <v>3090</v>
      </c>
      <c r="B4076" s="8">
        <v>7.0</v>
      </c>
      <c r="C4076" s="7" t="s">
        <v>1058</v>
      </c>
      <c r="D4076" s="7" t="s">
        <v>1400</v>
      </c>
      <c r="E4076" s="5" t="s">
        <v>3456</v>
      </c>
      <c r="F4076" s="5" t="s">
        <v>3104</v>
      </c>
    </row>
    <row r="4077">
      <c r="A4077" s="7" t="s">
        <v>188</v>
      </c>
      <c r="B4077" s="8">
        <v>7.0</v>
      </c>
      <c r="C4077" s="7" t="s">
        <v>172</v>
      </c>
      <c r="D4077" s="5" t="s">
        <v>3458</v>
      </c>
      <c r="E4077" s="5" t="s">
        <v>3459</v>
      </c>
      <c r="F4077" s="7" t="s">
        <v>444</v>
      </c>
    </row>
    <row r="4078">
      <c r="A4078" s="5" t="s">
        <v>2592</v>
      </c>
      <c r="B4078" s="8">
        <v>7.0</v>
      </c>
      <c r="C4078" s="7" t="s">
        <v>172</v>
      </c>
      <c r="D4078" s="5" t="s">
        <v>3458</v>
      </c>
      <c r="E4078" s="5" t="s">
        <v>3459</v>
      </c>
      <c r="F4078" s="5" t="s">
        <v>3030</v>
      </c>
    </row>
    <row r="4079">
      <c r="A4079" s="5" t="s">
        <v>2796</v>
      </c>
      <c r="B4079" s="8">
        <v>7.0</v>
      </c>
      <c r="C4079" s="7" t="s">
        <v>172</v>
      </c>
      <c r="D4079" s="5" t="s">
        <v>3458</v>
      </c>
      <c r="E4079" s="5" t="s">
        <v>3459</v>
      </c>
      <c r="F4079" s="5" t="s">
        <v>1066</v>
      </c>
    </row>
    <row r="4080">
      <c r="A4080" s="5" t="s">
        <v>2594</v>
      </c>
      <c r="B4080" s="8">
        <v>7.0</v>
      </c>
      <c r="C4080" s="7" t="s">
        <v>172</v>
      </c>
      <c r="D4080" s="5" t="s">
        <v>3458</v>
      </c>
      <c r="E4080" s="5" t="s">
        <v>3459</v>
      </c>
      <c r="F4080" s="5" t="s">
        <v>3217</v>
      </c>
    </row>
    <row r="4081">
      <c r="A4081" s="5" t="s">
        <v>3086</v>
      </c>
      <c r="B4081" s="8">
        <v>7.0</v>
      </c>
      <c r="C4081" s="7" t="s">
        <v>172</v>
      </c>
      <c r="D4081" s="5" t="s">
        <v>3458</v>
      </c>
      <c r="E4081" s="5" t="s">
        <v>3459</v>
      </c>
      <c r="F4081" s="5" t="s">
        <v>1068</v>
      </c>
    </row>
    <row r="4082">
      <c r="A4082" s="7" t="s">
        <v>868</v>
      </c>
      <c r="B4082" s="8">
        <v>7.0</v>
      </c>
      <c r="C4082" s="7" t="s">
        <v>172</v>
      </c>
      <c r="D4082" s="5" t="s">
        <v>3458</v>
      </c>
      <c r="E4082" s="5" t="s">
        <v>3459</v>
      </c>
      <c r="F4082" s="5" t="s">
        <v>1068</v>
      </c>
    </row>
    <row r="4083">
      <c r="A4083" s="5" t="s">
        <v>3087</v>
      </c>
      <c r="B4083" s="8">
        <v>7.0</v>
      </c>
      <c r="C4083" s="7" t="s">
        <v>172</v>
      </c>
      <c r="D4083" s="5" t="s">
        <v>3458</v>
      </c>
      <c r="E4083" s="5" t="s">
        <v>3459</v>
      </c>
      <c r="F4083" s="5" t="s">
        <v>3031</v>
      </c>
    </row>
    <row r="4084">
      <c r="A4084" s="5" t="s">
        <v>3088</v>
      </c>
      <c r="B4084" s="8">
        <v>7.0</v>
      </c>
      <c r="C4084" s="7" t="s">
        <v>172</v>
      </c>
      <c r="D4084" s="5" t="s">
        <v>3458</v>
      </c>
      <c r="E4084" s="5" t="s">
        <v>3459</v>
      </c>
      <c r="F4084" s="5" t="s">
        <v>1070</v>
      </c>
    </row>
    <row r="4085">
      <c r="A4085" s="5" t="s">
        <v>3388</v>
      </c>
      <c r="B4085" s="8">
        <v>7.0</v>
      </c>
      <c r="C4085" s="7" t="s">
        <v>172</v>
      </c>
      <c r="D4085" s="5" t="s">
        <v>3458</v>
      </c>
      <c r="E4085" s="5" t="s">
        <v>3459</v>
      </c>
      <c r="F4085" s="5" t="s">
        <v>1405</v>
      </c>
    </row>
    <row r="4086">
      <c r="A4086" s="5" t="s">
        <v>2595</v>
      </c>
      <c r="B4086" s="8">
        <v>7.0</v>
      </c>
      <c r="C4086" s="7" t="s">
        <v>172</v>
      </c>
      <c r="D4086" s="5" t="s">
        <v>3458</v>
      </c>
      <c r="E4086" s="5" t="s">
        <v>3459</v>
      </c>
      <c r="F4086" s="5" t="s">
        <v>3030</v>
      </c>
    </row>
    <row r="4087">
      <c r="A4087" s="5" t="s">
        <v>3089</v>
      </c>
      <c r="B4087" s="8">
        <v>7.0</v>
      </c>
      <c r="C4087" s="7" t="s">
        <v>172</v>
      </c>
      <c r="D4087" s="5" t="s">
        <v>3458</v>
      </c>
      <c r="E4087" s="5" t="s">
        <v>3459</v>
      </c>
      <c r="F4087" s="5" t="s">
        <v>1071</v>
      </c>
    </row>
    <row r="4088">
      <c r="A4088" s="5" t="s">
        <v>2597</v>
      </c>
      <c r="B4088" s="8">
        <v>7.0</v>
      </c>
      <c r="C4088" s="7" t="s">
        <v>172</v>
      </c>
      <c r="D4088" s="5" t="s">
        <v>3458</v>
      </c>
      <c r="E4088" s="5" t="s">
        <v>3459</v>
      </c>
      <c r="F4088" s="5" t="s">
        <v>3460</v>
      </c>
    </row>
    <row r="4089">
      <c r="A4089" s="7" t="s">
        <v>8</v>
      </c>
      <c r="B4089" s="8">
        <v>7.0</v>
      </c>
      <c r="C4089" s="7" t="s">
        <v>172</v>
      </c>
      <c r="D4089" s="5" t="s">
        <v>3458</v>
      </c>
      <c r="E4089" s="5" t="s">
        <v>3459</v>
      </c>
      <c r="F4089" s="7" t="s">
        <v>48</v>
      </c>
    </row>
    <row r="4090">
      <c r="A4090" s="5" t="s">
        <v>2798</v>
      </c>
      <c r="B4090" s="8">
        <v>7.0</v>
      </c>
      <c r="C4090" s="7" t="s">
        <v>172</v>
      </c>
      <c r="D4090" s="5" t="s">
        <v>3458</v>
      </c>
      <c r="E4090" s="5" t="s">
        <v>3459</v>
      </c>
      <c r="F4090" s="7" t="s">
        <v>444</v>
      </c>
    </row>
    <row r="4091">
      <c r="A4091" s="5" t="s">
        <v>2702</v>
      </c>
      <c r="B4091" s="8">
        <v>7.0</v>
      </c>
      <c r="C4091" s="7" t="s">
        <v>172</v>
      </c>
      <c r="D4091" s="5" t="s">
        <v>3458</v>
      </c>
      <c r="E4091" s="5" t="s">
        <v>3459</v>
      </c>
      <c r="F4091" s="5" t="s">
        <v>1068</v>
      </c>
    </row>
    <row r="4092">
      <c r="A4092" s="5" t="s">
        <v>2599</v>
      </c>
      <c r="B4092" s="8">
        <v>7.0</v>
      </c>
      <c r="C4092" s="7" t="s">
        <v>172</v>
      </c>
      <c r="D4092" s="5" t="s">
        <v>3458</v>
      </c>
      <c r="E4092" s="5" t="s">
        <v>3459</v>
      </c>
      <c r="F4092" s="5" t="s">
        <v>1407</v>
      </c>
    </row>
    <row r="4093">
      <c r="A4093" s="5" t="s">
        <v>2600</v>
      </c>
      <c r="B4093" s="8">
        <v>7.0</v>
      </c>
      <c r="C4093" s="7" t="s">
        <v>172</v>
      </c>
      <c r="D4093" s="5" t="s">
        <v>3458</v>
      </c>
      <c r="E4093" s="5" t="s">
        <v>3459</v>
      </c>
      <c r="F4093" s="5" t="s">
        <v>1068</v>
      </c>
    </row>
    <row r="4094">
      <c r="A4094" s="5" t="s">
        <v>3090</v>
      </c>
      <c r="B4094" s="8">
        <v>7.0</v>
      </c>
      <c r="C4094" s="7" t="s">
        <v>172</v>
      </c>
      <c r="D4094" s="5" t="s">
        <v>3458</v>
      </c>
      <c r="E4094" s="5" t="s">
        <v>3459</v>
      </c>
      <c r="F4094" s="5" t="s">
        <v>3461</v>
      </c>
    </row>
    <row r="4095">
      <c r="A4095" s="7" t="s">
        <v>873</v>
      </c>
      <c r="B4095" s="8">
        <v>7.0</v>
      </c>
      <c r="C4095" s="7" t="s">
        <v>172</v>
      </c>
      <c r="D4095" s="5" t="s">
        <v>3458</v>
      </c>
      <c r="E4095" s="5" t="s">
        <v>3459</v>
      </c>
      <c r="F4095" s="5" t="s">
        <v>3462</v>
      </c>
    </row>
    <row r="4096">
      <c r="A4096" s="5" t="s">
        <v>2602</v>
      </c>
      <c r="B4096" s="8">
        <v>7.0</v>
      </c>
      <c r="C4096" s="7" t="s">
        <v>172</v>
      </c>
      <c r="D4096" s="5" t="s">
        <v>3458</v>
      </c>
      <c r="E4096" s="5" t="s">
        <v>3459</v>
      </c>
      <c r="F4096" s="5" t="s">
        <v>1410</v>
      </c>
    </row>
    <row r="4097">
      <c r="A4097" s="5" t="s">
        <v>2603</v>
      </c>
      <c r="B4097" s="8">
        <v>7.0</v>
      </c>
      <c r="C4097" s="7" t="s">
        <v>172</v>
      </c>
      <c r="D4097" s="5" t="s">
        <v>3458</v>
      </c>
      <c r="E4097" s="5" t="s">
        <v>3459</v>
      </c>
      <c r="F4097" s="5" t="s">
        <v>3463</v>
      </c>
    </row>
    <row r="4098">
      <c r="A4098" s="7" t="s">
        <v>874</v>
      </c>
      <c r="B4098" s="8">
        <v>7.0</v>
      </c>
      <c r="C4098" s="7" t="s">
        <v>172</v>
      </c>
      <c r="D4098" s="5" t="s">
        <v>3458</v>
      </c>
      <c r="E4098" s="5" t="s">
        <v>3459</v>
      </c>
      <c r="F4098" s="5" t="s">
        <v>1075</v>
      </c>
    </row>
    <row r="4099">
      <c r="A4099" s="5" t="s">
        <v>2604</v>
      </c>
      <c r="B4099" s="8">
        <v>7.0</v>
      </c>
      <c r="C4099" s="7" t="s">
        <v>172</v>
      </c>
      <c r="D4099" s="5" t="s">
        <v>3458</v>
      </c>
      <c r="E4099" s="5" t="s">
        <v>3459</v>
      </c>
      <c r="F4099" s="5" t="s">
        <v>3221</v>
      </c>
    </row>
    <row r="4100">
      <c r="A4100" s="5" t="s">
        <v>3091</v>
      </c>
      <c r="B4100" s="8">
        <v>7.0</v>
      </c>
      <c r="C4100" s="7" t="s">
        <v>172</v>
      </c>
      <c r="D4100" s="5" t="s">
        <v>3458</v>
      </c>
      <c r="E4100" s="5" t="s">
        <v>3459</v>
      </c>
      <c r="F4100" s="5" t="s">
        <v>3464</v>
      </c>
    </row>
    <row r="4101">
      <c r="A4101" s="5" t="s">
        <v>2605</v>
      </c>
      <c r="B4101" s="8">
        <v>7.0</v>
      </c>
      <c r="C4101" s="7" t="s">
        <v>172</v>
      </c>
      <c r="D4101" s="5" t="s">
        <v>3458</v>
      </c>
      <c r="E4101" s="5" t="s">
        <v>3459</v>
      </c>
      <c r="F4101" s="7" t="s">
        <v>444</v>
      </c>
    </row>
    <row r="4102">
      <c r="A4102" s="5" t="s">
        <v>2933</v>
      </c>
      <c r="B4102" s="8">
        <v>7.0</v>
      </c>
      <c r="C4102" s="7" t="s">
        <v>172</v>
      </c>
      <c r="D4102" s="5" t="s">
        <v>3458</v>
      </c>
      <c r="E4102" s="5" t="s">
        <v>3459</v>
      </c>
      <c r="F4102" s="7" t="s">
        <v>444</v>
      </c>
    </row>
    <row r="4103">
      <c r="A4103" s="5" t="s">
        <v>2606</v>
      </c>
      <c r="B4103" s="8">
        <v>7.0</v>
      </c>
      <c r="C4103" s="7" t="s">
        <v>172</v>
      </c>
      <c r="D4103" s="5" t="s">
        <v>3458</v>
      </c>
      <c r="E4103" s="5" t="s">
        <v>3459</v>
      </c>
      <c r="F4103" s="7" t="s">
        <v>444</v>
      </c>
    </row>
    <row r="4104">
      <c r="A4104" s="5" t="s">
        <v>2934</v>
      </c>
      <c r="B4104" s="8">
        <v>7.0</v>
      </c>
      <c r="C4104" s="7" t="s">
        <v>172</v>
      </c>
      <c r="D4104" s="5" t="s">
        <v>3458</v>
      </c>
      <c r="E4104" s="5" t="s">
        <v>3459</v>
      </c>
      <c r="F4104" s="7" t="s">
        <v>444</v>
      </c>
    </row>
    <row r="4105">
      <c r="A4105" s="5" t="s">
        <v>2607</v>
      </c>
      <c r="B4105" s="8">
        <v>7.0</v>
      </c>
      <c r="C4105" s="7" t="s">
        <v>172</v>
      </c>
      <c r="D4105" s="5" t="s">
        <v>3458</v>
      </c>
      <c r="E4105" s="5" t="s">
        <v>3459</v>
      </c>
      <c r="F4105" s="7" t="s">
        <v>444</v>
      </c>
    </row>
    <row r="4106">
      <c r="A4106" s="7" t="s">
        <v>876</v>
      </c>
      <c r="B4106" s="8">
        <v>7.0</v>
      </c>
      <c r="C4106" s="7" t="s">
        <v>172</v>
      </c>
      <c r="D4106" s="5" t="s">
        <v>3458</v>
      </c>
      <c r="E4106" s="5" t="s">
        <v>3459</v>
      </c>
      <c r="F4106" s="7" t="s">
        <v>444</v>
      </c>
    </row>
    <row r="4107">
      <c r="A4107" s="5" t="s">
        <v>3092</v>
      </c>
      <c r="B4107" s="8">
        <v>7.0</v>
      </c>
      <c r="C4107" s="7" t="s">
        <v>172</v>
      </c>
      <c r="D4107" s="5" t="s">
        <v>3458</v>
      </c>
      <c r="E4107" s="5" t="s">
        <v>3459</v>
      </c>
      <c r="F4107" s="7" t="s">
        <v>444</v>
      </c>
    </row>
    <row r="4108">
      <c r="A4108" s="5" t="s">
        <v>2614</v>
      </c>
      <c r="B4108" s="8">
        <v>7.0</v>
      </c>
      <c r="C4108" s="7" t="s">
        <v>172</v>
      </c>
      <c r="D4108" s="5" t="s">
        <v>3458</v>
      </c>
      <c r="E4108" s="5" t="s">
        <v>3459</v>
      </c>
      <c r="F4108" s="7" t="s">
        <v>444</v>
      </c>
    </row>
    <row r="4109">
      <c r="A4109" s="5" t="s">
        <v>2608</v>
      </c>
      <c r="B4109" s="8">
        <v>7.0</v>
      </c>
      <c r="C4109" s="7" t="s">
        <v>172</v>
      </c>
      <c r="D4109" s="5" t="s">
        <v>3458</v>
      </c>
      <c r="E4109" s="5" t="s">
        <v>3459</v>
      </c>
      <c r="F4109" s="7" t="s">
        <v>444</v>
      </c>
    </row>
    <row r="4110">
      <c r="A4110" s="5" t="s">
        <v>2609</v>
      </c>
      <c r="B4110" s="8">
        <v>7.0</v>
      </c>
      <c r="C4110" s="7" t="s">
        <v>172</v>
      </c>
      <c r="D4110" s="5" t="s">
        <v>3458</v>
      </c>
      <c r="E4110" s="5" t="s">
        <v>3459</v>
      </c>
      <c r="F4110" s="7" t="s">
        <v>444</v>
      </c>
    </row>
    <row r="4111">
      <c r="A4111" s="7" t="s">
        <v>188</v>
      </c>
      <c r="B4111" s="8">
        <v>7.0</v>
      </c>
      <c r="C4111" s="7" t="s">
        <v>267</v>
      </c>
      <c r="D4111" s="7" t="s">
        <v>1413</v>
      </c>
      <c r="E4111" s="5" t="s">
        <v>1414</v>
      </c>
      <c r="F4111" s="5" t="s">
        <v>3149</v>
      </c>
    </row>
    <row r="4112">
      <c r="A4112" s="5" t="s">
        <v>2592</v>
      </c>
      <c r="B4112" s="8">
        <v>7.0</v>
      </c>
      <c r="C4112" s="7" t="s">
        <v>267</v>
      </c>
      <c r="D4112" s="7" t="s">
        <v>1413</v>
      </c>
      <c r="E4112" s="5" t="s">
        <v>1414</v>
      </c>
      <c r="F4112" s="5" t="s">
        <v>238</v>
      </c>
    </row>
    <row r="4113">
      <c r="A4113" s="5" t="s">
        <v>2796</v>
      </c>
      <c r="B4113" s="8">
        <v>7.0</v>
      </c>
      <c r="C4113" s="7" t="s">
        <v>267</v>
      </c>
      <c r="D4113" s="7" t="s">
        <v>1413</v>
      </c>
      <c r="E4113" s="5" t="s">
        <v>1414</v>
      </c>
      <c r="F4113" s="5" t="s">
        <v>3149</v>
      </c>
    </row>
    <row r="4114">
      <c r="A4114" s="5" t="s">
        <v>2594</v>
      </c>
      <c r="B4114" s="8">
        <v>7.0</v>
      </c>
      <c r="C4114" s="7" t="s">
        <v>267</v>
      </c>
      <c r="D4114" s="7" t="s">
        <v>1413</v>
      </c>
      <c r="E4114" s="5" t="s">
        <v>1414</v>
      </c>
      <c r="F4114" s="5" t="s">
        <v>271</v>
      </c>
    </row>
    <row r="4115">
      <c r="A4115" s="5" t="s">
        <v>3086</v>
      </c>
      <c r="B4115" s="8">
        <v>7.0</v>
      </c>
      <c r="C4115" s="7" t="s">
        <v>267</v>
      </c>
      <c r="D4115" s="7" t="s">
        <v>1413</v>
      </c>
      <c r="E4115" s="5" t="s">
        <v>1414</v>
      </c>
      <c r="F4115" s="5" t="s">
        <v>3222</v>
      </c>
    </row>
    <row r="4116">
      <c r="A4116" s="7" t="s">
        <v>868</v>
      </c>
      <c r="B4116" s="8">
        <v>7.0</v>
      </c>
      <c r="C4116" s="7" t="s">
        <v>267</v>
      </c>
      <c r="D4116" s="7" t="s">
        <v>1413</v>
      </c>
      <c r="E4116" s="5" t="s">
        <v>1414</v>
      </c>
      <c r="F4116" s="5" t="s">
        <v>271</v>
      </c>
    </row>
    <row r="4117">
      <c r="A4117" s="5" t="s">
        <v>3087</v>
      </c>
      <c r="B4117" s="8">
        <v>7.0</v>
      </c>
      <c r="C4117" s="7" t="s">
        <v>267</v>
      </c>
      <c r="D4117" s="7" t="s">
        <v>1413</v>
      </c>
      <c r="E4117" s="5" t="s">
        <v>1414</v>
      </c>
      <c r="F4117" s="5" t="s">
        <v>238</v>
      </c>
    </row>
    <row r="4118">
      <c r="A4118" s="5" t="s">
        <v>3088</v>
      </c>
      <c r="B4118" s="8">
        <v>7.0</v>
      </c>
      <c r="C4118" s="7" t="s">
        <v>267</v>
      </c>
      <c r="D4118" s="7" t="s">
        <v>1413</v>
      </c>
      <c r="E4118" s="5" t="s">
        <v>1414</v>
      </c>
      <c r="F4118" s="5" t="s">
        <v>238</v>
      </c>
    </row>
    <row r="4119">
      <c r="A4119" s="5" t="s">
        <v>3388</v>
      </c>
      <c r="B4119" s="8">
        <v>7.0</v>
      </c>
      <c r="C4119" s="7" t="s">
        <v>267</v>
      </c>
      <c r="D4119" s="7" t="s">
        <v>1413</v>
      </c>
      <c r="E4119" s="5" t="s">
        <v>1414</v>
      </c>
      <c r="F4119" s="5" t="s">
        <v>76</v>
      </c>
    </row>
    <row r="4120">
      <c r="A4120" s="5" t="s">
        <v>2595</v>
      </c>
      <c r="B4120" s="8">
        <v>7.0</v>
      </c>
      <c r="C4120" s="7" t="s">
        <v>267</v>
      </c>
      <c r="D4120" s="7" t="s">
        <v>1413</v>
      </c>
      <c r="E4120" s="5" t="s">
        <v>1414</v>
      </c>
      <c r="F4120" s="5" t="s">
        <v>3465</v>
      </c>
    </row>
    <row r="4121">
      <c r="A4121" s="5" t="s">
        <v>3089</v>
      </c>
      <c r="B4121" s="8">
        <v>7.0</v>
      </c>
      <c r="C4121" s="7" t="s">
        <v>267</v>
      </c>
      <c r="D4121" s="7" t="s">
        <v>1413</v>
      </c>
      <c r="E4121" s="5" t="s">
        <v>1414</v>
      </c>
      <c r="F4121" s="5" t="s">
        <v>271</v>
      </c>
    </row>
    <row r="4122">
      <c r="A4122" s="5" t="s">
        <v>2597</v>
      </c>
      <c r="B4122" s="8">
        <v>7.0</v>
      </c>
      <c r="C4122" s="7" t="s">
        <v>267</v>
      </c>
      <c r="D4122" s="7" t="s">
        <v>1413</v>
      </c>
      <c r="E4122" s="5" t="s">
        <v>1414</v>
      </c>
      <c r="F4122" s="5" t="s">
        <v>1416</v>
      </c>
    </row>
    <row r="4123">
      <c r="A4123" s="7" t="s">
        <v>8</v>
      </c>
      <c r="B4123" s="8">
        <v>7.0</v>
      </c>
      <c r="C4123" s="7" t="s">
        <v>267</v>
      </c>
      <c r="D4123" s="7" t="s">
        <v>1413</v>
      </c>
      <c r="E4123" s="5" t="s">
        <v>1414</v>
      </c>
      <c r="F4123" s="5" t="s">
        <v>238</v>
      </c>
    </row>
    <row r="4124">
      <c r="A4124" s="5" t="s">
        <v>2798</v>
      </c>
      <c r="B4124" s="8">
        <v>7.0</v>
      </c>
      <c r="C4124" s="7" t="s">
        <v>267</v>
      </c>
      <c r="D4124" s="7" t="s">
        <v>1413</v>
      </c>
      <c r="E4124" s="5" t="s">
        <v>1414</v>
      </c>
      <c r="F4124" s="5" t="s">
        <v>3466</v>
      </c>
    </row>
    <row r="4125">
      <c r="A4125" s="5" t="s">
        <v>2702</v>
      </c>
      <c r="B4125" s="8">
        <v>7.0</v>
      </c>
      <c r="C4125" s="7" t="s">
        <v>267</v>
      </c>
      <c r="D4125" s="7" t="s">
        <v>1413</v>
      </c>
      <c r="E4125" s="5" t="s">
        <v>1414</v>
      </c>
      <c r="F4125" s="5" t="s">
        <v>271</v>
      </c>
    </row>
    <row r="4126">
      <c r="A4126" s="5" t="s">
        <v>2599</v>
      </c>
      <c r="B4126" s="8">
        <v>7.0</v>
      </c>
      <c r="C4126" s="7" t="s">
        <v>267</v>
      </c>
      <c r="D4126" s="7" t="s">
        <v>1413</v>
      </c>
      <c r="E4126" s="5" t="s">
        <v>1414</v>
      </c>
      <c r="F4126" s="5" t="s">
        <v>238</v>
      </c>
    </row>
    <row r="4127">
      <c r="A4127" s="5" t="s">
        <v>2600</v>
      </c>
      <c r="B4127" s="8">
        <v>7.0</v>
      </c>
      <c r="C4127" s="7" t="s">
        <v>267</v>
      </c>
      <c r="D4127" s="7" t="s">
        <v>1413</v>
      </c>
      <c r="E4127" s="5" t="s">
        <v>1414</v>
      </c>
      <c r="F4127" s="5" t="s">
        <v>271</v>
      </c>
    </row>
    <row r="4128">
      <c r="A4128" s="5" t="s">
        <v>3090</v>
      </c>
      <c r="B4128" s="8">
        <v>7.0</v>
      </c>
      <c r="C4128" s="7" t="s">
        <v>267</v>
      </c>
      <c r="D4128" s="7" t="s">
        <v>1413</v>
      </c>
      <c r="E4128" s="5" t="s">
        <v>1414</v>
      </c>
      <c r="F4128" s="5" t="s">
        <v>271</v>
      </c>
    </row>
    <row r="4129">
      <c r="A4129" s="7" t="s">
        <v>873</v>
      </c>
      <c r="B4129" s="8">
        <v>7.0</v>
      </c>
      <c r="C4129" s="7" t="s">
        <v>267</v>
      </c>
      <c r="D4129" s="7" t="s">
        <v>1413</v>
      </c>
      <c r="E4129" s="5" t="s">
        <v>1414</v>
      </c>
      <c r="F4129" s="5" t="s">
        <v>238</v>
      </c>
    </row>
    <row r="4130">
      <c r="A4130" s="5" t="s">
        <v>2602</v>
      </c>
      <c r="B4130" s="8">
        <v>7.0</v>
      </c>
      <c r="C4130" s="7" t="s">
        <v>267</v>
      </c>
      <c r="D4130" s="7" t="s">
        <v>1413</v>
      </c>
      <c r="E4130" s="5" t="s">
        <v>1414</v>
      </c>
      <c r="F4130" s="5" t="s">
        <v>238</v>
      </c>
    </row>
    <row r="4131">
      <c r="A4131" s="5" t="s">
        <v>2603</v>
      </c>
      <c r="B4131" s="8">
        <v>7.0</v>
      </c>
      <c r="C4131" s="7" t="s">
        <v>267</v>
      </c>
      <c r="D4131" s="7" t="s">
        <v>1413</v>
      </c>
      <c r="E4131" s="5" t="s">
        <v>1414</v>
      </c>
      <c r="F4131" s="5" t="s">
        <v>3467</v>
      </c>
    </row>
    <row r="4132">
      <c r="A4132" s="7" t="s">
        <v>874</v>
      </c>
      <c r="B4132" s="8">
        <v>7.0</v>
      </c>
      <c r="C4132" s="7" t="s">
        <v>267</v>
      </c>
      <c r="D4132" s="7" t="s">
        <v>1413</v>
      </c>
      <c r="E4132" s="5" t="s">
        <v>1414</v>
      </c>
      <c r="F4132" s="5" t="s">
        <v>271</v>
      </c>
    </row>
    <row r="4133">
      <c r="A4133" s="5" t="s">
        <v>2604</v>
      </c>
      <c r="B4133" s="8">
        <v>7.0</v>
      </c>
      <c r="C4133" s="7" t="s">
        <v>267</v>
      </c>
      <c r="D4133" s="7" t="s">
        <v>1413</v>
      </c>
      <c r="E4133" s="5" t="s">
        <v>1414</v>
      </c>
      <c r="F4133" s="5" t="s">
        <v>271</v>
      </c>
    </row>
    <row r="4134">
      <c r="A4134" s="5" t="s">
        <v>3091</v>
      </c>
      <c r="B4134" s="8">
        <v>7.0</v>
      </c>
      <c r="C4134" s="7" t="s">
        <v>267</v>
      </c>
      <c r="D4134" s="7" t="s">
        <v>1413</v>
      </c>
      <c r="E4134" s="5" t="s">
        <v>1414</v>
      </c>
      <c r="F4134" s="5" t="s">
        <v>271</v>
      </c>
    </row>
    <row r="4135">
      <c r="A4135" s="5" t="s">
        <v>2605</v>
      </c>
      <c r="B4135" s="8">
        <v>7.0</v>
      </c>
      <c r="C4135" s="7" t="s">
        <v>267</v>
      </c>
      <c r="D4135" s="7" t="s">
        <v>1413</v>
      </c>
      <c r="E4135" s="5" t="s">
        <v>1414</v>
      </c>
      <c r="F4135" s="5" t="s">
        <v>271</v>
      </c>
    </row>
    <row r="4136">
      <c r="A4136" s="5" t="s">
        <v>2933</v>
      </c>
      <c r="B4136" s="8">
        <v>7.0</v>
      </c>
      <c r="C4136" s="7" t="s">
        <v>267</v>
      </c>
      <c r="D4136" s="7" t="s">
        <v>1413</v>
      </c>
      <c r="E4136" s="5" t="s">
        <v>1414</v>
      </c>
      <c r="F4136" s="5" t="s">
        <v>238</v>
      </c>
    </row>
    <row r="4137">
      <c r="A4137" s="5" t="s">
        <v>2606</v>
      </c>
      <c r="B4137" s="8">
        <v>7.0</v>
      </c>
      <c r="C4137" s="7" t="s">
        <v>267</v>
      </c>
      <c r="D4137" s="7" t="s">
        <v>1413</v>
      </c>
      <c r="E4137" s="5" t="s">
        <v>1414</v>
      </c>
      <c r="F4137" s="5" t="s">
        <v>238</v>
      </c>
    </row>
    <row r="4138">
      <c r="A4138" s="5" t="s">
        <v>2934</v>
      </c>
      <c r="B4138" s="8">
        <v>7.0</v>
      </c>
      <c r="C4138" s="7" t="s">
        <v>267</v>
      </c>
      <c r="D4138" s="7" t="s">
        <v>1413</v>
      </c>
      <c r="E4138" s="5" t="s">
        <v>1414</v>
      </c>
      <c r="F4138" s="5" t="s">
        <v>273</v>
      </c>
    </row>
    <row r="4139">
      <c r="A4139" s="5" t="s">
        <v>2607</v>
      </c>
      <c r="B4139" s="8">
        <v>7.0</v>
      </c>
      <c r="C4139" s="7" t="s">
        <v>267</v>
      </c>
      <c r="D4139" s="7" t="s">
        <v>1413</v>
      </c>
      <c r="E4139" s="5" t="s">
        <v>1414</v>
      </c>
      <c r="F4139" s="5" t="s">
        <v>238</v>
      </c>
    </row>
    <row r="4140">
      <c r="A4140" s="7" t="s">
        <v>876</v>
      </c>
      <c r="B4140" s="8">
        <v>7.0</v>
      </c>
      <c r="C4140" s="7" t="s">
        <v>267</v>
      </c>
      <c r="D4140" s="7" t="s">
        <v>1413</v>
      </c>
      <c r="E4140" s="5" t="s">
        <v>1414</v>
      </c>
      <c r="F4140" s="5" t="s">
        <v>273</v>
      </c>
    </row>
    <row r="4141">
      <c r="A4141" s="5" t="s">
        <v>3092</v>
      </c>
      <c r="B4141" s="8">
        <v>7.0</v>
      </c>
      <c r="C4141" s="7" t="s">
        <v>267</v>
      </c>
      <c r="D4141" s="7" t="s">
        <v>1413</v>
      </c>
      <c r="E4141" s="5" t="s">
        <v>1414</v>
      </c>
      <c r="F4141" s="5" t="s">
        <v>238</v>
      </c>
    </row>
    <row r="4142">
      <c r="A4142" s="5" t="s">
        <v>2614</v>
      </c>
      <c r="B4142" s="8">
        <v>7.0</v>
      </c>
      <c r="C4142" s="7" t="s">
        <v>267</v>
      </c>
      <c r="D4142" s="7" t="s">
        <v>1413</v>
      </c>
      <c r="E4142" s="5" t="s">
        <v>1414</v>
      </c>
      <c r="F4142" s="5" t="s">
        <v>238</v>
      </c>
    </row>
    <row r="4143">
      <c r="A4143" s="5" t="s">
        <v>2608</v>
      </c>
      <c r="B4143" s="8">
        <v>7.0</v>
      </c>
      <c r="C4143" s="7" t="s">
        <v>267</v>
      </c>
      <c r="D4143" s="7" t="s">
        <v>1413</v>
      </c>
      <c r="E4143" s="5" t="s">
        <v>1414</v>
      </c>
      <c r="F4143" s="5" t="s">
        <v>238</v>
      </c>
    </row>
    <row r="4144">
      <c r="A4144" s="5" t="s">
        <v>2609</v>
      </c>
      <c r="B4144" s="8">
        <v>7.0</v>
      </c>
      <c r="C4144" s="7" t="s">
        <v>267</v>
      </c>
      <c r="D4144" s="7" t="s">
        <v>1413</v>
      </c>
      <c r="E4144" s="5" t="s">
        <v>1414</v>
      </c>
      <c r="F4144" s="5" t="s">
        <v>238</v>
      </c>
    </row>
    <row r="4145">
      <c r="A4145" s="7" t="s">
        <v>188</v>
      </c>
      <c r="B4145" s="8">
        <v>7.0</v>
      </c>
      <c r="C4145" s="7" t="s">
        <v>284</v>
      </c>
      <c r="D4145" s="7" t="s">
        <v>1419</v>
      </c>
      <c r="E4145" s="5" t="s">
        <v>1420</v>
      </c>
      <c r="F4145" s="5" t="s">
        <v>776</v>
      </c>
    </row>
    <row r="4146">
      <c r="A4146" s="5" t="s">
        <v>2592</v>
      </c>
      <c r="B4146" s="8">
        <v>7.0</v>
      </c>
      <c r="C4146" s="7" t="s">
        <v>284</v>
      </c>
      <c r="D4146" s="7" t="s">
        <v>1419</v>
      </c>
      <c r="E4146" s="5" t="s">
        <v>1420</v>
      </c>
      <c r="F4146" s="5" t="s">
        <v>776</v>
      </c>
    </row>
    <row r="4147">
      <c r="A4147" s="5" t="s">
        <v>2796</v>
      </c>
      <c r="B4147" s="8">
        <v>7.0</v>
      </c>
      <c r="C4147" s="7" t="s">
        <v>284</v>
      </c>
      <c r="D4147" s="7" t="s">
        <v>1419</v>
      </c>
      <c r="E4147" s="5" t="s">
        <v>1420</v>
      </c>
      <c r="F4147" s="7" t="s">
        <v>1085</v>
      </c>
    </row>
    <row r="4148">
      <c r="A4148" s="5" t="s">
        <v>2594</v>
      </c>
      <c r="B4148" s="8">
        <v>7.0</v>
      </c>
      <c r="C4148" s="7" t="s">
        <v>284</v>
      </c>
      <c r="D4148" s="7" t="s">
        <v>1419</v>
      </c>
      <c r="E4148" s="5" t="s">
        <v>1420</v>
      </c>
      <c r="F4148" s="5" t="s">
        <v>3226</v>
      </c>
    </row>
    <row r="4149">
      <c r="A4149" s="5" t="s">
        <v>3086</v>
      </c>
      <c r="B4149" s="8">
        <v>7.0</v>
      </c>
      <c r="C4149" s="7" t="s">
        <v>284</v>
      </c>
      <c r="D4149" s="7" t="s">
        <v>1419</v>
      </c>
      <c r="E4149" s="5" t="s">
        <v>1420</v>
      </c>
      <c r="F4149" s="5" t="s">
        <v>3227</v>
      </c>
    </row>
    <row r="4150">
      <c r="A4150" s="7" t="s">
        <v>868</v>
      </c>
      <c r="B4150" s="8">
        <v>7.0</v>
      </c>
      <c r="C4150" s="7" t="s">
        <v>284</v>
      </c>
      <c r="D4150" s="7" t="s">
        <v>1419</v>
      </c>
      <c r="E4150" s="5" t="s">
        <v>1420</v>
      </c>
      <c r="F4150" s="7" t="s">
        <v>1088</v>
      </c>
    </row>
    <row r="4151">
      <c r="A4151" s="5" t="s">
        <v>3087</v>
      </c>
      <c r="B4151" s="8">
        <v>7.0</v>
      </c>
      <c r="C4151" s="7" t="s">
        <v>284</v>
      </c>
      <c r="D4151" s="7" t="s">
        <v>1419</v>
      </c>
      <c r="E4151" s="5" t="s">
        <v>1420</v>
      </c>
      <c r="F4151" s="5" t="s">
        <v>776</v>
      </c>
    </row>
    <row r="4152">
      <c r="A4152" s="5" t="s">
        <v>3088</v>
      </c>
      <c r="B4152" s="8">
        <v>7.0</v>
      </c>
      <c r="C4152" s="7" t="s">
        <v>284</v>
      </c>
      <c r="D4152" s="7" t="s">
        <v>1419</v>
      </c>
      <c r="E4152" s="5" t="s">
        <v>1420</v>
      </c>
      <c r="F4152" s="7" t="s">
        <v>1088</v>
      </c>
    </row>
    <row r="4153">
      <c r="A4153" s="5" t="s">
        <v>3388</v>
      </c>
      <c r="B4153" s="8">
        <v>7.0</v>
      </c>
      <c r="C4153" s="7" t="s">
        <v>284</v>
      </c>
      <c r="D4153" s="7" t="s">
        <v>1419</v>
      </c>
      <c r="E4153" s="5" t="s">
        <v>1420</v>
      </c>
      <c r="F4153" s="5" t="s">
        <v>776</v>
      </c>
    </row>
    <row r="4154">
      <c r="A4154" s="5" t="s">
        <v>2595</v>
      </c>
      <c r="B4154" s="8">
        <v>7.0</v>
      </c>
      <c r="C4154" s="7" t="s">
        <v>284</v>
      </c>
      <c r="D4154" s="7" t="s">
        <v>1419</v>
      </c>
      <c r="E4154" s="5" t="s">
        <v>1420</v>
      </c>
      <c r="F4154" s="5" t="s">
        <v>3468</v>
      </c>
    </row>
    <row r="4155">
      <c r="A4155" s="5" t="s">
        <v>3089</v>
      </c>
      <c r="B4155" s="8">
        <v>7.0</v>
      </c>
      <c r="C4155" s="7" t="s">
        <v>284</v>
      </c>
      <c r="D4155" s="7" t="s">
        <v>1419</v>
      </c>
      <c r="E4155" s="5" t="s">
        <v>1420</v>
      </c>
      <c r="F4155" s="7" t="s">
        <v>1088</v>
      </c>
    </row>
    <row r="4156">
      <c r="A4156" s="5" t="s">
        <v>2597</v>
      </c>
      <c r="B4156" s="8">
        <v>7.0</v>
      </c>
      <c r="C4156" s="7" t="s">
        <v>284</v>
      </c>
      <c r="D4156" s="7" t="s">
        <v>1419</v>
      </c>
      <c r="E4156" s="5" t="s">
        <v>1420</v>
      </c>
      <c r="F4156" s="7" t="s">
        <v>1422</v>
      </c>
    </row>
    <row r="4157">
      <c r="A4157" s="7" t="s">
        <v>8</v>
      </c>
      <c r="B4157" s="8">
        <v>7.0</v>
      </c>
      <c r="C4157" s="7" t="s">
        <v>284</v>
      </c>
      <c r="D4157" s="7" t="s">
        <v>1419</v>
      </c>
      <c r="E4157" s="5" t="s">
        <v>1420</v>
      </c>
      <c r="F4157" s="5" t="s">
        <v>1089</v>
      </c>
    </row>
    <row r="4158">
      <c r="A4158" s="5" t="s">
        <v>2798</v>
      </c>
      <c r="B4158" s="8">
        <v>7.0</v>
      </c>
      <c r="C4158" s="7" t="s">
        <v>284</v>
      </c>
      <c r="D4158" s="7" t="s">
        <v>1419</v>
      </c>
      <c r="E4158" s="5" t="s">
        <v>1420</v>
      </c>
      <c r="F4158" s="5" t="s">
        <v>1089</v>
      </c>
    </row>
    <row r="4159">
      <c r="A4159" s="5" t="s">
        <v>2702</v>
      </c>
      <c r="B4159" s="8">
        <v>7.0</v>
      </c>
      <c r="C4159" s="7" t="s">
        <v>284</v>
      </c>
      <c r="D4159" s="7" t="s">
        <v>1419</v>
      </c>
      <c r="E4159" s="5" t="s">
        <v>1420</v>
      </c>
      <c r="F4159" s="7" t="s">
        <v>1088</v>
      </c>
    </row>
    <row r="4160">
      <c r="A4160" s="5" t="s">
        <v>2599</v>
      </c>
      <c r="B4160" s="8">
        <v>7.0</v>
      </c>
      <c r="C4160" s="7" t="s">
        <v>284</v>
      </c>
      <c r="D4160" s="7" t="s">
        <v>1419</v>
      </c>
      <c r="E4160" s="5" t="s">
        <v>1420</v>
      </c>
      <c r="F4160" s="5" t="s">
        <v>776</v>
      </c>
    </row>
    <row r="4161">
      <c r="A4161" s="5" t="s">
        <v>2600</v>
      </c>
      <c r="B4161" s="8">
        <v>7.0</v>
      </c>
      <c r="C4161" s="7" t="s">
        <v>284</v>
      </c>
      <c r="D4161" s="7" t="s">
        <v>1419</v>
      </c>
      <c r="E4161" s="5" t="s">
        <v>1420</v>
      </c>
      <c r="F4161" s="5" t="s">
        <v>776</v>
      </c>
    </row>
    <row r="4162">
      <c r="A4162" s="5" t="s">
        <v>3090</v>
      </c>
      <c r="B4162" s="8">
        <v>7.0</v>
      </c>
      <c r="C4162" s="7" t="s">
        <v>284</v>
      </c>
      <c r="D4162" s="7" t="s">
        <v>1419</v>
      </c>
      <c r="E4162" s="5" t="s">
        <v>1420</v>
      </c>
      <c r="F4162" s="5" t="s">
        <v>776</v>
      </c>
    </row>
    <row r="4163">
      <c r="A4163" s="7" t="s">
        <v>873</v>
      </c>
      <c r="B4163" s="8">
        <v>7.0</v>
      </c>
      <c r="C4163" s="7" t="s">
        <v>284</v>
      </c>
      <c r="D4163" s="7" t="s">
        <v>1419</v>
      </c>
      <c r="E4163" s="5" t="s">
        <v>1420</v>
      </c>
      <c r="F4163" s="5" t="s">
        <v>776</v>
      </c>
    </row>
    <row r="4164">
      <c r="A4164" s="5" t="s">
        <v>2602</v>
      </c>
      <c r="B4164" s="8">
        <v>7.0</v>
      </c>
      <c r="C4164" s="7" t="s">
        <v>284</v>
      </c>
      <c r="D4164" s="7" t="s">
        <v>1419</v>
      </c>
      <c r="E4164" s="5" t="s">
        <v>1420</v>
      </c>
      <c r="F4164" s="5" t="s">
        <v>776</v>
      </c>
    </row>
    <row r="4165">
      <c r="A4165" s="5" t="s">
        <v>2603</v>
      </c>
      <c r="B4165" s="8">
        <v>7.0</v>
      </c>
      <c r="C4165" s="7" t="s">
        <v>284</v>
      </c>
      <c r="D4165" s="7" t="s">
        <v>1419</v>
      </c>
      <c r="E4165" s="5" t="s">
        <v>1420</v>
      </c>
      <c r="F4165" s="5" t="s">
        <v>776</v>
      </c>
    </row>
    <row r="4166">
      <c r="A4166" s="7" t="s">
        <v>874</v>
      </c>
      <c r="B4166" s="8">
        <v>7.0</v>
      </c>
      <c r="C4166" s="7" t="s">
        <v>284</v>
      </c>
      <c r="D4166" s="7" t="s">
        <v>1419</v>
      </c>
      <c r="E4166" s="5" t="s">
        <v>1420</v>
      </c>
      <c r="F4166" s="5" t="s">
        <v>776</v>
      </c>
    </row>
    <row r="4167">
      <c r="A4167" s="5" t="s">
        <v>2604</v>
      </c>
      <c r="B4167" s="8">
        <v>7.0</v>
      </c>
      <c r="C4167" s="7" t="s">
        <v>284</v>
      </c>
      <c r="D4167" s="7" t="s">
        <v>1419</v>
      </c>
      <c r="E4167" s="5" t="s">
        <v>1420</v>
      </c>
      <c r="F4167" s="5" t="s">
        <v>776</v>
      </c>
    </row>
    <row r="4168">
      <c r="A4168" s="5" t="s">
        <v>3091</v>
      </c>
      <c r="B4168" s="8">
        <v>7.0</v>
      </c>
      <c r="C4168" s="7" t="s">
        <v>284</v>
      </c>
      <c r="D4168" s="7" t="s">
        <v>1419</v>
      </c>
      <c r="E4168" s="5" t="s">
        <v>1420</v>
      </c>
      <c r="F4168" s="5" t="s">
        <v>3469</v>
      </c>
    </row>
    <row r="4169">
      <c r="A4169" s="5" t="s">
        <v>2605</v>
      </c>
      <c r="B4169" s="8">
        <v>7.0</v>
      </c>
      <c r="C4169" s="7" t="s">
        <v>284</v>
      </c>
      <c r="D4169" s="7" t="s">
        <v>1419</v>
      </c>
      <c r="E4169" s="5" t="s">
        <v>1420</v>
      </c>
      <c r="F4169" s="7" t="s">
        <v>1088</v>
      </c>
    </row>
    <row r="4170">
      <c r="A4170" s="5" t="s">
        <v>2933</v>
      </c>
      <c r="B4170" s="8">
        <v>7.0</v>
      </c>
      <c r="C4170" s="7" t="s">
        <v>284</v>
      </c>
      <c r="D4170" s="7" t="s">
        <v>1419</v>
      </c>
      <c r="E4170" s="5" t="s">
        <v>1420</v>
      </c>
      <c r="F4170" s="5" t="s">
        <v>776</v>
      </c>
    </row>
    <row r="4171">
      <c r="A4171" s="5" t="s">
        <v>2606</v>
      </c>
      <c r="B4171" s="8">
        <v>7.0</v>
      </c>
      <c r="C4171" s="7" t="s">
        <v>284</v>
      </c>
      <c r="D4171" s="7" t="s">
        <v>1419</v>
      </c>
      <c r="E4171" s="5" t="s">
        <v>1420</v>
      </c>
      <c r="F4171" s="5" t="s">
        <v>776</v>
      </c>
    </row>
    <row r="4172">
      <c r="A4172" s="5" t="s">
        <v>2934</v>
      </c>
      <c r="B4172" s="8">
        <v>7.0</v>
      </c>
      <c r="C4172" s="7" t="s">
        <v>284</v>
      </c>
      <c r="D4172" s="7" t="s">
        <v>1419</v>
      </c>
      <c r="E4172" s="5" t="s">
        <v>1420</v>
      </c>
      <c r="F4172" s="5" t="s">
        <v>776</v>
      </c>
    </row>
    <row r="4173">
      <c r="A4173" s="5" t="s">
        <v>2607</v>
      </c>
      <c r="B4173" s="8">
        <v>7.0</v>
      </c>
      <c r="C4173" s="7" t="s">
        <v>284</v>
      </c>
      <c r="D4173" s="7" t="s">
        <v>1419</v>
      </c>
      <c r="E4173" s="5" t="s">
        <v>1420</v>
      </c>
      <c r="F4173" s="5" t="s">
        <v>776</v>
      </c>
    </row>
    <row r="4174">
      <c r="A4174" s="7" t="s">
        <v>876</v>
      </c>
      <c r="B4174" s="8">
        <v>7.0</v>
      </c>
      <c r="C4174" s="7" t="s">
        <v>284</v>
      </c>
      <c r="D4174" s="7" t="s">
        <v>1419</v>
      </c>
      <c r="E4174" s="5" t="s">
        <v>1420</v>
      </c>
      <c r="F4174" s="5" t="s">
        <v>776</v>
      </c>
    </row>
    <row r="4175">
      <c r="A4175" s="5" t="s">
        <v>3092</v>
      </c>
      <c r="B4175" s="8">
        <v>7.0</v>
      </c>
      <c r="C4175" s="7" t="s">
        <v>284</v>
      </c>
      <c r="D4175" s="7" t="s">
        <v>1419</v>
      </c>
      <c r="E4175" s="5" t="s">
        <v>1420</v>
      </c>
      <c r="F4175" s="5" t="s">
        <v>776</v>
      </c>
    </row>
    <row r="4176">
      <c r="A4176" s="5" t="s">
        <v>2614</v>
      </c>
      <c r="B4176" s="8">
        <v>7.0</v>
      </c>
      <c r="C4176" s="7" t="s">
        <v>284</v>
      </c>
      <c r="D4176" s="7" t="s">
        <v>1419</v>
      </c>
      <c r="E4176" s="5" t="s">
        <v>1420</v>
      </c>
      <c r="F4176" s="5" t="s">
        <v>776</v>
      </c>
    </row>
    <row r="4177">
      <c r="A4177" s="5" t="s">
        <v>2608</v>
      </c>
      <c r="B4177" s="8">
        <v>7.0</v>
      </c>
      <c r="C4177" s="7" t="s">
        <v>284</v>
      </c>
      <c r="D4177" s="7" t="s">
        <v>1419</v>
      </c>
      <c r="E4177" s="5" t="s">
        <v>1420</v>
      </c>
      <c r="F4177" s="5" t="s">
        <v>776</v>
      </c>
    </row>
    <row r="4178">
      <c r="A4178" s="5" t="s">
        <v>2609</v>
      </c>
      <c r="B4178" s="8">
        <v>7.0</v>
      </c>
      <c r="C4178" s="7" t="s">
        <v>284</v>
      </c>
      <c r="D4178" s="7" t="s">
        <v>1419</v>
      </c>
      <c r="E4178" s="5" t="s">
        <v>1420</v>
      </c>
      <c r="F4178" s="5" t="s">
        <v>776</v>
      </c>
    </row>
    <row r="4179">
      <c r="A4179" s="7" t="s">
        <v>188</v>
      </c>
      <c r="B4179" s="8">
        <v>7.0</v>
      </c>
      <c r="C4179" s="7" t="s">
        <v>274</v>
      </c>
      <c r="D4179" s="7" t="s">
        <v>1424</v>
      </c>
      <c r="E4179" s="5" t="s">
        <v>3470</v>
      </c>
      <c r="F4179" s="5" t="s">
        <v>3229</v>
      </c>
    </row>
    <row r="4180">
      <c r="A4180" s="5" t="s">
        <v>2592</v>
      </c>
      <c r="B4180" s="8">
        <v>7.0</v>
      </c>
      <c r="C4180" s="7" t="s">
        <v>274</v>
      </c>
      <c r="D4180" s="7" t="s">
        <v>1424</v>
      </c>
      <c r="E4180" s="5" t="s">
        <v>3470</v>
      </c>
      <c r="F4180" s="5" t="s">
        <v>780</v>
      </c>
    </row>
    <row r="4181">
      <c r="A4181" s="5" t="s">
        <v>2796</v>
      </c>
      <c r="B4181" s="8">
        <v>7.0</v>
      </c>
      <c r="C4181" s="7" t="s">
        <v>274</v>
      </c>
      <c r="D4181" s="7" t="s">
        <v>1424</v>
      </c>
      <c r="E4181" s="5" t="s">
        <v>3470</v>
      </c>
      <c r="F4181" s="5" t="s">
        <v>2398</v>
      </c>
    </row>
    <row r="4182">
      <c r="A4182" s="5" t="s">
        <v>2594</v>
      </c>
      <c r="B4182" s="8">
        <v>7.0</v>
      </c>
      <c r="C4182" s="7" t="s">
        <v>274</v>
      </c>
      <c r="D4182" s="7" t="s">
        <v>1424</v>
      </c>
      <c r="E4182" s="5" t="s">
        <v>3470</v>
      </c>
      <c r="F4182" s="5" t="s">
        <v>3187</v>
      </c>
    </row>
    <row r="4183">
      <c r="A4183" s="5" t="s">
        <v>3086</v>
      </c>
      <c r="B4183" s="8">
        <v>7.0</v>
      </c>
      <c r="C4183" s="7" t="s">
        <v>274</v>
      </c>
      <c r="D4183" s="7" t="s">
        <v>1424</v>
      </c>
      <c r="E4183" s="5" t="s">
        <v>3470</v>
      </c>
      <c r="F4183" s="5" t="s">
        <v>3230</v>
      </c>
    </row>
    <row r="4184">
      <c r="A4184" s="7" t="s">
        <v>868</v>
      </c>
      <c r="B4184" s="8">
        <v>7.0</v>
      </c>
      <c r="C4184" s="7" t="s">
        <v>274</v>
      </c>
      <c r="D4184" s="7" t="s">
        <v>1424</v>
      </c>
      <c r="E4184" s="5" t="s">
        <v>3470</v>
      </c>
      <c r="F4184" s="5" t="s">
        <v>2398</v>
      </c>
    </row>
    <row r="4185">
      <c r="A4185" s="5" t="s">
        <v>3087</v>
      </c>
      <c r="B4185" s="8">
        <v>7.0</v>
      </c>
      <c r="C4185" s="7" t="s">
        <v>274</v>
      </c>
      <c r="D4185" s="7" t="s">
        <v>1424</v>
      </c>
      <c r="E4185" s="5" t="s">
        <v>3470</v>
      </c>
      <c r="F4185" s="5" t="s">
        <v>780</v>
      </c>
    </row>
    <row r="4186">
      <c r="A4186" s="5" t="s">
        <v>3088</v>
      </c>
      <c r="B4186" s="8">
        <v>7.0</v>
      </c>
      <c r="C4186" s="7" t="s">
        <v>274</v>
      </c>
      <c r="D4186" s="7" t="s">
        <v>1424</v>
      </c>
      <c r="E4186" s="5" t="s">
        <v>3470</v>
      </c>
      <c r="F4186" s="5" t="s">
        <v>3231</v>
      </c>
    </row>
    <row r="4187">
      <c r="A4187" s="5" t="s">
        <v>3388</v>
      </c>
      <c r="B4187" s="8">
        <v>7.0</v>
      </c>
      <c r="C4187" s="7" t="s">
        <v>274</v>
      </c>
      <c r="D4187" s="7" t="s">
        <v>1424</v>
      </c>
      <c r="E4187" s="5" t="s">
        <v>3470</v>
      </c>
      <c r="F4187" s="5" t="s">
        <v>1664</v>
      </c>
    </row>
    <row r="4188">
      <c r="A4188" s="5" t="s">
        <v>2595</v>
      </c>
      <c r="B4188" s="8">
        <v>7.0</v>
      </c>
      <c r="C4188" s="7" t="s">
        <v>274</v>
      </c>
      <c r="D4188" s="7" t="s">
        <v>1424</v>
      </c>
      <c r="E4188" s="5" t="s">
        <v>3470</v>
      </c>
      <c r="F4188" s="5" t="s">
        <v>3471</v>
      </c>
    </row>
    <row r="4189">
      <c r="A4189" s="5" t="s">
        <v>3089</v>
      </c>
      <c r="B4189" s="8">
        <v>7.0</v>
      </c>
      <c r="C4189" s="7" t="s">
        <v>274</v>
      </c>
      <c r="D4189" s="7" t="s">
        <v>1424</v>
      </c>
      <c r="E4189" s="5" t="s">
        <v>3470</v>
      </c>
      <c r="F4189" s="5" t="s">
        <v>3233</v>
      </c>
    </row>
    <row r="4190">
      <c r="A4190" s="5" t="s">
        <v>2597</v>
      </c>
      <c r="B4190" s="8">
        <v>7.0</v>
      </c>
      <c r="C4190" s="7" t="s">
        <v>274</v>
      </c>
      <c r="D4190" s="7" t="s">
        <v>1424</v>
      </c>
      <c r="E4190" s="5" t="s">
        <v>3470</v>
      </c>
      <c r="F4190" s="5" t="s">
        <v>3472</v>
      </c>
    </row>
    <row r="4191">
      <c r="A4191" s="7" t="s">
        <v>8</v>
      </c>
      <c r="B4191" s="8">
        <v>7.0</v>
      </c>
      <c r="C4191" s="7" t="s">
        <v>274</v>
      </c>
      <c r="D4191" s="7" t="s">
        <v>1424</v>
      </c>
      <c r="E4191" s="5" t="s">
        <v>3470</v>
      </c>
      <c r="F4191" s="7" t="s">
        <v>1428</v>
      </c>
    </row>
    <row r="4192">
      <c r="A4192" s="5" t="s">
        <v>2798</v>
      </c>
      <c r="B4192" s="8">
        <v>7.0</v>
      </c>
      <c r="C4192" s="7" t="s">
        <v>274</v>
      </c>
      <c r="D4192" s="7" t="s">
        <v>1424</v>
      </c>
      <c r="E4192" s="5" t="s">
        <v>3470</v>
      </c>
      <c r="F4192" s="5" t="s">
        <v>3473</v>
      </c>
    </row>
    <row r="4193">
      <c r="A4193" s="5" t="s">
        <v>2702</v>
      </c>
      <c r="B4193" s="8">
        <v>7.0</v>
      </c>
      <c r="C4193" s="7" t="s">
        <v>274</v>
      </c>
      <c r="D4193" s="7" t="s">
        <v>1424</v>
      </c>
      <c r="E4193" s="5" t="s">
        <v>3470</v>
      </c>
      <c r="F4193" s="5" t="s">
        <v>3229</v>
      </c>
    </row>
    <row r="4194">
      <c r="A4194" s="5" t="s">
        <v>2599</v>
      </c>
      <c r="B4194" s="8">
        <v>7.0</v>
      </c>
      <c r="C4194" s="7" t="s">
        <v>274</v>
      </c>
      <c r="D4194" s="7" t="s">
        <v>1424</v>
      </c>
      <c r="E4194" s="5" t="s">
        <v>3470</v>
      </c>
      <c r="F4194" s="5" t="s">
        <v>3474</v>
      </c>
    </row>
    <row r="4195">
      <c r="A4195" s="5" t="s">
        <v>2600</v>
      </c>
      <c r="B4195" s="8">
        <v>7.0</v>
      </c>
      <c r="C4195" s="7" t="s">
        <v>274</v>
      </c>
      <c r="D4195" s="7" t="s">
        <v>1424</v>
      </c>
      <c r="E4195" s="5" t="s">
        <v>3470</v>
      </c>
      <c r="F4195" s="5" t="s">
        <v>3355</v>
      </c>
    </row>
    <row r="4196">
      <c r="A4196" s="5" t="s">
        <v>3090</v>
      </c>
      <c r="B4196" s="8">
        <v>7.0</v>
      </c>
      <c r="C4196" s="7" t="s">
        <v>274</v>
      </c>
      <c r="D4196" s="7" t="s">
        <v>1424</v>
      </c>
      <c r="E4196" s="5" t="s">
        <v>3470</v>
      </c>
      <c r="F4196" s="5" t="s">
        <v>1431</v>
      </c>
    </row>
    <row r="4197">
      <c r="A4197" s="7" t="s">
        <v>873</v>
      </c>
      <c r="B4197" s="8">
        <v>7.0</v>
      </c>
      <c r="C4197" s="7" t="s">
        <v>274</v>
      </c>
      <c r="D4197" s="7" t="s">
        <v>1424</v>
      </c>
      <c r="E4197" s="5" t="s">
        <v>3470</v>
      </c>
      <c r="F4197" s="5" t="s">
        <v>3475</v>
      </c>
    </row>
    <row r="4198">
      <c r="A4198" s="5" t="s">
        <v>2602</v>
      </c>
      <c r="B4198" s="8">
        <v>7.0</v>
      </c>
      <c r="C4198" s="7" t="s">
        <v>274</v>
      </c>
      <c r="D4198" s="7" t="s">
        <v>1424</v>
      </c>
      <c r="E4198" s="5" t="s">
        <v>3470</v>
      </c>
      <c r="F4198" s="5" t="s">
        <v>3476</v>
      </c>
    </row>
    <row r="4199">
      <c r="A4199" s="5" t="s">
        <v>2603</v>
      </c>
      <c r="B4199" s="8">
        <v>7.0</v>
      </c>
      <c r="C4199" s="7" t="s">
        <v>274</v>
      </c>
      <c r="D4199" s="7" t="s">
        <v>1424</v>
      </c>
      <c r="E4199" s="5" t="s">
        <v>3470</v>
      </c>
      <c r="F4199" s="5" t="s">
        <v>3477</v>
      </c>
    </row>
    <row r="4200">
      <c r="A4200" s="7" t="s">
        <v>874</v>
      </c>
      <c r="B4200" s="8">
        <v>7.0</v>
      </c>
      <c r="C4200" s="7" t="s">
        <v>274</v>
      </c>
      <c r="D4200" s="7" t="s">
        <v>1424</v>
      </c>
      <c r="E4200" s="5" t="s">
        <v>3470</v>
      </c>
      <c r="F4200" s="5" t="s">
        <v>3478</v>
      </c>
    </row>
    <row r="4201">
      <c r="A4201" s="5" t="s">
        <v>2604</v>
      </c>
      <c r="B4201" s="8">
        <v>7.0</v>
      </c>
      <c r="C4201" s="7" t="s">
        <v>274</v>
      </c>
      <c r="D4201" s="7" t="s">
        <v>1424</v>
      </c>
      <c r="E4201" s="5" t="s">
        <v>3470</v>
      </c>
      <c r="F4201" s="5" t="s">
        <v>780</v>
      </c>
    </row>
    <row r="4202">
      <c r="A4202" s="5" t="s">
        <v>3091</v>
      </c>
      <c r="B4202" s="8">
        <v>7.0</v>
      </c>
      <c r="C4202" s="7" t="s">
        <v>274</v>
      </c>
      <c r="D4202" s="7" t="s">
        <v>1424</v>
      </c>
      <c r="E4202" s="5" t="s">
        <v>3470</v>
      </c>
      <c r="F4202" s="5" t="s">
        <v>1361</v>
      </c>
    </row>
    <row r="4203">
      <c r="A4203" s="5" t="s">
        <v>2605</v>
      </c>
      <c r="B4203" s="8">
        <v>7.0</v>
      </c>
      <c r="C4203" s="7" t="s">
        <v>274</v>
      </c>
      <c r="D4203" s="7" t="s">
        <v>1424</v>
      </c>
      <c r="E4203" s="5" t="s">
        <v>3470</v>
      </c>
      <c r="F4203" s="5" t="s">
        <v>3239</v>
      </c>
    </row>
    <row r="4204">
      <c r="A4204" s="5" t="s">
        <v>2933</v>
      </c>
      <c r="B4204" s="8">
        <v>7.0</v>
      </c>
      <c r="C4204" s="7" t="s">
        <v>274</v>
      </c>
      <c r="D4204" s="7" t="s">
        <v>1424</v>
      </c>
      <c r="E4204" s="5" t="s">
        <v>3470</v>
      </c>
      <c r="F4204" s="7" t="s">
        <v>1436</v>
      </c>
    </row>
    <row r="4205">
      <c r="A4205" s="5" t="s">
        <v>2606</v>
      </c>
      <c r="B4205" s="8">
        <v>7.0</v>
      </c>
      <c r="C4205" s="7" t="s">
        <v>274</v>
      </c>
      <c r="D4205" s="7" t="s">
        <v>1424</v>
      </c>
      <c r="E4205" s="5" t="s">
        <v>3470</v>
      </c>
      <c r="F4205" s="5" t="s">
        <v>780</v>
      </c>
    </row>
    <row r="4206">
      <c r="A4206" s="5" t="s">
        <v>2934</v>
      </c>
      <c r="B4206" s="8">
        <v>7.0</v>
      </c>
      <c r="C4206" s="7" t="s">
        <v>274</v>
      </c>
      <c r="D4206" s="7" t="s">
        <v>1424</v>
      </c>
      <c r="E4206" s="5" t="s">
        <v>3470</v>
      </c>
      <c r="F4206" s="5" t="s">
        <v>780</v>
      </c>
    </row>
    <row r="4207">
      <c r="A4207" s="5" t="s">
        <v>2607</v>
      </c>
      <c r="B4207" s="8">
        <v>7.0</v>
      </c>
      <c r="C4207" s="7" t="s">
        <v>274</v>
      </c>
      <c r="D4207" s="7" t="s">
        <v>1424</v>
      </c>
      <c r="E4207" s="5" t="s">
        <v>3470</v>
      </c>
      <c r="F4207" s="5" t="s">
        <v>780</v>
      </c>
    </row>
    <row r="4208">
      <c r="A4208" s="7" t="s">
        <v>876</v>
      </c>
      <c r="B4208" s="8">
        <v>7.0</v>
      </c>
      <c r="C4208" s="7" t="s">
        <v>274</v>
      </c>
      <c r="D4208" s="7" t="s">
        <v>1424</v>
      </c>
      <c r="E4208" s="5" t="s">
        <v>3470</v>
      </c>
      <c r="F4208" s="5" t="s">
        <v>3479</v>
      </c>
    </row>
    <row r="4209">
      <c r="A4209" s="5" t="s">
        <v>3092</v>
      </c>
      <c r="B4209" s="8">
        <v>7.0</v>
      </c>
      <c r="C4209" s="7" t="s">
        <v>274</v>
      </c>
      <c r="D4209" s="7" t="s">
        <v>1424</v>
      </c>
      <c r="E4209" s="5" t="s">
        <v>3470</v>
      </c>
      <c r="F4209" s="5" t="s">
        <v>780</v>
      </c>
    </row>
    <row r="4210">
      <c r="A4210" s="5" t="s">
        <v>2614</v>
      </c>
      <c r="B4210" s="8">
        <v>7.0</v>
      </c>
      <c r="C4210" s="7" t="s">
        <v>274</v>
      </c>
      <c r="D4210" s="7" t="s">
        <v>1424</v>
      </c>
      <c r="E4210" s="5" t="s">
        <v>3470</v>
      </c>
      <c r="F4210" s="7" t="s">
        <v>1105</v>
      </c>
    </row>
    <row r="4211">
      <c r="A4211" s="5" t="s">
        <v>2608</v>
      </c>
      <c r="B4211" s="8">
        <v>7.0</v>
      </c>
      <c r="C4211" s="7" t="s">
        <v>274</v>
      </c>
      <c r="D4211" s="7" t="s">
        <v>1424</v>
      </c>
      <c r="E4211" s="5" t="s">
        <v>3470</v>
      </c>
      <c r="F4211" s="5" t="s">
        <v>780</v>
      </c>
    </row>
    <row r="4212">
      <c r="A4212" s="5" t="s">
        <v>2609</v>
      </c>
      <c r="B4212" s="8">
        <v>7.0</v>
      </c>
      <c r="C4212" s="7" t="s">
        <v>274</v>
      </c>
      <c r="D4212" s="7" t="s">
        <v>1424</v>
      </c>
      <c r="E4212" s="5" t="s">
        <v>3470</v>
      </c>
      <c r="F4212" s="5" t="s">
        <v>780</v>
      </c>
    </row>
    <row r="4213">
      <c r="A4213" s="5" t="s">
        <v>2594</v>
      </c>
      <c r="B4213" s="8">
        <v>7.0</v>
      </c>
      <c r="C4213" s="7" t="s">
        <v>1146</v>
      </c>
      <c r="D4213" s="7" t="s">
        <v>1440</v>
      </c>
      <c r="E4213" s="5" t="s">
        <v>3480</v>
      </c>
      <c r="F4213" s="5" t="s">
        <v>3104</v>
      </c>
    </row>
    <row r="4214">
      <c r="A4214" s="5" t="s">
        <v>3087</v>
      </c>
      <c r="B4214" s="8">
        <v>7.0</v>
      </c>
      <c r="C4214" s="7" t="s">
        <v>1146</v>
      </c>
      <c r="D4214" s="7" t="s">
        <v>1440</v>
      </c>
      <c r="E4214" s="5" t="s">
        <v>3480</v>
      </c>
      <c r="F4214" s="5" t="s">
        <v>3481</v>
      </c>
    </row>
    <row r="4215">
      <c r="A4215" s="7" t="s">
        <v>188</v>
      </c>
      <c r="B4215" s="8">
        <v>7.0</v>
      </c>
      <c r="C4215" s="7" t="s">
        <v>309</v>
      </c>
      <c r="D4215" s="5" t="s">
        <v>2875</v>
      </c>
      <c r="E4215" s="5" t="s">
        <v>2876</v>
      </c>
      <c r="F4215" s="5" t="s">
        <v>3149</v>
      </c>
    </row>
    <row r="4216">
      <c r="A4216" s="5" t="s">
        <v>2592</v>
      </c>
      <c r="B4216" s="8">
        <v>7.0</v>
      </c>
      <c r="C4216" s="7" t="s">
        <v>309</v>
      </c>
      <c r="D4216" s="5" t="s">
        <v>2875</v>
      </c>
      <c r="E4216" s="5" t="s">
        <v>2876</v>
      </c>
      <c r="F4216" s="5" t="s">
        <v>238</v>
      </c>
    </row>
    <row r="4217">
      <c r="A4217" s="5" t="s">
        <v>2796</v>
      </c>
      <c r="B4217" s="8">
        <v>7.0</v>
      </c>
      <c r="C4217" s="7" t="s">
        <v>309</v>
      </c>
      <c r="D4217" s="5" t="s">
        <v>2875</v>
      </c>
      <c r="E4217" s="5" t="s">
        <v>2876</v>
      </c>
      <c r="F4217" s="5" t="s">
        <v>273</v>
      </c>
    </row>
    <row r="4218">
      <c r="A4218" s="5" t="s">
        <v>2594</v>
      </c>
      <c r="B4218" s="8">
        <v>7.0</v>
      </c>
      <c r="C4218" s="7" t="s">
        <v>309</v>
      </c>
      <c r="D4218" s="5" t="s">
        <v>2875</v>
      </c>
      <c r="E4218" s="5" t="s">
        <v>2876</v>
      </c>
      <c r="F4218" s="5" t="s">
        <v>271</v>
      </c>
    </row>
    <row r="4219">
      <c r="A4219" s="5" t="s">
        <v>3086</v>
      </c>
      <c r="B4219" s="8">
        <v>7.0</v>
      </c>
      <c r="C4219" s="7" t="s">
        <v>309</v>
      </c>
      <c r="D4219" s="5" t="s">
        <v>2875</v>
      </c>
      <c r="E4219" s="5" t="s">
        <v>2876</v>
      </c>
      <c r="F4219" s="5" t="s">
        <v>3222</v>
      </c>
    </row>
    <row r="4220">
      <c r="A4220" s="7" t="s">
        <v>868</v>
      </c>
      <c r="B4220" s="8">
        <v>7.0</v>
      </c>
      <c r="C4220" s="7" t="s">
        <v>309</v>
      </c>
      <c r="D4220" s="5" t="s">
        <v>2875</v>
      </c>
      <c r="E4220" s="5" t="s">
        <v>2876</v>
      </c>
      <c r="F4220" s="5" t="s">
        <v>271</v>
      </c>
    </row>
    <row r="4221">
      <c r="A4221" s="5" t="s">
        <v>3087</v>
      </c>
      <c r="B4221" s="8">
        <v>7.0</v>
      </c>
      <c r="C4221" s="7" t="s">
        <v>309</v>
      </c>
      <c r="D4221" s="5" t="s">
        <v>2875</v>
      </c>
      <c r="E4221" s="5" t="s">
        <v>2876</v>
      </c>
      <c r="F4221" s="5" t="s">
        <v>238</v>
      </c>
    </row>
    <row r="4222">
      <c r="A4222" s="5" t="s">
        <v>3088</v>
      </c>
      <c r="B4222" s="8">
        <v>7.0</v>
      </c>
      <c r="C4222" s="7" t="s">
        <v>309</v>
      </c>
      <c r="D4222" s="5" t="s">
        <v>2875</v>
      </c>
      <c r="E4222" s="5" t="s">
        <v>2876</v>
      </c>
      <c r="F4222" s="5" t="s">
        <v>3279</v>
      </c>
    </row>
    <row r="4223">
      <c r="A4223" s="5" t="s">
        <v>3388</v>
      </c>
      <c r="B4223" s="8">
        <v>7.0</v>
      </c>
      <c r="C4223" s="7" t="s">
        <v>309</v>
      </c>
      <c r="D4223" s="5" t="s">
        <v>2875</v>
      </c>
      <c r="E4223" s="5" t="s">
        <v>2876</v>
      </c>
      <c r="F4223" s="5" t="s">
        <v>271</v>
      </c>
    </row>
    <row r="4224">
      <c r="A4224" s="5" t="s">
        <v>2595</v>
      </c>
      <c r="B4224" s="8">
        <v>7.0</v>
      </c>
      <c r="C4224" s="7" t="s">
        <v>309</v>
      </c>
      <c r="D4224" s="5" t="s">
        <v>2875</v>
      </c>
      <c r="E4224" s="5" t="s">
        <v>2876</v>
      </c>
      <c r="F4224" s="5" t="s">
        <v>238</v>
      </c>
    </row>
    <row r="4225">
      <c r="A4225" s="5" t="s">
        <v>3089</v>
      </c>
      <c r="B4225" s="8">
        <v>7.0</v>
      </c>
      <c r="C4225" s="7" t="s">
        <v>309</v>
      </c>
      <c r="D4225" s="5" t="s">
        <v>2875</v>
      </c>
      <c r="E4225" s="5" t="s">
        <v>2876</v>
      </c>
      <c r="F4225" s="5" t="s">
        <v>271</v>
      </c>
    </row>
    <row r="4226">
      <c r="A4226" s="5" t="s">
        <v>2597</v>
      </c>
      <c r="B4226" s="8">
        <v>7.0</v>
      </c>
      <c r="C4226" s="7" t="s">
        <v>309</v>
      </c>
      <c r="D4226" s="5" t="s">
        <v>2875</v>
      </c>
      <c r="E4226" s="5" t="s">
        <v>2876</v>
      </c>
      <c r="F4226" s="5" t="s">
        <v>238</v>
      </c>
    </row>
    <row r="4227">
      <c r="A4227" s="7" t="s">
        <v>8</v>
      </c>
      <c r="B4227" s="8">
        <v>7.0</v>
      </c>
      <c r="C4227" s="7" t="s">
        <v>309</v>
      </c>
      <c r="D4227" s="5" t="s">
        <v>2875</v>
      </c>
      <c r="E4227" s="5" t="s">
        <v>2876</v>
      </c>
      <c r="F4227" s="5" t="s">
        <v>238</v>
      </c>
    </row>
    <row r="4228">
      <c r="A4228" s="5" t="s">
        <v>2798</v>
      </c>
      <c r="B4228" s="8">
        <v>7.0</v>
      </c>
      <c r="C4228" s="7" t="s">
        <v>309</v>
      </c>
      <c r="D4228" s="5" t="s">
        <v>2875</v>
      </c>
      <c r="E4228" s="5" t="s">
        <v>2876</v>
      </c>
      <c r="F4228" s="5" t="s">
        <v>3482</v>
      </c>
    </row>
    <row r="4229">
      <c r="A4229" s="5" t="s">
        <v>2702</v>
      </c>
      <c r="B4229" s="8">
        <v>7.0</v>
      </c>
      <c r="C4229" s="7" t="s">
        <v>309</v>
      </c>
      <c r="D4229" s="5" t="s">
        <v>2875</v>
      </c>
      <c r="E4229" s="5" t="s">
        <v>2876</v>
      </c>
      <c r="F4229" s="5" t="s">
        <v>271</v>
      </c>
    </row>
    <row r="4230">
      <c r="A4230" s="5" t="s">
        <v>2599</v>
      </c>
      <c r="B4230" s="8">
        <v>7.0</v>
      </c>
      <c r="C4230" s="7" t="s">
        <v>309</v>
      </c>
      <c r="D4230" s="5" t="s">
        <v>2875</v>
      </c>
      <c r="E4230" s="5" t="s">
        <v>2876</v>
      </c>
      <c r="F4230" s="5" t="s">
        <v>238</v>
      </c>
    </row>
    <row r="4231">
      <c r="A4231" s="5" t="s">
        <v>2600</v>
      </c>
      <c r="B4231" s="8">
        <v>7.0</v>
      </c>
      <c r="C4231" s="7" t="s">
        <v>309</v>
      </c>
      <c r="D4231" s="5" t="s">
        <v>2875</v>
      </c>
      <c r="E4231" s="5" t="s">
        <v>2876</v>
      </c>
      <c r="F4231" s="5" t="s">
        <v>271</v>
      </c>
    </row>
    <row r="4232">
      <c r="A4232" s="5" t="s">
        <v>3090</v>
      </c>
      <c r="B4232" s="8">
        <v>7.0</v>
      </c>
      <c r="C4232" s="7" t="s">
        <v>309</v>
      </c>
      <c r="D4232" s="5" t="s">
        <v>2875</v>
      </c>
      <c r="E4232" s="5" t="s">
        <v>2876</v>
      </c>
      <c r="F4232" s="5" t="s">
        <v>271</v>
      </c>
    </row>
    <row r="4233">
      <c r="A4233" s="7" t="s">
        <v>873</v>
      </c>
      <c r="B4233" s="8">
        <v>7.0</v>
      </c>
      <c r="C4233" s="7" t="s">
        <v>309</v>
      </c>
      <c r="D4233" s="5" t="s">
        <v>2875</v>
      </c>
      <c r="E4233" s="5" t="s">
        <v>2876</v>
      </c>
      <c r="F4233" s="5" t="s">
        <v>238</v>
      </c>
    </row>
    <row r="4234">
      <c r="A4234" s="5" t="s">
        <v>2602</v>
      </c>
      <c r="B4234" s="8">
        <v>7.0</v>
      </c>
      <c r="C4234" s="7" t="s">
        <v>309</v>
      </c>
      <c r="D4234" s="5" t="s">
        <v>2875</v>
      </c>
      <c r="E4234" s="5" t="s">
        <v>2876</v>
      </c>
      <c r="F4234" s="5" t="s">
        <v>3483</v>
      </c>
    </row>
    <row r="4235">
      <c r="A4235" s="5" t="s">
        <v>2603</v>
      </c>
      <c r="B4235" s="8">
        <v>7.0</v>
      </c>
      <c r="C4235" s="7" t="s">
        <v>309</v>
      </c>
      <c r="D4235" s="5" t="s">
        <v>2875</v>
      </c>
      <c r="E4235" s="5" t="s">
        <v>2876</v>
      </c>
      <c r="F4235" s="5" t="s">
        <v>3484</v>
      </c>
    </row>
    <row r="4236">
      <c r="A4236" s="7" t="s">
        <v>874</v>
      </c>
      <c r="B4236" s="8">
        <v>7.0</v>
      </c>
      <c r="C4236" s="7" t="s">
        <v>309</v>
      </c>
      <c r="D4236" s="5" t="s">
        <v>2875</v>
      </c>
      <c r="E4236" s="5" t="s">
        <v>2876</v>
      </c>
      <c r="F4236" s="5" t="s">
        <v>271</v>
      </c>
    </row>
    <row r="4237">
      <c r="A4237" s="5" t="s">
        <v>2604</v>
      </c>
      <c r="B4237" s="8">
        <v>7.0</v>
      </c>
      <c r="C4237" s="7" t="s">
        <v>309</v>
      </c>
      <c r="D4237" s="5" t="s">
        <v>2875</v>
      </c>
      <c r="E4237" s="5" t="s">
        <v>2876</v>
      </c>
      <c r="F4237" s="5" t="s">
        <v>271</v>
      </c>
    </row>
    <row r="4238">
      <c r="A4238" s="5" t="s">
        <v>3091</v>
      </c>
      <c r="B4238" s="8">
        <v>7.0</v>
      </c>
      <c r="C4238" s="7" t="s">
        <v>309</v>
      </c>
      <c r="D4238" s="5" t="s">
        <v>2875</v>
      </c>
      <c r="E4238" s="5" t="s">
        <v>2876</v>
      </c>
      <c r="F4238" s="5" t="s">
        <v>271</v>
      </c>
    </row>
    <row r="4239">
      <c r="A4239" s="5" t="s">
        <v>2605</v>
      </c>
      <c r="B4239" s="8">
        <v>7.0</v>
      </c>
      <c r="C4239" s="7" t="s">
        <v>309</v>
      </c>
      <c r="D4239" s="5" t="s">
        <v>2875</v>
      </c>
      <c r="E4239" s="5" t="s">
        <v>2876</v>
      </c>
      <c r="F4239" s="5" t="s">
        <v>271</v>
      </c>
    </row>
    <row r="4240">
      <c r="A4240" s="5" t="s">
        <v>2933</v>
      </c>
      <c r="B4240" s="8">
        <v>7.0</v>
      </c>
      <c r="C4240" s="7" t="s">
        <v>309</v>
      </c>
      <c r="D4240" s="5" t="s">
        <v>2875</v>
      </c>
      <c r="E4240" s="5" t="s">
        <v>2876</v>
      </c>
      <c r="F4240" s="5" t="s">
        <v>238</v>
      </c>
    </row>
    <row r="4241">
      <c r="A4241" s="5" t="s">
        <v>2606</v>
      </c>
      <c r="B4241" s="8">
        <v>7.0</v>
      </c>
      <c r="C4241" s="7" t="s">
        <v>309</v>
      </c>
      <c r="D4241" s="5" t="s">
        <v>2875</v>
      </c>
      <c r="E4241" s="5" t="s">
        <v>2876</v>
      </c>
      <c r="F4241" s="5" t="s">
        <v>238</v>
      </c>
    </row>
    <row r="4242">
      <c r="A4242" s="5" t="s">
        <v>2934</v>
      </c>
      <c r="B4242" s="8">
        <v>7.0</v>
      </c>
      <c r="C4242" s="7" t="s">
        <v>309</v>
      </c>
      <c r="D4242" s="5" t="s">
        <v>2875</v>
      </c>
      <c r="E4242" s="5" t="s">
        <v>2876</v>
      </c>
      <c r="F4242" s="5" t="s">
        <v>273</v>
      </c>
    </row>
    <row r="4243">
      <c r="A4243" s="5" t="s">
        <v>2607</v>
      </c>
      <c r="B4243" s="8">
        <v>7.0</v>
      </c>
      <c r="C4243" s="7" t="s">
        <v>309</v>
      </c>
      <c r="D4243" s="5" t="s">
        <v>2875</v>
      </c>
      <c r="E4243" s="5" t="s">
        <v>2876</v>
      </c>
      <c r="F4243" s="5" t="s">
        <v>238</v>
      </c>
    </row>
    <row r="4244">
      <c r="A4244" s="7" t="s">
        <v>876</v>
      </c>
      <c r="B4244" s="8">
        <v>7.0</v>
      </c>
      <c r="C4244" s="7" t="s">
        <v>309</v>
      </c>
      <c r="D4244" s="5" t="s">
        <v>2875</v>
      </c>
      <c r="E4244" s="5" t="s">
        <v>2876</v>
      </c>
      <c r="F4244" s="5" t="s">
        <v>273</v>
      </c>
    </row>
    <row r="4245">
      <c r="A4245" s="5" t="s">
        <v>3092</v>
      </c>
      <c r="B4245" s="8">
        <v>7.0</v>
      </c>
      <c r="C4245" s="7" t="s">
        <v>309</v>
      </c>
      <c r="D4245" s="5" t="s">
        <v>2875</v>
      </c>
      <c r="E4245" s="5" t="s">
        <v>2876</v>
      </c>
      <c r="F4245" s="5" t="s">
        <v>238</v>
      </c>
    </row>
    <row r="4246">
      <c r="A4246" s="5" t="s">
        <v>2614</v>
      </c>
      <c r="B4246" s="8">
        <v>7.0</v>
      </c>
      <c r="C4246" s="7" t="s">
        <v>309</v>
      </c>
      <c r="D4246" s="5" t="s">
        <v>2875</v>
      </c>
      <c r="E4246" s="5" t="s">
        <v>2876</v>
      </c>
      <c r="F4246" s="5" t="s">
        <v>238</v>
      </c>
    </row>
    <row r="4247">
      <c r="A4247" s="5" t="s">
        <v>2608</v>
      </c>
      <c r="B4247" s="8">
        <v>7.0</v>
      </c>
      <c r="C4247" s="7" t="s">
        <v>309</v>
      </c>
      <c r="D4247" s="5" t="s">
        <v>2875</v>
      </c>
      <c r="E4247" s="5" t="s">
        <v>2876</v>
      </c>
      <c r="F4247" s="5" t="s">
        <v>238</v>
      </c>
    </row>
    <row r="4248">
      <c r="A4248" s="5" t="s">
        <v>2609</v>
      </c>
      <c r="B4248" s="8">
        <v>7.0</v>
      </c>
      <c r="C4248" s="7" t="s">
        <v>309</v>
      </c>
      <c r="D4248" s="5" t="s">
        <v>2875</v>
      </c>
      <c r="E4248" s="5" t="s">
        <v>2876</v>
      </c>
      <c r="F4248" s="5" t="s">
        <v>238</v>
      </c>
    </row>
    <row r="4249">
      <c r="A4249" s="7" t="s">
        <v>188</v>
      </c>
      <c r="B4249" s="8">
        <v>7.0</v>
      </c>
      <c r="C4249" s="7" t="s">
        <v>314</v>
      </c>
      <c r="D4249" s="7" t="s">
        <v>1447</v>
      </c>
      <c r="E4249" s="5" t="s">
        <v>1448</v>
      </c>
      <c r="F4249" s="5" t="s">
        <v>3229</v>
      </c>
    </row>
    <row r="4250">
      <c r="A4250" s="5" t="s">
        <v>2592</v>
      </c>
      <c r="B4250" s="8">
        <v>7.0</v>
      </c>
      <c r="C4250" s="7" t="s">
        <v>314</v>
      </c>
      <c r="D4250" s="7" t="s">
        <v>1447</v>
      </c>
      <c r="E4250" s="5" t="s">
        <v>1448</v>
      </c>
      <c r="F4250" s="5" t="s">
        <v>780</v>
      </c>
    </row>
    <row r="4251">
      <c r="A4251" s="5" t="s">
        <v>2796</v>
      </c>
      <c r="B4251" s="8">
        <v>7.0</v>
      </c>
      <c r="C4251" s="7" t="s">
        <v>314</v>
      </c>
      <c r="D4251" s="7" t="s">
        <v>1447</v>
      </c>
      <c r="E4251" s="5" t="s">
        <v>1448</v>
      </c>
      <c r="F4251" s="5" t="s">
        <v>2398</v>
      </c>
    </row>
    <row r="4252">
      <c r="A4252" s="5" t="s">
        <v>2594</v>
      </c>
      <c r="B4252" s="8">
        <v>7.0</v>
      </c>
      <c r="C4252" s="7" t="s">
        <v>314</v>
      </c>
      <c r="D4252" s="7" t="s">
        <v>1447</v>
      </c>
      <c r="E4252" s="5" t="s">
        <v>1448</v>
      </c>
      <c r="F4252" s="7" t="s">
        <v>1159</v>
      </c>
    </row>
    <row r="4253">
      <c r="A4253" s="5" t="s">
        <v>3086</v>
      </c>
      <c r="B4253" s="8">
        <v>7.0</v>
      </c>
      <c r="C4253" s="7" t="s">
        <v>314</v>
      </c>
      <c r="D4253" s="7" t="s">
        <v>1447</v>
      </c>
      <c r="E4253" s="5" t="s">
        <v>1448</v>
      </c>
      <c r="F4253" s="5" t="s">
        <v>3230</v>
      </c>
    </row>
    <row r="4254">
      <c r="A4254" s="7" t="s">
        <v>868</v>
      </c>
      <c r="B4254" s="8">
        <v>7.0</v>
      </c>
      <c r="C4254" s="7" t="s">
        <v>314</v>
      </c>
      <c r="D4254" s="7" t="s">
        <v>1447</v>
      </c>
      <c r="E4254" s="5" t="s">
        <v>1448</v>
      </c>
      <c r="F4254" s="5" t="s">
        <v>2398</v>
      </c>
    </row>
    <row r="4255">
      <c r="A4255" s="5" t="s">
        <v>3087</v>
      </c>
      <c r="B4255" s="8">
        <v>7.0</v>
      </c>
      <c r="C4255" s="7" t="s">
        <v>314</v>
      </c>
      <c r="D4255" s="7" t="s">
        <v>1447</v>
      </c>
      <c r="E4255" s="5" t="s">
        <v>1448</v>
      </c>
      <c r="F4255" s="5" t="s">
        <v>780</v>
      </c>
    </row>
    <row r="4256">
      <c r="A4256" s="5" t="s">
        <v>3088</v>
      </c>
      <c r="B4256" s="8">
        <v>7.0</v>
      </c>
      <c r="C4256" s="7" t="s">
        <v>314</v>
      </c>
      <c r="D4256" s="7" t="s">
        <v>1447</v>
      </c>
      <c r="E4256" s="5" t="s">
        <v>1448</v>
      </c>
      <c r="F4256" s="5" t="s">
        <v>3281</v>
      </c>
    </row>
    <row r="4257">
      <c r="A4257" s="5" t="s">
        <v>3388</v>
      </c>
      <c r="B4257" s="8">
        <v>7.0</v>
      </c>
      <c r="C4257" s="7" t="s">
        <v>314</v>
      </c>
      <c r="D4257" s="7" t="s">
        <v>1447</v>
      </c>
      <c r="E4257" s="5" t="s">
        <v>1448</v>
      </c>
      <c r="F4257" s="5" t="s">
        <v>1664</v>
      </c>
    </row>
    <row r="4258">
      <c r="A4258" s="5" t="s">
        <v>2595</v>
      </c>
      <c r="B4258" s="8">
        <v>7.0</v>
      </c>
      <c r="C4258" s="7" t="s">
        <v>314</v>
      </c>
      <c r="D4258" s="7" t="s">
        <v>1447</v>
      </c>
      <c r="E4258" s="5" t="s">
        <v>1448</v>
      </c>
      <c r="F4258" s="5" t="s">
        <v>3485</v>
      </c>
    </row>
    <row r="4259">
      <c r="A4259" s="5" t="s">
        <v>3089</v>
      </c>
      <c r="B4259" s="8">
        <v>7.0</v>
      </c>
      <c r="C4259" s="7" t="s">
        <v>314</v>
      </c>
      <c r="D4259" s="7" t="s">
        <v>1447</v>
      </c>
      <c r="E4259" s="5" t="s">
        <v>1448</v>
      </c>
      <c r="F4259" s="5" t="s">
        <v>3233</v>
      </c>
    </row>
    <row r="4260">
      <c r="A4260" s="5" t="s">
        <v>2597</v>
      </c>
      <c r="B4260" s="8">
        <v>7.0</v>
      </c>
      <c r="C4260" s="7" t="s">
        <v>314</v>
      </c>
      <c r="D4260" s="7" t="s">
        <v>1447</v>
      </c>
      <c r="E4260" s="5" t="s">
        <v>1448</v>
      </c>
      <c r="F4260" s="5" t="s">
        <v>3282</v>
      </c>
    </row>
    <row r="4261">
      <c r="A4261" s="7" t="s">
        <v>8</v>
      </c>
      <c r="B4261" s="8">
        <v>7.0</v>
      </c>
      <c r="C4261" s="7" t="s">
        <v>314</v>
      </c>
      <c r="D4261" s="7" t="s">
        <v>1447</v>
      </c>
      <c r="E4261" s="5" t="s">
        <v>1448</v>
      </c>
      <c r="F4261" s="7" t="s">
        <v>1428</v>
      </c>
    </row>
    <row r="4262">
      <c r="A4262" s="5" t="s">
        <v>2798</v>
      </c>
      <c r="B4262" s="8">
        <v>7.0</v>
      </c>
      <c r="C4262" s="7" t="s">
        <v>314</v>
      </c>
      <c r="D4262" s="7" t="s">
        <v>1447</v>
      </c>
      <c r="E4262" s="5" t="s">
        <v>1448</v>
      </c>
      <c r="F4262" s="5" t="s">
        <v>3486</v>
      </c>
    </row>
    <row r="4263">
      <c r="A4263" s="5" t="s">
        <v>2702</v>
      </c>
      <c r="B4263" s="8">
        <v>7.0</v>
      </c>
      <c r="C4263" s="7" t="s">
        <v>314</v>
      </c>
      <c r="D4263" s="7" t="s">
        <v>1447</v>
      </c>
      <c r="E4263" s="5" t="s">
        <v>1448</v>
      </c>
      <c r="F4263" s="5" t="s">
        <v>3229</v>
      </c>
    </row>
    <row r="4264">
      <c r="A4264" s="5" t="s">
        <v>2599</v>
      </c>
      <c r="B4264" s="8">
        <v>7.0</v>
      </c>
      <c r="C4264" s="7" t="s">
        <v>314</v>
      </c>
      <c r="D4264" s="7" t="s">
        <v>1447</v>
      </c>
      <c r="E4264" s="5" t="s">
        <v>1448</v>
      </c>
      <c r="F4264" s="5" t="s">
        <v>3474</v>
      </c>
    </row>
    <row r="4265">
      <c r="A4265" s="5" t="s">
        <v>2600</v>
      </c>
      <c r="B4265" s="8">
        <v>7.0</v>
      </c>
      <c r="C4265" s="7" t="s">
        <v>314</v>
      </c>
      <c r="D4265" s="7" t="s">
        <v>1447</v>
      </c>
      <c r="E4265" s="5" t="s">
        <v>1448</v>
      </c>
      <c r="F4265" s="5" t="s">
        <v>3355</v>
      </c>
    </row>
    <row r="4266">
      <c r="A4266" s="5" t="s">
        <v>3090</v>
      </c>
      <c r="B4266" s="8">
        <v>7.0</v>
      </c>
      <c r="C4266" s="7" t="s">
        <v>314</v>
      </c>
      <c r="D4266" s="7" t="s">
        <v>1447</v>
      </c>
      <c r="E4266" s="5" t="s">
        <v>1448</v>
      </c>
      <c r="F4266" s="5" t="s">
        <v>1431</v>
      </c>
    </row>
    <row r="4267">
      <c r="A4267" s="7" t="s">
        <v>873</v>
      </c>
      <c r="B4267" s="8">
        <v>7.0</v>
      </c>
      <c r="C4267" s="7" t="s">
        <v>314</v>
      </c>
      <c r="D4267" s="7" t="s">
        <v>1447</v>
      </c>
      <c r="E4267" s="5" t="s">
        <v>1448</v>
      </c>
      <c r="F4267" s="5" t="s">
        <v>3475</v>
      </c>
    </row>
    <row r="4268">
      <c r="A4268" s="5" t="s">
        <v>2602</v>
      </c>
      <c r="B4268" s="8">
        <v>7.0</v>
      </c>
      <c r="C4268" s="7" t="s">
        <v>314</v>
      </c>
      <c r="D4268" s="7" t="s">
        <v>1447</v>
      </c>
      <c r="E4268" s="5" t="s">
        <v>1448</v>
      </c>
      <c r="F4268" s="5" t="s">
        <v>3487</v>
      </c>
    </row>
    <row r="4269">
      <c r="A4269" s="5" t="s">
        <v>2603</v>
      </c>
      <c r="B4269" s="8">
        <v>7.0</v>
      </c>
      <c r="C4269" s="7" t="s">
        <v>314</v>
      </c>
      <c r="D4269" s="7" t="s">
        <v>1447</v>
      </c>
      <c r="E4269" s="5" t="s">
        <v>1448</v>
      </c>
      <c r="F4269" s="5" t="s">
        <v>3488</v>
      </c>
    </row>
    <row r="4270">
      <c r="A4270" s="7" t="s">
        <v>874</v>
      </c>
      <c r="B4270" s="8">
        <v>7.0</v>
      </c>
      <c r="C4270" s="7" t="s">
        <v>314</v>
      </c>
      <c r="D4270" s="7" t="s">
        <v>1447</v>
      </c>
      <c r="E4270" s="5" t="s">
        <v>1448</v>
      </c>
      <c r="F4270" s="5" t="s">
        <v>3478</v>
      </c>
    </row>
    <row r="4271">
      <c r="A4271" s="5" t="s">
        <v>2604</v>
      </c>
      <c r="B4271" s="8">
        <v>7.0</v>
      </c>
      <c r="C4271" s="7" t="s">
        <v>314</v>
      </c>
      <c r="D4271" s="7" t="s">
        <v>1447</v>
      </c>
      <c r="E4271" s="5" t="s">
        <v>1448</v>
      </c>
      <c r="F4271" s="5" t="s">
        <v>780</v>
      </c>
    </row>
    <row r="4272">
      <c r="A4272" s="5" t="s">
        <v>3091</v>
      </c>
      <c r="B4272" s="8">
        <v>7.0</v>
      </c>
      <c r="C4272" s="7" t="s">
        <v>314</v>
      </c>
      <c r="D4272" s="7" t="s">
        <v>1447</v>
      </c>
      <c r="E4272" s="5" t="s">
        <v>1448</v>
      </c>
      <c r="F4272" s="5" t="s">
        <v>1361</v>
      </c>
    </row>
    <row r="4273">
      <c r="A4273" s="5" t="s">
        <v>2605</v>
      </c>
      <c r="B4273" s="8">
        <v>7.0</v>
      </c>
      <c r="C4273" s="7" t="s">
        <v>314</v>
      </c>
      <c r="D4273" s="7" t="s">
        <v>1447</v>
      </c>
      <c r="E4273" s="5" t="s">
        <v>1448</v>
      </c>
      <c r="F4273" s="5" t="s">
        <v>3239</v>
      </c>
    </row>
    <row r="4274">
      <c r="A4274" s="5" t="s">
        <v>2933</v>
      </c>
      <c r="B4274" s="8">
        <v>7.0</v>
      </c>
      <c r="C4274" s="7" t="s">
        <v>314</v>
      </c>
      <c r="D4274" s="7" t="s">
        <v>1447</v>
      </c>
      <c r="E4274" s="5" t="s">
        <v>1448</v>
      </c>
      <c r="F4274" s="7" t="s">
        <v>1436</v>
      </c>
    </row>
    <row r="4275">
      <c r="A4275" s="5" t="s">
        <v>2606</v>
      </c>
      <c r="B4275" s="8">
        <v>7.0</v>
      </c>
      <c r="C4275" s="7" t="s">
        <v>314</v>
      </c>
      <c r="D4275" s="7" t="s">
        <v>1447</v>
      </c>
      <c r="E4275" s="5" t="s">
        <v>1448</v>
      </c>
      <c r="F4275" s="5" t="s">
        <v>780</v>
      </c>
    </row>
    <row r="4276">
      <c r="A4276" s="5" t="s">
        <v>2934</v>
      </c>
      <c r="B4276" s="8">
        <v>7.0</v>
      </c>
      <c r="C4276" s="7" t="s">
        <v>314</v>
      </c>
      <c r="D4276" s="7" t="s">
        <v>1447</v>
      </c>
      <c r="E4276" s="5" t="s">
        <v>1448</v>
      </c>
      <c r="F4276" s="5" t="s">
        <v>780</v>
      </c>
    </row>
    <row r="4277">
      <c r="A4277" s="5" t="s">
        <v>2607</v>
      </c>
      <c r="B4277" s="8">
        <v>7.0</v>
      </c>
      <c r="C4277" s="7" t="s">
        <v>314</v>
      </c>
      <c r="D4277" s="7" t="s">
        <v>1447</v>
      </c>
      <c r="E4277" s="5" t="s">
        <v>1448</v>
      </c>
      <c r="F4277" s="5" t="s">
        <v>780</v>
      </c>
    </row>
    <row r="4278">
      <c r="A4278" s="7" t="s">
        <v>876</v>
      </c>
      <c r="B4278" s="8">
        <v>7.0</v>
      </c>
      <c r="C4278" s="7" t="s">
        <v>314</v>
      </c>
      <c r="D4278" s="7" t="s">
        <v>1447</v>
      </c>
      <c r="E4278" s="5" t="s">
        <v>1448</v>
      </c>
      <c r="F4278" s="5" t="s">
        <v>3239</v>
      </c>
    </row>
    <row r="4279">
      <c r="A4279" s="5" t="s">
        <v>3092</v>
      </c>
      <c r="B4279" s="8">
        <v>7.0</v>
      </c>
      <c r="C4279" s="7" t="s">
        <v>314</v>
      </c>
      <c r="D4279" s="7" t="s">
        <v>1447</v>
      </c>
      <c r="E4279" s="5" t="s">
        <v>1448</v>
      </c>
      <c r="F4279" s="5" t="s">
        <v>780</v>
      </c>
    </row>
    <row r="4280">
      <c r="A4280" s="5" t="s">
        <v>2614</v>
      </c>
      <c r="B4280" s="8">
        <v>7.0</v>
      </c>
      <c r="C4280" s="7" t="s">
        <v>314</v>
      </c>
      <c r="D4280" s="7" t="s">
        <v>1447</v>
      </c>
      <c r="E4280" s="5" t="s">
        <v>1448</v>
      </c>
      <c r="F4280" s="7" t="s">
        <v>1105</v>
      </c>
    </row>
    <row r="4281">
      <c r="A4281" s="5" t="s">
        <v>2608</v>
      </c>
      <c r="B4281" s="8">
        <v>7.0</v>
      </c>
      <c r="C4281" s="7" t="s">
        <v>314</v>
      </c>
      <c r="D4281" s="7" t="s">
        <v>1447</v>
      </c>
      <c r="E4281" s="5" t="s">
        <v>1448</v>
      </c>
      <c r="F4281" s="5" t="s">
        <v>780</v>
      </c>
    </row>
    <row r="4282">
      <c r="A4282" s="5" t="s">
        <v>2609</v>
      </c>
      <c r="B4282" s="8">
        <v>7.0</v>
      </c>
      <c r="C4282" s="7" t="s">
        <v>314</v>
      </c>
      <c r="D4282" s="7" t="s">
        <v>1447</v>
      </c>
      <c r="E4282" s="5" t="s">
        <v>1448</v>
      </c>
      <c r="F4282" s="5" t="s">
        <v>780</v>
      </c>
    </row>
    <row r="4283">
      <c r="A4283" s="7" t="s">
        <v>188</v>
      </c>
      <c r="B4283" s="8">
        <v>7.0</v>
      </c>
      <c r="C4283" s="7" t="s">
        <v>1453</v>
      </c>
      <c r="D4283" s="7" t="s">
        <v>1454</v>
      </c>
      <c r="E4283" s="7" t="s">
        <v>1455</v>
      </c>
      <c r="F4283" s="5" t="s">
        <v>3149</v>
      </c>
    </row>
    <row r="4284">
      <c r="A4284" s="5" t="s">
        <v>2592</v>
      </c>
      <c r="B4284" s="8">
        <v>7.0</v>
      </c>
      <c r="C4284" s="7" t="s">
        <v>1453</v>
      </c>
      <c r="D4284" s="7" t="s">
        <v>1454</v>
      </c>
      <c r="E4284" s="7" t="s">
        <v>1455</v>
      </c>
      <c r="F4284" s="5" t="s">
        <v>238</v>
      </c>
    </row>
    <row r="4285">
      <c r="A4285" s="5" t="s">
        <v>2796</v>
      </c>
      <c r="B4285" s="8">
        <v>7.0</v>
      </c>
      <c r="C4285" s="7" t="s">
        <v>1453</v>
      </c>
      <c r="D4285" s="7" t="s">
        <v>1454</v>
      </c>
      <c r="E4285" s="7" t="s">
        <v>1455</v>
      </c>
      <c r="F4285" s="5" t="s">
        <v>273</v>
      </c>
    </row>
    <row r="4286">
      <c r="A4286" s="5" t="s">
        <v>2594</v>
      </c>
      <c r="B4286" s="8">
        <v>7.0</v>
      </c>
      <c r="C4286" s="7" t="s">
        <v>1453</v>
      </c>
      <c r="D4286" s="7" t="s">
        <v>1454</v>
      </c>
      <c r="E4286" s="7" t="s">
        <v>1455</v>
      </c>
      <c r="F4286" s="5" t="s">
        <v>271</v>
      </c>
    </row>
    <row r="4287">
      <c r="A4287" s="5" t="s">
        <v>3086</v>
      </c>
      <c r="B4287" s="8">
        <v>7.0</v>
      </c>
      <c r="C4287" s="7" t="s">
        <v>1453</v>
      </c>
      <c r="D4287" s="7" t="s">
        <v>1454</v>
      </c>
      <c r="E4287" s="7" t="s">
        <v>1455</v>
      </c>
      <c r="F4287" s="5" t="s">
        <v>3222</v>
      </c>
    </row>
    <row r="4288">
      <c r="A4288" s="7" t="s">
        <v>868</v>
      </c>
      <c r="B4288" s="8">
        <v>7.0</v>
      </c>
      <c r="C4288" s="7" t="s">
        <v>1453</v>
      </c>
      <c r="D4288" s="7" t="s">
        <v>1454</v>
      </c>
      <c r="E4288" s="7" t="s">
        <v>1455</v>
      </c>
      <c r="F4288" s="5" t="s">
        <v>271</v>
      </c>
    </row>
    <row r="4289">
      <c r="A4289" s="5" t="s">
        <v>3087</v>
      </c>
      <c r="B4289" s="8">
        <v>7.0</v>
      </c>
      <c r="C4289" s="7" t="s">
        <v>1453</v>
      </c>
      <c r="D4289" s="7" t="s">
        <v>1454</v>
      </c>
      <c r="E4289" s="7" t="s">
        <v>1455</v>
      </c>
      <c r="F4289" s="5" t="s">
        <v>238</v>
      </c>
    </row>
    <row r="4290">
      <c r="A4290" s="5" t="s">
        <v>3088</v>
      </c>
      <c r="B4290" s="8">
        <v>7.0</v>
      </c>
      <c r="C4290" s="7" t="s">
        <v>1453</v>
      </c>
      <c r="D4290" s="7" t="s">
        <v>1454</v>
      </c>
      <c r="E4290" s="7" t="s">
        <v>1455</v>
      </c>
      <c r="F4290" s="5" t="s">
        <v>3279</v>
      </c>
    </row>
    <row r="4291">
      <c r="A4291" s="5" t="s">
        <v>3388</v>
      </c>
      <c r="B4291" s="8">
        <v>7.0</v>
      </c>
      <c r="C4291" s="7" t="s">
        <v>1453</v>
      </c>
      <c r="D4291" s="7" t="s">
        <v>1454</v>
      </c>
      <c r="E4291" s="7" t="s">
        <v>1455</v>
      </c>
      <c r="F4291" s="5" t="s">
        <v>271</v>
      </c>
    </row>
    <row r="4292">
      <c r="A4292" s="5" t="s">
        <v>2595</v>
      </c>
      <c r="B4292" s="8">
        <v>7.0</v>
      </c>
      <c r="C4292" s="7" t="s">
        <v>1453</v>
      </c>
      <c r="D4292" s="7" t="s">
        <v>1454</v>
      </c>
      <c r="E4292" s="7" t="s">
        <v>1455</v>
      </c>
      <c r="F4292" s="5" t="s">
        <v>238</v>
      </c>
    </row>
    <row r="4293">
      <c r="A4293" s="5" t="s">
        <v>3089</v>
      </c>
      <c r="B4293" s="8">
        <v>7.0</v>
      </c>
      <c r="C4293" s="7" t="s">
        <v>1453</v>
      </c>
      <c r="D4293" s="7" t="s">
        <v>1454</v>
      </c>
      <c r="E4293" s="7" t="s">
        <v>1455</v>
      </c>
      <c r="F4293" s="5" t="s">
        <v>271</v>
      </c>
    </row>
    <row r="4294">
      <c r="A4294" s="5" t="s">
        <v>2597</v>
      </c>
      <c r="B4294" s="8">
        <v>7.0</v>
      </c>
      <c r="C4294" s="7" t="s">
        <v>1453</v>
      </c>
      <c r="D4294" s="7" t="s">
        <v>1454</v>
      </c>
      <c r="E4294" s="7" t="s">
        <v>1455</v>
      </c>
      <c r="F4294" s="5" t="s">
        <v>238</v>
      </c>
    </row>
    <row r="4295">
      <c r="A4295" s="7" t="s">
        <v>8</v>
      </c>
      <c r="B4295" s="8">
        <v>7.0</v>
      </c>
      <c r="C4295" s="7" t="s">
        <v>1453</v>
      </c>
      <c r="D4295" s="7" t="s">
        <v>1454</v>
      </c>
      <c r="E4295" s="7" t="s">
        <v>1455</v>
      </c>
      <c r="F4295" s="5" t="s">
        <v>238</v>
      </c>
    </row>
    <row r="4296">
      <c r="A4296" s="5" t="s">
        <v>2798</v>
      </c>
      <c r="B4296" s="8">
        <v>7.0</v>
      </c>
      <c r="C4296" s="7" t="s">
        <v>1453</v>
      </c>
      <c r="D4296" s="7" t="s">
        <v>1454</v>
      </c>
      <c r="E4296" s="7" t="s">
        <v>1455</v>
      </c>
      <c r="F4296" s="5" t="s">
        <v>3489</v>
      </c>
    </row>
    <row r="4297">
      <c r="A4297" s="5" t="s">
        <v>2702</v>
      </c>
      <c r="B4297" s="8">
        <v>7.0</v>
      </c>
      <c r="C4297" s="7" t="s">
        <v>1453</v>
      </c>
      <c r="D4297" s="7" t="s">
        <v>1454</v>
      </c>
      <c r="E4297" s="7" t="s">
        <v>1455</v>
      </c>
      <c r="F4297" s="5" t="s">
        <v>271</v>
      </c>
    </row>
    <row r="4298">
      <c r="A4298" s="5" t="s">
        <v>2599</v>
      </c>
      <c r="B4298" s="8">
        <v>7.0</v>
      </c>
      <c r="C4298" s="7" t="s">
        <v>1453</v>
      </c>
      <c r="D4298" s="7" t="s">
        <v>1454</v>
      </c>
      <c r="E4298" s="7" t="s">
        <v>1455</v>
      </c>
      <c r="F4298" s="5" t="s">
        <v>238</v>
      </c>
    </row>
    <row r="4299">
      <c r="A4299" s="5" t="s">
        <v>2600</v>
      </c>
      <c r="B4299" s="8">
        <v>7.0</v>
      </c>
      <c r="C4299" s="7" t="s">
        <v>1453</v>
      </c>
      <c r="D4299" s="7" t="s">
        <v>1454</v>
      </c>
      <c r="E4299" s="7" t="s">
        <v>1455</v>
      </c>
      <c r="F4299" s="5" t="s">
        <v>271</v>
      </c>
    </row>
    <row r="4300">
      <c r="A4300" s="5" t="s">
        <v>3090</v>
      </c>
      <c r="B4300" s="8">
        <v>7.0</v>
      </c>
      <c r="C4300" s="7" t="s">
        <v>1453</v>
      </c>
      <c r="D4300" s="7" t="s">
        <v>1454</v>
      </c>
      <c r="E4300" s="7" t="s">
        <v>1455</v>
      </c>
      <c r="F4300" s="5" t="s">
        <v>271</v>
      </c>
    </row>
    <row r="4301">
      <c r="A4301" s="7" t="s">
        <v>873</v>
      </c>
      <c r="B4301" s="8">
        <v>7.0</v>
      </c>
      <c r="C4301" s="7" t="s">
        <v>1453</v>
      </c>
      <c r="D4301" s="7" t="s">
        <v>1454</v>
      </c>
      <c r="E4301" s="7" t="s">
        <v>1455</v>
      </c>
      <c r="F4301" s="5" t="s">
        <v>238</v>
      </c>
    </row>
    <row r="4302">
      <c r="A4302" s="5" t="s">
        <v>2602</v>
      </c>
      <c r="B4302" s="8">
        <v>7.0</v>
      </c>
      <c r="C4302" s="7" t="s">
        <v>1453</v>
      </c>
      <c r="D4302" s="7" t="s">
        <v>1454</v>
      </c>
      <c r="E4302" s="7" t="s">
        <v>1455</v>
      </c>
      <c r="F4302" s="5" t="s">
        <v>238</v>
      </c>
    </row>
    <row r="4303">
      <c r="A4303" s="5" t="s">
        <v>2603</v>
      </c>
      <c r="B4303" s="8">
        <v>7.0</v>
      </c>
      <c r="C4303" s="7" t="s">
        <v>1453</v>
      </c>
      <c r="D4303" s="7" t="s">
        <v>1454</v>
      </c>
      <c r="E4303" s="7" t="s">
        <v>1455</v>
      </c>
      <c r="F4303" s="5" t="s">
        <v>271</v>
      </c>
    </row>
    <row r="4304">
      <c r="A4304" s="7" t="s">
        <v>874</v>
      </c>
      <c r="B4304" s="8">
        <v>7.0</v>
      </c>
      <c r="C4304" s="7" t="s">
        <v>1453</v>
      </c>
      <c r="D4304" s="7" t="s">
        <v>1454</v>
      </c>
      <c r="E4304" s="7" t="s">
        <v>1455</v>
      </c>
      <c r="F4304" s="5" t="s">
        <v>271</v>
      </c>
    </row>
    <row r="4305">
      <c r="A4305" s="5" t="s">
        <v>2604</v>
      </c>
      <c r="B4305" s="8">
        <v>7.0</v>
      </c>
      <c r="C4305" s="7" t="s">
        <v>1453</v>
      </c>
      <c r="D4305" s="7" t="s">
        <v>1454</v>
      </c>
      <c r="E4305" s="7" t="s">
        <v>1455</v>
      </c>
      <c r="F4305" s="5" t="s">
        <v>271</v>
      </c>
    </row>
    <row r="4306">
      <c r="A4306" s="5" t="s">
        <v>3091</v>
      </c>
      <c r="B4306" s="8">
        <v>7.0</v>
      </c>
      <c r="C4306" s="7" t="s">
        <v>1453</v>
      </c>
      <c r="D4306" s="7" t="s">
        <v>1454</v>
      </c>
      <c r="E4306" s="7" t="s">
        <v>1455</v>
      </c>
      <c r="F4306" s="5" t="s">
        <v>271</v>
      </c>
    </row>
    <row r="4307">
      <c r="A4307" s="5" t="s">
        <v>2605</v>
      </c>
      <c r="B4307" s="8">
        <v>7.0</v>
      </c>
      <c r="C4307" s="7" t="s">
        <v>1453</v>
      </c>
      <c r="D4307" s="7" t="s">
        <v>1454</v>
      </c>
      <c r="E4307" s="7" t="s">
        <v>1455</v>
      </c>
      <c r="F4307" s="5" t="s">
        <v>271</v>
      </c>
    </row>
    <row r="4308">
      <c r="A4308" s="5" t="s">
        <v>2933</v>
      </c>
      <c r="B4308" s="8">
        <v>7.0</v>
      </c>
      <c r="C4308" s="7" t="s">
        <v>1453</v>
      </c>
      <c r="D4308" s="7" t="s">
        <v>1454</v>
      </c>
      <c r="E4308" s="7" t="s">
        <v>1455</v>
      </c>
      <c r="F4308" s="5" t="s">
        <v>238</v>
      </c>
    </row>
    <row r="4309">
      <c r="A4309" s="5" t="s">
        <v>2606</v>
      </c>
      <c r="B4309" s="8">
        <v>7.0</v>
      </c>
      <c r="C4309" s="7" t="s">
        <v>1453</v>
      </c>
      <c r="D4309" s="7" t="s">
        <v>1454</v>
      </c>
      <c r="E4309" s="7" t="s">
        <v>1455</v>
      </c>
      <c r="F4309" s="5" t="s">
        <v>238</v>
      </c>
    </row>
    <row r="4310">
      <c r="A4310" s="5" t="s">
        <v>2934</v>
      </c>
      <c r="B4310" s="8">
        <v>7.0</v>
      </c>
      <c r="C4310" s="7" t="s">
        <v>1453</v>
      </c>
      <c r="D4310" s="7" t="s">
        <v>1454</v>
      </c>
      <c r="E4310" s="7" t="s">
        <v>1455</v>
      </c>
      <c r="F4310" s="5" t="s">
        <v>273</v>
      </c>
    </row>
    <row r="4311">
      <c r="A4311" s="5" t="s">
        <v>2607</v>
      </c>
      <c r="B4311" s="8">
        <v>7.0</v>
      </c>
      <c r="C4311" s="7" t="s">
        <v>1453</v>
      </c>
      <c r="D4311" s="7" t="s">
        <v>1454</v>
      </c>
      <c r="E4311" s="7" t="s">
        <v>1455</v>
      </c>
      <c r="F4311" s="5" t="s">
        <v>238</v>
      </c>
    </row>
    <row r="4312">
      <c r="A4312" s="7" t="s">
        <v>876</v>
      </c>
      <c r="B4312" s="8">
        <v>7.0</v>
      </c>
      <c r="C4312" s="7" t="s">
        <v>1453</v>
      </c>
      <c r="D4312" s="7" t="s">
        <v>1454</v>
      </c>
      <c r="E4312" s="7" t="s">
        <v>1455</v>
      </c>
      <c r="F4312" s="5" t="s">
        <v>273</v>
      </c>
    </row>
    <row r="4313">
      <c r="A4313" s="5" t="s">
        <v>3092</v>
      </c>
      <c r="B4313" s="8">
        <v>7.0</v>
      </c>
      <c r="C4313" s="7" t="s">
        <v>1453</v>
      </c>
      <c r="D4313" s="7" t="s">
        <v>1454</v>
      </c>
      <c r="E4313" s="7" t="s">
        <v>1455</v>
      </c>
      <c r="F4313" s="5" t="s">
        <v>238</v>
      </c>
    </row>
    <row r="4314">
      <c r="A4314" s="5" t="s">
        <v>2614</v>
      </c>
      <c r="B4314" s="8">
        <v>7.0</v>
      </c>
      <c r="C4314" s="7" t="s">
        <v>1453</v>
      </c>
      <c r="D4314" s="7" t="s">
        <v>1454</v>
      </c>
      <c r="E4314" s="7" t="s">
        <v>1455</v>
      </c>
      <c r="F4314" s="5" t="s">
        <v>238</v>
      </c>
    </row>
    <row r="4315">
      <c r="A4315" s="5" t="s">
        <v>2608</v>
      </c>
      <c r="B4315" s="8">
        <v>7.0</v>
      </c>
      <c r="C4315" s="7" t="s">
        <v>1453</v>
      </c>
      <c r="D4315" s="7" t="s">
        <v>1454</v>
      </c>
      <c r="E4315" s="7" t="s">
        <v>1455</v>
      </c>
      <c r="F4315" s="5" t="s">
        <v>238</v>
      </c>
    </row>
    <row r="4316">
      <c r="A4316" s="5" t="s">
        <v>2609</v>
      </c>
      <c r="B4316" s="8">
        <v>7.0</v>
      </c>
      <c r="C4316" s="7" t="s">
        <v>1453</v>
      </c>
      <c r="D4316" s="7" t="s">
        <v>1454</v>
      </c>
      <c r="E4316" s="7" t="s">
        <v>1455</v>
      </c>
      <c r="F4316" s="5" t="s">
        <v>238</v>
      </c>
    </row>
    <row r="4317">
      <c r="A4317" s="7" t="s">
        <v>188</v>
      </c>
      <c r="B4317" s="8">
        <v>7.0</v>
      </c>
      <c r="C4317" s="7" t="s">
        <v>122</v>
      </c>
      <c r="D4317" s="5" t="s">
        <v>3490</v>
      </c>
      <c r="E4317" s="5" t="s">
        <v>3491</v>
      </c>
      <c r="F4317" s="5" t="s">
        <v>3492</v>
      </c>
    </row>
    <row r="4318">
      <c r="A4318" s="5" t="s">
        <v>2592</v>
      </c>
      <c r="B4318" s="8">
        <v>7.0</v>
      </c>
      <c r="C4318" s="7" t="s">
        <v>122</v>
      </c>
      <c r="D4318" s="5" t="s">
        <v>3490</v>
      </c>
      <c r="E4318" s="5" t="s">
        <v>3491</v>
      </c>
      <c r="F4318" s="5" t="s">
        <v>2903</v>
      </c>
    </row>
    <row r="4319">
      <c r="A4319" s="5" t="s">
        <v>2796</v>
      </c>
      <c r="B4319" s="8">
        <v>7.0</v>
      </c>
      <c r="C4319" s="7" t="s">
        <v>122</v>
      </c>
      <c r="D4319" s="5" t="s">
        <v>3490</v>
      </c>
      <c r="E4319" s="5" t="s">
        <v>3491</v>
      </c>
      <c r="F4319" s="5" t="s">
        <v>3493</v>
      </c>
    </row>
    <row r="4320">
      <c r="A4320" s="5" t="s">
        <v>2594</v>
      </c>
      <c r="B4320" s="8">
        <v>7.0</v>
      </c>
      <c r="C4320" s="7" t="s">
        <v>122</v>
      </c>
      <c r="D4320" s="5" t="s">
        <v>3490</v>
      </c>
      <c r="E4320" s="5" t="s">
        <v>3491</v>
      </c>
      <c r="F4320" s="5" t="s">
        <v>3494</v>
      </c>
    </row>
    <row r="4321">
      <c r="A4321" s="5" t="s">
        <v>3086</v>
      </c>
      <c r="B4321" s="8">
        <v>7.0</v>
      </c>
      <c r="C4321" s="7" t="s">
        <v>122</v>
      </c>
      <c r="D4321" s="5" t="s">
        <v>3490</v>
      </c>
      <c r="E4321" s="5" t="s">
        <v>3491</v>
      </c>
      <c r="F4321" s="5" t="s">
        <v>3289</v>
      </c>
    </row>
    <row r="4322">
      <c r="A4322" s="7" t="s">
        <v>868</v>
      </c>
      <c r="B4322" s="8">
        <v>7.0</v>
      </c>
      <c r="C4322" s="7" t="s">
        <v>122</v>
      </c>
      <c r="D4322" s="5" t="s">
        <v>3490</v>
      </c>
      <c r="E4322" s="5" t="s">
        <v>3491</v>
      </c>
      <c r="F4322" s="5" t="s">
        <v>3495</v>
      </c>
    </row>
    <row r="4323">
      <c r="A4323" s="5" t="s">
        <v>3087</v>
      </c>
      <c r="B4323" s="8">
        <v>7.0</v>
      </c>
      <c r="C4323" s="7" t="s">
        <v>122</v>
      </c>
      <c r="D4323" s="5" t="s">
        <v>3490</v>
      </c>
      <c r="E4323" s="5" t="s">
        <v>3491</v>
      </c>
      <c r="F4323" s="5" t="s">
        <v>3292</v>
      </c>
    </row>
    <row r="4324">
      <c r="A4324" s="5" t="s">
        <v>3088</v>
      </c>
      <c r="B4324" s="8">
        <v>7.0</v>
      </c>
      <c r="C4324" s="7" t="s">
        <v>122</v>
      </c>
      <c r="D4324" s="5" t="s">
        <v>3490</v>
      </c>
      <c r="E4324" s="5" t="s">
        <v>3491</v>
      </c>
      <c r="F4324" s="5" t="s">
        <v>3293</v>
      </c>
    </row>
    <row r="4325">
      <c r="A4325" s="5" t="s">
        <v>3388</v>
      </c>
      <c r="B4325" s="8">
        <v>7.0</v>
      </c>
      <c r="C4325" s="7" t="s">
        <v>122</v>
      </c>
      <c r="D4325" s="5" t="s">
        <v>3490</v>
      </c>
      <c r="E4325" s="5" t="s">
        <v>3491</v>
      </c>
      <c r="F4325" s="5" t="s">
        <v>3496</v>
      </c>
    </row>
    <row r="4326">
      <c r="A4326" s="5" t="s">
        <v>2595</v>
      </c>
      <c r="B4326" s="8">
        <v>7.0</v>
      </c>
      <c r="C4326" s="7" t="s">
        <v>122</v>
      </c>
      <c r="D4326" s="5" t="s">
        <v>3490</v>
      </c>
      <c r="E4326" s="5" t="s">
        <v>3491</v>
      </c>
      <c r="F4326" s="5" t="s">
        <v>3497</v>
      </c>
    </row>
    <row r="4327">
      <c r="A4327" s="5" t="s">
        <v>3089</v>
      </c>
      <c r="B4327" s="8">
        <v>7.0</v>
      </c>
      <c r="C4327" s="7" t="s">
        <v>122</v>
      </c>
      <c r="D4327" s="5" t="s">
        <v>3490</v>
      </c>
      <c r="E4327" s="5" t="s">
        <v>3491</v>
      </c>
      <c r="F4327" s="5" t="s">
        <v>3498</v>
      </c>
    </row>
    <row r="4328">
      <c r="A4328" s="5" t="s">
        <v>2597</v>
      </c>
      <c r="B4328" s="8">
        <v>7.0</v>
      </c>
      <c r="C4328" s="7" t="s">
        <v>122</v>
      </c>
      <c r="D4328" s="5" t="s">
        <v>3490</v>
      </c>
      <c r="E4328" s="5" t="s">
        <v>3491</v>
      </c>
      <c r="F4328" s="5" t="s">
        <v>3296</v>
      </c>
    </row>
    <row r="4329">
      <c r="A4329" s="7" t="s">
        <v>8</v>
      </c>
      <c r="B4329" s="8">
        <v>7.0</v>
      </c>
      <c r="C4329" s="7" t="s">
        <v>122</v>
      </c>
      <c r="D4329" s="5" t="s">
        <v>3490</v>
      </c>
      <c r="E4329" s="5" t="s">
        <v>3491</v>
      </c>
      <c r="F4329" s="5" t="s">
        <v>3499</v>
      </c>
    </row>
    <row r="4330">
      <c r="A4330" s="5" t="s">
        <v>2798</v>
      </c>
      <c r="B4330" s="8">
        <v>7.0</v>
      </c>
      <c r="C4330" s="7" t="s">
        <v>122</v>
      </c>
      <c r="D4330" s="5" t="s">
        <v>3490</v>
      </c>
      <c r="E4330" s="5" t="s">
        <v>3491</v>
      </c>
      <c r="F4330" s="5" t="s">
        <v>3500</v>
      </c>
    </row>
    <row r="4331">
      <c r="A4331" s="5" t="s">
        <v>2702</v>
      </c>
      <c r="B4331" s="8">
        <v>7.0</v>
      </c>
      <c r="C4331" s="7" t="s">
        <v>122</v>
      </c>
      <c r="D4331" s="5" t="s">
        <v>3490</v>
      </c>
      <c r="E4331" s="5" t="s">
        <v>3491</v>
      </c>
      <c r="F4331" s="5" t="s">
        <v>3298</v>
      </c>
    </row>
    <row r="4332">
      <c r="A4332" s="5" t="s">
        <v>2599</v>
      </c>
      <c r="B4332" s="8">
        <v>7.0</v>
      </c>
      <c r="C4332" s="7" t="s">
        <v>122</v>
      </c>
      <c r="D4332" s="5" t="s">
        <v>3490</v>
      </c>
      <c r="E4332" s="5" t="s">
        <v>3491</v>
      </c>
      <c r="F4332" s="5" t="s">
        <v>3501</v>
      </c>
    </row>
    <row r="4333">
      <c r="A4333" s="5" t="s">
        <v>2600</v>
      </c>
      <c r="B4333" s="8">
        <v>7.0</v>
      </c>
      <c r="C4333" s="7" t="s">
        <v>122</v>
      </c>
      <c r="D4333" s="5" t="s">
        <v>3490</v>
      </c>
      <c r="E4333" s="5" t="s">
        <v>3491</v>
      </c>
      <c r="F4333" s="5" t="s">
        <v>3502</v>
      </c>
    </row>
    <row r="4334">
      <c r="A4334" s="5" t="s">
        <v>3090</v>
      </c>
      <c r="B4334" s="8">
        <v>7.0</v>
      </c>
      <c r="C4334" s="7" t="s">
        <v>122</v>
      </c>
      <c r="D4334" s="5" t="s">
        <v>3490</v>
      </c>
      <c r="E4334" s="5" t="s">
        <v>3491</v>
      </c>
      <c r="F4334" s="5" t="s">
        <v>3503</v>
      </c>
    </row>
    <row r="4335">
      <c r="A4335" s="7" t="s">
        <v>873</v>
      </c>
      <c r="B4335" s="8">
        <v>7.0</v>
      </c>
      <c r="C4335" s="7" t="s">
        <v>122</v>
      </c>
      <c r="D4335" s="5" t="s">
        <v>3490</v>
      </c>
      <c r="E4335" s="5" t="s">
        <v>3491</v>
      </c>
      <c r="F4335" s="5" t="s">
        <v>3504</v>
      </c>
    </row>
    <row r="4336">
      <c r="A4336" s="5" t="s">
        <v>2602</v>
      </c>
      <c r="B4336" s="8">
        <v>7.0</v>
      </c>
      <c r="C4336" s="7" t="s">
        <v>122</v>
      </c>
      <c r="D4336" s="5" t="s">
        <v>3490</v>
      </c>
      <c r="E4336" s="5" t="s">
        <v>3491</v>
      </c>
      <c r="F4336" s="5" t="s">
        <v>3505</v>
      </c>
    </row>
    <row r="4337">
      <c r="A4337" s="5" t="s">
        <v>2603</v>
      </c>
      <c r="B4337" s="8">
        <v>7.0</v>
      </c>
      <c r="C4337" s="7" t="s">
        <v>122</v>
      </c>
      <c r="D4337" s="5" t="s">
        <v>3490</v>
      </c>
      <c r="E4337" s="5" t="s">
        <v>3491</v>
      </c>
      <c r="F4337" s="5" t="s">
        <v>3506</v>
      </c>
    </row>
    <row r="4338">
      <c r="A4338" s="7" t="s">
        <v>874</v>
      </c>
      <c r="B4338" s="8">
        <v>7.0</v>
      </c>
      <c r="C4338" s="7" t="s">
        <v>122</v>
      </c>
      <c r="D4338" s="5" t="s">
        <v>3490</v>
      </c>
      <c r="E4338" s="5" t="s">
        <v>3491</v>
      </c>
      <c r="F4338" s="5" t="s">
        <v>3507</v>
      </c>
    </row>
    <row r="4339">
      <c r="A4339" s="5" t="s">
        <v>2604</v>
      </c>
      <c r="B4339" s="8">
        <v>7.0</v>
      </c>
      <c r="C4339" s="7" t="s">
        <v>122</v>
      </c>
      <c r="D4339" s="5" t="s">
        <v>3490</v>
      </c>
      <c r="E4339" s="5" t="s">
        <v>3491</v>
      </c>
      <c r="F4339" s="5" t="s">
        <v>3508</v>
      </c>
    </row>
    <row r="4340">
      <c r="A4340" s="5" t="s">
        <v>3091</v>
      </c>
      <c r="B4340" s="8">
        <v>7.0</v>
      </c>
      <c r="C4340" s="7" t="s">
        <v>122</v>
      </c>
      <c r="D4340" s="5" t="s">
        <v>3490</v>
      </c>
      <c r="E4340" s="5" t="s">
        <v>3491</v>
      </c>
      <c r="F4340" s="5" t="s">
        <v>3509</v>
      </c>
    </row>
    <row r="4341">
      <c r="A4341" s="5" t="s">
        <v>2605</v>
      </c>
      <c r="B4341" s="8">
        <v>7.0</v>
      </c>
      <c r="C4341" s="7" t="s">
        <v>122</v>
      </c>
      <c r="D4341" s="5" t="s">
        <v>3490</v>
      </c>
      <c r="E4341" s="5" t="s">
        <v>3491</v>
      </c>
      <c r="F4341" s="5" t="s">
        <v>3307</v>
      </c>
    </row>
    <row r="4342">
      <c r="A4342" s="5" t="s">
        <v>2933</v>
      </c>
      <c r="B4342" s="8">
        <v>7.0</v>
      </c>
      <c r="C4342" s="7" t="s">
        <v>122</v>
      </c>
      <c r="D4342" s="5" t="s">
        <v>3490</v>
      </c>
      <c r="E4342" s="5" t="s">
        <v>3491</v>
      </c>
      <c r="F4342" s="7" t="s">
        <v>1477</v>
      </c>
    </row>
    <row r="4343">
      <c r="A4343" s="5" t="s">
        <v>2606</v>
      </c>
      <c r="B4343" s="8">
        <v>7.0</v>
      </c>
      <c r="C4343" s="7" t="s">
        <v>122</v>
      </c>
      <c r="D4343" s="5" t="s">
        <v>3490</v>
      </c>
      <c r="E4343" s="5" t="s">
        <v>3491</v>
      </c>
      <c r="F4343" s="5" t="s">
        <v>3510</v>
      </c>
    </row>
    <row r="4344">
      <c r="A4344" s="5" t="s">
        <v>2934</v>
      </c>
      <c r="B4344" s="8">
        <v>7.0</v>
      </c>
      <c r="C4344" s="7" t="s">
        <v>122</v>
      </c>
      <c r="D4344" s="5" t="s">
        <v>3490</v>
      </c>
      <c r="E4344" s="5" t="s">
        <v>3491</v>
      </c>
      <c r="F4344" s="5" t="s">
        <v>3310</v>
      </c>
    </row>
    <row r="4345">
      <c r="A4345" s="5" t="s">
        <v>2607</v>
      </c>
      <c r="B4345" s="8">
        <v>7.0</v>
      </c>
      <c r="C4345" s="7" t="s">
        <v>122</v>
      </c>
      <c r="D4345" s="5" t="s">
        <v>3490</v>
      </c>
      <c r="E4345" s="5" t="s">
        <v>3491</v>
      </c>
      <c r="F4345" s="5" t="s">
        <v>3511</v>
      </c>
    </row>
    <row r="4346">
      <c r="A4346" s="7" t="s">
        <v>876</v>
      </c>
      <c r="B4346" s="8">
        <v>7.0</v>
      </c>
      <c r="C4346" s="7" t="s">
        <v>122</v>
      </c>
      <c r="D4346" s="5" t="s">
        <v>3490</v>
      </c>
      <c r="E4346" s="5" t="s">
        <v>3491</v>
      </c>
      <c r="F4346" s="5" t="s">
        <v>3312</v>
      </c>
    </row>
    <row r="4347">
      <c r="A4347" s="5" t="s">
        <v>3092</v>
      </c>
      <c r="B4347" s="8">
        <v>7.0</v>
      </c>
      <c r="C4347" s="7" t="s">
        <v>122</v>
      </c>
      <c r="D4347" s="5" t="s">
        <v>3490</v>
      </c>
      <c r="E4347" s="5" t="s">
        <v>3491</v>
      </c>
      <c r="F4347" s="5" t="s">
        <v>3512</v>
      </c>
    </row>
    <row r="4348">
      <c r="A4348" s="5" t="s">
        <v>2614</v>
      </c>
      <c r="B4348" s="8">
        <v>7.0</v>
      </c>
      <c r="C4348" s="7" t="s">
        <v>122</v>
      </c>
      <c r="D4348" s="5" t="s">
        <v>3490</v>
      </c>
      <c r="E4348" s="5" t="s">
        <v>3491</v>
      </c>
      <c r="F4348" s="5" t="s">
        <v>3314</v>
      </c>
    </row>
    <row r="4349">
      <c r="A4349" s="5" t="s">
        <v>2608</v>
      </c>
      <c r="B4349" s="8">
        <v>7.0</v>
      </c>
      <c r="C4349" s="7" t="s">
        <v>122</v>
      </c>
      <c r="D4349" s="5" t="s">
        <v>3490</v>
      </c>
      <c r="E4349" s="5" t="s">
        <v>3491</v>
      </c>
      <c r="F4349" s="5" t="s">
        <v>3513</v>
      </c>
    </row>
    <row r="4350">
      <c r="A4350" s="5" t="s">
        <v>2609</v>
      </c>
      <c r="B4350" s="8">
        <v>7.0</v>
      </c>
      <c r="C4350" s="7" t="s">
        <v>122</v>
      </c>
      <c r="D4350" s="5" t="s">
        <v>3490</v>
      </c>
      <c r="E4350" s="5" t="s">
        <v>3491</v>
      </c>
      <c r="F4350" s="5" t="s">
        <v>2899</v>
      </c>
    </row>
    <row r="4351">
      <c r="A4351" s="7" t="s">
        <v>188</v>
      </c>
      <c r="B4351" s="8">
        <v>7.0</v>
      </c>
      <c r="C4351" s="7" t="s">
        <v>139</v>
      </c>
      <c r="D4351" s="7" t="s">
        <v>1482</v>
      </c>
      <c r="E4351" s="5" t="s">
        <v>3514</v>
      </c>
      <c r="F4351" s="5" t="s">
        <v>2820</v>
      </c>
    </row>
    <row r="4352">
      <c r="A4352" s="5" t="s">
        <v>2592</v>
      </c>
      <c r="B4352" s="8">
        <v>7.0</v>
      </c>
      <c r="C4352" s="7" t="s">
        <v>139</v>
      </c>
      <c r="D4352" s="7" t="s">
        <v>1482</v>
      </c>
      <c r="E4352" s="5" t="s">
        <v>3514</v>
      </c>
      <c r="F4352" s="5" t="s">
        <v>240</v>
      </c>
    </row>
    <row r="4353">
      <c r="A4353" s="5" t="s">
        <v>2796</v>
      </c>
      <c r="B4353" s="8">
        <v>7.0</v>
      </c>
      <c r="C4353" s="7" t="s">
        <v>139</v>
      </c>
      <c r="D4353" s="7" t="s">
        <v>1482</v>
      </c>
      <c r="E4353" s="5" t="s">
        <v>3514</v>
      </c>
      <c r="F4353" s="5" t="s">
        <v>2820</v>
      </c>
    </row>
    <row r="4354">
      <c r="A4354" s="5" t="s">
        <v>2594</v>
      </c>
      <c r="B4354" s="8">
        <v>7.0</v>
      </c>
      <c r="C4354" s="7" t="s">
        <v>139</v>
      </c>
      <c r="D4354" s="7" t="s">
        <v>1482</v>
      </c>
      <c r="E4354" s="5" t="s">
        <v>3514</v>
      </c>
      <c r="F4354" s="5" t="s">
        <v>3317</v>
      </c>
    </row>
    <row r="4355">
      <c r="A4355" s="5" t="s">
        <v>3086</v>
      </c>
      <c r="B4355" s="8">
        <v>7.0</v>
      </c>
      <c r="C4355" s="7" t="s">
        <v>139</v>
      </c>
      <c r="D4355" s="7" t="s">
        <v>1482</v>
      </c>
      <c r="E4355" s="5" t="s">
        <v>3514</v>
      </c>
      <c r="F4355" s="5" t="s">
        <v>3318</v>
      </c>
    </row>
    <row r="4356">
      <c r="A4356" s="7" t="s">
        <v>868</v>
      </c>
      <c r="B4356" s="8">
        <v>7.0</v>
      </c>
      <c r="C4356" s="7" t="s">
        <v>139</v>
      </c>
      <c r="D4356" s="7" t="s">
        <v>1482</v>
      </c>
      <c r="E4356" s="5" t="s">
        <v>3514</v>
      </c>
      <c r="F4356" s="5" t="s">
        <v>305</v>
      </c>
    </row>
    <row r="4357">
      <c r="A4357" s="5" t="s">
        <v>3087</v>
      </c>
      <c r="B4357" s="8">
        <v>7.0</v>
      </c>
      <c r="C4357" s="7" t="s">
        <v>139</v>
      </c>
      <c r="D4357" s="7" t="s">
        <v>1482</v>
      </c>
      <c r="E4357" s="5" t="s">
        <v>3514</v>
      </c>
      <c r="F4357" s="5" t="s">
        <v>2670</v>
      </c>
    </row>
    <row r="4358">
      <c r="A4358" s="5" t="s">
        <v>3088</v>
      </c>
      <c r="B4358" s="8">
        <v>7.0</v>
      </c>
      <c r="C4358" s="7" t="s">
        <v>139</v>
      </c>
      <c r="D4358" s="7" t="s">
        <v>1482</v>
      </c>
      <c r="E4358" s="5" t="s">
        <v>3514</v>
      </c>
      <c r="F4358" s="5" t="s">
        <v>3319</v>
      </c>
    </row>
    <row r="4359">
      <c r="A4359" s="5" t="s">
        <v>3388</v>
      </c>
      <c r="B4359" s="8">
        <v>7.0</v>
      </c>
      <c r="C4359" s="7" t="s">
        <v>139</v>
      </c>
      <c r="D4359" s="7" t="s">
        <v>1482</v>
      </c>
      <c r="E4359" s="5" t="s">
        <v>3514</v>
      </c>
      <c r="F4359" s="5" t="s">
        <v>3515</v>
      </c>
    </row>
    <row r="4360">
      <c r="A4360" s="5" t="s">
        <v>2595</v>
      </c>
      <c r="B4360" s="8">
        <v>7.0</v>
      </c>
      <c r="C4360" s="7" t="s">
        <v>139</v>
      </c>
      <c r="D4360" s="7" t="s">
        <v>1482</v>
      </c>
      <c r="E4360" s="5" t="s">
        <v>3514</v>
      </c>
      <c r="F4360" s="5" t="s">
        <v>240</v>
      </c>
    </row>
    <row r="4361">
      <c r="A4361" s="5" t="s">
        <v>3089</v>
      </c>
      <c r="B4361" s="8">
        <v>7.0</v>
      </c>
      <c r="C4361" s="7" t="s">
        <v>139</v>
      </c>
      <c r="D4361" s="7" t="s">
        <v>1482</v>
      </c>
      <c r="E4361" s="5" t="s">
        <v>3514</v>
      </c>
      <c r="F4361" s="5" t="s">
        <v>305</v>
      </c>
    </row>
    <row r="4362">
      <c r="A4362" s="5" t="s">
        <v>2597</v>
      </c>
      <c r="B4362" s="8">
        <v>7.0</v>
      </c>
      <c r="C4362" s="7" t="s">
        <v>139</v>
      </c>
      <c r="D4362" s="7" t="s">
        <v>1482</v>
      </c>
      <c r="E4362" s="5" t="s">
        <v>3514</v>
      </c>
      <c r="F4362" s="5" t="s">
        <v>238</v>
      </c>
    </row>
    <row r="4363">
      <c r="A4363" s="7" t="s">
        <v>8</v>
      </c>
      <c r="B4363" s="8">
        <v>7.0</v>
      </c>
      <c r="C4363" s="7" t="s">
        <v>139</v>
      </c>
      <c r="D4363" s="7" t="s">
        <v>1482</v>
      </c>
      <c r="E4363" s="5" t="s">
        <v>3514</v>
      </c>
      <c r="F4363" s="5" t="s">
        <v>238</v>
      </c>
    </row>
    <row r="4364">
      <c r="A4364" s="5" t="s">
        <v>2798</v>
      </c>
      <c r="B4364" s="8">
        <v>7.0</v>
      </c>
      <c r="C4364" s="7" t="s">
        <v>139</v>
      </c>
      <c r="D4364" s="7" t="s">
        <v>1482</v>
      </c>
      <c r="E4364" s="5" t="s">
        <v>3514</v>
      </c>
      <c r="F4364" s="5" t="s">
        <v>3516</v>
      </c>
    </row>
    <row r="4365">
      <c r="A4365" s="5" t="s">
        <v>2702</v>
      </c>
      <c r="B4365" s="8">
        <v>7.0</v>
      </c>
      <c r="C4365" s="7" t="s">
        <v>139</v>
      </c>
      <c r="D4365" s="7" t="s">
        <v>1482</v>
      </c>
      <c r="E4365" s="5" t="s">
        <v>3514</v>
      </c>
      <c r="F4365" s="5" t="s">
        <v>2820</v>
      </c>
    </row>
    <row r="4366">
      <c r="A4366" s="5" t="s">
        <v>2599</v>
      </c>
      <c r="B4366" s="8">
        <v>7.0</v>
      </c>
      <c r="C4366" s="7" t="s">
        <v>139</v>
      </c>
      <c r="D4366" s="7" t="s">
        <v>1482</v>
      </c>
      <c r="E4366" s="5" t="s">
        <v>3514</v>
      </c>
      <c r="F4366" s="5" t="s">
        <v>2670</v>
      </c>
    </row>
    <row r="4367">
      <c r="A4367" s="5" t="s">
        <v>2600</v>
      </c>
      <c r="B4367" s="8">
        <v>7.0</v>
      </c>
      <c r="C4367" s="7" t="s">
        <v>139</v>
      </c>
      <c r="D4367" s="7" t="s">
        <v>1482</v>
      </c>
      <c r="E4367" s="5" t="s">
        <v>3514</v>
      </c>
      <c r="F4367" s="5" t="s">
        <v>305</v>
      </c>
    </row>
    <row r="4368">
      <c r="A4368" s="5" t="s">
        <v>3090</v>
      </c>
      <c r="B4368" s="8">
        <v>7.0</v>
      </c>
      <c r="C4368" s="7" t="s">
        <v>139</v>
      </c>
      <c r="D4368" s="7" t="s">
        <v>1482</v>
      </c>
      <c r="E4368" s="5" t="s">
        <v>3514</v>
      </c>
      <c r="F4368" s="5" t="s">
        <v>305</v>
      </c>
    </row>
    <row r="4369">
      <c r="A4369" s="7" t="s">
        <v>873</v>
      </c>
      <c r="B4369" s="8">
        <v>7.0</v>
      </c>
      <c r="C4369" s="7" t="s">
        <v>139</v>
      </c>
      <c r="D4369" s="7" t="s">
        <v>1482</v>
      </c>
      <c r="E4369" s="5" t="s">
        <v>3514</v>
      </c>
      <c r="F4369" s="5" t="s">
        <v>238</v>
      </c>
    </row>
    <row r="4370">
      <c r="A4370" s="5" t="s">
        <v>2602</v>
      </c>
      <c r="B4370" s="8">
        <v>7.0</v>
      </c>
      <c r="C4370" s="7" t="s">
        <v>139</v>
      </c>
      <c r="D4370" s="7" t="s">
        <v>1482</v>
      </c>
      <c r="E4370" s="5" t="s">
        <v>3514</v>
      </c>
      <c r="F4370" s="5" t="s">
        <v>238</v>
      </c>
    </row>
    <row r="4371">
      <c r="A4371" s="5" t="s">
        <v>2603</v>
      </c>
      <c r="B4371" s="8">
        <v>7.0</v>
      </c>
      <c r="C4371" s="7" t="s">
        <v>139</v>
      </c>
      <c r="D4371" s="7" t="s">
        <v>1482</v>
      </c>
      <c r="E4371" s="5" t="s">
        <v>3514</v>
      </c>
      <c r="F4371" s="5" t="s">
        <v>3517</v>
      </c>
    </row>
    <row r="4372">
      <c r="A4372" s="7" t="s">
        <v>874</v>
      </c>
      <c r="B4372" s="8">
        <v>7.0</v>
      </c>
      <c r="C4372" s="7" t="s">
        <v>139</v>
      </c>
      <c r="D4372" s="7" t="s">
        <v>1482</v>
      </c>
      <c r="E4372" s="5" t="s">
        <v>3514</v>
      </c>
      <c r="F4372" s="5" t="s">
        <v>271</v>
      </c>
    </row>
    <row r="4373">
      <c r="A4373" s="5" t="s">
        <v>2604</v>
      </c>
      <c r="B4373" s="8">
        <v>7.0</v>
      </c>
      <c r="C4373" s="7" t="s">
        <v>139</v>
      </c>
      <c r="D4373" s="7" t="s">
        <v>1482</v>
      </c>
      <c r="E4373" s="5" t="s">
        <v>3514</v>
      </c>
      <c r="F4373" s="5" t="s">
        <v>271</v>
      </c>
    </row>
    <row r="4374">
      <c r="A4374" s="5" t="s">
        <v>3091</v>
      </c>
      <c r="B4374" s="8">
        <v>7.0</v>
      </c>
      <c r="C4374" s="7" t="s">
        <v>139</v>
      </c>
      <c r="D4374" s="7" t="s">
        <v>1482</v>
      </c>
      <c r="E4374" s="5" t="s">
        <v>3514</v>
      </c>
      <c r="F4374" s="5" t="s">
        <v>271</v>
      </c>
    </row>
    <row r="4375">
      <c r="A4375" s="5" t="s">
        <v>2605</v>
      </c>
      <c r="B4375" s="8">
        <v>7.0</v>
      </c>
      <c r="C4375" s="7" t="s">
        <v>139</v>
      </c>
      <c r="D4375" s="7" t="s">
        <v>1482</v>
      </c>
      <c r="E4375" s="5" t="s">
        <v>3514</v>
      </c>
      <c r="F4375" s="5" t="s">
        <v>305</v>
      </c>
    </row>
    <row r="4376">
      <c r="A4376" s="5" t="s">
        <v>2933</v>
      </c>
      <c r="B4376" s="8">
        <v>7.0</v>
      </c>
      <c r="C4376" s="7" t="s">
        <v>139</v>
      </c>
      <c r="D4376" s="7" t="s">
        <v>1482</v>
      </c>
      <c r="E4376" s="5" t="s">
        <v>3514</v>
      </c>
      <c r="F4376" s="5" t="s">
        <v>1487</v>
      </c>
    </row>
    <row r="4377">
      <c r="A4377" s="5" t="s">
        <v>2606</v>
      </c>
      <c r="B4377" s="8">
        <v>7.0</v>
      </c>
      <c r="C4377" s="7" t="s">
        <v>139</v>
      </c>
      <c r="D4377" s="7" t="s">
        <v>1482</v>
      </c>
      <c r="E4377" s="5" t="s">
        <v>3514</v>
      </c>
      <c r="F4377" s="5" t="s">
        <v>3518</v>
      </c>
    </row>
    <row r="4378">
      <c r="A4378" s="5" t="s">
        <v>2934</v>
      </c>
      <c r="B4378" s="8">
        <v>7.0</v>
      </c>
      <c r="C4378" s="7" t="s">
        <v>139</v>
      </c>
      <c r="D4378" s="7" t="s">
        <v>1482</v>
      </c>
      <c r="E4378" s="5" t="s">
        <v>3514</v>
      </c>
      <c r="F4378" s="5" t="s">
        <v>273</v>
      </c>
    </row>
    <row r="4379">
      <c r="A4379" s="5" t="s">
        <v>2607</v>
      </c>
      <c r="B4379" s="8">
        <v>7.0</v>
      </c>
      <c r="C4379" s="7" t="s">
        <v>139</v>
      </c>
      <c r="D4379" s="7" t="s">
        <v>1482</v>
      </c>
      <c r="E4379" s="5" t="s">
        <v>3514</v>
      </c>
      <c r="F4379" s="5" t="s">
        <v>240</v>
      </c>
    </row>
    <row r="4380">
      <c r="A4380" s="7" t="s">
        <v>876</v>
      </c>
      <c r="B4380" s="8">
        <v>7.0</v>
      </c>
      <c r="C4380" s="7" t="s">
        <v>139</v>
      </c>
      <c r="D4380" s="7" t="s">
        <v>1482</v>
      </c>
      <c r="E4380" s="5" t="s">
        <v>3514</v>
      </c>
      <c r="F4380" s="5" t="s">
        <v>305</v>
      </c>
    </row>
    <row r="4381">
      <c r="A4381" s="5" t="s">
        <v>3092</v>
      </c>
      <c r="B4381" s="8">
        <v>7.0</v>
      </c>
      <c r="C4381" s="7" t="s">
        <v>139</v>
      </c>
      <c r="D4381" s="7" t="s">
        <v>1482</v>
      </c>
      <c r="E4381" s="5" t="s">
        <v>3514</v>
      </c>
      <c r="F4381" s="5" t="s">
        <v>240</v>
      </c>
    </row>
    <row r="4382">
      <c r="A4382" s="5" t="s">
        <v>2614</v>
      </c>
      <c r="B4382" s="8">
        <v>7.0</v>
      </c>
      <c r="C4382" s="7" t="s">
        <v>139</v>
      </c>
      <c r="D4382" s="7" t="s">
        <v>1482</v>
      </c>
      <c r="E4382" s="5" t="s">
        <v>3514</v>
      </c>
      <c r="F4382" s="5" t="s">
        <v>240</v>
      </c>
    </row>
    <row r="4383">
      <c r="A4383" s="5" t="s">
        <v>2608</v>
      </c>
      <c r="B4383" s="8">
        <v>7.0</v>
      </c>
      <c r="C4383" s="7" t="s">
        <v>139</v>
      </c>
      <c r="D4383" s="7" t="s">
        <v>1482</v>
      </c>
      <c r="E4383" s="5" t="s">
        <v>3514</v>
      </c>
      <c r="F4383" s="5" t="s">
        <v>240</v>
      </c>
    </row>
    <row r="4384">
      <c r="A4384" s="5" t="s">
        <v>2609</v>
      </c>
      <c r="B4384" s="8">
        <v>7.0</v>
      </c>
      <c r="C4384" s="7" t="s">
        <v>139</v>
      </c>
      <c r="D4384" s="7" t="s">
        <v>1482</v>
      </c>
      <c r="E4384" s="5" t="s">
        <v>3514</v>
      </c>
      <c r="F4384" s="5" t="s">
        <v>240</v>
      </c>
    </row>
    <row r="4385">
      <c r="A4385" s="7" t="s">
        <v>188</v>
      </c>
      <c r="B4385" s="8">
        <v>7.0</v>
      </c>
      <c r="C4385" s="7" t="s">
        <v>162</v>
      </c>
      <c r="D4385" s="7" t="s">
        <v>1489</v>
      </c>
      <c r="E4385" s="5" t="s">
        <v>3519</v>
      </c>
      <c r="F4385" s="5" t="s">
        <v>3327</v>
      </c>
    </row>
    <row r="4386">
      <c r="A4386" s="5" t="s">
        <v>2592</v>
      </c>
      <c r="B4386" s="8">
        <v>7.0</v>
      </c>
      <c r="C4386" s="7" t="s">
        <v>162</v>
      </c>
      <c r="D4386" s="7" t="s">
        <v>1489</v>
      </c>
      <c r="E4386" s="5" t="s">
        <v>3519</v>
      </c>
      <c r="F4386" s="5" t="s">
        <v>906</v>
      </c>
    </row>
    <row r="4387">
      <c r="A4387" s="5" t="s">
        <v>2796</v>
      </c>
      <c r="B4387" s="8">
        <v>7.0</v>
      </c>
      <c r="C4387" s="7" t="s">
        <v>162</v>
      </c>
      <c r="D4387" s="7" t="s">
        <v>1489</v>
      </c>
      <c r="E4387" s="5" t="s">
        <v>3519</v>
      </c>
      <c r="F4387" s="5" t="s">
        <v>2705</v>
      </c>
    </row>
    <row r="4388">
      <c r="A4388" s="5" t="s">
        <v>2594</v>
      </c>
      <c r="B4388" s="8">
        <v>7.0</v>
      </c>
      <c r="C4388" s="7" t="s">
        <v>162</v>
      </c>
      <c r="D4388" s="7" t="s">
        <v>1489</v>
      </c>
      <c r="E4388" s="5" t="s">
        <v>3519</v>
      </c>
      <c r="F4388" s="5" t="s">
        <v>1213</v>
      </c>
    </row>
    <row r="4389">
      <c r="A4389" s="5" t="s">
        <v>3086</v>
      </c>
      <c r="B4389" s="8">
        <v>7.0</v>
      </c>
      <c r="C4389" s="7" t="s">
        <v>162</v>
      </c>
      <c r="D4389" s="7" t="s">
        <v>1489</v>
      </c>
      <c r="E4389" s="5" t="s">
        <v>3519</v>
      </c>
      <c r="F4389" s="5" t="s">
        <v>3328</v>
      </c>
    </row>
    <row r="4390">
      <c r="A4390" s="7" t="s">
        <v>868</v>
      </c>
      <c r="B4390" s="8">
        <v>7.0</v>
      </c>
      <c r="C4390" s="7" t="s">
        <v>162</v>
      </c>
      <c r="D4390" s="7" t="s">
        <v>1489</v>
      </c>
      <c r="E4390" s="5" t="s">
        <v>3519</v>
      </c>
      <c r="F4390" s="5" t="s">
        <v>2705</v>
      </c>
    </row>
    <row r="4391">
      <c r="A4391" s="5" t="s">
        <v>3087</v>
      </c>
      <c r="B4391" s="8">
        <v>7.0</v>
      </c>
      <c r="C4391" s="7" t="s">
        <v>162</v>
      </c>
      <c r="D4391" s="7" t="s">
        <v>1489</v>
      </c>
      <c r="E4391" s="5" t="s">
        <v>3519</v>
      </c>
      <c r="F4391" s="5" t="s">
        <v>3329</v>
      </c>
    </row>
    <row r="4392">
      <c r="A4392" s="5" t="s">
        <v>3088</v>
      </c>
      <c r="B4392" s="8">
        <v>7.0</v>
      </c>
      <c r="C4392" s="7" t="s">
        <v>162</v>
      </c>
      <c r="D4392" s="7" t="s">
        <v>1489</v>
      </c>
      <c r="E4392" s="5" t="s">
        <v>3519</v>
      </c>
      <c r="F4392" s="5" t="s">
        <v>3330</v>
      </c>
    </row>
    <row r="4393">
      <c r="A4393" s="5" t="s">
        <v>3388</v>
      </c>
      <c r="B4393" s="8">
        <v>7.0</v>
      </c>
      <c r="C4393" s="7" t="s">
        <v>162</v>
      </c>
      <c r="D4393" s="7" t="s">
        <v>1489</v>
      </c>
      <c r="E4393" s="5" t="s">
        <v>3519</v>
      </c>
      <c r="F4393" s="5" t="s">
        <v>1251</v>
      </c>
    </row>
    <row r="4394">
      <c r="A4394" s="5" t="s">
        <v>2595</v>
      </c>
      <c r="B4394" s="8">
        <v>7.0</v>
      </c>
      <c r="C4394" s="7" t="s">
        <v>162</v>
      </c>
      <c r="D4394" s="7" t="s">
        <v>1489</v>
      </c>
      <c r="E4394" s="5" t="s">
        <v>3519</v>
      </c>
      <c r="F4394" s="5" t="s">
        <v>3520</v>
      </c>
    </row>
    <row r="4395">
      <c r="A4395" s="5" t="s">
        <v>3089</v>
      </c>
      <c r="B4395" s="8">
        <v>7.0</v>
      </c>
      <c r="C4395" s="7" t="s">
        <v>162</v>
      </c>
      <c r="D4395" s="7" t="s">
        <v>1489</v>
      </c>
      <c r="E4395" s="5" t="s">
        <v>3519</v>
      </c>
      <c r="F4395" s="5" t="s">
        <v>3521</v>
      </c>
    </row>
    <row r="4396">
      <c r="A4396" s="5" t="s">
        <v>2597</v>
      </c>
      <c r="B4396" s="8">
        <v>7.0</v>
      </c>
      <c r="C4396" s="7" t="s">
        <v>162</v>
      </c>
      <c r="D4396" s="7" t="s">
        <v>1489</v>
      </c>
      <c r="E4396" s="5" t="s">
        <v>3519</v>
      </c>
      <c r="F4396" s="5" t="s">
        <v>3282</v>
      </c>
    </row>
    <row r="4397">
      <c r="A4397" s="7" t="s">
        <v>8</v>
      </c>
      <c r="B4397" s="8">
        <v>7.0</v>
      </c>
      <c r="C4397" s="7" t="s">
        <v>162</v>
      </c>
      <c r="D4397" s="7" t="s">
        <v>1489</v>
      </c>
      <c r="E4397" s="5" t="s">
        <v>3519</v>
      </c>
      <c r="F4397" s="7" t="s">
        <v>1428</v>
      </c>
    </row>
    <row r="4398">
      <c r="A4398" s="5" t="s">
        <v>2798</v>
      </c>
      <c r="B4398" s="8">
        <v>7.0</v>
      </c>
      <c r="C4398" s="7" t="s">
        <v>162</v>
      </c>
      <c r="D4398" s="7" t="s">
        <v>1489</v>
      </c>
      <c r="E4398" s="5" t="s">
        <v>3519</v>
      </c>
      <c r="F4398" s="5" t="s">
        <v>2001</v>
      </c>
    </row>
    <row r="4399">
      <c r="A4399" s="5" t="s">
        <v>2702</v>
      </c>
      <c r="B4399" s="8">
        <v>7.0</v>
      </c>
      <c r="C4399" s="7" t="s">
        <v>162</v>
      </c>
      <c r="D4399" s="7" t="s">
        <v>1489</v>
      </c>
      <c r="E4399" s="5" t="s">
        <v>3519</v>
      </c>
      <c r="F4399" s="5" t="s">
        <v>3336</v>
      </c>
    </row>
    <row r="4400">
      <c r="A4400" s="5" t="s">
        <v>2599</v>
      </c>
      <c r="B4400" s="8">
        <v>7.0</v>
      </c>
      <c r="C4400" s="7" t="s">
        <v>162</v>
      </c>
      <c r="D4400" s="7" t="s">
        <v>1489</v>
      </c>
      <c r="E4400" s="5" t="s">
        <v>3519</v>
      </c>
      <c r="F4400" s="5" t="s">
        <v>1251</v>
      </c>
    </row>
    <row r="4401">
      <c r="A4401" s="5" t="s">
        <v>2600</v>
      </c>
      <c r="B4401" s="8">
        <v>7.0</v>
      </c>
      <c r="C4401" s="7" t="s">
        <v>162</v>
      </c>
      <c r="D4401" s="7" t="s">
        <v>1489</v>
      </c>
      <c r="E4401" s="5" t="s">
        <v>3519</v>
      </c>
      <c r="F4401" s="5" t="s">
        <v>3355</v>
      </c>
    </row>
    <row r="4402">
      <c r="A4402" s="5" t="s">
        <v>3090</v>
      </c>
      <c r="B4402" s="8">
        <v>7.0</v>
      </c>
      <c r="C4402" s="7" t="s">
        <v>162</v>
      </c>
      <c r="D4402" s="7" t="s">
        <v>1489</v>
      </c>
      <c r="E4402" s="5" t="s">
        <v>3519</v>
      </c>
      <c r="F4402" s="5" t="s">
        <v>1494</v>
      </c>
    </row>
    <row r="4403">
      <c r="A4403" s="7" t="s">
        <v>873</v>
      </c>
      <c r="B4403" s="8">
        <v>7.0</v>
      </c>
      <c r="C4403" s="7" t="s">
        <v>162</v>
      </c>
      <c r="D4403" s="7" t="s">
        <v>1489</v>
      </c>
      <c r="E4403" s="5" t="s">
        <v>3519</v>
      </c>
      <c r="F4403" s="5" t="s">
        <v>3522</v>
      </c>
    </row>
    <row r="4404">
      <c r="A4404" s="5" t="s">
        <v>2602</v>
      </c>
      <c r="B4404" s="8">
        <v>7.0</v>
      </c>
      <c r="C4404" s="7" t="s">
        <v>162</v>
      </c>
      <c r="D4404" s="7" t="s">
        <v>1489</v>
      </c>
      <c r="E4404" s="5" t="s">
        <v>3519</v>
      </c>
      <c r="F4404" s="5" t="s">
        <v>2706</v>
      </c>
    </row>
    <row r="4405">
      <c r="A4405" s="5" t="s">
        <v>2603</v>
      </c>
      <c r="B4405" s="8">
        <v>7.0</v>
      </c>
      <c r="C4405" s="7" t="s">
        <v>162</v>
      </c>
      <c r="D4405" s="7" t="s">
        <v>1489</v>
      </c>
      <c r="E4405" s="5" t="s">
        <v>3519</v>
      </c>
      <c r="F4405" s="5" t="s">
        <v>3523</v>
      </c>
    </row>
    <row r="4406">
      <c r="A4406" s="7" t="s">
        <v>874</v>
      </c>
      <c r="B4406" s="8">
        <v>7.0</v>
      </c>
      <c r="C4406" s="7" t="s">
        <v>162</v>
      </c>
      <c r="D4406" s="7" t="s">
        <v>1489</v>
      </c>
      <c r="E4406" s="5" t="s">
        <v>3519</v>
      </c>
      <c r="F4406" s="5" t="s">
        <v>3478</v>
      </c>
    </row>
    <row r="4407">
      <c r="A4407" s="5" t="s">
        <v>2604</v>
      </c>
      <c r="B4407" s="8">
        <v>7.0</v>
      </c>
      <c r="C4407" s="7" t="s">
        <v>162</v>
      </c>
      <c r="D4407" s="7" t="s">
        <v>1489</v>
      </c>
      <c r="E4407" s="5" t="s">
        <v>3519</v>
      </c>
      <c r="F4407" s="5" t="s">
        <v>780</v>
      </c>
    </row>
    <row r="4408">
      <c r="A4408" s="5" t="s">
        <v>3091</v>
      </c>
      <c r="B4408" s="8">
        <v>7.0</v>
      </c>
      <c r="C4408" s="7" t="s">
        <v>162</v>
      </c>
      <c r="D4408" s="7" t="s">
        <v>1489</v>
      </c>
      <c r="E4408" s="5" t="s">
        <v>3519</v>
      </c>
      <c r="F4408" s="5" t="s">
        <v>1361</v>
      </c>
    </row>
    <row r="4409">
      <c r="A4409" s="5" t="s">
        <v>2605</v>
      </c>
      <c r="B4409" s="8">
        <v>7.0</v>
      </c>
      <c r="C4409" s="7" t="s">
        <v>162</v>
      </c>
      <c r="D4409" s="7" t="s">
        <v>1489</v>
      </c>
      <c r="E4409" s="5" t="s">
        <v>3519</v>
      </c>
      <c r="F4409" s="5" t="s">
        <v>3340</v>
      </c>
    </row>
    <row r="4410">
      <c r="A4410" s="5" t="s">
        <v>2933</v>
      </c>
      <c r="B4410" s="8">
        <v>7.0</v>
      </c>
      <c r="C4410" s="7" t="s">
        <v>162</v>
      </c>
      <c r="D4410" s="7" t="s">
        <v>1489</v>
      </c>
      <c r="E4410" s="5" t="s">
        <v>3519</v>
      </c>
      <c r="F4410" s="5" t="s">
        <v>1251</v>
      </c>
    </row>
    <row r="4411">
      <c r="A4411" s="5" t="s">
        <v>2606</v>
      </c>
      <c r="B4411" s="8">
        <v>7.0</v>
      </c>
      <c r="C4411" s="7" t="s">
        <v>162</v>
      </c>
      <c r="D4411" s="7" t="s">
        <v>1489</v>
      </c>
      <c r="E4411" s="5" t="s">
        <v>3519</v>
      </c>
      <c r="F4411" s="5" t="s">
        <v>1251</v>
      </c>
    </row>
    <row r="4412">
      <c r="A4412" s="5" t="s">
        <v>2934</v>
      </c>
      <c r="B4412" s="8">
        <v>7.0</v>
      </c>
      <c r="C4412" s="7" t="s">
        <v>162</v>
      </c>
      <c r="D4412" s="7" t="s">
        <v>1489</v>
      </c>
      <c r="E4412" s="5" t="s">
        <v>3519</v>
      </c>
      <c r="F4412" s="5" t="s">
        <v>3104</v>
      </c>
    </row>
    <row r="4413">
      <c r="A4413" s="5" t="s">
        <v>2607</v>
      </c>
      <c r="B4413" s="8">
        <v>7.0</v>
      </c>
      <c r="C4413" s="7" t="s">
        <v>162</v>
      </c>
      <c r="D4413" s="7" t="s">
        <v>1489</v>
      </c>
      <c r="E4413" s="5" t="s">
        <v>3519</v>
      </c>
      <c r="F4413" s="5" t="s">
        <v>1251</v>
      </c>
    </row>
    <row r="4414">
      <c r="A4414" s="7" t="s">
        <v>876</v>
      </c>
      <c r="B4414" s="8">
        <v>7.0</v>
      </c>
      <c r="C4414" s="7" t="s">
        <v>162</v>
      </c>
      <c r="D4414" s="7" t="s">
        <v>1489</v>
      </c>
      <c r="E4414" s="5" t="s">
        <v>3519</v>
      </c>
      <c r="F4414" s="5" t="s">
        <v>3524</v>
      </c>
    </row>
    <row r="4415">
      <c r="A4415" s="5" t="s">
        <v>3092</v>
      </c>
      <c r="B4415" s="8">
        <v>7.0</v>
      </c>
      <c r="C4415" s="7" t="s">
        <v>162</v>
      </c>
      <c r="D4415" s="7" t="s">
        <v>1489</v>
      </c>
      <c r="E4415" s="5" t="s">
        <v>3519</v>
      </c>
      <c r="F4415" s="5" t="s">
        <v>1251</v>
      </c>
    </row>
    <row r="4416">
      <c r="A4416" s="5" t="s">
        <v>2614</v>
      </c>
      <c r="B4416" s="8">
        <v>7.0</v>
      </c>
      <c r="C4416" s="7" t="s">
        <v>162</v>
      </c>
      <c r="D4416" s="7" t="s">
        <v>1489</v>
      </c>
      <c r="E4416" s="5" t="s">
        <v>3519</v>
      </c>
      <c r="F4416" s="7" t="s">
        <v>1499</v>
      </c>
    </row>
    <row r="4417">
      <c r="A4417" s="5" t="s">
        <v>2608</v>
      </c>
      <c r="B4417" s="8">
        <v>7.0</v>
      </c>
      <c r="C4417" s="7" t="s">
        <v>162</v>
      </c>
      <c r="D4417" s="7" t="s">
        <v>1489</v>
      </c>
      <c r="E4417" s="5" t="s">
        <v>3519</v>
      </c>
      <c r="F4417" s="5" t="s">
        <v>780</v>
      </c>
    </row>
    <row r="4418">
      <c r="A4418" s="5" t="s">
        <v>2609</v>
      </c>
      <c r="B4418" s="8">
        <v>7.0</v>
      </c>
      <c r="C4418" s="7" t="s">
        <v>162</v>
      </c>
      <c r="D4418" s="7" t="s">
        <v>1489</v>
      </c>
      <c r="E4418" s="5" t="s">
        <v>3519</v>
      </c>
      <c r="F4418" s="5" t="s">
        <v>780</v>
      </c>
    </row>
    <row r="4419">
      <c r="A4419" s="5" t="s">
        <v>2594</v>
      </c>
      <c r="B4419" s="8">
        <v>7.0</v>
      </c>
      <c r="C4419" s="7" t="s">
        <v>1229</v>
      </c>
      <c r="D4419" s="7" t="s">
        <v>1500</v>
      </c>
      <c r="E4419" s="5" t="s">
        <v>3525</v>
      </c>
      <c r="F4419" s="5" t="s">
        <v>3104</v>
      </c>
    </row>
    <row r="4420">
      <c r="A4420" s="5" t="s">
        <v>3087</v>
      </c>
      <c r="B4420" s="8">
        <v>7.0</v>
      </c>
      <c r="C4420" s="7" t="s">
        <v>1229</v>
      </c>
      <c r="D4420" s="7" t="s">
        <v>1500</v>
      </c>
      <c r="E4420" s="5" t="s">
        <v>3525</v>
      </c>
      <c r="F4420" s="5" t="s">
        <v>3344</v>
      </c>
    </row>
    <row r="4421">
      <c r="A4421" s="7" t="s">
        <v>188</v>
      </c>
      <c r="B4421" s="8">
        <v>7.0</v>
      </c>
      <c r="C4421" s="7" t="s">
        <v>1502</v>
      </c>
      <c r="D4421" s="7" t="s">
        <v>1503</v>
      </c>
      <c r="E4421" s="5" t="s">
        <v>3526</v>
      </c>
      <c r="F4421" s="5" t="s">
        <v>3527</v>
      </c>
    </row>
    <row r="4422">
      <c r="A4422" s="5" t="s">
        <v>2796</v>
      </c>
      <c r="B4422" s="8">
        <v>7.0</v>
      </c>
      <c r="C4422" s="7" t="s">
        <v>1502</v>
      </c>
      <c r="D4422" s="7" t="s">
        <v>1503</v>
      </c>
      <c r="E4422" s="5" t="s">
        <v>3526</v>
      </c>
      <c r="F4422" s="5" t="s">
        <v>3527</v>
      </c>
    </row>
    <row r="4423">
      <c r="A4423" s="5" t="s">
        <v>3388</v>
      </c>
      <c r="B4423" s="8">
        <v>7.0</v>
      </c>
      <c r="C4423" s="7" t="s">
        <v>1502</v>
      </c>
      <c r="D4423" s="7" t="s">
        <v>1503</v>
      </c>
      <c r="E4423" s="5" t="s">
        <v>3526</v>
      </c>
      <c r="F4423" s="5" t="s">
        <v>3528</v>
      </c>
    </row>
    <row r="4424">
      <c r="A4424" s="5" t="s">
        <v>2595</v>
      </c>
      <c r="B4424" s="8">
        <v>7.0</v>
      </c>
      <c r="C4424" s="7" t="s">
        <v>1502</v>
      </c>
      <c r="D4424" s="7" t="s">
        <v>1503</v>
      </c>
      <c r="E4424" s="5" t="s">
        <v>3526</v>
      </c>
      <c r="F4424" s="5" t="s">
        <v>3529</v>
      </c>
    </row>
    <row r="4425">
      <c r="A4425" s="5" t="s">
        <v>3089</v>
      </c>
      <c r="B4425" s="8">
        <v>7.0</v>
      </c>
      <c r="C4425" s="7" t="s">
        <v>1502</v>
      </c>
      <c r="D4425" s="7" t="s">
        <v>1503</v>
      </c>
      <c r="E4425" s="5" t="s">
        <v>3526</v>
      </c>
      <c r="F4425" s="5" t="s">
        <v>3530</v>
      </c>
    </row>
    <row r="4426">
      <c r="A4426" s="5" t="s">
        <v>2597</v>
      </c>
      <c r="B4426" s="8">
        <v>7.0</v>
      </c>
      <c r="C4426" s="7" t="s">
        <v>1502</v>
      </c>
      <c r="D4426" s="7" t="s">
        <v>1503</v>
      </c>
      <c r="E4426" s="5" t="s">
        <v>3526</v>
      </c>
      <c r="F4426" s="7" t="s">
        <v>1509</v>
      </c>
    </row>
    <row r="4427">
      <c r="A4427" s="7" t="s">
        <v>8</v>
      </c>
      <c r="B4427" s="8">
        <v>7.0</v>
      </c>
      <c r="C4427" s="7" t="s">
        <v>1502</v>
      </c>
      <c r="D4427" s="7" t="s">
        <v>1503</v>
      </c>
      <c r="E4427" s="5" t="s">
        <v>3526</v>
      </c>
      <c r="F4427" s="5" t="s">
        <v>3531</v>
      </c>
    </row>
    <row r="4428">
      <c r="A4428" s="5" t="s">
        <v>2702</v>
      </c>
      <c r="B4428" s="8">
        <v>7.0</v>
      </c>
      <c r="C4428" s="7" t="s">
        <v>1502</v>
      </c>
      <c r="D4428" s="7" t="s">
        <v>1503</v>
      </c>
      <c r="E4428" s="5" t="s">
        <v>3526</v>
      </c>
      <c r="F4428" s="5" t="s">
        <v>3527</v>
      </c>
    </row>
    <row r="4429">
      <c r="A4429" s="5" t="s">
        <v>2599</v>
      </c>
      <c r="B4429" s="8">
        <v>7.0</v>
      </c>
      <c r="C4429" s="7" t="s">
        <v>1502</v>
      </c>
      <c r="D4429" s="7" t="s">
        <v>1503</v>
      </c>
      <c r="E4429" s="5" t="s">
        <v>3526</v>
      </c>
      <c r="F4429" s="5" t="s">
        <v>3532</v>
      </c>
    </row>
    <row r="4430">
      <c r="A4430" s="5" t="s">
        <v>2600</v>
      </c>
      <c r="B4430" s="8">
        <v>7.0</v>
      </c>
      <c r="C4430" s="7" t="s">
        <v>1502</v>
      </c>
      <c r="D4430" s="7" t="s">
        <v>1503</v>
      </c>
      <c r="E4430" s="5" t="s">
        <v>3526</v>
      </c>
      <c r="F4430" s="5" t="s">
        <v>3533</v>
      </c>
    </row>
    <row r="4431">
      <c r="A4431" s="5" t="s">
        <v>3090</v>
      </c>
      <c r="B4431" s="8">
        <v>7.0</v>
      </c>
      <c r="C4431" s="7" t="s">
        <v>1502</v>
      </c>
      <c r="D4431" s="7" t="s">
        <v>1503</v>
      </c>
      <c r="E4431" s="5" t="s">
        <v>3526</v>
      </c>
      <c r="F4431" s="5" t="s">
        <v>3534</v>
      </c>
    </row>
    <row r="4432">
      <c r="A4432" s="7" t="s">
        <v>873</v>
      </c>
      <c r="B4432" s="8">
        <v>7.0</v>
      </c>
      <c r="C4432" s="7" t="s">
        <v>1502</v>
      </c>
      <c r="D4432" s="7" t="s">
        <v>1503</v>
      </c>
      <c r="E4432" s="5" t="s">
        <v>3526</v>
      </c>
      <c r="F4432" s="5" t="s">
        <v>3535</v>
      </c>
    </row>
    <row r="4433">
      <c r="A4433" s="5" t="s">
        <v>2602</v>
      </c>
      <c r="B4433" s="8">
        <v>7.0</v>
      </c>
      <c r="C4433" s="7" t="s">
        <v>1502</v>
      </c>
      <c r="D4433" s="7" t="s">
        <v>1503</v>
      </c>
      <c r="E4433" s="5" t="s">
        <v>3526</v>
      </c>
      <c r="F4433" s="5" t="s">
        <v>3536</v>
      </c>
    </row>
    <row r="4434">
      <c r="A4434" s="5" t="s">
        <v>2603</v>
      </c>
      <c r="B4434" s="8">
        <v>7.0</v>
      </c>
      <c r="C4434" s="7" t="s">
        <v>1502</v>
      </c>
      <c r="D4434" s="7" t="s">
        <v>1503</v>
      </c>
      <c r="E4434" s="5" t="s">
        <v>3526</v>
      </c>
      <c r="F4434" s="5" t="s">
        <v>3536</v>
      </c>
    </row>
    <row r="4435">
      <c r="A4435" s="7" t="s">
        <v>874</v>
      </c>
      <c r="B4435" s="8">
        <v>7.0</v>
      </c>
      <c r="C4435" s="7" t="s">
        <v>1502</v>
      </c>
      <c r="D4435" s="7" t="s">
        <v>1503</v>
      </c>
      <c r="E4435" s="5" t="s">
        <v>3526</v>
      </c>
      <c r="F4435" s="5" t="s">
        <v>3536</v>
      </c>
    </row>
    <row r="4436">
      <c r="A4436" s="5" t="s">
        <v>2604</v>
      </c>
      <c r="B4436" s="8">
        <v>7.0</v>
      </c>
      <c r="C4436" s="7" t="s">
        <v>1502</v>
      </c>
      <c r="D4436" s="7" t="s">
        <v>1503</v>
      </c>
      <c r="E4436" s="5" t="s">
        <v>3526</v>
      </c>
      <c r="F4436" s="5" t="s">
        <v>3537</v>
      </c>
    </row>
    <row r="4437">
      <c r="A4437" s="5" t="s">
        <v>3091</v>
      </c>
      <c r="B4437" s="8">
        <v>7.0</v>
      </c>
      <c r="C4437" s="7" t="s">
        <v>1502</v>
      </c>
      <c r="D4437" s="7" t="s">
        <v>1503</v>
      </c>
      <c r="E4437" s="5" t="s">
        <v>3526</v>
      </c>
      <c r="F4437" s="5" t="s">
        <v>3538</v>
      </c>
    </row>
    <row r="4438">
      <c r="A4438" s="5" t="s">
        <v>2605</v>
      </c>
      <c r="B4438" s="8">
        <v>7.0</v>
      </c>
      <c r="C4438" s="7" t="s">
        <v>1502</v>
      </c>
      <c r="D4438" s="7" t="s">
        <v>1503</v>
      </c>
      <c r="E4438" s="5" t="s">
        <v>3526</v>
      </c>
      <c r="F4438" s="5" t="s">
        <v>3533</v>
      </c>
    </row>
    <row r="4439">
      <c r="A4439" s="5" t="s">
        <v>2933</v>
      </c>
      <c r="B4439" s="8">
        <v>7.0</v>
      </c>
      <c r="C4439" s="7" t="s">
        <v>1502</v>
      </c>
      <c r="D4439" s="7" t="s">
        <v>1503</v>
      </c>
      <c r="E4439" s="5" t="s">
        <v>3526</v>
      </c>
      <c r="F4439" s="5" t="s">
        <v>3533</v>
      </c>
    </row>
    <row r="4440">
      <c r="A4440" s="5" t="s">
        <v>2606</v>
      </c>
      <c r="B4440" s="8">
        <v>7.0</v>
      </c>
      <c r="C4440" s="7" t="s">
        <v>1502</v>
      </c>
      <c r="D4440" s="7" t="s">
        <v>1503</v>
      </c>
      <c r="E4440" s="5" t="s">
        <v>3526</v>
      </c>
      <c r="F4440" s="5" t="s">
        <v>3533</v>
      </c>
    </row>
    <row r="4441">
      <c r="A4441" s="5" t="s">
        <v>2934</v>
      </c>
      <c r="B4441" s="8">
        <v>7.0</v>
      </c>
      <c r="C4441" s="7" t="s">
        <v>1502</v>
      </c>
      <c r="D4441" s="7" t="s">
        <v>1503</v>
      </c>
      <c r="E4441" s="5" t="s">
        <v>3526</v>
      </c>
      <c r="F4441" s="5" t="s">
        <v>3533</v>
      </c>
    </row>
    <row r="4442">
      <c r="A4442" s="5" t="s">
        <v>2607</v>
      </c>
      <c r="B4442" s="8">
        <v>7.0</v>
      </c>
      <c r="C4442" s="7" t="s">
        <v>1502</v>
      </c>
      <c r="D4442" s="7" t="s">
        <v>1503</v>
      </c>
      <c r="E4442" s="5" t="s">
        <v>3526</v>
      </c>
      <c r="F4442" s="5" t="s">
        <v>3539</v>
      </c>
    </row>
    <row r="4443">
      <c r="A4443" s="7" t="s">
        <v>876</v>
      </c>
      <c r="B4443" s="8">
        <v>7.0</v>
      </c>
      <c r="C4443" s="7" t="s">
        <v>1502</v>
      </c>
      <c r="D4443" s="7" t="s">
        <v>1503</v>
      </c>
      <c r="E4443" s="5" t="s">
        <v>3526</v>
      </c>
      <c r="F4443" s="5" t="s">
        <v>3540</v>
      </c>
    </row>
    <row r="4444">
      <c r="A4444" s="5" t="s">
        <v>3092</v>
      </c>
      <c r="B4444" s="8">
        <v>7.0</v>
      </c>
      <c r="C4444" s="7" t="s">
        <v>1502</v>
      </c>
      <c r="D4444" s="7" t="s">
        <v>1503</v>
      </c>
      <c r="E4444" s="5" t="s">
        <v>3526</v>
      </c>
      <c r="F4444" s="5" t="s">
        <v>3541</v>
      </c>
    </row>
    <row r="4445">
      <c r="A4445" s="5" t="s">
        <v>2614</v>
      </c>
      <c r="B4445" s="8">
        <v>7.0</v>
      </c>
      <c r="C4445" s="7" t="s">
        <v>1502</v>
      </c>
      <c r="D4445" s="7" t="s">
        <v>1503</v>
      </c>
      <c r="E4445" s="5" t="s">
        <v>3526</v>
      </c>
      <c r="F4445" s="5" t="s">
        <v>3542</v>
      </c>
    </row>
    <row r="4446">
      <c r="A4446" s="5" t="s">
        <v>2608</v>
      </c>
      <c r="B4446" s="8">
        <v>7.0</v>
      </c>
      <c r="C4446" s="7" t="s">
        <v>1502</v>
      </c>
      <c r="D4446" s="7" t="s">
        <v>1503</v>
      </c>
      <c r="E4446" s="5" t="s">
        <v>3526</v>
      </c>
      <c r="F4446" s="5" t="s">
        <v>3543</v>
      </c>
    </row>
    <row r="4447">
      <c r="A4447" s="5" t="s">
        <v>2609</v>
      </c>
      <c r="B4447" s="8">
        <v>7.0</v>
      </c>
      <c r="C4447" s="7" t="s">
        <v>1502</v>
      </c>
      <c r="D4447" s="7" t="s">
        <v>1503</v>
      </c>
      <c r="E4447" s="5" t="s">
        <v>3526</v>
      </c>
      <c r="F4447" s="5" t="s">
        <v>3543</v>
      </c>
    </row>
    <row r="4448">
      <c r="A4448" s="7" t="s">
        <v>188</v>
      </c>
      <c r="B4448" s="8">
        <v>7.0</v>
      </c>
      <c r="C4448" s="7" t="s">
        <v>347</v>
      </c>
      <c r="D4448" s="5" t="s">
        <v>2978</v>
      </c>
      <c r="E4448" s="5" t="s">
        <v>3544</v>
      </c>
      <c r="F4448" s="5" t="s">
        <v>2820</v>
      </c>
    </row>
    <row r="4449">
      <c r="A4449" s="5" t="s">
        <v>2592</v>
      </c>
      <c r="B4449" s="8">
        <v>7.0</v>
      </c>
      <c r="C4449" s="7" t="s">
        <v>347</v>
      </c>
      <c r="D4449" s="5" t="s">
        <v>2978</v>
      </c>
      <c r="E4449" s="5" t="s">
        <v>3544</v>
      </c>
      <c r="F4449" s="5" t="s">
        <v>240</v>
      </c>
    </row>
    <row r="4450">
      <c r="A4450" s="5" t="s">
        <v>2796</v>
      </c>
      <c r="B4450" s="8">
        <v>7.0</v>
      </c>
      <c r="C4450" s="7" t="s">
        <v>347</v>
      </c>
      <c r="D4450" s="5" t="s">
        <v>2978</v>
      </c>
      <c r="E4450" s="5" t="s">
        <v>3544</v>
      </c>
      <c r="F4450" s="5" t="s">
        <v>76</v>
      </c>
    </row>
    <row r="4451">
      <c r="A4451" s="5" t="s">
        <v>2594</v>
      </c>
      <c r="B4451" s="8">
        <v>7.0</v>
      </c>
      <c r="C4451" s="7" t="s">
        <v>347</v>
      </c>
      <c r="D4451" s="5" t="s">
        <v>2978</v>
      </c>
      <c r="E4451" s="5" t="s">
        <v>3544</v>
      </c>
      <c r="F4451" s="5" t="s">
        <v>305</v>
      </c>
    </row>
    <row r="4452">
      <c r="A4452" s="5" t="s">
        <v>3086</v>
      </c>
      <c r="B4452" s="8">
        <v>7.0</v>
      </c>
      <c r="C4452" s="7" t="s">
        <v>347</v>
      </c>
      <c r="D4452" s="5" t="s">
        <v>2978</v>
      </c>
      <c r="E4452" s="5" t="s">
        <v>3544</v>
      </c>
      <c r="F4452" s="5" t="s">
        <v>3318</v>
      </c>
    </row>
    <row r="4453">
      <c r="A4453" s="7" t="s">
        <v>868</v>
      </c>
      <c r="B4453" s="8">
        <v>7.0</v>
      </c>
      <c r="C4453" s="7" t="s">
        <v>347</v>
      </c>
      <c r="D4453" s="5" t="s">
        <v>2978</v>
      </c>
      <c r="E4453" s="5" t="s">
        <v>3544</v>
      </c>
      <c r="F4453" s="5" t="s">
        <v>305</v>
      </c>
    </row>
    <row r="4454">
      <c r="A4454" s="5" t="s">
        <v>3087</v>
      </c>
      <c r="B4454" s="8">
        <v>7.0</v>
      </c>
      <c r="C4454" s="7" t="s">
        <v>347</v>
      </c>
      <c r="D4454" s="5" t="s">
        <v>2978</v>
      </c>
      <c r="E4454" s="5" t="s">
        <v>3544</v>
      </c>
      <c r="F4454" s="5" t="s">
        <v>238</v>
      </c>
    </row>
    <row r="4455">
      <c r="A4455" s="5" t="s">
        <v>3088</v>
      </c>
      <c r="B4455" s="8">
        <v>7.0</v>
      </c>
      <c r="C4455" s="7" t="s">
        <v>347</v>
      </c>
      <c r="D4455" s="5" t="s">
        <v>2978</v>
      </c>
      <c r="E4455" s="5" t="s">
        <v>3544</v>
      </c>
      <c r="F4455" s="5" t="s">
        <v>3347</v>
      </c>
    </row>
    <row r="4456">
      <c r="A4456" s="5" t="s">
        <v>3388</v>
      </c>
      <c r="B4456" s="8">
        <v>7.0</v>
      </c>
      <c r="C4456" s="7" t="s">
        <v>347</v>
      </c>
      <c r="D4456" s="5" t="s">
        <v>2978</v>
      </c>
      <c r="E4456" s="5" t="s">
        <v>3544</v>
      </c>
      <c r="F4456" s="5" t="s">
        <v>271</v>
      </c>
    </row>
    <row r="4457">
      <c r="A4457" s="5" t="s">
        <v>2595</v>
      </c>
      <c r="B4457" s="8">
        <v>7.0</v>
      </c>
      <c r="C4457" s="7" t="s">
        <v>347</v>
      </c>
      <c r="D4457" s="5" t="s">
        <v>2978</v>
      </c>
      <c r="E4457" s="5" t="s">
        <v>3544</v>
      </c>
      <c r="F4457" s="5" t="s">
        <v>240</v>
      </c>
    </row>
    <row r="4458">
      <c r="A4458" s="5" t="s">
        <v>3089</v>
      </c>
      <c r="B4458" s="8">
        <v>7.0</v>
      </c>
      <c r="C4458" s="7" t="s">
        <v>347</v>
      </c>
      <c r="D4458" s="5" t="s">
        <v>2978</v>
      </c>
      <c r="E4458" s="5" t="s">
        <v>3544</v>
      </c>
      <c r="F4458" s="5" t="s">
        <v>305</v>
      </c>
    </row>
    <row r="4459">
      <c r="A4459" s="5" t="s">
        <v>2597</v>
      </c>
      <c r="B4459" s="8">
        <v>7.0</v>
      </c>
      <c r="C4459" s="7" t="s">
        <v>347</v>
      </c>
      <c r="D4459" s="5" t="s">
        <v>2978</v>
      </c>
      <c r="E4459" s="5" t="s">
        <v>3544</v>
      </c>
      <c r="F4459" s="5" t="s">
        <v>238</v>
      </c>
    </row>
    <row r="4460">
      <c r="A4460" s="7" t="s">
        <v>8</v>
      </c>
      <c r="B4460" s="8">
        <v>7.0</v>
      </c>
      <c r="C4460" s="7" t="s">
        <v>347</v>
      </c>
      <c r="D4460" s="5" t="s">
        <v>2978</v>
      </c>
      <c r="E4460" s="5" t="s">
        <v>3544</v>
      </c>
      <c r="F4460" s="5" t="s">
        <v>238</v>
      </c>
    </row>
    <row r="4461">
      <c r="A4461" s="5" t="s">
        <v>2798</v>
      </c>
      <c r="B4461" s="8">
        <v>7.0</v>
      </c>
      <c r="C4461" s="7" t="s">
        <v>347</v>
      </c>
      <c r="D4461" s="5" t="s">
        <v>2978</v>
      </c>
      <c r="E4461" s="5" t="s">
        <v>3544</v>
      </c>
      <c r="F4461" s="5" t="s">
        <v>3545</v>
      </c>
    </row>
    <row r="4462">
      <c r="A4462" s="5" t="s">
        <v>2702</v>
      </c>
      <c r="B4462" s="8">
        <v>7.0</v>
      </c>
      <c r="C4462" s="7" t="s">
        <v>347</v>
      </c>
      <c r="D4462" s="5" t="s">
        <v>2978</v>
      </c>
      <c r="E4462" s="5" t="s">
        <v>3544</v>
      </c>
      <c r="F4462" s="5" t="s">
        <v>271</v>
      </c>
    </row>
    <row r="4463">
      <c r="A4463" s="5" t="s">
        <v>2599</v>
      </c>
      <c r="B4463" s="8">
        <v>7.0</v>
      </c>
      <c r="C4463" s="7" t="s">
        <v>347</v>
      </c>
      <c r="D4463" s="5" t="s">
        <v>2978</v>
      </c>
      <c r="E4463" s="5" t="s">
        <v>3544</v>
      </c>
      <c r="F4463" s="5" t="s">
        <v>238</v>
      </c>
    </row>
    <row r="4464">
      <c r="A4464" s="5" t="s">
        <v>2600</v>
      </c>
      <c r="B4464" s="8">
        <v>7.0</v>
      </c>
      <c r="C4464" s="7" t="s">
        <v>347</v>
      </c>
      <c r="D4464" s="5" t="s">
        <v>2978</v>
      </c>
      <c r="E4464" s="5" t="s">
        <v>3544</v>
      </c>
      <c r="F4464" s="5" t="s">
        <v>271</v>
      </c>
    </row>
    <row r="4465">
      <c r="A4465" s="5" t="s">
        <v>3090</v>
      </c>
      <c r="B4465" s="8">
        <v>7.0</v>
      </c>
      <c r="C4465" s="7" t="s">
        <v>347</v>
      </c>
      <c r="D4465" s="5" t="s">
        <v>2978</v>
      </c>
      <c r="E4465" s="5" t="s">
        <v>3544</v>
      </c>
      <c r="F4465" s="5" t="s">
        <v>271</v>
      </c>
    </row>
    <row r="4466">
      <c r="A4466" s="7" t="s">
        <v>873</v>
      </c>
      <c r="B4466" s="8">
        <v>7.0</v>
      </c>
      <c r="C4466" s="7" t="s">
        <v>347</v>
      </c>
      <c r="D4466" s="5" t="s">
        <v>2978</v>
      </c>
      <c r="E4466" s="5" t="s">
        <v>3544</v>
      </c>
      <c r="F4466" s="5" t="s">
        <v>238</v>
      </c>
    </row>
    <row r="4467">
      <c r="A4467" s="5" t="s">
        <v>2602</v>
      </c>
      <c r="B4467" s="8">
        <v>7.0</v>
      </c>
      <c r="C4467" s="7" t="s">
        <v>347</v>
      </c>
      <c r="D4467" s="5" t="s">
        <v>2978</v>
      </c>
      <c r="E4467" s="5" t="s">
        <v>3544</v>
      </c>
      <c r="F4467" s="5" t="s">
        <v>238</v>
      </c>
    </row>
    <row r="4468">
      <c r="A4468" s="5" t="s">
        <v>2603</v>
      </c>
      <c r="B4468" s="8">
        <v>7.0</v>
      </c>
      <c r="C4468" s="7" t="s">
        <v>347</v>
      </c>
      <c r="D4468" s="5" t="s">
        <v>2978</v>
      </c>
      <c r="E4468" s="5" t="s">
        <v>3544</v>
      </c>
      <c r="F4468" s="5" t="s">
        <v>271</v>
      </c>
    </row>
    <row r="4469">
      <c r="A4469" s="7" t="s">
        <v>874</v>
      </c>
      <c r="B4469" s="8">
        <v>7.0</v>
      </c>
      <c r="C4469" s="7" t="s">
        <v>347</v>
      </c>
      <c r="D4469" s="5" t="s">
        <v>2978</v>
      </c>
      <c r="E4469" s="5" t="s">
        <v>3544</v>
      </c>
      <c r="F4469" s="5" t="s">
        <v>271</v>
      </c>
    </row>
    <row r="4470">
      <c r="A4470" s="5" t="s">
        <v>2604</v>
      </c>
      <c r="B4470" s="8">
        <v>7.0</v>
      </c>
      <c r="C4470" s="7" t="s">
        <v>347</v>
      </c>
      <c r="D4470" s="5" t="s">
        <v>2978</v>
      </c>
      <c r="E4470" s="5" t="s">
        <v>3544</v>
      </c>
      <c r="F4470" s="5" t="s">
        <v>271</v>
      </c>
    </row>
    <row r="4471">
      <c r="A4471" s="5" t="s">
        <v>3091</v>
      </c>
      <c r="B4471" s="8">
        <v>7.0</v>
      </c>
      <c r="C4471" s="7" t="s">
        <v>347</v>
      </c>
      <c r="D4471" s="5" t="s">
        <v>2978</v>
      </c>
      <c r="E4471" s="5" t="s">
        <v>3544</v>
      </c>
      <c r="F4471" s="5" t="s">
        <v>271</v>
      </c>
    </row>
    <row r="4472">
      <c r="A4472" s="5" t="s">
        <v>2605</v>
      </c>
      <c r="B4472" s="8">
        <v>7.0</v>
      </c>
      <c r="C4472" s="7" t="s">
        <v>347</v>
      </c>
      <c r="D4472" s="5" t="s">
        <v>2978</v>
      </c>
      <c r="E4472" s="5" t="s">
        <v>3544</v>
      </c>
      <c r="F4472" s="5" t="s">
        <v>271</v>
      </c>
    </row>
    <row r="4473">
      <c r="A4473" s="5" t="s">
        <v>2933</v>
      </c>
      <c r="B4473" s="8">
        <v>7.0</v>
      </c>
      <c r="C4473" s="7" t="s">
        <v>347</v>
      </c>
      <c r="D4473" s="5" t="s">
        <v>2978</v>
      </c>
      <c r="E4473" s="5" t="s">
        <v>3544</v>
      </c>
      <c r="F4473" s="5" t="s">
        <v>238</v>
      </c>
    </row>
    <row r="4474">
      <c r="A4474" s="5" t="s">
        <v>2606</v>
      </c>
      <c r="B4474" s="8">
        <v>7.0</v>
      </c>
      <c r="C4474" s="7" t="s">
        <v>347</v>
      </c>
      <c r="D4474" s="5" t="s">
        <v>2978</v>
      </c>
      <c r="E4474" s="5" t="s">
        <v>3544</v>
      </c>
      <c r="F4474" s="5" t="s">
        <v>238</v>
      </c>
    </row>
    <row r="4475">
      <c r="A4475" s="5" t="s">
        <v>2934</v>
      </c>
      <c r="B4475" s="8">
        <v>7.0</v>
      </c>
      <c r="C4475" s="7" t="s">
        <v>347</v>
      </c>
      <c r="D4475" s="5" t="s">
        <v>2978</v>
      </c>
      <c r="E4475" s="5" t="s">
        <v>3544</v>
      </c>
      <c r="F4475" s="5" t="s">
        <v>273</v>
      </c>
    </row>
    <row r="4476">
      <c r="A4476" s="5" t="s">
        <v>2607</v>
      </c>
      <c r="B4476" s="8">
        <v>7.0</v>
      </c>
      <c r="C4476" s="7" t="s">
        <v>347</v>
      </c>
      <c r="D4476" s="5" t="s">
        <v>2978</v>
      </c>
      <c r="E4476" s="5" t="s">
        <v>3544</v>
      </c>
      <c r="F4476" s="5" t="s">
        <v>238</v>
      </c>
    </row>
    <row r="4477">
      <c r="A4477" s="7" t="s">
        <v>876</v>
      </c>
      <c r="B4477" s="8">
        <v>7.0</v>
      </c>
      <c r="C4477" s="7" t="s">
        <v>347</v>
      </c>
      <c r="D4477" s="5" t="s">
        <v>2978</v>
      </c>
      <c r="E4477" s="5" t="s">
        <v>3544</v>
      </c>
      <c r="F4477" s="5" t="s">
        <v>273</v>
      </c>
    </row>
    <row r="4478">
      <c r="A4478" s="5" t="s">
        <v>3092</v>
      </c>
      <c r="B4478" s="8">
        <v>7.0</v>
      </c>
      <c r="C4478" s="7" t="s">
        <v>347</v>
      </c>
      <c r="D4478" s="5" t="s">
        <v>2978</v>
      </c>
      <c r="E4478" s="5" t="s">
        <v>3544</v>
      </c>
      <c r="F4478" s="5" t="s">
        <v>238</v>
      </c>
    </row>
    <row r="4479">
      <c r="A4479" s="5" t="s">
        <v>2614</v>
      </c>
      <c r="B4479" s="8">
        <v>7.0</v>
      </c>
      <c r="C4479" s="7" t="s">
        <v>347</v>
      </c>
      <c r="D4479" s="5" t="s">
        <v>2978</v>
      </c>
      <c r="E4479" s="5" t="s">
        <v>3544</v>
      </c>
      <c r="F4479" s="5" t="s">
        <v>238</v>
      </c>
    </row>
    <row r="4480">
      <c r="A4480" s="5" t="s">
        <v>2608</v>
      </c>
      <c r="B4480" s="8">
        <v>7.0</v>
      </c>
      <c r="C4480" s="7" t="s">
        <v>347</v>
      </c>
      <c r="D4480" s="5" t="s">
        <v>2978</v>
      </c>
      <c r="E4480" s="5" t="s">
        <v>3544</v>
      </c>
      <c r="F4480" s="5" t="s">
        <v>238</v>
      </c>
    </row>
    <row r="4481">
      <c r="A4481" s="5" t="s">
        <v>2609</v>
      </c>
      <c r="B4481" s="8">
        <v>7.0</v>
      </c>
      <c r="C4481" s="7" t="s">
        <v>347</v>
      </c>
      <c r="D4481" s="5" t="s">
        <v>2978</v>
      </c>
      <c r="E4481" s="5" t="s">
        <v>3544</v>
      </c>
      <c r="F4481" s="5" t="s">
        <v>238</v>
      </c>
    </row>
    <row r="4482">
      <c r="A4482" s="7" t="s">
        <v>188</v>
      </c>
      <c r="B4482" s="8">
        <v>7.0</v>
      </c>
      <c r="C4482" s="7" t="s">
        <v>354</v>
      </c>
      <c r="D4482" s="7" t="s">
        <v>1157</v>
      </c>
      <c r="E4482" s="5" t="s">
        <v>3546</v>
      </c>
      <c r="F4482" s="5" t="s">
        <v>3327</v>
      </c>
    </row>
    <row r="4483">
      <c r="A4483" s="5" t="s">
        <v>2592</v>
      </c>
      <c r="B4483" s="8">
        <v>7.0</v>
      </c>
      <c r="C4483" s="7" t="s">
        <v>354</v>
      </c>
      <c r="D4483" s="7" t="s">
        <v>1157</v>
      </c>
      <c r="E4483" s="5" t="s">
        <v>3546</v>
      </c>
      <c r="F4483" s="5" t="s">
        <v>906</v>
      </c>
    </row>
    <row r="4484">
      <c r="A4484" s="5" t="s">
        <v>2796</v>
      </c>
      <c r="B4484" s="8">
        <v>7.0</v>
      </c>
      <c r="C4484" s="7" t="s">
        <v>354</v>
      </c>
      <c r="D4484" s="7" t="s">
        <v>1157</v>
      </c>
      <c r="E4484" s="5" t="s">
        <v>3546</v>
      </c>
      <c r="F4484" s="5" t="s">
        <v>3350</v>
      </c>
    </row>
    <row r="4485">
      <c r="A4485" s="5" t="s">
        <v>2594</v>
      </c>
      <c r="B4485" s="8">
        <v>7.0</v>
      </c>
      <c r="C4485" s="7" t="s">
        <v>354</v>
      </c>
      <c r="D4485" s="7" t="s">
        <v>1157</v>
      </c>
      <c r="E4485" s="5" t="s">
        <v>3546</v>
      </c>
      <c r="F4485" s="5" t="s">
        <v>1213</v>
      </c>
    </row>
    <row r="4486">
      <c r="A4486" s="5" t="s">
        <v>3086</v>
      </c>
      <c r="B4486" s="8">
        <v>7.0</v>
      </c>
      <c r="C4486" s="7" t="s">
        <v>354</v>
      </c>
      <c r="D4486" s="7" t="s">
        <v>1157</v>
      </c>
      <c r="E4486" s="5" t="s">
        <v>3546</v>
      </c>
      <c r="F4486" s="5" t="s">
        <v>3328</v>
      </c>
    </row>
    <row r="4487">
      <c r="A4487" s="7" t="s">
        <v>868</v>
      </c>
      <c r="B4487" s="8">
        <v>7.0</v>
      </c>
      <c r="C4487" s="7" t="s">
        <v>354</v>
      </c>
      <c r="D4487" s="7" t="s">
        <v>1157</v>
      </c>
      <c r="E4487" s="5" t="s">
        <v>3546</v>
      </c>
      <c r="F4487" s="5" t="s">
        <v>2601</v>
      </c>
    </row>
    <row r="4488">
      <c r="A4488" s="5" t="s">
        <v>3087</v>
      </c>
      <c r="B4488" s="8">
        <v>7.0</v>
      </c>
      <c r="C4488" s="7" t="s">
        <v>354</v>
      </c>
      <c r="D4488" s="7" t="s">
        <v>1157</v>
      </c>
      <c r="E4488" s="5" t="s">
        <v>3546</v>
      </c>
      <c r="F4488" s="5" t="s">
        <v>3351</v>
      </c>
    </row>
    <row r="4489">
      <c r="A4489" s="5" t="s">
        <v>3088</v>
      </c>
      <c r="B4489" s="8">
        <v>7.0</v>
      </c>
      <c r="C4489" s="7" t="s">
        <v>354</v>
      </c>
      <c r="D4489" s="7" t="s">
        <v>1157</v>
      </c>
      <c r="E4489" s="5" t="s">
        <v>3546</v>
      </c>
      <c r="F4489" s="5" t="s">
        <v>3352</v>
      </c>
    </row>
    <row r="4490">
      <c r="A4490" s="5" t="s">
        <v>3388</v>
      </c>
      <c r="B4490" s="8">
        <v>7.0</v>
      </c>
      <c r="C4490" s="7" t="s">
        <v>354</v>
      </c>
      <c r="D4490" s="7" t="s">
        <v>1157</v>
      </c>
      <c r="E4490" s="5" t="s">
        <v>3546</v>
      </c>
      <c r="F4490" s="5" t="s">
        <v>1664</v>
      </c>
    </row>
    <row r="4491">
      <c r="A4491" s="5" t="s">
        <v>2595</v>
      </c>
      <c r="B4491" s="8">
        <v>7.0</v>
      </c>
      <c r="C4491" s="7" t="s">
        <v>354</v>
      </c>
      <c r="D4491" s="7" t="s">
        <v>1157</v>
      </c>
      <c r="E4491" s="5" t="s">
        <v>3546</v>
      </c>
      <c r="F4491" s="5" t="s">
        <v>3064</v>
      </c>
    </row>
    <row r="4492">
      <c r="A4492" s="5" t="s">
        <v>3089</v>
      </c>
      <c r="B4492" s="8">
        <v>7.0</v>
      </c>
      <c r="C4492" s="7" t="s">
        <v>354</v>
      </c>
      <c r="D4492" s="7" t="s">
        <v>1157</v>
      </c>
      <c r="E4492" s="5" t="s">
        <v>3546</v>
      </c>
      <c r="F4492" s="5" t="s">
        <v>3239</v>
      </c>
    </row>
    <row r="4493">
      <c r="A4493" s="5" t="s">
        <v>2597</v>
      </c>
      <c r="B4493" s="8">
        <v>7.0</v>
      </c>
      <c r="C4493" s="7" t="s">
        <v>354</v>
      </c>
      <c r="D4493" s="7" t="s">
        <v>1157</v>
      </c>
      <c r="E4493" s="5" t="s">
        <v>3546</v>
      </c>
      <c r="F4493" s="5" t="s">
        <v>3282</v>
      </c>
    </row>
    <row r="4494">
      <c r="A4494" s="7" t="s">
        <v>8</v>
      </c>
      <c r="B4494" s="8">
        <v>7.0</v>
      </c>
      <c r="C4494" s="7" t="s">
        <v>354</v>
      </c>
      <c r="D4494" s="7" t="s">
        <v>1157</v>
      </c>
      <c r="E4494" s="5" t="s">
        <v>3546</v>
      </c>
      <c r="F4494" s="7" t="s">
        <v>1428</v>
      </c>
    </row>
    <row r="4495">
      <c r="A4495" s="5" t="s">
        <v>2798</v>
      </c>
      <c r="B4495" s="8">
        <v>7.0</v>
      </c>
      <c r="C4495" s="7" t="s">
        <v>354</v>
      </c>
      <c r="D4495" s="7" t="s">
        <v>1157</v>
      </c>
      <c r="E4495" s="5" t="s">
        <v>3546</v>
      </c>
      <c r="F4495" s="5" t="s">
        <v>3486</v>
      </c>
    </row>
    <row r="4496">
      <c r="A4496" s="5" t="s">
        <v>2702</v>
      </c>
      <c r="B4496" s="8">
        <v>7.0</v>
      </c>
      <c r="C4496" s="7" t="s">
        <v>354</v>
      </c>
      <c r="D4496" s="7" t="s">
        <v>1157</v>
      </c>
      <c r="E4496" s="5" t="s">
        <v>3546</v>
      </c>
      <c r="F4496" s="5" t="s">
        <v>3229</v>
      </c>
    </row>
    <row r="4497">
      <c r="A4497" s="5" t="s">
        <v>2599</v>
      </c>
      <c r="B4497" s="8">
        <v>7.0</v>
      </c>
      <c r="C4497" s="7" t="s">
        <v>354</v>
      </c>
      <c r="D4497" s="7" t="s">
        <v>1157</v>
      </c>
      <c r="E4497" s="5" t="s">
        <v>3546</v>
      </c>
      <c r="F4497" s="5" t="s">
        <v>780</v>
      </c>
    </row>
    <row r="4498">
      <c r="A4498" s="5" t="s">
        <v>2600</v>
      </c>
      <c r="B4498" s="8">
        <v>7.0</v>
      </c>
      <c r="C4498" s="7" t="s">
        <v>354</v>
      </c>
      <c r="D4498" s="7" t="s">
        <v>1157</v>
      </c>
      <c r="E4498" s="5" t="s">
        <v>3546</v>
      </c>
      <c r="F4498" s="5" t="s">
        <v>3355</v>
      </c>
    </row>
    <row r="4499">
      <c r="A4499" s="5" t="s">
        <v>3090</v>
      </c>
      <c r="B4499" s="8">
        <v>7.0</v>
      </c>
      <c r="C4499" s="7" t="s">
        <v>354</v>
      </c>
      <c r="D4499" s="7" t="s">
        <v>1157</v>
      </c>
      <c r="E4499" s="5" t="s">
        <v>3546</v>
      </c>
      <c r="F4499" s="5" t="s">
        <v>1494</v>
      </c>
    </row>
    <row r="4500">
      <c r="A4500" s="7" t="s">
        <v>873</v>
      </c>
      <c r="B4500" s="8">
        <v>7.0</v>
      </c>
      <c r="C4500" s="7" t="s">
        <v>354</v>
      </c>
      <c r="D4500" s="7" t="s">
        <v>1157</v>
      </c>
      <c r="E4500" s="5" t="s">
        <v>3546</v>
      </c>
      <c r="F4500" s="5" t="s">
        <v>780</v>
      </c>
    </row>
    <row r="4501">
      <c r="A4501" s="5" t="s">
        <v>2602</v>
      </c>
      <c r="B4501" s="8">
        <v>7.0</v>
      </c>
      <c r="C4501" s="7" t="s">
        <v>354</v>
      </c>
      <c r="D4501" s="7" t="s">
        <v>1157</v>
      </c>
      <c r="E4501" s="5" t="s">
        <v>3546</v>
      </c>
      <c r="F4501" s="5" t="s">
        <v>3547</v>
      </c>
    </row>
    <row r="4502">
      <c r="A4502" s="5" t="s">
        <v>2603</v>
      </c>
      <c r="B4502" s="8">
        <v>7.0</v>
      </c>
      <c r="C4502" s="7" t="s">
        <v>354</v>
      </c>
      <c r="D4502" s="7" t="s">
        <v>1157</v>
      </c>
      <c r="E4502" s="5" t="s">
        <v>3546</v>
      </c>
      <c r="F4502" s="5" t="s">
        <v>3548</v>
      </c>
    </row>
    <row r="4503">
      <c r="A4503" s="7" t="s">
        <v>874</v>
      </c>
      <c r="B4503" s="8">
        <v>7.0</v>
      </c>
      <c r="C4503" s="7" t="s">
        <v>354</v>
      </c>
      <c r="D4503" s="7" t="s">
        <v>1157</v>
      </c>
      <c r="E4503" s="5" t="s">
        <v>3546</v>
      </c>
      <c r="F4503" s="5" t="s">
        <v>3478</v>
      </c>
    </row>
    <row r="4504">
      <c r="A4504" s="5" t="s">
        <v>2604</v>
      </c>
      <c r="B4504" s="8">
        <v>7.0</v>
      </c>
      <c r="C4504" s="7" t="s">
        <v>354</v>
      </c>
      <c r="D4504" s="7" t="s">
        <v>1157</v>
      </c>
      <c r="E4504" s="5" t="s">
        <v>3546</v>
      </c>
      <c r="F4504" s="5" t="s">
        <v>780</v>
      </c>
    </row>
    <row r="4505">
      <c r="A4505" s="5" t="s">
        <v>3091</v>
      </c>
      <c r="B4505" s="8">
        <v>7.0</v>
      </c>
      <c r="C4505" s="7" t="s">
        <v>354</v>
      </c>
      <c r="D4505" s="7" t="s">
        <v>1157</v>
      </c>
      <c r="E4505" s="5" t="s">
        <v>3546</v>
      </c>
      <c r="F4505" s="5" t="s">
        <v>1361</v>
      </c>
    </row>
    <row r="4506">
      <c r="A4506" s="5" t="s">
        <v>2605</v>
      </c>
      <c r="B4506" s="8">
        <v>7.0</v>
      </c>
      <c r="C4506" s="7" t="s">
        <v>354</v>
      </c>
      <c r="D4506" s="7" t="s">
        <v>1157</v>
      </c>
      <c r="E4506" s="5" t="s">
        <v>3546</v>
      </c>
      <c r="F4506" s="5" t="s">
        <v>3239</v>
      </c>
    </row>
    <row r="4507">
      <c r="A4507" s="5" t="s">
        <v>2933</v>
      </c>
      <c r="B4507" s="8">
        <v>7.0</v>
      </c>
      <c r="C4507" s="7" t="s">
        <v>354</v>
      </c>
      <c r="D4507" s="7" t="s">
        <v>1157</v>
      </c>
      <c r="E4507" s="5" t="s">
        <v>3546</v>
      </c>
      <c r="F4507" s="5" t="s">
        <v>1251</v>
      </c>
    </row>
    <row r="4508">
      <c r="A4508" s="5" t="s">
        <v>2606</v>
      </c>
      <c r="B4508" s="8">
        <v>7.0</v>
      </c>
      <c r="C4508" s="7" t="s">
        <v>354</v>
      </c>
      <c r="D4508" s="7" t="s">
        <v>1157</v>
      </c>
      <c r="E4508" s="5" t="s">
        <v>3546</v>
      </c>
      <c r="F4508" s="5" t="s">
        <v>1251</v>
      </c>
    </row>
    <row r="4509">
      <c r="A4509" s="5" t="s">
        <v>2934</v>
      </c>
      <c r="B4509" s="8">
        <v>7.0</v>
      </c>
      <c r="C4509" s="7" t="s">
        <v>354</v>
      </c>
      <c r="D4509" s="7" t="s">
        <v>1157</v>
      </c>
      <c r="E4509" s="5" t="s">
        <v>3546</v>
      </c>
      <c r="F4509" s="5" t="s">
        <v>1251</v>
      </c>
    </row>
    <row r="4510">
      <c r="A4510" s="5" t="s">
        <v>2607</v>
      </c>
      <c r="B4510" s="8">
        <v>7.0</v>
      </c>
      <c r="C4510" s="7" t="s">
        <v>354</v>
      </c>
      <c r="D4510" s="7" t="s">
        <v>1157</v>
      </c>
      <c r="E4510" s="5" t="s">
        <v>3546</v>
      </c>
      <c r="F4510" s="5" t="s">
        <v>1251</v>
      </c>
    </row>
    <row r="4511">
      <c r="A4511" s="7" t="s">
        <v>876</v>
      </c>
      <c r="B4511" s="8">
        <v>7.0</v>
      </c>
      <c r="C4511" s="7" t="s">
        <v>354</v>
      </c>
      <c r="D4511" s="7" t="s">
        <v>1157</v>
      </c>
      <c r="E4511" s="5" t="s">
        <v>3546</v>
      </c>
      <c r="F4511" s="5" t="s">
        <v>3524</v>
      </c>
    </row>
    <row r="4512">
      <c r="A4512" s="5" t="s">
        <v>3092</v>
      </c>
      <c r="B4512" s="8">
        <v>7.0</v>
      </c>
      <c r="C4512" s="7" t="s">
        <v>354</v>
      </c>
      <c r="D4512" s="7" t="s">
        <v>1157</v>
      </c>
      <c r="E4512" s="5" t="s">
        <v>3546</v>
      </c>
      <c r="F4512" s="5" t="s">
        <v>1251</v>
      </c>
    </row>
    <row r="4513">
      <c r="A4513" s="5" t="s">
        <v>2614</v>
      </c>
      <c r="B4513" s="8">
        <v>7.0</v>
      </c>
      <c r="C4513" s="7" t="s">
        <v>354</v>
      </c>
      <c r="D4513" s="7" t="s">
        <v>1157</v>
      </c>
      <c r="E4513" s="5" t="s">
        <v>3546</v>
      </c>
      <c r="F4513" s="7" t="s">
        <v>1105</v>
      </c>
    </row>
    <row r="4514">
      <c r="A4514" s="5" t="s">
        <v>2608</v>
      </c>
      <c r="B4514" s="8">
        <v>7.0</v>
      </c>
      <c r="C4514" s="7" t="s">
        <v>354</v>
      </c>
      <c r="D4514" s="7" t="s">
        <v>1157</v>
      </c>
      <c r="E4514" s="5" t="s">
        <v>3546</v>
      </c>
      <c r="F4514" s="5" t="s">
        <v>780</v>
      </c>
    </row>
    <row r="4515">
      <c r="A4515" s="5" t="s">
        <v>2609</v>
      </c>
      <c r="B4515" s="8">
        <v>7.0</v>
      </c>
      <c r="C4515" s="7" t="s">
        <v>354</v>
      </c>
      <c r="D4515" s="7" t="s">
        <v>1157</v>
      </c>
      <c r="E4515" s="5" t="s">
        <v>3546</v>
      </c>
      <c r="F4515" s="5" t="s">
        <v>780</v>
      </c>
    </row>
    <row r="4516">
      <c r="A4516" s="7" t="s">
        <v>188</v>
      </c>
      <c r="B4516" s="8">
        <v>7.0</v>
      </c>
      <c r="C4516" s="7" t="s">
        <v>590</v>
      </c>
      <c r="D4516" s="7" t="s">
        <v>1528</v>
      </c>
      <c r="E4516" s="7" t="s">
        <v>1529</v>
      </c>
      <c r="F4516" s="7" t="s">
        <v>444</v>
      </c>
    </row>
    <row r="4517">
      <c r="A4517" s="5" t="s">
        <v>2592</v>
      </c>
      <c r="B4517" s="8">
        <v>7.0</v>
      </c>
      <c r="C4517" s="7" t="s">
        <v>590</v>
      </c>
      <c r="D4517" s="7" t="s">
        <v>1528</v>
      </c>
      <c r="E4517" s="7" t="s">
        <v>1529</v>
      </c>
      <c r="F4517" s="7" t="s">
        <v>444</v>
      </c>
    </row>
    <row r="4518">
      <c r="A4518" s="5" t="s">
        <v>2796</v>
      </c>
      <c r="B4518" s="8">
        <v>7.0</v>
      </c>
      <c r="C4518" s="7" t="s">
        <v>590</v>
      </c>
      <c r="D4518" s="7" t="s">
        <v>1528</v>
      </c>
      <c r="E4518" s="7" t="s">
        <v>1529</v>
      </c>
      <c r="F4518" s="7" t="s">
        <v>444</v>
      </c>
    </row>
    <row r="4519">
      <c r="A4519" s="5" t="s">
        <v>2594</v>
      </c>
      <c r="B4519" s="8">
        <v>7.0</v>
      </c>
      <c r="C4519" s="7" t="s">
        <v>590</v>
      </c>
      <c r="D4519" s="7" t="s">
        <v>1528</v>
      </c>
      <c r="E4519" s="7" t="s">
        <v>1529</v>
      </c>
      <c r="F4519" s="7" t="s">
        <v>444</v>
      </c>
    </row>
    <row r="4520">
      <c r="A4520" s="5" t="s">
        <v>3086</v>
      </c>
      <c r="B4520" s="8">
        <v>7.0</v>
      </c>
      <c r="C4520" s="7" t="s">
        <v>590</v>
      </c>
      <c r="D4520" s="7" t="s">
        <v>1528</v>
      </c>
      <c r="E4520" s="7" t="s">
        <v>1529</v>
      </c>
      <c r="F4520" s="7" t="s">
        <v>444</v>
      </c>
    </row>
    <row r="4521">
      <c r="A4521" s="7" t="s">
        <v>868</v>
      </c>
      <c r="B4521" s="8">
        <v>7.0</v>
      </c>
      <c r="C4521" s="7" t="s">
        <v>590</v>
      </c>
      <c r="D4521" s="7" t="s">
        <v>1528</v>
      </c>
      <c r="E4521" s="7" t="s">
        <v>1529</v>
      </c>
      <c r="F4521" s="7" t="s">
        <v>444</v>
      </c>
    </row>
    <row r="4522">
      <c r="A4522" s="5" t="s">
        <v>3087</v>
      </c>
      <c r="B4522" s="8">
        <v>7.0</v>
      </c>
      <c r="C4522" s="7" t="s">
        <v>590</v>
      </c>
      <c r="D4522" s="7" t="s">
        <v>1528</v>
      </c>
      <c r="E4522" s="7" t="s">
        <v>1529</v>
      </c>
      <c r="F4522" s="7" t="s">
        <v>66</v>
      </c>
    </row>
    <row r="4523">
      <c r="A4523" s="5" t="s">
        <v>3088</v>
      </c>
      <c r="B4523" s="8">
        <v>7.0</v>
      </c>
      <c r="C4523" s="7" t="s">
        <v>590</v>
      </c>
      <c r="D4523" s="7" t="s">
        <v>1528</v>
      </c>
      <c r="E4523" s="7" t="s">
        <v>1529</v>
      </c>
      <c r="F4523" s="7" t="s">
        <v>444</v>
      </c>
    </row>
    <row r="4524">
      <c r="A4524" s="5" t="s">
        <v>3388</v>
      </c>
      <c r="B4524" s="8">
        <v>7.0</v>
      </c>
      <c r="C4524" s="7" t="s">
        <v>590</v>
      </c>
      <c r="D4524" s="7" t="s">
        <v>1528</v>
      </c>
      <c r="E4524" s="7" t="s">
        <v>1529</v>
      </c>
      <c r="F4524" s="7" t="s">
        <v>444</v>
      </c>
    </row>
    <row r="4525">
      <c r="A4525" s="5" t="s">
        <v>2595</v>
      </c>
      <c r="B4525" s="8">
        <v>7.0</v>
      </c>
      <c r="C4525" s="7" t="s">
        <v>590</v>
      </c>
      <c r="D4525" s="7" t="s">
        <v>1528</v>
      </c>
      <c r="E4525" s="7" t="s">
        <v>1529</v>
      </c>
      <c r="F4525" s="7" t="s">
        <v>444</v>
      </c>
    </row>
    <row r="4526">
      <c r="A4526" s="5" t="s">
        <v>3089</v>
      </c>
      <c r="B4526" s="8">
        <v>7.0</v>
      </c>
      <c r="C4526" s="7" t="s">
        <v>590</v>
      </c>
      <c r="D4526" s="7" t="s">
        <v>1528</v>
      </c>
      <c r="E4526" s="7" t="s">
        <v>1529</v>
      </c>
      <c r="F4526" s="7" t="s">
        <v>444</v>
      </c>
    </row>
    <row r="4527">
      <c r="A4527" s="5" t="s">
        <v>2597</v>
      </c>
      <c r="B4527" s="8">
        <v>7.0</v>
      </c>
      <c r="C4527" s="7" t="s">
        <v>590</v>
      </c>
      <c r="D4527" s="7" t="s">
        <v>1528</v>
      </c>
      <c r="E4527" s="7" t="s">
        <v>1529</v>
      </c>
      <c r="F4527" s="7" t="s">
        <v>444</v>
      </c>
    </row>
    <row r="4528">
      <c r="A4528" s="7" t="s">
        <v>8</v>
      </c>
      <c r="B4528" s="8">
        <v>7.0</v>
      </c>
      <c r="C4528" s="7" t="s">
        <v>590</v>
      </c>
      <c r="D4528" s="7" t="s">
        <v>1528</v>
      </c>
      <c r="E4528" s="7" t="s">
        <v>1529</v>
      </c>
      <c r="F4528" s="7" t="s">
        <v>48</v>
      </c>
    </row>
    <row r="4529">
      <c r="A4529" s="5" t="s">
        <v>2798</v>
      </c>
      <c r="B4529" s="8">
        <v>7.0</v>
      </c>
      <c r="C4529" s="7" t="s">
        <v>590</v>
      </c>
      <c r="D4529" s="7" t="s">
        <v>1528</v>
      </c>
      <c r="E4529" s="7" t="s">
        <v>1529</v>
      </c>
      <c r="F4529" s="7" t="s">
        <v>444</v>
      </c>
    </row>
    <row r="4530">
      <c r="A4530" s="5" t="s">
        <v>2702</v>
      </c>
      <c r="B4530" s="8">
        <v>7.0</v>
      </c>
      <c r="C4530" s="7" t="s">
        <v>590</v>
      </c>
      <c r="D4530" s="7" t="s">
        <v>1528</v>
      </c>
      <c r="E4530" s="7" t="s">
        <v>1529</v>
      </c>
      <c r="F4530" s="7" t="s">
        <v>444</v>
      </c>
    </row>
    <row r="4531">
      <c r="A4531" s="5" t="s">
        <v>2599</v>
      </c>
      <c r="B4531" s="8">
        <v>7.0</v>
      </c>
      <c r="C4531" s="7" t="s">
        <v>590</v>
      </c>
      <c r="D4531" s="7" t="s">
        <v>1528</v>
      </c>
      <c r="E4531" s="7" t="s">
        <v>1529</v>
      </c>
      <c r="F4531" s="7" t="s">
        <v>444</v>
      </c>
    </row>
    <row r="4532">
      <c r="A4532" s="5" t="s">
        <v>2600</v>
      </c>
      <c r="B4532" s="8">
        <v>7.0</v>
      </c>
      <c r="C4532" s="7" t="s">
        <v>590</v>
      </c>
      <c r="D4532" s="7" t="s">
        <v>1528</v>
      </c>
      <c r="E4532" s="7" t="s">
        <v>1529</v>
      </c>
      <c r="F4532" s="7" t="s">
        <v>444</v>
      </c>
    </row>
    <row r="4533">
      <c r="A4533" s="5" t="s">
        <v>3090</v>
      </c>
      <c r="B4533" s="8">
        <v>7.0</v>
      </c>
      <c r="C4533" s="7" t="s">
        <v>590</v>
      </c>
      <c r="D4533" s="7" t="s">
        <v>1528</v>
      </c>
      <c r="E4533" s="7" t="s">
        <v>1529</v>
      </c>
      <c r="F4533" s="7" t="s">
        <v>961</v>
      </c>
    </row>
    <row r="4534">
      <c r="A4534" s="7" t="s">
        <v>873</v>
      </c>
      <c r="B4534" s="8">
        <v>7.0</v>
      </c>
      <c r="C4534" s="7" t="s">
        <v>590</v>
      </c>
      <c r="D4534" s="7" t="s">
        <v>1528</v>
      </c>
      <c r="E4534" s="7" t="s">
        <v>1529</v>
      </c>
      <c r="F4534" s="7" t="s">
        <v>444</v>
      </c>
    </row>
    <row r="4535">
      <c r="A4535" s="5" t="s">
        <v>2602</v>
      </c>
      <c r="B4535" s="8">
        <v>7.0</v>
      </c>
      <c r="C4535" s="7" t="s">
        <v>590</v>
      </c>
      <c r="D4535" s="7" t="s">
        <v>1528</v>
      </c>
      <c r="E4535" s="7" t="s">
        <v>1529</v>
      </c>
      <c r="F4535" s="7" t="s">
        <v>444</v>
      </c>
    </row>
    <row r="4536">
      <c r="A4536" s="5" t="s">
        <v>2603</v>
      </c>
      <c r="B4536" s="8">
        <v>7.0</v>
      </c>
      <c r="C4536" s="7" t="s">
        <v>590</v>
      </c>
      <c r="D4536" s="7" t="s">
        <v>1528</v>
      </c>
      <c r="E4536" s="7" t="s">
        <v>1529</v>
      </c>
      <c r="F4536" s="7" t="s">
        <v>444</v>
      </c>
    </row>
    <row r="4537">
      <c r="A4537" s="7" t="s">
        <v>874</v>
      </c>
      <c r="B4537" s="8">
        <v>7.0</v>
      </c>
      <c r="C4537" s="7" t="s">
        <v>590</v>
      </c>
      <c r="D4537" s="7" t="s">
        <v>1528</v>
      </c>
      <c r="E4537" s="7" t="s">
        <v>1529</v>
      </c>
      <c r="F4537" s="7" t="s">
        <v>444</v>
      </c>
    </row>
    <row r="4538">
      <c r="A4538" s="5" t="s">
        <v>2604</v>
      </c>
      <c r="B4538" s="8">
        <v>7.0</v>
      </c>
      <c r="C4538" s="7" t="s">
        <v>590</v>
      </c>
      <c r="D4538" s="7" t="s">
        <v>1528</v>
      </c>
      <c r="E4538" s="7" t="s">
        <v>1529</v>
      </c>
      <c r="F4538" s="7" t="s">
        <v>444</v>
      </c>
    </row>
    <row r="4539">
      <c r="A4539" s="5" t="s">
        <v>3091</v>
      </c>
      <c r="B4539" s="8">
        <v>7.0</v>
      </c>
      <c r="C4539" s="7" t="s">
        <v>590</v>
      </c>
      <c r="D4539" s="7" t="s">
        <v>1528</v>
      </c>
      <c r="E4539" s="7" t="s">
        <v>1529</v>
      </c>
      <c r="F4539" s="7" t="s">
        <v>965</v>
      </c>
    </row>
    <row r="4540">
      <c r="A4540" s="5" t="s">
        <v>2605</v>
      </c>
      <c r="B4540" s="8">
        <v>7.0</v>
      </c>
      <c r="C4540" s="7" t="s">
        <v>590</v>
      </c>
      <c r="D4540" s="7" t="s">
        <v>1528</v>
      </c>
      <c r="E4540" s="7" t="s">
        <v>1529</v>
      </c>
      <c r="F4540" s="7" t="s">
        <v>444</v>
      </c>
    </row>
    <row r="4541">
      <c r="A4541" s="5" t="s">
        <v>2933</v>
      </c>
      <c r="B4541" s="8">
        <v>7.0</v>
      </c>
      <c r="C4541" s="7" t="s">
        <v>590</v>
      </c>
      <c r="D4541" s="7" t="s">
        <v>1528</v>
      </c>
      <c r="E4541" s="7" t="s">
        <v>1529</v>
      </c>
      <c r="F4541" s="7" t="s">
        <v>444</v>
      </c>
    </row>
    <row r="4542">
      <c r="A4542" s="5" t="s">
        <v>2606</v>
      </c>
      <c r="B4542" s="8">
        <v>7.0</v>
      </c>
      <c r="C4542" s="7" t="s">
        <v>590</v>
      </c>
      <c r="D4542" s="7" t="s">
        <v>1528</v>
      </c>
      <c r="E4542" s="7" t="s">
        <v>1529</v>
      </c>
      <c r="F4542" s="7" t="s">
        <v>444</v>
      </c>
    </row>
    <row r="4543">
      <c r="A4543" s="5" t="s">
        <v>2934</v>
      </c>
      <c r="B4543" s="8">
        <v>7.0</v>
      </c>
      <c r="C4543" s="7" t="s">
        <v>590</v>
      </c>
      <c r="D4543" s="7" t="s">
        <v>1528</v>
      </c>
      <c r="E4543" s="7" t="s">
        <v>1529</v>
      </c>
      <c r="F4543" s="7" t="s">
        <v>444</v>
      </c>
    </row>
    <row r="4544">
      <c r="A4544" s="5" t="s">
        <v>2607</v>
      </c>
      <c r="B4544" s="8">
        <v>7.0</v>
      </c>
      <c r="C4544" s="7" t="s">
        <v>590</v>
      </c>
      <c r="D4544" s="7" t="s">
        <v>1528</v>
      </c>
      <c r="E4544" s="7" t="s">
        <v>1529</v>
      </c>
      <c r="F4544" s="7" t="s">
        <v>444</v>
      </c>
    </row>
    <row r="4545">
      <c r="A4545" s="7" t="s">
        <v>876</v>
      </c>
      <c r="B4545" s="8">
        <v>7.0</v>
      </c>
      <c r="C4545" s="7" t="s">
        <v>590</v>
      </c>
      <c r="D4545" s="7" t="s">
        <v>1528</v>
      </c>
      <c r="E4545" s="7" t="s">
        <v>1529</v>
      </c>
      <c r="F4545" s="7" t="s">
        <v>444</v>
      </c>
    </row>
    <row r="4546">
      <c r="A4546" s="5" t="s">
        <v>3092</v>
      </c>
      <c r="B4546" s="8">
        <v>7.0</v>
      </c>
      <c r="C4546" s="7" t="s">
        <v>590</v>
      </c>
      <c r="D4546" s="7" t="s">
        <v>1528</v>
      </c>
      <c r="E4546" s="7" t="s">
        <v>1529</v>
      </c>
      <c r="F4546" s="7" t="s">
        <v>444</v>
      </c>
    </row>
    <row r="4547">
      <c r="A4547" s="5" t="s">
        <v>2614</v>
      </c>
      <c r="B4547" s="8">
        <v>7.0</v>
      </c>
      <c r="C4547" s="7" t="s">
        <v>590</v>
      </c>
      <c r="D4547" s="7" t="s">
        <v>1528</v>
      </c>
      <c r="E4547" s="7" t="s">
        <v>1529</v>
      </c>
      <c r="F4547" s="7" t="s">
        <v>444</v>
      </c>
    </row>
    <row r="4548">
      <c r="A4548" s="5" t="s">
        <v>2608</v>
      </c>
      <c r="B4548" s="8">
        <v>7.0</v>
      </c>
      <c r="C4548" s="7" t="s">
        <v>590</v>
      </c>
      <c r="D4548" s="7" t="s">
        <v>1528</v>
      </c>
      <c r="E4548" s="7" t="s">
        <v>1529</v>
      </c>
      <c r="F4548" s="7" t="s">
        <v>444</v>
      </c>
    </row>
    <row r="4549">
      <c r="A4549" s="5" t="s">
        <v>2609</v>
      </c>
      <c r="B4549" s="8">
        <v>7.0</v>
      </c>
      <c r="C4549" s="7" t="s">
        <v>590</v>
      </c>
      <c r="D4549" s="7" t="s">
        <v>1528</v>
      </c>
      <c r="E4549" s="7" t="s">
        <v>1529</v>
      </c>
      <c r="F4549" s="7" t="s">
        <v>444</v>
      </c>
    </row>
    <row r="4550">
      <c r="A4550" s="5" t="s">
        <v>2924</v>
      </c>
      <c r="B4550" s="8" t="s">
        <v>3549</v>
      </c>
      <c r="C4550" s="4" t="s">
        <v>20</v>
      </c>
      <c r="D4550" s="5" t="s">
        <v>3550</v>
      </c>
      <c r="E4550" s="5" t="s">
        <v>3551</v>
      </c>
      <c r="F4550" s="5" t="s">
        <v>2001</v>
      </c>
    </row>
    <row r="4551">
      <c r="A4551" s="5" t="s">
        <v>2925</v>
      </c>
      <c r="B4551" s="8">
        <v>8.0</v>
      </c>
      <c r="C4551" s="4" t="s">
        <v>20</v>
      </c>
      <c r="D4551" s="5" t="s">
        <v>3550</v>
      </c>
      <c r="E4551" s="5" t="s">
        <v>3551</v>
      </c>
      <c r="F4551" s="5" t="s">
        <v>2001</v>
      </c>
    </row>
    <row r="4552">
      <c r="A4552" s="5" t="s">
        <v>3086</v>
      </c>
      <c r="B4552" s="8">
        <v>8.0</v>
      </c>
      <c r="C4552" s="4" t="s">
        <v>20</v>
      </c>
      <c r="D4552" s="5" t="s">
        <v>3550</v>
      </c>
      <c r="E4552" s="5" t="s">
        <v>3551</v>
      </c>
      <c r="F4552" s="5" t="s">
        <v>2001</v>
      </c>
    </row>
    <row r="4553">
      <c r="A4553" s="5" t="s">
        <v>3087</v>
      </c>
      <c r="B4553" s="8">
        <v>8.0</v>
      </c>
      <c r="C4553" s="4" t="s">
        <v>20</v>
      </c>
      <c r="D4553" s="5" t="s">
        <v>3550</v>
      </c>
      <c r="E4553" s="5" t="s">
        <v>3551</v>
      </c>
      <c r="F4553" s="5" t="s">
        <v>2001</v>
      </c>
    </row>
    <row r="4554">
      <c r="A4554" s="5" t="s">
        <v>2926</v>
      </c>
      <c r="B4554" s="8">
        <v>8.0</v>
      </c>
      <c r="C4554" s="4" t="s">
        <v>20</v>
      </c>
      <c r="D4554" s="5" t="s">
        <v>3550</v>
      </c>
      <c r="E4554" s="5" t="s">
        <v>3551</v>
      </c>
      <c r="F4554" s="5" t="s">
        <v>3552</v>
      </c>
    </row>
    <row r="4555">
      <c r="A4555" s="5" t="s">
        <v>3388</v>
      </c>
      <c r="B4555" s="8">
        <v>8.0</v>
      </c>
      <c r="C4555" s="4" t="s">
        <v>20</v>
      </c>
      <c r="D4555" s="5" t="s">
        <v>3550</v>
      </c>
      <c r="E4555" s="5" t="s">
        <v>3551</v>
      </c>
      <c r="F4555" s="5" t="s">
        <v>2001</v>
      </c>
    </row>
    <row r="4556">
      <c r="A4556" s="5" t="s">
        <v>2927</v>
      </c>
      <c r="B4556" s="8">
        <v>8.0</v>
      </c>
      <c r="C4556" s="4" t="s">
        <v>20</v>
      </c>
      <c r="D4556" s="5" t="s">
        <v>3550</v>
      </c>
      <c r="E4556" s="5" t="s">
        <v>3551</v>
      </c>
      <c r="F4556" s="5" t="s">
        <v>3100</v>
      </c>
    </row>
    <row r="4557">
      <c r="A4557" s="5" t="s">
        <v>2928</v>
      </c>
      <c r="B4557" s="8">
        <v>8.0</v>
      </c>
      <c r="C4557" s="4" t="s">
        <v>20</v>
      </c>
      <c r="D4557" s="5" t="s">
        <v>3550</v>
      </c>
      <c r="E4557" s="5" t="s">
        <v>3551</v>
      </c>
      <c r="F4557" s="5" t="s">
        <v>3553</v>
      </c>
    </row>
    <row r="4558">
      <c r="A4558" s="7" t="s">
        <v>603</v>
      </c>
      <c r="B4558" s="8">
        <v>8.0</v>
      </c>
      <c r="C4558" s="4" t="s">
        <v>20</v>
      </c>
      <c r="D4558" s="5" t="s">
        <v>3550</v>
      </c>
      <c r="E4558" s="5" t="s">
        <v>3551</v>
      </c>
      <c r="F4558" s="5" t="s">
        <v>3554</v>
      </c>
    </row>
    <row r="4559">
      <c r="A4559" s="5" t="s">
        <v>2602</v>
      </c>
      <c r="B4559" s="8">
        <v>8.0</v>
      </c>
      <c r="C4559" s="4" t="s">
        <v>20</v>
      </c>
      <c r="D4559" s="5" t="s">
        <v>3550</v>
      </c>
      <c r="E4559" s="5" t="s">
        <v>3551</v>
      </c>
      <c r="F4559" s="5" t="s">
        <v>3555</v>
      </c>
    </row>
    <row r="4560">
      <c r="A4560" s="5" t="s">
        <v>2931</v>
      </c>
      <c r="B4560" s="8">
        <v>8.0</v>
      </c>
      <c r="C4560" s="4" t="s">
        <v>20</v>
      </c>
      <c r="D4560" s="5" t="s">
        <v>3550</v>
      </c>
      <c r="E4560" s="5" t="s">
        <v>3551</v>
      </c>
      <c r="F4560" s="5" t="s">
        <v>3556</v>
      </c>
    </row>
    <row r="4561">
      <c r="A4561" s="5" t="s">
        <v>2932</v>
      </c>
      <c r="B4561" s="8">
        <v>8.0</v>
      </c>
      <c r="C4561" s="4" t="s">
        <v>20</v>
      </c>
      <c r="D4561" s="5" t="s">
        <v>3550</v>
      </c>
      <c r="E4561" s="5" t="s">
        <v>3551</v>
      </c>
      <c r="F4561" s="5" t="s">
        <v>2687</v>
      </c>
    </row>
    <row r="4562">
      <c r="A4562" s="5" t="s">
        <v>2933</v>
      </c>
      <c r="B4562" s="8">
        <v>8.0</v>
      </c>
      <c r="C4562" s="4" t="s">
        <v>20</v>
      </c>
      <c r="D4562" s="5" t="s">
        <v>3550</v>
      </c>
      <c r="E4562" s="5" t="s">
        <v>3551</v>
      </c>
      <c r="F4562" s="5" t="s">
        <v>2001</v>
      </c>
    </row>
    <row r="4563">
      <c r="A4563" s="5" t="s">
        <v>2606</v>
      </c>
      <c r="B4563" s="8">
        <v>8.0</v>
      </c>
      <c r="C4563" s="4" t="s">
        <v>20</v>
      </c>
      <c r="D4563" s="5" t="s">
        <v>3550</v>
      </c>
      <c r="E4563" s="5" t="s">
        <v>3551</v>
      </c>
      <c r="F4563" s="5" t="s">
        <v>2001</v>
      </c>
    </row>
    <row r="4564">
      <c r="A4564" s="5" t="s">
        <v>2607</v>
      </c>
      <c r="B4564" s="8">
        <v>8.0</v>
      </c>
      <c r="C4564" s="4" t="s">
        <v>20</v>
      </c>
      <c r="D4564" s="5" t="s">
        <v>3550</v>
      </c>
      <c r="E4564" s="5" t="s">
        <v>3551</v>
      </c>
      <c r="F4564" s="5" t="s">
        <v>3557</v>
      </c>
    </row>
    <row r="4565">
      <c r="A4565" s="5" t="s">
        <v>2935</v>
      </c>
      <c r="B4565" s="8">
        <v>8.0</v>
      </c>
      <c r="C4565" s="4" t="s">
        <v>20</v>
      </c>
      <c r="D4565" s="5" t="s">
        <v>3550</v>
      </c>
      <c r="E4565" s="5" t="s">
        <v>3551</v>
      </c>
      <c r="F4565" s="5" t="s">
        <v>2705</v>
      </c>
    </row>
    <row r="4566">
      <c r="A4566" s="5" t="s">
        <v>2936</v>
      </c>
      <c r="B4566" s="8">
        <v>8.0</v>
      </c>
      <c r="C4566" s="4" t="s">
        <v>20</v>
      </c>
      <c r="D4566" s="5" t="s">
        <v>3550</v>
      </c>
      <c r="E4566" s="5" t="s">
        <v>3551</v>
      </c>
      <c r="F4566" s="5" t="s">
        <v>2001</v>
      </c>
    </row>
    <row r="4567">
      <c r="A4567" s="5" t="s">
        <v>2608</v>
      </c>
      <c r="B4567" s="8">
        <v>8.0</v>
      </c>
      <c r="C4567" s="4" t="s">
        <v>20</v>
      </c>
      <c r="D4567" s="5" t="s">
        <v>3550</v>
      </c>
      <c r="E4567" s="5" t="s">
        <v>3551</v>
      </c>
      <c r="F4567" s="5" t="s">
        <v>1251</v>
      </c>
    </row>
    <row r="4568">
      <c r="A4568" s="5" t="s">
        <v>2609</v>
      </c>
      <c r="B4568" s="8">
        <v>8.0</v>
      </c>
      <c r="C4568" s="4" t="s">
        <v>20</v>
      </c>
      <c r="D4568" s="5" t="s">
        <v>3550</v>
      </c>
      <c r="E4568" s="5" t="s">
        <v>3551</v>
      </c>
      <c r="F4568" s="5" t="s">
        <v>3558</v>
      </c>
    </row>
    <row r="4569">
      <c r="A4569" s="5" t="s">
        <v>2924</v>
      </c>
      <c r="B4569" s="8">
        <v>8.0</v>
      </c>
      <c r="C4569" s="4" t="s">
        <v>35</v>
      </c>
      <c r="D4569" s="7" t="s">
        <v>1540</v>
      </c>
      <c r="E4569" s="5" t="s">
        <v>3559</v>
      </c>
      <c r="F4569" s="5" t="s">
        <v>240</v>
      </c>
    </row>
    <row r="4570">
      <c r="A4570" s="5" t="s">
        <v>2925</v>
      </c>
      <c r="B4570" s="8">
        <v>8.0</v>
      </c>
      <c r="C4570" s="4" t="s">
        <v>35</v>
      </c>
      <c r="D4570" s="7" t="s">
        <v>1540</v>
      </c>
      <c r="E4570" s="5" t="s">
        <v>3559</v>
      </c>
      <c r="F4570" s="5" t="s">
        <v>304</v>
      </c>
    </row>
    <row r="4571">
      <c r="A4571" s="5" t="s">
        <v>3086</v>
      </c>
      <c r="B4571" s="8">
        <v>8.0</v>
      </c>
      <c r="C4571" s="4" t="s">
        <v>35</v>
      </c>
      <c r="D4571" s="7" t="s">
        <v>1540</v>
      </c>
      <c r="E4571" s="5" t="s">
        <v>3559</v>
      </c>
      <c r="F4571" s="5" t="s">
        <v>240</v>
      </c>
    </row>
    <row r="4572">
      <c r="A4572" s="5" t="s">
        <v>3087</v>
      </c>
      <c r="B4572" s="8">
        <v>8.0</v>
      </c>
      <c r="C4572" s="4" t="s">
        <v>35</v>
      </c>
      <c r="D4572" s="7" t="s">
        <v>1540</v>
      </c>
      <c r="E4572" s="5" t="s">
        <v>3559</v>
      </c>
      <c r="F4572" s="5" t="s">
        <v>240</v>
      </c>
    </row>
    <row r="4573">
      <c r="A4573" s="5" t="s">
        <v>2926</v>
      </c>
      <c r="B4573" s="8">
        <v>8.0</v>
      </c>
      <c r="C4573" s="4" t="s">
        <v>35</v>
      </c>
      <c r="D4573" s="7" t="s">
        <v>1540</v>
      </c>
      <c r="E4573" s="5" t="s">
        <v>3559</v>
      </c>
      <c r="F4573" s="5" t="s">
        <v>3560</v>
      </c>
    </row>
    <row r="4574">
      <c r="A4574" s="5" t="s">
        <v>3388</v>
      </c>
      <c r="B4574" s="8">
        <v>8.0</v>
      </c>
      <c r="C4574" s="4" t="s">
        <v>35</v>
      </c>
      <c r="D4574" s="7" t="s">
        <v>1540</v>
      </c>
      <c r="E4574" s="5" t="s">
        <v>3559</v>
      </c>
      <c r="F4574" s="5" t="s">
        <v>305</v>
      </c>
    </row>
    <row r="4575">
      <c r="A4575" s="5" t="s">
        <v>2927</v>
      </c>
      <c r="B4575" s="8">
        <v>8.0</v>
      </c>
      <c r="C4575" s="4" t="s">
        <v>35</v>
      </c>
      <c r="D4575" s="7" t="s">
        <v>1540</v>
      </c>
      <c r="E4575" s="5" t="s">
        <v>3559</v>
      </c>
      <c r="F4575" s="5" t="s">
        <v>2670</v>
      </c>
    </row>
    <row r="4576">
      <c r="A4576" s="5" t="s">
        <v>2928</v>
      </c>
      <c r="B4576" s="8">
        <v>8.0</v>
      </c>
      <c r="C4576" s="4" t="s">
        <v>35</v>
      </c>
      <c r="D4576" s="7" t="s">
        <v>1540</v>
      </c>
      <c r="E4576" s="5" t="s">
        <v>3559</v>
      </c>
      <c r="F4576" s="5" t="s">
        <v>2820</v>
      </c>
    </row>
    <row r="4577">
      <c r="A4577" s="7" t="s">
        <v>603</v>
      </c>
      <c r="B4577" s="8">
        <v>8.0</v>
      </c>
      <c r="C4577" s="4" t="s">
        <v>35</v>
      </c>
      <c r="D4577" s="7" t="s">
        <v>1540</v>
      </c>
      <c r="E4577" s="5" t="s">
        <v>3559</v>
      </c>
      <c r="F4577" s="5" t="s">
        <v>240</v>
      </c>
    </row>
    <row r="4578">
      <c r="A4578" s="5" t="s">
        <v>2929</v>
      </c>
      <c r="B4578" s="8">
        <v>8.0</v>
      </c>
      <c r="C4578" s="4" t="s">
        <v>35</v>
      </c>
      <c r="D4578" s="7" t="s">
        <v>1540</v>
      </c>
      <c r="E4578" s="5" t="s">
        <v>3559</v>
      </c>
      <c r="F4578" s="5" t="s">
        <v>3561</v>
      </c>
    </row>
    <row r="4579">
      <c r="A4579" s="5" t="s">
        <v>2930</v>
      </c>
      <c r="B4579" s="8">
        <v>8.0</v>
      </c>
      <c r="C4579" s="4" t="s">
        <v>35</v>
      </c>
      <c r="D4579" s="7" t="s">
        <v>1540</v>
      </c>
      <c r="E4579" s="5" t="s">
        <v>3559</v>
      </c>
      <c r="F4579" s="5" t="s">
        <v>3562</v>
      </c>
    </row>
    <row r="4580">
      <c r="A4580" s="7" t="s">
        <v>606</v>
      </c>
      <c r="B4580" s="8">
        <v>8.0</v>
      </c>
      <c r="C4580" s="4" t="s">
        <v>35</v>
      </c>
      <c r="D4580" s="7" t="s">
        <v>1540</v>
      </c>
      <c r="E4580" s="5" t="s">
        <v>3559</v>
      </c>
      <c r="F4580" s="5" t="s">
        <v>240</v>
      </c>
    </row>
    <row r="4581">
      <c r="A4581" s="5" t="s">
        <v>2602</v>
      </c>
      <c r="B4581" s="8">
        <v>8.0</v>
      </c>
      <c r="C4581" s="4" t="s">
        <v>35</v>
      </c>
      <c r="D4581" s="7" t="s">
        <v>1540</v>
      </c>
      <c r="E4581" s="5" t="s">
        <v>3559</v>
      </c>
      <c r="F4581" s="5" t="s">
        <v>240</v>
      </c>
    </row>
    <row r="4582">
      <c r="A4582" s="5" t="s">
        <v>2931</v>
      </c>
      <c r="B4582" s="8">
        <v>8.0</v>
      </c>
      <c r="C4582" s="4" t="s">
        <v>35</v>
      </c>
      <c r="D4582" s="7" t="s">
        <v>1540</v>
      </c>
      <c r="E4582" s="5" t="s">
        <v>3559</v>
      </c>
      <c r="F4582" s="5" t="s">
        <v>305</v>
      </c>
    </row>
    <row r="4583">
      <c r="A4583" s="5" t="s">
        <v>2932</v>
      </c>
      <c r="B4583" s="8">
        <v>8.0</v>
      </c>
      <c r="C4583" s="4" t="s">
        <v>35</v>
      </c>
      <c r="D4583" s="7" t="s">
        <v>1540</v>
      </c>
      <c r="E4583" s="5" t="s">
        <v>3559</v>
      </c>
      <c r="F4583" s="5" t="s">
        <v>2820</v>
      </c>
    </row>
    <row r="4584">
      <c r="A4584" s="5" t="s">
        <v>2933</v>
      </c>
      <c r="B4584" s="8">
        <v>8.0</v>
      </c>
      <c r="C4584" s="4" t="s">
        <v>35</v>
      </c>
      <c r="D4584" s="7" t="s">
        <v>1540</v>
      </c>
      <c r="E4584" s="5" t="s">
        <v>3559</v>
      </c>
      <c r="F4584" s="5" t="s">
        <v>240</v>
      </c>
    </row>
    <row r="4585">
      <c r="A4585" s="5" t="s">
        <v>2606</v>
      </c>
      <c r="B4585" s="8">
        <v>8.0</v>
      </c>
      <c r="C4585" s="4" t="s">
        <v>35</v>
      </c>
      <c r="D4585" s="7" t="s">
        <v>1540</v>
      </c>
      <c r="E4585" s="5" t="s">
        <v>3559</v>
      </c>
      <c r="F4585" s="5" t="s">
        <v>240</v>
      </c>
    </row>
    <row r="4586">
      <c r="A4586" s="5" t="s">
        <v>2607</v>
      </c>
      <c r="B4586" s="8">
        <v>8.0</v>
      </c>
      <c r="C4586" s="4" t="s">
        <v>35</v>
      </c>
      <c r="D4586" s="7" t="s">
        <v>1540</v>
      </c>
      <c r="E4586" s="5" t="s">
        <v>3559</v>
      </c>
      <c r="F4586" s="5" t="s">
        <v>240</v>
      </c>
    </row>
    <row r="4587">
      <c r="A4587" s="5" t="s">
        <v>2935</v>
      </c>
      <c r="B4587" s="8">
        <v>8.0</v>
      </c>
      <c r="C4587" s="4" t="s">
        <v>35</v>
      </c>
      <c r="D4587" s="7" t="s">
        <v>1540</v>
      </c>
      <c r="E4587" s="5" t="s">
        <v>3559</v>
      </c>
      <c r="F4587" s="5" t="s">
        <v>3563</v>
      </c>
    </row>
    <row r="4588">
      <c r="A4588" s="5" t="s">
        <v>2936</v>
      </c>
      <c r="B4588" s="8">
        <v>8.0</v>
      </c>
      <c r="C4588" s="4" t="s">
        <v>35</v>
      </c>
      <c r="D4588" s="7" t="s">
        <v>1540</v>
      </c>
      <c r="E4588" s="5" t="s">
        <v>3559</v>
      </c>
      <c r="F4588" s="5" t="s">
        <v>240</v>
      </c>
    </row>
    <row r="4589">
      <c r="A4589" s="5" t="s">
        <v>2608</v>
      </c>
      <c r="B4589" s="8">
        <v>8.0</v>
      </c>
      <c r="C4589" s="4" t="s">
        <v>35</v>
      </c>
      <c r="D4589" s="7" t="s">
        <v>1540</v>
      </c>
      <c r="E4589" s="5" t="s">
        <v>3559</v>
      </c>
      <c r="F4589" s="5" t="s">
        <v>240</v>
      </c>
    </row>
    <row r="4590">
      <c r="A4590" s="5" t="s">
        <v>2609</v>
      </c>
      <c r="B4590" s="8">
        <v>8.0</v>
      </c>
      <c r="C4590" s="4" t="s">
        <v>35</v>
      </c>
      <c r="D4590" s="7" t="s">
        <v>1540</v>
      </c>
      <c r="E4590" s="5" t="s">
        <v>3559</v>
      </c>
      <c r="F4590" s="5" t="s">
        <v>2670</v>
      </c>
    </row>
    <row r="4591">
      <c r="A4591" s="5" t="s">
        <v>2924</v>
      </c>
      <c r="B4591" s="8">
        <v>8.0</v>
      </c>
      <c r="C4591" s="4" t="s">
        <v>925</v>
      </c>
      <c r="D4591" s="7" t="s">
        <v>1548</v>
      </c>
      <c r="E4591" s="5" t="s">
        <v>3564</v>
      </c>
      <c r="F4591" s="5" t="s">
        <v>3123</v>
      </c>
    </row>
    <row r="4592">
      <c r="A4592" s="5" t="s">
        <v>2925</v>
      </c>
      <c r="B4592" s="8">
        <v>8.0</v>
      </c>
      <c r="C4592" s="4" t="s">
        <v>35</v>
      </c>
      <c r="D4592" s="7" t="s">
        <v>1548</v>
      </c>
      <c r="E4592" s="5" t="s">
        <v>3564</v>
      </c>
      <c r="F4592" s="5" t="s">
        <v>3123</v>
      </c>
    </row>
    <row r="4593">
      <c r="A4593" s="5" t="s">
        <v>3086</v>
      </c>
      <c r="B4593" s="8">
        <v>8.0</v>
      </c>
      <c r="C4593" s="4" t="s">
        <v>35</v>
      </c>
      <c r="D4593" s="7" t="s">
        <v>1548</v>
      </c>
      <c r="E4593" s="5" t="s">
        <v>3564</v>
      </c>
      <c r="F4593" s="5" t="s">
        <v>3123</v>
      </c>
    </row>
    <row r="4594">
      <c r="A4594" s="5" t="s">
        <v>2926</v>
      </c>
      <c r="B4594" s="8">
        <v>8.0</v>
      </c>
      <c r="C4594" s="4" t="s">
        <v>35</v>
      </c>
      <c r="D4594" s="7" t="s">
        <v>1548</v>
      </c>
      <c r="E4594" s="5" t="s">
        <v>3564</v>
      </c>
      <c r="F4594" s="5" t="s">
        <v>3123</v>
      </c>
    </row>
    <row r="4595">
      <c r="A4595" s="5" t="s">
        <v>3388</v>
      </c>
      <c r="B4595" s="8">
        <v>8.0</v>
      </c>
      <c r="C4595" s="4" t="s">
        <v>35</v>
      </c>
      <c r="D4595" s="7" t="s">
        <v>1548</v>
      </c>
      <c r="E4595" s="5" t="s">
        <v>3564</v>
      </c>
      <c r="F4595" s="5" t="s">
        <v>3123</v>
      </c>
    </row>
    <row r="4596">
      <c r="A4596" s="5" t="s">
        <v>2927</v>
      </c>
      <c r="B4596" s="8">
        <v>8.0</v>
      </c>
      <c r="C4596" s="4" t="s">
        <v>35</v>
      </c>
      <c r="D4596" s="7" t="s">
        <v>1548</v>
      </c>
      <c r="E4596" s="5" t="s">
        <v>3564</v>
      </c>
      <c r="F4596" s="5" t="s">
        <v>3123</v>
      </c>
    </row>
    <row r="4597">
      <c r="A4597" s="5" t="s">
        <v>2928</v>
      </c>
      <c r="B4597" s="8">
        <v>8.0</v>
      </c>
      <c r="C4597" s="4" t="s">
        <v>35</v>
      </c>
      <c r="D4597" s="7" t="s">
        <v>1548</v>
      </c>
      <c r="E4597" s="5" t="s">
        <v>3564</v>
      </c>
      <c r="F4597" s="5" t="s">
        <v>3123</v>
      </c>
    </row>
    <row r="4598">
      <c r="A4598" s="7" t="s">
        <v>603</v>
      </c>
      <c r="B4598" s="8">
        <v>8.0</v>
      </c>
      <c r="C4598" s="4" t="s">
        <v>35</v>
      </c>
      <c r="D4598" s="7" t="s">
        <v>1548</v>
      </c>
      <c r="E4598" s="5" t="s">
        <v>3564</v>
      </c>
      <c r="F4598" s="5" t="s">
        <v>3123</v>
      </c>
    </row>
    <row r="4599">
      <c r="A4599" s="5" t="s">
        <v>2929</v>
      </c>
      <c r="B4599" s="8">
        <v>8.0</v>
      </c>
      <c r="C4599" s="4" t="s">
        <v>35</v>
      </c>
      <c r="D4599" s="7" t="s">
        <v>1548</v>
      </c>
      <c r="E4599" s="5" t="s">
        <v>3564</v>
      </c>
      <c r="F4599" s="5" t="s">
        <v>3123</v>
      </c>
    </row>
    <row r="4600">
      <c r="A4600" s="5" t="s">
        <v>2930</v>
      </c>
      <c r="B4600" s="8">
        <v>8.0</v>
      </c>
      <c r="C4600" s="4" t="s">
        <v>35</v>
      </c>
      <c r="D4600" s="7" t="s">
        <v>1548</v>
      </c>
      <c r="E4600" s="5" t="s">
        <v>3564</v>
      </c>
      <c r="F4600" s="5" t="s">
        <v>3123</v>
      </c>
    </row>
    <row r="4601">
      <c r="A4601" s="7" t="s">
        <v>606</v>
      </c>
      <c r="B4601" s="8">
        <v>8.0</v>
      </c>
      <c r="C4601" s="4" t="s">
        <v>35</v>
      </c>
      <c r="D4601" s="7" t="s">
        <v>1548</v>
      </c>
      <c r="E4601" s="5" t="s">
        <v>3564</v>
      </c>
      <c r="F4601" s="5" t="s">
        <v>3123</v>
      </c>
    </row>
    <row r="4602">
      <c r="A4602" s="5" t="s">
        <v>2602</v>
      </c>
      <c r="B4602" s="8">
        <v>8.0</v>
      </c>
      <c r="C4602" s="4" t="s">
        <v>35</v>
      </c>
      <c r="D4602" s="7" t="s">
        <v>1548</v>
      </c>
      <c r="E4602" s="5" t="s">
        <v>3564</v>
      </c>
      <c r="F4602" s="5" t="s">
        <v>3123</v>
      </c>
    </row>
    <row r="4603">
      <c r="A4603" s="5" t="s">
        <v>2931</v>
      </c>
      <c r="B4603" s="8">
        <v>8.0</v>
      </c>
      <c r="C4603" s="4" t="s">
        <v>35</v>
      </c>
      <c r="D4603" s="7" t="s">
        <v>1548</v>
      </c>
      <c r="E4603" s="5" t="s">
        <v>3564</v>
      </c>
      <c r="F4603" s="5" t="s">
        <v>3123</v>
      </c>
    </row>
    <row r="4604">
      <c r="A4604" s="5" t="s">
        <v>2932</v>
      </c>
      <c r="B4604" s="8">
        <v>8.0</v>
      </c>
      <c r="C4604" s="4" t="s">
        <v>35</v>
      </c>
      <c r="D4604" s="7" t="s">
        <v>1548</v>
      </c>
      <c r="E4604" s="5" t="s">
        <v>3564</v>
      </c>
      <c r="F4604" s="5" t="s">
        <v>3123</v>
      </c>
    </row>
    <row r="4605">
      <c r="A4605" s="5" t="s">
        <v>2933</v>
      </c>
      <c r="B4605" s="8">
        <v>8.0</v>
      </c>
      <c r="C4605" s="4" t="s">
        <v>35</v>
      </c>
      <c r="D4605" s="7" t="s">
        <v>1548</v>
      </c>
      <c r="E4605" s="5" t="s">
        <v>3564</v>
      </c>
      <c r="F4605" s="5" t="s">
        <v>3123</v>
      </c>
    </row>
    <row r="4606">
      <c r="A4606" s="5" t="s">
        <v>2606</v>
      </c>
      <c r="B4606" s="8">
        <v>8.0</v>
      </c>
      <c r="C4606" s="4" t="s">
        <v>35</v>
      </c>
      <c r="D4606" s="7" t="s">
        <v>1548</v>
      </c>
      <c r="E4606" s="5" t="s">
        <v>3564</v>
      </c>
      <c r="F4606" s="5" t="s">
        <v>3123</v>
      </c>
    </row>
    <row r="4607">
      <c r="A4607" s="5" t="s">
        <v>2934</v>
      </c>
      <c r="B4607" s="8">
        <v>8.0</v>
      </c>
      <c r="C4607" s="4" t="s">
        <v>35</v>
      </c>
      <c r="D4607" s="7" t="s">
        <v>1548</v>
      </c>
      <c r="E4607" s="5" t="s">
        <v>3564</v>
      </c>
      <c r="F4607" s="5" t="s">
        <v>3123</v>
      </c>
    </row>
    <row r="4608">
      <c r="A4608" s="5" t="s">
        <v>2607</v>
      </c>
      <c r="B4608" s="8">
        <v>8.0</v>
      </c>
      <c r="C4608" s="4" t="s">
        <v>35</v>
      </c>
      <c r="D4608" s="7" t="s">
        <v>1548</v>
      </c>
      <c r="E4608" s="5" t="s">
        <v>3564</v>
      </c>
      <c r="F4608" s="5" t="s">
        <v>3123</v>
      </c>
    </row>
    <row r="4609">
      <c r="A4609" s="5" t="s">
        <v>2935</v>
      </c>
      <c r="B4609" s="8">
        <v>8.0</v>
      </c>
      <c r="C4609" s="4" t="s">
        <v>35</v>
      </c>
      <c r="D4609" s="7" t="s">
        <v>1548</v>
      </c>
      <c r="E4609" s="5" t="s">
        <v>3564</v>
      </c>
      <c r="F4609" s="5" t="s">
        <v>3123</v>
      </c>
    </row>
    <row r="4610">
      <c r="A4610" s="5" t="s">
        <v>2936</v>
      </c>
      <c r="B4610" s="8">
        <v>8.0</v>
      </c>
      <c r="C4610" s="4" t="s">
        <v>35</v>
      </c>
      <c r="D4610" s="7" t="s">
        <v>1548</v>
      </c>
      <c r="E4610" s="5" t="s">
        <v>3564</v>
      </c>
      <c r="F4610" s="5" t="s">
        <v>3123</v>
      </c>
    </row>
    <row r="4611">
      <c r="A4611" s="5" t="s">
        <v>2608</v>
      </c>
      <c r="B4611" s="8">
        <v>8.0</v>
      </c>
      <c r="C4611" s="4" t="s">
        <v>35</v>
      </c>
      <c r="D4611" s="7" t="s">
        <v>1548</v>
      </c>
      <c r="E4611" s="5" t="s">
        <v>3564</v>
      </c>
      <c r="F4611" s="5" t="s">
        <v>3123</v>
      </c>
    </row>
    <row r="4612">
      <c r="A4612" s="5" t="s">
        <v>2609</v>
      </c>
      <c r="B4612" s="8">
        <v>8.0</v>
      </c>
      <c r="C4612" s="4" t="s">
        <v>35</v>
      </c>
      <c r="D4612" s="7" t="s">
        <v>1548</v>
      </c>
      <c r="E4612" s="5" t="s">
        <v>3564</v>
      </c>
      <c r="F4612" s="5" t="s">
        <v>3123</v>
      </c>
    </row>
    <row r="4613">
      <c r="A4613" s="5" t="s">
        <v>3087</v>
      </c>
      <c r="B4613" s="8">
        <v>8.0</v>
      </c>
      <c r="C4613" s="4" t="s">
        <v>930</v>
      </c>
      <c r="D4613" s="7" t="s">
        <v>1550</v>
      </c>
      <c r="E4613" s="5" t="s">
        <v>3565</v>
      </c>
      <c r="F4613" s="5" t="s">
        <v>3566</v>
      </c>
    </row>
    <row r="4614">
      <c r="A4614" s="5" t="s">
        <v>2926</v>
      </c>
      <c r="B4614" s="8">
        <v>8.0</v>
      </c>
      <c r="C4614" s="4" t="s">
        <v>930</v>
      </c>
      <c r="D4614" s="7" t="s">
        <v>1550</v>
      </c>
      <c r="E4614" s="5" t="s">
        <v>3565</v>
      </c>
      <c r="F4614" s="5" t="s">
        <v>3126</v>
      </c>
    </row>
    <row r="4615">
      <c r="A4615" s="5" t="s">
        <v>3388</v>
      </c>
      <c r="B4615" s="8">
        <v>8.0</v>
      </c>
      <c r="C4615" s="4" t="s">
        <v>930</v>
      </c>
      <c r="D4615" s="7" t="s">
        <v>1550</v>
      </c>
      <c r="E4615" s="5" t="s">
        <v>3565</v>
      </c>
      <c r="F4615" s="5" t="s">
        <v>3126</v>
      </c>
    </row>
    <row r="4616">
      <c r="A4616" s="5" t="s">
        <v>2927</v>
      </c>
      <c r="B4616" s="8">
        <v>8.0</v>
      </c>
      <c r="C4616" s="4" t="s">
        <v>930</v>
      </c>
      <c r="D4616" s="7" t="s">
        <v>1550</v>
      </c>
      <c r="E4616" s="5" t="s">
        <v>3565</v>
      </c>
      <c r="F4616" s="5" t="s">
        <v>3126</v>
      </c>
    </row>
    <row r="4617">
      <c r="A4617" s="5" t="s">
        <v>2928</v>
      </c>
      <c r="B4617" s="8">
        <v>8.0</v>
      </c>
      <c r="C4617" s="4" t="s">
        <v>930</v>
      </c>
      <c r="D4617" s="7" t="s">
        <v>1550</v>
      </c>
      <c r="E4617" s="5" t="s">
        <v>3565</v>
      </c>
      <c r="F4617" s="5" t="s">
        <v>3126</v>
      </c>
    </row>
    <row r="4618">
      <c r="A4618" s="7" t="s">
        <v>603</v>
      </c>
      <c r="B4618" s="8">
        <v>8.0</v>
      </c>
      <c r="C4618" s="4" t="s">
        <v>930</v>
      </c>
      <c r="D4618" s="7" t="s">
        <v>1550</v>
      </c>
      <c r="E4618" s="5" t="s">
        <v>3565</v>
      </c>
      <c r="F4618" s="5" t="s">
        <v>3126</v>
      </c>
    </row>
    <row r="4619">
      <c r="A4619" s="5" t="s">
        <v>2929</v>
      </c>
      <c r="B4619" s="8">
        <v>8.0</v>
      </c>
      <c r="C4619" s="4" t="s">
        <v>930</v>
      </c>
      <c r="D4619" s="7" t="s">
        <v>1550</v>
      </c>
      <c r="E4619" s="5" t="s">
        <v>3565</v>
      </c>
      <c r="F4619" s="5" t="s">
        <v>3126</v>
      </c>
    </row>
    <row r="4620">
      <c r="A4620" s="5" t="s">
        <v>2930</v>
      </c>
      <c r="B4620" s="8">
        <v>8.0</v>
      </c>
      <c r="C4620" s="4" t="s">
        <v>930</v>
      </c>
      <c r="D4620" s="7" t="s">
        <v>1550</v>
      </c>
      <c r="E4620" s="5" t="s">
        <v>3565</v>
      </c>
      <c r="F4620" s="5" t="s">
        <v>3126</v>
      </c>
    </row>
    <row r="4621">
      <c r="A4621" s="7" t="s">
        <v>606</v>
      </c>
      <c r="B4621" s="8">
        <v>8.0</v>
      </c>
      <c r="C4621" s="4" t="s">
        <v>930</v>
      </c>
      <c r="D4621" s="7" t="s">
        <v>1550</v>
      </c>
      <c r="E4621" s="5" t="s">
        <v>3565</v>
      </c>
      <c r="F4621" s="5" t="s">
        <v>3126</v>
      </c>
    </row>
    <row r="4622">
      <c r="A4622" s="5" t="s">
        <v>2602</v>
      </c>
      <c r="B4622" s="8">
        <v>8.0</v>
      </c>
      <c r="C4622" s="4" t="s">
        <v>930</v>
      </c>
      <c r="D4622" s="7" t="s">
        <v>1550</v>
      </c>
      <c r="E4622" s="5" t="s">
        <v>3565</v>
      </c>
      <c r="F4622" s="5" t="s">
        <v>3126</v>
      </c>
    </row>
    <row r="4623">
      <c r="A4623" s="5" t="s">
        <v>2931</v>
      </c>
      <c r="B4623" s="8">
        <v>8.0</v>
      </c>
      <c r="C4623" s="4" t="s">
        <v>930</v>
      </c>
      <c r="D4623" s="7" t="s">
        <v>1550</v>
      </c>
      <c r="E4623" s="5" t="s">
        <v>3565</v>
      </c>
      <c r="F4623" s="5" t="s">
        <v>3126</v>
      </c>
    </row>
    <row r="4624">
      <c r="A4624" s="5" t="s">
        <v>2932</v>
      </c>
      <c r="B4624" s="8">
        <v>8.0</v>
      </c>
      <c r="C4624" s="4" t="s">
        <v>930</v>
      </c>
      <c r="D4624" s="7" t="s">
        <v>1550</v>
      </c>
      <c r="E4624" s="5" t="s">
        <v>3565</v>
      </c>
      <c r="F4624" s="5" t="s">
        <v>3126</v>
      </c>
    </row>
    <row r="4625">
      <c r="A4625" s="5" t="s">
        <v>2933</v>
      </c>
      <c r="B4625" s="8">
        <v>8.0</v>
      </c>
      <c r="C4625" s="4" t="s">
        <v>930</v>
      </c>
      <c r="D4625" s="7" t="s">
        <v>1550</v>
      </c>
      <c r="E4625" s="5" t="s">
        <v>3565</v>
      </c>
      <c r="F4625" s="5" t="s">
        <v>3126</v>
      </c>
    </row>
    <row r="4626">
      <c r="A4626" s="5" t="s">
        <v>2606</v>
      </c>
      <c r="B4626" s="8">
        <v>8.0</v>
      </c>
      <c r="C4626" s="4" t="s">
        <v>930</v>
      </c>
      <c r="D4626" s="7" t="s">
        <v>1550</v>
      </c>
      <c r="E4626" s="5" t="s">
        <v>3565</v>
      </c>
      <c r="F4626" s="5" t="s">
        <v>3126</v>
      </c>
    </row>
    <row r="4627">
      <c r="A4627" s="5" t="s">
        <v>2934</v>
      </c>
      <c r="B4627" s="8">
        <v>8.0</v>
      </c>
      <c r="C4627" s="4" t="s">
        <v>930</v>
      </c>
      <c r="D4627" s="7" t="s">
        <v>1550</v>
      </c>
      <c r="E4627" s="5" t="s">
        <v>3565</v>
      </c>
      <c r="F4627" s="5" t="s">
        <v>3126</v>
      </c>
    </row>
    <row r="4628">
      <c r="A4628" s="5" t="s">
        <v>2607</v>
      </c>
      <c r="B4628" s="8">
        <v>8.0</v>
      </c>
      <c r="C4628" s="4" t="s">
        <v>930</v>
      </c>
      <c r="D4628" s="7" t="s">
        <v>1550</v>
      </c>
      <c r="E4628" s="5" t="s">
        <v>3565</v>
      </c>
      <c r="F4628" s="5" t="s">
        <v>3126</v>
      </c>
    </row>
    <row r="4629">
      <c r="A4629" s="5" t="s">
        <v>2936</v>
      </c>
      <c r="B4629" s="8">
        <v>8.0</v>
      </c>
      <c r="C4629" s="4" t="s">
        <v>930</v>
      </c>
      <c r="D4629" s="7" t="s">
        <v>1550</v>
      </c>
      <c r="E4629" s="5" t="s">
        <v>3565</v>
      </c>
      <c r="F4629" s="5" t="s">
        <v>3126</v>
      </c>
    </row>
    <row r="4630">
      <c r="A4630" s="5" t="s">
        <v>2608</v>
      </c>
      <c r="B4630" s="8">
        <v>8.0</v>
      </c>
      <c r="C4630" s="4" t="s">
        <v>930</v>
      </c>
      <c r="D4630" s="7" t="s">
        <v>1550</v>
      </c>
      <c r="E4630" s="5" t="s">
        <v>3565</v>
      </c>
      <c r="F4630" s="5" t="s">
        <v>3126</v>
      </c>
    </row>
    <row r="4631">
      <c r="A4631" s="5" t="s">
        <v>2609</v>
      </c>
      <c r="B4631" s="8">
        <v>8.0</v>
      </c>
      <c r="C4631" s="4" t="s">
        <v>930</v>
      </c>
      <c r="D4631" s="7" t="s">
        <v>1550</v>
      </c>
      <c r="E4631" s="5" t="s">
        <v>3565</v>
      </c>
      <c r="F4631" s="5" t="s">
        <v>3126</v>
      </c>
    </row>
    <row r="4632">
      <c r="A4632" s="5" t="s">
        <v>2924</v>
      </c>
      <c r="B4632" s="8">
        <v>8.0</v>
      </c>
      <c r="C4632" s="4" t="s">
        <v>193</v>
      </c>
      <c r="D4632" s="7" t="s">
        <v>1553</v>
      </c>
      <c r="E4632" s="5" t="s">
        <v>2923</v>
      </c>
      <c r="F4632" s="7" t="s">
        <v>1290</v>
      </c>
    </row>
    <row r="4633">
      <c r="A4633" s="5" t="s">
        <v>2925</v>
      </c>
      <c r="B4633" s="8">
        <v>8.0</v>
      </c>
      <c r="C4633" s="4" t="s">
        <v>193</v>
      </c>
      <c r="D4633" s="7" t="s">
        <v>1553</v>
      </c>
      <c r="E4633" s="5" t="s">
        <v>2923</v>
      </c>
      <c r="F4633" s="7" t="s">
        <v>3387</v>
      </c>
    </row>
    <row r="4634">
      <c r="A4634" s="5" t="s">
        <v>3086</v>
      </c>
      <c r="B4634" s="8">
        <v>8.0</v>
      </c>
      <c r="C4634" s="4" t="s">
        <v>193</v>
      </c>
      <c r="D4634" s="7" t="s">
        <v>1553</v>
      </c>
      <c r="E4634" s="5" t="s">
        <v>2923</v>
      </c>
      <c r="F4634" s="7" t="s">
        <v>2315</v>
      </c>
    </row>
    <row r="4635">
      <c r="A4635" s="5" t="s">
        <v>3087</v>
      </c>
      <c r="B4635" s="8">
        <v>8.0</v>
      </c>
      <c r="C4635" s="4" t="s">
        <v>193</v>
      </c>
      <c r="D4635" s="7" t="s">
        <v>1553</v>
      </c>
      <c r="E4635" s="5" t="s">
        <v>2923</v>
      </c>
      <c r="F4635" s="7" t="s">
        <v>2317</v>
      </c>
    </row>
    <row r="4636">
      <c r="A4636" s="5" t="s">
        <v>2926</v>
      </c>
      <c r="B4636" s="8">
        <v>8.0</v>
      </c>
      <c r="C4636" s="4" t="s">
        <v>193</v>
      </c>
      <c r="D4636" s="7" t="s">
        <v>1553</v>
      </c>
      <c r="E4636" s="5" t="s">
        <v>2923</v>
      </c>
      <c r="F4636" s="7" t="s">
        <v>1292</v>
      </c>
    </row>
    <row r="4637">
      <c r="A4637" s="5" t="s">
        <v>3388</v>
      </c>
      <c r="B4637" s="8">
        <v>8.0</v>
      </c>
      <c r="C4637" s="4" t="s">
        <v>193</v>
      </c>
      <c r="D4637" s="7" t="s">
        <v>1553</v>
      </c>
      <c r="E4637" s="5" t="s">
        <v>2923</v>
      </c>
      <c r="F4637" s="7" t="s">
        <v>2312</v>
      </c>
    </row>
    <row r="4638">
      <c r="A4638" s="5" t="s">
        <v>2927</v>
      </c>
      <c r="B4638" s="8">
        <v>8.0</v>
      </c>
      <c r="C4638" s="4" t="s">
        <v>193</v>
      </c>
      <c r="D4638" s="7" t="s">
        <v>1553</v>
      </c>
      <c r="E4638" s="5" t="s">
        <v>2923</v>
      </c>
      <c r="F4638" s="7" t="s">
        <v>3387</v>
      </c>
    </row>
    <row r="4639">
      <c r="A4639" s="5" t="s">
        <v>2928</v>
      </c>
      <c r="B4639" s="8">
        <v>8.0</v>
      </c>
      <c r="C4639" s="4" t="s">
        <v>193</v>
      </c>
      <c r="D4639" s="7" t="s">
        <v>1553</v>
      </c>
      <c r="E4639" s="5" t="s">
        <v>2923</v>
      </c>
      <c r="F4639" s="7" t="s">
        <v>2312</v>
      </c>
    </row>
    <row r="4640">
      <c r="A4640" s="7" t="s">
        <v>603</v>
      </c>
      <c r="B4640" s="8">
        <v>8.0</v>
      </c>
      <c r="C4640" s="4" t="s">
        <v>193</v>
      </c>
      <c r="D4640" s="7" t="s">
        <v>1553</v>
      </c>
      <c r="E4640" s="5" t="s">
        <v>2923</v>
      </c>
      <c r="F4640" s="7" t="s">
        <v>2312</v>
      </c>
    </row>
    <row r="4641">
      <c r="A4641" s="5" t="s">
        <v>2929</v>
      </c>
      <c r="B4641" s="8">
        <v>8.0</v>
      </c>
      <c r="C4641" s="4" t="s">
        <v>193</v>
      </c>
      <c r="D4641" s="7" t="s">
        <v>1553</v>
      </c>
      <c r="E4641" s="5" t="s">
        <v>2923</v>
      </c>
      <c r="F4641" s="7" t="s">
        <v>2312</v>
      </c>
    </row>
    <row r="4642">
      <c r="A4642" s="5" t="s">
        <v>2930</v>
      </c>
      <c r="B4642" s="8">
        <v>8.0</v>
      </c>
      <c r="C4642" s="4" t="s">
        <v>193</v>
      </c>
      <c r="D4642" s="7" t="s">
        <v>1553</v>
      </c>
      <c r="E4642" s="5" t="s">
        <v>2923</v>
      </c>
      <c r="F4642" s="7" t="s">
        <v>2314</v>
      </c>
    </row>
    <row r="4643">
      <c r="A4643" s="7" t="s">
        <v>606</v>
      </c>
      <c r="B4643" s="8">
        <v>8.0</v>
      </c>
      <c r="C4643" s="4" t="s">
        <v>193</v>
      </c>
      <c r="D4643" s="7" t="s">
        <v>1553</v>
      </c>
      <c r="E4643" s="5" t="s">
        <v>2923</v>
      </c>
      <c r="F4643" s="7" t="s">
        <v>3387</v>
      </c>
    </row>
    <row r="4644">
      <c r="A4644" s="5" t="s">
        <v>2602</v>
      </c>
      <c r="B4644" s="8">
        <v>8.0</v>
      </c>
      <c r="C4644" s="4" t="s">
        <v>193</v>
      </c>
      <c r="D4644" s="7" t="s">
        <v>1553</v>
      </c>
      <c r="E4644" s="5" t="s">
        <v>2923</v>
      </c>
      <c r="F4644" s="7" t="s">
        <v>2314</v>
      </c>
    </row>
    <row r="4645">
      <c r="A4645" s="5" t="s">
        <v>2931</v>
      </c>
      <c r="B4645" s="8">
        <v>8.0</v>
      </c>
      <c r="C4645" s="4" t="s">
        <v>193</v>
      </c>
      <c r="D4645" s="7" t="s">
        <v>1553</v>
      </c>
      <c r="E4645" s="5" t="s">
        <v>2923</v>
      </c>
      <c r="F4645" s="7" t="s">
        <v>1290</v>
      </c>
    </row>
    <row r="4646">
      <c r="A4646" s="5" t="s">
        <v>2932</v>
      </c>
      <c r="B4646" s="8">
        <v>8.0</v>
      </c>
      <c r="C4646" s="4" t="s">
        <v>193</v>
      </c>
      <c r="D4646" s="7" t="s">
        <v>1553</v>
      </c>
      <c r="E4646" s="5" t="s">
        <v>2923</v>
      </c>
      <c r="F4646" s="7" t="s">
        <v>2314</v>
      </c>
    </row>
    <row r="4647">
      <c r="A4647" s="5" t="s">
        <v>2933</v>
      </c>
      <c r="B4647" s="8">
        <v>8.0</v>
      </c>
      <c r="C4647" s="4" t="s">
        <v>193</v>
      </c>
      <c r="D4647" s="7" t="s">
        <v>1553</v>
      </c>
      <c r="E4647" s="5" t="s">
        <v>2923</v>
      </c>
      <c r="F4647" s="7" t="s">
        <v>2317</v>
      </c>
    </row>
    <row r="4648">
      <c r="A4648" s="5" t="s">
        <v>2606</v>
      </c>
      <c r="B4648" s="8">
        <v>8.0</v>
      </c>
      <c r="C4648" s="4" t="s">
        <v>193</v>
      </c>
      <c r="D4648" s="7" t="s">
        <v>1553</v>
      </c>
      <c r="E4648" s="5" t="s">
        <v>2923</v>
      </c>
      <c r="F4648" s="7" t="s">
        <v>2314</v>
      </c>
    </row>
    <row r="4649">
      <c r="A4649" s="5" t="s">
        <v>2934</v>
      </c>
      <c r="B4649" s="8">
        <v>8.0</v>
      </c>
      <c r="C4649" s="4" t="s">
        <v>193</v>
      </c>
      <c r="D4649" s="7" t="s">
        <v>1553</v>
      </c>
      <c r="E4649" s="5" t="s">
        <v>2923</v>
      </c>
      <c r="F4649" s="7" t="s">
        <v>1292</v>
      </c>
    </row>
    <row r="4650">
      <c r="A4650" s="5" t="s">
        <v>2607</v>
      </c>
      <c r="B4650" s="8">
        <v>8.0</v>
      </c>
      <c r="C4650" s="4" t="s">
        <v>193</v>
      </c>
      <c r="D4650" s="7" t="s">
        <v>1553</v>
      </c>
      <c r="E4650" s="5" t="s">
        <v>2923</v>
      </c>
      <c r="F4650" s="7" t="s">
        <v>1292</v>
      </c>
    </row>
    <row r="4651">
      <c r="A4651" s="5" t="s">
        <v>2935</v>
      </c>
      <c r="B4651" s="8">
        <v>8.0</v>
      </c>
      <c r="C4651" s="4" t="s">
        <v>193</v>
      </c>
      <c r="D4651" s="7" t="s">
        <v>1553</v>
      </c>
      <c r="E4651" s="5" t="s">
        <v>2923</v>
      </c>
      <c r="F4651" s="7" t="s">
        <v>2314</v>
      </c>
    </row>
    <row r="4652">
      <c r="A4652" s="5" t="s">
        <v>2936</v>
      </c>
      <c r="B4652" s="8">
        <v>8.0</v>
      </c>
      <c r="C4652" s="4" t="s">
        <v>193</v>
      </c>
      <c r="D4652" s="7" t="s">
        <v>1553</v>
      </c>
      <c r="E4652" s="5" t="s">
        <v>2923</v>
      </c>
      <c r="F4652" s="7" t="s">
        <v>3387</v>
      </c>
    </row>
    <row r="4653">
      <c r="A4653" s="5" t="s">
        <v>2608</v>
      </c>
      <c r="B4653" s="8">
        <v>8.0</v>
      </c>
      <c r="C4653" s="4" t="s">
        <v>193</v>
      </c>
      <c r="D4653" s="7" t="s">
        <v>1553</v>
      </c>
      <c r="E4653" s="5" t="s">
        <v>2923</v>
      </c>
      <c r="F4653" s="7" t="s">
        <v>3387</v>
      </c>
    </row>
    <row r="4654">
      <c r="A4654" s="5" t="s">
        <v>2609</v>
      </c>
      <c r="B4654" s="8">
        <v>8.0</v>
      </c>
      <c r="C4654" s="4" t="s">
        <v>193</v>
      </c>
      <c r="D4654" s="7" t="s">
        <v>1553</v>
      </c>
      <c r="E4654" s="5" t="s">
        <v>2923</v>
      </c>
      <c r="F4654" s="7" t="s">
        <v>2317</v>
      </c>
    </row>
    <row r="4655">
      <c r="A4655" s="5" t="s">
        <v>2924</v>
      </c>
      <c r="B4655" s="8">
        <v>8.0</v>
      </c>
      <c r="C4655" s="4" t="s">
        <v>227</v>
      </c>
      <c r="D4655" s="7" t="s">
        <v>1554</v>
      </c>
      <c r="E4655" s="5" t="s">
        <v>3567</v>
      </c>
      <c r="F4655" s="7" t="s">
        <v>1290</v>
      </c>
    </row>
    <row r="4656">
      <c r="A4656" s="5" t="s">
        <v>2925</v>
      </c>
      <c r="B4656" s="8">
        <v>8.0</v>
      </c>
      <c r="C4656" s="4" t="s">
        <v>227</v>
      </c>
      <c r="D4656" s="7" t="s">
        <v>1554</v>
      </c>
      <c r="E4656" s="5" t="s">
        <v>3567</v>
      </c>
      <c r="F4656" s="7" t="s">
        <v>3387</v>
      </c>
    </row>
    <row r="4657">
      <c r="A4657" s="5" t="s">
        <v>3086</v>
      </c>
      <c r="B4657" s="8">
        <v>8.0</v>
      </c>
      <c r="C4657" s="4" t="s">
        <v>227</v>
      </c>
      <c r="D4657" s="7" t="s">
        <v>1554</v>
      </c>
      <c r="E4657" s="5" t="s">
        <v>3567</v>
      </c>
      <c r="F4657" s="7" t="s">
        <v>2315</v>
      </c>
    </row>
    <row r="4658">
      <c r="A4658" s="5" t="s">
        <v>3087</v>
      </c>
      <c r="B4658" s="8">
        <v>8.0</v>
      </c>
      <c r="C4658" s="4" t="s">
        <v>227</v>
      </c>
      <c r="D4658" s="7" t="s">
        <v>1554</v>
      </c>
      <c r="E4658" s="5" t="s">
        <v>3567</v>
      </c>
      <c r="F4658" s="7" t="s">
        <v>2317</v>
      </c>
    </row>
    <row r="4659">
      <c r="A4659" s="5" t="s">
        <v>2926</v>
      </c>
      <c r="B4659" s="8">
        <v>8.0</v>
      </c>
      <c r="C4659" s="4" t="s">
        <v>227</v>
      </c>
      <c r="D4659" s="7" t="s">
        <v>1554</v>
      </c>
      <c r="E4659" s="5" t="s">
        <v>3567</v>
      </c>
      <c r="F4659" s="7" t="s">
        <v>1292</v>
      </c>
    </row>
    <row r="4660">
      <c r="A4660" s="5" t="s">
        <v>3388</v>
      </c>
      <c r="B4660" s="8">
        <v>8.0</v>
      </c>
      <c r="C4660" s="4" t="s">
        <v>227</v>
      </c>
      <c r="D4660" s="7" t="s">
        <v>1554</v>
      </c>
      <c r="E4660" s="5" t="s">
        <v>3567</v>
      </c>
      <c r="F4660" s="7" t="s">
        <v>2312</v>
      </c>
    </row>
    <row r="4661">
      <c r="A4661" s="5" t="s">
        <v>2927</v>
      </c>
      <c r="B4661" s="8">
        <v>8.0</v>
      </c>
      <c r="C4661" s="4" t="s">
        <v>227</v>
      </c>
      <c r="D4661" s="7" t="s">
        <v>1554</v>
      </c>
      <c r="E4661" s="5" t="s">
        <v>3567</v>
      </c>
      <c r="F4661" s="7" t="s">
        <v>3387</v>
      </c>
    </row>
    <row r="4662">
      <c r="A4662" s="5" t="s">
        <v>2928</v>
      </c>
      <c r="B4662" s="8">
        <v>8.0</v>
      </c>
      <c r="C4662" s="4" t="s">
        <v>227</v>
      </c>
      <c r="D4662" s="7" t="s">
        <v>1554</v>
      </c>
      <c r="E4662" s="5" t="s">
        <v>3567</v>
      </c>
      <c r="F4662" s="7" t="s">
        <v>2312</v>
      </c>
    </row>
    <row r="4663">
      <c r="A4663" s="7" t="s">
        <v>603</v>
      </c>
      <c r="B4663" s="8">
        <v>8.0</v>
      </c>
      <c r="C4663" s="4" t="s">
        <v>227</v>
      </c>
      <c r="D4663" s="7" t="s">
        <v>1554</v>
      </c>
      <c r="E4663" s="5" t="s">
        <v>3567</v>
      </c>
      <c r="F4663" s="7" t="s">
        <v>2312</v>
      </c>
    </row>
    <row r="4664">
      <c r="A4664" s="5" t="s">
        <v>2929</v>
      </c>
      <c r="B4664" s="8">
        <v>8.0</v>
      </c>
      <c r="C4664" s="4" t="s">
        <v>227</v>
      </c>
      <c r="D4664" s="7" t="s">
        <v>1554</v>
      </c>
      <c r="E4664" s="5" t="s">
        <v>3567</v>
      </c>
      <c r="F4664" s="7" t="s">
        <v>2312</v>
      </c>
    </row>
    <row r="4665">
      <c r="A4665" s="5" t="s">
        <v>2930</v>
      </c>
      <c r="B4665" s="8">
        <v>8.0</v>
      </c>
      <c r="C4665" s="4" t="s">
        <v>227</v>
      </c>
      <c r="D4665" s="7" t="s">
        <v>1554</v>
      </c>
      <c r="E4665" s="5" t="s">
        <v>3567</v>
      </c>
      <c r="F4665" s="7" t="s">
        <v>2314</v>
      </c>
    </row>
    <row r="4666">
      <c r="A4666" s="7" t="s">
        <v>606</v>
      </c>
      <c r="B4666" s="8">
        <v>8.0</v>
      </c>
      <c r="C4666" s="4" t="s">
        <v>227</v>
      </c>
      <c r="D4666" s="7" t="s">
        <v>1554</v>
      </c>
      <c r="E4666" s="5" t="s">
        <v>3567</v>
      </c>
      <c r="F4666" s="7" t="s">
        <v>3387</v>
      </c>
    </row>
    <row r="4667">
      <c r="A4667" s="5" t="s">
        <v>2602</v>
      </c>
      <c r="B4667" s="8">
        <v>8.0</v>
      </c>
      <c r="C4667" s="4" t="s">
        <v>227</v>
      </c>
      <c r="D4667" s="7" t="s">
        <v>1554</v>
      </c>
      <c r="E4667" s="5" t="s">
        <v>3567</v>
      </c>
      <c r="F4667" s="7" t="s">
        <v>2314</v>
      </c>
    </row>
    <row r="4668">
      <c r="A4668" s="5" t="s">
        <v>2931</v>
      </c>
      <c r="B4668" s="8">
        <v>8.0</v>
      </c>
      <c r="C4668" s="4" t="s">
        <v>227</v>
      </c>
      <c r="D4668" s="7" t="s">
        <v>1554</v>
      </c>
      <c r="E4668" s="5" t="s">
        <v>3567</v>
      </c>
      <c r="F4668" s="7" t="s">
        <v>1290</v>
      </c>
    </row>
    <row r="4669">
      <c r="A4669" s="5" t="s">
        <v>2932</v>
      </c>
      <c r="B4669" s="8">
        <v>8.0</v>
      </c>
      <c r="C4669" s="4" t="s">
        <v>227</v>
      </c>
      <c r="D4669" s="7" t="s">
        <v>1554</v>
      </c>
      <c r="E4669" s="5" t="s">
        <v>3567</v>
      </c>
      <c r="F4669" s="7" t="s">
        <v>2314</v>
      </c>
    </row>
    <row r="4670">
      <c r="A4670" s="5" t="s">
        <v>2933</v>
      </c>
      <c r="B4670" s="8">
        <v>8.0</v>
      </c>
      <c r="C4670" s="4" t="s">
        <v>227</v>
      </c>
      <c r="D4670" s="7" t="s">
        <v>1554</v>
      </c>
      <c r="E4670" s="5" t="s">
        <v>3567</v>
      </c>
      <c r="F4670" s="7" t="s">
        <v>2317</v>
      </c>
    </row>
    <row r="4671">
      <c r="A4671" s="5" t="s">
        <v>2606</v>
      </c>
      <c r="B4671" s="8">
        <v>8.0</v>
      </c>
      <c r="C4671" s="4" t="s">
        <v>227</v>
      </c>
      <c r="D4671" s="7" t="s">
        <v>1554</v>
      </c>
      <c r="E4671" s="5" t="s">
        <v>3567</v>
      </c>
      <c r="F4671" s="7" t="s">
        <v>2314</v>
      </c>
    </row>
    <row r="4672">
      <c r="A4672" s="5" t="s">
        <v>2934</v>
      </c>
      <c r="B4672" s="8">
        <v>8.0</v>
      </c>
      <c r="C4672" s="4" t="s">
        <v>227</v>
      </c>
      <c r="D4672" s="7" t="s">
        <v>1554</v>
      </c>
      <c r="E4672" s="5" t="s">
        <v>3567</v>
      </c>
      <c r="F4672" s="7" t="s">
        <v>1292</v>
      </c>
    </row>
    <row r="4673">
      <c r="A4673" s="5" t="s">
        <v>2607</v>
      </c>
      <c r="B4673" s="8">
        <v>8.0</v>
      </c>
      <c r="C4673" s="4" t="s">
        <v>227</v>
      </c>
      <c r="D4673" s="7" t="s">
        <v>1554</v>
      </c>
      <c r="E4673" s="5" t="s">
        <v>3567</v>
      </c>
      <c r="F4673" s="7" t="s">
        <v>1292</v>
      </c>
    </row>
    <row r="4674">
      <c r="A4674" s="5" t="s">
        <v>2935</v>
      </c>
      <c r="B4674" s="8">
        <v>8.0</v>
      </c>
      <c r="C4674" s="4" t="s">
        <v>227</v>
      </c>
      <c r="D4674" s="7" t="s">
        <v>1554</v>
      </c>
      <c r="E4674" s="5" t="s">
        <v>3567</v>
      </c>
      <c r="F4674" s="7" t="s">
        <v>2314</v>
      </c>
    </row>
    <row r="4675">
      <c r="A4675" s="5" t="s">
        <v>2936</v>
      </c>
      <c r="B4675" s="8">
        <v>8.0</v>
      </c>
      <c r="C4675" s="4" t="s">
        <v>227</v>
      </c>
      <c r="D4675" s="7" t="s">
        <v>1554</v>
      </c>
      <c r="E4675" s="5" t="s">
        <v>3567</v>
      </c>
      <c r="F4675" s="7" t="s">
        <v>3387</v>
      </c>
    </row>
    <row r="4676">
      <c r="A4676" s="5" t="s">
        <v>2608</v>
      </c>
      <c r="B4676" s="8">
        <v>8.0</v>
      </c>
      <c r="C4676" s="4" t="s">
        <v>227</v>
      </c>
      <c r="D4676" s="7" t="s">
        <v>1554</v>
      </c>
      <c r="E4676" s="5" t="s">
        <v>3567</v>
      </c>
      <c r="F4676" s="7" t="s">
        <v>3387</v>
      </c>
    </row>
    <row r="4677">
      <c r="A4677" s="5" t="s">
        <v>2609</v>
      </c>
      <c r="B4677" s="8">
        <v>8.0</v>
      </c>
      <c r="C4677" s="4" t="s">
        <v>227</v>
      </c>
      <c r="D4677" s="7" t="s">
        <v>1554</v>
      </c>
      <c r="E4677" s="5" t="s">
        <v>3567</v>
      </c>
      <c r="F4677" s="7" t="s">
        <v>2317</v>
      </c>
    </row>
    <row r="4678">
      <c r="A4678" s="5" t="s">
        <v>2924</v>
      </c>
      <c r="B4678" s="8">
        <v>8.0</v>
      </c>
      <c r="C4678" s="4" t="s">
        <v>882</v>
      </c>
      <c r="D4678" s="5" t="s">
        <v>3568</v>
      </c>
      <c r="E4678" s="5" t="s">
        <v>3569</v>
      </c>
      <c r="F4678" s="7" t="s">
        <v>1290</v>
      </c>
    </row>
    <row r="4679">
      <c r="A4679" s="5" t="s">
        <v>2925</v>
      </c>
      <c r="B4679" s="8">
        <v>8.0</v>
      </c>
      <c r="C4679" s="4" t="s">
        <v>882</v>
      </c>
      <c r="D4679" s="5" t="s">
        <v>3568</v>
      </c>
      <c r="E4679" s="5" t="s">
        <v>3569</v>
      </c>
      <c r="F4679" s="7" t="s">
        <v>3387</v>
      </c>
    </row>
    <row r="4680">
      <c r="A4680" s="5" t="s">
        <v>3086</v>
      </c>
      <c r="B4680" s="8">
        <v>8.0</v>
      </c>
      <c r="C4680" s="4" t="s">
        <v>882</v>
      </c>
      <c r="D4680" s="5" t="s">
        <v>3568</v>
      </c>
      <c r="E4680" s="5" t="s">
        <v>3569</v>
      </c>
      <c r="F4680" s="7" t="s">
        <v>2315</v>
      </c>
    </row>
    <row r="4681">
      <c r="A4681" s="5" t="s">
        <v>3087</v>
      </c>
      <c r="B4681" s="8">
        <v>8.0</v>
      </c>
      <c r="C4681" s="4" t="s">
        <v>882</v>
      </c>
      <c r="D4681" s="5" t="s">
        <v>3568</v>
      </c>
      <c r="E4681" s="5" t="s">
        <v>3569</v>
      </c>
      <c r="F4681" s="7" t="s">
        <v>2317</v>
      </c>
    </row>
    <row r="4682">
      <c r="A4682" s="5" t="s">
        <v>2926</v>
      </c>
      <c r="B4682" s="8">
        <v>8.0</v>
      </c>
      <c r="C4682" s="4" t="s">
        <v>882</v>
      </c>
      <c r="D4682" s="5" t="s">
        <v>3568</v>
      </c>
      <c r="E4682" s="5" t="s">
        <v>3569</v>
      </c>
      <c r="F4682" s="7" t="s">
        <v>1292</v>
      </c>
    </row>
    <row r="4683">
      <c r="A4683" s="5" t="s">
        <v>3388</v>
      </c>
      <c r="B4683" s="8">
        <v>8.0</v>
      </c>
      <c r="C4683" s="4" t="s">
        <v>882</v>
      </c>
      <c r="D4683" s="5" t="s">
        <v>3568</v>
      </c>
      <c r="E4683" s="5" t="s">
        <v>3569</v>
      </c>
      <c r="F4683" s="7" t="s">
        <v>2312</v>
      </c>
    </row>
    <row r="4684">
      <c r="A4684" s="5" t="s">
        <v>2927</v>
      </c>
      <c r="B4684" s="8">
        <v>8.0</v>
      </c>
      <c r="C4684" s="4" t="s">
        <v>882</v>
      </c>
      <c r="D4684" s="5" t="s">
        <v>3568</v>
      </c>
      <c r="E4684" s="5" t="s">
        <v>3569</v>
      </c>
      <c r="F4684" s="7" t="s">
        <v>3387</v>
      </c>
    </row>
    <row r="4685">
      <c r="A4685" s="5" t="s">
        <v>2928</v>
      </c>
      <c r="B4685" s="8">
        <v>8.0</v>
      </c>
      <c r="C4685" s="4" t="s">
        <v>882</v>
      </c>
      <c r="D4685" s="5" t="s">
        <v>3568</v>
      </c>
      <c r="E4685" s="5" t="s">
        <v>3569</v>
      </c>
      <c r="F4685" s="7" t="s">
        <v>2312</v>
      </c>
    </row>
    <row r="4686">
      <c r="A4686" s="7" t="s">
        <v>603</v>
      </c>
      <c r="B4686" s="8">
        <v>8.0</v>
      </c>
      <c r="C4686" s="4" t="s">
        <v>882</v>
      </c>
      <c r="D4686" s="5" t="s">
        <v>3568</v>
      </c>
      <c r="E4686" s="5" t="s">
        <v>3569</v>
      </c>
      <c r="F4686" s="7" t="s">
        <v>2312</v>
      </c>
    </row>
    <row r="4687">
      <c r="A4687" s="5" t="s">
        <v>2929</v>
      </c>
      <c r="B4687" s="8">
        <v>8.0</v>
      </c>
      <c r="C4687" s="4" t="s">
        <v>882</v>
      </c>
      <c r="D4687" s="5" t="s">
        <v>3568</v>
      </c>
      <c r="E4687" s="5" t="s">
        <v>3569</v>
      </c>
      <c r="F4687" s="7" t="s">
        <v>2312</v>
      </c>
    </row>
    <row r="4688">
      <c r="A4688" s="5" t="s">
        <v>2930</v>
      </c>
      <c r="B4688" s="8">
        <v>8.0</v>
      </c>
      <c r="C4688" s="4" t="s">
        <v>882</v>
      </c>
      <c r="D4688" s="5" t="s">
        <v>3568</v>
      </c>
      <c r="E4688" s="5" t="s">
        <v>3569</v>
      </c>
      <c r="F4688" s="7" t="s">
        <v>2314</v>
      </c>
    </row>
    <row r="4689">
      <c r="A4689" s="7" t="s">
        <v>606</v>
      </c>
      <c r="B4689" s="8">
        <v>8.0</v>
      </c>
      <c r="C4689" s="4" t="s">
        <v>882</v>
      </c>
      <c r="D4689" s="5" t="s">
        <v>3568</v>
      </c>
      <c r="E4689" s="5" t="s">
        <v>3569</v>
      </c>
      <c r="F4689" s="7" t="s">
        <v>3387</v>
      </c>
    </row>
    <row r="4690">
      <c r="A4690" s="5" t="s">
        <v>2602</v>
      </c>
      <c r="B4690" s="8">
        <v>8.0</v>
      </c>
      <c r="C4690" s="4" t="s">
        <v>882</v>
      </c>
      <c r="D4690" s="5" t="s">
        <v>3568</v>
      </c>
      <c r="E4690" s="5" t="s">
        <v>3569</v>
      </c>
      <c r="F4690" s="7" t="s">
        <v>2314</v>
      </c>
    </row>
    <row r="4691">
      <c r="A4691" s="5" t="s">
        <v>2931</v>
      </c>
      <c r="B4691" s="8">
        <v>8.0</v>
      </c>
      <c r="C4691" s="4" t="s">
        <v>882</v>
      </c>
      <c r="D4691" s="5" t="s">
        <v>3568</v>
      </c>
      <c r="E4691" s="5" t="s">
        <v>3569</v>
      </c>
      <c r="F4691" s="7" t="s">
        <v>1290</v>
      </c>
    </row>
    <row r="4692">
      <c r="A4692" s="5" t="s">
        <v>2932</v>
      </c>
      <c r="B4692" s="8">
        <v>8.0</v>
      </c>
      <c r="C4692" s="4" t="s">
        <v>882</v>
      </c>
      <c r="D4692" s="5" t="s">
        <v>3568</v>
      </c>
      <c r="E4692" s="5" t="s">
        <v>3569</v>
      </c>
      <c r="F4692" s="7" t="s">
        <v>2314</v>
      </c>
    </row>
    <row r="4693">
      <c r="A4693" s="5" t="s">
        <v>2933</v>
      </c>
      <c r="B4693" s="8">
        <v>8.0</v>
      </c>
      <c r="C4693" s="4" t="s">
        <v>882</v>
      </c>
      <c r="D4693" s="5" t="s">
        <v>3568</v>
      </c>
      <c r="E4693" s="5" t="s">
        <v>3569</v>
      </c>
      <c r="F4693" s="7" t="s">
        <v>2317</v>
      </c>
    </row>
    <row r="4694">
      <c r="A4694" s="5" t="s">
        <v>2606</v>
      </c>
      <c r="B4694" s="8">
        <v>8.0</v>
      </c>
      <c r="C4694" s="4" t="s">
        <v>882</v>
      </c>
      <c r="D4694" s="5" t="s">
        <v>3568</v>
      </c>
      <c r="E4694" s="5" t="s">
        <v>3569</v>
      </c>
      <c r="F4694" s="7" t="s">
        <v>2314</v>
      </c>
    </row>
    <row r="4695">
      <c r="A4695" s="5" t="s">
        <v>2934</v>
      </c>
      <c r="B4695" s="8">
        <v>8.0</v>
      </c>
      <c r="C4695" s="4" t="s">
        <v>882</v>
      </c>
      <c r="D4695" s="5" t="s">
        <v>3568</v>
      </c>
      <c r="E4695" s="5" t="s">
        <v>3569</v>
      </c>
      <c r="F4695" s="7" t="s">
        <v>1292</v>
      </c>
    </row>
    <row r="4696">
      <c r="A4696" s="5" t="s">
        <v>2607</v>
      </c>
      <c r="B4696" s="8">
        <v>8.0</v>
      </c>
      <c r="C4696" s="4" t="s">
        <v>882</v>
      </c>
      <c r="D4696" s="5" t="s">
        <v>3568</v>
      </c>
      <c r="E4696" s="5" t="s">
        <v>3569</v>
      </c>
      <c r="F4696" s="7" t="s">
        <v>1292</v>
      </c>
    </row>
    <row r="4697">
      <c r="A4697" s="5" t="s">
        <v>2935</v>
      </c>
      <c r="B4697" s="8">
        <v>8.0</v>
      </c>
      <c r="C4697" s="4" t="s">
        <v>882</v>
      </c>
      <c r="D4697" s="5" t="s">
        <v>3568</v>
      </c>
      <c r="E4697" s="5" t="s">
        <v>3569</v>
      </c>
      <c r="F4697" s="7" t="s">
        <v>2314</v>
      </c>
    </row>
    <row r="4698">
      <c r="A4698" s="5" t="s">
        <v>2936</v>
      </c>
      <c r="B4698" s="8">
        <v>8.0</v>
      </c>
      <c r="C4698" s="4" t="s">
        <v>882</v>
      </c>
      <c r="D4698" s="5" t="s">
        <v>3568</v>
      </c>
      <c r="E4698" s="5" t="s">
        <v>3569</v>
      </c>
      <c r="F4698" s="7" t="s">
        <v>3387</v>
      </c>
    </row>
    <row r="4699">
      <c r="A4699" s="5" t="s">
        <v>2608</v>
      </c>
      <c r="B4699" s="8">
        <v>8.0</v>
      </c>
      <c r="C4699" s="4" t="s">
        <v>882</v>
      </c>
      <c r="D4699" s="5" t="s">
        <v>3568</v>
      </c>
      <c r="E4699" s="5" t="s">
        <v>3569</v>
      </c>
      <c r="F4699" s="7" t="s">
        <v>3387</v>
      </c>
    </row>
    <row r="4700">
      <c r="A4700" s="5" t="s">
        <v>2609</v>
      </c>
      <c r="B4700" s="8">
        <v>8.0</v>
      </c>
      <c r="C4700" s="4" t="s">
        <v>882</v>
      </c>
      <c r="D4700" s="5" t="s">
        <v>3568</v>
      </c>
      <c r="E4700" s="5" t="s">
        <v>3569</v>
      </c>
      <c r="F4700" s="7" t="s">
        <v>2317</v>
      </c>
    </row>
    <row r="4701">
      <c r="A4701" s="5" t="s">
        <v>2924</v>
      </c>
      <c r="B4701" s="8">
        <v>8.0</v>
      </c>
      <c r="C4701" s="4" t="s">
        <v>621</v>
      </c>
      <c r="D4701" s="7" t="s">
        <v>1558</v>
      </c>
      <c r="E4701" s="5" t="s">
        <v>3570</v>
      </c>
      <c r="F4701" s="7" t="s">
        <v>1290</v>
      </c>
    </row>
    <row r="4702">
      <c r="A4702" s="5" t="s">
        <v>2925</v>
      </c>
      <c r="B4702" s="8">
        <v>8.0</v>
      </c>
      <c r="C4702" s="4" t="s">
        <v>621</v>
      </c>
      <c r="D4702" s="7" t="s">
        <v>1558</v>
      </c>
      <c r="E4702" s="5" t="s">
        <v>3570</v>
      </c>
      <c r="F4702" s="7" t="s">
        <v>3387</v>
      </c>
    </row>
    <row r="4703">
      <c r="A4703" s="5" t="s">
        <v>3086</v>
      </c>
      <c r="B4703" s="8">
        <v>8.0</v>
      </c>
      <c r="C4703" s="4" t="s">
        <v>621</v>
      </c>
      <c r="D4703" s="7" t="s">
        <v>1558</v>
      </c>
      <c r="E4703" s="5" t="s">
        <v>3570</v>
      </c>
      <c r="F4703" s="7" t="s">
        <v>2315</v>
      </c>
    </row>
    <row r="4704">
      <c r="A4704" s="5" t="s">
        <v>3087</v>
      </c>
      <c r="B4704" s="8">
        <v>8.0</v>
      </c>
      <c r="C4704" s="4" t="s">
        <v>621</v>
      </c>
      <c r="D4704" s="7" t="s">
        <v>1558</v>
      </c>
      <c r="E4704" s="5" t="s">
        <v>3570</v>
      </c>
      <c r="F4704" s="7" t="s">
        <v>2317</v>
      </c>
    </row>
    <row r="4705">
      <c r="A4705" s="5" t="s">
        <v>2926</v>
      </c>
      <c r="B4705" s="8">
        <v>8.0</v>
      </c>
      <c r="C4705" s="4" t="s">
        <v>621</v>
      </c>
      <c r="D4705" s="7" t="s">
        <v>1558</v>
      </c>
      <c r="E4705" s="5" t="s">
        <v>3570</v>
      </c>
      <c r="F4705" s="7" t="s">
        <v>1292</v>
      </c>
    </row>
    <row r="4706">
      <c r="A4706" s="5" t="s">
        <v>3388</v>
      </c>
      <c r="B4706" s="8">
        <v>8.0</v>
      </c>
      <c r="C4706" s="4" t="s">
        <v>621</v>
      </c>
      <c r="D4706" s="7" t="s">
        <v>1558</v>
      </c>
      <c r="E4706" s="5" t="s">
        <v>3570</v>
      </c>
      <c r="F4706" s="7" t="s">
        <v>2312</v>
      </c>
    </row>
    <row r="4707">
      <c r="A4707" s="5" t="s">
        <v>2927</v>
      </c>
      <c r="B4707" s="8">
        <v>8.0</v>
      </c>
      <c r="C4707" s="4" t="s">
        <v>621</v>
      </c>
      <c r="D4707" s="7" t="s">
        <v>1558</v>
      </c>
      <c r="E4707" s="5" t="s">
        <v>3570</v>
      </c>
      <c r="F4707" s="7" t="s">
        <v>3387</v>
      </c>
    </row>
    <row r="4708">
      <c r="A4708" s="5" t="s">
        <v>2928</v>
      </c>
      <c r="B4708" s="8">
        <v>8.0</v>
      </c>
      <c r="C4708" s="4" t="s">
        <v>621</v>
      </c>
      <c r="D4708" s="7" t="s">
        <v>1558</v>
      </c>
      <c r="E4708" s="5" t="s">
        <v>3570</v>
      </c>
      <c r="F4708" s="7" t="s">
        <v>2312</v>
      </c>
    </row>
    <row r="4709">
      <c r="A4709" s="7" t="s">
        <v>603</v>
      </c>
      <c r="B4709" s="8">
        <v>8.0</v>
      </c>
      <c r="C4709" s="4" t="s">
        <v>621</v>
      </c>
      <c r="D4709" s="7" t="s">
        <v>1558</v>
      </c>
      <c r="E4709" s="5" t="s">
        <v>3570</v>
      </c>
      <c r="F4709" s="7" t="s">
        <v>2312</v>
      </c>
    </row>
    <row r="4710">
      <c r="A4710" s="5" t="s">
        <v>2929</v>
      </c>
      <c r="B4710" s="8">
        <v>8.0</v>
      </c>
      <c r="C4710" s="4" t="s">
        <v>621</v>
      </c>
      <c r="D4710" s="7" t="s">
        <v>1558</v>
      </c>
      <c r="E4710" s="5" t="s">
        <v>3570</v>
      </c>
      <c r="F4710" s="7" t="s">
        <v>2312</v>
      </c>
    </row>
    <row r="4711">
      <c r="A4711" s="5" t="s">
        <v>2930</v>
      </c>
      <c r="B4711" s="8">
        <v>8.0</v>
      </c>
      <c r="C4711" s="4" t="s">
        <v>621</v>
      </c>
      <c r="D4711" s="7" t="s">
        <v>1558</v>
      </c>
      <c r="E4711" s="5" t="s">
        <v>3570</v>
      </c>
      <c r="F4711" s="7" t="s">
        <v>2314</v>
      </c>
    </row>
    <row r="4712">
      <c r="A4712" s="7" t="s">
        <v>606</v>
      </c>
      <c r="B4712" s="8">
        <v>8.0</v>
      </c>
      <c r="C4712" s="4" t="s">
        <v>621</v>
      </c>
      <c r="D4712" s="7" t="s">
        <v>1558</v>
      </c>
      <c r="E4712" s="5" t="s">
        <v>3570</v>
      </c>
      <c r="F4712" s="7" t="s">
        <v>3387</v>
      </c>
    </row>
    <row r="4713">
      <c r="A4713" s="5" t="s">
        <v>2602</v>
      </c>
      <c r="B4713" s="8">
        <v>8.0</v>
      </c>
      <c r="C4713" s="4" t="s">
        <v>621</v>
      </c>
      <c r="D4713" s="7" t="s">
        <v>1558</v>
      </c>
      <c r="E4713" s="5" t="s">
        <v>3570</v>
      </c>
      <c r="F4713" s="7" t="s">
        <v>2314</v>
      </c>
    </row>
    <row r="4714">
      <c r="A4714" s="5" t="s">
        <v>2931</v>
      </c>
      <c r="B4714" s="8">
        <v>8.0</v>
      </c>
      <c r="C4714" s="4" t="s">
        <v>621</v>
      </c>
      <c r="D4714" s="7" t="s">
        <v>1558</v>
      </c>
      <c r="E4714" s="5" t="s">
        <v>3570</v>
      </c>
      <c r="F4714" s="7" t="s">
        <v>1290</v>
      </c>
    </row>
    <row r="4715">
      <c r="A4715" s="5" t="s">
        <v>2932</v>
      </c>
      <c r="B4715" s="8">
        <v>8.0</v>
      </c>
      <c r="C4715" s="4" t="s">
        <v>621</v>
      </c>
      <c r="D4715" s="7" t="s">
        <v>1558</v>
      </c>
      <c r="E4715" s="5" t="s">
        <v>3570</v>
      </c>
      <c r="F4715" s="7" t="s">
        <v>2314</v>
      </c>
    </row>
    <row r="4716">
      <c r="A4716" s="5" t="s">
        <v>2933</v>
      </c>
      <c r="B4716" s="8">
        <v>8.0</v>
      </c>
      <c r="C4716" s="4" t="s">
        <v>621</v>
      </c>
      <c r="D4716" s="7" t="s">
        <v>1558</v>
      </c>
      <c r="E4716" s="5" t="s">
        <v>3570</v>
      </c>
      <c r="F4716" s="7" t="s">
        <v>2317</v>
      </c>
    </row>
    <row r="4717">
      <c r="A4717" s="5" t="s">
        <v>2606</v>
      </c>
      <c r="B4717" s="8">
        <v>8.0</v>
      </c>
      <c r="C4717" s="4" t="s">
        <v>621</v>
      </c>
      <c r="D4717" s="7" t="s">
        <v>1558</v>
      </c>
      <c r="E4717" s="5" t="s">
        <v>3570</v>
      </c>
      <c r="F4717" s="7" t="s">
        <v>2314</v>
      </c>
    </row>
    <row r="4718">
      <c r="A4718" s="5" t="s">
        <v>2934</v>
      </c>
      <c r="B4718" s="8">
        <v>8.0</v>
      </c>
      <c r="C4718" s="4" t="s">
        <v>621</v>
      </c>
      <c r="D4718" s="7" t="s">
        <v>1558</v>
      </c>
      <c r="E4718" s="5" t="s">
        <v>3570</v>
      </c>
      <c r="F4718" s="7" t="s">
        <v>1292</v>
      </c>
    </row>
    <row r="4719">
      <c r="A4719" s="5" t="s">
        <v>2607</v>
      </c>
      <c r="B4719" s="8">
        <v>8.0</v>
      </c>
      <c r="C4719" s="4" t="s">
        <v>621</v>
      </c>
      <c r="D4719" s="7" t="s">
        <v>1558</v>
      </c>
      <c r="E4719" s="5" t="s">
        <v>3570</v>
      </c>
      <c r="F4719" s="7" t="s">
        <v>1292</v>
      </c>
    </row>
    <row r="4720">
      <c r="A4720" s="5" t="s">
        <v>2935</v>
      </c>
      <c r="B4720" s="8">
        <v>8.0</v>
      </c>
      <c r="C4720" s="4" t="s">
        <v>621</v>
      </c>
      <c r="D4720" s="7" t="s">
        <v>1558</v>
      </c>
      <c r="E4720" s="5" t="s">
        <v>3570</v>
      </c>
      <c r="F4720" s="7" t="s">
        <v>2314</v>
      </c>
    </row>
    <row r="4721">
      <c r="A4721" s="5" t="s">
        <v>2936</v>
      </c>
      <c r="B4721" s="8">
        <v>8.0</v>
      </c>
      <c r="C4721" s="4" t="s">
        <v>621</v>
      </c>
      <c r="D4721" s="7" t="s">
        <v>1558</v>
      </c>
      <c r="E4721" s="5" t="s">
        <v>3570</v>
      </c>
      <c r="F4721" s="7" t="s">
        <v>3387</v>
      </c>
    </row>
    <row r="4722">
      <c r="A4722" s="5" t="s">
        <v>2608</v>
      </c>
      <c r="B4722" s="8">
        <v>8.0</v>
      </c>
      <c r="C4722" s="4" t="s">
        <v>621</v>
      </c>
      <c r="D4722" s="7" t="s">
        <v>1558</v>
      </c>
      <c r="E4722" s="5" t="s">
        <v>3570</v>
      </c>
      <c r="F4722" s="7" t="s">
        <v>3387</v>
      </c>
    </row>
    <row r="4723">
      <c r="A4723" s="5" t="s">
        <v>2609</v>
      </c>
      <c r="B4723" s="8">
        <v>8.0</v>
      </c>
      <c r="C4723" s="4" t="s">
        <v>621</v>
      </c>
      <c r="D4723" s="7" t="s">
        <v>1558</v>
      </c>
      <c r="E4723" s="5" t="s">
        <v>3570</v>
      </c>
      <c r="F4723" s="7" t="s">
        <v>2317</v>
      </c>
    </row>
    <row r="4724">
      <c r="A4724" s="5" t="s">
        <v>2924</v>
      </c>
      <c r="B4724" s="8">
        <v>8.0</v>
      </c>
      <c r="C4724" s="4" t="s">
        <v>1560</v>
      </c>
      <c r="D4724" s="7" t="s">
        <v>1561</v>
      </c>
      <c r="E4724" s="5" t="s">
        <v>3571</v>
      </c>
      <c r="F4724" s="7" t="s">
        <v>1290</v>
      </c>
    </row>
    <row r="4725">
      <c r="A4725" s="5" t="s">
        <v>2925</v>
      </c>
      <c r="B4725" s="8">
        <v>8.0</v>
      </c>
      <c r="C4725" s="4" t="s">
        <v>1560</v>
      </c>
      <c r="D4725" s="7" t="s">
        <v>1561</v>
      </c>
      <c r="E4725" s="5" t="s">
        <v>3571</v>
      </c>
      <c r="F4725" s="7" t="s">
        <v>3387</v>
      </c>
    </row>
    <row r="4726">
      <c r="A4726" s="5" t="s">
        <v>3086</v>
      </c>
      <c r="B4726" s="8">
        <v>8.0</v>
      </c>
      <c r="C4726" s="4" t="s">
        <v>1560</v>
      </c>
      <c r="D4726" s="7" t="s">
        <v>1561</v>
      </c>
      <c r="E4726" s="5" t="s">
        <v>3571</v>
      </c>
      <c r="F4726" s="7" t="s">
        <v>2315</v>
      </c>
    </row>
    <row r="4727">
      <c r="A4727" s="5" t="s">
        <v>3087</v>
      </c>
      <c r="B4727" s="8">
        <v>8.0</v>
      </c>
      <c r="C4727" s="4" t="s">
        <v>1560</v>
      </c>
      <c r="D4727" s="7" t="s">
        <v>1561</v>
      </c>
      <c r="E4727" s="5" t="s">
        <v>3571</v>
      </c>
      <c r="F4727" s="7" t="s">
        <v>2317</v>
      </c>
    </row>
    <row r="4728">
      <c r="A4728" s="5" t="s">
        <v>2926</v>
      </c>
      <c r="B4728" s="8">
        <v>8.0</v>
      </c>
      <c r="C4728" s="4" t="s">
        <v>1560</v>
      </c>
      <c r="D4728" s="7" t="s">
        <v>1561</v>
      </c>
      <c r="E4728" s="5" t="s">
        <v>3571</v>
      </c>
      <c r="F4728" s="7" t="s">
        <v>1292</v>
      </c>
    </row>
    <row r="4729">
      <c r="A4729" s="5" t="s">
        <v>3388</v>
      </c>
      <c r="B4729" s="8">
        <v>8.0</v>
      </c>
      <c r="C4729" s="4" t="s">
        <v>1560</v>
      </c>
      <c r="D4729" s="7" t="s">
        <v>1561</v>
      </c>
      <c r="E4729" s="5" t="s">
        <v>3571</v>
      </c>
      <c r="F4729" s="7" t="s">
        <v>2312</v>
      </c>
    </row>
    <row r="4730">
      <c r="A4730" s="5" t="s">
        <v>2927</v>
      </c>
      <c r="B4730" s="8">
        <v>8.0</v>
      </c>
      <c r="C4730" s="4" t="s">
        <v>1560</v>
      </c>
      <c r="D4730" s="7" t="s">
        <v>1561</v>
      </c>
      <c r="E4730" s="5" t="s">
        <v>3571</v>
      </c>
      <c r="F4730" s="7" t="s">
        <v>3387</v>
      </c>
    </row>
    <row r="4731">
      <c r="A4731" s="5" t="s">
        <v>2928</v>
      </c>
      <c r="B4731" s="8">
        <v>8.0</v>
      </c>
      <c r="C4731" s="4" t="s">
        <v>1560</v>
      </c>
      <c r="D4731" s="7" t="s">
        <v>1561</v>
      </c>
      <c r="E4731" s="5" t="s">
        <v>3571</v>
      </c>
      <c r="F4731" s="7" t="s">
        <v>2312</v>
      </c>
    </row>
    <row r="4732">
      <c r="A4732" s="7" t="s">
        <v>603</v>
      </c>
      <c r="B4732" s="8">
        <v>8.0</v>
      </c>
      <c r="C4732" s="4" t="s">
        <v>1560</v>
      </c>
      <c r="D4732" s="7" t="s">
        <v>1561</v>
      </c>
      <c r="E4732" s="5" t="s">
        <v>3571</v>
      </c>
      <c r="F4732" s="7" t="s">
        <v>2312</v>
      </c>
    </row>
    <row r="4733">
      <c r="A4733" s="5" t="s">
        <v>2929</v>
      </c>
      <c r="B4733" s="8">
        <v>8.0</v>
      </c>
      <c r="C4733" s="4" t="s">
        <v>1560</v>
      </c>
      <c r="D4733" s="7" t="s">
        <v>1561</v>
      </c>
      <c r="E4733" s="5" t="s">
        <v>3571</v>
      </c>
      <c r="F4733" s="7" t="s">
        <v>2312</v>
      </c>
    </row>
    <row r="4734">
      <c r="A4734" s="5" t="s">
        <v>2930</v>
      </c>
      <c r="B4734" s="8">
        <v>8.0</v>
      </c>
      <c r="C4734" s="4" t="s">
        <v>1560</v>
      </c>
      <c r="D4734" s="7" t="s">
        <v>1561</v>
      </c>
      <c r="E4734" s="5" t="s">
        <v>3571</v>
      </c>
      <c r="F4734" s="7" t="s">
        <v>2314</v>
      </c>
    </row>
    <row r="4735">
      <c r="A4735" s="7" t="s">
        <v>606</v>
      </c>
      <c r="B4735" s="8">
        <v>8.0</v>
      </c>
      <c r="C4735" s="4" t="s">
        <v>1560</v>
      </c>
      <c r="D4735" s="7" t="s">
        <v>1561</v>
      </c>
      <c r="E4735" s="5" t="s">
        <v>3571</v>
      </c>
      <c r="F4735" s="7" t="s">
        <v>3387</v>
      </c>
    </row>
    <row r="4736">
      <c r="A4736" s="5" t="s">
        <v>2602</v>
      </c>
      <c r="B4736" s="8">
        <v>8.0</v>
      </c>
      <c r="C4736" s="4" t="s">
        <v>1560</v>
      </c>
      <c r="D4736" s="7" t="s">
        <v>1561</v>
      </c>
      <c r="E4736" s="5" t="s">
        <v>3571</v>
      </c>
      <c r="F4736" s="7" t="s">
        <v>2314</v>
      </c>
    </row>
    <row r="4737">
      <c r="A4737" s="5" t="s">
        <v>2931</v>
      </c>
      <c r="B4737" s="8">
        <v>8.0</v>
      </c>
      <c r="C4737" s="4" t="s">
        <v>1560</v>
      </c>
      <c r="D4737" s="7" t="s">
        <v>1561</v>
      </c>
      <c r="E4737" s="5" t="s">
        <v>3571</v>
      </c>
      <c r="F4737" s="7" t="s">
        <v>1290</v>
      </c>
    </row>
    <row r="4738">
      <c r="A4738" s="5" t="s">
        <v>2932</v>
      </c>
      <c r="B4738" s="8">
        <v>8.0</v>
      </c>
      <c r="C4738" s="4" t="s">
        <v>1560</v>
      </c>
      <c r="D4738" s="7" t="s">
        <v>1561</v>
      </c>
      <c r="E4738" s="5" t="s">
        <v>3571</v>
      </c>
      <c r="F4738" s="7" t="s">
        <v>2314</v>
      </c>
    </row>
    <row r="4739">
      <c r="A4739" s="5" t="s">
        <v>2933</v>
      </c>
      <c r="B4739" s="8">
        <v>8.0</v>
      </c>
      <c r="C4739" s="4" t="s">
        <v>1560</v>
      </c>
      <c r="D4739" s="7" t="s">
        <v>1561</v>
      </c>
      <c r="E4739" s="5" t="s">
        <v>3571</v>
      </c>
      <c r="F4739" s="7" t="s">
        <v>2317</v>
      </c>
    </row>
    <row r="4740">
      <c r="A4740" s="5" t="s">
        <v>2606</v>
      </c>
      <c r="B4740" s="8">
        <v>8.0</v>
      </c>
      <c r="C4740" s="4" t="s">
        <v>1560</v>
      </c>
      <c r="D4740" s="7" t="s">
        <v>1561</v>
      </c>
      <c r="E4740" s="5" t="s">
        <v>3571</v>
      </c>
      <c r="F4740" s="7" t="s">
        <v>2314</v>
      </c>
    </row>
    <row r="4741">
      <c r="A4741" s="5" t="s">
        <v>2934</v>
      </c>
      <c r="B4741" s="8">
        <v>8.0</v>
      </c>
      <c r="C4741" s="4" t="s">
        <v>1560</v>
      </c>
      <c r="D4741" s="7" t="s">
        <v>1561</v>
      </c>
      <c r="E4741" s="5" t="s">
        <v>3571</v>
      </c>
      <c r="F4741" s="7" t="s">
        <v>1292</v>
      </c>
    </row>
    <row r="4742">
      <c r="A4742" s="5" t="s">
        <v>2607</v>
      </c>
      <c r="B4742" s="8">
        <v>8.0</v>
      </c>
      <c r="C4742" s="4" t="s">
        <v>1560</v>
      </c>
      <c r="D4742" s="7" t="s">
        <v>1561</v>
      </c>
      <c r="E4742" s="5" t="s">
        <v>3571</v>
      </c>
      <c r="F4742" s="7" t="s">
        <v>1292</v>
      </c>
    </row>
    <row r="4743">
      <c r="A4743" s="5" t="s">
        <v>2935</v>
      </c>
      <c r="B4743" s="8">
        <v>8.0</v>
      </c>
      <c r="C4743" s="4" t="s">
        <v>1560</v>
      </c>
      <c r="D4743" s="7" t="s">
        <v>1561</v>
      </c>
      <c r="E4743" s="5" t="s">
        <v>3571</v>
      </c>
      <c r="F4743" s="7" t="s">
        <v>2314</v>
      </c>
    </row>
    <row r="4744">
      <c r="A4744" s="5" t="s">
        <v>2936</v>
      </c>
      <c r="B4744" s="8">
        <v>8.0</v>
      </c>
      <c r="C4744" s="4" t="s">
        <v>1560</v>
      </c>
      <c r="D4744" s="7" t="s">
        <v>1561</v>
      </c>
      <c r="E4744" s="5" t="s">
        <v>3571</v>
      </c>
      <c r="F4744" s="7" t="s">
        <v>3387</v>
      </c>
    </row>
    <row r="4745">
      <c r="A4745" s="5" t="s">
        <v>2608</v>
      </c>
      <c r="B4745" s="8">
        <v>8.0</v>
      </c>
      <c r="C4745" s="4" t="s">
        <v>1560</v>
      </c>
      <c r="D4745" s="7" t="s">
        <v>1561</v>
      </c>
      <c r="E4745" s="5" t="s">
        <v>3571</v>
      </c>
      <c r="F4745" s="7" t="s">
        <v>3387</v>
      </c>
    </row>
    <row r="4746">
      <c r="A4746" s="5" t="s">
        <v>2609</v>
      </c>
      <c r="B4746" s="8">
        <v>8.0</v>
      </c>
      <c r="C4746" s="4" t="s">
        <v>1560</v>
      </c>
      <c r="D4746" s="7" t="s">
        <v>1561</v>
      </c>
      <c r="E4746" s="5" t="s">
        <v>3571</v>
      </c>
      <c r="F4746" s="7" t="s">
        <v>2317</v>
      </c>
    </row>
    <row r="4747">
      <c r="A4747" s="5" t="s">
        <v>2927</v>
      </c>
      <c r="B4747" s="8">
        <v>8.0</v>
      </c>
      <c r="C4747" s="4" t="s">
        <v>59</v>
      </c>
      <c r="D4747" s="7" t="s">
        <v>1585</v>
      </c>
      <c r="E4747" s="5" t="s">
        <v>3572</v>
      </c>
      <c r="F4747" s="5" t="s">
        <v>1587</v>
      </c>
    </row>
    <row r="4748">
      <c r="A4748" s="5" t="s">
        <v>2928</v>
      </c>
      <c r="B4748" s="8">
        <v>8.0</v>
      </c>
      <c r="C4748" s="4" t="s">
        <v>59</v>
      </c>
      <c r="D4748" s="7" t="s">
        <v>1585</v>
      </c>
      <c r="E4748" s="5" t="s">
        <v>3572</v>
      </c>
      <c r="F4748" s="5" t="s">
        <v>1587</v>
      </c>
    </row>
    <row r="4749">
      <c r="A4749" s="7" t="s">
        <v>603</v>
      </c>
      <c r="B4749" s="8">
        <v>8.0</v>
      </c>
      <c r="C4749" s="4" t="s">
        <v>59</v>
      </c>
      <c r="D4749" s="7" t="s">
        <v>1585</v>
      </c>
      <c r="E4749" s="5" t="s">
        <v>3572</v>
      </c>
      <c r="F4749" s="5" t="s">
        <v>1588</v>
      </c>
    </row>
    <row r="4750">
      <c r="A4750" s="5" t="s">
        <v>2929</v>
      </c>
      <c r="B4750" s="8">
        <v>8.0</v>
      </c>
      <c r="C4750" s="4" t="s">
        <v>59</v>
      </c>
      <c r="D4750" s="7" t="s">
        <v>1585</v>
      </c>
      <c r="E4750" s="5" t="s">
        <v>3572</v>
      </c>
      <c r="F4750" s="5" t="s">
        <v>1589</v>
      </c>
    </row>
    <row r="4751">
      <c r="A4751" s="5" t="s">
        <v>2930</v>
      </c>
      <c r="B4751" s="8">
        <v>8.0</v>
      </c>
      <c r="C4751" s="4" t="s">
        <v>59</v>
      </c>
      <c r="D4751" s="7" t="s">
        <v>1585</v>
      </c>
      <c r="E4751" s="5" t="s">
        <v>3572</v>
      </c>
      <c r="F4751" s="5" t="s">
        <v>1587</v>
      </c>
    </row>
    <row r="4752">
      <c r="A4752" s="7" t="s">
        <v>606</v>
      </c>
      <c r="B4752" s="8">
        <v>8.0</v>
      </c>
      <c r="C4752" s="4" t="s">
        <v>59</v>
      </c>
      <c r="D4752" s="7" t="s">
        <v>1585</v>
      </c>
      <c r="E4752" s="5" t="s">
        <v>3572</v>
      </c>
      <c r="F4752" s="5" t="s">
        <v>1587</v>
      </c>
    </row>
    <row r="4753">
      <c r="A4753" s="5" t="s">
        <v>2602</v>
      </c>
      <c r="B4753" s="8">
        <v>8.0</v>
      </c>
      <c r="C4753" s="4" t="s">
        <v>59</v>
      </c>
      <c r="D4753" s="7" t="s">
        <v>1585</v>
      </c>
      <c r="E4753" s="5" t="s">
        <v>3572</v>
      </c>
      <c r="F4753" s="5" t="s">
        <v>1587</v>
      </c>
    </row>
    <row r="4754">
      <c r="A4754" s="5" t="s">
        <v>2931</v>
      </c>
      <c r="B4754" s="8">
        <v>8.0</v>
      </c>
      <c r="C4754" s="4" t="s">
        <v>59</v>
      </c>
      <c r="D4754" s="7" t="s">
        <v>1585</v>
      </c>
      <c r="E4754" s="5" t="s">
        <v>3572</v>
      </c>
      <c r="F4754" s="5" t="s">
        <v>1590</v>
      </c>
    </row>
    <row r="4755">
      <c r="A4755" s="5" t="s">
        <v>2932</v>
      </c>
      <c r="B4755" s="8">
        <v>8.0</v>
      </c>
      <c r="C4755" s="4" t="s">
        <v>59</v>
      </c>
      <c r="D4755" s="7" t="s">
        <v>1585</v>
      </c>
      <c r="E4755" s="5" t="s">
        <v>3572</v>
      </c>
      <c r="F4755" s="5" t="s">
        <v>1590</v>
      </c>
    </row>
    <row r="4756">
      <c r="A4756" s="5" t="s">
        <v>2933</v>
      </c>
      <c r="B4756" s="8">
        <v>8.0</v>
      </c>
      <c r="C4756" s="4" t="s">
        <v>59</v>
      </c>
      <c r="D4756" s="7" t="s">
        <v>1585</v>
      </c>
      <c r="E4756" s="5" t="s">
        <v>3572</v>
      </c>
      <c r="F4756" s="5" t="s">
        <v>1587</v>
      </c>
    </row>
    <row r="4757">
      <c r="A4757" s="5" t="s">
        <v>2606</v>
      </c>
      <c r="B4757" s="8">
        <v>8.0</v>
      </c>
      <c r="C4757" s="4" t="s">
        <v>59</v>
      </c>
      <c r="D4757" s="7" t="s">
        <v>1585</v>
      </c>
      <c r="E4757" s="5" t="s">
        <v>3572</v>
      </c>
      <c r="F4757" s="5" t="s">
        <v>1587</v>
      </c>
    </row>
    <row r="4758">
      <c r="A4758" s="5" t="s">
        <v>2934</v>
      </c>
      <c r="B4758" s="8">
        <v>8.0</v>
      </c>
      <c r="C4758" s="4" t="s">
        <v>59</v>
      </c>
      <c r="D4758" s="7" t="s">
        <v>1585</v>
      </c>
      <c r="E4758" s="5" t="s">
        <v>3572</v>
      </c>
      <c r="F4758" s="5" t="s">
        <v>1587</v>
      </c>
    </row>
    <row r="4759">
      <c r="A4759" s="5" t="s">
        <v>2607</v>
      </c>
      <c r="B4759" s="8">
        <v>8.0</v>
      </c>
      <c r="C4759" s="4" t="s">
        <v>59</v>
      </c>
      <c r="D4759" s="7" t="s">
        <v>1585</v>
      </c>
      <c r="E4759" s="5" t="s">
        <v>3572</v>
      </c>
      <c r="F4759" s="5" t="s">
        <v>1587</v>
      </c>
    </row>
    <row r="4760">
      <c r="A4760" s="5" t="s">
        <v>2935</v>
      </c>
      <c r="B4760" s="8">
        <v>8.0</v>
      </c>
      <c r="C4760" s="4" t="s">
        <v>59</v>
      </c>
      <c r="D4760" s="7" t="s">
        <v>1585</v>
      </c>
      <c r="E4760" s="5" t="s">
        <v>3572</v>
      </c>
      <c r="F4760" s="5" t="s">
        <v>3573</v>
      </c>
    </row>
    <row r="4761">
      <c r="A4761" s="5" t="s">
        <v>2936</v>
      </c>
      <c r="B4761" s="8">
        <v>8.0</v>
      </c>
      <c r="C4761" s="4" t="s">
        <v>59</v>
      </c>
      <c r="D4761" s="7" t="s">
        <v>1585</v>
      </c>
      <c r="E4761" s="5" t="s">
        <v>3572</v>
      </c>
      <c r="F4761" s="5" t="s">
        <v>1587</v>
      </c>
    </row>
    <row r="4762">
      <c r="A4762" s="5" t="s">
        <v>2608</v>
      </c>
      <c r="B4762" s="8">
        <v>8.0</v>
      </c>
      <c r="C4762" s="4" t="s">
        <v>59</v>
      </c>
      <c r="D4762" s="7" t="s">
        <v>1585</v>
      </c>
      <c r="E4762" s="5" t="s">
        <v>3572</v>
      </c>
      <c r="F4762" s="5" t="s">
        <v>1587</v>
      </c>
    </row>
    <row r="4763">
      <c r="A4763" s="5" t="s">
        <v>2609</v>
      </c>
      <c r="B4763" s="8">
        <v>8.0</v>
      </c>
      <c r="C4763" s="4" t="s">
        <v>59</v>
      </c>
      <c r="D4763" s="7" t="s">
        <v>1585</v>
      </c>
      <c r="E4763" s="5" t="s">
        <v>3572</v>
      </c>
      <c r="F4763" s="5" t="s">
        <v>1587</v>
      </c>
    </row>
    <row r="4764">
      <c r="A4764" s="5" t="s">
        <v>2927</v>
      </c>
      <c r="B4764" s="8">
        <v>8.0</v>
      </c>
      <c r="C4764" s="4" t="s">
        <v>1592</v>
      </c>
      <c r="D4764" s="7" t="s">
        <v>1593</v>
      </c>
      <c r="E4764" s="5" t="s">
        <v>3574</v>
      </c>
      <c r="F4764" s="5" t="s">
        <v>3575</v>
      </c>
    </row>
    <row r="4765">
      <c r="A4765" s="5" t="s">
        <v>2928</v>
      </c>
      <c r="B4765" s="8">
        <v>8.0</v>
      </c>
      <c r="C4765" s="4" t="s">
        <v>1592</v>
      </c>
      <c r="D4765" s="7" t="s">
        <v>1593</v>
      </c>
      <c r="E4765" s="5" t="s">
        <v>3574</v>
      </c>
      <c r="F4765" s="5" t="s">
        <v>3576</v>
      </c>
    </row>
    <row r="4766">
      <c r="A4766" s="7" t="s">
        <v>603</v>
      </c>
      <c r="B4766" s="8">
        <v>8.0</v>
      </c>
      <c r="C4766" s="4" t="s">
        <v>1592</v>
      </c>
      <c r="D4766" s="7" t="s">
        <v>1593</v>
      </c>
      <c r="E4766" s="5" t="s">
        <v>3574</v>
      </c>
      <c r="F4766" s="5" t="s">
        <v>3577</v>
      </c>
    </row>
    <row r="4767">
      <c r="A4767" s="5" t="s">
        <v>2929</v>
      </c>
      <c r="B4767" s="8">
        <v>8.0</v>
      </c>
      <c r="C4767" s="4" t="s">
        <v>1592</v>
      </c>
      <c r="D4767" s="7" t="s">
        <v>1593</v>
      </c>
      <c r="E4767" s="5" t="s">
        <v>3574</v>
      </c>
      <c r="F4767" s="5" t="s">
        <v>3578</v>
      </c>
    </row>
    <row r="4768">
      <c r="A4768" s="5" t="s">
        <v>2930</v>
      </c>
      <c r="B4768" s="8">
        <v>8.0</v>
      </c>
      <c r="C4768" s="4" t="s">
        <v>1592</v>
      </c>
      <c r="D4768" s="7" t="s">
        <v>1593</v>
      </c>
      <c r="E4768" s="5" t="s">
        <v>3574</v>
      </c>
      <c r="F4768" s="5" t="s">
        <v>3579</v>
      </c>
    </row>
    <row r="4769">
      <c r="A4769" s="7" t="s">
        <v>606</v>
      </c>
      <c r="B4769" s="8">
        <v>8.0</v>
      </c>
      <c r="C4769" s="4" t="s">
        <v>1592</v>
      </c>
      <c r="D4769" s="7" t="s">
        <v>1593</v>
      </c>
      <c r="E4769" s="5" t="s">
        <v>3574</v>
      </c>
      <c r="F4769" s="5" t="s">
        <v>3580</v>
      </c>
    </row>
    <row r="4770">
      <c r="A4770" s="5" t="s">
        <v>2602</v>
      </c>
      <c r="B4770" s="8">
        <v>8.0</v>
      </c>
      <c r="C4770" s="4" t="s">
        <v>1592</v>
      </c>
      <c r="D4770" s="7" t="s">
        <v>1593</v>
      </c>
      <c r="E4770" s="5" t="s">
        <v>3574</v>
      </c>
      <c r="F4770" s="5" t="s">
        <v>3581</v>
      </c>
    </row>
    <row r="4771">
      <c r="A4771" s="5" t="s">
        <v>2931</v>
      </c>
      <c r="B4771" s="8">
        <v>8.0</v>
      </c>
      <c r="C4771" s="4" t="s">
        <v>1592</v>
      </c>
      <c r="D4771" s="7" t="s">
        <v>1593</v>
      </c>
      <c r="E4771" s="5" t="s">
        <v>3574</v>
      </c>
      <c r="F4771" s="5" t="s">
        <v>3582</v>
      </c>
    </row>
    <row r="4772">
      <c r="A4772" s="5" t="s">
        <v>2932</v>
      </c>
      <c r="B4772" s="8">
        <v>8.0</v>
      </c>
      <c r="C4772" s="4" t="s">
        <v>1592</v>
      </c>
      <c r="D4772" s="7" t="s">
        <v>1593</v>
      </c>
      <c r="E4772" s="5" t="s">
        <v>3574</v>
      </c>
      <c r="F4772" s="5" t="s">
        <v>3583</v>
      </c>
    </row>
    <row r="4773">
      <c r="A4773" s="5" t="s">
        <v>2933</v>
      </c>
      <c r="B4773" s="8">
        <v>8.0</v>
      </c>
      <c r="C4773" s="4" t="s">
        <v>1592</v>
      </c>
      <c r="D4773" s="7" t="s">
        <v>1593</v>
      </c>
      <c r="E4773" s="5" t="s">
        <v>3574</v>
      </c>
      <c r="F4773" s="5" t="s">
        <v>3584</v>
      </c>
    </row>
    <row r="4774">
      <c r="A4774" s="5" t="s">
        <v>2606</v>
      </c>
      <c r="B4774" s="8">
        <v>8.0</v>
      </c>
      <c r="C4774" s="4" t="s">
        <v>1592</v>
      </c>
      <c r="D4774" s="7" t="s">
        <v>1593</v>
      </c>
      <c r="E4774" s="5" t="s">
        <v>3574</v>
      </c>
      <c r="F4774" s="5" t="s">
        <v>3585</v>
      </c>
    </row>
    <row r="4775">
      <c r="A4775" s="5" t="s">
        <v>2934</v>
      </c>
      <c r="B4775" s="8">
        <v>8.0</v>
      </c>
      <c r="C4775" s="4" t="s">
        <v>1592</v>
      </c>
      <c r="D4775" s="7" t="s">
        <v>1593</v>
      </c>
      <c r="E4775" s="5" t="s">
        <v>3574</v>
      </c>
      <c r="F4775" s="5" t="s">
        <v>3586</v>
      </c>
    </row>
    <row r="4776">
      <c r="A4776" s="5" t="s">
        <v>2607</v>
      </c>
      <c r="B4776" s="8">
        <v>8.0</v>
      </c>
      <c r="C4776" s="4" t="s">
        <v>1592</v>
      </c>
      <c r="D4776" s="7" t="s">
        <v>1593</v>
      </c>
      <c r="E4776" s="5" t="s">
        <v>3574</v>
      </c>
      <c r="F4776" s="5" t="s">
        <v>3587</v>
      </c>
    </row>
    <row r="4777">
      <c r="A4777" s="5" t="s">
        <v>2935</v>
      </c>
      <c r="B4777" s="8">
        <v>8.0</v>
      </c>
      <c r="C4777" s="4" t="s">
        <v>1592</v>
      </c>
      <c r="D4777" s="7" t="s">
        <v>1593</v>
      </c>
      <c r="E4777" s="5" t="s">
        <v>3574</v>
      </c>
      <c r="F4777" s="5" t="s">
        <v>3588</v>
      </c>
    </row>
    <row r="4778">
      <c r="A4778" s="5" t="s">
        <v>2936</v>
      </c>
      <c r="B4778" s="8">
        <v>8.0</v>
      </c>
      <c r="C4778" s="4" t="s">
        <v>1592</v>
      </c>
      <c r="D4778" s="7" t="s">
        <v>1593</v>
      </c>
      <c r="E4778" s="5" t="s">
        <v>3574</v>
      </c>
      <c r="F4778" s="5" t="s">
        <v>3589</v>
      </c>
    </row>
    <row r="4779">
      <c r="A4779" s="5" t="s">
        <v>2608</v>
      </c>
      <c r="B4779" s="8">
        <v>8.0</v>
      </c>
      <c r="C4779" s="4" t="s">
        <v>1592</v>
      </c>
      <c r="D4779" s="7" t="s">
        <v>1593</v>
      </c>
      <c r="E4779" s="5" t="s">
        <v>3574</v>
      </c>
      <c r="F4779" s="5" t="s">
        <v>3590</v>
      </c>
    </row>
    <row r="4780">
      <c r="A4780" s="5" t="s">
        <v>2609</v>
      </c>
      <c r="B4780" s="8">
        <v>8.0</v>
      </c>
      <c r="C4780" s="4" t="s">
        <v>1592</v>
      </c>
      <c r="D4780" s="7" t="s">
        <v>1593</v>
      </c>
      <c r="E4780" s="5" t="s">
        <v>3574</v>
      </c>
      <c r="F4780" s="5" t="s">
        <v>3591</v>
      </c>
    </row>
    <row r="4781">
      <c r="A4781" s="5" t="s">
        <v>2927</v>
      </c>
      <c r="B4781" s="8">
        <v>8.0</v>
      </c>
      <c r="C4781" s="7" t="s">
        <v>437</v>
      </c>
      <c r="D4781" s="7" t="s">
        <v>191</v>
      </c>
      <c r="E4781" s="5" t="s">
        <v>3592</v>
      </c>
      <c r="F4781" s="5" t="s">
        <v>1587</v>
      </c>
    </row>
    <row r="4782">
      <c r="A4782" s="5" t="s">
        <v>2928</v>
      </c>
      <c r="B4782" s="8">
        <v>8.0</v>
      </c>
      <c r="C4782" s="7" t="s">
        <v>437</v>
      </c>
      <c r="D4782" s="7" t="s">
        <v>191</v>
      </c>
      <c r="E4782" s="5" t="s">
        <v>3592</v>
      </c>
      <c r="F4782" s="5" t="s">
        <v>1587</v>
      </c>
    </row>
    <row r="4783">
      <c r="A4783" s="7" t="s">
        <v>603</v>
      </c>
      <c r="B4783" s="8">
        <v>8.0</v>
      </c>
      <c r="C4783" s="7" t="s">
        <v>437</v>
      </c>
      <c r="D4783" s="7" t="s">
        <v>191</v>
      </c>
      <c r="E4783" s="5" t="s">
        <v>3592</v>
      </c>
      <c r="F4783" s="5" t="s">
        <v>1613</v>
      </c>
    </row>
    <row r="4784">
      <c r="A4784" s="5" t="s">
        <v>2929</v>
      </c>
      <c r="B4784" s="8">
        <v>8.0</v>
      </c>
      <c r="C4784" s="7" t="s">
        <v>437</v>
      </c>
      <c r="D4784" s="7" t="s">
        <v>191</v>
      </c>
      <c r="E4784" s="5" t="s">
        <v>3592</v>
      </c>
      <c r="F4784" s="5" t="s">
        <v>1589</v>
      </c>
    </row>
    <row r="4785">
      <c r="A4785" s="5" t="s">
        <v>2930</v>
      </c>
      <c r="B4785" s="8">
        <v>8.0</v>
      </c>
      <c r="C4785" s="7" t="s">
        <v>437</v>
      </c>
      <c r="D4785" s="7" t="s">
        <v>191</v>
      </c>
      <c r="E4785" s="5" t="s">
        <v>3592</v>
      </c>
      <c r="F4785" s="5" t="s">
        <v>1587</v>
      </c>
    </row>
    <row r="4786">
      <c r="A4786" s="7" t="s">
        <v>606</v>
      </c>
      <c r="B4786" s="8">
        <v>8.0</v>
      </c>
      <c r="C4786" s="7" t="s">
        <v>437</v>
      </c>
      <c r="D4786" s="7" t="s">
        <v>191</v>
      </c>
      <c r="E4786" s="5" t="s">
        <v>3592</v>
      </c>
      <c r="F4786" s="5" t="s">
        <v>1587</v>
      </c>
    </row>
    <row r="4787">
      <c r="A4787" s="5" t="s">
        <v>2602</v>
      </c>
      <c r="B4787" s="8">
        <v>8.0</v>
      </c>
      <c r="C4787" s="7" t="s">
        <v>437</v>
      </c>
      <c r="D4787" s="7" t="s">
        <v>191</v>
      </c>
      <c r="E4787" s="5" t="s">
        <v>3592</v>
      </c>
      <c r="F4787" s="5" t="s">
        <v>1587</v>
      </c>
    </row>
    <row r="4788">
      <c r="A4788" s="5" t="s">
        <v>2931</v>
      </c>
      <c r="B4788" s="8">
        <v>8.0</v>
      </c>
      <c r="C4788" s="7" t="s">
        <v>437</v>
      </c>
      <c r="D4788" s="7" t="s">
        <v>191</v>
      </c>
      <c r="E4788" s="5" t="s">
        <v>3592</v>
      </c>
      <c r="F4788" s="5" t="s">
        <v>1614</v>
      </c>
    </row>
    <row r="4789">
      <c r="A4789" s="5" t="s">
        <v>2932</v>
      </c>
      <c r="B4789" s="8">
        <v>8.0</v>
      </c>
      <c r="C4789" s="7" t="s">
        <v>437</v>
      </c>
      <c r="D4789" s="7" t="s">
        <v>191</v>
      </c>
      <c r="E4789" s="5" t="s">
        <v>3592</v>
      </c>
      <c r="F4789" s="5" t="s">
        <v>1614</v>
      </c>
    </row>
    <row r="4790">
      <c r="A4790" s="5" t="s">
        <v>2933</v>
      </c>
      <c r="B4790" s="8">
        <v>8.0</v>
      </c>
      <c r="C4790" s="7" t="s">
        <v>437</v>
      </c>
      <c r="D4790" s="7" t="s">
        <v>191</v>
      </c>
      <c r="E4790" s="5" t="s">
        <v>3592</v>
      </c>
      <c r="F4790" s="5" t="s">
        <v>1587</v>
      </c>
    </row>
    <row r="4791">
      <c r="A4791" s="5" t="s">
        <v>2606</v>
      </c>
      <c r="B4791" s="8">
        <v>8.0</v>
      </c>
      <c r="C4791" s="7" t="s">
        <v>437</v>
      </c>
      <c r="D4791" s="7" t="s">
        <v>191</v>
      </c>
      <c r="E4791" s="5" t="s">
        <v>3592</v>
      </c>
      <c r="F4791" s="5" t="s">
        <v>1587</v>
      </c>
    </row>
    <row r="4792">
      <c r="A4792" s="5" t="s">
        <v>2934</v>
      </c>
      <c r="B4792" s="8">
        <v>8.0</v>
      </c>
      <c r="C4792" s="7" t="s">
        <v>437</v>
      </c>
      <c r="D4792" s="7" t="s">
        <v>191</v>
      </c>
      <c r="E4792" s="5" t="s">
        <v>3592</v>
      </c>
      <c r="F4792" s="5" t="s">
        <v>1587</v>
      </c>
    </row>
    <row r="4793">
      <c r="A4793" s="5" t="s">
        <v>2607</v>
      </c>
      <c r="B4793" s="8">
        <v>8.0</v>
      </c>
      <c r="C4793" s="7" t="s">
        <v>437</v>
      </c>
      <c r="D4793" s="7" t="s">
        <v>191</v>
      </c>
      <c r="E4793" s="5" t="s">
        <v>3592</v>
      </c>
      <c r="F4793" s="5" t="s">
        <v>1587</v>
      </c>
    </row>
    <row r="4794">
      <c r="A4794" s="5" t="s">
        <v>2935</v>
      </c>
      <c r="B4794" s="8">
        <v>8.0</v>
      </c>
      <c r="C4794" s="7" t="s">
        <v>437</v>
      </c>
      <c r="D4794" s="7" t="s">
        <v>191</v>
      </c>
      <c r="E4794" s="5" t="s">
        <v>3592</v>
      </c>
      <c r="F4794" s="5" t="s">
        <v>3593</v>
      </c>
    </row>
    <row r="4795">
      <c r="A4795" s="5" t="s">
        <v>2936</v>
      </c>
      <c r="B4795" s="8">
        <v>8.0</v>
      </c>
      <c r="C4795" s="7" t="s">
        <v>437</v>
      </c>
      <c r="D4795" s="7" t="s">
        <v>191</v>
      </c>
      <c r="E4795" s="5" t="s">
        <v>3592</v>
      </c>
      <c r="F4795" s="5" t="s">
        <v>1587</v>
      </c>
    </row>
    <row r="4796">
      <c r="A4796" s="5" t="s">
        <v>2608</v>
      </c>
      <c r="B4796" s="8">
        <v>8.0</v>
      </c>
      <c r="C4796" s="7" t="s">
        <v>437</v>
      </c>
      <c r="D4796" s="7" t="s">
        <v>191</v>
      </c>
      <c r="E4796" s="5" t="s">
        <v>3592</v>
      </c>
      <c r="F4796" s="5" t="s">
        <v>1587</v>
      </c>
    </row>
    <row r="4797">
      <c r="A4797" s="5" t="s">
        <v>2609</v>
      </c>
      <c r="B4797" s="8">
        <v>8.0</v>
      </c>
      <c r="C4797" s="7" t="s">
        <v>437</v>
      </c>
      <c r="D4797" s="7" t="s">
        <v>191</v>
      </c>
      <c r="E4797" s="5" t="s">
        <v>3592</v>
      </c>
      <c r="F4797" s="5" t="s">
        <v>1587</v>
      </c>
    </row>
    <row r="4798">
      <c r="A4798" s="5" t="s">
        <v>2927</v>
      </c>
      <c r="B4798" s="8">
        <v>8.0</v>
      </c>
      <c r="C4798" s="7" t="s">
        <v>223</v>
      </c>
      <c r="D4798" s="7" t="s">
        <v>194</v>
      </c>
      <c r="E4798" s="5" t="s">
        <v>3594</v>
      </c>
      <c r="F4798" s="7" t="s">
        <v>232</v>
      </c>
    </row>
    <row r="4799">
      <c r="A4799" s="5" t="s">
        <v>2928</v>
      </c>
      <c r="B4799" s="8">
        <v>8.0</v>
      </c>
      <c r="C4799" s="7" t="s">
        <v>223</v>
      </c>
      <c r="D4799" s="7" t="s">
        <v>194</v>
      </c>
      <c r="E4799" s="5" t="s">
        <v>3594</v>
      </c>
      <c r="F4799" s="7" t="s">
        <v>232</v>
      </c>
    </row>
    <row r="4800">
      <c r="A4800" s="5" t="s">
        <v>2924</v>
      </c>
      <c r="B4800" s="8">
        <v>8.0</v>
      </c>
      <c r="C4800" s="7" t="s">
        <v>43</v>
      </c>
      <c r="D4800" s="7" t="s">
        <v>1315</v>
      </c>
      <c r="E4800" s="5" t="s">
        <v>3595</v>
      </c>
      <c r="F4800" s="7" t="s">
        <v>1618</v>
      </c>
    </row>
    <row r="4801">
      <c r="A4801" s="5" t="s">
        <v>2925</v>
      </c>
      <c r="B4801" s="8">
        <v>8.0</v>
      </c>
      <c r="C4801" s="7" t="s">
        <v>43</v>
      </c>
      <c r="D4801" s="7" t="s">
        <v>1315</v>
      </c>
      <c r="E4801" s="5" t="s">
        <v>3595</v>
      </c>
      <c r="F4801" s="7" t="s">
        <v>1618</v>
      </c>
    </row>
    <row r="4802">
      <c r="A4802" s="5" t="s">
        <v>3086</v>
      </c>
      <c r="B4802" s="8">
        <v>8.0</v>
      </c>
      <c r="C4802" s="7" t="s">
        <v>43</v>
      </c>
      <c r="D4802" s="7" t="s">
        <v>1315</v>
      </c>
      <c r="E4802" s="5" t="s">
        <v>3595</v>
      </c>
      <c r="F4802" s="7" t="s">
        <v>65</v>
      </c>
    </row>
    <row r="4803">
      <c r="A4803" s="5" t="s">
        <v>3087</v>
      </c>
      <c r="B4803" s="8">
        <v>8.0</v>
      </c>
      <c r="C4803" s="7" t="s">
        <v>43</v>
      </c>
      <c r="D4803" s="7" t="s">
        <v>1315</v>
      </c>
      <c r="E4803" s="5" t="s">
        <v>3595</v>
      </c>
      <c r="F4803" s="7" t="s">
        <v>448</v>
      </c>
    </row>
    <row r="4804">
      <c r="A4804" s="5" t="s">
        <v>2926</v>
      </c>
      <c r="B4804" s="8">
        <v>8.0</v>
      </c>
      <c r="C4804" s="7" t="s">
        <v>43</v>
      </c>
      <c r="D4804" s="7" t="s">
        <v>1315</v>
      </c>
      <c r="E4804" s="5" t="s">
        <v>3595</v>
      </c>
      <c r="F4804" s="7" t="s">
        <v>66</v>
      </c>
    </row>
    <row r="4805">
      <c r="A4805" s="5" t="s">
        <v>3388</v>
      </c>
      <c r="B4805" s="8">
        <v>8.0</v>
      </c>
      <c r="C4805" s="7" t="s">
        <v>43</v>
      </c>
      <c r="D4805" s="7" t="s">
        <v>1315</v>
      </c>
      <c r="E4805" s="5" t="s">
        <v>3595</v>
      </c>
      <c r="F4805" s="7" t="s">
        <v>232</v>
      </c>
    </row>
    <row r="4806">
      <c r="A4806" s="5" t="s">
        <v>2924</v>
      </c>
      <c r="B4806" s="8">
        <v>8.0</v>
      </c>
      <c r="C4806" s="4" t="s">
        <v>1626</v>
      </c>
      <c r="D4806" s="7" t="s">
        <v>439</v>
      </c>
      <c r="E4806" s="5" t="s">
        <v>3596</v>
      </c>
      <c r="F4806" s="5" t="s">
        <v>3597</v>
      </c>
    </row>
    <row r="4807">
      <c r="A4807" s="5" t="s">
        <v>2925</v>
      </c>
      <c r="B4807" s="8">
        <v>8.0</v>
      </c>
      <c r="C4807" s="4" t="s">
        <v>1626</v>
      </c>
      <c r="D4807" s="7" t="s">
        <v>439</v>
      </c>
      <c r="E4807" s="5" t="s">
        <v>3596</v>
      </c>
      <c r="F4807" s="5" t="s">
        <v>3598</v>
      </c>
    </row>
    <row r="4808">
      <c r="A4808" s="5" t="s">
        <v>3086</v>
      </c>
      <c r="B4808" s="8">
        <v>8.0</v>
      </c>
      <c r="C4808" s="4" t="s">
        <v>1626</v>
      </c>
      <c r="D4808" s="7" t="s">
        <v>439</v>
      </c>
      <c r="E4808" s="5" t="s">
        <v>3596</v>
      </c>
      <c r="F4808" s="5" t="s">
        <v>3599</v>
      </c>
    </row>
    <row r="4809">
      <c r="A4809" s="5" t="s">
        <v>3087</v>
      </c>
      <c r="B4809" s="8">
        <v>8.0</v>
      </c>
      <c r="C4809" s="4" t="s">
        <v>1626</v>
      </c>
      <c r="D4809" s="7" t="s">
        <v>439</v>
      </c>
      <c r="E4809" s="5" t="s">
        <v>3596</v>
      </c>
      <c r="F4809" s="5" t="s">
        <v>3600</v>
      </c>
    </row>
    <row r="4810">
      <c r="A4810" s="5" t="s">
        <v>2926</v>
      </c>
      <c r="B4810" s="8">
        <v>8.0</v>
      </c>
      <c r="C4810" s="4" t="s">
        <v>1626</v>
      </c>
      <c r="D4810" s="7" t="s">
        <v>439</v>
      </c>
      <c r="E4810" s="5" t="s">
        <v>3596</v>
      </c>
      <c r="F4810" s="5" t="s">
        <v>3601</v>
      </c>
    </row>
    <row r="4811">
      <c r="A4811" s="5" t="s">
        <v>3388</v>
      </c>
      <c r="B4811" s="8">
        <v>8.0</v>
      </c>
      <c r="C4811" s="4" t="s">
        <v>1626</v>
      </c>
      <c r="D4811" s="7" t="s">
        <v>439</v>
      </c>
      <c r="E4811" s="5" t="s">
        <v>3596</v>
      </c>
      <c r="F4811" s="5" t="s">
        <v>3602</v>
      </c>
    </row>
    <row r="4812">
      <c r="A4812" s="5" t="s">
        <v>2927</v>
      </c>
      <c r="B4812" s="8">
        <v>8.0</v>
      </c>
      <c r="C4812" s="4" t="s">
        <v>1626</v>
      </c>
      <c r="D4812" s="7" t="s">
        <v>439</v>
      </c>
      <c r="E4812" s="5" t="s">
        <v>3596</v>
      </c>
      <c r="F4812" s="5" t="s">
        <v>3603</v>
      </c>
    </row>
    <row r="4813">
      <c r="A4813" s="5" t="s">
        <v>2928</v>
      </c>
      <c r="B4813" s="8">
        <v>8.0</v>
      </c>
      <c r="C4813" s="4" t="s">
        <v>1626</v>
      </c>
      <c r="D4813" s="7" t="s">
        <v>439</v>
      </c>
      <c r="E4813" s="5" t="s">
        <v>3596</v>
      </c>
      <c r="F4813" s="5" t="s">
        <v>3604</v>
      </c>
    </row>
    <row r="4814">
      <c r="A4814" s="7" t="s">
        <v>603</v>
      </c>
      <c r="B4814" s="8">
        <v>8.0</v>
      </c>
      <c r="C4814" s="4" t="s">
        <v>1626</v>
      </c>
      <c r="D4814" s="7" t="s">
        <v>439</v>
      </c>
      <c r="E4814" s="5" t="s">
        <v>3596</v>
      </c>
      <c r="F4814" s="7" t="s">
        <v>1636</v>
      </c>
    </row>
    <row r="4815">
      <c r="A4815" s="5" t="s">
        <v>2929</v>
      </c>
      <c r="B4815" s="8">
        <v>8.0</v>
      </c>
      <c r="C4815" s="4" t="s">
        <v>1626</v>
      </c>
      <c r="D4815" s="7" t="s">
        <v>439</v>
      </c>
      <c r="E4815" s="5" t="s">
        <v>3596</v>
      </c>
      <c r="F4815" s="5" t="s">
        <v>3605</v>
      </c>
    </row>
    <row r="4816">
      <c r="A4816" s="5" t="s">
        <v>2930</v>
      </c>
      <c r="B4816" s="8">
        <v>8.0</v>
      </c>
      <c r="C4816" s="4" t="s">
        <v>1626</v>
      </c>
      <c r="D4816" s="7" t="s">
        <v>439</v>
      </c>
      <c r="E4816" s="5" t="s">
        <v>3596</v>
      </c>
      <c r="F4816" s="5" t="s">
        <v>3606</v>
      </c>
    </row>
    <row r="4817">
      <c r="A4817" s="7" t="s">
        <v>606</v>
      </c>
      <c r="B4817" s="8">
        <v>8.0</v>
      </c>
      <c r="C4817" s="4" t="s">
        <v>1626</v>
      </c>
      <c r="D4817" s="7" t="s">
        <v>439</v>
      </c>
      <c r="E4817" s="5" t="s">
        <v>3596</v>
      </c>
      <c r="F4817" s="7" t="s">
        <v>1639</v>
      </c>
    </row>
    <row r="4818">
      <c r="A4818" s="5" t="s">
        <v>2602</v>
      </c>
      <c r="B4818" s="8">
        <v>8.0</v>
      </c>
      <c r="C4818" s="4" t="s">
        <v>1626</v>
      </c>
      <c r="D4818" s="7" t="s">
        <v>439</v>
      </c>
      <c r="E4818" s="5" t="s">
        <v>3596</v>
      </c>
      <c r="F4818" s="5" t="s">
        <v>3607</v>
      </c>
    </row>
    <row r="4819">
      <c r="A4819" s="5" t="s">
        <v>2931</v>
      </c>
      <c r="B4819" s="8">
        <v>8.0</v>
      </c>
      <c r="C4819" s="4" t="s">
        <v>1626</v>
      </c>
      <c r="D4819" s="7" t="s">
        <v>439</v>
      </c>
      <c r="E4819" s="5" t="s">
        <v>3596</v>
      </c>
      <c r="F4819" s="5" t="s">
        <v>3608</v>
      </c>
    </row>
    <row r="4820">
      <c r="A4820" s="5" t="s">
        <v>2932</v>
      </c>
      <c r="B4820" s="8">
        <v>8.0</v>
      </c>
      <c r="C4820" s="4" t="s">
        <v>1626</v>
      </c>
      <c r="D4820" s="7" t="s">
        <v>439</v>
      </c>
      <c r="E4820" s="5" t="s">
        <v>3596</v>
      </c>
      <c r="F4820" s="5" t="s">
        <v>3609</v>
      </c>
    </row>
    <row r="4821">
      <c r="A4821" s="5" t="s">
        <v>2933</v>
      </c>
      <c r="B4821" s="8">
        <v>8.0</v>
      </c>
      <c r="C4821" s="4" t="s">
        <v>1626</v>
      </c>
      <c r="D4821" s="7" t="s">
        <v>439</v>
      </c>
      <c r="E4821" s="5" t="s">
        <v>3596</v>
      </c>
      <c r="F4821" s="5" t="s">
        <v>3610</v>
      </c>
    </row>
    <row r="4822">
      <c r="A4822" s="5" t="s">
        <v>2606</v>
      </c>
      <c r="B4822" s="8">
        <v>8.0</v>
      </c>
      <c r="C4822" s="4" t="s">
        <v>1626</v>
      </c>
      <c r="D4822" s="7" t="s">
        <v>439</v>
      </c>
      <c r="E4822" s="5" t="s">
        <v>3596</v>
      </c>
      <c r="F4822" s="5" t="s">
        <v>3611</v>
      </c>
    </row>
    <row r="4823">
      <c r="A4823" s="5" t="s">
        <v>2934</v>
      </c>
      <c r="B4823" s="8">
        <v>8.0</v>
      </c>
      <c r="C4823" s="4" t="s">
        <v>1626</v>
      </c>
      <c r="D4823" s="7" t="s">
        <v>439</v>
      </c>
      <c r="E4823" s="5" t="s">
        <v>3596</v>
      </c>
      <c r="F4823" s="5" t="s">
        <v>3612</v>
      </c>
    </row>
    <row r="4824">
      <c r="A4824" s="5" t="s">
        <v>2607</v>
      </c>
      <c r="B4824" s="8">
        <v>8.0</v>
      </c>
      <c r="C4824" s="4" t="s">
        <v>1626</v>
      </c>
      <c r="D4824" s="7" t="s">
        <v>439</v>
      </c>
      <c r="E4824" s="5" t="s">
        <v>3596</v>
      </c>
      <c r="F4824" s="5" t="s">
        <v>3613</v>
      </c>
    </row>
    <row r="4825">
      <c r="A4825" s="5" t="s">
        <v>2935</v>
      </c>
      <c r="B4825" s="8">
        <v>8.0</v>
      </c>
      <c r="C4825" s="4" t="s">
        <v>1626</v>
      </c>
      <c r="D4825" s="7" t="s">
        <v>439</v>
      </c>
      <c r="E4825" s="5" t="s">
        <v>3596</v>
      </c>
      <c r="F4825" s="5" t="s">
        <v>3614</v>
      </c>
    </row>
    <row r="4826">
      <c r="A4826" s="5" t="s">
        <v>2936</v>
      </c>
      <c r="B4826" s="8">
        <v>8.0</v>
      </c>
      <c r="C4826" s="4" t="s">
        <v>1626</v>
      </c>
      <c r="D4826" s="7" t="s">
        <v>439</v>
      </c>
      <c r="E4826" s="5" t="s">
        <v>3596</v>
      </c>
      <c r="F4826" s="5" t="s">
        <v>3615</v>
      </c>
    </row>
    <row r="4827">
      <c r="A4827" s="5" t="s">
        <v>2608</v>
      </c>
      <c r="B4827" s="8">
        <v>8.0</v>
      </c>
      <c r="C4827" s="4" t="s">
        <v>1626</v>
      </c>
      <c r="D4827" s="7" t="s">
        <v>439</v>
      </c>
      <c r="E4827" s="5" t="s">
        <v>3596</v>
      </c>
      <c r="F4827" s="5" t="s">
        <v>3616</v>
      </c>
    </row>
    <row r="4828">
      <c r="A4828" s="5" t="s">
        <v>2609</v>
      </c>
      <c r="B4828" s="8">
        <v>8.0</v>
      </c>
      <c r="C4828" s="4" t="s">
        <v>1626</v>
      </c>
      <c r="D4828" s="7" t="s">
        <v>439</v>
      </c>
      <c r="E4828" s="5" t="s">
        <v>3596</v>
      </c>
      <c r="F4828" s="5" t="s">
        <v>3617</v>
      </c>
    </row>
    <row r="4829">
      <c r="A4829" s="5" t="s">
        <v>2924</v>
      </c>
      <c r="B4829" s="8">
        <v>8.0</v>
      </c>
      <c r="C4829" s="4" t="s">
        <v>1651</v>
      </c>
      <c r="D4829" s="7" t="s">
        <v>441</v>
      </c>
      <c r="E4829" s="5" t="s">
        <v>3618</v>
      </c>
      <c r="F4829" s="5" t="s">
        <v>3597</v>
      </c>
    </row>
    <row r="4830">
      <c r="A4830" s="5" t="s">
        <v>2925</v>
      </c>
      <c r="B4830" s="8">
        <v>8.0</v>
      </c>
      <c r="C4830" s="4" t="s">
        <v>1651</v>
      </c>
      <c r="D4830" s="7" t="s">
        <v>441</v>
      </c>
      <c r="E4830" s="5" t="s">
        <v>3618</v>
      </c>
      <c r="F4830" s="5" t="s">
        <v>3598</v>
      </c>
    </row>
    <row r="4831">
      <c r="A4831" s="5" t="s">
        <v>3086</v>
      </c>
      <c r="B4831" s="8">
        <v>8.0</v>
      </c>
      <c r="C4831" s="4" t="s">
        <v>1651</v>
      </c>
      <c r="D4831" s="7" t="s">
        <v>441</v>
      </c>
      <c r="E4831" s="5" t="s">
        <v>3618</v>
      </c>
      <c r="F4831" s="5" t="s">
        <v>3619</v>
      </c>
    </row>
    <row r="4832">
      <c r="A4832" s="5" t="s">
        <v>3087</v>
      </c>
      <c r="B4832" s="8">
        <v>8.0</v>
      </c>
      <c r="C4832" s="4" t="s">
        <v>1651</v>
      </c>
      <c r="D4832" s="7" t="s">
        <v>441</v>
      </c>
      <c r="E4832" s="5" t="s">
        <v>3618</v>
      </c>
      <c r="F4832" s="5" t="s">
        <v>3600</v>
      </c>
    </row>
    <row r="4833">
      <c r="A4833" s="5" t="s">
        <v>2926</v>
      </c>
      <c r="B4833" s="8">
        <v>8.0</v>
      </c>
      <c r="C4833" s="4" t="s">
        <v>1651</v>
      </c>
      <c r="D4833" s="7" t="s">
        <v>441</v>
      </c>
      <c r="E4833" s="5" t="s">
        <v>3618</v>
      </c>
      <c r="F4833" s="5" t="s">
        <v>3601</v>
      </c>
    </row>
    <row r="4834">
      <c r="A4834" s="5" t="s">
        <v>3388</v>
      </c>
      <c r="B4834" s="8">
        <v>8.0</v>
      </c>
      <c r="C4834" s="4" t="s">
        <v>1651</v>
      </c>
      <c r="D4834" s="7" t="s">
        <v>441</v>
      </c>
      <c r="E4834" s="5" t="s">
        <v>3618</v>
      </c>
      <c r="F4834" s="5" t="s">
        <v>3602</v>
      </c>
    </row>
    <row r="4835">
      <c r="A4835" s="5" t="s">
        <v>2927</v>
      </c>
      <c r="B4835" s="8">
        <v>8.0</v>
      </c>
      <c r="C4835" s="4" t="s">
        <v>1651</v>
      </c>
      <c r="D4835" s="7" t="s">
        <v>441</v>
      </c>
      <c r="E4835" s="5" t="s">
        <v>3618</v>
      </c>
      <c r="F4835" s="5" t="s">
        <v>3603</v>
      </c>
    </row>
    <row r="4836">
      <c r="A4836" s="5" t="s">
        <v>2928</v>
      </c>
      <c r="B4836" s="8">
        <v>8.0</v>
      </c>
      <c r="C4836" s="4" t="s">
        <v>1651</v>
      </c>
      <c r="D4836" s="7" t="s">
        <v>441</v>
      </c>
      <c r="E4836" s="5" t="s">
        <v>3618</v>
      </c>
      <c r="F4836" s="5" t="s">
        <v>3604</v>
      </c>
    </row>
    <row r="4837">
      <c r="A4837" s="7" t="s">
        <v>603</v>
      </c>
      <c r="B4837" s="8">
        <v>8.0</v>
      </c>
      <c r="C4837" s="4" t="s">
        <v>1651</v>
      </c>
      <c r="D4837" s="7" t="s">
        <v>441</v>
      </c>
      <c r="E4837" s="5" t="s">
        <v>3618</v>
      </c>
      <c r="F4837" s="7" t="s">
        <v>1636</v>
      </c>
    </row>
    <row r="4838">
      <c r="A4838" s="5" t="s">
        <v>2929</v>
      </c>
      <c r="B4838" s="8">
        <v>8.0</v>
      </c>
      <c r="C4838" s="4" t="s">
        <v>1651</v>
      </c>
      <c r="D4838" s="7" t="s">
        <v>441</v>
      </c>
      <c r="E4838" s="5" t="s">
        <v>3618</v>
      </c>
      <c r="F4838" s="5" t="s">
        <v>3605</v>
      </c>
    </row>
    <row r="4839">
      <c r="A4839" s="5" t="s">
        <v>2930</v>
      </c>
      <c r="B4839" s="8">
        <v>8.0</v>
      </c>
      <c r="C4839" s="4" t="s">
        <v>1651</v>
      </c>
      <c r="D4839" s="7" t="s">
        <v>441</v>
      </c>
      <c r="E4839" s="5" t="s">
        <v>3618</v>
      </c>
      <c r="F4839" s="5" t="s">
        <v>3606</v>
      </c>
    </row>
    <row r="4840">
      <c r="A4840" s="7" t="s">
        <v>606</v>
      </c>
      <c r="B4840" s="8">
        <v>8.0</v>
      </c>
      <c r="C4840" s="4" t="s">
        <v>1651</v>
      </c>
      <c r="D4840" s="7" t="s">
        <v>441</v>
      </c>
      <c r="E4840" s="5" t="s">
        <v>3618</v>
      </c>
      <c r="F4840" s="7" t="s">
        <v>1639</v>
      </c>
    </row>
    <row r="4841">
      <c r="A4841" s="5" t="s">
        <v>2602</v>
      </c>
      <c r="B4841" s="8">
        <v>8.0</v>
      </c>
      <c r="C4841" s="4" t="s">
        <v>1651</v>
      </c>
      <c r="D4841" s="7" t="s">
        <v>441</v>
      </c>
      <c r="E4841" s="5" t="s">
        <v>3618</v>
      </c>
      <c r="F4841" s="5" t="s">
        <v>3607</v>
      </c>
    </row>
    <row r="4842">
      <c r="A4842" s="5" t="s">
        <v>2931</v>
      </c>
      <c r="B4842" s="8">
        <v>8.0</v>
      </c>
      <c r="C4842" s="4" t="s">
        <v>1651</v>
      </c>
      <c r="D4842" s="7" t="s">
        <v>441</v>
      </c>
      <c r="E4842" s="5" t="s">
        <v>3618</v>
      </c>
      <c r="F4842" s="5" t="s">
        <v>3608</v>
      </c>
    </row>
    <row r="4843">
      <c r="A4843" s="5" t="s">
        <v>2932</v>
      </c>
      <c r="B4843" s="8">
        <v>8.0</v>
      </c>
      <c r="C4843" s="4" t="s">
        <v>1651</v>
      </c>
      <c r="D4843" s="7" t="s">
        <v>441</v>
      </c>
      <c r="E4843" s="5" t="s">
        <v>3618</v>
      </c>
      <c r="F4843" s="5" t="s">
        <v>3609</v>
      </c>
    </row>
    <row r="4844">
      <c r="A4844" s="5" t="s">
        <v>2933</v>
      </c>
      <c r="B4844" s="8">
        <v>8.0</v>
      </c>
      <c r="C4844" s="4" t="s">
        <v>1651</v>
      </c>
      <c r="D4844" s="7" t="s">
        <v>441</v>
      </c>
      <c r="E4844" s="5" t="s">
        <v>3618</v>
      </c>
      <c r="F4844" s="5" t="s">
        <v>3610</v>
      </c>
    </row>
    <row r="4845">
      <c r="A4845" s="5" t="s">
        <v>2606</v>
      </c>
      <c r="B4845" s="8">
        <v>8.0</v>
      </c>
      <c r="C4845" s="4" t="s">
        <v>1651</v>
      </c>
      <c r="D4845" s="7" t="s">
        <v>441</v>
      </c>
      <c r="E4845" s="5" t="s">
        <v>3618</v>
      </c>
      <c r="F4845" s="5" t="s">
        <v>3611</v>
      </c>
    </row>
    <row r="4846">
      <c r="A4846" s="5" t="s">
        <v>2934</v>
      </c>
      <c r="B4846" s="8">
        <v>8.0</v>
      </c>
      <c r="C4846" s="4" t="s">
        <v>1651</v>
      </c>
      <c r="D4846" s="7" t="s">
        <v>441</v>
      </c>
      <c r="E4846" s="5" t="s">
        <v>3618</v>
      </c>
      <c r="F4846" s="5" t="s">
        <v>3612</v>
      </c>
    </row>
    <row r="4847">
      <c r="A4847" s="5" t="s">
        <v>2607</v>
      </c>
      <c r="B4847" s="8">
        <v>8.0</v>
      </c>
      <c r="C4847" s="4" t="s">
        <v>1651</v>
      </c>
      <c r="D4847" s="7" t="s">
        <v>441</v>
      </c>
      <c r="E4847" s="5" t="s">
        <v>3618</v>
      </c>
      <c r="F4847" s="5" t="s">
        <v>3613</v>
      </c>
    </row>
    <row r="4848">
      <c r="A4848" s="5" t="s">
        <v>2935</v>
      </c>
      <c r="B4848" s="8">
        <v>8.0</v>
      </c>
      <c r="C4848" s="4" t="s">
        <v>1651</v>
      </c>
      <c r="D4848" s="7" t="s">
        <v>441</v>
      </c>
      <c r="E4848" s="5" t="s">
        <v>3618</v>
      </c>
      <c r="F4848" s="5" t="s">
        <v>3614</v>
      </c>
    </row>
    <row r="4849">
      <c r="A4849" s="5" t="s">
        <v>2936</v>
      </c>
      <c r="B4849" s="8">
        <v>8.0</v>
      </c>
      <c r="C4849" s="4" t="s">
        <v>1651</v>
      </c>
      <c r="D4849" s="7" t="s">
        <v>441</v>
      </c>
      <c r="E4849" s="5" t="s">
        <v>3618</v>
      </c>
      <c r="F4849" s="5" t="s">
        <v>3615</v>
      </c>
    </row>
    <row r="4850">
      <c r="A4850" s="5" t="s">
        <v>2608</v>
      </c>
      <c r="B4850" s="8">
        <v>8.0</v>
      </c>
      <c r="C4850" s="4" t="s">
        <v>1651</v>
      </c>
      <c r="D4850" s="7" t="s">
        <v>441</v>
      </c>
      <c r="E4850" s="5" t="s">
        <v>3618</v>
      </c>
      <c r="F4850" s="5" t="s">
        <v>3616</v>
      </c>
    </row>
    <row r="4851">
      <c r="A4851" s="5" t="s">
        <v>2609</v>
      </c>
      <c r="B4851" s="8">
        <v>8.0</v>
      </c>
      <c r="C4851" s="4" t="s">
        <v>1651</v>
      </c>
      <c r="D4851" s="7" t="s">
        <v>441</v>
      </c>
      <c r="E4851" s="5" t="s">
        <v>3618</v>
      </c>
      <c r="F4851" s="5" t="s">
        <v>3617</v>
      </c>
    </row>
    <row r="4852">
      <c r="A4852" s="5" t="s">
        <v>3087</v>
      </c>
      <c r="B4852" s="8">
        <v>8.0</v>
      </c>
      <c r="C4852" s="7" t="s">
        <v>309</v>
      </c>
      <c r="D4852" s="5" t="s">
        <v>446</v>
      </c>
      <c r="E4852" s="7" t="s">
        <v>1655</v>
      </c>
      <c r="F4852" s="5" t="s">
        <v>238</v>
      </c>
    </row>
    <row r="4853">
      <c r="A4853" s="5" t="s">
        <v>2926</v>
      </c>
      <c r="B4853" s="8">
        <v>8.0</v>
      </c>
      <c r="C4853" s="7" t="s">
        <v>309</v>
      </c>
      <c r="D4853" s="5" t="s">
        <v>446</v>
      </c>
      <c r="E4853" s="7" t="s">
        <v>1655</v>
      </c>
      <c r="F4853" s="5" t="s">
        <v>3620</v>
      </c>
    </row>
    <row r="4854">
      <c r="A4854" s="5" t="s">
        <v>3388</v>
      </c>
      <c r="B4854" s="8">
        <v>8.0</v>
      </c>
      <c r="C4854" s="7" t="s">
        <v>309</v>
      </c>
      <c r="D4854" s="5" t="s">
        <v>446</v>
      </c>
      <c r="E4854" s="7" t="s">
        <v>1655</v>
      </c>
      <c r="F4854" s="5" t="s">
        <v>271</v>
      </c>
    </row>
    <row r="4855">
      <c r="A4855" s="5" t="s">
        <v>2927</v>
      </c>
      <c r="B4855" s="8">
        <v>8.0</v>
      </c>
      <c r="C4855" s="7" t="s">
        <v>309</v>
      </c>
      <c r="D4855" s="5" t="s">
        <v>446</v>
      </c>
      <c r="E4855" s="7" t="s">
        <v>1655</v>
      </c>
      <c r="F4855" s="5" t="s">
        <v>238</v>
      </c>
    </row>
    <row r="4856">
      <c r="A4856" s="5" t="s">
        <v>2928</v>
      </c>
      <c r="B4856" s="8">
        <v>8.0</v>
      </c>
      <c r="C4856" s="7" t="s">
        <v>309</v>
      </c>
      <c r="D4856" s="5" t="s">
        <v>446</v>
      </c>
      <c r="E4856" s="7" t="s">
        <v>1655</v>
      </c>
      <c r="F4856" s="5" t="s">
        <v>238</v>
      </c>
    </row>
    <row r="4857">
      <c r="A4857" s="7" t="s">
        <v>603</v>
      </c>
      <c r="B4857" s="8">
        <v>8.0</v>
      </c>
      <c r="C4857" s="7" t="s">
        <v>309</v>
      </c>
      <c r="D4857" s="5" t="s">
        <v>446</v>
      </c>
      <c r="E4857" s="7" t="s">
        <v>1655</v>
      </c>
      <c r="F4857" s="5" t="s">
        <v>238</v>
      </c>
    </row>
    <row r="4858">
      <c r="A4858" s="5" t="s">
        <v>2929</v>
      </c>
      <c r="B4858" s="8">
        <v>8.0</v>
      </c>
      <c r="C4858" s="7" t="s">
        <v>309</v>
      </c>
      <c r="D4858" s="5" t="s">
        <v>446</v>
      </c>
      <c r="E4858" s="7" t="s">
        <v>1655</v>
      </c>
      <c r="F4858" s="5" t="s">
        <v>3037</v>
      </c>
    </row>
    <row r="4859">
      <c r="A4859" s="5" t="s">
        <v>2930</v>
      </c>
      <c r="B4859" s="8">
        <v>8.0</v>
      </c>
      <c r="C4859" s="7" t="s">
        <v>309</v>
      </c>
      <c r="D4859" s="5" t="s">
        <v>446</v>
      </c>
      <c r="E4859" s="7" t="s">
        <v>1655</v>
      </c>
      <c r="F4859" s="5" t="s">
        <v>238</v>
      </c>
    </row>
    <row r="4860">
      <c r="A4860" s="7" t="s">
        <v>606</v>
      </c>
      <c r="B4860" s="8">
        <v>8.0</v>
      </c>
      <c r="C4860" s="7" t="s">
        <v>309</v>
      </c>
      <c r="D4860" s="5" t="s">
        <v>446</v>
      </c>
      <c r="E4860" s="7" t="s">
        <v>1655</v>
      </c>
      <c r="F4860" s="5" t="s">
        <v>238</v>
      </c>
    </row>
    <row r="4861">
      <c r="A4861" s="5" t="s">
        <v>2602</v>
      </c>
      <c r="B4861" s="8">
        <v>8.0</v>
      </c>
      <c r="C4861" s="7" t="s">
        <v>309</v>
      </c>
      <c r="D4861" s="5" t="s">
        <v>446</v>
      </c>
      <c r="E4861" s="7" t="s">
        <v>1655</v>
      </c>
      <c r="F4861" s="5" t="s">
        <v>238</v>
      </c>
    </row>
    <row r="4862">
      <c r="A4862" s="5" t="s">
        <v>2931</v>
      </c>
      <c r="B4862" s="8">
        <v>8.0</v>
      </c>
      <c r="C4862" s="7" t="s">
        <v>309</v>
      </c>
      <c r="D4862" s="5" t="s">
        <v>446</v>
      </c>
      <c r="E4862" s="7" t="s">
        <v>1655</v>
      </c>
      <c r="F4862" s="5" t="s">
        <v>271</v>
      </c>
    </row>
    <row r="4863">
      <c r="A4863" s="5" t="s">
        <v>2932</v>
      </c>
      <c r="B4863" s="8">
        <v>8.0</v>
      </c>
      <c r="C4863" s="7" t="s">
        <v>309</v>
      </c>
      <c r="D4863" s="5" t="s">
        <v>446</v>
      </c>
      <c r="E4863" s="7" t="s">
        <v>1655</v>
      </c>
      <c r="F4863" s="5" t="s">
        <v>273</v>
      </c>
    </row>
    <row r="4864">
      <c r="A4864" s="5" t="s">
        <v>2933</v>
      </c>
      <c r="B4864" s="8">
        <v>8.0</v>
      </c>
      <c r="C4864" s="7" t="s">
        <v>309</v>
      </c>
      <c r="D4864" s="5" t="s">
        <v>446</v>
      </c>
      <c r="E4864" s="7" t="s">
        <v>1655</v>
      </c>
      <c r="F4864" s="5" t="s">
        <v>238</v>
      </c>
    </row>
    <row r="4865">
      <c r="A4865" s="5" t="s">
        <v>2606</v>
      </c>
      <c r="B4865" s="8">
        <v>8.0</v>
      </c>
      <c r="C4865" s="7" t="s">
        <v>309</v>
      </c>
      <c r="D4865" s="5" t="s">
        <v>446</v>
      </c>
      <c r="E4865" s="7" t="s">
        <v>1655</v>
      </c>
      <c r="F4865" s="5" t="s">
        <v>238</v>
      </c>
    </row>
    <row r="4866">
      <c r="A4866" s="5" t="s">
        <v>2607</v>
      </c>
      <c r="B4866" s="8">
        <v>8.0</v>
      </c>
      <c r="C4866" s="7" t="s">
        <v>309</v>
      </c>
      <c r="D4866" s="5" t="s">
        <v>446</v>
      </c>
      <c r="E4866" s="7" t="s">
        <v>1655</v>
      </c>
      <c r="F4866" s="5" t="s">
        <v>238</v>
      </c>
    </row>
    <row r="4867">
      <c r="A4867" s="5" t="s">
        <v>2935</v>
      </c>
      <c r="B4867" s="8">
        <v>8.0</v>
      </c>
      <c r="C4867" s="7" t="s">
        <v>309</v>
      </c>
      <c r="D4867" s="5" t="s">
        <v>446</v>
      </c>
      <c r="E4867" s="7" t="s">
        <v>1655</v>
      </c>
      <c r="F4867" s="5" t="s">
        <v>3621</v>
      </c>
    </row>
    <row r="4868">
      <c r="A4868" s="5" t="s">
        <v>2936</v>
      </c>
      <c r="B4868" s="8">
        <v>8.0</v>
      </c>
      <c r="C4868" s="7" t="s">
        <v>309</v>
      </c>
      <c r="D4868" s="5" t="s">
        <v>446</v>
      </c>
      <c r="E4868" s="7" t="s">
        <v>1655</v>
      </c>
      <c r="F4868" s="5" t="s">
        <v>238</v>
      </c>
    </row>
    <row r="4869">
      <c r="A4869" s="5" t="s">
        <v>2608</v>
      </c>
      <c r="B4869" s="8">
        <v>8.0</v>
      </c>
      <c r="C4869" s="7" t="s">
        <v>309</v>
      </c>
      <c r="D4869" s="5" t="s">
        <v>446</v>
      </c>
      <c r="E4869" s="7" t="s">
        <v>1655</v>
      </c>
      <c r="F4869" s="5" t="s">
        <v>238</v>
      </c>
    </row>
    <row r="4870">
      <c r="A4870" s="5" t="s">
        <v>2609</v>
      </c>
      <c r="B4870" s="8">
        <v>8.0</v>
      </c>
      <c r="C4870" s="7" t="s">
        <v>309</v>
      </c>
      <c r="D4870" s="5" t="s">
        <v>446</v>
      </c>
      <c r="E4870" s="7" t="s">
        <v>1655</v>
      </c>
      <c r="F4870" s="5" t="s">
        <v>238</v>
      </c>
    </row>
    <row r="4871">
      <c r="A4871" s="5" t="s">
        <v>3087</v>
      </c>
      <c r="B4871" s="8">
        <v>8.0</v>
      </c>
      <c r="C4871" s="7" t="s">
        <v>314</v>
      </c>
      <c r="D4871" s="7" t="s">
        <v>1658</v>
      </c>
      <c r="E4871" s="5" t="s">
        <v>822</v>
      </c>
      <c r="F4871" s="5" t="s">
        <v>3622</v>
      </c>
    </row>
    <row r="4872">
      <c r="A4872" s="5" t="s">
        <v>2926</v>
      </c>
      <c r="B4872" s="8">
        <v>8.0</v>
      </c>
      <c r="C4872" s="7" t="s">
        <v>314</v>
      </c>
      <c r="D4872" s="7" t="s">
        <v>1658</v>
      </c>
      <c r="E4872" s="5" t="s">
        <v>822</v>
      </c>
      <c r="F4872" s="5" t="s">
        <v>3623</v>
      </c>
    </row>
    <row r="4873">
      <c r="A4873" s="5" t="s">
        <v>3388</v>
      </c>
      <c r="B4873" s="8">
        <v>8.0</v>
      </c>
      <c r="C4873" s="7" t="s">
        <v>314</v>
      </c>
      <c r="D4873" s="7" t="s">
        <v>1658</v>
      </c>
      <c r="E4873" s="5" t="s">
        <v>822</v>
      </c>
      <c r="F4873" s="5" t="s">
        <v>3622</v>
      </c>
    </row>
    <row r="4874">
      <c r="A4874" s="5" t="s">
        <v>2927</v>
      </c>
      <c r="B4874" s="8">
        <v>8.0</v>
      </c>
      <c r="C4874" s="7" t="s">
        <v>314</v>
      </c>
      <c r="D4874" s="7" t="s">
        <v>1658</v>
      </c>
      <c r="E4874" s="5" t="s">
        <v>822</v>
      </c>
      <c r="F4874" s="5" t="s">
        <v>3485</v>
      </c>
    </row>
    <row r="4875">
      <c r="A4875" s="5" t="s">
        <v>2928</v>
      </c>
      <c r="B4875" s="8">
        <v>8.0</v>
      </c>
      <c r="C4875" s="7" t="s">
        <v>314</v>
      </c>
      <c r="D4875" s="7" t="s">
        <v>1658</v>
      </c>
      <c r="E4875" s="5" t="s">
        <v>822</v>
      </c>
      <c r="F4875" s="5" t="s">
        <v>3624</v>
      </c>
    </row>
    <row r="4876">
      <c r="A4876" s="7" t="s">
        <v>603</v>
      </c>
      <c r="B4876" s="8">
        <v>8.0</v>
      </c>
      <c r="C4876" s="7" t="s">
        <v>314</v>
      </c>
      <c r="D4876" s="7" t="s">
        <v>1658</v>
      </c>
      <c r="E4876" s="5" t="s">
        <v>822</v>
      </c>
      <c r="F4876" s="7" t="s">
        <v>1662</v>
      </c>
    </row>
    <row r="4877">
      <c r="A4877" s="5" t="s">
        <v>2929</v>
      </c>
      <c r="B4877" s="8">
        <v>8.0</v>
      </c>
      <c r="C4877" s="7" t="s">
        <v>314</v>
      </c>
      <c r="D4877" s="7" t="s">
        <v>1658</v>
      </c>
      <c r="E4877" s="5" t="s">
        <v>822</v>
      </c>
      <c r="F4877" s="5" t="s">
        <v>3486</v>
      </c>
    </row>
    <row r="4878">
      <c r="A4878" s="5" t="s">
        <v>2930</v>
      </c>
      <c r="B4878" s="8">
        <v>8.0</v>
      </c>
      <c r="C4878" s="7" t="s">
        <v>314</v>
      </c>
      <c r="D4878" s="7" t="s">
        <v>1658</v>
      </c>
      <c r="E4878" s="5" t="s">
        <v>822</v>
      </c>
      <c r="F4878" s="5" t="s">
        <v>3622</v>
      </c>
    </row>
    <row r="4879">
      <c r="A4879" s="7" t="s">
        <v>606</v>
      </c>
      <c r="B4879" s="8">
        <v>8.0</v>
      </c>
      <c r="C4879" s="7" t="s">
        <v>314</v>
      </c>
      <c r="D4879" s="7" t="s">
        <v>1658</v>
      </c>
      <c r="E4879" s="5" t="s">
        <v>822</v>
      </c>
      <c r="F4879" s="5" t="s">
        <v>3040</v>
      </c>
    </row>
    <row r="4880">
      <c r="A4880" s="5" t="s">
        <v>2602</v>
      </c>
      <c r="B4880" s="8">
        <v>8.0</v>
      </c>
      <c r="C4880" s="7" t="s">
        <v>314</v>
      </c>
      <c r="D4880" s="7" t="s">
        <v>1658</v>
      </c>
      <c r="E4880" s="5" t="s">
        <v>822</v>
      </c>
      <c r="F4880" s="5" t="s">
        <v>3487</v>
      </c>
    </row>
    <row r="4881">
      <c r="A4881" s="5" t="s">
        <v>2931</v>
      </c>
      <c r="B4881" s="8">
        <v>8.0</v>
      </c>
      <c r="C4881" s="7" t="s">
        <v>314</v>
      </c>
      <c r="D4881" s="7" t="s">
        <v>1658</v>
      </c>
      <c r="E4881" s="5" t="s">
        <v>822</v>
      </c>
      <c r="F4881" s="5" t="s">
        <v>3625</v>
      </c>
    </row>
    <row r="4882">
      <c r="A4882" s="5" t="s">
        <v>2932</v>
      </c>
      <c r="B4882" s="8">
        <v>8.0</v>
      </c>
      <c r="C4882" s="7" t="s">
        <v>314</v>
      </c>
      <c r="D4882" s="7" t="s">
        <v>1658</v>
      </c>
      <c r="E4882" s="5" t="s">
        <v>822</v>
      </c>
      <c r="F4882" s="5" t="s">
        <v>1664</v>
      </c>
    </row>
    <row r="4883">
      <c r="A4883" s="5" t="s">
        <v>2933</v>
      </c>
      <c r="B4883" s="8">
        <v>8.0</v>
      </c>
      <c r="C4883" s="7" t="s">
        <v>314</v>
      </c>
      <c r="D4883" s="7" t="s">
        <v>1658</v>
      </c>
      <c r="E4883" s="5" t="s">
        <v>822</v>
      </c>
      <c r="F4883" s="5" t="s">
        <v>3622</v>
      </c>
    </row>
    <row r="4884">
      <c r="A4884" s="5" t="s">
        <v>2606</v>
      </c>
      <c r="B4884" s="8">
        <v>8.0</v>
      </c>
      <c r="C4884" s="7" t="s">
        <v>314</v>
      </c>
      <c r="D4884" s="7" t="s">
        <v>1658</v>
      </c>
      <c r="E4884" s="5" t="s">
        <v>822</v>
      </c>
      <c r="F4884" s="5" t="s">
        <v>3622</v>
      </c>
    </row>
    <row r="4885">
      <c r="A4885" s="5" t="s">
        <v>2607</v>
      </c>
      <c r="B4885" s="8">
        <v>8.0</v>
      </c>
      <c r="C4885" s="7" t="s">
        <v>314</v>
      </c>
      <c r="D4885" s="7" t="s">
        <v>1658</v>
      </c>
      <c r="E4885" s="5" t="s">
        <v>822</v>
      </c>
      <c r="F4885" s="7" t="s">
        <v>1436</v>
      </c>
    </row>
    <row r="4886">
      <c r="A4886" s="5" t="s">
        <v>2935</v>
      </c>
      <c r="B4886" s="8">
        <v>8.0</v>
      </c>
      <c r="C4886" s="7" t="s">
        <v>314</v>
      </c>
      <c r="D4886" s="7" t="s">
        <v>1658</v>
      </c>
      <c r="E4886" s="5" t="s">
        <v>822</v>
      </c>
      <c r="F4886" s="5" t="s">
        <v>3626</v>
      </c>
    </row>
    <row r="4887">
      <c r="A4887" s="5" t="s">
        <v>2936</v>
      </c>
      <c r="B4887" s="8">
        <v>8.0</v>
      </c>
      <c r="C4887" s="7" t="s">
        <v>314</v>
      </c>
      <c r="D4887" s="7" t="s">
        <v>1658</v>
      </c>
      <c r="E4887" s="5" t="s">
        <v>822</v>
      </c>
      <c r="F4887" s="5" t="s">
        <v>3622</v>
      </c>
    </row>
    <row r="4888">
      <c r="A4888" s="5" t="s">
        <v>2608</v>
      </c>
      <c r="B4888" s="8">
        <v>8.0</v>
      </c>
      <c r="C4888" s="7" t="s">
        <v>314</v>
      </c>
      <c r="D4888" s="7" t="s">
        <v>1658</v>
      </c>
      <c r="E4888" s="5" t="s">
        <v>822</v>
      </c>
      <c r="F4888" s="5" t="s">
        <v>3627</v>
      </c>
    </row>
    <row r="4889">
      <c r="A4889" s="5" t="s">
        <v>2609</v>
      </c>
      <c r="B4889" s="8">
        <v>8.0</v>
      </c>
      <c r="C4889" s="7" t="s">
        <v>314</v>
      </c>
      <c r="D4889" s="7" t="s">
        <v>1658</v>
      </c>
      <c r="E4889" s="5" t="s">
        <v>822</v>
      </c>
      <c r="F4889" s="5" t="s">
        <v>780</v>
      </c>
    </row>
    <row r="4890">
      <c r="A4890" s="5" t="s">
        <v>2924</v>
      </c>
      <c r="B4890" s="8">
        <v>8.0</v>
      </c>
      <c r="C4890" s="7" t="s">
        <v>67</v>
      </c>
      <c r="D4890" s="5" t="s">
        <v>224</v>
      </c>
      <c r="E4890" s="7" t="s">
        <v>1671</v>
      </c>
      <c r="F4890" s="7" t="s">
        <v>1672</v>
      </c>
    </row>
    <row r="4891">
      <c r="A4891" s="5" t="s">
        <v>2925</v>
      </c>
      <c r="B4891" s="8">
        <v>8.0</v>
      </c>
      <c r="C4891" s="7" t="s">
        <v>67</v>
      </c>
      <c r="D4891" s="5" t="s">
        <v>224</v>
      </c>
      <c r="E4891" s="7" t="s">
        <v>1671</v>
      </c>
      <c r="F4891" s="7" t="s">
        <v>1673</v>
      </c>
    </row>
    <row r="4892">
      <c r="A4892" s="5" t="s">
        <v>3086</v>
      </c>
      <c r="B4892" s="8">
        <v>8.0</v>
      </c>
      <c r="C4892" s="7" t="s">
        <v>67</v>
      </c>
      <c r="D4892" s="5" t="s">
        <v>224</v>
      </c>
      <c r="E4892" s="7" t="s">
        <v>1671</v>
      </c>
      <c r="F4892" s="7" t="s">
        <v>1672</v>
      </c>
    </row>
    <row r="4893">
      <c r="A4893" s="5" t="s">
        <v>3087</v>
      </c>
      <c r="B4893" s="8">
        <v>8.0</v>
      </c>
      <c r="C4893" s="7" t="s">
        <v>67</v>
      </c>
      <c r="D4893" s="5" t="s">
        <v>224</v>
      </c>
      <c r="E4893" s="7" t="s">
        <v>1671</v>
      </c>
      <c r="F4893" s="7" t="s">
        <v>1674</v>
      </c>
    </row>
    <row r="4894">
      <c r="A4894" s="5" t="s">
        <v>2926</v>
      </c>
      <c r="B4894" s="8">
        <v>8.0</v>
      </c>
      <c r="C4894" s="7" t="s">
        <v>67</v>
      </c>
      <c r="D4894" s="5" t="s">
        <v>224</v>
      </c>
      <c r="E4894" s="7" t="s">
        <v>1671</v>
      </c>
      <c r="F4894" s="7" t="s">
        <v>71</v>
      </c>
    </row>
    <row r="4895">
      <c r="A4895" s="5" t="s">
        <v>3388</v>
      </c>
      <c r="B4895" s="8">
        <v>8.0</v>
      </c>
      <c r="C4895" s="7" t="s">
        <v>67</v>
      </c>
      <c r="D4895" s="5" t="s">
        <v>224</v>
      </c>
      <c r="E4895" s="7" t="s">
        <v>1671</v>
      </c>
      <c r="F4895" s="7" t="s">
        <v>1672</v>
      </c>
    </row>
    <row r="4896">
      <c r="A4896" s="5" t="s">
        <v>2927</v>
      </c>
      <c r="B4896" s="8">
        <v>8.0</v>
      </c>
      <c r="C4896" s="7" t="s">
        <v>67</v>
      </c>
      <c r="D4896" s="5" t="s">
        <v>224</v>
      </c>
      <c r="E4896" s="7" t="s">
        <v>1671</v>
      </c>
      <c r="F4896" s="7" t="s">
        <v>1672</v>
      </c>
    </row>
    <row r="4897">
      <c r="A4897" s="5" t="s">
        <v>2928</v>
      </c>
      <c r="B4897" s="8">
        <v>8.0</v>
      </c>
      <c r="C4897" s="7" t="s">
        <v>67</v>
      </c>
      <c r="D4897" s="5" t="s">
        <v>224</v>
      </c>
      <c r="E4897" s="7" t="s">
        <v>1671</v>
      </c>
      <c r="F4897" s="7" t="s">
        <v>1672</v>
      </c>
    </row>
    <row r="4898">
      <c r="A4898" s="7" t="s">
        <v>603</v>
      </c>
      <c r="B4898" s="8">
        <v>8.0</v>
      </c>
      <c r="C4898" s="7" t="s">
        <v>67</v>
      </c>
      <c r="D4898" s="5" t="s">
        <v>224</v>
      </c>
      <c r="E4898" s="7" t="s">
        <v>1671</v>
      </c>
      <c r="F4898" s="7" t="s">
        <v>71</v>
      </c>
    </row>
    <row r="4899">
      <c r="A4899" s="5" t="s">
        <v>2929</v>
      </c>
      <c r="B4899" s="8">
        <v>8.0</v>
      </c>
      <c r="C4899" s="7" t="s">
        <v>67</v>
      </c>
      <c r="D4899" s="5" t="s">
        <v>224</v>
      </c>
      <c r="E4899" s="7" t="s">
        <v>1671</v>
      </c>
      <c r="F4899" s="7" t="s">
        <v>70</v>
      </c>
    </row>
    <row r="4900">
      <c r="A4900" s="5" t="s">
        <v>2930</v>
      </c>
      <c r="B4900" s="8">
        <v>8.0</v>
      </c>
      <c r="C4900" s="7" t="s">
        <v>67</v>
      </c>
      <c r="D4900" s="5" t="s">
        <v>224</v>
      </c>
      <c r="E4900" s="7" t="s">
        <v>1671</v>
      </c>
      <c r="F4900" s="7" t="s">
        <v>1672</v>
      </c>
    </row>
    <row r="4901">
      <c r="A4901" s="7" t="s">
        <v>606</v>
      </c>
      <c r="B4901" s="8">
        <v>8.0</v>
      </c>
      <c r="C4901" s="7" t="s">
        <v>67</v>
      </c>
      <c r="D4901" s="5" t="s">
        <v>224</v>
      </c>
      <c r="E4901" s="7" t="s">
        <v>1671</v>
      </c>
      <c r="F4901" s="7" t="s">
        <v>1675</v>
      </c>
    </row>
    <row r="4902">
      <c r="A4902" s="5" t="s">
        <v>2602</v>
      </c>
      <c r="B4902" s="8">
        <v>8.0</v>
      </c>
      <c r="C4902" s="7" t="s">
        <v>67</v>
      </c>
      <c r="D4902" s="5" t="s">
        <v>224</v>
      </c>
      <c r="E4902" s="7" t="s">
        <v>1671</v>
      </c>
      <c r="F4902" s="7" t="s">
        <v>1672</v>
      </c>
    </row>
    <row r="4903">
      <c r="A4903" s="5" t="s">
        <v>2931</v>
      </c>
      <c r="B4903" s="8">
        <v>8.0</v>
      </c>
      <c r="C4903" s="7" t="s">
        <v>67</v>
      </c>
      <c r="D4903" s="5" t="s">
        <v>224</v>
      </c>
      <c r="E4903" s="7" t="s">
        <v>1671</v>
      </c>
      <c r="F4903" s="7" t="s">
        <v>70</v>
      </c>
    </row>
    <row r="4904">
      <c r="A4904" s="5" t="s">
        <v>2932</v>
      </c>
      <c r="B4904" s="8">
        <v>8.0</v>
      </c>
      <c r="C4904" s="7" t="s">
        <v>67</v>
      </c>
      <c r="D4904" s="5" t="s">
        <v>224</v>
      </c>
      <c r="E4904" s="7" t="s">
        <v>1671</v>
      </c>
      <c r="F4904" s="7" t="s">
        <v>70</v>
      </c>
    </row>
    <row r="4905">
      <c r="A4905" s="5" t="s">
        <v>2933</v>
      </c>
      <c r="B4905" s="8">
        <v>8.0</v>
      </c>
      <c r="C4905" s="7" t="s">
        <v>67</v>
      </c>
      <c r="D4905" s="5" t="s">
        <v>224</v>
      </c>
      <c r="E4905" s="7" t="s">
        <v>1671</v>
      </c>
      <c r="F4905" s="7" t="s">
        <v>1672</v>
      </c>
    </row>
    <row r="4906">
      <c r="A4906" s="5" t="s">
        <v>2606</v>
      </c>
      <c r="B4906" s="8">
        <v>8.0</v>
      </c>
      <c r="C4906" s="7" t="s">
        <v>67</v>
      </c>
      <c r="D4906" s="5" t="s">
        <v>224</v>
      </c>
      <c r="E4906" s="7" t="s">
        <v>1671</v>
      </c>
      <c r="F4906" s="7" t="s">
        <v>1672</v>
      </c>
    </row>
    <row r="4907">
      <c r="A4907" s="5" t="s">
        <v>2934</v>
      </c>
      <c r="B4907" s="8">
        <v>8.0</v>
      </c>
      <c r="C4907" s="7" t="s">
        <v>67</v>
      </c>
      <c r="D4907" s="5" t="s">
        <v>224</v>
      </c>
      <c r="E4907" s="7" t="s">
        <v>1671</v>
      </c>
      <c r="F4907" s="5" t="s">
        <v>1676</v>
      </c>
    </row>
    <row r="4908">
      <c r="A4908" s="5" t="s">
        <v>2607</v>
      </c>
      <c r="B4908" s="8">
        <v>8.0</v>
      </c>
      <c r="C4908" s="7" t="s">
        <v>67</v>
      </c>
      <c r="D4908" s="5" t="s">
        <v>224</v>
      </c>
      <c r="E4908" s="7" t="s">
        <v>1671</v>
      </c>
      <c r="F4908" s="7" t="s">
        <v>70</v>
      </c>
    </row>
    <row r="4909">
      <c r="A4909" s="5" t="s">
        <v>2935</v>
      </c>
      <c r="B4909" s="8">
        <v>8.0</v>
      </c>
      <c r="C4909" s="7" t="s">
        <v>67</v>
      </c>
      <c r="D4909" s="5" t="s">
        <v>224</v>
      </c>
      <c r="E4909" s="7" t="s">
        <v>1671</v>
      </c>
      <c r="F4909" s="7" t="s">
        <v>70</v>
      </c>
    </row>
    <row r="4910">
      <c r="A4910" s="5" t="s">
        <v>2936</v>
      </c>
      <c r="B4910" s="8">
        <v>8.0</v>
      </c>
      <c r="C4910" s="7" t="s">
        <v>67</v>
      </c>
      <c r="D4910" s="5" t="s">
        <v>224</v>
      </c>
      <c r="E4910" s="7" t="s">
        <v>1671</v>
      </c>
      <c r="F4910" s="7" t="s">
        <v>1672</v>
      </c>
    </row>
    <row r="4911">
      <c r="A4911" s="5" t="s">
        <v>2608</v>
      </c>
      <c r="B4911" s="8">
        <v>8.0</v>
      </c>
      <c r="C4911" s="7" t="s">
        <v>67</v>
      </c>
      <c r="D4911" s="5" t="s">
        <v>224</v>
      </c>
      <c r="E4911" s="7" t="s">
        <v>1671</v>
      </c>
      <c r="F4911" s="7" t="s">
        <v>70</v>
      </c>
    </row>
    <row r="4912">
      <c r="A4912" s="5" t="s">
        <v>2609</v>
      </c>
      <c r="B4912" s="8">
        <v>8.0</v>
      </c>
      <c r="C4912" s="7" t="s">
        <v>67</v>
      </c>
      <c r="D4912" s="5" t="s">
        <v>224</v>
      </c>
      <c r="E4912" s="7" t="s">
        <v>1671</v>
      </c>
      <c r="F4912" s="7" t="s">
        <v>1672</v>
      </c>
    </row>
    <row r="4913">
      <c r="A4913" s="5" t="s">
        <v>2924</v>
      </c>
      <c r="B4913" s="8">
        <v>8.0</v>
      </c>
      <c r="C4913" s="7" t="s">
        <v>72</v>
      </c>
      <c r="D4913" s="7" t="s">
        <v>1677</v>
      </c>
      <c r="E4913" s="5" t="s">
        <v>2981</v>
      </c>
      <c r="F4913" s="5" t="s">
        <v>77</v>
      </c>
    </row>
    <row r="4914">
      <c r="A4914" s="5" t="s">
        <v>2925</v>
      </c>
      <c r="B4914" s="8">
        <v>8.0</v>
      </c>
      <c r="C4914" s="7" t="s">
        <v>72</v>
      </c>
      <c r="D4914" s="7" t="s">
        <v>1677</v>
      </c>
      <c r="E4914" s="5" t="s">
        <v>2981</v>
      </c>
      <c r="F4914" s="5" t="s">
        <v>76</v>
      </c>
    </row>
    <row r="4915">
      <c r="A4915" s="5" t="s">
        <v>3086</v>
      </c>
      <c r="B4915" s="8">
        <v>8.0</v>
      </c>
      <c r="C4915" s="7" t="s">
        <v>72</v>
      </c>
      <c r="D4915" s="7" t="s">
        <v>1677</v>
      </c>
      <c r="E4915" s="5" t="s">
        <v>2981</v>
      </c>
      <c r="F4915" s="5" t="s">
        <v>77</v>
      </c>
    </row>
    <row r="4916">
      <c r="A4916" s="5" t="s">
        <v>3087</v>
      </c>
      <c r="B4916" s="8">
        <v>8.0</v>
      </c>
      <c r="C4916" s="7" t="s">
        <v>72</v>
      </c>
      <c r="D4916" s="7" t="s">
        <v>1677</v>
      </c>
      <c r="E4916" s="5" t="s">
        <v>2981</v>
      </c>
      <c r="F4916" s="5" t="s">
        <v>77</v>
      </c>
    </row>
    <row r="4917">
      <c r="A4917" s="5" t="s">
        <v>2926</v>
      </c>
      <c r="B4917" s="8">
        <v>8.0</v>
      </c>
      <c r="C4917" s="7" t="s">
        <v>72</v>
      </c>
      <c r="D4917" s="7" t="s">
        <v>1677</v>
      </c>
      <c r="E4917" s="5" t="s">
        <v>2981</v>
      </c>
      <c r="F4917" s="5" t="s">
        <v>2982</v>
      </c>
    </row>
    <row r="4918">
      <c r="A4918" s="5" t="s">
        <v>3388</v>
      </c>
      <c r="B4918" s="8">
        <v>8.0</v>
      </c>
      <c r="C4918" s="7" t="s">
        <v>72</v>
      </c>
      <c r="D4918" s="7" t="s">
        <v>1677</v>
      </c>
      <c r="E4918" s="5" t="s">
        <v>2981</v>
      </c>
      <c r="F4918" s="5" t="s">
        <v>76</v>
      </c>
    </row>
    <row r="4919">
      <c r="A4919" s="5" t="s">
        <v>2927</v>
      </c>
      <c r="B4919" s="8">
        <v>8.0</v>
      </c>
      <c r="C4919" s="7" t="s">
        <v>72</v>
      </c>
      <c r="D4919" s="7" t="s">
        <v>1677</v>
      </c>
      <c r="E4919" s="5" t="s">
        <v>2981</v>
      </c>
      <c r="F4919" s="5" t="s">
        <v>77</v>
      </c>
    </row>
    <row r="4920">
      <c r="A4920" s="5" t="s">
        <v>2928</v>
      </c>
      <c r="B4920" s="8">
        <v>8.0</v>
      </c>
      <c r="C4920" s="7" t="s">
        <v>72</v>
      </c>
      <c r="D4920" s="7" t="s">
        <v>1677</v>
      </c>
      <c r="E4920" s="5" t="s">
        <v>2981</v>
      </c>
      <c r="F4920" s="5" t="s">
        <v>77</v>
      </c>
    </row>
    <row r="4921">
      <c r="A4921" s="7" t="s">
        <v>603</v>
      </c>
      <c r="B4921" s="8">
        <v>8.0</v>
      </c>
      <c r="C4921" s="7" t="s">
        <v>72</v>
      </c>
      <c r="D4921" s="7" t="s">
        <v>1677</v>
      </c>
      <c r="E4921" s="5" t="s">
        <v>2981</v>
      </c>
      <c r="F4921" s="5" t="s">
        <v>77</v>
      </c>
    </row>
    <row r="4922">
      <c r="A4922" s="5" t="s">
        <v>2929</v>
      </c>
      <c r="B4922" s="8">
        <v>8.0</v>
      </c>
      <c r="C4922" s="7" t="s">
        <v>72</v>
      </c>
      <c r="D4922" s="7" t="s">
        <v>1677</v>
      </c>
      <c r="E4922" s="5" t="s">
        <v>2981</v>
      </c>
      <c r="F4922" s="5" t="s">
        <v>3151</v>
      </c>
    </row>
    <row r="4923">
      <c r="A4923" s="5" t="s">
        <v>2930</v>
      </c>
      <c r="B4923" s="8">
        <v>8.0</v>
      </c>
      <c r="C4923" s="7" t="s">
        <v>72</v>
      </c>
      <c r="D4923" s="7" t="s">
        <v>1677</v>
      </c>
      <c r="E4923" s="5" t="s">
        <v>2981</v>
      </c>
      <c r="F4923" s="5" t="s">
        <v>77</v>
      </c>
    </row>
    <row r="4924">
      <c r="A4924" s="7" t="s">
        <v>606</v>
      </c>
      <c r="B4924" s="8">
        <v>8.0</v>
      </c>
      <c r="C4924" s="7" t="s">
        <v>72</v>
      </c>
      <c r="D4924" s="7" t="s">
        <v>1677</v>
      </c>
      <c r="E4924" s="5" t="s">
        <v>2981</v>
      </c>
      <c r="F4924" s="5" t="s">
        <v>77</v>
      </c>
    </row>
    <row r="4925">
      <c r="A4925" s="5" t="s">
        <v>2602</v>
      </c>
      <c r="B4925" s="8">
        <v>8.0</v>
      </c>
      <c r="C4925" s="7" t="s">
        <v>72</v>
      </c>
      <c r="D4925" s="7" t="s">
        <v>1677</v>
      </c>
      <c r="E4925" s="5" t="s">
        <v>2981</v>
      </c>
      <c r="F4925" s="5" t="s">
        <v>77</v>
      </c>
    </row>
    <row r="4926">
      <c r="A4926" s="5" t="s">
        <v>2931</v>
      </c>
      <c r="B4926" s="8">
        <v>8.0</v>
      </c>
      <c r="C4926" s="7" t="s">
        <v>72</v>
      </c>
      <c r="D4926" s="7" t="s">
        <v>1677</v>
      </c>
      <c r="E4926" s="5" t="s">
        <v>2981</v>
      </c>
      <c r="F4926" s="5" t="s">
        <v>76</v>
      </c>
    </row>
    <row r="4927">
      <c r="A4927" s="5" t="s">
        <v>2932</v>
      </c>
      <c r="B4927" s="8">
        <v>8.0</v>
      </c>
      <c r="C4927" s="7" t="s">
        <v>72</v>
      </c>
      <c r="D4927" s="7" t="s">
        <v>1677</v>
      </c>
      <c r="E4927" s="5" t="s">
        <v>2981</v>
      </c>
      <c r="F4927" s="5" t="s">
        <v>76</v>
      </c>
    </row>
    <row r="4928">
      <c r="A4928" s="5" t="s">
        <v>2933</v>
      </c>
      <c r="B4928" s="8">
        <v>8.0</v>
      </c>
      <c r="C4928" s="7" t="s">
        <v>72</v>
      </c>
      <c r="D4928" s="7" t="s">
        <v>1677</v>
      </c>
      <c r="E4928" s="5" t="s">
        <v>2981</v>
      </c>
      <c r="F4928" s="5" t="s">
        <v>77</v>
      </c>
    </row>
    <row r="4929">
      <c r="A4929" s="5" t="s">
        <v>2606</v>
      </c>
      <c r="B4929" s="8">
        <v>8.0</v>
      </c>
      <c r="C4929" s="7" t="s">
        <v>72</v>
      </c>
      <c r="D4929" s="7" t="s">
        <v>1677</v>
      </c>
      <c r="E4929" s="5" t="s">
        <v>2981</v>
      </c>
      <c r="F4929" s="5" t="s">
        <v>77</v>
      </c>
    </row>
    <row r="4930">
      <c r="A4930" s="5" t="s">
        <v>2607</v>
      </c>
      <c r="B4930" s="8">
        <v>8.0</v>
      </c>
      <c r="C4930" s="7" t="s">
        <v>72</v>
      </c>
      <c r="D4930" s="7" t="s">
        <v>1677</v>
      </c>
      <c r="E4930" s="5" t="s">
        <v>2981</v>
      </c>
      <c r="F4930" s="5" t="s">
        <v>77</v>
      </c>
    </row>
    <row r="4931">
      <c r="A4931" s="5" t="s">
        <v>2935</v>
      </c>
      <c r="B4931" s="8">
        <v>8.0</v>
      </c>
      <c r="C4931" s="7" t="s">
        <v>72</v>
      </c>
      <c r="D4931" s="7" t="s">
        <v>1677</v>
      </c>
      <c r="E4931" s="5" t="s">
        <v>2981</v>
      </c>
      <c r="F4931" s="5" t="s">
        <v>3628</v>
      </c>
    </row>
    <row r="4932">
      <c r="A4932" s="5" t="s">
        <v>2936</v>
      </c>
      <c r="B4932" s="8">
        <v>8.0</v>
      </c>
      <c r="C4932" s="7" t="s">
        <v>72</v>
      </c>
      <c r="D4932" s="7" t="s">
        <v>1677</v>
      </c>
      <c r="E4932" s="5" t="s">
        <v>2981</v>
      </c>
      <c r="F4932" s="5" t="s">
        <v>77</v>
      </c>
    </row>
    <row r="4933">
      <c r="A4933" s="5" t="s">
        <v>2608</v>
      </c>
      <c r="B4933" s="8">
        <v>8.0</v>
      </c>
      <c r="C4933" s="7" t="s">
        <v>72</v>
      </c>
      <c r="D4933" s="7" t="s">
        <v>1677</v>
      </c>
      <c r="E4933" s="5" t="s">
        <v>2981</v>
      </c>
      <c r="F4933" s="5" t="s">
        <v>77</v>
      </c>
    </row>
    <row r="4934">
      <c r="A4934" s="5" t="s">
        <v>2609</v>
      </c>
      <c r="B4934" s="8">
        <v>8.0</v>
      </c>
      <c r="C4934" s="7" t="s">
        <v>72</v>
      </c>
      <c r="D4934" s="7" t="s">
        <v>1677</v>
      </c>
      <c r="E4934" s="5" t="s">
        <v>2981</v>
      </c>
      <c r="F4934" s="5" t="s">
        <v>77</v>
      </c>
    </row>
    <row r="4935">
      <c r="A4935" s="5" t="s">
        <v>2924</v>
      </c>
      <c r="B4935" s="8">
        <v>8.0</v>
      </c>
      <c r="C4935" s="7" t="s">
        <v>78</v>
      </c>
      <c r="D4935" s="7" t="s">
        <v>63</v>
      </c>
      <c r="E4935" s="5" t="s">
        <v>2984</v>
      </c>
      <c r="F4935" s="5" t="s">
        <v>3415</v>
      </c>
    </row>
    <row r="4936">
      <c r="A4936" s="5" t="s">
        <v>2925</v>
      </c>
      <c r="B4936" s="8">
        <v>8.0</v>
      </c>
      <c r="C4936" s="7" t="s">
        <v>78</v>
      </c>
      <c r="D4936" s="7" t="s">
        <v>63</v>
      </c>
      <c r="E4936" s="5" t="s">
        <v>2984</v>
      </c>
      <c r="F4936" s="5" t="s">
        <v>3629</v>
      </c>
    </row>
    <row r="4937">
      <c r="A4937" s="5" t="s">
        <v>3086</v>
      </c>
      <c r="B4937" s="8">
        <v>8.0</v>
      </c>
      <c r="C4937" s="7" t="s">
        <v>78</v>
      </c>
      <c r="D4937" s="7" t="s">
        <v>63</v>
      </c>
      <c r="E4937" s="5" t="s">
        <v>2984</v>
      </c>
      <c r="F4937" s="5" t="s">
        <v>3156</v>
      </c>
    </row>
    <row r="4938">
      <c r="A4938" s="5" t="s">
        <v>3087</v>
      </c>
      <c r="B4938" s="8">
        <v>8.0</v>
      </c>
      <c r="C4938" s="7" t="s">
        <v>78</v>
      </c>
      <c r="D4938" s="7" t="s">
        <v>63</v>
      </c>
      <c r="E4938" s="5" t="s">
        <v>2984</v>
      </c>
      <c r="F4938" s="5" t="s">
        <v>3157</v>
      </c>
    </row>
    <row r="4939">
      <c r="A4939" s="5" t="s">
        <v>2926</v>
      </c>
      <c r="B4939" s="8">
        <v>8.0</v>
      </c>
      <c r="C4939" s="7" t="s">
        <v>78</v>
      </c>
      <c r="D4939" s="7" t="s">
        <v>63</v>
      </c>
      <c r="E4939" s="5" t="s">
        <v>2984</v>
      </c>
      <c r="F4939" s="5" t="s">
        <v>3630</v>
      </c>
    </row>
    <row r="4940">
      <c r="A4940" s="5" t="s">
        <v>3388</v>
      </c>
      <c r="B4940" s="8">
        <v>8.0</v>
      </c>
      <c r="C4940" s="7" t="s">
        <v>78</v>
      </c>
      <c r="D4940" s="7" t="s">
        <v>63</v>
      </c>
      <c r="E4940" s="5" t="s">
        <v>2984</v>
      </c>
      <c r="F4940" s="5" t="s">
        <v>3415</v>
      </c>
    </row>
    <row r="4941">
      <c r="A4941" s="5" t="s">
        <v>2927</v>
      </c>
      <c r="B4941" s="8">
        <v>8.0</v>
      </c>
      <c r="C4941" s="7" t="s">
        <v>78</v>
      </c>
      <c r="D4941" s="7" t="s">
        <v>63</v>
      </c>
      <c r="E4941" s="5" t="s">
        <v>2984</v>
      </c>
      <c r="F4941" s="5" t="s">
        <v>3631</v>
      </c>
    </row>
    <row r="4942">
      <c r="A4942" s="5" t="s">
        <v>2928</v>
      </c>
      <c r="B4942" s="8">
        <v>8.0</v>
      </c>
      <c r="C4942" s="7" t="s">
        <v>78</v>
      </c>
      <c r="D4942" s="7" t="s">
        <v>63</v>
      </c>
      <c r="E4942" s="5" t="s">
        <v>2984</v>
      </c>
      <c r="F4942" s="5" t="s">
        <v>3632</v>
      </c>
    </row>
    <row r="4943">
      <c r="A4943" s="7" t="s">
        <v>603</v>
      </c>
      <c r="B4943" s="8">
        <v>8.0</v>
      </c>
      <c r="C4943" s="7" t="s">
        <v>78</v>
      </c>
      <c r="D4943" s="7" t="s">
        <v>63</v>
      </c>
      <c r="E4943" s="5" t="s">
        <v>2984</v>
      </c>
      <c r="F4943" s="5" t="s">
        <v>3415</v>
      </c>
    </row>
    <row r="4944">
      <c r="A4944" s="5" t="s">
        <v>2929</v>
      </c>
      <c r="B4944" s="8">
        <v>8.0</v>
      </c>
      <c r="C4944" s="7" t="s">
        <v>78</v>
      </c>
      <c r="D4944" s="7" t="s">
        <v>63</v>
      </c>
      <c r="E4944" s="5" t="s">
        <v>2984</v>
      </c>
      <c r="F4944" s="5" t="s">
        <v>1683</v>
      </c>
    </row>
    <row r="4945">
      <c r="A4945" s="5" t="s">
        <v>2930</v>
      </c>
      <c r="B4945" s="8">
        <v>8.0</v>
      </c>
      <c r="C4945" s="7" t="s">
        <v>78</v>
      </c>
      <c r="D4945" s="7" t="s">
        <v>63</v>
      </c>
      <c r="E4945" s="5" t="s">
        <v>2984</v>
      </c>
      <c r="F4945" s="5" t="s">
        <v>3416</v>
      </c>
    </row>
    <row r="4946">
      <c r="A4946" s="7" t="s">
        <v>606</v>
      </c>
      <c r="B4946" s="8">
        <v>8.0</v>
      </c>
      <c r="C4946" s="7" t="s">
        <v>78</v>
      </c>
      <c r="D4946" s="7" t="s">
        <v>63</v>
      </c>
      <c r="E4946" s="5" t="s">
        <v>2984</v>
      </c>
      <c r="F4946" s="7" t="s">
        <v>1684</v>
      </c>
    </row>
    <row r="4947">
      <c r="A4947" s="5" t="s">
        <v>2602</v>
      </c>
      <c r="B4947" s="8">
        <v>8.0</v>
      </c>
      <c r="C4947" s="7" t="s">
        <v>78</v>
      </c>
      <c r="D4947" s="7" t="s">
        <v>63</v>
      </c>
      <c r="E4947" s="5" t="s">
        <v>2984</v>
      </c>
      <c r="F4947" s="5" t="s">
        <v>1341</v>
      </c>
    </row>
    <row r="4948">
      <c r="A4948" s="5" t="s">
        <v>2931</v>
      </c>
      <c r="B4948" s="8">
        <v>8.0</v>
      </c>
      <c r="C4948" s="7" t="s">
        <v>78</v>
      </c>
      <c r="D4948" s="7" t="s">
        <v>63</v>
      </c>
      <c r="E4948" s="5" t="s">
        <v>2984</v>
      </c>
      <c r="F4948" s="5" t="s">
        <v>3633</v>
      </c>
    </row>
    <row r="4949">
      <c r="A4949" s="5" t="s">
        <v>2932</v>
      </c>
      <c r="B4949" s="8">
        <v>8.0</v>
      </c>
      <c r="C4949" s="7" t="s">
        <v>78</v>
      </c>
      <c r="D4949" s="7" t="s">
        <v>63</v>
      </c>
      <c r="E4949" s="5" t="s">
        <v>2984</v>
      </c>
      <c r="F4949" s="5" t="s">
        <v>3634</v>
      </c>
    </row>
    <row r="4950">
      <c r="A4950" s="5" t="s">
        <v>2933</v>
      </c>
      <c r="B4950" s="8">
        <v>8.0</v>
      </c>
      <c r="C4950" s="7" t="s">
        <v>78</v>
      </c>
      <c r="D4950" s="7" t="s">
        <v>63</v>
      </c>
      <c r="E4950" s="5" t="s">
        <v>2984</v>
      </c>
      <c r="F4950" s="5" t="s">
        <v>3635</v>
      </c>
    </row>
    <row r="4951">
      <c r="A4951" s="5" t="s">
        <v>2606</v>
      </c>
      <c r="B4951" s="8">
        <v>8.0</v>
      </c>
      <c r="C4951" s="7" t="s">
        <v>78</v>
      </c>
      <c r="D4951" s="7" t="s">
        <v>63</v>
      </c>
      <c r="E4951" s="5" t="s">
        <v>2984</v>
      </c>
      <c r="F4951" s="5" t="s">
        <v>3415</v>
      </c>
    </row>
    <row r="4952">
      <c r="A4952" s="5" t="s">
        <v>2934</v>
      </c>
      <c r="B4952" s="8">
        <v>8.0</v>
      </c>
      <c r="C4952" s="7" t="s">
        <v>78</v>
      </c>
      <c r="D4952" s="7" t="s">
        <v>63</v>
      </c>
      <c r="E4952" s="5" t="s">
        <v>2984</v>
      </c>
      <c r="F4952" s="5" t="s">
        <v>1688</v>
      </c>
    </row>
    <row r="4953">
      <c r="A4953" s="5" t="s">
        <v>2607</v>
      </c>
      <c r="B4953" s="8">
        <v>8.0</v>
      </c>
      <c r="C4953" s="7" t="s">
        <v>78</v>
      </c>
      <c r="D4953" s="7" t="s">
        <v>63</v>
      </c>
      <c r="E4953" s="5" t="s">
        <v>2984</v>
      </c>
      <c r="F4953" s="5" t="s">
        <v>3636</v>
      </c>
    </row>
    <row r="4954">
      <c r="A4954" s="5" t="s">
        <v>2935</v>
      </c>
      <c r="B4954" s="8">
        <v>8.0</v>
      </c>
      <c r="C4954" s="7" t="s">
        <v>78</v>
      </c>
      <c r="D4954" s="7" t="s">
        <v>63</v>
      </c>
      <c r="E4954" s="5" t="s">
        <v>2984</v>
      </c>
      <c r="F4954" s="5" t="s">
        <v>3419</v>
      </c>
    </row>
    <row r="4955">
      <c r="A4955" s="5" t="s">
        <v>2936</v>
      </c>
      <c r="B4955" s="8">
        <v>8.0</v>
      </c>
      <c r="C4955" s="7" t="s">
        <v>78</v>
      </c>
      <c r="D4955" s="7" t="s">
        <v>63</v>
      </c>
      <c r="E4955" s="5" t="s">
        <v>2984</v>
      </c>
      <c r="F4955" s="5" t="s">
        <v>3637</v>
      </c>
    </row>
    <row r="4956">
      <c r="A4956" s="5" t="s">
        <v>2608</v>
      </c>
      <c r="B4956" s="8">
        <v>8.0</v>
      </c>
      <c r="C4956" s="7" t="s">
        <v>78</v>
      </c>
      <c r="D4956" s="7" t="s">
        <v>63</v>
      </c>
      <c r="E4956" s="5" t="s">
        <v>2984</v>
      </c>
      <c r="F4956" s="5" t="s">
        <v>3638</v>
      </c>
    </row>
    <row r="4957">
      <c r="A4957" s="5" t="s">
        <v>2609</v>
      </c>
      <c r="B4957" s="8">
        <v>8.0</v>
      </c>
      <c r="C4957" s="7" t="s">
        <v>78</v>
      </c>
      <c r="D4957" s="7" t="s">
        <v>63</v>
      </c>
      <c r="E4957" s="5" t="s">
        <v>2984</v>
      </c>
      <c r="F4957" s="5" t="s">
        <v>3639</v>
      </c>
    </row>
    <row r="4958">
      <c r="A4958" s="5" t="s">
        <v>2924</v>
      </c>
      <c r="B4958" s="8">
        <v>8.0</v>
      </c>
      <c r="C4958" s="7" t="s">
        <v>101</v>
      </c>
      <c r="D4958" s="7" t="s">
        <v>1693</v>
      </c>
      <c r="E4958" s="5" t="s">
        <v>3012</v>
      </c>
      <c r="F4958" s="5" t="s">
        <v>2650</v>
      </c>
    </row>
    <row r="4959">
      <c r="A4959" s="5" t="s">
        <v>2925</v>
      </c>
      <c r="B4959" s="8">
        <v>8.0</v>
      </c>
      <c r="C4959" s="7" t="s">
        <v>101</v>
      </c>
      <c r="D4959" s="7" t="s">
        <v>1693</v>
      </c>
      <c r="E4959" s="5" t="s">
        <v>3012</v>
      </c>
      <c r="F4959" s="5" t="s">
        <v>2746</v>
      </c>
    </row>
    <row r="4960">
      <c r="A4960" s="5" t="s">
        <v>3086</v>
      </c>
      <c r="B4960" s="8">
        <v>8.0</v>
      </c>
      <c r="C4960" s="7" t="s">
        <v>101</v>
      </c>
      <c r="D4960" s="7" t="s">
        <v>1693</v>
      </c>
      <c r="E4960" s="5" t="s">
        <v>3012</v>
      </c>
      <c r="F4960" s="5" t="s">
        <v>2650</v>
      </c>
    </row>
    <row r="4961">
      <c r="A4961" s="5" t="s">
        <v>3087</v>
      </c>
      <c r="B4961" s="8">
        <v>8.0</v>
      </c>
      <c r="C4961" s="7" t="s">
        <v>101</v>
      </c>
      <c r="D4961" s="7" t="s">
        <v>1693</v>
      </c>
      <c r="E4961" s="5" t="s">
        <v>3012</v>
      </c>
      <c r="F4961" s="5" t="s">
        <v>2650</v>
      </c>
    </row>
    <row r="4962">
      <c r="A4962" s="5" t="s">
        <v>2926</v>
      </c>
      <c r="B4962" s="8">
        <v>8.0</v>
      </c>
      <c r="C4962" s="7" t="s">
        <v>101</v>
      </c>
      <c r="D4962" s="7" t="s">
        <v>1693</v>
      </c>
      <c r="E4962" s="5" t="s">
        <v>3012</v>
      </c>
      <c r="F4962" s="5" t="s">
        <v>2650</v>
      </c>
    </row>
    <row r="4963">
      <c r="A4963" s="5" t="s">
        <v>3388</v>
      </c>
      <c r="B4963" s="8">
        <v>8.0</v>
      </c>
      <c r="C4963" s="7" t="s">
        <v>101</v>
      </c>
      <c r="D4963" s="7" t="s">
        <v>1693</v>
      </c>
      <c r="E4963" s="5" t="s">
        <v>3012</v>
      </c>
      <c r="F4963" s="5" t="s">
        <v>2650</v>
      </c>
    </row>
    <row r="4964">
      <c r="A4964" s="5" t="s">
        <v>2928</v>
      </c>
      <c r="B4964" s="8">
        <v>8.0</v>
      </c>
      <c r="C4964" s="7" t="s">
        <v>101</v>
      </c>
      <c r="D4964" s="7" t="s">
        <v>1693</v>
      </c>
      <c r="E4964" s="5" t="s">
        <v>3012</v>
      </c>
      <c r="F4964" s="5" t="s">
        <v>3640</v>
      </c>
    </row>
    <row r="4965">
      <c r="A4965" s="7" t="s">
        <v>603</v>
      </c>
      <c r="B4965" s="8">
        <v>8.0</v>
      </c>
      <c r="C4965" s="7" t="s">
        <v>101</v>
      </c>
      <c r="D4965" s="7" t="s">
        <v>1693</v>
      </c>
      <c r="E4965" s="5" t="s">
        <v>3012</v>
      </c>
      <c r="F4965" s="5" t="s">
        <v>3641</v>
      </c>
    </row>
    <row r="4966">
      <c r="A4966" s="5" t="s">
        <v>2929</v>
      </c>
      <c r="B4966" s="8">
        <v>8.0</v>
      </c>
      <c r="C4966" s="7" t="s">
        <v>101</v>
      </c>
      <c r="D4966" s="7" t="s">
        <v>1693</v>
      </c>
      <c r="E4966" s="5" t="s">
        <v>3012</v>
      </c>
      <c r="F4966" s="5" t="s">
        <v>3642</v>
      </c>
    </row>
    <row r="4967">
      <c r="A4967" s="5" t="s">
        <v>2930</v>
      </c>
      <c r="B4967" s="8">
        <v>8.0</v>
      </c>
      <c r="C4967" s="7" t="s">
        <v>101</v>
      </c>
      <c r="D4967" s="7" t="s">
        <v>1693</v>
      </c>
      <c r="E4967" s="5" t="s">
        <v>3012</v>
      </c>
      <c r="F4967" s="5" t="s">
        <v>2650</v>
      </c>
    </row>
    <row r="4968">
      <c r="A4968" s="7" t="s">
        <v>606</v>
      </c>
      <c r="B4968" s="8">
        <v>8.0</v>
      </c>
      <c r="C4968" s="7" t="s">
        <v>101</v>
      </c>
      <c r="D4968" s="7" t="s">
        <v>1693</v>
      </c>
      <c r="E4968" s="5" t="s">
        <v>3012</v>
      </c>
      <c r="F4968" s="5" t="s">
        <v>3643</v>
      </c>
    </row>
    <row r="4969">
      <c r="A4969" s="5" t="s">
        <v>2602</v>
      </c>
      <c r="B4969" s="8">
        <v>8.0</v>
      </c>
      <c r="C4969" s="7" t="s">
        <v>101</v>
      </c>
      <c r="D4969" s="7" t="s">
        <v>1693</v>
      </c>
      <c r="E4969" s="5" t="s">
        <v>3012</v>
      </c>
      <c r="F4969" s="5" t="s">
        <v>3644</v>
      </c>
    </row>
    <row r="4970">
      <c r="A4970" s="5" t="s">
        <v>2931</v>
      </c>
      <c r="B4970" s="8">
        <v>8.0</v>
      </c>
      <c r="C4970" s="7" t="s">
        <v>101</v>
      </c>
      <c r="D4970" s="7" t="s">
        <v>1693</v>
      </c>
      <c r="E4970" s="5" t="s">
        <v>3012</v>
      </c>
      <c r="F4970" s="5" t="s">
        <v>2646</v>
      </c>
    </row>
    <row r="4971">
      <c r="A4971" s="5" t="s">
        <v>2932</v>
      </c>
      <c r="B4971" s="8">
        <v>8.0</v>
      </c>
      <c r="C4971" s="7" t="s">
        <v>101</v>
      </c>
      <c r="D4971" s="7" t="s">
        <v>1693</v>
      </c>
      <c r="E4971" s="5" t="s">
        <v>3012</v>
      </c>
      <c r="F4971" s="5" t="s">
        <v>2650</v>
      </c>
    </row>
    <row r="4972">
      <c r="A4972" s="5" t="s">
        <v>2933</v>
      </c>
      <c r="B4972" s="8">
        <v>8.0</v>
      </c>
      <c r="C4972" s="7" t="s">
        <v>101</v>
      </c>
      <c r="D4972" s="7" t="s">
        <v>1693</v>
      </c>
      <c r="E4972" s="5" t="s">
        <v>3012</v>
      </c>
      <c r="F4972" s="5" t="s">
        <v>2650</v>
      </c>
    </row>
    <row r="4973">
      <c r="A4973" s="5" t="s">
        <v>2606</v>
      </c>
      <c r="B4973" s="8">
        <v>8.0</v>
      </c>
      <c r="C4973" s="7" t="s">
        <v>101</v>
      </c>
      <c r="D4973" s="7" t="s">
        <v>1693</v>
      </c>
      <c r="E4973" s="5" t="s">
        <v>3012</v>
      </c>
      <c r="F4973" s="5" t="s">
        <v>2650</v>
      </c>
    </row>
    <row r="4974">
      <c r="A4974" s="5" t="s">
        <v>2607</v>
      </c>
      <c r="B4974" s="8">
        <v>8.0</v>
      </c>
      <c r="C4974" s="7" t="s">
        <v>101</v>
      </c>
      <c r="D4974" s="7" t="s">
        <v>1693</v>
      </c>
      <c r="E4974" s="5" t="s">
        <v>3012</v>
      </c>
      <c r="F4974" s="5" t="s">
        <v>2650</v>
      </c>
    </row>
    <row r="4975">
      <c r="A4975" s="5" t="s">
        <v>2935</v>
      </c>
      <c r="B4975" s="8">
        <v>8.0</v>
      </c>
      <c r="C4975" s="7" t="s">
        <v>101</v>
      </c>
      <c r="D4975" s="7" t="s">
        <v>1693</v>
      </c>
      <c r="E4975" s="5" t="s">
        <v>3012</v>
      </c>
      <c r="F4975" s="5" t="s">
        <v>2730</v>
      </c>
    </row>
    <row r="4976">
      <c r="A4976" s="5" t="s">
        <v>2936</v>
      </c>
      <c r="B4976" s="8">
        <v>8.0</v>
      </c>
      <c r="C4976" s="7" t="s">
        <v>101</v>
      </c>
      <c r="D4976" s="7" t="s">
        <v>1693</v>
      </c>
      <c r="E4976" s="5" t="s">
        <v>3012</v>
      </c>
      <c r="F4976" s="5" t="s">
        <v>2650</v>
      </c>
    </row>
    <row r="4977">
      <c r="A4977" s="5" t="s">
        <v>2608</v>
      </c>
      <c r="B4977" s="8">
        <v>8.0</v>
      </c>
      <c r="C4977" s="7" t="s">
        <v>101</v>
      </c>
      <c r="D4977" s="7" t="s">
        <v>1693</v>
      </c>
      <c r="E4977" s="5" t="s">
        <v>3012</v>
      </c>
      <c r="F4977" s="5" t="s">
        <v>2650</v>
      </c>
    </row>
    <row r="4978">
      <c r="A4978" s="5" t="s">
        <v>2609</v>
      </c>
      <c r="B4978" s="8">
        <v>8.0</v>
      </c>
      <c r="C4978" s="7" t="s">
        <v>101</v>
      </c>
      <c r="D4978" s="7" t="s">
        <v>1693</v>
      </c>
      <c r="E4978" s="5" t="s">
        <v>3012</v>
      </c>
      <c r="F4978" s="5" t="s">
        <v>2650</v>
      </c>
    </row>
    <row r="4979">
      <c r="A4979" s="5" t="s">
        <v>2924</v>
      </c>
      <c r="B4979" s="8">
        <v>8.0</v>
      </c>
      <c r="C4979" s="7" t="s">
        <v>112</v>
      </c>
      <c r="D4979" s="7" t="s">
        <v>1700</v>
      </c>
      <c r="E4979" s="5" t="s">
        <v>727</v>
      </c>
      <c r="F4979" s="5" t="s">
        <v>1371</v>
      </c>
    </row>
    <row r="4980">
      <c r="A4980" s="5" t="s">
        <v>2925</v>
      </c>
      <c r="B4980" s="8">
        <v>8.0</v>
      </c>
      <c r="C4980" s="7" t="s">
        <v>112</v>
      </c>
      <c r="D4980" s="7" t="s">
        <v>1700</v>
      </c>
      <c r="E4980" s="5" t="s">
        <v>727</v>
      </c>
      <c r="F4980" s="5" t="s">
        <v>3645</v>
      </c>
    </row>
    <row r="4981">
      <c r="A4981" s="5" t="s">
        <v>3086</v>
      </c>
      <c r="B4981" s="8">
        <v>8.0</v>
      </c>
      <c r="C4981" s="7" t="s">
        <v>112</v>
      </c>
      <c r="D4981" s="7" t="s">
        <v>1700</v>
      </c>
      <c r="E4981" s="5" t="s">
        <v>727</v>
      </c>
      <c r="F4981" s="5" t="s">
        <v>1371</v>
      </c>
    </row>
    <row r="4982">
      <c r="A4982" s="5" t="s">
        <v>2926</v>
      </c>
      <c r="B4982" s="8">
        <v>8.0</v>
      </c>
      <c r="C4982" s="7" t="s">
        <v>112</v>
      </c>
      <c r="D4982" s="7" t="s">
        <v>1700</v>
      </c>
      <c r="E4982" s="5" t="s">
        <v>727</v>
      </c>
      <c r="F4982" s="5" t="s">
        <v>1371</v>
      </c>
    </row>
    <row r="4983">
      <c r="A4983" s="5" t="s">
        <v>3388</v>
      </c>
      <c r="B4983" s="8">
        <v>8.0</v>
      </c>
      <c r="C4983" s="7" t="s">
        <v>112</v>
      </c>
      <c r="D4983" s="7" t="s">
        <v>1700</v>
      </c>
      <c r="E4983" s="5" t="s">
        <v>727</v>
      </c>
      <c r="F4983" s="5" t="s">
        <v>1371</v>
      </c>
    </row>
    <row r="4984">
      <c r="A4984" s="5" t="s">
        <v>2927</v>
      </c>
      <c r="B4984" s="8">
        <v>8.0</v>
      </c>
      <c r="C4984" s="7" t="s">
        <v>112</v>
      </c>
      <c r="D4984" s="7" t="s">
        <v>1700</v>
      </c>
      <c r="E4984" s="5" t="s">
        <v>727</v>
      </c>
      <c r="F4984" s="5" t="s">
        <v>3646</v>
      </c>
    </row>
    <row r="4985">
      <c r="A4985" s="5" t="s">
        <v>2928</v>
      </c>
      <c r="B4985" s="8">
        <v>8.0</v>
      </c>
      <c r="C4985" s="7" t="s">
        <v>112</v>
      </c>
      <c r="D4985" s="7" t="s">
        <v>1700</v>
      </c>
      <c r="E4985" s="5" t="s">
        <v>727</v>
      </c>
      <c r="F4985" s="5" t="s">
        <v>1371</v>
      </c>
    </row>
    <row r="4986">
      <c r="A4986" s="7" t="s">
        <v>603</v>
      </c>
      <c r="B4986" s="8">
        <v>8.0</v>
      </c>
      <c r="C4986" s="7" t="s">
        <v>112</v>
      </c>
      <c r="D4986" s="7" t="s">
        <v>1700</v>
      </c>
      <c r="E4986" s="5" t="s">
        <v>727</v>
      </c>
      <c r="F4986" s="5" t="s">
        <v>3647</v>
      </c>
    </row>
    <row r="4987">
      <c r="A4987" s="5" t="s">
        <v>2929</v>
      </c>
      <c r="B4987" s="8">
        <v>8.0</v>
      </c>
      <c r="C4987" s="7" t="s">
        <v>112</v>
      </c>
      <c r="D4987" s="7" t="s">
        <v>1700</v>
      </c>
      <c r="E4987" s="5" t="s">
        <v>727</v>
      </c>
      <c r="F4987" s="5" t="s">
        <v>1371</v>
      </c>
    </row>
    <row r="4988">
      <c r="A4988" s="5" t="s">
        <v>2930</v>
      </c>
      <c r="B4988" s="8">
        <v>8.0</v>
      </c>
      <c r="C4988" s="7" t="s">
        <v>112</v>
      </c>
      <c r="D4988" s="7" t="s">
        <v>1700</v>
      </c>
      <c r="E4988" s="5" t="s">
        <v>727</v>
      </c>
      <c r="F4988" s="4" t="s">
        <v>1371</v>
      </c>
    </row>
    <row r="4989">
      <c r="A4989" s="7" t="s">
        <v>606</v>
      </c>
      <c r="B4989" s="8">
        <v>8.0</v>
      </c>
      <c r="C4989" s="7" t="s">
        <v>112</v>
      </c>
      <c r="D4989" s="7" t="s">
        <v>1700</v>
      </c>
      <c r="E4989" s="5" t="s">
        <v>727</v>
      </c>
      <c r="F4989" s="5" t="s">
        <v>1371</v>
      </c>
    </row>
    <row r="4990">
      <c r="A4990" s="5" t="s">
        <v>2602</v>
      </c>
      <c r="B4990" s="8">
        <v>8.0</v>
      </c>
      <c r="C4990" s="7" t="s">
        <v>112</v>
      </c>
      <c r="D4990" s="7" t="s">
        <v>1700</v>
      </c>
      <c r="E4990" s="5" t="s">
        <v>727</v>
      </c>
      <c r="F4990" s="5" t="s">
        <v>1371</v>
      </c>
    </row>
    <row r="4991">
      <c r="A4991" s="5" t="s">
        <v>2931</v>
      </c>
      <c r="B4991" s="8">
        <v>8.0</v>
      </c>
      <c r="C4991" s="7" t="s">
        <v>112</v>
      </c>
      <c r="D4991" s="7" t="s">
        <v>1700</v>
      </c>
      <c r="E4991" s="5" t="s">
        <v>727</v>
      </c>
      <c r="F4991" s="5" t="s">
        <v>1371</v>
      </c>
    </row>
    <row r="4992">
      <c r="A4992" s="5" t="s">
        <v>2932</v>
      </c>
      <c r="B4992" s="8">
        <v>8.0</v>
      </c>
      <c r="C4992" s="7" t="s">
        <v>112</v>
      </c>
      <c r="D4992" s="7" t="s">
        <v>1700</v>
      </c>
      <c r="E4992" s="5" t="s">
        <v>727</v>
      </c>
      <c r="F4992" s="5" t="s">
        <v>3648</v>
      </c>
    </row>
    <row r="4993">
      <c r="A4993" s="5" t="s">
        <v>2933</v>
      </c>
      <c r="B4993" s="8">
        <v>8.0</v>
      </c>
      <c r="C4993" s="7" t="s">
        <v>112</v>
      </c>
      <c r="D4993" s="7" t="s">
        <v>1700</v>
      </c>
      <c r="E4993" s="5" t="s">
        <v>727</v>
      </c>
      <c r="F4993" s="5" t="s">
        <v>1371</v>
      </c>
    </row>
    <row r="4994">
      <c r="A4994" s="5" t="s">
        <v>2606</v>
      </c>
      <c r="B4994" s="8">
        <v>8.0</v>
      </c>
      <c r="C4994" s="7" t="s">
        <v>112</v>
      </c>
      <c r="D4994" s="7" t="s">
        <v>1700</v>
      </c>
      <c r="E4994" s="5" t="s">
        <v>727</v>
      </c>
      <c r="F4994" s="5" t="s">
        <v>1371</v>
      </c>
    </row>
    <row r="4995">
      <c r="A4995" s="5" t="s">
        <v>2607</v>
      </c>
      <c r="B4995" s="8">
        <v>8.0</v>
      </c>
      <c r="C4995" s="7" t="s">
        <v>112</v>
      </c>
      <c r="D4995" s="7" t="s">
        <v>1700</v>
      </c>
      <c r="E4995" s="5" t="s">
        <v>727</v>
      </c>
      <c r="F4995" s="5" t="s">
        <v>3649</v>
      </c>
    </row>
    <row r="4996">
      <c r="A4996" s="5" t="s">
        <v>2935</v>
      </c>
      <c r="B4996" s="8">
        <v>8.0</v>
      </c>
      <c r="C4996" s="7" t="s">
        <v>112</v>
      </c>
      <c r="D4996" s="7" t="s">
        <v>1700</v>
      </c>
      <c r="E4996" s="5" t="s">
        <v>727</v>
      </c>
      <c r="F4996" s="5" t="s">
        <v>1371</v>
      </c>
    </row>
    <row r="4997">
      <c r="A4997" s="5" t="s">
        <v>2936</v>
      </c>
      <c r="B4997" s="8">
        <v>8.0</v>
      </c>
      <c r="C4997" s="7" t="s">
        <v>112</v>
      </c>
      <c r="D4997" s="7" t="s">
        <v>1700</v>
      </c>
      <c r="E4997" s="5" t="s">
        <v>727</v>
      </c>
      <c r="F4997" s="5" t="s">
        <v>1371</v>
      </c>
    </row>
    <row r="4998">
      <c r="A4998" s="5" t="s">
        <v>2608</v>
      </c>
      <c r="B4998" s="8">
        <v>8.0</v>
      </c>
      <c r="C4998" s="7" t="s">
        <v>112</v>
      </c>
      <c r="D4998" s="7" t="s">
        <v>1700</v>
      </c>
      <c r="E4998" s="5" t="s">
        <v>727</v>
      </c>
      <c r="F4998" s="5" t="s">
        <v>3441</v>
      </c>
    </row>
    <row r="4999">
      <c r="A4999" s="5" t="s">
        <v>2609</v>
      </c>
      <c r="B4999" s="8">
        <v>8.0</v>
      </c>
      <c r="C4999" s="7" t="s">
        <v>112</v>
      </c>
      <c r="D4999" s="7" t="s">
        <v>1700</v>
      </c>
      <c r="E4999" s="5" t="s">
        <v>727</v>
      </c>
      <c r="F4999" s="5" t="s">
        <v>1371</v>
      </c>
    </row>
    <row r="5000">
      <c r="A5000" s="5" t="s">
        <v>2924</v>
      </c>
      <c r="B5000" s="8">
        <v>8.0</v>
      </c>
      <c r="C5000" s="7" t="s">
        <v>734</v>
      </c>
      <c r="D5000" s="7" t="s">
        <v>1706</v>
      </c>
      <c r="E5000" s="5" t="s">
        <v>3022</v>
      </c>
      <c r="F5000" s="4" t="s">
        <v>737</v>
      </c>
    </row>
    <row r="5001">
      <c r="A5001" s="5" t="s">
        <v>2925</v>
      </c>
      <c r="B5001" s="8">
        <v>8.0</v>
      </c>
      <c r="C5001" s="7" t="s">
        <v>734</v>
      </c>
      <c r="D5001" s="7" t="s">
        <v>1706</v>
      </c>
      <c r="E5001" s="5" t="s">
        <v>3022</v>
      </c>
      <c r="F5001" s="5" t="s">
        <v>737</v>
      </c>
    </row>
    <row r="5002">
      <c r="A5002" s="5" t="s">
        <v>3086</v>
      </c>
      <c r="B5002" s="8">
        <v>8.0</v>
      </c>
      <c r="C5002" s="7" t="s">
        <v>734</v>
      </c>
      <c r="D5002" s="7" t="s">
        <v>1706</v>
      </c>
      <c r="E5002" s="5" t="s">
        <v>3022</v>
      </c>
      <c r="F5002" s="5" t="s">
        <v>737</v>
      </c>
    </row>
    <row r="5003">
      <c r="A5003" s="5" t="s">
        <v>2926</v>
      </c>
      <c r="B5003" s="8">
        <v>8.0</v>
      </c>
      <c r="C5003" s="7" t="s">
        <v>734</v>
      </c>
      <c r="D5003" s="7" t="s">
        <v>1706</v>
      </c>
      <c r="E5003" s="5" t="s">
        <v>3022</v>
      </c>
      <c r="F5003" s="5" t="s">
        <v>737</v>
      </c>
    </row>
    <row r="5004">
      <c r="A5004" s="5" t="s">
        <v>3388</v>
      </c>
      <c r="B5004" s="8">
        <v>8.0</v>
      </c>
      <c r="C5004" s="7" t="s">
        <v>734</v>
      </c>
      <c r="D5004" s="7" t="s">
        <v>1706</v>
      </c>
      <c r="E5004" s="5" t="s">
        <v>3022</v>
      </c>
      <c r="F5004" s="5" t="s">
        <v>737</v>
      </c>
    </row>
    <row r="5005">
      <c r="A5005" s="5" t="s">
        <v>2927</v>
      </c>
      <c r="B5005" s="8">
        <v>8.0</v>
      </c>
      <c r="C5005" s="7" t="s">
        <v>734</v>
      </c>
      <c r="D5005" s="7" t="s">
        <v>1706</v>
      </c>
      <c r="E5005" s="5" t="s">
        <v>3022</v>
      </c>
      <c r="F5005" s="5" t="s">
        <v>737</v>
      </c>
    </row>
    <row r="5006">
      <c r="A5006" s="5" t="s">
        <v>2928</v>
      </c>
      <c r="B5006" s="8">
        <v>8.0</v>
      </c>
      <c r="C5006" s="7" t="s">
        <v>734</v>
      </c>
      <c r="D5006" s="7" t="s">
        <v>1706</v>
      </c>
      <c r="E5006" s="5" t="s">
        <v>3022</v>
      </c>
      <c r="F5006" s="5" t="s">
        <v>737</v>
      </c>
    </row>
    <row r="5007">
      <c r="A5007" s="7" t="s">
        <v>603</v>
      </c>
      <c r="B5007" s="8">
        <v>8.0</v>
      </c>
      <c r="C5007" s="7" t="s">
        <v>734</v>
      </c>
      <c r="D5007" s="7" t="s">
        <v>1706</v>
      </c>
      <c r="E5007" s="5" t="s">
        <v>3022</v>
      </c>
      <c r="F5007" s="5" t="s">
        <v>737</v>
      </c>
    </row>
    <row r="5008">
      <c r="A5008" s="5" t="s">
        <v>2929</v>
      </c>
      <c r="B5008" s="8">
        <v>8.0</v>
      </c>
      <c r="C5008" s="7" t="s">
        <v>734</v>
      </c>
      <c r="D5008" s="7" t="s">
        <v>1706</v>
      </c>
      <c r="E5008" s="5" t="s">
        <v>3022</v>
      </c>
      <c r="F5008" s="5" t="s">
        <v>737</v>
      </c>
    </row>
    <row r="5009">
      <c r="A5009" s="5" t="s">
        <v>2930</v>
      </c>
      <c r="B5009" s="8">
        <v>8.0</v>
      </c>
      <c r="C5009" s="7" t="s">
        <v>734</v>
      </c>
      <c r="D5009" s="7" t="s">
        <v>1706</v>
      </c>
      <c r="E5009" s="5" t="s">
        <v>3022</v>
      </c>
      <c r="F5009" s="5" t="s">
        <v>737</v>
      </c>
    </row>
    <row r="5010">
      <c r="A5010" s="7" t="s">
        <v>606</v>
      </c>
      <c r="B5010" s="8">
        <v>8.0</v>
      </c>
      <c r="C5010" s="7" t="s">
        <v>734</v>
      </c>
      <c r="D5010" s="7" t="s">
        <v>1706</v>
      </c>
      <c r="E5010" s="5" t="s">
        <v>3022</v>
      </c>
      <c r="F5010" s="5" t="s">
        <v>737</v>
      </c>
    </row>
    <row r="5011">
      <c r="A5011" s="5" t="s">
        <v>2602</v>
      </c>
      <c r="B5011" s="8">
        <v>8.0</v>
      </c>
      <c r="C5011" s="7" t="s">
        <v>734</v>
      </c>
      <c r="D5011" s="7" t="s">
        <v>1706</v>
      </c>
      <c r="E5011" s="5" t="s">
        <v>3022</v>
      </c>
      <c r="F5011" s="5" t="s">
        <v>737</v>
      </c>
    </row>
    <row r="5012">
      <c r="A5012" s="5" t="s">
        <v>2931</v>
      </c>
      <c r="B5012" s="8">
        <v>8.0</v>
      </c>
      <c r="C5012" s="7" t="s">
        <v>734</v>
      </c>
      <c r="D5012" s="7" t="s">
        <v>1706</v>
      </c>
      <c r="E5012" s="5" t="s">
        <v>3022</v>
      </c>
      <c r="F5012" s="5" t="s">
        <v>737</v>
      </c>
    </row>
    <row r="5013">
      <c r="A5013" s="5" t="s">
        <v>2932</v>
      </c>
      <c r="B5013" s="8">
        <v>8.0</v>
      </c>
      <c r="C5013" s="7" t="s">
        <v>734</v>
      </c>
      <c r="D5013" s="7" t="s">
        <v>1706</v>
      </c>
      <c r="E5013" s="5" t="s">
        <v>3022</v>
      </c>
      <c r="F5013" s="5" t="s">
        <v>737</v>
      </c>
    </row>
    <row r="5014">
      <c r="A5014" s="5" t="s">
        <v>2933</v>
      </c>
      <c r="B5014" s="8">
        <v>8.0</v>
      </c>
      <c r="C5014" s="7" t="s">
        <v>734</v>
      </c>
      <c r="D5014" s="7" t="s">
        <v>1706</v>
      </c>
      <c r="E5014" s="5" t="s">
        <v>3022</v>
      </c>
      <c r="F5014" s="5" t="s">
        <v>737</v>
      </c>
    </row>
    <row r="5015">
      <c r="A5015" s="5" t="s">
        <v>2606</v>
      </c>
      <c r="B5015" s="8">
        <v>8.0</v>
      </c>
      <c r="C5015" s="7" t="s">
        <v>734</v>
      </c>
      <c r="D5015" s="7" t="s">
        <v>1706</v>
      </c>
      <c r="E5015" s="5" t="s">
        <v>3022</v>
      </c>
      <c r="F5015" s="5" t="s">
        <v>737</v>
      </c>
    </row>
    <row r="5016">
      <c r="A5016" s="5" t="s">
        <v>2934</v>
      </c>
      <c r="B5016" s="8">
        <v>8.0</v>
      </c>
      <c r="C5016" s="7" t="s">
        <v>734</v>
      </c>
      <c r="D5016" s="7" t="s">
        <v>1706</v>
      </c>
      <c r="E5016" s="5" t="s">
        <v>3022</v>
      </c>
      <c r="F5016" s="5" t="s">
        <v>737</v>
      </c>
    </row>
    <row r="5017">
      <c r="A5017" s="5" t="s">
        <v>2607</v>
      </c>
      <c r="B5017" s="8">
        <v>8.0</v>
      </c>
      <c r="C5017" s="7" t="s">
        <v>734</v>
      </c>
      <c r="D5017" s="7" t="s">
        <v>1706</v>
      </c>
      <c r="E5017" s="5" t="s">
        <v>3022</v>
      </c>
      <c r="F5017" s="5" t="s">
        <v>737</v>
      </c>
    </row>
    <row r="5018">
      <c r="A5018" s="5" t="s">
        <v>2935</v>
      </c>
      <c r="B5018" s="8">
        <v>8.0</v>
      </c>
      <c r="C5018" s="7" t="s">
        <v>734</v>
      </c>
      <c r="D5018" s="7" t="s">
        <v>1706</v>
      </c>
      <c r="E5018" s="5" t="s">
        <v>3022</v>
      </c>
      <c r="F5018" s="5" t="s">
        <v>737</v>
      </c>
    </row>
    <row r="5019">
      <c r="A5019" s="5" t="s">
        <v>2936</v>
      </c>
      <c r="B5019" s="8">
        <v>8.0</v>
      </c>
      <c r="C5019" s="7" t="s">
        <v>734</v>
      </c>
      <c r="D5019" s="7" t="s">
        <v>1706</v>
      </c>
      <c r="E5019" s="5" t="s">
        <v>3022</v>
      </c>
      <c r="F5019" s="5" t="s">
        <v>737</v>
      </c>
    </row>
    <row r="5020">
      <c r="A5020" s="5" t="s">
        <v>2608</v>
      </c>
      <c r="B5020" s="8">
        <v>8.0</v>
      </c>
      <c r="C5020" s="7" t="s">
        <v>734</v>
      </c>
      <c r="D5020" s="7" t="s">
        <v>1706</v>
      </c>
      <c r="E5020" s="5" t="s">
        <v>3022</v>
      </c>
      <c r="F5020" s="5" t="s">
        <v>737</v>
      </c>
    </row>
    <row r="5021">
      <c r="A5021" s="5" t="s">
        <v>2609</v>
      </c>
      <c r="B5021" s="8">
        <v>8.0</v>
      </c>
      <c r="C5021" s="7" t="s">
        <v>734</v>
      </c>
      <c r="D5021" s="7" t="s">
        <v>1706</v>
      </c>
      <c r="E5021" s="5" t="s">
        <v>3022</v>
      </c>
      <c r="F5021" s="5" t="s">
        <v>737</v>
      </c>
    </row>
    <row r="5022">
      <c r="A5022" s="5" t="s">
        <v>2924</v>
      </c>
      <c r="B5022" s="8">
        <v>8.0</v>
      </c>
      <c r="C5022" s="7" t="s">
        <v>741</v>
      </c>
      <c r="D5022" s="7" t="s">
        <v>1708</v>
      </c>
      <c r="E5022" s="7" t="s">
        <v>743</v>
      </c>
      <c r="F5022" s="7" t="s">
        <v>1709</v>
      </c>
    </row>
    <row r="5023">
      <c r="A5023" s="5" t="s">
        <v>2925</v>
      </c>
      <c r="B5023" s="8">
        <v>8.0</v>
      </c>
      <c r="C5023" s="7" t="s">
        <v>741</v>
      </c>
      <c r="D5023" s="7" t="s">
        <v>1708</v>
      </c>
      <c r="E5023" s="7" t="s">
        <v>743</v>
      </c>
      <c r="F5023" s="7" t="s">
        <v>1709</v>
      </c>
    </row>
    <row r="5024">
      <c r="A5024" s="5" t="s">
        <v>3086</v>
      </c>
      <c r="B5024" s="8">
        <v>8.0</v>
      </c>
      <c r="C5024" s="7" t="s">
        <v>741</v>
      </c>
      <c r="D5024" s="7" t="s">
        <v>1708</v>
      </c>
      <c r="E5024" s="7" t="s">
        <v>743</v>
      </c>
      <c r="F5024" s="5" t="s">
        <v>3650</v>
      </c>
    </row>
    <row r="5025">
      <c r="A5025" s="5" t="s">
        <v>3087</v>
      </c>
      <c r="B5025" s="8">
        <v>8.0</v>
      </c>
      <c r="C5025" s="7" t="s">
        <v>741</v>
      </c>
      <c r="D5025" s="7" t="s">
        <v>1708</v>
      </c>
      <c r="E5025" s="7" t="s">
        <v>743</v>
      </c>
      <c r="F5025" s="7" t="s">
        <v>1709</v>
      </c>
    </row>
    <row r="5026">
      <c r="A5026" s="5" t="s">
        <v>2926</v>
      </c>
      <c r="B5026" s="8">
        <v>8.0</v>
      </c>
      <c r="C5026" s="7" t="s">
        <v>741</v>
      </c>
      <c r="D5026" s="7" t="s">
        <v>1708</v>
      </c>
      <c r="E5026" s="7" t="s">
        <v>743</v>
      </c>
      <c r="F5026" s="7" t="s">
        <v>1709</v>
      </c>
    </row>
    <row r="5027">
      <c r="A5027" s="5" t="s">
        <v>3388</v>
      </c>
      <c r="B5027" s="8">
        <v>8.0</v>
      </c>
      <c r="C5027" s="7" t="s">
        <v>741</v>
      </c>
      <c r="D5027" s="7" t="s">
        <v>1708</v>
      </c>
      <c r="E5027" s="7" t="s">
        <v>743</v>
      </c>
      <c r="F5027" s="7" t="s">
        <v>1709</v>
      </c>
    </row>
    <row r="5028">
      <c r="A5028" s="5" t="s">
        <v>2927</v>
      </c>
      <c r="B5028" s="8">
        <v>8.0</v>
      </c>
      <c r="C5028" s="7" t="s">
        <v>741</v>
      </c>
      <c r="D5028" s="7" t="s">
        <v>1708</v>
      </c>
      <c r="E5028" s="7" t="s">
        <v>743</v>
      </c>
      <c r="F5028" s="7" t="s">
        <v>1709</v>
      </c>
    </row>
    <row r="5029">
      <c r="A5029" s="5" t="s">
        <v>2928</v>
      </c>
      <c r="B5029" s="8">
        <v>8.0</v>
      </c>
      <c r="C5029" s="7" t="s">
        <v>741</v>
      </c>
      <c r="D5029" s="7" t="s">
        <v>1708</v>
      </c>
      <c r="E5029" s="7" t="s">
        <v>743</v>
      </c>
      <c r="F5029" s="7" t="s">
        <v>1709</v>
      </c>
    </row>
    <row r="5030">
      <c r="A5030" s="7" t="s">
        <v>603</v>
      </c>
      <c r="B5030" s="8">
        <v>8.0</v>
      </c>
      <c r="C5030" s="7" t="s">
        <v>741</v>
      </c>
      <c r="D5030" s="7" t="s">
        <v>1708</v>
      </c>
      <c r="E5030" s="7" t="s">
        <v>743</v>
      </c>
      <c r="F5030" s="7" t="s">
        <v>1709</v>
      </c>
    </row>
    <row r="5031">
      <c r="A5031" s="5" t="s">
        <v>2929</v>
      </c>
      <c r="B5031" s="8">
        <v>8.0</v>
      </c>
      <c r="C5031" s="7" t="s">
        <v>741</v>
      </c>
      <c r="D5031" s="7" t="s">
        <v>1708</v>
      </c>
      <c r="E5031" s="7" t="s">
        <v>743</v>
      </c>
      <c r="F5031" s="7" t="s">
        <v>1709</v>
      </c>
    </row>
    <row r="5032">
      <c r="A5032" s="5" t="s">
        <v>2930</v>
      </c>
      <c r="B5032" s="8">
        <v>8.0</v>
      </c>
      <c r="C5032" s="7" t="s">
        <v>741</v>
      </c>
      <c r="D5032" s="7" t="s">
        <v>1708</v>
      </c>
      <c r="E5032" s="7" t="s">
        <v>743</v>
      </c>
      <c r="F5032" s="7" t="s">
        <v>1709</v>
      </c>
    </row>
    <row r="5033">
      <c r="A5033" s="7" t="s">
        <v>606</v>
      </c>
      <c r="B5033" s="8">
        <v>8.0</v>
      </c>
      <c r="C5033" s="7" t="s">
        <v>741</v>
      </c>
      <c r="D5033" s="7" t="s">
        <v>1708</v>
      </c>
      <c r="E5033" s="7" t="s">
        <v>743</v>
      </c>
      <c r="F5033" s="7" t="s">
        <v>1709</v>
      </c>
    </row>
    <row r="5034">
      <c r="A5034" s="5" t="s">
        <v>2602</v>
      </c>
      <c r="B5034" s="8">
        <v>8.0</v>
      </c>
      <c r="C5034" s="7" t="s">
        <v>741</v>
      </c>
      <c r="D5034" s="7" t="s">
        <v>1708</v>
      </c>
      <c r="E5034" s="7" t="s">
        <v>743</v>
      </c>
      <c r="F5034" s="7" t="s">
        <v>1709</v>
      </c>
    </row>
    <row r="5035">
      <c r="A5035" s="5" t="s">
        <v>2931</v>
      </c>
      <c r="B5035" s="8">
        <v>8.0</v>
      </c>
      <c r="C5035" s="7" t="s">
        <v>741</v>
      </c>
      <c r="D5035" s="7" t="s">
        <v>1708</v>
      </c>
      <c r="E5035" s="7" t="s">
        <v>743</v>
      </c>
      <c r="F5035" s="7" t="s">
        <v>1709</v>
      </c>
    </row>
    <row r="5036">
      <c r="A5036" s="5" t="s">
        <v>2932</v>
      </c>
      <c r="B5036" s="8">
        <v>8.0</v>
      </c>
      <c r="C5036" s="7" t="s">
        <v>741</v>
      </c>
      <c r="D5036" s="7" t="s">
        <v>1708</v>
      </c>
      <c r="E5036" s="7" t="s">
        <v>743</v>
      </c>
      <c r="F5036" s="7" t="s">
        <v>744</v>
      </c>
    </row>
    <row r="5037">
      <c r="A5037" s="5" t="s">
        <v>2933</v>
      </c>
      <c r="B5037" s="8">
        <v>8.0</v>
      </c>
      <c r="C5037" s="7" t="s">
        <v>741</v>
      </c>
      <c r="D5037" s="7" t="s">
        <v>1708</v>
      </c>
      <c r="E5037" s="7" t="s">
        <v>743</v>
      </c>
      <c r="F5037" s="7" t="s">
        <v>1709</v>
      </c>
    </row>
    <row r="5038">
      <c r="A5038" s="5" t="s">
        <v>2606</v>
      </c>
      <c r="B5038" s="8">
        <v>8.0</v>
      </c>
      <c r="C5038" s="7" t="s">
        <v>741</v>
      </c>
      <c r="D5038" s="7" t="s">
        <v>1708</v>
      </c>
      <c r="E5038" s="7" t="s">
        <v>743</v>
      </c>
      <c r="F5038" s="7" t="s">
        <v>1709</v>
      </c>
    </row>
    <row r="5039">
      <c r="A5039" s="5" t="s">
        <v>2934</v>
      </c>
      <c r="B5039" s="8">
        <v>8.0</v>
      </c>
      <c r="C5039" s="7" t="s">
        <v>741</v>
      </c>
      <c r="D5039" s="7" t="s">
        <v>1708</v>
      </c>
      <c r="E5039" s="7" t="s">
        <v>743</v>
      </c>
      <c r="F5039" s="7" t="s">
        <v>744</v>
      </c>
    </row>
    <row r="5040">
      <c r="A5040" s="5" t="s">
        <v>2607</v>
      </c>
      <c r="B5040" s="8">
        <v>8.0</v>
      </c>
      <c r="C5040" s="7" t="s">
        <v>741</v>
      </c>
      <c r="D5040" s="7" t="s">
        <v>1708</v>
      </c>
      <c r="E5040" s="7" t="s">
        <v>743</v>
      </c>
      <c r="F5040" s="7" t="s">
        <v>744</v>
      </c>
    </row>
    <row r="5041">
      <c r="A5041" s="5" t="s">
        <v>2935</v>
      </c>
      <c r="B5041" s="8">
        <v>8.0</v>
      </c>
      <c r="C5041" s="7" t="s">
        <v>741</v>
      </c>
      <c r="D5041" s="7" t="s">
        <v>1708</v>
      </c>
      <c r="E5041" s="7" t="s">
        <v>743</v>
      </c>
      <c r="F5041" s="7" t="s">
        <v>1709</v>
      </c>
    </row>
    <row r="5042">
      <c r="A5042" s="5" t="s">
        <v>2936</v>
      </c>
      <c r="B5042" s="8">
        <v>8.0</v>
      </c>
      <c r="C5042" s="7" t="s">
        <v>741</v>
      </c>
      <c r="D5042" s="7" t="s">
        <v>1708</v>
      </c>
      <c r="E5042" s="7" t="s">
        <v>743</v>
      </c>
      <c r="F5042" s="7" t="s">
        <v>1709</v>
      </c>
    </row>
    <row r="5043">
      <c r="A5043" s="5" t="s">
        <v>2608</v>
      </c>
      <c r="B5043" s="8">
        <v>8.0</v>
      </c>
      <c r="C5043" s="7" t="s">
        <v>741</v>
      </c>
      <c r="D5043" s="7" t="s">
        <v>1708</v>
      </c>
      <c r="E5043" s="7" t="s">
        <v>743</v>
      </c>
      <c r="F5043" s="7" t="s">
        <v>744</v>
      </c>
    </row>
    <row r="5044">
      <c r="A5044" s="5" t="s">
        <v>2609</v>
      </c>
      <c r="B5044" s="8">
        <v>8.0</v>
      </c>
      <c r="C5044" s="7" t="s">
        <v>741</v>
      </c>
      <c r="D5044" s="7" t="s">
        <v>1708</v>
      </c>
      <c r="E5044" s="7" t="s">
        <v>743</v>
      </c>
      <c r="F5044" s="7" t="s">
        <v>1709</v>
      </c>
    </row>
    <row r="5045">
      <c r="A5045" s="5" t="s">
        <v>2924</v>
      </c>
      <c r="B5045" s="8">
        <v>8.0</v>
      </c>
      <c r="C5045" s="7" t="s">
        <v>746</v>
      </c>
      <c r="D5045" s="7" t="s">
        <v>1711</v>
      </c>
      <c r="E5045" s="5" t="s">
        <v>3025</v>
      </c>
      <c r="F5045" s="5" t="s">
        <v>3651</v>
      </c>
    </row>
    <row r="5046">
      <c r="A5046" s="5" t="s">
        <v>2925</v>
      </c>
      <c r="B5046" s="8">
        <v>8.0</v>
      </c>
      <c r="C5046" s="7" t="s">
        <v>746</v>
      </c>
      <c r="D5046" s="7" t="s">
        <v>1711</v>
      </c>
      <c r="E5046" s="5" t="s">
        <v>3025</v>
      </c>
      <c r="F5046" s="5" t="s">
        <v>3652</v>
      </c>
    </row>
    <row r="5047">
      <c r="A5047" s="5" t="s">
        <v>3086</v>
      </c>
      <c r="B5047" s="8">
        <v>8.0</v>
      </c>
      <c r="C5047" s="7" t="s">
        <v>746</v>
      </c>
      <c r="D5047" s="7" t="s">
        <v>1711</v>
      </c>
      <c r="E5047" s="5" t="s">
        <v>3025</v>
      </c>
      <c r="F5047" s="5" t="s">
        <v>3653</v>
      </c>
    </row>
    <row r="5048">
      <c r="A5048" s="5" t="s">
        <v>3087</v>
      </c>
      <c r="B5048" s="8">
        <v>8.0</v>
      </c>
      <c r="C5048" s="7" t="s">
        <v>746</v>
      </c>
      <c r="D5048" s="7" t="s">
        <v>1711</v>
      </c>
      <c r="E5048" s="5" t="s">
        <v>3025</v>
      </c>
      <c r="F5048" s="5" t="s">
        <v>3654</v>
      </c>
    </row>
    <row r="5049">
      <c r="A5049" s="5" t="s">
        <v>2926</v>
      </c>
      <c r="B5049" s="8">
        <v>8.0</v>
      </c>
      <c r="C5049" s="7" t="s">
        <v>746</v>
      </c>
      <c r="D5049" s="7" t="s">
        <v>1711</v>
      </c>
      <c r="E5049" s="5" t="s">
        <v>3025</v>
      </c>
      <c r="F5049" s="5" t="s">
        <v>3655</v>
      </c>
    </row>
    <row r="5050">
      <c r="A5050" s="5" t="s">
        <v>3388</v>
      </c>
      <c r="B5050" s="8">
        <v>8.0</v>
      </c>
      <c r="C5050" s="7" t="s">
        <v>746</v>
      </c>
      <c r="D5050" s="7" t="s">
        <v>1711</v>
      </c>
      <c r="E5050" s="5" t="s">
        <v>3025</v>
      </c>
      <c r="F5050" s="5" t="s">
        <v>3656</v>
      </c>
    </row>
    <row r="5051">
      <c r="A5051" s="5" t="s">
        <v>2927</v>
      </c>
      <c r="B5051" s="8">
        <v>8.0</v>
      </c>
      <c r="C5051" s="7" t="s">
        <v>746</v>
      </c>
      <c r="D5051" s="7" t="s">
        <v>1711</v>
      </c>
      <c r="E5051" s="5" t="s">
        <v>3025</v>
      </c>
      <c r="F5051" s="5" t="s">
        <v>3657</v>
      </c>
    </row>
    <row r="5052">
      <c r="A5052" s="5" t="s">
        <v>2928</v>
      </c>
      <c r="B5052" s="8">
        <v>8.0</v>
      </c>
      <c r="C5052" s="7" t="s">
        <v>746</v>
      </c>
      <c r="D5052" s="7" t="s">
        <v>1711</v>
      </c>
      <c r="E5052" s="5" t="s">
        <v>3025</v>
      </c>
      <c r="F5052" s="5" t="s">
        <v>3658</v>
      </c>
    </row>
    <row r="5053">
      <c r="A5053" s="7" t="s">
        <v>603</v>
      </c>
      <c r="B5053" s="8">
        <v>8.0</v>
      </c>
      <c r="C5053" s="7" t="s">
        <v>746</v>
      </c>
      <c r="D5053" s="7" t="s">
        <v>1711</v>
      </c>
      <c r="E5053" s="5" t="s">
        <v>3025</v>
      </c>
      <c r="F5053" s="7" t="s">
        <v>1720</v>
      </c>
    </row>
    <row r="5054">
      <c r="A5054" s="5" t="s">
        <v>2929</v>
      </c>
      <c r="B5054" s="8">
        <v>8.0</v>
      </c>
      <c r="C5054" s="7" t="s">
        <v>746</v>
      </c>
      <c r="D5054" s="7" t="s">
        <v>1711</v>
      </c>
      <c r="E5054" s="5" t="s">
        <v>3025</v>
      </c>
      <c r="F5054" s="5" t="s">
        <v>3659</v>
      </c>
    </row>
    <row r="5055">
      <c r="A5055" s="5" t="s">
        <v>2930</v>
      </c>
      <c r="B5055" s="8">
        <v>8.0</v>
      </c>
      <c r="C5055" s="7" t="s">
        <v>746</v>
      </c>
      <c r="D5055" s="7" t="s">
        <v>1711</v>
      </c>
      <c r="E5055" s="5" t="s">
        <v>3025</v>
      </c>
      <c r="F5055" s="5" t="s">
        <v>3660</v>
      </c>
    </row>
    <row r="5056">
      <c r="A5056" s="7" t="s">
        <v>606</v>
      </c>
      <c r="B5056" s="8">
        <v>8.0</v>
      </c>
      <c r="C5056" s="7" t="s">
        <v>746</v>
      </c>
      <c r="D5056" s="7" t="s">
        <v>1711</v>
      </c>
      <c r="E5056" s="5" t="s">
        <v>3025</v>
      </c>
      <c r="F5056" s="5" t="s">
        <v>3452</v>
      </c>
    </row>
    <row r="5057">
      <c r="A5057" s="5" t="s">
        <v>2602</v>
      </c>
      <c r="B5057" s="8">
        <v>8.0</v>
      </c>
      <c r="C5057" s="7" t="s">
        <v>746</v>
      </c>
      <c r="D5057" s="7" t="s">
        <v>1711</v>
      </c>
      <c r="E5057" s="5" t="s">
        <v>3025</v>
      </c>
      <c r="F5057" s="5" t="s">
        <v>3661</v>
      </c>
    </row>
    <row r="5058">
      <c r="A5058" s="5" t="s">
        <v>2931</v>
      </c>
      <c r="B5058" s="8">
        <v>8.0</v>
      </c>
      <c r="C5058" s="7" t="s">
        <v>746</v>
      </c>
      <c r="D5058" s="7" t="s">
        <v>1711</v>
      </c>
      <c r="E5058" s="5" t="s">
        <v>3025</v>
      </c>
      <c r="F5058" s="5" t="s">
        <v>3662</v>
      </c>
    </row>
    <row r="5059">
      <c r="A5059" s="5" t="s">
        <v>2932</v>
      </c>
      <c r="B5059" s="8">
        <v>8.0</v>
      </c>
      <c r="C5059" s="7" t="s">
        <v>746</v>
      </c>
      <c r="D5059" s="7" t="s">
        <v>1711</v>
      </c>
      <c r="E5059" s="5" t="s">
        <v>3025</v>
      </c>
      <c r="F5059" s="5" t="s">
        <v>3453</v>
      </c>
    </row>
    <row r="5060">
      <c r="A5060" s="5" t="s">
        <v>2933</v>
      </c>
      <c r="B5060" s="8">
        <v>8.0</v>
      </c>
      <c r="C5060" s="7" t="s">
        <v>746</v>
      </c>
      <c r="D5060" s="7" t="s">
        <v>1711</v>
      </c>
      <c r="E5060" s="5" t="s">
        <v>3025</v>
      </c>
      <c r="F5060" s="5" t="s">
        <v>3663</v>
      </c>
    </row>
    <row r="5061">
      <c r="A5061" s="5" t="s">
        <v>2606</v>
      </c>
      <c r="B5061" s="8">
        <v>8.0</v>
      </c>
      <c r="C5061" s="7" t="s">
        <v>746</v>
      </c>
      <c r="D5061" s="7" t="s">
        <v>1711</v>
      </c>
      <c r="E5061" s="5" t="s">
        <v>3025</v>
      </c>
      <c r="F5061" s="5" t="s">
        <v>3664</v>
      </c>
    </row>
    <row r="5062">
      <c r="A5062" s="5" t="s">
        <v>2934</v>
      </c>
      <c r="B5062" s="8">
        <v>8.0</v>
      </c>
      <c r="C5062" s="7" t="s">
        <v>746</v>
      </c>
      <c r="D5062" s="7" t="s">
        <v>1711</v>
      </c>
      <c r="E5062" s="5" t="s">
        <v>3025</v>
      </c>
      <c r="F5062" s="5" t="s">
        <v>3665</v>
      </c>
    </row>
    <row r="5063">
      <c r="A5063" s="5" t="s">
        <v>2607</v>
      </c>
      <c r="B5063" s="8">
        <v>8.0</v>
      </c>
      <c r="C5063" s="7" t="s">
        <v>746</v>
      </c>
      <c r="D5063" s="7" t="s">
        <v>1711</v>
      </c>
      <c r="E5063" s="5" t="s">
        <v>3025</v>
      </c>
      <c r="F5063" s="5" t="s">
        <v>3666</v>
      </c>
    </row>
    <row r="5064">
      <c r="A5064" s="5" t="s">
        <v>2935</v>
      </c>
      <c r="B5064" s="8">
        <v>8.0</v>
      </c>
      <c r="C5064" s="7" t="s">
        <v>746</v>
      </c>
      <c r="D5064" s="7" t="s">
        <v>1711</v>
      </c>
      <c r="E5064" s="5" t="s">
        <v>3025</v>
      </c>
      <c r="F5064" s="5" t="s">
        <v>3026</v>
      </c>
    </row>
    <row r="5065">
      <c r="A5065" s="5" t="s">
        <v>2936</v>
      </c>
      <c r="B5065" s="8">
        <v>8.0</v>
      </c>
      <c r="C5065" s="7" t="s">
        <v>746</v>
      </c>
      <c r="D5065" s="7" t="s">
        <v>1711</v>
      </c>
      <c r="E5065" s="5" t="s">
        <v>3025</v>
      </c>
      <c r="F5065" s="5" t="s">
        <v>3667</v>
      </c>
    </row>
    <row r="5066">
      <c r="A5066" s="5" t="s">
        <v>2608</v>
      </c>
      <c r="B5066" s="8">
        <v>8.0</v>
      </c>
      <c r="C5066" s="7" t="s">
        <v>746</v>
      </c>
      <c r="D5066" s="7" t="s">
        <v>1711</v>
      </c>
      <c r="E5066" s="5" t="s">
        <v>3025</v>
      </c>
      <c r="F5066" s="5" t="s">
        <v>3668</v>
      </c>
    </row>
    <row r="5067">
      <c r="A5067" s="5" t="s">
        <v>2609</v>
      </c>
      <c r="B5067" s="8">
        <v>8.0</v>
      </c>
      <c r="C5067" s="7" t="s">
        <v>746</v>
      </c>
      <c r="D5067" s="7" t="s">
        <v>1711</v>
      </c>
      <c r="E5067" s="5" t="s">
        <v>3025</v>
      </c>
      <c r="F5067" s="5" t="s">
        <v>3026</v>
      </c>
    </row>
    <row r="5068">
      <c r="A5068" s="5" t="s">
        <v>2924</v>
      </c>
      <c r="B5068" s="8">
        <v>8.0</v>
      </c>
      <c r="C5068" s="7" t="s">
        <v>752</v>
      </c>
      <c r="D5068" s="7" t="s">
        <v>1731</v>
      </c>
      <c r="E5068" s="5" t="s">
        <v>1732</v>
      </c>
      <c r="F5068" s="4" t="s">
        <v>755</v>
      </c>
    </row>
    <row r="5069">
      <c r="A5069" s="5" t="s">
        <v>2925</v>
      </c>
      <c r="B5069" s="8">
        <v>8.0</v>
      </c>
      <c r="C5069" s="7" t="s">
        <v>752</v>
      </c>
      <c r="D5069" s="7" t="s">
        <v>1731</v>
      </c>
      <c r="E5069" s="5" t="s">
        <v>1732</v>
      </c>
      <c r="F5069" s="5" t="s">
        <v>755</v>
      </c>
    </row>
    <row r="5070">
      <c r="A5070" s="5" t="s">
        <v>3086</v>
      </c>
      <c r="B5070" s="8">
        <v>8.0</v>
      </c>
      <c r="C5070" s="7" t="s">
        <v>752</v>
      </c>
      <c r="D5070" s="7" t="s">
        <v>1731</v>
      </c>
      <c r="E5070" s="5" t="s">
        <v>1732</v>
      </c>
      <c r="F5070" s="5" t="s">
        <v>755</v>
      </c>
    </row>
    <row r="5071">
      <c r="A5071" s="5" t="s">
        <v>3087</v>
      </c>
      <c r="B5071" s="8">
        <v>8.0</v>
      </c>
      <c r="C5071" s="7" t="s">
        <v>752</v>
      </c>
      <c r="D5071" s="7" t="s">
        <v>1731</v>
      </c>
      <c r="E5071" s="5" t="s">
        <v>1732</v>
      </c>
      <c r="F5071" s="5" t="s">
        <v>755</v>
      </c>
    </row>
    <row r="5072">
      <c r="A5072" s="5" t="s">
        <v>2926</v>
      </c>
      <c r="B5072" s="8">
        <v>8.0</v>
      </c>
      <c r="C5072" s="7" t="s">
        <v>752</v>
      </c>
      <c r="D5072" s="7" t="s">
        <v>1731</v>
      </c>
      <c r="E5072" s="5" t="s">
        <v>1732</v>
      </c>
      <c r="F5072" s="5" t="s">
        <v>755</v>
      </c>
    </row>
    <row r="5073">
      <c r="A5073" s="5" t="s">
        <v>3388</v>
      </c>
      <c r="B5073" s="8">
        <v>8.0</v>
      </c>
      <c r="C5073" s="7" t="s">
        <v>752</v>
      </c>
      <c r="D5073" s="7" t="s">
        <v>1731</v>
      </c>
      <c r="E5073" s="5" t="s">
        <v>1732</v>
      </c>
      <c r="F5073" s="5" t="s">
        <v>755</v>
      </c>
    </row>
    <row r="5074">
      <c r="A5074" s="5" t="s">
        <v>2927</v>
      </c>
      <c r="B5074" s="8">
        <v>8.0</v>
      </c>
      <c r="C5074" s="7" t="s">
        <v>752</v>
      </c>
      <c r="D5074" s="7" t="s">
        <v>1731</v>
      </c>
      <c r="E5074" s="5" t="s">
        <v>1732</v>
      </c>
      <c r="F5074" s="5" t="s">
        <v>755</v>
      </c>
    </row>
    <row r="5075">
      <c r="A5075" s="5" t="s">
        <v>2928</v>
      </c>
      <c r="B5075" s="8">
        <v>8.0</v>
      </c>
      <c r="C5075" s="7" t="s">
        <v>752</v>
      </c>
      <c r="D5075" s="7" t="s">
        <v>1731</v>
      </c>
      <c r="E5075" s="5" t="s">
        <v>1732</v>
      </c>
      <c r="F5075" s="5" t="s">
        <v>755</v>
      </c>
    </row>
    <row r="5076">
      <c r="A5076" s="7" t="s">
        <v>603</v>
      </c>
      <c r="B5076" s="8">
        <v>8.0</v>
      </c>
      <c r="C5076" s="7" t="s">
        <v>752</v>
      </c>
      <c r="D5076" s="7" t="s">
        <v>1731</v>
      </c>
      <c r="E5076" s="5" t="s">
        <v>1732</v>
      </c>
      <c r="F5076" s="5" t="s">
        <v>755</v>
      </c>
    </row>
    <row r="5077">
      <c r="A5077" s="5" t="s">
        <v>2929</v>
      </c>
      <c r="B5077" s="8">
        <v>8.0</v>
      </c>
      <c r="C5077" s="7" t="s">
        <v>752</v>
      </c>
      <c r="D5077" s="7" t="s">
        <v>1731</v>
      </c>
      <c r="E5077" s="5" t="s">
        <v>1732</v>
      </c>
      <c r="F5077" s="5" t="s">
        <v>755</v>
      </c>
    </row>
    <row r="5078">
      <c r="A5078" s="5" t="s">
        <v>2930</v>
      </c>
      <c r="B5078" s="8">
        <v>8.0</v>
      </c>
      <c r="C5078" s="7" t="s">
        <v>752</v>
      </c>
      <c r="D5078" s="7" t="s">
        <v>1731</v>
      </c>
      <c r="E5078" s="5" t="s">
        <v>1732</v>
      </c>
      <c r="F5078" s="5" t="s">
        <v>755</v>
      </c>
    </row>
    <row r="5079">
      <c r="A5079" s="7" t="s">
        <v>606</v>
      </c>
      <c r="B5079" s="8">
        <v>8.0</v>
      </c>
      <c r="C5079" s="7" t="s">
        <v>752</v>
      </c>
      <c r="D5079" s="7" t="s">
        <v>1731</v>
      </c>
      <c r="E5079" s="5" t="s">
        <v>1732</v>
      </c>
      <c r="F5079" s="5" t="s">
        <v>755</v>
      </c>
    </row>
    <row r="5080">
      <c r="A5080" s="5" t="s">
        <v>2602</v>
      </c>
      <c r="B5080" s="8">
        <v>8.0</v>
      </c>
      <c r="C5080" s="7" t="s">
        <v>752</v>
      </c>
      <c r="D5080" s="7" t="s">
        <v>1731</v>
      </c>
      <c r="E5080" s="5" t="s">
        <v>1732</v>
      </c>
      <c r="F5080" s="5" t="s">
        <v>755</v>
      </c>
    </row>
    <row r="5081">
      <c r="A5081" s="5" t="s">
        <v>2931</v>
      </c>
      <c r="B5081" s="8">
        <v>8.0</v>
      </c>
      <c r="C5081" s="7" t="s">
        <v>752</v>
      </c>
      <c r="D5081" s="7" t="s">
        <v>1731</v>
      </c>
      <c r="E5081" s="5" t="s">
        <v>1732</v>
      </c>
      <c r="F5081" s="5" t="s">
        <v>755</v>
      </c>
    </row>
    <row r="5082">
      <c r="A5082" s="5" t="s">
        <v>2932</v>
      </c>
      <c r="B5082" s="8">
        <v>8.0</v>
      </c>
      <c r="C5082" s="7" t="s">
        <v>752</v>
      </c>
      <c r="D5082" s="7" t="s">
        <v>1731</v>
      </c>
      <c r="E5082" s="5" t="s">
        <v>1732</v>
      </c>
      <c r="F5082" s="5" t="s">
        <v>755</v>
      </c>
    </row>
    <row r="5083">
      <c r="A5083" s="5" t="s">
        <v>2933</v>
      </c>
      <c r="B5083" s="8">
        <v>8.0</v>
      </c>
      <c r="C5083" s="7" t="s">
        <v>752</v>
      </c>
      <c r="D5083" s="7" t="s">
        <v>1731</v>
      </c>
      <c r="E5083" s="5" t="s">
        <v>1732</v>
      </c>
      <c r="F5083" s="5" t="s">
        <v>755</v>
      </c>
    </row>
    <row r="5084">
      <c r="A5084" s="5" t="s">
        <v>2606</v>
      </c>
      <c r="B5084" s="8">
        <v>8.0</v>
      </c>
      <c r="C5084" s="7" t="s">
        <v>752</v>
      </c>
      <c r="D5084" s="7" t="s">
        <v>1731</v>
      </c>
      <c r="E5084" s="5" t="s">
        <v>1732</v>
      </c>
      <c r="F5084" s="5" t="s">
        <v>755</v>
      </c>
    </row>
    <row r="5085">
      <c r="A5085" s="5" t="s">
        <v>2934</v>
      </c>
      <c r="B5085" s="8">
        <v>8.0</v>
      </c>
      <c r="C5085" s="7" t="s">
        <v>752</v>
      </c>
      <c r="D5085" s="7" t="s">
        <v>1731</v>
      </c>
      <c r="E5085" s="5" t="s">
        <v>1732</v>
      </c>
      <c r="F5085" s="5" t="s">
        <v>755</v>
      </c>
    </row>
    <row r="5086">
      <c r="A5086" s="5" t="s">
        <v>2607</v>
      </c>
      <c r="B5086" s="8">
        <v>8.0</v>
      </c>
      <c r="C5086" s="7" t="s">
        <v>752</v>
      </c>
      <c r="D5086" s="7" t="s">
        <v>1731</v>
      </c>
      <c r="E5086" s="5" t="s">
        <v>1732</v>
      </c>
      <c r="F5086" s="5" t="s">
        <v>755</v>
      </c>
    </row>
    <row r="5087">
      <c r="A5087" s="5" t="s">
        <v>2935</v>
      </c>
      <c r="B5087" s="8">
        <v>8.0</v>
      </c>
      <c r="C5087" s="7" t="s">
        <v>752</v>
      </c>
      <c r="D5087" s="7" t="s">
        <v>1731</v>
      </c>
      <c r="E5087" s="5" t="s">
        <v>1732</v>
      </c>
      <c r="F5087" s="5" t="s">
        <v>755</v>
      </c>
    </row>
    <row r="5088">
      <c r="A5088" s="5" t="s">
        <v>2936</v>
      </c>
      <c r="B5088" s="8">
        <v>8.0</v>
      </c>
      <c r="C5088" s="7" t="s">
        <v>752</v>
      </c>
      <c r="D5088" s="7" t="s">
        <v>1731</v>
      </c>
      <c r="E5088" s="5" t="s">
        <v>1732</v>
      </c>
      <c r="F5088" s="5" t="s">
        <v>755</v>
      </c>
    </row>
    <row r="5089">
      <c r="A5089" s="5" t="s">
        <v>2608</v>
      </c>
      <c r="B5089" s="8">
        <v>8.0</v>
      </c>
      <c r="C5089" s="7" t="s">
        <v>752</v>
      </c>
      <c r="D5089" s="7" t="s">
        <v>1731</v>
      </c>
      <c r="E5089" s="5" t="s">
        <v>1732</v>
      </c>
      <c r="F5089" s="5" t="s">
        <v>755</v>
      </c>
    </row>
    <row r="5090">
      <c r="A5090" s="5" t="s">
        <v>2609</v>
      </c>
      <c r="B5090" s="8">
        <v>8.0</v>
      </c>
      <c r="C5090" s="7" t="s">
        <v>752</v>
      </c>
      <c r="D5090" s="7" t="s">
        <v>1731</v>
      </c>
      <c r="E5090" s="5" t="s">
        <v>1732</v>
      </c>
      <c r="F5090" s="5" t="s">
        <v>755</v>
      </c>
    </row>
    <row r="5091">
      <c r="A5091" s="5" t="s">
        <v>2924</v>
      </c>
      <c r="B5091" s="8">
        <v>8.0</v>
      </c>
      <c r="C5091" s="7" t="s">
        <v>1058</v>
      </c>
      <c r="D5091" s="7" t="s">
        <v>1753</v>
      </c>
      <c r="E5091" s="5" t="s">
        <v>3669</v>
      </c>
      <c r="F5091" s="5" t="s">
        <v>933</v>
      </c>
    </row>
    <row r="5092">
      <c r="A5092" s="5" t="s">
        <v>3086</v>
      </c>
      <c r="B5092" s="8">
        <v>8.0</v>
      </c>
      <c r="C5092" s="7" t="s">
        <v>1058</v>
      </c>
      <c r="D5092" s="7" t="s">
        <v>1753</v>
      </c>
      <c r="E5092" s="5" t="s">
        <v>3669</v>
      </c>
      <c r="F5092" s="5" t="s">
        <v>933</v>
      </c>
    </row>
    <row r="5093">
      <c r="A5093" s="5" t="s">
        <v>3087</v>
      </c>
      <c r="B5093" s="8">
        <v>8.0</v>
      </c>
      <c r="C5093" s="7" t="s">
        <v>1058</v>
      </c>
      <c r="D5093" s="7" t="s">
        <v>1753</v>
      </c>
      <c r="E5093" s="5" t="s">
        <v>3669</v>
      </c>
      <c r="F5093" s="5" t="s">
        <v>3670</v>
      </c>
    </row>
    <row r="5094">
      <c r="A5094" s="5" t="s">
        <v>2926</v>
      </c>
      <c r="B5094" s="8">
        <v>8.0</v>
      </c>
      <c r="C5094" s="7" t="s">
        <v>1058</v>
      </c>
      <c r="D5094" s="7" t="s">
        <v>1753</v>
      </c>
      <c r="E5094" s="5" t="s">
        <v>3669</v>
      </c>
      <c r="F5094" s="5" t="s">
        <v>933</v>
      </c>
    </row>
    <row r="5095">
      <c r="A5095" s="5" t="s">
        <v>3388</v>
      </c>
      <c r="B5095" s="8">
        <v>8.0</v>
      </c>
      <c r="C5095" s="7" t="s">
        <v>1058</v>
      </c>
      <c r="D5095" s="7" t="s">
        <v>1753</v>
      </c>
      <c r="E5095" s="5" t="s">
        <v>3669</v>
      </c>
      <c r="F5095" s="5" t="s">
        <v>933</v>
      </c>
    </row>
    <row r="5096">
      <c r="A5096" s="5" t="s">
        <v>2924</v>
      </c>
      <c r="B5096" s="8">
        <v>8.0</v>
      </c>
      <c r="C5096" s="7" t="s">
        <v>1756</v>
      </c>
      <c r="D5096" s="7" t="s">
        <v>1757</v>
      </c>
      <c r="E5096" s="5" t="s">
        <v>1758</v>
      </c>
      <c r="F5096" s="5" t="s">
        <v>1759</v>
      </c>
    </row>
    <row r="5097">
      <c r="A5097" s="5" t="s">
        <v>2925</v>
      </c>
      <c r="B5097" s="8">
        <v>8.0</v>
      </c>
      <c r="C5097" s="7" t="s">
        <v>1756</v>
      </c>
      <c r="D5097" s="7" t="s">
        <v>1757</v>
      </c>
      <c r="E5097" s="5" t="s">
        <v>1758</v>
      </c>
      <c r="F5097" s="5" t="s">
        <v>1759</v>
      </c>
    </row>
    <row r="5098">
      <c r="A5098" s="5" t="s">
        <v>3086</v>
      </c>
      <c r="B5098" s="8">
        <v>8.0</v>
      </c>
      <c r="C5098" s="7" t="s">
        <v>1756</v>
      </c>
      <c r="D5098" s="7" t="s">
        <v>1757</v>
      </c>
      <c r="E5098" s="5" t="s">
        <v>1758</v>
      </c>
      <c r="F5098" s="5" t="s">
        <v>1759</v>
      </c>
    </row>
    <row r="5099">
      <c r="A5099" s="5" t="s">
        <v>3087</v>
      </c>
      <c r="B5099" s="8">
        <v>8.0</v>
      </c>
      <c r="C5099" s="7" t="s">
        <v>1756</v>
      </c>
      <c r="D5099" s="7" t="s">
        <v>1757</v>
      </c>
      <c r="E5099" s="5" t="s">
        <v>1758</v>
      </c>
      <c r="F5099" s="5" t="s">
        <v>1759</v>
      </c>
    </row>
    <row r="5100">
      <c r="A5100" s="5" t="s">
        <v>2926</v>
      </c>
      <c r="B5100" s="8">
        <v>8.0</v>
      </c>
      <c r="C5100" s="7" t="s">
        <v>1756</v>
      </c>
      <c r="D5100" s="7" t="s">
        <v>1757</v>
      </c>
      <c r="E5100" s="5" t="s">
        <v>1758</v>
      </c>
      <c r="F5100" s="5" t="s">
        <v>1759</v>
      </c>
    </row>
    <row r="5101">
      <c r="A5101" s="5" t="s">
        <v>3388</v>
      </c>
      <c r="B5101" s="8">
        <v>8.0</v>
      </c>
      <c r="C5101" s="7" t="s">
        <v>1756</v>
      </c>
      <c r="D5101" s="7" t="s">
        <v>1757</v>
      </c>
      <c r="E5101" s="5" t="s">
        <v>1758</v>
      </c>
      <c r="F5101" s="5" t="s">
        <v>1759</v>
      </c>
    </row>
    <row r="5102">
      <c r="A5102" s="5" t="s">
        <v>2924</v>
      </c>
      <c r="B5102" s="8">
        <v>8.0</v>
      </c>
      <c r="C5102" s="7" t="s">
        <v>172</v>
      </c>
      <c r="D5102" s="5" t="s">
        <v>3671</v>
      </c>
      <c r="E5102" s="7" t="s">
        <v>1761</v>
      </c>
      <c r="F5102" s="5" t="s">
        <v>1405</v>
      </c>
    </row>
    <row r="5103">
      <c r="A5103" s="5" t="s">
        <v>2925</v>
      </c>
      <c r="B5103" s="8">
        <v>8.0</v>
      </c>
      <c r="C5103" s="7" t="s">
        <v>172</v>
      </c>
      <c r="D5103" s="5" t="s">
        <v>3671</v>
      </c>
      <c r="E5103" s="7" t="s">
        <v>1761</v>
      </c>
      <c r="F5103" s="5" t="s">
        <v>1762</v>
      </c>
    </row>
    <row r="5104">
      <c r="A5104" s="5" t="s">
        <v>3086</v>
      </c>
      <c r="B5104" s="8">
        <v>8.0</v>
      </c>
      <c r="C5104" s="7" t="s">
        <v>172</v>
      </c>
      <c r="D5104" s="5" t="s">
        <v>3671</v>
      </c>
      <c r="E5104" s="7" t="s">
        <v>1761</v>
      </c>
      <c r="F5104" s="5" t="s">
        <v>1405</v>
      </c>
    </row>
    <row r="5105">
      <c r="A5105" s="5" t="s">
        <v>3087</v>
      </c>
      <c r="B5105" s="8">
        <v>8.0</v>
      </c>
      <c r="C5105" s="7" t="s">
        <v>172</v>
      </c>
      <c r="D5105" s="5" t="s">
        <v>3671</v>
      </c>
      <c r="E5105" s="7" t="s">
        <v>1761</v>
      </c>
      <c r="F5105" s="5" t="s">
        <v>1763</v>
      </c>
    </row>
    <row r="5106">
      <c r="A5106" s="5" t="s">
        <v>2926</v>
      </c>
      <c r="B5106" s="8">
        <v>8.0</v>
      </c>
      <c r="C5106" s="7" t="s">
        <v>172</v>
      </c>
      <c r="D5106" s="5" t="s">
        <v>3671</v>
      </c>
      <c r="E5106" s="7" t="s">
        <v>1761</v>
      </c>
      <c r="F5106" s="5" t="s">
        <v>1676</v>
      </c>
    </row>
    <row r="5107">
      <c r="A5107" s="5" t="s">
        <v>3388</v>
      </c>
      <c r="B5107" s="8">
        <v>8.0</v>
      </c>
      <c r="C5107" s="7" t="s">
        <v>172</v>
      </c>
      <c r="D5107" s="5" t="s">
        <v>3671</v>
      </c>
      <c r="E5107" s="7" t="s">
        <v>1761</v>
      </c>
      <c r="F5107" s="5" t="s">
        <v>1405</v>
      </c>
    </row>
    <row r="5108">
      <c r="A5108" s="5" t="s">
        <v>2927</v>
      </c>
      <c r="B5108" s="8">
        <v>8.0</v>
      </c>
      <c r="C5108" s="7" t="s">
        <v>172</v>
      </c>
      <c r="D5108" s="5" t="s">
        <v>3671</v>
      </c>
      <c r="E5108" s="7" t="s">
        <v>1761</v>
      </c>
      <c r="F5108" s="5" t="s">
        <v>1405</v>
      </c>
    </row>
    <row r="5109">
      <c r="A5109" s="5" t="s">
        <v>2928</v>
      </c>
      <c r="B5109" s="8">
        <v>8.0</v>
      </c>
      <c r="C5109" s="7" t="s">
        <v>172</v>
      </c>
      <c r="D5109" s="5" t="s">
        <v>3671</v>
      </c>
      <c r="E5109" s="7" t="s">
        <v>1761</v>
      </c>
      <c r="F5109" s="5" t="s">
        <v>1405</v>
      </c>
    </row>
    <row r="5110">
      <c r="A5110" s="7" t="s">
        <v>603</v>
      </c>
      <c r="B5110" s="8">
        <v>8.0</v>
      </c>
      <c r="C5110" s="7" t="s">
        <v>172</v>
      </c>
      <c r="D5110" s="5" t="s">
        <v>3671</v>
      </c>
      <c r="E5110" s="7" t="s">
        <v>1761</v>
      </c>
      <c r="F5110" s="5" t="s">
        <v>1676</v>
      </c>
    </row>
    <row r="5111">
      <c r="A5111" s="5" t="s">
        <v>2929</v>
      </c>
      <c r="B5111" s="8">
        <v>8.0</v>
      </c>
      <c r="C5111" s="7" t="s">
        <v>172</v>
      </c>
      <c r="D5111" s="5" t="s">
        <v>3671</v>
      </c>
      <c r="E5111" s="7" t="s">
        <v>1761</v>
      </c>
      <c r="F5111" s="4" t="s">
        <v>1762</v>
      </c>
    </row>
    <row r="5112">
      <c r="A5112" s="5" t="s">
        <v>2930</v>
      </c>
      <c r="B5112" s="8">
        <v>8.0</v>
      </c>
      <c r="C5112" s="7" t="s">
        <v>172</v>
      </c>
      <c r="D5112" s="5" t="s">
        <v>3671</v>
      </c>
      <c r="E5112" s="7" t="s">
        <v>1761</v>
      </c>
      <c r="F5112" s="5" t="s">
        <v>1405</v>
      </c>
    </row>
    <row r="5113">
      <c r="A5113" s="7" t="s">
        <v>606</v>
      </c>
      <c r="B5113" s="8">
        <v>8.0</v>
      </c>
      <c r="C5113" s="7" t="s">
        <v>172</v>
      </c>
      <c r="D5113" s="5" t="s">
        <v>3671</v>
      </c>
      <c r="E5113" s="7" t="s">
        <v>1761</v>
      </c>
      <c r="F5113" s="5" t="s">
        <v>1764</v>
      </c>
    </row>
    <row r="5114">
      <c r="A5114" s="5" t="s">
        <v>2602</v>
      </c>
      <c r="B5114" s="8">
        <v>8.0</v>
      </c>
      <c r="C5114" s="7" t="s">
        <v>172</v>
      </c>
      <c r="D5114" s="5" t="s">
        <v>3671</v>
      </c>
      <c r="E5114" s="7" t="s">
        <v>1761</v>
      </c>
      <c r="F5114" s="5" t="s">
        <v>1405</v>
      </c>
    </row>
    <row r="5115">
      <c r="A5115" s="5" t="s">
        <v>2931</v>
      </c>
      <c r="B5115" s="8">
        <v>8.0</v>
      </c>
      <c r="C5115" s="7" t="s">
        <v>172</v>
      </c>
      <c r="D5115" s="5" t="s">
        <v>3671</v>
      </c>
      <c r="E5115" s="7" t="s">
        <v>1761</v>
      </c>
      <c r="F5115" s="5" t="s">
        <v>1405</v>
      </c>
    </row>
    <row r="5116">
      <c r="A5116" s="5" t="s">
        <v>2932</v>
      </c>
      <c r="B5116" s="8">
        <v>8.0</v>
      </c>
      <c r="C5116" s="7" t="s">
        <v>172</v>
      </c>
      <c r="D5116" s="5" t="s">
        <v>3671</v>
      </c>
      <c r="E5116" s="7" t="s">
        <v>1761</v>
      </c>
      <c r="F5116" s="5" t="s">
        <v>3030</v>
      </c>
    </row>
    <row r="5117">
      <c r="A5117" s="5" t="s">
        <v>2933</v>
      </c>
      <c r="B5117" s="8">
        <v>8.0</v>
      </c>
      <c r="C5117" s="7" t="s">
        <v>172</v>
      </c>
      <c r="D5117" s="5" t="s">
        <v>3671</v>
      </c>
      <c r="E5117" s="7" t="s">
        <v>1761</v>
      </c>
      <c r="F5117" s="5" t="s">
        <v>1405</v>
      </c>
    </row>
    <row r="5118">
      <c r="A5118" s="5" t="s">
        <v>2606</v>
      </c>
      <c r="B5118" s="8">
        <v>8.0</v>
      </c>
      <c r="C5118" s="7" t="s">
        <v>172</v>
      </c>
      <c r="D5118" s="5" t="s">
        <v>3671</v>
      </c>
      <c r="E5118" s="7" t="s">
        <v>1761</v>
      </c>
      <c r="F5118" s="5" t="s">
        <v>1405</v>
      </c>
    </row>
    <row r="5119">
      <c r="A5119" s="5" t="s">
        <v>2934</v>
      </c>
      <c r="B5119" s="8">
        <v>8.0</v>
      </c>
      <c r="C5119" s="7" t="s">
        <v>172</v>
      </c>
      <c r="D5119" s="5" t="s">
        <v>3671</v>
      </c>
      <c r="E5119" s="7" t="s">
        <v>1761</v>
      </c>
      <c r="F5119" s="5" t="s">
        <v>1676</v>
      </c>
    </row>
    <row r="5120">
      <c r="A5120" s="5" t="s">
        <v>2607</v>
      </c>
      <c r="B5120" s="8">
        <v>8.0</v>
      </c>
      <c r="C5120" s="7" t="s">
        <v>172</v>
      </c>
      <c r="D5120" s="5" t="s">
        <v>3671</v>
      </c>
      <c r="E5120" s="7" t="s">
        <v>1761</v>
      </c>
      <c r="F5120" s="5" t="s">
        <v>1405</v>
      </c>
    </row>
    <row r="5121">
      <c r="A5121" s="5" t="s">
        <v>2935</v>
      </c>
      <c r="B5121" s="8">
        <v>8.0</v>
      </c>
      <c r="C5121" s="7" t="s">
        <v>172</v>
      </c>
      <c r="D5121" s="5" t="s">
        <v>3671</v>
      </c>
      <c r="E5121" s="7" t="s">
        <v>1761</v>
      </c>
      <c r="F5121" s="5" t="s">
        <v>1762</v>
      </c>
    </row>
    <row r="5122">
      <c r="A5122" s="5" t="s">
        <v>2936</v>
      </c>
      <c r="B5122" s="8">
        <v>8.0</v>
      </c>
      <c r="C5122" s="7" t="s">
        <v>172</v>
      </c>
      <c r="D5122" s="5" t="s">
        <v>3671</v>
      </c>
      <c r="E5122" s="7" t="s">
        <v>1761</v>
      </c>
      <c r="F5122" s="5" t="s">
        <v>1405</v>
      </c>
    </row>
    <row r="5123">
      <c r="A5123" s="5" t="s">
        <v>2608</v>
      </c>
      <c r="B5123" s="8">
        <v>8.0</v>
      </c>
      <c r="C5123" s="7" t="s">
        <v>172</v>
      </c>
      <c r="D5123" s="5" t="s">
        <v>3671</v>
      </c>
      <c r="E5123" s="7" t="s">
        <v>1761</v>
      </c>
      <c r="F5123" s="5" t="s">
        <v>1405</v>
      </c>
    </row>
    <row r="5124">
      <c r="A5124" s="5" t="s">
        <v>2609</v>
      </c>
      <c r="B5124" s="8">
        <v>8.0</v>
      </c>
      <c r="C5124" s="7" t="s">
        <v>172</v>
      </c>
      <c r="D5124" s="5" t="s">
        <v>3671</v>
      </c>
      <c r="E5124" s="7" t="s">
        <v>1761</v>
      </c>
      <c r="F5124" s="5" t="s">
        <v>1405</v>
      </c>
    </row>
    <row r="5125">
      <c r="A5125" s="5" t="s">
        <v>2924</v>
      </c>
      <c r="B5125" s="8">
        <v>8.0</v>
      </c>
      <c r="C5125" s="7" t="s">
        <v>267</v>
      </c>
      <c r="D5125" s="7" t="s">
        <v>1765</v>
      </c>
      <c r="E5125" s="5" t="s">
        <v>767</v>
      </c>
      <c r="F5125" s="5" t="s">
        <v>238</v>
      </c>
    </row>
    <row r="5126">
      <c r="A5126" s="5" t="s">
        <v>2925</v>
      </c>
      <c r="B5126" s="8">
        <v>8.0</v>
      </c>
      <c r="C5126" s="7" t="s">
        <v>267</v>
      </c>
      <c r="D5126" s="7" t="s">
        <v>1765</v>
      </c>
      <c r="E5126" s="5" t="s">
        <v>767</v>
      </c>
      <c r="F5126" s="5" t="s">
        <v>271</v>
      </c>
    </row>
    <row r="5127">
      <c r="A5127" s="5" t="s">
        <v>3086</v>
      </c>
      <c r="B5127" s="8">
        <v>8.0</v>
      </c>
      <c r="C5127" s="7" t="s">
        <v>267</v>
      </c>
      <c r="D5127" s="7" t="s">
        <v>1765</v>
      </c>
      <c r="E5127" s="5" t="s">
        <v>767</v>
      </c>
      <c r="F5127" s="5" t="s">
        <v>3672</v>
      </c>
    </row>
    <row r="5128">
      <c r="A5128" s="5" t="s">
        <v>3087</v>
      </c>
      <c r="B5128" s="8">
        <v>8.0</v>
      </c>
      <c r="C5128" s="7" t="s">
        <v>267</v>
      </c>
      <c r="D5128" s="7" t="s">
        <v>1765</v>
      </c>
      <c r="E5128" s="5" t="s">
        <v>767</v>
      </c>
      <c r="F5128" s="5" t="s">
        <v>238</v>
      </c>
    </row>
    <row r="5129">
      <c r="A5129" s="5" t="s">
        <v>2926</v>
      </c>
      <c r="B5129" s="8">
        <v>8.0</v>
      </c>
      <c r="C5129" s="7" t="s">
        <v>267</v>
      </c>
      <c r="D5129" s="7" t="s">
        <v>1765</v>
      </c>
      <c r="E5129" s="5" t="s">
        <v>767</v>
      </c>
      <c r="F5129" s="5" t="s">
        <v>3620</v>
      </c>
    </row>
    <row r="5130">
      <c r="A5130" s="5" t="s">
        <v>3388</v>
      </c>
      <c r="B5130" s="8">
        <v>8.0</v>
      </c>
      <c r="C5130" s="7" t="s">
        <v>267</v>
      </c>
      <c r="D5130" s="7" t="s">
        <v>1765</v>
      </c>
      <c r="E5130" s="5" t="s">
        <v>767</v>
      </c>
      <c r="F5130" s="5" t="s">
        <v>271</v>
      </c>
    </row>
    <row r="5131">
      <c r="A5131" s="5" t="s">
        <v>2927</v>
      </c>
      <c r="B5131" s="8">
        <v>8.0</v>
      </c>
      <c r="C5131" s="7" t="s">
        <v>267</v>
      </c>
      <c r="D5131" s="7" t="s">
        <v>1765</v>
      </c>
      <c r="E5131" s="5" t="s">
        <v>767</v>
      </c>
      <c r="F5131" s="5" t="s">
        <v>238</v>
      </c>
    </row>
    <row r="5132">
      <c r="A5132" s="5" t="s">
        <v>2928</v>
      </c>
      <c r="B5132" s="8">
        <v>8.0</v>
      </c>
      <c r="C5132" s="7" t="s">
        <v>267</v>
      </c>
      <c r="D5132" s="7" t="s">
        <v>1765</v>
      </c>
      <c r="E5132" s="5" t="s">
        <v>767</v>
      </c>
      <c r="F5132" s="5" t="s">
        <v>238</v>
      </c>
    </row>
    <row r="5133">
      <c r="A5133" s="7" t="s">
        <v>603</v>
      </c>
      <c r="B5133" s="8">
        <v>8.0</v>
      </c>
      <c r="C5133" s="7" t="s">
        <v>267</v>
      </c>
      <c r="D5133" s="7" t="s">
        <v>1765</v>
      </c>
      <c r="E5133" s="5" t="s">
        <v>767</v>
      </c>
      <c r="F5133" s="5" t="s">
        <v>238</v>
      </c>
    </row>
    <row r="5134">
      <c r="A5134" s="5" t="s">
        <v>2929</v>
      </c>
      <c r="B5134" s="8">
        <v>8.0</v>
      </c>
      <c r="C5134" s="7" t="s">
        <v>267</v>
      </c>
      <c r="D5134" s="7" t="s">
        <v>1765</v>
      </c>
      <c r="E5134" s="5" t="s">
        <v>767</v>
      </c>
      <c r="F5134" s="5" t="s">
        <v>3037</v>
      </c>
    </row>
    <row r="5135">
      <c r="A5135" s="5" t="s">
        <v>2930</v>
      </c>
      <c r="B5135" s="8">
        <v>8.0</v>
      </c>
      <c r="C5135" s="7" t="s">
        <v>267</v>
      </c>
      <c r="D5135" s="7" t="s">
        <v>1765</v>
      </c>
      <c r="E5135" s="5" t="s">
        <v>767</v>
      </c>
      <c r="F5135" s="5" t="s">
        <v>238</v>
      </c>
    </row>
    <row r="5136">
      <c r="A5136" s="7" t="s">
        <v>606</v>
      </c>
      <c r="B5136" s="8">
        <v>8.0</v>
      </c>
      <c r="C5136" s="7" t="s">
        <v>267</v>
      </c>
      <c r="D5136" s="7" t="s">
        <v>1765</v>
      </c>
      <c r="E5136" s="5" t="s">
        <v>767</v>
      </c>
      <c r="F5136" s="5" t="s">
        <v>238</v>
      </c>
    </row>
    <row r="5137">
      <c r="A5137" s="5" t="s">
        <v>2602</v>
      </c>
      <c r="B5137" s="8">
        <v>8.0</v>
      </c>
      <c r="C5137" s="7" t="s">
        <v>267</v>
      </c>
      <c r="D5137" s="7" t="s">
        <v>1765</v>
      </c>
      <c r="E5137" s="5" t="s">
        <v>767</v>
      </c>
      <c r="F5137" s="5" t="s">
        <v>238</v>
      </c>
    </row>
    <row r="5138">
      <c r="A5138" s="5" t="s">
        <v>2931</v>
      </c>
      <c r="B5138" s="8">
        <v>8.0</v>
      </c>
      <c r="C5138" s="7" t="s">
        <v>267</v>
      </c>
      <c r="D5138" s="7" t="s">
        <v>1765</v>
      </c>
      <c r="E5138" s="5" t="s">
        <v>767</v>
      </c>
      <c r="F5138" s="5" t="s">
        <v>271</v>
      </c>
    </row>
    <row r="5139">
      <c r="A5139" s="5" t="s">
        <v>2932</v>
      </c>
      <c r="B5139" s="8">
        <v>8.0</v>
      </c>
      <c r="C5139" s="7" t="s">
        <v>267</v>
      </c>
      <c r="D5139" s="7" t="s">
        <v>1765</v>
      </c>
      <c r="E5139" s="5" t="s">
        <v>767</v>
      </c>
      <c r="F5139" s="5" t="s">
        <v>271</v>
      </c>
    </row>
    <row r="5140">
      <c r="A5140" s="5" t="s">
        <v>2933</v>
      </c>
      <c r="B5140" s="8">
        <v>8.0</v>
      </c>
      <c r="C5140" s="7" t="s">
        <v>267</v>
      </c>
      <c r="D5140" s="7" t="s">
        <v>1765</v>
      </c>
      <c r="E5140" s="5" t="s">
        <v>767</v>
      </c>
      <c r="F5140" s="5" t="s">
        <v>238</v>
      </c>
    </row>
    <row r="5141">
      <c r="A5141" s="5" t="s">
        <v>2606</v>
      </c>
      <c r="B5141" s="8">
        <v>8.0</v>
      </c>
      <c r="C5141" s="7" t="s">
        <v>267</v>
      </c>
      <c r="D5141" s="7" t="s">
        <v>1765</v>
      </c>
      <c r="E5141" s="5" t="s">
        <v>767</v>
      </c>
      <c r="F5141" s="5" t="s">
        <v>238</v>
      </c>
    </row>
    <row r="5142">
      <c r="A5142" s="5" t="s">
        <v>2607</v>
      </c>
      <c r="B5142" s="8">
        <v>8.0</v>
      </c>
      <c r="C5142" s="7" t="s">
        <v>267</v>
      </c>
      <c r="D5142" s="7" t="s">
        <v>1765</v>
      </c>
      <c r="E5142" s="5" t="s">
        <v>767</v>
      </c>
      <c r="F5142" s="5" t="s">
        <v>238</v>
      </c>
    </row>
    <row r="5143">
      <c r="A5143" s="5" t="s">
        <v>2935</v>
      </c>
      <c r="B5143" s="8">
        <v>8.0</v>
      </c>
      <c r="C5143" s="7" t="s">
        <v>267</v>
      </c>
      <c r="D5143" s="7" t="s">
        <v>1765</v>
      </c>
      <c r="E5143" s="5" t="s">
        <v>767</v>
      </c>
      <c r="F5143" s="5" t="s">
        <v>3621</v>
      </c>
    </row>
    <row r="5144">
      <c r="A5144" s="5" t="s">
        <v>2936</v>
      </c>
      <c r="B5144" s="8">
        <v>8.0</v>
      </c>
      <c r="C5144" s="7" t="s">
        <v>267</v>
      </c>
      <c r="D5144" s="7" t="s">
        <v>1765</v>
      </c>
      <c r="E5144" s="5" t="s">
        <v>767</v>
      </c>
      <c r="F5144" s="5" t="s">
        <v>238</v>
      </c>
    </row>
    <row r="5145">
      <c r="A5145" s="5" t="s">
        <v>2608</v>
      </c>
      <c r="B5145" s="8">
        <v>8.0</v>
      </c>
      <c r="C5145" s="7" t="s">
        <v>267</v>
      </c>
      <c r="D5145" s="7" t="s">
        <v>1765</v>
      </c>
      <c r="E5145" s="5" t="s">
        <v>767</v>
      </c>
      <c r="F5145" s="5" t="s">
        <v>238</v>
      </c>
    </row>
    <row r="5146">
      <c r="A5146" s="5" t="s">
        <v>2609</v>
      </c>
      <c r="B5146" s="8">
        <v>8.0</v>
      </c>
      <c r="C5146" s="7" t="s">
        <v>267</v>
      </c>
      <c r="D5146" s="7" t="s">
        <v>1765</v>
      </c>
      <c r="E5146" s="5" t="s">
        <v>767</v>
      </c>
      <c r="F5146" s="5" t="s">
        <v>238</v>
      </c>
    </row>
    <row r="5147">
      <c r="A5147" s="5" t="s">
        <v>2924</v>
      </c>
      <c r="B5147" s="8">
        <v>8.0</v>
      </c>
      <c r="C5147" s="7" t="s">
        <v>1767</v>
      </c>
      <c r="D5147" s="7" t="s">
        <v>1768</v>
      </c>
      <c r="E5147" s="5" t="s">
        <v>1769</v>
      </c>
      <c r="F5147" s="5" t="s">
        <v>1688</v>
      </c>
    </row>
    <row r="5148">
      <c r="A5148" s="5" t="s">
        <v>2925</v>
      </c>
      <c r="B5148" s="8">
        <v>8.0</v>
      </c>
      <c r="C5148" s="7" t="s">
        <v>1767</v>
      </c>
      <c r="D5148" s="7" t="s">
        <v>1768</v>
      </c>
      <c r="E5148" s="5" t="s">
        <v>1769</v>
      </c>
      <c r="F5148" s="5" t="s">
        <v>1688</v>
      </c>
    </row>
    <row r="5149">
      <c r="A5149" s="5" t="s">
        <v>3086</v>
      </c>
      <c r="B5149" s="8">
        <v>8.0</v>
      </c>
      <c r="C5149" s="7" t="s">
        <v>1767</v>
      </c>
      <c r="D5149" s="7" t="s">
        <v>1768</v>
      </c>
      <c r="E5149" s="5" t="s">
        <v>1769</v>
      </c>
      <c r="F5149" s="5" t="s">
        <v>1688</v>
      </c>
    </row>
    <row r="5150">
      <c r="A5150" s="5" t="s">
        <v>3087</v>
      </c>
      <c r="B5150" s="8">
        <v>8.0</v>
      </c>
      <c r="C5150" s="7" t="s">
        <v>1767</v>
      </c>
      <c r="D5150" s="7" t="s">
        <v>1768</v>
      </c>
      <c r="E5150" s="5" t="s">
        <v>1769</v>
      </c>
      <c r="F5150" s="5" t="s">
        <v>1688</v>
      </c>
    </row>
    <row r="5151">
      <c r="A5151" s="5" t="s">
        <v>2926</v>
      </c>
      <c r="B5151" s="8">
        <v>8.0</v>
      </c>
      <c r="C5151" s="7" t="s">
        <v>1767</v>
      </c>
      <c r="D5151" s="7" t="s">
        <v>1768</v>
      </c>
      <c r="E5151" s="5" t="s">
        <v>1769</v>
      </c>
      <c r="F5151" s="5" t="s">
        <v>1688</v>
      </c>
    </row>
    <row r="5152">
      <c r="A5152" s="5" t="s">
        <v>3388</v>
      </c>
      <c r="B5152" s="8">
        <v>8.0</v>
      </c>
      <c r="C5152" s="7" t="s">
        <v>1767</v>
      </c>
      <c r="D5152" s="7" t="s">
        <v>1768</v>
      </c>
      <c r="E5152" s="5" t="s">
        <v>1769</v>
      </c>
      <c r="F5152" s="5" t="s">
        <v>1688</v>
      </c>
    </row>
    <row r="5153">
      <c r="A5153" s="5" t="s">
        <v>2928</v>
      </c>
      <c r="B5153" s="8">
        <v>8.0</v>
      </c>
      <c r="C5153" s="7" t="s">
        <v>1767</v>
      </c>
      <c r="D5153" s="7" t="s">
        <v>1768</v>
      </c>
      <c r="E5153" s="5" t="s">
        <v>1769</v>
      </c>
      <c r="F5153" s="5" t="s">
        <v>1688</v>
      </c>
    </row>
    <row r="5154">
      <c r="A5154" s="7" t="s">
        <v>603</v>
      </c>
      <c r="B5154" s="8">
        <v>8.0</v>
      </c>
      <c r="C5154" s="7" t="s">
        <v>1767</v>
      </c>
      <c r="D5154" s="7" t="s">
        <v>1768</v>
      </c>
      <c r="E5154" s="5" t="s">
        <v>1769</v>
      </c>
      <c r="F5154" s="4" t="s">
        <v>1688</v>
      </c>
    </row>
    <row r="5155">
      <c r="A5155" s="5" t="s">
        <v>2929</v>
      </c>
      <c r="B5155" s="8">
        <v>8.0</v>
      </c>
      <c r="C5155" s="7" t="s">
        <v>1767</v>
      </c>
      <c r="D5155" s="7" t="s">
        <v>1768</v>
      </c>
      <c r="E5155" s="5" t="s">
        <v>1769</v>
      </c>
      <c r="F5155" s="5" t="s">
        <v>1688</v>
      </c>
    </row>
    <row r="5156">
      <c r="A5156" s="5" t="s">
        <v>2930</v>
      </c>
      <c r="B5156" s="8">
        <v>8.0</v>
      </c>
      <c r="C5156" s="7" t="s">
        <v>1767</v>
      </c>
      <c r="D5156" s="7" t="s">
        <v>1768</v>
      </c>
      <c r="E5156" s="5" t="s">
        <v>1769</v>
      </c>
      <c r="F5156" s="5" t="s">
        <v>1688</v>
      </c>
    </row>
    <row r="5157">
      <c r="A5157" s="7" t="s">
        <v>606</v>
      </c>
      <c r="B5157" s="8">
        <v>8.0</v>
      </c>
      <c r="C5157" s="7" t="s">
        <v>1767</v>
      </c>
      <c r="D5157" s="7" t="s">
        <v>1768</v>
      </c>
      <c r="E5157" s="5" t="s">
        <v>1769</v>
      </c>
      <c r="F5157" s="5" t="s">
        <v>1688</v>
      </c>
    </row>
    <row r="5158">
      <c r="A5158" s="5" t="s">
        <v>2602</v>
      </c>
      <c r="B5158" s="8">
        <v>8.0</v>
      </c>
      <c r="C5158" s="7" t="s">
        <v>1767</v>
      </c>
      <c r="D5158" s="7" t="s">
        <v>1768</v>
      </c>
      <c r="E5158" s="5" t="s">
        <v>1769</v>
      </c>
      <c r="F5158" s="5" t="s">
        <v>1688</v>
      </c>
    </row>
    <row r="5159">
      <c r="A5159" s="5" t="s">
        <v>2931</v>
      </c>
      <c r="B5159" s="8">
        <v>8.0</v>
      </c>
      <c r="C5159" s="7" t="s">
        <v>1767</v>
      </c>
      <c r="D5159" s="7" t="s">
        <v>1768</v>
      </c>
      <c r="E5159" s="5" t="s">
        <v>1769</v>
      </c>
      <c r="F5159" s="5" t="s">
        <v>1688</v>
      </c>
    </row>
    <row r="5160">
      <c r="A5160" s="5" t="s">
        <v>2932</v>
      </c>
      <c r="B5160" s="8">
        <v>8.0</v>
      </c>
      <c r="C5160" s="7" t="s">
        <v>1767</v>
      </c>
      <c r="D5160" s="7" t="s">
        <v>1768</v>
      </c>
      <c r="E5160" s="5" t="s">
        <v>1769</v>
      </c>
      <c r="F5160" s="5" t="s">
        <v>1688</v>
      </c>
    </row>
    <row r="5161">
      <c r="A5161" s="5" t="s">
        <v>2933</v>
      </c>
      <c r="B5161" s="8">
        <v>8.0</v>
      </c>
      <c r="C5161" s="7" t="s">
        <v>1767</v>
      </c>
      <c r="D5161" s="7" t="s">
        <v>1768</v>
      </c>
      <c r="E5161" s="5" t="s">
        <v>1769</v>
      </c>
      <c r="F5161" s="5" t="s">
        <v>1688</v>
      </c>
    </row>
    <row r="5162">
      <c r="A5162" s="5" t="s">
        <v>2606</v>
      </c>
      <c r="B5162" s="8">
        <v>8.0</v>
      </c>
      <c r="C5162" s="7" t="s">
        <v>1767</v>
      </c>
      <c r="D5162" s="7" t="s">
        <v>1768</v>
      </c>
      <c r="E5162" s="5" t="s">
        <v>1769</v>
      </c>
      <c r="F5162" s="5" t="s">
        <v>1688</v>
      </c>
    </row>
    <row r="5163">
      <c r="A5163" s="5" t="s">
        <v>2934</v>
      </c>
      <c r="B5163" s="8">
        <v>8.0</v>
      </c>
      <c r="C5163" s="7" t="s">
        <v>1767</v>
      </c>
      <c r="D5163" s="7" t="s">
        <v>1768</v>
      </c>
      <c r="E5163" s="5" t="s">
        <v>1769</v>
      </c>
      <c r="F5163" s="5" t="s">
        <v>1688</v>
      </c>
    </row>
    <row r="5164">
      <c r="A5164" s="5" t="s">
        <v>2607</v>
      </c>
      <c r="B5164" s="8">
        <v>8.0</v>
      </c>
      <c r="C5164" s="7" t="s">
        <v>1767</v>
      </c>
      <c r="D5164" s="7" t="s">
        <v>1768</v>
      </c>
      <c r="E5164" s="5" t="s">
        <v>1769</v>
      </c>
      <c r="F5164" s="5" t="s">
        <v>1688</v>
      </c>
    </row>
    <row r="5165">
      <c r="A5165" s="5" t="s">
        <v>2935</v>
      </c>
      <c r="B5165" s="8">
        <v>8.0</v>
      </c>
      <c r="C5165" s="7" t="s">
        <v>1767</v>
      </c>
      <c r="D5165" s="7" t="s">
        <v>1768</v>
      </c>
      <c r="E5165" s="5" t="s">
        <v>1769</v>
      </c>
      <c r="F5165" s="5" t="s">
        <v>1688</v>
      </c>
    </row>
    <row r="5166">
      <c r="A5166" s="5" t="s">
        <v>2936</v>
      </c>
      <c r="B5166" s="8">
        <v>8.0</v>
      </c>
      <c r="C5166" s="7" t="s">
        <v>1767</v>
      </c>
      <c r="D5166" s="7" t="s">
        <v>1768</v>
      </c>
      <c r="E5166" s="5" t="s">
        <v>1769</v>
      </c>
      <c r="F5166" s="5" t="s">
        <v>1688</v>
      </c>
    </row>
    <row r="5167">
      <c r="A5167" s="5" t="s">
        <v>2608</v>
      </c>
      <c r="B5167" s="8">
        <v>8.0</v>
      </c>
      <c r="C5167" s="7" t="s">
        <v>1767</v>
      </c>
      <c r="D5167" s="7" t="s">
        <v>1768</v>
      </c>
      <c r="E5167" s="5" t="s">
        <v>1769</v>
      </c>
      <c r="F5167" s="5" t="s">
        <v>1688</v>
      </c>
    </row>
    <row r="5168">
      <c r="A5168" s="5" t="s">
        <v>2609</v>
      </c>
      <c r="B5168" s="8">
        <v>8.0</v>
      </c>
      <c r="C5168" s="7" t="s">
        <v>1767</v>
      </c>
      <c r="D5168" s="7" t="s">
        <v>1768</v>
      </c>
      <c r="E5168" s="5" t="s">
        <v>1769</v>
      </c>
      <c r="F5168" s="5" t="s">
        <v>1688</v>
      </c>
    </row>
    <row r="5169">
      <c r="A5169" s="5" t="s">
        <v>2924</v>
      </c>
      <c r="B5169" s="8">
        <v>8.0</v>
      </c>
      <c r="C5169" s="7" t="s">
        <v>274</v>
      </c>
      <c r="D5169" s="7" t="s">
        <v>1770</v>
      </c>
      <c r="E5169" s="5" t="s">
        <v>3039</v>
      </c>
      <c r="F5169" s="5" t="s">
        <v>3673</v>
      </c>
    </row>
    <row r="5170">
      <c r="A5170" s="5" t="s">
        <v>2925</v>
      </c>
      <c r="B5170" s="8">
        <v>8.0</v>
      </c>
      <c r="C5170" s="7" t="s">
        <v>274</v>
      </c>
      <c r="D5170" s="7" t="s">
        <v>1770</v>
      </c>
      <c r="E5170" s="5" t="s">
        <v>3039</v>
      </c>
      <c r="F5170" s="5" t="s">
        <v>3674</v>
      </c>
    </row>
    <row r="5171">
      <c r="A5171" s="5" t="s">
        <v>3086</v>
      </c>
      <c r="B5171" s="8">
        <v>8.0</v>
      </c>
      <c r="C5171" s="7" t="s">
        <v>274</v>
      </c>
      <c r="D5171" s="7" t="s">
        <v>1770</v>
      </c>
      <c r="E5171" s="5" t="s">
        <v>3039</v>
      </c>
      <c r="F5171" s="5" t="s">
        <v>3673</v>
      </c>
    </row>
    <row r="5172">
      <c r="A5172" s="5" t="s">
        <v>3087</v>
      </c>
      <c r="B5172" s="8">
        <v>8.0</v>
      </c>
      <c r="C5172" s="7" t="s">
        <v>274</v>
      </c>
      <c r="D5172" s="7" t="s">
        <v>1770</v>
      </c>
      <c r="E5172" s="5" t="s">
        <v>3039</v>
      </c>
      <c r="F5172" s="5" t="s">
        <v>3673</v>
      </c>
    </row>
    <row r="5173">
      <c r="A5173" s="5" t="s">
        <v>2926</v>
      </c>
      <c r="B5173" s="8">
        <v>8.0</v>
      </c>
      <c r="C5173" s="7" t="s">
        <v>274</v>
      </c>
      <c r="D5173" s="7" t="s">
        <v>1770</v>
      </c>
      <c r="E5173" s="5" t="s">
        <v>3039</v>
      </c>
      <c r="F5173" s="5" t="s">
        <v>3673</v>
      </c>
    </row>
    <row r="5174">
      <c r="A5174" s="5" t="s">
        <v>3388</v>
      </c>
      <c r="B5174" s="8">
        <v>8.0</v>
      </c>
      <c r="C5174" s="7" t="s">
        <v>274</v>
      </c>
      <c r="D5174" s="7" t="s">
        <v>1770</v>
      </c>
      <c r="E5174" s="5" t="s">
        <v>3039</v>
      </c>
      <c r="F5174" s="5" t="s">
        <v>3673</v>
      </c>
    </row>
    <row r="5175">
      <c r="A5175" s="5" t="s">
        <v>2927</v>
      </c>
      <c r="B5175" s="8">
        <v>8.0</v>
      </c>
      <c r="C5175" s="7" t="s">
        <v>274</v>
      </c>
      <c r="D5175" s="7" t="s">
        <v>1770</v>
      </c>
      <c r="E5175" s="5" t="s">
        <v>3039</v>
      </c>
      <c r="F5175" s="5" t="s">
        <v>3064</v>
      </c>
    </row>
    <row r="5176">
      <c r="A5176" s="5" t="s">
        <v>2928</v>
      </c>
      <c r="B5176" s="8">
        <v>8.0</v>
      </c>
      <c r="C5176" s="7" t="s">
        <v>274</v>
      </c>
      <c r="D5176" s="7" t="s">
        <v>1770</v>
      </c>
      <c r="E5176" s="5" t="s">
        <v>3039</v>
      </c>
      <c r="F5176" s="5" t="s">
        <v>3675</v>
      </c>
    </row>
    <row r="5177">
      <c r="A5177" s="7" t="s">
        <v>603</v>
      </c>
      <c r="B5177" s="8">
        <v>8.0</v>
      </c>
      <c r="C5177" s="7" t="s">
        <v>274</v>
      </c>
      <c r="D5177" s="7" t="s">
        <v>1770</v>
      </c>
      <c r="E5177" s="5" t="s">
        <v>3039</v>
      </c>
      <c r="F5177" s="5" t="s">
        <v>3676</v>
      </c>
    </row>
    <row r="5178">
      <c r="A5178" s="5" t="s">
        <v>2929</v>
      </c>
      <c r="B5178" s="8">
        <v>8.0</v>
      </c>
      <c r="C5178" s="7" t="s">
        <v>274</v>
      </c>
      <c r="D5178" s="7" t="s">
        <v>1770</v>
      </c>
      <c r="E5178" s="5" t="s">
        <v>3039</v>
      </c>
      <c r="F5178" s="5" t="s">
        <v>3473</v>
      </c>
    </row>
    <row r="5179">
      <c r="A5179" s="5" t="s">
        <v>2930</v>
      </c>
      <c r="B5179" s="8">
        <v>8.0</v>
      </c>
      <c r="C5179" s="7" t="s">
        <v>274</v>
      </c>
      <c r="D5179" s="7" t="s">
        <v>1770</v>
      </c>
      <c r="E5179" s="5" t="s">
        <v>3039</v>
      </c>
      <c r="F5179" s="5" t="s">
        <v>3673</v>
      </c>
    </row>
    <row r="5180">
      <c r="A5180" s="7" t="s">
        <v>606</v>
      </c>
      <c r="B5180" s="8">
        <v>8.0</v>
      </c>
      <c r="C5180" s="7" t="s">
        <v>274</v>
      </c>
      <c r="D5180" s="7" t="s">
        <v>1770</v>
      </c>
      <c r="E5180" s="5" t="s">
        <v>3039</v>
      </c>
      <c r="F5180" s="5" t="s">
        <v>3677</v>
      </c>
    </row>
    <row r="5181">
      <c r="A5181" s="5" t="s">
        <v>2602</v>
      </c>
      <c r="B5181" s="8">
        <v>8.0</v>
      </c>
      <c r="C5181" s="7" t="s">
        <v>274</v>
      </c>
      <c r="D5181" s="7" t="s">
        <v>1770</v>
      </c>
      <c r="E5181" s="5" t="s">
        <v>3039</v>
      </c>
      <c r="F5181" s="5" t="s">
        <v>3678</v>
      </c>
    </row>
    <row r="5182">
      <c r="A5182" s="5" t="s">
        <v>2931</v>
      </c>
      <c r="B5182" s="8">
        <v>8.0</v>
      </c>
      <c r="C5182" s="7" t="s">
        <v>274</v>
      </c>
      <c r="D5182" s="7" t="s">
        <v>1770</v>
      </c>
      <c r="E5182" s="5" t="s">
        <v>3039</v>
      </c>
      <c r="F5182" s="5" t="s">
        <v>3679</v>
      </c>
    </row>
    <row r="5183">
      <c r="A5183" s="5" t="s">
        <v>2932</v>
      </c>
      <c r="B5183" s="8">
        <v>8.0</v>
      </c>
      <c r="C5183" s="7" t="s">
        <v>274</v>
      </c>
      <c r="D5183" s="7" t="s">
        <v>1770</v>
      </c>
      <c r="E5183" s="5" t="s">
        <v>3039</v>
      </c>
      <c r="F5183" s="5" t="s">
        <v>3673</v>
      </c>
    </row>
    <row r="5184">
      <c r="A5184" s="5" t="s">
        <v>2933</v>
      </c>
      <c r="B5184" s="8">
        <v>8.0</v>
      </c>
      <c r="C5184" s="7" t="s">
        <v>274</v>
      </c>
      <c r="D5184" s="7" t="s">
        <v>1770</v>
      </c>
      <c r="E5184" s="5" t="s">
        <v>3039</v>
      </c>
      <c r="F5184" s="5" t="s">
        <v>3673</v>
      </c>
    </row>
    <row r="5185">
      <c r="A5185" s="5" t="s">
        <v>2606</v>
      </c>
      <c r="B5185" s="8">
        <v>8.0</v>
      </c>
      <c r="C5185" s="7" t="s">
        <v>274</v>
      </c>
      <c r="D5185" s="7" t="s">
        <v>1770</v>
      </c>
      <c r="E5185" s="5" t="s">
        <v>3039</v>
      </c>
      <c r="F5185" s="5" t="s">
        <v>1664</v>
      </c>
    </row>
    <row r="5186">
      <c r="A5186" s="5" t="s">
        <v>2607</v>
      </c>
      <c r="B5186" s="8">
        <v>8.0</v>
      </c>
      <c r="C5186" s="7" t="s">
        <v>274</v>
      </c>
      <c r="D5186" s="7" t="s">
        <v>1770</v>
      </c>
      <c r="E5186" s="5" t="s">
        <v>3039</v>
      </c>
      <c r="F5186" s="7" t="s">
        <v>1436</v>
      </c>
    </row>
    <row r="5187">
      <c r="A5187" s="5" t="s">
        <v>2935</v>
      </c>
      <c r="B5187" s="8">
        <v>8.0</v>
      </c>
      <c r="C5187" s="7" t="s">
        <v>274</v>
      </c>
      <c r="D5187" s="7" t="s">
        <v>1770</v>
      </c>
      <c r="E5187" s="5" t="s">
        <v>3039</v>
      </c>
      <c r="F5187" s="5" t="s">
        <v>3680</v>
      </c>
    </row>
    <row r="5188">
      <c r="A5188" s="5" t="s">
        <v>2936</v>
      </c>
      <c r="B5188" s="8">
        <v>8.0</v>
      </c>
      <c r="C5188" s="7" t="s">
        <v>274</v>
      </c>
      <c r="D5188" s="7" t="s">
        <v>1770</v>
      </c>
      <c r="E5188" s="5" t="s">
        <v>3039</v>
      </c>
      <c r="F5188" s="5" t="s">
        <v>3673</v>
      </c>
    </row>
    <row r="5189">
      <c r="A5189" s="5" t="s">
        <v>2608</v>
      </c>
      <c r="B5189" s="8">
        <v>8.0</v>
      </c>
      <c r="C5189" s="7" t="s">
        <v>274</v>
      </c>
      <c r="D5189" s="7" t="s">
        <v>1770</v>
      </c>
      <c r="E5189" s="5" t="s">
        <v>3039</v>
      </c>
      <c r="F5189" s="5" t="s">
        <v>3681</v>
      </c>
    </row>
    <row r="5190">
      <c r="A5190" s="5" t="s">
        <v>2609</v>
      </c>
      <c r="B5190" s="8">
        <v>8.0</v>
      </c>
      <c r="C5190" s="7" t="s">
        <v>274</v>
      </c>
      <c r="D5190" s="7" t="s">
        <v>1770</v>
      </c>
      <c r="E5190" s="5" t="s">
        <v>3039</v>
      </c>
      <c r="F5190" s="5" t="s">
        <v>780</v>
      </c>
    </row>
    <row r="5191">
      <c r="A5191" s="5" t="s">
        <v>2924</v>
      </c>
      <c r="B5191" s="8">
        <v>8.0</v>
      </c>
      <c r="C5191" s="7" t="s">
        <v>788</v>
      </c>
      <c r="D5191" s="7" t="s">
        <v>1782</v>
      </c>
      <c r="E5191" s="7" t="s">
        <v>1783</v>
      </c>
      <c r="F5191" s="7" t="s">
        <v>792</v>
      </c>
    </row>
    <row r="5192">
      <c r="A5192" s="5" t="s">
        <v>2925</v>
      </c>
      <c r="B5192" s="8">
        <v>8.0</v>
      </c>
      <c r="C5192" s="7" t="s">
        <v>788</v>
      </c>
      <c r="D5192" s="7" t="s">
        <v>1782</v>
      </c>
      <c r="E5192" s="7" t="s">
        <v>1783</v>
      </c>
      <c r="F5192" s="7" t="s">
        <v>792</v>
      </c>
    </row>
    <row r="5193">
      <c r="A5193" s="5" t="s">
        <v>3086</v>
      </c>
      <c r="B5193" s="8">
        <v>8.0</v>
      </c>
      <c r="C5193" s="7" t="s">
        <v>788</v>
      </c>
      <c r="D5193" s="7" t="s">
        <v>1782</v>
      </c>
      <c r="E5193" s="7" t="s">
        <v>1783</v>
      </c>
      <c r="F5193" s="7" t="s">
        <v>792</v>
      </c>
    </row>
    <row r="5194">
      <c r="A5194" s="5" t="s">
        <v>3087</v>
      </c>
      <c r="B5194" s="8">
        <v>8.0</v>
      </c>
      <c r="C5194" s="7" t="s">
        <v>788</v>
      </c>
      <c r="D5194" s="7" t="s">
        <v>1782</v>
      </c>
      <c r="E5194" s="7" t="s">
        <v>1783</v>
      </c>
      <c r="F5194" s="7" t="s">
        <v>792</v>
      </c>
    </row>
    <row r="5195">
      <c r="A5195" s="5" t="s">
        <v>2926</v>
      </c>
      <c r="B5195" s="8">
        <v>8.0</v>
      </c>
      <c r="C5195" s="7" t="s">
        <v>788</v>
      </c>
      <c r="D5195" s="7" t="s">
        <v>1782</v>
      </c>
      <c r="E5195" s="7" t="s">
        <v>1783</v>
      </c>
      <c r="F5195" s="7" t="s">
        <v>792</v>
      </c>
    </row>
    <row r="5196">
      <c r="A5196" s="5" t="s">
        <v>3388</v>
      </c>
      <c r="B5196" s="8">
        <v>8.0</v>
      </c>
      <c r="C5196" s="7" t="s">
        <v>788</v>
      </c>
      <c r="D5196" s="7" t="s">
        <v>1782</v>
      </c>
      <c r="E5196" s="7" t="s">
        <v>1783</v>
      </c>
      <c r="F5196" s="7" t="s">
        <v>792</v>
      </c>
    </row>
    <row r="5197">
      <c r="A5197" s="5" t="s">
        <v>2928</v>
      </c>
      <c r="B5197" s="8">
        <v>8.0</v>
      </c>
      <c r="C5197" s="7" t="s">
        <v>788</v>
      </c>
      <c r="D5197" s="7" t="s">
        <v>1782</v>
      </c>
      <c r="E5197" s="7" t="s">
        <v>1783</v>
      </c>
      <c r="F5197" s="7" t="s">
        <v>792</v>
      </c>
    </row>
    <row r="5198">
      <c r="A5198" s="7" t="s">
        <v>603</v>
      </c>
      <c r="B5198" s="8">
        <v>8.0</v>
      </c>
      <c r="C5198" s="7" t="s">
        <v>788</v>
      </c>
      <c r="D5198" s="7" t="s">
        <v>1782</v>
      </c>
      <c r="E5198" s="7" t="s">
        <v>1783</v>
      </c>
      <c r="F5198" s="7" t="s">
        <v>792</v>
      </c>
    </row>
    <row r="5199">
      <c r="A5199" s="5" t="s">
        <v>2929</v>
      </c>
      <c r="B5199" s="8">
        <v>8.0</v>
      </c>
      <c r="C5199" s="7" t="s">
        <v>788</v>
      </c>
      <c r="D5199" s="7" t="s">
        <v>1782</v>
      </c>
      <c r="E5199" s="7" t="s">
        <v>1783</v>
      </c>
      <c r="F5199" s="7" t="s">
        <v>792</v>
      </c>
    </row>
    <row r="5200">
      <c r="A5200" s="5" t="s">
        <v>2930</v>
      </c>
      <c r="B5200" s="8">
        <v>8.0</v>
      </c>
      <c r="C5200" s="7" t="s">
        <v>788</v>
      </c>
      <c r="D5200" s="7" t="s">
        <v>1782</v>
      </c>
      <c r="E5200" s="7" t="s">
        <v>1783</v>
      </c>
      <c r="F5200" s="7" t="s">
        <v>792</v>
      </c>
    </row>
    <row r="5201">
      <c r="A5201" s="7" t="s">
        <v>606</v>
      </c>
      <c r="B5201" s="8">
        <v>8.0</v>
      </c>
      <c r="C5201" s="7" t="s">
        <v>788</v>
      </c>
      <c r="D5201" s="7" t="s">
        <v>1782</v>
      </c>
      <c r="E5201" s="7" t="s">
        <v>1783</v>
      </c>
      <c r="F5201" s="7" t="s">
        <v>792</v>
      </c>
    </row>
    <row r="5202">
      <c r="A5202" s="5" t="s">
        <v>2602</v>
      </c>
      <c r="B5202" s="8">
        <v>8.0</v>
      </c>
      <c r="C5202" s="7" t="s">
        <v>788</v>
      </c>
      <c r="D5202" s="7" t="s">
        <v>1782</v>
      </c>
      <c r="E5202" s="7" t="s">
        <v>1783</v>
      </c>
      <c r="F5202" s="7" t="s">
        <v>792</v>
      </c>
    </row>
    <row r="5203">
      <c r="A5203" s="5" t="s">
        <v>2931</v>
      </c>
      <c r="B5203" s="8">
        <v>8.0</v>
      </c>
      <c r="C5203" s="7" t="s">
        <v>788</v>
      </c>
      <c r="D5203" s="7" t="s">
        <v>1782</v>
      </c>
      <c r="E5203" s="7" t="s">
        <v>1783</v>
      </c>
      <c r="F5203" s="7" t="s">
        <v>792</v>
      </c>
    </row>
    <row r="5204">
      <c r="A5204" s="5" t="s">
        <v>2932</v>
      </c>
      <c r="B5204" s="8">
        <v>8.0</v>
      </c>
      <c r="C5204" s="7" t="s">
        <v>788</v>
      </c>
      <c r="D5204" s="7" t="s">
        <v>1782</v>
      </c>
      <c r="E5204" s="7" t="s">
        <v>1783</v>
      </c>
      <c r="F5204" s="7" t="s">
        <v>792</v>
      </c>
    </row>
    <row r="5205">
      <c r="A5205" s="5" t="s">
        <v>2933</v>
      </c>
      <c r="B5205" s="8">
        <v>8.0</v>
      </c>
      <c r="C5205" s="7" t="s">
        <v>788</v>
      </c>
      <c r="D5205" s="7" t="s">
        <v>1782</v>
      </c>
      <c r="E5205" s="7" t="s">
        <v>1783</v>
      </c>
      <c r="F5205" s="7" t="s">
        <v>792</v>
      </c>
    </row>
    <row r="5206">
      <c r="A5206" s="5" t="s">
        <v>2606</v>
      </c>
      <c r="B5206" s="8">
        <v>8.0</v>
      </c>
      <c r="C5206" s="7" t="s">
        <v>788</v>
      </c>
      <c r="D5206" s="7" t="s">
        <v>1782</v>
      </c>
      <c r="E5206" s="7" t="s">
        <v>1783</v>
      </c>
      <c r="F5206" s="7" t="s">
        <v>792</v>
      </c>
    </row>
    <row r="5207">
      <c r="A5207" s="5" t="s">
        <v>2934</v>
      </c>
      <c r="B5207" s="8">
        <v>8.0</v>
      </c>
      <c r="C5207" s="7" t="s">
        <v>788</v>
      </c>
      <c r="D5207" s="7" t="s">
        <v>1782</v>
      </c>
      <c r="E5207" s="7" t="s">
        <v>1783</v>
      </c>
      <c r="F5207" s="7" t="s">
        <v>792</v>
      </c>
    </row>
    <row r="5208">
      <c r="A5208" s="5" t="s">
        <v>2607</v>
      </c>
      <c r="B5208" s="8">
        <v>8.0</v>
      </c>
      <c r="C5208" s="7" t="s">
        <v>788</v>
      </c>
      <c r="D5208" s="7" t="s">
        <v>1782</v>
      </c>
      <c r="E5208" s="7" t="s">
        <v>1783</v>
      </c>
      <c r="F5208" s="7" t="s">
        <v>792</v>
      </c>
    </row>
    <row r="5209">
      <c r="A5209" s="5" t="s">
        <v>2935</v>
      </c>
      <c r="B5209" s="8">
        <v>8.0</v>
      </c>
      <c r="C5209" s="7" t="s">
        <v>788</v>
      </c>
      <c r="D5209" s="7" t="s">
        <v>1782</v>
      </c>
      <c r="E5209" s="7" t="s">
        <v>1783</v>
      </c>
      <c r="F5209" s="7" t="s">
        <v>792</v>
      </c>
    </row>
    <row r="5210">
      <c r="A5210" s="5" t="s">
        <v>2936</v>
      </c>
      <c r="B5210" s="8">
        <v>8.0</v>
      </c>
      <c r="C5210" s="7" t="s">
        <v>788</v>
      </c>
      <c r="D5210" s="7" t="s">
        <v>1782</v>
      </c>
      <c r="E5210" s="7" t="s">
        <v>1783</v>
      </c>
      <c r="F5210" s="7" t="s">
        <v>792</v>
      </c>
    </row>
    <row r="5211">
      <c r="A5211" s="5" t="s">
        <v>2608</v>
      </c>
      <c r="B5211" s="8">
        <v>8.0</v>
      </c>
      <c r="C5211" s="7" t="s">
        <v>788</v>
      </c>
      <c r="D5211" s="7" t="s">
        <v>1782</v>
      </c>
      <c r="E5211" s="7" t="s">
        <v>1783</v>
      </c>
      <c r="F5211" s="7" t="s">
        <v>792</v>
      </c>
    </row>
    <row r="5212">
      <c r="A5212" s="5" t="s">
        <v>2609</v>
      </c>
      <c r="B5212" s="8">
        <v>8.0</v>
      </c>
      <c r="C5212" s="7" t="s">
        <v>788</v>
      </c>
      <c r="D5212" s="7" t="s">
        <v>1782</v>
      </c>
      <c r="E5212" s="7" t="s">
        <v>1783</v>
      </c>
      <c r="F5212" s="7" t="s">
        <v>792</v>
      </c>
    </row>
    <row r="5213">
      <c r="A5213" s="5" t="s">
        <v>2924</v>
      </c>
      <c r="B5213" s="8">
        <v>8.0</v>
      </c>
      <c r="C5213" s="7" t="s">
        <v>813</v>
      </c>
      <c r="D5213" s="7" t="s">
        <v>1784</v>
      </c>
      <c r="E5213" s="5" t="s">
        <v>3682</v>
      </c>
      <c r="F5213" s="5" t="s">
        <v>3683</v>
      </c>
    </row>
    <row r="5214">
      <c r="A5214" s="5" t="s">
        <v>2925</v>
      </c>
      <c r="B5214" s="8">
        <v>8.0</v>
      </c>
      <c r="C5214" s="7" t="s">
        <v>813</v>
      </c>
      <c r="D5214" s="7" t="s">
        <v>1784</v>
      </c>
      <c r="E5214" s="5" t="s">
        <v>3682</v>
      </c>
      <c r="F5214" s="5" t="s">
        <v>3683</v>
      </c>
    </row>
    <row r="5215">
      <c r="A5215" s="5" t="s">
        <v>3086</v>
      </c>
      <c r="B5215" s="8">
        <v>8.0</v>
      </c>
      <c r="C5215" s="7" t="s">
        <v>813</v>
      </c>
      <c r="D5215" s="7" t="s">
        <v>1784</v>
      </c>
      <c r="E5215" s="5" t="s">
        <v>3682</v>
      </c>
      <c r="F5215" s="5" t="s">
        <v>3683</v>
      </c>
    </row>
    <row r="5216">
      <c r="A5216" s="5" t="s">
        <v>3087</v>
      </c>
      <c r="B5216" s="8">
        <v>8.0</v>
      </c>
      <c r="C5216" s="7" t="s">
        <v>813</v>
      </c>
      <c r="D5216" s="7" t="s">
        <v>1784</v>
      </c>
      <c r="E5216" s="5" t="s">
        <v>3682</v>
      </c>
      <c r="F5216" s="5" t="s">
        <v>3683</v>
      </c>
    </row>
    <row r="5217">
      <c r="A5217" s="5" t="s">
        <v>2926</v>
      </c>
      <c r="B5217" s="8">
        <v>8.0</v>
      </c>
      <c r="C5217" s="7" t="s">
        <v>813</v>
      </c>
      <c r="D5217" s="7" t="s">
        <v>1784</v>
      </c>
      <c r="E5217" s="5" t="s">
        <v>3682</v>
      </c>
      <c r="F5217" s="5" t="s">
        <v>3683</v>
      </c>
    </row>
    <row r="5218">
      <c r="A5218" s="5" t="s">
        <v>3388</v>
      </c>
      <c r="B5218" s="8">
        <v>8.0</v>
      </c>
      <c r="C5218" s="7" t="s">
        <v>813</v>
      </c>
      <c r="D5218" s="7" t="s">
        <v>1784</v>
      </c>
      <c r="E5218" s="5" t="s">
        <v>3682</v>
      </c>
      <c r="F5218" s="5" t="s">
        <v>3683</v>
      </c>
    </row>
    <row r="5219">
      <c r="A5219" s="5" t="s">
        <v>2928</v>
      </c>
      <c r="B5219" s="8">
        <v>8.0</v>
      </c>
      <c r="C5219" s="7" t="s">
        <v>813</v>
      </c>
      <c r="D5219" s="7" t="s">
        <v>1784</v>
      </c>
      <c r="E5219" s="5" t="s">
        <v>3682</v>
      </c>
      <c r="F5219" s="5" t="s">
        <v>3683</v>
      </c>
    </row>
    <row r="5220">
      <c r="A5220" s="7" t="s">
        <v>603</v>
      </c>
      <c r="B5220" s="8">
        <v>8.0</v>
      </c>
      <c r="C5220" s="7" t="s">
        <v>813</v>
      </c>
      <c r="D5220" s="7" t="s">
        <v>1784</v>
      </c>
      <c r="E5220" s="5" t="s">
        <v>3682</v>
      </c>
      <c r="F5220" s="5" t="s">
        <v>3683</v>
      </c>
    </row>
    <row r="5221">
      <c r="A5221" s="5" t="s">
        <v>2929</v>
      </c>
      <c r="B5221" s="8">
        <v>8.0</v>
      </c>
      <c r="C5221" s="7" t="s">
        <v>813</v>
      </c>
      <c r="D5221" s="7" t="s">
        <v>1784</v>
      </c>
      <c r="E5221" s="5" t="s">
        <v>3682</v>
      </c>
      <c r="F5221" s="5" t="s">
        <v>3683</v>
      </c>
    </row>
    <row r="5222">
      <c r="A5222" s="5" t="s">
        <v>2930</v>
      </c>
      <c r="B5222" s="8">
        <v>8.0</v>
      </c>
      <c r="C5222" s="7" t="s">
        <v>813</v>
      </c>
      <c r="D5222" s="7" t="s">
        <v>1784</v>
      </c>
      <c r="E5222" s="5" t="s">
        <v>3682</v>
      </c>
      <c r="F5222" s="5" t="s">
        <v>3683</v>
      </c>
    </row>
    <row r="5223">
      <c r="A5223" s="7" t="s">
        <v>606</v>
      </c>
      <c r="B5223" s="8">
        <v>8.0</v>
      </c>
      <c r="C5223" s="7" t="s">
        <v>813</v>
      </c>
      <c r="D5223" s="7" t="s">
        <v>1784</v>
      </c>
      <c r="E5223" s="5" t="s">
        <v>3682</v>
      </c>
      <c r="F5223" s="5" t="s">
        <v>3683</v>
      </c>
    </row>
    <row r="5224">
      <c r="A5224" s="5" t="s">
        <v>2602</v>
      </c>
      <c r="B5224" s="8">
        <v>8.0</v>
      </c>
      <c r="C5224" s="7" t="s">
        <v>813</v>
      </c>
      <c r="D5224" s="7" t="s">
        <v>1784</v>
      </c>
      <c r="E5224" s="5" t="s">
        <v>3682</v>
      </c>
      <c r="F5224" s="5" t="s">
        <v>3683</v>
      </c>
    </row>
    <row r="5225">
      <c r="A5225" s="5" t="s">
        <v>2931</v>
      </c>
      <c r="B5225" s="8">
        <v>8.0</v>
      </c>
      <c r="C5225" s="7" t="s">
        <v>813</v>
      </c>
      <c r="D5225" s="7" t="s">
        <v>1784</v>
      </c>
      <c r="E5225" s="5" t="s">
        <v>3682</v>
      </c>
      <c r="F5225" s="5" t="s">
        <v>3683</v>
      </c>
    </row>
    <row r="5226">
      <c r="A5226" s="5" t="s">
        <v>2932</v>
      </c>
      <c r="B5226" s="8">
        <v>8.0</v>
      </c>
      <c r="C5226" s="7" t="s">
        <v>813</v>
      </c>
      <c r="D5226" s="7" t="s">
        <v>1784</v>
      </c>
      <c r="E5226" s="5" t="s">
        <v>3682</v>
      </c>
      <c r="F5226" s="5" t="s">
        <v>3062</v>
      </c>
    </row>
    <row r="5227">
      <c r="A5227" s="5" t="s">
        <v>2933</v>
      </c>
      <c r="B5227" s="8">
        <v>8.0</v>
      </c>
      <c r="C5227" s="7" t="s">
        <v>813</v>
      </c>
      <c r="D5227" s="7" t="s">
        <v>1784</v>
      </c>
      <c r="E5227" s="5" t="s">
        <v>3682</v>
      </c>
      <c r="F5227" s="5" t="s">
        <v>3683</v>
      </c>
    </row>
    <row r="5228">
      <c r="A5228" s="5" t="s">
        <v>2606</v>
      </c>
      <c r="B5228" s="8">
        <v>8.0</v>
      </c>
      <c r="C5228" s="7" t="s">
        <v>813</v>
      </c>
      <c r="D5228" s="7" t="s">
        <v>1784</v>
      </c>
      <c r="E5228" s="5" t="s">
        <v>3682</v>
      </c>
      <c r="F5228" s="5" t="s">
        <v>3683</v>
      </c>
    </row>
    <row r="5229">
      <c r="A5229" s="5" t="s">
        <v>2934</v>
      </c>
      <c r="B5229" s="8">
        <v>8.0</v>
      </c>
      <c r="C5229" s="7" t="s">
        <v>813</v>
      </c>
      <c r="D5229" s="7" t="s">
        <v>1784</v>
      </c>
      <c r="E5229" s="5" t="s">
        <v>3682</v>
      </c>
      <c r="F5229" s="5" t="s">
        <v>3683</v>
      </c>
    </row>
    <row r="5230">
      <c r="A5230" s="5" t="s">
        <v>2607</v>
      </c>
      <c r="B5230" s="8">
        <v>8.0</v>
      </c>
      <c r="C5230" s="7" t="s">
        <v>813</v>
      </c>
      <c r="D5230" s="7" t="s">
        <v>1784</v>
      </c>
      <c r="E5230" s="5" t="s">
        <v>3682</v>
      </c>
      <c r="F5230" s="5" t="s">
        <v>3683</v>
      </c>
    </row>
    <row r="5231">
      <c r="A5231" s="5" t="s">
        <v>2935</v>
      </c>
      <c r="B5231" s="8">
        <v>8.0</v>
      </c>
      <c r="C5231" s="7" t="s">
        <v>813</v>
      </c>
      <c r="D5231" s="7" t="s">
        <v>1784</v>
      </c>
      <c r="E5231" s="5" t="s">
        <v>3682</v>
      </c>
      <c r="F5231" s="5" t="s">
        <v>3683</v>
      </c>
    </row>
    <row r="5232">
      <c r="A5232" s="5" t="s">
        <v>2936</v>
      </c>
      <c r="B5232" s="8">
        <v>8.0</v>
      </c>
      <c r="C5232" s="7" t="s">
        <v>813</v>
      </c>
      <c r="D5232" s="7" t="s">
        <v>1784</v>
      </c>
      <c r="E5232" s="5" t="s">
        <v>3682</v>
      </c>
      <c r="F5232" s="5" t="s">
        <v>3683</v>
      </c>
    </row>
    <row r="5233">
      <c r="A5233" s="5" t="s">
        <v>2608</v>
      </c>
      <c r="B5233" s="8">
        <v>8.0</v>
      </c>
      <c r="C5233" s="7" t="s">
        <v>813</v>
      </c>
      <c r="D5233" s="7" t="s">
        <v>1784</v>
      </c>
      <c r="E5233" s="5" t="s">
        <v>3682</v>
      </c>
      <c r="F5233" s="5" t="s">
        <v>3683</v>
      </c>
    </row>
    <row r="5234">
      <c r="A5234" s="5" t="s">
        <v>2609</v>
      </c>
      <c r="B5234" s="8">
        <v>8.0</v>
      </c>
      <c r="C5234" s="7" t="s">
        <v>813</v>
      </c>
      <c r="D5234" s="7" t="s">
        <v>1784</v>
      </c>
      <c r="E5234" s="5" t="s">
        <v>3682</v>
      </c>
      <c r="F5234" s="5" t="s">
        <v>3683</v>
      </c>
    </row>
    <row r="5235">
      <c r="A5235" s="5" t="s">
        <v>2924</v>
      </c>
      <c r="B5235" s="8">
        <v>8.0</v>
      </c>
      <c r="C5235" s="7" t="s">
        <v>794</v>
      </c>
      <c r="D5235" s="7" t="s">
        <v>1787</v>
      </c>
      <c r="E5235" s="5" t="s">
        <v>1788</v>
      </c>
      <c r="F5235" s="4" t="s">
        <v>3684</v>
      </c>
    </row>
    <row r="5236">
      <c r="A5236" s="5" t="s">
        <v>2925</v>
      </c>
      <c r="B5236" s="8">
        <v>8.0</v>
      </c>
      <c r="C5236" s="7" t="s">
        <v>794</v>
      </c>
      <c r="D5236" s="7" t="s">
        <v>1787</v>
      </c>
      <c r="E5236" s="5" t="s">
        <v>1788</v>
      </c>
      <c r="F5236" s="4" t="s">
        <v>3685</v>
      </c>
    </row>
    <row r="5237">
      <c r="A5237" s="5" t="s">
        <v>3086</v>
      </c>
      <c r="B5237" s="8">
        <v>8.0</v>
      </c>
      <c r="C5237" s="7" t="s">
        <v>794</v>
      </c>
      <c r="D5237" s="7" t="s">
        <v>1787</v>
      </c>
      <c r="E5237" s="5" t="s">
        <v>1788</v>
      </c>
      <c r="F5237" s="4" t="s">
        <v>3686</v>
      </c>
    </row>
    <row r="5238">
      <c r="A5238" s="5" t="s">
        <v>3087</v>
      </c>
      <c r="B5238" s="8">
        <v>8.0</v>
      </c>
      <c r="C5238" s="7" t="s">
        <v>794</v>
      </c>
      <c r="D5238" s="7" t="s">
        <v>1787</v>
      </c>
      <c r="E5238" s="5" t="s">
        <v>1788</v>
      </c>
      <c r="F5238" s="4" t="s">
        <v>3687</v>
      </c>
    </row>
    <row r="5239">
      <c r="A5239" s="5" t="s">
        <v>2926</v>
      </c>
      <c r="B5239" s="8">
        <v>8.0</v>
      </c>
      <c r="C5239" s="7" t="s">
        <v>794</v>
      </c>
      <c r="D5239" s="7" t="s">
        <v>1787</v>
      </c>
      <c r="E5239" s="5" t="s">
        <v>1788</v>
      </c>
      <c r="F5239" s="4" t="s">
        <v>3688</v>
      </c>
    </row>
    <row r="5240">
      <c r="A5240" s="5" t="s">
        <v>3388</v>
      </c>
      <c r="B5240" s="8">
        <v>8.0</v>
      </c>
      <c r="C5240" s="7" t="s">
        <v>794</v>
      </c>
      <c r="D5240" s="7" t="s">
        <v>1787</v>
      </c>
      <c r="E5240" s="5" t="s">
        <v>1788</v>
      </c>
      <c r="F5240" s="4" t="s">
        <v>3689</v>
      </c>
    </row>
    <row r="5241">
      <c r="A5241" s="5" t="s">
        <v>2927</v>
      </c>
      <c r="B5241" s="8">
        <v>8.0</v>
      </c>
      <c r="C5241" s="7" t="s">
        <v>794</v>
      </c>
      <c r="D5241" s="7" t="s">
        <v>1787</v>
      </c>
      <c r="E5241" s="5" t="s">
        <v>1788</v>
      </c>
      <c r="F5241" s="4" t="s">
        <v>3690</v>
      </c>
    </row>
    <row r="5242">
      <c r="A5242" s="5" t="s">
        <v>2928</v>
      </c>
      <c r="B5242" s="8">
        <v>8.0</v>
      </c>
      <c r="C5242" s="7" t="s">
        <v>794</v>
      </c>
      <c r="D5242" s="7" t="s">
        <v>1787</v>
      </c>
      <c r="E5242" s="5" t="s">
        <v>1788</v>
      </c>
      <c r="F5242" s="4" t="s">
        <v>3691</v>
      </c>
    </row>
    <row r="5243">
      <c r="A5243" s="7" t="s">
        <v>603</v>
      </c>
      <c r="B5243" s="8">
        <v>8.0</v>
      </c>
      <c r="C5243" s="7" t="s">
        <v>794</v>
      </c>
      <c r="D5243" s="7" t="s">
        <v>1787</v>
      </c>
      <c r="E5243" s="5" t="s">
        <v>1788</v>
      </c>
      <c r="F5243" s="4" t="s">
        <v>3000</v>
      </c>
    </row>
    <row r="5244">
      <c r="A5244" s="5" t="s">
        <v>2929</v>
      </c>
      <c r="B5244" s="8">
        <v>8.0</v>
      </c>
      <c r="C5244" s="7" t="s">
        <v>794</v>
      </c>
      <c r="D5244" s="7" t="s">
        <v>1787</v>
      </c>
      <c r="E5244" s="5" t="s">
        <v>1788</v>
      </c>
      <c r="F5244" s="4" t="s">
        <v>3692</v>
      </c>
    </row>
    <row r="5245">
      <c r="A5245" s="5" t="s">
        <v>2930</v>
      </c>
      <c r="B5245" s="8">
        <v>8.0</v>
      </c>
      <c r="C5245" s="7" t="s">
        <v>794</v>
      </c>
      <c r="D5245" s="7" t="s">
        <v>1787</v>
      </c>
      <c r="E5245" s="5" t="s">
        <v>1788</v>
      </c>
      <c r="F5245" s="4" t="s">
        <v>3693</v>
      </c>
    </row>
    <row r="5246">
      <c r="A5246" s="7" t="s">
        <v>606</v>
      </c>
      <c r="B5246" s="8">
        <v>8.0</v>
      </c>
      <c r="C5246" s="7" t="s">
        <v>794</v>
      </c>
      <c r="D5246" s="7" t="s">
        <v>1787</v>
      </c>
      <c r="E5246" s="5" t="s">
        <v>1788</v>
      </c>
      <c r="F5246" s="4" t="s">
        <v>3694</v>
      </c>
    </row>
    <row r="5247">
      <c r="A5247" s="5" t="s">
        <v>2602</v>
      </c>
      <c r="B5247" s="8">
        <v>8.0</v>
      </c>
      <c r="C5247" s="7" t="s">
        <v>794</v>
      </c>
      <c r="D5247" s="7" t="s">
        <v>1787</v>
      </c>
      <c r="E5247" s="5" t="s">
        <v>1788</v>
      </c>
      <c r="F5247" s="4" t="s">
        <v>3695</v>
      </c>
    </row>
    <row r="5248">
      <c r="A5248" s="5" t="s">
        <v>2931</v>
      </c>
      <c r="B5248" s="8">
        <v>8.0</v>
      </c>
      <c r="C5248" s="7" t="s">
        <v>794</v>
      </c>
      <c r="D5248" s="7" t="s">
        <v>1787</v>
      </c>
      <c r="E5248" s="5" t="s">
        <v>1788</v>
      </c>
      <c r="F5248" s="4" t="s">
        <v>3696</v>
      </c>
    </row>
    <row r="5249">
      <c r="A5249" s="5" t="s">
        <v>2932</v>
      </c>
      <c r="B5249" s="8">
        <v>8.0</v>
      </c>
      <c r="C5249" s="7" t="s">
        <v>794</v>
      </c>
      <c r="D5249" s="7" t="s">
        <v>1787</v>
      </c>
      <c r="E5249" s="5" t="s">
        <v>1788</v>
      </c>
      <c r="F5249" s="4" t="s">
        <v>3697</v>
      </c>
    </row>
    <row r="5250">
      <c r="A5250" s="5" t="s">
        <v>2933</v>
      </c>
      <c r="B5250" s="8">
        <v>8.0</v>
      </c>
      <c r="C5250" s="7" t="s">
        <v>794</v>
      </c>
      <c r="D5250" s="7" t="s">
        <v>1787</v>
      </c>
      <c r="E5250" s="5" t="s">
        <v>1788</v>
      </c>
      <c r="F5250" s="4" t="s">
        <v>3698</v>
      </c>
    </row>
    <row r="5251">
      <c r="A5251" s="5" t="s">
        <v>2606</v>
      </c>
      <c r="B5251" s="8">
        <v>8.0</v>
      </c>
      <c r="C5251" s="7" t="s">
        <v>794</v>
      </c>
      <c r="D5251" s="7" t="s">
        <v>1787</v>
      </c>
      <c r="E5251" s="5" t="s">
        <v>1788</v>
      </c>
      <c r="F5251" s="4" t="s">
        <v>3699</v>
      </c>
    </row>
    <row r="5252">
      <c r="A5252" s="5" t="s">
        <v>2934</v>
      </c>
      <c r="B5252" s="8">
        <v>8.0</v>
      </c>
      <c r="C5252" s="7" t="s">
        <v>794</v>
      </c>
      <c r="D5252" s="7" t="s">
        <v>1787</v>
      </c>
      <c r="E5252" s="5" t="s">
        <v>1788</v>
      </c>
      <c r="F5252" s="4" t="s">
        <v>3700</v>
      </c>
    </row>
    <row r="5253">
      <c r="A5253" s="5" t="s">
        <v>2607</v>
      </c>
      <c r="B5253" s="8">
        <v>8.0</v>
      </c>
      <c r="C5253" s="7" t="s">
        <v>794</v>
      </c>
      <c r="D5253" s="7" t="s">
        <v>1787</v>
      </c>
      <c r="E5253" s="5" t="s">
        <v>1788</v>
      </c>
      <c r="F5253" s="4" t="s">
        <v>3701</v>
      </c>
    </row>
    <row r="5254">
      <c r="A5254" s="5" t="s">
        <v>2935</v>
      </c>
      <c r="B5254" s="8">
        <v>8.0</v>
      </c>
      <c r="C5254" s="7" t="s">
        <v>794</v>
      </c>
      <c r="D5254" s="7" t="s">
        <v>1787</v>
      </c>
      <c r="E5254" s="5" t="s">
        <v>1788</v>
      </c>
      <c r="F5254" s="4" t="s">
        <v>3702</v>
      </c>
    </row>
    <row r="5255">
      <c r="A5255" s="5" t="s">
        <v>2936</v>
      </c>
      <c r="B5255" s="8">
        <v>8.0</v>
      </c>
      <c r="C5255" s="7" t="s">
        <v>794</v>
      </c>
      <c r="D5255" s="7" t="s">
        <v>1787</v>
      </c>
      <c r="E5255" s="5" t="s">
        <v>1788</v>
      </c>
      <c r="F5255" s="4" t="s">
        <v>3703</v>
      </c>
    </row>
    <row r="5256">
      <c r="A5256" s="5" t="s">
        <v>2608</v>
      </c>
      <c r="B5256" s="8">
        <v>8.0</v>
      </c>
      <c r="C5256" s="7" t="s">
        <v>794</v>
      </c>
      <c r="D5256" s="7" t="s">
        <v>1787</v>
      </c>
      <c r="E5256" s="5" t="s">
        <v>1788</v>
      </c>
      <c r="F5256" s="4" t="s">
        <v>3704</v>
      </c>
    </row>
    <row r="5257">
      <c r="A5257" s="5" t="s">
        <v>2609</v>
      </c>
      <c r="B5257" s="8">
        <v>8.0</v>
      </c>
      <c r="C5257" s="7" t="s">
        <v>794</v>
      </c>
      <c r="D5257" s="7" t="s">
        <v>1787</v>
      </c>
      <c r="E5257" s="5" t="s">
        <v>1788</v>
      </c>
      <c r="F5257" s="4" t="s">
        <v>3705</v>
      </c>
    </row>
    <row r="5258">
      <c r="A5258" s="5" t="s">
        <v>2924</v>
      </c>
      <c r="B5258" s="8">
        <v>8.0</v>
      </c>
      <c r="C5258" s="7" t="s">
        <v>1146</v>
      </c>
      <c r="D5258" s="7" t="s">
        <v>1812</v>
      </c>
      <c r="E5258" s="5" t="s">
        <v>3706</v>
      </c>
      <c r="F5258" s="5" t="s">
        <v>933</v>
      </c>
    </row>
    <row r="5259">
      <c r="A5259" s="5" t="s">
        <v>3086</v>
      </c>
      <c r="B5259" s="8">
        <v>8.0</v>
      </c>
      <c r="C5259" s="7" t="s">
        <v>1146</v>
      </c>
      <c r="D5259" s="7" t="s">
        <v>1812</v>
      </c>
      <c r="E5259" s="5" t="s">
        <v>3706</v>
      </c>
      <c r="F5259" s="5" t="s">
        <v>933</v>
      </c>
    </row>
    <row r="5260">
      <c r="A5260" s="5" t="s">
        <v>3087</v>
      </c>
      <c r="B5260" s="8">
        <v>8.0</v>
      </c>
      <c r="C5260" s="7" t="s">
        <v>1146</v>
      </c>
      <c r="D5260" s="7" t="s">
        <v>1812</v>
      </c>
      <c r="E5260" s="5" t="s">
        <v>3706</v>
      </c>
      <c r="F5260" s="4" t="s">
        <v>3670</v>
      </c>
    </row>
    <row r="5261">
      <c r="A5261" s="5" t="s">
        <v>2926</v>
      </c>
      <c r="B5261" s="8">
        <v>8.0</v>
      </c>
      <c r="C5261" s="7" t="s">
        <v>1146</v>
      </c>
      <c r="D5261" s="7" t="s">
        <v>1812</v>
      </c>
      <c r="E5261" s="5" t="s">
        <v>3706</v>
      </c>
      <c r="F5261" s="5" t="s">
        <v>933</v>
      </c>
    </row>
    <row r="5262">
      <c r="A5262" s="5" t="s">
        <v>3388</v>
      </c>
      <c r="B5262" s="8">
        <v>8.0</v>
      </c>
      <c r="C5262" s="7" t="s">
        <v>1146</v>
      </c>
      <c r="D5262" s="7" t="s">
        <v>1812</v>
      </c>
      <c r="E5262" s="5" t="s">
        <v>3706</v>
      </c>
      <c r="F5262" s="5" t="s">
        <v>933</v>
      </c>
    </row>
    <row r="5263">
      <c r="A5263" s="5" t="s">
        <v>2924</v>
      </c>
      <c r="B5263" s="8">
        <v>8.0</v>
      </c>
      <c r="C5263" s="7" t="s">
        <v>1814</v>
      </c>
      <c r="D5263" s="7" t="s">
        <v>1815</v>
      </c>
      <c r="E5263" s="5" t="s">
        <v>1816</v>
      </c>
      <c r="F5263" s="4" t="s">
        <v>1759</v>
      </c>
    </row>
    <row r="5264">
      <c r="A5264" s="5" t="s">
        <v>2925</v>
      </c>
      <c r="B5264" s="8">
        <v>8.0</v>
      </c>
      <c r="C5264" s="7" t="s">
        <v>1814</v>
      </c>
      <c r="D5264" s="7" t="s">
        <v>1815</v>
      </c>
      <c r="E5264" s="5" t="s">
        <v>1816</v>
      </c>
      <c r="F5264" s="5" t="s">
        <v>1759</v>
      </c>
    </row>
    <row r="5265">
      <c r="A5265" s="5" t="s">
        <v>3086</v>
      </c>
      <c r="B5265" s="8">
        <v>8.0</v>
      </c>
      <c r="C5265" s="7" t="s">
        <v>1814</v>
      </c>
      <c r="D5265" s="7" t="s">
        <v>1815</v>
      </c>
      <c r="E5265" s="5" t="s">
        <v>1816</v>
      </c>
      <c r="F5265" s="5" t="s">
        <v>1759</v>
      </c>
    </row>
    <row r="5266">
      <c r="A5266" s="5" t="s">
        <v>3087</v>
      </c>
      <c r="B5266" s="8">
        <v>8.0</v>
      </c>
      <c r="C5266" s="7" t="s">
        <v>1814</v>
      </c>
      <c r="D5266" s="7" t="s">
        <v>1815</v>
      </c>
      <c r="E5266" s="5" t="s">
        <v>1816</v>
      </c>
      <c r="F5266" s="5" t="s">
        <v>1759</v>
      </c>
    </row>
    <row r="5267">
      <c r="A5267" s="5" t="s">
        <v>2926</v>
      </c>
      <c r="B5267" s="8">
        <v>8.0</v>
      </c>
      <c r="C5267" s="7" t="s">
        <v>1814</v>
      </c>
      <c r="D5267" s="7" t="s">
        <v>1815</v>
      </c>
      <c r="E5267" s="5" t="s">
        <v>1816</v>
      </c>
      <c r="F5267" s="5" t="s">
        <v>1759</v>
      </c>
    </row>
    <row r="5268">
      <c r="A5268" s="5" t="s">
        <v>3388</v>
      </c>
      <c r="B5268" s="8">
        <v>8.0</v>
      </c>
      <c r="C5268" s="7" t="s">
        <v>1814</v>
      </c>
      <c r="D5268" s="7" t="s">
        <v>1815</v>
      </c>
      <c r="E5268" s="5" t="s">
        <v>1816</v>
      </c>
      <c r="F5268" s="5" t="s">
        <v>1759</v>
      </c>
    </row>
    <row r="5269">
      <c r="A5269" s="5" t="s">
        <v>2924</v>
      </c>
      <c r="B5269" s="8">
        <v>8.0</v>
      </c>
      <c r="C5269" s="7" t="s">
        <v>122</v>
      </c>
      <c r="D5269" s="5" t="s">
        <v>2693</v>
      </c>
      <c r="E5269" s="5" t="s">
        <v>3707</v>
      </c>
      <c r="F5269" s="5" t="s">
        <v>3708</v>
      </c>
    </row>
    <row r="5270">
      <c r="A5270" s="5" t="s">
        <v>2925</v>
      </c>
      <c r="B5270" s="8">
        <v>8.0</v>
      </c>
      <c r="C5270" s="7" t="s">
        <v>122</v>
      </c>
      <c r="D5270" s="5" t="s">
        <v>2693</v>
      </c>
      <c r="E5270" s="5" t="s">
        <v>3707</v>
      </c>
      <c r="F5270" s="5" t="s">
        <v>3709</v>
      </c>
    </row>
    <row r="5271">
      <c r="A5271" s="5" t="s">
        <v>3086</v>
      </c>
      <c r="B5271" s="8">
        <v>8.0</v>
      </c>
      <c r="C5271" s="7" t="s">
        <v>122</v>
      </c>
      <c r="D5271" s="5" t="s">
        <v>2693</v>
      </c>
      <c r="E5271" s="5" t="s">
        <v>3707</v>
      </c>
      <c r="F5271" s="5" t="s">
        <v>3710</v>
      </c>
    </row>
    <row r="5272">
      <c r="A5272" s="5" t="s">
        <v>3087</v>
      </c>
      <c r="B5272" s="8">
        <v>8.0</v>
      </c>
      <c r="C5272" s="7" t="s">
        <v>122</v>
      </c>
      <c r="D5272" s="5" t="s">
        <v>2693</v>
      </c>
      <c r="E5272" s="5" t="s">
        <v>3707</v>
      </c>
      <c r="F5272" s="5" t="s">
        <v>3711</v>
      </c>
    </row>
    <row r="5273">
      <c r="A5273" s="5" t="s">
        <v>2926</v>
      </c>
      <c r="B5273" s="8">
        <v>8.0</v>
      </c>
      <c r="C5273" s="7" t="s">
        <v>122</v>
      </c>
      <c r="D5273" s="5" t="s">
        <v>2693</v>
      </c>
      <c r="E5273" s="5" t="s">
        <v>3707</v>
      </c>
      <c r="F5273" s="5" t="s">
        <v>3712</v>
      </c>
    </row>
    <row r="5274">
      <c r="A5274" s="5" t="s">
        <v>3388</v>
      </c>
      <c r="B5274" s="8">
        <v>8.0</v>
      </c>
      <c r="C5274" s="7" t="s">
        <v>122</v>
      </c>
      <c r="D5274" s="5" t="s">
        <v>2693</v>
      </c>
      <c r="E5274" s="5" t="s">
        <v>3707</v>
      </c>
      <c r="F5274" s="5" t="s">
        <v>3496</v>
      </c>
    </row>
    <row r="5275">
      <c r="A5275" s="5" t="s">
        <v>2927</v>
      </c>
      <c r="B5275" s="8">
        <v>8.0</v>
      </c>
      <c r="C5275" s="7" t="s">
        <v>122</v>
      </c>
      <c r="D5275" s="5" t="s">
        <v>2693</v>
      </c>
      <c r="E5275" s="5" t="s">
        <v>3707</v>
      </c>
      <c r="F5275" s="5" t="s">
        <v>3497</v>
      </c>
    </row>
    <row r="5276">
      <c r="A5276" s="5" t="s">
        <v>2928</v>
      </c>
      <c r="B5276" s="8">
        <v>8.0</v>
      </c>
      <c r="C5276" s="7" t="s">
        <v>122</v>
      </c>
      <c r="D5276" s="5" t="s">
        <v>2693</v>
      </c>
      <c r="E5276" s="5" t="s">
        <v>3707</v>
      </c>
      <c r="F5276" s="5" t="s">
        <v>3296</v>
      </c>
    </row>
    <row r="5277">
      <c r="A5277" s="7" t="s">
        <v>603</v>
      </c>
      <c r="B5277" s="8">
        <v>8.0</v>
      </c>
      <c r="C5277" s="7" t="s">
        <v>122</v>
      </c>
      <c r="D5277" s="5" t="s">
        <v>2693</v>
      </c>
      <c r="E5277" s="5" t="s">
        <v>3707</v>
      </c>
      <c r="F5277" s="5" t="s">
        <v>3499</v>
      </c>
    </row>
    <row r="5278">
      <c r="A5278" s="5" t="s">
        <v>2929</v>
      </c>
      <c r="B5278" s="8">
        <v>8.0</v>
      </c>
      <c r="C5278" s="7" t="s">
        <v>122</v>
      </c>
      <c r="D5278" s="5" t="s">
        <v>2693</v>
      </c>
      <c r="E5278" s="5" t="s">
        <v>3707</v>
      </c>
      <c r="F5278" s="5" t="s">
        <v>3500</v>
      </c>
    </row>
    <row r="5279">
      <c r="A5279" s="5" t="s">
        <v>2930</v>
      </c>
      <c r="B5279" s="8">
        <v>8.0</v>
      </c>
      <c r="C5279" s="7" t="s">
        <v>122</v>
      </c>
      <c r="D5279" s="5" t="s">
        <v>2693</v>
      </c>
      <c r="E5279" s="5" t="s">
        <v>3707</v>
      </c>
      <c r="F5279" s="5" t="s">
        <v>3501</v>
      </c>
    </row>
    <row r="5280">
      <c r="A5280" s="7" t="s">
        <v>606</v>
      </c>
      <c r="B5280" s="8">
        <v>8.0</v>
      </c>
      <c r="C5280" s="7" t="s">
        <v>122</v>
      </c>
      <c r="D5280" s="5" t="s">
        <v>2693</v>
      </c>
      <c r="E5280" s="5" t="s">
        <v>3707</v>
      </c>
      <c r="F5280" s="5" t="s">
        <v>3713</v>
      </c>
    </row>
    <row r="5281">
      <c r="A5281" s="5" t="s">
        <v>2602</v>
      </c>
      <c r="B5281" s="8">
        <v>8.0</v>
      </c>
      <c r="C5281" s="7" t="s">
        <v>122</v>
      </c>
      <c r="D5281" s="5" t="s">
        <v>2693</v>
      </c>
      <c r="E5281" s="5" t="s">
        <v>3707</v>
      </c>
      <c r="F5281" s="5" t="s">
        <v>3714</v>
      </c>
    </row>
    <row r="5282">
      <c r="A5282" s="5" t="s">
        <v>2931</v>
      </c>
      <c r="B5282" s="8">
        <v>8.0</v>
      </c>
      <c r="C5282" s="7" t="s">
        <v>122</v>
      </c>
      <c r="D5282" s="5" t="s">
        <v>2693</v>
      </c>
      <c r="E5282" s="5" t="s">
        <v>3707</v>
      </c>
      <c r="F5282" s="5" t="s">
        <v>3715</v>
      </c>
    </row>
    <row r="5283">
      <c r="A5283" s="5" t="s">
        <v>2932</v>
      </c>
      <c r="B5283" s="8">
        <v>8.0</v>
      </c>
      <c r="C5283" s="7" t="s">
        <v>122</v>
      </c>
      <c r="D5283" s="5" t="s">
        <v>2693</v>
      </c>
      <c r="E5283" s="5" t="s">
        <v>3707</v>
      </c>
      <c r="F5283" s="5" t="s">
        <v>3508</v>
      </c>
    </row>
    <row r="5284">
      <c r="A5284" s="5" t="s">
        <v>2933</v>
      </c>
      <c r="B5284" s="8">
        <v>8.0</v>
      </c>
      <c r="C5284" s="7" t="s">
        <v>122</v>
      </c>
      <c r="D5284" s="5" t="s">
        <v>2693</v>
      </c>
      <c r="E5284" s="5" t="s">
        <v>3707</v>
      </c>
      <c r="F5284" s="5" t="s">
        <v>3716</v>
      </c>
    </row>
    <row r="5285">
      <c r="A5285" s="5" t="s">
        <v>2606</v>
      </c>
      <c r="B5285" s="8">
        <v>8.0</v>
      </c>
      <c r="C5285" s="7" t="s">
        <v>122</v>
      </c>
      <c r="D5285" s="5" t="s">
        <v>2693</v>
      </c>
      <c r="E5285" s="5" t="s">
        <v>3707</v>
      </c>
      <c r="F5285" s="5" t="s">
        <v>3717</v>
      </c>
    </row>
    <row r="5286">
      <c r="A5286" s="5" t="s">
        <v>2934</v>
      </c>
      <c r="B5286" s="8">
        <v>8.0</v>
      </c>
      <c r="C5286" s="7" t="s">
        <v>122</v>
      </c>
      <c r="D5286" s="5" t="s">
        <v>2693</v>
      </c>
      <c r="E5286" s="5" t="s">
        <v>3707</v>
      </c>
      <c r="F5286" s="5" t="s">
        <v>3718</v>
      </c>
    </row>
    <row r="5287">
      <c r="A5287" s="5" t="s">
        <v>2607</v>
      </c>
      <c r="B5287" s="8">
        <v>8.0</v>
      </c>
      <c r="C5287" s="7" t="s">
        <v>122</v>
      </c>
      <c r="D5287" s="5" t="s">
        <v>2693</v>
      </c>
      <c r="E5287" s="5" t="s">
        <v>3707</v>
      </c>
      <c r="F5287" s="5" t="s">
        <v>3511</v>
      </c>
    </row>
    <row r="5288">
      <c r="A5288" s="5" t="s">
        <v>2935</v>
      </c>
      <c r="B5288" s="8">
        <v>8.0</v>
      </c>
      <c r="C5288" s="7" t="s">
        <v>122</v>
      </c>
      <c r="D5288" s="5" t="s">
        <v>2693</v>
      </c>
      <c r="E5288" s="5" t="s">
        <v>3707</v>
      </c>
      <c r="F5288" s="5" t="s">
        <v>3719</v>
      </c>
    </row>
    <row r="5289">
      <c r="A5289" s="5" t="s">
        <v>2936</v>
      </c>
      <c r="B5289" s="8">
        <v>8.0</v>
      </c>
      <c r="C5289" s="7" t="s">
        <v>122</v>
      </c>
      <c r="D5289" s="5" t="s">
        <v>2693</v>
      </c>
      <c r="E5289" s="5" t="s">
        <v>3707</v>
      </c>
      <c r="F5289" s="5" t="s">
        <v>3314</v>
      </c>
    </row>
    <row r="5290">
      <c r="A5290" s="5" t="s">
        <v>2608</v>
      </c>
      <c r="B5290" s="8">
        <v>8.0</v>
      </c>
      <c r="C5290" s="7" t="s">
        <v>122</v>
      </c>
      <c r="D5290" s="5" t="s">
        <v>2693</v>
      </c>
      <c r="E5290" s="5" t="s">
        <v>3707</v>
      </c>
      <c r="F5290" s="5" t="s">
        <v>3513</v>
      </c>
    </row>
    <row r="5291">
      <c r="A5291" s="5" t="s">
        <v>2609</v>
      </c>
      <c r="B5291" s="8">
        <v>8.0</v>
      </c>
      <c r="C5291" s="7" t="s">
        <v>122</v>
      </c>
      <c r="D5291" s="5" t="s">
        <v>2693</v>
      </c>
      <c r="E5291" s="5" t="s">
        <v>3707</v>
      </c>
      <c r="F5291" s="5" t="s">
        <v>3720</v>
      </c>
    </row>
    <row r="5292">
      <c r="A5292" s="5" t="s">
        <v>2924</v>
      </c>
      <c r="B5292" s="8">
        <v>8.0</v>
      </c>
      <c r="C5292" s="7" t="s">
        <v>139</v>
      </c>
      <c r="D5292" s="7" t="s">
        <v>178</v>
      </c>
      <c r="E5292" s="5" t="s">
        <v>3073</v>
      </c>
      <c r="F5292" s="5" t="s">
        <v>240</v>
      </c>
    </row>
    <row r="5293">
      <c r="A5293" s="5" t="s">
        <v>2925</v>
      </c>
      <c r="B5293" s="8">
        <v>8.0</v>
      </c>
      <c r="C5293" s="7" t="s">
        <v>139</v>
      </c>
      <c r="D5293" s="7" t="s">
        <v>178</v>
      </c>
      <c r="E5293" s="5" t="s">
        <v>3073</v>
      </c>
      <c r="F5293" s="5" t="s">
        <v>305</v>
      </c>
    </row>
    <row r="5294">
      <c r="A5294" s="5" t="s">
        <v>3086</v>
      </c>
      <c r="B5294" s="8">
        <v>8.0</v>
      </c>
      <c r="C5294" s="7" t="s">
        <v>139</v>
      </c>
      <c r="D5294" s="7" t="s">
        <v>178</v>
      </c>
      <c r="E5294" s="5" t="s">
        <v>3073</v>
      </c>
      <c r="F5294" s="5" t="s">
        <v>3721</v>
      </c>
    </row>
    <row r="5295">
      <c r="A5295" s="5" t="s">
        <v>3087</v>
      </c>
      <c r="B5295" s="8">
        <v>8.0</v>
      </c>
      <c r="C5295" s="7" t="s">
        <v>139</v>
      </c>
      <c r="D5295" s="7" t="s">
        <v>178</v>
      </c>
      <c r="E5295" s="5" t="s">
        <v>3073</v>
      </c>
      <c r="F5295" s="5" t="s">
        <v>240</v>
      </c>
    </row>
    <row r="5296">
      <c r="A5296" s="5" t="s">
        <v>2926</v>
      </c>
      <c r="B5296" s="8">
        <v>8.0</v>
      </c>
      <c r="C5296" s="7" t="s">
        <v>139</v>
      </c>
      <c r="D5296" s="7" t="s">
        <v>178</v>
      </c>
      <c r="E5296" s="5" t="s">
        <v>3073</v>
      </c>
      <c r="F5296" s="5" t="s">
        <v>3722</v>
      </c>
    </row>
    <row r="5297">
      <c r="A5297" s="5" t="s">
        <v>3388</v>
      </c>
      <c r="B5297" s="8">
        <v>8.0</v>
      </c>
      <c r="C5297" s="7" t="s">
        <v>139</v>
      </c>
      <c r="D5297" s="7" t="s">
        <v>178</v>
      </c>
      <c r="E5297" s="5" t="s">
        <v>3073</v>
      </c>
      <c r="F5297" s="5" t="s">
        <v>305</v>
      </c>
    </row>
    <row r="5298">
      <c r="A5298" s="5" t="s">
        <v>2927</v>
      </c>
      <c r="B5298" s="8">
        <v>8.0</v>
      </c>
      <c r="C5298" s="7" t="s">
        <v>139</v>
      </c>
      <c r="D5298" s="7" t="s">
        <v>178</v>
      </c>
      <c r="E5298" s="5" t="s">
        <v>3073</v>
      </c>
      <c r="F5298" s="5" t="s">
        <v>2670</v>
      </c>
    </row>
    <row r="5299">
      <c r="A5299" s="5" t="s">
        <v>2928</v>
      </c>
      <c r="B5299" s="8">
        <v>8.0</v>
      </c>
      <c r="C5299" s="7" t="s">
        <v>139</v>
      </c>
      <c r="D5299" s="7" t="s">
        <v>178</v>
      </c>
      <c r="E5299" s="5" t="s">
        <v>3073</v>
      </c>
      <c r="F5299" s="5" t="s">
        <v>2670</v>
      </c>
    </row>
    <row r="5300">
      <c r="A5300" s="7" t="s">
        <v>603</v>
      </c>
      <c r="B5300" s="8">
        <v>8.0</v>
      </c>
      <c r="C5300" s="7" t="s">
        <v>139</v>
      </c>
      <c r="D5300" s="7" t="s">
        <v>178</v>
      </c>
      <c r="E5300" s="5" t="s">
        <v>3073</v>
      </c>
      <c r="F5300" s="5" t="s">
        <v>240</v>
      </c>
    </row>
    <row r="5301">
      <c r="A5301" s="5" t="s">
        <v>2929</v>
      </c>
      <c r="B5301" s="8">
        <v>8.0</v>
      </c>
      <c r="C5301" s="7" t="s">
        <v>139</v>
      </c>
      <c r="D5301" s="7" t="s">
        <v>178</v>
      </c>
      <c r="E5301" s="5" t="s">
        <v>3073</v>
      </c>
      <c r="F5301" s="5" t="s">
        <v>3561</v>
      </c>
    </row>
    <row r="5302">
      <c r="A5302" s="5" t="s">
        <v>2930</v>
      </c>
      <c r="B5302" s="8">
        <v>8.0</v>
      </c>
      <c r="C5302" s="7" t="s">
        <v>139</v>
      </c>
      <c r="D5302" s="7" t="s">
        <v>178</v>
      </c>
      <c r="E5302" s="5" t="s">
        <v>3073</v>
      </c>
      <c r="F5302" s="5" t="s">
        <v>240</v>
      </c>
    </row>
    <row r="5303">
      <c r="A5303" s="7" t="s">
        <v>606</v>
      </c>
      <c r="B5303" s="8">
        <v>8.0</v>
      </c>
      <c r="C5303" s="7" t="s">
        <v>139</v>
      </c>
      <c r="D5303" s="7" t="s">
        <v>178</v>
      </c>
      <c r="E5303" s="5" t="s">
        <v>3073</v>
      </c>
      <c r="F5303" s="5" t="s">
        <v>240</v>
      </c>
    </row>
    <row r="5304">
      <c r="A5304" s="5" t="s">
        <v>2602</v>
      </c>
      <c r="B5304" s="8">
        <v>8.0</v>
      </c>
      <c r="C5304" s="7" t="s">
        <v>139</v>
      </c>
      <c r="D5304" s="7" t="s">
        <v>178</v>
      </c>
      <c r="E5304" s="5" t="s">
        <v>3073</v>
      </c>
      <c r="F5304" s="5" t="s">
        <v>240</v>
      </c>
    </row>
    <row r="5305">
      <c r="A5305" s="5" t="s">
        <v>2932</v>
      </c>
      <c r="B5305" s="8">
        <v>8.0</v>
      </c>
      <c r="C5305" s="7" t="s">
        <v>139</v>
      </c>
      <c r="D5305" s="7" t="s">
        <v>178</v>
      </c>
      <c r="E5305" s="5" t="s">
        <v>3073</v>
      </c>
      <c r="F5305" s="5" t="s">
        <v>2820</v>
      </c>
    </row>
    <row r="5306">
      <c r="A5306" s="5" t="s">
        <v>2933</v>
      </c>
      <c r="B5306" s="8">
        <v>8.0</v>
      </c>
      <c r="C5306" s="7" t="s">
        <v>139</v>
      </c>
      <c r="D5306" s="7" t="s">
        <v>178</v>
      </c>
      <c r="E5306" s="5" t="s">
        <v>3073</v>
      </c>
      <c r="F5306" s="5" t="s">
        <v>240</v>
      </c>
    </row>
    <row r="5307">
      <c r="A5307" s="5" t="s">
        <v>2606</v>
      </c>
      <c r="B5307" s="8">
        <v>8.0</v>
      </c>
      <c r="C5307" s="7" t="s">
        <v>139</v>
      </c>
      <c r="D5307" s="7" t="s">
        <v>178</v>
      </c>
      <c r="E5307" s="5" t="s">
        <v>3073</v>
      </c>
      <c r="F5307" s="5" t="s">
        <v>240</v>
      </c>
    </row>
    <row r="5308">
      <c r="A5308" s="5" t="s">
        <v>2607</v>
      </c>
      <c r="B5308" s="8">
        <v>8.0</v>
      </c>
      <c r="C5308" s="7" t="s">
        <v>139</v>
      </c>
      <c r="D5308" s="7" t="s">
        <v>178</v>
      </c>
      <c r="E5308" s="5" t="s">
        <v>3073</v>
      </c>
      <c r="F5308" s="5" t="s">
        <v>240</v>
      </c>
    </row>
    <row r="5309">
      <c r="A5309" s="5" t="s">
        <v>2935</v>
      </c>
      <c r="B5309" s="8">
        <v>8.0</v>
      </c>
      <c r="C5309" s="7" t="s">
        <v>139</v>
      </c>
      <c r="D5309" s="7" t="s">
        <v>178</v>
      </c>
      <c r="E5309" s="5" t="s">
        <v>3073</v>
      </c>
      <c r="F5309" s="5" t="s">
        <v>3563</v>
      </c>
    </row>
    <row r="5310">
      <c r="A5310" s="5" t="s">
        <v>2936</v>
      </c>
      <c r="B5310" s="8">
        <v>8.0</v>
      </c>
      <c r="C5310" s="7" t="s">
        <v>139</v>
      </c>
      <c r="D5310" s="7" t="s">
        <v>178</v>
      </c>
      <c r="E5310" s="5" t="s">
        <v>3073</v>
      </c>
      <c r="F5310" s="5" t="s">
        <v>240</v>
      </c>
    </row>
    <row r="5311">
      <c r="A5311" s="5" t="s">
        <v>2608</v>
      </c>
      <c r="B5311" s="8">
        <v>8.0</v>
      </c>
      <c r="C5311" s="7" t="s">
        <v>139</v>
      </c>
      <c r="D5311" s="7" t="s">
        <v>178</v>
      </c>
      <c r="E5311" s="5" t="s">
        <v>3073</v>
      </c>
      <c r="F5311" s="5" t="s">
        <v>240</v>
      </c>
    </row>
    <row r="5312">
      <c r="A5312" s="5" t="s">
        <v>2609</v>
      </c>
      <c r="B5312" s="8">
        <v>8.0</v>
      </c>
      <c r="C5312" s="7" t="s">
        <v>139</v>
      </c>
      <c r="D5312" s="7" t="s">
        <v>178</v>
      </c>
      <c r="E5312" s="5" t="s">
        <v>3073</v>
      </c>
      <c r="F5312" s="5" t="s">
        <v>2670</v>
      </c>
    </row>
    <row r="5313">
      <c r="A5313" s="5" t="s">
        <v>2924</v>
      </c>
      <c r="B5313" s="8">
        <v>8.0</v>
      </c>
      <c r="C5313" s="7" t="s">
        <v>162</v>
      </c>
      <c r="D5313" s="7" t="s">
        <v>1837</v>
      </c>
      <c r="E5313" s="5" t="s">
        <v>3074</v>
      </c>
      <c r="F5313" s="5" t="s">
        <v>2001</v>
      </c>
    </row>
    <row r="5314">
      <c r="A5314" s="5" t="s">
        <v>2925</v>
      </c>
      <c r="B5314" s="8">
        <v>8.0</v>
      </c>
      <c r="C5314" s="7" t="s">
        <v>162</v>
      </c>
      <c r="D5314" s="7" t="s">
        <v>1837</v>
      </c>
      <c r="E5314" s="5" t="s">
        <v>3074</v>
      </c>
      <c r="F5314" s="5" t="s">
        <v>3723</v>
      </c>
    </row>
    <row r="5315">
      <c r="A5315" s="5" t="s">
        <v>3086</v>
      </c>
      <c r="B5315" s="8">
        <v>8.0</v>
      </c>
      <c r="C5315" s="7" t="s">
        <v>162</v>
      </c>
      <c r="D5315" s="7" t="s">
        <v>1837</v>
      </c>
      <c r="E5315" s="5" t="s">
        <v>3074</v>
      </c>
      <c r="F5315" s="5" t="s">
        <v>3724</v>
      </c>
    </row>
    <row r="5316">
      <c r="A5316" s="5" t="s">
        <v>3087</v>
      </c>
      <c r="B5316" s="8">
        <v>8.0</v>
      </c>
      <c r="C5316" s="7" t="s">
        <v>162</v>
      </c>
      <c r="D5316" s="7" t="s">
        <v>1837</v>
      </c>
      <c r="E5316" s="5" t="s">
        <v>3074</v>
      </c>
      <c r="F5316" s="5" t="s">
        <v>3334</v>
      </c>
    </row>
    <row r="5317">
      <c r="A5317" s="5" t="s">
        <v>2926</v>
      </c>
      <c r="B5317" s="8">
        <v>8.0</v>
      </c>
      <c r="C5317" s="7" t="s">
        <v>162</v>
      </c>
      <c r="D5317" s="7" t="s">
        <v>1837</v>
      </c>
      <c r="E5317" s="5" t="s">
        <v>3074</v>
      </c>
      <c r="F5317" s="5" t="s">
        <v>3334</v>
      </c>
    </row>
    <row r="5318">
      <c r="A5318" s="5" t="s">
        <v>3388</v>
      </c>
      <c r="B5318" s="8">
        <v>8.0</v>
      </c>
      <c r="C5318" s="7" t="s">
        <v>162</v>
      </c>
      <c r="D5318" s="7" t="s">
        <v>1837</v>
      </c>
      <c r="E5318" s="5" t="s">
        <v>3074</v>
      </c>
      <c r="F5318" s="5" t="s">
        <v>3334</v>
      </c>
    </row>
    <row r="5319">
      <c r="A5319" s="5" t="s">
        <v>2927</v>
      </c>
      <c r="B5319" s="8">
        <v>8.0</v>
      </c>
      <c r="C5319" s="7" t="s">
        <v>162</v>
      </c>
      <c r="D5319" s="7" t="s">
        <v>1837</v>
      </c>
      <c r="E5319" s="5" t="s">
        <v>3074</v>
      </c>
      <c r="F5319" s="5" t="s">
        <v>3725</v>
      </c>
    </row>
    <row r="5320">
      <c r="A5320" s="5" t="s">
        <v>2928</v>
      </c>
      <c r="B5320" s="8">
        <v>8.0</v>
      </c>
      <c r="C5320" s="7" t="s">
        <v>162</v>
      </c>
      <c r="D5320" s="7" t="s">
        <v>1837</v>
      </c>
      <c r="E5320" s="5" t="s">
        <v>3074</v>
      </c>
      <c r="F5320" s="5" t="s">
        <v>3726</v>
      </c>
    </row>
    <row r="5321">
      <c r="A5321" s="7" t="s">
        <v>603</v>
      </c>
      <c r="B5321" s="8">
        <v>8.0</v>
      </c>
      <c r="C5321" s="7" t="s">
        <v>162</v>
      </c>
      <c r="D5321" s="7" t="s">
        <v>1837</v>
      </c>
      <c r="E5321" s="5" t="s">
        <v>3074</v>
      </c>
      <c r="F5321" s="5" t="s">
        <v>3727</v>
      </c>
    </row>
    <row r="5322">
      <c r="A5322" s="5" t="s">
        <v>2930</v>
      </c>
      <c r="B5322" s="8">
        <v>8.0</v>
      </c>
      <c r="C5322" s="7" t="s">
        <v>162</v>
      </c>
      <c r="D5322" s="7" t="s">
        <v>1837</v>
      </c>
      <c r="E5322" s="5" t="s">
        <v>3074</v>
      </c>
      <c r="F5322" s="5" t="s">
        <v>3334</v>
      </c>
    </row>
    <row r="5323">
      <c r="A5323" s="7" t="s">
        <v>606</v>
      </c>
      <c r="B5323" s="8">
        <v>8.0</v>
      </c>
      <c r="C5323" s="7" t="s">
        <v>162</v>
      </c>
      <c r="D5323" s="7" t="s">
        <v>1837</v>
      </c>
      <c r="E5323" s="5" t="s">
        <v>3074</v>
      </c>
      <c r="F5323" s="5" t="s">
        <v>3728</v>
      </c>
    </row>
    <row r="5324">
      <c r="A5324" s="5" t="s">
        <v>2602</v>
      </c>
      <c r="B5324" s="8">
        <v>8.0</v>
      </c>
      <c r="C5324" s="7" t="s">
        <v>162</v>
      </c>
      <c r="D5324" s="7" t="s">
        <v>1837</v>
      </c>
      <c r="E5324" s="5" t="s">
        <v>3074</v>
      </c>
      <c r="F5324" s="5" t="s">
        <v>2706</v>
      </c>
    </row>
    <row r="5325">
      <c r="A5325" s="5" t="s">
        <v>2931</v>
      </c>
      <c r="B5325" s="8">
        <v>8.0</v>
      </c>
      <c r="C5325" s="7" t="s">
        <v>162</v>
      </c>
      <c r="D5325" s="7" t="s">
        <v>1837</v>
      </c>
      <c r="E5325" s="5" t="s">
        <v>3074</v>
      </c>
      <c r="F5325" s="5" t="s">
        <v>3729</v>
      </c>
    </row>
    <row r="5326">
      <c r="A5326" s="5" t="s">
        <v>2932</v>
      </c>
      <c r="B5326" s="8">
        <v>8.0</v>
      </c>
      <c r="C5326" s="7" t="s">
        <v>162</v>
      </c>
      <c r="D5326" s="7" t="s">
        <v>1837</v>
      </c>
      <c r="E5326" s="5" t="s">
        <v>3074</v>
      </c>
      <c r="F5326" s="5" t="s">
        <v>2687</v>
      </c>
    </row>
    <row r="5327">
      <c r="A5327" s="5" t="s">
        <v>2933</v>
      </c>
      <c r="B5327" s="8">
        <v>8.0</v>
      </c>
      <c r="C5327" s="7" t="s">
        <v>162</v>
      </c>
      <c r="D5327" s="7" t="s">
        <v>1837</v>
      </c>
      <c r="E5327" s="5" t="s">
        <v>3074</v>
      </c>
      <c r="F5327" s="5" t="s">
        <v>3334</v>
      </c>
    </row>
    <row r="5328">
      <c r="A5328" s="5" t="s">
        <v>2606</v>
      </c>
      <c r="B5328" s="8">
        <v>8.0</v>
      </c>
      <c r="C5328" s="7" t="s">
        <v>162</v>
      </c>
      <c r="D5328" s="7" t="s">
        <v>1837</v>
      </c>
      <c r="E5328" s="5" t="s">
        <v>3074</v>
      </c>
      <c r="F5328" s="5" t="s">
        <v>3334</v>
      </c>
    </row>
    <row r="5329">
      <c r="A5329" s="5" t="s">
        <v>2607</v>
      </c>
      <c r="B5329" s="8">
        <v>8.0</v>
      </c>
      <c r="C5329" s="7" t="s">
        <v>162</v>
      </c>
      <c r="D5329" s="7" t="s">
        <v>1837</v>
      </c>
      <c r="E5329" s="5" t="s">
        <v>3074</v>
      </c>
      <c r="F5329" s="5" t="s">
        <v>3730</v>
      </c>
    </row>
    <row r="5330">
      <c r="A5330" s="5" t="s">
        <v>2935</v>
      </c>
      <c r="B5330" s="8">
        <v>8.0</v>
      </c>
      <c r="C5330" s="7" t="s">
        <v>162</v>
      </c>
      <c r="D5330" s="7" t="s">
        <v>1837</v>
      </c>
      <c r="E5330" s="5" t="s">
        <v>3074</v>
      </c>
      <c r="F5330" s="5" t="s">
        <v>3731</v>
      </c>
    </row>
    <row r="5331">
      <c r="A5331" s="5" t="s">
        <v>2936</v>
      </c>
      <c r="B5331" s="8">
        <v>8.0</v>
      </c>
      <c r="C5331" s="7" t="s">
        <v>162</v>
      </c>
      <c r="D5331" s="7" t="s">
        <v>1837</v>
      </c>
      <c r="E5331" s="5" t="s">
        <v>3074</v>
      </c>
      <c r="F5331" s="4" t="s">
        <v>3334</v>
      </c>
    </row>
    <row r="5332">
      <c r="A5332" s="5" t="s">
        <v>2608</v>
      </c>
      <c r="B5332" s="8">
        <v>8.0</v>
      </c>
      <c r="C5332" s="7" t="s">
        <v>162</v>
      </c>
      <c r="D5332" s="7" t="s">
        <v>1837</v>
      </c>
      <c r="E5332" s="5" t="s">
        <v>3074</v>
      </c>
      <c r="F5332" s="5" t="s">
        <v>3334</v>
      </c>
    </row>
    <row r="5333">
      <c r="A5333" s="5" t="s">
        <v>2609</v>
      </c>
      <c r="B5333" s="8">
        <v>8.0</v>
      </c>
      <c r="C5333" s="7" t="s">
        <v>162</v>
      </c>
      <c r="D5333" s="7" t="s">
        <v>1837</v>
      </c>
      <c r="E5333" s="5" t="s">
        <v>3074</v>
      </c>
      <c r="F5333" s="5" t="s">
        <v>3334</v>
      </c>
    </row>
    <row r="5334">
      <c r="A5334" s="5" t="s">
        <v>3087</v>
      </c>
      <c r="B5334" s="8">
        <v>8.0</v>
      </c>
      <c r="C5334" s="7" t="s">
        <v>1229</v>
      </c>
      <c r="D5334" s="7" t="s">
        <v>1850</v>
      </c>
      <c r="E5334" s="5" t="s">
        <v>3732</v>
      </c>
      <c r="F5334" s="5" t="s">
        <v>3733</v>
      </c>
    </row>
    <row r="5335">
      <c r="A5335" s="5" t="s">
        <v>2926</v>
      </c>
      <c r="B5335" s="8">
        <v>8.0</v>
      </c>
      <c r="C5335" s="7" t="s">
        <v>1229</v>
      </c>
      <c r="D5335" s="7" t="s">
        <v>1850</v>
      </c>
      <c r="E5335" s="5" t="s">
        <v>3732</v>
      </c>
      <c r="F5335" s="4" t="s">
        <v>3126</v>
      </c>
    </row>
    <row r="5336">
      <c r="A5336" s="5" t="s">
        <v>3388</v>
      </c>
      <c r="B5336" s="8">
        <v>8.0</v>
      </c>
      <c r="C5336" s="7" t="s">
        <v>1229</v>
      </c>
      <c r="D5336" s="7" t="s">
        <v>1850</v>
      </c>
      <c r="E5336" s="5" t="s">
        <v>3732</v>
      </c>
      <c r="F5336" s="5" t="s">
        <v>3126</v>
      </c>
    </row>
    <row r="5337">
      <c r="A5337" s="5" t="s">
        <v>2928</v>
      </c>
      <c r="B5337" s="8">
        <v>8.0</v>
      </c>
      <c r="C5337" s="7" t="s">
        <v>1229</v>
      </c>
      <c r="D5337" s="7" t="s">
        <v>1850</v>
      </c>
      <c r="E5337" s="5" t="s">
        <v>3732</v>
      </c>
      <c r="F5337" s="5" t="s">
        <v>3126</v>
      </c>
    </row>
    <row r="5338">
      <c r="A5338" s="7" t="s">
        <v>603</v>
      </c>
      <c r="B5338" s="8">
        <v>8.0</v>
      </c>
      <c r="C5338" s="7" t="s">
        <v>1229</v>
      </c>
      <c r="D5338" s="7" t="s">
        <v>1850</v>
      </c>
      <c r="E5338" s="5" t="s">
        <v>3732</v>
      </c>
      <c r="F5338" s="4" t="s">
        <v>3126</v>
      </c>
    </row>
    <row r="5339">
      <c r="A5339" s="5" t="s">
        <v>2929</v>
      </c>
      <c r="B5339" s="8">
        <v>8.0</v>
      </c>
      <c r="C5339" s="7" t="s">
        <v>1229</v>
      </c>
      <c r="D5339" s="7" t="s">
        <v>1850</v>
      </c>
      <c r="E5339" s="5" t="s">
        <v>3732</v>
      </c>
      <c r="F5339" s="5" t="s">
        <v>3126</v>
      </c>
    </row>
    <row r="5340">
      <c r="A5340" s="5" t="s">
        <v>2930</v>
      </c>
      <c r="B5340" s="8">
        <v>8.0</v>
      </c>
      <c r="C5340" s="7" t="s">
        <v>1229</v>
      </c>
      <c r="D5340" s="7" t="s">
        <v>1850</v>
      </c>
      <c r="E5340" s="5" t="s">
        <v>3732</v>
      </c>
      <c r="F5340" s="5" t="s">
        <v>3126</v>
      </c>
    </row>
    <row r="5341">
      <c r="A5341" s="7" t="s">
        <v>606</v>
      </c>
      <c r="B5341" s="8">
        <v>8.0</v>
      </c>
      <c r="C5341" s="7" t="s">
        <v>1229</v>
      </c>
      <c r="D5341" s="7" t="s">
        <v>1850</v>
      </c>
      <c r="E5341" s="5" t="s">
        <v>3732</v>
      </c>
      <c r="F5341" s="5" t="s">
        <v>3126</v>
      </c>
    </row>
    <row r="5342">
      <c r="A5342" s="5" t="s">
        <v>2602</v>
      </c>
      <c r="B5342" s="8">
        <v>8.0</v>
      </c>
      <c r="C5342" s="7" t="s">
        <v>1229</v>
      </c>
      <c r="D5342" s="7" t="s">
        <v>1850</v>
      </c>
      <c r="E5342" s="5" t="s">
        <v>3732</v>
      </c>
      <c r="F5342" s="5" t="s">
        <v>3126</v>
      </c>
    </row>
    <row r="5343">
      <c r="A5343" s="5" t="s">
        <v>2931</v>
      </c>
      <c r="B5343" s="8">
        <v>8.0</v>
      </c>
      <c r="C5343" s="7" t="s">
        <v>1229</v>
      </c>
      <c r="D5343" s="7" t="s">
        <v>1850</v>
      </c>
      <c r="E5343" s="5" t="s">
        <v>3732</v>
      </c>
      <c r="F5343" s="5" t="s">
        <v>3126</v>
      </c>
    </row>
    <row r="5344">
      <c r="A5344" s="5" t="s">
        <v>2932</v>
      </c>
      <c r="B5344" s="8">
        <v>8.0</v>
      </c>
      <c r="C5344" s="7" t="s">
        <v>1229</v>
      </c>
      <c r="D5344" s="7" t="s">
        <v>1850</v>
      </c>
      <c r="E5344" s="5" t="s">
        <v>3732</v>
      </c>
      <c r="F5344" s="5" t="s">
        <v>3126</v>
      </c>
    </row>
    <row r="5345">
      <c r="A5345" s="5" t="s">
        <v>2933</v>
      </c>
      <c r="B5345" s="8">
        <v>8.0</v>
      </c>
      <c r="C5345" s="7" t="s">
        <v>1229</v>
      </c>
      <c r="D5345" s="7" t="s">
        <v>1850</v>
      </c>
      <c r="E5345" s="5" t="s">
        <v>3732</v>
      </c>
      <c r="F5345" s="5" t="s">
        <v>3126</v>
      </c>
    </row>
    <row r="5346">
      <c r="A5346" s="5" t="s">
        <v>2606</v>
      </c>
      <c r="B5346" s="8">
        <v>8.0</v>
      </c>
      <c r="C5346" s="7" t="s">
        <v>1229</v>
      </c>
      <c r="D5346" s="7" t="s">
        <v>1850</v>
      </c>
      <c r="E5346" s="5" t="s">
        <v>3732</v>
      </c>
      <c r="F5346" s="5" t="s">
        <v>3126</v>
      </c>
    </row>
    <row r="5347">
      <c r="A5347" s="5" t="s">
        <v>2934</v>
      </c>
      <c r="B5347" s="8">
        <v>8.0</v>
      </c>
      <c r="C5347" s="7" t="s">
        <v>1229</v>
      </c>
      <c r="D5347" s="7" t="s">
        <v>1850</v>
      </c>
      <c r="E5347" s="5" t="s">
        <v>3732</v>
      </c>
      <c r="F5347" s="5" t="s">
        <v>3126</v>
      </c>
    </row>
    <row r="5348">
      <c r="A5348" s="5" t="s">
        <v>2607</v>
      </c>
      <c r="B5348" s="8">
        <v>8.0</v>
      </c>
      <c r="C5348" s="7" t="s">
        <v>1229</v>
      </c>
      <c r="D5348" s="7" t="s">
        <v>1850</v>
      </c>
      <c r="E5348" s="5" t="s">
        <v>3732</v>
      </c>
      <c r="F5348" s="5" t="s">
        <v>3126</v>
      </c>
    </row>
    <row r="5349">
      <c r="A5349" s="5" t="s">
        <v>2936</v>
      </c>
      <c r="B5349" s="8">
        <v>8.0</v>
      </c>
      <c r="C5349" s="7" t="s">
        <v>1229</v>
      </c>
      <c r="D5349" s="7" t="s">
        <v>1850</v>
      </c>
      <c r="E5349" s="5" t="s">
        <v>3732</v>
      </c>
      <c r="F5349" s="5" t="s">
        <v>3126</v>
      </c>
    </row>
    <row r="5350">
      <c r="A5350" s="5" t="s">
        <v>2608</v>
      </c>
      <c r="B5350" s="8">
        <v>8.0</v>
      </c>
      <c r="C5350" s="7" t="s">
        <v>1229</v>
      </c>
      <c r="D5350" s="7" t="s">
        <v>1850</v>
      </c>
      <c r="E5350" s="5" t="s">
        <v>3732</v>
      </c>
      <c r="F5350" s="5" t="s">
        <v>3126</v>
      </c>
    </row>
    <row r="5351">
      <c r="A5351" s="5" t="s">
        <v>2609</v>
      </c>
      <c r="B5351" s="8">
        <v>8.0</v>
      </c>
      <c r="C5351" s="7" t="s">
        <v>1229</v>
      </c>
      <c r="D5351" s="7" t="s">
        <v>1850</v>
      </c>
      <c r="E5351" s="5" t="s">
        <v>3732</v>
      </c>
      <c r="F5351" s="5" t="s">
        <v>3126</v>
      </c>
    </row>
    <row r="5352">
      <c r="A5352" s="5" t="s">
        <v>2927</v>
      </c>
      <c r="B5352" s="8">
        <v>8.0</v>
      </c>
      <c r="C5352" s="7" t="s">
        <v>347</v>
      </c>
      <c r="D5352" s="5" t="s">
        <v>508</v>
      </c>
      <c r="E5352" s="7" t="s">
        <v>848</v>
      </c>
      <c r="F5352" s="5" t="s">
        <v>77</v>
      </c>
    </row>
    <row r="5353">
      <c r="A5353" s="5" t="s">
        <v>2928</v>
      </c>
      <c r="B5353" s="8">
        <v>8.0</v>
      </c>
      <c r="C5353" s="7" t="s">
        <v>347</v>
      </c>
      <c r="D5353" s="5" t="s">
        <v>508</v>
      </c>
      <c r="E5353" s="7" t="s">
        <v>848</v>
      </c>
      <c r="F5353" s="5" t="s">
        <v>238</v>
      </c>
    </row>
    <row r="5354">
      <c r="A5354" s="7" t="s">
        <v>603</v>
      </c>
      <c r="B5354" s="8">
        <v>8.0</v>
      </c>
      <c r="C5354" s="7" t="s">
        <v>347</v>
      </c>
      <c r="D5354" s="5" t="s">
        <v>508</v>
      </c>
      <c r="E5354" s="7" t="s">
        <v>848</v>
      </c>
      <c r="F5354" s="5" t="s">
        <v>350</v>
      </c>
    </row>
    <row r="5355">
      <c r="A5355" s="5" t="s">
        <v>2929</v>
      </c>
      <c r="B5355" s="8">
        <v>8.0</v>
      </c>
      <c r="C5355" s="7" t="s">
        <v>347</v>
      </c>
      <c r="D5355" s="5" t="s">
        <v>508</v>
      </c>
      <c r="E5355" s="7" t="s">
        <v>848</v>
      </c>
      <c r="F5355" s="5" t="s">
        <v>3734</v>
      </c>
    </row>
    <row r="5356">
      <c r="A5356" s="5" t="s">
        <v>2930</v>
      </c>
      <c r="B5356" s="8">
        <v>8.0</v>
      </c>
      <c r="C5356" s="7" t="s">
        <v>347</v>
      </c>
      <c r="D5356" s="5" t="s">
        <v>508</v>
      </c>
      <c r="E5356" s="7" t="s">
        <v>848</v>
      </c>
      <c r="F5356" s="5" t="s">
        <v>3735</v>
      </c>
    </row>
    <row r="5357">
      <c r="A5357" s="7" t="s">
        <v>606</v>
      </c>
      <c r="B5357" s="8">
        <v>8.0</v>
      </c>
      <c r="C5357" s="7" t="s">
        <v>347</v>
      </c>
      <c r="D5357" s="5" t="s">
        <v>508</v>
      </c>
      <c r="E5357" s="7" t="s">
        <v>848</v>
      </c>
      <c r="F5357" s="5" t="s">
        <v>77</v>
      </c>
    </row>
    <row r="5358">
      <c r="A5358" s="5" t="s">
        <v>2602</v>
      </c>
      <c r="B5358" s="8">
        <v>8.0</v>
      </c>
      <c r="C5358" s="7" t="s">
        <v>347</v>
      </c>
      <c r="D5358" s="5" t="s">
        <v>508</v>
      </c>
      <c r="E5358" s="7" t="s">
        <v>848</v>
      </c>
      <c r="F5358" s="5" t="s">
        <v>350</v>
      </c>
    </row>
    <row r="5359">
      <c r="A5359" s="5" t="s">
        <v>2931</v>
      </c>
      <c r="B5359" s="8">
        <v>8.0</v>
      </c>
      <c r="C5359" s="7" t="s">
        <v>347</v>
      </c>
      <c r="D5359" s="5" t="s">
        <v>508</v>
      </c>
      <c r="E5359" s="7" t="s">
        <v>848</v>
      </c>
      <c r="F5359" s="5" t="s">
        <v>337</v>
      </c>
    </row>
    <row r="5360">
      <c r="A5360" s="5" t="s">
        <v>2932</v>
      </c>
      <c r="B5360" s="8">
        <v>8.0</v>
      </c>
      <c r="C5360" s="7" t="s">
        <v>347</v>
      </c>
      <c r="D5360" s="5" t="s">
        <v>508</v>
      </c>
      <c r="E5360" s="7" t="s">
        <v>848</v>
      </c>
      <c r="F5360" s="5" t="s">
        <v>365</v>
      </c>
    </row>
    <row r="5361">
      <c r="A5361" s="5" t="s">
        <v>2933</v>
      </c>
      <c r="B5361" s="8">
        <v>8.0</v>
      </c>
      <c r="C5361" s="7" t="s">
        <v>347</v>
      </c>
      <c r="D5361" s="5" t="s">
        <v>508</v>
      </c>
      <c r="E5361" s="7" t="s">
        <v>848</v>
      </c>
      <c r="F5361" s="5" t="s">
        <v>350</v>
      </c>
    </row>
    <row r="5362">
      <c r="A5362" s="5" t="s">
        <v>2606</v>
      </c>
      <c r="B5362" s="8">
        <v>8.0</v>
      </c>
      <c r="C5362" s="7" t="s">
        <v>347</v>
      </c>
      <c r="D5362" s="5" t="s">
        <v>508</v>
      </c>
      <c r="E5362" s="7" t="s">
        <v>848</v>
      </c>
      <c r="F5362" s="5" t="s">
        <v>350</v>
      </c>
    </row>
    <row r="5363">
      <c r="A5363" s="5" t="s">
        <v>2934</v>
      </c>
      <c r="B5363" s="8">
        <v>8.0</v>
      </c>
      <c r="C5363" s="7" t="s">
        <v>347</v>
      </c>
      <c r="D5363" s="5" t="s">
        <v>508</v>
      </c>
      <c r="E5363" s="7" t="s">
        <v>848</v>
      </c>
      <c r="F5363" s="5" t="s">
        <v>350</v>
      </c>
    </row>
    <row r="5364">
      <c r="A5364" s="5" t="s">
        <v>2607</v>
      </c>
      <c r="B5364" s="8">
        <v>8.0</v>
      </c>
      <c r="C5364" s="7" t="s">
        <v>347</v>
      </c>
      <c r="D5364" s="5" t="s">
        <v>508</v>
      </c>
      <c r="E5364" s="7" t="s">
        <v>848</v>
      </c>
      <c r="F5364" s="5" t="s">
        <v>350</v>
      </c>
    </row>
    <row r="5365">
      <c r="A5365" s="5" t="s">
        <v>2935</v>
      </c>
      <c r="B5365" s="8">
        <v>8.0</v>
      </c>
      <c r="C5365" s="7" t="s">
        <v>347</v>
      </c>
      <c r="D5365" s="5" t="s">
        <v>508</v>
      </c>
      <c r="E5365" s="7" t="s">
        <v>848</v>
      </c>
      <c r="F5365" s="5" t="s">
        <v>3736</v>
      </c>
    </row>
    <row r="5366">
      <c r="A5366" s="5" t="s">
        <v>2936</v>
      </c>
      <c r="B5366" s="8">
        <v>8.0</v>
      </c>
      <c r="C5366" s="7" t="s">
        <v>347</v>
      </c>
      <c r="D5366" s="5" t="s">
        <v>508</v>
      </c>
      <c r="E5366" s="7" t="s">
        <v>848</v>
      </c>
      <c r="F5366" s="5" t="s">
        <v>350</v>
      </c>
    </row>
    <row r="5367">
      <c r="A5367" s="5" t="s">
        <v>2608</v>
      </c>
      <c r="B5367" s="8">
        <v>8.0</v>
      </c>
      <c r="C5367" s="7" t="s">
        <v>347</v>
      </c>
      <c r="D5367" s="5" t="s">
        <v>508</v>
      </c>
      <c r="E5367" s="7" t="s">
        <v>848</v>
      </c>
      <c r="F5367" s="5" t="s">
        <v>350</v>
      </c>
    </row>
    <row r="5368">
      <c r="A5368" s="5" t="s">
        <v>2609</v>
      </c>
      <c r="B5368" s="8">
        <v>8.0</v>
      </c>
      <c r="C5368" s="7" t="s">
        <v>347</v>
      </c>
      <c r="D5368" s="5" t="s">
        <v>508</v>
      </c>
      <c r="E5368" s="7" t="s">
        <v>848</v>
      </c>
      <c r="F5368" s="5" t="s">
        <v>238</v>
      </c>
    </row>
    <row r="5369">
      <c r="A5369" s="5" t="s">
        <v>2927</v>
      </c>
      <c r="B5369" s="8">
        <v>8.0</v>
      </c>
      <c r="C5369" s="7" t="s">
        <v>590</v>
      </c>
      <c r="D5369" s="7" t="s">
        <v>1857</v>
      </c>
      <c r="E5369" s="7" t="s">
        <v>1858</v>
      </c>
      <c r="F5369" s="7" t="s">
        <v>65</v>
      </c>
    </row>
    <row r="5370">
      <c r="A5370" s="5" t="s">
        <v>2928</v>
      </c>
      <c r="B5370" s="8">
        <v>8.0</v>
      </c>
      <c r="C5370" s="7" t="s">
        <v>590</v>
      </c>
      <c r="D5370" s="7" t="s">
        <v>1857</v>
      </c>
      <c r="E5370" s="7" t="s">
        <v>1858</v>
      </c>
      <c r="F5370" s="7" t="s">
        <v>65</v>
      </c>
    </row>
    <row r="5371">
      <c r="A5371" s="7" t="s">
        <v>603</v>
      </c>
      <c r="B5371" s="8">
        <v>8.0</v>
      </c>
      <c r="C5371" s="7" t="s">
        <v>590</v>
      </c>
      <c r="D5371" s="7" t="s">
        <v>1857</v>
      </c>
      <c r="E5371" s="7" t="s">
        <v>1858</v>
      </c>
      <c r="F5371" s="7" t="s">
        <v>66</v>
      </c>
    </row>
    <row r="5372">
      <c r="A5372" s="5" t="s">
        <v>2929</v>
      </c>
      <c r="B5372" s="8">
        <v>8.0</v>
      </c>
      <c r="C5372" s="7" t="s">
        <v>590</v>
      </c>
      <c r="D5372" s="7" t="s">
        <v>1857</v>
      </c>
      <c r="E5372" s="7" t="s">
        <v>1858</v>
      </c>
      <c r="F5372" s="5" t="s">
        <v>3737</v>
      </c>
    </row>
    <row r="5373">
      <c r="A5373" s="5" t="s">
        <v>2924</v>
      </c>
      <c r="B5373" s="8">
        <v>8.0</v>
      </c>
      <c r="C5373" s="7" t="s">
        <v>1878</v>
      </c>
      <c r="D5373" s="7" t="s">
        <v>1879</v>
      </c>
      <c r="E5373" s="5" t="s">
        <v>3738</v>
      </c>
      <c r="F5373" s="5" t="s">
        <v>3360</v>
      </c>
    </row>
    <row r="5374">
      <c r="A5374" s="5" t="s">
        <v>2925</v>
      </c>
      <c r="B5374" s="8">
        <v>8.0</v>
      </c>
      <c r="C5374" s="7" t="s">
        <v>1878</v>
      </c>
      <c r="D5374" s="7" t="s">
        <v>1879</v>
      </c>
      <c r="E5374" s="5" t="s">
        <v>3738</v>
      </c>
      <c r="F5374" s="5" t="s">
        <v>3359</v>
      </c>
    </row>
    <row r="5375">
      <c r="A5375" s="5" t="s">
        <v>3086</v>
      </c>
      <c r="B5375" s="8">
        <v>8.0</v>
      </c>
      <c r="C5375" s="7" t="s">
        <v>1878</v>
      </c>
      <c r="D5375" s="7" t="s">
        <v>1879</v>
      </c>
      <c r="E5375" s="5" t="s">
        <v>3738</v>
      </c>
      <c r="F5375" s="5" t="s">
        <v>3362</v>
      </c>
    </row>
    <row r="5376">
      <c r="A5376" s="5" t="s">
        <v>3087</v>
      </c>
      <c r="B5376" s="8">
        <v>8.0</v>
      </c>
      <c r="C5376" s="7" t="s">
        <v>1878</v>
      </c>
      <c r="D5376" s="7" t="s">
        <v>1879</v>
      </c>
      <c r="E5376" s="5" t="s">
        <v>3738</v>
      </c>
      <c r="F5376" s="5" t="s">
        <v>3360</v>
      </c>
    </row>
    <row r="5377">
      <c r="A5377" s="5" t="s">
        <v>2926</v>
      </c>
      <c r="B5377" s="8">
        <v>8.0</v>
      </c>
      <c r="C5377" s="7" t="s">
        <v>1878</v>
      </c>
      <c r="D5377" s="7" t="s">
        <v>1879</v>
      </c>
      <c r="E5377" s="5" t="s">
        <v>3738</v>
      </c>
      <c r="F5377" s="5" t="s">
        <v>3739</v>
      </c>
    </row>
    <row r="5378">
      <c r="A5378" s="5" t="s">
        <v>3388</v>
      </c>
      <c r="B5378" s="8">
        <v>8.0</v>
      </c>
      <c r="C5378" s="7" t="s">
        <v>1878</v>
      </c>
      <c r="D5378" s="7" t="s">
        <v>1879</v>
      </c>
      <c r="E5378" s="5" t="s">
        <v>3738</v>
      </c>
      <c r="F5378" s="5" t="s">
        <v>3359</v>
      </c>
    </row>
    <row r="5379">
      <c r="A5379" s="5" t="s">
        <v>2927</v>
      </c>
      <c r="B5379" s="8">
        <v>8.0</v>
      </c>
      <c r="C5379" s="7" t="s">
        <v>1878</v>
      </c>
      <c r="D5379" s="7" t="s">
        <v>1879</v>
      </c>
      <c r="E5379" s="5" t="s">
        <v>3738</v>
      </c>
      <c r="F5379" s="5" t="s">
        <v>3359</v>
      </c>
    </row>
    <row r="5380">
      <c r="A5380" s="5" t="s">
        <v>2928</v>
      </c>
      <c r="B5380" s="8">
        <v>8.0</v>
      </c>
      <c r="C5380" s="7" t="s">
        <v>1878</v>
      </c>
      <c r="D5380" s="7" t="s">
        <v>1879</v>
      </c>
      <c r="E5380" s="5" t="s">
        <v>3738</v>
      </c>
      <c r="F5380" s="5" t="s">
        <v>3361</v>
      </c>
    </row>
    <row r="5381">
      <c r="A5381" s="7" t="s">
        <v>603</v>
      </c>
      <c r="B5381" s="8">
        <v>8.0</v>
      </c>
      <c r="C5381" s="7" t="s">
        <v>1878</v>
      </c>
      <c r="D5381" s="7" t="s">
        <v>1879</v>
      </c>
      <c r="E5381" s="5" t="s">
        <v>3738</v>
      </c>
      <c r="F5381" s="5" t="s">
        <v>3360</v>
      </c>
    </row>
    <row r="5382">
      <c r="A5382" s="5" t="s">
        <v>2929</v>
      </c>
      <c r="B5382" s="8">
        <v>8.0</v>
      </c>
      <c r="C5382" s="7" t="s">
        <v>1878</v>
      </c>
      <c r="D5382" s="7" t="s">
        <v>1879</v>
      </c>
      <c r="E5382" s="5" t="s">
        <v>3738</v>
      </c>
      <c r="F5382" s="5" t="s">
        <v>3359</v>
      </c>
    </row>
    <row r="5383">
      <c r="A5383" s="5" t="s">
        <v>2930</v>
      </c>
      <c r="B5383" s="8">
        <v>8.0</v>
      </c>
      <c r="C5383" s="7" t="s">
        <v>1878</v>
      </c>
      <c r="D5383" s="7" t="s">
        <v>1879</v>
      </c>
      <c r="E5383" s="5" t="s">
        <v>3738</v>
      </c>
      <c r="F5383" s="5" t="s">
        <v>3360</v>
      </c>
    </row>
    <row r="5384">
      <c r="A5384" s="7" t="s">
        <v>606</v>
      </c>
      <c r="B5384" s="8">
        <v>8.0</v>
      </c>
      <c r="C5384" s="7" t="s">
        <v>1878</v>
      </c>
      <c r="D5384" s="7" t="s">
        <v>1879</v>
      </c>
      <c r="E5384" s="5" t="s">
        <v>3738</v>
      </c>
      <c r="F5384" s="5" t="s">
        <v>3358</v>
      </c>
    </row>
    <row r="5385">
      <c r="A5385" s="5" t="s">
        <v>2602</v>
      </c>
      <c r="B5385" s="8">
        <v>8.0</v>
      </c>
      <c r="C5385" s="7" t="s">
        <v>1878</v>
      </c>
      <c r="D5385" s="7" t="s">
        <v>1879</v>
      </c>
      <c r="E5385" s="5" t="s">
        <v>3738</v>
      </c>
      <c r="F5385" s="5" t="s">
        <v>3360</v>
      </c>
    </row>
    <row r="5386">
      <c r="A5386" s="5" t="s">
        <v>2931</v>
      </c>
      <c r="B5386" s="8">
        <v>8.0</v>
      </c>
      <c r="C5386" s="7" t="s">
        <v>1878</v>
      </c>
      <c r="D5386" s="7" t="s">
        <v>1879</v>
      </c>
      <c r="E5386" s="5" t="s">
        <v>3738</v>
      </c>
      <c r="F5386" s="5" t="s">
        <v>3360</v>
      </c>
    </row>
    <row r="5387">
      <c r="A5387" s="5" t="s">
        <v>2932</v>
      </c>
      <c r="B5387" s="8">
        <v>8.0</v>
      </c>
      <c r="C5387" s="7" t="s">
        <v>1878</v>
      </c>
      <c r="D5387" s="7" t="s">
        <v>1879</v>
      </c>
      <c r="E5387" s="5" t="s">
        <v>3738</v>
      </c>
      <c r="F5387" s="5" t="s">
        <v>3359</v>
      </c>
    </row>
    <row r="5388">
      <c r="A5388" s="5" t="s">
        <v>2933</v>
      </c>
      <c r="B5388" s="8">
        <v>8.0</v>
      </c>
      <c r="C5388" s="7" t="s">
        <v>1878</v>
      </c>
      <c r="D5388" s="7" t="s">
        <v>1879</v>
      </c>
      <c r="E5388" s="5" t="s">
        <v>3738</v>
      </c>
      <c r="F5388" s="5" t="s">
        <v>3359</v>
      </c>
    </row>
    <row r="5389">
      <c r="A5389" s="5" t="s">
        <v>2606</v>
      </c>
      <c r="B5389" s="8">
        <v>8.0</v>
      </c>
      <c r="C5389" s="7" t="s">
        <v>1878</v>
      </c>
      <c r="D5389" s="7" t="s">
        <v>1879</v>
      </c>
      <c r="E5389" s="5" t="s">
        <v>3738</v>
      </c>
      <c r="F5389" s="5" t="s">
        <v>3360</v>
      </c>
    </row>
    <row r="5390">
      <c r="A5390" s="5" t="s">
        <v>2934</v>
      </c>
      <c r="B5390" s="8">
        <v>8.0</v>
      </c>
      <c r="C5390" s="7" t="s">
        <v>1878</v>
      </c>
      <c r="D5390" s="7" t="s">
        <v>1879</v>
      </c>
      <c r="E5390" s="5" t="s">
        <v>3738</v>
      </c>
      <c r="F5390" s="5" t="s">
        <v>3358</v>
      </c>
    </row>
    <row r="5391">
      <c r="A5391" s="5" t="s">
        <v>2607</v>
      </c>
      <c r="B5391" s="8">
        <v>8.0</v>
      </c>
      <c r="C5391" s="7" t="s">
        <v>1878</v>
      </c>
      <c r="D5391" s="7" t="s">
        <v>1879</v>
      </c>
      <c r="E5391" s="5" t="s">
        <v>3738</v>
      </c>
      <c r="F5391" s="5" t="s">
        <v>3361</v>
      </c>
    </row>
    <row r="5392">
      <c r="A5392" s="5" t="s">
        <v>2935</v>
      </c>
      <c r="B5392" s="8">
        <v>8.0</v>
      </c>
      <c r="C5392" s="7" t="s">
        <v>1878</v>
      </c>
      <c r="D5392" s="7" t="s">
        <v>1879</v>
      </c>
      <c r="E5392" s="5" t="s">
        <v>3738</v>
      </c>
      <c r="F5392" s="5" t="s">
        <v>3358</v>
      </c>
    </row>
    <row r="5393">
      <c r="A5393" s="5" t="s">
        <v>2936</v>
      </c>
      <c r="B5393" s="8">
        <v>8.0</v>
      </c>
      <c r="C5393" s="7" t="s">
        <v>1878</v>
      </c>
      <c r="D5393" s="7" t="s">
        <v>1879</v>
      </c>
      <c r="E5393" s="5" t="s">
        <v>3738</v>
      </c>
      <c r="F5393" s="5" t="s">
        <v>3361</v>
      </c>
    </row>
    <row r="5394">
      <c r="A5394" s="5" t="s">
        <v>2608</v>
      </c>
      <c r="B5394" s="8">
        <v>8.0</v>
      </c>
      <c r="C5394" s="7" t="s">
        <v>1878</v>
      </c>
      <c r="D5394" s="7" t="s">
        <v>1879</v>
      </c>
      <c r="E5394" s="5" t="s">
        <v>3738</v>
      </c>
      <c r="F5394" s="5" t="s">
        <v>3360</v>
      </c>
    </row>
    <row r="5395">
      <c r="A5395" s="5" t="s">
        <v>2609</v>
      </c>
      <c r="B5395" s="8">
        <v>8.0</v>
      </c>
      <c r="C5395" s="7" t="s">
        <v>1878</v>
      </c>
      <c r="D5395" s="7" t="s">
        <v>1879</v>
      </c>
      <c r="E5395" s="5" t="s">
        <v>3738</v>
      </c>
      <c r="F5395" s="5" t="s">
        <v>3360</v>
      </c>
    </row>
    <row r="5396">
      <c r="A5396" s="5" t="s">
        <v>2927</v>
      </c>
      <c r="B5396" s="8">
        <v>8.0</v>
      </c>
      <c r="C5396" s="7" t="s">
        <v>1910</v>
      </c>
      <c r="D5396" s="7" t="s">
        <v>850</v>
      </c>
      <c r="E5396" s="5" t="s">
        <v>3740</v>
      </c>
      <c r="F5396" s="5" t="s">
        <v>3603</v>
      </c>
    </row>
    <row r="5397">
      <c r="A5397" s="5" t="s">
        <v>2928</v>
      </c>
      <c r="B5397" s="8">
        <v>8.0</v>
      </c>
      <c r="C5397" s="7" t="s">
        <v>1910</v>
      </c>
      <c r="D5397" s="7" t="s">
        <v>850</v>
      </c>
      <c r="E5397" s="5" t="s">
        <v>3740</v>
      </c>
      <c r="F5397" s="5" t="s">
        <v>3604</v>
      </c>
    </row>
    <row r="5398">
      <c r="A5398" s="7" t="s">
        <v>603</v>
      </c>
      <c r="B5398" s="8">
        <v>8.0</v>
      </c>
      <c r="C5398" s="7" t="s">
        <v>1910</v>
      </c>
      <c r="D5398" s="7" t="s">
        <v>850</v>
      </c>
      <c r="E5398" s="5" t="s">
        <v>3740</v>
      </c>
      <c r="F5398" s="7" t="s">
        <v>1636</v>
      </c>
    </row>
    <row r="5399">
      <c r="A5399" s="5" t="s">
        <v>2929</v>
      </c>
      <c r="B5399" s="8">
        <v>8.0</v>
      </c>
      <c r="C5399" s="7" t="s">
        <v>1910</v>
      </c>
      <c r="D5399" s="7" t="s">
        <v>850</v>
      </c>
      <c r="E5399" s="5" t="s">
        <v>3740</v>
      </c>
      <c r="F5399" s="5" t="s">
        <v>3605</v>
      </c>
    </row>
    <row r="5400">
      <c r="A5400" s="5" t="s">
        <v>2930</v>
      </c>
      <c r="B5400" s="8">
        <v>8.0</v>
      </c>
      <c r="C5400" s="7" t="s">
        <v>1910</v>
      </c>
      <c r="D5400" s="7" t="s">
        <v>850</v>
      </c>
      <c r="E5400" s="5" t="s">
        <v>3740</v>
      </c>
      <c r="F5400" s="5" t="s">
        <v>3606</v>
      </c>
    </row>
    <row r="5401">
      <c r="A5401" s="7" t="s">
        <v>606</v>
      </c>
      <c r="B5401" s="8">
        <v>8.0</v>
      </c>
      <c r="C5401" s="7" t="s">
        <v>1910</v>
      </c>
      <c r="D5401" s="7" t="s">
        <v>850</v>
      </c>
      <c r="E5401" s="5" t="s">
        <v>3740</v>
      </c>
      <c r="F5401" s="7" t="s">
        <v>1639</v>
      </c>
    </row>
    <row r="5402">
      <c r="A5402" s="5" t="s">
        <v>2602</v>
      </c>
      <c r="B5402" s="8">
        <v>8.0</v>
      </c>
      <c r="C5402" s="7" t="s">
        <v>1910</v>
      </c>
      <c r="D5402" s="7" t="s">
        <v>850</v>
      </c>
      <c r="E5402" s="5" t="s">
        <v>3740</v>
      </c>
      <c r="F5402" s="5" t="s">
        <v>3607</v>
      </c>
    </row>
    <row r="5403">
      <c r="A5403" s="5" t="s">
        <v>2931</v>
      </c>
      <c r="B5403" s="8">
        <v>8.0</v>
      </c>
      <c r="C5403" s="7" t="s">
        <v>1910</v>
      </c>
      <c r="D5403" s="7" t="s">
        <v>850</v>
      </c>
      <c r="E5403" s="5" t="s">
        <v>3740</v>
      </c>
      <c r="F5403" s="5" t="s">
        <v>3608</v>
      </c>
    </row>
    <row r="5404">
      <c r="A5404" s="5" t="s">
        <v>2932</v>
      </c>
      <c r="B5404" s="8">
        <v>8.0</v>
      </c>
      <c r="C5404" s="7" t="s">
        <v>1910</v>
      </c>
      <c r="D5404" s="7" t="s">
        <v>850</v>
      </c>
      <c r="E5404" s="5" t="s">
        <v>3740</v>
      </c>
      <c r="F5404" s="5" t="s">
        <v>3609</v>
      </c>
    </row>
    <row r="5405">
      <c r="A5405" s="5" t="s">
        <v>2933</v>
      </c>
      <c r="B5405" s="8">
        <v>8.0</v>
      </c>
      <c r="C5405" s="7" t="s">
        <v>1910</v>
      </c>
      <c r="D5405" s="7" t="s">
        <v>850</v>
      </c>
      <c r="E5405" s="5" t="s">
        <v>3740</v>
      </c>
      <c r="F5405" s="5" t="s">
        <v>3610</v>
      </c>
    </row>
    <row r="5406">
      <c r="A5406" s="5" t="s">
        <v>2606</v>
      </c>
      <c r="B5406" s="8">
        <v>8.0</v>
      </c>
      <c r="C5406" s="7" t="s">
        <v>1910</v>
      </c>
      <c r="D5406" s="7" t="s">
        <v>850</v>
      </c>
      <c r="E5406" s="5" t="s">
        <v>3740</v>
      </c>
      <c r="F5406" s="5" t="s">
        <v>3611</v>
      </c>
    </row>
    <row r="5407">
      <c r="A5407" s="5" t="s">
        <v>2934</v>
      </c>
      <c r="B5407" s="8">
        <v>8.0</v>
      </c>
      <c r="C5407" s="7" t="s">
        <v>1910</v>
      </c>
      <c r="D5407" s="7" t="s">
        <v>850</v>
      </c>
      <c r="E5407" s="5" t="s">
        <v>3740</v>
      </c>
      <c r="F5407" s="5" t="s">
        <v>3612</v>
      </c>
    </row>
    <row r="5408">
      <c r="A5408" s="5" t="s">
        <v>2607</v>
      </c>
      <c r="B5408" s="8">
        <v>8.0</v>
      </c>
      <c r="C5408" s="7" t="s">
        <v>1910</v>
      </c>
      <c r="D5408" s="7" t="s">
        <v>850</v>
      </c>
      <c r="E5408" s="5" t="s">
        <v>3740</v>
      </c>
      <c r="F5408" s="5" t="s">
        <v>3613</v>
      </c>
    </row>
    <row r="5409">
      <c r="A5409" s="5" t="s">
        <v>2935</v>
      </c>
      <c r="B5409" s="8">
        <v>8.0</v>
      </c>
      <c r="C5409" s="7" t="s">
        <v>1910</v>
      </c>
      <c r="D5409" s="7" t="s">
        <v>850</v>
      </c>
      <c r="E5409" s="5" t="s">
        <v>3740</v>
      </c>
      <c r="F5409" s="5" t="s">
        <v>3614</v>
      </c>
    </row>
    <row r="5410">
      <c r="A5410" s="5" t="s">
        <v>2936</v>
      </c>
      <c r="B5410" s="8">
        <v>8.0</v>
      </c>
      <c r="C5410" s="7" t="s">
        <v>1910</v>
      </c>
      <c r="D5410" s="7" t="s">
        <v>850</v>
      </c>
      <c r="E5410" s="5" t="s">
        <v>3740</v>
      </c>
      <c r="F5410" s="5" t="s">
        <v>3615</v>
      </c>
    </row>
    <row r="5411">
      <c r="A5411" s="5" t="s">
        <v>2608</v>
      </c>
      <c r="B5411" s="8">
        <v>8.0</v>
      </c>
      <c r="C5411" s="7" t="s">
        <v>1910</v>
      </c>
      <c r="D5411" s="7" t="s">
        <v>850</v>
      </c>
      <c r="E5411" s="5" t="s">
        <v>3740</v>
      </c>
      <c r="F5411" s="5" t="s">
        <v>3616</v>
      </c>
    </row>
    <row r="5412">
      <c r="A5412" s="5" t="s">
        <v>2609</v>
      </c>
      <c r="B5412" s="8">
        <v>8.0</v>
      </c>
      <c r="C5412" s="7" t="s">
        <v>1910</v>
      </c>
      <c r="D5412" s="7" t="s">
        <v>850</v>
      </c>
      <c r="E5412" s="5" t="s">
        <v>3740</v>
      </c>
      <c r="F5412" s="5" t="s">
        <v>3617</v>
      </c>
    </row>
    <row r="5413">
      <c r="A5413" s="5" t="s">
        <v>2927</v>
      </c>
      <c r="B5413" s="8">
        <v>8.0</v>
      </c>
      <c r="C5413" s="7" t="s">
        <v>1912</v>
      </c>
      <c r="D5413" s="7" t="s">
        <v>1913</v>
      </c>
      <c r="E5413" s="5" t="s">
        <v>3741</v>
      </c>
      <c r="F5413" s="5" t="s">
        <v>3742</v>
      </c>
    </row>
    <row r="5414">
      <c r="A5414" s="5" t="s">
        <v>2928</v>
      </c>
      <c r="B5414" s="8">
        <v>8.0</v>
      </c>
      <c r="C5414" s="7" t="s">
        <v>1912</v>
      </c>
      <c r="D5414" s="7" t="s">
        <v>1913</v>
      </c>
      <c r="E5414" s="5" t="s">
        <v>3741</v>
      </c>
      <c r="F5414" s="5" t="s">
        <v>3743</v>
      </c>
    </row>
    <row r="5415">
      <c r="A5415" s="7" t="s">
        <v>603</v>
      </c>
      <c r="B5415" s="8">
        <v>8.0</v>
      </c>
      <c r="C5415" s="7" t="s">
        <v>1912</v>
      </c>
      <c r="D5415" s="7" t="s">
        <v>1913</v>
      </c>
      <c r="E5415" s="5" t="s">
        <v>3741</v>
      </c>
      <c r="F5415" s="7" t="s">
        <v>1917</v>
      </c>
    </row>
    <row r="5416">
      <c r="A5416" s="5" t="s">
        <v>2929</v>
      </c>
      <c r="B5416" s="8">
        <v>8.0</v>
      </c>
      <c r="C5416" s="7" t="s">
        <v>1912</v>
      </c>
      <c r="D5416" s="7" t="s">
        <v>1913</v>
      </c>
      <c r="E5416" s="5" t="s">
        <v>3741</v>
      </c>
      <c r="F5416" s="5" t="s">
        <v>3744</v>
      </c>
    </row>
    <row r="5417">
      <c r="A5417" s="5" t="s">
        <v>2930</v>
      </c>
      <c r="B5417" s="8">
        <v>8.0</v>
      </c>
      <c r="C5417" s="7" t="s">
        <v>1912</v>
      </c>
      <c r="D5417" s="7" t="s">
        <v>1913</v>
      </c>
      <c r="E5417" s="5" t="s">
        <v>3741</v>
      </c>
      <c r="F5417" s="5" t="s">
        <v>3745</v>
      </c>
    </row>
    <row r="5418">
      <c r="A5418" s="7" t="s">
        <v>606</v>
      </c>
      <c r="B5418" s="8">
        <v>8.0</v>
      </c>
      <c r="C5418" s="7" t="s">
        <v>1912</v>
      </c>
      <c r="D5418" s="7" t="s">
        <v>1913</v>
      </c>
      <c r="E5418" s="5" t="s">
        <v>3741</v>
      </c>
      <c r="F5418" s="5" t="s">
        <v>3746</v>
      </c>
    </row>
    <row r="5419">
      <c r="A5419" s="5" t="s">
        <v>2602</v>
      </c>
      <c r="B5419" s="8">
        <v>8.0</v>
      </c>
      <c r="C5419" s="7" t="s">
        <v>1912</v>
      </c>
      <c r="D5419" s="7" t="s">
        <v>1913</v>
      </c>
      <c r="E5419" s="5" t="s">
        <v>3741</v>
      </c>
      <c r="F5419" s="5" t="s">
        <v>3747</v>
      </c>
    </row>
    <row r="5420">
      <c r="A5420" s="5" t="s">
        <v>2931</v>
      </c>
      <c r="B5420" s="8">
        <v>8.0</v>
      </c>
      <c r="C5420" s="7" t="s">
        <v>1912</v>
      </c>
      <c r="D5420" s="7" t="s">
        <v>1913</v>
      </c>
      <c r="E5420" s="5" t="s">
        <v>3741</v>
      </c>
      <c r="F5420" s="5" t="s">
        <v>3748</v>
      </c>
    </row>
    <row r="5421">
      <c r="A5421" s="5" t="s">
        <v>2932</v>
      </c>
      <c r="B5421" s="8">
        <v>8.0</v>
      </c>
      <c r="C5421" s="7" t="s">
        <v>1912</v>
      </c>
      <c r="D5421" s="7" t="s">
        <v>1913</v>
      </c>
      <c r="E5421" s="5" t="s">
        <v>3741</v>
      </c>
      <c r="F5421" s="5" t="s">
        <v>3749</v>
      </c>
    </row>
    <row r="5422">
      <c r="A5422" s="5" t="s">
        <v>2933</v>
      </c>
      <c r="B5422" s="8">
        <v>8.0</v>
      </c>
      <c r="C5422" s="7" t="s">
        <v>1912</v>
      </c>
      <c r="D5422" s="7" t="s">
        <v>1913</v>
      </c>
      <c r="E5422" s="5" t="s">
        <v>3741</v>
      </c>
      <c r="F5422" s="5" t="s">
        <v>3750</v>
      </c>
    </row>
    <row r="5423">
      <c r="A5423" s="5" t="s">
        <v>2606</v>
      </c>
      <c r="B5423" s="8">
        <v>8.0</v>
      </c>
      <c r="C5423" s="7" t="s">
        <v>1912</v>
      </c>
      <c r="D5423" s="7" t="s">
        <v>1913</v>
      </c>
      <c r="E5423" s="5" t="s">
        <v>3741</v>
      </c>
      <c r="F5423" s="5" t="s">
        <v>3751</v>
      </c>
    </row>
    <row r="5424">
      <c r="A5424" s="5" t="s">
        <v>2607</v>
      </c>
      <c r="B5424" s="8">
        <v>8.0</v>
      </c>
      <c r="C5424" s="7" t="s">
        <v>1912</v>
      </c>
      <c r="D5424" s="7" t="s">
        <v>1913</v>
      </c>
      <c r="E5424" s="5" t="s">
        <v>3741</v>
      </c>
      <c r="F5424" s="5" t="s">
        <v>3752</v>
      </c>
    </row>
    <row r="5425">
      <c r="A5425" s="5" t="s">
        <v>2935</v>
      </c>
      <c r="B5425" s="8">
        <v>8.0</v>
      </c>
      <c r="C5425" s="7" t="s">
        <v>1912</v>
      </c>
      <c r="D5425" s="7" t="s">
        <v>1913</v>
      </c>
      <c r="E5425" s="5" t="s">
        <v>3741</v>
      </c>
      <c r="F5425" s="5" t="s">
        <v>3753</v>
      </c>
    </row>
    <row r="5426">
      <c r="A5426" s="5" t="s">
        <v>2936</v>
      </c>
      <c r="B5426" s="8">
        <v>8.0</v>
      </c>
      <c r="C5426" s="7" t="s">
        <v>1912</v>
      </c>
      <c r="D5426" s="7" t="s">
        <v>1913</v>
      </c>
      <c r="E5426" s="5" t="s">
        <v>3741</v>
      </c>
      <c r="F5426" s="5" t="s">
        <v>3754</v>
      </c>
    </row>
    <row r="5427">
      <c r="A5427" s="5" t="s">
        <v>2608</v>
      </c>
      <c r="B5427" s="8">
        <v>8.0</v>
      </c>
      <c r="C5427" s="7" t="s">
        <v>1912</v>
      </c>
      <c r="D5427" s="7" t="s">
        <v>1913</v>
      </c>
      <c r="E5427" s="5" t="s">
        <v>3741</v>
      </c>
      <c r="F5427" s="5" t="s">
        <v>3755</v>
      </c>
    </row>
    <row r="5428">
      <c r="A5428" s="5" t="s">
        <v>2609</v>
      </c>
      <c r="B5428" s="8">
        <v>8.0</v>
      </c>
      <c r="C5428" s="7" t="s">
        <v>1912</v>
      </c>
      <c r="D5428" s="7" t="s">
        <v>1913</v>
      </c>
      <c r="E5428" s="5" t="s">
        <v>3741</v>
      </c>
      <c r="F5428" s="5" t="s">
        <v>3756</v>
      </c>
    </row>
    <row r="5429">
      <c r="A5429" s="5" t="s">
        <v>2924</v>
      </c>
      <c r="B5429" s="8">
        <v>8.0</v>
      </c>
      <c r="C5429" s="7" t="s">
        <v>1942</v>
      </c>
      <c r="D5429" s="5" t="s">
        <v>3757</v>
      </c>
      <c r="E5429" s="5" t="s">
        <v>3758</v>
      </c>
      <c r="F5429" s="5" t="s">
        <v>3759</v>
      </c>
    </row>
    <row r="5430">
      <c r="A5430" s="5" t="s">
        <v>2925</v>
      </c>
      <c r="B5430" s="8">
        <v>8.0</v>
      </c>
      <c r="C5430" s="7" t="s">
        <v>1942</v>
      </c>
      <c r="D5430" s="5" t="s">
        <v>3757</v>
      </c>
      <c r="E5430" s="5" t="s">
        <v>3758</v>
      </c>
      <c r="F5430" s="5" t="s">
        <v>3760</v>
      </c>
    </row>
    <row r="5431">
      <c r="A5431" s="5" t="s">
        <v>3086</v>
      </c>
      <c r="B5431" s="8">
        <v>8.0</v>
      </c>
      <c r="C5431" s="7" t="s">
        <v>1942</v>
      </c>
      <c r="D5431" s="5" t="s">
        <v>3757</v>
      </c>
      <c r="E5431" s="5" t="s">
        <v>3758</v>
      </c>
      <c r="F5431" s="5" t="s">
        <v>3761</v>
      </c>
    </row>
    <row r="5432">
      <c r="A5432" s="5" t="s">
        <v>3087</v>
      </c>
      <c r="B5432" s="8">
        <v>8.0</v>
      </c>
      <c r="C5432" s="7" t="s">
        <v>1942</v>
      </c>
      <c r="D5432" s="5" t="s">
        <v>3757</v>
      </c>
      <c r="E5432" s="5" t="s">
        <v>3758</v>
      </c>
      <c r="F5432" s="5" t="s">
        <v>3762</v>
      </c>
    </row>
    <row r="5433">
      <c r="A5433" s="5" t="s">
        <v>2926</v>
      </c>
      <c r="B5433" s="8">
        <v>8.0</v>
      </c>
      <c r="C5433" s="7" t="s">
        <v>1942</v>
      </c>
      <c r="D5433" s="5" t="s">
        <v>3757</v>
      </c>
      <c r="E5433" s="5" t="s">
        <v>3758</v>
      </c>
      <c r="F5433" s="5" t="s">
        <v>2289</v>
      </c>
    </row>
    <row r="5434">
      <c r="A5434" s="5" t="s">
        <v>3388</v>
      </c>
      <c r="B5434" s="8">
        <v>8.0</v>
      </c>
      <c r="C5434" s="7" t="s">
        <v>1942</v>
      </c>
      <c r="D5434" s="5" t="s">
        <v>3757</v>
      </c>
      <c r="E5434" s="5" t="s">
        <v>3758</v>
      </c>
      <c r="F5434" s="5" t="s">
        <v>3763</v>
      </c>
    </row>
    <row r="5435">
      <c r="A5435" s="5" t="s">
        <v>2927</v>
      </c>
      <c r="B5435" s="8">
        <v>8.0</v>
      </c>
      <c r="C5435" s="7" t="s">
        <v>1942</v>
      </c>
      <c r="D5435" s="5" t="s">
        <v>3757</v>
      </c>
      <c r="E5435" s="5" t="s">
        <v>3758</v>
      </c>
      <c r="F5435" s="5" t="s">
        <v>2289</v>
      </c>
    </row>
    <row r="5436">
      <c r="A5436" s="5" t="s">
        <v>2928</v>
      </c>
      <c r="B5436" s="8">
        <v>8.0</v>
      </c>
      <c r="C5436" s="7" t="s">
        <v>1942</v>
      </c>
      <c r="D5436" s="5" t="s">
        <v>3757</v>
      </c>
      <c r="E5436" s="5" t="s">
        <v>3758</v>
      </c>
      <c r="F5436" s="5" t="s">
        <v>3764</v>
      </c>
    </row>
    <row r="5437">
      <c r="A5437" s="7" t="s">
        <v>603</v>
      </c>
      <c r="B5437" s="8">
        <v>8.0</v>
      </c>
      <c r="C5437" s="7" t="s">
        <v>1942</v>
      </c>
      <c r="D5437" s="5" t="s">
        <v>3757</v>
      </c>
      <c r="E5437" s="5" t="s">
        <v>3758</v>
      </c>
      <c r="F5437" s="5" t="s">
        <v>3765</v>
      </c>
    </row>
    <row r="5438">
      <c r="A5438" s="5" t="s">
        <v>2929</v>
      </c>
      <c r="B5438" s="8">
        <v>8.0</v>
      </c>
      <c r="C5438" s="7" t="s">
        <v>1942</v>
      </c>
      <c r="D5438" s="5" t="s">
        <v>3757</v>
      </c>
      <c r="E5438" s="5" t="s">
        <v>3758</v>
      </c>
      <c r="F5438" s="5" t="s">
        <v>3766</v>
      </c>
    </row>
    <row r="5439">
      <c r="A5439" s="5" t="s">
        <v>2930</v>
      </c>
      <c r="B5439" s="8">
        <v>8.0</v>
      </c>
      <c r="C5439" s="7" t="s">
        <v>1942</v>
      </c>
      <c r="D5439" s="5" t="s">
        <v>3757</v>
      </c>
      <c r="E5439" s="5" t="s">
        <v>3758</v>
      </c>
      <c r="F5439" s="5" t="s">
        <v>2289</v>
      </c>
    </row>
    <row r="5440">
      <c r="A5440" s="7" t="s">
        <v>606</v>
      </c>
      <c r="B5440" s="8">
        <v>8.0</v>
      </c>
      <c r="C5440" s="7" t="s">
        <v>1942</v>
      </c>
      <c r="D5440" s="5" t="s">
        <v>3757</v>
      </c>
      <c r="E5440" s="5" t="s">
        <v>3758</v>
      </c>
      <c r="F5440" s="5" t="s">
        <v>3767</v>
      </c>
    </row>
    <row r="5441">
      <c r="A5441" s="5" t="s">
        <v>2602</v>
      </c>
      <c r="B5441" s="8">
        <v>8.0</v>
      </c>
      <c r="C5441" s="7" t="s">
        <v>1942</v>
      </c>
      <c r="D5441" s="5" t="s">
        <v>3757</v>
      </c>
      <c r="E5441" s="5" t="s">
        <v>3758</v>
      </c>
      <c r="F5441" s="5" t="s">
        <v>3768</v>
      </c>
    </row>
    <row r="5442">
      <c r="A5442" s="5" t="s">
        <v>2931</v>
      </c>
      <c r="B5442" s="8">
        <v>8.0</v>
      </c>
      <c r="C5442" s="7" t="s">
        <v>1942</v>
      </c>
      <c r="D5442" s="5" t="s">
        <v>3757</v>
      </c>
      <c r="E5442" s="5" t="s">
        <v>3758</v>
      </c>
      <c r="F5442" s="5" t="s">
        <v>3769</v>
      </c>
    </row>
    <row r="5443">
      <c r="A5443" s="5" t="s">
        <v>2932</v>
      </c>
      <c r="B5443" s="8">
        <v>8.0</v>
      </c>
      <c r="C5443" s="7" t="s">
        <v>1942</v>
      </c>
      <c r="D5443" s="5" t="s">
        <v>3757</v>
      </c>
      <c r="E5443" s="5" t="s">
        <v>3758</v>
      </c>
      <c r="F5443" s="5" t="s">
        <v>2289</v>
      </c>
    </row>
    <row r="5444">
      <c r="A5444" s="5" t="s">
        <v>2933</v>
      </c>
      <c r="B5444" s="8">
        <v>8.0</v>
      </c>
      <c r="C5444" s="7" t="s">
        <v>1942</v>
      </c>
      <c r="D5444" s="5" t="s">
        <v>3757</v>
      </c>
      <c r="E5444" s="5" t="s">
        <v>3758</v>
      </c>
      <c r="F5444" s="5" t="s">
        <v>3770</v>
      </c>
    </row>
    <row r="5445">
      <c r="A5445" s="5" t="s">
        <v>2606</v>
      </c>
      <c r="B5445" s="8">
        <v>8.0</v>
      </c>
      <c r="C5445" s="7" t="s">
        <v>1942</v>
      </c>
      <c r="D5445" s="5" t="s">
        <v>3757</v>
      </c>
      <c r="E5445" s="5" t="s">
        <v>3758</v>
      </c>
      <c r="F5445" s="7" t="s">
        <v>1958</v>
      </c>
    </row>
    <row r="5446">
      <c r="A5446" s="5" t="s">
        <v>2934</v>
      </c>
      <c r="B5446" s="8">
        <v>8.0</v>
      </c>
      <c r="C5446" s="7" t="s">
        <v>1942</v>
      </c>
      <c r="D5446" s="5" t="s">
        <v>3757</v>
      </c>
      <c r="E5446" s="5" t="s">
        <v>3758</v>
      </c>
      <c r="F5446" s="5" t="s">
        <v>3771</v>
      </c>
    </row>
    <row r="5447">
      <c r="A5447" s="5" t="s">
        <v>2607</v>
      </c>
      <c r="B5447" s="8">
        <v>8.0</v>
      </c>
      <c r="C5447" s="7" t="s">
        <v>1942</v>
      </c>
      <c r="D5447" s="5" t="s">
        <v>3757</v>
      </c>
      <c r="E5447" s="5" t="s">
        <v>3758</v>
      </c>
      <c r="F5447" s="5" t="s">
        <v>3772</v>
      </c>
    </row>
    <row r="5448">
      <c r="A5448" s="5" t="s">
        <v>2935</v>
      </c>
      <c r="B5448" s="8">
        <v>8.0</v>
      </c>
      <c r="C5448" s="7" t="s">
        <v>1942</v>
      </c>
      <c r="D5448" s="5" t="s">
        <v>3757</v>
      </c>
      <c r="E5448" s="5" t="s">
        <v>3758</v>
      </c>
      <c r="F5448" s="7" t="s">
        <v>1961</v>
      </c>
    </row>
    <row r="5449">
      <c r="A5449" s="5" t="s">
        <v>2936</v>
      </c>
      <c r="B5449" s="8">
        <v>8.0</v>
      </c>
      <c r="C5449" s="7" t="s">
        <v>1942</v>
      </c>
      <c r="D5449" s="5" t="s">
        <v>3757</v>
      </c>
      <c r="E5449" s="5" t="s">
        <v>3758</v>
      </c>
      <c r="F5449" s="5" t="s">
        <v>2289</v>
      </c>
    </row>
    <row r="5450">
      <c r="A5450" s="5" t="s">
        <v>2608</v>
      </c>
      <c r="B5450" s="8">
        <v>8.0</v>
      </c>
      <c r="C5450" s="7" t="s">
        <v>1942</v>
      </c>
      <c r="D5450" s="5" t="s">
        <v>3757</v>
      </c>
      <c r="E5450" s="5" t="s">
        <v>3758</v>
      </c>
      <c r="F5450" s="5" t="s">
        <v>3773</v>
      </c>
    </row>
    <row r="5451">
      <c r="A5451" s="5" t="s">
        <v>2609</v>
      </c>
      <c r="B5451" s="8">
        <v>8.0</v>
      </c>
      <c r="C5451" s="7" t="s">
        <v>1942</v>
      </c>
      <c r="D5451" s="5" t="s">
        <v>3757</v>
      </c>
      <c r="E5451" s="5" t="s">
        <v>3758</v>
      </c>
      <c r="F5451" s="5" t="s">
        <v>3774</v>
      </c>
    </row>
    <row r="5452">
      <c r="A5452" s="5" t="s">
        <v>2924</v>
      </c>
      <c r="B5452" s="8">
        <v>8.0</v>
      </c>
      <c r="C5452" s="4" t="s">
        <v>367</v>
      </c>
      <c r="D5452" s="7" t="s">
        <v>1966</v>
      </c>
      <c r="E5452" s="5" t="s">
        <v>1967</v>
      </c>
      <c r="F5452" s="5" t="s">
        <v>1968</v>
      </c>
    </row>
    <row r="5453">
      <c r="A5453" s="5" t="s">
        <v>2925</v>
      </c>
      <c r="B5453" s="8">
        <v>8.0</v>
      </c>
      <c r="C5453" s="4" t="s">
        <v>367</v>
      </c>
      <c r="D5453" s="7" t="s">
        <v>1966</v>
      </c>
      <c r="E5453" s="5" t="s">
        <v>1967</v>
      </c>
      <c r="F5453" s="5" t="s">
        <v>3775</v>
      </c>
    </row>
    <row r="5454">
      <c r="A5454" s="5" t="s">
        <v>3086</v>
      </c>
      <c r="B5454" s="8">
        <v>8.0</v>
      </c>
      <c r="C5454" s="4" t="s">
        <v>367</v>
      </c>
      <c r="D5454" s="7" t="s">
        <v>1966</v>
      </c>
      <c r="E5454" s="5" t="s">
        <v>1967</v>
      </c>
      <c r="F5454" s="5" t="s">
        <v>3776</v>
      </c>
    </row>
    <row r="5455">
      <c r="A5455" s="5" t="s">
        <v>2926</v>
      </c>
      <c r="B5455" s="8">
        <v>8.0</v>
      </c>
      <c r="C5455" s="4" t="s">
        <v>367</v>
      </c>
      <c r="D5455" s="7" t="s">
        <v>1966</v>
      </c>
      <c r="E5455" s="5" t="s">
        <v>1967</v>
      </c>
      <c r="F5455" s="5" t="s">
        <v>3777</v>
      </c>
    </row>
    <row r="5456">
      <c r="A5456" s="5" t="s">
        <v>3388</v>
      </c>
      <c r="B5456" s="8">
        <v>8.0</v>
      </c>
      <c r="C5456" s="4" t="s">
        <v>367</v>
      </c>
      <c r="D5456" s="7" t="s">
        <v>1966</v>
      </c>
      <c r="E5456" s="5" t="s">
        <v>1967</v>
      </c>
      <c r="F5456" s="5" t="s">
        <v>3778</v>
      </c>
    </row>
    <row r="5457">
      <c r="A5457" s="5" t="s">
        <v>2927</v>
      </c>
      <c r="B5457" s="8">
        <v>8.0</v>
      </c>
      <c r="C5457" s="4" t="s">
        <v>367</v>
      </c>
      <c r="D5457" s="7" t="s">
        <v>1966</v>
      </c>
      <c r="E5457" s="5" t="s">
        <v>1967</v>
      </c>
      <c r="F5457" s="5" t="s">
        <v>3779</v>
      </c>
    </row>
    <row r="5458">
      <c r="A5458" s="5" t="s">
        <v>2928</v>
      </c>
      <c r="B5458" s="8">
        <v>8.0</v>
      </c>
      <c r="C5458" s="4" t="s">
        <v>367</v>
      </c>
      <c r="D5458" s="7" t="s">
        <v>1966</v>
      </c>
      <c r="E5458" s="5" t="s">
        <v>1967</v>
      </c>
      <c r="F5458" s="5" t="s">
        <v>3780</v>
      </c>
    </row>
    <row r="5459">
      <c r="A5459" s="7" t="s">
        <v>603</v>
      </c>
      <c r="B5459" s="8">
        <v>8.0</v>
      </c>
      <c r="C5459" s="4" t="s">
        <v>367</v>
      </c>
      <c r="D5459" s="7" t="s">
        <v>1966</v>
      </c>
      <c r="E5459" s="5" t="s">
        <v>1967</v>
      </c>
      <c r="F5459" s="5" t="s">
        <v>3781</v>
      </c>
    </row>
    <row r="5460">
      <c r="A5460" s="5" t="s">
        <v>2929</v>
      </c>
      <c r="B5460" s="8">
        <v>8.0</v>
      </c>
      <c r="C5460" s="4" t="s">
        <v>367</v>
      </c>
      <c r="D5460" s="7" t="s">
        <v>1966</v>
      </c>
      <c r="E5460" s="5" t="s">
        <v>1967</v>
      </c>
      <c r="F5460" s="5" t="s">
        <v>3782</v>
      </c>
    </row>
    <row r="5461">
      <c r="A5461" s="5" t="s">
        <v>2930</v>
      </c>
      <c r="B5461" s="8">
        <v>8.0</v>
      </c>
      <c r="C5461" s="4" t="s">
        <v>367</v>
      </c>
      <c r="D5461" s="7" t="s">
        <v>1966</v>
      </c>
      <c r="E5461" s="5" t="s">
        <v>1967</v>
      </c>
      <c r="F5461" s="5" t="s">
        <v>3783</v>
      </c>
    </row>
    <row r="5462">
      <c r="A5462" s="7" t="s">
        <v>606</v>
      </c>
      <c r="B5462" s="8">
        <v>8.0</v>
      </c>
      <c r="C5462" s="4" t="s">
        <v>367</v>
      </c>
      <c r="D5462" s="7" t="s">
        <v>1966</v>
      </c>
      <c r="E5462" s="5" t="s">
        <v>1967</v>
      </c>
      <c r="F5462" s="5" t="s">
        <v>3784</v>
      </c>
    </row>
    <row r="5463">
      <c r="A5463" s="5" t="s">
        <v>2602</v>
      </c>
      <c r="B5463" s="8">
        <v>8.0</v>
      </c>
      <c r="C5463" s="4" t="s">
        <v>367</v>
      </c>
      <c r="D5463" s="7" t="s">
        <v>1966</v>
      </c>
      <c r="E5463" s="5" t="s">
        <v>1967</v>
      </c>
      <c r="F5463" s="5" t="s">
        <v>3785</v>
      </c>
    </row>
    <row r="5464">
      <c r="A5464" s="5" t="s">
        <v>2931</v>
      </c>
      <c r="B5464" s="8">
        <v>8.0</v>
      </c>
      <c r="C5464" s="4" t="s">
        <v>367</v>
      </c>
      <c r="D5464" s="7" t="s">
        <v>1966</v>
      </c>
      <c r="E5464" s="5" t="s">
        <v>1967</v>
      </c>
      <c r="F5464" s="5" t="s">
        <v>1980</v>
      </c>
    </row>
    <row r="5465">
      <c r="A5465" s="5" t="s">
        <v>2932</v>
      </c>
      <c r="B5465" s="8">
        <v>8.0</v>
      </c>
      <c r="C5465" s="4" t="s">
        <v>367</v>
      </c>
      <c r="D5465" s="7" t="s">
        <v>1966</v>
      </c>
      <c r="E5465" s="5" t="s">
        <v>1967</v>
      </c>
      <c r="F5465" s="5" t="s">
        <v>3786</v>
      </c>
    </row>
    <row r="5466">
      <c r="A5466" s="5" t="s">
        <v>2933</v>
      </c>
      <c r="B5466" s="8">
        <v>8.0</v>
      </c>
      <c r="C5466" s="4" t="s">
        <v>367</v>
      </c>
      <c r="D5466" s="7" t="s">
        <v>1966</v>
      </c>
      <c r="E5466" s="5" t="s">
        <v>1967</v>
      </c>
      <c r="F5466" s="5" t="s">
        <v>3786</v>
      </c>
    </row>
    <row r="5467">
      <c r="A5467" s="5" t="s">
        <v>2606</v>
      </c>
      <c r="B5467" s="8">
        <v>8.0</v>
      </c>
      <c r="C5467" s="4" t="s">
        <v>367</v>
      </c>
      <c r="D5467" s="7" t="s">
        <v>1966</v>
      </c>
      <c r="E5467" s="5" t="s">
        <v>1967</v>
      </c>
      <c r="F5467" s="5" t="s">
        <v>3787</v>
      </c>
    </row>
    <row r="5468">
      <c r="A5468" s="5" t="s">
        <v>2934</v>
      </c>
      <c r="B5468" s="8">
        <v>8.0</v>
      </c>
      <c r="C5468" s="4" t="s">
        <v>367</v>
      </c>
      <c r="D5468" s="7" t="s">
        <v>1966</v>
      </c>
      <c r="E5468" s="5" t="s">
        <v>1967</v>
      </c>
      <c r="F5468" s="5" t="s">
        <v>3785</v>
      </c>
    </row>
    <row r="5469">
      <c r="A5469" s="5" t="s">
        <v>2607</v>
      </c>
      <c r="B5469" s="8">
        <v>8.0</v>
      </c>
      <c r="C5469" s="4" t="s">
        <v>367</v>
      </c>
      <c r="D5469" s="7" t="s">
        <v>1966</v>
      </c>
      <c r="E5469" s="5" t="s">
        <v>1967</v>
      </c>
      <c r="F5469" s="5" t="s">
        <v>3785</v>
      </c>
    </row>
    <row r="5470">
      <c r="A5470" s="5" t="s">
        <v>2935</v>
      </c>
      <c r="B5470" s="8">
        <v>8.0</v>
      </c>
      <c r="C5470" s="4" t="s">
        <v>367</v>
      </c>
      <c r="D5470" s="7" t="s">
        <v>1966</v>
      </c>
      <c r="E5470" s="5" t="s">
        <v>1967</v>
      </c>
      <c r="F5470" s="5" t="s">
        <v>3788</v>
      </c>
    </row>
    <row r="5471">
      <c r="A5471" s="5" t="s">
        <v>2936</v>
      </c>
      <c r="B5471" s="8">
        <v>8.0</v>
      </c>
      <c r="C5471" s="4" t="s">
        <v>367</v>
      </c>
      <c r="D5471" s="7" t="s">
        <v>1966</v>
      </c>
      <c r="E5471" s="5" t="s">
        <v>1967</v>
      </c>
      <c r="F5471" s="5" t="s">
        <v>3789</v>
      </c>
    </row>
    <row r="5472">
      <c r="A5472" s="5" t="s">
        <v>2608</v>
      </c>
      <c r="B5472" s="8">
        <v>8.0</v>
      </c>
      <c r="C5472" s="4" t="s">
        <v>367</v>
      </c>
      <c r="D5472" s="7" t="s">
        <v>1966</v>
      </c>
      <c r="E5472" s="5" t="s">
        <v>1967</v>
      </c>
      <c r="F5472" s="5" t="s">
        <v>3790</v>
      </c>
    </row>
    <row r="5473">
      <c r="A5473" s="5" t="s">
        <v>2609</v>
      </c>
      <c r="B5473" s="8">
        <v>8.0</v>
      </c>
      <c r="C5473" s="4" t="s">
        <v>367</v>
      </c>
      <c r="D5473" s="7" t="s">
        <v>1966</v>
      </c>
      <c r="E5473" s="5" t="s">
        <v>1967</v>
      </c>
      <c r="F5473" s="5" t="s">
        <v>3790</v>
      </c>
    </row>
    <row r="5474">
      <c r="A5474" s="5" t="s">
        <v>3791</v>
      </c>
      <c r="B5474" s="8" t="s">
        <v>2311</v>
      </c>
      <c r="C5474" s="7" t="s">
        <v>1991</v>
      </c>
      <c r="D5474" s="5" t="s">
        <v>3792</v>
      </c>
      <c r="E5474" s="5" t="s">
        <v>3793</v>
      </c>
      <c r="F5474" s="5" t="s">
        <v>3794</v>
      </c>
    </row>
    <row r="5475">
      <c r="A5475" s="7" t="s">
        <v>188</v>
      </c>
      <c r="B5475" s="8">
        <v>9.0</v>
      </c>
      <c r="C5475" s="7" t="s">
        <v>1991</v>
      </c>
      <c r="D5475" s="5" t="s">
        <v>3792</v>
      </c>
      <c r="E5475" s="5" t="s">
        <v>3793</v>
      </c>
      <c r="F5475" s="5" t="s">
        <v>906</v>
      </c>
    </row>
    <row r="5476">
      <c r="A5476" s="5" t="s">
        <v>2924</v>
      </c>
      <c r="B5476" s="8">
        <v>9.0</v>
      </c>
      <c r="C5476" s="7" t="s">
        <v>1991</v>
      </c>
      <c r="D5476" s="5" t="s">
        <v>3792</v>
      </c>
      <c r="E5476" s="5" t="s">
        <v>3793</v>
      </c>
      <c r="F5476" s="5" t="s">
        <v>1251</v>
      </c>
    </row>
    <row r="5477">
      <c r="A5477" s="5" t="s">
        <v>2796</v>
      </c>
      <c r="B5477" s="8">
        <v>9.0</v>
      </c>
      <c r="C5477" s="7" t="s">
        <v>1991</v>
      </c>
      <c r="D5477" s="5" t="s">
        <v>3792</v>
      </c>
      <c r="E5477" s="5" t="s">
        <v>3793</v>
      </c>
      <c r="F5477" s="5" t="s">
        <v>1251</v>
      </c>
    </row>
    <row r="5478">
      <c r="A5478" s="5" t="s">
        <v>2925</v>
      </c>
      <c r="B5478" s="8">
        <v>9.0</v>
      </c>
      <c r="C5478" s="7" t="s">
        <v>1991</v>
      </c>
      <c r="D5478" s="5" t="s">
        <v>3792</v>
      </c>
      <c r="E5478" s="5" t="s">
        <v>3793</v>
      </c>
      <c r="F5478" s="5" t="s">
        <v>1251</v>
      </c>
    </row>
    <row r="5479">
      <c r="A5479" s="5" t="s">
        <v>3086</v>
      </c>
      <c r="B5479" s="8">
        <v>9.0</v>
      </c>
      <c r="C5479" s="7" t="s">
        <v>1991</v>
      </c>
      <c r="D5479" s="5" t="s">
        <v>3792</v>
      </c>
      <c r="E5479" s="5" t="s">
        <v>3793</v>
      </c>
      <c r="F5479" s="5" t="s">
        <v>1251</v>
      </c>
    </row>
    <row r="5480">
      <c r="A5480" s="5" t="s">
        <v>3795</v>
      </c>
      <c r="B5480" s="8">
        <v>9.0</v>
      </c>
      <c r="C5480" s="7" t="s">
        <v>1991</v>
      </c>
      <c r="D5480" s="5" t="s">
        <v>3792</v>
      </c>
      <c r="E5480" s="5" t="s">
        <v>3793</v>
      </c>
      <c r="F5480" s="5" t="s">
        <v>1251</v>
      </c>
    </row>
    <row r="5481">
      <c r="A5481" s="7" t="s">
        <v>868</v>
      </c>
      <c r="B5481" s="8">
        <v>9.0</v>
      </c>
      <c r="C5481" s="7" t="s">
        <v>1991</v>
      </c>
      <c r="D5481" s="5" t="s">
        <v>3792</v>
      </c>
      <c r="E5481" s="5" t="s">
        <v>3793</v>
      </c>
      <c r="F5481" s="5" t="s">
        <v>3527</v>
      </c>
    </row>
    <row r="5482">
      <c r="A5482" s="5" t="s">
        <v>3087</v>
      </c>
      <c r="B5482" s="8">
        <v>9.0</v>
      </c>
      <c r="C5482" s="7" t="s">
        <v>1991</v>
      </c>
      <c r="D5482" s="5" t="s">
        <v>3792</v>
      </c>
      <c r="E5482" s="5" t="s">
        <v>3793</v>
      </c>
      <c r="F5482" s="5" t="s">
        <v>1251</v>
      </c>
    </row>
    <row r="5483">
      <c r="A5483" s="5" t="s">
        <v>2926</v>
      </c>
      <c r="B5483" s="8">
        <v>9.0</v>
      </c>
      <c r="C5483" s="7" t="s">
        <v>1991</v>
      </c>
      <c r="D5483" s="5" t="s">
        <v>3792</v>
      </c>
      <c r="E5483" s="5" t="s">
        <v>3793</v>
      </c>
      <c r="F5483" s="5" t="s">
        <v>3796</v>
      </c>
    </row>
    <row r="5484">
      <c r="A5484" s="5" t="s">
        <v>3088</v>
      </c>
      <c r="B5484" s="8">
        <v>9.0</v>
      </c>
      <c r="C5484" s="7" t="s">
        <v>1991</v>
      </c>
      <c r="D5484" s="5" t="s">
        <v>3792</v>
      </c>
      <c r="E5484" s="5" t="s">
        <v>3793</v>
      </c>
      <c r="F5484" s="5" t="s">
        <v>3797</v>
      </c>
    </row>
    <row r="5485">
      <c r="A5485" s="5" t="s">
        <v>3388</v>
      </c>
      <c r="B5485" s="8">
        <v>9.0</v>
      </c>
      <c r="C5485" s="7" t="s">
        <v>1991</v>
      </c>
      <c r="D5485" s="5" t="s">
        <v>3792</v>
      </c>
      <c r="E5485" s="5" t="s">
        <v>3793</v>
      </c>
      <c r="F5485" s="5" t="s">
        <v>1251</v>
      </c>
    </row>
    <row r="5486">
      <c r="A5486" s="5" t="s">
        <v>2927</v>
      </c>
      <c r="B5486" s="8">
        <v>9.0</v>
      </c>
      <c r="C5486" s="7" t="s">
        <v>1991</v>
      </c>
      <c r="D5486" s="5" t="s">
        <v>3792</v>
      </c>
      <c r="E5486" s="5" t="s">
        <v>3793</v>
      </c>
      <c r="F5486" s="5" t="s">
        <v>3520</v>
      </c>
    </row>
    <row r="5487">
      <c r="A5487" s="5" t="s">
        <v>3089</v>
      </c>
      <c r="B5487" s="8">
        <v>9.0</v>
      </c>
      <c r="C5487" s="7" t="s">
        <v>1991</v>
      </c>
      <c r="D5487" s="5" t="s">
        <v>3792</v>
      </c>
      <c r="E5487" s="5" t="s">
        <v>3793</v>
      </c>
      <c r="F5487" s="5" t="s">
        <v>3798</v>
      </c>
    </row>
    <row r="5488">
      <c r="A5488" s="5" t="s">
        <v>2928</v>
      </c>
      <c r="B5488" s="8">
        <v>9.0</v>
      </c>
      <c r="C5488" s="7" t="s">
        <v>1991</v>
      </c>
      <c r="D5488" s="5" t="s">
        <v>3792</v>
      </c>
      <c r="E5488" s="5" t="s">
        <v>3793</v>
      </c>
      <c r="F5488" s="5" t="s">
        <v>3799</v>
      </c>
    </row>
    <row r="5489">
      <c r="A5489" s="7" t="s">
        <v>603</v>
      </c>
      <c r="B5489" s="8">
        <v>9.0</v>
      </c>
      <c r="C5489" s="7" t="s">
        <v>1991</v>
      </c>
      <c r="D5489" s="5" t="s">
        <v>3792</v>
      </c>
      <c r="E5489" s="5" t="s">
        <v>3793</v>
      </c>
      <c r="F5489" s="5" t="s">
        <v>3800</v>
      </c>
    </row>
    <row r="5490">
      <c r="A5490" s="5" t="s">
        <v>2929</v>
      </c>
      <c r="B5490" s="8">
        <v>9.0</v>
      </c>
      <c r="C5490" s="7" t="s">
        <v>1991</v>
      </c>
      <c r="D5490" s="5" t="s">
        <v>3792</v>
      </c>
      <c r="E5490" s="5" t="s">
        <v>3793</v>
      </c>
      <c r="F5490" s="5" t="s">
        <v>3801</v>
      </c>
    </row>
    <row r="5491">
      <c r="A5491" s="5" t="s">
        <v>2702</v>
      </c>
      <c r="B5491" s="8">
        <v>9.0</v>
      </c>
      <c r="C5491" s="7" t="s">
        <v>1991</v>
      </c>
      <c r="D5491" s="5" t="s">
        <v>3792</v>
      </c>
      <c r="E5491" s="5" t="s">
        <v>3793</v>
      </c>
      <c r="F5491" s="5" t="s">
        <v>3798</v>
      </c>
    </row>
    <row r="5492">
      <c r="A5492" s="5" t="s">
        <v>2930</v>
      </c>
      <c r="B5492" s="8">
        <v>9.0</v>
      </c>
      <c r="C5492" s="7" t="s">
        <v>1991</v>
      </c>
      <c r="D5492" s="5" t="s">
        <v>3792</v>
      </c>
      <c r="E5492" s="5" t="s">
        <v>3793</v>
      </c>
      <c r="F5492" s="5" t="s">
        <v>2001</v>
      </c>
    </row>
    <row r="5493">
      <c r="A5493" s="5" t="s">
        <v>2600</v>
      </c>
      <c r="B5493" s="8">
        <v>9.0</v>
      </c>
      <c r="C5493" s="7" t="s">
        <v>1991</v>
      </c>
      <c r="D5493" s="5" t="s">
        <v>3792</v>
      </c>
      <c r="E5493" s="5" t="s">
        <v>3793</v>
      </c>
      <c r="F5493" s="5" t="s">
        <v>3798</v>
      </c>
    </row>
    <row r="5494">
      <c r="A5494" s="5" t="s">
        <v>3802</v>
      </c>
      <c r="B5494" s="8">
        <v>9.0</v>
      </c>
      <c r="C5494" s="7" t="s">
        <v>1991</v>
      </c>
      <c r="D5494" s="5" t="s">
        <v>3792</v>
      </c>
      <c r="E5494" s="5" t="s">
        <v>3793</v>
      </c>
      <c r="F5494" s="5" t="s">
        <v>3798</v>
      </c>
    </row>
    <row r="5495">
      <c r="A5495" s="5" t="s">
        <v>3090</v>
      </c>
      <c r="B5495" s="8">
        <v>9.0</v>
      </c>
      <c r="C5495" s="7" t="s">
        <v>1991</v>
      </c>
      <c r="D5495" s="5" t="s">
        <v>3792</v>
      </c>
      <c r="E5495" s="5" t="s">
        <v>3793</v>
      </c>
      <c r="F5495" s="5" t="s">
        <v>2002</v>
      </c>
    </row>
    <row r="5496">
      <c r="A5496" s="7" t="s">
        <v>606</v>
      </c>
      <c r="B5496" s="8">
        <v>9.0</v>
      </c>
      <c r="C5496" s="7" t="s">
        <v>1991</v>
      </c>
      <c r="D5496" s="5" t="s">
        <v>3792</v>
      </c>
      <c r="E5496" s="5" t="s">
        <v>3793</v>
      </c>
      <c r="F5496" s="7" t="s">
        <v>2003</v>
      </c>
    </row>
    <row r="5497">
      <c r="A5497" s="5" t="s">
        <v>2602</v>
      </c>
      <c r="B5497" s="8">
        <v>9.0</v>
      </c>
      <c r="C5497" s="7" t="s">
        <v>1991</v>
      </c>
      <c r="D5497" s="5" t="s">
        <v>3792</v>
      </c>
      <c r="E5497" s="5" t="s">
        <v>3793</v>
      </c>
      <c r="F5497" s="5" t="s">
        <v>3803</v>
      </c>
    </row>
    <row r="5498">
      <c r="A5498" s="5" t="s">
        <v>2931</v>
      </c>
      <c r="B5498" s="8">
        <v>9.0</v>
      </c>
      <c r="C5498" s="7" t="s">
        <v>1991</v>
      </c>
      <c r="D5498" s="5" t="s">
        <v>3792</v>
      </c>
      <c r="E5498" s="5" t="s">
        <v>3793</v>
      </c>
      <c r="F5498" s="5" t="s">
        <v>3804</v>
      </c>
    </row>
    <row r="5499">
      <c r="A5499" s="7" t="s">
        <v>874</v>
      </c>
      <c r="B5499" s="8">
        <v>9.0</v>
      </c>
      <c r="C5499" s="7" t="s">
        <v>1991</v>
      </c>
      <c r="D5499" s="5" t="s">
        <v>3792</v>
      </c>
      <c r="E5499" s="5" t="s">
        <v>3793</v>
      </c>
      <c r="F5499" s="5" t="s">
        <v>3798</v>
      </c>
    </row>
    <row r="5500">
      <c r="A5500" s="5" t="s">
        <v>2932</v>
      </c>
      <c r="B5500" s="8">
        <v>9.0</v>
      </c>
      <c r="C5500" s="7" t="s">
        <v>1991</v>
      </c>
      <c r="D5500" s="5" t="s">
        <v>3792</v>
      </c>
      <c r="E5500" s="5" t="s">
        <v>3793</v>
      </c>
      <c r="F5500" s="5" t="s">
        <v>2001</v>
      </c>
    </row>
    <row r="5501">
      <c r="A5501" s="5" t="s">
        <v>3091</v>
      </c>
      <c r="B5501" s="8">
        <v>9.0</v>
      </c>
      <c r="C5501" s="7" t="s">
        <v>1991</v>
      </c>
      <c r="D5501" s="5" t="s">
        <v>3792</v>
      </c>
      <c r="E5501" s="5" t="s">
        <v>3793</v>
      </c>
      <c r="F5501" s="5" t="s">
        <v>2001</v>
      </c>
    </row>
    <row r="5502">
      <c r="A5502" s="5" t="s">
        <v>2605</v>
      </c>
      <c r="B5502" s="8">
        <v>9.0</v>
      </c>
      <c r="C5502" s="7" t="s">
        <v>1991</v>
      </c>
      <c r="D5502" s="5" t="s">
        <v>3792</v>
      </c>
      <c r="E5502" s="5" t="s">
        <v>3793</v>
      </c>
      <c r="F5502" s="5" t="s">
        <v>3805</v>
      </c>
    </row>
    <row r="5503">
      <c r="A5503" s="7" t="s">
        <v>1989</v>
      </c>
      <c r="B5503" s="8">
        <v>9.0</v>
      </c>
      <c r="C5503" s="7" t="s">
        <v>1991</v>
      </c>
      <c r="D5503" s="5" t="s">
        <v>3792</v>
      </c>
      <c r="E5503" s="5" t="s">
        <v>3793</v>
      </c>
      <c r="F5503" s="5" t="s">
        <v>3806</v>
      </c>
    </row>
    <row r="5504">
      <c r="A5504" s="5" t="s">
        <v>2933</v>
      </c>
      <c r="B5504" s="8">
        <v>9.0</v>
      </c>
      <c r="C5504" s="7" t="s">
        <v>1991</v>
      </c>
      <c r="D5504" s="5" t="s">
        <v>3792</v>
      </c>
      <c r="E5504" s="5" t="s">
        <v>3793</v>
      </c>
      <c r="F5504" s="5" t="s">
        <v>2001</v>
      </c>
    </row>
    <row r="5505">
      <c r="A5505" s="5" t="s">
        <v>2606</v>
      </c>
      <c r="B5505" s="8">
        <v>9.0</v>
      </c>
      <c r="C5505" s="7" t="s">
        <v>1991</v>
      </c>
      <c r="D5505" s="5" t="s">
        <v>3792</v>
      </c>
      <c r="E5505" s="5" t="s">
        <v>3793</v>
      </c>
      <c r="F5505" s="5" t="s">
        <v>2001</v>
      </c>
    </row>
    <row r="5506">
      <c r="A5506" s="5" t="s">
        <v>2934</v>
      </c>
      <c r="B5506" s="8">
        <v>9.0</v>
      </c>
      <c r="C5506" s="7" t="s">
        <v>1991</v>
      </c>
      <c r="D5506" s="5" t="s">
        <v>3792</v>
      </c>
      <c r="E5506" s="5" t="s">
        <v>3793</v>
      </c>
      <c r="F5506" s="5" t="s">
        <v>2001</v>
      </c>
    </row>
    <row r="5507">
      <c r="A5507" s="5" t="s">
        <v>2607</v>
      </c>
      <c r="B5507" s="8">
        <v>9.0</v>
      </c>
      <c r="C5507" s="7" t="s">
        <v>1991</v>
      </c>
      <c r="D5507" s="5" t="s">
        <v>3792</v>
      </c>
      <c r="E5507" s="5" t="s">
        <v>3793</v>
      </c>
      <c r="F5507" s="7" t="s">
        <v>2008</v>
      </c>
    </row>
    <row r="5508">
      <c r="A5508" s="7" t="s">
        <v>1990</v>
      </c>
      <c r="B5508" s="8">
        <v>9.0</v>
      </c>
      <c r="C5508" s="7" t="s">
        <v>1991</v>
      </c>
      <c r="D5508" s="5" t="s">
        <v>3792</v>
      </c>
      <c r="E5508" s="5" t="s">
        <v>3793</v>
      </c>
      <c r="F5508" s="5" t="s">
        <v>3798</v>
      </c>
    </row>
    <row r="5509">
      <c r="A5509" s="5" t="s">
        <v>2935</v>
      </c>
      <c r="B5509" s="8">
        <v>9.0</v>
      </c>
      <c r="C5509" s="7" t="s">
        <v>1991</v>
      </c>
      <c r="D5509" s="5" t="s">
        <v>3792</v>
      </c>
      <c r="E5509" s="5" t="s">
        <v>3793</v>
      </c>
      <c r="F5509" s="5" t="s">
        <v>537</v>
      </c>
    </row>
    <row r="5510">
      <c r="A5510" s="5" t="s">
        <v>2936</v>
      </c>
      <c r="B5510" s="8">
        <v>9.0</v>
      </c>
      <c r="C5510" s="7" t="s">
        <v>1991</v>
      </c>
      <c r="D5510" s="5" t="s">
        <v>3792</v>
      </c>
      <c r="E5510" s="5" t="s">
        <v>3793</v>
      </c>
      <c r="F5510" s="7" t="s">
        <v>2009</v>
      </c>
    </row>
    <row r="5511">
      <c r="A5511" s="5" t="s">
        <v>2608</v>
      </c>
      <c r="B5511" s="8">
        <v>9.0</v>
      </c>
      <c r="C5511" s="7" t="s">
        <v>1991</v>
      </c>
      <c r="D5511" s="5" t="s">
        <v>3792</v>
      </c>
      <c r="E5511" s="5" t="s">
        <v>3793</v>
      </c>
      <c r="F5511" s="5" t="s">
        <v>2001</v>
      </c>
    </row>
    <row r="5512">
      <c r="A5512" s="5" t="s">
        <v>2609</v>
      </c>
      <c r="B5512" s="8">
        <v>9.0</v>
      </c>
      <c r="C5512" s="7" t="s">
        <v>1991</v>
      </c>
      <c r="D5512" s="5" t="s">
        <v>3792</v>
      </c>
      <c r="E5512" s="5" t="s">
        <v>3793</v>
      </c>
      <c r="F5512" s="5" t="s">
        <v>2001</v>
      </c>
    </row>
    <row r="5513">
      <c r="A5513" s="7" t="s">
        <v>188</v>
      </c>
      <c r="B5513" s="8">
        <v>9.0</v>
      </c>
      <c r="C5513" s="4" t="s">
        <v>20</v>
      </c>
      <c r="D5513" s="7" t="s">
        <v>2010</v>
      </c>
      <c r="E5513" s="5" t="s">
        <v>3807</v>
      </c>
      <c r="F5513" s="5" t="s">
        <v>906</v>
      </c>
    </row>
    <row r="5514">
      <c r="A5514" s="5" t="s">
        <v>2924</v>
      </c>
      <c r="B5514" s="8">
        <v>9.0</v>
      </c>
      <c r="C5514" s="4" t="s">
        <v>20</v>
      </c>
      <c r="D5514" s="7" t="s">
        <v>2010</v>
      </c>
      <c r="E5514" s="5" t="s">
        <v>3807</v>
      </c>
      <c r="F5514" s="5" t="s">
        <v>2001</v>
      </c>
    </row>
    <row r="5515">
      <c r="A5515" s="5" t="s">
        <v>2796</v>
      </c>
      <c r="B5515" s="8">
        <v>9.0</v>
      </c>
      <c r="C5515" s="4" t="s">
        <v>20</v>
      </c>
      <c r="D5515" s="7" t="s">
        <v>2010</v>
      </c>
      <c r="E5515" s="5" t="s">
        <v>3807</v>
      </c>
      <c r="F5515" s="5" t="s">
        <v>2001</v>
      </c>
    </row>
    <row r="5516">
      <c r="A5516" s="5" t="s">
        <v>2925</v>
      </c>
      <c r="B5516" s="8">
        <v>9.0</v>
      </c>
      <c r="C5516" s="4" t="s">
        <v>20</v>
      </c>
      <c r="D5516" s="7" t="s">
        <v>2010</v>
      </c>
      <c r="E5516" s="5" t="s">
        <v>3807</v>
      </c>
      <c r="F5516" s="5" t="s">
        <v>2001</v>
      </c>
    </row>
    <row r="5517">
      <c r="A5517" s="5" t="s">
        <v>3086</v>
      </c>
      <c r="B5517" s="8">
        <v>9.0</v>
      </c>
      <c r="C5517" s="4" t="s">
        <v>20</v>
      </c>
      <c r="D5517" s="7" t="s">
        <v>2010</v>
      </c>
      <c r="E5517" s="5" t="s">
        <v>3807</v>
      </c>
      <c r="F5517" s="5" t="s">
        <v>2001</v>
      </c>
    </row>
    <row r="5518">
      <c r="A5518" s="5" t="s">
        <v>3795</v>
      </c>
      <c r="B5518" s="8">
        <v>9.0</v>
      </c>
      <c r="C5518" s="4" t="s">
        <v>20</v>
      </c>
      <c r="D5518" s="7" t="s">
        <v>2010</v>
      </c>
      <c r="E5518" s="5" t="s">
        <v>3807</v>
      </c>
      <c r="F5518" s="5" t="s">
        <v>2001</v>
      </c>
    </row>
    <row r="5519">
      <c r="A5519" s="7" t="s">
        <v>868</v>
      </c>
      <c r="B5519" s="8">
        <v>9.0</v>
      </c>
      <c r="C5519" s="4" t="s">
        <v>20</v>
      </c>
      <c r="D5519" s="7" t="s">
        <v>2010</v>
      </c>
      <c r="E5519" s="5" t="s">
        <v>3807</v>
      </c>
      <c r="F5519" s="5" t="s">
        <v>3808</v>
      </c>
    </row>
    <row r="5520">
      <c r="A5520" s="5" t="s">
        <v>3087</v>
      </c>
      <c r="B5520" s="8">
        <v>9.0</v>
      </c>
      <c r="C5520" s="4" t="s">
        <v>20</v>
      </c>
      <c r="D5520" s="7" t="s">
        <v>2010</v>
      </c>
      <c r="E5520" s="5" t="s">
        <v>3807</v>
      </c>
      <c r="F5520" s="5" t="s">
        <v>1251</v>
      </c>
    </row>
    <row r="5521">
      <c r="A5521" s="5" t="s">
        <v>2926</v>
      </c>
      <c r="B5521" s="8">
        <v>9.0</v>
      </c>
      <c r="C5521" s="4" t="s">
        <v>20</v>
      </c>
      <c r="D5521" s="7" t="s">
        <v>2010</v>
      </c>
      <c r="E5521" s="5" t="s">
        <v>3807</v>
      </c>
      <c r="F5521" s="5" t="s">
        <v>3809</v>
      </c>
    </row>
    <row r="5522">
      <c r="A5522" s="5" t="s">
        <v>3088</v>
      </c>
      <c r="B5522" s="8">
        <v>9.0</v>
      </c>
      <c r="C5522" s="4" t="s">
        <v>20</v>
      </c>
      <c r="D5522" s="7" t="s">
        <v>2010</v>
      </c>
      <c r="E5522" s="5" t="s">
        <v>3807</v>
      </c>
      <c r="F5522" s="5" t="s">
        <v>3099</v>
      </c>
    </row>
    <row r="5523">
      <c r="A5523" s="5" t="s">
        <v>3388</v>
      </c>
      <c r="B5523" s="8">
        <v>9.0</v>
      </c>
      <c r="C5523" s="4" t="s">
        <v>20</v>
      </c>
      <c r="D5523" s="7" t="s">
        <v>2010</v>
      </c>
      <c r="E5523" s="5" t="s">
        <v>3807</v>
      </c>
      <c r="F5523" s="5" t="s">
        <v>1251</v>
      </c>
    </row>
    <row r="5524">
      <c r="A5524" s="5" t="s">
        <v>2927</v>
      </c>
      <c r="B5524" s="8">
        <v>9.0</v>
      </c>
      <c r="C5524" s="4" t="s">
        <v>20</v>
      </c>
      <c r="D5524" s="7" t="s">
        <v>2010</v>
      </c>
      <c r="E5524" s="5" t="s">
        <v>3807</v>
      </c>
      <c r="F5524" s="5" t="s">
        <v>3520</v>
      </c>
    </row>
    <row r="5525">
      <c r="A5525" s="5" t="s">
        <v>3089</v>
      </c>
      <c r="B5525" s="8">
        <v>9.0</v>
      </c>
      <c r="C5525" s="4" t="s">
        <v>20</v>
      </c>
      <c r="D5525" s="7" t="s">
        <v>2010</v>
      </c>
      <c r="E5525" s="5" t="s">
        <v>3807</v>
      </c>
      <c r="F5525" s="5" t="s">
        <v>3808</v>
      </c>
    </row>
    <row r="5526">
      <c r="A5526" s="5" t="s">
        <v>2928</v>
      </c>
      <c r="B5526" s="8">
        <v>9.0</v>
      </c>
      <c r="C5526" s="4" t="s">
        <v>20</v>
      </c>
      <c r="D5526" s="7" t="s">
        <v>2010</v>
      </c>
      <c r="E5526" s="5" t="s">
        <v>3807</v>
      </c>
      <c r="F5526" s="5" t="s">
        <v>3799</v>
      </c>
    </row>
    <row r="5527">
      <c r="A5527" s="7" t="s">
        <v>603</v>
      </c>
      <c r="B5527" s="8">
        <v>9.0</v>
      </c>
      <c r="C5527" s="4" t="s">
        <v>20</v>
      </c>
      <c r="D5527" s="7" t="s">
        <v>2010</v>
      </c>
      <c r="E5527" s="5" t="s">
        <v>3807</v>
      </c>
      <c r="F5527" s="5" t="s">
        <v>3810</v>
      </c>
    </row>
    <row r="5528">
      <c r="A5528" s="5" t="s">
        <v>2702</v>
      </c>
      <c r="B5528" s="8">
        <v>9.0</v>
      </c>
      <c r="C5528" s="4" t="s">
        <v>20</v>
      </c>
      <c r="D5528" s="7" t="s">
        <v>2010</v>
      </c>
      <c r="E5528" s="5" t="s">
        <v>3807</v>
      </c>
      <c r="F5528" s="5" t="s">
        <v>3101</v>
      </c>
    </row>
    <row r="5529">
      <c r="A5529" s="5" t="s">
        <v>2930</v>
      </c>
      <c r="B5529" s="8">
        <v>9.0</v>
      </c>
      <c r="C5529" s="4" t="s">
        <v>20</v>
      </c>
      <c r="D5529" s="7" t="s">
        <v>2010</v>
      </c>
      <c r="E5529" s="5" t="s">
        <v>3807</v>
      </c>
      <c r="F5529" s="5" t="s">
        <v>2001</v>
      </c>
    </row>
    <row r="5530">
      <c r="A5530" s="5" t="s">
        <v>2600</v>
      </c>
      <c r="B5530" s="8">
        <v>9.0</v>
      </c>
      <c r="C5530" s="4" t="s">
        <v>20</v>
      </c>
      <c r="D5530" s="7" t="s">
        <v>2010</v>
      </c>
      <c r="E5530" s="5" t="s">
        <v>3807</v>
      </c>
      <c r="F5530" s="5" t="s">
        <v>3811</v>
      </c>
    </row>
    <row r="5531">
      <c r="A5531" s="5" t="s">
        <v>3802</v>
      </c>
      <c r="B5531" s="8">
        <v>9.0</v>
      </c>
      <c r="C5531" s="4" t="s">
        <v>20</v>
      </c>
      <c r="D5531" s="7" t="s">
        <v>2010</v>
      </c>
      <c r="E5531" s="5" t="s">
        <v>3807</v>
      </c>
      <c r="F5531" s="5" t="s">
        <v>2705</v>
      </c>
    </row>
    <row r="5532">
      <c r="A5532" s="5" t="s">
        <v>3090</v>
      </c>
      <c r="B5532" s="8">
        <v>9.0</v>
      </c>
      <c r="C5532" s="4" t="s">
        <v>20</v>
      </c>
      <c r="D5532" s="7" t="s">
        <v>2010</v>
      </c>
      <c r="E5532" s="5" t="s">
        <v>3807</v>
      </c>
      <c r="F5532" s="5" t="s">
        <v>3812</v>
      </c>
    </row>
    <row r="5533">
      <c r="A5533" s="7" t="s">
        <v>606</v>
      </c>
      <c r="B5533" s="8">
        <v>9.0</v>
      </c>
      <c r="C5533" s="4" t="s">
        <v>20</v>
      </c>
      <c r="D5533" s="7" t="s">
        <v>2010</v>
      </c>
      <c r="E5533" s="5" t="s">
        <v>3807</v>
      </c>
      <c r="F5533" s="5" t="s">
        <v>3813</v>
      </c>
    </row>
    <row r="5534">
      <c r="A5534" s="5" t="s">
        <v>2602</v>
      </c>
      <c r="B5534" s="8">
        <v>9.0</v>
      </c>
      <c r="C5534" s="4" t="s">
        <v>20</v>
      </c>
      <c r="D5534" s="7" t="s">
        <v>2010</v>
      </c>
      <c r="E5534" s="5" t="s">
        <v>3807</v>
      </c>
      <c r="F5534" s="5" t="s">
        <v>3814</v>
      </c>
    </row>
    <row r="5535">
      <c r="A5535" s="5" t="s">
        <v>2931</v>
      </c>
      <c r="B5535" s="8">
        <v>9.0</v>
      </c>
      <c r="C5535" s="4" t="s">
        <v>20</v>
      </c>
      <c r="D5535" s="7" t="s">
        <v>2010</v>
      </c>
      <c r="E5535" s="5" t="s">
        <v>3807</v>
      </c>
      <c r="F5535" s="5" t="s">
        <v>3815</v>
      </c>
    </row>
    <row r="5536">
      <c r="A5536" s="7" t="s">
        <v>874</v>
      </c>
      <c r="B5536" s="8">
        <v>9.0</v>
      </c>
      <c r="C5536" s="4" t="s">
        <v>20</v>
      </c>
      <c r="D5536" s="7" t="s">
        <v>2010</v>
      </c>
      <c r="E5536" s="5" t="s">
        <v>3807</v>
      </c>
      <c r="F5536" s="5" t="s">
        <v>3808</v>
      </c>
    </row>
    <row r="5537">
      <c r="A5537" s="5" t="s">
        <v>2932</v>
      </c>
      <c r="B5537" s="8">
        <v>9.0</v>
      </c>
      <c r="C5537" s="4" t="s">
        <v>20</v>
      </c>
      <c r="D5537" s="7" t="s">
        <v>2010</v>
      </c>
      <c r="E5537" s="5" t="s">
        <v>3807</v>
      </c>
      <c r="F5537" s="5" t="s">
        <v>2001</v>
      </c>
    </row>
    <row r="5538">
      <c r="A5538" s="5" t="s">
        <v>3091</v>
      </c>
      <c r="B5538" s="8">
        <v>9.0</v>
      </c>
      <c r="C5538" s="4" t="s">
        <v>20</v>
      </c>
      <c r="D5538" s="7" t="s">
        <v>2010</v>
      </c>
      <c r="E5538" s="5" t="s">
        <v>3807</v>
      </c>
      <c r="F5538" s="5" t="s">
        <v>2001</v>
      </c>
    </row>
    <row r="5539">
      <c r="A5539" s="5" t="s">
        <v>2605</v>
      </c>
      <c r="B5539" s="8">
        <v>9.0</v>
      </c>
      <c r="C5539" s="4" t="s">
        <v>20</v>
      </c>
      <c r="D5539" s="7" t="s">
        <v>2010</v>
      </c>
      <c r="E5539" s="5" t="s">
        <v>3807</v>
      </c>
      <c r="F5539" s="5" t="s">
        <v>3099</v>
      </c>
    </row>
    <row r="5540">
      <c r="A5540" s="7" t="s">
        <v>1989</v>
      </c>
      <c r="B5540" s="8">
        <v>9.0</v>
      </c>
      <c r="C5540" s="4" t="s">
        <v>20</v>
      </c>
      <c r="D5540" s="7" t="s">
        <v>2010</v>
      </c>
      <c r="E5540" s="5" t="s">
        <v>3807</v>
      </c>
      <c r="F5540" s="5" t="s">
        <v>3816</v>
      </c>
    </row>
    <row r="5541">
      <c r="A5541" s="5" t="s">
        <v>2933</v>
      </c>
      <c r="B5541" s="8">
        <v>9.0</v>
      </c>
      <c r="C5541" s="4" t="s">
        <v>20</v>
      </c>
      <c r="D5541" s="7" t="s">
        <v>2010</v>
      </c>
      <c r="E5541" s="5" t="s">
        <v>3807</v>
      </c>
      <c r="F5541" s="5" t="s">
        <v>2001</v>
      </c>
    </row>
    <row r="5542">
      <c r="A5542" s="5" t="s">
        <v>2606</v>
      </c>
      <c r="B5542" s="8">
        <v>9.0</v>
      </c>
      <c r="C5542" s="4" t="s">
        <v>20</v>
      </c>
      <c r="D5542" s="7" t="s">
        <v>2010</v>
      </c>
      <c r="E5542" s="5" t="s">
        <v>3807</v>
      </c>
      <c r="F5542" s="5" t="s">
        <v>2001</v>
      </c>
    </row>
    <row r="5543">
      <c r="A5543" s="5" t="s">
        <v>2934</v>
      </c>
      <c r="B5543" s="8">
        <v>9.0</v>
      </c>
      <c r="C5543" s="4" t="s">
        <v>20</v>
      </c>
      <c r="D5543" s="7" t="s">
        <v>2010</v>
      </c>
      <c r="E5543" s="5" t="s">
        <v>3807</v>
      </c>
      <c r="F5543" s="5" t="s">
        <v>2001</v>
      </c>
    </row>
    <row r="5544">
      <c r="A5544" s="5" t="s">
        <v>2607</v>
      </c>
      <c r="B5544" s="8">
        <v>9.0</v>
      </c>
      <c r="C5544" s="4" t="s">
        <v>20</v>
      </c>
      <c r="D5544" s="7" t="s">
        <v>2010</v>
      </c>
      <c r="E5544" s="5" t="s">
        <v>3807</v>
      </c>
      <c r="F5544" s="7" t="s">
        <v>2008</v>
      </c>
    </row>
    <row r="5545">
      <c r="A5545" s="7" t="s">
        <v>1990</v>
      </c>
      <c r="B5545" s="8">
        <v>9.0</v>
      </c>
      <c r="C5545" s="4" t="s">
        <v>20</v>
      </c>
      <c r="D5545" s="7" t="s">
        <v>2010</v>
      </c>
      <c r="E5545" s="5" t="s">
        <v>3807</v>
      </c>
      <c r="F5545" s="5" t="s">
        <v>3798</v>
      </c>
    </row>
    <row r="5546">
      <c r="A5546" s="5" t="s">
        <v>2935</v>
      </c>
      <c r="B5546" s="8">
        <v>9.0</v>
      </c>
      <c r="C5546" s="4" t="s">
        <v>20</v>
      </c>
      <c r="D5546" s="7" t="s">
        <v>2010</v>
      </c>
      <c r="E5546" s="5" t="s">
        <v>3807</v>
      </c>
      <c r="F5546" s="5" t="s">
        <v>537</v>
      </c>
    </row>
    <row r="5547">
      <c r="A5547" s="5" t="s">
        <v>2936</v>
      </c>
      <c r="B5547" s="8">
        <v>9.0</v>
      </c>
      <c r="C5547" s="4" t="s">
        <v>20</v>
      </c>
      <c r="D5547" s="7" t="s">
        <v>2010</v>
      </c>
      <c r="E5547" s="5" t="s">
        <v>3807</v>
      </c>
      <c r="F5547" s="7" t="s">
        <v>2009</v>
      </c>
    </row>
    <row r="5548">
      <c r="A5548" s="5" t="s">
        <v>2608</v>
      </c>
      <c r="B5548" s="8">
        <v>9.0</v>
      </c>
      <c r="C5548" s="4" t="s">
        <v>20</v>
      </c>
      <c r="D5548" s="7" t="s">
        <v>2010</v>
      </c>
      <c r="E5548" s="5" t="s">
        <v>3807</v>
      </c>
      <c r="F5548" s="5" t="s">
        <v>2001</v>
      </c>
    </row>
    <row r="5549">
      <c r="A5549" s="5" t="s">
        <v>2609</v>
      </c>
      <c r="B5549" s="8">
        <v>9.0</v>
      </c>
      <c r="C5549" s="4" t="s">
        <v>20</v>
      </c>
      <c r="D5549" s="7" t="s">
        <v>2010</v>
      </c>
      <c r="E5549" s="5" t="s">
        <v>3807</v>
      </c>
      <c r="F5549" s="5" t="s">
        <v>2001</v>
      </c>
    </row>
    <row r="5550">
      <c r="A5550" s="5" t="s">
        <v>3791</v>
      </c>
      <c r="B5550" s="8">
        <v>9.0</v>
      </c>
      <c r="C5550" s="4" t="s">
        <v>35</v>
      </c>
      <c r="D5550" s="7" t="s">
        <v>2022</v>
      </c>
      <c r="E5550" s="5" t="s">
        <v>3817</v>
      </c>
      <c r="F5550" s="5" t="s">
        <v>2024</v>
      </c>
    </row>
    <row r="5551">
      <c r="A5551" s="7" t="s">
        <v>188</v>
      </c>
      <c r="B5551" s="8">
        <v>9.0</v>
      </c>
      <c r="C5551" s="4" t="s">
        <v>35</v>
      </c>
      <c r="D5551" s="7" t="s">
        <v>2022</v>
      </c>
      <c r="E5551" s="5" t="s">
        <v>3817</v>
      </c>
      <c r="F5551" s="5" t="s">
        <v>240</v>
      </c>
    </row>
    <row r="5552">
      <c r="A5552" s="5" t="s">
        <v>2924</v>
      </c>
      <c r="B5552" s="8">
        <v>9.0</v>
      </c>
      <c r="C5552" s="4" t="s">
        <v>35</v>
      </c>
      <c r="D5552" s="7" t="s">
        <v>2022</v>
      </c>
      <c r="E5552" s="5" t="s">
        <v>3817</v>
      </c>
      <c r="F5552" s="5" t="s">
        <v>240</v>
      </c>
    </row>
    <row r="5553">
      <c r="A5553" s="5" t="s">
        <v>2796</v>
      </c>
      <c r="B5553" s="8">
        <v>9.0</v>
      </c>
      <c r="C5553" s="4" t="s">
        <v>35</v>
      </c>
      <c r="D5553" s="7" t="s">
        <v>2022</v>
      </c>
      <c r="E5553" s="5" t="s">
        <v>3817</v>
      </c>
      <c r="F5553" s="5" t="s">
        <v>3818</v>
      </c>
    </row>
    <row r="5554">
      <c r="A5554" s="5" t="s">
        <v>2925</v>
      </c>
      <c r="B5554" s="8">
        <v>9.0</v>
      </c>
      <c r="C5554" s="4" t="s">
        <v>35</v>
      </c>
      <c r="D5554" s="7" t="s">
        <v>2022</v>
      </c>
      <c r="E5554" s="5" t="s">
        <v>3817</v>
      </c>
      <c r="F5554" s="5" t="s">
        <v>2024</v>
      </c>
    </row>
    <row r="5555">
      <c r="A5555" s="5" t="s">
        <v>3086</v>
      </c>
      <c r="B5555" s="8">
        <v>9.0</v>
      </c>
      <c r="C5555" s="4" t="s">
        <v>35</v>
      </c>
      <c r="D5555" s="7" t="s">
        <v>2022</v>
      </c>
      <c r="E5555" s="5" t="s">
        <v>3817</v>
      </c>
      <c r="F5555" s="5" t="s">
        <v>240</v>
      </c>
    </row>
    <row r="5556">
      <c r="A5556" s="5" t="s">
        <v>3795</v>
      </c>
      <c r="B5556" s="8">
        <v>9.0</v>
      </c>
      <c r="C5556" s="4" t="s">
        <v>35</v>
      </c>
      <c r="D5556" s="7" t="s">
        <v>2022</v>
      </c>
      <c r="E5556" s="5" t="s">
        <v>3817</v>
      </c>
      <c r="F5556" s="5" t="s">
        <v>2024</v>
      </c>
    </row>
    <row r="5557">
      <c r="A5557" s="7" t="s">
        <v>868</v>
      </c>
      <c r="B5557" s="8">
        <v>9.0</v>
      </c>
      <c r="C5557" s="4" t="s">
        <v>35</v>
      </c>
      <c r="D5557" s="7" t="s">
        <v>2022</v>
      </c>
      <c r="E5557" s="5" t="s">
        <v>3817</v>
      </c>
      <c r="F5557" s="5" t="s">
        <v>2024</v>
      </c>
    </row>
    <row r="5558">
      <c r="A5558" s="5" t="s">
        <v>3087</v>
      </c>
      <c r="B5558" s="8">
        <v>9.0</v>
      </c>
      <c r="C5558" s="4" t="s">
        <v>35</v>
      </c>
      <c r="D5558" s="7" t="s">
        <v>2022</v>
      </c>
      <c r="E5558" s="5" t="s">
        <v>3817</v>
      </c>
      <c r="F5558" s="5" t="s">
        <v>240</v>
      </c>
    </row>
    <row r="5559">
      <c r="A5559" s="5" t="s">
        <v>2926</v>
      </c>
      <c r="B5559" s="8">
        <v>9.0</v>
      </c>
      <c r="C5559" s="4" t="s">
        <v>35</v>
      </c>
      <c r="D5559" s="7" t="s">
        <v>2022</v>
      </c>
      <c r="E5559" s="5" t="s">
        <v>3817</v>
      </c>
      <c r="F5559" s="5" t="s">
        <v>3819</v>
      </c>
    </row>
    <row r="5560">
      <c r="A5560" s="5" t="s">
        <v>3088</v>
      </c>
      <c r="B5560" s="8">
        <v>9.0</v>
      </c>
      <c r="C5560" s="4" t="s">
        <v>35</v>
      </c>
      <c r="D5560" s="7" t="s">
        <v>2022</v>
      </c>
      <c r="E5560" s="5" t="s">
        <v>3817</v>
      </c>
      <c r="F5560" s="5" t="s">
        <v>2024</v>
      </c>
    </row>
    <row r="5561">
      <c r="A5561" s="5" t="s">
        <v>3388</v>
      </c>
      <c r="B5561" s="8">
        <v>9.0</v>
      </c>
      <c r="C5561" s="4" t="s">
        <v>35</v>
      </c>
      <c r="D5561" s="7" t="s">
        <v>2022</v>
      </c>
      <c r="E5561" s="5" t="s">
        <v>3817</v>
      </c>
      <c r="F5561" s="5" t="s">
        <v>2024</v>
      </c>
    </row>
    <row r="5562">
      <c r="A5562" s="5" t="s">
        <v>2927</v>
      </c>
      <c r="B5562" s="8">
        <v>9.0</v>
      </c>
      <c r="C5562" s="4" t="s">
        <v>35</v>
      </c>
      <c r="D5562" s="7" t="s">
        <v>2022</v>
      </c>
      <c r="E5562" s="5" t="s">
        <v>3817</v>
      </c>
      <c r="F5562" s="5" t="s">
        <v>240</v>
      </c>
    </row>
    <row r="5563">
      <c r="A5563" s="5" t="s">
        <v>3089</v>
      </c>
      <c r="B5563" s="8">
        <v>9.0</v>
      </c>
      <c r="C5563" s="4" t="s">
        <v>35</v>
      </c>
      <c r="D5563" s="7" t="s">
        <v>2022</v>
      </c>
      <c r="E5563" s="5" t="s">
        <v>3817</v>
      </c>
      <c r="F5563" s="5" t="s">
        <v>3820</v>
      </c>
    </row>
    <row r="5564">
      <c r="A5564" s="5" t="s">
        <v>2928</v>
      </c>
      <c r="B5564" s="8">
        <v>9.0</v>
      </c>
      <c r="C5564" s="4" t="s">
        <v>35</v>
      </c>
      <c r="D5564" s="7" t="s">
        <v>2022</v>
      </c>
      <c r="E5564" s="5" t="s">
        <v>3817</v>
      </c>
      <c r="F5564" s="5" t="s">
        <v>240</v>
      </c>
    </row>
    <row r="5565">
      <c r="A5565" s="7" t="s">
        <v>603</v>
      </c>
      <c r="B5565" s="8">
        <v>9.0</v>
      </c>
      <c r="C5565" s="4" t="s">
        <v>35</v>
      </c>
      <c r="D5565" s="7" t="s">
        <v>2022</v>
      </c>
      <c r="E5565" s="5" t="s">
        <v>3817</v>
      </c>
      <c r="F5565" s="5" t="s">
        <v>240</v>
      </c>
    </row>
    <row r="5566">
      <c r="A5566" s="5" t="s">
        <v>2929</v>
      </c>
      <c r="B5566" s="8">
        <v>9.0</v>
      </c>
      <c r="C5566" s="4" t="s">
        <v>35</v>
      </c>
      <c r="D5566" s="7" t="s">
        <v>2022</v>
      </c>
      <c r="E5566" s="5" t="s">
        <v>3817</v>
      </c>
      <c r="F5566" s="5" t="s">
        <v>3821</v>
      </c>
    </row>
    <row r="5567">
      <c r="A5567" s="5" t="s">
        <v>2702</v>
      </c>
      <c r="B5567" s="8">
        <v>9.0</v>
      </c>
      <c r="C5567" s="4" t="s">
        <v>35</v>
      </c>
      <c r="D5567" s="7" t="s">
        <v>2022</v>
      </c>
      <c r="E5567" s="5" t="s">
        <v>3817</v>
      </c>
      <c r="F5567" s="5" t="s">
        <v>305</v>
      </c>
    </row>
    <row r="5568">
      <c r="A5568" s="5" t="s">
        <v>2930</v>
      </c>
      <c r="B5568" s="8">
        <v>9.0</v>
      </c>
      <c r="C5568" s="4" t="s">
        <v>35</v>
      </c>
      <c r="D5568" s="7" t="s">
        <v>2022</v>
      </c>
      <c r="E5568" s="5" t="s">
        <v>3817</v>
      </c>
      <c r="F5568" s="5" t="s">
        <v>240</v>
      </c>
    </row>
    <row r="5569">
      <c r="A5569" s="5" t="s">
        <v>2600</v>
      </c>
      <c r="B5569" s="8">
        <v>9.0</v>
      </c>
      <c r="C5569" s="4" t="s">
        <v>35</v>
      </c>
      <c r="D5569" s="7" t="s">
        <v>2022</v>
      </c>
      <c r="E5569" s="5" t="s">
        <v>3817</v>
      </c>
      <c r="F5569" s="5" t="s">
        <v>305</v>
      </c>
    </row>
    <row r="5570">
      <c r="A5570" s="5" t="s">
        <v>3802</v>
      </c>
      <c r="B5570" s="8">
        <v>9.0</v>
      </c>
      <c r="C5570" s="4" t="s">
        <v>35</v>
      </c>
      <c r="D5570" s="7" t="s">
        <v>2022</v>
      </c>
      <c r="E5570" s="5" t="s">
        <v>3817</v>
      </c>
      <c r="F5570" s="5" t="s">
        <v>305</v>
      </c>
    </row>
    <row r="5571">
      <c r="A5571" s="5" t="s">
        <v>3090</v>
      </c>
      <c r="B5571" s="8">
        <v>9.0</v>
      </c>
      <c r="C5571" s="4" t="s">
        <v>35</v>
      </c>
      <c r="D5571" s="7" t="s">
        <v>2022</v>
      </c>
      <c r="E5571" s="5" t="s">
        <v>3817</v>
      </c>
      <c r="F5571" s="5" t="s">
        <v>305</v>
      </c>
    </row>
    <row r="5572">
      <c r="A5572" s="7" t="s">
        <v>606</v>
      </c>
      <c r="B5572" s="8">
        <v>9.0</v>
      </c>
      <c r="C5572" s="4" t="s">
        <v>35</v>
      </c>
      <c r="D5572" s="7" t="s">
        <v>2022</v>
      </c>
      <c r="E5572" s="5" t="s">
        <v>3817</v>
      </c>
      <c r="F5572" s="5" t="s">
        <v>240</v>
      </c>
    </row>
    <row r="5573">
      <c r="A5573" s="5" t="s">
        <v>2602</v>
      </c>
      <c r="B5573" s="8">
        <v>9.0</v>
      </c>
      <c r="C5573" s="4" t="s">
        <v>35</v>
      </c>
      <c r="D5573" s="7" t="s">
        <v>2022</v>
      </c>
      <c r="E5573" s="5" t="s">
        <v>3817</v>
      </c>
      <c r="F5573" s="5" t="s">
        <v>240</v>
      </c>
    </row>
    <row r="5574">
      <c r="A5574" s="5" t="s">
        <v>2931</v>
      </c>
      <c r="B5574" s="8">
        <v>9.0</v>
      </c>
      <c r="C5574" s="4" t="s">
        <v>35</v>
      </c>
      <c r="D5574" s="7" t="s">
        <v>2022</v>
      </c>
      <c r="E5574" s="5" t="s">
        <v>3817</v>
      </c>
      <c r="F5574" s="5" t="s">
        <v>305</v>
      </c>
    </row>
    <row r="5575">
      <c r="A5575" s="7" t="s">
        <v>874</v>
      </c>
      <c r="B5575" s="8">
        <v>9.0</v>
      </c>
      <c r="C5575" s="4" t="s">
        <v>35</v>
      </c>
      <c r="D5575" s="7" t="s">
        <v>2022</v>
      </c>
      <c r="E5575" s="5" t="s">
        <v>3817</v>
      </c>
      <c r="F5575" s="5" t="s">
        <v>305</v>
      </c>
    </row>
    <row r="5576">
      <c r="A5576" s="5" t="s">
        <v>2932</v>
      </c>
      <c r="B5576" s="8">
        <v>9.0</v>
      </c>
      <c r="C5576" s="4" t="s">
        <v>35</v>
      </c>
      <c r="D5576" s="7" t="s">
        <v>2022</v>
      </c>
      <c r="E5576" s="5" t="s">
        <v>3817</v>
      </c>
      <c r="F5576" s="5" t="s">
        <v>305</v>
      </c>
    </row>
    <row r="5577">
      <c r="A5577" s="5" t="s">
        <v>3091</v>
      </c>
      <c r="B5577" s="8">
        <v>9.0</v>
      </c>
      <c r="C5577" s="4" t="s">
        <v>35</v>
      </c>
      <c r="D5577" s="7" t="s">
        <v>2022</v>
      </c>
      <c r="E5577" s="5" t="s">
        <v>3817</v>
      </c>
      <c r="F5577" s="5" t="s">
        <v>305</v>
      </c>
    </row>
    <row r="5578">
      <c r="A5578" s="5" t="s">
        <v>2605</v>
      </c>
      <c r="B5578" s="8">
        <v>9.0</v>
      </c>
      <c r="C5578" s="4" t="s">
        <v>35</v>
      </c>
      <c r="D5578" s="7" t="s">
        <v>2022</v>
      </c>
      <c r="E5578" s="5" t="s">
        <v>3817</v>
      </c>
      <c r="F5578" s="5" t="s">
        <v>305</v>
      </c>
    </row>
    <row r="5579">
      <c r="A5579" s="7" t="s">
        <v>1989</v>
      </c>
      <c r="B5579" s="8">
        <v>9.0</v>
      </c>
      <c r="C5579" s="4" t="s">
        <v>35</v>
      </c>
      <c r="D5579" s="7" t="s">
        <v>2022</v>
      </c>
      <c r="E5579" s="5" t="s">
        <v>3817</v>
      </c>
      <c r="F5579" s="5" t="s">
        <v>305</v>
      </c>
    </row>
    <row r="5580">
      <c r="A5580" s="5" t="s">
        <v>2933</v>
      </c>
      <c r="B5580" s="8">
        <v>9.0</v>
      </c>
      <c r="C5580" s="4" t="s">
        <v>35</v>
      </c>
      <c r="D5580" s="7" t="s">
        <v>2022</v>
      </c>
      <c r="E5580" s="5" t="s">
        <v>3817</v>
      </c>
      <c r="F5580" s="5" t="s">
        <v>240</v>
      </c>
    </row>
    <row r="5581">
      <c r="A5581" s="5" t="s">
        <v>2606</v>
      </c>
      <c r="B5581" s="8">
        <v>9.0</v>
      </c>
      <c r="C5581" s="4" t="s">
        <v>35</v>
      </c>
      <c r="D5581" s="7" t="s">
        <v>2022</v>
      </c>
      <c r="E5581" s="5" t="s">
        <v>3817</v>
      </c>
      <c r="F5581" s="5" t="s">
        <v>240</v>
      </c>
    </row>
    <row r="5582">
      <c r="A5582" s="5" t="s">
        <v>2607</v>
      </c>
      <c r="B5582" s="8">
        <v>9.0</v>
      </c>
      <c r="C5582" s="4" t="s">
        <v>35</v>
      </c>
      <c r="D5582" s="7" t="s">
        <v>2022</v>
      </c>
      <c r="E5582" s="5" t="s">
        <v>3817</v>
      </c>
      <c r="F5582" s="5" t="s">
        <v>240</v>
      </c>
    </row>
    <row r="5583">
      <c r="A5583" s="7" t="s">
        <v>1990</v>
      </c>
      <c r="B5583" s="8">
        <v>9.0</v>
      </c>
      <c r="C5583" s="4" t="s">
        <v>35</v>
      </c>
      <c r="D5583" s="7" t="s">
        <v>2022</v>
      </c>
      <c r="E5583" s="5" t="s">
        <v>3817</v>
      </c>
      <c r="F5583" s="5" t="s">
        <v>305</v>
      </c>
    </row>
    <row r="5584">
      <c r="A5584" s="5" t="s">
        <v>2935</v>
      </c>
      <c r="B5584" s="8">
        <v>9.0</v>
      </c>
      <c r="C5584" s="4" t="s">
        <v>35</v>
      </c>
      <c r="D5584" s="7" t="s">
        <v>2022</v>
      </c>
      <c r="E5584" s="5" t="s">
        <v>3817</v>
      </c>
      <c r="F5584" s="5" t="s">
        <v>3822</v>
      </c>
    </row>
    <row r="5585">
      <c r="A5585" s="5" t="s">
        <v>2936</v>
      </c>
      <c r="B5585" s="8">
        <v>9.0</v>
      </c>
      <c r="C5585" s="4" t="s">
        <v>35</v>
      </c>
      <c r="D5585" s="7" t="s">
        <v>2022</v>
      </c>
      <c r="E5585" s="5" t="s">
        <v>3817</v>
      </c>
      <c r="F5585" s="5" t="s">
        <v>240</v>
      </c>
    </row>
    <row r="5586">
      <c r="A5586" s="5" t="s">
        <v>2608</v>
      </c>
      <c r="B5586" s="8">
        <v>9.0</v>
      </c>
      <c r="C5586" s="4" t="s">
        <v>35</v>
      </c>
      <c r="D5586" s="7" t="s">
        <v>2022</v>
      </c>
      <c r="E5586" s="5" t="s">
        <v>3817</v>
      </c>
      <c r="F5586" s="5" t="s">
        <v>240</v>
      </c>
    </row>
    <row r="5587">
      <c r="A5587" s="5" t="s">
        <v>2609</v>
      </c>
      <c r="B5587" s="8">
        <v>9.0</v>
      </c>
      <c r="C5587" s="4" t="s">
        <v>35</v>
      </c>
      <c r="D5587" s="7" t="s">
        <v>2022</v>
      </c>
      <c r="E5587" s="5" t="s">
        <v>3817</v>
      </c>
      <c r="F5587" s="5" t="s">
        <v>240</v>
      </c>
    </row>
    <row r="5588">
      <c r="A5588" s="5" t="s">
        <v>3791</v>
      </c>
      <c r="B5588" s="8">
        <v>9.0</v>
      </c>
      <c r="C5588" s="4" t="s">
        <v>193</v>
      </c>
      <c r="D5588" s="7" t="s">
        <v>2031</v>
      </c>
      <c r="E5588" s="5" t="s">
        <v>2923</v>
      </c>
      <c r="F5588" s="7" t="s">
        <v>2312</v>
      </c>
    </row>
    <row r="5589">
      <c r="A5589" s="7" t="s">
        <v>188</v>
      </c>
      <c r="B5589" s="8">
        <v>9.0</v>
      </c>
      <c r="C5589" s="4" t="s">
        <v>193</v>
      </c>
      <c r="D5589" s="7" t="s">
        <v>2031</v>
      </c>
      <c r="E5589" s="5" t="s">
        <v>2923</v>
      </c>
      <c r="F5589" s="7" t="s">
        <v>2313</v>
      </c>
    </row>
    <row r="5590">
      <c r="A5590" s="5" t="s">
        <v>2924</v>
      </c>
      <c r="B5590" s="8">
        <v>9.0</v>
      </c>
      <c r="C5590" s="4" t="s">
        <v>193</v>
      </c>
      <c r="D5590" s="7" t="s">
        <v>2031</v>
      </c>
      <c r="E5590" s="5" t="s">
        <v>2923</v>
      </c>
      <c r="F5590" s="7" t="s">
        <v>2314</v>
      </c>
    </row>
    <row r="5591">
      <c r="A5591" s="5" t="s">
        <v>2796</v>
      </c>
      <c r="B5591" s="8">
        <v>9.0</v>
      </c>
      <c r="C5591" s="4" t="s">
        <v>193</v>
      </c>
      <c r="D5591" s="7" t="s">
        <v>2031</v>
      </c>
      <c r="E5591" s="5" t="s">
        <v>2923</v>
      </c>
      <c r="F5591" s="7" t="s">
        <v>2315</v>
      </c>
    </row>
    <row r="5592">
      <c r="A5592" s="5" t="s">
        <v>2925</v>
      </c>
      <c r="B5592" s="8">
        <v>9.0</v>
      </c>
      <c r="C5592" s="4" t="s">
        <v>193</v>
      </c>
      <c r="D5592" s="7" t="s">
        <v>2031</v>
      </c>
      <c r="E5592" s="5" t="s">
        <v>2923</v>
      </c>
      <c r="F5592" s="7" t="s">
        <v>2313</v>
      </c>
    </row>
    <row r="5593">
      <c r="A5593" s="5" t="s">
        <v>3086</v>
      </c>
      <c r="B5593" s="8">
        <v>9.0</v>
      </c>
      <c r="C5593" s="4" t="s">
        <v>193</v>
      </c>
      <c r="D5593" s="7" t="s">
        <v>2031</v>
      </c>
      <c r="E5593" s="5" t="s">
        <v>2923</v>
      </c>
      <c r="F5593" s="7" t="s">
        <v>2315</v>
      </c>
    </row>
    <row r="5594">
      <c r="A5594" s="5" t="s">
        <v>3795</v>
      </c>
      <c r="B5594" s="8">
        <v>9.0</v>
      </c>
      <c r="C5594" s="4" t="s">
        <v>193</v>
      </c>
      <c r="D5594" s="7" t="s">
        <v>2031</v>
      </c>
      <c r="E5594" s="5" t="s">
        <v>2923</v>
      </c>
      <c r="F5594" s="7" t="s">
        <v>2316</v>
      </c>
    </row>
    <row r="5595">
      <c r="A5595" s="7" t="s">
        <v>868</v>
      </c>
      <c r="B5595" s="8">
        <v>9.0</v>
      </c>
      <c r="C5595" s="4" t="s">
        <v>193</v>
      </c>
      <c r="D5595" s="7" t="s">
        <v>2031</v>
      </c>
      <c r="E5595" s="5" t="s">
        <v>2923</v>
      </c>
      <c r="F5595" s="7" t="s">
        <v>2313</v>
      </c>
    </row>
    <row r="5596">
      <c r="A5596" s="5" t="s">
        <v>3087</v>
      </c>
      <c r="B5596" s="8">
        <v>9.0</v>
      </c>
      <c r="C5596" s="4" t="s">
        <v>193</v>
      </c>
      <c r="D5596" s="7" t="s">
        <v>2031</v>
      </c>
      <c r="E5596" s="5" t="s">
        <v>2923</v>
      </c>
      <c r="F5596" s="7" t="s">
        <v>2317</v>
      </c>
    </row>
    <row r="5597">
      <c r="A5597" s="5" t="s">
        <v>2926</v>
      </c>
      <c r="B5597" s="8">
        <v>9.0</v>
      </c>
      <c r="C5597" s="4" t="s">
        <v>193</v>
      </c>
      <c r="D5597" s="7" t="s">
        <v>2031</v>
      </c>
      <c r="E5597" s="5" t="s">
        <v>2923</v>
      </c>
      <c r="F5597" s="7" t="s">
        <v>2313</v>
      </c>
    </row>
    <row r="5598">
      <c r="A5598" s="5" t="s">
        <v>3088</v>
      </c>
      <c r="B5598" s="8">
        <v>9.0</v>
      </c>
      <c r="C5598" s="4" t="s">
        <v>193</v>
      </c>
      <c r="D5598" s="7" t="s">
        <v>2031</v>
      </c>
      <c r="E5598" s="5" t="s">
        <v>2923</v>
      </c>
      <c r="F5598" s="7" t="s">
        <v>2317</v>
      </c>
    </row>
    <row r="5599">
      <c r="A5599" s="5" t="s">
        <v>3388</v>
      </c>
      <c r="B5599" s="8">
        <v>9.0</v>
      </c>
      <c r="C5599" s="4" t="s">
        <v>193</v>
      </c>
      <c r="D5599" s="7" t="s">
        <v>2031</v>
      </c>
      <c r="E5599" s="5" t="s">
        <v>2923</v>
      </c>
      <c r="F5599" s="7" t="s">
        <v>2316</v>
      </c>
    </row>
    <row r="5600">
      <c r="A5600" s="5" t="s">
        <v>2927</v>
      </c>
      <c r="B5600" s="8">
        <v>9.0</v>
      </c>
      <c r="C5600" s="4" t="s">
        <v>193</v>
      </c>
      <c r="D5600" s="7" t="s">
        <v>2031</v>
      </c>
      <c r="E5600" s="5" t="s">
        <v>2923</v>
      </c>
      <c r="F5600" s="7" t="s">
        <v>2315</v>
      </c>
    </row>
    <row r="5601">
      <c r="A5601" s="5" t="s">
        <v>3089</v>
      </c>
      <c r="B5601" s="8">
        <v>9.0</v>
      </c>
      <c r="C5601" s="4" t="s">
        <v>193</v>
      </c>
      <c r="D5601" s="7" t="s">
        <v>2031</v>
      </c>
      <c r="E5601" s="5" t="s">
        <v>2923</v>
      </c>
      <c r="F5601" s="7" t="s">
        <v>2315</v>
      </c>
    </row>
    <row r="5602">
      <c r="A5602" s="5" t="s">
        <v>2928</v>
      </c>
      <c r="B5602" s="8">
        <v>9.0</v>
      </c>
      <c r="C5602" s="4" t="s">
        <v>193</v>
      </c>
      <c r="D5602" s="7" t="s">
        <v>2031</v>
      </c>
      <c r="E5602" s="5" t="s">
        <v>2923</v>
      </c>
      <c r="F5602" s="7" t="s">
        <v>2312</v>
      </c>
    </row>
    <row r="5603">
      <c r="A5603" s="7" t="s">
        <v>603</v>
      </c>
      <c r="B5603" s="8">
        <v>9.0</v>
      </c>
      <c r="C5603" s="4" t="s">
        <v>193</v>
      </c>
      <c r="D5603" s="7" t="s">
        <v>2031</v>
      </c>
      <c r="E5603" s="5" t="s">
        <v>2923</v>
      </c>
      <c r="F5603" s="7" t="s">
        <v>2312</v>
      </c>
    </row>
    <row r="5604">
      <c r="A5604" s="5" t="s">
        <v>2929</v>
      </c>
      <c r="B5604" s="8">
        <v>9.0</v>
      </c>
      <c r="C5604" s="4" t="s">
        <v>193</v>
      </c>
      <c r="D5604" s="7" t="s">
        <v>2031</v>
      </c>
      <c r="E5604" s="5" t="s">
        <v>2923</v>
      </c>
      <c r="F5604" s="7" t="s">
        <v>2312</v>
      </c>
    </row>
    <row r="5605">
      <c r="A5605" s="5" t="s">
        <v>2702</v>
      </c>
      <c r="B5605" s="8">
        <v>9.0</v>
      </c>
      <c r="C5605" s="4" t="s">
        <v>193</v>
      </c>
      <c r="D5605" s="7" t="s">
        <v>2031</v>
      </c>
      <c r="E5605" s="5" t="s">
        <v>2923</v>
      </c>
      <c r="F5605" s="7" t="s">
        <v>2314</v>
      </c>
    </row>
    <row r="5606">
      <c r="A5606" s="5" t="s">
        <v>2930</v>
      </c>
      <c r="B5606" s="8">
        <v>9.0</v>
      </c>
      <c r="C5606" s="4" t="s">
        <v>193</v>
      </c>
      <c r="D5606" s="7" t="s">
        <v>2031</v>
      </c>
      <c r="E5606" s="5" t="s">
        <v>2923</v>
      </c>
      <c r="F5606" s="7" t="s">
        <v>2315</v>
      </c>
    </row>
    <row r="5607">
      <c r="A5607" s="5" t="s">
        <v>2600</v>
      </c>
      <c r="B5607" s="8">
        <v>9.0</v>
      </c>
      <c r="C5607" s="4" t="s">
        <v>193</v>
      </c>
      <c r="D5607" s="7" t="s">
        <v>2031</v>
      </c>
      <c r="E5607" s="5" t="s">
        <v>2923</v>
      </c>
      <c r="F5607" s="7" t="s">
        <v>2315</v>
      </c>
    </row>
    <row r="5608">
      <c r="A5608" s="5" t="s">
        <v>3802</v>
      </c>
      <c r="B5608" s="8">
        <v>9.0</v>
      </c>
      <c r="C5608" s="4" t="s">
        <v>193</v>
      </c>
      <c r="D5608" s="7" t="s">
        <v>2031</v>
      </c>
      <c r="E5608" s="5" t="s">
        <v>2923</v>
      </c>
      <c r="F5608" s="7" t="s">
        <v>2314</v>
      </c>
    </row>
    <row r="5609">
      <c r="A5609" s="5" t="s">
        <v>3090</v>
      </c>
      <c r="B5609" s="8">
        <v>9.0</v>
      </c>
      <c r="C5609" s="4" t="s">
        <v>193</v>
      </c>
      <c r="D5609" s="7" t="s">
        <v>2031</v>
      </c>
      <c r="E5609" s="5" t="s">
        <v>2923</v>
      </c>
      <c r="F5609" s="7" t="s">
        <v>2314</v>
      </c>
    </row>
    <row r="5610">
      <c r="A5610" s="7" t="s">
        <v>606</v>
      </c>
      <c r="B5610" s="8">
        <v>9.0</v>
      </c>
      <c r="C5610" s="4" t="s">
        <v>193</v>
      </c>
      <c r="D5610" s="7" t="s">
        <v>2031</v>
      </c>
      <c r="E5610" s="5" t="s">
        <v>2923</v>
      </c>
      <c r="F5610" s="7" t="s">
        <v>2313</v>
      </c>
    </row>
    <row r="5611">
      <c r="A5611" s="5" t="s">
        <v>2602</v>
      </c>
      <c r="B5611" s="8">
        <v>9.0</v>
      </c>
      <c r="C5611" s="4" t="s">
        <v>193</v>
      </c>
      <c r="D5611" s="7" t="s">
        <v>2031</v>
      </c>
      <c r="E5611" s="5" t="s">
        <v>2923</v>
      </c>
      <c r="F5611" s="7" t="s">
        <v>2314</v>
      </c>
    </row>
    <row r="5612">
      <c r="A5612" s="5" t="s">
        <v>2931</v>
      </c>
      <c r="B5612" s="8">
        <v>9.0</v>
      </c>
      <c r="C5612" s="4" t="s">
        <v>193</v>
      </c>
      <c r="D5612" s="7" t="s">
        <v>2031</v>
      </c>
      <c r="E5612" s="5" t="s">
        <v>2923</v>
      </c>
      <c r="F5612" s="7" t="s">
        <v>2314</v>
      </c>
    </row>
    <row r="5613">
      <c r="A5613" s="7" t="s">
        <v>874</v>
      </c>
      <c r="B5613" s="8">
        <v>9.0</v>
      </c>
      <c r="C5613" s="4" t="s">
        <v>193</v>
      </c>
      <c r="D5613" s="7" t="s">
        <v>2031</v>
      </c>
      <c r="E5613" s="5" t="s">
        <v>2923</v>
      </c>
      <c r="F5613" s="7" t="s">
        <v>2313</v>
      </c>
    </row>
    <row r="5614">
      <c r="A5614" s="5" t="s">
        <v>2932</v>
      </c>
      <c r="B5614" s="8">
        <v>9.0</v>
      </c>
      <c r="C5614" s="4" t="s">
        <v>193</v>
      </c>
      <c r="D5614" s="7" t="s">
        <v>2031</v>
      </c>
      <c r="E5614" s="5" t="s">
        <v>2923</v>
      </c>
      <c r="F5614" s="7" t="s">
        <v>2314</v>
      </c>
    </row>
    <row r="5615">
      <c r="A5615" s="5" t="s">
        <v>3091</v>
      </c>
      <c r="B5615" s="8">
        <v>9.0</v>
      </c>
      <c r="C5615" s="4" t="s">
        <v>193</v>
      </c>
      <c r="D5615" s="7" t="s">
        <v>2031</v>
      </c>
      <c r="E5615" s="5" t="s">
        <v>2923</v>
      </c>
      <c r="F5615" s="7" t="s">
        <v>2316</v>
      </c>
    </row>
    <row r="5616">
      <c r="A5616" s="5" t="s">
        <v>2605</v>
      </c>
      <c r="B5616" s="8">
        <v>9.0</v>
      </c>
      <c r="C5616" s="4" t="s">
        <v>193</v>
      </c>
      <c r="D5616" s="7" t="s">
        <v>2031</v>
      </c>
      <c r="E5616" s="5" t="s">
        <v>2923</v>
      </c>
      <c r="F5616" s="7" t="s">
        <v>2314</v>
      </c>
    </row>
    <row r="5617">
      <c r="A5617" s="7" t="s">
        <v>1989</v>
      </c>
      <c r="B5617" s="8">
        <v>9.0</v>
      </c>
      <c r="C5617" s="4" t="s">
        <v>193</v>
      </c>
      <c r="D5617" s="7" t="s">
        <v>2031</v>
      </c>
      <c r="E5617" s="5" t="s">
        <v>2923</v>
      </c>
      <c r="F5617" s="7" t="s">
        <v>2315</v>
      </c>
    </row>
    <row r="5618">
      <c r="A5618" s="5" t="s">
        <v>2933</v>
      </c>
      <c r="B5618" s="8">
        <v>9.0</v>
      </c>
      <c r="C5618" s="4" t="s">
        <v>193</v>
      </c>
      <c r="D5618" s="7" t="s">
        <v>2031</v>
      </c>
      <c r="E5618" s="5" t="s">
        <v>2923</v>
      </c>
      <c r="F5618" s="7" t="s">
        <v>2317</v>
      </c>
    </row>
    <row r="5619">
      <c r="A5619" s="5" t="s">
        <v>2606</v>
      </c>
      <c r="B5619" s="8">
        <v>9.0</v>
      </c>
      <c r="C5619" s="4" t="s">
        <v>193</v>
      </c>
      <c r="D5619" s="7" t="s">
        <v>2031</v>
      </c>
      <c r="E5619" s="5" t="s">
        <v>2923</v>
      </c>
      <c r="F5619" s="7" t="s">
        <v>2314</v>
      </c>
    </row>
    <row r="5620">
      <c r="A5620" s="5" t="s">
        <v>2934</v>
      </c>
      <c r="B5620" s="8">
        <v>9.0</v>
      </c>
      <c r="C5620" s="4" t="s">
        <v>193</v>
      </c>
      <c r="D5620" s="7" t="s">
        <v>2031</v>
      </c>
      <c r="E5620" s="5" t="s">
        <v>2923</v>
      </c>
      <c r="F5620" s="7" t="s">
        <v>1292</v>
      </c>
    </row>
    <row r="5621">
      <c r="A5621" s="5" t="s">
        <v>2607</v>
      </c>
      <c r="B5621" s="8">
        <v>9.0</v>
      </c>
      <c r="C5621" s="4" t="s">
        <v>193</v>
      </c>
      <c r="D5621" s="7" t="s">
        <v>2031</v>
      </c>
      <c r="E5621" s="5" t="s">
        <v>2923</v>
      </c>
      <c r="F5621" s="7" t="s">
        <v>2315</v>
      </c>
    </row>
    <row r="5622">
      <c r="A5622" s="7" t="s">
        <v>1990</v>
      </c>
      <c r="B5622" s="8">
        <v>9.0</v>
      </c>
      <c r="C5622" s="4" t="s">
        <v>193</v>
      </c>
      <c r="D5622" s="7" t="s">
        <v>2031</v>
      </c>
      <c r="E5622" s="5" t="s">
        <v>2923</v>
      </c>
      <c r="F5622" s="7" t="s">
        <v>2315</v>
      </c>
    </row>
    <row r="5623">
      <c r="A5623" s="5" t="s">
        <v>2935</v>
      </c>
      <c r="B5623" s="8">
        <v>9.0</v>
      </c>
      <c r="C5623" s="4" t="s">
        <v>193</v>
      </c>
      <c r="D5623" s="7" t="s">
        <v>2031</v>
      </c>
      <c r="E5623" s="5" t="s">
        <v>2923</v>
      </c>
      <c r="F5623" s="7" t="s">
        <v>2314</v>
      </c>
    </row>
    <row r="5624">
      <c r="A5624" s="5" t="s">
        <v>2936</v>
      </c>
      <c r="B5624" s="8">
        <v>9.0</v>
      </c>
      <c r="C5624" s="4" t="s">
        <v>193</v>
      </c>
      <c r="D5624" s="7" t="s">
        <v>2031</v>
      </c>
      <c r="E5624" s="5" t="s">
        <v>2923</v>
      </c>
      <c r="F5624" s="7" t="s">
        <v>2313</v>
      </c>
    </row>
    <row r="5625">
      <c r="A5625" s="5" t="s">
        <v>2608</v>
      </c>
      <c r="B5625" s="8">
        <v>9.0</v>
      </c>
      <c r="C5625" s="4" t="s">
        <v>193</v>
      </c>
      <c r="D5625" s="7" t="s">
        <v>2031</v>
      </c>
      <c r="E5625" s="5" t="s">
        <v>2923</v>
      </c>
      <c r="F5625" s="7" t="s">
        <v>2313</v>
      </c>
    </row>
    <row r="5626">
      <c r="A5626" s="5" t="s">
        <v>2609</v>
      </c>
      <c r="B5626" s="8">
        <v>9.0</v>
      </c>
      <c r="C5626" s="4" t="s">
        <v>193</v>
      </c>
      <c r="D5626" s="7" t="s">
        <v>2031</v>
      </c>
      <c r="E5626" s="5" t="s">
        <v>2923</v>
      </c>
      <c r="F5626" s="7" t="s">
        <v>2317</v>
      </c>
    </row>
    <row r="5627">
      <c r="A5627" s="5" t="s">
        <v>3791</v>
      </c>
      <c r="B5627" s="8">
        <v>9.0</v>
      </c>
      <c r="C5627" s="4" t="s">
        <v>227</v>
      </c>
      <c r="D5627" s="5" t="s">
        <v>1554</v>
      </c>
      <c r="E5627" s="5" t="s">
        <v>3567</v>
      </c>
      <c r="F5627" s="7" t="s">
        <v>2312</v>
      </c>
    </row>
    <row r="5628">
      <c r="A5628" s="7" t="s">
        <v>188</v>
      </c>
      <c r="B5628" s="8">
        <v>9.0</v>
      </c>
      <c r="C5628" s="4" t="s">
        <v>227</v>
      </c>
      <c r="D5628" s="5" t="s">
        <v>1554</v>
      </c>
      <c r="E5628" s="5" t="s">
        <v>3567</v>
      </c>
      <c r="F5628" s="7" t="s">
        <v>2313</v>
      </c>
    </row>
    <row r="5629">
      <c r="A5629" s="5" t="s">
        <v>2924</v>
      </c>
      <c r="B5629" s="8">
        <v>9.0</v>
      </c>
      <c r="C5629" s="4" t="s">
        <v>227</v>
      </c>
      <c r="D5629" s="5" t="s">
        <v>1554</v>
      </c>
      <c r="E5629" s="5" t="s">
        <v>3567</v>
      </c>
      <c r="F5629" s="7" t="s">
        <v>2314</v>
      </c>
    </row>
    <row r="5630">
      <c r="A5630" s="5" t="s">
        <v>2796</v>
      </c>
      <c r="B5630" s="8">
        <v>9.0</v>
      </c>
      <c r="C5630" s="4" t="s">
        <v>227</v>
      </c>
      <c r="D5630" s="5" t="s">
        <v>1554</v>
      </c>
      <c r="E5630" s="5" t="s">
        <v>3567</v>
      </c>
      <c r="F5630" s="7" t="s">
        <v>2315</v>
      </c>
    </row>
    <row r="5631">
      <c r="A5631" s="5" t="s">
        <v>2925</v>
      </c>
      <c r="B5631" s="8">
        <v>9.0</v>
      </c>
      <c r="C5631" s="4" t="s">
        <v>227</v>
      </c>
      <c r="D5631" s="5" t="s">
        <v>1554</v>
      </c>
      <c r="E5631" s="5" t="s">
        <v>3567</v>
      </c>
      <c r="F5631" s="7" t="s">
        <v>2313</v>
      </c>
    </row>
    <row r="5632">
      <c r="A5632" s="5" t="s">
        <v>3086</v>
      </c>
      <c r="B5632" s="8">
        <v>9.0</v>
      </c>
      <c r="C5632" s="4" t="s">
        <v>227</v>
      </c>
      <c r="D5632" s="5" t="s">
        <v>1554</v>
      </c>
      <c r="E5632" s="5" t="s">
        <v>3567</v>
      </c>
      <c r="F5632" s="7" t="s">
        <v>2315</v>
      </c>
    </row>
    <row r="5633">
      <c r="A5633" s="5" t="s">
        <v>3795</v>
      </c>
      <c r="B5633" s="8">
        <v>9.0</v>
      </c>
      <c r="C5633" s="4" t="s">
        <v>227</v>
      </c>
      <c r="D5633" s="5" t="s">
        <v>1554</v>
      </c>
      <c r="E5633" s="5" t="s">
        <v>3567</v>
      </c>
      <c r="F5633" s="7" t="s">
        <v>2316</v>
      </c>
    </row>
    <row r="5634">
      <c r="A5634" s="7" t="s">
        <v>868</v>
      </c>
      <c r="B5634" s="8">
        <v>9.0</v>
      </c>
      <c r="C5634" s="4" t="s">
        <v>227</v>
      </c>
      <c r="D5634" s="5" t="s">
        <v>1554</v>
      </c>
      <c r="E5634" s="5" t="s">
        <v>3567</v>
      </c>
      <c r="F5634" s="7" t="s">
        <v>2313</v>
      </c>
    </row>
    <row r="5635">
      <c r="A5635" s="5" t="s">
        <v>3087</v>
      </c>
      <c r="B5635" s="8">
        <v>9.0</v>
      </c>
      <c r="C5635" s="4" t="s">
        <v>227</v>
      </c>
      <c r="D5635" s="5" t="s">
        <v>1554</v>
      </c>
      <c r="E5635" s="5" t="s">
        <v>3567</v>
      </c>
      <c r="F5635" s="7" t="s">
        <v>2317</v>
      </c>
    </row>
    <row r="5636">
      <c r="A5636" s="5" t="s">
        <v>2926</v>
      </c>
      <c r="B5636" s="8">
        <v>9.0</v>
      </c>
      <c r="C5636" s="4" t="s">
        <v>227</v>
      </c>
      <c r="D5636" s="5" t="s">
        <v>1554</v>
      </c>
      <c r="E5636" s="5" t="s">
        <v>3567</v>
      </c>
      <c r="F5636" s="7" t="s">
        <v>2313</v>
      </c>
    </row>
    <row r="5637">
      <c r="A5637" s="5" t="s">
        <v>3088</v>
      </c>
      <c r="B5637" s="8">
        <v>9.0</v>
      </c>
      <c r="C5637" s="4" t="s">
        <v>227</v>
      </c>
      <c r="D5637" s="5" t="s">
        <v>1554</v>
      </c>
      <c r="E5637" s="5" t="s">
        <v>3567</v>
      </c>
      <c r="F5637" s="7" t="s">
        <v>2317</v>
      </c>
    </row>
    <row r="5638">
      <c r="A5638" s="5" t="s">
        <v>3388</v>
      </c>
      <c r="B5638" s="8">
        <v>9.0</v>
      </c>
      <c r="C5638" s="4" t="s">
        <v>227</v>
      </c>
      <c r="D5638" s="5" t="s">
        <v>1554</v>
      </c>
      <c r="E5638" s="5" t="s">
        <v>3567</v>
      </c>
      <c r="F5638" s="7" t="s">
        <v>2316</v>
      </c>
    </row>
    <row r="5639">
      <c r="A5639" s="5" t="s">
        <v>2927</v>
      </c>
      <c r="B5639" s="8">
        <v>9.0</v>
      </c>
      <c r="C5639" s="4" t="s">
        <v>227</v>
      </c>
      <c r="D5639" s="5" t="s">
        <v>1554</v>
      </c>
      <c r="E5639" s="5" t="s">
        <v>3567</v>
      </c>
      <c r="F5639" s="7" t="s">
        <v>2315</v>
      </c>
    </row>
    <row r="5640">
      <c r="A5640" s="5" t="s">
        <v>3089</v>
      </c>
      <c r="B5640" s="8">
        <v>9.0</v>
      </c>
      <c r="C5640" s="4" t="s">
        <v>227</v>
      </c>
      <c r="D5640" s="5" t="s">
        <v>1554</v>
      </c>
      <c r="E5640" s="5" t="s">
        <v>3567</v>
      </c>
      <c r="F5640" s="7" t="s">
        <v>2315</v>
      </c>
    </row>
    <row r="5641">
      <c r="A5641" s="5" t="s">
        <v>2928</v>
      </c>
      <c r="B5641" s="8">
        <v>9.0</v>
      </c>
      <c r="C5641" s="4" t="s">
        <v>227</v>
      </c>
      <c r="D5641" s="5" t="s">
        <v>1554</v>
      </c>
      <c r="E5641" s="5" t="s">
        <v>3567</v>
      </c>
      <c r="F5641" s="7" t="s">
        <v>2312</v>
      </c>
    </row>
    <row r="5642">
      <c r="A5642" s="7" t="s">
        <v>603</v>
      </c>
      <c r="B5642" s="8">
        <v>9.0</v>
      </c>
      <c r="C5642" s="4" t="s">
        <v>227</v>
      </c>
      <c r="D5642" s="5" t="s">
        <v>1554</v>
      </c>
      <c r="E5642" s="5" t="s">
        <v>3567</v>
      </c>
      <c r="F5642" s="7" t="s">
        <v>2312</v>
      </c>
    </row>
    <row r="5643">
      <c r="A5643" s="5" t="s">
        <v>2929</v>
      </c>
      <c r="B5643" s="8">
        <v>9.0</v>
      </c>
      <c r="C5643" s="4" t="s">
        <v>227</v>
      </c>
      <c r="D5643" s="5" t="s">
        <v>1554</v>
      </c>
      <c r="E5643" s="5" t="s">
        <v>3567</v>
      </c>
      <c r="F5643" s="7" t="s">
        <v>2312</v>
      </c>
    </row>
    <row r="5644">
      <c r="A5644" s="5" t="s">
        <v>2702</v>
      </c>
      <c r="B5644" s="8">
        <v>9.0</v>
      </c>
      <c r="C5644" s="4" t="s">
        <v>227</v>
      </c>
      <c r="D5644" s="5" t="s">
        <v>1554</v>
      </c>
      <c r="E5644" s="5" t="s">
        <v>3567</v>
      </c>
      <c r="F5644" s="7" t="s">
        <v>2314</v>
      </c>
    </row>
    <row r="5645">
      <c r="A5645" s="5" t="s">
        <v>2930</v>
      </c>
      <c r="B5645" s="8">
        <v>9.0</v>
      </c>
      <c r="C5645" s="4" t="s">
        <v>227</v>
      </c>
      <c r="D5645" s="5" t="s">
        <v>1554</v>
      </c>
      <c r="E5645" s="5" t="s">
        <v>3567</v>
      </c>
      <c r="F5645" s="7" t="s">
        <v>2315</v>
      </c>
    </row>
    <row r="5646">
      <c r="A5646" s="5" t="s">
        <v>2600</v>
      </c>
      <c r="B5646" s="8">
        <v>9.0</v>
      </c>
      <c r="C5646" s="4" t="s">
        <v>227</v>
      </c>
      <c r="D5646" s="5" t="s">
        <v>1554</v>
      </c>
      <c r="E5646" s="5" t="s">
        <v>3567</v>
      </c>
      <c r="F5646" s="7" t="s">
        <v>2315</v>
      </c>
    </row>
    <row r="5647">
      <c r="A5647" s="5" t="s">
        <v>3802</v>
      </c>
      <c r="B5647" s="8">
        <v>9.0</v>
      </c>
      <c r="C5647" s="4" t="s">
        <v>227</v>
      </c>
      <c r="D5647" s="5" t="s">
        <v>1554</v>
      </c>
      <c r="E5647" s="5" t="s">
        <v>3567</v>
      </c>
      <c r="F5647" s="7" t="s">
        <v>2314</v>
      </c>
    </row>
    <row r="5648">
      <c r="A5648" s="5" t="s">
        <v>3090</v>
      </c>
      <c r="B5648" s="8">
        <v>9.0</v>
      </c>
      <c r="C5648" s="4" t="s">
        <v>227</v>
      </c>
      <c r="D5648" s="5" t="s">
        <v>1554</v>
      </c>
      <c r="E5648" s="5" t="s">
        <v>3567</v>
      </c>
      <c r="F5648" s="7" t="s">
        <v>2314</v>
      </c>
    </row>
    <row r="5649">
      <c r="A5649" s="7" t="s">
        <v>606</v>
      </c>
      <c r="B5649" s="8">
        <v>9.0</v>
      </c>
      <c r="C5649" s="4" t="s">
        <v>227</v>
      </c>
      <c r="D5649" s="5" t="s">
        <v>1554</v>
      </c>
      <c r="E5649" s="5" t="s">
        <v>3567</v>
      </c>
      <c r="F5649" s="7" t="s">
        <v>2313</v>
      </c>
    </row>
    <row r="5650">
      <c r="A5650" s="5" t="s">
        <v>2602</v>
      </c>
      <c r="B5650" s="8">
        <v>9.0</v>
      </c>
      <c r="C5650" s="4" t="s">
        <v>227</v>
      </c>
      <c r="D5650" s="5" t="s">
        <v>1554</v>
      </c>
      <c r="E5650" s="5" t="s">
        <v>3567</v>
      </c>
      <c r="F5650" s="7" t="s">
        <v>2314</v>
      </c>
    </row>
    <row r="5651">
      <c r="A5651" s="5" t="s">
        <v>2931</v>
      </c>
      <c r="B5651" s="8">
        <v>9.0</v>
      </c>
      <c r="C5651" s="4" t="s">
        <v>227</v>
      </c>
      <c r="D5651" s="5" t="s">
        <v>1554</v>
      </c>
      <c r="E5651" s="5" t="s">
        <v>3567</v>
      </c>
      <c r="F5651" s="7" t="s">
        <v>2314</v>
      </c>
    </row>
    <row r="5652">
      <c r="A5652" s="7" t="s">
        <v>874</v>
      </c>
      <c r="B5652" s="8">
        <v>9.0</v>
      </c>
      <c r="C5652" s="4" t="s">
        <v>227</v>
      </c>
      <c r="D5652" s="5" t="s">
        <v>1554</v>
      </c>
      <c r="E5652" s="5" t="s">
        <v>3567</v>
      </c>
      <c r="F5652" s="7" t="s">
        <v>2313</v>
      </c>
    </row>
    <row r="5653">
      <c r="A5653" s="5" t="s">
        <v>2932</v>
      </c>
      <c r="B5653" s="8">
        <v>9.0</v>
      </c>
      <c r="C5653" s="4" t="s">
        <v>227</v>
      </c>
      <c r="D5653" s="5" t="s">
        <v>1554</v>
      </c>
      <c r="E5653" s="5" t="s">
        <v>3567</v>
      </c>
      <c r="F5653" s="7" t="s">
        <v>2314</v>
      </c>
    </row>
    <row r="5654">
      <c r="A5654" s="5" t="s">
        <v>3091</v>
      </c>
      <c r="B5654" s="8">
        <v>9.0</v>
      </c>
      <c r="C5654" s="4" t="s">
        <v>227</v>
      </c>
      <c r="D5654" s="5" t="s">
        <v>1554</v>
      </c>
      <c r="E5654" s="5" t="s">
        <v>3567</v>
      </c>
      <c r="F5654" s="7" t="s">
        <v>2316</v>
      </c>
    </row>
    <row r="5655">
      <c r="A5655" s="5" t="s">
        <v>2605</v>
      </c>
      <c r="B5655" s="8">
        <v>9.0</v>
      </c>
      <c r="C5655" s="4" t="s">
        <v>227</v>
      </c>
      <c r="D5655" s="5" t="s">
        <v>1554</v>
      </c>
      <c r="E5655" s="5" t="s">
        <v>3567</v>
      </c>
      <c r="F5655" s="7" t="s">
        <v>2314</v>
      </c>
    </row>
    <row r="5656">
      <c r="A5656" s="7" t="s">
        <v>1989</v>
      </c>
      <c r="B5656" s="8">
        <v>9.0</v>
      </c>
      <c r="C5656" s="4" t="s">
        <v>227</v>
      </c>
      <c r="D5656" s="5" t="s">
        <v>1554</v>
      </c>
      <c r="E5656" s="5" t="s">
        <v>3567</v>
      </c>
      <c r="F5656" s="7" t="s">
        <v>2315</v>
      </c>
    </row>
    <row r="5657">
      <c r="A5657" s="5" t="s">
        <v>2933</v>
      </c>
      <c r="B5657" s="8">
        <v>9.0</v>
      </c>
      <c r="C5657" s="4" t="s">
        <v>227</v>
      </c>
      <c r="D5657" s="5" t="s">
        <v>1554</v>
      </c>
      <c r="E5657" s="5" t="s">
        <v>3567</v>
      </c>
      <c r="F5657" s="7" t="s">
        <v>2317</v>
      </c>
    </row>
    <row r="5658">
      <c r="A5658" s="5" t="s">
        <v>2606</v>
      </c>
      <c r="B5658" s="8">
        <v>9.0</v>
      </c>
      <c r="C5658" s="4" t="s">
        <v>227</v>
      </c>
      <c r="D5658" s="5" t="s">
        <v>1554</v>
      </c>
      <c r="E5658" s="5" t="s">
        <v>3567</v>
      </c>
      <c r="F5658" s="7" t="s">
        <v>2314</v>
      </c>
    </row>
    <row r="5659">
      <c r="A5659" s="5" t="s">
        <v>2934</v>
      </c>
      <c r="B5659" s="8">
        <v>9.0</v>
      </c>
      <c r="C5659" s="4" t="s">
        <v>227</v>
      </c>
      <c r="D5659" s="5" t="s">
        <v>1554</v>
      </c>
      <c r="E5659" s="5" t="s">
        <v>3567</v>
      </c>
      <c r="F5659" s="7" t="s">
        <v>1292</v>
      </c>
    </row>
    <row r="5660">
      <c r="A5660" s="5" t="s">
        <v>2607</v>
      </c>
      <c r="B5660" s="8">
        <v>9.0</v>
      </c>
      <c r="C5660" s="4" t="s">
        <v>227</v>
      </c>
      <c r="D5660" s="5" t="s">
        <v>1554</v>
      </c>
      <c r="E5660" s="5" t="s">
        <v>3567</v>
      </c>
      <c r="F5660" s="7" t="s">
        <v>2315</v>
      </c>
    </row>
    <row r="5661">
      <c r="A5661" s="7" t="s">
        <v>1990</v>
      </c>
      <c r="B5661" s="8">
        <v>9.0</v>
      </c>
      <c r="C5661" s="4" t="s">
        <v>227</v>
      </c>
      <c r="D5661" s="5" t="s">
        <v>1554</v>
      </c>
      <c r="E5661" s="5" t="s">
        <v>3567</v>
      </c>
      <c r="F5661" s="7" t="s">
        <v>2315</v>
      </c>
    </row>
    <row r="5662">
      <c r="A5662" s="5" t="s">
        <v>2935</v>
      </c>
      <c r="B5662" s="8">
        <v>9.0</v>
      </c>
      <c r="C5662" s="4" t="s">
        <v>227</v>
      </c>
      <c r="D5662" s="5" t="s">
        <v>1554</v>
      </c>
      <c r="E5662" s="5" t="s">
        <v>3567</v>
      </c>
      <c r="F5662" s="7" t="s">
        <v>2314</v>
      </c>
    </row>
    <row r="5663">
      <c r="A5663" s="5" t="s">
        <v>2936</v>
      </c>
      <c r="B5663" s="8">
        <v>9.0</v>
      </c>
      <c r="C5663" s="4" t="s">
        <v>227</v>
      </c>
      <c r="D5663" s="5" t="s">
        <v>1554</v>
      </c>
      <c r="E5663" s="5" t="s">
        <v>3567</v>
      </c>
      <c r="F5663" s="7" t="s">
        <v>2313</v>
      </c>
    </row>
    <row r="5664">
      <c r="A5664" s="5" t="s">
        <v>2608</v>
      </c>
      <c r="B5664" s="8">
        <v>9.0</v>
      </c>
      <c r="C5664" s="4" t="s">
        <v>227</v>
      </c>
      <c r="D5664" s="5" t="s">
        <v>1554</v>
      </c>
      <c r="E5664" s="5" t="s">
        <v>3567</v>
      </c>
      <c r="F5664" s="7" t="s">
        <v>2313</v>
      </c>
    </row>
    <row r="5665">
      <c r="A5665" s="5" t="s">
        <v>2609</v>
      </c>
      <c r="B5665" s="8">
        <v>9.0</v>
      </c>
      <c r="C5665" s="4" t="s">
        <v>227</v>
      </c>
      <c r="D5665" s="5" t="s">
        <v>1554</v>
      </c>
      <c r="E5665" s="5" t="s">
        <v>3567</v>
      </c>
      <c r="F5665" s="7" t="s">
        <v>2317</v>
      </c>
    </row>
    <row r="5666">
      <c r="A5666" s="5" t="s">
        <v>3791</v>
      </c>
      <c r="B5666" s="8">
        <v>9.0</v>
      </c>
      <c r="C5666" s="7" t="s">
        <v>2033</v>
      </c>
      <c r="D5666" s="7" t="s">
        <v>2034</v>
      </c>
      <c r="E5666" s="5" t="s">
        <v>3823</v>
      </c>
      <c r="F5666" s="7" t="s">
        <v>2312</v>
      </c>
    </row>
    <row r="5667">
      <c r="A5667" s="7" t="s">
        <v>188</v>
      </c>
      <c r="B5667" s="8">
        <v>9.0</v>
      </c>
      <c r="C5667" s="7" t="s">
        <v>2033</v>
      </c>
      <c r="D5667" s="7" t="s">
        <v>2034</v>
      </c>
      <c r="E5667" s="5" t="s">
        <v>3823</v>
      </c>
      <c r="F5667" s="7" t="s">
        <v>2313</v>
      </c>
    </row>
    <row r="5668">
      <c r="A5668" s="5" t="s">
        <v>2924</v>
      </c>
      <c r="B5668" s="8">
        <v>9.0</v>
      </c>
      <c r="C5668" s="7" t="s">
        <v>2033</v>
      </c>
      <c r="D5668" s="7" t="s">
        <v>2034</v>
      </c>
      <c r="E5668" s="5" t="s">
        <v>3823</v>
      </c>
      <c r="F5668" s="7" t="s">
        <v>2314</v>
      </c>
    </row>
    <row r="5669">
      <c r="A5669" s="5" t="s">
        <v>2796</v>
      </c>
      <c r="B5669" s="8">
        <v>9.0</v>
      </c>
      <c r="C5669" s="7" t="s">
        <v>2033</v>
      </c>
      <c r="D5669" s="7" t="s">
        <v>2034</v>
      </c>
      <c r="E5669" s="5" t="s">
        <v>3823</v>
      </c>
      <c r="F5669" s="7" t="s">
        <v>2315</v>
      </c>
    </row>
    <row r="5670">
      <c r="A5670" s="5" t="s">
        <v>2925</v>
      </c>
      <c r="B5670" s="8">
        <v>9.0</v>
      </c>
      <c r="C5670" s="7" t="s">
        <v>2033</v>
      </c>
      <c r="D5670" s="7" t="s">
        <v>2034</v>
      </c>
      <c r="E5670" s="5" t="s">
        <v>3823</v>
      </c>
      <c r="F5670" s="7" t="s">
        <v>2313</v>
      </c>
    </row>
    <row r="5671">
      <c r="A5671" s="5" t="s">
        <v>3086</v>
      </c>
      <c r="B5671" s="8">
        <v>9.0</v>
      </c>
      <c r="C5671" s="7" t="s">
        <v>2033</v>
      </c>
      <c r="D5671" s="7" t="s">
        <v>2034</v>
      </c>
      <c r="E5671" s="5" t="s">
        <v>3823</v>
      </c>
      <c r="F5671" s="7" t="s">
        <v>2315</v>
      </c>
    </row>
    <row r="5672">
      <c r="A5672" s="5" t="s">
        <v>3795</v>
      </c>
      <c r="B5672" s="8">
        <v>9.0</v>
      </c>
      <c r="C5672" s="7" t="s">
        <v>2033</v>
      </c>
      <c r="D5672" s="7" t="s">
        <v>2034</v>
      </c>
      <c r="E5672" s="5" t="s">
        <v>3823</v>
      </c>
      <c r="F5672" s="7" t="s">
        <v>2316</v>
      </c>
    </row>
    <row r="5673">
      <c r="A5673" s="7" t="s">
        <v>868</v>
      </c>
      <c r="B5673" s="8">
        <v>9.0</v>
      </c>
      <c r="C5673" s="7" t="s">
        <v>2033</v>
      </c>
      <c r="D5673" s="7" t="s">
        <v>2034</v>
      </c>
      <c r="E5673" s="5" t="s">
        <v>3823</v>
      </c>
      <c r="F5673" s="7" t="s">
        <v>2313</v>
      </c>
    </row>
    <row r="5674">
      <c r="A5674" s="5" t="s">
        <v>3087</v>
      </c>
      <c r="B5674" s="8">
        <v>9.0</v>
      </c>
      <c r="C5674" s="7" t="s">
        <v>2033</v>
      </c>
      <c r="D5674" s="7" t="s">
        <v>2034</v>
      </c>
      <c r="E5674" s="5" t="s">
        <v>3823</v>
      </c>
      <c r="F5674" s="7" t="s">
        <v>2317</v>
      </c>
    </row>
    <row r="5675">
      <c r="A5675" s="5" t="s">
        <v>2926</v>
      </c>
      <c r="B5675" s="8">
        <v>9.0</v>
      </c>
      <c r="C5675" s="7" t="s">
        <v>2033</v>
      </c>
      <c r="D5675" s="7" t="s">
        <v>2034</v>
      </c>
      <c r="E5675" s="5" t="s">
        <v>3823</v>
      </c>
      <c r="F5675" s="7" t="s">
        <v>2313</v>
      </c>
    </row>
    <row r="5676">
      <c r="A5676" s="5" t="s">
        <v>3088</v>
      </c>
      <c r="B5676" s="8">
        <v>9.0</v>
      </c>
      <c r="C5676" s="7" t="s">
        <v>2033</v>
      </c>
      <c r="D5676" s="7" t="s">
        <v>2034</v>
      </c>
      <c r="E5676" s="5" t="s">
        <v>3823</v>
      </c>
      <c r="F5676" s="7" t="s">
        <v>2317</v>
      </c>
    </row>
    <row r="5677">
      <c r="A5677" s="5" t="s">
        <v>3388</v>
      </c>
      <c r="B5677" s="8">
        <v>9.0</v>
      </c>
      <c r="C5677" s="7" t="s">
        <v>2033</v>
      </c>
      <c r="D5677" s="7" t="s">
        <v>2034</v>
      </c>
      <c r="E5677" s="5" t="s">
        <v>3823</v>
      </c>
      <c r="F5677" s="7" t="s">
        <v>2316</v>
      </c>
    </row>
    <row r="5678">
      <c r="A5678" s="5" t="s">
        <v>2927</v>
      </c>
      <c r="B5678" s="8">
        <v>9.0</v>
      </c>
      <c r="C5678" s="7" t="s">
        <v>2033</v>
      </c>
      <c r="D5678" s="7" t="s">
        <v>2034</v>
      </c>
      <c r="E5678" s="5" t="s">
        <v>3823</v>
      </c>
      <c r="F5678" s="7" t="s">
        <v>2315</v>
      </c>
    </row>
    <row r="5679">
      <c r="A5679" s="5" t="s">
        <v>3089</v>
      </c>
      <c r="B5679" s="8">
        <v>9.0</v>
      </c>
      <c r="C5679" s="7" t="s">
        <v>2033</v>
      </c>
      <c r="D5679" s="7" t="s">
        <v>2034</v>
      </c>
      <c r="E5679" s="5" t="s">
        <v>3823</v>
      </c>
      <c r="F5679" s="7" t="s">
        <v>2315</v>
      </c>
    </row>
    <row r="5680">
      <c r="A5680" s="5" t="s">
        <v>2928</v>
      </c>
      <c r="B5680" s="8">
        <v>9.0</v>
      </c>
      <c r="C5680" s="7" t="s">
        <v>2033</v>
      </c>
      <c r="D5680" s="7" t="s">
        <v>2034</v>
      </c>
      <c r="E5680" s="5" t="s">
        <v>3823</v>
      </c>
      <c r="F5680" s="7" t="s">
        <v>2312</v>
      </c>
    </row>
    <row r="5681">
      <c r="A5681" s="7" t="s">
        <v>603</v>
      </c>
      <c r="B5681" s="8">
        <v>9.0</v>
      </c>
      <c r="C5681" s="7" t="s">
        <v>2033</v>
      </c>
      <c r="D5681" s="7" t="s">
        <v>2034</v>
      </c>
      <c r="E5681" s="5" t="s">
        <v>3823</v>
      </c>
      <c r="F5681" s="7" t="s">
        <v>2312</v>
      </c>
    </row>
    <row r="5682">
      <c r="A5682" s="5" t="s">
        <v>2929</v>
      </c>
      <c r="B5682" s="8">
        <v>9.0</v>
      </c>
      <c r="C5682" s="7" t="s">
        <v>2033</v>
      </c>
      <c r="D5682" s="7" t="s">
        <v>2034</v>
      </c>
      <c r="E5682" s="5" t="s">
        <v>3823</v>
      </c>
      <c r="F5682" s="7" t="s">
        <v>2312</v>
      </c>
    </row>
    <row r="5683">
      <c r="A5683" s="5" t="s">
        <v>2702</v>
      </c>
      <c r="B5683" s="8">
        <v>9.0</v>
      </c>
      <c r="C5683" s="7" t="s">
        <v>2033</v>
      </c>
      <c r="D5683" s="7" t="s">
        <v>2034</v>
      </c>
      <c r="E5683" s="5" t="s">
        <v>3823</v>
      </c>
      <c r="F5683" s="7" t="s">
        <v>2314</v>
      </c>
    </row>
    <row r="5684">
      <c r="A5684" s="5" t="s">
        <v>2930</v>
      </c>
      <c r="B5684" s="8">
        <v>9.0</v>
      </c>
      <c r="C5684" s="7" t="s">
        <v>2033</v>
      </c>
      <c r="D5684" s="7" t="s">
        <v>2034</v>
      </c>
      <c r="E5684" s="5" t="s">
        <v>3823</v>
      </c>
      <c r="F5684" s="7" t="s">
        <v>2315</v>
      </c>
    </row>
    <row r="5685">
      <c r="A5685" s="5" t="s">
        <v>2600</v>
      </c>
      <c r="B5685" s="8">
        <v>9.0</v>
      </c>
      <c r="C5685" s="7" t="s">
        <v>2033</v>
      </c>
      <c r="D5685" s="7" t="s">
        <v>2034</v>
      </c>
      <c r="E5685" s="5" t="s">
        <v>3823</v>
      </c>
      <c r="F5685" s="7" t="s">
        <v>2315</v>
      </c>
    </row>
    <row r="5686">
      <c r="A5686" s="5" t="s">
        <v>3802</v>
      </c>
      <c r="B5686" s="8">
        <v>9.0</v>
      </c>
      <c r="C5686" s="7" t="s">
        <v>2033</v>
      </c>
      <c r="D5686" s="7" t="s">
        <v>2034</v>
      </c>
      <c r="E5686" s="5" t="s">
        <v>3823</v>
      </c>
      <c r="F5686" s="7" t="s">
        <v>2314</v>
      </c>
    </row>
    <row r="5687">
      <c r="A5687" s="5" t="s">
        <v>3090</v>
      </c>
      <c r="B5687" s="8">
        <v>9.0</v>
      </c>
      <c r="C5687" s="7" t="s">
        <v>2033</v>
      </c>
      <c r="D5687" s="7" t="s">
        <v>2034</v>
      </c>
      <c r="E5687" s="5" t="s">
        <v>3823</v>
      </c>
      <c r="F5687" s="7" t="s">
        <v>2314</v>
      </c>
    </row>
    <row r="5688">
      <c r="A5688" s="7" t="s">
        <v>606</v>
      </c>
      <c r="B5688" s="8">
        <v>9.0</v>
      </c>
      <c r="C5688" s="7" t="s">
        <v>2033</v>
      </c>
      <c r="D5688" s="7" t="s">
        <v>2034</v>
      </c>
      <c r="E5688" s="5" t="s">
        <v>3823</v>
      </c>
      <c r="F5688" s="7" t="s">
        <v>2313</v>
      </c>
    </row>
    <row r="5689">
      <c r="A5689" s="5" t="s">
        <v>2602</v>
      </c>
      <c r="B5689" s="8">
        <v>9.0</v>
      </c>
      <c r="C5689" s="7" t="s">
        <v>2033</v>
      </c>
      <c r="D5689" s="7" t="s">
        <v>2034</v>
      </c>
      <c r="E5689" s="5" t="s">
        <v>3823</v>
      </c>
      <c r="F5689" s="7" t="s">
        <v>2314</v>
      </c>
    </row>
    <row r="5690">
      <c r="A5690" s="5" t="s">
        <v>2931</v>
      </c>
      <c r="B5690" s="8">
        <v>9.0</v>
      </c>
      <c r="C5690" s="7" t="s">
        <v>2033</v>
      </c>
      <c r="D5690" s="7" t="s">
        <v>2034</v>
      </c>
      <c r="E5690" s="5" t="s">
        <v>3823</v>
      </c>
      <c r="F5690" s="7" t="s">
        <v>2314</v>
      </c>
    </row>
    <row r="5691">
      <c r="A5691" s="7" t="s">
        <v>874</v>
      </c>
      <c r="B5691" s="8">
        <v>9.0</v>
      </c>
      <c r="C5691" s="7" t="s">
        <v>2033</v>
      </c>
      <c r="D5691" s="7" t="s">
        <v>2034</v>
      </c>
      <c r="E5691" s="5" t="s">
        <v>3823</v>
      </c>
      <c r="F5691" s="7" t="s">
        <v>2313</v>
      </c>
    </row>
    <row r="5692">
      <c r="A5692" s="5" t="s">
        <v>2932</v>
      </c>
      <c r="B5692" s="8">
        <v>9.0</v>
      </c>
      <c r="C5692" s="7" t="s">
        <v>2033</v>
      </c>
      <c r="D5692" s="7" t="s">
        <v>2034</v>
      </c>
      <c r="E5692" s="5" t="s">
        <v>3823</v>
      </c>
      <c r="F5692" s="7" t="s">
        <v>2314</v>
      </c>
    </row>
    <row r="5693">
      <c r="A5693" s="5" t="s">
        <v>3091</v>
      </c>
      <c r="B5693" s="8">
        <v>9.0</v>
      </c>
      <c r="C5693" s="7" t="s">
        <v>2033</v>
      </c>
      <c r="D5693" s="7" t="s">
        <v>2034</v>
      </c>
      <c r="E5693" s="5" t="s">
        <v>3823</v>
      </c>
      <c r="F5693" s="7" t="s">
        <v>2316</v>
      </c>
    </row>
    <row r="5694">
      <c r="A5694" s="5" t="s">
        <v>2605</v>
      </c>
      <c r="B5694" s="8">
        <v>9.0</v>
      </c>
      <c r="C5694" s="7" t="s">
        <v>2033</v>
      </c>
      <c r="D5694" s="7" t="s">
        <v>2034</v>
      </c>
      <c r="E5694" s="5" t="s">
        <v>3823</v>
      </c>
      <c r="F5694" s="7" t="s">
        <v>2314</v>
      </c>
    </row>
    <row r="5695">
      <c r="A5695" s="7" t="s">
        <v>1989</v>
      </c>
      <c r="B5695" s="8">
        <v>9.0</v>
      </c>
      <c r="C5695" s="7" t="s">
        <v>2033</v>
      </c>
      <c r="D5695" s="7" t="s">
        <v>2034</v>
      </c>
      <c r="E5695" s="5" t="s">
        <v>3823</v>
      </c>
      <c r="F5695" s="7" t="s">
        <v>2315</v>
      </c>
    </row>
    <row r="5696">
      <c r="A5696" s="5" t="s">
        <v>2933</v>
      </c>
      <c r="B5696" s="8">
        <v>9.0</v>
      </c>
      <c r="C5696" s="7" t="s">
        <v>2033</v>
      </c>
      <c r="D5696" s="7" t="s">
        <v>2034</v>
      </c>
      <c r="E5696" s="5" t="s">
        <v>3823</v>
      </c>
      <c r="F5696" s="7" t="s">
        <v>2317</v>
      </c>
    </row>
    <row r="5697">
      <c r="A5697" s="5" t="s">
        <v>2606</v>
      </c>
      <c r="B5697" s="8">
        <v>9.0</v>
      </c>
      <c r="C5697" s="7" t="s">
        <v>2033</v>
      </c>
      <c r="D5697" s="7" t="s">
        <v>2034</v>
      </c>
      <c r="E5697" s="5" t="s">
        <v>3823</v>
      </c>
      <c r="F5697" s="7" t="s">
        <v>2314</v>
      </c>
    </row>
    <row r="5698">
      <c r="A5698" s="5" t="s">
        <v>2934</v>
      </c>
      <c r="B5698" s="8">
        <v>9.0</v>
      </c>
      <c r="C5698" s="7" t="s">
        <v>2033</v>
      </c>
      <c r="D5698" s="7" t="s">
        <v>2034</v>
      </c>
      <c r="E5698" s="5" t="s">
        <v>3823</v>
      </c>
      <c r="F5698" s="7" t="s">
        <v>1292</v>
      </c>
    </row>
    <row r="5699">
      <c r="A5699" s="5" t="s">
        <v>2607</v>
      </c>
      <c r="B5699" s="8">
        <v>9.0</v>
      </c>
      <c r="C5699" s="7" t="s">
        <v>2033</v>
      </c>
      <c r="D5699" s="7" t="s">
        <v>2034</v>
      </c>
      <c r="E5699" s="5" t="s">
        <v>3823</v>
      </c>
      <c r="F5699" s="7" t="s">
        <v>2315</v>
      </c>
    </row>
    <row r="5700">
      <c r="A5700" s="7" t="s">
        <v>1990</v>
      </c>
      <c r="B5700" s="8">
        <v>9.0</v>
      </c>
      <c r="C5700" s="7" t="s">
        <v>2033</v>
      </c>
      <c r="D5700" s="7" t="s">
        <v>2034</v>
      </c>
      <c r="E5700" s="5" t="s">
        <v>3823</v>
      </c>
      <c r="F5700" s="7" t="s">
        <v>2315</v>
      </c>
    </row>
    <row r="5701">
      <c r="A5701" s="5" t="s">
        <v>2935</v>
      </c>
      <c r="B5701" s="8">
        <v>9.0</v>
      </c>
      <c r="C5701" s="7" t="s">
        <v>2033</v>
      </c>
      <c r="D5701" s="7" t="s">
        <v>2034</v>
      </c>
      <c r="E5701" s="5" t="s">
        <v>3823</v>
      </c>
      <c r="F5701" s="7" t="s">
        <v>2314</v>
      </c>
    </row>
    <row r="5702">
      <c r="A5702" s="5" t="s">
        <v>2936</v>
      </c>
      <c r="B5702" s="8">
        <v>9.0</v>
      </c>
      <c r="C5702" s="7" t="s">
        <v>2033</v>
      </c>
      <c r="D5702" s="7" t="s">
        <v>2034</v>
      </c>
      <c r="E5702" s="5" t="s">
        <v>3823</v>
      </c>
      <c r="F5702" s="7" t="s">
        <v>2313</v>
      </c>
    </row>
    <row r="5703">
      <c r="A5703" s="5" t="s">
        <v>2608</v>
      </c>
      <c r="B5703" s="8">
        <v>9.0</v>
      </c>
      <c r="C5703" s="7" t="s">
        <v>2033</v>
      </c>
      <c r="D5703" s="7" t="s">
        <v>2034</v>
      </c>
      <c r="E5703" s="5" t="s">
        <v>3823</v>
      </c>
      <c r="F5703" s="7" t="s">
        <v>2313</v>
      </c>
    </row>
    <row r="5704">
      <c r="A5704" s="5" t="s">
        <v>2609</v>
      </c>
      <c r="B5704" s="8">
        <v>9.0</v>
      </c>
      <c r="C5704" s="7" t="s">
        <v>2033</v>
      </c>
      <c r="D5704" s="7" t="s">
        <v>2034</v>
      </c>
      <c r="E5704" s="5" t="s">
        <v>3823</v>
      </c>
      <c r="F5704" s="7" t="s">
        <v>2317</v>
      </c>
    </row>
    <row r="5705">
      <c r="A5705" s="5" t="s">
        <v>3791</v>
      </c>
      <c r="B5705" s="8">
        <v>9.0</v>
      </c>
      <c r="C5705" s="7" t="s">
        <v>49</v>
      </c>
      <c r="D5705" s="5" t="s">
        <v>613</v>
      </c>
      <c r="E5705" s="5" t="s">
        <v>3824</v>
      </c>
      <c r="F5705" s="5" t="s">
        <v>2038</v>
      </c>
    </row>
    <row r="5706">
      <c r="A5706" s="7" t="s">
        <v>188</v>
      </c>
      <c r="B5706" s="8">
        <v>9.0</v>
      </c>
      <c r="C5706" s="7" t="s">
        <v>49</v>
      </c>
      <c r="D5706" s="5" t="s">
        <v>613</v>
      </c>
      <c r="E5706" s="5" t="s">
        <v>3824</v>
      </c>
      <c r="F5706" s="5" t="s">
        <v>2038</v>
      </c>
    </row>
    <row r="5707">
      <c r="A5707" s="5" t="s">
        <v>2924</v>
      </c>
      <c r="B5707" s="8">
        <v>9.0</v>
      </c>
      <c r="C5707" s="7" t="s">
        <v>49</v>
      </c>
      <c r="D5707" s="5" t="s">
        <v>613</v>
      </c>
      <c r="E5707" s="5" t="s">
        <v>3824</v>
      </c>
      <c r="F5707" s="5" t="s">
        <v>57</v>
      </c>
    </row>
    <row r="5708">
      <c r="A5708" s="5" t="s">
        <v>2796</v>
      </c>
      <c r="B5708" s="8">
        <v>9.0</v>
      </c>
      <c r="C5708" s="7" t="s">
        <v>49</v>
      </c>
      <c r="D5708" s="5" t="s">
        <v>613</v>
      </c>
      <c r="E5708" s="5" t="s">
        <v>3824</v>
      </c>
      <c r="F5708" s="5" t="s">
        <v>3825</v>
      </c>
    </row>
    <row r="5709">
      <c r="A5709" s="5" t="s">
        <v>2925</v>
      </c>
      <c r="B5709" s="8">
        <v>9.0</v>
      </c>
      <c r="C5709" s="7" t="s">
        <v>49</v>
      </c>
      <c r="D5709" s="5" t="s">
        <v>613</v>
      </c>
      <c r="E5709" s="5" t="s">
        <v>3824</v>
      </c>
      <c r="F5709" s="5" t="s">
        <v>2038</v>
      </c>
    </row>
    <row r="5710">
      <c r="A5710" s="5" t="s">
        <v>3086</v>
      </c>
      <c r="B5710" s="8">
        <v>9.0</v>
      </c>
      <c r="C5710" s="7" t="s">
        <v>49</v>
      </c>
      <c r="D5710" s="5" t="s">
        <v>613</v>
      </c>
      <c r="E5710" s="5" t="s">
        <v>3824</v>
      </c>
      <c r="F5710" s="5" t="s">
        <v>57</v>
      </c>
    </row>
    <row r="5711">
      <c r="A5711" s="5" t="s">
        <v>3795</v>
      </c>
      <c r="B5711" s="8">
        <v>9.0</v>
      </c>
      <c r="C5711" s="7" t="s">
        <v>49</v>
      </c>
      <c r="D5711" s="5" t="s">
        <v>613</v>
      </c>
      <c r="E5711" s="5" t="s">
        <v>3824</v>
      </c>
      <c r="F5711" s="5" t="s">
        <v>2038</v>
      </c>
    </row>
    <row r="5712">
      <c r="A5712" s="7" t="s">
        <v>868</v>
      </c>
      <c r="B5712" s="8">
        <v>9.0</v>
      </c>
      <c r="C5712" s="7" t="s">
        <v>49</v>
      </c>
      <c r="D5712" s="5" t="s">
        <v>613</v>
      </c>
      <c r="E5712" s="5" t="s">
        <v>3824</v>
      </c>
      <c r="F5712" s="5" t="s">
        <v>2038</v>
      </c>
    </row>
    <row r="5713">
      <c r="A5713" s="5" t="s">
        <v>3087</v>
      </c>
      <c r="B5713" s="8">
        <v>9.0</v>
      </c>
      <c r="C5713" s="7" t="s">
        <v>49</v>
      </c>
      <c r="D5713" s="5" t="s">
        <v>613</v>
      </c>
      <c r="E5713" s="5" t="s">
        <v>3824</v>
      </c>
      <c r="F5713" s="5" t="s">
        <v>3826</v>
      </c>
    </row>
    <row r="5714">
      <c r="A5714" s="5" t="s">
        <v>2926</v>
      </c>
      <c r="B5714" s="8">
        <v>9.0</v>
      </c>
      <c r="C5714" s="7" t="s">
        <v>49</v>
      </c>
      <c r="D5714" s="5" t="s">
        <v>613</v>
      </c>
      <c r="E5714" s="5" t="s">
        <v>3824</v>
      </c>
      <c r="F5714" s="5" t="s">
        <v>3827</v>
      </c>
    </row>
    <row r="5715">
      <c r="A5715" s="5" t="s">
        <v>3088</v>
      </c>
      <c r="B5715" s="8">
        <v>9.0</v>
      </c>
      <c r="C5715" s="7" t="s">
        <v>49</v>
      </c>
      <c r="D5715" s="5" t="s">
        <v>613</v>
      </c>
      <c r="E5715" s="5" t="s">
        <v>3824</v>
      </c>
      <c r="F5715" s="5" t="s">
        <v>2038</v>
      </c>
    </row>
    <row r="5716">
      <c r="A5716" s="5" t="s">
        <v>3388</v>
      </c>
      <c r="B5716" s="8">
        <v>9.0</v>
      </c>
      <c r="C5716" s="7" t="s">
        <v>49</v>
      </c>
      <c r="D5716" s="5" t="s">
        <v>613</v>
      </c>
      <c r="E5716" s="5" t="s">
        <v>3824</v>
      </c>
      <c r="F5716" s="5" t="s">
        <v>2038</v>
      </c>
    </row>
    <row r="5717">
      <c r="A5717" s="5" t="s">
        <v>2927</v>
      </c>
      <c r="B5717" s="8">
        <v>9.0</v>
      </c>
      <c r="C5717" s="7" t="s">
        <v>49</v>
      </c>
      <c r="D5717" s="5" t="s">
        <v>613</v>
      </c>
      <c r="E5717" s="5" t="s">
        <v>3824</v>
      </c>
      <c r="F5717" s="5" t="s">
        <v>57</v>
      </c>
    </row>
    <row r="5718">
      <c r="A5718" s="5" t="s">
        <v>3089</v>
      </c>
      <c r="B5718" s="8">
        <v>9.0</v>
      </c>
      <c r="C5718" s="7" t="s">
        <v>49</v>
      </c>
      <c r="D5718" s="5" t="s">
        <v>613</v>
      </c>
      <c r="E5718" s="5" t="s">
        <v>3824</v>
      </c>
      <c r="F5718" s="5" t="s">
        <v>3828</v>
      </c>
    </row>
    <row r="5719">
      <c r="A5719" s="5" t="s">
        <v>2928</v>
      </c>
      <c r="B5719" s="8">
        <v>9.0</v>
      </c>
      <c r="C5719" s="7" t="s">
        <v>49</v>
      </c>
      <c r="D5719" s="5" t="s">
        <v>613</v>
      </c>
      <c r="E5719" s="5" t="s">
        <v>3824</v>
      </c>
      <c r="F5719" s="5" t="s">
        <v>3829</v>
      </c>
    </row>
    <row r="5720">
      <c r="A5720" s="7" t="s">
        <v>603</v>
      </c>
      <c r="B5720" s="8">
        <v>9.0</v>
      </c>
      <c r="C5720" s="7" t="s">
        <v>49</v>
      </c>
      <c r="D5720" s="5" t="s">
        <v>613</v>
      </c>
      <c r="E5720" s="5" t="s">
        <v>3824</v>
      </c>
      <c r="F5720" s="5" t="s">
        <v>57</v>
      </c>
    </row>
    <row r="5721">
      <c r="A5721" s="5" t="s">
        <v>2929</v>
      </c>
      <c r="B5721" s="8">
        <v>9.0</v>
      </c>
      <c r="C5721" s="7" t="s">
        <v>49</v>
      </c>
      <c r="D5721" s="5" t="s">
        <v>613</v>
      </c>
      <c r="E5721" s="5" t="s">
        <v>3824</v>
      </c>
      <c r="F5721" s="5" t="s">
        <v>2044</v>
      </c>
    </row>
    <row r="5722">
      <c r="A5722" s="5" t="s">
        <v>2702</v>
      </c>
      <c r="B5722" s="8">
        <v>9.0</v>
      </c>
      <c r="C5722" s="7" t="s">
        <v>49</v>
      </c>
      <c r="D5722" s="5" t="s">
        <v>613</v>
      </c>
      <c r="E5722" s="5" t="s">
        <v>3824</v>
      </c>
      <c r="F5722" s="5" t="s">
        <v>2045</v>
      </c>
    </row>
    <row r="5723">
      <c r="A5723" s="5" t="s">
        <v>2930</v>
      </c>
      <c r="B5723" s="8">
        <v>9.0</v>
      </c>
      <c r="C5723" s="7" t="s">
        <v>49</v>
      </c>
      <c r="D5723" s="5" t="s">
        <v>613</v>
      </c>
      <c r="E5723" s="5" t="s">
        <v>3824</v>
      </c>
      <c r="F5723" s="5" t="s">
        <v>57</v>
      </c>
    </row>
    <row r="5724">
      <c r="A5724" s="5" t="s">
        <v>2600</v>
      </c>
      <c r="B5724" s="8">
        <v>9.0</v>
      </c>
      <c r="C5724" s="7" t="s">
        <v>49</v>
      </c>
      <c r="D5724" s="5" t="s">
        <v>613</v>
      </c>
      <c r="E5724" s="5" t="s">
        <v>3824</v>
      </c>
      <c r="F5724" s="5" t="s">
        <v>2045</v>
      </c>
    </row>
    <row r="5725">
      <c r="A5725" s="5" t="s">
        <v>3802</v>
      </c>
      <c r="B5725" s="8">
        <v>9.0</v>
      </c>
      <c r="C5725" s="7" t="s">
        <v>49</v>
      </c>
      <c r="D5725" s="5" t="s">
        <v>613</v>
      </c>
      <c r="E5725" s="5" t="s">
        <v>3824</v>
      </c>
      <c r="F5725" s="5" t="s">
        <v>2045</v>
      </c>
    </row>
    <row r="5726">
      <c r="A5726" s="5" t="s">
        <v>3090</v>
      </c>
      <c r="B5726" s="8">
        <v>9.0</v>
      </c>
      <c r="C5726" s="7" t="s">
        <v>49</v>
      </c>
      <c r="D5726" s="5" t="s">
        <v>613</v>
      </c>
      <c r="E5726" s="5" t="s">
        <v>3824</v>
      </c>
      <c r="F5726" s="5" t="s">
        <v>2046</v>
      </c>
    </row>
    <row r="5727">
      <c r="A5727" s="7" t="s">
        <v>606</v>
      </c>
      <c r="B5727" s="8">
        <v>9.0</v>
      </c>
      <c r="C5727" s="7" t="s">
        <v>49</v>
      </c>
      <c r="D5727" s="5" t="s">
        <v>613</v>
      </c>
      <c r="E5727" s="5" t="s">
        <v>3824</v>
      </c>
      <c r="F5727" s="5" t="s">
        <v>57</v>
      </c>
    </row>
    <row r="5728">
      <c r="A5728" s="5" t="s">
        <v>2602</v>
      </c>
      <c r="B5728" s="8">
        <v>9.0</v>
      </c>
      <c r="C5728" s="7" t="s">
        <v>49</v>
      </c>
      <c r="D5728" s="5" t="s">
        <v>613</v>
      </c>
      <c r="E5728" s="5" t="s">
        <v>3824</v>
      </c>
      <c r="F5728" s="5" t="s">
        <v>57</v>
      </c>
    </row>
    <row r="5729">
      <c r="A5729" s="5" t="s">
        <v>2931</v>
      </c>
      <c r="B5729" s="8">
        <v>9.0</v>
      </c>
      <c r="C5729" s="7" t="s">
        <v>49</v>
      </c>
      <c r="D5729" s="5" t="s">
        <v>613</v>
      </c>
      <c r="E5729" s="5" t="s">
        <v>3824</v>
      </c>
      <c r="F5729" s="5" t="s">
        <v>2045</v>
      </c>
    </row>
    <row r="5730">
      <c r="A5730" s="7" t="s">
        <v>874</v>
      </c>
      <c r="B5730" s="8">
        <v>9.0</v>
      </c>
      <c r="C5730" s="7" t="s">
        <v>49</v>
      </c>
      <c r="D5730" s="5" t="s">
        <v>613</v>
      </c>
      <c r="E5730" s="5" t="s">
        <v>3824</v>
      </c>
      <c r="F5730" s="5" t="s">
        <v>2045</v>
      </c>
    </row>
    <row r="5731">
      <c r="A5731" s="5" t="s">
        <v>2932</v>
      </c>
      <c r="B5731" s="8">
        <v>9.0</v>
      </c>
      <c r="C5731" s="7" t="s">
        <v>49</v>
      </c>
      <c r="D5731" s="5" t="s">
        <v>613</v>
      </c>
      <c r="E5731" s="5" t="s">
        <v>3824</v>
      </c>
      <c r="F5731" s="5" t="s">
        <v>2045</v>
      </c>
    </row>
    <row r="5732">
      <c r="A5732" s="5" t="s">
        <v>3091</v>
      </c>
      <c r="B5732" s="8">
        <v>9.0</v>
      </c>
      <c r="C5732" s="7" t="s">
        <v>49</v>
      </c>
      <c r="D5732" s="5" t="s">
        <v>613</v>
      </c>
      <c r="E5732" s="5" t="s">
        <v>3824</v>
      </c>
      <c r="F5732" s="5" t="s">
        <v>2045</v>
      </c>
    </row>
    <row r="5733">
      <c r="A5733" s="5" t="s">
        <v>2605</v>
      </c>
      <c r="B5733" s="8">
        <v>9.0</v>
      </c>
      <c r="C5733" s="7" t="s">
        <v>49</v>
      </c>
      <c r="D5733" s="5" t="s">
        <v>613</v>
      </c>
      <c r="E5733" s="5" t="s">
        <v>3824</v>
      </c>
      <c r="F5733" s="5" t="s">
        <v>2045</v>
      </c>
    </row>
    <row r="5734">
      <c r="A5734" s="7" t="s">
        <v>1989</v>
      </c>
      <c r="B5734" s="8">
        <v>9.0</v>
      </c>
      <c r="C5734" s="7" t="s">
        <v>49</v>
      </c>
      <c r="D5734" s="5" t="s">
        <v>613</v>
      </c>
      <c r="E5734" s="5" t="s">
        <v>3824</v>
      </c>
      <c r="F5734" s="5" t="s">
        <v>2045</v>
      </c>
    </row>
    <row r="5735">
      <c r="A5735" s="5" t="s">
        <v>2933</v>
      </c>
      <c r="B5735" s="8">
        <v>9.0</v>
      </c>
      <c r="C5735" s="7" t="s">
        <v>49</v>
      </c>
      <c r="D5735" s="5" t="s">
        <v>613</v>
      </c>
      <c r="E5735" s="5" t="s">
        <v>3824</v>
      </c>
      <c r="F5735" s="5" t="s">
        <v>57</v>
      </c>
    </row>
    <row r="5736">
      <c r="A5736" s="5" t="s">
        <v>2606</v>
      </c>
      <c r="B5736" s="8">
        <v>9.0</v>
      </c>
      <c r="C5736" s="7" t="s">
        <v>49</v>
      </c>
      <c r="D5736" s="5" t="s">
        <v>613</v>
      </c>
      <c r="E5736" s="5" t="s">
        <v>3824</v>
      </c>
      <c r="F5736" s="5" t="s">
        <v>57</v>
      </c>
    </row>
    <row r="5737">
      <c r="A5737" s="5" t="s">
        <v>2934</v>
      </c>
      <c r="B5737" s="8">
        <v>9.0</v>
      </c>
      <c r="C5737" s="7" t="s">
        <v>49</v>
      </c>
      <c r="D5737" s="5" t="s">
        <v>613</v>
      </c>
      <c r="E5737" s="5" t="s">
        <v>3824</v>
      </c>
      <c r="F5737" s="5" t="s">
        <v>57</v>
      </c>
    </row>
    <row r="5738">
      <c r="A5738" s="5" t="s">
        <v>2607</v>
      </c>
      <c r="B5738" s="8">
        <v>9.0</v>
      </c>
      <c r="C5738" s="7" t="s">
        <v>49</v>
      </c>
      <c r="D5738" s="5" t="s">
        <v>613</v>
      </c>
      <c r="E5738" s="5" t="s">
        <v>3824</v>
      </c>
      <c r="F5738" s="5" t="s">
        <v>57</v>
      </c>
    </row>
    <row r="5739">
      <c r="A5739" s="7" t="s">
        <v>1990</v>
      </c>
      <c r="B5739" s="8">
        <v>9.0</v>
      </c>
      <c r="C5739" s="7" t="s">
        <v>49</v>
      </c>
      <c r="D5739" s="5" t="s">
        <v>613</v>
      </c>
      <c r="E5739" s="5" t="s">
        <v>3824</v>
      </c>
      <c r="F5739" s="5" t="s">
        <v>2045</v>
      </c>
    </row>
    <row r="5740">
      <c r="A5740" s="5" t="s">
        <v>2935</v>
      </c>
      <c r="B5740" s="8">
        <v>9.0</v>
      </c>
      <c r="C5740" s="7" t="s">
        <v>49</v>
      </c>
      <c r="D5740" s="5" t="s">
        <v>613</v>
      </c>
      <c r="E5740" s="5" t="s">
        <v>3824</v>
      </c>
      <c r="F5740" s="5" t="s">
        <v>3830</v>
      </c>
    </row>
    <row r="5741">
      <c r="A5741" s="5" t="s">
        <v>2936</v>
      </c>
      <c r="B5741" s="8">
        <v>9.0</v>
      </c>
      <c r="C5741" s="7" t="s">
        <v>49</v>
      </c>
      <c r="D5741" s="5" t="s">
        <v>613</v>
      </c>
      <c r="E5741" s="5" t="s">
        <v>3824</v>
      </c>
      <c r="F5741" s="5" t="s">
        <v>57</v>
      </c>
    </row>
    <row r="5742">
      <c r="A5742" s="5" t="s">
        <v>2608</v>
      </c>
      <c r="B5742" s="8">
        <v>9.0</v>
      </c>
      <c r="C5742" s="7" t="s">
        <v>49</v>
      </c>
      <c r="D5742" s="5" t="s">
        <v>613</v>
      </c>
      <c r="E5742" s="5" t="s">
        <v>3824</v>
      </c>
      <c r="F5742" s="5" t="s">
        <v>57</v>
      </c>
    </row>
    <row r="5743">
      <c r="A5743" s="5" t="s">
        <v>2609</v>
      </c>
      <c r="B5743" s="8">
        <v>9.0</v>
      </c>
      <c r="C5743" s="7" t="s">
        <v>49</v>
      </c>
      <c r="D5743" s="5" t="s">
        <v>613</v>
      </c>
      <c r="E5743" s="5" t="s">
        <v>3824</v>
      </c>
      <c r="F5743" s="5" t="s">
        <v>57</v>
      </c>
    </row>
    <row r="5744">
      <c r="A5744" s="5" t="s">
        <v>3791</v>
      </c>
      <c r="B5744" s="8">
        <v>9.0</v>
      </c>
      <c r="C5744" s="7" t="s">
        <v>437</v>
      </c>
      <c r="D5744" s="7" t="s">
        <v>2048</v>
      </c>
      <c r="E5744" s="5" t="s">
        <v>3592</v>
      </c>
      <c r="F5744" s="5" t="s">
        <v>2049</v>
      </c>
    </row>
    <row r="5745">
      <c r="A5745" s="7" t="s">
        <v>188</v>
      </c>
      <c r="B5745" s="8">
        <v>9.0</v>
      </c>
      <c r="C5745" s="7" t="s">
        <v>437</v>
      </c>
      <c r="D5745" s="7" t="s">
        <v>2048</v>
      </c>
      <c r="E5745" s="5" t="s">
        <v>3592</v>
      </c>
      <c r="F5745" s="5" t="s">
        <v>2049</v>
      </c>
    </row>
    <row r="5746">
      <c r="A5746" s="5" t="s">
        <v>2924</v>
      </c>
      <c r="B5746" s="8">
        <v>9.0</v>
      </c>
      <c r="C5746" s="7" t="s">
        <v>437</v>
      </c>
      <c r="D5746" s="7" t="s">
        <v>2048</v>
      </c>
      <c r="E5746" s="5" t="s">
        <v>3592</v>
      </c>
      <c r="F5746" s="5" t="s">
        <v>953</v>
      </c>
    </row>
    <row r="5747">
      <c r="A5747" s="5" t="s">
        <v>2796</v>
      </c>
      <c r="B5747" s="8">
        <v>9.0</v>
      </c>
      <c r="C5747" s="7" t="s">
        <v>437</v>
      </c>
      <c r="D5747" s="7" t="s">
        <v>2048</v>
      </c>
      <c r="E5747" s="5" t="s">
        <v>3592</v>
      </c>
      <c r="F5747" s="5" t="s">
        <v>3831</v>
      </c>
    </row>
    <row r="5748">
      <c r="A5748" s="5" t="s">
        <v>2925</v>
      </c>
      <c r="B5748" s="8">
        <v>9.0</v>
      </c>
      <c r="C5748" s="7" t="s">
        <v>437</v>
      </c>
      <c r="D5748" s="7" t="s">
        <v>2048</v>
      </c>
      <c r="E5748" s="5" t="s">
        <v>3592</v>
      </c>
      <c r="F5748" s="5" t="s">
        <v>2049</v>
      </c>
    </row>
    <row r="5749">
      <c r="A5749" s="5" t="s">
        <v>3086</v>
      </c>
      <c r="B5749" s="8">
        <v>9.0</v>
      </c>
      <c r="C5749" s="7" t="s">
        <v>437</v>
      </c>
      <c r="D5749" s="7" t="s">
        <v>2048</v>
      </c>
      <c r="E5749" s="5" t="s">
        <v>3592</v>
      </c>
      <c r="F5749" s="5" t="s">
        <v>953</v>
      </c>
    </row>
    <row r="5750">
      <c r="A5750" s="5" t="s">
        <v>3795</v>
      </c>
      <c r="B5750" s="8">
        <v>9.0</v>
      </c>
      <c r="C5750" s="7" t="s">
        <v>437</v>
      </c>
      <c r="D5750" s="7" t="s">
        <v>2048</v>
      </c>
      <c r="E5750" s="5" t="s">
        <v>3592</v>
      </c>
      <c r="F5750" s="5" t="s">
        <v>2049</v>
      </c>
    </row>
    <row r="5751">
      <c r="A5751" s="7" t="s">
        <v>868</v>
      </c>
      <c r="B5751" s="8">
        <v>9.0</v>
      </c>
      <c r="C5751" s="7" t="s">
        <v>437</v>
      </c>
      <c r="D5751" s="7" t="s">
        <v>2048</v>
      </c>
      <c r="E5751" s="5" t="s">
        <v>3592</v>
      </c>
      <c r="F5751" s="5" t="s">
        <v>953</v>
      </c>
    </row>
    <row r="5752">
      <c r="A5752" s="5" t="s">
        <v>3087</v>
      </c>
      <c r="B5752" s="8">
        <v>9.0</v>
      </c>
      <c r="C5752" s="7" t="s">
        <v>437</v>
      </c>
      <c r="D5752" s="7" t="s">
        <v>2048</v>
      </c>
      <c r="E5752" s="5" t="s">
        <v>3592</v>
      </c>
      <c r="F5752" s="5" t="s">
        <v>2051</v>
      </c>
    </row>
    <row r="5753">
      <c r="A5753" s="5" t="s">
        <v>2926</v>
      </c>
      <c r="B5753" s="8">
        <v>9.0</v>
      </c>
      <c r="C5753" s="7" t="s">
        <v>437</v>
      </c>
      <c r="D5753" s="7" t="s">
        <v>2048</v>
      </c>
      <c r="E5753" s="5" t="s">
        <v>3592</v>
      </c>
      <c r="F5753" s="5" t="s">
        <v>3832</v>
      </c>
    </row>
    <row r="5754">
      <c r="A5754" s="5" t="s">
        <v>3088</v>
      </c>
      <c r="B5754" s="8">
        <v>9.0</v>
      </c>
      <c r="C5754" s="7" t="s">
        <v>437</v>
      </c>
      <c r="D5754" s="7" t="s">
        <v>2048</v>
      </c>
      <c r="E5754" s="5" t="s">
        <v>3592</v>
      </c>
      <c r="F5754" s="5" t="s">
        <v>953</v>
      </c>
    </row>
    <row r="5755">
      <c r="A5755" s="5" t="s">
        <v>3388</v>
      </c>
      <c r="B5755" s="8">
        <v>9.0</v>
      </c>
      <c r="C5755" s="7" t="s">
        <v>437</v>
      </c>
      <c r="D5755" s="7" t="s">
        <v>2048</v>
      </c>
      <c r="E5755" s="5" t="s">
        <v>3592</v>
      </c>
      <c r="F5755" s="5" t="s">
        <v>2049</v>
      </c>
    </row>
    <row r="5756">
      <c r="A5756" s="5" t="s">
        <v>2927</v>
      </c>
      <c r="B5756" s="8">
        <v>9.0</v>
      </c>
      <c r="C5756" s="7" t="s">
        <v>437</v>
      </c>
      <c r="D5756" s="7" t="s">
        <v>2048</v>
      </c>
      <c r="E5756" s="5" t="s">
        <v>3592</v>
      </c>
      <c r="F5756" s="5" t="s">
        <v>953</v>
      </c>
    </row>
    <row r="5757">
      <c r="A5757" s="5" t="s">
        <v>3089</v>
      </c>
      <c r="B5757" s="8">
        <v>9.0</v>
      </c>
      <c r="C5757" s="7" t="s">
        <v>437</v>
      </c>
      <c r="D5757" s="7" t="s">
        <v>2048</v>
      </c>
      <c r="E5757" s="5" t="s">
        <v>3592</v>
      </c>
      <c r="F5757" s="5" t="s">
        <v>3833</v>
      </c>
    </row>
    <row r="5758">
      <c r="A5758" s="5" t="s">
        <v>2928</v>
      </c>
      <c r="B5758" s="8">
        <v>9.0</v>
      </c>
      <c r="C5758" s="7" t="s">
        <v>437</v>
      </c>
      <c r="D5758" s="7" t="s">
        <v>2048</v>
      </c>
      <c r="E5758" s="5" t="s">
        <v>3592</v>
      </c>
      <c r="F5758" s="5" t="s">
        <v>953</v>
      </c>
    </row>
    <row r="5759">
      <c r="A5759" s="7" t="s">
        <v>603</v>
      </c>
      <c r="B5759" s="8">
        <v>9.0</v>
      </c>
      <c r="C5759" s="7" t="s">
        <v>437</v>
      </c>
      <c r="D5759" s="7" t="s">
        <v>2048</v>
      </c>
      <c r="E5759" s="5" t="s">
        <v>3592</v>
      </c>
      <c r="F5759" s="5" t="s">
        <v>2051</v>
      </c>
    </row>
    <row r="5760">
      <c r="A5760" s="5" t="s">
        <v>2929</v>
      </c>
      <c r="B5760" s="8">
        <v>9.0</v>
      </c>
      <c r="C5760" s="7" t="s">
        <v>437</v>
      </c>
      <c r="D5760" s="7" t="s">
        <v>2048</v>
      </c>
      <c r="E5760" s="5" t="s">
        <v>3592</v>
      </c>
      <c r="F5760" s="5" t="s">
        <v>2054</v>
      </c>
    </row>
    <row r="5761">
      <c r="A5761" s="5" t="s">
        <v>2702</v>
      </c>
      <c r="B5761" s="8">
        <v>9.0</v>
      </c>
      <c r="C5761" s="7" t="s">
        <v>437</v>
      </c>
      <c r="D5761" s="7" t="s">
        <v>2048</v>
      </c>
      <c r="E5761" s="5" t="s">
        <v>3592</v>
      </c>
      <c r="F5761" s="5" t="s">
        <v>954</v>
      </c>
    </row>
    <row r="5762">
      <c r="A5762" s="5" t="s">
        <v>2930</v>
      </c>
      <c r="B5762" s="8">
        <v>9.0</v>
      </c>
      <c r="C5762" s="7" t="s">
        <v>437</v>
      </c>
      <c r="D5762" s="7" t="s">
        <v>2048</v>
      </c>
      <c r="E5762" s="5" t="s">
        <v>3592</v>
      </c>
      <c r="F5762" s="5" t="s">
        <v>953</v>
      </c>
    </row>
    <row r="5763">
      <c r="A5763" s="5" t="s">
        <v>2600</v>
      </c>
      <c r="B5763" s="8">
        <v>9.0</v>
      </c>
      <c r="C5763" s="7" t="s">
        <v>437</v>
      </c>
      <c r="D5763" s="7" t="s">
        <v>2048</v>
      </c>
      <c r="E5763" s="5" t="s">
        <v>3592</v>
      </c>
      <c r="F5763" s="5" t="s">
        <v>954</v>
      </c>
    </row>
    <row r="5764">
      <c r="A5764" s="5" t="s">
        <v>3802</v>
      </c>
      <c r="B5764" s="8">
        <v>9.0</v>
      </c>
      <c r="C5764" s="7" t="s">
        <v>437</v>
      </c>
      <c r="D5764" s="7" t="s">
        <v>2048</v>
      </c>
      <c r="E5764" s="5" t="s">
        <v>3592</v>
      </c>
      <c r="F5764" s="5" t="s">
        <v>953</v>
      </c>
    </row>
    <row r="5765">
      <c r="A5765" s="5" t="s">
        <v>3090</v>
      </c>
      <c r="B5765" s="8">
        <v>9.0</v>
      </c>
      <c r="C5765" s="7" t="s">
        <v>437</v>
      </c>
      <c r="D5765" s="7" t="s">
        <v>2048</v>
      </c>
      <c r="E5765" s="5" t="s">
        <v>3592</v>
      </c>
      <c r="F5765" s="5" t="s">
        <v>2055</v>
      </c>
    </row>
    <row r="5766">
      <c r="A5766" s="7" t="s">
        <v>606</v>
      </c>
      <c r="B5766" s="8">
        <v>9.0</v>
      </c>
      <c r="C5766" s="7" t="s">
        <v>437</v>
      </c>
      <c r="D5766" s="7" t="s">
        <v>2048</v>
      </c>
      <c r="E5766" s="5" t="s">
        <v>3592</v>
      </c>
      <c r="F5766" s="5" t="s">
        <v>953</v>
      </c>
    </row>
    <row r="5767">
      <c r="A5767" s="5" t="s">
        <v>2602</v>
      </c>
      <c r="B5767" s="8">
        <v>9.0</v>
      </c>
      <c r="C5767" s="7" t="s">
        <v>437</v>
      </c>
      <c r="D5767" s="7" t="s">
        <v>2048</v>
      </c>
      <c r="E5767" s="5" t="s">
        <v>3592</v>
      </c>
      <c r="F5767" s="5" t="s">
        <v>953</v>
      </c>
    </row>
    <row r="5768">
      <c r="A5768" s="5" t="s">
        <v>2931</v>
      </c>
      <c r="B5768" s="8">
        <v>9.0</v>
      </c>
      <c r="C5768" s="7" t="s">
        <v>437</v>
      </c>
      <c r="D5768" s="7" t="s">
        <v>2048</v>
      </c>
      <c r="E5768" s="5" t="s">
        <v>3592</v>
      </c>
      <c r="F5768" s="5" t="s">
        <v>954</v>
      </c>
    </row>
    <row r="5769">
      <c r="A5769" s="7" t="s">
        <v>874</v>
      </c>
      <c r="B5769" s="8">
        <v>9.0</v>
      </c>
      <c r="C5769" s="7" t="s">
        <v>437</v>
      </c>
      <c r="D5769" s="7" t="s">
        <v>2048</v>
      </c>
      <c r="E5769" s="5" t="s">
        <v>3592</v>
      </c>
      <c r="F5769" s="5" t="s">
        <v>953</v>
      </c>
    </row>
    <row r="5770">
      <c r="A5770" s="5" t="s">
        <v>2932</v>
      </c>
      <c r="B5770" s="8">
        <v>9.0</v>
      </c>
      <c r="C5770" s="7" t="s">
        <v>437</v>
      </c>
      <c r="D5770" s="7" t="s">
        <v>2048</v>
      </c>
      <c r="E5770" s="5" t="s">
        <v>3592</v>
      </c>
      <c r="F5770" s="5" t="s">
        <v>954</v>
      </c>
    </row>
    <row r="5771">
      <c r="A5771" s="5" t="s">
        <v>3091</v>
      </c>
      <c r="B5771" s="8">
        <v>9.0</v>
      </c>
      <c r="C5771" s="7" t="s">
        <v>437</v>
      </c>
      <c r="D5771" s="7" t="s">
        <v>2048</v>
      </c>
      <c r="E5771" s="5" t="s">
        <v>3592</v>
      </c>
      <c r="F5771" s="5" t="s">
        <v>2055</v>
      </c>
    </row>
    <row r="5772">
      <c r="A5772" s="5" t="s">
        <v>2605</v>
      </c>
      <c r="B5772" s="8">
        <v>9.0</v>
      </c>
      <c r="C5772" s="7" t="s">
        <v>437</v>
      </c>
      <c r="D5772" s="7" t="s">
        <v>2048</v>
      </c>
      <c r="E5772" s="5" t="s">
        <v>3592</v>
      </c>
      <c r="F5772" s="5" t="s">
        <v>954</v>
      </c>
    </row>
    <row r="5773">
      <c r="A5773" s="7" t="s">
        <v>1989</v>
      </c>
      <c r="B5773" s="8">
        <v>9.0</v>
      </c>
      <c r="C5773" s="7" t="s">
        <v>437</v>
      </c>
      <c r="D5773" s="7" t="s">
        <v>2048</v>
      </c>
      <c r="E5773" s="5" t="s">
        <v>3592</v>
      </c>
      <c r="F5773" s="5" t="s">
        <v>954</v>
      </c>
    </row>
    <row r="5774">
      <c r="A5774" s="5" t="s">
        <v>2933</v>
      </c>
      <c r="B5774" s="8">
        <v>9.0</v>
      </c>
      <c r="C5774" s="7" t="s">
        <v>437</v>
      </c>
      <c r="D5774" s="7" t="s">
        <v>2048</v>
      </c>
      <c r="E5774" s="5" t="s">
        <v>3592</v>
      </c>
      <c r="F5774" s="5" t="s">
        <v>953</v>
      </c>
    </row>
    <row r="5775">
      <c r="A5775" s="5" t="s">
        <v>2606</v>
      </c>
      <c r="B5775" s="8">
        <v>9.0</v>
      </c>
      <c r="C5775" s="7" t="s">
        <v>437</v>
      </c>
      <c r="D5775" s="7" t="s">
        <v>2048</v>
      </c>
      <c r="E5775" s="5" t="s">
        <v>3592</v>
      </c>
      <c r="F5775" s="5" t="s">
        <v>953</v>
      </c>
    </row>
    <row r="5776">
      <c r="A5776" s="5" t="s">
        <v>2934</v>
      </c>
      <c r="B5776" s="8">
        <v>9.0</v>
      </c>
      <c r="C5776" s="7" t="s">
        <v>437</v>
      </c>
      <c r="D5776" s="7" t="s">
        <v>2048</v>
      </c>
      <c r="E5776" s="5" t="s">
        <v>3592</v>
      </c>
      <c r="F5776" s="5" t="s">
        <v>953</v>
      </c>
    </row>
    <row r="5777">
      <c r="A5777" s="5" t="s">
        <v>2607</v>
      </c>
      <c r="B5777" s="8">
        <v>9.0</v>
      </c>
      <c r="C5777" s="7" t="s">
        <v>437</v>
      </c>
      <c r="D5777" s="7" t="s">
        <v>2048</v>
      </c>
      <c r="E5777" s="5" t="s">
        <v>3592</v>
      </c>
      <c r="F5777" s="5" t="s">
        <v>953</v>
      </c>
    </row>
    <row r="5778">
      <c r="A5778" s="7" t="s">
        <v>1990</v>
      </c>
      <c r="B5778" s="8">
        <v>9.0</v>
      </c>
      <c r="C5778" s="7" t="s">
        <v>437</v>
      </c>
      <c r="D5778" s="7" t="s">
        <v>2048</v>
      </c>
      <c r="E5778" s="5" t="s">
        <v>3592</v>
      </c>
      <c r="F5778" s="5" t="s">
        <v>954</v>
      </c>
    </row>
    <row r="5779">
      <c r="A5779" s="5" t="s">
        <v>2935</v>
      </c>
      <c r="B5779" s="8">
        <v>9.0</v>
      </c>
      <c r="C5779" s="7" t="s">
        <v>437</v>
      </c>
      <c r="D5779" s="7" t="s">
        <v>2048</v>
      </c>
      <c r="E5779" s="5" t="s">
        <v>3592</v>
      </c>
      <c r="F5779" s="5" t="s">
        <v>3834</v>
      </c>
    </row>
    <row r="5780">
      <c r="A5780" s="5" t="s">
        <v>2936</v>
      </c>
      <c r="B5780" s="8">
        <v>9.0</v>
      </c>
      <c r="C5780" s="7" t="s">
        <v>437</v>
      </c>
      <c r="D5780" s="7" t="s">
        <v>2048</v>
      </c>
      <c r="E5780" s="5" t="s">
        <v>3592</v>
      </c>
      <c r="F5780" s="5" t="s">
        <v>953</v>
      </c>
    </row>
    <row r="5781">
      <c r="A5781" s="5" t="s">
        <v>2608</v>
      </c>
      <c r="B5781" s="8">
        <v>9.0</v>
      </c>
      <c r="C5781" s="7" t="s">
        <v>437</v>
      </c>
      <c r="D5781" s="7" t="s">
        <v>2048</v>
      </c>
      <c r="E5781" s="5" t="s">
        <v>3592</v>
      </c>
      <c r="F5781" s="5" t="s">
        <v>953</v>
      </c>
    </row>
    <row r="5782">
      <c r="A5782" s="5" t="s">
        <v>2609</v>
      </c>
      <c r="B5782" s="8">
        <v>9.0</v>
      </c>
      <c r="C5782" s="7" t="s">
        <v>437</v>
      </c>
      <c r="D5782" s="7" t="s">
        <v>2048</v>
      </c>
      <c r="E5782" s="5" t="s">
        <v>3592</v>
      </c>
      <c r="F5782" s="5" t="s">
        <v>953</v>
      </c>
    </row>
    <row r="5783">
      <c r="A5783" s="5" t="s">
        <v>3791</v>
      </c>
      <c r="B5783" s="8">
        <v>9.0</v>
      </c>
      <c r="C5783" s="7" t="s">
        <v>223</v>
      </c>
      <c r="D5783" s="7" t="s">
        <v>615</v>
      </c>
      <c r="E5783" s="5" t="s">
        <v>3835</v>
      </c>
      <c r="F5783" s="7" t="s">
        <v>47</v>
      </c>
    </row>
    <row r="5784">
      <c r="A5784" s="7" t="s">
        <v>188</v>
      </c>
      <c r="B5784" s="8">
        <v>9.0</v>
      </c>
      <c r="C5784" s="7" t="s">
        <v>223</v>
      </c>
      <c r="D5784" s="7" t="s">
        <v>615</v>
      </c>
      <c r="E5784" s="5" t="s">
        <v>3835</v>
      </c>
      <c r="F5784" s="7" t="s">
        <v>47</v>
      </c>
    </row>
    <row r="5785">
      <c r="A5785" s="5" t="s">
        <v>2924</v>
      </c>
      <c r="B5785" s="8">
        <v>9.0</v>
      </c>
      <c r="C5785" s="7" t="s">
        <v>223</v>
      </c>
      <c r="D5785" s="7" t="s">
        <v>615</v>
      </c>
      <c r="E5785" s="5" t="s">
        <v>3835</v>
      </c>
      <c r="F5785" s="7" t="s">
        <v>47</v>
      </c>
    </row>
    <row r="5786">
      <c r="A5786" s="5" t="s">
        <v>2796</v>
      </c>
      <c r="B5786" s="8">
        <v>9.0</v>
      </c>
      <c r="C5786" s="7" t="s">
        <v>223</v>
      </c>
      <c r="D5786" s="7" t="s">
        <v>615</v>
      </c>
      <c r="E5786" s="5" t="s">
        <v>3835</v>
      </c>
      <c r="F5786" s="7" t="s">
        <v>47</v>
      </c>
    </row>
    <row r="5787">
      <c r="A5787" s="5" t="s">
        <v>2925</v>
      </c>
      <c r="B5787" s="8">
        <v>9.0</v>
      </c>
      <c r="C5787" s="7" t="s">
        <v>223</v>
      </c>
      <c r="D5787" s="7" t="s">
        <v>615</v>
      </c>
      <c r="E5787" s="5" t="s">
        <v>3835</v>
      </c>
      <c r="F5787" s="7" t="s">
        <v>47</v>
      </c>
    </row>
    <row r="5788">
      <c r="A5788" s="5" t="s">
        <v>3086</v>
      </c>
      <c r="B5788" s="8">
        <v>9.0</v>
      </c>
      <c r="C5788" s="7" t="s">
        <v>223</v>
      </c>
      <c r="D5788" s="7" t="s">
        <v>615</v>
      </c>
      <c r="E5788" s="5" t="s">
        <v>3835</v>
      </c>
      <c r="F5788" s="7" t="s">
        <v>47</v>
      </c>
    </row>
    <row r="5789">
      <c r="A5789" s="5" t="s">
        <v>3795</v>
      </c>
      <c r="B5789" s="8">
        <v>9.0</v>
      </c>
      <c r="C5789" s="7" t="s">
        <v>223</v>
      </c>
      <c r="D5789" s="7" t="s">
        <v>615</v>
      </c>
      <c r="E5789" s="5" t="s">
        <v>3835</v>
      </c>
      <c r="F5789" s="7" t="s">
        <v>47</v>
      </c>
    </row>
    <row r="5790">
      <c r="A5790" s="7" t="s">
        <v>868</v>
      </c>
      <c r="B5790" s="8">
        <v>9.0</v>
      </c>
      <c r="C5790" s="7" t="s">
        <v>223</v>
      </c>
      <c r="D5790" s="7" t="s">
        <v>615</v>
      </c>
      <c r="E5790" s="5" t="s">
        <v>3835</v>
      </c>
      <c r="F5790" s="7" t="s">
        <v>47</v>
      </c>
    </row>
    <row r="5791">
      <c r="A5791" s="5" t="s">
        <v>3087</v>
      </c>
      <c r="B5791" s="8">
        <v>9.0</v>
      </c>
      <c r="C5791" s="7" t="s">
        <v>223</v>
      </c>
      <c r="D5791" s="7" t="s">
        <v>615</v>
      </c>
      <c r="E5791" s="5" t="s">
        <v>3835</v>
      </c>
      <c r="F5791" s="7" t="s">
        <v>48</v>
      </c>
    </row>
    <row r="5792">
      <c r="A5792" s="5" t="s">
        <v>2926</v>
      </c>
      <c r="B5792" s="8">
        <v>9.0</v>
      </c>
      <c r="C5792" s="7" t="s">
        <v>223</v>
      </c>
      <c r="D5792" s="7" t="s">
        <v>615</v>
      </c>
      <c r="E5792" s="5" t="s">
        <v>3835</v>
      </c>
      <c r="F5792" s="7" t="s">
        <v>48</v>
      </c>
    </row>
    <row r="5793">
      <c r="A5793" s="5" t="s">
        <v>3088</v>
      </c>
      <c r="B5793" s="8">
        <v>9.0</v>
      </c>
      <c r="C5793" s="7" t="s">
        <v>223</v>
      </c>
      <c r="D5793" s="7" t="s">
        <v>615</v>
      </c>
      <c r="E5793" s="5" t="s">
        <v>3835</v>
      </c>
      <c r="F5793" s="7" t="s">
        <v>47</v>
      </c>
    </row>
    <row r="5794">
      <c r="A5794" s="5" t="s">
        <v>3388</v>
      </c>
      <c r="B5794" s="8">
        <v>9.0</v>
      </c>
      <c r="C5794" s="7" t="s">
        <v>223</v>
      </c>
      <c r="D5794" s="7" t="s">
        <v>615</v>
      </c>
      <c r="E5794" s="5" t="s">
        <v>3835</v>
      </c>
      <c r="F5794" s="7" t="s">
        <v>47</v>
      </c>
    </row>
    <row r="5795">
      <c r="A5795" s="5" t="s">
        <v>2927</v>
      </c>
      <c r="B5795" s="8">
        <v>9.0</v>
      </c>
      <c r="C5795" s="7" t="s">
        <v>223</v>
      </c>
      <c r="D5795" s="7" t="s">
        <v>615</v>
      </c>
      <c r="E5795" s="5" t="s">
        <v>3835</v>
      </c>
      <c r="F5795" s="7" t="s">
        <v>47</v>
      </c>
    </row>
    <row r="5796">
      <c r="A5796" s="5" t="s">
        <v>3089</v>
      </c>
      <c r="B5796" s="8">
        <v>9.0</v>
      </c>
      <c r="C5796" s="7" t="s">
        <v>223</v>
      </c>
      <c r="D5796" s="7" t="s">
        <v>615</v>
      </c>
      <c r="E5796" s="5" t="s">
        <v>3835</v>
      </c>
      <c r="F5796" s="5" t="s">
        <v>3836</v>
      </c>
    </row>
    <row r="5797">
      <c r="A5797" s="5" t="s">
        <v>2928</v>
      </c>
      <c r="B5797" s="8">
        <v>9.0</v>
      </c>
      <c r="C5797" s="7" t="s">
        <v>223</v>
      </c>
      <c r="D5797" s="7" t="s">
        <v>615</v>
      </c>
      <c r="E5797" s="5" t="s">
        <v>3835</v>
      </c>
      <c r="F5797" s="7" t="s">
        <v>47</v>
      </c>
    </row>
    <row r="5798">
      <c r="A5798" s="7" t="s">
        <v>603</v>
      </c>
      <c r="B5798" s="8">
        <v>9.0</v>
      </c>
      <c r="C5798" s="7" t="s">
        <v>223</v>
      </c>
      <c r="D5798" s="7" t="s">
        <v>615</v>
      </c>
      <c r="E5798" s="5" t="s">
        <v>3835</v>
      </c>
      <c r="F5798" s="7" t="s">
        <v>48</v>
      </c>
    </row>
    <row r="5799">
      <c r="A5799" s="5" t="s">
        <v>2929</v>
      </c>
      <c r="B5799" s="8">
        <v>9.0</v>
      </c>
      <c r="C5799" s="7" t="s">
        <v>223</v>
      </c>
      <c r="D5799" s="7" t="s">
        <v>615</v>
      </c>
      <c r="E5799" s="5" t="s">
        <v>3835</v>
      </c>
      <c r="F5799" s="7" t="s">
        <v>47</v>
      </c>
    </row>
    <row r="5800">
      <c r="A5800" s="5" t="s">
        <v>2702</v>
      </c>
      <c r="B5800" s="8">
        <v>9.0</v>
      </c>
      <c r="C5800" s="7" t="s">
        <v>223</v>
      </c>
      <c r="D5800" s="7" t="s">
        <v>615</v>
      </c>
      <c r="E5800" s="5" t="s">
        <v>3835</v>
      </c>
      <c r="F5800" s="7" t="s">
        <v>47</v>
      </c>
    </row>
    <row r="5801">
      <c r="A5801" s="5" t="s">
        <v>2930</v>
      </c>
      <c r="B5801" s="8">
        <v>9.0</v>
      </c>
      <c r="C5801" s="7" t="s">
        <v>223</v>
      </c>
      <c r="D5801" s="7" t="s">
        <v>615</v>
      </c>
      <c r="E5801" s="5" t="s">
        <v>3835</v>
      </c>
      <c r="F5801" s="7" t="s">
        <v>47</v>
      </c>
    </row>
    <row r="5802">
      <c r="A5802" s="5" t="s">
        <v>2600</v>
      </c>
      <c r="B5802" s="8">
        <v>9.0</v>
      </c>
      <c r="C5802" s="7" t="s">
        <v>223</v>
      </c>
      <c r="D5802" s="7" t="s">
        <v>615</v>
      </c>
      <c r="E5802" s="5" t="s">
        <v>3835</v>
      </c>
      <c r="F5802" s="7" t="s">
        <v>47</v>
      </c>
    </row>
    <row r="5803">
      <c r="A5803" s="5" t="s">
        <v>3802</v>
      </c>
      <c r="B5803" s="8">
        <v>9.0</v>
      </c>
      <c r="C5803" s="7" t="s">
        <v>223</v>
      </c>
      <c r="D5803" s="7" t="s">
        <v>615</v>
      </c>
      <c r="E5803" s="5" t="s">
        <v>3835</v>
      </c>
      <c r="F5803" s="7" t="s">
        <v>47</v>
      </c>
    </row>
    <row r="5804">
      <c r="A5804" s="5" t="s">
        <v>3090</v>
      </c>
      <c r="B5804" s="8">
        <v>9.0</v>
      </c>
      <c r="C5804" s="7" t="s">
        <v>223</v>
      </c>
      <c r="D5804" s="7" t="s">
        <v>615</v>
      </c>
      <c r="E5804" s="5" t="s">
        <v>3835</v>
      </c>
      <c r="F5804" s="7" t="s">
        <v>48</v>
      </c>
    </row>
    <row r="5805">
      <c r="A5805" s="7" t="s">
        <v>606</v>
      </c>
      <c r="B5805" s="8">
        <v>9.0</v>
      </c>
      <c r="C5805" s="7" t="s">
        <v>223</v>
      </c>
      <c r="D5805" s="7" t="s">
        <v>615</v>
      </c>
      <c r="E5805" s="5" t="s">
        <v>3835</v>
      </c>
      <c r="F5805" s="7" t="s">
        <v>47</v>
      </c>
    </row>
    <row r="5806">
      <c r="A5806" s="5" t="s">
        <v>2602</v>
      </c>
      <c r="B5806" s="8">
        <v>9.0</v>
      </c>
      <c r="C5806" s="7" t="s">
        <v>223</v>
      </c>
      <c r="D5806" s="7" t="s">
        <v>615</v>
      </c>
      <c r="E5806" s="5" t="s">
        <v>3835</v>
      </c>
      <c r="F5806" s="7" t="s">
        <v>47</v>
      </c>
    </row>
    <row r="5807">
      <c r="A5807" s="5" t="s">
        <v>2931</v>
      </c>
      <c r="B5807" s="8">
        <v>9.0</v>
      </c>
      <c r="C5807" s="7" t="s">
        <v>223</v>
      </c>
      <c r="D5807" s="7" t="s">
        <v>615</v>
      </c>
      <c r="E5807" s="5" t="s">
        <v>3835</v>
      </c>
      <c r="F5807" s="7" t="s">
        <v>47</v>
      </c>
    </row>
    <row r="5808">
      <c r="A5808" s="7" t="s">
        <v>874</v>
      </c>
      <c r="B5808" s="8">
        <v>9.0</v>
      </c>
      <c r="C5808" s="7" t="s">
        <v>223</v>
      </c>
      <c r="D5808" s="7" t="s">
        <v>615</v>
      </c>
      <c r="E5808" s="5" t="s">
        <v>3835</v>
      </c>
      <c r="F5808" s="7" t="s">
        <v>47</v>
      </c>
    </row>
    <row r="5809">
      <c r="A5809" s="5" t="s">
        <v>2932</v>
      </c>
      <c r="B5809" s="8">
        <v>9.0</v>
      </c>
      <c r="C5809" s="7" t="s">
        <v>223</v>
      </c>
      <c r="D5809" s="7" t="s">
        <v>615</v>
      </c>
      <c r="E5809" s="5" t="s">
        <v>3835</v>
      </c>
      <c r="F5809" s="7" t="s">
        <v>47</v>
      </c>
    </row>
    <row r="5810">
      <c r="A5810" s="5" t="s">
        <v>3091</v>
      </c>
      <c r="B5810" s="8">
        <v>9.0</v>
      </c>
      <c r="C5810" s="7" t="s">
        <v>223</v>
      </c>
      <c r="D5810" s="7" t="s">
        <v>615</v>
      </c>
      <c r="E5810" s="5" t="s">
        <v>3835</v>
      </c>
      <c r="F5810" s="7" t="s">
        <v>48</v>
      </c>
    </row>
    <row r="5811">
      <c r="A5811" s="5" t="s">
        <v>2605</v>
      </c>
      <c r="B5811" s="8">
        <v>9.0</v>
      </c>
      <c r="C5811" s="7" t="s">
        <v>223</v>
      </c>
      <c r="D5811" s="7" t="s">
        <v>615</v>
      </c>
      <c r="E5811" s="5" t="s">
        <v>3835</v>
      </c>
      <c r="F5811" s="7" t="s">
        <v>47</v>
      </c>
    </row>
    <row r="5812">
      <c r="A5812" s="7" t="s">
        <v>1989</v>
      </c>
      <c r="B5812" s="8">
        <v>9.0</v>
      </c>
      <c r="C5812" s="7" t="s">
        <v>223</v>
      </c>
      <c r="D5812" s="7" t="s">
        <v>615</v>
      </c>
      <c r="E5812" s="5" t="s">
        <v>3835</v>
      </c>
      <c r="F5812" s="7" t="s">
        <v>47</v>
      </c>
    </row>
    <row r="5813">
      <c r="A5813" s="5" t="s">
        <v>2933</v>
      </c>
      <c r="B5813" s="8">
        <v>9.0</v>
      </c>
      <c r="C5813" s="7" t="s">
        <v>223</v>
      </c>
      <c r="D5813" s="7" t="s">
        <v>615</v>
      </c>
      <c r="E5813" s="5" t="s">
        <v>3835</v>
      </c>
      <c r="F5813" s="7" t="s">
        <v>47</v>
      </c>
    </row>
    <row r="5814">
      <c r="A5814" s="5" t="s">
        <v>2606</v>
      </c>
      <c r="B5814" s="8">
        <v>9.0</v>
      </c>
      <c r="C5814" s="7" t="s">
        <v>223</v>
      </c>
      <c r="D5814" s="7" t="s">
        <v>615</v>
      </c>
      <c r="E5814" s="5" t="s">
        <v>3835</v>
      </c>
      <c r="F5814" s="7" t="s">
        <v>47</v>
      </c>
    </row>
    <row r="5815">
      <c r="A5815" s="5" t="s">
        <v>2934</v>
      </c>
      <c r="B5815" s="8">
        <v>9.0</v>
      </c>
      <c r="C5815" s="7" t="s">
        <v>223</v>
      </c>
      <c r="D5815" s="7" t="s">
        <v>615</v>
      </c>
      <c r="E5815" s="5" t="s">
        <v>3835</v>
      </c>
      <c r="F5815" s="7" t="s">
        <v>47</v>
      </c>
    </row>
    <row r="5816">
      <c r="A5816" s="5" t="s">
        <v>2607</v>
      </c>
      <c r="B5816" s="8">
        <v>9.0</v>
      </c>
      <c r="C5816" s="7" t="s">
        <v>223</v>
      </c>
      <c r="D5816" s="7" t="s">
        <v>615</v>
      </c>
      <c r="E5816" s="5" t="s">
        <v>3835</v>
      </c>
      <c r="F5816" s="7" t="s">
        <v>47</v>
      </c>
    </row>
    <row r="5817">
      <c r="A5817" s="7" t="s">
        <v>1990</v>
      </c>
      <c r="B5817" s="8">
        <v>9.0</v>
      </c>
      <c r="C5817" s="7" t="s">
        <v>223</v>
      </c>
      <c r="D5817" s="7" t="s">
        <v>615</v>
      </c>
      <c r="E5817" s="5" t="s">
        <v>3835</v>
      </c>
      <c r="F5817" s="7" t="s">
        <v>47</v>
      </c>
    </row>
    <row r="5818">
      <c r="A5818" s="5" t="s">
        <v>2935</v>
      </c>
      <c r="B5818" s="8">
        <v>9.0</v>
      </c>
      <c r="C5818" s="7" t="s">
        <v>223</v>
      </c>
      <c r="D5818" s="7" t="s">
        <v>615</v>
      </c>
      <c r="E5818" s="5" t="s">
        <v>3835</v>
      </c>
      <c r="F5818" s="7" t="s">
        <v>47</v>
      </c>
    </row>
    <row r="5819">
      <c r="A5819" s="5" t="s">
        <v>2936</v>
      </c>
      <c r="B5819" s="8">
        <v>9.0</v>
      </c>
      <c r="C5819" s="7" t="s">
        <v>223</v>
      </c>
      <c r="D5819" s="7" t="s">
        <v>615</v>
      </c>
      <c r="E5819" s="5" t="s">
        <v>3835</v>
      </c>
      <c r="F5819" s="7" t="s">
        <v>47</v>
      </c>
    </row>
    <row r="5820">
      <c r="A5820" s="5" t="s">
        <v>2608</v>
      </c>
      <c r="B5820" s="8">
        <v>9.0</v>
      </c>
      <c r="C5820" s="7" t="s">
        <v>223</v>
      </c>
      <c r="D5820" s="7" t="s">
        <v>615</v>
      </c>
      <c r="E5820" s="5" t="s">
        <v>3835</v>
      </c>
      <c r="F5820" s="7" t="s">
        <v>47</v>
      </c>
    </row>
    <row r="5821">
      <c r="A5821" s="5" t="s">
        <v>2609</v>
      </c>
      <c r="B5821" s="8">
        <v>9.0</v>
      </c>
      <c r="C5821" s="7" t="s">
        <v>223</v>
      </c>
      <c r="D5821" s="7" t="s">
        <v>615</v>
      </c>
      <c r="E5821" s="5" t="s">
        <v>3835</v>
      </c>
      <c r="F5821" s="7" t="s">
        <v>47</v>
      </c>
    </row>
    <row r="5822">
      <c r="A5822" s="5" t="s">
        <v>3791</v>
      </c>
      <c r="B5822" s="8">
        <v>9.0</v>
      </c>
      <c r="C5822" s="7" t="s">
        <v>43</v>
      </c>
      <c r="D5822" s="5" t="s">
        <v>191</v>
      </c>
      <c r="E5822" s="5" t="s">
        <v>3837</v>
      </c>
      <c r="F5822" s="7" t="s">
        <v>65</v>
      </c>
    </row>
    <row r="5823">
      <c r="A5823" s="7" t="s">
        <v>188</v>
      </c>
      <c r="B5823" s="8">
        <v>9.0</v>
      </c>
      <c r="C5823" s="7" t="s">
        <v>43</v>
      </c>
      <c r="D5823" s="5" t="s">
        <v>191</v>
      </c>
      <c r="E5823" s="5" t="s">
        <v>3837</v>
      </c>
      <c r="F5823" s="7" t="s">
        <v>65</v>
      </c>
    </row>
    <row r="5824">
      <c r="A5824" s="5" t="s">
        <v>2924</v>
      </c>
      <c r="B5824" s="8">
        <v>9.0</v>
      </c>
      <c r="C5824" s="7" t="s">
        <v>43</v>
      </c>
      <c r="D5824" s="5" t="s">
        <v>191</v>
      </c>
      <c r="E5824" s="5" t="s">
        <v>3837</v>
      </c>
      <c r="F5824" s="7" t="s">
        <v>65</v>
      </c>
    </row>
    <row r="5825">
      <c r="A5825" s="5" t="s">
        <v>2796</v>
      </c>
      <c r="B5825" s="8">
        <v>9.0</v>
      </c>
      <c r="C5825" s="7" t="s">
        <v>43</v>
      </c>
      <c r="D5825" s="5" t="s">
        <v>191</v>
      </c>
      <c r="E5825" s="5" t="s">
        <v>3837</v>
      </c>
      <c r="F5825" s="7" t="s">
        <v>65</v>
      </c>
    </row>
    <row r="5826">
      <c r="A5826" s="5" t="s">
        <v>2925</v>
      </c>
      <c r="B5826" s="8">
        <v>9.0</v>
      </c>
      <c r="C5826" s="7" t="s">
        <v>43</v>
      </c>
      <c r="D5826" s="5" t="s">
        <v>191</v>
      </c>
      <c r="E5826" s="5" t="s">
        <v>3837</v>
      </c>
      <c r="F5826" s="7" t="s">
        <v>65</v>
      </c>
    </row>
    <row r="5827">
      <c r="A5827" s="5" t="s">
        <v>3086</v>
      </c>
      <c r="B5827" s="8">
        <v>9.0</v>
      </c>
      <c r="C5827" s="7" t="s">
        <v>43</v>
      </c>
      <c r="D5827" s="5" t="s">
        <v>191</v>
      </c>
      <c r="E5827" s="5" t="s">
        <v>3837</v>
      </c>
      <c r="F5827" s="7" t="s">
        <v>65</v>
      </c>
    </row>
    <row r="5828">
      <c r="A5828" s="5" t="s">
        <v>3795</v>
      </c>
      <c r="B5828" s="8">
        <v>9.0</v>
      </c>
      <c r="C5828" s="7" t="s">
        <v>43</v>
      </c>
      <c r="D5828" s="5" t="s">
        <v>191</v>
      </c>
      <c r="E5828" s="5" t="s">
        <v>3837</v>
      </c>
      <c r="F5828" s="7" t="s">
        <v>65</v>
      </c>
    </row>
    <row r="5829">
      <c r="A5829" s="7" t="s">
        <v>868</v>
      </c>
      <c r="B5829" s="8">
        <v>9.0</v>
      </c>
      <c r="C5829" s="7" t="s">
        <v>43</v>
      </c>
      <c r="D5829" s="5" t="s">
        <v>191</v>
      </c>
      <c r="E5829" s="5" t="s">
        <v>3837</v>
      </c>
      <c r="F5829" s="7" t="s">
        <v>65</v>
      </c>
    </row>
    <row r="5830">
      <c r="A5830" s="5" t="s">
        <v>3087</v>
      </c>
      <c r="B5830" s="8">
        <v>9.0</v>
      </c>
      <c r="C5830" s="7" t="s">
        <v>43</v>
      </c>
      <c r="D5830" s="5" t="s">
        <v>191</v>
      </c>
      <c r="E5830" s="5" t="s">
        <v>3837</v>
      </c>
      <c r="F5830" s="7" t="s">
        <v>66</v>
      </c>
    </row>
    <row r="5831">
      <c r="A5831" s="5" t="s">
        <v>2926</v>
      </c>
      <c r="B5831" s="8">
        <v>9.0</v>
      </c>
      <c r="C5831" s="7" t="s">
        <v>43</v>
      </c>
      <c r="D5831" s="5" t="s">
        <v>191</v>
      </c>
      <c r="E5831" s="5" t="s">
        <v>3837</v>
      </c>
      <c r="F5831" s="7" t="s">
        <v>66</v>
      </c>
    </row>
    <row r="5832">
      <c r="A5832" s="5" t="s">
        <v>3088</v>
      </c>
      <c r="B5832" s="8">
        <v>9.0</v>
      </c>
      <c r="C5832" s="7" t="s">
        <v>43</v>
      </c>
      <c r="D5832" s="5" t="s">
        <v>191</v>
      </c>
      <c r="E5832" s="5" t="s">
        <v>3837</v>
      </c>
      <c r="F5832" s="7" t="s">
        <v>65</v>
      </c>
    </row>
    <row r="5833">
      <c r="A5833" s="5" t="s">
        <v>3388</v>
      </c>
      <c r="B5833" s="8">
        <v>9.0</v>
      </c>
      <c r="C5833" s="7" t="s">
        <v>43</v>
      </c>
      <c r="D5833" s="5" t="s">
        <v>191</v>
      </c>
      <c r="E5833" s="5" t="s">
        <v>3837</v>
      </c>
      <c r="F5833" s="7" t="s">
        <v>65</v>
      </c>
    </row>
    <row r="5834">
      <c r="A5834" s="5" t="s">
        <v>2927</v>
      </c>
      <c r="B5834" s="8">
        <v>9.0</v>
      </c>
      <c r="C5834" s="7" t="s">
        <v>43</v>
      </c>
      <c r="D5834" s="5" t="s">
        <v>191</v>
      </c>
      <c r="E5834" s="5" t="s">
        <v>3837</v>
      </c>
      <c r="F5834" s="7" t="s">
        <v>65</v>
      </c>
    </row>
    <row r="5835">
      <c r="A5835" s="5" t="s">
        <v>3089</v>
      </c>
      <c r="B5835" s="8">
        <v>9.0</v>
      </c>
      <c r="C5835" s="7" t="s">
        <v>43</v>
      </c>
      <c r="D5835" s="5" t="s">
        <v>191</v>
      </c>
      <c r="E5835" s="5" t="s">
        <v>3837</v>
      </c>
      <c r="F5835" s="5" t="s">
        <v>3838</v>
      </c>
    </row>
    <row r="5836">
      <c r="A5836" s="5" t="s">
        <v>2928</v>
      </c>
      <c r="B5836" s="8">
        <v>9.0</v>
      </c>
      <c r="C5836" s="7" t="s">
        <v>43</v>
      </c>
      <c r="D5836" s="5" t="s">
        <v>191</v>
      </c>
      <c r="E5836" s="5" t="s">
        <v>3837</v>
      </c>
      <c r="F5836" s="7" t="s">
        <v>65</v>
      </c>
    </row>
    <row r="5837">
      <c r="A5837" s="7" t="s">
        <v>603</v>
      </c>
      <c r="B5837" s="8">
        <v>9.0</v>
      </c>
      <c r="C5837" s="7" t="s">
        <v>43</v>
      </c>
      <c r="D5837" s="5" t="s">
        <v>191</v>
      </c>
      <c r="E5837" s="5" t="s">
        <v>3837</v>
      </c>
      <c r="F5837" s="7" t="s">
        <v>66</v>
      </c>
    </row>
    <row r="5838">
      <c r="A5838" s="5" t="s">
        <v>2929</v>
      </c>
      <c r="B5838" s="8">
        <v>9.0</v>
      </c>
      <c r="C5838" s="7" t="s">
        <v>43</v>
      </c>
      <c r="D5838" s="5" t="s">
        <v>191</v>
      </c>
      <c r="E5838" s="5" t="s">
        <v>3837</v>
      </c>
      <c r="F5838" s="7" t="s">
        <v>65</v>
      </c>
    </row>
    <row r="5839">
      <c r="A5839" s="5" t="s">
        <v>2702</v>
      </c>
      <c r="B5839" s="8">
        <v>9.0</v>
      </c>
      <c r="C5839" s="7" t="s">
        <v>43</v>
      </c>
      <c r="D5839" s="5" t="s">
        <v>191</v>
      </c>
      <c r="E5839" s="5" t="s">
        <v>3837</v>
      </c>
      <c r="F5839" s="7" t="s">
        <v>65</v>
      </c>
    </row>
    <row r="5840">
      <c r="A5840" s="5" t="s">
        <v>2930</v>
      </c>
      <c r="B5840" s="8">
        <v>9.0</v>
      </c>
      <c r="C5840" s="7" t="s">
        <v>43</v>
      </c>
      <c r="D5840" s="5" t="s">
        <v>191</v>
      </c>
      <c r="E5840" s="5" t="s">
        <v>3837</v>
      </c>
      <c r="F5840" s="7" t="s">
        <v>65</v>
      </c>
    </row>
    <row r="5841">
      <c r="A5841" s="5" t="s">
        <v>2600</v>
      </c>
      <c r="B5841" s="8">
        <v>9.0</v>
      </c>
      <c r="C5841" s="7" t="s">
        <v>43</v>
      </c>
      <c r="D5841" s="5" t="s">
        <v>191</v>
      </c>
      <c r="E5841" s="5" t="s">
        <v>3837</v>
      </c>
      <c r="F5841" s="7" t="s">
        <v>65</v>
      </c>
    </row>
    <row r="5842">
      <c r="A5842" s="5" t="s">
        <v>3802</v>
      </c>
      <c r="B5842" s="8">
        <v>9.0</v>
      </c>
      <c r="C5842" s="7" t="s">
        <v>43</v>
      </c>
      <c r="D5842" s="5" t="s">
        <v>191</v>
      </c>
      <c r="E5842" s="5" t="s">
        <v>3837</v>
      </c>
      <c r="F5842" s="7" t="s">
        <v>65</v>
      </c>
    </row>
    <row r="5843">
      <c r="A5843" s="5" t="s">
        <v>3090</v>
      </c>
      <c r="B5843" s="8">
        <v>9.0</v>
      </c>
      <c r="C5843" s="7" t="s">
        <v>43</v>
      </c>
      <c r="D5843" s="5" t="s">
        <v>191</v>
      </c>
      <c r="E5843" s="5" t="s">
        <v>3837</v>
      </c>
      <c r="F5843" s="7" t="s">
        <v>66</v>
      </c>
    </row>
    <row r="5844">
      <c r="A5844" s="7" t="s">
        <v>606</v>
      </c>
      <c r="B5844" s="8">
        <v>9.0</v>
      </c>
      <c r="C5844" s="7" t="s">
        <v>43</v>
      </c>
      <c r="D5844" s="5" t="s">
        <v>191</v>
      </c>
      <c r="E5844" s="5" t="s">
        <v>3837</v>
      </c>
      <c r="F5844" s="7" t="s">
        <v>65</v>
      </c>
    </row>
    <row r="5845">
      <c r="A5845" s="5" t="s">
        <v>2602</v>
      </c>
      <c r="B5845" s="8">
        <v>9.0</v>
      </c>
      <c r="C5845" s="7" t="s">
        <v>43</v>
      </c>
      <c r="D5845" s="5" t="s">
        <v>191</v>
      </c>
      <c r="E5845" s="5" t="s">
        <v>3837</v>
      </c>
      <c r="F5845" s="7" t="s">
        <v>65</v>
      </c>
    </row>
    <row r="5846">
      <c r="A5846" s="5" t="s">
        <v>2931</v>
      </c>
      <c r="B5846" s="8">
        <v>9.0</v>
      </c>
      <c r="C5846" s="7" t="s">
        <v>43</v>
      </c>
      <c r="D5846" s="5" t="s">
        <v>191</v>
      </c>
      <c r="E5846" s="5" t="s">
        <v>3837</v>
      </c>
      <c r="F5846" s="7" t="s">
        <v>65</v>
      </c>
    </row>
    <row r="5847">
      <c r="A5847" s="7" t="s">
        <v>874</v>
      </c>
      <c r="B5847" s="8">
        <v>9.0</v>
      </c>
      <c r="C5847" s="7" t="s">
        <v>43</v>
      </c>
      <c r="D5847" s="5" t="s">
        <v>191</v>
      </c>
      <c r="E5847" s="5" t="s">
        <v>3837</v>
      </c>
      <c r="F5847" s="7" t="s">
        <v>65</v>
      </c>
    </row>
    <row r="5848">
      <c r="A5848" s="5" t="s">
        <v>2932</v>
      </c>
      <c r="B5848" s="8">
        <v>9.0</v>
      </c>
      <c r="C5848" s="7" t="s">
        <v>43</v>
      </c>
      <c r="D5848" s="5" t="s">
        <v>191</v>
      </c>
      <c r="E5848" s="5" t="s">
        <v>3837</v>
      </c>
      <c r="F5848" s="7" t="s">
        <v>65</v>
      </c>
    </row>
    <row r="5849">
      <c r="A5849" s="5" t="s">
        <v>3091</v>
      </c>
      <c r="B5849" s="8">
        <v>9.0</v>
      </c>
      <c r="C5849" s="7" t="s">
        <v>43</v>
      </c>
      <c r="D5849" s="5" t="s">
        <v>191</v>
      </c>
      <c r="E5849" s="5" t="s">
        <v>3837</v>
      </c>
      <c r="F5849" s="7" t="s">
        <v>65</v>
      </c>
    </row>
    <row r="5850">
      <c r="A5850" s="5" t="s">
        <v>2605</v>
      </c>
      <c r="B5850" s="8">
        <v>9.0</v>
      </c>
      <c r="C5850" s="7" t="s">
        <v>43</v>
      </c>
      <c r="D5850" s="5" t="s">
        <v>191</v>
      </c>
      <c r="E5850" s="5" t="s">
        <v>3837</v>
      </c>
      <c r="F5850" s="7" t="s">
        <v>65</v>
      </c>
    </row>
    <row r="5851">
      <c r="A5851" s="7" t="s">
        <v>1989</v>
      </c>
      <c r="B5851" s="8">
        <v>9.0</v>
      </c>
      <c r="C5851" s="7" t="s">
        <v>43</v>
      </c>
      <c r="D5851" s="5" t="s">
        <v>191</v>
      </c>
      <c r="E5851" s="5" t="s">
        <v>3837</v>
      </c>
      <c r="F5851" s="7" t="s">
        <v>65</v>
      </c>
    </row>
    <row r="5852">
      <c r="A5852" s="5" t="s">
        <v>2933</v>
      </c>
      <c r="B5852" s="8">
        <v>9.0</v>
      </c>
      <c r="C5852" s="7" t="s">
        <v>43</v>
      </c>
      <c r="D5852" s="5" t="s">
        <v>191</v>
      </c>
      <c r="E5852" s="5" t="s">
        <v>3837</v>
      </c>
      <c r="F5852" s="7" t="s">
        <v>65</v>
      </c>
    </row>
    <row r="5853">
      <c r="A5853" s="5" t="s">
        <v>2606</v>
      </c>
      <c r="B5853" s="8">
        <v>9.0</v>
      </c>
      <c r="C5853" s="7" t="s">
        <v>43</v>
      </c>
      <c r="D5853" s="5" t="s">
        <v>191</v>
      </c>
      <c r="E5853" s="5" t="s">
        <v>3837</v>
      </c>
      <c r="F5853" s="7" t="s">
        <v>65</v>
      </c>
    </row>
    <row r="5854">
      <c r="A5854" s="5" t="s">
        <v>2934</v>
      </c>
      <c r="B5854" s="8">
        <v>9.0</v>
      </c>
      <c r="C5854" s="7" t="s">
        <v>43</v>
      </c>
      <c r="D5854" s="5" t="s">
        <v>191</v>
      </c>
      <c r="E5854" s="5" t="s">
        <v>3837</v>
      </c>
      <c r="F5854" s="7" t="s">
        <v>65</v>
      </c>
    </row>
    <row r="5855">
      <c r="A5855" s="5" t="s">
        <v>2607</v>
      </c>
      <c r="B5855" s="8">
        <v>9.0</v>
      </c>
      <c r="C5855" s="7" t="s">
        <v>43</v>
      </c>
      <c r="D5855" s="5" t="s">
        <v>191</v>
      </c>
      <c r="E5855" s="5" t="s">
        <v>3837</v>
      </c>
      <c r="F5855" s="7" t="s">
        <v>65</v>
      </c>
    </row>
    <row r="5856">
      <c r="A5856" s="7" t="s">
        <v>1990</v>
      </c>
      <c r="B5856" s="8">
        <v>9.0</v>
      </c>
      <c r="C5856" s="7" t="s">
        <v>43</v>
      </c>
      <c r="D5856" s="5" t="s">
        <v>191</v>
      </c>
      <c r="E5856" s="5" t="s">
        <v>3837</v>
      </c>
      <c r="F5856" s="7" t="s">
        <v>65</v>
      </c>
    </row>
    <row r="5857">
      <c r="A5857" s="5" t="s">
        <v>2935</v>
      </c>
      <c r="B5857" s="8">
        <v>9.0</v>
      </c>
      <c r="C5857" s="7" t="s">
        <v>43</v>
      </c>
      <c r="D5857" s="5" t="s">
        <v>191</v>
      </c>
      <c r="E5857" s="5" t="s">
        <v>3837</v>
      </c>
      <c r="F5857" s="7" t="s">
        <v>65</v>
      </c>
    </row>
    <row r="5858">
      <c r="A5858" s="5" t="s">
        <v>2936</v>
      </c>
      <c r="B5858" s="8">
        <v>9.0</v>
      </c>
      <c r="C5858" s="7" t="s">
        <v>43</v>
      </c>
      <c r="D5858" s="5" t="s">
        <v>191</v>
      </c>
      <c r="E5858" s="5" t="s">
        <v>3837</v>
      </c>
      <c r="F5858" s="7" t="s">
        <v>65</v>
      </c>
    </row>
    <row r="5859">
      <c r="A5859" s="5" t="s">
        <v>2608</v>
      </c>
      <c r="B5859" s="8">
        <v>9.0</v>
      </c>
      <c r="C5859" s="7" t="s">
        <v>43</v>
      </c>
      <c r="D5859" s="5" t="s">
        <v>191</v>
      </c>
      <c r="E5859" s="5" t="s">
        <v>3837</v>
      </c>
      <c r="F5859" s="7" t="s">
        <v>65</v>
      </c>
    </row>
    <row r="5860">
      <c r="A5860" s="5" t="s">
        <v>2609</v>
      </c>
      <c r="B5860" s="8">
        <v>9.0</v>
      </c>
      <c r="C5860" s="7" t="s">
        <v>43</v>
      </c>
      <c r="D5860" s="5" t="s">
        <v>191</v>
      </c>
      <c r="E5860" s="5" t="s">
        <v>3837</v>
      </c>
      <c r="F5860" s="7" t="s">
        <v>65</v>
      </c>
    </row>
    <row r="5861">
      <c r="A5861" s="5" t="s">
        <v>3791</v>
      </c>
      <c r="B5861" s="8">
        <v>9.0</v>
      </c>
      <c r="C5861" s="7" t="s">
        <v>2064</v>
      </c>
      <c r="D5861" s="7" t="s">
        <v>36</v>
      </c>
      <c r="E5861" s="5" t="s">
        <v>3839</v>
      </c>
      <c r="F5861" s="5" t="s">
        <v>3840</v>
      </c>
    </row>
    <row r="5862">
      <c r="A5862" s="7" t="s">
        <v>188</v>
      </c>
      <c r="B5862" s="8">
        <v>9.0</v>
      </c>
      <c r="C5862" s="7" t="s">
        <v>2064</v>
      </c>
      <c r="D5862" s="7" t="s">
        <v>36</v>
      </c>
      <c r="E5862" s="5" t="s">
        <v>3839</v>
      </c>
      <c r="F5862" s="5" t="s">
        <v>3841</v>
      </c>
    </row>
    <row r="5863">
      <c r="A5863" s="5" t="s">
        <v>2924</v>
      </c>
      <c r="B5863" s="8">
        <v>9.0</v>
      </c>
      <c r="C5863" s="7" t="s">
        <v>2064</v>
      </c>
      <c r="D5863" s="7" t="s">
        <v>36</v>
      </c>
      <c r="E5863" s="5" t="s">
        <v>3839</v>
      </c>
      <c r="F5863" s="5" t="s">
        <v>3842</v>
      </c>
    </row>
    <row r="5864">
      <c r="A5864" s="5" t="s">
        <v>2796</v>
      </c>
      <c r="B5864" s="8">
        <v>9.0</v>
      </c>
      <c r="C5864" s="7" t="s">
        <v>2064</v>
      </c>
      <c r="D5864" s="7" t="s">
        <v>36</v>
      </c>
      <c r="E5864" s="5" t="s">
        <v>3839</v>
      </c>
      <c r="F5864" s="5" t="s">
        <v>3843</v>
      </c>
    </row>
    <row r="5865">
      <c r="A5865" s="5" t="s">
        <v>2925</v>
      </c>
      <c r="B5865" s="8">
        <v>9.0</v>
      </c>
      <c r="C5865" s="7" t="s">
        <v>2064</v>
      </c>
      <c r="D5865" s="7" t="s">
        <v>36</v>
      </c>
      <c r="E5865" s="5" t="s">
        <v>3839</v>
      </c>
      <c r="F5865" s="5" t="s">
        <v>3844</v>
      </c>
    </row>
    <row r="5866">
      <c r="A5866" s="5" t="s">
        <v>3086</v>
      </c>
      <c r="B5866" s="8">
        <v>9.0</v>
      </c>
      <c r="C5866" s="7" t="s">
        <v>2064</v>
      </c>
      <c r="D5866" s="7" t="s">
        <v>36</v>
      </c>
      <c r="E5866" s="5" t="s">
        <v>3839</v>
      </c>
      <c r="F5866" s="5" t="s">
        <v>3845</v>
      </c>
    </row>
    <row r="5867">
      <c r="A5867" s="5" t="s">
        <v>3795</v>
      </c>
      <c r="B5867" s="8">
        <v>9.0</v>
      </c>
      <c r="C5867" s="7" t="s">
        <v>2064</v>
      </c>
      <c r="D5867" s="7" t="s">
        <v>36</v>
      </c>
      <c r="E5867" s="5" t="s">
        <v>3839</v>
      </c>
      <c r="F5867" s="5" t="s">
        <v>3846</v>
      </c>
    </row>
    <row r="5868">
      <c r="A5868" s="7" t="s">
        <v>868</v>
      </c>
      <c r="B5868" s="8">
        <v>9.0</v>
      </c>
      <c r="C5868" s="7" t="s">
        <v>2064</v>
      </c>
      <c r="D5868" s="7" t="s">
        <v>36</v>
      </c>
      <c r="E5868" s="5" t="s">
        <v>3839</v>
      </c>
      <c r="F5868" s="5" t="s">
        <v>3847</v>
      </c>
    </row>
    <row r="5869">
      <c r="A5869" s="5" t="s">
        <v>3087</v>
      </c>
      <c r="B5869" s="8">
        <v>9.0</v>
      </c>
      <c r="C5869" s="7" t="s">
        <v>2064</v>
      </c>
      <c r="D5869" s="7" t="s">
        <v>36</v>
      </c>
      <c r="E5869" s="5" t="s">
        <v>3839</v>
      </c>
      <c r="F5869" s="5" t="s">
        <v>3848</v>
      </c>
    </row>
    <row r="5870">
      <c r="A5870" s="5" t="s">
        <v>2926</v>
      </c>
      <c r="B5870" s="8">
        <v>9.0</v>
      </c>
      <c r="C5870" s="7" t="s">
        <v>2064</v>
      </c>
      <c r="D5870" s="7" t="s">
        <v>36</v>
      </c>
      <c r="E5870" s="5" t="s">
        <v>3839</v>
      </c>
      <c r="F5870" s="5" t="s">
        <v>3849</v>
      </c>
    </row>
    <row r="5871">
      <c r="A5871" s="5" t="s">
        <v>3088</v>
      </c>
      <c r="B5871" s="8">
        <v>9.0</v>
      </c>
      <c r="C5871" s="7" t="s">
        <v>2064</v>
      </c>
      <c r="D5871" s="7" t="s">
        <v>36</v>
      </c>
      <c r="E5871" s="5" t="s">
        <v>3839</v>
      </c>
      <c r="F5871" s="5" t="s">
        <v>3850</v>
      </c>
    </row>
    <row r="5872">
      <c r="A5872" s="5" t="s">
        <v>3388</v>
      </c>
      <c r="B5872" s="8">
        <v>9.0</v>
      </c>
      <c r="C5872" s="7" t="s">
        <v>2064</v>
      </c>
      <c r="D5872" s="7" t="s">
        <v>36</v>
      </c>
      <c r="E5872" s="5" t="s">
        <v>3839</v>
      </c>
      <c r="F5872" s="5" t="s">
        <v>3851</v>
      </c>
    </row>
    <row r="5873">
      <c r="A5873" s="5" t="s">
        <v>2927</v>
      </c>
      <c r="B5873" s="8">
        <v>9.0</v>
      </c>
      <c r="C5873" s="7" t="s">
        <v>2064</v>
      </c>
      <c r="D5873" s="7" t="s">
        <v>36</v>
      </c>
      <c r="E5873" s="5" t="s">
        <v>3839</v>
      </c>
      <c r="F5873" s="5" t="s">
        <v>3852</v>
      </c>
    </row>
    <row r="5874">
      <c r="A5874" s="5" t="s">
        <v>3089</v>
      </c>
      <c r="B5874" s="8">
        <v>9.0</v>
      </c>
      <c r="C5874" s="7" t="s">
        <v>2064</v>
      </c>
      <c r="D5874" s="7" t="s">
        <v>36</v>
      </c>
      <c r="E5874" s="5" t="s">
        <v>3839</v>
      </c>
      <c r="F5874" s="5" t="s">
        <v>3853</v>
      </c>
    </row>
    <row r="5875">
      <c r="A5875" s="5" t="s">
        <v>2928</v>
      </c>
      <c r="B5875" s="8">
        <v>9.0</v>
      </c>
      <c r="C5875" s="7" t="s">
        <v>2064</v>
      </c>
      <c r="D5875" s="7" t="s">
        <v>36</v>
      </c>
      <c r="E5875" s="5" t="s">
        <v>3839</v>
      </c>
      <c r="F5875" s="5" t="s">
        <v>3854</v>
      </c>
    </row>
    <row r="5876">
      <c r="A5876" s="7" t="s">
        <v>603</v>
      </c>
      <c r="B5876" s="8">
        <v>9.0</v>
      </c>
      <c r="C5876" s="7" t="s">
        <v>2064</v>
      </c>
      <c r="D5876" s="7" t="s">
        <v>36</v>
      </c>
      <c r="E5876" s="5" t="s">
        <v>3839</v>
      </c>
      <c r="F5876" s="5" t="s">
        <v>3855</v>
      </c>
    </row>
    <row r="5877">
      <c r="A5877" s="5" t="s">
        <v>2929</v>
      </c>
      <c r="B5877" s="8">
        <v>9.0</v>
      </c>
      <c r="C5877" s="7" t="s">
        <v>2064</v>
      </c>
      <c r="D5877" s="7" t="s">
        <v>36</v>
      </c>
      <c r="E5877" s="5" t="s">
        <v>3839</v>
      </c>
      <c r="F5877" s="5" t="s">
        <v>3856</v>
      </c>
    </row>
    <row r="5878">
      <c r="A5878" s="5" t="s">
        <v>2702</v>
      </c>
      <c r="B5878" s="8">
        <v>9.0</v>
      </c>
      <c r="C5878" s="7" t="s">
        <v>2064</v>
      </c>
      <c r="D5878" s="7" t="s">
        <v>36</v>
      </c>
      <c r="E5878" s="5" t="s">
        <v>3839</v>
      </c>
      <c r="F5878" s="5" t="s">
        <v>3857</v>
      </c>
    </row>
    <row r="5879">
      <c r="A5879" s="5" t="s">
        <v>2930</v>
      </c>
      <c r="B5879" s="8">
        <v>9.0</v>
      </c>
      <c r="C5879" s="7" t="s">
        <v>2064</v>
      </c>
      <c r="D5879" s="7" t="s">
        <v>36</v>
      </c>
      <c r="E5879" s="5" t="s">
        <v>3839</v>
      </c>
      <c r="F5879" s="5" t="s">
        <v>3858</v>
      </c>
    </row>
    <row r="5880">
      <c r="A5880" s="5" t="s">
        <v>2600</v>
      </c>
      <c r="B5880" s="8">
        <v>9.0</v>
      </c>
      <c r="C5880" s="7" t="s">
        <v>2064</v>
      </c>
      <c r="D5880" s="7" t="s">
        <v>36</v>
      </c>
      <c r="E5880" s="5" t="s">
        <v>3839</v>
      </c>
      <c r="F5880" s="5" t="s">
        <v>3859</v>
      </c>
    </row>
    <row r="5881">
      <c r="A5881" s="5" t="s">
        <v>3802</v>
      </c>
      <c r="B5881" s="8">
        <v>9.0</v>
      </c>
      <c r="C5881" s="7" t="s">
        <v>2064</v>
      </c>
      <c r="D5881" s="7" t="s">
        <v>36</v>
      </c>
      <c r="E5881" s="5" t="s">
        <v>3839</v>
      </c>
      <c r="F5881" s="5" t="s">
        <v>3860</v>
      </c>
    </row>
    <row r="5882">
      <c r="A5882" s="5" t="s">
        <v>3090</v>
      </c>
      <c r="B5882" s="8">
        <v>9.0</v>
      </c>
      <c r="C5882" s="7" t="s">
        <v>2064</v>
      </c>
      <c r="D5882" s="7" t="s">
        <v>36</v>
      </c>
      <c r="E5882" s="5" t="s">
        <v>3839</v>
      </c>
      <c r="F5882" s="5" t="s">
        <v>3861</v>
      </c>
    </row>
    <row r="5883">
      <c r="A5883" s="7" t="s">
        <v>606</v>
      </c>
      <c r="B5883" s="8">
        <v>9.0</v>
      </c>
      <c r="C5883" s="7" t="s">
        <v>2064</v>
      </c>
      <c r="D5883" s="7" t="s">
        <v>36</v>
      </c>
      <c r="E5883" s="5" t="s">
        <v>3839</v>
      </c>
      <c r="F5883" s="5" t="s">
        <v>3862</v>
      </c>
    </row>
    <row r="5884">
      <c r="A5884" s="5" t="s">
        <v>2602</v>
      </c>
      <c r="B5884" s="8">
        <v>9.0</v>
      </c>
      <c r="C5884" s="7" t="s">
        <v>2064</v>
      </c>
      <c r="D5884" s="7" t="s">
        <v>36</v>
      </c>
      <c r="E5884" s="5" t="s">
        <v>3839</v>
      </c>
      <c r="F5884" s="5" t="s">
        <v>3863</v>
      </c>
    </row>
    <row r="5885">
      <c r="A5885" s="5" t="s">
        <v>2931</v>
      </c>
      <c r="B5885" s="8">
        <v>9.0</v>
      </c>
      <c r="C5885" s="7" t="s">
        <v>2064</v>
      </c>
      <c r="D5885" s="7" t="s">
        <v>36</v>
      </c>
      <c r="E5885" s="5" t="s">
        <v>3839</v>
      </c>
      <c r="F5885" s="5" t="s">
        <v>3864</v>
      </c>
    </row>
    <row r="5886">
      <c r="A5886" s="7" t="s">
        <v>874</v>
      </c>
      <c r="B5886" s="8">
        <v>9.0</v>
      </c>
      <c r="C5886" s="7" t="s">
        <v>2064</v>
      </c>
      <c r="D5886" s="7" t="s">
        <v>36</v>
      </c>
      <c r="E5886" s="5" t="s">
        <v>3839</v>
      </c>
      <c r="F5886" s="5" t="s">
        <v>3865</v>
      </c>
    </row>
    <row r="5887">
      <c r="A5887" s="5" t="s">
        <v>2932</v>
      </c>
      <c r="B5887" s="8">
        <v>9.0</v>
      </c>
      <c r="C5887" s="7" t="s">
        <v>2064</v>
      </c>
      <c r="D5887" s="7" t="s">
        <v>36</v>
      </c>
      <c r="E5887" s="5" t="s">
        <v>3839</v>
      </c>
      <c r="F5887" s="5" t="s">
        <v>3866</v>
      </c>
    </row>
    <row r="5888">
      <c r="A5888" s="5" t="s">
        <v>3091</v>
      </c>
      <c r="B5888" s="8">
        <v>9.0</v>
      </c>
      <c r="C5888" s="7" t="s">
        <v>2064</v>
      </c>
      <c r="D5888" s="7" t="s">
        <v>36</v>
      </c>
      <c r="E5888" s="5" t="s">
        <v>3839</v>
      </c>
      <c r="F5888" s="5" t="s">
        <v>3867</v>
      </c>
    </row>
    <row r="5889">
      <c r="A5889" s="5" t="s">
        <v>2605</v>
      </c>
      <c r="B5889" s="8">
        <v>9.0</v>
      </c>
      <c r="C5889" s="7" t="s">
        <v>2064</v>
      </c>
      <c r="D5889" s="7" t="s">
        <v>36</v>
      </c>
      <c r="E5889" s="5" t="s">
        <v>3839</v>
      </c>
      <c r="F5889" s="5" t="s">
        <v>3868</v>
      </c>
    </row>
    <row r="5890">
      <c r="A5890" s="7" t="s">
        <v>1989</v>
      </c>
      <c r="B5890" s="8">
        <v>9.0</v>
      </c>
      <c r="C5890" s="7" t="s">
        <v>2064</v>
      </c>
      <c r="D5890" s="7" t="s">
        <v>36</v>
      </c>
      <c r="E5890" s="5" t="s">
        <v>3839</v>
      </c>
      <c r="F5890" s="7" t="s">
        <v>2095</v>
      </c>
    </row>
    <row r="5891">
      <c r="A5891" s="5" t="s">
        <v>2933</v>
      </c>
      <c r="B5891" s="8">
        <v>9.0</v>
      </c>
      <c r="C5891" s="7" t="s">
        <v>2064</v>
      </c>
      <c r="D5891" s="7" t="s">
        <v>36</v>
      </c>
      <c r="E5891" s="5" t="s">
        <v>3839</v>
      </c>
      <c r="F5891" s="5" t="s">
        <v>3869</v>
      </c>
    </row>
    <row r="5892">
      <c r="A5892" s="5" t="s">
        <v>2606</v>
      </c>
      <c r="B5892" s="8">
        <v>9.0</v>
      </c>
      <c r="C5892" s="7" t="s">
        <v>2064</v>
      </c>
      <c r="D5892" s="7" t="s">
        <v>36</v>
      </c>
      <c r="E5892" s="5" t="s">
        <v>3839</v>
      </c>
      <c r="F5892" s="5" t="s">
        <v>3870</v>
      </c>
    </row>
    <row r="5893">
      <c r="A5893" s="5" t="s">
        <v>2934</v>
      </c>
      <c r="B5893" s="8">
        <v>9.0</v>
      </c>
      <c r="C5893" s="7" t="s">
        <v>2064</v>
      </c>
      <c r="D5893" s="7" t="s">
        <v>36</v>
      </c>
      <c r="E5893" s="5" t="s">
        <v>3839</v>
      </c>
      <c r="F5893" s="5" t="s">
        <v>3871</v>
      </c>
    </row>
    <row r="5894">
      <c r="A5894" s="5" t="s">
        <v>2607</v>
      </c>
      <c r="B5894" s="8">
        <v>9.0</v>
      </c>
      <c r="C5894" s="7" t="s">
        <v>2064</v>
      </c>
      <c r="D5894" s="7" t="s">
        <v>36</v>
      </c>
      <c r="E5894" s="5" t="s">
        <v>3839</v>
      </c>
      <c r="F5894" s="5" t="s">
        <v>3872</v>
      </c>
    </row>
    <row r="5895">
      <c r="A5895" s="7" t="s">
        <v>1990</v>
      </c>
      <c r="B5895" s="8">
        <v>9.0</v>
      </c>
      <c r="C5895" s="7" t="s">
        <v>2064</v>
      </c>
      <c r="D5895" s="7" t="s">
        <v>36</v>
      </c>
      <c r="E5895" s="5" t="s">
        <v>3839</v>
      </c>
      <c r="F5895" s="5" t="s">
        <v>3873</v>
      </c>
    </row>
    <row r="5896">
      <c r="A5896" s="5" t="s">
        <v>2935</v>
      </c>
      <c r="B5896" s="8">
        <v>9.0</v>
      </c>
      <c r="C5896" s="7" t="s">
        <v>2064</v>
      </c>
      <c r="D5896" s="7" t="s">
        <v>36</v>
      </c>
      <c r="E5896" s="5" t="s">
        <v>3839</v>
      </c>
      <c r="F5896" s="5" t="s">
        <v>3874</v>
      </c>
    </row>
    <row r="5897">
      <c r="A5897" s="5" t="s">
        <v>2936</v>
      </c>
      <c r="B5897" s="8">
        <v>9.0</v>
      </c>
      <c r="C5897" s="7" t="s">
        <v>2064</v>
      </c>
      <c r="D5897" s="7" t="s">
        <v>36</v>
      </c>
      <c r="E5897" s="5" t="s">
        <v>3839</v>
      </c>
      <c r="F5897" s="5" t="s">
        <v>3875</v>
      </c>
    </row>
    <row r="5898">
      <c r="A5898" s="5" t="s">
        <v>2608</v>
      </c>
      <c r="B5898" s="8">
        <v>9.0</v>
      </c>
      <c r="C5898" s="7" t="s">
        <v>2064</v>
      </c>
      <c r="D5898" s="7" t="s">
        <v>36</v>
      </c>
      <c r="E5898" s="5" t="s">
        <v>3839</v>
      </c>
      <c r="F5898" s="5" t="s">
        <v>3876</v>
      </c>
    </row>
    <row r="5899">
      <c r="A5899" s="5" t="s">
        <v>2609</v>
      </c>
      <c r="B5899" s="8">
        <v>9.0</v>
      </c>
      <c r="C5899" s="7" t="s">
        <v>2064</v>
      </c>
      <c r="D5899" s="7" t="s">
        <v>36</v>
      </c>
      <c r="E5899" s="5" t="s">
        <v>3839</v>
      </c>
      <c r="F5899" s="5" t="s">
        <v>3877</v>
      </c>
    </row>
    <row r="5900">
      <c r="A5900" s="5" t="s">
        <v>3791</v>
      </c>
      <c r="B5900" s="8">
        <v>9.0</v>
      </c>
      <c r="C5900" s="7" t="s">
        <v>62</v>
      </c>
      <c r="D5900" s="7" t="s">
        <v>2105</v>
      </c>
      <c r="E5900" s="5" t="s">
        <v>2106</v>
      </c>
      <c r="F5900" s="7" t="s">
        <v>65</v>
      </c>
    </row>
    <row r="5901">
      <c r="A5901" s="7" t="s">
        <v>188</v>
      </c>
      <c r="B5901" s="8">
        <v>9.0</v>
      </c>
      <c r="C5901" s="7" t="s">
        <v>62</v>
      </c>
      <c r="D5901" s="7" t="s">
        <v>2105</v>
      </c>
      <c r="E5901" s="5" t="s">
        <v>2106</v>
      </c>
      <c r="F5901" s="7" t="s">
        <v>65</v>
      </c>
    </row>
    <row r="5902">
      <c r="A5902" s="5" t="s">
        <v>2924</v>
      </c>
      <c r="B5902" s="8">
        <v>9.0</v>
      </c>
      <c r="C5902" s="7" t="s">
        <v>62</v>
      </c>
      <c r="D5902" s="7" t="s">
        <v>2105</v>
      </c>
      <c r="E5902" s="5" t="s">
        <v>2106</v>
      </c>
      <c r="F5902" s="7" t="s">
        <v>65</v>
      </c>
    </row>
    <row r="5903">
      <c r="A5903" s="5" t="s">
        <v>2796</v>
      </c>
      <c r="B5903" s="8">
        <v>9.0</v>
      </c>
      <c r="C5903" s="7" t="s">
        <v>62</v>
      </c>
      <c r="D5903" s="7" t="s">
        <v>2105</v>
      </c>
      <c r="E5903" s="5" t="s">
        <v>2106</v>
      </c>
      <c r="F5903" s="7" t="s">
        <v>65</v>
      </c>
    </row>
    <row r="5904">
      <c r="A5904" s="5" t="s">
        <v>2925</v>
      </c>
      <c r="B5904" s="8">
        <v>9.0</v>
      </c>
      <c r="C5904" s="7" t="s">
        <v>62</v>
      </c>
      <c r="D5904" s="7" t="s">
        <v>2105</v>
      </c>
      <c r="E5904" s="5" t="s">
        <v>2106</v>
      </c>
      <c r="F5904" s="7" t="s">
        <v>65</v>
      </c>
    </row>
    <row r="5905">
      <c r="A5905" s="5" t="s">
        <v>3086</v>
      </c>
      <c r="B5905" s="8">
        <v>9.0</v>
      </c>
      <c r="C5905" s="7" t="s">
        <v>62</v>
      </c>
      <c r="D5905" s="7" t="s">
        <v>2105</v>
      </c>
      <c r="E5905" s="5" t="s">
        <v>2106</v>
      </c>
      <c r="F5905" s="7" t="s">
        <v>65</v>
      </c>
    </row>
    <row r="5906">
      <c r="A5906" s="5" t="s">
        <v>3795</v>
      </c>
      <c r="B5906" s="8">
        <v>9.0</v>
      </c>
      <c r="C5906" s="7" t="s">
        <v>62</v>
      </c>
      <c r="D5906" s="7" t="s">
        <v>2105</v>
      </c>
      <c r="E5906" s="5" t="s">
        <v>2106</v>
      </c>
      <c r="F5906" s="7" t="s">
        <v>65</v>
      </c>
    </row>
    <row r="5907">
      <c r="A5907" s="7" t="s">
        <v>868</v>
      </c>
      <c r="B5907" s="8">
        <v>9.0</v>
      </c>
      <c r="C5907" s="7" t="s">
        <v>62</v>
      </c>
      <c r="D5907" s="7" t="s">
        <v>2105</v>
      </c>
      <c r="E5907" s="5" t="s">
        <v>2106</v>
      </c>
      <c r="F5907" s="7" t="s">
        <v>65</v>
      </c>
    </row>
    <row r="5908">
      <c r="A5908" s="5" t="s">
        <v>3087</v>
      </c>
      <c r="B5908" s="8">
        <v>9.0</v>
      </c>
      <c r="C5908" s="7" t="s">
        <v>62</v>
      </c>
      <c r="D5908" s="7" t="s">
        <v>2105</v>
      </c>
      <c r="E5908" s="5" t="s">
        <v>2106</v>
      </c>
      <c r="F5908" s="7" t="s">
        <v>66</v>
      </c>
    </row>
    <row r="5909">
      <c r="A5909" s="5" t="s">
        <v>2926</v>
      </c>
      <c r="B5909" s="8">
        <v>9.0</v>
      </c>
      <c r="C5909" s="7" t="s">
        <v>62</v>
      </c>
      <c r="D5909" s="7" t="s">
        <v>2105</v>
      </c>
      <c r="E5909" s="5" t="s">
        <v>2106</v>
      </c>
      <c r="F5909" s="7" t="s">
        <v>66</v>
      </c>
    </row>
    <row r="5910">
      <c r="A5910" s="5" t="s">
        <v>3088</v>
      </c>
      <c r="B5910" s="8">
        <v>9.0</v>
      </c>
      <c r="C5910" s="7" t="s">
        <v>62</v>
      </c>
      <c r="D5910" s="7" t="s">
        <v>2105</v>
      </c>
      <c r="E5910" s="5" t="s">
        <v>2106</v>
      </c>
      <c r="F5910" s="7" t="s">
        <v>65</v>
      </c>
    </row>
    <row r="5911">
      <c r="A5911" s="5" t="s">
        <v>3388</v>
      </c>
      <c r="B5911" s="8">
        <v>9.0</v>
      </c>
      <c r="C5911" s="7" t="s">
        <v>62</v>
      </c>
      <c r="D5911" s="7" t="s">
        <v>2105</v>
      </c>
      <c r="E5911" s="5" t="s">
        <v>2106</v>
      </c>
      <c r="F5911" s="7" t="s">
        <v>65</v>
      </c>
    </row>
    <row r="5912">
      <c r="A5912" s="5" t="s">
        <v>2927</v>
      </c>
      <c r="B5912" s="8">
        <v>9.0</v>
      </c>
      <c r="C5912" s="7" t="s">
        <v>62</v>
      </c>
      <c r="D5912" s="7" t="s">
        <v>2105</v>
      </c>
      <c r="E5912" s="5" t="s">
        <v>2106</v>
      </c>
      <c r="F5912" s="7" t="s">
        <v>65</v>
      </c>
    </row>
    <row r="5913">
      <c r="A5913" s="5" t="s">
        <v>3089</v>
      </c>
      <c r="B5913" s="8">
        <v>9.0</v>
      </c>
      <c r="C5913" s="7" t="s">
        <v>62</v>
      </c>
      <c r="D5913" s="7" t="s">
        <v>2105</v>
      </c>
      <c r="E5913" s="5" t="s">
        <v>2106</v>
      </c>
      <c r="F5913" s="5" t="s">
        <v>3838</v>
      </c>
    </row>
    <row r="5914">
      <c r="A5914" s="5" t="s">
        <v>2928</v>
      </c>
      <c r="B5914" s="8">
        <v>9.0</v>
      </c>
      <c r="C5914" s="7" t="s">
        <v>62</v>
      </c>
      <c r="D5914" s="7" t="s">
        <v>2105</v>
      </c>
      <c r="E5914" s="5" t="s">
        <v>2106</v>
      </c>
      <c r="F5914" s="7" t="s">
        <v>65</v>
      </c>
    </row>
    <row r="5915">
      <c r="A5915" s="7" t="s">
        <v>603</v>
      </c>
      <c r="B5915" s="8">
        <v>9.0</v>
      </c>
      <c r="C5915" s="7" t="s">
        <v>62</v>
      </c>
      <c r="D5915" s="7" t="s">
        <v>2105</v>
      </c>
      <c r="E5915" s="5" t="s">
        <v>2106</v>
      </c>
      <c r="F5915" s="7" t="s">
        <v>66</v>
      </c>
    </row>
    <row r="5916">
      <c r="A5916" s="5" t="s">
        <v>2929</v>
      </c>
      <c r="B5916" s="8">
        <v>9.0</v>
      </c>
      <c r="C5916" s="7" t="s">
        <v>62</v>
      </c>
      <c r="D5916" s="7" t="s">
        <v>2105</v>
      </c>
      <c r="E5916" s="5" t="s">
        <v>2106</v>
      </c>
      <c r="F5916" s="7" t="s">
        <v>65</v>
      </c>
    </row>
    <row r="5917">
      <c r="A5917" s="5" t="s">
        <v>2702</v>
      </c>
      <c r="B5917" s="8">
        <v>9.0</v>
      </c>
      <c r="C5917" s="7" t="s">
        <v>62</v>
      </c>
      <c r="D5917" s="7" t="s">
        <v>2105</v>
      </c>
      <c r="E5917" s="5" t="s">
        <v>2106</v>
      </c>
      <c r="F5917" s="7" t="s">
        <v>65</v>
      </c>
    </row>
    <row r="5918">
      <c r="A5918" s="5" t="s">
        <v>2930</v>
      </c>
      <c r="B5918" s="8">
        <v>9.0</v>
      </c>
      <c r="C5918" s="7" t="s">
        <v>62</v>
      </c>
      <c r="D5918" s="7" t="s">
        <v>2105</v>
      </c>
      <c r="E5918" s="5" t="s">
        <v>2106</v>
      </c>
      <c r="F5918" s="7" t="s">
        <v>65</v>
      </c>
    </row>
    <row r="5919">
      <c r="A5919" s="5" t="s">
        <v>2600</v>
      </c>
      <c r="B5919" s="8">
        <v>9.0</v>
      </c>
      <c r="C5919" s="7" t="s">
        <v>62</v>
      </c>
      <c r="D5919" s="7" t="s">
        <v>2105</v>
      </c>
      <c r="E5919" s="5" t="s">
        <v>2106</v>
      </c>
      <c r="F5919" s="7" t="s">
        <v>65</v>
      </c>
    </row>
    <row r="5920">
      <c r="A5920" s="5" t="s">
        <v>3802</v>
      </c>
      <c r="B5920" s="8">
        <v>9.0</v>
      </c>
      <c r="C5920" s="7" t="s">
        <v>62</v>
      </c>
      <c r="D5920" s="7" t="s">
        <v>2105</v>
      </c>
      <c r="E5920" s="5" t="s">
        <v>2106</v>
      </c>
      <c r="F5920" s="7" t="s">
        <v>65</v>
      </c>
    </row>
    <row r="5921">
      <c r="A5921" s="5" t="s">
        <v>3090</v>
      </c>
      <c r="B5921" s="8">
        <v>9.0</v>
      </c>
      <c r="C5921" s="7" t="s">
        <v>62</v>
      </c>
      <c r="D5921" s="7" t="s">
        <v>2105</v>
      </c>
      <c r="E5921" s="5" t="s">
        <v>2106</v>
      </c>
      <c r="F5921" s="7" t="s">
        <v>66</v>
      </c>
    </row>
    <row r="5922">
      <c r="A5922" s="7" t="s">
        <v>606</v>
      </c>
      <c r="B5922" s="8">
        <v>9.0</v>
      </c>
      <c r="C5922" s="7" t="s">
        <v>62</v>
      </c>
      <c r="D5922" s="7" t="s">
        <v>2105</v>
      </c>
      <c r="E5922" s="5" t="s">
        <v>2106</v>
      </c>
      <c r="F5922" s="7" t="s">
        <v>65</v>
      </c>
    </row>
    <row r="5923">
      <c r="A5923" s="5" t="s">
        <v>2602</v>
      </c>
      <c r="B5923" s="8">
        <v>9.0</v>
      </c>
      <c r="C5923" s="7" t="s">
        <v>62</v>
      </c>
      <c r="D5923" s="7" t="s">
        <v>2105</v>
      </c>
      <c r="E5923" s="5" t="s">
        <v>2106</v>
      </c>
      <c r="F5923" s="7" t="s">
        <v>65</v>
      </c>
    </row>
    <row r="5924">
      <c r="A5924" s="5" t="s">
        <v>2931</v>
      </c>
      <c r="B5924" s="8">
        <v>9.0</v>
      </c>
      <c r="C5924" s="7" t="s">
        <v>62</v>
      </c>
      <c r="D5924" s="7" t="s">
        <v>2105</v>
      </c>
      <c r="E5924" s="5" t="s">
        <v>2106</v>
      </c>
      <c r="F5924" s="7" t="s">
        <v>65</v>
      </c>
    </row>
    <row r="5925">
      <c r="A5925" s="7" t="s">
        <v>874</v>
      </c>
      <c r="B5925" s="8">
        <v>9.0</v>
      </c>
      <c r="C5925" s="7" t="s">
        <v>62</v>
      </c>
      <c r="D5925" s="7" t="s">
        <v>2105</v>
      </c>
      <c r="E5925" s="5" t="s">
        <v>2106</v>
      </c>
      <c r="F5925" s="7" t="s">
        <v>65</v>
      </c>
    </row>
    <row r="5926">
      <c r="A5926" s="5" t="s">
        <v>2932</v>
      </c>
      <c r="B5926" s="8">
        <v>9.0</v>
      </c>
      <c r="C5926" s="7" t="s">
        <v>62</v>
      </c>
      <c r="D5926" s="7" t="s">
        <v>2105</v>
      </c>
      <c r="E5926" s="5" t="s">
        <v>2106</v>
      </c>
      <c r="F5926" s="7" t="s">
        <v>65</v>
      </c>
    </row>
    <row r="5927">
      <c r="A5927" s="5" t="s">
        <v>3091</v>
      </c>
      <c r="B5927" s="8">
        <v>9.0</v>
      </c>
      <c r="C5927" s="7" t="s">
        <v>62</v>
      </c>
      <c r="D5927" s="7" t="s">
        <v>2105</v>
      </c>
      <c r="E5927" s="5" t="s">
        <v>2106</v>
      </c>
      <c r="F5927" s="7" t="s">
        <v>65</v>
      </c>
    </row>
    <row r="5928">
      <c r="A5928" s="5" t="s">
        <v>2605</v>
      </c>
      <c r="B5928" s="8">
        <v>9.0</v>
      </c>
      <c r="C5928" s="7" t="s">
        <v>62</v>
      </c>
      <c r="D5928" s="7" t="s">
        <v>2105</v>
      </c>
      <c r="E5928" s="5" t="s">
        <v>2106</v>
      </c>
      <c r="F5928" s="7" t="s">
        <v>65</v>
      </c>
    </row>
    <row r="5929">
      <c r="A5929" s="7" t="s">
        <v>1989</v>
      </c>
      <c r="B5929" s="8">
        <v>9.0</v>
      </c>
      <c r="C5929" s="7" t="s">
        <v>62</v>
      </c>
      <c r="D5929" s="7" t="s">
        <v>2105</v>
      </c>
      <c r="E5929" s="5" t="s">
        <v>2106</v>
      </c>
      <c r="F5929" s="7" t="s">
        <v>65</v>
      </c>
    </row>
    <row r="5930">
      <c r="A5930" s="5" t="s">
        <v>2933</v>
      </c>
      <c r="B5930" s="8">
        <v>9.0</v>
      </c>
      <c r="C5930" s="7" t="s">
        <v>62</v>
      </c>
      <c r="D5930" s="7" t="s">
        <v>2105</v>
      </c>
      <c r="E5930" s="5" t="s">
        <v>2106</v>
      </c>
      <c r="F5930" s="7" t="s">
        <v>65</v>
      </c>
    </row>
    <row r="5931">
      <c r="A5931" s="5" t="s">
        <v>2606</v>
      </c>
      <c r="B5931" s="8">
        <v>9.0</v>
      </c>
      <c r="C5931" s="7" t="s">
        <v>62</v>
      </c>
      <c r="D5931" s="7" t="s">
        <v>2105</v>
      </c>
      <c r="E5931" s="5" t="s">
        <v>2106</v>
      </c>
      <c r="F5931" s="7" t="s">
        <v>65</v>
      </c>
    </row>
    <row r="5932">
      <c r="A5932" s="5" t="s">
        <v>2934</v>
      </c>
      <c r="B5932" s="8">
        <v>9.0</v>
      </c>
      <c r="C5932" s="7" t="s">
        <v>62</v>
      </c>
      <c r="D5932" s="7" t="s">
        <v>2105</v>
      </c>
      <c r="E5932" s="5" t="s">
        <v>2106</v>
      </c>
      <c r="F5932" s="7" t="s">
        <v>65</v>
      </c>
    </row>
    <row r="5933">
      <c r="A5933" s="5" t="s">
        <v>2607</v>
      </c>
      <c r="B5933" s="8">
        <v>9.0</v>
      </c>
      <c r="C5933" s="7" t="s">
        <v>62</v>
      </c>
      <c r="D5933" s="7" t="s">
        <v>2105</v>
      </c>
      <c r="E5933" s="5" t="s">
        <v>2106</v>
      </c>
      <c r="F5933" s="7" t="s">
        <v>65</v>
      </c>
    </row>
    <row r="5934">
      <c r="A5934" s="7" t="s">
        <v>1990</v>
      </c>
      <c r="B5934" s="8">
        <v>9.0</v>
      </c>
      <c r="C5934" s="7" t="s">
        <v>62</v>
      </c>
      <c r="D5934" s="7" t="s">
        <v>2105</v>
      </c>
      <c r="E5934" s="5" t="s">
        <v>2106</v>
      </c>
      <c r="F5934" s="7" t="s">
        <v>65</v>
      </c>
    </row>
    <row r="5935">
      <c r="A5935" s="5" t="s">
        <v>2935</v>
      </c>
      <c r="B5935" s="8">
        <v>9.0</v>
      </c>
      <c r="C5935" s="7" t="s">
        <v>62</v>
      </c>
      <c r="D5935" s="7" t="s">
        <v>2105</v>
      </c>
      <c r="E5935" s="5" t="s">
        <v>2106</v>
      </c>
      <c r="F5935" s="7" t="s">
        <v>65</v>
      </c>
    </row>
    <row r="5936">
      <c r="A5936" s="5" t="s">
        <v>2936</v>
      </c>
      <c r="B5936" s="8">
        <v>9.0</v>
      </c>
      <c r="C5936" s="7" t="s">
        <v>62</v>
      </c>
      <c r="D5936" s="7" t="s">
        <v>2105</v>
      </c>
      <c r="E5936" s="5" t="s">
        <v>2106</v>
      </c>
      <c r="F5936" s="7" t="s">
        <v>65</v>
      </c>
    </row>
    <row r="5937">
      <c r="A5937" s="5" t="s">
        <v>2608</v>
      </c>
      <c r="B5937" s="8">
        <v>9.0</v>
      </c>
      <c r="C5937" s="7" t="s">
        <v>62</v>
      </c>
      <c r="D5937" s="7" t="s">
        <v>2105</v>
      </c>
      <c r="E5937" s="5" t="s">
        <v>2106</v>
      </c>
      <c r="F5937" s="7" t="s">
        <v>65</v>
      </c>
    </row>
    <row r="5938">
      <c r="A5938" s="5" t="s">
        <v>2609</v>
      </c>
      <c r="B5938" s="8">
        <v>9.0</v>
      </c>
      <c r="C5938" s="7" t="s">
        <v>62</v>
      </c>
      <c r="D5938" s="7" t="s">
        <v>2105</v>
      </c>
      <c r="E5938" s="5" t="s">
        <v>2106</v>
      </c>
      <c r="F5938" s="7" t="s">
        <v>65</v>
      </c>
    </row>
    <row r="5939">
      <c r="A5939" s="5" t="s">
        <v>3791</v>
      </c>
      <c r="B5939" s="8">
        <v>9.0</v>
      </c>
      <c r="C5939" s="7" t="s">
        <v>966</v>
      </c>
      <c r="D5939" s="7" t="s">
        <v>2107</v>
      </c>
      <c r="E5939" s="5" t="s">
        <v>3878</v>
      </c>
      <c r="F5939" s="5" t="s">
        <v>2109</v>
      </c>
    </row>
    <row r="5940">
      <c r="A5940" s="7" t="s">
        <v>188</v>
      </c>
      <c r="B5940" s="8">
        <v>9.0</v>
      </c>
      <c r="C5940" s="7" t="s">
        <v>966</v>
      </c>
      <c r="D5940" s="7" t="s">
        <v>2107</v>
      </c>
      <c r="E5940" s="5" t="s">
        <v>3878</v>
      </c>
      <c r="F5940" s="5" t="s">
        <v>2109</v>
      </c>
    </row>
    <row r="5941">
      <c r="A5941" s="5" t="s">
        <v>2924</v>
      </c>
      <c r="B5941" s="8">
        <v>9.0</v>
      </c>
      <c r="C5941" s="7" t="s">
        <v>966</v>
      </c>
      <c r="D5941" s="7" t="s">
        <v>2107</v>
      </c>
      <c r="E5941" s="5" t="s">
        <v>3878</v>
      </c>
      <c r="F5941" s="5" t="s">
        <v>2110</v>
      </c>
    </row>
    <row r="5942">
      <c r="A5942" s="5" t="s">
        <v>2796</v>
      </c>
      <c r="B5942" s="8">
        <v>9.0</v>
      </c>
      <c r="C5942" s="7" t="s">
        <v>966</v>
      </c>
      <c r="D5942" s="7" t="s">
        <v>2107</v>
      </c>
      <c r="E5942" s="5" t="s">
        <v>3878</v>
      </c>
      <c r="F5942" s="5" t="s">
        <v>3879</v>
      </c>
    </row>
    <row r="5943">
      <c r="A5943" s="5" t="s">
        <v>2925</v>
      </c>
      <c r="B5943" s="8">
        <v>9.0</v>
      </c>
      <c r="C5943" s="7" t="s">
        <v>966</v>
      </c>
      <c r="D5943" s="7" t="s">
        <v>2107</v>
      </c>
      <c r="E5943" s="5" t="s">
        <v>3878</v>
      </c>
      <c r="F5943" s="5" t="s">
        <v>2109</v>
      </c>
    </row>
    <row r="5944">
      <c r="A5944" s="5" t="s">
        <v>3086</v>
      </c>
      <c r="B5944" s="8">
        <v>9.0</v>
      </c>
      <c r="C5944" s="7" t="s">
        <v>966</v>
      </c>
      <c r="D5944" s="7" t="s">
        <v>2107</v>
      </c>
      <c r="E5944" s="5" t="s">
        <v>3878</v>
      </c>
      <c r="F5944" s="5" t="s">
        <v>2110</v>
      </c>
    </row>
    <row r="5945">
      <c r="A5945" s="5" t="s">
        <v>3795</v>
      </c>
      <c r="B5945" s="8">
        <v>9.0</v>
      </c>
      <c r="C5945" s="7" t="s">
        <v>966</v>
      </c>
      <c r="D5945" s="7" t="s">
        <v>2107</v>
      </c>
      <c r="E5945" s="5" t="s">
        <v>3878</v>
      </c>
      <c r="F5945" s="5" t="s">
        <v>2109</v>
      </c>
    </row>
    <row r="5946">
      <c r="A5946" s="7" t="s">
        <v>868</v>
      </c>
      <c r="B5946" s="8">
        <v>9.0</v>
      </c>
      <c r="C5946" s="7" t="s">
        <v>966</v>
      </c>
      <c r="D5946" s="7" t="s">
        <v>2107</v>
      </c>
      <c r="E5946" s="5" t="s">
        <v>3878</v>
      </c>
      <c r="F5946" s="5" t="s">
        <v>2109</v>
      </c>
    </row>
    <row r="5947">
      <c r="A5947" s="5" t="s">
        <v>3087</v>
      </c>
      <c r="B5947" s="8">
        <v>9.0</v>
      </c>
      <c r="C5947" s="7" t="s">
        <v>966</v>
      </c>
      <c r="D5947" s="7" t="s">
        <v>2107</v>
      </c>
      <c r="E5947" s="5" t="s">
        <v>3878</v>
      </c>
      <c r="F5947" s="5" t="s">
        <v>2112</v>
      </c>
    </row>
    <row r="5948">
      <c r="A5948" s="5" t="s">
        <v>2926</v>
      </c>
      <c r="B5948" s="8">
        <v>9.0</v>
      </c>
      <c r="C5948" s="7" t="s">
        <v>966</v>
      </c>
      <c r="D5948" s="7" t="s">
        <v>2107</v>
      </c>
      <c r="E5948" s="5" t="s">
        <v>3878</v>
      </c>
      <c r="F5948" s="5" t="s">
        <v>3880</v>
      </c>
    </row>
    <row r="5949">
      <c r="A5949" s="5" t="s">
        <v>3088</v>
      </c>
      <c r="B5949" s="8">
        <v>9.0</v>
      </c>
      <c r="C5949" s="7" t="s">
        <v>966</v>
      </c>
      <c r="D5949" s="7" t="s">
        <v>2107</v>
      </c>
      <c r="E5949" s="5" t="s">
        <v>3878</v>
      </c>
      <c r="F5949" s="5" t="s">
        <v>2110</v>
      </c>
    </row>
    <row r="5950">
      <c r="A5950" s="5" t="s">
        <v>3388</v>
      </c>
      <c r="B5950" s="8">
        <v>9.0</v>
      </c>
      <c r="C5950" s="7" t="s">
        <v>966</v>
      </c>
      <c r="D5950" s="7" t="s">
        <v>2107</v>
      </c>
      <c r="E5950" s="5" t="s">
        <v>3878</v>
      </c>
      <c r="F5950" s="5" t="s">
        <v>2109</v>
      </c>
    </row>
    <row r="5951">
      <c r="A5951" s="5" t="s">
        <v>2927</v>
      </c>
      <c r="B5951" s="8">
        <v>9.0</v>
      </c>
      <c r="C5951" s="7" t="s">
        <v>966</v>
      </c>
      <c r="D5951" s="7" t="s">
        <v>2107</v>
      </c>
      <c r="E5951" s="5" t="s">
        <v>3878</v>
      </c>
      <c r="F5951" s="5" t="s">
        <v>2110</v>
      </c>
    </row>
    <row r="5952">
      <c r="A5952" s="5" t="s">
        <v>3089</v>
      </c>
      <c r="B5952" s="8">
        <v>9.0</v>
      </c>
      <c r="C5952" s="7" t="s">
        <v>966</v>
      </c>
      <c r="D5952" s="7" t="s">
        <v>2107</v>
      </c>
      <c r="E5952" s="5" t="s">
        <v>3878</v>
      </c>
      <c r="F5952" s="5" t="s">
        <v>3881</v>
      </c>
    </row>
    <row r="5953">
      <c r="A5953" s="5" t="s">
        <v>2928</v>
      </c>
      <c r="B5953" s="8">
        <v>9.0</v>
      </c>
      <c r="C5953" s="7" t="s">
        <v>966</v>
      </c>
      <c r="D5953" s="7" t="s">
        <v>2107</v>
      </c>
      <c r="E5953" s="5" t="s">
        <v>3878</v>
      </c>
      <c r="F5953" s="5" t="s">
        <v>2110</v>
      </c>
    </row>
    <row r="5954">
      <c r="A5954" s="7" t="s">
        <v>603</v>
      </c>
      <c r="B5954" s="8">
        <v>9.0</v>
      </c>
      <c r="C5954" s="7" t="s">
        <v>966</v>
      </c>
      <c r="D5954" s="7" t="s">
        <v>2107</v>
      </c>
      <c r="E5954" s="5" t="s">
        <v>3878</v>
      </c>
      <c r="F5954" s="5" t="s">
        <v>2112</v>
      </c>
    </row>
    <row r="5955">
      <c r="A5955" s="5" t="s">
        <v>2929</v>
      </c>
      <c r="B5955" s="8">
        <v>9.0</v>
      </c>
      <c r="C5955" s="7" t="s">
        <v>966</v>
      </c>
      <c r="D5955" s="7" t="s">
        <v>2107</v>
      </c>
      <c r="E5955" s="5" t="s">
        <v>3878</v>
      </c>
      <c r="F5955" s="5" t="s">
        <v>2115</v>
      </c>
    </row>
    <row r="5956">
      <c r="A5956" s="5" t="s">
        <v>2702</v>
      </c>
      <c r="B5956" s="8">
        <v>9.0</v>
      </c>
      <c r="C5956" s="7" t="s">
        <v>966</v>
      </c>
      <c r="D5956" s="7" t="s">
        <v>2107</v>
      </c>
      <c r="E5956" s="5" t="s">
        <v>3878</v>
      </c>
      <c r="F5956" s="5" t="s">
        <v>2109</v>
      </c>
    </row>
    <row r="5957">
      <c r="A5957" s="5" t="s">
        <v>2930</v>
      </c>
      <c r="B5957" s="8">
        <v>9.0</v>
      </c>
      <c r="C5957" s="7" t="s">
        <v>966</v>
      </c>
      <c r="D5957" s="7" t="s">
        <v>2107</v>
      </c>
      <c r="E5957" s="5" t="s">
        <v>3878</v>
      </c>
      <c r="F5957" s="5" t="s">
        <v>2110</v>
      </c>
    </row>
    <row r="5958">
      <c r="A5958" s="5" t="s">
        <v>2600</v>
      </c>
      <c r="B5958" s="8">
        <v>9.0</v>
      </c>
      <c r="C5958" s="7" t="s">
        <v>966</v>
      </c>
      <c r="D5958" s="7" t="s">
        <v>2107</v>
      </c>
      <c r="E5958" s="5" t="s">
        <v>3878</v>
      </c>
      <c r="F5958" s="5" t="s">
        <v>2109</v>
      </c>
    </row>
    <row r="5959">
      <c r="A5959" s="5" t="s">
        <v>3802</v>
      </c>
      <c r="B5959" s="8">
        <v>9.0</v>
      </c>
      <c r="C5959" s="7" t="s">
        <v>966</v>
      </c>
      <c r="D5959" s="7" t="s">
        <v>2107</v>
      </c>
      <c r="E5959" s="5" t="s">
        <v>3878</v>
      </c>
      <c r="F5959" s="5" t="s">
        <v>2109</v>
      </c>
    </row>
    <row r="5960">
      <c r="A5960" s="5" t="s">
        <v>3090</v>
      </c>
      <c r="B5960" s="8">
        <v>9.0</v>
      </c>
      <c r="C5960" s="7" t="s">
        <v>966</v>
      </c>
      <c r="D5960" s="7" t="s">
        <v>2107</v>
      </c>
      <c r="E5960" s="5" t="s">
        <v>3878</v>
      </c>
      <c r="F5960" s="5" t="s">
        <v>2116</v>
      </c>
    </row>
    <row r="5961">
      <c r="A5961" s="7" t="s">
        <v>606</v>
      </c>
      <c r="B5961" s="8">
        <v>9.0</v>
      </c>
      <c r="C5961" s="7" t="s">
        <v>966</v>
      </c>
      <c r="D5961" s="7" t="s">
        <v>2107</v>
      </c>
      <c r="E5961" s="5" t="s">
        <v>3878</v>
      </c>
      <c r="F5961" s="5" t="s">
        <v>2110</v>
      </c>
    </row>
    <row r="5962">
      <c r="A5962" s="5" t="s">
        <v>2602</v>
      </c>
      <c r="B5962" s="8">
        <v>9.0</v>
      </c>
      <c r="C5962" s="7" t="s">
        <v>966</v>
      </c>
      <c r="D5962" s="7" t="s">
        <v>2107</v>
      </c>
      <c r="E5962" s="5" t="s">
        <v>3878</v>
      </c>
      <c r="F5962" s="5" t="s">
        <v>2110</v>
      </c>
    </row>
    <row r="5963">
      <c r="A5963" s="5" t="s">
        <v>2931</v>
      </c>
      <c r="B5963" s="8">
        <v>9.0</v>
      </c>
      <c r="C5963" s="7" t="s">
        <v>966</v>
      </c>
      <c r="D5963" s="7" t="s">
        <v>2107</v>
      </c>
      <c r="E5963" s="5" t="s">
        <v>3878</v>
      </c>
      <c r="F5963" s="5" t="s">
        <v>2109</v>
      </c>
    </row>
    <row r="5964">
      <c r="A5964" s="7" t="s">
        <v>874</v>
      </c>
      <c r="B5964" s="8">
        <v>9.0</v>
      </c>
      <c r="C5964" s="7" t="s">
        <v>966</v>
      </c>
      <c r="D5964" s="7" t="s">
        <v>2107</v>
      </c>
      <c r="E5964" s="5" t="s">
        <v>3878</v>
      </c>
      <c r="F5964" s="5" t="s">
        <v>2109</v>
      </c>
    </row>
    <row r="5965">
      <c r="A5965" s="5" t="s">
        <v>2932</v>
      </c>
      <c r="B5965" s="8">
        <v>9.0</v>
      </c>
      <c r="C5965" s="7" t="s">
        <v>966</v>
      </c>
      <c r="D5965" s="7" t="s">
        <v>2107</v>
      </c>
      <c r="E5965" s="5" t="s">
        <v>3878</v>
      </c>
      <c r="F5965" s="5" t="s">
        <v>2109</v>
      </c>
    </row>
    <row r="5966">
      <c r="A5966" s="5" t="s">
        <v>3091</v>
      </c>
      <c r="B5966" s="8">
        <v>9.0</v>
      </c>
      <c r="C5966" s="7" t="s">
        <v>966</v>
      </c>
      <c r="D5966" s="7" t="s">
        <v>2107</v>
      </c>
      <c r="E5966" s="5" t="s">
        <v>3878</v>
      </c>
      <c r="F5966" s="5" t="s">
        <v>2109</v>
      </c>
    </row>
    <row r="5967">
      <c r="A5967" s="5" t="s">
        <v>2605</v>
      </c>
      <c r="B5967" s="8">
        <v>9.0</v>
      </c>
      <c r="C5967" s="7" t="s">
        <v>966</v>
      </c>
      <c r="D5967" s="7" t="s">
        <v>2107</v>
      </c>
      <c r="E5967" s="5" t="s">
        <v>3878</v>
      </c>
      <c r="F5967" s="5" t="s">
        <v>2109</v>
      </c>
    </row>
    <row r="5968">
      <c r="A5968" s="7" t="s">
        <v>1989</v>
      </c>
      <c r="B5968" s="8">
        <v>9.0</v>
      </c>
      <c r="C5968" s="7" t="s">
        <v>966</v>
      </c>
      <c r="D5968" s="7" t="s">
        <v>2107</v>
      </c>
      <c r="E5968" s="5" t="s">
        <v>3878</v>
      </c>
      <c r="F5968" s="5" t="s">
        <v>2109</v>
      </c>
    </row>
    <row r="5969">
      <c r="A5969" s="5" t="s">
        <v>2933</v>
      </c>
      <c r="B5969" s="8">
        <v>9.0</v>
      </c>
      <c r="C5969" s="7" t="s">
        <v>966</v>
      </c>
      <c r="D5969" s="7" t="s">
        <v>2107</v>
      </c>
      <c r="E5969" s="5" t="s">
        <v>3878</v>
      </c>
      <c r="F5969" s="5" t="s">
        <v>2110</v>
      </c>
    </row>
    <row r="5970">
      <c r="A5970" s="5" t="s">
        <v>2606</v>
      </c>
      <c r="B5970" s="8">
        <v>9.0</v>
      </c>
      <c r="C5970" s="7" t="s">
        <v>966</v>
      </c>
      <c r="D5970" s="7" t="s">
        <v>2107</v>
      </c>
      <c r="E5970" s="5" t="s">
        <v>3878</v>
      </c>
      <c r="F5970" s="5" t="s">
        <v>2110</v>
      </c>
    </row>
    <row r="5971">
      <c r="A5971" s="5" t="s">
        <v>2607</v>
      </c>
      <c r="B5971" s="8">
        <v>9.0</v>
      </c>
      <c r="C5971" s="7" t="s">
        <v>966</v>
      </c>
      <c r="D5971" s="7" t="s">
        <v>2107</v>
      </c>
      <c r="E5971" s="5" t="s">
        <v>3878</v>
      </c>
      <c r="F5971" s="5" t="s">
        <v>2110</v>
      </c>
    </row>
    <row r="5972">
      <c r="A5972" s="7" t="s">
        <v>1990</v>
      </c>
      <c r="B5972" s="8">
        <v>9.0</v>
      </c>
      <c r="C5972" s="7" t="s">
        <v>966</v>
      </c>
      <c r="D5972" s="7" t="s">
        <v>2107</v>
      </c>
      <c r="E5972" s="5" t="s">
        <v>3878</v>
      </c>
      <c r="F5972" s="5" t="s">
        <v>2109</v>
      </c>
    </row>
    <row r="5973">
      <c r="A5973" s="5" t="s">
        <v>2935</v>
      </c>
      <c r="B5973" s="8">
        <v>9.0</v>
      </c>
      <c r="C5973" s="7" t="s">
        <v>966</v>
      </c>
      <c r="D5973" s="7" t="s">
        <v>2107</v>
      </c>
      <c r="E5973" s="5" t="s">
        <v>3878</v>
      </c>
      <c r="F5973" s="5" t="s">
        <v>3882</v>
      </c>
    </row>
    <row r="5974">
      <c r="A5974" s="5" t="s">
        <v>2936</v>
      </c>
      <c r="B5974" s="8">
        <v>9.0</v>
      </c>
      <c r="C5974" s="7" t="s">
        <v>966</v>
      </c>
      <c r="D5974" s="7" t="s">
        <v>2107</v>
      </c>
      <c r="E5974" s="5" t="s">
        <v>3878</v>
      </c>
      <c r="F5974" s="5" t="s">
        <v>2110</v>
      </c>
    </row>
    <row r="5975">
      <c r="A5975" s="5" t="s">
        <v>2608</v>
      </c>
      <c r="B5975" s="8">
        <v>9.0</v>
      </c>
      <c r="C5975" s="7" t="s">
        <v>966</v>
      </c>
      <c r="D5975" s="7" t="s">
        <v>2107</v>
      </c>
      <c r="E5975" s="5" t="s">
        <v>3878</v>
      </c>
      <c r="F5975" s="5" t="s">
        <v>2110</v>
      </c>
    </row>
    <row r="5976">
      <c r="A5976" s="5" t="s">
        <v>2609</v>
      </c>
      <c r="B5976" s="8">
        <v>9.0</v>
      </c>
      <c r="C5976" s="7" t="s">
        <v>966</v>
      </c>
      <c r="D5976" s="7" t="s">
        <v>2107</v>
      </c>
      <c r="E5976" s="5" t="s">
        <v>3878</v>
      </c>
      <c r="F5976" s="5" t="s">
        <v>2110</v>
      </c>
    </row>
    <row r="5977">
      <c r="A5977" s="5" t="s">
        <v>3791</v>
      </c>
      <c r="B5977" s="8">
        <v>9.0</v>
      </c>
      <c r="C5977" s="7" t="s">
        <v>309</v>
      </c>
      <c r="D5977" s="5" t="s">
        <v>1315</v>
      </c>
      <c r="E5977" s="7" t="s">
        <v>1655</v>
      </c>
      <c r="F5977" s="5" t="s">
        <v>271</v>
      </c>
    </row>
    <row r="5978">
      <c r="A5978" s="7" t="s">
        <v>188</v>
      </c>
      <c r="B5978" s="8">
        <v>9.0</v>
      </c>
      <c r="C5978" s="7" t="s">
        <v>309</v>
      </c>
      <c r="D5978" s="5" t="s">
        <v>1315</v>
      </c>
      <c r="E5978" s="7" t="s">
        <v>1655</v>
      </c>
      <c r="F5978" s="5" t="s">
        <v>271</v>
      </c>
    </row>
    <row r="5979">
      <c r="A5979" s="5" t="s">
        <v>2924</v>
      </c>
      <c r="B5979" s="8">
        <v>9.0</v>
      </c>
      <c r="C5979" s="7" t="s">
        <v>309</v>
      </c>
      <c r="D5979" s="5" t="s">
        <v>1315</v>
      </c>
      <c r="E5979" s="7" t="s">
        <v>1655</v>
      </c>
      <c r="F5979" s="5" t="s">
        <v>238</v>
      </c>
    </row>
    <row r="5980">
      <c r="A5980" s="5" t="s">
        <v>2796</v>
      </c>
      <c r="B5980" s="8">
        <v>9.0</v>
      </c>
      <c r="C5980" s="7" t="s">
        <v>309</v>
      </c>
      <c r="D5980" s="5" t="s">
        <v>1315</v>
      </c>
      <c r="E5980" s="7" t="s">
        <v>1655</v>
      </c>
      <c r="F5980" s="5" t="s">
        <v>3883</v>
      </c>
    </row>
    <row r="5981">
      <c r="A5981" s="5" t="s">
        <v>2925</v>
      </c>
      <c r="B5981" s="8">
        <v>9.0</v>
      </c>
      <c r="C5981" s="7" t="s">
        <v>309</v>
      </c>
      <c r="D5981" s="5" t="s">
        <v>1315</v>
      </c>
      <c r="E5981" s="7" t="s">
        <v>1655</v>
      </c>
      <c r="F5981" s="5" t="s">
        <v>271</v>
      </c>
    </row>
    <row r="5982">
      <c r="A5982" s="5" t="s">
        <v>3086</v>
      </c>
      <c r="B5982" s="8">
        <v>9.0</v>
      </c>
      <c r="C5982" s="7" t="s">
        <v>309</v>
      </c>
      <c r="D5982" s="5" t="s">
        <v>1315</v>
      </c>
      <c r="E5982" s="7" t="s">
        <v>1655</v>
      </c>
      <c r="F5982" s="5" t="s">
        <v>238</v>
      </c>
    </row>
    <row r="5983">
      <c r="A5983" s="5" t="s">
        <v>3795</v>
      </c>
      <c r="B5983" s="8">
        <v>9.0</v>
      </c>
      <c r="C5983" s="7" t="s">
        <v>309</v>
      </c>
      <c r="D5983" s="5" t="s">
        <v>1315</v>
      </c>
      <c r="E5983" s="7" t="s">
        <v>1655</v>
      </c>
      <c r="F5983" s="5" t="s">
        <v>271</v>
      </c>
    </row>
    <row r="5984">
      <c r="A5984" s="7" t="s">
        <v>868</v>
      </c>
      <c r="B5984" s="8">
        <v>9.0</v>
      </c>
      <c r="C5984" s="7" t="s">
        <v>309</v>
      </c>
      <c r="D5984" s="5" t="s">
        <v>1315</v>
      </c>
      <c r="E5984" s="7" t="s">
        <v>1655</v>
      </c>
      <c r="F5984" s="5" t="s">
        <v>238</v>
      </c>
    </row>
    <row r="5985">
      <c r="A5985" s="5" t="s">
        <v>3087</v>
      </c>
      <c r="B5985" s="8">
        <v>9.0</v>
      </c>
      <c r="C5985" s="7" t="s">
        <v>309</v>
      </c>
      <c r="D5985" s="5" t="s">
        <v>1315</v>
      </c>
      <c r="E5985" s="7" t="s">
        <v>1655</v>
      </c>
      <c r="F5985" s="5" t="s">
        <v>238</v>
      </c>
    </row>
    <row r="5986">
      <c r="A5986" s="5" t="s">
        <v>2926</v>
      </c>
      <c r="B5986" s="8">
        <v>9.0</v>
      </c>
      <c r="C5986" s="7" t="s">
        <v>309</v>
      </c>
      <c r="D5986" s="5" t="s">
        <v>1315</v>
      </c>
      <c r="E5986" s="7" t="s">
        <v>1655</v>
      </c>
      <c r="F5986" s="5" t="s">
        <v>3884</v>
      </c>
    </row>
    <row r="5987">
      <c r="A5987" s="5" t="s">
        <v>3088</v>
      </c>
      <c r="B5987" s="8">
        <v>9.0</v>
      </c>
      <c r="C5987" s="7" t="s">
        <v>309</v>
      </c>
      <c r="D5987" s="5" t="s">
        <v>1315</v>
      </c>
      <c r="E5987" s="7" t="s">
        <v>1655</v>
      </c>
      <c r="F5987" s="5" t="s">
        <v>238</v>
      </c>
    </row>
    <row r="5988">
      <c r="A5988" s="5" t="s">
        <v>3388</v>
      </c>
      <c r="B5988" s="8">
        <v>9.0</v>
      </c>
      <c r="C5988" s="7" t="s">
        <v>309</v>
      </c>
      <c r="D5988" s="5" t="s">
        <v>1315</v>
      </c>
      <c r="E5988" s="7" t="s">
        <v>1655</v>
      </c>
      <c r="F5988" s="5" t="s">
        <v>271</v>
      </c>
    </row>
    <row r="5989">
      <c r="A5989" s="5" t="s">
        <v>2927</v>
      </c>
      <c r="B5989" s="8">
        <v>9.0</v>
      </c>
      <c r="C5989" s="7" t="s">
        <v>309</v>
      </c>
      <c r="D5989" s="5" t="s">
        <v>1315</v>
      </c>
      <c r="E5989" s="7" t="s">
        <v>1655</v>
      </c>
      <c r="F5989" s="5" t="s">
        <v>238</v>
      </c>
    </row>
    <row r="5990">
      <c r="A5990" s="5" t="s">
        <v>2928</v>
      </c>
      <c r="B5990" s="8">
        <v>9.0</v>
      </c>
      <c r="C5990" s="7" t="s">
        <v>309</v>
      </c>
      <c r="D5990" s="5" t="s">
        <v>1315</v>
      </c>
      <c r="E5990" s="7" t="s">
        <v>1655</v>
      </c>
      <c r="F5990" s="5" t="s">
        <v>238</v>
      </c>
    </row>
    <row r="5991">
      <c r="A5991" s="7" t="s">
        <v>603</v>
      </c>
      <c r="B5991" s="8">
        <v>9.0</v>
      </c>
      <c r="C5991" s="7" t="s">
        <v>309</v>
      </c>
      <c r="D5991" s="5" t="s">
        <v>1315</v>
      </c>
      <c r="E5991" s="7" t="s">
        <v>1655</v>
      </c>
      <c r="F5991" s="5" t="s">
        <v>238</v>
      </c>
    </row>
    <row r="5992">
      <c r="A5992" s="5" t="s">
        <v>2929</v>
      </c>
      <c r="B5992" s="8">
        <v>9.0</v>
      </c>
      <c r="C5992" s="7" t="s">
        <v>309</v>
      </c>
      <c r="D5992" s="5" t="s">
        <v>1315</v>
      </c>
      <c r="E5992" s="7" t="s">
        <v>1655</v>
      </c>
      <c r="F5992" s="5" t="s">
        <v>3885</v>
      </c>
    </row>
    <row r="5993">
      <c r="A5993" s="5" t="s">
        <v>2702</v>
      </c>
      <c r="B5993" s="8">
        <v>9.0</v>
      </c>
      <c r="C5993" s="7" t="s">
        <v>309</v>
      </c>
      <c r="D5993" s="5" t="s">
        <v>1315</v>
      </c>
      <c r="E5993" s="7" t="s">
        <v>1655</v>
      </c>
      <c r="F5993" s="5" t="s">
        <v>238</v>
      </c>
    </row>
    <row r="5994">
      <c r="A5994" s="5" t="s">
        <v>2930</v>
      </c>
      <c r="B5994" s="8">
        <v>9.0</v>
      </c>
      <c r="C5994" s="7" t="s">
        <v>309</v>
      </c>
      <c r="D5994" s="5" t="s">
        <v>1315</v>
      </c>
      <c r="E5994" s="7" t="s">
        <v>1655</v>
      </c>
      <c r="F5994" s="5" t="s">
        <v>238</v>
      </c>
    </row>
    <row r="5995">
      <c r="A5995" s="5" t="s">
        <v>2600</v>
      </c>
      <c r="B5995" s="8">
        <v>9.0</v>
      </c>
      <c r="C5995" s="7" t="s">
        <v>309</v>
      </c>
      <c r="D5995" s="5" t="s">
        <v>1315</v>
      </c>
      <c r="E5995" s="7" t="s">
        <v>1655</v>
      </c>
      <c r="F5995" s="5" t="s">
        <v>273</v>
      </c>
    </row>
    <row r="5996">
      <c r="A5996" s="5" t="s">
        <v>3802</v>
      </c>
      <c r="B5996" s="8">
        <v>9.0</v>
      </c>
      <c r="C5996" s="7" t="s">
        <v>309</v>
      </c>
      <c r="D5996" s="5" t="s">
        <v>1315</v>
      </c>
      <c r="E5996" s="7" t="s">
        <v>1655</v>
      </c>
      <c r="F5996" s="5" t="s">
        <v>238</v>
      </c>
    </row>
    <row r="5997">
      <c r="A5997" s="5" t="s">
        <v>3090</v>
      </c>
      <c r="B5997" s="8">
        <v>9.0</v>
      </c>
      <c r="C5997" s="7" t="s">
        <v>309</v>
      </c>
      <c r="D5997" s="5" t="s">
        <v>1315</v>
      </c>
      <c r="E5997" s="7" t="s">
        <v>1655</v>
      </c>
      <c r="F5997" s="5" t="s">
        <v>273</v>
      </c>
    </row>
    <row r="5998">
      <c r="A5998" s="7" t="s">
        <v>606</v>
      </c>
      <c r="B5998" s="8">
        <v>9.0</v>
      </c>
      <c r="C5998" s="7" t="s">
        <v>309</v>
      </c>
      <c r="D5998" s="5" t="s">
        <v>1315</v>
      </c>
      <c r="E5998" s="7" t="s">
        <v>1655</v>
      </c>
      <c r="F5998" s="5" t="s">
        <v>238</v>
      </c>
    </row>
    <row r="5999">
      <c r="A5999" s="5" t="s">
        <v>2602</v>
      </c>
      <c r="B5999" s="8">
        <v>9.0</v>
      </c>
      <c r="C5999" s="7" t="s">
        <v>309</v>
      </c>
      <c r="D5999" s="5" t="s">
        <v>1315</v>
      </c>
      <c r="E5999" s="7" t="s">
        <v>1655</v>
      </c>
      <c r="F5999" s="5" t="s">
        <v>238</v>
      </c>
    </row>
    <row r="6000">
      <c r="A6000" s="5" t="s">
        <v>2931</v>
      </c>
      <c r="B6000" s="8">
        <v>9.0</v>
      </c>
      <c r="C6000" s="7" t="s">
        <v>309</v>
      </c>
      <c r="D6000" s="5" t="s">
        <v>1315</v>
      </c>
      <c r="E6000" s="7" t="s">
        <v>1655</v>
      </c>
      <c r="F6000" s="5" t="s">
        <v>273</v>
      </c>
    </row>
    <row r="6001">
      <c r="A6001" s="7" t="s">
        <v>874</v>
      </c>
      <c r="B6001" s="8">
        <v>9.0</v>
      </c>
      <c r="C6001" s="7" t="s">
        <v>309</v>
      </c>
      <c r="D6001" s="5" t="s">
        <v>1315</v>
      </c>
      <c r="E6001" s="7" t="s">
        <v>1655</v>
      </c>
      <c r="F6001" s="5" t="s">
        <v>238</v>
      </c>
    </row>
    <row r="6002">
      <c r="A6002" s="5" t="s">
        <v>2932</v>
      </c>
      <c r="B6002" s="8">
        <v>9.0</v>
      </c>
      <c r="C6002" s="7" t="s">
        <v>309</v>
      </c>
      <c r="D6002" s="5" t="s">
        <v>1315</v>
      </c>
      <c r="E6002" s="7" t="s">
        <v>1655</v>
      </c>
      <c r="F6002" s="5" t="s">
        <v>273</v>
      </c>
    </row>
    <row r="6003">
      <c r="A6003" s="5" t="s">
        <v>3091</v>
      </c>
      <c r="B6003" s="8">
        <v>9.0</v>
      </c>
      <c r="C6003" s="7" t="s">
        <v>309</v>
      </c>
      <c r="D6003" s="5" t="s">
        <v>1315</v>
      </c>
      <c r="E6003" s="7" t="s">
        <v>1655</v>
      </c>
      <c r="F6003" s="5" t="s">
        <v>273</v>
      </c>
    </row>
    <row r="6004">
      <c r="A6004" s="5" t="s">
        <v>2605</v>
      </c>
      <c r="B6004" s="8">
        <v>9.0</v>
      </c>
      <c r="C6004" s="7" t="s">
        <v>309</v>
      </c>
      <c r="D6004" s="5" t="s">
        <v>1315</v>
      </c>
      <c r="E6004" s="7" t="s">
        <v>1655</v>
      </c>
      <c r="F6004" s="5" t="s">
        <v>238</v>
      </c>
    </row>
    <row r="6005">
      <c r="A6005" s="7" t="s">
        <v>1989</v>
      </c>
      <c r="B6005" s="8">
        <v>9.0</v>
      </c>
      <c r="C6005" s="7" t="s">
        <v>309</v>
      </c>
      <c r="D6005" s="5" t="s">
        <v>1315</v>
      </c>
      <c r="E6005" s="7" t="s">
        <v>1655</v>
      </c>
      <c r="F6005" s="5" t="s">
        <v>273</v>
      </c>
    </row>
    <row r="6006">
      <c r="A6006" s="5" t="s">
        <v>2933</v>
      </c>
      <c r="B6006" s="8">
        <v>9.0</v>
      </c>
      <c r="C6006" s="7" t="s">
        <v>309</v>
      </c>
      <c r="D6006" s="5" t="s">
        <v>1315</v>
      </c>
      <c r="E6006" s="7" t="s">
        <v>1655</v>
      </c>
      <c r="F6006" s="5" t="s">
        <v>238</v>
      </c>
    </row>
    <row r="6007">
      <c r="A6007" s="5" t="s">
        <v>2606</v>
      </c>
      <c r="B6007" s="8">
        <v>9.0</v>
      </c>
      <c r="C6007" s="7" t="s">
        <v>309</v>
      </c>
      <c r="D6007" s="5" t="s">
        <v>1315</v>
      </c>
      <c r="E6007" s="7" t="s">
        <v>1655</v>
      </c>
      <c r="F6007" s="5" t="s">
        <v>238</v>
      </c>
    </row>
    <row r="6008">
      <c r="A6008" s="5" t="s">
        <v>2607</v>
      </c>
      <c r="B6008" s="8">
        <v>9.0</v>
      </c>
      <c r="C6008" s="7" t="s">
        <v>309</v>
      </c>
      <c r="D6008" s="5" t="s">
        <v>1315</v>
      </c>
      <c r="E6008" s="7" t="s">
        <v>1655</v>
      </c>
      <c r="F6008" s="5" t="s">
        <v>238</v>
      </c>
    </row>
    <row r="6009">
      <c r="A6009" s="7" t="s">
        <v>1990</v>
      </c>
      <c r="B6009" s="8">
        <v>9.0</v>
      </c>
      <c r="C6009" s="7" t="s">
        <v>309</v>
      </c>
      <c r="D6009" s="5" t="s">
        <v>1315</v>
      </c>
      <c r="E6009" s="7" t="s">
        <v>1655</v>
      </c>
      <c r="F6009" s="5" t="s">
        <v>238</v>
      </c>
    </row>
    <row r="6010">
      <c r="A6010" s="5" t="s">
        <v>2935</v>
      </c>
      <c r="B6010" s="8">
        <v>9.0</v>
      </c>
      <c r="C6010" s="7" t="s">
        <v>309</v>
      </c>
      <c r="D6010" s="5" t="s">
        <v>1315</v>
      </c>
      <c r="E6010" s="7" t="s">
        <v>1655</v>
      </c>
      <c r="F6010" s="5" t="s">
        <v>3886</v>
      </c>
    </row>
    <row r="6011">
      <c r="A6011" s="5" t="s">
        <v>2936</v>
      </c>
      <c r="B6011" s="8">
        <v>9.0</v>
      </c>
      <c r="C6011" s="7" t="s">
        <v>309</v>
      </c>
      <c r="D6011" s="5" t="s">
        <v>1315</v>
      </c>
      <c r="E6011" s="7" t="s">
        <v>1655</v>
      </c>
      <c r="F6011" s="5" t="s">
        <v>2123</v>
      </c>
    </row>
    <row r="6012">
      <c r="A6012" s="5" t="s">
        <v>2608</v>
      </c>
      <c r="B6012" s="8">
        <v>9.0</v>
      </c>
      <c r="C6012" s="7" t="s">
        <v>309</v>
      </c>
      <c r="D6012" s="5" t="s">
        <v>1315</v>
      </c>
      <c r="E6012" s="7" t="s">
        <v>1655</v>
      </c>
      <c r="F6012" s="5" t="s">
        <v>2123</v>
      </c>
    </row>
    <row r="6013">
      <c r="A6013" s="5" t="s">
        <v>2609</v>
      </c>
      <c r="B6013" s="8">
        <v>9.0</v>
      </c>
      <c r="C6013" s="7" t="s">
        <v>309</v>
      </c>
      <c r="D6013" s="5" t="s">
        <v>1315</v>
      </c>
      <c r="E6013" s="7" t="s">
        <v>1655</v>
      </c>
      <c r="F6013" s="5" t="s">
        <v>2123</v>
      </c>
    </row>
    <row r="6014">
      <c r="A6014" s="5" t="s">
        <v>3791</v>
      </c>
      <c r="B6014" s="8">
        <v>9.0</v>
      </c>
      <c r="C6014" s="7" t="s">
        <v>314</v>
      </c>
      <c r="D6014" s="7" t="s">
        <v>2124</v>
      </c>
      <c r="E6014" s="5" t="s">
        <v>2125</v>
      </c>
      <c r="F6014" s="5" t="s">
        <v>3887</v>
      </c>
    </row>
    <row r="6015">
      <c r="A6015" s="7" t="s">
        <v>188</v>
      </c>
      <c r="B6015" s="8">
        <v>9.0</v>
      </c>
      <c r="C6015" s="7" t="s">
        <v>314</v>
      </c>
      <c r="D6015" s="7" t="s">
        <v>2124</v>
      </c>
      <c r="E6015" s="5" t="s">
        <v>2125</v>
      </c>
      <c r="F6015" s="5" t="s">
        <v>3888</v>
      </c>
    </row>
    <row r="6016">
      <c r="A6016" s="5" t="s">
        <v>2924</v>
      </c>
      <c r="B6016" s="8">
        <v>9.0</v>
      </c>
      <c r="C6016" s="7" t="s">
        <v>314</v>
      </c>
      <c r="D6016" s="7" t="s">
        <v>2124</v>
      </c>
      <c r="E6016" s="5" t="s">
        <v>2125</v>
      </c>
      <c r="F6016" s="5" t="s">
        <v>3622</v>
      </c>
    </row>
    <row r="6017">
      <c r="A6017" s="5" t="s">
        <v>2796</v>
      </c>
      <c r="B6017" s="8">
        <v>9.0</v>
      </c>
      <c r="C6017" s="7" t="s">
        <v>314</v>
      </c>
      <c r="D6017" s="7" t="s">
        <v>2124</v>
      </c>
      <c r="E6017" s="5" t="s">
        <v>2125</v>
      </c>
      <c r="F6017" s="5" t="s">
        <v>2398</v>
      </c>
    </row>
    <row r="6018">
      <c r="A6018" s="5" t="s">
        <v>2925</v>
      </c>
      <c r="B6018" s="8">
        <v>9.0</v>
      </c>
      <c r="C6018" s="7" t="s">
        <v>314</v>
      </c>
      <c r="D6018" s="7" t="s">
        <v>2124</v>
      </c>
      <c r="E6018" s="5" t="s">
        <v>2125</v>
      </c>
      <c r="F6018" s="5" t="s">
        <v>3622</v>
      </c>
    </row>
    <row r="6019">
      <c r="A6019" s="5" t="s">
        <v>3086</v>
      </c>
      <c r="B6019" s="8">
        <v>9.0</v>
      </c>
      <c r="C6019" s="7" t="s">
        <v>314</v>
      </c>
      <c r="D6019" s="7" t="s">
        <v>2124</v>
      </c>
      <c r="E6019" s="5" t="s">
        <v>2125</v>
      </c>
      <c r="F6019" s="5" t="s">
        <v>3622</v>
      </c>
    </row>
    <row r="6020">
      <c r="A6020" s="5" t="s">
        <v>3795</v>
      </c>
      <c r="B6020" s="8">
        <v>9.0</v>
      </c>
      <c r="C6020" s="7" t="s">
        <v>314</v>
      </c>
      <c r="D6020" s="7" t="s">
        <v>2124</v>
      </c>
      <c r="E6020" s="5" t="s">
        <v>2125</v>
      </c>
      <c r="F6020" s="5" t="s">
        <v>3889</v>
      </c>
    </row>
    <row r="6021">
      <c r="A6021" s="7" t="s">
        <v>868</v>
      </c>
      <c r="B6021" s="8">
        <v>9.0</v>
      </c>
      <c r="C6021" s="7" t="s">
        <v>314</v>
      </c>
      <c r="D6021" s="7" t="s">
        <v>2124</v>
      </c>
      <c r="E6021" s="5" t="s">
        <v>2125</v>
      </c>
      <c r="F6021" s="5" t="s">
        <v>3890</v>
      </c>
    </row>
    <row r="6022">
      <c r="A6022" s="5" t="s">
        <v>3087</v>
      </c>
      <c r="B6022" s="8">
        <v>9.0</v>
      </c>
      <c r="C6022" s="7" t="s">
        <v>314</v>
      </c>
      <c r="D6022" s="7" t="s">
        <v>2124</v>
      </c>
      <c r="E6022" s="5" t="s">
        <v>2125</v>
      </c>
      <c r="F6022" s="5" t="s">
        <v>3890</v>
      </c>
    </row>
    <row r="6023">
      <c r="A6023" s="5" t="s">
        <v>2926</v>
      </c>
      <c r="B6023" s="8">
        <v>9.0</v>
      </c>
      <c r="C6023" s="7" t="s">
        <v>314</v>
      </c>
      <c r="D6023" s="7" t="s">
        <v>2124</v>
      </c>
      <c r="E6023" s="5" t="s">
        <v>2125</v>
      </c>
      <c r="F6023" s="5" t="s">
        <v>3891</v>
      </c>
    </row>
    <row r="6024">
      <c r="A6024" s="5" t="s">
        <v>3088</v>
      </c>
      <c r="B6024" s="8">
        <v>9.0</v>
      </c>
      <c r="C6024" s="7" t="s">
        <v>314</v>
      </c>
      <c r="D6024" s="7" t="s">
        <v>2124</v>
      </c>
      <c r="E6024" s="5" t="s">
        <v>2125</v>
      </c>
      <c r="F6024" s="5" t="s">
        <v>3622</v>
      </c>
    </row>
    <row r="6025">
      <c r="A6025" s="5" t="s">
        <v>3388</v>
      </c>
      <c r="B6025" s="8">
        <v>9.0</v>
      </c>
      <c r="C6025" s="7" t="s">
        <v>314</v>
      </c>
      <c r="D6025" s="7" t="s">
        <v>2124</v>
      </c>
      <c r="E6025" s="5" t="s">
        <v>2125</v>
      </c>
      <c r="F6025" s="5" t="s">
        <v>3622</v>
      </c>
    </row>
    <row r="6026">
      <c r="A6026" s="5" t="s">
        <v>2927</v>
      </c>
      <c r="B6026" s="8">
        <v>9.0</v>
      </c>
      <c r="C6026" s="7" t="s">
        <v>314</v>
      </c>
      <c r="D6026" s="7" t="s">
        <v>2124</v>
      </c>
      <c r="E6026" s="5" t="s">
        <v>2125</v>
      </c>
      <c r="F6026" s="5" t="s">
        <v>3892</v>
      </c>
    </row>
    <row r="6027">
      <c r="A6027" s="5" t="s">
        <v>3089</v>
      </c>
      <c r="B6027" s="8">
        <v>9.0</v>
      </c>
      <c r="C6027" s="7" t="s">
        <v>314</v>
      </c>
      <c r="D6027" s="7" t="s">
        <v>2124</v>
      </c>
      <c r="E6027" s="5" t="s">
        <v>2125</v>
      </c>
      <c r="F6027" s="5" t="s">
        <v>3233</v>
      </c>
    </row>
    <row r="6028">
      <c r="A6028" s="5" t="s">
        <v>2928</v>
      </c>
      <c r="B6028" s="8">
        <v>9.0</v>
      </c>
      <c r="C6028" s="7" t="s">
        <v>314</v>
      </c>
      <c r="D6028" s="7" t="s">
        <v>2124</v>
      </c>
      <c r="E6028" s="5" t="s">
        <v>2125</v>
      </c>
      <c r="F6028" s="5" t="s">
        <v>3893</v>
      </c>
    </row>
    <row r="6029">
      <c r="A6029" s="7" t="s">
        <v>603</v>
      </c>
      <c r="B6029" s="8">
        <v>9.0</v>
      </c>
      <c r="C6029" s="7" t="s">
        <v>314</v>
      </c>
      <c r="D6029" s="7" t="s">
        <v>2124</v>
      </c>
      <c r="E6029" s="5" t="s">
        <v>2125</v>
      </c>
      <c r="F6029" s="5" t="s">
        <v>3894</v>
      </c>
    </row>
    <row r="6030">
      <c r="A6030" s="5" t="s">
        <v>2929</v>
      </c>
      <c r="B6030" s="8">
        <v>9.0</v>
      </c>
      <c r="C6030" s="7" t="s">
        <v>314</v>
      </c>
      <c r="D6030" s="7" t="s">
        <v>2124</v>
      </c>
      <c r="E6030" s="5" t="s">
        <v>2125</v>
      </c>
      <c r="F6030" s="5" t="s">
        <v>3486</v>
      </c>
    </row>
    <row r="6031">
      <c r="A6031" s="5" t="s">
        <v>2702</v>
      </c>
      <c r="B6031" s="8">
        <v>9.0</v>
      </c>
      <c r="C6031" s="7" t="s">
        <v>314</v>
      </c>
      <c r="D6031" s="7" t="s">
        <v>2124</v>
      </c>
      <c r="E6031" s="5" t="s">
        <v>2125</v>
      </c>
      <c r="F6031" s="5" t="s">
        <v>3233</v>
      </c>
    </row>
    <row r="6032">
      <c r="A6032" s="5" t="s">
        <v>2930</v>
      </c>
      <c r="B6032" s="8">
        <v>9.0</v>
      </c>
      <c r="C6032" s="7" t="s">
        <v>314</v>
      </c>
      <c r="D6032" s="7" t="s">
        <v>2124</v>
      </c>
      <c r="E6032" s="5" t="s">
        <v>2125</v>
      </c>
      <c r="F6032" s="5" t="s">
        <v>1664</v>
      </c>
    </row>
    <row r="6033">
      <c r="A6033" s="5" t="s">
        <v>2600</v>
      </c>
      <c r="B6033" s="8">
        <v>9.0</v>
      </c>
      <c r="C6033" s="7" t="s">
        <v>314</v>
      </c>
      <c r="D6033" s="7" t="s">
        <v>2124</v>
      </c>
      <c r="E6033" s="5" t="s">
        <v>2125</v>
      </c>
      <c r="F6033" s="5" t="s">
        <v>3233</v>
      </c>
    </row>
    <row r="6034">
      <c r="A6034" s="5" t="s">
        <v>3802</v>
      </c>
      <c r="B6034" s="8">
        <v>9.0</v>
      </c>
      <c r="C6034" s="7" t="s">
        <v>314</v>
      </c>
      <c r="D6034" s="7" t="s">
        <v>2124</v>
      </c>
      <c r="E6034" s="5" t="s">
        <v>2125</v>
      </c>
      <c r="F6034" s="5" t="s">
        <v>3890</v>
      </c>
    </row>
    <row r="6035">
      <c r="A6035" s="5" t="s">
        <v>3090</v>
      </c>
      <c r="B6035" s="8">
        <v>9.0</v>
      </c>
      <c r="C6035" s="7" t="s">
        <v>314</v>
      </c>
      <c r="D6035" s="7" t="s">
        <v>2124</v>
      </c>
      <c r="E6035" s="5" t="s">
        <v>2125</v>
      </c>
      <c r="F6035" s="5" t="s">
        <v>2134</v>
      </c>
    </row>
    <row r="6036">
      <c r="A6036" s="7" t="s">
        <v>606</v>
      </c>
      <c r="B6036" s="8">
        <v>9.0</v>
      </c>
      <c r="C6036" s="7" t="s">
        <v>314</v>
      </c>
      <c r="D6036" s="7" t="s">
        <v>2124</v>
      </c>
      <c r="E6036" s="5" t="s">
        <v>2125</v>
      </c>
      <c r="F6036" s="7" t="s">
        <v>2135</v>
      </c>
    </row>
    <row r="6037">
      <c r="A6037" s="5" t="s">
        <v>2602</v>
      </c>
      <c r="B6037" s="8">
        <v>9.0</v>
      </c>
      <c r="C6037" s="7" t="s">
        <v>314</v>
      </c>
      <c r="D6037" s="7" t="s">
        <v>2124</v>
      </c>
      <c r="E6037" s="5" t="s">
        <v>2125</v>
      </c>
      <c r="F6037" s="5" t="s">
        <v>3895</v>
      </c>
    </row>
    <row r="6038">
      <c r="A6038" s="5" t="s">
        <v>2931</v>
      </c>
      <c r="B6038" s="8">
        <v>9.0</v>
      </c>
      <c r="C6038" s="7" t="s">
        <v>314</v>
      </c>
      <c r="D6038" s="7" t="s">
        <v>2124</v>
      </c>
      <c r="E6038" s="5" t="s">
        <v>2125</v>
      </c>
      <c r="F6038" s="5" t="s">
        <v>3043</v>
      </c>
    </row>
    <row r="6039">
      <c r="A6039" s="7" t="s">
        <v>874</v>
      </c>
      <c r="B6039" s="8">
        <v>9.0</v>
      </c>
      <c r="C6039" s="7" t="s">
        <v>314</v>
      </c>
      <c r="D6039" s="7" t="s">
        <v>2124</v>
      </c>
      <c r="E6039" s="5" t="s">
        <v>2125</v>
      </c>
      <c r="F6039" s="5" t="s">
        <v>3896</v>
      </c>
    </row>
    <row r="6040">
      <c r="A6040" s="5" t="s">
        <v>2932</v>
      </c>
      <c r="B6040" s="8">
        <v>9.0</v>
      </c>
      <c r="C6040" s="7" t="s">
        <v>314</v>
      </c>
      <c r="D6040" s="7" t="s">
        <v>2124</v>
      </c>
      <c r="E6040" s="5" t="s">
        <v>2125</v>
      </c>
      <c r="F6040" s="5" t="s">
        <v>1664</v>
      </c>
    </row>
    <row r="6041">
      <c r="A6041" s="5" t="s">
        <v>3091</v>
      </c>
      <c r="B6041" s="8">
        <v>9.0</v>
      </c>
      <c r="C6041" s="7" t="s">
        <v>314</v>
      </c>
      <c r="D6041" s="7" t="s">
        <v>2124</v>
      </c>
      <c r="E6041" s="5" t="s">
        <v>2125</v>
      </c>
      <c r="F6041" s="5" t="s">
        <v>1664</v>
      </c>
    </row>
    <row r="6042">
      <c r="A6042" s="5" t="s">
        <v>2605</v>
      </c>
      <c r="B6042" s="8">
        <v>9.0</v>
      </c>
      <c r="C6042" s="7" t="s">
        <v>314</v>
      </c>
      <c r="D6042" s="7" t="s">
        <v>2124</v>
      </c>
      <c r="E6042" s="5" t="s">
        <v>2125</v>
      </c>
      <c r="F6042" s="5" t="s">
        <v>3889</v>
      </c>
    </row>
    <row r="6043">
      <c r="A6043" s="7" t="s">
        <v>1989</v>
      </c>
      <c r="B6043" s="8">
        <v>9.0</v>
      </c>
      <c r="C6043" s="7" t="s">
        <v>314</v>
      </c>
      <c r="D6043" s="7" t="s">
        <v>2124</v>
      </c>
      <c r="E6043" s="5" t="s">
        <v>2125</v>
      </c>
      <c r="F6043" s="5" t="s">
        <v>3897</v>
      </c>
    </row>
    <row r="6044">
      <c r="A6044" s="5" t="s">
        <v>2933</v>
      </c>
      <c r="B6044" s="8">
        <v>9.0</v>
      </c>
      <c r="C6044" s="7" t="s">
        <v>314</v>
      </c>
      <c r="D6044" s="7" t="s">
        <v>2124</v>
      </c>
      <c r="E6044" s="5" t="s">
        <v>2125</v>
      </c>
      <c r="F6044" s="5" t="s">
        <v>1664</v>
      </c>
    </row>
    <row r="6045">
      <c r="A6045" s="5" t="s">
        <v>2606</v>
      </c>
      <c r="B6045" s="8">
        <v>9.0</v>
      </c>
      <c r="C6045" s="7" t="s">
        <v>314</v>
      </c>
      <c r="D6045" s="7" t="s">
        <v>2124</v>
      </c>
      <c r="E6045" s="5" t="s">
        <v>2125</v>
      </c>
      <c r="F6045" s="5" t="s">
        <v>1664</v>
      </c>
    </row>
    <row r="6046">
      <c r="A6046" s="5" t="s">
        <v>2934</v>
      </c>
      <c r="B6046" s="8">
        <v>9.0</v>
      </c>
      <c r="C6046" s="7" t="s">
        <v>314</v>
      </c>
      <c r="D6046" s="7" t="s">
        <v>2124</v>
      </c>
      <c r="E6046" s="5" t="s">
        <v>2125</v>
      </c>
      <c r="F6046" s="5" t="s">
        <v>1664</v>
      </c>
    </row>
    <row r="6047">
      <c r="A6047" s="5" t="s">
        <v>2607</v>
      </c>
      <c r="B6047" s="8">
        <v>9.0</v>
      </c>
      <c r="C6047" s="7" t="s">
        <v>314</v>
      </c>
      <c r="D6047" s="7" t="s">
        <v>2124</v>
      </c>
      <c r="E6047" s="5" t="s">
        <v>2125</v>
      </c>
      <c r="F6047" s="5" t="s">
        <v>1664</v>
      </c>
    </row>
    <row r="6048">
      <c r="A6048" s="7" t="s">
        <v>1990</v>
      </c>
      <c r="B6048" s="8">
        <v>9.0</v>
      </c>
      <c r="C6048" s="7" t="s">
        <v>314</v>
      </c>
      <c r="D6048" s="7" t="s">
        <v>2124</v>
      </c>
      <c r="E6048" s="5" t="s">
        <v>2125</v>
      </c>
      <c r="F6048" s="5" t="s">
        <v>3896</v>
      </c>
    </row>
    <row r="6049">
      <c r="A6049" s="5" t="s">
        <v>2935</v>
      </c>
      <c r="B6049" s="8">
        <v>9.0</v>
      </c>
      <c r="C6049" s="7" t="s">
        <v>314</v>
      </c>
      <c r="D6049" s="7" t="s">
        <v>2124</v>
      </c>
      <c r="E6049" s="5" t="s">
        <v>2125</v>
      </c>
      <c r="F6049" s="5" t="s">
        <v>2139</v>
      </c>
    </row>
    <row r="6050">
      <c r="A6050" s="5" t="s">
        <v>2936</v>
      </c>
      <c r="B6050" s="8">
        <v>9.0</v>
      </c>
      <c r="C6050" s="7" t="s">
        <v>314</v>
      </c>
      <c r="D6050" s="7" t="s">
        <v>2124</v>
      </c>
      <c r="E6050" s="5" t="s">
        <v>2125</v>
      </c>
      <c r="F6050" s="7" t="s">
        <v>2140</v>
      </c>
    </row>
    <row r="6051">
      <c r="A6051" s="5" t="s">
        <v>2608</v>
      </c>
      <c r="B6051" s="8">
        <v>9.0</v>
      </c>
      <c r="C6051" s="7" t="s">
        <v>314</v>
      </c>
      <c r="D6051" s="7" t="s">
        <v>2124</v>
      </c>
      <c r="E6051" s="5" t="s">
        <v>2125</v>
      </c>
      <c r="F6051" s="5" t="s">
        <v>1664</v>
      </c>
    </row>
    <row r="6052">
      <c r="A6052" s="5" t="s">
        <v>2609</v>
      </c>
      <c r="B6052" s="8">
        <v>9.0</v>
      </c>
      <c r="C6052" s="7" t="s">
        <v>314</v>
      </c>
      <c r="D6052" s="7" t="s">
        <v>2124</v>
      </c>
      <c r="E6052" s="5" t="s">
        <v>2125</v>
      </c>
      <c r="F6052" s="5" t="s">
        <v>1664</v>
      </c>
    </row>
    <row r="6053">
      <c r="A6053" s="5" t="s">
        <v>3791</v>
      </c>
      <c r="B6053" s="8">
        <v>9.0</v>
      </c>
      <c r="C6053" s="7" t="s">
        <v>67</v>
      </c>
      <c r="D6053" s="5" t="s">
        <v>441</v>
      </c>
      <c r="E6053" s="7" t="s">
        <v>2142</v>
      </c>
      <c r="F6053" s="7" t="s">
        <v>65</v>
      </c>
    </row>
    <row r="6054">
      <c r="A6054" s="7" t="s">
        <v>188</v>
      </c>
      <c r="B6054" s="8">
        <v>9.0</v>
      </c>
      <c r="C6054" s="7" t="s">
        <v>67</v>
      </c>
      <c r="D6054" s="5" t="s">
        <v>441</v>
      </c>
      <c r="E6054" s="7" t="s">
        <v>2142</v>
      </c>
      <c r="F6054" s="7" t="s">
        <v>65</v>
      </c>
    </row>
    <row r="6055">
      <c r="A6055" s="5" t="s">
        <v>2924</v>
      </c>
      <c r="B6055" s="8">
        <v>9.0</v>
      </c>
      <c r="C6055" s="7" t="s">
        <v>67</v>
      </c>
      <c r="D6055" s="5" t="s">
        <v>441</v>
      </c>
      <c r="E6055" s="7" t="s">
        <v>2142</v>
      </c>
      <c r="F6055" s="7" t="s">
        <v>65</v>
      </c>
    </row>
    <row r="6056">
      <c r="A6056" s="5" t="s">
        <v>2796</v>
      </c>
      <c r="B6056" s="8">
        <v>9.0</v>
      </c>
      <c r="C6056" s="7" t="s">
        <v>67</v>
      </c>
      <c r="D6056" s="5" t="s">
        <v>441</v>
      </c>
      <c r="E6056" s="7" t="s">
        <v>2142</v>
      </c>
      <c r="F6056" s="7" t="s">
        <v>65</v>
      </c>
    </row>
    <row r="6057">
      <c r="A6057" s="5" t="s">
        <v>2925</v>
      </c>
      <c r="B6057" s="8">
        <v>9.0</v>
      </c>
      <c r="C6057" s="7" t="s">
        <v>67</v>
      </c>
      <c r="D6057" s="5" t="s">
        <v>441</v>
      </c>
      <c r="E6057" s="7" t="s">
        <v>2142</v>
      </c>
      <c r="F6057" s="7" t="s">
        <v>65</v>
      </c>
    </row>
    <row r="6058">
      <c r="A6058" s="5" t="s">
        <v>3086</v>
      </c>
      <c r="B6058" s="8">
        <v>9.0</v>
      </c>
      <c r="C6058" s="7" t="s">
        <v>67</v>
      </c>
      <c r="D6058" s="5" t="s">
        <v>441</v>
      </c>
      <c r="E6058" s="7" t="s">
        <v>2142</v>
      </c>
      <c r="F6058" s="7" t="s">
        <v>65</v>
      </c>
    </row>
    <row r="6059">
      <c r="A6059" s="5" t="s">
        <v>3795</v>
      </c>
      <c r="B6059" s="8">
        <v>9.0</v>
      </c>
      <c r="C6059" s="7" t="s">
        <v>67</v>
      </c>
      <c r="D6059" s="5" t="s">
        <v>441</v>
      </c>
      <c r="E6059" s="7" t="s">
        <v>2142</v>
      </c>
      <c r="F6059" s="7" t="s">
        <v>65</v>
      </c>
    </row>
    <row r="6060">
      <c r="A6060" s="7" t="s">
        <v>868</v>
      </c>
      <c r="B6060" s="8">
        <v>9.0</v>
      </c>
      <c r="C6060" s="7" t="s">
        <v>67</v>
      </c>
      <c r="D6060" s="5" t="s">
        <v>441</v>
      </c>
      <c r="E6060" s="7" t="s">
        <v>2142</v>
      </c>
      <c r="F6060" s="7" t="s">
        <v>65</v>
      </c>
    </row>
    <row r="6061">
      <c r="A6061" s="5" t="s">
        <v>3087</v>
      </c>
      <c r="B6061" s="8">
        <v>9.0</v>
      </c>
      <c r="C6061" s="7" t="s">
        <v>67</v>
      </c>
      <c r="D6061" s="5" t="s">
        <v>441</v>
      </c>
      <c r="E6061" s="7" t="s">
        <v>2142</v>
      </c>
      <c r="F6061" s="7" t="s">
        <v>2143</v>
      </c>
    </row>
    <row r="6062">
      <c r="A6062" s="5" t="s">
        <v>2926</v>
      </c>
      <c r="B6062" s="8">
        <v>9.0</v>
      </c>
      <c r="C6062" s="7" t="s">
        <v>67</v>
      </c>
      <c r="D6062" s="5" t="s">
        <v>441</v>
      </c>
      <c r="E6062" s="7" t="s">
        <v>2142</v>
      </c>
      <c r="F6062" s="7" t="s">
        <v>71</v>
      </c>
    </row>
    <row r="6063">
      <c r="A6063" s="5" t="s">
        <v>3088</v>
      </c>
      <c r="B6063" s="8">
        <v>9.0</v>
      </c>
      <c r="C6063" s="7" t="s">
        <v>67</v>
      </c>
      <c r="D6063" s="5" t="s">
        <v>441</v>
      </c>
      <c r="E6063" s="7" t="s">
        <v>2142</v>
      </c>
      <c r="F6063" s="7" t="s">
        <v>65</v>
      </c>
    </row>
    <row r="6064">
      <c r="A6064" s="5" t="s">
        <v>3388</v>
      </c>
      <c r="B6064" s="8">
        <v>9.0</v>
      </c>
      <c r="C6064" s="7" t="s">
        <v>67</v>
      </c>
      <c r="D6064" s="5" t="s">
        <v>441</v>
      </c>
      <c r="E6064" s="7" t="s">
        <v>2142</v>
      </c>
      <c r="F6064" s="7" t="s">
        <v>65</v>
      </c>
    </row>
    <row r="6065">
      <c r="A6065" s="5" t="s">
        <v>2927</v>
      </c>
      <c r="B6065" s="8">
        <v>9.0</v>
      </c>
      <c r="C6065" s="7" t="s">
        <v>67</v>
      </c>
      <c r="D6065" s="5" t="s">
        <v>441</v>
      </c>
      <c r="E6065" s="7" t="s">
        <v>2142</v>
      </c>
      <c r="F6065" s="7" t="s">
        <v>65</v>
      </c>
    </row>
    <row r="6066">
      <c r="A6066" s="5" t="s">
        <v>3089</v>
      </c>
      <c r="B6066" s="8">
        <v>9.0</v>
      </c>
      <c r="C6066" s="7" t="s">
        <v>67</v>
      </c>
      <c r="D6066" s="5" t="s">
        <v>441</v>
      </c>
      <c r="E6066" s="7" t="s">
        <v>2142</v>
      </c>
      <c r="F6066" s="5" t="s">
        <v>3838</v>
      </c>
    </row>
    <row r="6067">
      <c r="A6067" s="5" t="s">
        <v>2928</v>
      </c>
      <c r="B6067" s="8">
        <v>9.0</v>
      </c>
      <c r="C6067" s="7" t="s">
        <v>67</v>
      </c>
      <c r="D6067" s="5" t="s">
        <v>441</v>
      </c>
      <c r="E6067" s="7" t="s">
        <v>2142</v>
      </c>
      <c r="F6067" s="7" t="s">
        <v>65</v>
      </c>
    </row>
    <row r="6068">
      <c r="A6068" s="7" t="s">
        <v>603</v>
      </c>
      <c r="B6068" s="8">
        <v>9.0</v>
      </c>
      <c r="C6068" s="7" t="s">
        <v>67</v>
      </c>
      <c r="D6068" s="5" t="s">
        <v>441</v>
      </c>
      <c r="E6068" s="7" t="s">
        <v>2142</v>
      </c>
      <c r="F6068" s="7" t="s">
        <v>71</v>
      </c>
    </row>
    <row r="6069">
      <c r="A6069" s="5" t="s">
        <v>2929</v>
      </c>
      <c r="B6069" s="8">
        <v>9.0</v>
      </c>
      <c r="C6069" s="7" t="s">
        <v>67</v>
      </c>
      <c r="D6069" s="5" t="s">
        <v>441</v>
      </c>
      <c r="E6069" s="7" t="s">
        <v>2142</v>
      </c>
      <c r="F6069" s="7" t="s">
        <v>65</v>
      </c>
    </row>
    <row r="6070">
      <c r="A6070" s="5" t="s">
        <v>2702</v>
      </c>
      <c r="B6070" s="8">
        <v>9.0</v>
      </c>
      <c r="C6070" s="7" t="s">
        <v>67</v>
      </c>
      <c r="D6070" s="5" t="s">
        <v>441</v>
      </c>
      <c r="E6070" s="7" t="s">
        <v>2142</v>
      </c>
      <c r="F6070" s="7" t="s">
        <v>65</v>
      </c>
    </row>
    <row r="6071">
      <c r="A6071" s="5" t="s">
        <v>2930</v>
      </c>
      <c r="B6071" s="8">
        <v>9.0</v>
      </c>
      <c r="C6071" s="7" t="s">
        <v>67</v>
      </c>
      <c r="D6071" s="5" t="s">
        <v>441</v>
      </c>
      <c r="E6071" s="7" t="s">
        <v>2142</v>
      </c>
      <c r="F6071" s="7" t="s">
        <v>65</v>
      </c>
    </row>
    <row r="6072">
      <c r="A6072" s="5" t="s">
        <v>2600</v>
      </c>
      <c r="B6072" s="8">
        <v>9.0</v>
      </c>
      <c r="C6072" s="7" t="s">
        <v>67</v>
      </c>
      <c r="D6072" s="5" t="s">
        <v>441</v>
      </c>
      <c r="E6072" s="7" t="s">
        <v>2142</v>
      </c>
      <c r="F6072" s="7" t="s">
        <v>65</v>
      </c>
    </row>
    <row r="6073">
      <c r="A6073" s="5" t="s">
        <v>3802</v>
      </c>
      <c r="B6073" s="8">
        <v>9.0</v>
      </c>
      <c r="C6073" s="7" t="s">
        <v>67</v>
      </c>
      <c r="D6073" s="5" t="s">
        <v>441</v>
      </c>
      <c r="E6073" s="7" t="s">
        <v>2142</v>
      </c>
      <c r="F6073" s="7" t="s">
        <v>65</v>
      </c>
    </row>
    <row r="6074">
      <c r="A6074" s="5" t="s">
        <v>3090</v>
      </c>
      <c r="B6074" s="8">
        <v>9.0</v>
      </c>
      <c r="C6074" s="7" t="s">
        <v>67</v>
      </c>
      <c r="D6074" s="5" t="s">
        <v>441</v>
      </c>
      <c r="E6074" s="7" t="s">
        <v>2142</v>
      </c>
      <c r="F6074" s="7" t="s">
        <v>71</v>
      </c>
    </row>
    <row r="6075">
      <c r="A6075" s="7" t="s">
        <v>606</v>
      </c>
      <c r="B6075" s="8">
        <v>9.0</v>
      </c>
      <c r="C6075" s="7" t="s">
        <v>67</v>
      </c>
      <c r="D6075" s="5" t="s">
        <v>441</v>
      </c>
      <c r="E6075" s="7" t="s">
        <v>2142</v>
      </c>
      <c r="F6075" s="7" t="s">
        <v>65</v>
      </c>
    </row>
    <row r="6076">
      <c r="A6076" s="5" t="s">
        <v>2602</v>
      </c>
      <c r="B6076" s="8">
        <v>9.0</v>
      </c>
      <c r="C6076" s="7" t="s">
        <v>67</v>
      </c>
      <c r="D6076" s="5" t="s">
        <v>441</v>
      </c>
      <c r="E6076" s="7" t="s">
        <v>2142</v>
      </c>
      <c r="F6076" s="7" t="s">
        <v>65</v>
      </c>
    </row>
    <row r="6077">
      <c r="A6077" s="5" t="s">
        <v>2931</v>
      </c>
      <c r="B6077" s="8">
        <v>9.0</v>
      </c>
      <c r="C6077" s="7" t="s">
        <v>67</v>
      </c>
      <c r="D6077" s="5" t="s">
        <v>441</v>
      </c>
      <c r="E6077" s="7" t="s">
        <v>2142</v>
      </c>
      <c r="F6077" s="7" t="s">
        <v>65</v>
      </c>
    </row>
    <row r="6078">
      <c r="A6078" s="7" t="s">
        <v>874</v>
      </c>
      <c r="B6078" s="8">
        <v>9.0</v>
      </c>
      <c r="C6078" s="7" t="s">
        <v>67</v>
      </c>
      <c r="D6078" s="5" t="s">
        <v>441</v>
      </c>
      <c r="E6078" s="7" t="s">
        <v>2142</v>
      </c>
      <c r="F6078" s="7" t="s">
        <v>65</v>
      </c>
    </row>
    <row r="6079">
      <c r="A6079" s="5" t="s">
        <v>2932</v>
      </c>
      <c r="B6079" s="8">
        <v>9.0</v>
      </c>
      <c r="C6079" s="7" t="s">
        <v>67</v>
      </c>
      <c r="D6079" s="5" t="s">
        <v>441</v>
      </c>
      <c r="E6079" s="7" t="s">
        <v>2142</v>
      </c>
      <c r="F6079" s="7" t="s">
        <v>65</v>
      </c>
    </row>
    <row r="6080">
      <c r="A6080" s="5" t="s">
        <v>3091</v>
      </c>
      <c r="B6080" s="8">
        <v>9.0</v>
      </c>
      <c r="C6080" s="7" t="s">
        <v>67</v>
      </c>
      <c r="D6080" s="5" t="s">
        <v>441</v>
      </c>
      <c r="E6080" s="7" t="s">
        <v>2142</v>
      </c>
      <c r="F6080" s="7" t="s">
        <v>65</v>
      </c>
    </row>
    <row r="6081">
      <c r="A6081" s="5" t="s">
        <v>2605</v>
      </c>
      <c r="B6081" s="8">
        <v>9.0</v>
      </c>
      <c r="C6081" s="7" t="s">
        <v>67</v>
      </c>
      <c r="D6081" s="5" t="s">
        <v>441</v>
      </c>
      <c r="E6081" s="7" t="s">
        <v>2142</v>
      </c>
      <c r="F6081" s="7" t="s">
        <v>65</v>
      </c>
    </row>
    <row r="6082">
      <c r="A6082" s="7" t="s">
        <v>1989</v>
      </c>
      <c r="B6082" s="8">
        <v>9.0</v>
      </c>
      <c r="C6082" s="7" t="s">
        <v>67</v>
      </c>
      <c r="D6082" s="5" t="s">
        <v>441</v>
      </c>
      <c r="E6082" s="7" t="s">
        <v>2142</v>
      </c>
      <c r="F6082" s="7" t="s">
        <v>65</v>
      </c>
    </row>
    <row r="6083">
      <c r="A6083" s="5" t="s">
        <v>2933</v>
      </c>
      <c r="B6083" s="8">
        <v>9.0</v>
      </c>
      <c r="C6083" s="7" t="s">
        <v>67</v>
      </c>
      <c r="D6083" s="5" t="s">
        <v>441</v>
      </c>
      <c r="E6083" s="7" t="s">
        <v>2142</v>
      </c>
      <c r="F6083" s="7" t="s">
        <v>65</v>
      </c>
    </row>
    <row r="6084">
      <c r="A6084" s="5" t="s">
        <v>2606</v>
      </c>
      <c r="B6084" s="8">
        <v>9.0</v>
      </c>
      <c r="C6084" s="7" t="s">
        <v>67</v>
      </c>
      <c r="D6084" s="5" t="s">
        <v>441</v>
      </c>
      <c r="E6084" s="7" t="s">
        <v>2142</v>
      </c>
      <c r="F6084" s="7" t="s">
        <v>65</v>
      </c>
    </row>
    <row r="6085">
      <c r="A6085" s="5" t="s">
        <v>2934</v>
      </c>
      <c r="B6085" s="8">
        <v>9.0</v>
      </c>
      <c r="C6085" s="7" t="s">
        <v>67</v>
      </c>
      <c r="D6085" s="5" t="s">
        <v>441</v>
      </c>
      <c r="E6085" s="7" t="s">
        <v>2142</v>
      </c>
      <c r="F6085" s="7" t="s">
        <v>65</v>
      </c>
    </row>
    <row r="6086">
      <c r="A6086" s="5" t="s">
        <v>2607</v>
      </c>
      <c r="B6086" s="8">
        <v>9.0</v>
      </c>
      <c r="C6086" s="7" t="s">
        <v>67</v>
      </c>
      <c r="D6086" s="5" t="s">
        <v>441</v>
      </c>
      <c r="E6086" s="7" t="s">
        <v>2142</v>
      </c>
      <c r="F6086" s="7" t="s">
        <v>65</v>
      </c>
    </row>
    <row r="6087">
      <c r="A6087" s="7" t="s">
        <v>1990</v>
      </c>
      <c r="B6087" s="8">
        <v>9.0</v>
      </c>
      <c r="C6087" s="7" t="s">
        <v>67</v>
      </c>
      <c r="D6087" s="5" t="s">
        <v>441</v>
      </c>
      <c r="E6087" s="7" t="s">
        <v>2142</v>
      </c>
      <c r="F6087" s="7" t="s">
        <v>65</v>
      </c>
    </row>
    <row r="6088">
      <c r="A6088" s="5" t="s">
        <v>2935</v>
      </c>
      <c r="B6088" s="8">
        <v>9.0</v>
      </c>
      <c r="C6088" s="7" t="s">
        <v>67</v>
      </c>
      <c r="D6088" s="5" t="s">
        <v>441</v>
      </c>
      <c r="E6088" s="7" t="s">
        <v>2142</v>
      </c>
      <c r="F6088" s="7" t="s">
        <v>65</v>
      </c>
    </row>
    <row r="6089">
      <c r="A6089" s="5" t="s">
        <v>2936</v>
      </c>
      <c r="B6089" s="8">
        <v>9.0</v>
      </c>
      <c r="C6089" s="7" t="s">
        <v>67</v>
      </c>
      <c r="D6089" s="5" t="s">
        <v>441</v>
      </c>
      <c r="E6089" s="7" t="s">
        <v>2142</v>
      </c>
      <c r="F6089" s="7" t="s">
        <v>65</v>
      </c>
    </row>
    <row r="6090">
      <c r="A6090" s="5" t="s">
        <v>2608</v>
      </c>
      <c r="B6090" s="8">
        <v>9.0</v>
      </c>
      <c r="C6090" s="7" t="s">
        <v>67</v>
      </c>
      <c r="D6090" s="5" t="s">
        <v>441</v>
      </c>
      <c r="E6090" s="7" t="s">
        <v>2142</v>
      </c>
      <c r="F6090" s="7" t="s">
        <v>65</v>
      </c>
    </row>
    <row r="6091">
      <c r="A6091" s="5" t="s">
        <v>2609</v>
      </c>
      <c r="B6091" s="8">
        <v>9.0</v>
      </c>
      <c r="C6091" s="7" t="s">
        <v>67</v>
      </c>
      <c r="D6091" s="5" t="s">
        <v>441</v>
      </c>
      <c r="E6091" s="7" t="s">
        <v>2142</v>
      </c>
      <c r="F6091" s="7" t="s">
        <v>65</v>
      </c>
    </row>
    <row r="6092">
      <c r="A6092" s="5" t="s">
        <v>3791</v>
      </c>
      <c r="B6092" s="8">
        <v>9.0</v>
      </c>
      <c r="C6092" s="7" t="s">
        <v>72</v>
      </c>
      <c r="D6092" s="7" t="s">
        <v>2144</v>
      </c>
      <c r="E6092" s="5" t="s">
        <v>3898</v>
      </c>
      <c r="F6092" s="5" t="s">
        <v>365</v>
      </c>
    </row>
    <row r="6093">
      <c r="A6093" s="7" t="s">
        <v>188</v>
      </c>
      <c r="B6093" s="8">
        <v>9.0</v>
      </c>
      <c r="C6093" s="7" t="s">
        <v>72</v>
      </c>
      <c r="D6093" s="7" t="s">
        <v>2144</v>
      </c>
      <c r="E6093" s="5" t="s">
        <v>3898</v>
      </c>
      <c r="F6093" s="5" t="s">
        <v>365</v>
      </c>
    </row>
    <row r="6094">
      <c r="A6094" s="5" t="s">
        <v>2924</v>
      </c>
      <c r="B6094" s="8">
        <v>9.0</v>
      </c>
      <c r="C6094" s="7" t="s">
        <v>72</v>
      </c>
      <c r="D6094" s="7" t="s">
        <v>2144</v>
      </c>
      <c r="E6094" s="5" t="s">
        <v>3898</v>
      </c>
      <c r="F6094" s="5" t="s">
        <v>77</v>
      </c>
    </row>
    <row r="6095">
      <c r="A6095" s="5" t="s">
        <v>2796</v>
      </c>
      <c r="B6095" s="8">
        <v>9.0</v>
      </c>
      <c r="C6095" s="7" t="s">
        <v>72</v>
      </c>
      <c r="D6095" s="7" t="s">
        <v>2144</v>
      </c>
      <c r="E6095" s="5" t="s">
        <v>3898</v>
      </c>
      <c r="F6095" s="5" t="s">
        <v>3899</v>
      </c>
    </row>
    <row r="6096">
      <c r="A6096" s="5" t="s">
        <v>2925</v>
      </c>
      <c r="B6096" s="8">
        <v>9.0</v>
      </c>
      <c r="C6096" s="7" t="s">
        <v>72</v>
      </c>
      <c r="D6096" s="7" t="s">
        <v>2144</v>
      </c>
      <c r="E6096" s="5" t="s">
        <v>3898</v>
      </c>
      <c r="F6096" s="5" t="s">
        <v>365</v>
      </c>
    </row>
    <row r="6097">
      <c r="A6097" s="5" t="s">
        <v>3086</v>
      </c>
      <c r="B6097" s="8">
        <v>9.0</v>
      </c>
      <c r="C6097" s="7" t="s">
        <v>72</v>
      </c>
      <c r="D6097" s="7" t="s">
        <v>2144</v>
      </c>
      <c r="E6097" s="5" t="s">
        <v>3898</v>
      </c>
      <c r="F6097" s="5" t="s">
        <v>77</v>
      </c>
    </row>
    <row r="6098">
      <c r="A6098" s="5" t="s">
        <v>3795</v>
      </c>
      <c r="B6098" s="8">
        <v>9.0</v>
      </c>
      <c r="C6098" s="7" t="s">
        <v>72</v>
      </c>
      <c r="D6098" s="7" t="s">
        <v>2144</v>
      </c>
      <c r="E6098" s="5" t="s">
        <v>3898</v>
      </c>
      <c r="F6098" s="5" t="s">
        <v>365</v>
      </c>
    </row>
    <row r="6099">
      <c r="A6099" s="7" t="s">
        <v>868</v>
      </c>
      <c r="B6099" s="8">
        <v>9.0</v>
      </c>
      <c r="C6099" s="7" t="s">
        <v>72</v>
      </c>
      <c r="D6099" s="7" t="s">
        <v>2144</v>
      </c>
      <c r="E6099" s="5" t="s">
        <v>3898</v>
      </c>
      <c r="F6099" s="5" t="s">
        <v>365</v>
      </c>
    </row>
    <row r="6100">
      <c r="A6100" s="5" t="s">
        <v>3087</v>
      </c>
      <c r="B6100" s="8">
        <v>9.0</v>
      </c>
      <c r="C6100" s="7" t="s">
        <v>72</v>
      </c>
      <c r="D6100" s="7" t="s">
        <v>2144</v>
      </c>
      <c r="E6100" s="5" t="s">
        <v>3898</v>
      </c>
      <c r="F6100" s="5" t="s">
        <v>77</v>
      </c>
    </row>
    <row r="6101">
      <c r="A6101" s="5" t="s">
        <v>2926</v>
      </c>
      <c r="B6101" s="8">
        <v>9.0</v>
      </c>
      <c r="C6101" s="7" t="s">
        <v>72</v>
      </c>
      <c r="D6101" s="7" t="s">
        <v>2144</v>
      </c>
      <c r="E6101" s="5" t="s">
        <v>3898</v>
      </c>
      <c r="F6101" s="5" t="s">
        <v>3900</v>
      </c>
    </row>
    <row r="6102">
      <c r="A6102" s="5" t="s">
        <v>3088</v>
      </c>
      <c r="B6102" s="8">
        <v>9.0</v>
      </c>
      <c r="C6102" s="7" t="s">
        <v>72</v>
      </c>
      <c r="D6102" s="7" t="s">
        <v>2144</v>
      </c>
      <c r="E6102" s="5" t="s">
        <v>3898</v>
      </c>
      <c r="F6102" s="5" t="s">
        <v>365</v>
      </c>
    </row>
    <row r="6103">
      <c r="A6103" s="5" t="s">
        <v>3388</v>
      </c>
      <c r="B6103" s="8">
        <v>9.0</v>
      </c>
      <c r="C6103" s="7" t="s">
        <v>72</v>
      </c>
      <c r="D6103" s="7" t="s">
        <v>2144</v>
      </c>
      <c r="E6103" s="5" t="s">
        <v>3898</v>
      </c>
      <c r="F6103" s="5" t="s">
        <v>365</v>
      </c>
    </row>
    <row r="6104">
      <c r="A6104" s="5" t="s">
        <v>2927</v>
      </c>
      <c r="B6104" s="8">
        <v>9.0</v>
      </c>
      <c r="C6104" s="7" t="s">
        <v>72</v>
      </c>
      <c r="D6104" s="7" t="s">
        <v>2144</v>
      </c>
      <c r="E6104" s="5" t="s">
        <v>3898</v>
      </c>
      <c r="F6104" s="5" t="s">
        <v>77</v>
      </c>
    </row>
    <row r="6105">
      <c r="A6105" s="5" t="s">
        <v>3089</v>
      </c>
      <c r="B6105" s="8">
        <v>9.0</v>
      </c>
      <c r="C6105" s="7" t="s">
        <v>72</v>
      </c>
      <c r="D6105" s="7" t="s">
        <v>2144</v>
      </c>
      <c r="E6105" s="5" t="s">
        <v>3898</v>
      </c>
      <c r="F6105" s="5" t="s">
        <v>3901</v>
      </c>
    </row>
    <row r="6106">
      <c r="A6106" s="5" t="s">
        <v>2928</v>
      </c>
      <c r="B6106" s="8">
        <v>9.0</v>
      </c>
      <c r="C6106" s="7" t="s">
        <v>72</v>
      </c>
      <c r="D6106" s="7" t="s">
        <v>2144</v>
      </c>
      <c r="E6106" s="5" t="s">
        <v>3898</v>
      </c>
      <c r="F6106" s="5" t="s">
        <v>77</v>
      </c>
    </row>
    <row r="6107">
      <c r="A6107" s="7" t="s">
        <v>603</v>
      </c>
      <c r="B6107" s="8">
        <v>9.0</v>
      </c>
      <c r="C6107" s="7" t="s">
        <v>72</v>
      </c>
      <c r="D6107" s="7" t="s">
        <v>2144</v>
      </c>
      <c r="E6107" s="5" t="s">
        <v>3898</v>
      </c>
      <c r="F6107" s="5" t="s">
        <v>77</v>
      </c>
    </row>
    <row r="6108">
      <c r="A6108" s="5" t="s">
        <v>2929</v>
      </c>
      <c r="B6108" s="8">
        <v>9.0</v>
      </c>
      <c r="C6108" s="7" t="s">
        <v>72</v>
      </c>
      <c r="D6108" s="7" t="s">
        <v>2144</v>
      </c>
      <c r="E6108" s="5" t="s">
        <v>3898</v>
      </c>
      <c r="F6108" s="5" t="s">
        <v>3902</v>
      </c>
    </row>
    <row r="6109">
      <c r="A6109" s="5" t="s">
        <v>2702</v>
      </c>
      <c r="B6109" s="8">
        <v>9.0</v>
      </c>
      <c r="C6109" s="7" t="s">
        <v>72</v>
      </c>
      <c r="D6109" s="7" t="s">
        <v>2144</v>
      </c>
      <c r="E6109" s="5" t="s">
        <v>3898</v>
      </c>
      <c r="F6109" s="5" t="s">
        <v>76</v>
      </c>
    </row>
    <row r="6110">
      <c r="A6110" s="5" t="s">
        <v>2930</v>
      </c>
      <c r="B6110" s="8">
        <v>9.0</v>
      </c>
      <c r="C6110" s="7" t="s">
        <v>72</v>
      </c>
      <c r="D6110" s="7" t="s">
        <v>2144</v>
      </c>
      <c r="E6110" s="5" t="s">
        <v>3898</v>
      </c>
      <c r="F6110" s="5" t="s">
        <v>77</v>
      </c>
    </row>
    <row r="6111">
      <c r="A6111" s="5" t="s">
        <v>2600</v>
      </c>
      <c r="B6111" s="8">
        <v>9.0</v>
      </c>
      <c r="C6111" s="7" t="s">
        <v>72</v>
      </c>
      <c r="D6111" s="7" t="s">
        <v>2144</v>
      </c>
      <c r="E6111" s="5" t="s">
        <v>3898</v>
      </c>
      <c r="F6111" s="5" t="s">
        <v>76</v>
      </c>
    </row>
    <row r="6112">
      <c r="A6112" s="5" t="s">
        <v>3802</v>
      </c>
      <c r="B6112" s="8">
        <v>9.0</v>
      </c>
      <c r="C6112" s="7" t="s">
        <v>72</v>
      </c>
      <c r="D6112" s="7" t="s">
        <v>2144</v>
      </c>
      <c r="E6112" s="5" t="s">
        <v>3898</v>
      </c>
      <c r="F6112" s="5" t="s">
        <v>76</v>
      </c>
    </row>
    <row r="6113">
      <c r="A6113" s="5" t="s">
        <v>3090</v>
      </c>
      <c r="B6113" s="8">
        <v>9.0</v>
      </c>
      <c r="C6113" s="7" t="s">
        <v>72</v>
      </c>
      <c r="D6113" s="7" t="s">
        <v>2144</v>
      </c>
      <c r="E6113" s="5" t="s">
        <v>3898</v>
      </c>
      <c r="F6113" s="5" t="s">
        <v>76</v>
      </c>
    </row>
    <row r="6114">
      <c r="A6114" s="7" t="s">
        <v>606</v>
      </c>
      <c r="B6114" s="8">
        <v>9.0</v>
      </c>
      <c r="C6114" s="7" t="s">
        <v>72</v>
      </c>
      <c r="D6114" s="7" t="s">
        <v>2144</v>
      </c>
      <c r="E6114" s="5" t="s">
        <v>3898</v>
      </c>
      <c r="F6114" s="5" t="s">
        <v>77</v>
      </c>
    </row>
    <row r="6115">
      <c r="A6115" s="5" t="s">
        <v>2602</v>
      </c>
      <c r="B6115" s="8">
        <v>9.0</v>
      </c>
      <c r="C6115" s="7" t="s">
        <v>72</v>
      </c>
      <c r="D6115" s="7" t="s">
        <v>2144</v>
      </c>
      <c r="E6115" s="5" t="s">
        <v>3898</v>
      </c>
      <c r="F6115" s="5" t="s">
        <v>77</v>
      </c>
    </row>
    <row r="6116">
      <c r="A6116" s="5" t="s">
        <v>2931</v>
      </c>
      <c r="B6116" s="8">
        <v>9.0</v>
      </c>
      <c r="C6116" s="7" t="s">
        <v>72</v>
      </c>
      <c r="D6116" s="7" t="s">
        <v>2144</v>
      </c>
      <c r="E6116" s="5" t="s">
        <v>3898</v>
      </c>
      <c r="F6116" s="5" t="s">
        <v>76</v>
      </c>
    </row>
    <row r="6117">
      <c r="A6117" s="7" t="s">
        <v>874</v>
      </c>
      <c r="B6117" s="8">
        <v>9.0</v>
      </c>
      <c r="C6117" s="7" t="s">
        <v>72</v>
      </c>
      <c r="D6117" s="7" t="s">
        <v>2144</v>
      </c>
      <c r="E6117" s="5" t="s">
        <v>3898</v>
      </c>
      <c r="F6117" s="5" t="s">
        <v>76</v>
      </c>
    </row>
    <row r="6118">
      <c r="A6118" s="5" t="s">
        <v>2932</v>
      </c>
      <c r="B6118" s="8">
        <v>9.0</v>
      </c>
      <c r="C6118" s="7" t="s">
        <v>72</v>
      </c>
      <c r="D6118" s="7" t="s">
        <v>2144</v>
      </c>
      <c r="E6118" s="5" t="s">
        <v>3898</v>
      </c>
      <c r="F6118" s="5" t="s">
        <v>76</v>
      </c>
    </row>
    <row r="6119">
      <c r="A6119" s="5" t="s">
        <v>3091</v>
      </c>
      <c r="B6119" s="8">
        <v>9.0</v>
      </c>
      <c r="C6119" s="7" t="s">
        <v>72</v>
      </c>
      <c r="D6119" s="7" t="s">
        <v>2144</v>
      </c>
      <c r="E6119" s="5" t="s">
        <v>3898</v>
      </c>
      <c r="F6119" s="5" t="s">
        <v>76</v>
      </c>
    </row>
    <row r="6120">
      <c r="A6120" s="5" t="s">
        <v>2605</v>
      </c>
      <c r="B6120" s="8">
        <v>9.0</v>
      </c>
      <c r="C6120" s="7" t="s">
        <v>72</v>
      </c>
      <c r="D6120" s="7" t="s">
        <v>2144</v>
      </c>
      <c r="E6120" s="5" t="s">
        <v>3898</v>
      </c>
      <c r="F6120" s="5" t="s">
        <v>76</v>
      </c>
    </row>
    <row r="6121">
      <c r="A6121" s="7" t="s">
        <v>1989</v>
      </c>
      <c r="B6121" s="8">
        <v>9.0</v>
      </c>
      <c r="C6121" s="7" t="s">
        <v>72</v>
      </c>
      <c r="D6121" s="7" t="s">
        <v>2144</v>
      </c>
      <c r="E6121" s="5" t="s">
        <v>3898</v>
      </c>
      <c r="F6121" s="5" t="s">
        <v>76</v>
      </c>
    </row>
    <row r="6122">
      <c r="A6122" s="5" t="s">
        <v>2933</v>
      </c>
      <c r="B6122" s="8">
        <v>9.0</v>
      </c>
      <c r="C6122" s="7" t="s">
        <v>72</v>
      </c>
      <c r="D6122" s="7" t="s">
        <v>2144</v>
      </c>
      <c r="E6122" s="5" t="s">
        <v>3898</v>
      </c>
      <c r="F6122" s="5" t="s">
        <v>77</v>
      </c>
    </row>
    <row r="6123">
      <c r="A6123" s="5" t="s">
        <v>2606</v>
      </c>
      <c r="B6123" s="8">
        <v>9.0</v>
      </c>
      <c r="C6123" s="7" t="s">
        <v>72</v>
      </c>
      <c r="D6123" s="7" t="s">
        <v>2144</v>
      </c>
      <c r="E6123" s="5" t="s">
        <v>3898</v>
      </c>
      <c r="F6123" s="5" t="s">
        <v>77</v>
      </c>
    </row>
    <row r="6124">
      <c r="A6124" s="5" t="s">
        <v>2607</v>
      </c>
      <c r="B6124" s="8">
        <v>9.0</v>
      </c>
      <c r="C6124" s="7" t="s">
        <v>72</v>
      </c>
      <c r="D6124" s="7" t="s">
        <v>2144</v>
      </c>
      <c r="E6124" s="5" t="s">
        <v>3898</v>
      </c>
      <c r="F6124" s="5" t="s">
        <v>77</v>
      </c>
    </row>
    <row r="6125">
      <c r="A6125" s="7" t="s">
        <v>1990</v>
      </c>
      <c r="B6125" s="8">
        <v>9.0</v>
      </c>
      <c r="C6125" s="7" t="s">
        <v>72</v>
      </c>
      <c r="D6125" s="7" t="s">
        <v>2144</v>
      </c>
      <c r="E6125" s="5" t="s">
        <v>3898</v>
      </c>
      <c r="F6125" s="5" t="s">
        <v>76</v>
      </c>
    </row>
    <row r="6126">
      <c r="A6126" s="5" t="s">
        <v>2936</v>
      </c>
      <c r="B6126" s="8">
        <v>9.0</v>
      </c>
      <c r="C6126" s="7" t="s">
        <v>72</v>
      </c>
      <c r="D6126" s="7" t="s">
        <v>2144</v>
      </c>
      <c r="E6126" s="5" t="s">
        <v>3898</v>
      </c>
      <c r="F6126" s="5" t="s">
        <v>77</v>
      </c>
    </row>
    <row r="6127">
      <c r="A6127" s="5" t="s">
        <v>2608</v>
      </c>
      <c r="B6127" s="8">
        <v>9.0</v>
      </c>
      <c r="C6127" s="7" t="s">
        <v>72</v>
      </c>
      <c r="D6127" s="7" t="s">
        <v>2144</v>
      </c>
      <c r="E6127" s="5" t="s">
        <v>3898</v>
      </c>
      <c r="F6127" s="5" t="s">
        <v>77</v>
      </c>
    </row>
    <row r="6128">
      <c r="A6128" s="5" t="s">
        <v>2609</v>
      </c>
      <c r="B6128" s="8">
        <v>9.0</v>
      </c>
      <c r="C6128" s="7" t="s">
        <v>72</v>
      </c>
      <c r="D6128" s="7" t="s">
        <v>2144</v>
      </c>
      <c r="E6128" s="5" t="s">
        <v>3898</v>
      </c>
      <c r="F6128" s="5" t="s">
        <v>77</v>
      </c>
    </row>
    <row r="6129">
      <c r="A6129" s="5" t="s">
        <v>3791</v>
      </c>
      <c r="B6129" s="8">
        <v>9.0</v>
      </c>
      <c r="C6129" s="7" t="s">
        <v>78</v>
      </c>
      <c r="D6129" s="7" t="s">
        <v>2150</v>
      </c>
      <c r="E6129" s="5" t="s">
        <v>3903</v>
      </c>
      <c r="F6129" s="4" t="s">
        <v>3904</v>
      </c>
    </row>
    <row r="6130">
      <c r="A6130" s="7" t="s">
        <v>188</v>
      </c>
      <c r="B6130" s="8">
        <v>9.0</v>
      </c>
      <c r="C6130" s="7" t="s">
        <v>78</v>
      </c>
      <c r="D6130" s="7" t="s">
        <v>2150</v>
      </c>
      <c r="E6130" s="5" t="s">
        <v>3903</v>
      </c>
      <c r="F6130" s="4" t="s">
        <v>2724</v>
      </c>
    </row>
    <row r="6131">
      <c r="A6131" s="5" t="s">
        <v>2924</v>
      </c>
      <c r="B6131" s="8">
        <v>9.0</v>
      </c>
      <c r="C6131" s="7" t="s">
        <v>78</v>
      </c>
      <c r="D6131" s="7" t="s">
        <v>2150</v>
      </c>
      <c r="E6131" s="5" t="s">
        <v>3903</v>
      </c>
      <c r="F6131" s="5" t="s">
        <v>3905</v>
      </c>
    </row>
    <row r="6132">
      <c r="A6132" s="5" t="s">
        <v>2796</v>
      </c>
      <c r="B6132" s="8">
        <v>9.0</v>
      </c>
      <c r="C6132" s="7" t="s">
        <v>78</v>
      </c>
      <c r="D6132" s="7" t="s">
        <v>2150</v>
      </c>
      <c r="E6132" s="5" t="s">
        <v>3903</v>
      </c>
      <c r="F6132" s="5" t="s">
        <v>3155</v>
      </c>
    </row>
    <row r="6133">
      <c r="A6133" s="5" t="s">
        <v>2925</v>
      </c>
      <c r="B6133" s="8">
        <v>9.0</v>
      </c>
      <c r="C6133" s="7" t="s">
        <v>78</v>
      </c>
      <c r="D6133" s="7" t="s">
        <v>2150</v>
      </c>
      <c r="E6133" s="5" t="s">
        <v>3903</v>
      </c>
      <c r="F6133" s="5" t="s">
        <v>3906</v>
      </c>
    </row>
    <row r="6134">
      <c r="A6134" s="5" t="s">
        <v>3086</v>
      </c>
      <c r="B6134" s="8">
        <v>9.0</v>
      </c>
      <c r="C6134" s="7" t="s">
        <v>78</v>
      </c>
      <c r="D6134" s="7" t="s">
        <v>2150</v>
      </c>
      <c r="E6134" s="5" t="s">
        <v>3903</v>
      </c>
      <c r="F6134" s="5" t="s">
        <v>3156</v>
      </c>
    </row>
    <row r="6135">
      <c r="A6135" s="5" t="s">
        <v>3795</v>
      </c>
      <c r="B6135" s="8">
        <v>9.0</v>
      </c>
      <c r="C6135" s="7" t="s">
        <v>78</v>
      </c>
      <c r="D6135" s="7" t="s">
        <v>2150</v>
      </c>
      <c r="E6135" s="5" t="s">
        <v>3903</v>
      </c>
      <c r="F6135" s="5" t="s">
        <v>3155</v>
      </c>
    </row>
    <row r="6136">
      <c r="A6136" s="7" t="s">
        <v>868</v>
      </c>
      <c r="B6136" s="8">
        <v>9.0</v>
      </c>
      <c r="C6136" s="7" t="s">
        <v>78</v>
      </c>
      <c r="D6136" s="7" t="s">
        <v>2150</v>
      </c>
      <c r="E6136" s="5" t="s">
        <v>3903</v>
      </c>
      <c r="F6136" s="5" t="s">
        <v>3155</v>
      </c>
    </row>
    <row r="6137">
      <c r="A6137" s="5" t="s">
        <v>3087</v>
      </c>
      <c r="B6137" s="8">
        <v>9.0</v>
      </c>
      <c r="C6137" s="7" t="s">
        <v>78</v>
      </c>
      <c r="D6137" s="7" t="s">
        <v>2150</v>
      </c>
      <c r="E6137" s="5" t="s">
        <v>3903</v>
      </c>
      <c r="F6137" s="5" t="s">
        <v>3157</v>
      </c>
    </row>
    <row r="6138">
      <c r="A6138" s="5" t="s">
        <v>2926</v>
      </c>
      <c r="B6138" s="8">
        <v>9.0</v>
      </c>
      <c r="C6138" s="7" t="s">
        <v>78</v>
      </c>
      <c r="D6138" s="7" t="s">
        <v>2150</v>
      </c>
      <c r="E6138" s="5" t="s">
        <v>3903</v>
      </c>
      <c r="F6138" s="5" t="s">
        <v>3907</v>
      </c>
    </row>
    <row r="6139">
      <c r="A6139" s="5" t="s">
        <v>3088</v>
      </c>
      <c r="B6139" s="8">
        <v>9.0</v>
      </c>
      <c r="C6139" s="7" t="s">
        <v>78</v>
      </c>
      <c r="D6139" s="7" t="s">
        <v>2150</v>
      </c>
      <c r="E6139" s="5" t="s">
        <v>3903</v>
      </c>
      <c r="F6139" s="5" t="s">
        <v>3908</v>
      </c>
    </row>
    <row r="6140">
      <c r="A6140" s="5" t="s">
        <v>3388</v>
      </c>
      <c r="B6140" s="8">
        <v>9.0</v>
      </c>
      <c r="C6140" s="7" t="s">
        <v>78</v>
      </c>
      <c r="D6140" s="7" t="s">
        <v>2150</v>
      </c>
      <c r="E6140" s="5" t="s">
        <v>3903</v>
      </c>
      <c r="F6140" s="5" t="s">
        <v>3159</v>
      </c>
    </row>
    <row r="6141">
      <c r="A6141" s="5" t="s">
        <v>2927</v>
      </c>
      <c r="B6141" s="8">
        <v>9.0</v>
      </c>
      <c r="C6141" s="7" t="s">
        <v>78</v>
      </c>
      <c r="D6141" s="7" t="s">
        <v>2150</v>
      </c>
      <c r="E6141" s="5" t="s">
        <v>3903</v>
      </c>
      <c r="F6141" s="5" t="s">
        <v>3909</v>
      </c>
    </row>
    <row r="6142">
      <c r="A6142" s="5" t="s">
        <v>2928</v>
      </c>
      <c r="B6142" s="8">
        <v>9.0</v>
      </c>
      <c r="C6142" s="7" t="s">
        <v>78</v>
      </c>
      <c r="D6142" s="7" t="s">
        <v>2150</v>
      </c>
      <c r="E6142" s="5" t="s">
        <v>3903</v>
      </c>
      <c r="F6142" s="5" t="s">
        <v>3632</v>
      </c>
    </row>
    <row r="6143">
      <c r="A6143" s="7" t="s">
        <v>603</v>
      </c>
      <c r="B6143" s="8">
        <v>9.0</v>
      </c>
      <c r="C6143" s="7" t="s">
        <v>78</v>
      </c>
      <c r="D6143" s="7" t="s">
        <v>2150</v>
      </c>
      <c r="E6143" s="5" t="s">
        <v>3903</v>
      </c>
      <c r="F6143" s="5" t="s">
        <v>3415</v>
      </c>
    </row>
    <row r="6144">
      <c r="A6144" s="5" t="s">
        <v>2929</v>
      </c>
      <c r="B6144" s="8">
        <v>9.0</v>
      </c>
      <c r="C6144" s="7" t="s">
        <v>78</v>
      </c>
      <c r="D6144" s="7" t="s">
        <v>2150</v>
      </c>
      <c r="E6144" s="5" t="s">
        <v>3903</v>
      </c>
      <c r="F6144" s="5" t="s">
        <v>2158</v>
      </c>
    </row>
    <row r="6145">
      <c r="A6145" s="5" t="s">
        <v>2702</v>
      </c>
      <c r="B6145" s="8">
        <v>9.0</v>
      </c>
      <c r="C6145" s="7" t="s">
        <v>78</v>
      </c>
      <c r="D6145" s="7" t="s">
        <v>2150</v>
      </c>
      <c r="E6145" s="5" t="s">
        <v>3903</v>
      </c>
      <c r="F6145" s="5" t="s">
        <v>3910</v>
      </c>
    </row>
    <row r="6146">
      <c r="A6146" s="5" t="s">
        <v>2930</v>
      </c>
      <c r="B6146" s="8">
        <v>9.0</v>
      </c>
      <c r="C6146" s="7" t="s">
        <v>78</v>
      </c>
      <c r="D6146" s="7" t="s">
        <v>2150</v>
      </c>
      <c r="E6146" s="5" t="s">
        <v>3903</v>
      </c>
      <c r="F6146" s="5" t="s">
        <v>3416</v>
      </c>
    </row>
    <row r="6147">
      <c r="A6147" s="5" t="s">
        <v>2600</v>
      </c>
      <c r="B6147" s="8">
        <v>9.0</v>
      </c>
      <c r="C6147" s="7" t="s">
        <v>78</v>
      </c>
      <c r="D6147" s="7" t="s">
        <v>2150</v>
      </c>
      <c r="E6147" s="5" t="s">
        <v>3903</v>
      </c>
      <c r="F6147" s="5" t="s">
        <v>2627</v>
      </c>
    </row>
    <row r="6148">
      <c r="A6148" s="5" t="s">
        <v>3802</v>
      </c>
      <c r="B6148" s="8">
        <v>9.0</v>
      </c>
      <c r="C6148" s="7" t="s">
        <v>78</v>
      </c>
      <c r="D6148" s="7" t="s">
        <v>2150</v>
      </c>
      <c r="E6148" s="5" t="s">
        <v>3903</v>
      </c>
      <c r="F6148" s="5" t="s">
        <v>2627</v>
      </c>
    </row>
    <row r="6149">
      <c r="A6149" s="5" t="s">
        <v>3090</v>
      </c>
      <c r="B6149" s="8">
        <v>9.0</v>
      </c>
      <c r="C6149" s="7" t="s">
        <v>78</v>
      </c>
      <c r="D6149" s="7" t="s">
        <v>2150</v>
      </c>
      <c r="E6149" s="5" t="s">
        <v>3903</v>
      </c>
      <c r="F6149" s="5" t="s">
        <v>3911</v>
      </c>
    </row>
    <row r="6150">
      <c r="A6150" s="7" t="s">
        <v>606</v>
      </c>
      <c r="B6150" s="8">
        <v>9.0</v>
      </c>
      <c r="C6150" s="7" t="s">
        <v>78</v>
      </c>
      <c r="D6150" s="7" t="s">
        <v>2150</v>
      </c>
      <c r="E6150" s="5" t="s">
        <v>3903</v>
      </c>
      <c r="F6150" s="7" t="s">
        <v>1684</v>
      </c>
    </row>
    <row r="6151">
      <c r="A6151" s="5" t="s">
        <v>2602</v>
      </c>
      <c r="B6151" s="8">
        <v>9.0</v>
      </c>
      <c r="C6151" s="7" t="s">
        <v>78</v>
      </c>
      <c r="D6151" s="7" t="s">
        <v>2150</v>
      </c>
      <c r="E6151" s="5" t="s">
        <v>3903</v>
      </c>
      <c r="F6151" s="5" t="s">
        <v>1341</v>
      </c>
    </row>
    <row r="6152">
      <c r="A6152" s="5" t="s">
        <v>2931</v>
      </c>
      <c r="B6152" s="8">
        <v>9.0</v>
      </c>
      <c r="C6152" s="7" t="s">
        <v>78</v>
      </c>
      <c r="D6152" s="7" t="s">
        <v>2150</v>
      </c>
      <c r="E6152" s="5" t="s">
        <v>3903</v>
      </c>
      <c r="F6152" s="5" t="s">
        <v>3633</v>
      </c>
    </row>
    <row r="6153">
      <c r="A6153" s="7" t="s">
        <v>874</v>
      </c>
      <c r="B6153" s="8">
        <v>9.0</v>
      </c>
      <c r="C6153" s="7" t="s">
        <v>78</v>
      </c>
      <c r="D6153" s="7" t="s">
        <v>2150</v>
      </c>
      <c r="E6153" s="5" t="s">
        <v>3903</v>
      </c>
      <c r="F6153" s="5" t="s">
        <v>2627</v>
      </c>
    </row>
    <row r="6154">
      <c r="A6154" s="5" t="s">
        <v>2932</v>
      </c>
      <c r="B6154" s="8">
        <v>9.0</v>
      </c>
      <c r="C6154" s="7" t="s">
        <v>78</v>
      </c>
      <c r="D6154" s="7" t="s">
        <v>2150</v>
      </c>
      <c r="E6154" s="5" t="s">
        <v>3903</v>
      </c>
      <c r="F6154" s="5" t="s">
        <v>3912</v>
      </c>
    </row>
    <row r="6155">
      <c r="A6155" s="5" t="s">
        <v>3091</v>
      </c>
      <c r="B6155" s="8">
        <v>9.0</v>
      </c>
      <c r="C6155" s="7" t="s">
        <v>78</v>
      </c>
      <c r="D6155" s="7" t="s">
        <v>2150</v>
      </c>
      <c r="E6155" s="5" t="s">
        <v>3903</v>
      </c>
      <c r="F6155" s="5" t="s">
        <v>3913</v>
      </c>
    </row>
    <row r="6156">
      <c r="A6156" s="5" t="s">
        <v>2605</v>
      </c>
      <c r="B6156" s="8">
        <v>9.0</v>
      </c>
      <c r="C6156" s="7" t="s">
        <v>78</v>
      </c>
      <c r="D6156" s="7" t="s">
        <v>2150</v>
      </c>
      <c r="E6156" s="5" t="s">
        <v>3903</v>
      </c>
      <c r="F6156" s="5" t="s">
        <v>3914</v>
      </c>
    </row>
    <row r="6157">
      <c r="A6157" s="7" t="s">
        <v>1989</v>
      </c>
      <c r="B6157" s="8">
        <v>9.0</v>
      </c>
      <c r="C6157" s="7" t="s">
        <v>78</v>
      </c>
      <c r="D6157" s="7" t="s">
        <v>2150</v>
      </c>
      <c r="E6157" s="5" t="s">
        <v>3903</v>
      </c>
      <c r="F6157" s="5" t="s">
        <v>3915</v>
      </c>
    </row>
    <row r="6158">
      <c r="A6158" s="5" t="s">
        <v>2933</v>
      </c>
      <c r="B6158" s="8">
        <v>9.0</v>
      </c>
      <c r="C6158" s="7" t="s">
        <v>78</v>
      </c>
      <c r="D6158" s="7" t="s">
        <v>2150</v>
      </c>
      <c r="E6158" s="5" t="s">
        <v>3903</v>
      </c>
      <c r="F6158" s="5" t="s">
        <v>3913</v>
      </c>
    </row>
    <row r="6159">
      <c r="A6159" s="5" t="s">
        <v>2606</v>
      </c>
      <c r="B6159" s="8">
        <v>9.0</v>
      </c>
      <c r="C6159" s="7" t="s">
        <v>78</v>
      </c>
      <c r="D6159" s="7" t="s">
        <v>2150</v>
      </c>
      <c r="E6159" s="5" t="s">
        <v>3903</v>
      </c>
      <c r="F6159" s="5" t="s">
        <v>3916</v>
      </c>
    </row>
    <row r="6160">
      <c r="A6160" s="5" t="s">
        <v>2934</v>
      </c>
      <c r="B6160" s="8">
        <v>9.0</v>
      </c>
      <c r="C6160" s="7" t="s">
        <v>78</v>
      </c>
      <c r="D6160" s="7" t="s">
        <v>2150</v>
      </c>
      <c r="E6160" s="5" t="s">
        <v>3903</v>
      </c>
      <c r="F6160" s="5" t="s">
        <v>2166</v>
      </c>
    </row>
    <row r="6161">
      <c r="A6161" s="5" t="s">
        <v>2607</v>
      </c>
      <c r="B6161" s="8">
        <v>9.0</v>
      </c>
      <c r="C6161" s="7" t="s">
        <v>78</v>
      </c>
      <c r="D6161" s="7" t="s">
        <v>2150</v>
      </c>
      <c r="E6161" s="5" t="s">
        <v>3903</v>
      </c>
      <c r="F6161" s="5" t="s">
        <v>3913</v>
      </c>
    </row>
    <row r="6162">
      <c r="A6162" s="7" t="s">
        <v>1990</v>
      </c>
      <c r="B6162" s="8">
        <v>9.0</v>
      </c>
      <c r="C6162" s="7" t="s">
        <v>78</v>
      </c>
      <c r="D6162" s="7" t="s">
        <v>2150</v>
      </c>
      <c r="E6162" s="5" t="s">
        <v>3903</v>
      </c>
      <c r="F6162" s="5" t="s">
        <v>3414</v>
      </c>
    </row>
    <row r="6163">
      <c r="A6163" s="5" t="s">
        <v>2935</v>
      </c>
      <c r="B6163" s="8">
        <v>9.0</v>
      </c>
      <c r="C6163" s="7" t="s">
        <v>78</v>
      </c>
      <c r="D6163" s="7" t="s">
        <v>2150</v>
      </c>
      <c r="E6163" s="5" t="s">
        <v>3903</v>
      </c>
      <c r="F6163" s="5" t="s">
        <v>3419</v>
      </c>
    </row>
    <row r="6164">
      <c r="A6164" s="5" t="s">
        <v>2936</v>
      </c>
      <c r="B6164" s="8">
        <v>9.0</v>
      </c>
      <c r="C6164" s="7" t="s">
        <v>78</v>
      </c>
      <c r="D6164" s="7" t="s">
        <v>2150</v>
      </c>
      <c r="E6164" s="5" t="s">
        <v>3903</v>
      </c>
      <c r="F6164" s="5" t="s">
        <v>2845</v>
      </c>
    </row>
    <row r="6165">
      <c r="A6165" s="5" t="s">
        <v>2608</v>
      </c>
      <c r="B6165" s="8">
        <v>9.0</v>
      </c>
      <c r="C6165" s="7" t="s">
        <v>78</v>
      </c>
      <c r="D6165" s="7" t="s">
        <v>2150</v>
      </c>
      <c r="E6165" s="5" t="s">
        <v>3903</v>
      </c>
      <c r="F6165" s="5" t="s">
        <v>3917</v>
      </c>
    </row>
    <row r="6166">
      <c r="A6166" s="5" t="s">
        <v>2609</v>
      </c>
      <c r="B6166" s="8">
        <v>9.0</v>
      </c>
      <c r="C6166" s="7" t="s">
        <v>78</v>
      </c>
      <c r="D6166" s="7" t="s">
        <v>2150</v>
      </c>
      <c r="E6166" s="5" t="s">
        <v>3903</v>
      </c>
      <c r="F6166" s="5" t="s">
        <v>3639</v>
      </c>
    </row>
    <row r="6167">
      <c r="A6167" s="5" t="s">
        <v>3791</v>
      </c>
      <c r="B6167" s="8">
        <v>9.0</v>
      </c>
      <c r="C6167" s="7" t="s">
        <v>101</v>
      </c>
      <c r="D6167" s="7" t="s">
        <v>2168</v>
      </c>
      <c r="E6167" s="5" t="s">
        <v>3918</v>
      </c>
      <c r="F6167" s="5" t="s">
        <v>3919</v>
      </c>
    </row>
    <row r="6168">
      <c r="A6168" s="7" t="s">
        <v>188</v>
      </c>
      <c r="B6168" s="8">
        <v>9.0</v>
      </c>
      <c r="C6168" s="7" t="s">
        <v>101</v>
      </c>
      <c r="D6168" s="7" t="s">
        <v>2168</v>
      </c>
      <c r="E6168" s="5" t="s">
        <v>3918</v>
      </c>
      <c r="F6168" s="5" t="s">
        <v>3920</v>
      </c>
    </row>
    <row r="6169">
      <c r="A6169" s="5" t="s">
        <v>2924</v>
      </c>
      <c r="B6169" s="8">
        <v>9.0</v>
      </c>
      <c r="C6169" s="7" t="s">
        <v>101</v>
      </c>
      <c r="D6169" s="7" t="s">
        <v>2168</v>
      </c>
      <c r="E6169" s="5" t="s">
        <v>3918</v>
      </c>
      <c r="F6169" s="5" t="s">
        <v>3921</v>
      </c>
    </row>
    <row r="6170">
      <c r="A6170" s="5" t="s">
        <v>2796</v>
      </c>
      <c r="B6170" s="8">
        <v>9.0</v>
      </c>
      <c r="C6170" s="7" t="s">
        <v>101</v>
      </c>
      <c r="D6170" s="7" t="s">
        <v>2168</v>
      </c>
      <c r="E6170" s="5" t="s">
        <v>3918</v>
      </c>
      <c r="F6170" s="5" t="s">
        <v>2730</v>
      </c>
    </row>
    <row r="6171">
      <c r="A6171" s="5" t="s">
        <v>2925</v>
      </c>
      <c r="B6171" s="8">
        <v>9.0</v>
      </c>
      <c r="C6171" s="7" t="s">
        <v>101</v>
      </c>
      <c r="D6171" s="7" t="s">
        <v>2168</v>
      </c>
      <c r="E6171" s="5" t="s">
        <v>3918</v>
      </c>
      <c r="F6171" s="5" t="s">
        <v>3921</v>
      </c>
    </row>
    <row r="6172">
      <c r="A6172" s="5" t="s">
        <v>3086</v>
      </c>
      <c r="B6172" s="8">
        <v>9.0</v>
      </c>
      <c r="C6172" s="7" t="s">
        <v>101</v>
      </c>
      <c r="D6172" s="7" t="s">
        <v>2168</v>
      </c>
      <c r="E6172" s="5" t="s">
        <v>3918</v>
      </c>
      <c r="F6172" s="5" t="s">
        <v>3921</v>
      </c>
    </row>
    <row r="6173">
      <c r="A6173" s="5" t="s">
        <v>3795</v>
      </c>
      <c r="B6173" s="8">
        <v>9.0</v>
      </c>
      <c r="C6173" s="7" t="s">
        <v>101</v>
      </c>
      <c r="D6173" s="7" t="s">
        <v>2168</v>
      </c>
      <c r="E6173" s="5" t="s">
        <v>3918</v>
      </c>
      <c r="F6173" s="5" t="s">
        <v>3889</v>
      </c>
    </row>
    <row r="6174">
      <c r="A6174" s="7" t="s">
        <v>868</v>
      </c>
      <c r="B6174" s="8">
        <v>9.0</v>
      </c>
      <c r="C6174" s="7" t="s">
        <v>101</v>
      </c>
      <c r="D6174" s="7" t="s">
        <v>2168</v>
      </c>
      <c r="E6174" s="5" t="s">
        <v>3918</v>
      </c>
      <c r="F6174" s="5" t="s">
        <v>3922</v>
      </c>
    </row>
    <row r="6175">
      <c r="A6175" s="5" t="s">
        <v>3087</v>
      </c>
      <c r="B6175" s="8">
        <v>9.0</v>
      </c>
      <c r="C6175" s="7" t="s">
        <v>101</v>
      </c>
      <c r="D6175" s="7" t="s">
        <v>2168</v>
      </c>
      <c r="E6175" s="5" t="s">
        <v>3918</v>
      </c>
      <c r="F6175" s="5" t="s">
        <v>3921</v>
      </c>
    </row>
    <row r="6176">
      <c r="A6176" s="5" t="s">
        <v>2926</v>
      </c>
      <c r="B6176" s="8">
        <v>9.0</v>
      </c>
      <c r="C6176" s="7" t="s">
        <v>101</v>
      </c>
      <c r="D6176" s="7" t="s">
        <v>2168</v>
      </c>
      <c r="E6176" s="5" t="s">
        <v>3918</v>
      </c>
      <c r="F6176" s="5" t="s">
        <v>3923</v>
      </c>
    </row>
    <row r="6177">
      <c r="A6177" s="5" t="s">
        <v>3088</v>
      </c>
      <c r="B6177" s="8">
        <v>9.0</v>
      </c>
      <c r="C6177" s="7" t="s">
        <v>101</v>
      </c>
      <c r="D6177" s="7" t="s">
        <v>2168</v>
      </c>
      <c r="E6177" s="5" t="s">
        <v>3918</v>
      </c>
      <c r="F6177" s="5" t="s">
        <v>3924</v>
      </c>
    </row>
    <row r="6178">
      <c r="A6178" s="5" t="s">
        <v>3388</v>
      </c>
      <c r="B6178" s="8">
        <v>9.0</v>
      </c>
      <c r="C6178" s="7" t="s">
        <v>101</v>
      </c>
      <c r="D6178" s="7" t="s">
        <v>2168</v>
      </c>
      <c r="E6178" s="5" t="s">
        <v>3918</v>
      </c>
      <c r="F6178" s="5" t="s">
        <v>3921</v>
      </c>
    </row>
    <row r="6179">
      <c r="A6179" s="5" t="s">
        <v>2927</v>
      </c>
      <c r="B6179" s="8">
        <v>9.0</v>
      </c>
      <c r="C6179" s="7" t="s">
        <v>101</v>
      </c>
      <c r="D6179" s="7" t="s">
        <v>2168</v>
      </c>
      <c r="E6179" s="5" t="s">
        <v>3918</v>
      </c>
      <c r="F6179" s="5" t="s">
        <v>3925</v>
      </c>
    </row>
    <row r="6180">
      <c r="A6180" s="5" t="s">
        <v>3089</v>
      </c>
      <c r="B6180" s="8">
        <v>9.0</v>
      </c>
      <c r="C6180" s="7" t="s">
        <v>101</v>
      </c>
      <c r="D6180" s="7" t="s">
        <v>2168</v>
      </c>
      <c r="E6180" s="5" t="s">
        <v>3918</v>
      </c>
      <c r="F6180" s="5" t="s">
        <v>3192</v>
      </c>
    </row>
    <row r="6181">
      <c r="A6181" s="5" t="s">
        <v>2928</v>
      </c>
      <c r="B6181" s="8">
        <v>9.0</v>
      </c>
      <c r="C6181" s="7" t="s">
        <v>101</v>
      </c>
      <c r="D6181" s="7" t="s">
        <v>2168</v>
      </c>
      <c r="E6181" s="5" t="s">
        <v>3918</v>
      </c>
      <c r="F6181" s="5" t="s">
        <v>3926</v>
      </c>
    </row>
    <row r="6182">
      <c r="A6182" s="7" t="s">
        <v>603</v>
      </c>
      <c r="B6182" s="8">
        <v>9.0</v>
      </c>
      <c r="C6182" s="7" t="s">
        <v>101</v>
      </c>
      <c r="D6182" s="7" t="s">
        <v>2168</v>
      </c>
      <c r="E6182" s="5" t="s">
        <v>3918</v>
      </c>
      <c r="F6182" s="5" t="s">
        <v>3927</v>
      </c>
    </row>
    <row r="6183">
      <c r="A6183" s="5" t="s">
        <v>2929</v>
      </c>
      <c r="B6183" s="8">
        <v>9.0</v>
      </c>
      <c r="C6183" s="7" t="s">
        <v>101</v>
      </c>
      <c r="D6183" s="7" t="s">
        <v>2168</v>
      </c>
      <c r="E6183" s="5" t="s">
        <v>3918</v>
      </c>
      <c r="F6183" s="5" t="s">
        <v>3928</v>
      </c>
    </row>
    <row r="6184">
      <c r="A6184" s="5" t="s">
        <v>2702</v>
      </c>
      <c r="B6184" s="8">
        <v>9.0</v>
      </c>
      <c r="C6184" s="7" t="s">
        <v>101</v>
      </c>
      <c r="D6184" s="7" t="s">
        <v>2168</v>
      </c>
      <c r="E6184" s="5" t="s">
        <v>3918</v>
      </c>
      <c r="F6184" s="5" t="s">
        <v>3192</v>
      </c>
    </row>
    <row r="6185">
      <c r="A6185" s="5" t="s">
        <v>2930</v>
      </c>
      <c r="B6185" s="8">
        <v>9.0</v>
      </c>
      <c r="C6185" s="7" t="s">
        <v>101</v>
      </c>
      <c r="D6185" s="7" t="s">
        <v>2168</v>
      </c>
      <c r="E6185" s="5" t="s">
        <v>3918</v>
      </c>
      <c r="F6185" s="5" t="s">
        <v>2650</v>
      </c>
    </row>
    <row r="6186">
      <c r="A6186" s="5" t="s">
        <v>2600</v>
      </c>
      <c r="B6186" s="8">
        <v>9.0</v>
      </c>
      <c r="C6186" s="7" t="s">
        <v>101</v>
      </c>
      <c r="D6186" s="7" t="s">
        <v>2168</v>
      </c>
      <c r="E6186" s="5" t="s">
        <v>3918</v>
      </c>
      <c r="F6186" s="5" t="s">
        <v>3192</v>
      </c>
    </row>
    <row r="6187">
      <c r="A6187" s="5" t="s">
        <v>3802</v>
      </c>
      <c r="B6187" s="8">
        <v>9.0</v>
      </c>
      <c r="C6187" s="7" t="s">
        <v>101</v>
      </c>
      <c r="D6187" s="7" t="s">
        <v>2168</v>
      </c>
      <c r="E6187" s="5" t="s">
        <v>3918</v>
      </c>
      <c r="F6187" s="5" t="s">
        <v>2180</v>
      </c>
    </row>
    <row r="6188">
      <c r="A6188" s="5" t="s">
        <v>3090</v>
      </c>
      <c r="B6188" s="8">
        <v>9.0</v>
      </c>
      <c r="C6188" s="7" t="s">
        <v>101</v>
      </c>
      <c r="D6188" s="7" t="s">
        <v>2168</v>
      </c>
      <c r="E6188" s="5" t="s">
        <v>3918</v>
      </c>
      <c r="F6188" s="5" t="s">
        <v>2181</v>
      </c>
    </row>
    <row r="6189">
      <c r="A6189" s="7" t="s">
        <v>606</v>
      </c>
      <c r="B6189" s="8">
        <v>9.0</v>
      </c>
      <c r="C6189" s="7" t="s">
        <v>101</v>
      </c>
      <c r="D6189" s="7" t="s">
        <v>2168</v>
      </c>
      <c r="E6189" s="5" t="s">
        <v>3918</v>
      </c>
      <c r="F6189" s="5" t="s">
        <v>3929</v>
      </c>
    </row>
    <row r="6190">
      <c r="A6190" s="5" t="s">
        <v>2602</v>
      </c>
      <c r="B6190" s="8">
        <v>9.0</v>
      </c>
      <c r="C6190" s="7" t="s">
        <v>101</v>
      </c>
      <c r="D6190" s="7" t="s">
        <v>2168</v>
      </c>
      <c r="E6190" s="5" t="s">
        <v>3918</v>
      </c>
      <c r="F6190" s="5" t="s">
        <v>3644</v>
      </c>
    </row>
    <row r="6191">
      <c r="A6191" s="5" t="s">
        <v>2931</v>
      </c>
      <c r="B6191" s="8">
        <v>9.0</v>
      </c>
      <c r="C6191" s="7" t="s">
        <v>101</v>
      </c>
      <c r="D6191" s="7" t="s">
        <v>2168</v>
      </c>
      <c r="E6191" s="5" t="s">
        <v>3918</v>
      </c>
      <c r="F6191" s="5" t="s">
        <v>2646</v>
      </c>
    </row>
    <row r="6192">
      <c r="A6192" s="7" t="s">
        <v>874</v>
      </c>
      <c r="B6192" s="8">
        <v>9.0</v>
      </c>
      <c r="C6192" s="7" t="s">
        <v>101</v>
      </c>
      <c r="D6192" s="7" t="s">
        <v>2168</v>
      </c>
      <c r="E6192" s="5" t="s">
        <v>3918</v>
      </c>
      <c r="F6192" s="5" t="s">
        <v>3920</v>
      </c>
    </row>
    <row r="6193">
      <c r="A6193" s="5" t="s">
        <v>2932</v>
      </c>
      <c r="B6193" s="8">
        <v>9.0</v>
      </c>
      <c r="C6193" s="7" t="s">
        <v>101</v>
      </c>
      <c r="D6193" s="7" t="s">
        <v>2168</v>
      </c>
      <c r="E6193" s="5" t="s">
        <v>3918</v>
      </c>
      <c r="F6193" s="5" t="s">
        <v>2650</v>
      </c>
    </row>
    <row r="6194">
      <c r="A6194" s="5" t="s">
        <v>3091</v>
      </c>
      <c r="B6194" s="8">
        <v>9.0</v>
      </c>
      <c r="C6194" s="7" t="s">
        <v>101</v>
      </c>
      <c r="D6194" s="7" t="s">
        <v>2168</v>
      </c>
      <c r="E6194" s="5" t="s">
        <v>3918</v>
      </c>
      <c r="F6194" s="5" t="s">
        <v>2650</v>
      </c>
    </row>
    <row r="6195">
      <c r="A6195" s="5" t="s">
        <v>2605</v>
      </c>
      <c r="B6195" s="8">
        <v>9.0</v>
      </c>
      <c r="C6195" s="7" t="s">
        <v>101</v>
      </c>
      <c r="D6195" s="7" t="s">
        <v>2168</v>
      </c>
      <c r="E6195" s="5" t="s">
        <v>3918</v>
      </c>
      <c r="F6195" s="5" t="s">
        <v>3423</v>
      </c>
    </row>
    <row r="6196">
      <c r="A6196" s="7" t="s">
        <v>1989</v>
      </c>
      <c r="B6196" s="8">
        <v>9.0</v>
      </c>
      <c r="C6196" s="7" t="s">
        <v>101</v>
      </c>
      <c r="D6196" s="7" t="s">
        <v>2168</v>
      </c>
      <c r="E6196" s="5" t="s">
        <v>3918</v>
      </c>
      <c r="F6196" s="5" t="s">
        <v>2636</v>
      </c>
    </row>
    <row r="6197">
      <c r="A6197" s="5" t="s">
        <v>2933</v>
      </c>
      <c r="B6197" s="8">
        <v>9.0</v>
      </c>
      <c r="C6197" s="7" t="s">
        <v>101</v>
      </c>
      <c r="D6197" s="7" t="s">
        <v>2168</v>
      </c>
      <c r="E6197" s="5" t="s">
        <v>3918</v>
      </c>
      <c r="F6197" s="5" t="s">
        <v>2650</v>
      </c>
    </row>
    <row r="6198">
      <c r="A6198" s="5" t="s">
        <v>2606</v>
      </c>
      <c r="B6198" s="8">
        <v>9.0</v>
      </c>
      <c r="C6198" s="7" t="s">
        <v>101</v>
      </c>
      <c r="D6198" s="7" t="s">
        <v>2168</v>
      </c>
      <c r="E6198" s="5" t="s">
        <v>3918</v>
      </c>
      <c r="F6198" s="5" t="s">
        <v>2650</v>
      </c>
    </row>
    <row r="6199">
      <c r="A6199" s="5" t="s">
        <v>2934</v>
      </c>
      <c r="B6199" s="8">
        <v>9.0</v>
      </c>
      <c r="C6199" s="7" t="s">
        <v>101</v>
      </c>
      <c r="D6199" s="7" t="s">
        <v>2168</v>
      </c>
      <c r="E6199" s="5" t="s">
        <v>3918</v>
      </c>
      <c r="F6199" s="5" t="s">
        <v>2650</v>
      </c>
    </row>
    <row r="6200">
      <c r="A6200" s="5" t="s">
        <v>2607</v>
      </c>
      <c r="B6200" s="8">
        <v>9.0</v>
      </c>
      <c r="C6200" s="7" t="s">
        <v>101</v>
      </c>
      <c r="D6200" s="7" t="s">
        <v>2168</v>
      </c>
      <c r="E6200" s="5" t="s">
        <v>3918</v>
      </c>
      <c r="F6200" s="5" t="s">
        <v>2650</v>
      </c>
    </row>
    <row r="6201">
      <c r="A6201" s="7" t="s">
        <v>1990</v>
      </c>
      <c r="B6201" s="8">
        <v>9.0</v>
      </c>
      <c r="C6201" s="7" t="s">
        <v>101</v>
      </c>
      <c r="D6201" s="7" t="s">
        <v>2168</v>
      </c>
      <c r="E6201" s="5" t="s">
        <v>3918</v>
      </c>
      <c r="F6201" s="5" t="s">
        <v>3930</v>
      </c>
    </row>
    <row r="6202">
      <c r="A6202" s="5" t="s">
        <v>2935</v>
      </c>
      <c r="B6202" s="8">
        <v>9.0</v>
      </c>
      <c r="C6202" s="7" t="s">
        <v>101</v>
      </c>
      <c r="D6202" s="7" t="s">
        <v>2168</v>
      </c>
      <c r="E6202" s="5" t="s">
        <v>3918</v>
      </c>
      <c r="F6202" s="5" t="s">
        <v>2730</v>
      </c>
    </row>
    <row r="6203">
      <c r="A6203" s="5" t="s">
        <v>2936</v>
      </c>
      <c r="B6203" s="8">
        <v>9.0</v>
      </c>
      <c r="C6203" s="7" t="s">
        <v>101</v>
      </c>
      <c r="D6203" s="7" t="s">
        <v>2168</v>
      </c>
      <c r="E6203" s="5" t="s">
        <v>3918</v>
      </c>
      <c r="F6203" s="5" t="s">
        <v>3931</v>
      </c>
    </row>
    <row r="6204">
      <c r="A6204" s="5" t="s">
        <v>2608</v>
      </c>
      <c r="B6204" s="8">
        <v>9.0</v>
      </c>
      <c r="C6204" s="7" t="s">
        <v>101</v>
      </c>
      <c r="D6204" s="7" t="s">
        <v>2168</v>
      </c>
      <c r="E6204" s="5" t="s">
        <v>3918</v>
      </c>
      <c r="F6204" s="5" t="s">
        <v>2650</v>
      </c>
    </row>
    <row r="6205">
      <c r="A6205" s="5" t="s">
        <v>2609</v>
      </c>
      <c r="B6205" s="8">
        <v>9.0</v>
      </c>
      <c r="C6205" s="7" t="s">
        <v>101</v>
      </c>
      <c r="D6205" s="7" t="s">
        <v>2168</v>
      </c>
      <c r="E6205" s="5" t="s">
        <v>3918</v>
      </c>
      <c r="F6205" s="5" t="s">
        <v>2650</v>
      </c>
    </row>
    <row r="6206">
      <c r="A6206" s="5" t="s">
        <v>3791</v>
      </c>
      <c r="B6206" s="8">
        <v>9.0</v>
      </c>
      <c r="C6206" s="7" t="s">
        <v>172</v>
      </c>
      <c r="D6206" s="5" t="s">
        <v>446</v>
      </c>
      <c r="E6206" s="7" t="s">
        <v>2185</v>
      </c>
      <c r="F6206" s="7" t="s">
        <v>47</v>
      </c>
    </row>
    <row r="6207">
      <c r="A6207" s="7" t="s">
        <v>188</v>
      </c>
      <c r="B6207" s="8">
        <v>9.0</v>
      </c>
      <c r="C6207" s="7" t="s">
        <v>172</v>
      </c>
      <c r="D6207" s="5" t="s">
        <v>446</v>
      </c>
      <c r="E6207" s="7" t="s">
        <v>2185</v>
      </c>
      <c r="F6207" s="7" t="s">
        <v>47</v>
      </c>
    </row>
    <row r="6208">
      <c r="A6208" s="5" t="s">
        <v>2924</v>
      </c>
      <c r="B6208" s="8">
        <v>9.0</v>
      </c>
      <c r="C6208" s="7" t="s">
        <v>172</v>
      </c>
      <c r="D6208" s="5" t="s">
        <v>446</v>
      </c>
      <c r="E6208" s="7" t="s">
        <v>2185</v>
      </c>
      <c r="F6208" s="7" t="s">
        <v>47</v>
      </c>
    </row>
    <row r="6209">
      <c r="A6209" s="5" t="s">
        <v>2796</v>
      </c>
      <c r="B6209" s="8">
        <v>9.0</v>
      </c>
      <c r="C6209" s="7" t="s">
        <v>172</v>
      </c>
      <c r="D6209" s="5" t="s">
        <v>446</v>
      </c>
      <c r="E6209" s="7" t="s">
        <v>2185</v>
      </c>
      <c r="F6209" s="7" t="s">
        <v>47</v>
      </c>
    </row>
    <row r="6210">
      <c r="A6210" s="5" t="s">
        <v>2925</v>
      </c>
      <c r="B6210" s="8">
        <v>9.0</v>
      </c>
      <c r="C6210" s="7" t="s">
        <v>172</v>
      </c>
      <c r="D6210" s="5" t="s">
        <v>446</v>
      </c>
      <c r="E6210" s="7" t="s">
        <v>2185</v>
      </c>
      <c r="F6210" s="7" t="s">
        <v>47</v>
      </c>
    </row>
    <row r="6211">
      <c r="A6211" s="5" t="s">
        <v>3086</v>
      </c>
      <c r="B6211" s="8">
        <v>9.0</v>
      </c>
      <c r="C6211" s="7" t="s">
        <v>172</v>
      </c>
      <c r="D6211" s="5" t="s">
        <v>446</v>
      </c>
      <c r="E6211" s="7" t="s">
        <v>2185</v>
      </c>
      <c r="F6211" s="7" t="s">
        <v>47</v>
      </c>
    </row>
    <row r="6212">
      <c r="A6212" s="5" t="s">
        <v>3795</v>
      </c>
      <c r="B6212" s="8">
        <v>9.0</v>
      </c>
      <c r="C6212" s="7" t="s">
        <v>172</v>
      </c>
      <c r="D6212" s="5" t="s">
        <v>446</v>
      </c>
      <c r="E6212" s="7" t="s">
        <v>2185</v>
      </c>
      <c r="F6212" s="7" t="s">
        <v>47</v>
      </c>
    </row>
    <row r="6213">
      <c r="A6213" s="7" t="s">
        <v>868</v>
      </c>
      <c r="B6213" s="8">
        <v>9.0</v>
      </c>
      <c r="C6213" s="7" t="s">
        <v>172</v>
      </c>
      <c r="D6213" s="5" t="s">
        <v>446</v>
      </c>
      <c r="E6213" s="7" t="s">
        <v>2185</v>
      </c>
      <c r="F6213" s="7" t="s">
        <v>47</v>
      </c>
    </row>
    <row r="6214">
      <c r="A6214" s="5" t="s">
        <v>3087</v>
      </c>
      <c r="B6214" s="8">
        <v>9.0</v>
      </c>
      <c r="C6214" s="7" t="s">
        <v>172</v>
      </c>
      <c r="D6214" s="5" t="s">
        <v>446</v>
      </c>
      <c r="E6214" s="7" t="s">
        <v>2185</v>
      </c>
      <c r="F6214" s="7" t="s">
        <v>48</v>
      </c>
    </row>
    <row r="6215">
      <c r="A6215" s="5" t="s">
        <v>2926</v>
      </c>
      <c r="B6215" s="8">
        <v>9.0</v>
      </c>
      <c r="C6215" s="7" t="s">
        <v>172</v>
      </c>
      <c r="D6215" s="5" t="s">
        <v>446</v>
      </c>
      <c r="E6215" s="7" t="s">
        <v>2185</v>
      </c>
      <c r="F6215" s="7" t="s">
        <v>48</v>
      </c>
    </row>
    <row r="6216">
      <c r="A6216" s="5" t="s">
        <v>3088</v>
      </c>
      <c r="B6216" s="8">
        <v>9.0</v>
      </c>
      <c r="C6216" s="7" t="s">
        <v>172</v>
      </c>
      <c r="D6216" s="5" t="s">
        <v>446</v>
      </c>
      <c r="E6216" s="7" t="s">
        <v>2185</v>
      </c>
      <c r="F6216" s="7" t="s">
        <v>47</v>
      </c>
    </row>
    <row r="6217">
      <c r="A6217" s="5" t="s">
        <v>3388</v>
      </c>
      <c r="B6217" s="8">
        <v>9.0</v>
      </c>
      <c r="C6217" s="7" t="s">
        <v>172</v>
      </c>
      <c r="D6217" s="5" t="s">
        <v>446</v>
      </c>
      <c r="E6217" s="7" t="s">
        <v>2185</v>
      </c>
      <c r="F6217" s="7" t="s">
        <v>47</v>
      </c>
    </row>
    <row r="6218">
      <c r="A6218" s="5" t="s">
        <v>2927</v>
      </c>
      <c r="B6218" s="8">
        <v>9.0</v>
      </c>
      <c r="C6218" s="7" t="s">
        <v>172</v>
      </c>
      <c r="D6218" s="5" t="s">
        <v>446</v>
      </c>
      <c r="E6218" s="7" t="s">
        <v>2185</v>
      </c>
      <c r="F6218" s="7" t="s">
        <v>47</v>
      </c>
    </row>
    <row r="6219">
      <c r="A6219" s="5" t="s">
        <v>3089</v>
      </c>
      <c r="B6219" s="8">
        <v>9.0</v>
      </c>
      <c r="C6219" s="7" t="s">
        <v>172</v>
      </c>
      <c r="D6219" s="5" t="s">
        <v>446</v>
      </c>
      <c r="E6219" s="7" t="s">
        <v>2185</v>
      </c>
      <c r="F6219" s="5" t="s">
        <v>3836</v>
      </c>
    </row>
    <row r="6220">
      <c r="A6220" s="5" t="s">
        <v>2928</v>
      </c>
      <c r="B6220" s="8">
        <v>9.0</v>
      </c>
      <c r="C6220" s="7" t="s">
        <v>172</v>
      </c>
      <c r="D6220" s="5" t="s">
        <v>446</v>
      </c>
      <c r="E6220" s="7" t="s">
        <v>2185</v>
      </c>
      <c r="F6220" s="7" t="s">
        <v>47</v>
      </c>
    </row>
    <row r="6221">
      <c r="A6221" s="7" t="s">
        <v>603</v>
      </c>
      <c r="B6221" s="8">
        <v>9.0</v>
      </c>
      <c r="C6221" s="7" t="s">
        <v>172</v>
      </c>
      <c r="D6221" s="5" t="s">
        <v>446</v>
      </c>
      <c r="E6221" s="7" t="s">
        <v>2185</v>
      </c>
      <c r="F6221" s="7" t="s">
        <v>48</v>
      </c>
    </row>
    <row r="6222">
      <c r="A6222" s="5" t="s">
        <v>2929</v>
      </c>
      <c r="B6222" s="8">
        <v>9.0</v>
      </c>
      <c r="C6222" s="7" t="s">
        <v>172</v>
      </c>
      <c r="D6222" s="5" t="s">
        <v>446</v>
      </c>
      <c r="E6222" s="7" t="s">
        <v>2185</v>
      </c>
      <c r="F6222" s="7" t="s">
        <v>47</v>
      </c>
    </row>
    <row r="6223">
      <c r="A6223" s="5" t="s">
        <v>2702</v>
      </c>
      <c r="B6223" s="8">
        <v>9.0</v>
      </c>
      <c r="C6223" s="7" t="s">
        <v>172</v>
      </c>
      <c r="D6223" s="5" t="s">
        <v>446</v>
      </c>
      <c r="E6223" s="7" t="s">
        <v>2185</v>
      </c>
      <c r="F6223" s="7" t="s">
        <v>47</v>
      </c>
    </row>
    <row r="6224">
      <c r="A6224" s="5" t="s">
        <v>2930</v>
      </c>
      <c r="B6224" s="8">
        <v>9.0</v>
      </c>
      <c r="C6224" s="7" t="s">
        <v>172</v>
      </c>
      <c r="D6224" s="5" t="s">
        <v>446</v>
      </c>
      <c r="E6224" s="7" t="s">
        <v>2185</v>
      </c>
      <c r="F6224" s="7" t="s">
        <v>47</v>
      </c>
    </row>
    <row r="6225">
      <c r="A6225" s="5" t="s">
        <v>2600</v>
      </c>
      <c r="B6225" s="8">
        <v>9.0</v>
      </c>
      <c r="C6225" s="7" t="s">
        <v>172</v>
      </c>
      <c r="D6225" s="5" t="s">
        <v>446</v>
      </c>
      <c r="E6225" s="7" t="s">
        <v>2185</v>
      </c>
      <c r="F6225" s="7" t="s">
        <v>47</v>
      </c>
    </row>
    <row r="6226">
      <c r="A6226" s="5" t="s">
        <v>3802</v>
      </c>
      <c r="B6226" s="8">
        <v>9.0</v>
      </c>
      <c r="C6226" s="7" t="s">
        <v>172</v>
      </c>
      <c r="D6226" s="5" t="s">
        <v>446</v>
      </c>
      <c r="E6226" s="7" t="s">
        <v>2185</v>
      </c>
      <c r="F6226" s="7" t="s">
        <v>47</v>
      </c>
    </row>
    <row r="6227">
      <c r="A6227" s="5" t="s">
        <v>3090</v>
      </c>
      <c r="B6227" s="8">
        <v>9.0</v>
      </c>
      <c r="C6227" s="7" t="s">
        <v>172</v>
      </c>
      <c r="D6227" s="5" t="s">
        <v>446</v>
      </c>
      <c r="E6227" s="7" t="s">
        <v>2185</v>
      </c>
      <c r="F6227" s="7" t="s">
        <v>48</v>
      </c>
    </row>
    <row r="6228">
      <c r="A6228" s="7" t="s">
        <v>606</v>
      </c>
      <c r="B6228" s="8">
        <v>9.0</v>
      </c>
      <c r="C6228" s="7" t="s">
        <v>172</v>
      </c>
      <c r="D6228" s="5" t="s">
        <v>446</v>
      </c>
      <c r="E6228" s="7" t="s">
        <v>2185</v>
      </c>
      <c r="F6228" s="7" t="s">
        <v>47</v>
      </c>
    </row>
    <row r="6229">
      <c r="A6229" s="5" t="s">
        <v>2602</v>
      </c>
      <c r="B6229" s="8">
        <v>9.0</v>
      </c>
      <c r="C6229" s="7" t="s">
        <v>172</v>
      </c>
      <c r="D6229" s="5" t="s">
        <v>446</v>
      </c>
      <c r="E6229" s="7" t="s">
        <v>2185</v>
      </c>
      <c r="F6229" s="7" t="s">
        <v>47</v>
      </c>
    </row>
    <row r="6230">
      <c r="A6230" s="5" t="s">
        <v>2931</v>
      </c>
      <c r="B6230" s="8">
        <v>9.0</v>
      </c>
      <c r="C6230" s="7" t="s">
        <v>172</v>
      </c>
      <c r="D6230" s="5" t="s">
        <v>446</v>
      </c>
      <c r="E6230" s="7" t="s">
        <v>2185</v>
      </c>
      <c r="F6230" s="7" t="s">
        <v>47</v>
      </c>
    </row>
    <row r="6231">
      <c r="A6231" s="7" t="s">
        <v>874</v>
      </c>
      <c r="B6231" s="8">
        <v>9.0</v>
      </c>
      <c r="C6231" s="7" t="s">
        <v>172</v>
      </c>
      <c r="D6231" s="5" t="s">
        <v>446</v>
      </c>
      <c r="E6231" s="7" t="s">
        <v>2185</v>
      </c>
      <c r="F6231" s="7" t="s">
        <v>47</v>
      </c>
    </row>
    <row r="6232">
      <c r="A6232" s="5" t="s">
        <v>2932</v>
      </c>
      <c r="B6232" s="8">
        <v>9.0</v>
      </c>
      <c r="C6232" s="7" t="s">
        <v>172</v>
      </c>
      <c r="D6232" s="5" t="s">
        <v>446</v>
      </c>
      <c r="E6232" s="7" t="s">
        <v>2185</v>
      </c>
      <c r="F6232" s="7" t="s">
        <v>47</v>
      </c>
    </row>
    <row r="6233">
      <c r="A6233" s="5" t="s">
        <v>3091</v>
      </c>
      <c r="B6233" s="8">
        <v>9.0</v>
      </c>
      <c r="C6233" s="7" t="s">
        <v>172</v>
      </c>
      <c r="D6233" s="5" t="s">
        <v>446</v>
      </c>
      <c r="E6233" s="7" t="s">
        <v>2185</v>
      </c>
      <c r="F6233" s="7" t="s">
        <v>47</v>
      </c>
    </row>
    <row r="6234">
      <c r="A6234" s="5" t="s">
        <v>2605</v>
      </c>
      <c r="B6234" s="8">
        <v>9.0</v>
      </c>
      <c r="C6234" s="7" t="s">
        <v>172</v>
      </c>
      <c r="D6234" s="5" t="s">
        <v>446</v>
      </c>
      <c r="E6234" s="7" t="s">
        <v>2185</v>
      </c>
      <c r="F6234" s="7" t="s">
        <v>47</v>
      </c>
    </row>
    <row r="6235">
      <c r="A6235" s="7" t="s">
        <v>1989</v>
      </c>
      <c r="B6235" s="8">
        <v>9.0</v>
      </c>
      <c r="C6235" s="7" t="s">
        <v>172</v>
      </c>
      <c r="D6235" s="5" t="s">
        <v>446</v>
      </c>
      <c r="E6235" s="7" t="s">
        <v>2185</v>
      </c>
      <c r="F6235" s="7" t="s">
        <v>47</v>
      </c>
    </row>
    <row r="6236">
      <c r="A6236" s="5" t="s">
        <v>2933</v>
      </c>
      <c r="B6236" s="8">
        <v>9.0</v>
      </c>
      <c r="C6236" s="7" t="s">
        <v>172</v>
      </c>
      <c r="D6236" s="5" t="s">
        <v>446</v>
      </c>
      <c r="E6236" s="7" t="s">
        <v>2185</v>
      </c>
      <c r="F6236" s="7" t="s">
        <v>47</v>
      </c>
    </row>
    <row r="6237">
      <c r="A6237" s="5" t="s">
        <v>2606</v>
      </c>
      <c r="B6237" s="8">
        <v>9.0</v>
      </c>
      <c r="C6237" s="7" t="s">
        <v>172</v>
      </c>
      <c r="D6237" s="5" t="s">
        <v>446</v>
      </c>
      <c r="E6237" s="7" t="s">
        <v>2185</v>
      </c>
      <c r="F6237" s="7" t="s">
        <v>47</v>
      </c>
    </row>
    <row r="6238">
      <c r="A6238" s="5" t="s">
        <v>2934</v>
      </c>
      <c r="B6238" s="8">
        <v>9.0</v>
      </c>
      <c r="C6238" s="7" t="s">
        <v>172</v>
      </c>
      <c r="D6238" s="5" t="s">
        <v>446</v>
      </c>
      <c r="E6238" s="7" t="s">
        <v>2185</v>
      </c>
      <c r="F6238" s="7" t="s">
        <v>47</v>
      </c>
    </row>
    <row r="6239">
      <c r="A6239" s="5" t="s">
        <v>2607</v>
      </c>
      <c r="B6239" s="8">
        <v>9.0</v>
      </c>
      <c r="C6239" s="7" t="s">
        <v>172</v>
      </c>
      <c r="D6239" s="5" t="s">
        <v>446</v>
      </c>
      <c r="E6239" s="7" t="s">
        <v>2185</v>
      </c>
      <c r="F6239" s="7" t="s">
        <v>47</v>
      </c>
    </row>
    <row r="6240">
      <c r="A6240" s="7" t="s">
        <v>1990</v>
      </c>
      <c r="B6240" s="8">
        <v>9.0</v>
      </c>
      <c r="C6240" s="7" t="s">
        <v>172</v>
      </c>
      <c r="D6240" s="5" t="s">
        <v>446</v>
      </c>
      <c r="E6240" s="7" t="s">
        <v>2185</v>
      </c>
      <c r="F6240" s="7" t="s">
        <v>47</v>
      </c>
    </row>
    <row r="6241">
      <c r="A6241" s="5" t="s">
        <v>2935</v>
      </c>
      <c r="B6241" s="8">
        <v>9.0</v>
      </c>
      <c r="C6241" s="7" t="s">
        <v>172</v>
      </c>
      <c r="D6241" s="5" t="s">
        <v>446</v>
      </c>
      <c r="E6241" s="7" t="s">
        <v>2185</v>
      </c>
      <c r="F6241" s="7" t="s">
        <v>47</v>
      </c>
    </row>
    <row r="6242">
      <c r="A6242" s="5" t="s">
        <v>2936</v>
      </c>
      <c r="B6242" s="8">
        <v>9.0</v>
      </c>
      <c r="C6242" s="7" t="s">
        <v>172</v>
      </c>
      <c r="D6242" s="5" t="s">
        <v>446</v>
      </c>
      <c r="E6242" s="7" t="s">
        <v>2185</v>
      </c>
      <c r="F6242" s="7" t="s">
        <v>47</v>
      </c>
    </row>
    <row r="6243">
      <c r="A6243" s="5" t="s">
        <v>2608</v>
      </c>
      <c r="B6243" s="8">
        <v>9.0</v>
      </c>
      <c r="C6243" s="7" t="s">
        <v>172</v>
      </c>
      <c r="D6243" s="5" t="s">
        <v>446</v>
      </c>
      <c r="E6243" s="7" t="s">
        <v>2185</v>
      </c>
      <c r="F6243" s="7" t="s">
        <v>47</v>
      </c>
    </row>
    <row r="6244">
      <c r="A6244" s="5" t="s">
        <v>2609</v>
      </c>
      <c r="B6244" s="8">
        <v>9.0</v>
      </c>
      <c r="C6244" s="7" t="s">
        <v>172</v>
      </c>
      <c r="D6244" s="5" t="s">
        <v>446</v>
      </c>
      <c r="E6244" s="7" t="s">
        <v>2185</v>
      </c>
      <c r="F6244" s="7" t="s">
        <v>47</v>
      </c>
    </row>
    <row r="6245">
      <c r="A6245" s="5" t="s">
        <v>3791</v>
      </c>
      <c r="B6245" s="8">
        <v>9.0</v>
      </c>
      <c r="C6245" s="7" t="s">
        <v>267</v>
      </c>
      <c r="D6245" s="7" t="s">
        <v>1658</v>
      </c>
      <c r="E6245" s="5" t="s">
        <v>3932</v>
      </c>
      <c r="F6245" s="5" t="s">
        <v>271</v>
      </c>
    </row>
    <row r="6246">
      <c r="A6246" s="7" t="s">
        <v>188</v>
      </c>
      <c r="B6246" s="8">
        <v>9.0</v>
      </c>
      <c r="C6246" s="7" t="s">
        <v>267</v>
      </c>
      <c r="D6246" s="7" t="s">
        <v>1658</v>
      </c>
      <c r="E6246" s="5" t="s">
        <v>3932</v>
      </c>
      <c r="F6246" s="5" t="s">
        <v>271</v>
      </c>
    </row>
    <row r="6247">
      <c r="A6247" s="5" t="s">
        <v>2924</v>
      </c>
      <c r="B6247" s="8">
        <v>9.0</v>
      </c>
      <c r="C6247" s="7" t="s">
        <v>267</v>
      </c>
      <c r="D6247" s="7" t="s">
        <v>1658</v>
      </c>
      <c r="E6247" s="5" t="s">
        <v>3932</v>
      </c>
      <c r="F6247" s="5" t="s">
        <v>238</v>
      </c>
    </row>
    <row r="6248">
      <c r="A6248" s="5" t="s">
        <v>2796</v>
      </c>
      <c r="B6248" s="8">
        <v>9.0</v>
      </c>
      <c r="C6248" s="7" t="s">
        <v>267</v>
      </c>
      <c r="D6248" s="7" t="s">
        <v>1658</v>
      </c>
      <c r="E6248" s="5" t="s">
        <v>3932</v>
      </c>
      <c r="F6248" s="5" t="s">
        <v>3883</v>
      </c>
    </row>
    <row r="6249">
      <c r="A6249" s="5" t="s">
        <v>2925</v>
      </c>
      <c r="B6249" s="8">
        <v>9.0</v>
      </c>
      <c r="C6249" s="7" t="s">
        <v>267</v>
      </c>
      <c r="D6249" s="7" t="s">
        <v>1658</v>
      </c>
      <c r="E6249" s="5" t="s">
        <v>3932</v>
      </c>
      <c r="F6249" s="5" t="s">
        <v>271</v>
      </c>
    </row>
    <row r="6250">
      <c r="A6250" s="5" t="s">
        <v>3086</v>
      </c>
      <c r="B6250" s="8">
        <v>9.0</v>
      </c>
      <c r="C6250" s="7" t="s">
        <v>267</v>
      </c>
      <c r="D6250" s="7" t="s">
        <v>1658</v>
      </c>
      <c r="E6250" s="5" t="s">
        <v>3932</v>
      </c>
      <c r="F6250" s="5" t="s">
        <v>238</v>
      </c>
    </row>
    <row r="6251">
      <c r="A6251" s="5" t="s">
        <v>3795</v>
      </c>
      <c r="B6251" s="8">
        <v>9.0</v>
      </c>
      <c r="C6251" s="7" t="s">
        <v>267</v>
      </c>
      <c r="D6251" s="7" t="s">
        <v>1658</v>
      </c>
      <c r="E6251" s="5" t="s">
        <v>3932</v>
      </c>
      <c r="F6251" s="5" t="s">
        <v>238</v>
      </c>
    </row>
    <row r="6252">
      <c r="A6252" s="7" t="s">
        <v>868</v>
      </c>
      <c r="B6252" s="8">
        <v>9.0</v>
      </c>
      <c r="C6252" s="7" t="s">
        <v>267</v>
      </c>
      <c r="D6252" s="7" t="s">
        <v>1658</v>
      </c>
      <c r="E6252" s="5" t="s">
        <v>3932</v>
      </c>
      <c r="F6252" s="5" t="s">
        <v>238</v>
      </c>
    </row>
    <row r="6253">
      <c r="A6253" s="5" t="s">
        <v>3087</v>
      </c>
      <c r="B6253" s="8">
        <v>9.0</v>
      </c>
      <c r="C6253" s="7" t="s">
        <v>267</v>
      </c>
      <c r="D6253" s="7" t="s">
        <v>1658</v>
      </c>
      <c r="E6253" s="5" t="s">
        <v>3932</v>
      </c>
      <c r="F6253" s="5" t="s">
        <v>238</v>
      </c>
    </row>
    <row r="6254">
      <c r="A6254" s="5" t="s">
        <v>2926</v>
      </c>
      <c r="B6254" s="8">
        <v>9.0</v>
      </c>
      <c r="C6254" s="7" t="s">
        <v>267</v>
      </c>
      <c r="D6254" s="7" t="s">
        <v>1658</v>
      </c>
      <c r="E6254" s="5" t="s">
        <v>3932</v>
      </c>
      <c r="F6254" s="5" t="s">
        <v>3620</v>
      </c>
    </row>
    <row r="6255">
      <c r="A6255" s="5" t="s">
        <v>3088</v>
      </c>
      <c r="B6255" s="8">
        <v>9.0</v>
      </c>
      <c r="C6255" s="7" t="s">
        <v>267</v>
      </c>
      <c r="D6255" s="7" t="s">
        <v>1658</v>
      </c>
      <c r="E6255" s="5" t="s">
        <v>3932</v>
      </c>
      <c r="F6255" s="5" t="s">
        <v>238</v>
      </c>
    </row>
    <row r="6256">
      <c r="A6256" s="5" t="s">
        <v>3388</v>
      </c>
      <c r="B6256" s="8">
        <v>9.0</v>
      </c>
      <c r="C6256" s="7" t="s">
        <v>267</v>
      </c>
      <c r="D6256" s="7" t="s">
        <v>1658</v>
      </c>
      <c r="E6256" s="5" t="s">
        <v>3932</v>
      </c>
      <c r="F6256" s="5" t="s">
        <v>271</v>
      </c>
    </row>
    <row r="6257">
      <c r="A6257" s="5" t="s">
        <v>2927</v>
      </c>
      <c r="B6257" s="8">
        <v>9.0</v>
      </c>
      <c r="C6257" s="7" t="s">
        <v>267</v>
      </c>
      <c r="D6257" s="7" t="s">
        <v>1658</v>
      </c>
      <c r="E6257" s="5" t="s">
        <v>3932</v>
      </c>
      <c r="F6257" s="5" t="s">
        <v>238</v>
      </c>
    </row>
    <row r="6258">
      <c r="A6258" s="5" t="s">
        <v>3089</v>
      </c>
      <c r="B6258" s="8">
        <v>9.0</v>
      </c>
      <c r="C6258" s="7" t="s">
        <v>267</v>
      </c>
      <c r="D6258" s="7" t="s">
        <v>1658</v>
      </c>
      <c r="E6258" s="5" t="s">
        <v>3932</v>
      </c>
      <c r="F6258" s="5" t="s">
        <v>3820</v>
      </c>
    </row>
    <row r="6259">
      <c r="A6259" s="5" t="s">
        <v>2928</v>
      </c>
      <c r="B6259" s="8">
        <v>9.0</v>
      </c>
      <c r="C6259" s="7" t="s">
        <v>267</v>
      </c>
      <c r="D6259" s="7" t="s">
        <v>1658</v>
      </c>
      <c r="E6259" s="5" t="s">
        <v>3932</v>
      </c>
      <c r="F6259" s="5" t="s">
        <v>238</v>
      </c>
    </row>
    <row r="6260">
      <c r="A6260" s="7" t="s">
        <v>603</v>
      </c>
      <c r="B6260" s="8">
        <v>9.0</v>
      </c>
      <c r="C6260" s="7" t="s">
        <v>267</v>
      </c>
      <c r="D6260" s="7" t="s">
        <v>1658</v>
      </c>
      <c r="E6260" s="5" t="s">
        <v>3932</v>
      </c>
      <c r="F6260" s="5" t="s">
        <v>238</v>
      </c>
    </row>
    <row r="6261">
      <c r="A6261" s="5" t="s">
        <v>2929</v>
      </c>
      <c r="B6261" s="8">
        <v>9.0</v>
      </c>
      <c r="C6261" s="7" t="s">
        <v>267</v>
      </c>
      <c r="D6261" s="7" t="s">
        <v>1658</v>
      </c>
      <c r="E6261" s="5" t="s">
        <v>3932</v>
      </c>
      <c r="F6261" s="5" t="s">
        <v>3885</v>
      </c>
    </row>
    <row r="6262">
      <c r="A6262" s="5" t="s">
        <v>2702</v>
      </c>
      <c r="B6262" s="8">
        <v>9.0</v>
      </c>
      <c r="C6262" s="7" t="s">
        <v>267</v>
      </c>
      <c r="D6262" s="7" t="s">
        <v>1658</v>
      </c>
      <c r="E6262" s="5" t="s">
        <v>3932</v>
      </c>
      <c r="F6262" s="5" t="s">
        <v>238</v>
      </c>
    </row>
    <row r="6263">
      <c r="A6263" s="5" t="s">
        <v>2930</v>
      </c>
      <c r="B6263" s="8">
        <v>9.0</v>
      </c>
      <c r="C6263" s="7" t="s">
        <v>267</v>
      </c>
      <c r="D6263" s="7" t="s">
        <v>1658</v>
      </c>
      <c r="E6263" s="5" t="s">
        <v>3932</v>
      </c>
      <c r="F6263" s="5" t="s">
        <v>238</v>
      </c>
    </row>
    <row r="6264">
      <c r="A6264" s="5" t="s">
        <v>2600</v>
      </c>
      <c r="B6264" s="8">
        <v>9.0</v>
      </c>
      <c r="C6264" s="7" t="s">
        <v>267</v>
      </c>
      <c r="D6264" s="7" t="s">
        <v>1658</v>
      </c>
      <c r="E6264" s="5" t="s">
        <v>3932</v>
      </c>
      <c r="F6264" s="5" t="s">
        <v>271</v>
      </c>
    </row>
    <row r="6265">
      <c r="A6265" s="5" t="s">
        <v>3802</v>
      </c>
      <c r="B6265" s="8">
        <v>9.0</v>
      </c>
      <c r="C6265" s="7" t="s">
        <v>267</v>
      </c>
      <c r="D6265" s="7" t="s">
        <v>1658</v>
      </c>
      <c r="E6265" s="5" t="s">
        <v>3932</v>
      </c>
      <c r="F6265" s="5" t="s">
        <v>271</v>
      </c>
    </row>
    <row r="6266">
      <c r="A6266" s="5" t="s">
        <v>3090</v>
      </c>
      <c r="B6266" s="8">
        <v>9.0</v>
      </c>
      <c r="C6266" s="7" t="s">
        <v>267</v>
      </c>
      <c r="D6266" s="7" t="s">
        <v>1658</v>
      </c>
      <c r="E6266" s="5" t="s">
        <v>3932</v>
      </c>
      <c r="F6266" s="5" t="s">
        <v>238</v>
      </c>
    </row>
    <row r="6267">
      <c r="A6267" s="7" t="s">
        <v>606</v>
      </c>
      <c r="B6267" s="8">
        <v>9.0</v>
      </c>
      <c r="C6267" s="7" t="s">
        <v>267</v>
      </c>
      <c r="D6267" s="7" t="s">
        <v>1658</v>
      </c>
      <c r="E6267" s="5" t="s">
        <v>3932</v>
      </c>
      <c r="F6267" s="5" t="s">
        <v>238</v>
      </c>
    </row>
    <row r="6268">
      <c r="A6268" s="5" t="s">
        <v>2602</v>
      </c>
      <c r="B6268" s="8">
        <v>9.0</v>
      </c>
      <c r="C6268" s="7" t="s">
        <v>267</v>
      </c>
      <c r="D6268" s="7" t="s">
        <v>1658</v>
      </c>
      <c r="E6268" s="5" t="s">
        <v>3932</v>
      </c>
      <c r="F6268" s="5" t="s">
        <v>238</v>
      </c>
    </row>
    <row r="6269">
      <c r="A6269" s="5" t="s">
        <v>2931</v>
      </c>
      <c r="B6269" s="8">
        <v>9.0</v>
      </c>
      <c r="C6269" s="7" t="s">
        <v>267</v>
      </c>
      <c r="D6269" s="7" t="s">
        <v>1658</v>
      </c>
      <c r="E6269" s="5" t="s">
        <v>3932</v>
      </c>
      <c r="F6269" s="5" t="s">
        <v>271</v>
      </c>
    </row>
    <row r="6270">
      <c r="A6270" s="7" t="s">
        <v>874</v>
      </c>
      <c r="B6270" s="8">
        <v>9.0</v>
      </c>
      <c r="C6270" s="7" t="s">
        <v>267</v>
      </c>
      <c r="D6270" s="7" t="s">
        <v>1658</v>
      </c>
      <c r="E6270" s="5" t="s">
        <v>3932</v>
      </c>
      <c r="F6270" s="5" t="s">
        <v>238</v>
      </c>
    </row>
    <row r="6271">
      <c r="A6271" s="5" t="s">
        <v>2932</v>
      </c>
      <c r="B6271" s="8">
        <v>9.0</v>
      </c>
      <c r="C6271" s="7" t="s">
        <v>267</v>
      </c>
      <c r="D6271" s="7" t="s">
        <v>1658</v>
      </c>
      <c r="E6271" s="5" t="s">
        <v>3932</v>
      </c>
      <c r="F6271" s="5" t="s">
        <v>271</v>
      </c>
    </row>
    <row r="6272">
      <c r="A6272" s="5" t="s">
        <v>3091</v>
      </c>
      <c r="B6272" s="8">
        <v>9.0</v>
      </c>
      <c r="C6272" s="7" t="s">
        <v>267</v>
      </c>
      <c r="D6272" s="7" t="s">
        <v>1658</v>
      </c>
      <c r="E6272" s="5" t="s">
        <v>3932</v>
      </c>
      <c r="F6272" s="5" t="s">
        <v>271</v>
      </c>
    </row>
    <row r="6273">
      <c r="A6273" s="5" t="s">
        <v>2605</v>
      </c>
      <c r="B6273" s="8">
        <v>9.0</v>
      </c>
      <c r="C6273" s="7" t="s">
        <v>267</v>
      </c>
      <c r="D6273" s="7" t="s">
        <v>1658</v>
      </c>
      <c r="E6273" s="5" t="s">
        <v>3932</v>
      </c>
      <c r="F6273" s="5" t="s">
        <v>238</v>
      </c>
    </row>
    <row r="6274">
      <c r="A6274" s="7" t="s">
        <v>1989</v>
      </c>
      <c r="B6274" s="8">
        <v>9.0</v>
      </c>
      <c r="C6274" s="7" t="s">
        <v>267</v>
      </c>
      <c r="D6274" s="7" t="s">
        <v>1658</v>
      </c>
      <c r="E6274" s="5" t="s">
        <v>3932</v>
      </c>
      <c r="F6274" s="5" t="s">
        <v>271</v>
      </c>
    </row>
    <row r="6275">
      <c r="A6275" s="5" t="s">
        <v>2933</v>
      </c>
      <c r="B6275" s="8">
        <v>9.0</v>
      </c>
      <c r="C6275" s="7" t="s">
        <v>267</v>
      </c>
      <c r="D6275" s="7" t="s">
        <v>1658</v>
      </c>
      <c r="E6275" s="5" t="s">
        <v>3932</v>
      </c>
      <c r="F6275" s="5" t="s">
        <v>238</v>
      </c>
    </row>
    <row r="6276">
      <c r="A6276" s="5" t="s">
        <v>2606</v>
      </c>
      <c r="B6276" s="8">
        <v>9.0</v>
      </c>
      <c r="C6276" s="7" t="s">
        <v>267</v>
      </c>
      <c r="D6276" s="7" t="s">
        <v>1658</v>
      </c>
      <c r="E6276" s="5" t="s">
        <v>3932</v>
      </c>
      <c r="F6276" s="5" t="s">
        <v>238</v>
      </c>
    </row>
    <row r="6277">
      <c r="A6277" s="5" t="s">
        <v>2607</v>
      </c>
      <c r="B6277" s="8">
        <v>9.0</v>
      </c>
      <c r="C6277" s="7" t="s">
        <v>267</v>
      </c>
      <c r="D6277" s="7" t="s">
        <v>1658</v>
      </c>
      <c r="E6277" s="5" t="s">
        <v>3932</v>
      </c>
      <c r="F6277" s="5" t="s">
        <v>238</v>
      </c>
    </row>
    <row r="6278">
      <c r="A6278" s="7" t="s">
        <v>1990</v>
      </c>
      <c r="B6278" s="8">
        <v>9.0</v>
      </c>
      <c r="C6278" s="7" t="s">
        <v>267</v>
      </c>
      <c r="D6278" s="7" t="s">
        <v>1658</v>
      </c>
      <c r="E6278" s="5" t="s">
        <v>3932</v>
      </c>
      <c r="F6278" s="5" t="s">
        <v>238</v>
      </c>
    </row>
    <row r="6279">
      <c r="A6279" s="5" t="s">
        <v>2936</v>
      </c>
      <c r="B6279" s="8">
        <v>9.0</v>
      </c>
      <c r="C6279" s="7" t="s">
        <v>267</v>
      </c>
      <c r="D6279" s="7" t="s">
        <v>1658</v>
      </c>
      <c r="E6279" s="5" t="s">
        <v>3932</v>
      </c>
      <c r="F6279" s="5" t="s">
        <v>238</v>
      </c>
    </row>
    <row r="6280">
      <c r="A6280" s="5" t="s">
        <v>2608</v>
      </c>
      <c r="B6280" s="8">
        <v>9.0</v>
      </c>
      <c r="C6280" s="7" t="s">
        <v>267</v>
      </c>
      <c r="D6280" s="7" t="s">
        <v>1658</v>
      </c>
      <c r="E6280" s="5" t="s">
        <v>3932</v>
      </c>
      <c r="F6280" s="5" t="s">
        <v>238</v>
      </c>
    </row>
    <row r="6281">
      <c r="A6281" s="5" t="s">
        <v>2609</v>
      </c>
      <c r="B6281" s="8">
        <v>9.0</v>
      </c>
      <c r="C6281" s="7" t="s">
        <v>267</v>
      </c>
      <c r="D6281" s="7" t="s">
        <v>1658</v>
      </c>
      <c r="E6281" s="5" t="s">
        <v>3932</v>
      </c>
      <c r="F6281" s="5" t="s">
        <v>238</v>
      </c>
    </row>
    <row r="6282">
      <c r="A6282" s="5" t="s">
        <v>3791</v>
      </c>
      <c r="B6282" s="8">
        <v>9.0</v>
      </c>
      <c r="C6282" s="7" t="s">
        <v>274</v>
      </c>
      <c r="D6282" s="7" t="s">
        <v>2188</v>
      </c>
      <c r="E6282" s="5" t="s">
        <v>3933</v>
      </c>
      <c r="F6282" s="5" t="s">
        <v>3934</v>
      </c>
    </row>
    <row r="6283">
      <c r="A6283" s="7" t="s">
        <v>188</v>
      </c>
      <c r="B6283" s="8">
        <v>9.0</v>
      </c>
      <c r="C6283" s="7" t="s">
        <v>274</v>
      </c>
      <c r="D6283" s="7" t="s">
        <v>2188</v>
      </c>
      <c r="E6283" s="5" t="s">
        <v>3933</v>
      </c>
      <c r="F6283" s="4" t="s">
        <v>3896</v>
      </c>
    </row>
    <row r="6284">
      <c r="A6284" s="5" t="s">
        <v>2924</v>
      </c>
      <c r="B6284" s="8">
        <v>9.0</v>
      </c>
      <c r="C6284" s="7" t="s">
        <v>274</v>
      </c>
      <c r="D6284" s="7" t="s">
        <v>2188</v>
      </c>
      <c r="E6284" s="5" t="s">
        <v>3933</v>
      </c>
      <c r="F6284" s="5" t="s">
        <v>1363</v>
      </c>
    </row>
    <row r="6285">
      <c r="A6285" s="5" t="s">
        <v>2796</v>
      </c>
      <c r="B6285" s="8">
        <v>9.0</v>
      </c>
      <c r="C6285" s="7" t="s">
        <v>274</v>
      </c>
      <c r="D6285" s="7" t="s">
        <v>2188</v>
      </c>
      <c r="E6285" s="5" t="s">
        <v>3933</v>
      </c>
      <c r="F6285" s="4" t="s">
        <v>3196</v>
      </c>
    </row>
    <row r="6286">
      <c r="A6286" s="5" t="s">
        <v>2925</v>
      </c>
      <c r="B6286" s="8">
        <v>9.0</v>
      </c>
      <c r="C6286" s="7" t="s">
        <v>274</v>
      </c>
      <c r="D6286" s="7" t="s">
        <v>2188</v>
      </c>
      <c r="E6286" s="5" t="s">
        <v>3933</v>
      </c>
      <c r="F6286" s="4" t="s">
        <v>1363</v>
      </c>
    </row>
    <row r="6287">
      <c r="A6287" s="5" t="s">
        <v>3086</v>
      </c>
      <c r="B6287" s="8">
        <v>9.0</v>
      </c>
      <c r="C6287" s="7" t="s">
        <v>274</v>
      </c>
      <c r="D6287" s="7" t="s">
        <v>2188</v>
      </c>
      <c r="E6287" s="5" t="s">
        <v>3933</v>
      </c>
      <c r="F6287" s="5" t="s">
        <v>1363</v>
      </c>
    </row>
    <row r="6288">
      <c r="A6288" s="5" t="s">
        <v>3795</v>
      </c>
      <c r="B6288" s="8">
        <v>9.0</v>
      </c>
      <c r="C6288" s="7" t="s">
        <v>274</v>
      </c>
      <c r="D6288" s="7" t="s">
        <v>2188</v>
      </c>
      <c r="E6288" s="5" t="s">
        <v>3933</v>
      </c>
      <c r="F6288" s="4" t="s">
        <v>3889</v>
      </c>
    </row>
    <row r="6289">
      <c r="A6289" s="7" t="s">
        <v>868</v>
      </c>
      <c r="B6289" s="8">
        <v>9.0</v>
      </c>
      <c r="C6289" s="7" t="s">
        <v>274</v>
      </c>
      <c r="D6289" s="7" t="s">
        <v>2188</v>
      </c>
      <c r="E6289" s="5" t="s">
        <v>3933</v>
      </c>
      <c r="F6289" s="5" t="s">
        <v>3889</v>
      </c>
    </row>
    <row r="6290">
      <c r="A6290" s="5" t="s">
        <v>3087</v>
      </c>
      <c r="B6290" s="8">
        <v>9.0</v>
      </c>
      <c r="C6290" s="7" t="s">
        <v>274</v>
      </c>
      <c r="D6290" s="7" t="s">
        <v>2188</v>
      </c>
      <c r="E6290" s="5" t="s">
        <v>3933</v>
      </c>
      <c r="F6290" s="5" t="s">
        <v>780</v>
      </c>
    </row>
    <row r="6291">
      <c r="A6291" s="5" t="s">
        <v>2926</v>
      </c>
      <c r="B6291" s="8">
        <v>9.0</v>
      </c>
      <c r="C6291" s="7" t="s">
        <v>274</v>
      </c>
      <c r="D6291" s="7" t="s">
        <v>2188</v>
      </c>
      <c r="E6291" s="5" t="s">
        <v>3933</v>
      </c>
      <c r="F6291" s="5" t="s">
        <v>3935</v>
      </c>
    </row>
    <row r="6292">
      <c r="A6292" s="5" t="s">
        <v>3088</v>
      </c>
      <c r="B6292" s="8">
        <v>9.0</v>
      </c>
      <c r="C6292" s="7" t="s">
        <v>274</v>
      </c>
      <c r="D6292" s="7" t="s">
        <v>2188</v>
      </c>
      <c r="E6292" s="5" t="s">
        <v>3933</v>
      </c>
      <c r="F6292" s="5" t="s">
        <v>3924</v>
      </c>
    </row>
    <row r="6293">
      <c r="A6293" s="5" t="s">
        <v>3388</v>
      </c>
      <c r="B6293" s="8">
        <v>9.0</v>
      </c>
      <c r="C6293" s="7" t="s">
        <v>274</v>
      </c>
      <c r="D6293" s="7" t="s">
        <v>2188</v>
      </c>
      <c r="E6293" s="5" t="s">
        <v>3933</v>
      </c>
      <c r="F6293" s="5" t="s">
        <v>780</v>
      </c>
    </row>
    <row r="6294">
      <c r="A6294" s="5" t="s">
        <v>2927</v>
      </c>
      <c r="B6294" s="8">
        <v>9.0</v>
      </c>
      <c r="C6294" s="7" t="s">
        <v>274</v>
      </c>
      <c r="D6294" s="7" t="s">
        <v>2188</v>
      </c>
      <c r="E6294" s="5" t="s">
        <v>3933</v>
      </c>
      <c r="F6294" s="5" t="s">
        <v>3936</v>
      </c>
    </row>
    <row r="6295">
      <c r="A6295" s="5" t="s">
        <v>3089</v>
      </c>
      <c r="B6295" s="8">
        <v>9.0</v>
      </c>
      <c r="C6295" s="7" t="s">
        <v>274</v>
      </c>
      <c r="D6295" s="7" t="s">
        <v>2188</v>
      </c>
      <c r="E6295" s="5" t="s">
        <v>3933</v>
      </c>
      <c r="F6295" s="5" t="s">
        <v>3233</v>
      </c>
    </row>
    <row r="6296">
      <c r="A6296" s="5" t="s">
        <v>2928</v>
      </c>
      <c r="B6296" s="8">
        <v>9.0</v>
      </c>
      <c r="C6296" s="7" t="s">
        <v>274</v>
      </c>
      <c r="D6296" s="7" t="s">
        <v>2188</v>
      </c>
      <c r="E6296" s="5" t="s">
        <v>3933</v>
      </c>
      <c r="F6296" s="5" t="s">
        <v>3893</v>
      </c>
    </row>
    <row r="6297">
      <c r="A6297" s="7" t="s">
        <v>603</v>
      </c>
      <c r="B6297" s="8">
        <v>9.0</v>
      </c>
      <c r="C6297" s="7" t="s">
        <v>274</v>
      </c>
      <c r="D6297" s="7" t="s">
        <v>2188</v>
      </c>
      <c r="E6297" s="5" t="s">
        <v>3933</v>
      </c>
      <c r="F6297" s="5" t="s">
        <v>3235</v>
      </c>
    </row>
    <row r="6298">
      <c r="A6298" s="5" t="s">
        <v>2929</v>
      </c>
      <c r="B6298" s="8">
        <v>9.0</v>
      </c>
      <c r="C6298" s="7" t="s">
        <v>274</v>
      </c>
      <c r="D6298" s="7" t="s">
        <v>2188</v>
      </c>
      <c r="E6298" s="5" t="s">
        <v>3933</v>
      </c>
      <c r="F6298" s="5" t="s">
        <v>3937</v>
      </c>
    </row>
    <row r="6299">
      <c r="A6299" s="5" t="s">
        <v>2702</v>
      </c>
      <c r="B6299" s="8">
        <v>9.0</v>
      </c>
      <c r="C6299" s="7" t="s">
        <v>274</v>
      </c>
      <c r="D6299" s="7" t="s">
        <v>2188</v>
      </c>
      <c r="E6299" s="5" t="s">
        <v>3933</v>
      </c>
      <c r="F6299" s="5" t="s">
        <v>3233</v>
      </c>
    </row>
    <row r="6300">
      <c r="A6300" s="5" t="s">
        <v>2930</v>
      </c>
      <c r="B6300" s="8">
        <v>9.0</v>
      </c>
      <c r="C6300" s="7" t="s">
        <v>274</v>
      </c>
      <c r="D6300" s="7" t="s">
        <v>2188</v>
      </c>
      <c r="E6300" s="5" t="s">
        <v>3933</v>
      </c>
      <c r="F6300" s="5" t="s">
        <v>1664</v>
      </c>
    </row>
    <row r="6301">
      <c r="A6301" s="5" t="s">
        <v>2600</v>
      </c>
      <c r="B6301" s="8">
        <v>9.0</v>
      </c>
      <c r="C6301" s="7" t="s">
        <v>274</v>
      </c>
      <c r="D6301" s="7" t="s">
        <v>2188</v>
      </c>
      <c r="E6301" s="5" t="s">
        <v>3933</v>
      </c>
      <c r="F6301" s="5" t="s">
        <v>3233</v>
      </c>
    </row>
    <row r="6302">
      <c r="A6302" s="5" t="s">
        <v>3802</v>
      </c>
      <c r="B6302" s="8">
        <v>9.0</v>
      </c>
      <c r="C6302" s="7" t="s">
        <v>274</v>
      </c>
      <c r="D6302" s="7" t="s">
        <v>2188</v>
      </c>
      <c r="E6302" s="5" t="s">
        <v>3933</v>
      </c>
      <c r="F6302" s="5" t="s">
        <v>3233</v>
      </c>
    </row>
    <row r="6303">
      <c r="A6303" s="5" t="s">
        <v>3090</v>
      </c>
      <c r="B6303" s="8">
        <v>9.0</v>
      </c>
      <c r="C6303" s="7" t="s">
        <v>274</v>
      </c>
      <c r="D6303" s="7" t="s">
        <v>2188</v>
      </c>
      <c r="E6303" s="5" t="s">
        <v>3933</v>
      </c>
      <c r="F6303" s="5" t="s">
        <v>2134</v>
      </c>
    </row>
    <row r="6304">
      <c r="A6304" s="7" t="s">
        <v>606</v>
      </c>
      <c r="B6304" s="8">
        <v>9.0</v>
      </c>
      <c r="C6304" s="7" t="s">
        <v>274</v>
      </c>
      <c r="D6304" s="7" t="s">
        <v>2188</v>
      </c>
      <c r="E6304" s="5" t="s">
        <v>3933</v>
      </c>
      <c r="F6304" s="5" t="s">
        <v>3938</v>
      </c>
    </row>
    <row r="6305">
      <c r="A6305" s="5" t="s">
        <v>2602</v>
      </c>
      <c r="B6305" s="8">
        <v>9.0</v>
      </c>
      <c r="C6305" s="7" t="s">
        <v>274</v>
      </c>
      <c r="D6305" s="7" t="s">
        <v>2188</v>
      </c>
      <c r="E6305" s="5" t="s">
        <v>3933</v>
      </c>
      <c r="F6305" s="5" t="s">
        <v>3678</v>
      </c>
    </row>
    <row r="6306">
      <c r="A6306" s="5" t="s">
        <v>2931</v>
      </c>
      <c r="B6306" s="8">
        <v>9.0</v>
      </c>
      <c r="C6306" s="7" t="s">
        <v>274</v>
      </c>
      <c r="D6306" s="7" t="s">
        <v>2188</v>
      </c>
      <c r="E6306" s="5" t="s">
        <v>3933</v>
      </c>
      <c r="F6306" s="5" t="s">
        <v>3042</v>
      </c>
    </row>
    <row r="6307">
      <c r="A6307" s="7" t="s">
        <v>874</v>
      </c>
      <c r="B6307" s="8">
        <v>9.0</v>
      </c>
      <c r="C6307" s="7" t="s">
        <v>274</v>
      </c>
      <c r="D6307" s="7" t="s">
        <v>2188</v>
      </c>
      <c r="E6307" s="5" t="s">
        <v>3933</v>
      </c>
      <c r="F6307" s="5" t="s">
        <v>3896</v>
      </c>
    </row>
    <row r="6308">
      <c r="A6308" s="5" t="s">
        <v>2932</v>
      </c>
      <c r="B6308" s="8">
        <v>9.0</v>
      </c>
      <c r="C6308" s="7" t="s">
        <v>274</v>
      </c>
      <c r="D6308" s="7" t="s">
        <v>2188</v>
      </c>
      <c r="E6308" s="5" t="s">
        <v>3933</v>
      </c>
      <c r="F6308" s="5" t="s">
        <v>1664</v>
      </c>
    </row>
    <row r="6309">
      <c r="A6309" s="5" t="s">
        <v>3091</v>
      </c>
      <c r="B6309" s="8">
        <v>9.0</v>
      </c>
      <c r="C6309" s="7" t="s">
        <v>274</v>
      </c>
      <c r="D6309" s="7" t="s">
        <v>2188</v>
      </c>
      <c r="E6309" s="5" t="s">
        <v>3933</v>
      </c>
      <c r="F6309" s="5" t="s">
        <v>1664</v>
      </c>
    </row>
    <row r="6310">
      <c r="A6310" s="5" t="s">
        <v>2605</v>
      </c>
      <c r="B6310" s="8">
        <v>9.0</v>
      </c>
      <c r="C6310" s="7" t="s">
        <v>274</v>
      </c>
      <c r="D6310" s="7" t="s">
        <v>2188</v>
      </c>
      <c r="E6310" s="5" t="s">
        <v>3933</v>
      </c>
      <c r="F6310" s="5" t="s">
        <v>3889</v>
      </c>
    </row>
    <row r="6311">
      <c r="A6311" s="7" t="s">
        <v>1989</v>
      </c>
      <c r="B6311" s="8">
        <v>9.0</v>
      </c>
      <c r="C6311" s="7" t="s">
        <v>274</v>
      </c>
      <c r="D6311" s="7" t="s">
        <v>2188</v>
      </c>
      <c r="E6311" s="5" t="s">
        <v>3933</v>
      </c>
      <c r="F6311" s="5" t="s">
        <v>3939</v>
      </c>
    </row>
    <row r="6312">
      <c r="A6312" s="5" t="s">
        <v>2933</v>
      </c>
      <c r="B6312" s="8">
        <v>9.0</v>
      </c>
      <c r="C6312" s="7" t="s">
        <v>274</v>
      </c>
      <c r="D6312" s="7" t="s">
        <v>2188</v>
      </c>
      <c r="E6312" s="5" t="s">
        <v>3933</v>
      </c>
      <c r="F6312" s="5" t="s">
        <v>1664</v>
      </c>
    </row>
    <row r="6313">
      <c r="A6313" s="5" t="s">
        <v>2606</v>
      </c>
      <c r="B6313" s="8">
        <v>9.0</v>
      </c>
      <c r="C6313" s="7" t="s">
        <v>274</v>
      </c>
      <c r="D6313" s="7" t="s">
        <v>2188</v>
      </c>
      <c r="E6313" s="5" t="s">
        <v>3933</v>
      </c>
      <c r="F6313" s="5" t="s">
        <v>1664</v>
      </c>
    </row>
    <row r="6314">
      <c r="A6314" s="5" t="s">
        <v>2934</v>
      </c>
      <c r="B6314" s="8">
        <v>9.0</v>
      </c>
      <c r="C6314" s="7" t="s">
        <v>274</v>
      </c>
      <c r="D6314" s="7" t="s">
        <v>2188</v>
      </c>
      <c r="E6314" s="5" t="s">
        <v>3933</v>
      </c>
      <c r="F6314" s="5" t="s">
        <v>1664</v>
      </c>
    </row>
    <row r="6315">
      <c r="A6315" s="5" t="s">
        <v>2607</v>
      </c>
      <c r="B6315" s="8">
        <v>9.0</v>
      </c>
      <c r="C6315" s="7" t="s">
        <v>274</v>
      </c>
      <c r="D6315" s="7" t="s">
        <v>2188</v>
      </c>
      <c r="E6315" s="5" t="s">
        <v>3933</v>
      </c>
      <c r="F6315" s="7" t="s">
        <v>1436</v>
      </c>
    </row>
    <row r="6316">
      <c r="A6316" s="7" t="s">
        <v>1990</v>
      </c>
      <c r="B6316" s="8">
        <v>9.0</v>
      </c>
      <c r="C6316" s="7" t="s">
        <v>274</v>
      </c>
      <c r="D6316" s="7" t="s">
        <v>2188</v>
      </c>
      <c r="E6316" s="5" t="s">
        <v>3933</v>
      </c>
      <c r="F6316" s="5" t="s">
        <v>3896</v>
      </c>
    </row>
    <row r="6317">
      <c r="A6317" s="5" t="s">
        <v>2935</v>
      </c>
      <c r="B6317" s="8">
        <v>9.0</v>
      </c>
      <c r="C6317" s="7" t="s">
        <v>274</v>
      </c>
      <c r="D6317" s="7" t="s">
        <v>2188</v>
      </c>
      <c r="E6317" s="5" t="s">
        <v>3933</v>
      </c>
      <c r="F6317" s="5" t="s">
        <v>3940</v>
      </c>
    </row>
    <row r="6318">
      <c r="A6318" s="5" t="s">
        <v>2936</v>
      </c>
      <c r="B6318" s="8">
        <v>9.0</v>
      </c>
      <c r="C6318" s="7" t="s">
        <v>274</v>
      </c>
      <c r="D6318" s="7" t="s">
        <v>2188</v>
      </c>
      <c r="E6318" s="5" t="s">
        <v>3933</v>
      </c>
      <c r="F6318" s="7" t="s">
        <v>2197</v>
      </c>
    </row>
    <row r="6319">
      <c r="A6319" s="5" t="s">
        <v>2608</v>
      </c>
      <c r="B6319" s="8">
        <v>9.0</v>
      </c>
      <c r="C6319" s="7" t="s">
        <v>274</v>
      </c>
      <c r="D6319" s="7" t="s">
        <v>2188</v>
      </c>
      <c r="E6319" s="5" t="s">
        <v>3933</v>
      </c>
      <c r="F6319" s="5" t="s">
        <v>1664</v>
      </c>
    </row>
    <row r="6320">
      <c r="A6320" s="5" t="s">
        <v>2609</v>
      </c>
      <c r="B6320" s="8">
        <v>9.0</v>
      </c>
      <c r="C6320" s="7" t="s">
        <v>274</v>
      </c>
      <c r="D6320" s="7" t="s">
        <v>2188</v>
      </c>
      <c r="E6320" s="5" t="s">
        <v>3933</v>
      </c>
      <c r="F6320" s="5" t="s">
        <v>1664</v>
      </c>
    </row>
    <row r="6321">
      <c r="A6321" s="5" t="s">
        <v>3791</v>
      </c>
      <c r="B6321" s="8">
        <v>9.0</v>
      </c>
      <c r="C6321" s="7" t="s">
        <v>794</v>
      </c>
      <c r="D6321" s="7" t="s">
        <v>2198</v>
      </c>
      <c r="E6321" s="5" t="s">
        <v>3941</v>
      </c>
      <c r="F6321" s="5" t="s">
        <v>3942</v>
      </c>
    </row>
    <row r="6322">
      <c r="A6322" s="7" t="s">
        <v>188</v>
      </c>
      <c r="B6322" s="8">
        <v>9.0</v>
      </c>
      <c r="C6322" s="7" t="s">
        <v>794</v>
      </c>
      <c r="D6322" s="7" t="s">
        <v>2198</v>
      </c>
      <c r="E6322" s="5" t="s">
        <v>3941</v>
      </c>
      <c r="F6322" s="5" t="s">
        <v>2201</v>
      </c>
    </row>
    <row r="6323">
      <c r="A6323" s="5" t="s">
        <v>2924</v>
      </c>
      <c r="B6323" s="8">
        <v>9.0</v>
      </c>
      <c r="C6323" s="7" t="s">
        <v>794</v>
      </c>
      <c r="D6323" s="7" t="s">
        <v>2198</v>
      </c>
      <c r="E6323" s="5" t="s">
        <v>3941</v>
      </c>
      <c r="F6323" s="5" t="s">
        <v>3943</v>
      </c>
    </row>
    <row r="6324">
      <c r="A6324" s="5" t="s">
        <v>2796</v>
      </c>
      <c r="B6324" s="8">
        <v>9.0</v>
      </c>
      <c r="C6324" s="7" t="s">
        <v>794</v>
      </c>
      <c r="D6324" s="7" t="s">
        <v>2198</v>
      </c>
      <c r="E6324" s="5" t="s">
        <v>3941</v>
      </c>
      <c r="F6324" s="5" t="s">
        <v>2201</v>
      </c>
    </row>
    <row r="6325">
      <c r="A6325" s="5" t="s">
        <v>2925</v>
      </c>
      <c r="B6325" s="8">
        <v>9.0</v>
      </c>
      <c r="C6325" s="7" t="s">
        <v>794</v>
      </c>
      <c r="D6325" s="7" t="s">
        <v>2198</v>
      </c>
      <c r="E6325" s="5" t="s">
        <v>3941</v>
      </c>
      <c r="F6325" s="4" t="s">
        <v>3685</v>
      </c>
    </row>
    <row r="6326">
      <c r="A6326" s="5" t="s">
        <v>3795</v>
      </c>
      <c r="B6326" s="8">
        <v>9.0</v>
      </c>
      <c r="C6326" s="7" t="s">
        <v>794</v>
      </c>
      <c r="D6326" s="7" t="s">
        <v>2198</v>
      </c>
      <c r="E6326" s="5" t="s">
        <v>3941</v>
      </c>
      <c r="F6326" s="4" t="s">
        <v>2201</v>
      </c>
    </row>
    <row r="6327">
      <c r="A6327" s="7" t="s">
        <v>868</v>
      </c>
      <c r="B6327" s="8">
        <v>9.0</v>
      </c>
      <c r="C6327" s="7" t="s">
        <v>794</v>
      </c>
      <c r="D6327" s="7" t="s">
        <v>2198</v>
      </c>
      <c r="E6327" s="5" t="s">
        <v>3941</v>
      </c>
      <c r="F6327" s="5" t="s">
        <v>2201</v>
      </c>
    </row>
    <row r="6328">
      <c r="A6328" s="5" t="s">
        <v>3087</v>
      </c>
      <c r="B6328" s="8">
        <v>9.0</v>
      </c>
      <c r="C6328" s="7" t="s">
        <v>794</v>
      </c>
      <c r="D6328" s="7" t="s">
        <v>2198</v>
      </c>
      <c r="E6328" s="5" t="s">
        <v>3941</v>
      </c>
      <c r="F6328" s="5" t="s">
        <v>3944</v>
      </c>
    </row>
    <row r="6329">
      <c r="A6329" s="5" t="s">
        <v>2926</v>
      </c>
      <c r="B6329" s="8">
        <v>9.0</v>
      </c>
      <c r="C6329" s="7" t="s">
        <v>794</v>
      </c>
      <c r="D6329" s="7" t="s">
        <v>2198</v>
      </c>
      <c r="E6329" s="5" t="s">
        <v>3941</v>
      </c>
      <c r="F6329" s="4" t="s">
        <v>3945</v>
      </c>
    </row>
    <row r="6330">
      <c r="A6330" s="5" t="s">
        <v>3088</v>
      </c>
      <c r="B6330" s="8">
        <v>9.0</v>
      </c>
      <c r="C6330" s="7" t="s">
        <v>794</v>
      </c>
      <c r="D6330" s="7" t="s">
        <v>2198</v>
      </c>
      <c r="E6330" s="5" t="s">
        <v>3941</v>
      </c>
      <c r="F6330" s="5" t="s">
        <v>2201</v>
      </c>
    </row>
    <row r="6331">
      <c r="A6331" s="5" t="s">
        <v>3388</v>
      </c>
      <c r="B6331" s="8">
        <v>9.0</v>
      </c>
      <c r="C6331" s="7" t="s">
        <v>794</v>
      </c>
      <c r="D6331" s="7" t="s">
        <v>2198</v>
      </c>
      <c r="E6331" s="5" t="s">
        <v>3941</v>
      </c>
      <c r="F6331" s="5" t="s">
        <v>3946</v>
      </c>
    </row>
    <row r="6332">
      <c r="A6332" s="5" t="s">
        <v>2927</v>
      </c>
      <c r="B6332" s="8">
        <v>9.0</v>
      </c>
      <c r="C6332" s="7" t="s">
        <v>794</v>
      </c>
      <c r="D6332" s="7" t="s">
        <v>2198</v>
      </c>
      <c r="E6332" s="5" t="s">
        <v>3941</v>
      </c>
      <c r="F6332" s="5" t="s">
        <v>3947</v>
      </c>
    </row>
    <row r="6333">
      <c r="A6333" s="5" t="s">
        <v>3089</v>
      </c>
      <c r="B6333" s="8">
        <v>9.0</v>
      </c>
      <c r="C6333" s="7" t="s">
        <v>794</v>
      </c>
      <c r="D6333" s="7" t="s">
        <v>2198</v>
      </c>
      <c r="E6333" s="5" t="s">
        <v>3941</v>
      </c>
      <c r="F6333" s="5" t="s">
        <v>2201</v>
      </c>
    </row>
    <row r="6334">
      <c r="A6334" s="5" t="s">
        <v>2928</v>
      </c>
      <c r="B6334" s="8">
        <v>9.0</v>
      </c>
      <c r="C6334" s="7" t="s">
        <v>794</v>
      </c>
      <c r="D6334" s="7" t="s">
        <v>2198</v>
      </c>
      <c r="E6334" s="5" t="s">
        <v>3941</v>
      </c>
      <c r="F6334" s="5" t="s">
        <v>3691</v>
      </c>
    </row>
    <row r="6335">
      <c r="A6335" s="7" t="s">
        <v>603</v>
      </c>
      <c r="B6335" s="8">
        <v>9.0</v>
      </c>
      <c r="C6335" s="7" t="s">
        <v>794</v>
      </c>
      <c r="D6335" s="7" t="s">
        <v>2198</v>
      </c>
      <c r="E6335" s="5" t="s">
        <v>3941</v>
      </c>
      <c r="F6335" s="5" t="s">
        <v>3256</v>
      </c>
    </row>
    <row r="6336">
      <c r="A6336" s="5" t="s">
        <v>2929</v>
      </c>
      <c r="B6336" s="8">
        <v>9.0</v>
      </c>
      <c r="C6336" s="7" t="s">
        <v>794</v>
      </c>
      <c r="D6336" s="7" t="s">
        <v>2198</v>
      </c>
      <c r="E6336" s="5" t="s">
        <v>3941</v>
      </c>
      <c r="F6336" s="5" t="s">
        <v>3948</v>
      </c>
    </row>
    <row r="6337">
      <c r="A6337" s="5" t="s">
        <v>2702</v>
      </c>
      <c r="B6337" s="8">
        <v>9.0</v>
      </c>
      <c r="C6337" s="7" t="s">
        <v>794</v>
      </c>
      <c r="D6337" s="7" t="s">
        <v>2198</v>
      </c>
      <c r="E6337" s="5" t="s">
        <v>3941</v>
      </c>
      <c r="F6337" s="5" t="s">
        <v>2201</v>
      </c>
    </row>
    <row r="6338">
      <c r="A6338" s="5" t="s">
        <v>2930</v>
      </c>
      <c r="B6338" s="8">
        <v>9.0</v>
      </c>
      <c r="C6338" s="7" t="s">
        <v>794</v>
      </c>
      <c r="D6338" s="7" t="s">
        <v>2198</v>
      </c>
      <c r="E6338" s="5" t="s">
        <v>3941</v>
      </c>
      <c r="F6338" s="5" t="s">
        <v>3949</v>
      </c>
    </row>
    <row r="6339">
      <c r="A6339" s="5" t="s">
        <v>2600</v>
      </c>
      <c r="B6339" s="8">
        <v>9.0</v>
      </c>
      <c r="C6339" s="7" t="s">
        <v>794</v>
      </c>
      <c r="D6339" s="7" t="s">
        <v>2198</v>
      </c>
      <c r="E6339" s="5" t="s">
        <v>3941</v>
      </c>
      <c r="F6339" s="5" t="s">
        <v>2201</v>
      </c>
    </row>
    <row r="6340">
      <c r="A6340" s="5" t="s">
        <v>3802</v>
      </c>
      <c r="B6340" s="8">
        <v>9.0</v>
      </c>
      <c r="C6340" s="7" t="s">
        <v>794</v>
      </c>
      <c r="D6340" s="7" t="s">
        <v>2198</v>
      </c>
      <c r="E6340" s="5" t="s">
        <v>3941</v>
      </c>
      <c r="F6340" s="5" t="s">
        <v>2201</v>
      </c>
    </row>
    <row r="6341">
      <c r="A6341" s="5" t="s">
        <v>3090</v>
      </c>
      <c r="B6341" s="8">
        <v>9.0</v>
      </c>
      <c r="C6341" s="7" t="s">
        <v>794</v>
      </c>
      <c r="D6341" s="7" t="s">
        <v>2198</v>
      </c>
      <c r="E6341" s="5" t="s">
        <v>3941</v>
      </c>
      <c r="F6341" s="5" t="s">
        <v>3950</v>
      </c>
    </row>
    <row r="6342">
      <c r="A6342" s="7" t="s">
        <v>606</v>
      </c>
      <c r="B6342" s="8">
        <v>9.0</v>
      </c>
      <c r="C6342" s="7" t="s">
        <v>794</v>
      </c>
      <c r="D6342" s="7" t="s">
        <v>2198</v>
      </c>
      <c r="E6342" s="5" t="s">
        <v>3941</v>
      </c>
      <c r="F6342" s="5" t="s">
        <v>3951</v>
      </c>
    </row>
    <row r="6343">
      <c r="A6343" s="5" t="s">
        <v>2602</v>
      </c>
      <c r="B6343" s="8">
        <v>9.0</v>
      </c>
      <c r="C6343" s="7" t="s">
        <v>794</v>
      </c>
      <c r="D6343" s="7" t="s">
        <v>2198</v>
      </c>
      <c r="E6343" s="5" t="s">
        <v>3941</v>
      </c>
      <c r="F6343" s="5" t="s">
        <v>3695</v>
      </c>
    </row>
    <row r="6344">
      <c r="A6344" s="5" t="s">
        <v>2931</v>
      </c>
      <c r="B6344" s="8">
        <v>9.0</v>
      </c>
      <c r="C6344" s="7" t="s">
        <v>794</v>
      </c>
      <c r="D6344" s="7" t="s">
        <v>2198</v>
      </c>
      <c r="E6344" s="5" t="s">
        <v>3941</v>
      </c>
      <c r="F6344" s="5" t="s">
        <v>3696</v>
      </c>
    </row>
    <row r="6345">
      <c r="A6345" s="7" t="s">
        <v>874</v>
      </c>
      <c r="B6345" s="8">
        <v>9.0</v>
      </c>
      <c r="C6345" s="7" t="s">
        <v>794</v>
      </c>
      <c r="D6345" s="7" t="s">
        <v>2198</v>
      </c>
      <c r="E6345" s="5" t="s">
        <v>3941</v>
      </c>
      <c r="F6345" s="5" t="s">
        <v>2201</v>
      </c>
    </row>
    <row r="6346">
      <c r="A6346" s="5" t="s">
        <v>2932</v>
      </c>
      <c r="B6346" s="8">
        <v>9.0</v>
      </c>
      <c r="C6346" s="7" t="s">
        <v>794</v>
      </c>
      <c r="D6346" s="7" t="s">
        <v>2198</v>
      </c>
      <c r="E6346" s="5" t="s">
        <v>3941</v>
      </c>
      <c r="F6346" s="5" t="s">
        <v>3952</v>
      </c>
    </row>
    <row r="6347">
      <c r="A6347" s="5" t="s">
        <v>3091</v>
      </c>
      <c r="B6347" s="8">
        <v>9.0</v>
      </c>
      <c r="C6347" s="7" t="s">
        <v>794</v>
      </c>
      <c r="D6347" s="7" t="s">
        <v>2198</v>
      </c>
      <c r="E6347" s="5" t="s">
        <v>3941</v>
      </c>
      <c r="F6347" s="5" t="s">
        <v>3953</v>
      </c>
    </row>
    <row r="6348">
      <c r="A6348" s="5" t="s">
        <v>2605</v>
      </c>
      <c r="B6348" s="8">
        <v>9.0</v>
      </c>
      <c r="C6348" s="7" t="s">
        <v>794</v>
      </c>
      <c r="D6348" s="7" t="s">
        <v>2198</v>
      </c>
      <c r="E6348" s="5" t="s">
        <v>3941</v>
      </c>
      <c r="F6348" s="5" t="s">
        <v>2201</v>
      </c>
    </row>
    <row r="6349">
      <c r="A6349" s="7" t="s">
        <v>1989</v>
      </c>
      <c r="B6349" s="8">
        <v>9.0</v>
      </c>
      <c r="C6349" s="7" t="s">
        <v>794</v>
      </c>
      <c r="D6349" s="7" t="s">
        <v>2198</v>
      </c>
      <c r="E6349" s="5" t="s">
        <v>3941</v>
      </c>
      <c r="F6349" s="7" t="s">
        <v>2216</v>
      </c>
    </row>
    <row r="6350">
      <c r="A6350" s="5" t="s">
        <v>2933</v>
      </c>
      <c r="B6350" s="8">
        <v>9.0</v>
      </c>
      <c r="C6350" s="7" t="s">
        <v>794</v>
      </c>
      <c r="D6350" s="7" t="s">
        <v>2198</v>
      </c>
      <c r="E6350" s="5" t="s">
        <v>3941</v>
      </c>
      <c r="F6350" s="5" t="s">
        <v>3698</v>
      </c>
    </row>
    <row r="6351">
      <c r="A6351" s="5" t="s">
        <v>2606</v>
      </c>
      <c r="B6351" s="8">
        <v>9.0</v>
      </c>
      <c r="C6351" s="7" t="s">
        <v>794</v>
      </c>
      <c r="D6351" s="7" t="s">
        <v>2198</v>
      </c>
      <c r="E6351" s="5" t="s">
        <v>3941</v>
      </c>
      <c r="F6351" s="5" t="s">
        <v>3954</v>
      </c>
    </row>
    <row r="6352">
      <c r="A6352" s="5" t="s">
        <v>2934</v>
      </c>
      <c r="B6352" s="8">
        <v>9.0</v>
      </c>
      <c r="C6352" s="7" t="s">
        <v>794</v>
      </c>
      <c r="D6352" s="7" t="s">
        <v>2198</v>
      </c>
      <c r="E6352" s="5" t="s">
        <v>3941</v>
      </c>
      <c r="F6352" s="5" t="s">
        <v>3955</v>
      </c>
    </row>
    <row r="6353">
      <c r="A6353" s="5" t="s">
        <v>2607</v>
      </c>
      <c r="B6353" s="8">
        <v>9.0</v>
      </c>
      <c r="C6353" s="7" t="s">
        <v>794</v>
      </c>
      <c r="D6353" s="7" t="s">
        <v>2198</v>
      </c>
      <c r="E6353" s="5" t="s">
        <v>3941</v>
      </c>
      <c r="F6353" s="5" t="s">
        <v>3956</v>
      </c>
    </row>
    <row r="6354">
      <c r="A6354" s="7" t="s">
        <v>1990</v>
      </c>
      <c r="B6354" s="8">
        <v>9.0</v>
      </c>
      <c r="C6354" s="7" t="s">
        <v>794</v>
      </c>
      <c r="D6354" s="7" t="s">
        <v>2198</v>
      </c>
      <c r="E6354" s="5" t="s">
        <v>3941</v>
      </c>
      <c r="F6354" s="7" t="s">
        <v>2221</v>
      </c>
    </row>
    <row r="6355">
      <c r="A6355" s="5" t="s">
        <v>2935</v>
      </c>
      <c r="B6355" s="8">
        <v>9.0</v>
      </c>
      <c r="C6355" s="7" t="s">
        <v>794</v>
      </c>
      <c r="D6355" s="7" t="s">
        <v>2198</v>
      </c>
      <c r="E6355" s="5" t="s">
        <v>3941</v>
      </c>
      <c r="F6355" s="5" t="s">
        <v>3702</v>
      </c>
    </row>
    <row r="6356">
      <c r="A6356" s="5" t="s">
        <v>2936</v>
      </c>
      <c r="B6356" s="8">
        <v>9.0</v>
      </c>
      <c r="C6356" s="7" t="s">
        <v>794</v>
      </c>
      <c r="D6356" s="7" t="s">
        <v>2198</v>
      </c>
      <c r="E6356" s="5" t="s">
        <v>3941</v>
      </c>
      <c r="F6356" s="5" t="s">
        <v>3957</v>
      </c>
    </row>
    <row r="6357">
      <c r="A6357" s="5" t="s">
        <v>2608</v>
      </c>
      <c r="B6357" s="8">
        <v>9.0</v>
      </c>
      <c r="C6357" s="7" t="s">
        <v>794</v>
      </c>
      <c r="D6357" s="7" t="s">
        <v>2198</v>
      </c>
      <c r="E6357" s="5" t="s">
        <v>3941</v>
      </c>
      <c r="F6357" s="5" t="s">
        <v>3958</v>
      </c>
    </row>
    <row r="6358">
      <c r="A6358" s="5" t="s">
        <v>2609</v>
      </c>
      <c r="B6358" s="8">
        <v>9.0</v>
      </c>
      <c r="C6358" s="7" t="s">
        <v>794</v>
      </c>
      <c r="D6358" s="7" t="s">
        <v>2198</v>
      </c>
      <c r="E6358" s="5" t="s">
        <v>3941</v>
      </c>
      <c r="F6358" s="5" t="s">
        <v>3705</v>
      </c>
    </row>
    <row r="6359">
      <c r="A6359" s="5" t="s">
        <v>3791</v>
      </c>
      <c r="B6359" s="8">
        <v>9.0</v>
      </c>
      <c r="C6359" s="7" t="s">
        <v>122</v>
      </c>
      <c r="D6359" s="5" t="s">
        <v>3959</v>
      </c>
      <c r="E6359" s="5" t="s">
        <v>3960</v>
      </c>
      <c r="F6359" s="7" t="s">
        <v>2227</v>
      </c>
    </row>
    <row r="6360">
      <c r="A6360" s="7" t="s">
        <v>188</v>
      </c>
      <c r="B6360" s="8">
        <v>9.0</v>
      </c>
      <c r="C6360" s="7" t="s">
        <v>122</v>
      </c>
      <c r="D6360" s="5" t="s">
        <v>3959</v>
      </c>
      <c r="E6360" s="5" t="s">
        <v>3960</v>
      </c>
      <c r="F6360" s="5" t="s">
        <v>3961</v>
      </c>
    </row>
    <row r="6361">
      <c r="A6361" s="5" t="s">
        <v>2924</v>
      </c>
      <c r="B6361" s="8">
        <v>9.0</v>
      </c>
      <c r="C6361" s="7" t="s">
        <v>122</v>
      </c>
      <c r="D6361" s="5" t="s">
        <v>3959</v>
      </c>
      <c r="E6361" s="5" t="s">
        <v>3960</v>
      </c>
      <c r="F6361" s="5" t="s">
        <v>3708</v>
      </c>
    </row>
    <row r="6362">
      <c r="A6362" s="5" t="s">
        <v>2796</v>
      </c>
      <c r="B6362" s="8">
        <v>9.0</v>
      </c>
      <c r="C6362" s="7" t="s">
        <v>122</v>
      </c>
      <c r="D6362" s="5" t="s">
        <v>3959</v>
      </c>
      <c r="E6362" s="5" t="s">
        <v>3960</v>
      </c>
      <c r="F6362" s="5" t="s">
        <v>3962</v>
      </c>
    </row>
    <row r="6363">
      <c r="A6363" s="5" t="s">
        <v>2925</v>
      </c>
      <c r="B6363" s="8">
        <v>9.0</v>
      </c>
      <c r="C6363" s="7" t="s">
        <v>122</v>
      </c>
      <c r="D6363" s="5" t="s">
        <v>3959</v>
      </c>
      <c r="E6363" s="5" t="s">
        <v>3960</v>
      </c>
      <c r="F6363" s="5" t="s">
        <v>3963</v>
      </c>
    </row>
    <row r="6364">
      <c r="A6364" s="5" t="s">
        <v>3086</v>
      </c>
      <c r="B6364" s="8">
        <v>9.0</v>
      </c>
      <c r="C6364" s="7" t="s">
        <v>122</v>
      </c>
      <c r="D6364" s="5" t="s">
        <v>3959</v>
      </c>
      <c r="E6364" s="5" t="s">
        <v>3960</v>
      </c>
      <c r="F6364" s="5" t="s">
        <v>3289</v>
      </c>
    </row>
    <row r="6365">
      <c r="A6365" s="5" t="s">
        <v>3795</v>
      </c>
      <c r="B6365" s="8">
        <v>9.0</v>
      </c>
      <c r="C6365" s="7" t="s">
        <v>122</v>
      </c>
      <c r="D6365" s="5" t="s">
        <v>3959</v>
      </c>
      <c r="E6365" s="5" t="s">
        <v>3960</v>
      </c>
      <c r="F6365" s="5" t="s">
        <v>3964</v>
      </c>
    </row>
    <row r="6366">
      <c r="A6366" s="7" t="s">
        <v>868</v>
      </c>
      <c r="B6366" s="8">
        <v>9.0</v>
      </c>
      <c r="C6366" s="7" t="s">
        <v>122</v>
      </c>
      <c r="D6366" s="5" t="s">
        <v>3959</v>
      </c>
      <c r="E6366" s="5" t="s">
        <v>3960</v>
      </c>
      <c r="F6366" s="5" t="s">
        <v>3495</v>
      </c>
    </row>
    <row r="6367">
      <c r="A6367" s="5" t="s">
        <v>3087</v>
      </c>
      <c r="B6367" s="8">
        <v>9.0</v>
      </c>
      <c r="C6367" s="7" t="s">
        <v>122</v>
      </c>
      <c r="D6367" s="5" t="s">
        <v>3959</v>
      </c>
      <c r="E6367" s="5" t="s">
        <v>3960</v>
      </c>
      <c r="F6367" s="5" t="s">
        <v>3965</v>
      </c>
    </row>
    <row r="6368">
      <c r="A6368" s="5" t="s">
        <v>2926</v>
      </c>
      <c r="B6368" s="8">
        <v>9.0</v>
      </c>
      <c r="C6368" s="7" t="s">
        <v>122</v>
      </c>
      <c r="D6368" s="5" t="s">
        <v>3959</v>
      </c>
      <c r="E6368" s="5" t="s">
        <v>3960</v>
      </c>
      <c r="F6368" s="5" t="s">
        <v>3712</v>
      </c>
    </row>
    <row r="6369">
      <c r="A6369" s="5" t="s">
        <v>3088</v>
      </c>
      <c r="B6369" s="8">
        <v>9.0</v>
      </c>
      <c r="C6369" s="7" t="s">
        <v>122</v>
      </c>
      <c r="D6369" s="5" t="s">
        <v>3959</v>
      </c>
      <c r="E6369" s="5" t="s">
        <v>3960</v>
      </c>
      <c r="F6369" s="5" t="s">
        <v>3293</v>
      </c>
    </row>
    <row r="6370">
      <c r="A6370" s="5" t="s">
        <v>3388</v>
      </c>
      <c r="B6370" s="8">
        <v>9.0</v>
      </c>
      <c r="C6370" s="7" t="s">
        <v>122</v>
      </c>
      <c r="D6370" s="5" t="s">
        <v>3959</v>
      </c>
      <c r="E6370" s="5" t="s">
        <v>3960</v>
      </c>
      <c r="F6370" s="5" t="s">
        <v>3496</v>
      </c>
    </row>
    <row r="6371">
      <c r="A6371" s="5" t="s">
        <v>2927</v>
      </c>
      <c r="B6371" s="8">
        <v>9.0</v>
      </c>
      <c r="C6371" s="7" t="s">
        <v>122</v>
      </c>
      <c r="D6371" s="5" t="s">
        <v>3959</v>
      </c>
      <c r="E6371" s="5" t="s">
        <v>3960</v>
      </c>
      <c r="F6371" s="5" t="s">
        <v>3966</v>
      </c>
    </row>
    <row r="6372">
      <c r="A6372" s="5" t="s">
        <v>3089</v>
      </c>
      <c r="B6372" s="8">
        <v>9.0</v>
      </c>
      <c r="C6372" s="7" t="s">
        <v>122</v>
      </c>
      <c r="D6372" s="5" t="s">
        <v>3959</v>
      </c>
      <c r="E6372" s="5" t="s">
        <v>3960</v>
      </c>
      <c r="F6372" s="5" t="s">
        <v>3967</v>
      </c>
    </row>
    <row r="6373">
      <c r="A6373" s="5" t="s">
        <v>2928</v>
      </c>
      <c r="B6373" s="8">
        <v>9.0</v>
      </c>
      <c r="C6373" s="7" t="s">
        <v>122</v>
      </c>
      <c r="D6373" s="5" t="s">
        <v>3959</v>
      </c>
      <c r="E6373" s="5" t="s">
        <v>3960</v>
      </c>
      <c r="F6373" s="5" t="s">
        <v>3296</v>
      </c>
    </row>
    <row r="6374">
      <c r="A6374" s="7" t="s">
        <v>603</v>
      </c>
      <c r="B6374" s="8">
        <v>9.0</v>
      </c>
      <c r="C6374" s="7" t="s">
        <v>122</v>
      </c>
      <c r="D6374" s="5" t="s">
        <v>3959</v>
      </c>
      <c r="E6374" s="5" t="s">
        <v>3960</v>
      </c>
      <c r="F6374" s="5" t="s">
        <v>3968</v>
      </c>
    </row>
    <row r="6375">
      <c r="A6375" s="5" t="s">
        <v>2929</v>
      </c>
      <c r="B6375" s="8">
        <v>9.0</v>
      </c>
      <c r="C6375" s="7" t="s">
        <v>122</v>
      </c>
      <c r="D6375" s="5" t="s">
        <v>3959</v>
      </c>
      <c r="E6375" s="5" t="s">
        <v>3960</v>
      </c>
      <c r="F6375" s="5" t="s">
        <v>3500</v>
      </c>
    </row>
    <row r="6376">
      <c r="A6376" s="5" t="s">
        <v>2702</v>
      </c>
      <c r="B6376" s="8">
        <v>9.0</v>
      </c>
      <c r="C6376" s="7" t="s">
        <v>122</v>
      </c>
      <c r="D6376" s="5" t="s">
        <v>3959</v>
      </c>
      <c r="E6376" s="5" t="s">
        <v>3960</v>
      </c>
      <c r="F6376" s="5" t="s">
        <v>3969</v>
      </c>
    </row>
    <row r="6377">
      <c r="A6377" s="5" t="s">
        <v>2930</v>
      </c>
      <c r="B6377" s="8">
        <v>9.0</v>
      </c>
      <c r="C6377" s="7" t="s">
        <v>122</v>
      </c>
      <c r="D6377" s="5" t="s">
        <v>3959</v>
      </c>
      <c r="E6377" s="5" t="s">
        <v>3960</v>
      </c>
      <c r="F6377" s="5" t="s">
        <v>3970</v>
      </c>
    </row>
    <row r="6378">
      <c r="A6378" s="5" t="s">
        <v>2600</v>
      </c>
      <c r="B6378" s="8">
        <v>9.0</v>
      </c>
      <c r="C6378" s="7" t="s">
        <v>122</v>
      </c>
      <c r="D6378" s="5" t="s">
        <v>3959</v>
      </c>
      <c r="E6378" s="5" t="s">
        <v>3960</v>
      </c>
      <c r="F6378" s="5" t="s">
        <v>3971</v>
      </c>
    </row>
    <row r="6379">
      <c r="A6379" s="5" t="s">
        <v>3802</v>
      </c>
      <c r="B6379" s="8">
        <v>9.0</v>
      </c>
      <c r="C6379" s="7" t="s">
        <v>122</v>
      </c>
      <c r="D6379" s="5" t="s">
        <v>3959</v>
      </c>
      <c r="E6379" s="5" t="s">
        <v>3960</v>
      </c>
      <c r="F6379" s="5" t="s">
        <v>3972</v>
      </c>
    </row>
    <row r="6380">
      <c r="A6380" s="5" t="s">
        <v>3090</v>
      </c>
      <c r="B6380" s="8">
        <v>9.0</v>
      </c>
      <c r="C6380" s="7" t="s">
        <v>122</v>
      </c>
      <c r="D6380" s="5" t="s">
        <v>3959</v>
      </c>
      <c r="E6380" s="5" t="s">
        <v>3960</v>
      </c>
      <c r="F6380" s="5" t="s">
        <v>3973</v>
      </c>
    </row>
    <row r="6381">
      <c r="A6381" s="7" t="s">
        <v>606</v>
      </c>
      <c r="B6381" s="8">
        <v>9.0</v>
      </c>
      <c r="C6381" s="7" t="s">
        <v>122</v>
      </c>
      <c r="D6381" s="5" t="s">
        <v>3959</v>
      </c>
      <c r="E6381" s="5" t="s">
        <v>3960</v>
      </c>
      <c r="F6381" s="5" t="s">
        <v>3974</v>
      </c>
    </row>
    <row r="6382">
      <c r="A6382" s="5" t="s">
        <v>2602</v>
      </c>
      <c r="B6382" s="8">
        <v>9.0</v>
      </c>
      <c r="C6382" s="7" t="s">
        <v>122</v>
      </c>
      <c r="D6382" s="5" t="s">
        <v>3959</v>
      </c>
      <c r="E6382" s="5" t="s">
        <v>3960</v>
      </c>
      <c r="F6382" s="5" t="s">
        <v>3975</v>
      </c>
    </row>
    <row r="6383">
      <c r="A6383" s="5" t="s">
        <v>2931</v>
      </c>
      <c r="B6383" s="8">
        <v>9.0</v>
      </c>
      <c r="C6383" s="7" t="s">
        <v>122</v>
      </c>
      <c r="D6383" s="5" t="s">
        <v>3959</v>
      </c>
      <c r="E6383" s="5" t="s">
        <v>3960</v>
      </c>
      <c r="F6383" s="5" t="s">
        <v>3715</v>
      </c>
    </row>
    <row r="6384">
      <c r="A6384" s="7" t="s">
        <v>874</v>
      </c>
      <c r="B6384" s="8">
        <v>9.0</v>
      </c>
      <c r="C6384" s="7" t="s">
        <v>122</v>
      </c>
      <c r="D6384" s="5" t="s">
        <v>3959</v>
      </c>
      <c r="E6384" s="5" t="s">
        <v>3960</v>
      </c>
      <c r="F6384" s="5" t="s">
        <v>3976</v>
      </c>
    </row>
    <row r="6385">
      <c r="A6385" s="5" t="s">
        <v>2932</v>
      </c>
      <c r="B6385" s="8">
        <v>9.0</v>
      </c>
      <c r="C6385" s="7" t="s">
        <v>122</v>
      </c>
      <c r="D6385" s="5" t="s">
        <v>3959</v>
      </c>
      <c r="E6385" s="5" t="s">
        <v>3960</v>
      </c>
      <c r="F6385" s="5" t="s">
        <v>3508</v>
      </c>
    </row>
    <row r="6386">
      <c r="A6386" s="5" t="s">
        <v>3091</v>
      </c>
      <c r="B6386" s="8">
        <v>9.0</v>
      </c>
      <c r="C6386" s="7" t="s">
        <v>122</v>
      </c>
      <c r="D6386" s="5" t="s">
        <v>3959</v>
      </c>
      <c r="E6386" s="5" t="s">
        <v>3960</v>
      </c>
      <c r="F6386" s="5" t="s">
        <v>3977</v>
      </c>
    </row>
    <row r="6387">
      <c r="A6387" s="5" t="s">
        <v>2605</v>
      </c>
      <c r="B6387" s="8">
        <v>9.0</v>
      </c>
      <c r="C6387" s="7" t="s">
        <v>122</v>
      </c>
      <c r="D6387" s="5" t="s">
        <v>3959</v>
      </c>
      <c r="E6387" s="5" t="s">
        <v>3960</v>
      </c>
      <c r="F6387" s="5" t="s">
        <v>3978</v>
      </c>
    </row>
    <row r="6388">
      <c r="A6388" s="7" t="s">
        <v>1989</v>
      </c>
      <c r="B6388" s="8">
        <v>9.0</v>
      </c>
      <c r="C6388" s="7" t="s">
        <v>122</v>
      </c>
      <c r="D6388" s="5" t="s">
        <v>3959</v>
      </c>
      <c r="E6388" s="5" t="s">
        <v>3960</v>
      </c>
      <c r="F6388" s="5" t="s">
        <v>3979</v>
      </c>
    </row>
    <row r="6389">
      <c r="A6389" s="5" t="s">
        <v>2933</v>
      </c>
      <c r="B6389" s="8">
        <v>9.0</v>
      </c>
      <c r="C6389" s="7" t="s">
        <v>122</v>
      </c>
      <c r="D6389" s="5" t="s">
        <v>3959</v>
      </c>
      <c r="E6389" s="5" t="s">
        <v>3960</v>
      </c>
      <c r="F6389" s="5" t="s">
        <v>3716</v>
      </c>
    </row>
    <row r="6390">
      <c r="A6390" s="5" t="s">
        <v>2606</v>
      </c>
      <c r="B6390" s="8">
        <v>9.0</v>
      </c>
      <c r="C6390" s="7" t="s">
        <v>122</v>
      </c>
      <c r="D6390" s="5" t="s">
        <v>3959</v>
      </c>
      <c r="E6390" s="5" t="s">
        <v>3960</v>
      </c>
      <c r="F6390" s="5" t="s">
        <v>3717</v>
      </c>
    </row>
    <row r="6391">
      <c r="A6391" s="5" t="s">
        <v>2934</v>
      </c>
      <c r="B6391" s="8">
        <v>9.0</v>
      </c>
      <c r="C6391" s="7" t="s">
        <v>122</v>
      </c>
      <c r="D6391" s="5" t="s">
        <v>3959</v>
      </c>
      <c r="E6391" s="5" t="s">
        <v>3960</v>
      </c>
      <c r="F6391" s="5" t="s">
        <v>3980</v>
      </c>
    </row>
    <row r="6392">
      <c r="A6392" s="5" t="s">
        <v>2607</v>
      </c>
      <c r="B6392" s="8">
        <v>9.0</v>
      </c>
      <c r="C6392" s="7" t="s">
        <v>122</v>
      </c>
      <c r="D6392" s="5" t="s">
        <v>3959</v>
      </c>
      <c r="E6392" s="5" t="s">
        <v>3960</v>
      </c>
      <c r="F6392" s="5" t="s">
        <v>3981</v>
      </c>
    </row>
    <row r="6393">
      <c r="A6393" s="7" t="s">
        <v>1990</v>
      </c>
      <c r="B6393" s="8">
        <v>9.0</v>
      </c>
      <c r="C6393" s="7" t="s">
        <v>122</v>
      </c>
      <c r="D6393" s="5" t="s">
        <v>3959</v>
      </c>
      <c r="E6393" s="5" t="s">
        <v>3960</v>
      </c>
      <c r="F6393" s="5" t="s">
        <v>3982</v>
      </c>
    </row>
    <row r="6394">
      <c r="A6394" s="5" t="s">
        <v>2935</v>
      </c>
      <c r="B6394" s="8">
        <v>9.0</v>
      </c>
      <c r="C6394" s="7" t="s">
        <v>122</v>
      </c>
      <c r="D6394" s="5" t="s">
        <v>3959</v>
      </c>
      <c r="E6394" s="5" t="s">
        <v>3960</v>
      </c>
      <c r="F6394" s="5" t="s">
        <v>3983</v>
      </c>
    </row>
    <row r="6395">
      <c r="A6395" s="5" t="s">
        <v>2936</v>
      </c>
      <c r="B6395" s="8">
        <v>9.0</v>
      </c>
      <c r="C6395" s="7" t="s">
        <v>122</v>
      </c>
      <c r="D6395" s="5" t="s">
        <v>3959</v>
      </c>
      <c r="E6395" s="5" t="s">
        <v>3960</v>
      </c>
      <c r="F6395" s="5" t="s">
        <v>3984</v>
      </c>
    </row>
    <row r="6396">
      <c r="A6396" s="5" t="s">
        <v>2608</v>
      </c>
      <c r="B6396" s="8">
        <v>9.0</v>
      </c>
      <c r="C6396" s="7" t="s">
        <v>122</v>
      </c>
      <c r="D6396" s="5" t="s">
        <v>3959</v>
      </c>
      <c r="E6396" s="5" t="s">
        <v>3960</v>
      </c>
      <c r="F6396" s="5" t="s">
        <v>3985</v>
      </c>
    </row>
    <row r="6397">
      <c r="A6397" s="5" t="s">
        <v>2609</v>
      </c>
      <c r="B6397" s="8">
        <v>9.0</v>
      </c>
      <c r="C6397" s="7" t="s">
        <v>122</v>
      </c>
      <c r="D6397" s="5" t="s">
        <v>3959</v>
      </c>
      <c r="E6397" s="5" t="s">
        <v>3960</v>
      </c>
      <c r="F6397" s="5" t="s">
        <v>3720</v>
      </c>
    </row>
    <row r="6398">
      <c r="A6398" s="5" t="s">
        <v>3791</v>
      </c>
      <c r="B6398" s="8">
        <v>9.0</v>
      </c>
      <c r="C6398" s="7" t="s">
        <v>139</v>
      </c>
      <c r="D6398" s="7" t="s">
        <v>2253</v>
      </c>
      <c r="E6398" s="5" t="s">
        <v>3986</v>
      </c>
      <c r="F6398" s="5" t="s">
        <v>305</v>
      </c>
    </row>
    <row r="6399">
      <c r="A6399" s="7" t="s">
        <v>188</v>
      </c>
      <c r="B6399" s="8">
        <v>9.0</v>
      </c>
      <c r="C6399" s="7" t="s">
        <v>139</v>
      </c>
      <c r="D6399" s="7" t="s">
        <v>2253</v>
      </c>
      <c r="E6399" s="5" t="s">
        <v>3986</v>
      </c>
      <c r="F6399" s="5" t="s">
        <v>305</v>
      </c>
    </row>
    <row r="6400">
      <c r="A6400" s="5" t="s">
        <v>2924</v>
      </c>
      <c r="B6400" s="8">
        <v>9.0</v>
      </c>
      <c r="C6400" s="7" t="s">
        <v>139</v>
      </c>
      <c r="D6400" s="7" t="s">
        <v>2253</v>
      </c>
      <c r="E6400" s="5" t="s">
        <v>3986</v>
      </c>
      <c r="F6400" s="5" t="s">
        <v>240</v>
      </c>
    </row>
    <row r="6401">
      <c r="A6401" s="5" t="s">
        <v>2796</v>
      </c>
      <c r="B6401" s="8">
        <v>9.0</v>
      </c>
      <c r="C6401" s="7" t="s">
        <v>139</v>
      </c>
      <c r="D6401" s="7" t="s">
        <v>2253</v>
      </c>
      <c r="E6401" s="5" t="s">
        <v>3986</v>
      </c>
      <c r="F6401" s="5" t="s">
        <v>3818</v>
      </c>
    </row>
    <row r="6402">
      <c r="A6402" s="5" t="s">
        <v>2925</v>
      </c>
      <c r="B6402" s="8">
        <v>9.0</v>
      </c>
      <c r="C6402" s="7" t="s">
        <v>139</v>
      </c>
      <c r="D6402" s="7" t="s">
        <v>2253</v>
      </c>
      <c r="E6402" s="5" t="s">
        <v>3986</v>
      </c>
      <c r="F6402" s="5" t="s">
        <v>305</v>
      </c>
    </row>
    <row r="6403">
      <c r="A6403" s="5" t="s">
        <v>3086</v>
      </c>
      <c r="B6403" s="8">
        <v>9.0</v>
      </c>
      <c r="C6403" s="7" t="s">
        <v>139</v>
      </c>
      <c r="D6403" s="7" t="s">
        <v>2253</v>
      </c>
      <c r="E6403" s="5" t="s">
        <v>3986</v>
      </c>
      <c r="F6403" s="5" t="s">
        <v>240</v>
      </c>
    </row>
    <row r="6404">
      <c r="A6404" s="5" t="s">
        <v>3795</v>
      </c>
      <c r="B6404" s="8">
        <v>9.0</v>
      </c>
      <c r="C6404" s="7" t="s">
        <v>139</v>
      </c>
      <c r="D6404" s="7" t="s">
        <v>2253</v>
      </c>
      <c r="E6404" s="5" t="s">
        <v>3986</v>
      </c>
      <c r="F6404" s="5" t="s">
        <v>305</v>
      </c>
    </row>
    <row r="6405">
      <c r="A6405" s="7" t="s">
        <v>868</v>
      </c>
      <c r="B6405" s="8">
        <v>9.0</v>
      </c>
      <c r="C6405" s="7" t="s">
        <v>139</v>
      </c>
      <c r="D6405" s="7" t="s">
        <v>2253</v>
      </c>
      <c r="E6405" s="5" t="s">
        <v>3986</v>
      </c>
      <c r="F6405" s="5" t="s">
        <v>305</v>
      </c>
    </row>
    <row r="6406">
      <c r="A6406" s="5" t="s">
        <v>3087</v>
      </c>
      <c r="B6406" s="8">
        <v>9.0</v>
      </c>
      <c r="C6406" s="7" t="s">
        <v>139</v>
      </c>
      <c r="D6406" s="7" t="s">
        <v>2253</v>
      </c>
      <c r="E6406" s="5" t="s">
        <v>3986</v>
      </c>
      <c r="F6406" s="5" t="s">
        <v>240</v>
      </c>
    </row>
    <row r="6407">
      <c r="A6407" s="5" t="s">
        <v>2926</v>
      </c>
      <c r="B6407" s="8">
        <v>9.0</v>
      </c>
      <c r="C6407" s="7" t="s">
        <v>139</v>
      </c>
      <c r="D6407" s="7" t="s">
        <v>2253</v>
      </c>
      <c r="E6407" s="5" t="s">
        <v>3986</v>
      </c>
      <c r="F6407" s="5" t="s">
        <v>3987</v>
      </c>
    </row>
    <row r="6408">
      <c r="A6408" s="5" t="s">
        <v>3088</v>
      </c>
      <c r="B6408" s="8">
        <v>9.0</v>
      </c>
      <c r="C6408" s="7" t="s">
        <v>139</v>
      </c>
      <c r="D6408" s="7" t="s">
        <v>2253</v>
      </c>
      <c r="E6408" s="5" t="s">
        <v>3986</v>
      </c>
      <c r="F6408" s="5" t="s">
        <v>305</v>
      </c>
    </row>
    <row r="6409">
      <c r="A6409" s="5" t="s">
        <v>3388</v>
      </c>
      <c r="B6409" s="8">
        <v>9.0</v>
      </c>
      <c r="C6409" s="7" t="s">
        <v>139</v>
      </c>
      <c r="D6409" s="7" t="s">
        <v>2253</v>
      </c>
      <c r="E6409" s="5" t="s">
        <v>3986</v>
      </c>
      <c r="F6409" s="5" t="s">
        <v>305</v>
      </c>
    </row>
    <row r="6410">
      <c r="A6410" s="5" t="s">
        <v>2927</v>
      </c>
      <c r="B6410" s="8">
        <v>9.0</v>
      </c>
      <c r="C6410" s="7" t="s">
        <v>139</v>
      </c>
      <c r="D6410" s="7" t="s">
        <v>2253</v>
      </c>
      <c r="E6410" s="5" t="s">
        <v>3986</v>
      </c>
      <c r="F6410" s="4" t="s">
        <v>240</v>
      </c>
    </row>
    <row r="6411">
      <c r="A6411" s="5" t="s">
        <v>2928</v>
      </c>
      <c r="B6411" s="8">
        <v>9.0</v>
      </c>
      <c r="C6411" s="7" t="s">
        <v>139</v>
      </c>
      <c r="D6411" s="7" t="s">
        <v>2253</v>
      </c>
      <c r="E6411" s="5" t="s">
        <v>3986</v>
      </c>
      <c r="F6411" s="5" t="s">
        <v>240</v>
      </c>
    </row>
    <row r="6412">
      <c r="A6412" s="7" t="s">
        <v>603</v>
      </c>
      <c r="B6412" s="8">
        <v>9.0</v>
      </c>
      <c r="C6412" s="7" t="s">
        <v>139</v>
      </c>
      <c r="D6412" s="7" t="s">
        <v>2253</v>
      </c>
      <c r="E6412" s="5" t="s">
        <v>3986</v>
      </c>
      <c r="F6412" s="5" t="s">
        <v>240</v>
      </c>
    </row>
    <row r="6413">
      <c r="A6413" s="5" t="s">
        <v>2929</v>
      </c>
      <c r="B6413" s="8">
        <v>9.0</v>
      </c>
      <c r="C6413" s="7" t="s">
        <v>139</v>
      </c>
      <c r="D6413" s="7" t="s">
        <v>2253</v>
      </c>
      <c r="E6413" s="5" t="s">
        <v>3986</v>
      </c>
      <c r="F6413" s="5" t="s">
        <v>3561</v>
      </c>
    </row>
    <row r="6414">
      <c r="A6414" s="5" t="s">
        <v>2702</v>
      </c>
      <c r="B6414" s="8">
        <v>9.0</v>
      </c>
      <c r="C6414" s="7" t="s">
        <v>139</v>
      </c>
      <c r="D6414" s="7" t="s">
        <v>2253</v>
      </c>
      <c r="E6414" s="5" t="s">
        <v>3986</v>
      </c>
      <c r="F6414" s="5" t="s">
        <v>305</v>
      </c>
    </row>
    <row r="6415">
      <c r="A6415" s="5" t="s">
        <v>2930</v>
      </c>
      <c r="B6415" s="8">
        <v>9.0</v>
      </c>
      <c r="C6415" s="7" t="s">
        <v>139</v>
      </c>
      <c r="D6415" s="7" t="s">
        <v>2253</v>
      </c>
      <c r="E6415" s="5" t="s">
        <v>3986</v>
      </c>
      <c r="F6415" s="5" t="s">
        <v>2670</v>
      </c>
    </row>
    <row r="6416">
      <c r="A6416" s="5" t="s">
        <v>2600</v>
      </c>
      <c r="B6416" s="8">
        <v>9.0</v>
      </c>
      <c r="C6416" s="7" t="s">
        <v>139</v>
      </c>
      <c r="D6416" s="7" t="s">
        <v>2253</v>
      </c>
      <c r="E6416" s="5" t="s">
        <v>3986</v>
      </c>
      <c r="F6416" s="5" t="s">
        <v>305</v>
      </c>
    </row>
    <row r="6417">
      <c r="A6417" s="5" t="s">
        <v>3802</v>
      </c>
      <c r="B6417" s="8">
        <v>9.0</v>
      </c>
      <c r="C6417" s="7" t="s">
        <v>139</v>
      </c>
      <c r="D6417" s="7" t="s">
        <v>2253</v>
      </c>
      <c r="E6417" s="5" t="s">
        <v>3986</v>
      </c>
      <c r="F6417" s="5" t="s">
        <v>305</v>
      </c>
    </row>
    <row r="6418">
      <c r="A6418" s="5" t="s">
        <v>3090</v>
      </c>
      <c r="B6418" s="8">
        <v>9.0</v>
      </c>
      <c r="C6418" s="7" t="s">
        <v>139</v>
      </c>
      <c r="D6418" s="7" t="s">
        <v>2253</v>
      </c>
      <c r="E6418" s="5" t="s">
        <v>3986</v>
      </c>
      <c r="F6418" s="5" t="s">
        <v>305</v>
      </c>
    </row>
    <row r="6419">
      <c r="A6419" s="7" t="s">
        <v>606</v>
      </c>
      <c r="B6419" s="8">
        <v>9.0</v>
      </c>
      <c r="C6419" s="7" t="s">
        <v>139</v>
      </c>
      <c r="D6419" s="7" t="s">
        <v>2253</v>
      </c>
      <c r="E6419" s="5" t="s">
        <v>3986</v>
      </c>
      <c r="F6419" s="5" t="s">
        <v>240</v>
      </c>
    </row>
    <row r="6420">
      <c r="A6420" s="5" t="s">
        <v>2602</v>
      </c>
      <c r="B6420" s="8">
        <v>9.0</v>
      </c>
      <c r="C6420" s="7" t="s">
        <v>139</v>
      </c>
      <c r="D6420" s="7" t="s">
        <v>2253</v>
      </c>
      <c r="E6420" s="5" t="s">
        <v>3986</v>
      </c>
      <c r="F6420" s="5" t="s">
        <v>240</v>
      </c>
    </row>
    <row r="6421">
      <c r="A6421" s="5" t="s">
        <v>2931</v>
      </c>
      <c r="B6421" s="8">
        <v>9.0</v>
      </c>
      <c r="C6421" s="7" t="s">
        <v>139</v>
      </c>
      <c r="D6421" s="7" t="s">
        <v>2253</v>
      </c>
      <c r="E6421" s="5" t="s">
        <v>3986</v>
      </c>
      <c r="F6421" s="5" t="s">
        <v>271</v>
      </c>
    </row>
    <row r="6422">
      <c r="A6422" s="7" t="s">
        <v>874</v>
      </c>
      <c r="B6422" s="8">
        <v>9.0</v>
      </c>
      <c r="C6422" s="7" t="s">
        <v>139</v>
      </c>
      <c r="D6422" s="7" t="s">
        <v>2253</v>
      </c>
      <c r="E6422" s="5" t="s">
        <v>3986</v>
      </c>
      <c r="F6422" s="5" t="s">
        <v>271</v>
      </c>
    </row>
    <row r="6423">
      <c r="A6423" s="5" t="s">
        <v>2932</v>
      </c>
      <c r="B6423" s="8">
        <v>9.0</v>
      </c>
      <c r="C6423" s="7" t="s">
        <v>139</v>
      </c>
      <c r="D6423" s="7" t="s">
        <v>2253</v>
      </c>
      <c r="E6423" s="5" t="s">
        <v>3986</v>
      </c>
      <c r="F6423" s="5" t="s">
        <v>271</v>
      </c>
    </row>
    <row r="6424">
      <c r="A6424" s="5" t="s">
        <v>3091</v>
      </c>
      <c r="B6424" s="8">
        <v>9.0</v>
      </c>
      <c r="C6424" s="7" t="s">
        <v>139</v>
      </c>
      <c r="D6424" s="7" t="s">
        <v>2253</v>
      </c>
      <c r="E6424" s="5" t="s">
        <v>3986</v>
      </c>
      <c r="F6424" s="5" t="s">
        <v>271</v>
      </c>
    </row>
    <row r="6425">
      <c r="A6425" s="5" t="s">
        <v>2605</v>
      </c>
      <c r="B6425" s="8">
        <v>9.0</v>
      </c>
      <c r="C6425" s="7" t="s">
        <v>139</v>
      </c>
      <c r="D6425" s="7" t="s">
        <v>2253</v>
      </c>
      <c r="E6425" s="5" t="s">
        <v>3986</v>
      </c>
      <c r="F6425" s="5" t="s">
        <v>271</v>
      </c>
    </row>
    <row r="6426">
      <c r="A6426" s="7" t="s">
        <v>1989</v>
      </c>
      <c r="B6426" s="8">
        <v>9.0</v>
      </c>
      <c r="C6426" s="7" t="s">
        <v>139</v>
      </c>
      <c r="D6426" s="7" t="s">
        <v>2253</v>
      </c>
      <c r="E6426" s="5" t="s">
        <v>3986</v>
      </c>
      <c r="F6426" s="5" t="s">
        <v>3988</v>
      </c>
    </row>
    <row r="6427">
      <c r="A6427" s="5" t="s">
        <v>2933</v>
      </c>
      <c r="B6427" s="8">
        <v>9.0</v>
      </c>
      <c r="C6427" s="7" t="s">
        <v>139</v>
      </c>
      <c r="D6427" s="7" t="s">
        <v>2253</v>
      </c>
      <c r="E6427" s="5" t="s">
        <v>3986</v>
      </c>
      <c r="F6427" s="5" t="s">
        <v>240</v>
      </c>
    </row>
    <row r="6428">
      <c r="A6428" s="5" t="s">
        <v>2606</v>
      </c>
      <c r="B6428" s="8">
        <v>9.0</v>
      </c>
      <c r="C6428" s="7" t="s">
        <v>139</v>
      </c>
      <c r="D6428" s="7" t="s">
        <v>2253</v>
      </c>
      <c r="E6428" s="5" t="s">
        <v>3986</v>
      </c>
      <c r="F6428" s="5" t="s">
        <v>240</v>
      </c>
    </row>
    <row r="6429">
      <c r="A6429" s="5" t="s">
        <v>2607</v>
      </c>
      <c r="B6429" s="8">
        <v>9.0</v>
      </c>
      <c r="C6429" s="7" t="s">
        <v>139</v>
      </c>
      <c r="D6429" s="7" t="s">
        <v>2253</v>
      </c>
      <c r="E6429" s="5" t="s">
        <v>3986</v>
      </c>
      <c r="F6429" s="5" t="s">
        <v>240</v>
      </c>
    </row>
    <row r="6430">
      <c r="A6430" s="7" t="s">
        <v>1990</v>
      </c>
      <c r="B6430" s="8">
        <v>9.0</v>
      </c>
      <c r="C6430" s="7" t="s">
        <v>139</v>
      </c>
      <c r="D6430" s="7" t="s">
        <v>2253</v>
      </c>
      <c r="E6430" s="5" t="s">
        <v>3986</v>
      </c>
      <c r="F6430" s="5" t="s">
        <v>305</v>
      </c>
    </row>
    <row r="6431">
      <c r="A6431" s="5" t="s">
        <v>2935</v>
      </c>
      <c r="B6431" s="8">
        <v>9.0</v>
      </c>
      <c r="C6431" s="7" t="s">
        <v>139</v>
      </c>
      <c r="D6431" s="7" t="s">
        <v>2253</v>
      </c>
      <c r="E6431" s="5" t="s">
        <v>3986</v>
      </c>
      <c r="F6431" s="5" t="s">
        <v>3989</v>
      </c>
    </row>
    <row r="6432">
      <c r="A6432" s="5" t="s">
        <v>2936</v>
      </c>
      <c r="B6432" s="8">
        <v>9.0</v>
      </c>
      <c r="C6432" s="7" t="s">
        <v>139</v>
      </c>
      <c r="D6432" s="7" t="s">
        <v>2253</v>
      </c>
      <c r="E6432" s="5" t="s">
        <v>3986</v>
      </c>
      <c r="F6432" s="5" t="s">
        <v>240</v>
      </c>
    </row>
    <row r="6433">
      <c r="A6433" s="5" t="s">
        <v>2608</v>
      </c>
      <c r="B6433" s="8">
        <v>9.0</v>
      </c>
      <c r="C6433" s="7" t="s">
        <v>139</v>
      </c>
      <c r="D6433" s="7" t="s">
        <v>2253</v>
      </c>
      <c r="E6433" s="5" t="s">
        <v>3986</v>
      </c>
      <c r="F6433" s="5" t="s">
        <v>240</v>
      </c>
    </row>
    <row r="6434">
      <c r="A6434" s="5" t="s">
        <v>2609</v>
      </c>
      <c r="B6434" s="8">
        <v>9.0</v>
      </c>
      <c r="C6434" s="7" t="s">
        <v>139</v>
      </c>
      <c r="D6434" s="7" t="s">
        <v>2253</v>
      </c>
      <c r="E6434" s="5" t="s">
        <v>3986</v>
      </c>
      <c r="F6434" s="5" t="s">
        <v>240</v>
      </c>
    </row>
    <row r="6435">
      <c r="A6435" s="5" t="s">
        <v>3791</v>
      </c>
      <c r="B6435" s="8">
        <v>9.0</v>
      </c>
      <c r="C6435" s="7" t="s">
        <v>162</v>
      </c>
      <c r="D6435" s="7" t="s">
        <v>2258</v>
      </c>
      <c r="E6435" s="5" t="s">
        <v>3074</v>
      </c>
      <c r="F6435" s="5" t="s">
        <v>3887</v>
      </c>
    </row>
    <row r="6436">
      <c r="A6436" s="7" t="s">
        <v>188</v>
      </c>
      <c r="B6436" s="8">
        <v>9.0</v>
      </c>
      <c r="C6436" s="7" t="s">
        <v>162</v>
      </c>
      <c r="D6436" s="7" t="s">
        <v>2258</v>
      </c>
      <c r="E6436" s="5" t="s">
        <v>3074</v>
      </c>
      <c r="F6436" s="5" t="s">
        <v>3896</v>
      </c>
    </row>
    <row r="6437">
      <c r="A6437" s="5" t="s">
        <v>2924</v>
      </c>
      <c r="B6437" s="8">
        <v>9.0</v>
      </c>
      <c r="C6437" s="7" t="s">
        <v>162</v>
      </c>
      <c r="D6437" s="7" t="s">
        <v>2258</v>
      </c>
      <c r="E6437" s="5" t="s">
        <v>3074</v>
      </c>
      <c r="F6437" s="5" t="s">
        <v>3334</v>
      </c>
    </row>
    <row r="6438">
      <c r="A6438" s="5" t="s">
        <v>2796</v>
      </c>
      <c r="B6438" s="8">
        <v>9.0</v>
      </c>
      <c r="C6438" s="7" t="s">
        <v>162</v>
      </c>
      <c r="D6438" s="7" t="s">
        <v>2258</v>
      </c>
      <c r="E6438" s="5" t="s">
        <v>3074</v>
      </c>
      <c r="F6438" s="5" t="s">
        <v>3990</v>
      </c>
    </row>
    <row r="6439">
      <c r="A6439" s="5" t="s">
        <v>2925</v>
      </c>
      <c r="B6439" s="8">
        <v>9.0</v>
      </c>
      <c r="C6439" s="7" t="s">
        <v>162</v>
      </c>
      <c r="D6439" s="7" t="s">
        <v>2258</v>
      </c>
      <c r="E6439" s="5" t="s">
        <v>3074</v>
      </c>
      <c r="F6439" s="5" t="s">
        <v>3334</v>
      </c>
    </row>
    <row r="6440">
      <c r="A6440" s="5" t="s">
        <v>3086</v>
      </c>
      <c r="B6440" s="8">
        <v>9.0</v>
      </c>
      <c r="C6440" s="7" t="s">
        <v>162</v>
      </c>
      <c r="D6440" s="7" t="s">
        <v>2258</v>
      </c>
      <c r="E6440" s="5" t="s">
        <v>3074</v>
      </c>
      <c r="F6440" s="5" t="s">
        <v>3334</v>
      </c>
    </row>
    <row r="6441">
      <c r="A6441" s="5" t="s">
        <v>3795</v>
      </c>
      <c r="B6441" s="8">
        <v>9.0</v>
      </c>
      <c r="C6441" s="7" t="s">
        <v>162</v>
      </c>
      <c r="D6441" s="7" t="s">
        <v>2258</v>
      </c>
      <c r="E6441" s="5" t="s">
        <v>3074</v>
      </c>
      <c r="F6441" s="5" t="s">
        <v>3896</v>
      </c>
    </row>
    <row r="6442">
      <c r="A6442" s="7" t="s">
        <v>868</v>
      </c>
      <c r="B6442" s="8">
        <v>9.0</v>
      </c>
      <c r="C6442" s="7" t="s">
        <v>162</v>
      </c>
      <c r="D6442" s="7" t="s">
        <v>2258</v>
      </c>
      <c r="E6442" s="5" t="s">
        <v>3074</v>
      </c>
      <c r="F6442" s="5" t="s">
        <v>3889</v>
      </c>
    </row>
    <row r="6443">
      <c r="A6443" s="5" t="s">
        <v>3087</v>
      </c>
      <c r="B6443" s="8">
        <v>9.0</v>
      </c>
      <c r="C6443" s="7" t="s">
        <v>162</v>
      </c>
      <c r="D6443" s="7" t="s">
        <v>2258</v>
      </c>
      <c r="E6443" s="5" t="s">
        <v>3074</v>
      </c>
      <c r="F6443" s="5" t="s">
        <v>3334</v>
      </c>
    </row>
    <row r="6444">
      <c r="A6444" s="5" t="s">
        <v>2926</v>
      </c>
      <c r="B6444" s="8">
        <v>9.0</v>
      </c>
      <c r="C6444" s="7" t="s">
        <v>162</v>
      </c>
      <c r="D6444" s="7" t="s">
        <v>2258</v>
      </c>
      <c r="E6444" s="5" t="s">
        <v>3074</v>
      </c>
      <c r="F6444" s="5" t="s">
        <v>3991</v>
      </c>
    </row>
    <row r="6445">
      <c r="A6445" s="5" t="s">
        <v>3088</v>
      </c>
      <c r="B6445" s="8">
        <v>9.0</v>
      </c>
      <c r="C6445" s="7" t="s">
        <v>162</v>
      </c>
      <c r="D6445" s="7" t="s">
        <v>2258</v>
      </c>
      <c r="E6445" s="5" t="s">
        <v>3074</v>
      </c>
      <c r="F6445" s="5" t="s">
        <v>3889</v>
      </c>
    </row>
    <row r="6446">
      <c r="A6446" s="5" t="s">
        <v>3388</v>
      </c>
      <c r="B6446" s="8">
        <v>9.0</v>
      </c>
      <c r="C6446" s="7" t="s">
        <v>162</v>
      </c>
      <c r="D6446" s="7" t="s">
        <v>2258</v>
      </c>
      <c r="E6446" s="5" t="s">
        <v>3074</v>
      </c>
      <c r="F6446" s="5" t="s">
        <v>3334</v>
      </c>
    </row>
    <row r="6447">
      <c r="A6447" s="5" t="s">
        <v>2927</v>
      </c>
      <c r="B6447" s="8">
        <v>9.0</v>
      </c>
      <c r="C6447" s="7" t="s">
        <v>162</v>
      </c>
      <c r="D6447" s="7" t="s">
        <v>2258</v>
      </c>
      <c r="E6447" s="5" t="s">
        <v>3074</v>
      </c>
      <c r="F6447" s="5" t="s">
        <v>3992</v>
      </c>
    </row>
    <row r="6448">
      <c r="A6448" s="5" t="s">
        <v>3089</v>
      </c>
      <c r="B6448" s="8">
        <v>9.0</v>
      </c>
      <c r="C6448" s="7" t="s">
        <v>162</v>
      </c>
      <c r="D6448" s="7" t="s">
        <v>2258</v>
      </c>
      <c r="E6448" s="5" t="s">
        <v>3074</v>
      </c>
      <c r="F6448" s="5" t="s">
        <v>3233</v>
      </c>
    </row>
    <row r="6449">
      <c r="A6449" s="5" t="s">
        <v>2928</v>
      </c>
      <c r="B6449" s="8">
        <v>9.0</v>
      </c>
      <c r="C6449" s="7" t="s">
        <v>162</v>
      </c>
      <c r="D6449" s="7" t="s">
        <v>2258</v>
      </c>
      <c r="E6449" s="5" t="s">
        <v>3074</v>
      </c>
      <c r="F6449" s="5" t="s">
        <v>3993</v>
      </c>
    </row>
    <row r="6450">
      <c r="A6450" s="7" t="s">
        <v>603</v>
      </c>
      <c r="B6450" s="8">
        <v>9.0</v>
      </c>
      <c r="C6450" s="7" t="s">
        <v>162</v>
      </c>
      <c r="D6450" s="7" t="s">
        <v>2258</v>
      </c>
      <c r="E6450" s="5" t="s">
        <v>3074</v>
      </c>
      <c r="F6450" s="5" t="s">
        <v>3994</v>
      </c>
    </row>
    <row r="6451">
      <c r="A6451" s="5" t="s">
        <v>2702</v>
      </c>
      <c r="B6451" s="8">
        <v>9.0</v>
      </c>
      <c r="C6451" s="7" t="s">
        <v>162</v>
      </c>
      <c r="D6451" s="7" t="s">
        <v>2258</v>
      </c>
      <c r="E6451" s="5" t="s">
        <v>3074</v>
      </c>
      <c r="F6451" s="5" t="s">
        <v>3995</v>
      </c>
    </row>
    <row r="6452">
      <c r="A6452" s="5" t="s">
        <v>2930</v>
      </c>
      <c r="B6452" s="8">
        <v>9.0</v>
      </c>
      <c r="C6452" s="7" t="s">
        <v>162</v>
      </c>
      <c r="D6452" s="7" t="s">
        <v>2258</v>
      </c>
      <c r="E6452" s="5" t="s">
        <v>3074</v>
      </c>
      <c r="F6452" s="5" t="s">
        <v>3334</v>
      </c>
    </row>
    <row r="6453">
      <c r="A6453" s="5" t="s">
        <v>2600</v>
      </c>
      <c r="B6453" s="8">
        <v>9.0</v>
      </c>
      <c r="C6453" s="7" t="s">
        <v>162</v>
      </c>
      <c r="D6453" s="7" t="s">
        <v>2258</v>
      </c>
      <c r="E6453" s="5" t="s">
        <v>3074</v>
      </c>
      <c r="F6453" s="5" t="s">
        <v>3101</v>
      </c>
    </row>
    <row r="6454">
      <c r="A6454" s="5" t="s">
        <v>3802</v>
      </c>
      <c r="B6454" s="8">
        <v>9.0</v>
      </c>
      <c r="C6454" s="7" t="s">
        <v>162</v>
      </c>
      <c r="D6454" s="7" t="s">
        <v>2258</v>
      </c>
      <c r="E6454" s="5" t="s">
        <v>3074</v>
      </c>
      <c r="F6454" s="5" t="s">
        <v>3996</v>
      </c>
    </row>
    <row r="6455">
      <c r="A6455" s="5" t="s">
        <v>3090</v>
      </c>
      <c r="B6455" s="8">
        <v>9.0</v>
      </c>
      <c r="C6455" s="7" t="s">
        <v>162</v>
      </c>
      <c r="D6455" s="7" t="s">
        <v>2258</v>
      </c>
      <c r="E6455" s="5" t="s">
        <v>3074</v>
      </c>
      <c r="F6455" s="5" t="s">
        <v>3997</v>
      </c>
    </row>
    <row r="6456">
      <c r="A6456" s="7" t="s">
        <v>606</v>
      </c>
      <c r="B6456" s="8">
        <v>9.0</v>
      </c>
      <c r="C6456" s="7" t="s">
        <v>162</v>
      </c>
      <c r="D6456" s="7" t="s">
        <v>2258</v>
      </c>
      <c r="E6456" s="5" t="s">
        <v>3074</v>
      </c>
      <c r="F6456" s="5" t="s">
        <v>3998</v>
      </c>
    </row>
    <row r="6457">
      <c r="A6457" s="5" t="s">
        <v>2602</v>
      </c>
      <c r="B6457" s="8">
        <v>9.0</v>
      </c>
      <c r="C6457" s="7" t="s">
        <v>162</v>
      </c>
      <c r="D6457" s="7" t="s">
        <v>2258</v>
      </c>
      <c r="E6457" s="5" t="s">
        <v>3074</v>
      </c>
      <c r="F6457" s="5" t="s">
        <v>3999</v>
      </c>
    </row>
    <row r="6458">
      <c r="A6458" s="5" t="s">
        <v>2931</v>
      </c>
      <c r="B6458" s="8">
        <v>9.0</v>
      </c>
      <c r="C6458" s="7" t="s">
        <v>162</v>
      </c>
      <c r="D6458" s="7" t="s">
        <v>2258</v>
      </c>
      <c r="E6458" s="5" t="s">
        <v>3074</v>
      </c>
      <c r="F6458" s="5" t="s">
        <v>4000</v>
      </c>
    </row>
    <row r="6459">
      <c r="A6459" s="7" t="s">
        <v>874</v>
      </c>
      <c r="B6459" s="8">
        <v>9.0</v>
      </c>
      <c r="C6459" s="7" t="s">
        <v>162</v>
      </c>
      <c r="D6459" s="7" t="s">
        <v>2258</v>
      </c>
      <c r="E6459" s="5" t="s">
        <v>3074</v>
      </c>
      <c r="F6459" s="5" t="s">
        <v>3930</v>
      </c>
    </row>
    <row r="6460">
      <c r="A6460" s="5" t="s">
        <v>2932</v>
      </c>
      <c r="B6460" s="8">
        <v>9.0</v>
      </c>
      <c r="C6460" s="7" t="s">
        <v>162</v>
      </c>
      <c r="D6460" s="7" t="s">
        <v>2258</v>
      </c>
      <c r="E6460" s="5" t="s">
        <v>3074</v>
      </c>
      <c r="F6460" s="5" t="s">
        <v>3334</v>
      </c>
    </row>
    <row r="6461">
      <c r="A6461" s="5" t="s">
        <v>3091</v>
      </c>
      <c r="B6461" s="8">
        <v>9.0</v>
      </c>
      <c r="C6461" s="7" t="s">
        <v>162</v>
      </c>
      <c r="D6461" s="7" t="s">
        <v>2258</v>
      </c>
      <c r="E6461" s="5" t="s">
        <v>3074</v>
      </c>
      <c r="F6461" s="5" t="s">
        <v>3334</v>
      </c>
    </row>
    <row r="6462">
      <c r="A6462" s="5" t="s">
        <v>2605</v>
      </c>
      <c r="B6462" s="8">
        <v>9.0</v>
      </c>
      <c r="C6462" s="7" t="s">
        <v>162</v>
      </c>
      <c r="D6462" s="7" t="s">
        <v>2258</v>
      </c>
      <c r="E6462" s="5" t="s">
        <v>3074</v>
      </c>
      <c r="F6462" s="5" t="s">
        <v>3099</v>
      </c>
    </row>
    <row r="6463">
      <c r="A6463" s="7" t="s">
        <v>1989</v>
      </c>
      <c r="B6463" s="8">
        <v>9.0</v>
      </c>
      <c r="C6463" s="7" t="s">
        <v>162</v>
      </c>
      <c r="D6463" s="7" t="s">
        <v>2258</v>
      </c>
      <c r="E6463" s="5" t="s">
        <v>3074</v>
      </c>
      <c r="F6463" s="5" t="s">
        <v>4001</v>
      </c>
    </row>
    <row r="6464">
      <c r="A6464" s="5" t="s">
        <v>2933</v>
      </c>
      <c r="B6464" s="8">
        <v>9.0</v>
      </c>
      <c r="C6464" s="7" t="s">
        <v>162</v>
      </c>
      <c r="D6464" s="7" t="s">
        <v>2258</v>
      </c>
      <c r="E6464" s="5" t="s">
        <v>3074</v>
      </c>
      <c r="F6464" s="5" t="s">
        <v>3334</v>
      </c>
    </row>
    <row r="6465">
      <c r="A6465" s="5" t="s">
        <v>2606</v>
      </c>
      <c r="B6465" s="8">
        <v>9.0</v>
      </c>
      <c r="C6465" s="7" t="s">
        <v>162</v>
      </c>
      <c r="D6465" s="7" t="s">
        <v>2258</v>
      </c>
      <c r="E6465" s="5" t="s">
        <v>3074</v>
      </c>
      <c r="F6465" s="5" t="s">
        <v>3334</v>
      </c>
    </row>
    <row r="6466">
      <c r="A6466" s="5" t="s">
        <v>2934</v>
      </c>
      <c r="B6466" s="8">
        <v>9.0</v>
      </c>
      <c r="C6466" s="7" t="s">
        <v>162</v>
      </c>
      <c r="D6466" s="7" t="s">
        <v>2258</v>
      </c>
      <c r="E6466" s="5" t="s">
        <v>3074</v>
      </c>
      <c r="F6466" s="5" t="s">
        <v>4002</v>
      </c>
    </row>
    <row r="6467">
      <c r="A6467" s="5" t="s">
        <v>2607</v>
      </c>
      <c r="B6467" s="8">
        <v>9.0</v>
      </c>
      <c r="C6467" s="7" t="s">
        <v>162</v>
      </c>
      <c r="D6467" s="7" t="s">
        <v>2258</v>
      </c>
      <c r="E6467" s="5" t="s">
        <v>3074</v>
      </c>
      <c r="F6467" s="5" t="s">
        <v>3730</v>
      </c>
    </row>
    <row r="6468">
      <c r="A6468" s="7" t="s">
        <v>1990</v>
      </c>
      <c r="B6468" s="8">
        <v>9.0</v>
      </c>
      <c r="C6468" s="7" t="s">
        <v>162</v>
      </c>
      <c r="D6468" s="7" t="s">
        <v>2258</v>
      </c>
      <c r="E6468" s="5" t="s">
        <v>3074</v>
      </c>
      <c r="F6468" s="5" t="s">
        <v>3930</v>
      </c>
    </row>
    <row r="6469">
      <c r="A6469" s="5" t="s">
        <v>2935</v>
      </c>
      <c r="B6469" s="8">
        <v>9.0</v>
      </c>
      <c r="C6469" s="7" t="s">
        <v>162</v>
      </c>
      <c r="D6469" s="7" t="s">
        <v>2258</v>
      </c>
      <c r="E6469" s="5" t="s">
        <v>3074</v>
      </c>
      <c r="F6469" s="5" t="s">
        <v>3731</v>
      </c>
    </row>
    <row r="6470">
      <c r="A6470" s="5" t="s">
        <v>2936</v>
      </c>
      <c r="B6470" s="8">
        <v>9.0</v>
      </c>
      <c r="C6470" s="7" t="s">
        <v>162</v>
      </c>
      <c r="D6470" s="7" t="s">
        <v>2258</v>
      </c>
      <c r="E6470" s="5" t="s">
        <v>3074</v>
      </c>
      <c r="F6470" s="5" t="s">
        <v>4003</v>
      </c>
    </row>
    <row r="6471">
      <c r="A6471" s="5" t="s">
        <v>2608</v>
      </c>
      <c r="B6471" s="8">
        <v>9.0</v>
      </c>
      <c r="C6471" s="7" t="s">
        <v>162</v>
      </c>
      <c r="D6471" s="7" t="s">
        <v>2258</v>
      </c>
      <c r="E6471" s="5" t="s">
        <v>3074</v>
      </c>
      <c r="F6471" s="5" t="s">
        <v>3334</v>
      </c>
    </row>
    <row r="6472">
      <c r="A6472" s="5" t="s">
        <v>2609</v>
      </c>
      <c r="B6472" s="8">
        <v>9.0</v>
      </c>
      <c r="C6472" s="7" t="s">
        <v>162</v>
      </c>
      <c r="D6472" s="7" t="s">
        <v>2258</v>
      </c>
      <c r="E6472" s="5" t="s">
        <v>3074</v>
      </c>
      <c r="F6472" s="5" t="s">
        <v>3334</v>
      </c>
    </row>
    <row r="6473">
      <c r="A6473" s="5" t="s">
        <v>3791</v>
      </c>
      <c r="B6473" s="8">
        <v>9.0</v>
      </c>
      <c r="C6473" s="7" t="s">
        <v>347</v>
      </c>
      <c r="D6473" s="5" t="s">
        <v>2657</v>
      </c>
      <c r="E6473" s="7" t="s">
        <v>2275</v>
      </c>
      <c r="F6473" s="5" t="s">
        <v>305</v>
      </c>
    </row>
    <row r="6474">
      <c r="A6474" s="7" t="s">
        <v>188</v>
      </c>
      <c r="B6474" s="8">
        <v>9.0</v>
      </c>
      <c r="C6474" s="7" t="s">
        <v>347</v>
      </c>
      <c r="D6474" s="5" t="s">
        <v>2657</v>
      </c>
      <c r="E6474" s="7" t="s">
        <v>2275</v>
      </c>
      <c r="F6474" s="5" t="s">
        <v>305</v>
      </c>
    </row>
    <row r="6475">
      <c r="A6475" s="5" t="s">
        <v>2924</v>
      </c>
      <c r="B6475" s="8">
        <v>9.0</v>
      </c>
      <c r="C6475" s="7" t="s">
        <v>347</v>
      </c>
      <c r="D6475" s="5" t="s">
        <v>2657</v>
      </c>
      <c r="E6475" s="7" t="s">
        <v>2275</v>
      </c>
      <c r="F6475" s="5" t="s">
        <v>238</v>
      </c>
    </row>
    <row r="6476">
      <c r="A6476" s="5" t="s">
        <v>2796</v>
      </c>
      <c r="B6476" s="8">
        <v>9.0</v>
      </c>
      <c r="C6476" s="7" t="s">
        <v>347</v>
      </c>
      <c r="D6476" s="5" t="s">
        <v>2657</v>
      </c>
      <c r="E6476" s="7" t="s">
        <v>2275</v>
      </c>
      <c r="F6476" s="5" t="s">
        <v>3818</v>
      </c>
    </row>
    <row r="6477">
      <c r="A6477" s="5" t="s">
        <v>2925</v>
      </c>
      <c r="B6477" s="8">
        <v>9.0</v>
      </c>
      <c r="C6477" s="7" t="s">
        <v>347</v>
      </c>
      <c r="D6477" s="5" t="s">
        <v>2657</v>
      </c>
      <c r="E6477" s="7" t="s">
        <v>2275</v>
      </c>
      <c r="F6477" s="5" t="s">
        <v>305</v>
      </c>
    </row>
    <row r="6478">
      <c r="A6478" s="5" t="s">
        <v>3086</v>
      </c>
      <c r="B6478" s="8">
        <v>9.0</v>
      </c>
      <c r="C6478" s="7" t="s">
        <v>347</v>
      </c>
      <c r="D6478" s="5" t="s">
        <v>2657</v>
      </c>
      <c r="E6478" s="7" t="s">
        <v>2275</v>
      </c>
      <c r="F6478" s="5" t="s">
        <v>238</v>
      </c>
    </row>
    <row r="6479">
      <c r="A6479" s="5" t="s">
        <v>3795</v>
      </c>
      <c r="B6479" s="8">
        <v>9.0</v>
      </c>
      <c r="C6479" s="7" t="s">
        <v>347</v>
      </c>
      <c r="D6479" s="5" t="s">
        <v>2657</v>
      </c>
      <c r="E6479" s="7" t="s">
        <v>2275</v>
      </c>
      <c r="F6479" s="5" t="s">
        <v>305</v>
      </c>
    </row>
    <row r="6480">
      <c r="A6480" s="7" t="s">
        <v>868</v>
      </c>
      <c r="B6480" s="8">
        <v>9.0</v>
      </c>
      <c r="C6480" s="7" t="s">
        <v>347</v>
      </c>
      <c r="D6480" s="5" t="s">
        <v>2657</v>
      </c>
      <c r="E6480" s="7" t="s">
        <v>2275</v>
      </c>
      <c r="F6480" s="5" t="s">
        <v>238</v>
      </c>
    </row>
    <row r="6481">
      <c r="A6481" s="5" t="s">
        <v>3087</v>
      </c>
      <c r="B6481" s="8">
        <v>9.0</v>
      </c>
      <c r="C6481" s="7" t="s">
        <v>347</v>
      </c>
      <c r="D6481" s="5" t="s">
        <v>2657</v>
      </c>
      <c r="E6481" s="7" t="s">
        <v>2275</v>
      </c>
      <c r="F6481" s="5" t="s">
        <v>238</v>
      </c>
    </row>
    <row r="6482">
      <c r="A6482" s="5" t="s">
        <v>2926</v>
      </c>
      <c r="B6482" s="8">
        <v>9.0</v>
      </c>
      <c r="C6482" s="7" t="s">
        <v>347</v>
      </c>
      <c r="D6482" s="5" t="s">
        <v>2657</v>
      </c>
      <c r="E6482" s="7" t="s">
        <v>2275</v>
      </c>
      <c r="F6482" s="5" t="s">
        <v>3620</v>
      </c>
    </row>
    <row r="6483">
      <c r="A6483" s="5" t="s">
        <v>3088</v>
      </c>
      <c r="B6483" s="8">
        <v>9.0</v>
      </c>
      <c r="C6483" s="7" t="s">
        <v>347</v>
      </c>
      <c r="D6483" s="5" t="s">
        <v>2657</v>
      </c>
      <c r="E6483" s="7" t="s">
        <v>2275</v>
      </c>
      <c r="F6483" s="5" t="s">
        <v>238</v>
      </c>
    </row>
    <row r="6484">
      <c r="A6484" s="5" t="s">
        <v>3388</v>
      </c>
      <c r="B6484" s="8">
        <v>9.0</v>
      </c>
      <c r="C6484" s="7" t="s">
        <v>347</v>
      </c>
      <c r="D6484" s="5" t="s">
        <v>2657</v>
      </c>
      <c r="E6484" s="7" t="s">
        <v>2275</v>
      </c>
      <c r="F6484" s="5" t="s">
        <v>305</v>
      </c>
    </row>
    <row r="6485">
      <c r="A6485" s="5" t="s">
        <v>2927</v>
      </c>
      <c r="B6485" s="8">
        <v>9.0</v>
      </c>
      <c r="C6485" s="7" t="s">
        <v>347</v>
      </c>
      <c r="D6485" s="5" t="s">
        <v>2657</v>
      </c>
      <c r="E6485" s="7" t="s">
        <v>2275</v>
      </c>
      <c r="F6485" s="5" t="s">
        <v>238</v>
      </c>
    </row>
    <row r="6486">
      <c r="A6486" s="5" t="s">
        <v>3089</v>
      </c>
      <c r="B6486" s="8">
        <v>9.0</v>
      </c>
      <c r="C6486" s="7" t="s">
        <v>347</v>
      </c>
      <c r="D6486" s="5" t="s">
        <v>2657</v>
      </c>
      <c r="E6486" s="7" t="s">
        <v>2275</v>
      </c>
      <c r="F6486" s="5" t="s">
        <v>3820</v>
      </c>
    </row>
    <row r="6487">
      <c r="A6487" s="5" t="s">
        <v>2928</v>
      </c>
      <c r="B6487" s="8">
        <v>9.0</v>
      </c>
      <c r="C6487" s="7" t="s">
        <v>347</v>
      </c>
      <c r="D6487" s="5" t="s">
        <v>2657</v>
      </c>
      <c r="E6487" s="7" t="s">
        <v>2275</v>
      </c>
      <c r="F6487" s="5" t="s">
        <v>238</v>
      </c>
    </row>
    <row r="6488">
      <c r="A6488" s="7" t="s">
        <v>603</v>
      </c>
      <c r="B6488" s="8">
        <v>9.0</v>
      </c>
      <c r="C6488" s="7" t="s">
        <v>347</v>
      </c>
      <c r="D6488" s="5" t="s">
        <v>2657</v>
      </c>
      <c r="E6488" s="7" t="s">
        <v>2275</v>
      </c>
      <c r="F6488" s="5" t="s">
        <v>238</v>
      </c>
    </row>
    <row r="6489">
      <c r="A6489" s="5" t="s">
        <v>2702</v>
      </c>
      <c r="B6489" s="8">
        <v>9.0</v>
      </c>
      <c r="C6489" s="7" t="s">
        <v>347</v>
      </c>
      <c r="D6489" s="5" t="s">
        <v>2657</v>
      </c>
      <c r="E6489" s="7" t="s">
        <v>2275</v>
      </c>
      <c r="F6489" s="5" t="s">
        <v>271</v>
      </c>
    </row>
    <row r="6490">
      <c r="A6490" s="5" t="s">
        <v>2930</v>
      </c>
      <c r="B6490" s="8">
        <v>9.0</v>
      </c>
      <c r="C6490" s="7" t="s">
        <v>347</v>
      </c>
      <c r="D6490" s="5" t="s">
        <v>2657</v>
      </c>
      <c r="E6490" s="7" t="s">
        <v>2275</v>
      </c>
      <c r="F6490" s="5" t="s">
        <v>238</v>
      </c>
    </row>
    <row r="6491">
      <c r="A6491" s="5" t="s">
        <v>2600</v>
      </c>
      <c r="B6491" s="8">
        <v>9.0</v>
      </c>
      <c r="C6491" s="7" t="s">
        <v>347</v>
      </c>
      <c r="D6491" s="5" t="s">
        <v>2657</v>
      </c>
      <c r="E6491" s="7" t="s">
        <v>2275</v>
      </c>
      <c r="F6491" s="5" t="s">
        <v>271</v>
      </c>
    </row>
    <row r="6492">
      <c r="A6492" s="5" t="s">
        <v>3802</v>
      </c>
      <c r="B6492" s="8">
        <v>9.0</v>
      </c>
      <c r="C6492" s="7" t="s">
        <v>347</v>
      </c>
      <c r="D6492" s="5" t="s">
        <v>2657</v>
      </c>
      <c r="E6492" s="7" t="s">
        <v>2275</v>
      </c>
      <c r="F6492" s="5" t="s">
        <v>271</v>
      </c>
    </row>
    <row r="6493">
      <c r="A6493" s="5" t="s">
        <v>3090</v>
      </c>
      <c r="B6493" s="8">
        <v>9.0</v>
      </c>
      <c r="C6493" s="7" t="s">
        <v>347</v>
      </c>
      <c r="D6493" s="5" t="s">
        <v>2657</v>
      </c>
      <c r="E6493" s="7" t="s">
        <v>2275</v>
      </c>
      <c r="F6493" s="5" t="s">
        <v>271</v>
      </c>
    </row>
    <row r="6494">
      <c r="A6494" s="7" t="s">
        <v>606</v>
      </c>
      <c r="B6494" s="8">
        <v>9.0</v>
      </c>
      <c r="C6494" s="7" t="s">
        <v>347</v>
      </c>
      <c r="D6494" s="5" t="s">
        <v>2657</v>
      </c>
      <c r="E6494" s="7" t="s">
        <v>2275</v>
      </c>
      <c r="F6494" s="5" t="s">
        <v>238</v>
      </c>
    </row>
    <row r="6495">
      <c r="A6495" s="5" t="s">
        <v>2602</v>
      </c>
      <c r="B6495" s="8">
        <v>9.0</v>
      </c>
      <c r="C6495" s="7" t="s">
        <v>347</v>
      </c>
      <c r="D6495" s="5" t="s">
        <v>2657</v>
      </c>
      <c r="E6495" s="7" t="s">
        <v>2275</v>
      </c>
      <c r="F6495" s="5" t="s">
        <v>238</v>
      </c>
    </row>
    <row r="6496">
      <c r="A6496" s="5" t="s">
        <v>2931</v>
      </c>
      <c r="B6496" s="8">
        <v>9.0</v>
      </c>
      <c r="C6496" s="7" t="s">
        <v>347</v>
      </c>
      <c r="D6496" s="5" t="s">
        <v>2657</v>
      </c>
      <c r="E6496" s="7" t="s">
        <v>2275</v>
      </c>
      <c r="F6496" s="5" t="s">
        <v>271</v>
      </c>
    </row>
    <row r="6497">
      <c r="A6497" s="7" t="s">
        <v>874</v>
      </c>
      <c r="B6497" s="8">
        <v>9.0</v>
      </c>
      <c r="C6497" s="7" t="s">
        <v>347</v>
      </c>
      <c r="D6497" s="5" t="s">
        <v>2657</v>
      </c>
      <c r="E6497" s="7" t="s">
        <v>2275</v>
      </c>
      <c r="F6497" s="5" t="s">
        <v>271</v>
      </c>
    </row>
    <row r="6498">
      <c r="A6498" s="5" t="s">
        <v>2932</v>
      </c>
      <c r="B6498" s="8">
        <v>9.0</v>
      </c>
      <c r="C6498" s="7" t="s">
        <v>347</v>
      </c>
      <c r="D6498" s="5" t="s">
        <v>2657</v>
      </c>
      <c r="E6498" s="7" t="s">
        <v>2275</v>
      </c>
      <c r="F6498" s="5" t="s">
        <v>271</v>
      </c>
    </row>
    <row r="6499">
      <c r="A6499" s="5" t="s">
        <v>3091</v>
      </c>
      <c r="B6499" s="8">
        <v>9.0</v>
      </c>
      <c r="C6499" s="7" t="s">
        <v>347</v>
      </c>
      <c r="D6499" s="5" t="s">
        <v>2657</v>
      </c>
      <c r="E6499" s="7" t="s">
        <v>2275</v>
      </c>
      <c r="F6499" s="5" t="s">
        <v>271</v>
      </c>
    </row>
    <row r="6500">
      <c r="A6500" s="5" t="s">
        <v>2605</v>
      </c>
      <c r="B6500" s="8">
        <v>9.0</v>
      </c>
      <c r="C6500" s="7" t="s">
        <v>347</v>
      </c>
      <c r="D6500" s="5" t="s">
        <v>2657</v>
      </c>
      <c r="E6500" s="7" t="s">
        <v>2275</v>
      </c>
      <c r="F6500" s="5" t="s">
        <v>271</v>
      </c>
    </row>
    <row r="6501">
      <c r="A6501" s="7" t="s">
        <v>1989</v>
      </c>
      <c r="B6501" s="8">
        <v>9.0</v>
      </c>
      <c r="C6501" s="7" t="s">
        <v>347</v>
      </c>
      <c r="D6501" s="5" t="s">
        <v>2657</v>
      </c>
      <c r="E6501" s="7" t="s">
        <v>2275</v>
      </c>
      <c r="F6501" s="5" t="s">
        <v>271</v>
      </c>
    </row>
    <row r="6502">
      <c r="A6502" s="5" t="s">
        <v>2933</v>
      </c>
      <c r="B6502" s="8">
        <v>9.0</v>
      </c>
      <c r="C6502" s="7" t="s">
        <v>347</v>
      </c>
      <c r="D6502" s="5" t="s">
        <v>2657</v>
      </c>
      <c r="E6502" s="7" t="s">
        <v>2275</v>
      </c>
      <c r="F6502" s="5" t="s">
        <v>238</v>
      </c>
    </row>
    <row r="6503">
      <c r="A6503" s="5" t="s">
        <v>2606</v>
      </c>
      <c r="B6503" s="8">
        <v>9.0</v>
      </c>
      <c r="C6503" s="7" t="s">
        <v>347</v>
      </c>
      <c r="D6503" s="5" t="s">
        <v>2657</v>
      </c>
      <c r="E6503" s="7" t="s">
        <v>2275</v>
      </c>
      <c r="F6503" s="5" t="s">
        <v>238</v>
      </c>
    </row>
    <row r="6504">
      <c r="A6504" s="5" t="s">
        <v>2934</v>
      </c>
      <c r="B6504" s="8">
        <v>9.0</v>
      </c>
      <c r="C6504" s="7" t="s">
        <v>347</v>
      </c>
      <c r="D6504" s="5" t="s">
        <v>2657</v>
      </c>
      <c r="E6504" s="7" t="s">
        <v>2275</v>
      </c>
      <c r="F6504" s="5" t="s">
        <v>238</v>
      </c>
    </row>
    <row r="6505">
      <c r="A6505" s="5" t="s">
        <v>2607</v>
      </c>
      <c r="B6505" s="8">
        <v>9.0</v>
      </c>
      <c r="C6505" s="7" t="s">
        <v>347</v>
      </c>
      <c r="D6505" s="5" t="s">
        <v>2657</v>
      </c>
      <c r="E6505" s="7" t="s">
        <v>2275</v>
      </c>
      <c r="F6505" s="5" t="s">
        <v>238</v>
      </c>
    </row>
    <row r="6506">
      <c r="A6506" s="7" t="s">
        <v>1990</v>
      </c>
      <c r="B6506" s="8">
        <v>9.0</v>
      </c>
      <c r="C6506" s="7" t="s">
        <v>347</v>
      </c>
      <c r="D6506" s="5" t="s">
        <v>2657</v>
      </c>
      <c r="E6506" s="7" t="s">
        <v>2275</v>
      </c>
      <c r="F6506" s="5" t="s">
        <v>271</v>
      </c>
    </row>
    <row r="6507">
      <c r="A6507" s="5" t="s">
        <v>2935</v>
      </c>
      <c r="B6507" s="8">
        <v>9.0</v>
      </c>
      <c r="C6507" s="7" t="s">
        <v>347</v>
      </c>
      <c r="D6507" s="5" t="s">
        <v>2657</v>
      </c>
      <c r="E6507" s="7" t="s">
        <v>2275</v>
      </c>
      <c r="F6507" s="5" t="s">
        <v>3886</v>
      </c>
    </row>
    <row r="6508">
      <c r="A6508" s="5" t="s">
        <v>2936</v>
      </c>
      <c r="B6508" s="8">
        <v>9.0</v>
      </c>
      <c r="C6508" s="7" t="s">
        <v>347</v>
      </c>
      <c r="D6508" s="5" t="s">
        <v>2657</v>
      </c>
      <c r="E6508" s="7" t="s">
        <v>2275</v>
      </c>
      <c r="F6508" s="5" t="s">
        <v>238</v>
      </c>
    </row>
    <row r="6509">
      <c r="A6509" s="5" t="s">
        <v>2608</v>
      </c>
      <c r="B6509" s="8">
        <v>9.0</v>
      </c>
      <c r="C6509" s="7" t="s">
        <v>347</v>
      </c>
      <c r="D6509" s="5" t="s">
        <v>2657</v>
      </c>
      <c r="E6509" s="7" t="s">
        <v>2275</v>
      </c>
      <c r="F6509" s="5" t="s">
        <v>238</v>
      </c>
    </row>
    <row r="6510">
      <c r="A6510" s="5" t="s">
        <v>2609</v>
      </c>
      <c r="B6510" s="8">
        <v>9.0</v>
      </c>
      <c r="C6510" s="7" t="s">
        <v>347</v>
      </c>
      <c r="D6510" s="5" t="s">
        <v>2657</v>
      </c>
      <c r="E6510" s="7" t="s">
        <v>2275</v>
      </c>
      <c r="F6510" s="5" t="s">
        <v>238</v>
      </c>
    </row>
    <row r="6511">
      <c r="A6511" s="5" t="s">
        <v>3791</v>
      </c>
      <c r="B6511" s="8">
        <v>9.0</v>
      </c>
      <c r="C6511" s="7" t="s">
        <v>590</v>
      </c>
      <c r="D6511" s="7" t="s">
        <v>140</v>
      </c>
      <c r="E6511" s="7" t="s">
        <v>2276</v>
      </c>
      <c r="F6511" s="7" t="s">
        <v>65</v>
      </c>
    </row>
    <row r="6512">
      <c r="A6512" s="7" t="s">
        <v>188</v>
      </c>
      <c r="B6512" s="8">
        <v>9.0</v>
      </c>
      <c r="C6512" s="7" t="s">
        <v>590</v>
      </c>
      <c r="D6512" s="7" t="s">
        <v>140</v>
      </c>
      <c r="E6512" s="7" t="s">
        <v>2276</v>
      </c>
      <c r="F6512" s="7" t="s">
        <v>65</v>
      </c>
    </row>
    <row r="6513">
      <c r="A6513" s="5" t="s">
        <v>2924</v>
      </c>
      <c r="B6513" s="8">
        <v>9.0</v>
      </c>
      <c r="C6513" s="7" t="s">
        <v>590</v>
      </c>
      <c r="D6513" s="7" t="s">
        <v>140</v>
      </c>
      <c r="E6513" s="7" t="s">
        <v>2276</v>
      </c>
      <c r="F6513" s="7" t="s">
        <v>65</v>
      </c>
    </row>
    <row r="6514">
      <c r="A6514" s="5" t="s">
        <v>2796</v>
      </c>
      <c r="B6514" s="8">
        <v>9.0</v>
      </c>
      <c r="C6514" s="7" t="s">
        <v>590</v>
      </c>
      <c r="D6514" s="7" t="s">
        <v>140</v>
      </c>
      <c r="E6514" s="7" t="s">
        <v>2276</v>
      </c>
      <c r="F6514" s="7" t="s">
        <v>65</v>
      </c>
    </row>
    <row r="6515">
      <c r="A6515" s="5" t="s">
        <v>2925</v>
      </c>
      <c r="B6515" s="8">
        <v>9.0</v>
      </c>
      <c r="C6515" s="7" t="s">
        <v>590</v>
      </c>
      <c r="D6515" s="7" t="s">
        <v>140</v>
      </c>
      <c r="E6515" s="7" t="s">
        <v>2276</v>
      </c>
      <c r="F6515" s="7" t="s">
        <v>65</v>
      </c>
    </row>
    <row r="6516">
      <c r="A6516" s="5" t="s">
        <v>3086</v>
      </c>
      <c r="B6516" s="8">
        <v>9.0</v>
      </c>
      <c r="C6516" s="7" t="s">
        <v>590</v>
      </c>
      <c r="D6516" s="7" t="s">
        <v>140</v>
      </c>
      <c r="E6516" s="7" t="s">
        <v>2276</v>
      </c>
      <c r="F6516" s="7" t="s">
        <v>65</v>
      </c>
    </row>
    <row r="6517">
      <c r="A6517" s="5" t="s">
        <v>3795</v>
      </c>
      <c r="B6517" s="8">
        <v>9.0</v>
      </c>
      <c r="C6517" s="7" t="s">
        <v>590</v>
      </c>
      <c r="D6517" s="7" t="s">
        <v>140</v>
      </c>
      <c r="E6517" s="7" t="s">
        <v>2276</v>
      </c>
      <c r="F6517" s="7" t="s">
        <v>65</v>
      </c>
    </row>
    <row r="6518">
      <c r="A6518" s="7" t="s">
        <v>868</v>
      </c>
      <c r="B6518" s="8">
        <v>9.0</v>
      </c>
      <c r="C6518" s="7" t="s">
        <v>590</v>
      </c>
      <c r="D6518" s="7" t="s">
        <v>140</v>
      </c>
      <c r="E6518" s="7" t="s">
        <v>2276</v>
      </c>
      <c r="F6518" s="7" t="s">
        <v>65</v>
      </c>
    </row>
    <row r="6519">
      <c r="A6519" s="5" t="s">
        <v>3087</v>
      </c>
      <c r="B6519" s="8">
        <v>9.0</v>
      </c>
      <c r="C6519" s="7" t="s">
        <v>590</v>
      </c>
      <c r="D6519" s="7" t="s">
        <v>140</v>
      </c>
      <c r="E6519" s="7" t="s">
        <v>2276</v>
      </c>
      <c r="F6519" s="7" t="s">
        <v>66</v>
      </c>
    </row>
    <row r="6520">
      <c r="A6520" s="5" t="s">
        <v>2926</v>
      </c>
      <c r="B6520" s="8">
        <v>9.0</v>
      </c>
      <c r="C6520" s="7" t="s">
        <v>590</v>
      </c>
      <c r="D6520" s="7" t="s">
        <v>140</v>
      </c>
      <c r="E6520" s="7" t="s">
        <v>2276</v>
      </c>
      <c r="F6520" s="7" t="s">
        <v>66</v>
      </c>
    </row>
    <row r="6521">
      <c r="A6521" s="5" t="s">
        <v>3088</v>
      </c>
      <c r="B6521" s="8">
        <v>9.0</v>
      </c>
      <c r="C6521" s="7" t="s">
        <v>590</v>
      </c>
      <c r="D6521" s="7" t="s">
        <v>140</v>
      </c>
      <c r="E6521" s="7" t="s">
        <v>2276</v>
      </c>
      <c r="F6521" s="7" t="s">
        <v>65</v>
      </c>
    </row>
    <row r="6522">
      <c r="A6522" s="5" t="s">
        <v>3388</v>
      </c>
      <c r="B6522" s="8">
        <v>9.0</v>
      </c>
      <c r="C6522" s="7" t="s">
        <v>590</v>
      </c>
      <c r="D6522" s="7" t="s">
        <v>140</v>
      </c>
      <c r="E6522" s="7" t="s">
        <v>2276</v>
      </c>
      <c r="F6522" s="7" t="s">
        <v>65</v>
      </c>
    </row>
    <row r="6523">
      <c r="A6523" s="5" t="s">
        <v>2927</v>
      </c>
      <c r="B6523" s="8">
        <v>9.0</v>
      </c>
      <c r="C6523" s="7" t="s">
        <v>590</v>
      </c>
      <c r="D6523" s="7" t="s">
        <v>140</v>
      </c>
      <c r="E6523" s="7" t="s">
        <v>2276</v>
      </c>
      <c r="F6523" s="7" t="s">
        <v>65</v>
      </c>
    </row>
    <row r="6524">
      <c r="A6524" s="5" t="s">
        <v>3089</v>
      </c>
      <c r="B6524" s="8">
        <v>9.0</v>
      </c>
      <c r="C6524" s="7" t="s">
        <v>590</v>
      </c>
      <c r="D6524" s="7" t="s">
        <v>140</v>
      </c>
      <c r="E6524" s="7" t="s">
        <v>2276</v>
      </c>
      <c r="F6524" s="5" t="s">
        <v>3838</v>
      </c>
    </row>
    <row r="6525">
      <c r="A6525" s="5" t="s">
        <v>2928</v>
      </c>
      <c r="B6525" s="8">
        <v>9.0</v>
      </c>
      <c r="C6525" s="7" t="s">
        <v>590</v>
      </c>
      <c r="D6525" s="7" t="s">
        <v>140</v>
      </c>
      <c r="E6525" s="7" t="s">
        <v>2276</v>
      </c>
      <c r="F6525" s="7" t="s">
        <v>65</v>
      </c>
    </row>
    <row r="6526">
      <c r="A6526" s="7" t="s">
        <v>603</v>
      </c>
      <c r="B6526" s="8">
        <v>9.0</v>
      </c>
      <c r="C6526" s="7" t="s">
        <v>590</v>
      </c>
      <c r="D6526" s="7" t="s">
        <v>140</v>
      </c>
      <c r="E6526" s="7" t="s">
        <v>2276</v>
      </c>
      <c r="F6526" s="7" t="s">
        <v>66</v>
      </c>
    </row>
    <row r="6527">
      <c r="A6527" s="5" t="s">
        <v>2929</v>
      </c>
      <c r="B6527" s="8">
        <v>9.0</v>
      </c>
      <c r="C6527" s="7" t="s">
        <v>590</v>
      </c>
      <c r="D6527" s="7" t="s">
        <v>140</v>
      </c>
      <c r="E6527" s="7" t="s">
        <v>2276</v>
      </c>
      <c r="F6527" s="7" t="s">
        <v>65</v>
      </c>
    </row>
    <row r="6528">
      <c r="A6528" s="5" t="s">
        <v>2702</v>
      </c>
      <c r="B6528" s="8">
        <v>9.0</v>
      </c>
      <c r="C6528" s="7" t="s">
        <v>590</v>
      </c>
      <c r="D6528" s="7" t="s">
        <v>140</v>
      </c>
      <c r="E6528" s="7" t="s">
        <v>2276</v>
      </c>
      <c r="F6528" s="7" t="s">
        <v>65</v>
      </c>
    </row>
    <row r="6529">
      <c r="A6529" s="5" t="s">
        <v>2930</v>
      </c>
      <c r="B6529" s="8">
        <v>9.0</v>
      </c>
      <c r="C6529" s="7" t="s">
        <v>590</v>
      </c>
      <c r="D6529" s="7" t="s">
        <v>140</v>
      </c>
      <c r="E6529" s="7" t="s">
        <v>2276</v>
      </c>
      <c r="F6529" s="7" t="s">
        <v>65</v>
      </c>
    </row>
    <row r="6530">
      <c r="A6530" s="5" t="s">
        <v>2600</v>
      </c>
      <c r="B6530" s="8">
        <v>9.0</v>
      </c>
      <c r="C6530" s="7" t="s">
        <v>590</v>
      </c>
      <c r="D6530" s="7" t="s">
        <v>140</v>
      </c>
      <c r="E6530" s="7" t="s">
        <v>2276</v>
      </c>
      <c r="F6530" s="7" t="s">
        <v>65</v>
      </c>
    </row>
    <row r="6531">
      <c r="A6531" s="5" t="s">
        <v>3802</v>
      </c>
      <c r="B6531" s="8">
        <v>9.0</v>
      </c>
      <c r="C6531" s="7" t="s">
        <v>590</v>
      </c>
      <c r="D6531" s="7" t="s">
        <v>140</v>
      </c>
      <c r="E6531" s="7" t="s">
        <v>2276</v>
      </c>
      <c r="F6531" s="7" t="s">
        <v>65</v>
      </c>
    </row>
    <row r="6532">
      <c r="A6532" s="5" t="s">
        <v>3090</v>
      </c>
      <c r="B6532" s="8">
        <v>9.0</v>
      </c>
      <c r="C6532" s="7" t="s">
        <v>590</v>
      </c>
      <c r="D6532" s="7" t="s">
        <v>140</v>
      </c>
      <c r="E6532" s="7" t="s">
        <v>2276</v>
      </c>
      <c r="F6532" s="7" t="s">
        <v>66</v>
      </c>
    </row>
    <row r="6533">
      <c r="A6533" s="7" t="s">
        <v>606</v>
      </c>
      <c r="B6533" s="8">
        <v>9.0</v>
      </c>
      <c r="C6533" s="7" t="s">
        <v>590</v>
      </c>
      <c r="D6533" s="7" t="s">
        <v>140</v>
      </c>
      <c r="E6533" s="7" t="s">
        <v>2276</v>
      </c>
      <c r="F6533" s="7" t="s">
        <v>65</v>
      </c>
    </row>
    <row r="6534">
      <c r="A6534" s="5" t="s">
        <v>2602</v>
      </c>
      <c r="B6534" s="8">
        <v>9.0</v>
      </c>
      <c r="C6534" s="7" t="s">
        <v>590</v>
      </c>
      <c r="D6534" s="7" t="s">
        <v>140</v>
      </c>
      <c r="E6534" s="7" t="s">
        <v>2276</v>
      </c>
      <c r="F6534" s="7" t="s">
        <v>65</v>
      </c>
    </row>
    <row r="6535">
      <c r="A6535" s="5" t="s">
        <v>2931</v>
      </c>
      <c r="B6535" s="8">
        <v>9.0</v>
      </c>
      <c r="C6535" s="7" t="s">
        <v>590</v>
      </c>
      <c r="D6535" s="7" t="s">
        <v>140</v>
      </c>
      <c r="E6535" s="7" t="s">
        <v>2276</v>
      </c>
      <c r="F6535" s="7" t="s">
        <v>65</v>
      </c>
    </row>
    <row r="6536">
      <c r="A6536" s="7" t="s">
        <v>874</v>
      </c>
      <c r="B6536" s="8">
        <v>9.0</v>
      </c>
      <c r="C6536" s="7" t="s">
        <v>590</v>
      </c>
      <c r="D6536" s="7" t="s">
        <v>140</v>
      </c>
      <c r="E6536" s="7" t="s">
        <v>2276</v>
      </c>
      <c r="F6536" s="7" t="s">
        <v>65</v>
      </c>
    </row>
    <row r="6537">
      <c r="A6537" s="5" t="s">
        <v>2932</v>
      </c>
      <c r="B6537" s="8">
        <v>9.0</v>
      </c>
      <c r="C6537" s="7" t="s">
        <v>590</v>
      </c>
      <c r="D6537" s="7" t="s">
        <v>140</v>
      </c>
      <c r="E6537" s="7" t="s">
        <v>2276</v>
      </c>
      <c r="F6537" s="7" t="s">
        <v>65</v>
      </c>
    </row>
    <row r="6538">
      <c r="A6538" s="5" t="s">
        <v>3091</v>
      </c>
      <c r="B6538" s="8">
        <v>9.0</v>
      </c>
      <c r="C6538" s="7" t="s">
        <v>590</v>
      </c>
      <c r="D6538" s="7" t="s">
        <v>140</v>
      </c>
      <c r="E6538" s="7" t="s">
        <v>2276</v>
      </c>
      <c r="F6538" s="7" t="s">
        <v>65</v>
      </c>
    </row>
    <row r="6539">
      <c r="A6539" s="5" t="s">
        <v>2605</v>
      </c>
      <c r="B6539" s="8">
        <v>9.0</v>
      </c>
      <c r="C6539" s="7" t="s">
        <v>590</v>
      </c>
      <c r="D6539" s="7" t="s">
        <v>140</v>
      </c>
      <c r="E6539" s="7" t="s">
        <v>2276</v>
      </c>
      <c r="F6539" s="7" t="s">
        <v>65</v>
      </c>
    </row>
    <row r="6540">
      <c r="A6540" s="7" t="s">
        <v>1989</v>
      </c>
      <c r="B6540" s="8">
        <v>9.0</v>
      </c>
      <c r="C6540" s="7" t="s">
        <v>590</v>
      </c>
      <c r="D6540" s="7" t="s">
        <v>140</v>
      </c>
      <c r="E6540" s="7" t="s">
        <v>2276</v>
      </c>
      <c r="F6540" s="7" t="s">
        <v>65</v>
      </c>
    </row>
    <row r="6541">
      <c r="A6541" s="5" t="s">
        <v>2933</v>
      </c>
      <c r="B6541" s="8">
        <v>9.0</v>
      </c>
      <c r="C6541" s="7" t="s">
        <v>590</v>
      </c>
      <c r="D6541" s="7" t="s">
        <v>140</v>
      </c>
      <c r="E6541" s="7" t="s">
        <v>2276</v>
      </c>
      <c r="F6541" s="7" t="s">
        <v>65</v>
      </c>
    </row>
    <row r="6542">
      <c r="A6542" s="5" t="s">
        <v>2606</v>
      </c>
      <c r="B6542" s="8">
        <v>9.0</v>
      </c>
      <c r="C6542" s="7" t="s">
        <v>590</v>
      </c>
      <c r="D6542" s="7" t="s">
        <v>140</v>
      </c>
      <c r="E6542" s="7" t="s">
        <v>2276</v>
      </c>
      <c r="F6542" s="7" t="s">
        <v>65</v>
      </c>
    </row>
    <row r="6543">
      <c r="A6543" s="5" t="s">
        <v>2934</v>
      </c>
      <c r="B6543" s="8">
        <v>9.0</v>
      </c>
      <c r="C6543" s="7" t="s">
        <v>590</v>
      </c>
      <c r="D6543" s="7" t="s">
        <v>140</v>
      </c>
      <c r="E6543" s="7" t="s">
        <v>2276</v>
      </c>
      <c r="F6543" s="7" t="s">
        <v>65</v>
      </c>
    </row>
    <row r="6544">
      <c r="A6544" s="5" t="s">
        <v>2607</v>
      </c>
      <c r="B6544" s="8">
        <v>9.0</v>
      </c>
      <c r="C6544" s="7" t="s">
        <v>590</v>
      </c>
      <c r="D6544" s="7" t="s">
        <v>140</v>
      </c>
      <c r="E6544" s="7" t="s">
        <v>2276</v>
      </c>
      <c r="F6544" s="7" t="s">
        <v>65</v>
      </c>
    </row>
    <row r="6545">
      <c r="A6545" s="7" t="s">
        <v>1990</v>
      </c>
      <c r="B6545" s="8">
        <v>9.0</v>
      </c>
      <c r="C6545" s="7" t="s">
        <v>590</v>
      </c>
      <c r="D6545" s="7" t="s">
        <v>140</v>
      </c>
      <c r="E6545" s="7" t="s">
        <v>2276</v>
      </c>
      <c r="F6545" s="7" t="s">
        <v>65</v>
      </c>
    </row>
    <row r="6546">
      <c r="A6546" s="5" t="s">
        <v>2935</v>
      </c>
      <c r="B6546" s="8">
        <v>9.0</v>
      </c>
      <c r="C6546" s="7" t="s">
        <v>590</v>
      </c>
      <c r="D6546" s="7" t="s">
        <v>140</v>
      </c>
      <c r="E6546" s="7" t="s">
        <v>2276</v>
      </c>
      <c r="F6546" s="7" t="s">
        <v>65</v>
      </c>
    </row>
    <row r="6547">
      <c r="A6547" s="5" t="s">
        <v>2936</v>
      </c>
      <c r="B6547" s="8">
        <v>9.0</v>
      </c>
      <c r="C6547" s="7" t="s">
        <v>590</v>
      </c>
      <c r="D6547" s="7" t="s">
        <v>140</v>
      </c>
      <c r="E6547" s="7" t="s">
        <v>2276</v>
      </c>
      <c r="F6547" s="7" t="s">
        <v>65</v>
      </c>
    </row>
    <row r="6548">
      <c r="A6548" s="5" t="s">
        <v>2608</v>
      </c>
      <c r="B6548" s="8">
        <v>9.0</v>
      </c>
      <c r="C6548" s="7" t="s">
        <v>590</v>
      </c>
      <c r="D6548" s="7" t="s">
        <v>140</v>
      </c>
      <c r="E6548" s="7" t="s">
        <v>2276</v>
      </c>
      <c r="F6548" s="7" t="s">
        <v>65</v>
      </c>
    </row>
    <row r="6549">
      <c r="A6549" s="5" t="s">
        <v>2609</v>
      </c>
      <c r="B6549" s="8">
        <v>9.0</v>
      </c>
      <c r="C6549" s="7" t="s">
        <v>590</v>
      </c>
      <c r="D6549" s="7" t="s">
        <v>140</v>
      </c>
      <c r="E6549" s="7" t="s">
        <v>2276</v>
      </c>
      <c r="F6549" s="7" t="s">
        <v>65</v>
      </c>
    </row>
    <row r="6550">
      <c r="A6550" s="5" t="s">
        <v>3791</v>
      </c>
      <c r="B6550" s="8">
        <v>9.0</v>
      </c>
      <c r="C6550" s="7" t="s">
        <v>2277</v>
      </c>
      <c r="D6550" s="5" t="s">
        <v>4004</v>
      </c>
      <c r="E6550" s="5" t="s">
        <v>4005</v>
      </c>
      <c r="F6550" s="5" t="s">
        <v>4006</v>
      </c>
    </row>
    <row r="6551">
      <c r="A6551" s="7" t="s">
        <v>188</v>
      </c>
      <c r="B6551" s="8">
        <v>9.0</v>
      </c>
      <c r="C6551" s="7" t="s">
        <v>2277</v>
      </c>
      <c r="D6551" s="5" t="s">
        <v>4004</v>
      </c>
      <c r="E6551" s="5" t="s">
        <v>4005</v>
      </c>
      <c r="F6551" s="5" t="s">
        <v>4007</v>
      </c>
    </row>
    <row r="6552">
      <c r="A6552" s="5" t="s">
        <v>2924</v>
      </c>
      <c r="B6552" s="8">
        <v>9.0</v>
      </c>
      <c r="C6552" s="7" t="s">
        <v>2277</v>
      </c>
      <c r="D6552" s="5" t="s">
        <v>4004</v>
      </c>
      <c r="E6552" s="5" t="s">
        <v>4005</v>
      </c>
      <c r="F6552" s="5" t="s">
        <v>4008</v>
      </c>
    </row>
    <row r="6553">
      <c r="A6553" s="5" t="s">
        <v>2796</v>
      </c>
      <c r="B6553" s="8">
        <v>9.0</v>
      </c>
      <c r="C6553" s="7" t="s">
        <v>2277</v>
      </c>
      <c r="D6553" s="5" t="s">
        <v>4004</v>
      </c>
      <c r="E6553" s="5" t="s">
        <v>4005</v>
      </c>
      <c r="F6553" s="5" t="s">
        <v>4009</v>
      </c>
    </row>
    <row r="6554">
      <c r="A6554" s="5" t="s">
        <v>2925</v>
      </c>
      <c r="B6554" s="8">
        <v>9.0</v>
      </c>
      <c r="C6554" s="7" t="s">
        <v>2277</v>
      </c>
      <c r="D6554" s="5" t="s">
        <v>4004</v>
      </c>
      <c r="E6554" s="5" t="s">
        <v>4005</v>
      </c>
      <c r="F6554" s="5" t="s">
        <v>4010</v>
      </c>
    </row>
    <row r="6555">
      <c r="A6555" s="5" t="s">
        <v>3086</v>
      </c>
      <c r="B6555" s="8">
        <v>9.0</v>
      </c>
      <c r="C6555" s="7" t="s">
        <v>2277</v>
      </c>
      <c r="D6555" s="5" t="s">
        <v>4004</v>
      </c>
      <c r="E6555" s="5" t="s">
        <v>4005</v>
      </c>
      <c r="F6555" s="5" t="s">
        <v>4011</v>
      </c>
    </row>
    <row r="6556">
      <c r="A6556" s="5" t="s">
        <v>3795</v>
      </c>
      <c r="B6556" s="8">
        <v>9.0</v>
      </c>
      <c r="C6556" s="7" t="s">
        <v>2277</v>
      </c>
      <c r="D6556" s="5" t="s">
        <v>4004</v>
      </c>
      <c r="E6556" s="5" t="s">
        <v>4005</v>
      </c>
      <c r="F6556" s="7" t="s">
        <v>2286</v>
      </c>
    </row>
    <row r="6557">
      <c r="A6557" s="7" t="s">
        <v>868</v>
      </c>
      <c r="B6557" s="8">
        <v>9.0</v>
      </c>
      <c r="C6557" s="7" t="s">
        <v>2277</v>
      </c>
      <c r="D6557" s="5" t="s">
        <v>4004</v>
      </c>
      <c r="E6557" s="5" t="s">
        <v>4005</v>
      </c>
      <c r="F6557" s="5" t="s">
        <v>4012</v>
      </c>
    </row>
    <row r="6558">
      <c r="A6558" s="5" t="s">
        <v>3087</v>
      </c>
      <c r="B6558" s="8">
        <v>9.0</v>
      </c>
      <c r="C6558" s="7" t="s">
        <v>2277</v>
      </c>
      <c r="D6558" s="5" t="s">
        <v>4004</v>
      </c>
      <c r="E6558" s="5" t="s">
        <v>4005</v>
      </c>
      <c r="F6558" s="5" t="s">
        <v>4013</v>
      </c>
    </row>
    <row r="6559">
      <c r="A6559" s="5" t="s">
        <v>2926</v>
      </c>
      <c r="B6559" s="8">
        <v>9.0</v>
      </c>
      <c r="C6559" s="7" t="s">
        <v>2277</v>
      </c>
      <c r="D6559" s="5" t="s">
        <v>4004</v>
      </c>
      <c r="E6559" s="5" t="s">
        <v>4005</v>
      </c>
      <c r="F6559" s="5" t="s">
        <v>2289</v>
      </c>
    </row>
    <row r="6560">
      <c r="A6560" s="5" t="s">
        <v>3088</v>
      </c>
      <c r="B6560" s="8">
        <v>9.0</v>
      </c>
      <c r="C6560" s="7" t="s">
        <v>2277</v>
      </c>
      <c r="D6560" s="5" t="s">
        <v>4004</v>
      </c>
      <c r="E6560" s="5" t="s">
        <v>4005</v>
      </c>
      <c r="F6560" s="5" t="s">
        <v>4014</v>
      </c>
    </row>
    <row r="6561">
      <c r="A6561" s="5" t="s">
        <v>3388</v>
      </c>
      <c r="B6561" s="8">
        <v>9.0</v>
      </c>
      <c r="C6561" s="7" t="s">
        <v>2277</v>
      </c>
      <c r="D6561" s="5" t="s">
        <v>4004</v>
      </c>
      <c r="E6561" s="5" t="s">
        <v>4005</v>
      </c>
      <c r="F6561" s="5" t="s">
        <v>4015</v>
      </c>
    </row>
    <row r="6562">
      <c r="A6562" s="5" t="s">
        <v>2927</v>
      </c>
      <c r="B6562" s="8">
        <v>9.0</v>
      </c>
      <c r="C6562" s="7" t="s">
        <v>2277</v>
      </c>
      <c r="D6562" s="5" t="s">
        <v>4004</v>
      </c>
      <c r="E6562" s="5" t="s">
        <v>4005</v>
      </c>
      <c r="F6562" s="5" t="s">
        <v>4016</v>
      </c>
    </row>
    <row r="6563">
      <c r="A6563" s="5" t="s">
        <v>3089</v>
      </c>
      <c r="B6563" s="8">
        <v>9.0</v>
      </c>
      <c r="C6563" s="7" t="s">
        <v>2277</v>
      </c>
      <c r="D6563" s="5" t="s">
        <v>4004</v>
      </c>
      <c r="E6563" s="5" t="s">
        <v>4005</v>
      </c>
      <c r="F6563" s="5" t="s">
        <v>4017</v>
      </c>
    </row>
    <row r="6564">
      <c r="A6564" s="5" t="s">
        <v>2928</v>
      </c>
      <c r="B6564" s="8">
        <v>9.0</v>
      </c>
      <c r="C6564" s="7" t="s">
        <v>2277</v>
      </c>
      <c r="D6564" s="5" t="s">
        <v>4004</v>
      </c>
      <c r="E6564" s="5" t="s">
        <v>4005</v>
      </c>
      <c r="F6564" s="5" t="s">
        <v>4018</v>
      </c>
    </row>
    <row r="6565">
      <c r="A6565" s="7" t="s">
        <v>603</v>
      </c>
      <c r="B6565" s="8">
        <v>9.0</v>
      </c>
      <c r="C6565" s="7" t="s">
        <v>2277</v>
      </c>
      <c r="D6565" s="5" t="s">
        <v>4004</v>
      </c>
      <c r="E6565" s="5" t="s">
        <v>4005</v>
      </c>
      <c r="F6565" s="5" t="s">
        <v>3765</v>
      </c>
    </row>
    <row r="6566">
      <c r="A6566" s="5" t="s">
        <v>2929</v>
      </c>
      <c r="B6566" s="8">
        <v>9.0</v>
      </c>
      <c r="C6566" s="7" t="s">
        <v>2277</v>
      </c>
      <c r="D6566" s="5" t="s">
        <v>4004</v>
      </c>
      <c r="E6566" s="5" t="s">
        <v>4005</v>
      </c>
      <c r="F6566" s="5" t="s">
        <v>4019</v>
      </c>
    </row>
    <row r="6567">
      <c r="A6567" s="5" t="s">
        <v>2702</v>
      </c>
      <c r="B6567" s="8">
        <v>9.0</v>
      </c>
      <c r="C6567" s="7" t="s">
        <v>2277</v>
      </c>
      <c r="D6567" s="5" t="s">
        <v>4004</v>
      </c>
      <c r="E6567" s="5" t="s">
        <v>4005</v>
      </c>
      <c r="F6567" s="5" t="s">
        <v>4020</v>
      </c>
    </row>
    <row r="6568">
      <c r="A6568" s="5" t="s">
        <v>2930</v>
      </c>
      <c r="B6568" s="8">
        <v>9.0</v>
      </c>
      <c r="C6568" s="7" t="s">
        <v>2277</v>
      </c>
      <c r="D6568" s="5" t="s">
        <v>4004</v>
      </c>
      <c r="E6568" s="5" t="s">
        <v>4005</v>
      </c>
      <c r="F6568" s="5" t="s">
        <v>4021</v>
      </c>
    </row>
    <row r="6569">
      <c r="A6569" s="5" t="s">
        <v>2600</v>
      </c>
      <c r="B6569" s="8">
        <v>9.0</v>
      </c>
      <c r="C6569" s="7" t="s">
        <v>2277</v>
      </c>
      <c r="D6569" s="5" t="s">
        <v>4004</v>
      </c>
      <c r="E6569" s="5" t="s">
        <v>4005</v>
      </c>
      <c r="F6569" s="5" t="s">
        <v>4022</v>
      </c>
    </row>
    <row r="6570">
      <c r="A6570" s="5" t="s">
        <v>3802</v>
      </c>
      <c r="B6570" s="8">
        <v>9.0</v>
      </c>
      <c r="C6570" s="7" t="s">
        <v>2277</v>
      </c>
      <c r="D6570" s="5" t="s">
        <v>4004</v>
      </c>
      <c r="E6570" s="5" t="s">
        <v>4005</v>
      </c>
      <c r="F6570" s="5" t="s">
        <v>4023</v>
      </c>
    </row>
    <row r="6571">
      <c r="A6571" s="5" t="s">
        <v>3090</v>
      </c>
      <c r="B6571" s="8">
        <v>9.0</v>
      </c>
      <c r="C6571" s="7" t="s">
        <v>2277</v>
      </c>
      <c r="D6571" s="5" t="s">
        <v>4004</v>
      </c>
      <c r="E6571" s="5" t="s">
        <v>4005</v>
      </c>
      <c r="F6571" s="5" t="s">
        <v>4024</v>
      </c>
    </row>
    <row r="6572">
      <c r="A6572" s="7" t="s">
        <v>606</v>
      </c>
      <c r="B6572" s="8">
        <v>9.0</v>
      </c>
      <c r="C6572" s="7" t="s">
        <v>2277</v>
      </c>
      <c r="D6572" s="5" t="s">
        <v>4004</v>
      </c>
      <c r="E6572" s="5" t="s">
        <v>4005</v>
      </c>
      <c r="F6572" s="5" t="s">
        <v>4025</v>
      </c>
    </row>
    <row r="6573">
      <c r="A6573" s="5" t="s">
        <v>2602</v>
      </c>
      <c r="B6573" s="8">
        <v>9.0</v>
      </c>
      <c r="C6573" s="7" t="s">
        <v>2277</v>
      </c>
      <c r="D6573" s="5" t="s">
        <v>4004</v>
      </c>
      <c r="E6573" s="5" t="s">
        <v>4005</v>
      </c>
      <c r="F6573" s="5" t="s">
        <v>2289</v>
      </c>
    </row>
    <row r="6574">
      <c r="A6574" s="5" t="s">
        <v>2931</v>
      </c>
      <c r="B6574" s="8">
        <v>9.0</v>
      </c>
      <c r="C6574" s="7" t="s">
        <v>2277</v>
      </c>
      <c r="D6574" s="5" t="s">
        <v>4004</v>
      </c>
      <c r="E6574" s="5" t="s">
        <v>4005</v>
      </c>
      <c r="F6574" s="5" t="s">
        <v>4026</v>
      </c>
    </row>
    <row r="6575">
      <c r="A6575" s="7" t="s">
        <v>874</v>
      </c>
      <c r="B6575" s="8">
        <v>9.0</v>
      </c>
      <c r="C6575" s="7" t="s">
        <v>2277</v>
      </c>
      <c r="D6575" s="5" t="s">
        <v>4004</v>
      </c>
      <c r="E6575" s="5" t="s">
        <v>4005</v>
      </c>
      <c r="F6575" s="5" t="s">
        <v>4027</v>
      </c>
    </row>
    <row r="6576">
      <c r="A6576" s="5" t="s">
        <v>2932</v>
      </c>
      <c r="B6576" s="8">
        <v>9.0</v>
      </c>
      <c r="C6576" s="7" t="s">
        <v>2277</v>
      </c>
      <c r="D6576" s="5" t="s">
        <v>4004</v>
      </c>
      <c r="E6576" s="5" t="s">
        <v>4005</v>
      </c>
      <c r="F6576" s="5" t="s">
        <v>2289</v>
      </c>
    </row>
    <row r="6577">
      <c r="A6577" s="5" t="s">
        <v>3091</v>
      </c>
      <c r="B6577" s="8">
        <v>9.0</v>
      </c>
      <c r="C6577" s="7" t="s">
        <v>2277</v>
      </c>
      <c r="D6577" s="5" t="s">
        <v>4004</v>
      </c>
      <c r="E6577" s="5" t="s">
        <v>4005</v>
      </c>
      <c r="F6577" s="5" t="s">
        <v>4028</v>
      </c>
    </row>
    <row r="6578">
      <c r="A6578" s="5" t="s">
        <v>2605</v>
      </c>
      <c r="B6578" s="8">
        <v>9.0</v>
      </c>
      <c r="C6578" s="7" t="s">
        <v>2277</v>
      </c>
      <c r="D6578" s="5" t="s">
        <v>4004</v>
      </c>
      <c r="E6578" s="5" t="s">
        <v>4005</v>
      </c>
      <c r="F6578" s="5" t="s">
        <v>4029</v>
      </c>
    </row>
    <row r="6579">
      <c r="A6579" s="7" t="s">
        <v>1989</v>
      </c>
      <c r="B6579" s="8">
        <v>9.0</v>
      </c>
      <c r="C6579" s="7" t="s">
        <v>2277</v>
      </c>
      <c r="D6579" s="5" t="s">
        <v>4004</v>
      </c>
      <c r="E6579" s="5" t="s">
        <v>4005</v>
      </c>
      <c r="F6579" s="5" t="s">
        <v>4030</v>
      </c>
    </row>
    <row r="6580">
      <c r="A6580" s="5" t="s">
        <v>2933</v>
      </c>
      <c r="B6580" s="8">
        <v>9.0</v>
      </c>
      <c r="C6580" s="7" t="s">
        <v>2277</v>
      </c>
      <c r="D6580" s="5" t="s">
        <v>4004</v>
      </c>
      <c r="E6580" s="5" t="s">
        <v>4005</v>
      </c>
      <c r="F6580" s="5" t="s">
        <v>4031</v>
      </c>
    </row>
    <row r="6581">
      <c r="A6581" s="5" t="s">
        <v>2606</v>
      </c>
      <c r="B6581" s="8">
        <v>9.0</v>
      </c>
      <c r="C6581" s="7" t="s">
        <v>2277</v>
      </c>
      <c r="D6581" s="5" t="s">
        <v>4004</v>
      </c>
      <c r="E6581" s="5" t="s">
        <v>4005</v>
      </c>
      <c r="F6581" s="7" t="s">
        <v>1958</v>
      </c>
    </row>
    <row r="6582">
      <c r="A6582" s="5" t="s">
        <v>2934</v>
      </c>
      <c r="B6582" s="8">
        <v>9.0</v>
      </c>
      <c r="C6582" s="7" t="s">
        <v>2277</v>
      </c>
      <c r="D6582" s="5" t="s">
        <v>4004</v>
      </c>
      <c r="E6582" s="5" t="s">
        <v>4005</v>
      </c>
      <c r="F6582" s="5" t="s">
        <v>3771</v>
      </c>
    </row>
    <row r="6583">
      <c r="A6583" s="5" t="s">
        <v>2607</v>
      </c>
      <c r="B6583" s="8">
        <v>9.0</v>
      </c>
      <c r="C6583" s="7" t="s">
        <v>2277</v>
      </c>
      <c r="D6583" s="5" t="s">
        <v>4004</v>
      </c>
      <c r="E6583" s="5" t="s">
        <v>4005</v>
      </c>
      <c r="F6583" s="5" t="s">
        <v>2289</v>
      </c>
    </row>
    <row r="6584">
      <c r="A6584" s="7" t="s">
        <v>1990</v>
      </c>
      <c r="B6584" s="8">
        <v>9.0</v>
      </c>
      <c r="C6584" s="7" t="s">
        <v>2277</v>
      </c>
      <c r="D6584" s="5" t="s">
        <v>4004</v>
      </c>
      <c r="E6584" s="5" t="s">
        <v>4005</v>
      </c>
      <c r="F6584" s="5" t="s">
        <v>4032</v>
      </c>
    </row>
    <row r="6585">
      <c r="A6585" s="5" t="s">
        <v>2935</v>
      </c>
      <c r="B6585" s="8">
        <v>9.0</v>
      </c>
      <c r="C6585" s="7" t="s">
        <v>2277</v>
      </c>
      <c r="D6585" s="5" t="s">
        <v>4004</v>
      </c>
      <c r="E6585" s="5" t="s">
        <v>4005</v>
      </c>
      <c r="F6585" s="5" t="s">
        <v>4033</v>
      </c>
    </row>
    <row r="6586">
      <c r="A6586" s="5" t="s">
        <v>2936</v>
      </c>
      <c r="B6586" s="8">
        <v>9.0</v>
      </c>
      <c r="C6586" s="7" t="s">
        <v>2277</v>
      </c>
      <c r="D6586" s="5" t="s">
        <v>4004</v>
      </c>
      <c r="E6586" s="5" t="s">
        <v>4005</v>
      </c>
      <c r="F6586" s="5" t="s">
        <v>2310</v>
      </c>
    </row>
    <row r="6587">
      <c r="A6587" s="5" t="s">
        <v>2608</v>
      </c>
      <c r="B6587" s="8">
        <v>9.0</v>
      </c>
      <c r="C6587" s="7" t="s">
        <v>2277</v>
      </c>
      <c r="D6587" s="5" t="s">
        <v>4004</v>
      </c>
      <c r="E6587" s="5" t="s">
        <v>4005</v>
      </c>
      <c r="F6587" s="5" t="s">
        <v>3773</v>
      </c>
    </row>
    <row r="6588">
      <c r="A6588" s="5" t="s">
        <v>2609</v>
      </c>
      <c r="B6588" s="8">
        <v>9.0</v>
      </c>
      <c r="C6588" s="7" t="s">
        <v>2277</v>
      </c>
      <c r="D6588" s="5" t="s">
        <v>4004</v>
      </c>
      <c r="E6588" s="5" t="s">
        <v>4005</v>
      </c>
      <c r="F6588" s="5" t="s">
        <v>3774</v>
      </c>
    </row>
    <row r="6589">
      <c r="A6589" s="5" t="s">
        <v>3791</v>
      </c>
      <c r="B6589" s="8" t="s">
        <v>4034</v>
      </c>
      <c r="C6589" s="4" t="s">
        <v>35</v>
      </c>
      <c r="D6589" s="5" t="s">
        <v>4035</v>
      </c>
      <c r="E6589" s="5" t="s">
        <v>3559</v>
      </c>
      <c r="F6589" s="5" t="s">
        <v>305</v>
      </c>
    </row>
    <row r="6590">
      <c r="A6590" s="7" t="s">
        <v>188</v>
      </c>
      <c r="B6590" s="8">
        <v>10.0</v>
      </c>
      <c r="C6590" s="4" t="s">
        <v>35</v>
      </c>
      <c r="D6590" s="5" t="s">
        <v>4035</v>
      </c>
      <c r="E6590" s="5" t="s">
        <v>3559</v>
      </c>
      <c r="F6590" s="5" t="s">
        <v>4036</v>
      </c>
    </row>
    <row r="6591">
      <c r="A6591" s="5" t="s">
        <v>2924</v>
      </c>
      <c r="B6591" s="8">
        <v>10.0</v>
      </c>
      <c r="C6591" s="4" t="s">
        <v>35</v>
      </c>
      <c r="D6591" s="5" t="s">
        <v>4035</v>
      </c>
      <c r="E6591" s="5" t="s">
        <v>3559</v>
      </c>
      <c r="F6591" s="5" t="s">
        <v>240</v>
      </c>
    </row>
    <row r="6592">
      <c r="A6592" s="5" t="s">
        <v>2925</v>
      </c>
      <c r="B6592" s="8">
        <v>10.0</v>
      </c>
      <c r="C6592" s="4" t="s">
        <v>35</v>
      </c>
      <c r="D6592" s="5" t="s">
        <v>4035</v>
      </c>
      <c r="E6592" s="5" t="s">
        <v>3559</v>
      </c>
      <c r="F6592" s="5" t="s">
        <v>305</v>
      </c>
    </row>
    <row r="6593">
      <c r="A6593" s="5" t="s">
        <v>3086</v>
      </c>
      <c r="B6593" s="8">
        <v>10.0</v>
      </c>
      <c r="C6593" s="4" t="s">
        <v>35</v>
      </c>
      <c r="D6593" s="5" t="s">
        <v>4035</v>
      </c>
      <c r="E6593" s="5" t="s">
        <v>3559</v>
      </c>
      <c r="F6593" s="5" t="s">
        <v>305</v>
      </c>
    </row>
    <row r="6594">
      <c r="A6594" s="5" t="s">
        <v>4037</v>
      </c>
      <c r="B6594" s="8">
        <v>10.0</v>
      </c>
      <c r="C6594" s="4" t="s">
        <v>35</v>
      </c>
      <c r="D6594" s="5" t="s">
        <v>4035</v>
      </c>
      <c r="E6594" s="5" t="s">
        <v>3559</v>
      </c>
      <c r="F6594" s="5" t="s">
        <v>305</v>
      </c>
    </row>
    <row r="6595">
      <c r="A6595" s="7" t="s">
        <v>2319</v>
      </c>
      <c r="B6595" s="8">
        <v>10.0</v>
      </c>
      <c r="C6595" s="4" t="s">
        <v>35</v>
      </c>
      <c r="D6595" s="5" t="s">
        <v>4035</v>
      </c>
      <c r="E6595" s="5" t="s">
        <v>3559</v>
      </c>
      <c r="F6595" s="5" t="s">
        <v>305</v>
      </c>
    </row>
    <row r="6596">
      <c r="A6596" s="5" t="s">
        <v>3795</v>
      </c>
      <c r="B6596" s="8">
        <v>10.0</v>
      </c>
      <c r="C6596" s="4" t="s">
        <v>35</v>
      </c>
      <c r="D6596" s="5" t="s">
        <v>4035</v>
      </c>
      <c r="E6596" s="5" t="s">
        <v>3559</v>
      </c>
      <c r="F6596" s="5" t="s">
        <v>305</v>
      </c>
    </row>
    <row r="6597">
      <c r="A6597" s="7" t="s">
        <v>868</v>
      </c>
      <c r="B6597" s="8">
        <v>10.0</v>
      </c>
      <c r="C6597" s="4" t="s">
        <v>35</v>
      </c>
      <c r="D6597" s="5" t="s">
        <v>4035</v>
      </c>
      <c r="E6597" s="5" t="s">
        <v>3559</v>
      </c>
      <c r="F6597" s="5" t="s">
        <v>305</v>
      </c>
    </row>
    <row r="6598">
      <c r="A6598" s="5" t="s">
        <v>3087</v>
      </c>
      <c r="B6598" s="8">
        <v>10.0</v>
      </c>
      <c r="C6598" s="4" t="s">
        <v>35</v>
      </c>
      <c r="D6598" s="5" t="s">
        <v>4035</v>
      </c>
      <c r="E6598" s="5" t="s">
        <v>3559</v>
      </c>
      <c r="F6598" s="5" t="s">
        <v>240</v>
      </c>
    </row>
    <row r="6599">
      <c r="A6599" s="5" t="s">
        <v>3088</v>
      </c>
      <c r="B6599" s="8">
        <v>10.0</v>
      </c>
      <c r="C6599" s="4" t="s">
        <v>35</v>
      </c>
      <c r="D6599" s="5" t="s">
        <v>4035</v>
      </c>
      <c r="E6599" s="5" t="s">
        <v>3559</v>
      </c>
      <c r="F6599" s="5" t="s">
        <v>305</v>
      </c>
    </row>
    <row r="6600">
      <c r="A6600" s="5" t="s">
        <v>3388</v>
      </c>
      <c r="B6600" s="8">
        <v>10.0</v>
      </c>
      <c r="C6600" s="4" t="s">
        <v>35</v>
      </c>
      <c r="D6600" s="5" t="s">
        <v>4035</v>
      </c>
      <c r="E6600" s="5" t="s">
        <v>3559</v>
      </c>
      <c r="F6600" s="5" t="s">
        <v>305</v>
      </c>
    </row>
    <row r="6601">
      <c r="A6601" s="5" t="s">
        <v>2927</v>
      </c>
      <c r="B6601" s="8">
        <v>10.0</v>
      </c>
      <c r="C6601" s="4" t="s">
        <v>35</v>
      </c>
      <c r="D6601" s="5" t="s">
        <v>4035</v>
      </c>
      <c r="E6601" s="5" t="s">
        <v>3559</v>
      </c>
      <c r="F6601" s="5" t="s">
        <v>240</v>
      </c>
    </row>
    <row r="6602">
      <c r="A6602" s="5" t="s">
        <v>3089</v>
      </c>
      <c r="B6602" s="8">
        <v>10.0</v>
      </c>
      <c r="C6602" s="4" t="s">
        <v>35</v>
      </c>
      <c r="D6602" s="5" t="s">
        <v>4035</v>
      </c>
      <c r="E6602" s="5" t="s">
        <v>3559</v>
      </c>
      <c r="F6602" s="5" t="s">
        <v>4038</v>
      </c>
    </row>
    <row r="6603">
      <c r="A6603" s="5" t="s">
        <v>2928</v>
      </c>
      <c r="B6603" s="8">
        <v>10.0</v>
      </c>
      <c r="C6603" s="4" t="s">
        <v>35</v>
      </c>
      <c r="D6603" s="5" t="s">
        <v>4035</v>
      </c>
      <c r="E6603" s="5" t="s">
        <v>3559</v>
      </c>
      <c r="F6603" s="5" t="s">
        <v>240</v>
      </c>
    </row>
    <row r="6604">
      <c r="A6604" s="7" t="s">
        <v>603</v>
      </c>
      <c r="B6604" s="8">
        <v>10.0</v>
      </c>
      <c r="C6604" s="4" t="s">
        <v>35</v>
      </c>
      <c r="D6604" s="5" t="s">
        <v>4035</v>
      </c>
      <c r="E6604" s="5" t="s">
        <v>3559</v>
      </c>
      <c r="F6604" s="5" t="s">
        <v>240</v>
      </c>
    </row>
    <row r="6605">
      <c r="A6605" s="5" t="s">
        <v>2929</v>
      </c>
      <c r="B6605" s="8">
        <v>10.0</v>
      </c>
      <c r="C6605" s="4" t="s">
        <v>35</v>
      </c>
      <c r="D6605" s="5" t="s">
        <v>4035</v>
      </c>
      <c r="E6605" s="5" t="s">
        <v>3559</v>
      </c>
      <c r="F6605" s="5" t="s">
        <v>4039</v>
      </c>
    </row>
    <row r="6606">
      <c r="A6606" s="5" t="s">
        <v>2702</v>
      </c>
      <c r="B6606" s="8">
        <v>10.0</v>
      </c>
      <c r="C6606" s="4" t="s">
        <v>35</v>
      </c>
      <c r="D6606" s="5" t="s">
        <v>4035</v>
      </c>
      <c r="E6606" s="5" t="s">
        <v>3559</v>
      </c>
      <c r="F6606" s="5" t="s">
        <v>305</v>
      </c>
    </row>
    <row r="6607">
      <c r="A6607" s="5" t="s">
        <v>2930</v>
      </c>
      <c r="B6607" s="8">
        <v>10.0</v>
      </c>
      <c r="C6607" s="4" t="s">
        <v>35</v>
      </c>
      <c r="D6607" s="5" t="s">
        <v>4035</v>
      </c>
      <c r="E6607" s="5" t="s">
        <v>3559</v>
      </c>
      <c r="F6607" s="5" t="s">
        <v>240</v>
      </c>
    </row>
    <row r="6608">
      <c r="A6608" s="5" t="s">
        <v>2600</v>
      </c>
      <c r="B6608" s="8">
        <v>10.0</v>
      </c>
      <c r="C6608" s="4" t="s">
        <v>35</v>
      </c>
      <c r="D6608" s="5" t="s">
        <v>4035</v>
      </c>
      <c r="E6608" s="5" t="s">
        <v>3559</v>
      </c>
      <c r="F6608" s="5" t="s">
        <v>4038</v>
      </c>
    </row>
    <row r="6609">
      <c r="A6609" s="5" t="s">
        <v>3802</v>
      </c>
      <c r="B6609" s="8">
        <v>10.0</v>
      </c>
      <c r="C6609" s="4" t="s">
        <v>35</v>
      </c>
      <c r="D6609" s="5" t="s">
        <v>4035</v>
      </c>
      <c r="E6609" s="5" t="s">
        <v>3559</v>
      </c>
      <c r="F6609" s="5" t="s">
        <v>305</v>
      </c>
    </row>
    <row r="6610">
      <c r="A6610" s="5" t="s">
        <v>3090</v>
      </c>
      <c r="B6610" s="8">
        <v>10.0</v>
      </c>
      <c r="C6610" s="4" t="s">
        <v>35</v>
      </c>
      <c r="D6610" s="5" t="s">
        <v>4035</v>
      </c>
      <c r="E6610" s="5" t="s">
        <v>3559</v>
      </c>
      <c r="F6610" s="5" t="s">
        <v>305</v>
      </c>
    </row>
    <row r="6611">
      <c r="A6611" s="7" t="s">
        <v>606</v>
      </c>
      <c r="B6611" s="8">
        <v>10.0</v>
      </c>
      <c r="C6611" s="4" t="s">
        <v>35</v>
      </c>
      <c r="D6611" s="5" t="s">
        <v>4035</v>
      </c>
      <c r="E6611" s="5" t="s">
        <v>3559</v>
      </c>
      <c r="F6611" s="5" t="s">
        <v>240</v>
      </c>
    </row>
    <row r="6612">
      <c r="A6612" s="5" t="s">
        <v>2602</v>
      </c>
      <c r="B6612" s="8">
        <v>10.0</v>
      </c>
      <c r="C6612" s="4" t="s">
        <v>35</v>
      </c>
      <c r="D6612" s="5" t="s">
        <v>4035</v>
      </c>
      <c r="E6612" s="5" t="s">
        <v>3559</v>
      </c>
      <c r="F6612" s="5" t="s">
        <v>240</v>
      </c>
    </row>
    <row r="6613">
      <c r="A6613" s="5" t="s">
        <v>2931</v>
      </c>
      <c r="B6613" s="8">
        <v>10.0</v>
      </c>
      <c r="C6613" s="4" t="s">
        <v>35</v>
      </c>
      <c r="D6613" s="5" t="s">
        <v>4035</v>
      </c>
      <c r="E6613" s="5" t="s">
        <v>3559</v>
      </c>
      <c r="F6613" s="5" t="s">
        <v>305</v>
      </c>
    </row>
    <row r="6614">
      <c r="A6614" s="5" t="s">
        <v>2932</v>
      </c>
      <c r="B6614" s="8">
        <v>10.0</v>
      </c>
      <c r="C6614" s="4" t="s">
        <v>35</v>
      </c>
      <c r="D6614" s="5" t="s">
        <v>4035</v>
      </c>
      <c r="E6614" s="5" t="s">
        <v>3559</v>
      </c>
      <c r="F6614" s="5" t="s">
        <v>305</v>
      </c>
    </row>
    <row r="6615">
      <c r="A6615" s="5" t="s">
        <v>3091</v>
      </c>
      <c r="B6615" s="8">
        <v>10.0</v>
      </c>
      <c r="C6615" s="4" t="s">
        <v>35</v>
      </c>
      <c r="D6615" s="5" t="s">
        <v>4035</v>
      </c>
      <c r="E6615" s="5" t="s">
        <v>3559</v>
      </c>
      <c r="F6615" s="5" t="s">
        <v>305</v>
      </c>
    </row>
    <row r="6616">
      <c r="A6616" s="5" t="s">
        <v>2605</v>
      </c>
      <c r="B6616" s="8">
        <v>10.0</v>
      </c>
      <c r="C6616" s="4" t="s">
        <v>35</v>
      </c>
      <c r="D6616" s="5" t="s">
        <v>4035</v>
      </c>
      <c r="E6616" s="5" t="s">
        <v>3559</v>
      </c>
      <c r="F6616" s="5" t="s">
        <v>305</v>
      </c>
    </row>
    <row r="6617">
      <c r="A6617" s="7" t="s">
        <v>1989</v>
      </c>
      <c r="B6617" s="8">
        <v>10.0</v>
      </c>
      <c r="C6617" s="4" t="s">
        <v>35</v>
      </c>
      <c r="D6617" s="5" t="s">
        <v>4035</v>
      </c>
      <c r="E6617" s="5" t="s">
        <v>3559</v>
      </c>
      <c r="F6617" s="5" t="s">
        <v>305</v>
      </c>
    </row>
    <row r="6618">
      <c r="A6618" s="5" t="s">
        <v>2606</v>
      </c>
      <c r="B6618" s="8">
        <v>10.0</v>
      </c>
      <c r="C6618" s="4" t="s">
        <v>35</v>
      </c>
      <c r="D6618" s="5" t="s">
        <v>4035</v>
      </c>
      <c r="E6618" s="5" t="s">
        <v>3559</v>
      </c>
      <c r="F6618" s="5" t="s">
        <v>240</v>
      </c>
    </row>
    <row r="6619">
      <c r="A6619" s="5" t="s">
        <v>2607</v>
      </c>
      <c r="B6619" s="8">
        <v>10.0</v>
      </c>
      <c r="C6619" s="4" t="s">
        <v>35</v>
      </c>
      <c r="D6619" s="5" t="s">
        <v>4035</v>
      </c>
      <c r="E6619" s="5" t="s">
        <v>3559</v>
      </c>
      <c r="F6619" s="5" t="s">
        <v>240</v>
      </c>
    </row>
    <row r="6620">
      <c r="A6620" s="7" t="s">
        <v>1990</v>
      </c>
      <c r="B6620" s="8">
        <v>10.0</v>
      </c>
      <c r="C6620" s="4" t="s">
        <v>35</v>
      </c>
      <c r="D6620" s="5" t="s">
        <v>4035</v>
      </c>
      <c r="E6620" s="5" t="s">
        <v>3559</v>
      </c>
      <c r="F6620" s="5" t="s">
        <v>305</v>
      </c>
    </row>
    <row r="6621">
      <c r="A6621" s="5" t="s">
        <v>2935</v>
      </c>
      <c r="B6621" s="8">
        <v>10.0</v>
      </c>
      <c r="C6621" s="4" t="s">
        <v>35</v>
      </c>
      <c r="D6621" s="5" t="s">
        <v>4035</v>
      </c>
      <c r="E6621" s="5" t="s">
        <v>3559</v>
      </c>
      <c r="F6621" s="5" t="s">
        <v>4040</v>
      </c>
    </row>
    <row r="6622">
      <c r="A6622" s="5" t="s">
        <v>2936</v>
      </c>
      <c r="B6622" s="8">
        <v>10.0</v>
      </c>
      <c r="C6622" s="4" t="s">
        <v>35</v>
      </c>
      <c r="D6622" s="5" t="s">
        <v>4035</v>
      </c>
      <c r="E6622" s="5" t="s">
        <v>3559</v>
      </c>
      <c r="F6622" s="5" t="s">
        <v>240</v>
      </c>
    </row>
    <row r="6623">
      <c r="A6623" s="5" t="s">
        <v>2608</v>
      </c>
      <c r="B6623" s="8">
        <v>10.0</v>
      </c>
      <c r="C6623" s="4" t="s">
        <v>35</v>
      </c>
      <c r="D6623" s="5" t="s">
        <v>4035</v>
      </c>
      <c r="E6623" s="5" t="s">
        <v>3559</v>
      </c>
      <c r="F6623" s="5" t="s">
        <v>240</v>
      </c>
    </row>
    <row r="6624">
      <c r="A6624" s="5" t="s">
        <v>2609</v>
      </c>
      <c r="B6624" s="8">
        <v>10.0</v>
      </c>
      <c r="C6624" s="4" t="s">
        <v>35</v>
      </c>
      <c r="D6624" s="5" t="s">
        <v>4035</v>
      </c>
      <c r="E6624" s="5" t="s">
        <v>3559</v>
      </c>
      <c r="F6624" s="5" t="s">
        <v>240</v>
      </c>
    </row>
    <row r="6625">
      <c r="A6625" s="5" t="s">
        <v>3791</v>
      </c>
      <c r="B6625" s="8">
        <v>10.0</v>
      </c>
      <c r="C6625" s="4" t="s">
        <v>193</v>
      </c>
      <c r="D6625" s="5" t="s">
        <v>4041</v>
      </c>
      <c r="E6625" s="5" t="s">
        <v>2923</v>
      </c>
      <c r="F6625" s="7" t="s">
        <v>2316</v>
      </c>
    </row>
    <row r="6626">
      <c r="A6626" s="7" t="s">
        <v>188</v>
      </c>
      <c r="B6626" s="8">
        <v>10.0</v>
      </c>
      <c r="C6626" s="4" t="s">
        <v>193</v>
      </c>
      <c r="D6626" s="5" t="s">
        <v>4041</v>
      </c>
      <c r="E6626" s="5" t="s">
        <v>2923</v>
      </c>
      <c r="F6626" s="7" t="s">
        <v>4042</v>
      </c>
    </row>
    <row r="6627">
      <c r="A6627" s="5" t="s">
        <v>2924</v>
      </c>
      <c r="B6627" s="8">
        <v>10.0</v>
      </c>
      <c r="C6627" s="4" t="s">
        <v>193</v>
      </c>
      <c r="D6627" s="5" t="s">
        <v>4041</v>
      </c>
      <c r="E6627" s="5" t="s">
        <v>2923</v>
      </c>
      <c r="F6627" s="7" t="s">
        <v>2314</v>
      </c>
    </row>
    <row r="6628">
      <c r="A6628" s="5" t="s">
        <v>2925</v>
      </c>
      <c r="B6628" s="8">
        <v>10.0</v>
      </c>
      <c r="C6628" s="4" t="s">
        <v>193</v>
      </c>
      <c r="D6628" s="5" t="s">
        <v>4041</v>
      </c>
      <c r="E6628" s="5" t="s">
        <v>2923</v>
      </c>
      <c r="F6628" s="7" t="s">
        <v>2313</v>
      </c>
    </row>
    <row r="6629">
      <c r="A6629" s="5" t="s">
        <v>3086</v>
      </c>
      <c r="B6629" s="8">
        <v>10.0</v>
      </c>
      <c r="C6629" s="4" t="s">
        <v>193</v>
      </c>
      <c r="D6629" s="5" t="s">
        <v>4041</v>
      </c>
      <c r="E6629" s="5" t="s">
        <v>2923</v>
      </c>
      <c r="F6629" s="7" t="s">
        <v>2315</v>
      </c>
    </row>
    <row r="6630">
      <c r="A6630" s="5" t="s">
        <v>4037</v>
      </c>
      <c r="B6630" s="8">
        <v>10.0</v>
      </c>
      <c r="C6630" s="4" t="s">
        <v>193</v>
      </c>
      <c r="D6630" s="5" t="s">
        <v>4041</v>
      </c>
      <c r="E6630" s="5" t="s">
        <v>2923</v>
      </c>
      <c r="F6630" s="7" t="s">
        <v>4043</v>
      </c>
    </row>
    <row r="6631">
      <c r="A6631" s="7" t="s">
        <v>2319</v>
      </c>
      <c r="B6631" s="8">
        <v>10.0</v>
      </c>
      <c r="C6631" s="4" t="s">
        <v>193</v>
      </c>
      <c r="D6631" s="5" t="s">
        <v>4041</v>
      </c>
      <c r="E6631" s="5" t="s">
        <v>2923</v>
      </c>
      <c r="F6631" s="7" t="s">
        <v>4044</v>
      </c>
    </row>
    <row r="6632">
      <c r="A6632" s="5" t="s">
        <v>3795</v>
      </c>
      <c r="B6632" s="8">
        <v>10.0</v>
      </c>
      <c r="C6632" s="4" t="s">
        <v>193</v>
      </c>
      <c r="D6632" s="5" t="s">
        <v>4041</v>
      </c>
      <c r="E6632" s="5" t="s">
        <v>2923</v>
      </c>
      <c r="F6632" s="7" t="s">
        <v>2316</v>
      </c>
    </row>
    <row r="6633">
      <c r="A6633" s="7" t="s">
        <v>868</v>
      </c>
      <c r="B6633" s="8">
        <v>10.0</v>
      </c>
      <c r="C6633" s="4" t="s">
        <v>193</v>
      </c>
      <c r="D6633" s="5" t="s">
        <v>4041</v>
      </c>
      <c r="E6633" s="5" t="s">
        <v>2923</v>
      </c>
      <c r="F6633" s="7" t="s">
        <v>2313</v>
      </c>
    </row>
    <row r="6634">
      <c r="A6634" s="5" t="s">
        <v>3087</v>
      </c>
      <c r="B6634" s="8">
        <v>10.0</v>
      </c>
      <c r="C6634" s="4" t="s">
        <v>193</v>
      </c>
      <c r="D6634" s="5" t="s">
        <v>4041</v>
      </c>
      <c r="E6634" s="5" t="s">
        <v>2923</v>
      </c>
      <c r="F6634" s="7" t="s">
        <v>4042</v>
      </c>
    </row>
    <row r="6635">
      <c r="A6635" s="5" t="s">
        <v>3088</v>
      </c>
      <c r="B6635" s="8">
        <v>10.0</v>
      </c>
      <c r="C6635" s="4" t="s">
        <v>193</v>
      </c>
      <c r="D6635" s="5" t="s">
        <v>4041</v>
      </c>
      <c r="E6635" s="5" t="s">
        <v>2923</v>
      </c>
      <c r="F6635" s="7" t="s">
        <v>4042</v>
      </c>
    </row>
    <row r="6636">
      <c r="A6636" s="5" t="s">
        <v>3388</v>
      </c>
      <c r="B6636" s="8">
        <v>10.0</v>
      </c>
      <c r="C6636" s="4" t="s">
        <v>193</v>
      </c>
      <c r="D6636" s="5" t="s">
        <v>4041</v>
      </c>
      <c r="E6636" s="5" t="s">
        <v>2923</v>
      </c>
      <c r="F6636" s="7" t="s">
        <v>4042</v>
      </c>
    </row>
    <row r="6637">
      <c r="A6637" s="5" t="s">
        <v>2927</v>
      </c>
      <c r="B6637" s="8">
        <v>10.0</v>
      </c>
      <c r="C6637" s="4" t="s">
        <v>193</v>
      </c>
      <c r="D6637" s="5" t="s">
        <v>4041</v>
      </c>
      <c r="E6637" s="5" t="s">
        <v>2923</v>
      </c>
      <c r="F6637" s="7" t="s">
        <v>2315</v>
      </c>
    </row>
    <row r="6638">
      <c r="A6638" s="5" t="s">
        <v>3089</v>
      </c>
      <c r="B6638" s="8">
        <v>10.0</v>
      </c>
      <c r="C6638" s="4" t="s">
        <v>193</v>
      </c>
      <c r="D6638" s="5" t="s">
        <v>4041</v>
      </c>
      <c r="E6638" s="5" t="s">
        <v>2923</v>
      </c>
      <c r="F6638" s="7" t="s">
        <v>2315</v>
      </c>
    </row>
    <row r="6639">
      <c r="A6639" s="5" t="s">
        <v>2928</v>
      </c>
      <c r="B6639" s="8">
        <v>10.0</v>
      </c>
      <c r="C6639" s="4" t="s">
        <v>193</v>
      </c>
      <c r="D6639" s="5" t="s">
        <v>4041</v>
      </c>
      <c r="E6639" s="5" t="s">
        <v>2923</v>
      </c>
      <c r="F6639" s="7" t="s">
        <v>2316</v>
      </c>
    </row>
    <row r="6640">
      <c r="A6640" s="7" t="s">
        <v>603</v>
      </c>
      <c r="B6640" s="8">
        <v>10.0</v>
      </c>
      <c r="C6640" s="4" t="s">
        <v>193</v>
      </c>
      <c r="D6640" s="5" t="s">
        <v>4041</v>
      </c>
      <c r="E6640" s="5" t="s">
        <v>2923</v>
      </c>
      <c r="F6640" s="7" t="s">
        <v>2316</v>
      </c>
    </row>
    <row r="6641">
      <c r="A6641" s="5" t="s">
        <v>2929</v>
      </c>
      <c r="B6641" s="8">
        <v>10.0</v>
      </c>
      <c r="C6641" s="4" t="s">
        <v>193</v>
      </c>
      <c r="D6641" s="5" t="s">
        <v>4041</v>
      </c>
      <c r="E6641" s="5" t="s">
        <v>2923</v>
      </c>
      <c r="F6641" s="7" t="s">
        <v>4042</v>
      </c>
    </row>
    <row r="6642">
      <c r="A6642" s="5" t="s">
        <v>2702</v>
      </c>
      <c r="B6642" s="8">
        <v>10.0</v>
      </c>
      <c r="C6642" s="4" t="s">
        <v>193</v>
      </c>
      <c r="D6642" s="5" t="s">
        <v>4041</v>
      </c>
      <c r="E6642" s="5" t="s">
        <v>2923</v>
      </c>
      <c r="F6642" s="7" t="s">
        <v>4043</v>
      </c>
    </row>
    <row r="6643">
      <c r="A6643" s="5" t="s">
        <v>2930</v>
      </c>
      <c r="B6643" s="8">
        <v>10.0</v>
      </c>
      <c r="C6643" s="4" t="s">
        <v>193</v>
      </c>
      <c r="D6643" s="5" t="s">
        <v>4041</v>
      </c>
      <c r="E6643" s="5" t="s">
        <v>2923</v>
      </c>
      <c r="F6643" s="7" t="s">
        <v>2315</v>
      </c>
    </row>
    <row r="6644">
      <c r="A6644" s="5" t="s">
        <v>2600</v>
      </c>
      <c r="B6644" s="8">
        <v>10.0</v>
      </c>
      <c r="C6644" s="4" t="s">
        <v>193</v>
      </c>
      <c r="D6644" s="5" t="s">
        <v>4041</v>
      </c>
      <c r="E6644" s="5" t="s">
        <v>2923</v>
      </c>
      <c r="F6644" s="7" t="s">
        <v>2315</v>
      </c>
    </row>
    <row r="6645">
      <c r="A6645" s="5" t="s">
        <v>3802</v>
      </c>
      <c r="B6645" s="8">
        <v>10.0</v>
      </c>
      <c r="C6645" s="4" t="s">
        <v>193</v>
      </c>
      <c r="D6645" s="5" t="s">
        <v>4041</v>
      </c>
      <c r="E6645" s="5" t="s">
        <v>2923</v>
      </c>
      <c r="F6645" s="7" t="s">
        <v>4043</v>
      </c>
    </row>
    <row r="6646">
      <c r="A6646" s="5" t="s">
        <v>3090</v>
      </c>
      <c r="B6646" s="8">
        <v>10.0</v>
      </c>
      <c r="C6646" s="4" t="s">
        <v>193</v>
      </c>
      <c r="D6646" s="5" t="s">
        <v>4041</v>
      </c>
      <c r="E6646" s="5" t="s">
        <v>2923</v>
      </c>
      <c r="F6646" s="7" t="s">
        <v>2314</v>
      </c>
    </row>
    <row r="6647">
      <c r="A6647" s="7" t="s">
        <v>606</v>
      </c>
      <c r="B6647" s="8">
        <v>10.0</v>
      </c>
      <c r="C6647" s="4" t="s">
        <v>193</v>
      </c>
      <c r="D6647" s="5" t="s">
        <v>4041</v>
      </c>
      <c r="E6647" s="5" t="s">
        <v>2923</v>
      </c>
      <c r="F6647" s="7" t="s">
        <v>2313</v>
      </c>
    </row>
    <row r="6648">
      <c r="A6648" s="5" t="s">
        <v>2602</v>
      </c>
      <c r="B6648" s="8">
        <v>10.0</v>
      </c>
      <c r="C6648" s="4" t="s">
        <v>193</v>
      </c>
      <c r="D6648" s="5" t="s">
        <v>4041</v>
      </c>
      <c r="E6648" s="5" t="s">
        <v>2923</v>
      </c>
      <c r="F6648" s="7" t="s">
        <v>4043</v>
      </c>
    </row>
    <row r="6649">
      <c r="A6649" s="5" t="s">
        <v>2931</v>
      </c>
      <c r="B6649" s="8">
        <v>10.0</v>
      </c>
      <c r="C6649" s="4" t="s">
        <v>193</v>
      </c>
      <c r="D6649" s="5" t="s">
        <v>4041</v>
      </c>
      <c r="E6649" s="5" t="s">
        <v>2923</v>
      </c>
      <c r="F6649" s="7" t="s">
        <v>2314</v>
      </c>
    </row>
    <row r="6650">
      <c r="A6650" s="5" t="s">
        <v>2932</v>
      </c>
      <c r="B6650" s="8">
        <v>10.0</v>
      </c>
      <c r="C6650" s="4" t="s">
        <v>193</v>
      </c>
      <c r="D6650" s="5" t="s">
        <v>4041</v>
      </c>
      <c r="E6650" s="5" t="s">
        <v>2923</v>
      </c>
      <c r="F6650" s="7" t="s">
        <v>4042</v>
      </c>
    </row>
    <row r="6651">
      <c r="A6651" s="5" t="s">
        <v>3091</v>
      </c>
      <c r="B6651" s="8">
        <v>10.0</v>
      </c>
      <c r="C6651" s="4" t="s">
        <v>193</v>
      </c>
      <c r="D6651" s="5" t="s">
        <v>4041</v>
      </c>
      <c r="E6651" s="5" t="s">
        <v>2923</v>
      </c>
      <c r="F6651" s="7" t="s">
        <v>2316</v>
      </c>
    </row>
    <row r="6652">
      <c r="A6652" s="5" t="s">
        <v>2605</v>
      </c>
      <c r="B6652" s="8">
        <v>10.0</v>
      </c>
      <c r="C6652" s="4" t="s">
        <v>193</v>
      </c>
      <c r="D6652" s="5" t="s">
        <v>4041</v>
      </c>
      <c r="E6652" s="5" t="s">
        <v>2923</v>
      </c>
      <c r="F6652" s="7" t="s">
        <v>4043</v>
      </c>
    </row>
    <row r="6653">
      <c r="A6653" s="7" t="s">
        <v>1989</v>
      </c>
      <c r="B6653" s="8">
        <v>10.0</v>
      </c>
      <c r="C6653" s="4" t="s">
        <v>193</v>
      </c>
      <c r="D6653" s="5" t="s">
        <v>4041</v>
      </c>
      <c r="E6653" s="5" t="s">
        <v>2923</v>
      </c>
      <c r="F6653" s="7" t="s">
        <v>2315</v>
      </c>
    </row>
    <row r="6654">
      <c r="A6654" s="5" t="s">
        <v>2606</v>
      </c>
      <c r="B6654" s="8">
        <v>10.0</v>
      </c>
      <c r="C6654" s="4" t="s">
        <v>193</v>
      </c>
      <c r="D6654" s="5" t="s">
        <v>4041</v>
      </c>
      <c r="E6654" s="5" t="s">
        <v>2923</v>
      </c>
      <c r="F6654" s="7" t="s">
        <v>4043</v>
      </c>
    </row>
    <row r="6655">
      <c r="A6655" s="5" t="s">
        <v>2607</v>
      </c>
      <c r="B6655" s="8">
        <v>10.0</v>
      </c>
      <c r="C6655" s="4" t="s">
        <v>193</v>
      </c>
      <c r="D6655" s="5" t="s">
        <v>4041</v>
      </c>
      <c r="E6655" s="5" t="s">
        <v>2923</v>
      </c>
      <c r="F6655" s="7" t="s">
        <v>2315</v>
      </c>
    </row>
    <row r="6656">
      <c r="A6656" s="7" t="s">
        <v>1990</v>
      </c>
      <c r="B6656" s="8">
        <v>10.0</v>
      </c>
      <c r="C6656" s="4" t="s">
        <v>193</v>
      </c>
      <c r="D6656" s="5" t="s">
        <v>4041</v>
      </c>
      <c r="E6656" s="5" t="s">
        <v>2923</v>
      </c>
      <c r="F6656" s="7" t="s">
        <v>4043</v>
      </c>
    </row>
    <row r="6657">
      <c r="A6657" s="5" t="s">
        <v>2935</v>
      </c>
      <c r="B6657" s="8">
        <v>10.0</v>
      </c>
      <c r="C6657" s="4" t="s">
        <v>193</v>
      </c>
      <c r="D6657" s="5" t="s">
        <v>4041</v>
      </c>
      <c r="E6657" s="5" t="s">
        <v>2923</v>
      </c>
      <c r="F6657" s="7" t="s">
        <v>4042</v>
      </c>
    </row>
    <row r="6658">
      <c r="A6658" s="5" t="s">
        <v>2936</v>
      </c>
      <c r="B6658" s="8">
        <v>10.0</v>
      </c>
      <c r="C6658" s="4" t="s">
        <v>193</v>
      </c>
      <c r="D6658" s="5" t="s">
        <v>4041</v>
      </c>
      <c r="E6658" s="5" t="s">
        <v>2923</v>
      </c>
      <c r="F6658" s="7" t="s">
        <v>2313</v>
      </c>
    </row>
    <row r="6659">
      <c r="A6659" s="5" t="s">
        <v>2608</v>
      </c>
      <c r="B6659" s="8">
        <v>10.0</v>
      </c>
      <c r="C6659" s="4" t="s">
        <v>193</v>
      </c>
      <c r="D6659" s="5" t="s">
        <v>4041</v>
      </c>
      <c r="E6659" s="5" t="s">
        <v>2923</v>
      </c>
      <c r="F6659" s="7" t="s">
        <v>2313</v>
      </c>
    </row>
    <row r="6660">
      <c r="A6660" s="5" t="s">
        <v>2609</v>
      </c>
      <c r="B6660" s="8">
        <v>10.0</v>
      </c>
      <c r="C6660" s="4" t="s">
        <v>193</v>
      </c>
      <c r="D6660" s="5" t="s">
        <v>4041</v>
      </c>
      <c r="E6660" s="5" t="s">
        <v>2923</v>
      </c>
      <c r="F6660" s="7" t="s">
        <v>4042</v>
      </c>
    </row>
    <row r="6661">
      <c r="A6661" s="5" t="s">
        <v>3791</v>
      </c>
      <c r="B6661" s="8">
        <v>10.0</v>
      </c>
      <c r="C6661" s="4" t="s">
        <v>2326</v>
      </c>
      <c r="D6661" s="7" t="s">
        <v>2327</v>
      </c>
      <c r="E6661" s="5" t="s">
        <v>4045</v>
      </c>
      <c r="F6661" s="7" t="s">
        <v>4046</v>
      </c>
    </row>
    <row r="6662">
      <c r="A6662" s="7" t="s">
        <v>188</v>
      </c>
      <c r="B6662" s="8">
        <v>10.0</v>
      </c>
      <c r="C6662" s="4" t="s">
        <v>2326</v>
      </c>
      <c r="D6662" s="7" t="s">
        <v>2327</v>
      </c>
      <c r="E6662" s="5" t="s">
        <v>4045</v>
      </c>
      <c r="F6662" s="7" t="s">
        <v>4047</v>
      </c>
    </row>
    <row r="6663">
      <c r="A6663" s="5" t="s">
        <v>2924</v>
      </c>
      <c r="B6663" s="8">
        <v>10.0</v>
      </c>
      <c r="C6663" s="4" t="s">
        <v>2326</v>
      </c>
      <c r="D6663" s="7" t="s">
        <v>2327</v>
      </c>
      <c r="E6663" s="5" t="s">
        <v>4045</v>
      </c>
      <c r="F6663" s="7" t="s">
        <v>4043</v>
      </c>
    </row>
    <row r="6664">
      <c r="A6664" s="5" t="s">
        <v>2925</v>
      </c>
      <c r="B6664" s="8">
        <v>10.0</v>
      </c>
      <c r="C6664" s="4" t="s">
        <v>2326</v>
      </c>
      <c r="D6664" s="7" t="s">
        <v>2327</v>
      </c>
      <c r="E6664" s="5" t="s">
        <v>4045</v>
      </c>
      <c r="F6664" s="7" t="s">
        <v>4047</v>
      </c>
    </row>
    <row r="6665">
      <c r="A6665" s="5" t="s">
        <v>3086</v>
      </c>
      <c r="B6665" s="8">
        <v>10.0</v>
      </c>
      <c r="C6665" s="4" t="s">
        <v>2326</v>
      </c>
      <c r="D6665" s="7" t="s">
        <v>2327</v>
      </c>
      <c r="E6665" s="5" t="s">
        <v>4045</v>
      </c>
      <c r="F6665" s="7" t="s">
        <v>4044</v>
      </c>
    </row>
    <row r="6666">
      <c r="A6666" s="5" t="s">
        <v>4037</v>
      </c>
      <c r="B6666" s="8">
        <v>10.0</v>
      </c>
      <c r="C6666" s="4" t="s">
        <v>2326</v>
      </c>
      <c r="D6666" s="7" t="s">
        <v>2327</v>
      </c>
      <c r="E6666" s="5" t="s">
        <v>4045</v>
      </c>
      <c r="F6666" s="7" t="s">
        <v>4048</v>
      </c>
    </row>
    <row r="6667">
      <c r="A6667" s="7" t="s">
        <v>2319</v>
      </c>
      <c r="B6667" s="8">
        <v>10.0</v>
      </c>
      <c r="C6667" s="4" t="s">
        <v>2326</v>
      </c>
      <c r="D6667" s="7" t="s">
        <v>2327</v>
      </c>
      <c r="E6667" s="5" t="s">
        <v>4045</v>
      </c>
      <c r="F6667" s="7" t="s">
        <v>4048</v>
      </c>
    </row>
    <row r="6668">
      <c r="A6668" s="5" t="s">
        <v>3795</v>
      </c>
      <c r="B6668" s="8">
        <v>10.0</v>
      </c>
      <c r="C6668" s="4" t="s">
        <v>2326</v>
      </c>
      <c r="D6668" s="7" t="s">
        <v>2327</v>
      </c>
      <c r="E6668" s="5" t="s">
        <v>4045</v>
      </c>
      <c r="F6668" s="7" t="s">
        <v>4047</v>
      </c>
    </row>
    <row r="6669">
      <c r="A6669" s="7" t="s">
        <v>868</v>
      </c>
      <c r="B6669" s="8">
        <v>10.0</v>
      </c>
      <c r="C6669" s="4" t="s">
        <v>2326</v>
      </c>
      <c r="D6669" s="7" t="s">
        <v>2327</v>
      </c>
      <c r="E6669" s="5" t="s">
        <v>4045</v>
      </c>
      <c r="F6669" s="7" t="s">
        <v>4044</v>
      </c>
    </row>
    <row r="6670">
      <c r="A6670" s="5" t="s">
        <v>3087</v>
      </c>
      <c r="B6670" s="8">
        <v>10.0</v>
      </c>
      <c r="C6670" s="4" t="s">
        <v>2326</v>
      </c>
      <c r="D6670" s="7" t="s">
        <v>2327</v>
      </c>
      <c r="E6670" s="5" t="s">
        <v>4045</v>
      </c>
      <c r="F6670" s="7" t="s">
        <v>4049</v>
      </c>
    </row>
    <row r="6671">
      <c r="A6671" s="5" t="s">
        <v>3088</v>
      </c>
      <c r="B6671" s="8">
        <v>10.0</v>
      </c>
      <c r="C6671" s="4" t="s">
        <v>2326</v>
      </c>
      <c r="D6671" s="7" t="s">
        <v>2327</v>
      </c>
      <c r="E6671" s="5" t="s">
        <v>4045</v>
      </c>
      <c r="F6671" s="7" t="s">
        <v>4044</v>
      </c>
    </row>
    <row r="6672">
      <c r="A6672" s="5" t="s">
        <v>3388</v>
      </c>
      <c r="B6672" s="8">
        <v>10.0</v>
      </c>
      <c r="C6672" s="4" t="s">
        <v>2326</v>
      </c>
      <c r="D6672" s="7" t="s">
        <v>2327</v>
      </c>
      <c r="E6672" s="5" t="s">
        <v>4045</v>
      </c>
      <c r="F6672" s="7" t="s">
        <v>4047</v>
      </c>
    </row>
    <row r="6673">
      <c r="A6673" s="5" t="s">
        <v>2927</v>
      </c>
      <c r="B6673" s="8">
        <v>10.0</v>
      </c>
      <c r="C6673" s="4" t="s">
        <v>2326</v>
      </c>
      <c r="D6673" s="7" t="s">
        <v>2327</v>
      </c>
      <c r="E6673" s="5" t="s">
        <v>4045</v>
      </c>
      <c r="F6673" s="7" t="s">
        <v>4043</v>
      </c>
    </row>
    <row r="6674">
      <c r="A6674" s="5" t="s">
        <v>2928</v>
      </c>
      <c r="B6674" s="8">
        <v>10.0</v>
      </c>
      <c r="C6674" s="4" t="s">
        <v>2326</v>
      </c>
      <c r="D6674" s="7" t="s">
        <v>2327</v>
      </c>
      <c r="E6674" s="5" t="s">
        <v>4045</v>
      </c>
      <c r="F6674" s="7" t="s">
        <v>4046</v>
      </c>
    </row>
    <row r="6675">
      <c r="A6675" s="7" t="s">
        <v>603</v>
      </c>
      <c r="B6675" s="8">
        <v>10.0</v>
      </c>
      <c r="C6675" s="4" t="s">
        <v>2326</v>
      </c>
      <c r="D6675" s="7" t="s">
        <v>2327</v>
      </c>
      <c r="E6675" s="5" t="s">
        <v>4045</v>
      </c>
      <c r="F6675" s="7" t="s">
        <v>4046</v>
      </c>
    </row>
    <row r="6676">
      <c r="A6676" s="5" t="s">
        <v>2929</v>
      </c>
      <c r="B6676" s="8">
        <v>10.0</v>
      </c>
      <c r="C6676" s="4" t="s">
        <v>2326</v>
      </c>
      <c r="D6676" s="7" t="s">
        <v>2327</v>
      </c>
      <c r="E6676" s="5" t="s">
        <v>4045</v>
      </c>
      <c r="F6676" s="7" t="s">
        <v>4048</v>
      </c>
    </row>
    <row r="6677">
      <c r="A6677" s="5" t="s">
        <v>2702</v>
      </c>
      <c r="B6677" s="8">
        <v>10.0</v>
      </c>
      <c r="C6677" s="4" t="s">
        <v>2326</v>
      </c>
      <c r="D6677" s="7" t="s">
        <v>2327</v>
      </c>
      <c r="E6677" s="5" t="s">
        <v>4045</v>
      </c>
      <c r="F6677" s="7" t="s">
        <v>4049</v>
      </c>
    </row>
    <row r="6678">
      <c r="A6678" s="5" t="s">
        <v>2930</v>
      </c>
      <c r="B6678" s="8">
        <v>10.0</v>
      </c>
      <c r="C6678" s="4" t="s">
        <v>2326</v>
      </c>
      <c r="D6678" s="7" t="s">
        <v>2327</v>
      </c>
      <c r="E6678" s="5" t="s">
        <v>4045</v>
      </c>
      <c r="F6678" s="7" t="s">
        <v>4044</v>
      </c>
    </row>
    <row r="6679">
      <c r="A6679" s="5" t="s">
        <v>3802</v>
      </c>
      <c r="B6679" s="8">
        <v>10.0</v>
      </c>
      <c r="C6679" s="4" t="s">
        <v>2326</v>
      </c>
      <c r="D6679" s="7" t="s">
        <v>2327</v>
      </c>
      <c r="E6679" s="5" t="s">
        <v>4045</v>
      </c>
      <c r="F6679" s="7" t="s">
        <v>4049</v>
      </c>
    </row>
    <row r="6680">
      <c r="A6680" s="5" t="s">
        <v>3090</v>
      </c>
      <c r="B6680" s="8">
        <v>10.0</v>
      </c>
      <c r="C6680" s="4" t="s">
        <v>2326</v>
      </c>
      <c r="D6680" s="7" t="s">
        <v>2327</v>
      </c>
      <c r="E6680" s="5" t="s">
        <v>4045</v>
      </c>
      <c r="F6680" s="7" t="s">
        <v>4043</v>
      </c>
    </row>
    <row r="6681">
      <c r="A6681" s="7" t="s">
        <v>606</v>
      </c>
      <c r="B6681" s="8">
        <v>10.0</v>
      </c>
      <c r="C6681" s="4" t="s">
        <v>2326</v>
      </c>
      <c r="D6681" s="7" t="s">
        <v>2327</v>
      </c>
      <c r="E6681" s="5" t="s">
        <v>4045</v>
      </c>
      <c r="F6681" s="7" t="s">
        <v>4047</v>
      </c>
    </row>
    <row r="6682">
      <c r="A6682" s="5" t="s">
        <v>2602</v>
      </c>
      <c r="B6682" s="8">
        <v>10.0</v>
      </c>
      <c r="C6682" s="4" t="s">
        <v>2326</v>
      </c>
      <c r="D6682" s="7" t="s">
        <v>2327</v>
      </c>
      <c r="E6682" s="5" t="s">
        <v>4045</v>
      </c>
      <c r="F6682" s="7" t="s">
        <v>4048</v>
      </c>
    </row>
    <row r="6683">
      <c r="A6683" s="5" t="s">
        <v>2931</v>
      </c>
      <c r="B6683" s="8">
        <v>10.0</v>
      </c>
      <c r="C6683" s="4" t="s">
        <v>2326</v>
      </c>
      <c r="D6683" s="7" t="s">
        <v>2327</v>
      </c>
      <c r="E6683" s="5" t="s">
        <v>4045</v>
      </c>
      <c r="F6683" s="7" t="s">
        <v>4043</v>
      </c>
    </row>
    <row r="6684">
      <c r="A6684" s="5" t="s">
        <v>2932</v>
      </c>
      <c r="B6684" s="8">
        <v>10.0</v>
      </c>
      <c r="C6684" s="4" t="s">
        <v>2326</v>
      </c>
      <c r="D6684" s="7" t="s">
        <v>2327</v>
      </c>
      <c r="E6684" s="5" t="s">
        <v>4045</v>
      </c>
      <c r="F6684" s="7" t="s">
        <v>4046</v>
      </c>
    </row>
    <row r="6685">
      <c r="A6685" s="5" t="s">
        <v>3091</v>
      </c>
      <c r="B6685" s="8">
        <v>10.0</v>
      </c>
      <c r="C6685" s="4" t="s">
        <v>2326</v>
      </c>
      <c r="D6685" s="7" t="s">
        <v>2327</v>
      </c>
      <c r="E6685" s="5" t="s">
        <v>4045</v>
      </c>
      <c r="F6685" s="7" t="s">
        <v>4047</v>
      </c>
    </row>
    <row r="6686">
      <c r="A6686" s="5" t="s">
        <v>2605</v>
      </c>
      <c r="B6686" s="8">
        <v>10.0</v>
      </c>
      <c r="C6686" s="4" t="s">
        <v>2326</v>
      </c>
      <c r="D6686" s="7" t="s">
        <v>2327</v>
      </c>
      <c r="E6686" s="5" t="s">
        <v>4045</v>
      </c>
      <c r="F6686" s="7" t="s">
        <v>4048</v>
      </c>
    </row>
    <row r="6687">
      <c r="A6687" s="7" t="s">
        <v>1989</v>
      </c>
      <c r="B6687" s="8">
        <v>10.0</v>
      </c>
      <c r="C6687" s="4" t="s">
        <v>2326</v>
      </c>
      <c r="D6687" s="7" t="s">
        <v>2327</v>
      </c>
      <c r="E6687" s="5" t="s">
        <v>4045</v>
      </c>
      <c r="F6687" s="7" t="s">
        <v>4044</v>
      </c>
    </row>
    <row r="6688">
      <c r="A6688" s="5" t="s">
        <v>2606</v>
      </c>
      <c r="B6688" s="8">
        <v>10.0</v>
      </c>
      <c r="C6688" s="4" t="s">
        <v>2326</v>
      </c>
      <c r="D6688" s="7" t="s">
        <v>2327</v>
      </c>
      <c r="E6688" s="5" t="s">
        <v>4045</v>
      </c>
      <c r="F6688" s="7" t="s">
        <v>4048</v>
      </c>
    </row>
    <row r="6689">
      <c r="A6689" s="5" t="s">
        <v>2607</v>
      </c>
      <c r="B6689" s="8">
        <v>10.0</v>
      </c>
      <c r="C6689" s="4" t="s">
        <v>2326</v>
      </c>
      <c r="D6689" s="7" t="s">
        <v>2327</v>
      </c>
      <c r="E6689" s="5" t="s">
        <v>4045</v>
      </c>
      <c r="F6689" s="7" t="s">
        <v>4044</v>
      </c>
    </row>
    <row r="6690">
      <c r="A6690" s="7" t="s">
        <v>1990</v>
      </c>
      <c r="B6690" s="8">
        <v>10.0</v>
      </c>
      <c r="C6690" s="4" t="s">
        <v>2326</v>
      </c>
      <c r="D6690" s="7" t="s">
        <v>2327</v>
      </c>
      <c r="E6690" s="5" t="s">
        <v>4045</v>
      </c>
      <c r="F6690" s="7" t="s">
        <v>4044</v>
      </c>
    </row>
    <row r="6691">
      <c r="A6691" s="5" t="s">
        <v>2935</v>
      </c>
      <c r="B6691" s="8">
        <v>10.0</v>
      </c>
      <c r="C6691" s="4" t="s">
        <v>2326</v>
      </c>
      <c r="D6691" s="7" t="s">
        <v>2327</v>
      </c>
      <c r="E6691" s="5" t="s">
        <v>4045</v>
      </c>
      <c r="F6691" s="7" t="s">
        <v>4043</v>
      </c>
    </row>
    <row r="6692">
      <c r="A6692" s="5" t="s">
        <v>2936</v>
      </c>
      <c r="B6692" s="8">
        <v>10.0</v>
      </c>
      <c r="C6692" s="4" t="s">
        <v>2326</v>
      </c>
      <c r="D6692" s="7" t="s">
        <v>2327</v>
      </c>
      <c r="E6692" s="5" t="s">
        <v>4045</v>
      </c>
      <c r="F6692" s="7" t="s">
        <v>4047</v>
      </c>
    </row>
    <row r="6693">
      <c r="A6693" s="5" t="s">
        <v>2608</v>
      </c>
      <c r="B6693" s="8">
        <v>10.0</v>
      </c>
      <c r="C6693" s="4" t="s">
        <v>2326</v>
      </c>
      <c r="D6693" s="7" t="s">
        <v>2327</v>
      </c>
      <c r="E6693" s="5" t="s">
        <v>4045</v>
      </c>
      <c r="F6693" s="7" t="s">
        <v>4047</v>
      </c>
    </row>
    <row r="6694">
      <c r="A6694" s="5" t="s">
        <v>2609</v>
      </c>
      <c r="B6694" s="8">
        <v>10.0</v>
      </c>
      <c r="C6694" s="4" t="s">
        <v>2326</v>
      </c>
      <c r="D6694" s="7" t="s">
        <v>2327</v>
      </c>
      <c r="E6694" s="5" t="s">
        <v>4045</v>
      </c>
      <c r="F6694" s="7" t="s">
        <v>4049</v>
      </c>
    </row>
    <row r="6695">
      <c r="A6695" s="5" t="s">
        <v>3791</v>
      </c>
      <c r="B6695" s="8">
        <v>10.0</v>
      </c>
      <c r="C6695" s="4" t="s">
        <v>2329</v>
      </c>
      <c r="D6695" s="7" t="s">
        <v>2330</v>
      </c>
      <c r="E6695" s="5" t="s">
        <v>4050</v>
      </c>
      <c r="F6695" s="7" t="s">
        <v>4051</v>
      </c>
    </row>
    <row r="6696">
      <c r="A6696" s="7" t="s">
        <v>188</v>
      </c>
      <c r="B6696" s="8">
        <v>10.0</v>
      </c>
      <c r="C6696" s="4" t="s">
        <v>2329</v>
      </c>
      <c r="D6696" s="7" t="s">
        <v>2330</v>
      </c>
      <c r="E6696" s="5" t="s">
        <v>4050</v>
      </c>
      <c r="F6696" s="7" t="s">
        <v>4051</v>
      </c>
    </row>
    <row r="6697">
      <c r="A6697" s="5" t="s">
        <v>2924</v>
      </c>
      <c r="B6697" s="8">
        <v>10.0</v>
      </c>
      <c r="C6697" s="4" t="s">
        <v>2329</v>
      </c>
      <c r="D6697" s="7" t="s">
        <v>2330</v>
      </c>
      <c r="E6697" s="5" t="s">
        <v>4050</v>
      </c>
      <c r="F6697" s="7" t="s">
        <v>4051</v>
      </c>
    </row>
    <row r="6698">
      <c r="A6698" s="5" t="s">
        <v>2925</v>
      </c>
      <c r="B6698" s="8">
        <v>10.0</v>
      </c>
      <c r="C6698" s="4" t="s">
        <v>2329</v>
      </c>
      <c r="D6698" s="7" t="s">
        <v>2330</v>
      </c>
      <c r="E6698" s="5" t="s">
        <v>4050</v>
      </c>
      <c r="F6698" s="7" t="s">
        <v>4051</v>
      </c>
    </row>
    <row r="6699">
      <c r="A6699" s="5" t="s">
        <v>3086</v>
      </c>
      <c r="B6699" s="8">
        <v>10.0</v>
      </c>
      <c r="C6699" s="4" t="s">
        <v>2329</v>
      </c>
      <c r="D6699" s="7" t="s">
        <v>2330</v>
      </c>
      <c r="E6699" s="5" t="s">
        <v>4050</v>
      </c>
      <c r="F6699" s="7" t="s">
        <v>4051</v>
      </c>
    </row>
    <row r="6700">
      <c r="A6700" s="5" t="s">
        <v>4037</v>
      </c>
      <c r="B6700" s="8">
        <v>10.0</v>
      </c>
      <c r="C6700" s="4" t="s">
        <v>2329</v>
      </c>
      <c r="D6700" s="7" t="s">
        <v>2330</v>
      </c>
      <c r="E6700" s="5" t="s">
        <v>4050</v>
      </c>
      <c r="F6700" s="7" t="s">
        <v>4051</v>
      </c>
    </row>
    <row r="6701">
      <c r="A6701" s="7" t="s">
        <v>2319</v>
      </c>
      <c r="B6701" s="8">
        <v>10.0</v>
      </c>
      <c r="C6701" s="4" t="s">
        <v>2329</v>
      </c>
      <c r="D6701" s="7" t="s">
        <v>2330</v>
      </c>
      <c r="E6701" s="5" t="s">
        <v>4050</v>
      </c>
      <c r="F6701" s="7" t="s">
        <v>4051</v>
      </c>
    </row>
    <row r="6702">
      <c r="A6702" s="5" t="s">
        <v>3795</v>
      </c>
      <c r="B6702" s="8">
        <v>10.0</v>
      </c>
      <c r="C6702" s="4" t="s">
        <v>2329</v>
      </c>
      <c r="D6702" s="7" t="s">
        <v>2330</v>
      </c>
      <c r="E6702" s="5" t="s">
        <v>4050</v>
      </c>
      <c r="F6702" s="7" t="s">
        <v>4051</v>
      </c>
    </row>
    <row r="6703">
      <c r="A6703" s="7" t="s">
        <v>868</v>
      </c>
      <c r="B6703" s="8">
        <v>10.0</v>
      </c>
      <c r="C6703" s="4" t="s">
        <v>2329</v>
      </c>
      <c r="D6703" s="7" t="s">
        <v>2330</v>
      </c>
      <c r="E6703" s="5" t="s">
        <v>4050</v>
      </c>
      <c r="F6703" s="7" t="s">
        <v>4051</v>
      </c>
    </row>
    <row r="6704">
      <c r="A6704" s="5" t="s">
        <v>3087</v>
      </c>
      <c r="B6704" s="8">
        <v>10.0</v>
      </c>
      <c r="C6704" s="4" t="s">
        <v>2329</v>
      </c>
      <c r="D6704" s="7" t="s">
        <v>2330</v>
      </c>
      <c r="E6704" s="5" t="s">
        <v>4050</v>
      </c>
      <c r="F6704" s="7" t="s">
        <v>4051</v>
      </c>
    </row>
    <row r="6705">
      <c r="A6705" s="5" t="s">
        <v>3088</v>
      </c>
      <c r="B6705" s="8">
        <v>10.0</v>
      </c>
      <c r="C6705" s="4" t="s">
        <v>2329</v>
      </c>
      <c r="D6705" s="7" t="s">
        <v>2330</v>
      </c>
      <c r="E6705" s="5" t="s">
        <v>4050</v>
      </c>
      <c r="F6705" s="7" t="s">
        <v>4051</v>
      </c>
    </row>
    <row r="6706">
      <c r="A6706" s="5" t="s">
        <v>3388</v>
      </c>
      <c r="B6706" s="8">
        <v>10.0</v>
      </c>
      <c r="C6706" s="4" t="s">
        <v>2329</v>
      </c>
      <c r="D6706" s="7" t="s">
        <v>2330</v>
      </c>
      <c r="E6706" s="5" t="s">
        <v>4050</v>
      </c>
      <c r="F6706" s="7" t="s">
        <v>4051</v>
      </c>
    </row>
    <row r="6707">
      <c r="A6707" s="5" t="s">
        <v>2927</v>
      </c>
      <c r="B6707" s="8">
        <v>10.0</v>
      </c>
      <c r="C6707" s="4" t="s">
        <v>2329</v>
      </c>
      <c r="D6707" s="7" t="s">
        <v>2330</v>
      </c>
      <c r="E6707" s="5" t="s">
        <v>4050</v>
      </c>
      <c r="F6707" s="7" t="s">
        <v>4051</v>
      </c>
    </row>
    <row r="6708">
      <c r="A6708" s="5" t="s">
        <v>3089</v>
      </c>
      <c r="B6708" s="8">
        <v>10.0</v>
      </c>
      <c r="C6708" s="4" t="s">
        <v>2329</v>
      </c>
      <c r="D6708" s="7" t="s">
        <v>2330</v>
      </c>
      <c r="E6708" s="5" t="s">
        <v>4050</v>
      </c>
      <c r="F6708" s="7" t="s">
        <v>4051</v>
      </c>
    </row>
    <row r="6709">
      <c r="A6709" s="5" t="s">
        <v>2928</v>
      </c>
      <c r="B6709" s="8">
        <v>10.0</v>
      </c>
      <c r="C6709" s="4" t="s">
        <v>2329</v>
      </c>
      <c r="D6709" s="7" t="s">
        <v>2330</v>
      </c>
      <c r="E6709" s="5" t="s">
        <v>4050</v>
      </c>
      <c r="F6709" s="7" t="s">
        <v>4051</v>
      </c>
    </row>
    <row r="6710">
      <c r="A6710" s="7" t="s">
        <v>603</v>
      </c>
      <c r="B6710" s="8">
        <v>10.0</v>
      </c>
      <c r="C6710" s="4" t="s">
        <v>2329</v>
      </c>
      <c r="D6710" s="7" t="s">
        <v>2330</v>
      </c>
      <c r="E6710" s="5" t="s">
        <v>4050</v>
      </c>
      <c r="F6710" s="7" t="s">
        <v>4051</v>
      </c>
    </row>
    <row r="6711">
      <c r="A6711" s="5" t="s">
        <v>2929</v>
      </c>
      <c r="B6711" s="8">
        <v>10.0</v>
      </c>
      <c r="C6711" s="4" t="s">
        <v>2329</v>
      </c>
      <c r="D6711" s="7" t="s">
        <v>2330</v>
      </c>
      <c r="E6711" s="5" t="s">
        <v>4050</v>
      </c>
      <c r="F6711" s="7" t="s">
        <v>4051</v>
      </c>
    </row>
    <row r="6712">
      <c r="A6712" s="5" t="s">
        <v>2702</v>
      </c>
      <c r="B6712" s="8">
        <v>10.0</v>
      </c>
      <c r="C6712" s="4" t="s">
        <v>2329</v>
      </c>
      <c r="D6712" s="7" t="s">
        <v>2330</v>
      </c>
      <c r="E6712" s="5" t="s">
        <v>4050</v>
      </c>
      <c r="F6712" s="7" t="s">
        <v>4051</v>
      </c>
    </row>
    <row r="6713">
      <c r="A6713" s="5" t="s">
        <v>2930</v>
      </c>
      <c r="B6713" s="8">
        <v>10.0</v>
      </c>
      <c r="C6713" s="4" t="s">
        <v>2329</v>
      </c>
      <c r="D6713" s="7" t="s">
        <v>2330</v>
      </c>
      <c r="E6713" s="5" t="s">
        <v>4050</v>
      </c>
      <c r="F6713" s="7" t="s">
        <v>4051</v>
      </c>
    </row>
    <row r="6714">
      <c r="A6714" s="5" t="s">
        <v>2600</v>
      </c>
      <c r="B6714" s="8">
        <v>10.0</v>
      </c>
      <c r="C6714" s="4" t="s">
        <v>2329</v>
      </c>
      <c r="D6714" s="7" t="s">
        <v>2330</v>
      </c>
      <c r="E6714" s="5" t="s">
        <v>4050</v>
      </c>
      <c r="F6714" s="7" t="s">
        <v>4051</v>
      </c>
    </row>
    <row r="6715">
      <c r="A6715" s="5" t="s">
        <v>3802</v>
      </c>
      <c r="B6715" s="8">
        <v>10.0</v>
      </c>
      <c r="C6715" s="4" t="s">
        <v>2329</v>
      </c>
      <c r="D6715" s="7" t="s">
        <v>2330</v>
      </c>
      <c r="E6715" s="5" t="s">
        <v>4050</v>
      </c>
      <c r="F6715" s="7" t="s">
        <v>4051</v>
      </c>
    </row>
    <row r="6716">
      <c r="A6716" s="5" t="s">
        <v>3090</v>
      </c>
      <c r="B6716" s="8">
        <v>10.0</v>
      </c>
      <c r="C6716" s="4" t="s">
        <v>2329</v>
      </c>
      <c r="D6716" s="7" t="s">
        <v>2330</v>
      </c>
      <c r="E6716" s="5" t="s">
        <v>4050</v>
      </c>
      <c r="F6716" s="7" t="s">
        <v>4051</v>
      </c>
    </row>
    <row r="6717">
      <c r="A6717" s="7" t="s">
        <v>606</v>
      </c>
      <c r="B6717" s="8">
        <v>10.0</v>
      </c>
      <c r="C6717" s="4" t="s">
        <v>2329</v>
      </c>
      <c r="D6717" s="7" t="s">
        <v>2330</v>
      </c>
      <c r="E6717" s="5" t="s">
        <v>4050</v>
      </c>
      <c r="F6717" s="7" t="s">
        <v>4051</v>
      </c>
    </row>
    <row r="6718">
      <c r="A6718" s="5" t="s">
        <v>2602</v>
      </c>
      <c r="B6718" s="8">
        <v>10.0</v>
      </c>
      <c r="C6718" s="4" t="s">
        <v>2329</v>
      </c>
      <c r="D6718" s="7" t="s">
        <v>2330</v>
      </c>
      <c r="E6718" s="5" t="s">
        <v>4050</v>
      </c>
      <c r="F6718" s="7" t="s">
        <v>4051</v>
      </c>
    </row>
    <row r="6719">
      <c r="A6719" s="5" t="s">
        <v>2931</v>
      </c>
      <c r="B6719" s="8">
        <v>10.0</v>
      </c>
      <c r="C6719" s="4" t="s">
        <v>2329</v>
      </c>
      <c r="D6719" s="7" t="s">
        <v>2330</v>
      </c>
      <c r="E6719" s="5" t="s">
        <v>4050</v>
      </c>
      <c r="F6719" s="7" t="s">
        <v>4051</v>
      </c>
    </row>
    <row r="6720">
      <c r="A6720" s="5" t="s">
        <v>2932</v>
      </c>
      <c r="B6720" s="8">
        <v>10.0</v>
      </c>
      <c r="C6720" s="4" t="s">
        <v>2329</v>
      </c>
      <c r="D6720" s="7" t="s">
        <v>2330</v>
      </c>
      <c r="E6720" s="5" t="s">
        <v>4050</v>
      </c>
      <c r="F6720" s="7" t="s">
        <v>4051</v>
      </c>
    </row>
    <row r="6721">
      <c r="A6721" s="5" t="s">
        <v>3091</v>
      </c>
      <c r="B6721" s="8">
        <v>10.0</v>
      </c>
      <c r="C6721" s="4" t="s">
        <v>2329</v>
      </c>
      <c r="D6721" s="7" t="s">
        <v>2330</v>
      </c>
      <c r="E6721" s="5" t="s">
        <v>4050</v>
      </c>
      <c r="F6721" s="7" t="s">
        <v>4051</v>
      </c>
    </row>
    <row r="6722">
      <c r="A6722" s="5" t="s">
        <v>2605</v>
      </c>
      <c r="B6722" s="8">
        <v>10.0</v>
      </c>
      <c r="C6722" s="4" t="s">
        <v>2329</v>
      </c>
      <c r="D6722" s="7" t="s">
        <v>2330</v>
      </c>
      <c r="E6722" s="5" t="s">
        <v>4050</v>
      </c>
      <c r="F6722" s="7" t="s">
        <v>4051</v>
      </c>
    </row>
    <row r="6723">
      <c r="A6723" s="7" t="s">
        <v>1989</v>
      </c>
      <c r="B6723" s="8">
        <v>10.0</v>
      </c>
      <c r="C6723" s="4" t="s">
        <v>2329</v>
      </c>
      <c r="D6723" s="7" t="s">
        <v>2330</v>
      </c>
      <c r="E6723" s="5" t="s">
        <v>4050</v>
      </c>
      <c r="F6723" s="7" t="s">
        <v>4051</v>
      </c>
    </row>
    <row r="6724">
      <c r="A6724" s="5" t="s">
        <v>2606</v>
      </c>
      <c r="B6724" s="8">
        <v>10.0</v>
      </c>
      <c r="C6724" s="4" t="s">
        <v>2329</v>
      </c>
      <c r="D6724" s="7" t="s">
        <v>2330</v>
      </c>
      <c r="E6724" s="5" t="s">
        <v>4050</v>
      </c>
      <c r="F6724" s="7" t="s">
        <v>4051</v>
      </c>
    </row>
    <row r="6725">
      <c r="A6725" s="5" t="s">
        <v>2607</v>
      </c>
      <c r="B6725" s="8">
        <v>10.0</v>
      </c>
      <c r="C6725" s="4" t="s">
        <v>2329</v>
      </c>
      <c r="D6725" s="7" t="s">
        <v>2330</v>
      </c>
      <c r="E6725" s="5" t="s">
        <v>4050</v>
      </c>
      <c r="F6725" s="7" t="s">
        <v>4051</v>
      </c>
    </row>
    <row r="6726">
      <c r="A6726" s="7" t="s">
        <v>1990</v>
      </c>
      <c r="B6726" s="8">
        <v>10.0</v>
      </c>
      <c r="C6726" s="4" t="s">
        <v>2329</v>
      </c>
      <c r="D6726" s="7" t="s">
        <v>2330</v>
      </c>
      <c r="E6726" s="5" t="s">
        <v>4050</v>
      </c>
      <c r="F6726" s="7" t="s">
        <v>4051</v>
      </c>
    </row>
    <row r="6727">
      <c r="A6727" s="5" t="s">
        <v>2935</v>
      </c>
      <c r="B6727" s="8">
        <v>10.0</v>
      </c>
      <c r="C6727" s="4" t="s">
        <v>2329</v>
      </c>
      <c r="D6727" s="7" t="s">
        <v>2330</v>
      </c>
      <c r="E6727" s="5" t="s">
        <v>4050</v>
      </c>
      <c r="F6727" s="7" t="s">
        <v>4051</v>
      </c>
    </row>
    <row r="6728">
      <c r="A6728" s="5" t="s">
        <v>2936</v>
      </c>
      <c r="B6728" s="8">
        <v>10.0</v>
      </c>
      <c r="C6728" s="4" t="s">
        <v>2329</v>
      </c>
      <c r="D6728" s="7" t="s">
        <v>2330</v>
      </c>
      <c r="E6728" s="5" t="s">
        <v>4050</v>
      </c>
      <c r="F6728" s="7" t="s">
        <v>4051</v>
      </c>
    </row>
    <row r="6729">
      <c r="A6729" s="5" t="s">
        <v>2608</v>
      </c>
      <c r="B6729" s="8">
        <v>10.0</v>
      </c>
      <c r="C6729" s="4" t="s">
        <v>2329</v>
      </c>
      <c r="D6729" s="7" t="s">
        <v>2330</v>
      </c>
      <c r="E6729" s="5" t="s">
        <v>4050</v>
      </c>
      <c r="F6729" s="7" t="s">
        <v>4051</v>
      </c>
    </row>
    <row r="6730">
      <c r="A6730" s="5" t="s">
        <v>2609</v>
      </c>
      <c r="B6730" s="8">
        <v>10.0</v>
      </c>
      <c r="C6730" s="4" t="s">
        <v>2329</v>
      </c>
      <c r="D6730" s="7" t="s">
        <v>2330</v>
      </c>
      <c r="E6730" s="5" t="s">
        <v>4050</v>
      </c>
      <c r="F6730" s="7" t="s">
        <v>4051</v>
      </c>
    </row>
    <row r="6731">
      <c r="A6731" s="5" t="s">
        <v>3791</v>
      </c>
      <c r="B6731" s="8">
        <v>10.0</v>
      </c>
      <c r="C6731" s="4" t="s">
        <v>227</v>
      </c>
      <c r="D6731" s="7" t="s">
        <v>2332</v>
      </c>
      <c r="E6731" s="5" t="s">
        <v>2937</v>
      </c>
      <c r="F6731" s="7" t="s">
        <v>2316</v>
      </c>
    </row>
    <row r="6732">
      <c r="A6732" s="7" t="s">
        <v>188</v>
      </c>
      <c r="B6732" s="8">
        <v>10.0</v>
      </c>
      <c r="C6732" s="4" t="s">
        <v>227</v>
      </c>
      <c r="D6732" s="7" t="s">
        <v>2332</v>
      </c>
      <c r="E6732" s="5" t="s">
        <v>2937</v>
      </c>
      <c r="F6732" s="7" t="s">
        <v>4042</v>
      </c>
    </row>
    <row r="6733">
      <c r="A6733" s="5" t="s">
        <v>2924</v>
      </c>
      <c r="B6733" s="8">
        <v>10.0</v>
      </c>
      <c r="C6733" s="4" t="s">
        <v>227</v>
      </c>
      <c r="D6733" s="7" t="s">
        <v>2332</v>
      </c>
      <c r="E6733" s="5" t="s">
        <v>2937</v>
      </c>
      <c r="F6733" s="7" t="s">
        <v>2314</v>
      </c>
    </row>
    <row r="6734">
      <c r="A6734" s="5" t="s">
        <v>2925</v>
      </c>
      <c r="B6734" s="8">
        <v>10.0</v>
      </c>
      <c r="C6734" s="4" t="s">
        <v>227</v>
      </c>
      <c r="D6734" s="7" t="s">
        <v>2332</v>
      </c>
      <c r="E6734" s="5" t="s">
        <v>2937</v>
      </c>
      <c r="F6734" s="7" t="s">
        <v>2313</v>
      </c>
    </row>
    <row r="6735">
      <c r="A6735" s="5" t="s">
        <v>3086</v>
      </c>
      <c r="B6735" s="8">
        <v>10.0</v>
      </c>
      <c r="C6735" s="4" t="s">
        <v>227</v>
      </c>
      <c r="D6735" s="7" t="s">
        <v>2332</v>
      </c>
      <c r="E6735" s="5" t="s">
        <v>2937</v>
      </c>
      <c r="F6735" s="7" t="s">
        <v>2315</v>
      </c>
    </row>
    <row r="6736">
      <c r="A6736" s="5" t="s">
        <v>4037</v>
      </c>
      <c r="B6736" s="8">
        <v>10.0</v>
      </c>
      <c r="C6736" s="4" t="s">
        <v>227</v>
      </c>
      <c r="D6736" s="7" t="s">
        <v>2332</v>
      </c>
      <c r="E6736" s="5" t="s">
        <v>2937</v>
      </c>
      <c r="F6736" s="7" t="s">
        <v>4043</v>
      </c>
    </row>
    <row r="6737">
      <c r="A6737" s="7" t="s">
        <v>2319</v>
      </c>
      <c r="B6737" s="8">
        <v>10.0</v>
      </c>
      <c r="C6737" s="4" t="s">
        <v>227</v>
      </c>
      <c r="D6737" s="7" t="s">
        <v>2332</v>
      </c>
      <c r="E6737" s="5" t="s">
        <v>2937</v>
      </c>
      <c r="F6737" s="7" t="s">
        <v>4044</v>
      </c>
    </row>
    <row r="6738">
      <c r="A6738" s="5" t="s">
        <v>3795</v>
      </c>
      <c r="B6738" s="8">
        <v>10.0</v>
      </c>
      <c r="C6738" s="4" t="s">
        <v>227</v>
      </c>
      <c r="D6738" s="7" t="s">
        <v>2332</v>
      </c>
      <c r="E6738" s="5" t="s">
        <v>2937</v>
      </c>
      <c r="F6738" s="7" t="s">
        <v>2316</v>
      </c>
    </row>
    <row r="6739">
      <c r="A6739" s="7" t="s">
        <v>868</v>
      </c>
      <c r="B6739" s="8">
        <v>10.0</v>
      </c>
      <c r="C6739" s="4" t="s">
        <v>227</v>
      </c>
      <c r="D6739" s="7" t="s">
        <v>2332</v>
      </c>
      <c r="E6739" s="5" t="s">
        <v>2937</v>
      </c>
      <c r="F6739" s="7" t="s">
        <v>2313</v>
      </c>
    </row>
    <row r="6740">
      <c r="A6740" s="5" t="s">
        <v>3087</v>
      </c>
      <c r="B6740" s="8">
        <v>10.0</v>
      </c>
      <c r="C6740" s="4" t="s">
        <v>227</v>
      </c>
      <c r="D6740" s="7" t="s">
        <v>2332</v>
      </c>
      <c r="E6740" s="5" t="s">
        <v>2937</v>
      </c>
      <c r="F6740" s="7" t="s">
        <v>4042</v>
      </c>
    </row>
    <row r="6741">
      <c r="A6741" s="5" t="s">
        <v>3088</v>
      </c>
      <c r="B6741" s="8">
        <v>10.0</v>
      </c>
      <c r="C6741" s="4" t="s">
        <v>227</v>
      </c>
      <c r="D6741" s="7" t="s">
        <v>2332</v>
      </c>
      <c r="E6741" s="5" t="s">
        <v>2937</v>
      </c>
      <c r="F6741" s="7" t="s">
        <v>4042</v>
      </c>
    </row>
    <row r="6742">
      <c r="A6742" s="5" t="s">
        <v>3388</v>
      </c>
      <c r="B6742" s="8">
        <v>10.0</v>
      </c>
      <c r="C6742" s="4" t="s">
        <v>227</v>
      </c>
      <c r="D6742" s="7" t="s">
        <v>2332</v>
      </c>
      <c r="E6742" s="5" t="s">
        <v>2937</v>
      </c>
      <c r="F6742" s="7" t="s">
        <v>4042</v>
      </c>
    </row>
    <row r="6743">
      <c r="A6743" s="5" t="s">
        <v>2927</v>
      </c>
      <c r="B6743" s="8">
        <v>10.0</v>
      </c>
      <c r="C6743" s="4" t="s">
        <v>227</v>
      </c>
      <c r="D6743" s="7" t="s">
        <v>2332</v>
      </c>
      <c r="E6743" s="5" t="s">
        <v>2937</v>
      </c>
      <c r="F6743" s="7" t="s">
        <v>2315</v>
      </c>
    </row>
    <row r="6744">
      <c r="A6744" s="5" t="s">
        <v>3089</v>
      </c>
      <c r="B6744" s="8">
        <v>10.0</v>
      </c>
      <c r="C6744" s="4" t="s">
        <v>227</v>
      </c>
      <c r="D6744" s="7" t="s">
        <v>2332</v>
      </c>
      <c r="E6744" s="5" t="s">
        <v>2937</v>
      </c>
      <c r="F6744" s="7" t="s">
        <v>2315</v>
      </c>
    </row>
    <row r="6745">
      <c r="A6745" s="5" t="s">
        <v>2928</v>
      </c>
      <c r="B6745" s="8">
        <v>10.0</v>
      </c>
      <c r="C6745" s="4" t="s">
        <v>227</v>
      </c>
      <c r="D6745" s="7" t="s">
        <v>2332</v>
      </c>
      <c r="E6745" s="5" t="s">
        <v>2937</v>
      </c>
      <c r="F6745" s="7" t="s">
        <v>2316</v>
      </c>
    </row>
    <row r="6746">
      <c r="A6746" s="7" t="s">
        <v>603</v>
      </c>
      <c r="B6746" s="8">
        <v>10.0</v>
      </c>
      <c r="C6746" s="4" t="s">
        <v>227</v>
      </c>
      <c r="D6746" s="7" t="s">
        <v>2332</v>
      </c>
      <c r="E6746" s="5" t="s">
        <v>2937</v>
      </c>
      <c r="F6746" s="7" t="s">
        <v>2316</v>
      </c>
    </row>
    <row r="6747">
      <c r="A6747" s="5" t="s">
        <v>2929</v>
      </c>
      <c r="B6747" s="8">
        <v>10.0</v>
      </c>
      <c r="C6747" s="4" t="s">
        <v>227</v>
      </c>
      <c r="D6747" s="7" t="s">
        <v>2332</v>
      </c>
      <c r="E6747" s="5" t="s">
        <v>2937</v>
      </c>
      <c r="F6747" s="7" t="s">
        <v>4042</v>
      </c>
    </row>
    <row r="6748">
      <c r="A6748" s="5" t="s">
        <v>2702</v>
      </c>
      <c r="B6748" s="8">
        <v>10.0</v>
      </c>
      <c r="C6748" s="4" t="s">
        <v>227</v>
      </c>
      <c r="D6748" s="7" t="s">
        <v>2332</v>
      </c>
      <c r="E6748" s="5" t="s">
        <v>2937</v>
      </c>
      <c r="F6748" s="7" t="s">
        <v>4043</v>
      </c>
    </row>
    <row r="6749">
      <c r="A6749" s="5" t="s">
        <v>2930</v>
      </c>
      <c r="B6749" s="8">
        <v>10.0</v>
      </c>
      <c r="C6749" s="4" t="s">
        <v>227</v>
      </c>
      <c r="D6749" s="7" t="s">
        <v>2332</v>
      </c>
      <c r="E6749" s="5" t="s">
        <v>2937</v>
      </c>
      <c r="F6749" s="7" t="s">
        <v>2315</v>
      </c>
    </row>
    <row r="6750">
      <c r="A6750" s="5" t="s">
        <v>2600</v>
      </c>
      <c r="B6750" s="8">
        <v>10.0</v>
      </c>
      <c r="C6750" s="4" t="s">
        <v>227</v>
      </c>
      <c r="D6750" s="7" t="s">
        <v>2332</v>
      </c>
      <c r="E6750" s="5" t="s">
        <v>2937</v>
      </c>
      <c r="F6750" s="7" t="s">
        <v>2315</v>
      </c>
    </row>
    <row r="6751">
      <c r="A6751" s="5" t="s">
        <v>3802</v>
      </c>
      <c r="B6751" s="8">
        <v>10.0</v>
      </c>
      <c r="C6751" s="4" t="s">
        <v>227</v>
      </c>
      <c r="D6751" s="7" t="s">
        <v>2332</v>
      </c>
      <c r="E6751" s="5" t="s">
        <v>2937</v>
      </c>
      <c r="F6751" s="7" t="s">
        <v>4043</v>
      </c>
    </row>
    <row r="6752">
      <c r="A6752" s="5" t="s">
        <v>3090</v>
      </c>
      <c r="B6752" s="8">
        <v>10.0</v>
      </c>
      <c r="C6752" s="4" t="s">
        <v>227</v>
      </c>
      <c r="D6752" s="7" t="s">
        <v>2332</v>
      </c>
      <c r="E6752" s="5" t="s">
        <v>2937</v>
      </c>
      <c r="F6752" s="7" t="s">
        <v>2314</v>
      </c>
    </row>
    <row r="6753">
      <c r="A6753" s="7" t="s">
        <v>606</v>
      </c>
      <c r="B6753" s="8">
        <v>10.0</v>
      </c>
      <c r="C6753" s="4" t="s">
        <v>227</v>
      </c>
      <c r="D6753" s="7" t="s">
        <v>2332</v>
      </c>
      <c r="E6753" s="5" t="s">
        <v>2937</v>
      </c>
      <c r="F6753" s="7" t="s">
        <v>2313</v>
      </c>
    </row>
    <row r="6754">
      <c r="A6754" s="5" t="s">
        <v>2602</v>
      </c>
      <c r="B6754" s="8">
        <v>10.0</v>
      </c>
      <c r="C6754" s="4" t="s">
        <v>227</v>
      </c>
      <c r="D6754" s="7" t="s">
        <v>2332</v>
      </c>
      <c r="E6754" s="5" t="s">
        <v>2937</v>
      </c>
      <c r="F6754" s="7" t="s">
        <v>4043</v>
      </c>
    </row>
    <row r="6755">
      <c r="A6755" s="5" t="s">
        <v>2931</v>
      </c>
      <c r="B6755" s="8">
        <v>10.0</v>
      </c>
      <c r="C6755" s="4" t="s">
        <v>227</v>
      </c>
      <c r="D6755" s="7" t="s">
        <v>2332</v>
      </c>
      <c r="E6755" s="5" t="s">
        <v>2937</v>
      </c>
      <c r="F6755" s="7" t="s">
        <v>2314</v>
      </c>
    </row>
    <row r="6756">
      <c r="A6756" s="5" t="s">
        <v>2932</v>
      </c>
      <c r="B6756" s="8">
        <v>10.0</v>
      </c>
      <c r="C6756" s="4" t="s">
        <v>227</v>
      </c>
      <c r="D6756" s="7" t="s">
        <v>2332</v>
      </c>
      <c r="E6756" s="5" t="s">
        <v>2937</v>
      </c>
      <c r="F6756" s="7" t="s">
        <v>4042</v>
      </c>
    </row>
    <row r="6757">
      <c r="A6757" s="5" t="s">
        <v>3091</v>
      </c>
      <c r="B6757" s="8">
        <v>10.0</v>
      </c>
      <c r="C6757" s="4" t="s">
        <v>227</v>
      </c>
      <c r="D6757" s="7" t="s">
        <v>2332</v>
      </c>
      <c r="E6757" s="5" t="s">
        <v>2937</v>
      </c>
      <c r="F6757" s="7" t="s">
        <v>2316</v>
      </c>
    </row>
    <row r="6758">
      <c r="A6758" s="5" t="s">
        <v>2605</v>
      </c>
      <c r="B6758" s="8">
        <v>10.0</v>
      </c>
      <c r="C6758" s="4" t="s">
        <v>227</v>
      </c>
      <c r="D6758" s="7" t="s">
        <v>2332</v>
      </c>
      <c r="E6758" s="5" t="s">
        <v>2937</v>
      </c>
      <c r="F6758" s="7" t="s">
        <v>4043</v>
      </c>
    </row>
    <row r="6759">
      <c r="A6759" s="7" t="s">
        <v>1989</v>
      </c>
      <c r="B6759" s="8">
        <v>10.0</v>
      </c>
      <c r="C6759" s="4" t="s">
        <v>227</v>
      </c>
      <c r="D6759" s="7" t="s">
        <v>2332</v>
      </c>
      <c r="E6759" s="5" t="s">
        <v>2937</v>
      </c>
      <c r="F6759" s="7" t="s">
        <v>2315</v>
      </c>
    </row>
    <row r="6760">
      <c r="A6760" s="5" t="s">
        <v>2606</v>
      </c>
      <c r="B6760" s="8">
        <v>10.0</v>
      </c>
      <c r="C6760" s="4" t="s">
        <v>227</v>
      </c>
      <c r="D6760" s="7" t="s">
        <v>2332</v>
      </c>
      <c r="E6760" s="5" t="s">
        <v>2937</v>
      </c>
      <c r="F6760" s="7" t="s">
        <v>4043</v>
      </c>
    </row>
    <row r="6761">
      <c r="A6761" s="5" t="s">
        <v>2607</v>
      </c>
      <c r="B6761" s="8">
        <v>10.0</v>
      </c>
      <c r="C6761" s="4" t="s">
        <v>227</v>
      </c>
      <c r="D6761" s="7" t="s">
        <v>2332</v>
      </c>
      <c r="E6761" s="5" t="s">
        <v>2937</v>
      </c>
      <c r="F6761" s="7" t="s">
        <v>2315</v>
      </c>
    </row>
    <row r="6762">
      <c r="A6762" s="7" t="s">
        <v>1990</v>
      </c>
      <c r="B6762" s="8">
        <v>10.0</v>
      </c>
      <c r="C6762" s="4" t="s">
        <v>227</v>
      </c>
      <c r="D6762" s="7" t="s">
        <v>2332</v>
      </c>
      <c r="E6762" s="5" t="s">
        <v>2937</v>
      </c>
      <c r="F6762" s="7" t="s">
        <v>4043</v>
      </c>
    </row>
    <row r="6763">
      <c r="A6763" s="5" t="s">
        <v>2935</v>
      </c>
      <c r="B6763" s="8">
        <v>10.0</v>
      </c>
      <c r="C6763" s="4" t="s">
        <v>227</v>
      </c>
      <c r="D6763" s="7" t="s">
        <v>2332</v>
      </c>
      <c r="E6763" s="5" t="s">
        <v>2937</v>
      </c>
      <c r="F6763" s="7" t="s">
        <v>4042</v>
      </c>
    </row>
    <row r="6764">
      <c r="A6764" s="5" t="s">
        <v>2936</v>
      </c>
      <c r="B6764" s="8">
        <v>10.0</v>
      </c>
      <c r="C6764" s="4" t="s">
        <v>227</v>
      </c>
      <c r="D6764" s="7" t="s">
        <v>2332</v>
      </c>
      <c r="E6764" s="5" t="s">
        <v>2937</v>
      </c>
      <c r="F6764" s="7" t="s">
        <v>2313</v>
      </c>
    </row>
    <row r="6765">
      <c r="A6765" s="5" t="s">
        <v>2608</v>
      </c>
      <c r="B6765" s="8">
        <v>10.0</v>
      </c>
      <c r="C6765" s="4" t="s">
        <v>227</v>
      </c>
      <c r="D6765" s="7" t="s">
        <v>2332</v>
      </c>
      <c r="E6765" s="5" t="s">
        <v>2937</v>
      </c>
      <c r="F6765" s="7" t="s">
        <v>2313</v>
      </c>
    </row>
    <row r="6766">
      <c r="A6766" s="5" t="s">
        <v>2609</v>
      </c>
      <c r="B6766" s="8">
        <v>10.0</v>
      </c>
      <c r="C6766" s="4" t="s">
        <v>227</v>
      </c>
      <c r="D6766" s="7" t="s">
        <v>2332</v>
      </c>
      <c r="E6766" s="5" t="s">
        <v>2937</v>
      </c>
      <c r="F6766" s="7" t="s">
        <v>4042</v>
      </c>
    </row>
    <row r="6767">
      <c r="A6767" s="5" t="s">
        <v>3791</v>
      </c>
      <c r="B6767" s="8">
        <v>10.0</v>
      </c>
      <c r="C6767" s="7" t="s">
        <v>2033</v>
      </c>
      <c r="D6767" s="7" t="s">
        <v>2333</v>
      </c>
      <c r="E6767" s="5" t="s">
        <v>4052</v>
      </c>
      <c r="F6767" s="7" t="s">
        <v>2316</v>
      </c>
    </row>
    <row r="6768">
      <c r="A6768" s="7" t="s">
        <v>188</v>
      </c>
      <c r="B6768" s="8">
        <v>10.0</v>
      </c>
      <c r="C6768" s="7" t="s">
        <v>2033</v>
      </c>
      <c r="D6768" s="7" t="s">
        <v>2333</v>
      </c>
      <c r="E6768" s="5" t="s">
        <v>4052</v>
      </c>
      <c r="F6768" s="7" t="s">
        <v>4042</v>
      </c>
    </row>
    <row r="6769">
      <c r="A6769" s="5" t="s">
        <v>2924</v>
      </c>
      <c r="B6769" s="8">
        <v>10.0</v>
      </c>
      <c r="C6769" s="7" t="s">
        <v>2033</v>
      </c>
      <c r="D6769" s="7" t="s">
        <v>2333</v>
      </c>
      <c r="E6769" s="5" t="s">
        <v>4052</v>
      </c>
      <c r="F6769" s="7" t="s">
        <v>2314</v>
      </c>
    </row>
    <row r="6770">
      <c r="A6770" s="5" t="s">
        <v>2925</v>
      </c>
      <c r="B6770" s="8">
        <v>10.0</v>
      </c>
      <c r="C6770" s="7" t="s">
        <v>2033</v>
      </c>
      <c r="D6770" s="7" t="s">
        <v>2333</v>
      </c>
      <c r="E6770" s="5" t="s">
        <v>4052</v>
      </c>
      <c r="F6770" s="7" t="s">
        <v>2313</v>
      </c>
    </row>
    <row r="6771">
      <c r="A6771" s="5" t="s">
        <v>3086</v>
      </c>
      <c r="B6771" s="8">
        <v>10.0</v>
      </c>
      <c r="C6771" s="7" t="s">
        <v>2033</v>
      </c>
      <c r="D6771" s="7" t="s">
        <v>2333</v>
      </c>
      <c r="E6771" s="5" t="s">
        <v>4052</v>
      </c>
      <c r="F6771" s="7" t="s">
        <v>2315</v>
      </c>
    </row>
    <row r="6772">
      <c r="A6772" s="5" t="s">
        <v>4037</v>
      </c>
      <c r="B6772" s="8">
        <v>10.0</v>
      </c>
      <c r="C6772" s="7" t="s">
        <v>2033</v>
      </c>
      <c r="D6772" s="7" t="s">
        <v>2333</v>
      </c>
      <c r="E6772" s="5" t="s">
        <v>4052</v>
      </c>
      <c r="F6772" s="7" t="s">
        <v>4043</v>
      </c>
    </row>
    <row r="6773">
      <c r="A6773" s="7" t="s">
        <v>2319</v>
      </c>
      <c r="B6773" s="8">
        <v>10.0</v>
      </c>
      <c r="C6773" s="7" t="s">
        <v>2033</v>
      </c>
      <c r="D6773" s="7" t="s">
        <v>2333</v>
      </c>
      <c r="E6773" s="5" t="s">
        <v>4052</v>
      </c>
      <c r="F6773" s="7" t="s">
        <v>4044</v>
      </c>
    </row>
    <row r="6774">
      <c r="A6774" s="5" t="s">
        <v>3795</v>
      </c>
      <c r="B6774" s="8">
        <v>10.0</v>
      </c>
      <c r="C6774" s="7" t="s">
        <v>2033</v>
      </c>
      <c r="D6774" s="7" t="s">
        <v>2333</v>
      </c>
      <c r="E6774" s="5" t="s">
        <v>4052</v>
      </c>
      <c r="F6774" s="7" t="s">
        <v>2316</v>
      </c>
    </row>
    <row r="6775">
      <c r="A6775" s="7" t="s">
        <v>868</v>
      </c>
      <c r="B6775" s="8">
        <v>10.0</v>
      </c>
      <c r="C6775" s="7" t="s">
        <v>2033</v>
      </c>
      <c r="D6775" s="7" t="s">
        <v>2333</v>
      </c>
      <c r="E6775" s="5" t="s">
        <v>4052</v>
      </c>
      <c r="F6775" s="7" t="s">
        <v>2313</v>
      </c>
    </row>
    <row r="6776">
      <c r="A6776" s="5" t="s">
        <v>3087</v>
      </c>
      <c r="B6776" s="8">
        <v>10.0</v>
      </c>
      <c r="C6776" s="7" t="s">
        <v>2033</v>
      </c>
      <c r="D6776" s="7" t="s">
        <v>2333</v>
      </c>
      <c r="E6776" s="5" t="s">
        <v>4052</v>
      </c>
      <c r="F6776" s="7" t="s">
        <v>4042</v>
      </c>
    </row>
    <row r="6777">
      <c r="A6777" s="5" t="s">
        <v>3088</v>
      </c>
      <c r="B6777" s="8">
        <v>10.0</v>
      </c>
      <c r="C6777" s="7" t="s">
        <v>2033</v>
      </c>
      <c r="D6777" s="7" t="s">
        <v>2333</v>
      </c>
      <c r="E6777" s="5" t="s">
        <v>4052</v>
      </c>
      <c r="F6777" s="7" t="s">
        <v>4042</v>
      </c>
    </row>
    <row r="6778">
      <c r="A6778" s="5" t="s">
        <v>3388</v>
      </c>
      <c r="B6778" s="8">
        <v>10.0</v>
      </c>
      <c r="C6778" s="7" t="s">
        <v>2033</v>
      </c>
      <c r="D6778" s="7" t="s">
        <v>2333</v>
      </c>
      <c r="E6778" s="5" t="s">
        <v>4052</v>
      </c>
      <c r="F6778" s="7" t="s">
        <v>4042</v>
      </c>
    </row>
    <row r="6779">
      <c r="A6779" s="5" t="s">
        <v>2927</v>
      </c>
      <c r="B6779" s="8">
        <v>10.0</v>
      </c>
      <c r="C6779" s="7" t="s">
        <v>2033</v>
      </c>
      <c r="D6779" s="7" t="s">
        <v>2333</v>
      </c>
      <c r="E6779" s="5" t="s">
        <v>4052</v>
      </c>
      <c r="F6779" s="7" t="s">
        <v>2315</v>
      </c>
    </row>
    <row r="6780">
      <c r="A6780" s="5" t="s">
        <v>3089</v>
      </c>
      <c r="B6780" s="8">
        <v>10.0</v>
      </c>
      <c r="C6780" s="7" t="s">
        <v>2033</v>
      </c>
      <c r="D6780" s="7" t="s">
        <v>2333</v>
      </c>
      <c r="E6780" s="5" t="s">
        <v>4052</v>
      </c>
      <c r="F6780" s="7" t="s">
        <v>2315</v>
      </c>
    </row>
    <row r="6781">
      <c r="A6781" s="5" t="s">
        <v>2928</v>
      </c>
      <c r="B6781" s="8">
        <v>10.0</v>
      </c>
      <c r="C6781" s="7" t="s">
        <v>2033</v>
      </c>
      <c r="D6781" s="7" t="s">
        <v>2333</v>
      </c>
      <c r="E6781" s="5" t="s">
        <v>4052</v>
      </c>
      <c r="F6781" s="7" t="s">
        <v>2316</v>
      </c>
    </row>
    <row r="6782">
      <c r="A6782" s="7" t="s">
        <v>603</v>
      </c>
      <c r="B6782" s="8">
        <v>10.0</v>
      </c>
      <c r="C6782" s="7" t="s">
        <v>2033</v>
      </c>
      <c r="D6782" s="7" t="s">
        <v>2333</v>
      </c>
      <c r="E6782" s="5" t="s">
        <v>4052</v>
      </c>
      <c r="F6782" s="7" t="s">
        <v>2316</v>
      </c>
    </row>
    <row r="6783">
      <c r="A6783" s="5" t="s">
        <v>2929</v>
      </c>
      <c r="B6783" s="8">
        <v>10.0</v>
      </c>
      <c r="C6783" s="7" t="s">
        <v>2033</v>
      </c>
      <c r="D6783" s="7" t="s">
        <v>2333</v>
      </c>
      <c r="E6783" s="5" t="s">
        <v>4052</v>
      </c>
      <c r="F6783" s="7" t="s">
        <v>4042</v>
      </c>
    </row>
    <row r="6784">
      <c r="A6784" s="5" t="s">
        <v>2702</v>
      </c>
      <c r="B6784" s="8">
        <v>10.0</v>
      </c>
      <c r="C6784" s="7" t="s">
        <v>2033</v>
      </c>
      <c r="D6784" s="7" t="s">
        <v>2333</v>
      </c>
      <c r="E6784" s="5" t="s">
        <v>4052</v>
      </c>
      <c r="F6784" s="7" t="s">
        <v>4043</v>
      </c>
    </row>
    <row r="6785">
      <c r="A6785" s="5" t="s">
        <v>2930</v>
      </c>
      <c r="B6785" s="8">
        <v>10.0</v>
      </c>
      <c r="C6785" s="7" t="s">
        <v>2033</v>
      </c>
      <c r="D6785" s="7" t="s">
        <v>2333</v>
      </c>
      <c r="E6785" s="5" t="s">
        <v>4052</v>
      </c>
      <c r="F6785" s="7" t="s">
        <v>2315</v>
      </c>
    </row>
    <row r="6786">
      <c r="A6786" s="5" t="s">
        <v>2600</v>
      </c>
      <c r="B6786" s="8">
        <v>10.0</v>
      </c>
      <c r="C6786" s="7" t="s">
        <v>2033</v>
      </c>
      <c r="D6786" s="7" t="s">
        <v>2333</v>
      </c>
      <c r="E6786" s="5" t="s">
        <v>4052</v>
      </c>
      <c r="F6786" s="7" t="s">
        <v>2315</v>
      </c>
    </row>
    <row r="6787">
      <c r="A6787" s="5" t="s">
        <v>3802</v>
      </c>
      <c r="B6787" s="8">
        <v>10.0</v>
      </c>
      <c r="C6787" s="7" t="s">
        <v>2033</v>
      </c>
      <c r="D6787" s="7" t="s">
        <v>2333</v>
      </c>
      <c r="E6787" s="5" t="s">
        <v>4052</v>
      </c>
      <c r="F6787" s="7" t="s">
        <v>4043</v>
      </c>
    </row>
    <row r="6788">
      <c r="A6788" s="5" t="s">
        <v>3090</v>
      </c>
      <c r="B6788" s="8">
        <v>10.0</v>
      </c>
      <c r="C6788" s="7" t="s">
        <v>2033</v>
      </c>
      <c r="D6788" s="7" t="s">
        <v>2333</v>
      </c>
      <c r="E6788" s="5" t="s">
        <v>4052</v>
      </c>
      <c r="F6788" s="7" t="s">
        <v>2314</v>
      </c>
    </row>
    <row r="6789">
      <c r="A6789" s="7" t="s">
        <v>606</v>
      </c>
      <c r="B6789" s="8">
        <v>10.0</v>
      </c>
      <c r="C6789" s="7" t="s">
        <v>2033</v>
      </c>
      <c r="D6789" s="7" t="s">
        <v>2333</v>
      </c>
      <c r="E6789" s="5" t="s">
        <v>4052</v>
      </c>
      <c r="F6789" s="7" t="s">
        <v>2313</v>
      </c>
    </row>
    <row r="6790">
      <c r="A6790" s="5" t="s">
        <v>2602</v>
      </c>
      <c r="B6790" s="8">
        <v>10.0</v>
      </c>
      <c r="C6790" s="7" t="s">
        <v>2033</v>
      </c>
      <c r="D6790" s="7" t="s">
        <v>2333</v>
      </c>
      <c r="E6790" s="5" t="s">
        <v>4052</v>
      </c>
      <c r="F6790" s="7" t="s">
        <v>4043</v>
      </c>
    </row>
    <row r="6791">
      <c r="A6791" s="5" t="s">
        <v>2931</v>
      </c>
      <c r="B6791" s="8">
        <v>10.0</v>
      </c>
      <c r="C6791" s="7" t="s">
        <v>2033</v>
      </c>
      <c r="D6791" s="7" t="s">
        <v>2333</v>
      </c>
      <c r="E6791" s="5" t="s">
        <v>4052</v>
      </c>
      <c r="F6791" s="7" t="s">
        <v>2314</v>
      </c>
    </row>
    <row r="6792">
      <c r="A6792" s="5" t="s">
        <v>2932</v>
      </c>
      <c r="B6792" s="8">
        <v>10.0</v>
      </c>
      <c r="C6792" s="7" t="s">
        <v>2033</v>
      </c>
      <c r="D6792" s="7" t="s">
        <v>2333</v>
      </c>
      <c r="E6792" s="5" t="s">
        <v>4052</v>
      </c>
      <c r="F6792" s="7" t="s">
        <v>4042</v>
      </c>
    </row>
    <row r="6793">
      <c r="A6793" s="5" t="s">
        <v>3091</v>
      </c>
      <c r="B6793" s="8">
        <v>10.0</v>
      </c>
      <c r="C6793" s="7" t="s">
        <v>2033</v>
      </c>
      <c r="D6793" s="7" t="s">
        <v>2333</v>
      </c>
      <c r="E6793" s="5" t="s">
        <v>4052</v>
      </c>
      <c r="F6793" s="7" t="s">
        <v>2316</v>
      </c>
    </row>
    <row r="6794">
      <c r="A6794" s="5" t="s">
        <v>2605</v>
      </c>
      <c r="B6794" s="8">
        <v>10.0</v>
      </c>
      <c r="C6794" s="7" t="s">
        <v>2033</v>
      </c>
      <c r="D6794" s="7" t="s">
        <v>2333</v>
      </c>
      <c r="E6794" s="5" t="s">
        <v>4052</v>
      </c>
      <c r="F6794" s="7" t="s">
        <v>4043</v>
      </c>
    </row>
    <row r="6795">
      <c r="A6795" s="7" t="s">
        <v>1989</v>
      </c>
      <c r="B6795" s="8">
        <v>10.0</v>
      </c>
      <c r="C6795" s="7" t="s">
        <v>2033</v>
      </c>
      <c r="D6795" s="7" t="s">
        <v>2333</v>
      </c>
      <c r="E6795" s="5" t="s">
        <v>4052</v>
      </c>
      <c r="F6795" s="7" t="s">
        <v>2315</v>
      </c>
    </row>
    <row r="6796">
      <c r="A6796" s="5" t="s">
        <v>2606</v>
      </c>
      <c r="B6796" s="8">
        <v>10.0</v>
      </c>
      <c r="C6796" s="7" t="s">
        <v>2033</v>
      </c>
      <c r="D6796" s="7" t="s">
        <v>2333</v>
      </c>
      <c r="E6796" s="5" t="s">
        <v>4052</v>
      </c>
      <c r="F6796" s="7" t="s">
        <v>4043</v>
      </c>
    </row>
    <row r="6797">
      <c r="A6797" s="5" t="s">
        <v>2607</v>
      </c>
      <c r="B6797" s="8">
        <v>10.0</v>
      </c>
      <c r="C6797" s="7" t="s">
        <v>2033</v>
      </c>
      <c r="D6797" s="7" t="s">
        <v>2333</v>
      </c>
      <c r="E6797" s="5" t="s">
        <v>4052</v>
      </c>
      <c r="F6797" s="7" t="s">
        <v>2315</v>
      </c>
    </row>
    <row r="6798">
      <c r="A6798" s="7" t="s">
        <v>1990</v>
      </c>
      <c r="B6798" s="8">
        <v>10.0</v>
      </c>
      <c r="C6798" s="7" t="s">
        <v>2033</v>
      </c>
      <c r="D6798" s="7" t="s">
        <v>2333</v>
      </c>
      <c r="E6798" s="5" t="s">
        <v>4052</v>
      </c>
      <c r="F6798" s="7" t="s">
        <v>4043</v>
      </c>
    </row>
    <row r="6799">
      <c r="A6799" s="5" t="s">
        <v>2935</v>
      </c>
      <c r="B6799" s="8">
        <v>10.0</v>
      </c>
      <c r="C6799" s="7" t="s">
        <v>2033</v>
      </c>
      <c r="D6799" s="7" t="s">
        <v>2333</v>
      </c>
      <c r="E6799" s="5" t="s">
        <v>4052</v>
      </c>
      <c r="F6799" s="7" t="s">
        <v>4042</v>
      </c>
    </row>
    <row r="6800">
      <c r="A6800" s="5" t="s">
        <v>2936</v>
      </c>
      <c r="B6800" s="8">
        <v>10.0</v>
      </c>
      <c r="C6800" s="7" t="s">
        <v>2033</v>
      </c>
      <c r="D6800" s="7" t="s">
        <v>2333</v>
      </c>
      <c r="E6800" s="5" t="s">
        <v>4052</v>
      </c>
      <c r="F6800" s="7" t="s">
        <v>2313</v>
      </c>
    </row>
    <row r="6801">
      <c r="A6801" s="5" t="s">
        <v>2608</v>
      </c>
      <c r="B6801" s="8">
        <v>10.0</v>
      </c>
      <c r="C6801" s="7" t="s">
        <v>2033</v>
      </c>
      <c r="D6801" s="7" t="s">
        <v>2333</v>
      </c>
      <c r="E6801" s="5" t="s">
        <v>4052</v>
      </c>
      <c r="F6801" s="7" t="s">
        <v>2313</v>
      </c>
    </row>
    <row r="6802">
      <c r="A6802" s="5" t="s">
        <v>2609</v>
      </c>
      <c r="B6802" s="8">
        <v>10.0</v>
      </c>
      <c r="C6802" s="7" t="s">
        <v>2033</v>
      </c>
      <c r="D6802" s="7" t="s">
        <v>2333</v>
      </c>
      <c r="E6802" s="5" t="s">
        <v>4052</v>
      </c>
      <c r="F6802" s="7" t="s">
        <v>4042</v>
      </c>
    </row>
    <row r="6803">
      <c r="A6803" s="5" t="s">
        <v>3791</v>
      </c>
      <c r="B6803" s="8">
        <v>10.0</v>
      </c>
      <c r="C6803" s="7" t="s">
        <v>49</v>
      </c>
      <c r="D6803" s="5" t="s">
        <v>4053</v>
      </c>
      <c r="E6803" s="5" t="s">
        <v>4054</v>
      </c>
      <c r="F6803" s="5" t="s">
        <v>2337</v>
      </c>
    </row>
    <row r="6804">
      <c r="A6804" s="7" t="s">
        <v>188</v>
      </c>
      <c r="B6804" s="8">
        <v>10.0</v>
      </c>
      <c r="C6804" s="7" t="s">
        <v>49</v>
      </c>
      <c r="D6804" s="5" t="s">
        <v>4053</v>
      </c>
      <c r="E6804" s="5" t="s">
        <v>4054</v>
      </c>
      <c r="F6804" s="5" t="s">
        <v>4055</v>
      </c>
    </row>
    <row r="6805">
      <c r="A6805" s="5" t="s">
        <v>2924</v>
      </c>
      <c r="B6805" s="8">
        <v>10.0</v>
      </c>
      <c r="C6805" s="7" t="s">
        <v>49</v>
      </c>
      <c r="D6805" s="5" t="s">
        <v>4053</v>
      </c>
      <c r="E6805" s="5" t="s">
        <v>4054</v>
      </c>
      <c r="F6805" s="5" t="s">
        <v>2339</v>
      </c>
    </row>
    <row r="6806">
      <c r="A6806" s="5" t="s">
        <v>2925</v>
      </c>
      <c r="B6806" s="8">
        <v>10.0</v>
      </c>
      <c r="C6806" s="7" t="s">
        <v>49</v>
      </c>
      <c r="D6806" s="5" t="s">
        <v>4053</v>
      </c>
      <c r="E6806" s="5" t="s">
        <v>4054</v>
      </c>
      <c r="F6806" s="5" t="s">
        <v>2337</v>
      </c>
    </row>
    <row r="6807">
      <c r="A6807" s="5" t="s">
        <v>3086</v>
      </c>
      <c r="B6807" s="8">
        <v>10.0</v>
      </c>
      <c r="C6807" s="7" t="s">
        <v>49</v>
      </c>
      <c r="D6807" s="5" t="s">
        <v>4053</v>
      </c>
      <c r="E6807" s="5" t="s">
        <v>4054</v>
      </c>
      <c r="F6807" s="5" t="s">
        <v>2337</v>
      </c>
    </row>
    <row r="6808">
      <c r="A6808" s="5" t="s">
        <v>4037</v>
      </c>
      <c r="B6808" s="8">
        <v>10.0</v>
      </c>
      <c r="C6808" s="7" t="s">
        <v>49</v>
      </c>
      <c r="D6808" s="5" t="s">
        <v>4053</v>
      </c>
      <c r="E6808" s="5" t="s">
        <v>4054</v>
      </c>
      <c r="F6808" s="5" t="s">
        <v>2337</v>
      </c>
    </row>
    <row r="6809">
      <c r="A6809" s="7" t="s">
        <v>2319</v>
      </c>
      <c r="B6809" s="8">
        <v>10.0</v>
      </c>
      <c r="C6809" s="7" t="s">
        <v>49</v>
      </c>
      <c r="D6809" s="5" t="s">
        <v>4053</v>
      </c>
      <c r="E6809" s="5" t="s">
        <v>4054</v>
      </c>
      <c r="F6809" s="5" t="s">
        <v>2337</v>
      </c>
    </row>
    <row r="6810">
      <c r="A6810" s="5" t="s">
        <v>3795</v>
      </c>
      <c r="B6810" s="8">
        <v>10.0</v>
      </c>
      <c r="C6810" s="7" t="s">
        <v>49</v>
      </c>
      <c r="D6810" s="5" t="s">
        <v>4053</v>
      </c>
      <c r="E6810" s="5" t="s">
        <v>4054</v>
      </c>
      <c r="F6810" s="5" t="s">
        <v>2337</v>
      </c>
    </row>
    <row r="6811">
      <c r="A6811" s="7" t="s">
        <v>868</v>
      </c>
      <c r="B6811" s="8">
        <v>10.0</v>
      </c>
      <c r="C6811" s="7" t="s">
        <v>49</v>
      </c>
      <c r="D6811" s="5" t="s">
        <v>4053</v>
      </c>
      <c r="E6811" s="5" t="s">
        <v>4054</v>
      </c>
      <c r="F6811" s="5" t="s">
        <v>2337</v>
      </c>
    </row>
    <row r="6812">
      <c r="A6812" s="5" t="s">
        <v>3087</v>
      </c>
      <c r="B6812" s="8">
        <v>10.0</v>
      </c>
      <c r="C6812" s="7" t="s">
        <v>49</v>
      </c>
      <c r="D6812" s="5" t="s">
        <v>4053</v>
      </c>
      <c r="E6812" s="5" t="s">
        <v>4054</v>
      </c>
      <c r="F6812" s="5" t="s">
        <v>2340</v>
      </c>
    </row>
    <row r="6813">
      <c r="A6813" s="5" t="s">
        <v>3088</v>
      </c>
      <c r="B6813" s="8">
        <v>10.0</v>
      </c>
      <c r="C6813" s="7" t="s">
        <v>49</v>
      </c>
      <c r="D6813" s="5" t="s">
        <v>4053</v>
      </c>
      <c r="E6813" s="5" t="s">
        <v>4054</v>
      </c>
      <c r="F6813" s="5" t="s">
        <v>2337</v>
      </c>
    </row>
    <row r="6814">
      <c r="A6814" s="5" t="s">
        <v>3388</v>
      </c>
      <c r="B6814" s="8">
        <v>10.0</v>
      </c>
      <c r="C6814" s="7" t="s">
        <v>49</v>
      </c>
      <c r="D6814" s="5" t="s">
        <v>4053</v>
      </c>
      <c r="E6814" s="5" t="s">
        <v>4054</v>
      </c>
      <c r="F6814" s="5" t="s">
        <v>2337</v>
      </c>
    </row>
    <row r="6815">
      <c r="A6815" s="5" t="s">
        <v>2927</v>
      </c>
      <c r="B6815" s="8">
        <v>10.0</v>
      </c>
      <c r="C6815" s="7" t="s">
        <v>49</v>
      </c>
      <c r="D6815" s="5" t="s">
        <v>4053</v>
      </c>
      <c r="E6815" s="5" t="s">
        <v>4054</v>
      </c>
      <c r="F6815" s="5" t="s">
        <v>2339</v>
      </c>
    </row>
    <row r="6816">
      <c r="A6816" s="5" t="s">
        <v>3089</v>
      </c>
      <c r="B6816" s="8">
        <v>10.0</v>
      </c>
      <c r="C6816" s="7" t="s">
        <v>49</v>
      </c>
      <c r="D6816" s="5" t="s">
        <v>4053</v>
      </c>
      <c r="E6816" s="5" t="s">
        <v>4054</v>
      </c>
      <c r="F6816" s="5" t="s">
        <v>4056</v>
      </c>
    </row>
    <row r="6817">
      <c r="A6817" s="5" t="s">
        <v>2928</v>
      </c>
      <c r="B6817" s="8">
        <v>10.0</v>
      </c>
      <c r="C6817" s="7" t="s">
        <v>49</v>
      </c>
      <c r="D6817" s="5" t="s">
        <v>4053</v>
      </c>
      <c r="E6817" s="5" t="s">
        <v>4054</v>
      </c>
      <c r="F6817" s="5" t="s">
        <v>2339</v>
      </c>
    </row>
    <row r="6818">
      <c r="A6818" s="7" t="s">
        <v>603</v>
      </c>
      <c r="B6818" s="8">
        <v>10.0</v>
      </c>
      <c r="C6818" s="7" t="s">
        <v>49</v>
      </c>
      <c r="D6818" s="5" t="s">
        <v>4053</v>
      </c>
      <c r="E6818" s="5" t="s">
        <v>4054</v>
      </c>
      <c r="F6818" s="5" t="s">
        <v>2342</v>
      </c>
    </row>
    <row r="6819">
      <c r="A6819" s="5" t="s">
        <v>2929</v>
      </c>
      <c r="B6819" s="8">
        <v>10.0</v>
      </c>
      <c r="C6819" s="7" t="s">
        <v>49</v>
      </c>
      <c r="D6819" s="5" t="s">
        <v>4053</v>
      </c>
      <c r="E6819" s="5" t="s">
        <v>4054</v>
      </c>
      <c r="F6819" s="5" t="s">
        <v>2044</v>
      </c>
    </row>
    <row r="6820">
      <c r="A6820" s="5" t="s">
        <v>2702</v>
      </c>
      <c r="B6820" s="8">
        <v>10.0</v>
      </c>
      <c r="C6820" s="7" t="s">
        <v>49</v>
      </c>
      <c r="D6820" s="5" t="s">
        <v>4053</v>
      </c>
      <c r="E6820" s="5" t="s">
        <v>4054</v>
      </c>
      <c r="F6820" s="5" t="s">
        <v>2337</v>
      </c>
    </row>
    <row r="6821">
      <c r="A6821" s="5" t="s">
        <v>2930</v>
      </c>
      <c r="B6821" s="8">
        <v>10.0</v>
      </c>
      <c r="C6821" s="7" t="s">
        <v>49</v>
      </c>
      <c r="D6821" s="5" t="s">
        <v>4053</v>
      </c>
      <c r="E6821" s="5" t="s">
        <v>4054</v>
      </c>
      <c r="F6821" s="5" t="s">
        <v>2339</v>
      </c>
    </row>
    <row r="6822">
      <c r="A6822" s="5" t="s">
        <v>2600</v>
      </c>
      <c r="B6822" s="8">
        <v>10.0</v>
      </c>
      <c r="C6822" s="7" t="s">
        <v>49</v>
      </c>
      <c r="D6822" s="5" t="s">
        <v>4053</v>
      </c>
      <c r="E6822" s="5" t="s">
        <v>4054</v>
      </c>
      <c r="F6822" s="5" t="s">
        <v>4056</v>
      </c>
    </row>
    <row r="6823">
      <c r="A6823" s="5" t="s">
        <v>3802</v>
      </c>
      <c r="B6823" s="8">
        <v>10.0</v>
      </c>
      <c r="C6823" s="7" t="s">
        <v>49</v>
      </c>
      <c r="D6823" s="5" t="s">
        <v>4053</v>
      </c>
      <c r="E6823" s="5" t="s">
        <v>4054</v>
      </c>
      <c r="F6823" s="5" t="s">
        <v>2337</v>
      </c>
    </row>
    <row r="6824">
      <c r="A6824" s="5" t="s">
        <v>3090</v>
      </c>
      <c r="B6824" s="8">
        <v>10.0</v>
      </c>
      <c r="C6824" s="7" t="s">
        <v>49</v>
      </c>
      <c r="D6824" s="5" t="s">
        <v>4053</v>
      </c>
      <c r="E6824" s="5" t="s">
        <v>4054</v>
      </c>
      <c r="F6824" s="5" t="s">
        <v>2343</v>
      </c>
    </row>
    <row r="6825">
      <c r="A6825" s="7" t="s">
        <v>606</v>
      </c>
      <c r="B6825" s="8">
        <v>10.0</v>
      </c>
      <c r="C6825" s="7" t="s">
        <v>49</v>
      </c>
      <c r="D6825" s="5" t="s">
        <v>4053</v>
      </c>
      <c r="E6825" s="5" t="s">
        <v>4054</v>
      </c>
      <c r="F6825" s="5" t="s">
        <v>2339</v>
      </c>
    </row>
    <row r="6826">
      <c r="A6826" s="5" t="s">
        <v>2602</v>
      </c>
      <c r="B6826" s="8">
        <v>10.0</v>
      </c>
      <c r="C6826" s="7" t="s">
        <v>49</v>
      </c>
      <c r="D6826" s="5" t="s">
        <v>4053</v>
      </c>
      <c r="E6826" s="5" t="s">
        <v>4054</v>
      </c>
      <c r="F6826" s="5" t="s">
        <v>2339</v>
      </c>
    </row>
    <row r="6827">
      <c r="A6827" s="5" t="s">
        <v>2931</v>
      </c>
      <c r="B6827" s="8">
        <v>10.0</v>
      </c>
      <c r="C6827" s="7" t="s">
        <v>49</v>
      </c>
      <c r="D6827" s="5" t="s">
        <v>4053</v>
      </c>
      <c r="E6827" s="5" t="s">
        <v>4054</v>
      </c>
      <c r="F6827" s="5" t="s">
        <v>2337</v>
      </c>
    </row>
    <row r="6828">
      <c r="A6828" s="5" t="s">
        <v>2932</v>
      </c>
      <c r="B6828" s="8">
        <v>10.0</v>
      </c>
      <c r="C6828" s="7" t="s">
        <v>49</v>
      </c>
      <c r="D6828" s="5" t="s">
        <v>4053</v>
      </c>
      <c r="E6828" s="5" t="s">
        <v>4054</v>
      </c>
      <c r="F6828" s="5" t="s">
        <v>2337</v>
      </c>
    </row>
    <row r="6829">
      <c r="A6829" s="5" t="s">
        <v>3091</v>
      </c>
      <c r="B6829" s="8">
        <v>10.0</v>
      </c>
      <c r="C6829" s="7" t="s">
        <v>49</v>
      </c>
      <c r="D6829" s="5" t="s">
        <v>4053</v>
      </c>
      <c r="E6829" s="5" t="s">
        <v>4054</v>
      </c>
      <c r="F6829" s="5" t="s">
        <v>2337</v>
      </c>
    </row>
    <row r="6830">
      <c r="A6830" s="5" t="s">
        <v>2605</v>
      </c>
      <c r="B6830" s="8">
        <v>10.0</v>
      </c>
      <c r="C6830" s="7" t="s">
        <v>49</v>
      </c>
      <c r="D6830" s="5" t="s">
        <v>4053</v>
      </c>
      <c r="E6830" s="5" t="s">
        <v>4054</v>
      </c>
      <c r="F6830" s="5" t="s">
        <v>2337</v>
      </c>
    </row>
    <row r="6831">
      <c r="A6831" s="7" t="s">
        <v>1989</v>
      </c>
      <c r="B6831" s="8">
        <v>10.0</v>
      </c>
      <c r="C6831" s="7" t="s">
        <v>49</v>
      </c>
      <c r="D6831" s="5" t="s">
        <v>4053</v>
      </c>
      <c r="E6831" s="5" t="s">
        <v>4054</v>
      </c>
      <c r="F6831" s="5" t="s">
        <v>2337</v>
      </c>
    </row>
    <row r="6832">
      <c r="A6832" s="5" t="s">
        <v>2606</v>
      </c>
      <c r="B6832" s="8">
        <v>10.0</v>
      </c>
      <c r="C6832" s="7" t="s">
        <v>49</v>
      </c>
      <c r="D6832" s="5" t="s">
        <v>4053</v>
      </c>
      <c r="E6832" s="5" t="s">
        <v>4054</v>
      </c>
      <c r="F6832" s="5" t="s">
        <v>2339</v>
      </c>
    </row>
    <row r="6833">
      <c r="A6833" s="5" t="s">
        <v>2607</v>
      </c>
      <c r="B6833" s="8">
        <v>10.0</v>
      </c>
      <c r="C6833" s="7" t="s">
        <v>49</v>
      </c>
      <c r="D6833" s="5" t="s">
        <v>4053</v>
      </c>
      <c r="E6833" s="5" t="s">
        <v>4054</v>
      </c>
      <c r="F6833" s="5" t="s">
        <v>2339</v>
      </c>
    </row>
    <row r="6834">
      <c r="A6834" s="7" t="s">
        <v>1990</v>
      </c>
      <c r="B6834" s="8">
        <v>10.0</v>
      </c>
      <c r="C6834" s="7" t="s">
        <v>49</v>
      </c>
      <c r="D6834" s="5" t="s">
        <v>4053</v>
      </c>
      <c r="E6834" s="5" t="s">
        <v>4054</v>
      </c>
      <c r="F6834" s="5" t="s">
        <v>2337</v>
      </c>
    </row>
    <row r="6835">
      <c r="A6835" s="5" t="s">
        <v>2935</v>
      </c>
      <c r="B6835" s="8">
        <v>10.0</v>
      </c>
      <c r="C6835" s="7" t="s">
        <v>49</v>
      </c>
      <c r="D6835" s="5" t="s">
        <v>4053</v>
      </c>
      <c r="E6835" s="5" t="s">
        <v>4054</v>
      </c>
      <c r="F6835" s="5" t="s">
        <v>4057</v>
      </c>
    </row>
    <row r="6836">
      <c r="A6836" s="5" t="s">
        <v>2936</v>
      </c>
      <c r="B6836" s="8">
        <v>10.0</v>
      </c>
      <c r="C6836" s="7" t="s">
        <v>49</v>
      </c>
      <c r="D6836" s="5" t="s">
        <v>4053</v>
      </c>
      <c r="E6836" s="5" t="s">
        <v>4054</v>
      </c>
      <c r="F6836" s="5" t="s">
        <v>2339</v>
      </c>
    </row>
    <row r="6837">
      <c r="A6837" s="5" t="s">
        <v>2608</v>
      </c>
      <c r="B6837" s="8">
        <v>10.0</v>
      </c>
      <c r="C6837" s="7" t="s">
        <v>49</v>
      </c>
      <c r="D6837" s="5" t="s">
        <v>4053</v>
      </c>
      <c r="E6837" s="5" t="s">
        <v>4054</v>
      </c>
      <c r="F6837" s="5" t="s">
        <v>2339</v>
      </c>
    </row>
    <row r="6838">
      <c r="A6838" s="5" t="s">
        <v>2609</v>
      </c>
      <c r="B6838" s="8">
        <v>10.0</v>
      </c>
      <c r="C6838" s="7" t="s">
        <v>49</v>
      </c>
      <c r="D6838" s="5" t="s">
        <v>4053</v>
      </c>
      <c r="E6838" s="5" t="s">
        <v>4054</v>
      </c>
      <c r="F6838" s="5" t="s">
        <v>2339</v>
      </c>
    </row>
    <row r="6839">
      <c r="A6839" s="5" t="s">
        <v>3791</v>
      </c>
      <c r="B6839" s="8">
        <v>10.0</v>
      </c>
      <c r="C6839" s="7" t="s">
        <v>437</v>
      </c>
      <c r="D6839" s="7" t="s">
        <v>2345</v>
      </c>
      <c r="E6839" s="5" t="s">
        <v>4058</v>
      </c>
      <c r="F6839" s="5" t="s">
        <v>2347</v>
      </c>
    </row>
    <row r="6840">
      <c r="A6840" s="7" t="s">
        <v>188</v>
      </c>
      <c r="B6840" s="8">
        <v>10.0</v>
      </c>
      <c r="C6840" s="7" t="s">
        <v>437</v>
      </c>
      <c r="D6840" s="7" t="s">
        <v>2345</v>
      </c>
      <c r="E6840" s="5" t="s">
        <v>4058</v>
      </c>
      <c r="F6840" s="5" t="s">
        <v>2347</v>
      </c>
    </row>
    <row r="6841">
      <c r="A6841" s="5" t="s">
        <v>2924</v>
      </c>
      <c r="B6841" s="8">
        <v>10.0</v>
      </c>
      <c r="C6841" s="7" t="s">
        <v>437</v>
      </c>
      <c r="D6841" s="7" t="s">
        <v>2345</v>
      </c>
      <c r="E6841" s="5" t="s">
        <v>4058</v>
      </c>
      <c r="F6841" s="5" t="s">
        <v>2348</v>
      </c>
    </row>
    <row r="6842">
      <c r="A6842" s="5" t="s">
        <v>2925</v>
      </c>
      <c r="B6842" s="8">
        <v>10.0</v>
      </c>
      <c r="C6842" s="7" t="s">
        <v>437</v>
      </c>
      <c r="D6842" s="7" t="s">
        <v>2345</v>
      </c>
      <c r="E6842" s="5" t="s">
        <v>4058</v>
      </c>
      <c r="F6842" s="5" t="s">
        <v>2349</v>
      </c>
    </row>
    <row r="6843">
      <c r="A6843" s="5" t="s">
        <v>3086</v>
      </c>
      <c r="B6843" s="8">
        <v>10.0</v>
      </c>
      <c r="C6843" s="7" t="s">
        <v>437</v>
      </c>
      <c r="D6843" s="7" t="s">
        <v>2345</v>
      </c>
      <c r="E6843" s="5" t="s">
        <v>4058</v>
      </c>
      <c r="F6843" s="5" t="s">
        <v>2347</v>
      </c>
    </row>
    <row r="6844">
      <c r="A6844" s="5" t="s">
        <v>4037</v>
      </c>
      <c r="B6844" s="8">
        <v>10.0</v>
      </c>
      <c r="C6844" s="7" t="s">
        <v>437</v>
      </c>
      <c r="D6844" s="7" t="s">
        <v>2345</v>
      </c>
      <c r="E6844" s="5" t="s">
        <v>4058</v>
      </c>
      <c r="F6844" s="5" t="s">
        <v>2347</v>
      </c>
    </row>
    <row r="6845">
      <c r="A6845" s="7" t="s">
        <v>2319</v>
      </c>
      <c r="B6845" s="8">
        <v>10.0</v>
      </c>
      <c r="C6845" s="7" t="s">
        <v>437</v>
      </c>
      <c r="D6845" s="7" t="s">
        <v>2345</v>
      </c>
      <c r="E6845" s="5" t="s">
        <v>4058</v>
      </c>
      <c r="F6845" s="5" t="s">
        <v>2347</v>
      </c>
    </row>
    <row r="6846">
      <c r="A6846" s="5" t="s">
        <v>3795</v>
      </c>
      <c r="B6846" s="8">
        <v>10.0</v>
      </c>
      <c r="C6846" s="7" t="s">
        <v>437</v>
      </c>
      <c r="D6846" s="7" t="s">
        <v>2345</v>
      </c>
      <c r="E6846" s="5" t="s">
        <v>4058</v>
      </c>
      <c r="F6846" s="5" t="s">
        <v>2347</v>
      </c>
    </row>
    <row r="6847">
      <c r="A6847" s="7" t="s">
        <v>868</v>
      </c>
      <c r="B6847" s="8">
        <v>10.0</v>
      </c>
      <c r="C6847" s="7" t="s">
        <v>437</v>
      </c>
      <c r="D6847" s="7" t="s">
        <v>2345</v>
      </c>
      <c r="E6847" s="5" t="s">
        <v>4058</v>
      </c>
      <c r="F6847" s="5" t="s">
        <v>2347</v>
      </c>
    </row>
    <row r="6848">
      <c r="A6848" s="5" t="s">
        <v>3087</v>
      </c>
      <c r="B6848" s="8">
        <v>10.0</v>
      </c>
      <c r="C6848" s="7" t="s">
        <v>437</v>
      </c>
      <c r="D6848" s="7" t="s">
        <v>2345</v>
      </c>
      <c r="E6848" s="5" t="s">
        <v>4058</v>
      </c>
      <c r="F6848" s="5" t="s">
        <v>2350</v>
      </c>
    </row>
    <row r="6849">
      <c r="A6849" s="5" t="s">
        <v>3088</v>
      </c>
      <c r="B6849" s="8">
        <v>10.0</v>
      </c>
      <c r="C6849" s="7" t="s">
        <v>437</v>
      </c>
      <c r="D6849" s="7" t="s">
        <v>2345</v>
      </c>
      <c r="E6849" s="5" t="s">
        <v>4058</v>
      </c>
      <c r="F6849" s="5" t="s">
        <v>2347</v>
      </c>
    </row>
    <row r="6850">
      <c r="A6850" s="5" t="s">
        <v>3388</v>
      </c>
      <c r="B6850" s="8">
        <v>10.0</v>
      </c>
      <c r="C6850" s="7" t="s">
        <v>437</v>
      </c>
      <c r="D6850" s="7" t="s">
        <v>2345</v>
      </c>
      <c r="E6850" s="5" t="s">
        <v>4058</v>
      </c>
      <c r="F6850" s="5" t="s">
        <v>2347</v>
      </c>
    </row>
    <row r="6851">
      <c r="A6851" s="5" t="s">
        <v>2927</v>
      </c>
      <c r="B6851" s="8">
        <v>10.0</v>
      </c>
      <c r="C6851" s="7" t="s">
        <v>437</v>
      </c>
      <c r="D6851" s="7" t="s">
        <v>2345</v>
      </c>
      <c r="E6851" s="5" t="s">
        <v>4058</v>
      </c>
      <c r="F6851" s="5" t="s">
        <v>2348</v>
      </c>
    </row>
    <row r="6852">
      <c r="A6852" s="5" t="s">
        <v>3089</v>
      </c>
      <c r="B6852" s="8">
        <v>10.0</v>
      </c>
      <c r="C6852" s="7" t="s">
        <v>437</v>
      </c>
      <c r="D6852" s="7" t="s">
        <v>2345</v>
      </c>
      <c r="E6852" s="5" t="s">
        <v>4058</v>
      </c>
      <c r="F6852" s="5" t="s">
        <v>4059</v>
      </c>
    </row>
    <row r="6853">
      <c r="A6853" s="5" t="s">
        <v>2928</v>
      </c>
      <c r="B6853" s="8">
        <v>10.0</v>
      </c>
      <c r="C6853" s="7" t="s">
        <v>437</v>
      </c>
      <c r="D6853" s="7" t="s">
        <v>2345</v>
      </c>
      <c r="E6853" s="5" t="s">
        <v>4058</v>
      </c>
      <c r="F6853" s="5" t="s">
        <v>2348</v>
      </c>
    </row>
    <row r="6854">
      <c r="A6854" s="7" t="s">
        <v>603</v>
      </c>
      <c r="B6854" s="8">
        <v>10.0</v>
      </c>
      <c r="C6854" s="7" t="s">
        <v>437</v>
      </c>
      <c r="D6854" s="7" t="s">
        <v>2345</v>
      </c>
      <c r="E6854" s="5" t="s">
        <v>4058</v>
      </c>
      <c r="F6854" s="5" t="s">
        <v>2352</v>
      </c>
    </row>
    <row r="6855">
      <c r="A6855" s="5" t="s">
        <v>2929</v>
      </c>
      <c r="B6855" s="8">
        <v>10.0</v>
      </c>
      <c r="C6855" s="7" t="s">
        <v>437</v>
      </c>
      <c r="D6855" s="7" t="s">
        <v>2345</v>
      </c>
      <c r="E6855" s="5" t="s">
        <v>4058</v>
      </c>
      <c r="F6855" s="4" t="s">
        <v>2353</v>
      </c>
    </row>
    <row r="6856">
      <c r="A6856" s="5" t="s">
        <v>2702</v>
      </c>
      <c r="B6856" s="8">
        <v>10.0</v>
      </c>
      <c r="C6856" s="7" t="s">
        <v>437</v>
      </c>
      <c r="D6856" s="7" t="s">
        <v>2345</v>
      </c>
      <c r="E6856" s="5" t="s">
        <v>4058</v>
      </c>
      <c r="F6856" s="5" t="s">
        <v>2347</v>
      </c>
    </row>
    <row r="6857">
      <c r="A6857" s="5" t="s">
        <v>2930</v>
      </c>
      <c r="B6857" s="8">
        <v>10.0</v>
      </c>
      <c r="C6857" s="7" t="s">
        <v>437</v>
      </c>
      <c r="D6857" s="7" t="s">
        <v>2345</v>
      </c>
      <c r="E6857" s="5" t="s">
        <v>4058</v>
      </c>
      <c r="F6857" s="5" t="s">
        <v>2348</v>
      </c>
    </row>
    <row r="6858">
      <c r="A6858" s="5" t="s">
        <v>2600</v>
      </c>
      <c r="B6858" s="8">
        <v>10.0</v>
      </c>
      <c r="C6858" s="7" t="s">
        <v>437</v>
      </c>
      <c r="D6858" s="7" t="s">
        <v>2345</v>
      </c>
      <c r="E6858" s="5" t="s">
        <v>4058</v>
      </c>
      <c r="F6858" s="5" t="s">
        <v>4059</v>
      </c>
    </row>
    <row r="6859">
      <c r="A6859" s="5" t="s">
        <v>3802</v>
      </c>
      <c r="B6859" s="8">
        <v>10.0</v>
      </c>
      <c r="C6859" s="7" t="s">
        <v>437</v>
      </c>
      <c r="D6859" s="7" t="s">
        <v>2345</v>
      </c>
      <c r="E6859" s="5" t="s">
        <v>4058</v>
      </c>
      <c r="F6859" s="5" t="s">
        <v>2347</v>
      </c>
    </row>
    <row r="6860">
      <c r="A6860" s="5" t="s">
        <v>3090</v>
      </c>
      <c r="B6860" s="8">
        <v>10.0</v>
      </c>
      <c r="C6860" s="7" t="s">
        <v>437</v>
      </c>
      <c r="D6860" s="7" t="s">
        <v>2345</v>
      </c>
      <c r="E6860" s="5" t="s">
        <v>4058</v>
      </c>
      <c r="F6860" s="5" t="s">
        <v>2354</v>
      </c>
    </row>
    <row r="6861">
      <c r="A6861" s="7" t="s">
        <v>606</v>
      </c>
      <c r="B6861" s="8">
        <v>10.0</v>
      </c>
      <c r="C6861" s="7" t="s">
        <v>437</v>
      </c>
      <c r="D6861" s="7" t="s">
        <v>2345</v>
      </c>
      <c r="E6861" s="5" t="s">
        <v>4058</v>
      </c>
      <c r="F6861" s="5" t="s">
        <v>2348</v>
      </c>
    </row>
    <row r="6862">
      <c r="A6862" s="5" t="s">
        <v>2602</v>
      </c>
      <c r="B6862" s="8">
        <v>10.0</v>
      </c>
      <c r="C6862" s="7" t="s">
        <v>437</v>
      </c>
      <c r="D6862" s="7" t="s">
        <v>2345</v>
      </c>
      <c r="E6862" s="5" t="s">
        <v>4058</v>
      </c>
      <c r="F6862" s="5" t="s">
        <v>2348</v>
      </c>
    </row>
    <row r="6863">
      <c r="A6863" s="5" t="s">
        <v>2931</v>
      </c>
      <c r="B6863" s="8">
        <v>10.0</v>
      </c>
      <c r="C6863" s="7" t="s">
        <v>437</v>
      </c>
      <c r="D6863" s="7" t="s">
        <v>2345</v>
      </c>
      <c r="E6863" s="5" t="s">
        <v>4058</v>
      </c>
      <c r="F6863" s="5" t="s">
        <v>2347</v>
      </c>
    </row>
    <row r="6864">
      <c r="A6864" s="5" t="s">
        <v>2932</v>
      </c>
      <c r="B6864" s="8">
        <v>10.0</v>
      </c>
      <c r="C6864" s="7" t="s">
        <v>437</v>
      </c>
      <c r="D6864" s="7" t="s">
        <v>2345</v>
      </c>
      <c r="E6864" s="5" t="s">
        <v>4058</v>
      </c>
      <c r="F6864" s="5" t="s">
        <v>2347</v>
      </c>
    </row>
    <row r="6865">
      <c r="A6865" s="5" t="s">
        <v>3091</v>
      </c>
      <c r="B6865" s="8">
        <v>10.0</v>
      </c>
      <c r="C6865" s="7" t="s">
        <v>437</v>
      </c>
      <c r="D6865" s="7" t="s">
        <v>2345</v>
      </c>
      <c r="E6865" s="5" t="s">
        <v>4058</v>
      </c>
      <c r="F6865" s="5" t="s">
        <v>2355</v>
      </c>
    </row>
    <row r="6866">
      <c r="A6866" s="5" t="s">
        <v>2605</v>
      </c>
      <c r="B6866" s="8">
        <v>10.0</v>
      </c>
      <c r="C6866" s="7" t="s">
        <v>437</v>
      </c>
      <c r="D6866" s="7" t="s">
        <v>2345</v>
      </c>
      <c r="E6866" s="5" t="s">
        <v>4058</v>
      </c>
      <c r="F6866" s="5" t="s">
        <v>2348</v>
      </c>
    </row>
    <row r="6867">
      <c r="A6867" s="7" t="s">
        <v>1989</v>
      </c>
      <c r="B6867" s="8">
        <v>10.0</v>
      </c>
      <c r="C6867" s="7" t="s">
        <v>437</v>
      </c>
      <c r="D6867" s="7" t="s">
        <v>2345</v>
      </c>
      <c r="E6867" s="5" t="s">
        <v>4058</v>
      </c>
      <c r="F6867" s="5" t="s">
        <v>2347</v>
      </c>
    </row>
    <row r="6868">
      <c r="A6868" s="5" t="s">
        <v>2606</v>
      </c>
      <c r="B6868" s="8">
        <v>10.0</v>
      </c>
      <c r="C6868" s="7" t="s">
        <v>437</v>
      </c>
      <c r="D6868" s="7" t="s">
        <v>2345</v>
      </c>
      <c r="E6868" s="5" t="s">
        <v>4058</v>
      </c>
      <c r="F6868" s="5" t="s">
        <v>2348</v>
      </c>
    </row>
    <row r="6869">
      <c r="A6869" s="5" t="s">
        <v>2607</v>
      </c>
      <c r="B6869" s="8">
        <v>10.0</v>
      </c>
      <c r="C6869" s="7" t="s">
        <v>437</v>
      </c>
      <c r="D6869" s="7" t="s">
        <v>2345</v>
      </c>
      <c r="E6869" s="5" t="s">
        <v>4058</v>
      </c>
      <c r="F6869" s="5" t="s">
        <v>2356</v>
      </c>
    </row>
    <row r="6870">
      <c r="A6870" s="7" t="s">
        <v>1990</v>
      </c>
      <c r="B6870" s="8">
        <v>10.0</v>
      </c>
      <c r="C6870" s="7" t="s">
        <v>437</v>
      </c>
      <c r="D6870" s="7" t="s">
        <v>2345</v>
      </c>
      <c r="E6870" s="5" t="s">
        <v>4058</v>
      </c>
      <c r="F6870" s="5" t="s">
        <v>2347</v>
      </c>
    </row>
    <row r="6871">
      <c r="A6871" s="5" t="s">
        <v>2935</v>
      </c>
      <c r="B6871" s="8">
        <v>10.0</v>
      </c>
      <c r="C6871" s="7" t="s">
        <v>437</v>
      </c>
      <c r="D6871" s="7" t="s">
        <v>2345</v>
      </c>
      <c r="E6871" s="5" t="s">
        <v>4058</v>
      </c>
      <c r="F6871" s="5" t="s">
        <v>4060</v>
      </c>
    </row>
    <row r="6872">
      <c r="A6872" s="5" t="s">
        <v>2936</v>
      </c>
      <c r="B6872" s="8">
        <v>10.0</v>
      </c>
      <c r="C6872" s="7" t="s">
        <v>437</v>
      </c>
      <c r="D6872" s="7" t="s">
        <v>2345</v>
      </c>
      <c r="E6872" s="5" t="s">
        <v>4058</v>
      </c>
      <c r="F6872" s="5" t="s">
        <v>2348</v>
      </c>
    </row>
    <row r="6873">
      <c r="A6873" s="5" t="s">
        <v>2608</v>
      </c>
      <c r="B6873" s="8">
        <v>10.0</v>
      </c>
      <c r="C6873" s="7" t="s">
        <v>437</v>
      </c>
      <c r="D6873" s="7" t="s">
        <v>2345</v>
      </c>
      <c r="E6873" s="5" t="s">
        <v>4058</v>
      </c>
      <c r="F6873" s="5" t="s">
        <v>2348</v>
      </c>
    </row>
    <row r="6874">
      <c r="A6874" s="5" t="s">
        <v>2609</v>
      </c>
      <c r="B6874" s="8">
        <v>10.0</v>
      </c>
      <c r="C6874" s="7" t="s">
        <v>437</v>
      </c>
      <c r="D6874" s="7" t="s">
        <v>2345</v>
      </c>
      <c r="E6874" s="5" t="s">
        <v>4058</v>
      </c>
      <c r="F6874" s="5" t="s">
        <v>2348</v>
      </c>
    </row>
    <row r="6875">
      <c r="A6875" s="5" t="s">
        <v>3791</v>
      </c>
      <c r="B6875" s="8">
        <v>10.0</v>
      </c>
      <c r="C6875" s="7" t="s">
        <v>223</v>
      </c>
      <c r="D6875" s="7" t="s">
        <v>2358</v>
      </c>
      <c r="E6875" s="5" t="s">
        <v>3835</v>
      </c>
      <c r="F6875" s="7" t="s">
        <v>47</v>
      </c>
    </row>
    <row r="6876">
      <c r="A6876" s="7" t="s">
        <v>188</v>
      </c>
      <c r="B6876" s="8">
        <v>10.0</v>
      </c>
      <c r="C6876" s="7" t="s">
        <v>223</v>
      </c>
      <c r="D6876" s="7" t="s">
        <v>2358</v>
      </c>
      <c r="E6876" s="5" t="s">
        <v>3835</v>
      </c>
      <c r="F6876" s="7" t="s">
        <v>47</v>
      </c>
    </row>
    <row r="6877">
      <c r="A6877" s="5" t="s">
        <v>2924</v>
      </c>
      <c r="B6877" s="8">
        <v>10.0</v>
      </c>
      <c r="C6877" s="7" t="s">
        <v>223</v>
      </c>
      <c r="D6877" s="7" t="s">
        <v>2358</v>
      </c>
      <c r="E6877" s="5" t="s">
        <v>3835</v>
      </c>
      <c r="F6877" s="7" t="s">
        <v>47</v>
      </c>
    </row>
    <row r="6878">
      <c r="A6878" s="5" t="s">
        <v>2925</v>
      </c>
      <c r="B6878" s="8">
        <v>10.0</v>
      </c>
      <c r="C6878" s="7" t="s">
        <v>223</v>
      </c>
      <c r="D6878" s="7" t="s">
        <v>2358</v>
      </c>
      <c r="E6878" s="5" t="s">
        <v>3835</v>
      </c>
      <c r="F6878" s="7" t="s">
        <v>47</v>
      </c>
    </row>
    <row r="6879">
      <c r="A6879" s="5" t="s">
        <v>3086</v>
      </c>
      <c r="B6879" s="8">
        <v>10.0</v>
      </c>
      <c r="C6879" s="7" t="s">
        <v>223</v>
      </c>
      <c r="D6879" s="7" t="s">
        <v>2358</v>
      </c>
      <c r="E6879" s="5" t="s">
        <v>3835</v>
      </c>
      <c r="F6879" s="7" t="s">
        <v>47</v>
      </c>
    </row>
    <row r="6880">
      <c r="A6880" s="5" t="s">
        <v>4037</v>
      </c>
      <c r="B6880" s="8">
        <v>10.0</v>
      </c>
      <c r="C6880" s="7" t="s">
        <v>223</v>
      </c>
      <c r="D6880" s="7" t="s">
        <v>2358</v>
      </c>
      <c r="E6880" s="5" t="s">
        <v>3835</v>
      </c>
      <c r="F6880" s="7" t="s">
        <v>47</v>
      </c>
    </row>
    <row r="6881">
      <c r="A6881" s="7" t="s">
        <v>2319</v>
      </c>
      <c r="B6881" s="8">
        <v>10.0</v>
      </c>
      <c r="C6881" s="7" t="s">
        <v>223</v>
      </c>
      <c r="D6881" s="7" t="s">
        <v>2358</v>
      </c>
      <c r="E6881" s="5" t="s">
        <v>3835</v>
      </c>
      <c r="F6881" s="7" t="s">
        <v>47</v>
      </c>
    </row>
    <row r="6882">
      <c r="A6882" s="5" t="s">
        <v>3795</v>
      </c>
      <c r="B6882" s="8">
        <v>10.0</v>
      </c>
      <c r="C6882" s="7" t="s">
        <v>223</v>
      </c>
      <c r="D6882" s="7" t="s">
        <v>2358</v>
      </c>
      <c r="E6882" s="5" t="s">
        <v>3835</v>
      </c>
      <c r="F6882" s="7" t="s">
        <v>47</v>
      </c>
    </row>
    <row r="6883">
      <c r="A6883" s="7" t="s">
        <v>868</v>
      </c>
      <c r="B6883" s="8">
        <v>10.0</v>
      </c>
      <c r="C6883" s="7" t="s">
        <v>223</v>
      </c>
      <c r="D6883" s="7" t="s">
        <v>2358</v>
      </c>
      <c r="E6883" s="5" t="s">
        <v>3835</v>
      </c>
      <c r="F6883" s="7" t="s">
        <v>47</v>
      </c>
    </row>
    <row r="6884">
      <c r="A6884" s="5" t="s">
        <v>3087</v>
      </c>
      <c r="B6884" s="8">
        <v>10.0</v>
      </c>
      <c r="C6884" s="7" t="s">
        <v>223</v>
      </c>
      <c r="D6884" s="7" t="s">
        <v>2358</v>
      </c>
      <c r="E6884" s="5" t="s">
        <v>3835</v>
      </c>
      <c r="F6884" s="7" t="s">
        <v>48</v>
      </c>
    </row>
    <row r="6885">
      <c r="A6885" s="5" t="s">
        <v>3088</v>
      </c>
      <c r="B6885" s="8">
        <v>10.0</v>
      </c>
      <c r="C6885" s="7" t="s">
        <v>223</v>
      </c>
      <c r="D6885" s="7" t="s">
        <v>2358</v>
      </c>
      <c r="E6885" s="5" t="s">
        <v>3835</v>
      </c>
      <c r="F6885" s="7" t="s">
        <v>47</v>
      </c>
    </row>
    <row r="6886">
      <c r="A6886" s="5" t="s">
        <v>3388</v>
      </c>
      <c r="B6886" s="8">
        <v>10.0</v>
      </c>
      <c r="C6886" s="7" t="s">
        <v>223</v>
      </c>
      <c r="D6886" s="7" t="s">
        <v>2358</v>
      </c>
      <c r="E6886" s="5" t="s">
        <v>3835</v>
      </c>
      <c r="F6886" s="7" t="s">
        <v>47</v>
      </c>
    </row>
    <row r="6887">
      <c r="A6887" s="5" t="s">
        <v>2927</v>
      </c>
      <c r="B6887" s="8">
        <v>10.0</v>
      </c>
      <c r="C6887" s="7" t="s">
        <v>223</v>
      </c>
      <c r="D6887" s="7" t="s">
        <v>2358</v>
      </c>
      <c r="E6887" s="5" t="s">
        <v>3835</v>
      </c>
      <c r="F6887" s="7" t="s">
        <v>47</v>
      </c>
    </row>
    <row r="6888">
      <c r="A6888" s="5" t="s">
        <v>3089</v>
      </c>
      <c r="B6888" s="8">
        <v>10.0</v>
      </c>
      <c r="C6888" s="7" t="s">
        <v>223</v>
      </c>
      <c r="D6888" s="7" t="s">
        <v>2358</v>
      </c>
      <c r="E6888" s="5" t="s">
        <v>3835</v>
      </c>
      <c r="F6888" s="7" t="s">
        <v>47</v>
      </c>
    </row>
    <row r="6889">
      <c r="A6889" s="5" t="s">
        <v>2928</v>
      </c>
      <c r="B6889" s="8">
        <v>10.0</v>
      </c>
      <c r="C6889" s="7" t="s">
        <v>223</v>
      </c>
      <c r="D6889" s="7" t="s">
        <v>2358</v>
      </c>
      <c r="E6889" s="5" t="s">
        <v>3835</v>
      </c>
      <c r="F6889" s="7" t="s">
        <v>47</v>
      </c>
    </row>
    <row r="6890">
      <c r="A6890" s="7" t="s">
        <v>603</v>
      </c>
      <c r="B6890" s="8">
        <v>10.0</v>
      </c>
      <c r="C6890" s="7" t="s">
        <v>223</v>
      </c>
      <c r="D6890" s="7" t="s">
        <v>2358</v>
      </c>
      <c r="E6890" s="5" t="s">
        <v>3835</v>
      </c>
      <c r="F6890" s="7" t="s">
        <v>48</v>
      </c>
    </row>
    <row r="6891">
      <c r="A6891" s="5" t="s">
        <v>2929</v>
      </c>
      <c r="B6891" s="8">
        <v>10.0</v>
      </c>
      <c r="C6891" s="7" t="s">
        <v>223</v>
      </c>
      <c r="D6891" s="7" t="s">
        <v>2358</v>
      </c>
      <c r="E6891" s="5" t="s">
        <v>3835</v>
      </c>
      <c r="F6891" s="7" t="s">
        <v>47</v>
      </c>
    </row>
    <row r="6892">
      <c r="A6892" s="5" t="s">
        <v>2702</v>
      </c>
      <c r="B6892" s="8">
        <v>10.0</v>
      </c>
      <c r="C6892" s="7" t="s">
        <v>223</v>
      </c>
      <c r="D6892" s="7" t="s">
        <v>2358</v>
      </c>
      <c r="E6892" s="5" t="s">
        <v>3835</v>
      </c>
      <c r="F6892" s="7" t="s">
        <v>47</v>
      </c>
    </row>
    <row r="6893">
      <c r="A6893" s="5" t="s">
        <v>2930</v>
      </c>
      <c r="B6893" s="8">
        <v>10.0</v>
      </c>
      <c r="C6893" s="7" t="s">
        <v>223</v>
      </c>
      <c r="D6893" s="7" t="s">
        <v>2358</v>
      </c>
      <c r="E6893" s="5" t="s">
        <v>3835</v>
      </c>
      <c r="F6893" s="7" t="s">
        <v>47</v>
      </c>
    </row>
    <row r="6894">
      <c r="A6894" s="5" t="s">
        <v>2600</v>
      </c>
      <c r="B6894" s="8">
        <v>10.0</v>
      </c>
      <c r="C6894" s="7" t="s">
        <v>223</v>
      </c>
      <c r="D6894" s="7" t="s">
        <v>2358</v>
      </c>
      <c r="E6894" s="5" t="s">
        <v>3835</v>
      </c>
      <c r="F6894" s="7" t="s">
        <v>47</v>
      </c>
    </row>
    <row r="6895">
      <c r="A6895" s="5" t="s">
        <v>3802</v>
      </c>
      <c r="B6895" s="8">
        <v>10.0</v>
      </c>
      <c r="C6895" s="7" t="s">
        <v>223</v>
      </c>
      <c r="D6895" s="7" t="s">
        <v>2358</v>
      </c>
      <c r="E6895" s="5" t="s">
        <v>3835</v>
      </c>
      <c r="F6895" s="7" t="s">
        <v>47</v>
      </c>
    </row>
    <row r="6896">
      <c r="A6896" s="5" t="s">
        <v>3090</v>
      </c>
      <c r="B6896" s="8">
        <v>10.0</v>
      </c>
      <c r="C6896" s="7" t="s">
        <v>223</v>
      </c>
      <c r="D6896" s="7" t="s">
        <v>2358</v>
      </c>
      <c r="E6896" s="5" t="s">
        <v>3835</v>
      </c>
      <c r="F6896" s="7" t="s">
        <v>48</v>
      </c>
    </row>
    <row r="6897">
      <c r="A6897" s="7" t="s">
        <v>606</v>
      </c>
      <c r="B6897" s="8">
        <v>10.0</v>
      </c>
      <c r="C6897" s="7" t="s">
        <v>223</v>
      </c>
      <c r="D6897" s="7" t="s">
        <v>2358</v>
      </c>
      <c r="E6897" s="5" t="s">
        <v>3835</v>
      </c>
      <c r="F6897" s="7" t="s">
        <v>47</v>
      </c>
    </row>
    <row r="6898">
      <c r="A6898" s="5" t="s">
        <v>2602</v>
      </c>
      <c r="B6898" s="8">
        <v>10.0</v>
      </c>
      <c r="C6898" s="7" t="s">
        <v>223</v>
      </c>
      <c r="D6898" s="7" t="s">
        <v>2358</v>
      </c>
      <c r="E6898" s="5" t="s">
        <v>3835</v>
      </c>
      <c r="F6898" s="7" t="s">
        <v>47</v>
      </c>
    </row>
    <row r="6899">
      <c r="A6899" s="5" t="s">
        <v>2931</v>
      </c>
      <c r="B6899" s="8">
        <v>10.0</v>
      </c>
      <c r="C6899" s="7" t="s">
        <v>223</v>
      </c>
      <c r="D6899" s="7" t="s">
        <v>2358</v>
      </c>
      <c r="E6899" s="5" t="s">
        <v>3835</v>
      </c>
      <c r="F6899" s="7" t="s">
        <v>47</v>
      </c>
    </row>
    <row r="6900">
      <c r="A6900" s="5" t="s">
        <v>2932</v>
      </c>
      <c r="B6900" s="8">
        <v>10.0</v>
      </c>
      <c r="C6900" s="7" t="s">
        <v>223</v>
      </c>
      <c r="D6900" s="7" t="s">
        <v>2358</v>
      </c>
      <c r="E6900" s="5" t="s">
        <v>3835</v>
      </c>
      <c r="F6900" s="7" t="s">
        <v>47</v>
      </c>
    </row>
    <row r="6901">
      <c r="A6901" s="5" t="s">
        <v>3091</v>
      </c>
      <c r="B6901" s="8">
        <v>10.0</v>
      </c>
      <c r="C6901" s="7" t="s">
        <v>223</v>
      </c>
      <c r="D6901" s="7" t="s">
        <v>2358</v>
      </c>
      <c r="E6901" s="5" t="s">
        <v>3835</v>
      </c>
      <c r="F6901" s="7" t="s">
        <v>48</v>
      </c>
    </row>
    <row r="6902">
      <c r="A6902" s="5" t="s">
        <v>2605</v>
      </c>
      <c r="B6902" s="8">
        <v>10.0</v>
      </c>
      <c r="C6902" s="7" t="s">
        <v>223</v>
      </c>
      <c r="D6902" s="7" t="s">
        <v>2358</v>
      </c>
      <c r="E6902" s="5" t="s">
        <v>3835</v>
      </c>
      <c r="F6902" s="7" t="s">
        <v>47</v>
      </c>
    </row>
    <row r="6903">
      <c r="A6903" s="7" t="s">
        <v>1989</v>
      </c>
      <c r="B6903" s="8">
        <v>10.0</v>
      </c>
      <c r="C6903" s="7" t="s">
        <v>223</v>
      </c>
      <c r="D6903" s="7" t="s">
        <v>2358</v>
      </c>
      <c r="E6903" s="5" t="s">
        <v>3835</v>
      </c>
      <c r="F6903" s="7" t="s">
        <v>47</v>
      </c>
    </row>
    <row r="6904">
      <c r="A6904" s="5" t="s">
        <v>2606</v>
      </c>
      <c r="B6904" s="8">
        <v>10.0</v>
      </c>
      <c r="C6904" s="7" t="s">
        <v>223</v>
      </c>
      <c r="D6904" s="7" t="s">
        <v>2358</v>
      </c>
      <c r="E6904" s="5" t="s">
        <v>3835</v>
      </c>
      <c r="F6904" s="7" t="s">
        <v>47</v>
      </c>
    </row>
    <row r="6905">
      <c r="A6905" s="5" t="s">
        <v>2607</v>
      </c>
      <c r="B6905" s="8">
        <v>10.0</v>
      </c>
      <c r="C6905" s="7" t="s">
        <v>223</v>
      </c>
      <c r="D6905" s="7" t="s">
        <v>2358</v>
      </c>
      <c r="E6905" s="5" t="s">
        <v>3835</v>
      </c>
      <c r="F6905" s="7" t="s">
        <v>2359</v>
      </c>
    </row>
    <row r="6906">
      <c r="A6906" s="7" t="s">
        <v>1990</v>
      </c>
      <c r="B6906" s="8">
        <v>10.0</v>
      </c>
      <c r="C6906" s="7" t="s">
        <v>223</v>
      </c>
      <c r="D6906" s="7" t="s">
        <v>2358</v>
      </c>
      <c r="E6906" s="5" t="s">
        <v>3835</v>
      </c>
      <c r="F6906" s="7" t="s">
        <v>47</v>
      </c>
    </row>
    <row r="6907">
      <c r="A6907" s="5" t="s">
        <v>2935</v>
      </c>
      <c r="B6907" s="8">
        <v>10.0</v>
      </c>
      <c r="C6907" s="7" t="s">
        <v>223</v>
      </c>
      <c r="D6907" s="7" t="s">
        <v>2358</v>
      </c>
      <c r="E6907" s="5" t="s">
        <v>3835</v>
      </c>
      <c r="F6907" s="7" t="s">
        <v>47</v>
      </c>
    </row>
    <row r="6908">
      <c r="A6908" s="5" t="s">
        <v>2936</v>
      </c>
      <c r="B6908" s="8">
        <v>10.0</v>
      </c>
      <c r="C6908" s="7" t="s">
        <v>223</v>
      </c>
      <c r="D6908" s="7" t="s">
        <v>2358</v>
      </c>
      <c r="E6908" s="5" t="s">
        <v>3835</v>
      </c>
      <c r="F6908" s="7" t="s">
        <v>47</v>
      </c>
    </row>
    <row r="6909">
      <c r="A6909" s="5" t="s">
        <v>2608</v>
      </c>
      <c r="B6909" s="8">
        <v>10.0</v>
      </c>
      <c r="C6909" s="7" t="s">
        <v>223</v>
      </c>
      <c r="D6909" s="7" t="s">
        <v>2358</v>
      </c>
      <c r="E6909" s="5" t="s">
        <v>3835</v>
      </c>
      <c r="F6909" s="7" t="s">
        <v>47</v>
      </c>
    </row>
    <row r="6910">
      <c r="A6910" s="5" t="s">
        <v>2609</v>
      </c>
      <c r="B6910" s="8">
        <v>10.0</v>
      </c>
      <c r="C6910" s="7" t="s">
        <v>223</v>
      </c>
      <c r="D6910" s="7" t="s">
        <v>2358</v>
      </c>
      <c r="E6910" s="5" t="s">
        <v>3835</v>
      </c>
      <c r="F6910" s="7" t="s">
        <v>47</v>
      </c>
    </row>
    <row r="6911">
      <c r="A6911" s="5" t="s">
        <v>3791</v>
      </c>
      <c r="B6911" s="8">
        <v>10.0</v>
      </c>
      <c r="C6911" s="7" t="s">
        <v>43</v>
      </c>
      <c r="D6911" s="7" t="s">
        <v>2360</v>
      </c>
      <c r="E6911" s="5" t="s">
        <v>3595</v>
      </c>
      <c r="F6911" s="7" t="s">
        <v>65</v>
      </c>
    </row>
    <row r="6912">
      <c r="A6912" s="7" t="s">
        <v>188</v>
      </c>
      <c r="B6912" s="8">
        <v>10.0</v>
      </c>
      <c r="C6912" s="7" t="s">
        <v>43</v>
      </c>
      <c r="D6912" s="7" t="s">
        <v>2360</v>
      </c>
      <c r="E6912" s="5" t="s">
        <v>3595</v>
      </c>
      <c r="F6912" s="7" t="s">
        <v>65</v>
      </c>
    </row>
    <row r="6913">
      <c r="A6913" s="5" t="s">
        <v>2924</v>
      </c>
      <c r="B6913" s="8">
        <v>10.0</v>
      </c>
      <c r="C6913" s="7" t="s">
        <v>43</v>
      </c>
      <c r="D6913" s="7" t="s">
        <v>2360</v>
      </c>
      <c r="E6913" s="5" t="s">
        <v>3595</v>
      </c>
      <c r="F6913" s="7" t="s">
        <v>65</v>
      </c>
    </row>
    <row r="6914">
      <c r="A6914" s="5" t="s">
        <v>2925</v>
      </c>
      <c r="B6914" s="8">
        <v>10.0</v>
      </c>
      <c r="C6914" s="7" t="s">
        <v>43</v>
      </c>
      <c r="D6914" s="7" t="s">
        <v>2360</v>
      </c>
      <c r="E6914" s="5" t="s">
        <v>3595</v>
      </c>
      <c r="F6914" s="7" t="s">
        <v>65</v>
      </c>
    </row>
    <row r="6915">
      <c r="A6915" s="5" t="s">
        <v>3086</v>
      </c>
      <c r="B6915" s="8">
        <v>10.0</v>
      </c>
      <c r="C6915" s="7" t="s">
        <v>43</v>
      </c>
      <c r="D6915" s="7" t="s">
        <v>2360</v>
      </c>
      <c r="E6915" s="5" t="s">
        <v>3595</v>
      </c>
      <c r="F6915" s="7" t="s">
        <v>65</v>
      </c>
    </row>
    <row r="6916">
      <c r="A6916" s="5" t="s">
        <v>4037</v>
      </c>
      <c r="B6916" s="8">
        <v>10.0</v>
      </c>
      <c r="C6916" s="7" t="s">
        <v>43</v>
      </c>
      <c r="D6916" s="7" t="s">
        <v>2360</v>
      </c>
      <c r="E6916" s="5" t="s">
        <v>3595</v>
      </c>
      <c r="F6916" s="7" t="s">
        <v>65</v>
      </c>
    </row>
    <row r="6917">
      <c r="A6917" s="7" t="s">
        <v>2319</v>
      </c>
      <c r="B6917" s="8">
        <v>10.0</v>
      </c>
      <c r="C6917" s="7" t="s">
        <v>43</v>
      </c>
      <c r="D6917" s="7" t="s">
        <v>2360</v>
      </c>
      <c r="E6917" s="5" t="s">
        <v>3595</v>
      </c>
      <c r="F6917" s="7" t="s">
        <v>65</v>
      </c>
    </row>
    <row r="6918">
      <c r="A6918" s="5" t="s">
        <v>3795</v>
      </c>
      <c r="B6918" s="8">
        <v>10.0</v>
      </c>
      <c r="C6918" s="7" t="s">
        <v>43</v>
      </c>
      <c r="D6918" s="7" t="s">
        <v>2360</v>
      </c>
      <c r="E6918" s="5" t="s">
        <v>3595</v>
      </c>
      <c r="F6918" s="7" t="s">
        <v>65</v>
      </c>
    </row>
    <row r="6919">
      <c r="A6919" s="7" t="s">
        <v>868</v>
      </c>
      <c r="B6919" s="8">
        <v>10.0</v>
      </c>
      <c r="C6919" s="7" t="s">
        <v>43</v>
      </c>
      <c r="D6919" s="7" t="s">
        <v>2360</v>
      </c>
      <c r="E6919" s="5" t="s">
        <v>3595</v>
      </c>
      <c r="F6919" s="7" t="s">
        <v>65</v>
      </c>
    </row>
    <row r="6920">
      <c r="A6920" s="5" t="s">
        <v>3087</v>
      </c>
      <c r="B6920" s="8">
        <v>10.0</v>
      </c>
      <c r="C6920" s="7" t="s">
        <v>43</v>
      </c>
      <c r="D6920" s="7" t="s">
        <v>2360</v>
      </c>
      <c r="E6920" s="5" t="s">
        <v>3595</v>
      </c>
      <c r="F6920" s="7" t="s">
        <v>66</v>
      </c>
    </row>
    <row r="6921">
      <c r="A6921" s="5" t="s">
        <v>3088</v>
      </c>
      <c r="B6921" s="8">
        <v>10.0</v>
      </c>
      <c r="C6921" s="7" t="s">
        <v>43</v>
      </c>
      <c r="D6921" s="7" t="s">
        <v>2360</v>
      </c>
      <c r="E6921" s="5" t="s">
        <v>3595</v>
      </c>
      <c r="F6921" s="7" t="s">
        <v>65</v>
      </c>
    </row>
    <row r="6922">
      <c r="A6922" s="5" t="s">
        <v>3388</v>
      </c>
      <c r="B6922" s="8">
        <v>10.0</v>
      </c>
      <c r="C6922" s="7" t="s">
        <v>43</v>
      </c>
      <c r="D6922" s="7" t="s">
        <v>2360</v>
      </c>
      <c r="E6922" s="5" t="s">
        <v>3595</v>
      </c>
      <c r="F6922" s="7" t="s">
        <v>65</v>
      </c>
    </row>
    <row r="6923">
      <c r="A6923" s="5" t="s">
        <v>2927</v>
      </c>
      <c r="B6923" s="8">
        <v>10.0</v>
      </c>
      <c r="C6923" s="7" t="s">
        <v>43</v>
      </c>
      <c r="D6923" s="7" t="s">
        <v>2360</v>
      </c>
      <c r="E6923" s="5" t="s">
        <v>3595</v>
      </c>
      <c r="F6923" s="7" t="s">
        <v>65</v>
      </c>
    </row>
    <row r="6924">
      <c r="A6924" s="5" t="s">
        <v>3089</v>
      </c>
      <c r="B6924" s="8">
        <v>10.0</v>
      </c>
      <c r="C6924" s="7" t="s">
        <v>43</v>
      </c>
      <c r="D6924" s="7" t="s">
        <v>2360</v>
      </c>
      <c r="E6924" s="5" t="s">
        <v>3595</v>
      </c>
      <c r="F6924" s="7" t="s">
        <v>65</v>
      </c>
    </row>
    <row r="6925">
      <c r="A6925" s="5" t="s">
        <v>2928</v>
      </c>
      <c r="B6925" s="8">
        <v>10.0</v>
      </c>
      <c r="C6925" s="7" t="s">
        <v>43</v>
      </c>
      <c r="D6925" s="7" t="s">
        <v>2360</v>
      </c>
      <c r="E6925" s="5" t="s">
        <v>3595</v>
      </c>
      <c r="F6925" s="7" t="s">
        <v>65</v>
      </c>
    </row>
    <row r="6926">
      <c r="A6926" s="7" t="s">
        <v>603</v>
      </c>
      <c r="B6926" s="8">
        <v>10.0</v>
      </c>
      <c r="C6926" s="7" t="s">
        <v>43</v>
      </c>
      <c r="D6926" s="7" t="s">
        <v>2360</v>
      </c>
      <c r="E6926" s="5" t="s">
        <v>3595</v>
      </c>
      <c r="F6926" s="7" t="s">
        <v>66</v>
      </c>
    </row>
    <row r="6927">
      <c r="A6927" s="5" t="s">
        <v>2929</v>
      </c>
      <c r="B6927" s="8">
        <v>10.0</v>
      </c>
      <c r="C6927" s="7" t="s">
        <v>43</v>
      </c>
      <c r="D6927" s="7" t="s">
        <v>2360</v>
      </c>
      <c r="E6927" s="5" t="s">
        <v>3595</v>
      </c>
      <c r="F6927" s="7" t="s">
        <v>65</v>
      </c>
    </row>
    <row r="6928">
      <c r="A6928" s="5" t="s">
        <v>2702</v>
      </c>
      <c r="B6928" s="8">
        <v>10.0</v>
      </c>
      <c r="C6928" s="7" t="s">
        <v>43</v>
      </c>
      <c r="D6928" s="7" t="s">
        <v>2360</v>
      </c>
      <c r="E6928" s="5" t="s">
        <v>3595</v>
      </c>
      <c r="F6928" s="7" t="s">
        <v>65</v>
      </c>
    </row>
    <row r="6929">
      <c r="A6929" s="5" t="s">
        <v>2930</v>
      </c>
      <c r="B6929" s="8">
        <v>10.0</v>
      </c>
      <c r="C6929" s="7" t="s">
        <v>43</v>
      </c>
      <c r="D6929" s="7" t="s">
        <v>2360</v>
      </c>
      <c r="E6929" s="5" t="s">
        <v>3595</v>
      </c>
      <c r="F6929" s="7" t="s">
        <v>65</v>
      </c>
    </row>
    <row r="6930">
      <c r="A6930" s="5" t="s">
        <v>2600</v>
      </c>
      <c r="B6930" s="8">
        <v>10.0</v>
      </c>
      <c r="C6930" s="7" t="s">
        <v>43</v>
      </c>
      <c r="D6930" s="7" t="s">
        <v>2360</v>
      </c>
      <c r="E6930" s="5" t="s">
        <v>3595</v>
      </c>
      <c r="F6930" s="7" t="s">
        <v>65</v>
      </c>
    </row>
    <row r="6931">
      <c r="A6931" s="5" t="s">
        <v>3802</v>
      </c>
      <c r="B6931" s="8">
        <v>10.0</v>
      </c>
      <c r="C6931" s="7" t="s">
        <v>43</v>
      </c>
      <c r="D6931" s="7" t="s">
        <v>2360</v>
      </c>
      <c r="E6931" s="5" t="s">
        <v>3595</v>
      </c>
      <c r="F6931" s="7" t="s">
        <v>65</v>
      </c>
    </row>
    <row r="6932">
      <c r="A6932" s="5" t="s">
        <v>3090</v>
      </c>
      <c r="B6932" s="8">
        <v>10.0</v>
      </c>
      <c r="C6932" s="7" t="s">
        <v>43</v>
      </c>
      <c r="D6932" s="7" t="s">
        <v>2360</v>
      </c>
      <c r="E6932" s="5" t="s">
        <v>3595</v>
      </c>
      <c r="F6932" s="7" t="s">
        <v>2361</v>
      </c>
    </row>
    <row r="6933">
      <c r="A6933" s="7" t="s">
        <v>606</v>
      </c>
      <c r="B6933" s="8">
        <v>10.0</v>
      </c>
      <c r="C6933" s="7" t="s">
        <v>43</v>
      </c>
      <c r="D6933" s="7" t="s">
        <v>2360</v>
      </c>
      <c r="E6933" s="5" t="s">
        <v>3595</v>
      </c>
      <c r="F6933" s="7" t="s">
        <v>65</v>
      </c>
    </row>
    <row r="6934">
      <c r="A6934" s="5" t="s">
        <v>2602</v>
      </c>
      <c r="B6934" s="8">
        <v>10.0</v>
      </c>
      <c r="C6934" s="7" t="s">
        <v>43</v>
      </c>
      <c r="D6934" s="7" t="s">
        <v>2360</v>
      </c>
      <c r="E6934" s="5" t="s">
        <v>3595</v>
      </c>
      <c r="F6934" s="7" t="s">
        <v>65</v>
      </c>
    </row>
    <row r="6935">
      <c r="A6935" s="5" t="s">
        <v>2931</v>
      </c>
      <c r="B6935" s="8">
        <v>10.0</v>
      </c>
      <c r="C6935" s="7" t="s">
        <v>43</v>
      </c>
      <c r="D6935" s="7" t="s">
        <v>2360</v>
      </c>
      <c r="E6935" s="5" t="s">
        <v>3595</v>
      </c>
      <c r="F6935" s="7" t="s">
        <v>65</v>
      </c>
    </row>
    <row r="6936">
      <c r="A6936" s="5" t="s">
        <v>2932</v>
      </c>
      <c r="B6936" s="8">
        <v>10.0</v>
      </c>
      <c r="C6936" s="7" t="s">
        <v>43</v>
      </c>
      <c r="D6936" s="7" t="s">
        <v>2360</v>
      </c>
      <c r="E6936" s="5" t="s">
        <v>3595</v>
      </c>
      <c r="F6936" s="7" t="s">
        <v>65</v>
      </c>
    </row>
    <row r="6937">
      <c r="A6937" s="5" t="s">
        <v>3091</v>
      </c>
      <c r="B6937" s="8">
        <v>10.0</v>
      </c>
      <c r="C6937" s="7" t="s">
        <v>43</v>
      </c>
      <c r="D6937" s="7" t="s">
        <v>2360</v>
      </c>
      <c r="E6937" s="5" t="s">
        <v>3595</v>
      </c>
      <c r="F6937" s="7" t="s">
        <v>65</v>
      </c>
    </row>
    <row r="6938">
      <c r="A6938" s="5" t="s">
        <v>2605</v>
      </c>
      <c r="B6938" s="8">
        <v>10.0</v>
      </c>
      <c r="C6938" s="7" t="s">
        <v>43</v>
      </c>
      <c r="D6938" s="7" t="s">
        <v>2360</v>
      </c>
      <c r="E6938" s="5" t="s">
        <v>3595</v>
      </c>
      <c r="F6938" s="7" t="s">
        <v>65</v>
      </c>
    </row>
    <row r="6939">
      <c r="A6939" s="7" t="s">
        <v>1989</v>
      </c>
      <c r="B6939" s="8">
        <v>10.0</v>
      </c>
      <c r="C6939" s="7" t="s">
        <v>43</v>
      </c>
      <c r="D6939" s="7" t="s">
        <v>2360</v>
      </c>
      <c r="E6939" s="5" t="s">
        <v>3595</v>
      </c>
      <c r="F6939" s="7" t="s">
        <v>65</v>
      </c>
    </row>
    <row r="6940">
      <c r="A6940" s="5" t="s">
        <v>2606</v>
      </c>
      <c r="B6940" s="8">
        <v>10.0</v>
      </c>
      <c r="C6940" s="7" t="s">
        <v>43</v>
      </c>
      <c r="D6940" s="7" t="s">
        <v>2360</v>
      </c>
      <c r="E6940" s="5" t="s">
        <v>3595</v>
      </c>
      <c r="F6940" s="7" t="s">
        <v>65</v>
      </c>
    </row>
    <row r="6941">
      <c r="A6941" s="5" t="s">
        <v>2607</v>
      </c>
      <c r="B6941" s="8">
        <v>10.0</v>
      </c>
      <c r="C6941" s="7" t="s">
        <v>43</v>
      </c>
      <c r="D6941" s="7" t="s">
        <v>2360</v>
      </c>
      <c r="E6941" s="5" t="s">
        <v>3595</v>
      </c>
      <c r="F6941" s="7" t="s">
        <v>65</v>
      </c>
    </row>
    <row r="6942">
      <c r="A6942" s="7" t="s">
        <v>1990</v>
      </c>
      <c r="B6942" s="8">
        <v>10.0</v>
      </c>
      <c r="C6942" s="7" t="s">
        <v>43</v>
      </c>
      <c r="D6942" s="7" t="s">
        <v>2360</v>
      </c>
      <c r="E6942" s="5" t="s">
        <v>3595</v>
      </c>
      <c r="F6942" s="7" t="s">
        <v>65</v>
      </c>
    </row>
    <row r="6943">
      <c r="A6943" s="5" t="s">
        <v>2935</v>
      </c>
      <c r="B6943" s="8">
        <v>10.0</v>
      </c>
      <c r="C6943" s="7" t="s">
        <v>43</v>
      </c>
      <c r="D6943" s="7" t="s">
        <v>2360</v>
      </c>
      <c r="E6943" s="5" t="s">
        <v>3595</v>
      </c>
      <c r="F6943" s="7" t="s">
        <v>65</v>
      </c>
    </row>
    <row r="6944">
      <c r="A6944" s="5" t="s">
        <v>2936</v>
      </c>
      <c r="B6944" s="8">
        <v>10.0</v>
      </c>
      <c r="C6944" s="7" t="s">
        <v>43</v>
      </c>
      <c r="D6944" s="7" t="s">
        <v>2360</v>
      </c>
      <c r="E6944" s="5" t="s">
        <v>3595</v>
      </c>
      <c r="F6944" s="7" t="s">
        <v>65</v>
      </c>
    </row>
    <row r="6945">
      <c r="A6945" s="5" t="s">
        <v>2608</v>
      </c>
      <c r="B6945" s="8">
        <v>10.0</v>
      </c>
      <c r="C6945" s="7" t="s">
        <v>43</v>
      </c>
      <c r="D6945" s="7" t="s">
        <v>2360</v>
      </c>
      <c r="E6945" s="5" t="s">
        <v>3595</v>
      </c>
      <c r="F6945" s="7" t="s">
        <v>65</v>
      </c>
    </row>
    <row r="6946">
      <c r="A6946" s="5" t="s">
        <v>2609</v>
      </c>
      <c r="B6946" s="8">
        <v>10.0</v>
      </c>
      <c r="C6946" s="7" t="s">
        <v>43</v>
      </c>
      <c r="D6946" s="7" t="s">
        <v>2360</v>
      </c>
      <c r="E6946" s="5" t="s">
        <v>3595</v>
      </c>
      <c r="F6946" s="7" t="s">
        <v>65</v>
      </c>
    </row>
    <row r="6947">
      <c r="A6947" s="5" t="s">
        <v>3791</v>
      </c>
      <c r="B6947" s="8">
        <v>10.0</v>
      </c>
      <c r="C6947" s="7" t="s">
        <v>2064</v>
      </c>
      <c r="D6947" s="5" t="s">
        <v>4061</v>
      </c>
      <c r="E6947" s="5" t="s">
        <v>4062</v>
      </c>
      <c r="F6947" s="5" t="s">
        <v>4063</v>
      </c>
    </row>
    <row r="6948">
      <c r="A6948" s="7" t="s">
        <v>188</v>
      </c>
      <c r="B6948" s="8">
        <v>10.0</v>
      </c>
      <c r="C6948" s="7" t="s">
        <v>2064</v>
      </c>
      <c r="D6948" s="5" t="s">
        <v>4061</v>
      </c>
      <c r="E6948" s="5" t="s">
        <v>4062</v>
      </c>
      <c r="F6948" s="5" t="s">
        <v>4064</v>
      </c>
    </row>
    <row r="6949">
      <c r="A6949" s="5" t="s">
        <v>2924</v>
      </c>
      <c r="B6949" s="8">
        <v>10.0</v>
      </c>
      <c r="C6949" s="7" t="s">
        <v>2064</v>
      </c>
      <c r="D6949" s="5" t="s">
        <v>4061</v>
      </c>
      <c r="E6949" s="5" t="s">
        <v>4062</v>
      </c>
      <c r="F6949" s="5" t="s">
        <v>4065</v>
      </c>
    </row>
    <row r="6950">
      <c r="A6950" s="5" t="s">
        <v>2925</v>
      </c>
      <c r="B6950" s="8">
        <v>10.0</v>
      </c>
      <c r="C6950" s="7" t="s">
        <v>2064</v>
      </c>
      <c r="D6950" s="5" t="s">
        <v>4061</v>
      </c>
      <c r="E6950" s="5" t="s">
        <v>4062</v>
      </c>
      <c r="F6950" s="5" t="s">
        <v>3844</v>
      </c>
    </row>
    <row r="6951">
      <c r="A6951" s="5" t="s">
        <v>3086</v>
      </c>
      <c r="B6951" s="8">
        <v>10.0</v>
      </c>
      <c r="C6951" s="7" t="s">
        <v>2064</v>
      </c>
      <c r="D6951" s="5" t="s">
        <v>4061</v>
      </c>
      <c r="E6951" s="5" t="s">
        <v>4062</v>
      </c>
      <c r="F6951" s="5" t="s">
        <v>4066</v>
      </c>
    </row>
    <row r="6952">
      <c r="A6952" s="5" t="s">
        <v>4037</v>
      </c>
      <c r="B6952" s="8">
        <v>10.0</v>
      </c>
      <c r="C6952" s="7" t="s">
        <v>2064</v>
      </c>
      <c r="D6952" s="5" t="s">
        <v>4061</v>
      </c>
      <c r="E6952" s="5" t="s">
        <v>4062</v>
      </c>
      <c r="F6952" s="5" t="s">
        <v>4067</v>
      </c>
    </row>
    <row r="6953">
      <c r="A6953" s="7" t="s">
        <v>2319</v>
      </c>
      <c r="B6953" s="8">
        <v>10.0</v>
      </c>
      <c r="C6953" s="7" t="s">
        <v>2064</v>
      </c>
      <c r="D6953" s="5" t="s">
        <v>4061</v>
      </c>
      <c r="E6953" s="5" t="s">
        <v>4062</v>
      </c>
      <c r="F6953" s="5" t="s">
        <v>4068</v>
      </c>
    </row>
    <row r="6954">
      <c r="A6954" s="5" t="s">
        <v>3795</v>
      </c>
      <c r="B6954" s="8">
        <v>10.0</v>
      </c>
      <c r="C6954" s="7" t="s">
        <v>2064</v>
      </c>
      <c r="D6954" s="5" t="s">
        <v>4061</v>
      </c>
      <c r="E6954" s="5" t="s">
        <v>4062</v>
      </c>
      <c r="F6954" s="5" t="s">
        <v>4069</v>
      </c>
    </row>
    <row r="6955">
      <c r="A6955" s="7" t="s">
        <v>868</v>
      </c>
      <c r="B6955" s="8">
        <v>10.0</v>
      </c>
      <c r="C6955" s="7" t="s">
        <v>2064</v>
      </c>
      <c r="D6955" s="5" t="s">
        <v>4061</v>
      </c>
      <c r="E6955" s="5" t="s">
        <v>4062</v>
      </c>
      <c r="F6955" s="5" t="s">
        <v>3847</v>
      </c>
    </row>
    <row r="6956">
      <c r="A6956" s="5" t="s">
        <v>3087</v>
      </c>
      <c r="B6956" s="8">
        <v>10.0</v>
      </c>
      <c r="C6956" s="7" t="s">
        <v>2064</v>
      </c>
      <c r="D6956" s="5" t="s">
        <v>4061</v>
      </c>
      <c r="E6956" s="5" t="s">
        <v>4062</v>
      </c>
      <c r="F6956" s="5" t="s">
        <v>4070</v>
      </c>
    </row>
    <row r="6957">
      <c r="A6957" s="5" t="s">
        <v>3088</v>
      </c>
      <c r="B6957" s="8">
        <v>10.0</v>
      </c>
      <c r="C6957" s="7" t="s">
        <v>2064</v>
      </c>
      <c r="D6957" s="5" t="s">
        <v>4061</v>
      </c>
      <c r="E6957" s="5" t="s">
        <v>4062</v>
      </c>
      <c r="F6957" s="5" t="s">
        <v>4071</v>
      </c>
    </row>
    <row r="6958">
      <c r="A6958" s="5" t="s">
        <v>3388</v>
      </c>
      <c r="B6958" s="8">
        <v>10.0</v>
      </c>
      <c r="C6958" s="7" t="s">
        <v>2064</v>
      </c>
      <c r="D6958" s="5" t="s">
        <v>4061</v>
      </c>
      <c r="E6958" s="5" t="s">
        <v>4062</v>
      </c>
      <c r="F6958" s="5" t="s">
        <v>4072</v>
      </c>
    </row>
    <row r="6959">
      <c r="A6959" s="5" t="s">
        <v>2927</v>
      </c>
      <c r="B6959" s="8">
        <v>10.0</v>
      </c>
      <c r="C6959" s="7" t="s">
        <v>2064</v>
      </c>
      <c r="D6959" s="5" t="s">
        <v>4061</v>
      </c>
      <c r="E6959" s="5" t="s">
        <v>4062</v>
      </c>
      <c r="F6959" s="5" t="s">
        <v>4073</v>
      </c>
    </row>
    <row r="6960">
      <c r="A6960" s="5" t="s">
        <v>3089</v>
      </c>
      <c r="B6960" s="8">
        <v>10.0</v>
      </c>
      <c r="C6960" s="7" t="s">
        <v>2064</v>
      </c>
      <c r="D6960" s="5" t="s">
        <v>4061</v>
      </c>
      <c r="E6960" s="5" t="s">
        <v>4062</v>
      </c>
      <c r="F6960" s="5" t="s">
        <v>4074</v>
      </c>
    </row>
    <row r="6961">
      <c r="A6961" s="5" t="s">
        <v>2928</v>
      </c>
      <c r="B6961" s="8">
        <v>10.0</v>
      </c>
      <c r="C6961" s="7" t="s">
        <v>2064</v>
      </c>
      <c r="D6961" s="5" t="s">
        <v>4061</v>
      </c>
      <c r="E6961" s="5" t="s">
        <v>4062</v>
      </c>
      <c r="F6961" s="5" t="s">
        <v>4075</v>
      </c>
    </row>
    <row r="6962">
      <c r="A6962" s="7" t="s">
        <v>603</v>
      </c>
      <c r="B6962" s="8">
        <v>10.0</v>
      </c>
      <c r="C6962" s="7" t="s">
        <v>2064</v>
      </c>
      <c r="D6962" s="5" t="s">
        <v>4061</v>
      </c>
      <c r="E6962" s="5" t="s">
        <v>4062</v>
      </c>
      <c r="F6962" s="5" t="s">
        <v>3855</v>
      </c>
    </row>
    <row r="6963">
      <c r="A6963" s="5" t="s">
        <v>2929</v>
      </c>
      <c r="B6963" s="8">
        <v>10.0</v>
      </c>
      <c r="C6963" s="7" t="s">
        <v>2064</v>
      </c>
      <c r="D6963" s="5" t="s">
        <v>4061</v>
      </c>
      <c r="E6963" s="5" t="s">
        <v>4062</v>
      </c>
      <c r="F6963" s="5" t="s">
        <v>4076</v>
      </c>
    </row>
    <row r="6964">
      <c r="A6964" s="5" t="s">
        <v>2702</v>
      </c>
      <c r="B6964" s="8">
        <v>10.0</v>
      </c>
      <c r="C6964" s="7" t="s">
        <v>2064</v>
      </c>
      <c r="D6964" s="5" t="s">
        <v>4061</v>
      </c>
      <c r="E6964" s="5" t="s">
        <v>4062</v>
      </c>
      <c r="F6964" s="5" t="s">
        <v>4077</v>
      </c>
    </row>
    <row r="6965">
      <c r="A6965" s="5" t="s">
        <v>2930</v>
      </c>
      <c r="B6965" s="8">
        <v>10.0</v>
      </c>
      <c r="C6965" s="7" t="s">
        <v>2064</v>
      </c>
      <c r="D6965" s="5" t="s">
        <v>4061</v>
      </c>
      <c r="E6965" s="5" t="s">
        <v>4062</v>
      </c>
      <c r="F6965" s="5" t="s">
        <v>3660</v>
      </c>
    </row>
    <row r="6966">
      <c r="A6966" s="5" t="s">
        <v>2600</v>
      </c>
      <c r="B6966" s="8">
        <v>10.0</v>
      </c>
      <c r="C6966" s="7" t="s">
        <v>2064</v>
      </c>
      <c r="D6966" s="5" t="s">
        <v>4061</v>
      </c>
      <c r="E6966" s="5" t="s">
        <v>4062</v>
      </c>
      <c r="F6966" s="5" t="s">
        <v>4078</v>
      </c>
    </row>
    <row r="6967">
      <c r="A6967" s="5" t="s">
        <v>3802</v>
      </c>
      <c r="B6967" s="8">
        <v>10.0</v>
      </c>
      <c r="C6967" s="7" t="s">
        <v>2064</v>
      </c>
      <c r="D6967" s="5" t="s">
        <v>4061</v>
      </c>
      <c r="E6967" s="5" t="s">
        <v>4062</v>
      </c>
      <c r="F6967" s="5" t="s">
        <v>4079</v>
      </c>
    </row>
    <row r="6968">
      <c r="A6968" s="5" t="s">
        <v>3090</v>
      </c>
      <c r="B6968" s="8">
        <v>10.0</v>
      </c>
      <c r="C6968" s="7" t="s">
        <v>2064</v>
      </c>
      <c r="D6968" s="5" t="s">
        <v>4061</v>
      </c>
      <c r="E6968" s="5" t="s">
        <v>4062</v>
      </c>
      <c r="F6968" s="5" t="s">
        <v>4080</v>
      </c>
    </row>
    <row r="6969">
      <c r="A6969" s="7" t="s">
        <v>606</v>
      </c>
      <c r="B6969" s="8">
        <v>10.0</v>
      </c>
      <c r="C6969" s="7" t="s">
        <v>2064</v>
      </c>
      <c r="D6969" s="5" t="s">
        <v>4061</v>
      </c>
      <c r="E6969" s="5" t="s">
        <v>4062</v>
      </c>
      <c r="F6969" s="5" t="s">
        <v>3862</v>
      </c>
    </row>
    <row r="6970">
      <c r="A6970" s="5" t="s">
        <v>2602</v>
      </c>
      <c r="B6970" s="8">
        <v>10.0</v>
      </c>
      <c r="C6970" s="7" t="s">
        <v>2064</v>
      </c>
      <c r="D6970" s="5" t="s">
        <v>4061</v>
      </c>
      <c r="E6970" s="5" t="s">
        <v>4062</v>
      </c>
      <c r="F6970" s="5" t="s">
        <v>3863</v>
      </c>
    </row>
    <row r="6971">
      <c r="A6971" s="5" t="s">
        <v>2931</v>
      </c>
      <c r="B6971" s="8">
        <v>10.0</v>
      </c>
      <c r="C6971" s="7" t="s">
        <v>2064</v>
      </c>
      <c r="D6971" s="5" t="s">
        <v>4061</v>
      </c>
      <c r="E6971" s="5" t="s">
        <v>4062</v>
      </c>
      <c r="F6971" s="5" t="s">
        <v>3864</v>
      </c>
    </row>
    <row r="6972">
      <c r="A6972" s="5" t="s">
        <v>2932</v>
      </c>
      <c r="B6972" s="8">
        <v>10.0</v>
      </c>
      <c r="C6972" s="7" t="s">
        <v>2064</v>
      </c>
      <c r="D6972" s="5" t="s">
        <v>4061</v>
      </c>
      <c r="E6972" s="5" t="s">
        <v>4062</v>
      </c>
      <c r="F6972" s="5" t="s">
        <v>3866</v>
      </c>
    </row>
    <row r="6973">
      <c r="A6973" s="5" t="s">
        <v>3091</v>
      </c>
      <c r="B6973" s="8">
        <v>10.0</v>
      </c>
      <c r="C6973" s="7" t="s">
        <v>2064</v>
      </c>
      <c r="D6973" s="5" t="s">
        <v>4061</v>
      </c>
      <c r="E6973" s="5" t="s">
        <v>4062</v>
      </c>
      <c r="F6973" s="5" t="s">
        <v>4081</v>
      </c>
    </row>
    <row r="6974">
      <c r="A6974" s="5" t="s">
        <v>2605</v>
      </c>
      <c r="B6974" s="8">
        <v>10.0</v>
      </c>
      <c r="C6974" s="7" t="s">
        <v>2064</v>
      </c>
      <c r="D6974" s="5" t="s">
        <v>4061</v>
      </c>
      <c r="E6974" s="5" t="s">
        <v>4062</v>
      </c>
      <c r="F6974" s="5" t="s">
        <v>4082</v>
      </c>
    </row>
    <row r="6975">
      <c r="A6975" s="7" t="s">
        <v>1989</v>
      </c>
      <c r="B6975" s="8">
        <v>10.0</v>
      </c>
      <c r="C6975" s="7" t="s">
        <v>2064</v>
      </c>
      <c r="D6975" s="5" t="s">
        <v>4061</v>
      </c>
      <c r="E6975" s="5" t="s">
        <v>4062</v>
      </c>
      <c r="F6975" s="5" t="s">
        <v>4083</v>
      </c>
    </row>
    <row r="6976">
      <c r="A6976" s="5" t="s">
        <v>2606</v>
      </c>
      <c r="B6976" s="8">
        <v>10.0</v>
      </c>
      <c r="C6976" s="7" t="s">
        <v>2064</v>
      </c>
      <c r="D6976" s="5" t="s">
        <v>4061</v>
      </c>
      <c r="E6976" s="5" t="s">
        <v>4062</v>
      </c>
      <c r="F6976" s="5" t="s">
        <v>3870</v>
      </c>
    </row>
    <row r="6977">
      <c r="A6977" s="5" t="s">
        <v>2607</v>
      </c>
      <c r="B6977" s="8">
        <v>10.0</v>
      </c>
      <c r="C6977" s="7" t="s">
        <v>2064</v>
      </c>
      <c r="D6977" s="5" t="s">
        <v>4061</v>
      </c>
      <c r="E6977" s="5" t="s">
        <v>4062</v>
      </c>
      <c r="F6977" s="5" t="s">
        <v>4084</v>
      </c>
    </row>
    <row r="6978">
      <c r="A6978" s="7" t="s">
        <v>1990</v>
      </c>
      <c r="B6978" s="8">
        <v>10.0</v>
      </c>
      <c r="C6978" s="7" t="s">
        <v>2064</v>
      </c>
      <c r="D6978" s="5" t="s">
        <v>4061</v>
      </c>
      <c r="E6978" s="5" t="s">
        <v>4062</v>
      </c>
      <c r="F6978" s="5" t="s">
        <v>4085</v>
      </c>
    </row>
    <row r="6979">
      <c r="A6979" s="5" t="s">
        <v>2935</v>
      </c>
      <c r="B6979" s="8">
        <v>10.0</v>
      </c>
      <c r="C6979" s="7" t="s">
        <v>2064</v>
      </c>
      <c r="D6979" s="5" t="s">
        <v>4061</v>
      </c>
      <c r="E6979" s="5" t="s">
        <v>4062</v>
      </c>
      <c r="F6979" s="5" t="s">
        <v>3874</v>
      </c>
    </row>
    <row r="6980">
      <c r="A6980" s="5" t="s">
        <v>2936</v>
      </c>
      <c r="B6980" s="8">
        <v>10.0</v>
      </c>
      <c r="C6980" s="7" t="s">
        <v>2064</v>
      </c>
      <c r="D6980" s="5" t="s">
        <v>4061</v>
      </c>
      <c r="E6980" s="5" t="s">
        <v>4062</v>
      </c>
      <c r="F6980" s="5" t="s">
        <v>4086</v>
      </c>
    </row>
    <row r="6981">
      <c r="A6981" s="5" t="s">
        <v>2608</v>
      </c>
      <c r="B6981" s="8">
        <v>10.0</v>
      </c>
      <c r="C6981" s="7" t="s">
        <v>2064</v>
      </c>
      <c r="D6981" s="5" t="s">
        <v>4061</v>
      </c>
      <c r="E6981" s="5" t="s">
        <v>4062</v>
      </c>
      <c r="F6981" s="5" t="s">
        <v>4087</v>
      </c>
    </row>
    <row r="6982">
      <c r="A6982" s="5" t="s">
        <v>2609</v>
      </c>
      <c r="B6982" s="8">
        <v>10.0</v>
      </c>
      <c r="C6982" s="7" t="s">
        <v>2064</v>
      </c>
      <c r="D6982" s="5" t="s">
        <v>4061</v>
      </c>
      <c r="E6982" s="5" t="s">
        <v>4062</v>
      </c>
      <c r="F6982" s="5" t="s">
        <v>3877</v>
      </c>
    </row>
    <row r="6983">
      <c r="A6983" s="5" t="s">
        <v>3791</v>
      </c>
      <c r="B6983" s="8">
        <v>10.0</v>
      </c>
      <c r="C6983" s="7" t="s">
        <v>62</v>
      </c>
      <c r="D6983" s="5" t="s">
        <v>4088</v>
      </c>
      <c r="E6983" s="5" t="s">
        <v>2390</v>
      </c>
      <c r="F6983" s="7" t="s">
        <v>65</v>
      </c>
    </row>
    <row r="6984">
      <c r="A6984" s="7" t="s">
        <v>188</v>
      </c>
      <c r="B6984" s="8">
        <v>10.0</v>
      </c>
      <c r="C6984" s="7" t="s">
        <v>62</v>
      </c>
      <c r="D6984" s="5" t="s">
        <v>4088</v>
      </c>
      <c r="E6984" s="5" t="s">
        <v>2390</v>
      </c>
      <c r="F6984" s="7" t="s">
        <v>65</v>
      </c>
    </row>
    <row r="6985">
      <c r="A6985" s="5" t="s">
        <v>2924</v>
      </c>
      <c r="B6985" s="8">
        <v>10.0</v>
      </c>
      <c r="C6985" s="7" t="s">
        <v>62</v>
      </c>
      <c r="D6985" s="5" t="s">
        <v>4088</v>
      </c>
      <c r="E6985" s="5" t="s">
        <v>2390</v>
      </c>
      <c r="F6985" s="7" t="s">
        <v>65</v>
      </c>
    </row>
    <row r="6986">
      <c r="A6986" s="5" t="s">
        <v>2925</v>
      </c>
      <c r="B6986" s="8">
        <v>10.0</v>
      </c>
      <c r="C6986" s="7" t="s">
        <v>62</v>
      </c>
      <c r="D6986" s="5" t="s">
        <v>4088</v>
      </c>
      <c r="E6986" s="5" t="s">
        <v>2390</v>
      </c>
      <c r="F6986" s="7" t="s">
        <v>65</v>
      </c>
    </row>
    <row r="6987">
      <c r="A6987" s="5" t="s">
        <v>3086</v>
      </c>
      <c r="B6987" s="8">
        <v>10.0</v>
      </c>
      <c r="C6987" s="7" t="s">
        <v>62</v>
      </c>
      <c r="D6987" s="5" t="s">
        <v>4088</v>
      </c>
      <c r="E6987" s="5" t="s">
        <v>2390</v>
      </c>
      <c r="F6987" s="7" t="s">
        <v>65</v>
      </c>
    </row>
    <row r="6988">
      <c r="A6988" s="5" t="s">
        <v>4037</v>
      </c>
      <c r="B6988" s="8">
        <v>10.0</v>
      </c>
      <c r="C6988" s="7" t="s">
        <v>62</v>
      </c>
      <c r="D6988" s="5" t="s">
        <v>4088</v>
      </c>
      <c r="E6988" s="5" t="s">
        <v>2390</v>
      </c>
      <c r="F6988" s="7" t="s">
        <v>65</v>
      </c>
    </row>
    <row r="6989">
      <c r="A6989" s="7" t="s">
        <v>2319</v>
      </c>
      <c r="B6989" s="8">
        <v>10.0</v>
      </c>
      <c r="C6989" s="7" t="s">
        <v>62</v>
      </c>
      <c r="D6989" s="5" t="s">
        <v>4088</v>
      </c>
      <c r="E6989" s="5" t="s">
        <v>2390</v>
      </c>
      <c r="F6989" s="7" t="s">
        <v>65</v>
      </c>
    </row>
    <row r="6990">
      <c r="A6990" s="5" t="s">
        <v>3795</v>
      </c>
      <c r="B6990" s="8">
        <v>10.0</v>
      </c>
      <c r="C6990" s="7" t="s">
        <v>62</v>
      </c>
      <c r="D6990" s="5" t="s">
        <v>4088</v>
      </c>
      <c r="E6990" s="5" t="s">
        <v>2390</v>
      </c>
      <c r="F6990" s="7" t="s">
        <v>65</v>
      </c>
    </row>
    <row r="6991">
      <c r="A6991" s="7" t="s">
        <v>868</v>
      </c>
      <c r="B6991" s="8">
        <v>10.0</v>
      </c>
      <c r="C6991" s="7" t="s">
        <v>62</v>
      </c>
      <c r="D6991" s="5" t="s">
        <v>4088</v>
      </c>
      <c r="E6991" s="5" t="s">
        <v>2390</v>
      </c>
      <c r="F6991" s="7" t="s">
        <v>65</v>
      </c>
    </row>
    <row r="6992">
      <c r="A6992" s="5" t="s">
        <v>3087</v>
      </c>
      <c r="B6992" s="8">
        <v>10.0</v>
      </c>
      <c r="C6992" s="7" t="s">
        <v>62</v>
      </c>
      <c r="D6992" s="5" t="s">
        <v>4088</v>
      </c>
      <c r="E6992" s="5" t="s">
        <v>2390</v>
      </c>
      <c r="F6992" s="7" t="s">
        <v>66</v>
      </c>
    </row>
    <row r="6993">
      <c r="A6993" s="5" t="s">
        <v>3088</v>
      </c>
      <c r="B6993" s="8">
        <v>10.0</v>
      </c>
      <c r="C6993" s="7" t="s">
        <v>62</v>
      </c>
      <c r="D6993" s="5" t="s">
        <v>4088</v>
      </c>
      <c r="E6993" s="5" t="s">
        <v>2390</v>
      </c>
      <c r="F6993" s="7" t="s">
        <v>65</v>
      </c>
    </row>
    <row r="6994">
      <c r="A6994" s="5" t="s">
        <v>3388</v>
      </c>
      <c r="B6994" s="8">
        <v>10.0</v>
      </c>
      <c r="C6994" s="7" t="s">
        <v>62</v>
      </c>
      <c r="D6994" s="5" t="s">
        <v>4088</v>
      </c>
      <c r="E6994" s="5" t="s">
        <v>2390</v>
      </c>
      <c r="F6994" s="7" t="s">
        <v>65</v>
      </c>
    </row>
    <row r="6995">
      <c r="A6995" s="5" t="s">
        <v>2927</v>
      </c>
      <c r="B6995" s="8">
        <v>10.0</v>
      </c>
      <c r="C6995" s="7" t="s">
        <v>62</v>
      </c>
      <c r="D6995" s="5" t="s">
        <v>4088</v>
      </c>
      <c r="E6995" s="5" t="s">
        <v>2390</v>
      </c>
      <c r="F6995" s="7" t="s">
        <v>65</v>
      </c>
    </row>
    <row r="6996">
      <c r="A6996" s="5" t="s">
        <v>3089</v>
      </c>
      <c r="B6996" s="8">
        <v>10.0</v>
      </c>
      <c r="C6996" s="7" t="s">
        <v>62</v>
      </c>
      <c r="D6996" s="5" t="s">
        <v>4088</v>
      </c>
      <c r="E6996" s="5" t="s">
        <v>2390</v>
      </c>
      <c r="F6996" s="7" t="s">
        <v>65</v>
      </c>
    </row>
    <row r="6997">
      <c r="A6997" s="5" t="s">
        <v>2928</v>
      </c>
      <c r="B6997" s="8">
        <v>10.0</v>
      </c>
      <c r="C6997" s="7" t="s">
        <v>62</v>
      </c>
      <c r="D6997" s="5" t="s">
        <v>4088</v>
      </c>
      <c r="E6997" s="5" t="s">
        <v>2390</v>
      </c>
      <c r="F6997" s="7" t="s">
        <v>65</v>
      </c>
    </row>
    <row r="6998">
      <c r="A6998" s="7" t="s">
        <v>603</v>
      </c>
      <c r="B6998" s="8">
        <v>10.0</v>
      </c>
      <c r="C6998" s="7" t="s">
        <v>62</v>
      </c>
      <c r="D6998" s="5" t="s">
        <v>4088</v>
      </c>
      <c r="E6998" s="5" t="s">
        <v>2390</v>
      </c>
      <c r="F6998" s="7" t="s">
        <v>66</v>
      </c>
    </row>
    <row r="6999">
      <c r="A6999" s="5" t="s">
        <v>2929</v>
      </c>
      <c r="B6999" s="8">
        <v>10.0</v>
      </c>
      <c r="C6999" s="7" t="s">
        <v>62</v>
      </c>
      <c r="D6999" s="5" t="s">
        <v>4088</v>
      </c>
      <c r="E6999" s="5" t="s">
        <v>2390</v>
      </c>
      <c r="F6999" s="7" t="s">
        <v>65</v>
      </c>
    </row>
    <row r="7000">
      <c r="A7000" s="5" t="s">
        <v>2702</v>
      </c>
      <c r="B7000" s="8">
        <v>10.0</v>
      </c>
      <c r="C7000" s="7" t="s">
        <v>62</v>
      </c>
      <c r="D7000" s="5" t="s">
        <v>4088</v>
      </c>
      <c r="E7000" s="5" t="s">
        <v>2390</v>
      </c>
      <c r="F7000" s="7" t="s">
        <v>65</v>
      </c>
    </row>
    <row r="7001">
      <c r="A7001" s="5" t="s">
        <v>2930</v>
      </c>
      <c r="B7001" s="8">
        <v>10.0</v>
      </c>
      <c r="C7001" s="7" t="s">
        <v>62</v>
      </c>
      <c r="D7001" s="5" t="s">
        <v>4088</v>
      </c>
      <c r="E7001" s="5" t="s">
        <v>2390</v>
      </c>
      <c r="F7001" s="7" t="s">
        <v>65</v>
      </c>
    </row>
    <row r="7002">
      <c r="A7002" s="5" t="s">
        <v>2600</v>
      </c>
      <c r="B7002" s="8">
        <v>10.0</v>
      </c>
      <c r="C7002" s="7" t="s">
        <v>62</v>
      </c>
      <c r="D7002" s="5" t="s">
        <v>4088</v>
      </c>
      <c r="E7002" s="5" t="s">
        <v>2390</v>
      </c>
      <c r="F7002" s="7" t="s">
        <v>65</v>
      </c>
    </row>
    <row r="7003">
      <c r="A7003" s="5" t="s">
        <v>3802</v>
      </c>
      <c r="B7003" s="8">
        <v>10.0</v>
      </c>
      <c r="C7003" s="7" t="s">
        <v>62</v>
      </c>
      <c r="D7003" s="5" t="s">
        <v>4088</v>
      </c>
      <c r="E7003" s="5" t="s">
        <v>2390</v>
      </c>
      <c r="F7003" s="7" t="s">
        <v>65</v>
      </c>
    </row>
    <row r="7004">
      <c r="A7004" s="5" t="s">
        <v>3090</v>
      </c>
      <c r="B7004" s="8">
        <v>10.0</v>
      </c>
      <c r="C7004" s="7" t="s">
        <v>62</v>
      </c>
      <c r="D7004" s="5" t="s">
        <v>4088</v>
      </c>
      <c r="E7004" s="5" t="s">
        <v>2390</v>
      </c>
      <c r="F7004" s="7" t="s">
        <v>66</v>
      </c>
    </row>
    <row r="7005">
      <c r="A7005" s="7" t="s">
        <v>606</v>
      </c>
      <c r="B7005" s="8">
        <v>10.0</v>
      </c>
      <c r="C7005" s="7" t="s">
        <v>62</v>
      </c>
      <c r="D7005" s="5" t="s">
        <v>4088</v>
      </c>
      <c r="E7005" s="5" t="s">
        <v>2390</v>
      </c>
      <c r="F7005" s="7" t="s">
        <v>65</v>
      </c>
    </row>
    <row r="7006">
      <c r="A7006" s="5" t="s">
        <v>2602</v>
      </c>
      <c r="B7006" s="8">
        <v>10.0</v>
      </c>
      <c r="C7006" s="7" t="s">
        <v>62</v>
      </c>
      <c r="D7006" s="5" t="s">
        <v>4088</v>
      </c>
      <c r="E7006" s="5" t="s">
        <v>2390</v>
      </c>
      <c r="F7006" s="7" t="s">
        <v>65</v>
      </c>
    </row>
    <row r="7007">
      <c r="A7007" s="5" t="s">
        <v>2931</v>
      </c>
      <c r="B7007" s="8">
        <v>10.0</v>
      </c>
      <c r="C7007" s="7" t="s">
        <v>62</v>
      </c>
      <c r="D7007" s="5" t="s">
        <v>4088</v>
      </c>
      <c r="E7007" s="5" t="s">
        <v>2390</v>
      </c>
      <c r="F7007" s="7" t="s">
        <v>65</v>
      </c>
    </row>
    <row r="7008">
      <c r="A7008" s="5" t="s">
        <v>2932</v>
      </c>
      <c r="B7008" s="8">
        <v>10.0</v>
      </c>
      <c r="C7008" s="7" t="s">
        <v>62</v>
      </c>
      <c r="D7008" s="5" t="s">
        <v>4088</v>
      </c>
      <c r="E7008" s="5" t="s">
        <v>2390</v>
      </c>
      <c r="F7008" s="7" t="s">
        <v>65</v>
      </c>
    </row>
    <row r="7009">
      <c r="A7009" s="5" t="s">
        <v>3091</v>
      </c>
      <c r="B7009" s="8">
        <v>10.0</v>
      </c>
      <c r="C7009" s="7" t="s">
        <v>62</v>
      </c>
      <c r="D7009" s="5" t="s">
        <v>4088</v>
      </c>
      <c r="E7009" s="5" t="s">
        <v>2390</v>
      </c>
      <c r="F7009" s="7" t="s">
        <v>65</v>
      </c>
    </row>
    <row r="7010">
      <c r="A7010" s="5" t="s">
        <v>2605</v>
      </c>
      <c r="B7010" s="8">
        <v>10.0</v>
      </c>
      <c r="C7010" s="7" t="s">
        <v>62</v>
      </c>
      <c r="D7010" s="5" t="s">
        <v>4088</v>
      </c>
      <c r="E7010" s="5" t="s">
        <v>2390</v>
      </c>
      <c r="F7010" s="7" t="s">
        <v>65</v>
      </c>
    </row>
    <row r="7011">
      <c r="A7011" s="7" t="s">
        <v>1989</v>
      </c>
      <c r="B7011" s="8">
        <v>10.0</v>
      </c>
      <c r="C7011" s="7" t="s">
        <v>62</v>
      </c>
      <c r="D7011" s="5" t="s">
        <v>4088</v>
      </c>
      <c r="E7011" s="5" t="s">
        <v>2390</v>
      </c>
      <c r="F7011" s="7" t="s">
        <v>65</v>
      </c>
    </row>
    <row r="7012">
      <c r="A7012" s="5" t="s">
        <v>2606</v>
      </c>
      <c r="B7012" s="8">
        <v>10.0</v>
      </c>
      <c r="C7012" s="7" t="s">
        <v>62</v>
      </c>
      <c r="D7012" s="5" t="s">
        <v>4088</v>
      </c>
      <c r="E7012" s="5" t="s">
        <v>2390</v>
      </c>
      <c r="F7012" s="7" t="s">
        <v>65</v>
      </c>
    </row>
    <row r="7013">
      <c r="A7013" s="5" t="s">
        <v>2607</v>
      </c>
      <c r="B7013" s="8">
        <v>10.0</v>
      </c>
      <c r="C7013" s="7" t="s">
        <v>62</v>
      </c>
      <c r="D7013" s="5" t="s">
        <v>4088</v>
      </c>
      <c r="E7013" s="5" t="s">
        <v>2390</v>
      </c>
      <c r="F7013" s="7" t="s">
        <v>65</v>
      </c>
    </row>
    <row r="7014">
      <c r="A7014" s="7" t="s">
        <v>1990</v>
      </c>
      <c r="B7014" s="8">
        <v>10.0</v>
      </c>
      <c r="C7014" s="7" t="s">
        <v>62</v>
      </c>
      <c r="D7014" s="5" t="s">
        <v>4088</v>
      </c>
      <c r="E7014" s="5" t="s">
        <v>2390</v>
      </c>
      <c r="F7014" s="7" t="s">
        <v>65</v>
      </c>
    </row>
    <row r="7015">
      <c r="A7015" s="5" t="s">
        <v>2935</v>
      </c>
      <c r="B7015" s="8">
        <v>10.0</v>
      </c>
      <c r="C7015" s="7" t="s">
        <v>62</v>
      </c>
      <c r="D7015" s="5" t="s">
        <v>4088</v>
      </c>
      <c r="E7015" s="5" t="s">
        <v>2390</v>
      </c>
      <c r="F7015" s="7" t="s">
        <v>65</v>
      </c>
    </row>
    <row r="7016">
      <c r="A7016" s="5" t="s">
        <v>2936</v>
      </c>
      <c r="B7016" s="8">
        <v>10.0</v>
      </c>
      <c r="C7016" s="7" t="s">
        <v>62</v>
      </c>
      <c r="D7016" s="5" t="s">
        <v>4088</v>
      </c>
      <c r="E7016" s="5" t="s">
        <v>2390</v>
      </c>
      <c r="F7016" s="7" t="s">
        <v>65</v>
      </c>
    </row>
    <row r="7017">
      <c r="A7017" s="5" t="s">
        <v>2608</v>
      </c>
      <c r="B7017" s="8">
        <v>10.0</v>
      </c>
      <c r="C7017" s="7" t="s">
        <v>62</v>
      </c>
      <c r="D7017" s="5" t="s">
        <v>4088</v>
      </c>
      <c r="E7017" s="5" t="s">
        <v>2390</v>
      </c>
      <c r="F7017" s="7" t="s">
        <v>65</v>
      </c>
    </row>
    <row r="7018">
      <c r="A7018" s="5" t="s">
        <v>2609</v>
      </c>
      <c r="B7018" s="8">
        <v>10.0</v>
      </c>
      <c r="C7018" s="7" t="s">
        <v>62</v>
      </c>
      <c r="D7018" s="5" t="s">
        <v>4088</v>
      </c>
      <c r="E7018" s="5" t="s">
        <v>2390</v>
      </c>
      <c r="F7018" s="7" t="s">
        <v>65</v>
      </c>
    </row>
    <row r="7019">
      <c r="A7019" s="5" t="s">
        <v>3791</v>
      </c>
      <c r="B7019" s="8">
        <v>10.0</v>
      </c>
      <c r="C7019" s="7" t="s">
        <v>966</v>
      </c>
      <c r="D7019" s="7" t="s">
        <v>2391</v>
      </c>
      <c r="E7019" s="5" t="s">
        <v>4089</v>
      </c>
      <c r="F7019" s="5" t="s">
        <v>2347</v>
      </c>
    </row>
    <row r="7020">
      <c r="A7020" s="7" t="s">
        <v>188</v>
      </c>
      <c r="B7020" s="8">
        <v>10.0</v>
      </c>
      <c r="C7020" s="7" t="s">
        <v>966</v>
      </c>
      <c r="D7020" s="7" t="s">
        <v>2391</v>
      </c>
      <c r="E7020" s="5" t="s">
        <v>4089</v>
      </c>
      <c r="F7020" s="5" t="s">
        <v>2347</v>
      </c>
    </row>
    <row r="7021">
      <c r="A7021" s="5" t="s">
        <v>2924</v>
      </c>
      <c r="B7021" s="8">
        <v>10.0</v>
      </c>
      <c r="C7021" s="7" t="s">
        <v>966</v>
      </c>
      <c r="D7021" s="7" t="s">
        <v>2391</v>
      </c>
      <c r="E7021" s="5" t="s">
        <v>4089</v>
      </c>
      <c r="F7021" s="5" t="s">
        <v>2348</v>
      </c>
    </row>
    <row r="7022">
      <c r="A7022" s="5" t="s">
        <v>2925</v>
      </c>
      <c r="B7022" s="8">
        <v>10.0</v>
      </c>
      <c r="C7022" s="7" t="s">
        <v>966</v>
      </c>
      <c r="D7022" s="7" t="s">
        <v>2391</v>
      </c>
      <c r="E7022" s="5" t="s">
        <v>4089</v>
      </c>
      <c r="F7022" s="5" t="s">
        <v>2347</v>
      </c>
    </row>
    <row r="7023">
      <c r="A7023" s="5" t="s">
        <v>3086</v>
      </c>
      <c r="B7023" s="8">
        <v>10.0</v>
      </c>
      <c r="C7023" s="7" t="s">
        <v>966</v>
      </c>
      <c r="D7023" s="7" t="s">
        <v>2391</v>
      </c>
      <c r="E7023" s="5" t="s">
        <v>4089</v>
      </c>
      <c r="F7023" s="5" t="s">
        <v>2347</v>
      </c>
    </row>
    <row r="7024">
      <c r="A7024" s="5" t="s">
        <v>4037</v>
      </c>
      <c r="B7024" s="8">
        <v>10.0</v>
      </c>
      <c r="C7024" s="7" t="s">
        <v>966</v>
      </c>
      <c r="D7024" s="7" t="s">
        <v>2391</v>
      </c>
      <c r="E7024" s="5" t="s">
        <v>4089</v>
      </c>
      <c r="F7024" s="5" t="s">
        <v>2347</v>
      </c>
    </row>
    <row r="7025">
      <c r="A7025" s="7" t="s">
        <v>2319</v>
      </c>
      <c r="B7025" s="8">
        <v>10.0</v>
      </c>
      <c r="C7025" s="7" t="s">
        <v>966</v>
      </c>
      <c r="D7025" s="7" t="s">
        <v>2391</v>
      </c>
      <c r="E7025" s="5" t="s">
        <v>4089</v>
      </c>
      <c r="F7025" s="5" t="s">
        <v>2347</v>
      </c>
    </row>
    <row r="7026">
      <c r="A7026" s="5" t="s">
        <v>3795</v>
      </c>
      <c r="B7026" s="8">
        <v>10.0</v>
      </c>
      <c r="C7026" s="7" t="s">
        <v>966</v>
      </c>
      <c r="D7026" s="7" t="s">
        <v>2391</v>
      </c>
      <c r="E7026" s="5" t="s">
        <v>4089</v>
      </c>
      <c r="F7026" s="5" t="s">
        <v>2347</v>
      </c>
    </row>
    <row r="7027">
      <c r="A7027" s="7" t="s">
        <v>868</v>
      </c>
      <c r="B7027" s="8">
        <v>10.0</v>
      </c>
      <c r="C7027" s="7" t="s">
        <v>966</v>
      </c>
      <c r="D7027" s="7" t="s">
        <v>2391</v>
      </c>
      <c r="E7027" s="5" t="s">
        <v>4089</v>
      </c>
      <c r="F7027" s="5" t="s">
        <v>2347</v>
      </c>
    </row>
    <row r="7028">
      <c r="A7028" s="5" t="s">
        <v>3087</v>
      </c>
      <c r="B7028" s="8">
        <v>10.0</v>
      </c>
      <c r="C7028" s="7" t="s">
        <v>966</v>
      </c>
      <c r="D7028" s="7" t="s">
        <v>2391</v>
      </c>
      <c r="E7028" s="5" t="s">
        <v>4089</v>
      </c>
      <c r="F7028" s="5" t="s">
        <v>2350</v>
      </c>
    </row>
    <row r="7029">
      <c r="A7029" s="5" t="s">
        <v>3088</v>
      </c>
      <c r="B7029" s="8">
        <v>10.0</v>
      </c>
      <c r="C7029" s="7" t="s">
        <v>966</v>
      </c>
      <c r="D7029" s="7" t="s">
        <v>2391</v>
      </c>
      <c r="E7029" s="5" t="s">
        <v>4089</v>
      </c>
      <c r="F7029" s="5" t="s">
        <v>2347</v>
      </c>
    </row>
    <row r="7030">
      <c r="A7030" s="5" t="s">
        <v>3388</v>
      </c>
      <c r="B7030" s="8">
        <v>10.0</v>
      </c>
      <c r="C7030" s="7" t="s">
        <v>966</v>
      </c>
      <c r="D7030" s="7" t="s">
        <v>2391</v>
      </c>
      <c r="E7030" s="5" t="s">
        <v>4089</v>
      </c>
      <c r="F7030" s="5" t="s">
        <v>2347</v>
      </c>
    </row>
    <row r="7031">
      <c r="A7031" s="5" t="s">
        <v>2927</v>
      </c>
      <c r="B7031" s="8">
        <v>10.0</v>
      </c>
      <c r="C7031" s="7" t="s">
        <v>966</v>
      </c>
      <c r="D7031" s="7" t="s">
        <v>2391</v>
      </c>
      <c r="E7031" s="5" t="s">
        <v>4089</v>
      </c>
      <c r="F7031" s="5" t="s">
        <v>2348</v>
      </c>
    </row>
    <row r="7032">
      <c r="A7032" s="5" t="s">
        <v>3089</v>
      </c>
      <c r="B7032" s="8">
        <v>10.0</v>
      </c>
      <c r="C7032" s="7" t="s">
        <v>966</v>
      </c>
      <c r="D7032" s="7" t="s">
        <v>2391</v>
      </c>
      <c r="E7032" s="5" t="s">
        <v>4089</v>
      </c>
      <c r="F7032" s="4" t="s">
        <v>2351</v>
      </c>
    </row>
    <row r="7033">
      <c r="A7033" s="5" t="s">
        <v>2928</v>
      </c>
      <c r="B7033" s="8">
        <v>10.0</v>
      </c>
      <c r="C7033" s="7" t="s">
        <v>966</v>
      </c>
      <c r="D7033" s="7" t="s">
        <v>2391</v>
      </c>
      <c r="E7033" s="5" t="s">
        <v>4089</v>
      </c>
      <c r="F7033" s="5" t="s">
        <v>2348</v>
      </c>
    </row>
    <row r="7034">
      <c r="A7034" s="7" t="s">
        <v>603</v>
      </c>
      <c r="B7034" s="8">
        <v>10.0</v>
      </c>
      <c r="C7034" s="7" t="s">
        <v>966</v>
      </c>
      <c r="D7034" s="7" t="s">
        <v>2391</v>
      </c>
      <c r="E7034" s="5" t="s">
        <v>4089</v>
      </c>
      <c r="F7034" s="5" t="s">
        <v>2352</v>
      </c>
    </row>
    <row r="7035">
      <c r="A7035" s="5" t="s">
        <v>2929</v>
      </c>
      <c r="B7035" s="8">
        <v>10.0</v>
      </c>
      <c r="C7035" s="7" t="s">
        <v>966</v>
      </c>
      <c r="D7035" s="7" t="s">
        <v>2391</v>
      </c>
      <c r="E7035" s="5" t="s">
        <v>4089</v>
      </c>
      <c r="F7035" s="5" t="s">
        <v>2353</v>
      </c>
    </row>
    <row r="7036">
      <c r="A7036" s="5" t="s">
        <v>2702</v>
      </c>
      <c r="B7036" s="8">
        <v>10.0</v>
      </c>
      <c r="C7036" s="7" t="s">
        <v>966</v>
      </c>
      <c r="D7036" s="7" t="s">
        <v>2391</v>
      </c>
      <c r="E7036" s="5" t="s">
        <v>4089</v>
      </c>
      <c r="F7036" s="5" t="s">
        <v>2347</v>
      </c>
    </row>
    <row r="7037">
      <c r="A7037" s="5" t="s">
        <v>2930</v>
      </c>
      <c r="B7037" s="8">
        <v>10.0</v>
      </c>
      <c r="C7037" s="7" t="s">
        <v>966</v>
      </c>
      <c r="D7037" s="7" t="s">
        <v>2391</v>
      </c>
      <c r="E7037" s="5" t="s">
        <v>4089</v>
      </c>
      <c r="F7037" s="5" t="s">
        <v>2348</v>
      </c>
    </row>
    <row r="7038">
      <c r="A7038" s="5" t="s">
        <v>2600</v>
      </c>
      <c r="B7038" s="8">
        <v>10.0</v>
      </c>
      <c r="C7038" s="7" t="s">
        <v>966</v>
      </c>
      <c r="D7038" s="7" t="s">
        <v>2391</v>
      </c>
      <c r="E7038" s="5" t="s">
        <v>4089</v>
      </c>
      <c r="F7038" s="5" t="s">
        <v>4059</v>
      </c>
    </row>
    <row r="7039">
      <c r="A7039" s="5" t="s">
        <v>3802</v>
      </c>
      <c r="B7039" s="8">
        <v>10.0</v>
      </c>
      <c r="C7039" s="7" t="s">
        <v>966</v>
      </c>
      <c r="D7039" s="7" t="s">
        <v>2391</v>
      </c>
      <c r="E7039" s="5" t="s">
        <v>4089</v>
      </c>
      <c r="F7039" s="5" t="s">
        <v>2347</v>
      </c>
    </row>
    <row r="7040">
      <c r="A7040" s="5" t="s">
        <v>3090</v>
      </c>
      <c r="B7040" s="8">
        <v>10.0</v>
      </c>
      <c r="C7040" s="7" t="s">
        <v>966</v>
      </c>
      <c r="D7040" s="7" t="s">
        <v>2391</v>
      </c>
      <c r="E7040" s="5" t="s">
        <v>4089</v>
      </c>
      <c r="F7040" s="5" t="s">
        <v>2355</v>
      </c>
    </row>
    <row r="7041">
      <c r="A7041" s="7" t="s">
        <v>606</v>
      </c>
      <c r="B7041" s="8">
        <v>10.0</v>
      </c>
      <c r="C7041" s="7" t="s">
        <v>966</v>
      </c>
      <c r="D7041" s="7" t="s">
        <v>2391</v>
      </c>
      <c r="E7041" s="5" t="s">
        <v>4089</v>
      </c>
      <c r="F7041" s="5" t="s">
        <v>2348</v>
      </c>
    </row>
    <row r="7042">
      <c r="A7042" s="5" t="s">
        <v>2602</v>
      </c>
      <c r="B7042" s="8">
        <v>10.0</v>
      </c>
      <c r="C7042" s="7" t="s">
        <v>966</v>
      </c>
      <c r="D7042" s="7" t="s">
        <v>2391</v>
      </c>
      <c r="E7042" s="5" t="s">
        <v>4089</v>
      </c>
      <c r="F7042" s="5" t="s">
        <v>2348</v>
      </c>
    </row>
    <row r="7043">
      <c r="A7043" s="5" t="s">
        <v>2931</v>
      </c>
      <c r="B7043" s="8">
        <v>10.0</v>
      </c>
      <c r="C7043" s="7" t="s">
        <v>966</v>
      </c>
      <c r="D7043" s="7" t="s">
        <v>2391</v>
      </c>
      <c r="E7043" s="5" t="s">
        <v>4089</v>
      </c>
      <c r="F7043" s="4" t="s">
        <v>2347</v>
      </c>
    </row>
    <row r="7044">
      <c r="A7044" s="5" t="s">
        <v>2932</v>
      </c>
      <c r="B7044" s="8">
        <v>10.0</v>
      </c>
      <c r="C7044" s="7" t="s">
        <v>966</v>
      </c>
      <c r="D7044" s="7" t="s">
        <v>2391</v>
      </c>
      <c r="E7044" s="5" t="s">
        <v>4089</v>
      </c>
      <c r="F7044" s="5" t="s">
        <v>2347</v>
      </c>
    </row>
    <row r="7045">
      <c r="A7045" s="5" t="s">
        <v>3091</v>
      </c>
      <c r="B7045" s="8">
        <v>10.0</v>
      </c>
      <c r="C7045" s="7" t="s">
        <v>966</v>
      </c>
      <c r="D7045" s="7" t="s">
        <v>2391</v>
      </c>
      <c r="E7045" s="5" t="s">
        <v>4089</v>
      </c>
      <c r="F7045" s="5" t="s">
        <v>2347</v>
      </c>
    </row>
    <row r="7046">
      <c r="A7046" s="5" t="s">
        <v>2605</v>
      </c>
      <c r="B7046" s="8">
        <v>10.0</v>
      </c>
      <c r="C7046" s="7" t="s">
        <v>966</v>
      </c>
      <c r="D7046" s="7" t="s">
        <v>2391</v>
      </c>
      <c r="E7046" s="5" t="s">
        <v>4089</v>
      </c>
      <c r="F7046" s="5" t="s">
        <v>2347</v>
      </c>
    </row>
    <row r="7047">
      <c r="A7047" s="7" t="s">
        <v>1989</v>
      </c>
      <c r="B7047" s="8">
        <v>10.0</v>
      </c>
      <c r="C7047" s="7" t="s">
        <v>966</v>
      </c>
      <c r="D7047" s="7" t="s">
        <v>2391</v>
      </c>
      <c r="E7047" s="5" t="s">
        <v>4089</v>
      </c>
      <c r="F7047" s="5" t="s">
        <v>2347</v>
      </c>
    </row>
    <row r="7048">
      <c r="A7048" s="5" t="s">
        <v>2606</v>
      </c>
      <c r="B7048" s="8">
        <v>10.0</v>
      </c>
      <c r="C7048" s="7" t="s">
        <v>966</v>
      </c>
      <c r="D7048" s="7" t="s">
        <v>2391</v>
      </c>
      <c r="E7048" s="5" t="s">
        <v>4089</v>
      </c>
      <c r="F7048" s="5" t="s">
        <v>2348</v>
      </c>
    </row>
    <row r="7049">
      <c r="A7049" s="5" t="s">
        <v>2607</v>
      </c>
      <c r="B7049" s="8">
        <v>10.0</v>
      </c>
      <c r="C7049" s="7" t="s">
        <v>966</v>
      </c>
      <c r="D7049" s="7" t="s">
        <v>2391</v>
      </c>
      <c r="E7049" s="5" t="s">
        <v>4089</v>
      </c>
      <c r="F7049" s="5" t="s">
        <v>2356</v>
      </c>
    </row>
    <row r="7050">
      <c r="A7050" s="7" t="s">
        <v>1990</v>
      </c>
      <c r="B7050" s="8">
        <v>10.0</v>
      </c>
      <c r="C7050" s="7" t="s">
        <v>966</v>
      </c>
      <c r="D7050" s="7" t="s">
        <v>2391</v>
      </c>
      <c r="E7050" s="5" t="s">
        <v>4089</v>
      </c>
      <c r="F7050" s="5" t="s">
        <v>2347</v>
      </c>
    </row>
    <row r="7051">
      <c r="A7051" s="5" t="s">
        <v>2935</v>
      </c>
      <c r="B7051" s="8">
        <v>10.0</v>
      </c>
      <c r="C7051" s="7" t="s">
        <v>966</v>
      </c>
      <c r="D7051" s="7" t="s">
        <v>2391</v>
      </c>
      <c r="E7051" s="5" t="s">
        <v>4089</v>
      </c>
      <c r="F7051" s="5" t="s">
        <v>4060</v>
      </c>
    </row>
    <row r="7052">
      <c r="A7052" s="5" t="s">
        <v>2936</v>
      </c>
      <c r="B7052" s="8">
        <v>10.0</v>
      </c>
      <c r="C7052" s="7" t="s">
        <v>966</v>
      </c>
      <c r="D7052" s="7" t="s">
        <v>2391</v>
      </c>
      <c r="E7052" s="5" t="s">
        <v>4089</v>
      </c>
      <c r="F7052" s="5" t="s">
        <v>2348</v>
      </c>
    </row>
    <row r="7053">
      <c r="A7053" s="5" t="s">
        <v>2608</v>
      </c>
      <c r="B7053" s="8">
        <v>10.0</v>
      </c>
      <c r="C7053" s="7" t="s">
        <v>966</v>
      </c>
      <c r="D7053" s="7" t="s">
        <v>2391</v>
      </c>
      <c r="E7053" s="5" t="s">
        <v>4089</v>
      </c>
      <c r="F7053" s="5" t="s">
        <v>2348</v>
      </c>
    </row>
    <row r="7054">
      <c r="A7054" s="5" t="s">
        <v>2609</v>
      </c>
      <c r="B7054" s="8">
        <v>10.0</v>
      </c>
      <c r="C7054" s="7" t="s">
        <v>966</v>
      </c>
      <c r="D7054" s="7" t="s">
        <v>2391</v>
      </c>
      <c r="E7054" s="5" t="s">
        <v>4089</v>
      </c>
      <c r="F7054" s="5" t="s">
        <v>2348</v>
      </c>
    </row>
    <row r="7055">
      <c r="A7055" s="5" t="s">
        <v>3791</v>
      </c>
      <c r="B7055" s="8">
        <v>10.0</v>
      </c>
      <c r="C7055" s="7" t="s">
        <v>309</v>
      </c>
      <c r="D7055" s="5" t="s">
        <v>627</v>
      </c>
      <c r="E7055" s="7" t="s">
        <v>820</v>
      </c>
      <c r="F7055" s="5" t="s">
        <v>271</v>
      </c>
    </row>
    <row r="7056">
      <c r="A7056" s="7" t="s">
        <v>188</v>
      </c>
      <c r="B7056" s="8">
        <v>10.0</v>
      </c>
      <c r="C7056" s="7" t="s">
        <v>309</v>
      </c>
      <c r="D7056" s="5" t="s">
        <v>627</v>
      </c>
      <c r="E7056" s="7" t="s">
        <v>820</v>
      </c>
      <c r="F7056" s="5" t="s">
        <v>4036</v>
      </c>
    </row>
    <row r="7057">
      <c r="A7057" s="5" t="s">
        <v>2924</v>
      </c>
      <c r="B7057" s="8">
        <v>10.0</v>
      </c>
      <c r="C7057" s="7" t="s">
        <v>309</v>
      </c>
      <c r="D7057" s="5" t="s">
        <v>627</v>
      </c>
      <c r="E7057" s="7" t="s">
        <v>820</v>
      </c>
      <c r="F7057" s="5" t="s">
        <v>238</v>
      </c>
    </row>
    <row r="7058">
      <c r="A7058" s="5" t="s">
        <v>2925</v>
      </c>
      <c r="B7058" s="8">
        <v>10.0</v>
      </c>
      <c r="C7058" s="7" t="s">
        <v>309</v>
      </c>
      <c r="D7058" s="5" t="s">
        <v>627</v>
      </c>
      <c r="E7058" s="7" t="s">
        <v>820</v>
      </c>
      <c r="F7058" s="5" t="s">
        <v>271</v>
      </c>
    </row>
    <row r="7059">
      <c r="A7059" s="5" t="s">
        <v>3086</v>
      </c>
      <c r="B7059" s="8">
        <v>10.0</v>
      </c>
      <c r="C7059" s="7" t="s">
        <v>309</v>
      </c>
      <c r="D7059" s="5" t="s">
        <v>627</v>
      </c>
      <c r="E7059" s="7" t="s">
        <v>820</v>
      </c>
      <c r="F7059" s="5" t="s">
        <v>271</v>
      </c>
    </row>
    <row r="7060">
      <c r="A7060" s="5" t="s">
        <v>4037</v>
      </c>
      <c r="B7060" s="8">
        <v>10.0</v>
      </c>
      <c r="C7060" s="7" t="s">
        <v>309</v>
      </c>
      <c r="D7060" s="5" t="s">
        <v>627</v>
      </c>
      <c r="E7060" s="7" t="s">
        <v>820</v>
      </c>
      <c r="F7060" s="5" t="s">
        <v>271</v>
      </c>
    </row>
    <row r="7061">
      <c r="A7061" s="7" t="s">
        <v>2319</v>
      </c>
      <c r="B7061" s="8">
        <v>10.0</v>
      </c>
      <c r="C7061" s="7" t="s">
        <v>309</v>
      </c>
      <c r="D7061" s="5" t="s">
        <v>627</v>
      </c>
      <c r="E7061" s="7" t="s">
        <v>820</v>
      </c>
      <c r="F7061" s="5" t="s">
        <v>271</v>
      </c>
    </row>
    <row r="7062">
      <c r="A7062" s="5" t="s">
        <v>3795</v>
      </c>
      <c r="B7062" s="8">
        <v>10.0</v>
      </c>
      <c r="C7062" s="7" t="s">
        <v>309</v>
      </c>
      <c r="D7062" s="5" t="s">
        <v>627</v>
      </c>
      <c r="E7062" s="7" t="s">
        <v>820</v>
      </c>
      <c r="F7062" s="5" t="s">
        <v>271</v>
      </c>
    </row>
    <row r="7063">
      <c r="A7063" s="7" t="s">
        <v>868</v>
      </c>
      <c r="B7063" s="8">
        <v>10.0</v>
      </c>
      <c r="C7063" s="7" t="s">
        <v>309</v>
      </c>
      <c r="D7063" s="5" t="s">
        <v>627</v>
      </c>
      <c r="E7063" s="7" t="s">
        <v>820</v>
      </c>
      <c r="F7063" s="5" t="s">
        <v>271</v>
      </c>
    </row>
    <row r="7064">
      <c r="A7064" s="5" t="s">
        <v>3087</v>
      </c>
      <c r="B7064" s="8">
        <v>10.0</v>
      </c>
      <c r="C7064" s="7" t="s">
        <v>309</v>
      </c>
      <c r="D7064" s="5" t="s">
        <v>627</v>
      </c>
      <c r="E7064" s="7" t="s">
        <v>820</v>
      </c>
      <c r="F7064" s="5" t="s">
        <v>240</v>
      </c>
    </row>
    <row r="7065">
      <c r="A7065" s="5" t="s">
        <v>3088</v>
      </c>
      <c r="B7065" s="8">
        <v>10.0</v>
      </c>
      <c r="C7065" s="7" t="s">
        <v>309</v>
      </c>
      <c r="D7065" s="5" t="s">
        <v>627</v>
      </c>
      <c r="E7065" s="7" t="s">
        <v>820</v>
      </c>
      <c r="F7065" s="5" t="s">
        <v>271</v>
      </c>
    </row>
    <row r="7066">
      <c r="A7066" s="5" t="s">
        <v>3388</v>
      </c>
      <c r="B7066" s="8">
        <v>10.0</v>
      </c>
      <c r="C7066" s="7" t="s">
        <v>309</v>
      </c>
      <c r="D7066" s="5" t="s">
        <v>627</v>
      </c>
      <c r="E7066" s="7" t="s">
        <v>820</v>
      </c>
      <c r="F7066" s="5" t="s">
        <v>271</v>
      </c>
    </row>
    <row r="7067">
      <c r="A7067" s="5" t="s">
        <v>2927</v>
      </c>
      <c r="B7067" s="8">
        <v>10.0</v>
      </c>
      <c r="C7067" s="7" t="s">
        <v>309</v>
      </c>
      <c r="D7067" s="5" t="s">
        <v>627</v>
      </c>
      <c r="E7067" s="7" t="s">
        <v>820</v>
      </c>
      <c r="F7067" s="5" t="s">
        <v>238</v>
      </c>
    </row>
    <row r="7068">
      <c r="A7068" s="5" t="s">
        <v>3089</v>
      </c>
      <c r="B7068" s="8">
        <v>10.0</v>
      </c>
      <c r="C7068" s="7" t="s">
        <v>309</v>
      </c>
      <c r="D7068" s="5" t="s">
        <v>627</v>
      </c>
      <c r="E7068" s="7" t="s">
        <v>820</v>
      </c>
      <c r="F7068" s="5" t="s">
        <v>4090</v>
      </c>
    </row>
    <row r="7069">
      <c r="A7069" s="5" t="s">
        <v>2928</v>
      </c>
      <c r="B7069" s="8">
        <v>10.0</v>
      </c>
      <c r="C7069" s="7" t="s">
        <v>309</v>
      </c>
      <c r="D7069" s="5" t="s">
        <v>627</v>
      </c>
      <c r="E7069" s="7" t="s">
        <v>820</v>
      </c>
      <c r="F7069" s="5" t="s">
        <v>238</v>
      </c>
    </row>
    <row r="7070">
      <c r="A7070" s="7" t="s">
        <v>603</v>
      </c>
      <c r="B7070" s="8">
        <v>10.0</v>
      </c>
      <c r="C7070" s="7" t="s">
        <v>309</v>
      </c>
      <c r="D7070" s="5" t="s">
        <v>627</v>
      </c>
      <c r="E7070" s="7" t="s">
        <v>820</v>
      </c>
      <c r="F7070" s="5" t="s">
        <v>238</v>
      </c>
    </row>
    <row r="7071">
      <c r="A7071" s="5" t="s">
        <v>2929</v>
      </c>
      <c r="B7071" s="8">
        <v>10.0</v>
      </c>
      <c r="C7071" s="7" t="s">
        <v>309</v>
      </c>
      <c r="D7071" s="5" t="s">
        <v>627</v>
      </c>
      <c r="E7071" s="7" t="s">
        <v>820</v>
      </c>
      <c r="F7071" s="5" t="s">
        <v>3037</v>
      </c>
    </row>
    <row r="7072">
      <c r="A7072" s="5" t="s">
        <v>2702</v>
      </c>
      <c r="B7072" s="8">
        <v>10.0</v>
      </c>
      <c r="C7072" s="7" t="s">
        <v>309</v>
      </c>
      <c r="D7072" s="5" t="s">
        <v>627</v>
      </c>
      <c r="E7072" s="7" t="s">
        <v>820</v>
      </c>
      <c r="F7072" s="5" t="s">
        <v>271</v>
      </c>
    </row>
    <row r="7073">
      <c r="A7073" s="5" t="s">
        <v>2930</v>
      </c>
      <c r="B7073" s="8">
        <v>10.0</v>
      </c>
      <c r="C7073" s="7" t="s">
        <v>309</v>
      </c>
      <c r="D7073" s="5" t="s">
        <v>627</v>
      </c>
      <c r="E7073" s="7" t="s">
        <v>820</v>
      </c>
      <c r="F7073" s="5" t="s">
        <v>238</v>
      </c>
    </row>
    <row r="7074">
      <c r="A7074" s="5" t="s">
        <v>2600</v>
      </c>
      <c r="B7074" s="8">
        <v>10.0</v>
      </c>
      <c r="C7074" s="7" t="s">
        <v>309</v>
      </c>
      <c r="D7074" s="5" t="s">
        <v>627</v>
      </c>
      <c r="E7074" s="7" t="s">
        <v>820</v>
      </c>
      <c r="F7074" s="5" t="s">
        <v>4090</v>
      </c>
    </row>
    <row r="7075">
      <c r="A7075" s="5" t="s">
        <v>3802</v>
      </c>
      <c r="B7075" s="8">
        <v>10.0</v>
      </c>
      <c r="C7075" s="7" t="s">
        <v>309</v>
      </c>
      <c r="D7075" s="5" t="s">
        <v>627</v>
      </c>
      <c r="E7075" s="7" t="s">
        <v>820</v>
      </c>
      <c r="F7075" s="5" t="s">
        <v>271</v>
      </c>
    </row>
    <row r="7076">
      <c r="A7076" s="5" t="s">
        <v>3090</v>
      </c>
      <c r="B7076" s="8">
        <v>10.0</v>
      </c>
      <c r="C7076" s="7" t="s">
        <v>309</v>
      </c>
      <c r="D7076" s="5" t="s">
        <v>627</v>
      </c>
      <c r="E7076" s="7" t="s">
        <v>820</v>
      </c>
      <c r="F7076" s="5" t="s">
        <v>271</v>
      </c>
    </row>
    <row r="7077">
      <c r="A7077" s="7" t="s">
        <v>606</v>
      </c>
      <c r="B7077" s="8">
        <v>10.0</v>
      </c>
      <c r="C7077" s="7" t="s">
        <v>309</v>
      </c>
      <c r="D7077" s="5" t="s">
        <v>627</v>
      </c>
      <c r="E7077" s="7" t="s">
        <v>820</v>
      </c>
      <c r="F7077" s="5" t="s">
        <v>238</v>
      </c>
    </row>
    <row r="7078">
      <c r="A7078" s="5" t="s">
        <v>2602</v>
      </c>
      <c r="B7078" s="8">
        <v>10.0</v>
      </c>
      <c r="C7078" s="7" t="s">
        <v>309</v>
      </c>
      <c r="D7078" s="5" t="s">
        <v>627</v>
      </c>
      <c r="E7078" s="7" t="s">
        <v>820</v>
      </c>
      <c r="F7078" s="5" t="s">
        <v>238</v>
      </c>
    </row>
    <row r="7079">
      <c r="A7079" s="5" t="s">
        <v>2931</v>
      </c>
      <c r="B7079" s="8">
        <v>10.0</v>
      </c>
      <c r="C7079" s="7" t="s">
        <v>309</v>
      </c>
      <c r="D7079" s="5" t="s">
        <v>627</v>
      </c>
      <c r="E7079" s="7" t="s">
        <v>820</v>
      </c>
      <c r="F7079" s="5" t="s">
        <v>271</v>
      </c>
    </row>
    <row r="7080">
      <c r="A7080" s="5" t="s">
        <v>2932</v>
      </c>
      <c r="B7080" s="8">
        <v>10.0</v>
      </c>
      <c r="C7080" s="7" t="s">
        <v>309</v>
      </c>
      <c r="D7080" s="5" t="s">
        <v>627</v>
      </c>
      <c r="E7080" s="7" t="s">
        <v>820</v>
      </c>
      <c r="F7080" s="5" t="s">
        <v>271</v>
      </c>
    </row>
    <row r="7081">
      <c r="A7081" s="5" t="s">
        <v>3091</v>
      </c>
      <c r="B7081" s="8">
        <v>10.0</v>
      </c>
      <c r="C7081" s="7" t="s">
        <v>309</v>
      </c>
      <c r="D7081" s="5" t="s">
        <v>627</v>
      </c>
      <c r="E7081" s="7" t="s">
        <v>820</v>
      </c>
      <c r="F7081" s="5" t="s">
        <v>271</v>
      </c>
    </row>
    <row r="7082">
      <c r="A7082" s="5" t="s">
        <v>2605</v>
      </c>
      <c r="B7082" s="8">
        <v>10.0</v>
      </c>
      <c r="C7082" s="7" t="s">
        <v>309</v>
      </c>
      <c r="D7082" s="5" t="s">
        <v>627</v>
      </c>
      <c r="E7082" s="7" t="s">
        <v>820</v>
      </c>
      <c r="F7082" s="5" t="s">
        <v>271</v>
      </c>
    </row>
    <row r="7083">
      <c r="A7083" s="7" t="s">
        <v>1989</v>
      </c>
      <c r="B7083" s="8">
        <v>10.0</v>
      </c>
      <c r="C7083" s="7" t="s">
        <v>309</v>
      </c>
      <c r="D7083" s="5" t="s">
        <v>627</v>
      </c>
      <c r="E7083" s="7" t="s">
        <v>820</v>
      </c>
      <c r="F7083" s="5" t="s">
        <v>271</v>
      </c>
    </row>
    <row r="7084">
      <c r="A7084" s="5" t="s">
        <v>2606</v>
      </c>
      <c r="B7084" s="8">
        <v>10.0</v>
      </c>
      <c r="C7084" s="7" t="s">
        <v>309</v>
      </c>
      <c r="D7084" s="5" t="s">
        <v>627</v>
      </c>
      <c r="E7084" s="7" t="s">
        <v>820</v>
      </c>
      <c r="F7084" s="5" t="s">
        <v>238</v>
      </c>
    </row>
    <row r="7085">
      <c r="A7085" s="5" t="s">
        <v>2607</v>
      </c>
      <c r="B7085" s="8">
        <v>10.0</v>
      </c>
      <c r="C7085" s="7" t="s">
        <v>309</v>
      </c>
      <c r="D7085" s="5" t="s">
        <v>627</v>
      </c>
      <c r="E7085" s="7" t="s">
        <v>820</v>
      </c>
      <c r="F7085" s="5" t="s">
        <v>238</v>
      </c>
    </row>
    <row r="7086">
      <c r="A7086" s="7" t="s">
        <v>1990</v>
      </c>
      <c r="B7086" s="8">
        <v>10.0</v>
      </c>
      <c r="C7086" s="7" t="s">
        <v>309</v>
      </c>
      <c r="D7086" s="5" t="s">
        <v>627</v>
      </c>
      <c r="E7086" s="7" t="s">
        <v>820</v>
      </c>
      <c r="F7086" s="5" t="s">
        <v>271</v>
      </c>
    </row>
    <row r="7087">
      <c r="A7087" s="5" t="s">
        <v>2935</v>
      </c>
      <c r="B7087" s="8">
        <v>10.0</v>
      </c>
      <c r="C7087" s="7" t="s">
        <v>309</v>
      </c>
      <c r="D7087" s="5" t="s">
        <v>627</v>
      </c>
      <c r="E7087" s="7" t="s">
        <v>820</v>
      </c>
      <c r="F7087" s="5" t="s">
        <v>4091</v>
      </c>
    </row>
    <row r="7088">
      <c r="A7088" s="5" t="s">
        <v>2936</v>
      </c>
      <c r="B7088" s="8">
        <v>10.0</v>
      </c>
      <c r="C7088" s="7" t="s">
        <v>309</v>
      </c>
      <c r="D7088" s="5" t="s">
        <v>627</v>
      </c>
      <c r="E7088" s="7" t="s">
        <v>820</v>
      </c>
      <c r="F7088" s="5" t="s">
        <v>238</v>
      </c>
    </row>
    <row r="7089">
      <c r="A7089" s="5" t="s">
        <v>2608</v>
      </c>
      <c r="B7089" s="8">
        <v>10.0</v>
      </c>
      <c r="C7089" s="7" t="s">
        <v>309</v>
      </c>
      <c r="D7089" s="5" t="s">
        <v>627</v>
      </c>
      <c r="E7089" s="7" t="s">
        <v>820</v>
      </c>
      <c r="F7089" s="5" t="s">
        <v>238</v>
      </c>
    </row>
    <row r="7090">
      <c r="A7090" s="5" t="s">
        <v>2609</v>
      </c>
      <c r="B7090" s="8">
        <v>10.0</v>
      </c>
      <c r="C7090" s="7" t="s">
        <v>309</v>
      </c>
      <c r="D7090" s="5" t="s">
        <v>627</v>
      </c>
      <c r="E7090" s="7" t="s">
        <v>820</v>
      </c>
      <c r="F7090" s="5" t="s">
        <v>238</v>
      </c>
    </row>
    <row r="7091">
      <c r="A7091" s="7" t="s">
        <v>188</v>
      </c>
      <c r="B7091" s="8">
        <v>10.0</v>
      </c>
      <c r="C7091" s="7" t="s">
        <v>314</v>
      </c>
      <c r="D7091" s="7" t="s">
        <v>2397</v>
      </c>
      <c r="E7091" s="5" t="s">
        <v>822</v>
      </c>
      <c r="F7091" s="5" t="s">
        <v>3920</v>
      </c>
    </row>
    <row r="7092">
      <c r="A7092" s="5" t="s">
        <v>2924</v>
      </c>
      <c r="B7092" s="8">
        <v>10.0</v>
      </c>
      <c r="C7092" s="7" t="s">
        <v>314</v>
      </c>
      <c r="D7092" s="7" t="s">
        <v>2397</v>
      </c>
      <c r="E7092" s="5" t="s">
        <v>822</v>
      </c>
      <c r="F7092" s="5" t="s">
        <v>3622</v>
      </c>
    </row>
    <row r="7093">
      <c r="A7093" s="5" t="s">
        <v>2925</v>
      </c>
      <c r="B7093" s="8">
        <v>10.0</v>
      </c>
      <c r="C7093" s="7" t="s">
        <v>314</v>
      </c>
      <c r="D7093" s="7" t="s">
        <v>2397</v>
      </c>
      <c r="E7093" s="5" t="s">
        <v>822</v>
      </c>
      <c r="F7093" s="5" t="s">
        <v>3622</v>
      </c>
    </row>
    <row r="7094">
      <c r="A7094" s="5" t="s">
        <v>3086</v>
      </c>
      <c r="B7094" s="8">
        <v>10.0</v>
      </c>
      <c r="C7094" s="7" t="s">
        <v>314</v>
      </c>
      <c r="D7094" s="7" t="s">
        <v>2397</v>
      </c>
      <c r="E7094" s="5" t="s">
        <v>822</v>
      </c>
      <c r="F7094" s="5" t="s">
        <v>3622</v>
      </c>
    </row>
    <row r="7095">
      <c r="A7095" s="5" t="s">
        <v>4037</v>
      </c>
      <c r="B7095" s="8">
        <v>10.0</v>
      </c>
      <c r="C7095" s="7" t="s">
        <v>314</v>
      </c>
      <c r="D7095" s="7" t="s">
        <v>2397</v>
      </c>
      <c r="E7095" s="5" t="s">
        <v>822</v>
      </c>
      <c r="F7095" s="5" t="s">
        <v>3622</v>
      </c>
    </row>
    <row r="7096">
      <c r="A7096" s="7" t="s">
        <v>2319</v>
      </c>
      <c r="B7096" s="8">
        <v>10.0</v>
      </c>
      <c r="C7096" s="7" t="s">
        <v>314</v>
      </c>
      <c r="D7096" s="7" t="s">
        <v>2397</v>
      </c>
      <c r="E7096" s="5" t="s">
        <v>822</v>
      </c>
      <c r="F7096" s="5" t="s">
        <v>3622</v>
      </c>
    </row>
    <row r="7097">
      <c r="A7097" s="5" t="s">
        <v>3795</v>
      </c>
      <c r="B7097" s="8">
        <v>10.0</v>
      </c>
      <c r="C7097" s="7" t="s">
        <v>314</v>
      </c>
      <c r="D7097" s="7" t="s">
        <v>2397</v>
      </c>
      <c r="E7097" s="5" t="s">
        <v>822</v>
      </c>
      <c r="F7097" s="5" t="s">
        <v>3622</v>
      </c>
    </row>
    <row r="7098">
      <c r="A7098" s="7" t="s">
        <v>868</v>
      </c>
      <c r="B7098" s="8">
        <v>10.0</v>
      </c>
      <c r="C7098" s="7" t="s">
        <v>314</v>
      </c>
      <c r="D7098" s="7" t="s">
        <v>2397</v>
      </c>
      <c r="E7098" s="5" t="s">
        <v>822</v>
      </c>
      <c r="F7098" s="5" t="s">
        <v>3622</v>
      </c>
    </row>
    <row r="7099">
      <c r="A7099" s="5" t="s">
        <v>3087</v>
      </c>
      <c r="B7099" s="8">
        <v>10.0</v>
      </c>
      <c r="C7099" s="7" t="s">
        <v>314</v>
      </c>
      <c r="D7099" s="7" t="s">
        <v>2397</v>
      </c>
      <c r="E7099" s="5" t="s">
        <v>822</v>
      </c>
      <c r="F7099" s="5" t="s">
        <v>3622</v>
      </c>
    </row>
    <row r="7100">
      <c r="A7100" s="5" t="s">
        <v>3088</v>
      </c>
      <c r="B7100" s="8">
        <v>10.0</v>
      </c>
      <c r="C7100" s="7" t="s">
        <v>314</v>
      </c>
      <c r="D7100" s="7" t="s">
        <v>2397</v>
      </c>
      <c r="E7100" s="5" t="s">
        <v>822</v>
      </c>
      <c r="F7100" s="5" t="s">
        <v>3622</v>
      </c>
    </row>
    <row r="7101">
      <c r="A7101" s="5" t="s">
        <v>3388</v>
      </c>
      <c r="B7101" s="8">
        <v>10.0</v>
      </c>
      <c r="C7101" s="7" t="s">
        <v>314</v>
      </c>
      <c r="D7101" s="7" t="s">
        <v>2397</v>
      </c>
      <c r="E7101" s="5" t="s">
        <v>822</v>
      </c>
      <c r="F7101" s="5" t="s">
        <v>3622</v>
      </c>
    </row>
    <row r="7102">
      <c r="A7102" s="5" t="s">
        <v>2927</v>
      </c>
      <c r="B7102" s="8">
        <v>10.0</v>
      </c>
      <c r="C7102" s="7" t="s">
        <v>314</v>
      </c>
      <c r="D7102" s="7" t="s">
        <v>2397</v>
      </c>
      <c r="E7102" s="5" t="s">
        <v>822</v>
      </c>
      <c r="F7102" s="5" t="s">
        <v>3064</v>
      </c>
    </row>
    <row r="7103">
      <c r="A7103" s="5" t="s">
        <v>3089</v>
      </c>
      <c r="B7103" s="8">
        <v>10.0</v>
      </c>
      <c r="C7103" s="7" t="s">
        <v>314</v>
      </c>
      <c r="D7103" s="7" t="s">
        <v>2397</v>
      </c>
      <c r="E7103" s="5" t="s">
        <v>822</v>
      </c>
      <c r="F7103" s="5" t="s">
        <v>2398</v>
      </c>
    </row>
    <row r="7104">
      <c r="A7104" s="5" t="s">
        <v>2928</v>
      </c>
      <c r="B7104" s="8">
        <v>10.0</v>
      </c>
      <c r="C7104" s="7" t="s">
        <v>314</v>
      </c>
      <c r="D7104" s="7" t="s">
        <v>2397</v>
      </c>
      <c r="E7104" s="5" t="s">
        <v>822</v>
      </c>
      <c r="F7104" s="5" t="s">
        <v>3624</v>
      </c>
    </row>
    <row r="7105">
      <c r="A7105" s="7" t="s">
        <v>603</v>
      </c>
      <c r="B7105" s="8">
        <v>10.0</v>
      </c>
      <c r="C7105" s="7" t="s">
        <v>314</v>
      </c>
      <c r="D7105" s="7" t="s">
        <v>2397</v>
      </c>
      <c r="E7105" s="5" t="s">
        <v>822</v>
      </c>
      <c r="F7105" s="5" t="s">
        <v>4092</v>
      </c>
    </row>
    <row r="7106">
      <c r="A7106" s="5" t="s">
        <v>2929</v>
      </c>
      <c r="B7106" s="8">
        <v>10.0</v>
      </c>
      <c r="C7106" s="7" t="s">
        <v>314</v>
      </c>
      <c r="D7106" s="7" t="s">
        <v>2397</v>
      </c>
      <c r="E7106" s="5" t="s">
        <v>822</v>
      </c>
      <c r="F7106" s="5" t="s">
        <v>4093</v>
      </c>
    </row>
    <row r="7107">
      <c r="A7107" s="5" t="s">
        <v>2702</v>
      </c>
      <c r="B7107" s="8">
        <v>10.0</v>
      </c>
      <c r="C7107" s="7" t="s">
        <v>314</v>
      </c>
      <c r="D7107" s="7" t="s">
        <v>2397</v>
      </c>
      <c r="E7107" s="5" t="s">
        <v>822</v>
      </c>
      <c r="F7107" s="5" t="s">
        <v>2398</v>
      </c>
    </row>
    <row r="7108">
      <c r="A7108" s="5" t="s">
        <v>2930</v>
      </c>
      <c r="B7108" s="8">
        <v>10.0</v>
      </c>
      <c r="C7108" s="7" t="s">
        <v>314</v>
      </c>
      <c r="D7108" s="7" t="s">
        <v>2397</v>
      </c>
      <c r="E7108" s="5" t="s">
        <v>822</v>
      </c>
      <c r="F7108" s="5" t="s">
        <v>780</v>
      </c>
    </row>
    <row r="7109">
      <c r="A7109" s="5" t="s">
        <v>2600</v>
      </c>
      <c r="B7109" s="8">
        <v>10.0</v>
      </c>
      <c r="C7109" s="7" t="s">
        <v>314</v>
      </c>
      <c r="D7109" s="7" t="s">
        <v>2397</v>
      </c>
      <c r="E7109" s="5" t="s">
        <v>822</v>
      </c>
      <c r="F7109" s="5" t="s">
        <v>2398</v>
      </c>
    </row>
    <row r="7110">
      <c r="A7110" s="5" t="s">
        <v>3802</v>
      </c>
      <c r="B7110" s="8">
        <v>10.0</v>
      </c>
      <c r="C7110" s="7" t="s">
        <v>314</v>
      </c>
      <c r="D7110" s="7" t="s">
        <v>2397</v>
      </c>
      <c r="E7110" s="5" t="s">
        <v>822</v>
      </c>
      <c r="F7110" s="5" t="s">
        <v>2398</v>
      </c>
    </row>
    <row r="7111">
      <c r="A7111" s="5" t="s">
        <v>3090</v>
      </c>
      <c r="B7111" s="8">
        <v>10.0</v>
      </c>
      <c r="C7111" s="7" t="s">
        <v>314</v>
      </c>
      <c r="D7111" s="7" t="s">
        <v>2397</v>
      </c>
      <c r="E7111" s="5" t="s">
        <v>822</v>
      </c>
      <c r="F7111" s="5" t="s">
        <v>4094</v>
      </c>
    </row>
    <row r="7112">
      <c r="A7112" s="7" t="s">
        <v>606</v>
      </c>
      <c r="B7112" s="8">
        <v>10.0</v>
      </c>
      <c r="C7112" s="7" t="s">
        <v>314</v>
      </c>
      <c r="D7112" s="7" t="s">
        <v>2397</v>
      </c>
      <c r="E7112" s="5" t="s">
        <v>822</v>
      </c>
      <c r="F7112" s="7" t="s">
        <v>2135</v>
      </c>
    </row>
    <row r="7113">
      <c r="A7113" s="5" t="s">
        <v>2602</v>
      </c>
      <c r="B7113" s="8">
        <v>10.0</v>
      </c>
      <c r="C7113" s="7" t="s">
        <v>314</v>
      </c>
      <c r="D7113" s="7" t="s">
        <v>2397</v>
      </c>
      <c r="E7113" s="5" t="s">
        <v>822</v>
      </c>
      <c r="F7113" s="5" t="s">
        <v>3895</v>
      </c>
    </row>
    <row r="7114">
      <c r="A7114" s="5" t="s">
        <v>2931</v>
      </c>
      <c r="B7114" s="8">
        <v>10.0</v>
      </c>
      <c r="C7114" s="7" t="s">
        <v>314</v>
      </c>
      <c r="D7114" s="7" t="s">
        <v>2397</v>
      </c>
      <c r="E7114" s="5" t="s">
        <v>822</v>
      </c>
      <c r="F7114" s="5" t="s">
        <v>4095</v>
      </c>
    </row>
    <row r="7115">
      <c r="A7115" s="5" t="s">
        <v>2932</v>
      </c>
      <c r="B7115" s="8">
        <v>10.0</v>
      </c>
      <c r="C7115" s="7" t="s">
        <v>314</v>
      </c>
      <c r="D7115" s="7" t="s">
        <v>2397</v>
      </c>
      <c r="E7115" s="5" t="s">
        <v>822</v>
      </c>
      <c r="F7115" s="5" t="s">
        <v>4096</v>
      </c>
    </row>
    <row r="7116">
      <c r="A7116" s="5" t="s">
        <v>3091</v>
      </c>
      <c r="B7116" s="8">
        <v>10.0</v>
      </c>
      <c r="C7116" s="7" t="s">
        <v>314</v>
      </c>
      <c r="D7116" s="7" t="s">
        <v>2397</v>
      </c>
      <c r="E7116" s="5" t="s">
        <v>822</v>
      </c>
      <c r="F7116" s="5" t="s">
        <v>4096</v>
      </c>
    </row>
    <row r="7117">
      <c r="A7117" s="5" t="s">
        <v>2605</v>
      </c>
      <c r="B7117" s="8">
        <v>10.0</v>
      </c>
      <c r="C7117" s="7" t="s">
        <v>314</v>
      </c>
      <c r="D7117" s="7" t="s">
        <v>2397</v>
      </c>
      <c r="E7117" s="5" t="s">
        <v>822</v>
      </c>
      <c r="F7117" s="5" t="s">
        <v>3889</v>
      </c>
    </row>
    <row r="7118">
      <c r="A7118" s="7" t="s">
        <v>1989</v>
      </c>
      <c r="B7118" s="8">
        <v>10.0</v>
      </c>
      <c r="C7118" s="7" t="s">
        <v>314</v>
      </c>
      <c r="D7118" s="7" t="s">
        <v>2397</v>
      </c>
      <c r="E7118" s="5" t="s">
        <v>822</v>
      </c>
      <c r="F7118" s="5" t="s">
        <v>4097</v>
      </c>
    </row>
    <row r="7119">
      <c r="A7119" s="5" t="s">
        <v>2606</v>
      </c>
      <c r="B7119" s="8">
        <v>10.0</v>
      </c>
      <c r="C7119" s="7" t="s">
        <v>314</v>
      </c>
      <c r="D7119" s="7" t="s">
        <v>2397</v>
      </c>
      <c r="E7119" s="5" t="s">
        <v>822</v>
      </c>
      <c r="F7119" s="5" t="s">
        <v>4096</v>
      </c>
    </row>
    <row r="7120">
      <c r="A7120" s="5" t="s">
        <v>2607</v>
      </c>
      <c r="B7120" s="8">
        <v>10.0</v>
      </c>
      <c r="C7120" s="7" t="s">
        <v>314</v>
      </c>
      <c r="D7120" s="7" t="s">
        <v>2397</v>
      </c>
      <c r="E7120" s="5" t="s">
        <v>822</v>
      </c>
      <c r="F7120" s="5" t="s">
        <v>4096</v>
      </c>
    </row>
    <row r="7121">
      <c r="A7121" s="7" t="s">
        <v>1990</v>
      </c>
      <c r="B7121" s="8">
        <v>10.0</v>
      </c>
      <c r="C7121" s="7" t="s">
        <v>314</v>
      </c>
      <c r="D7121" s="7" t="s">
        <v>2397</v>
      </c>
      <c r="E7121" s="5" t="s">
        <v>822</v>
      </c>
      <c r="F7121" s="5" t="s">
        <v>3896</v>
      </c>
    </row>
    <row r="7122">
      <c r="A7122" s="5" t="s">
        <v>2936</v>
      </c>
      <c r="B7122" s="8">
        <v>10.0</v>
      </c>
      <c r="C7122" s="7" t="s">
        <v>314</v>
      </c>
      <c r="D7122" s="7" t="s">
        <v>2397</v>
      </c>
      <c r="E7122" s="5" t="s">
        <v>822</v>
      </c>
      <c r="F7122" s="7" t="s">
        <v>2406</v>
      </c>
    </row>
    <row r="7123">
      <c r="A7123" s="5" t="s">
        <v>2608</v>
      </c>
      <c r="B7123" s="8">
        <v>10.0</v>
      </c>
      <c r="C7123" s="7" t="s">
        <v>314</v>
      </c>
      <c r="D7123" s="7" t="s">
        <v>2397</v>
      </c>
      <c r="E7123" s="5" t="s">
        <v>822</v>
      </c>
      <c r="F7123" s="5" t="s">
        <v>1104</v>
      </c>
    </row>
    <row r="7124">
      <c r="A7124" s="5" t="s">
        <v>2609</v>
      </c>
      <c r="B7124" s="8">
        <v>10.0</v>
      </c>
      <c r="C7124" s="7" t="s">
        <v>314</v>
      </c>
      <c r="D7124" s="7" t="s">
        <v>2397</v>
      </c>
      <c r="E7124" s="5" t="s">
        <v>822</v>
      </c>
      <c r="F7124" s="5" t="s">
        <v>4096</v>
      </c>
    </row>
    <row r="7125">
      <c r="A7125" s="5" t="s">
        <v>3791</v>
      </c>
      <c r="B7125" s="8">
        <v>10.0</v>
      </c>
      <c r="C7125" s="7" t="s">
        <v>67</v>
      </c>
      <c r="D7125" s="5" t="s">
        <v>4098</v>
      </c>
      <c r="E7125" s="7" t="s">
        <v>1671</v>
      </c>
      <c r="F7125" s="7" t="s">
        <v>65</v>
      </c>
    </row>
    <row r="7126">
      <c r="A7126" s="7" t="s">
        <v>188</v>
      </c>
      <c r="B7126" s="8">
        <v>10.0</v>
      </c>
      <c r="C7126" s="7" t="s">
        <v>67</v>
      </c>
      <c r="D7126" s="5" t="s">
        <v>4098</v>
      </c>
      <c r="E7126" s="7" t="s">
        <v>1671</v>
      </c>
      <c r="F7126" s="7" t="s">
        <v>65</v>
      </c>
    </row>
    <row r="7127">
      <c r="A7127" s="5" t="s">
        <v>2924</v>
      </c>
      <c r="B7127" s="8">
        <v>10.0</v>
      </c>
      <c r="C7127" s="7" t="s">
        <v>67</v>
      </c>
      <c r="D7127" s="5" t="s">
        <v>4098</v>
      </c>
      <c r="E7127" s="7" t="s">
        <v>1671</v>
      </c>
      <c r="F7127" s="7" t="s">
        <v>65</v>
      </c>
    </row>
    <row r="7128">
      <c r="A7128" s="5" t="s">
        <v>2925</v>
      </c>
      <c r="B7128" s="8">
        <v>10.0</v>
      </c>
      <c r="C7128" s="7" t="s">
        <v>67</v>
      </c>
      <c r="D7128" s="5" t="s">
        <v>4098</v>
      </c>
      <c r="E7128" s="7" t="s">
        <v>1671</v>
      </c>
      <c r="F7128" s="7" t="s">
        <v>65</v>
      </c>
    </row>
    <row r="7129">
      <c r="A7129" s="5" t="s">
        <v>3086</v>
      </c>
      <c r="B7129" s="8">
        <v>10.0</v>
      </c>
      <c r="C7129" s="7" t="s">
        <v>67</v>
      </c>
      <c r="D7129" s="5" t="s">
        <v>4098</v>
      </c>
      <c r="E7129" s="7" t="s">
        <v>1671</v>
      </c>
      <c r="F7129" s="7" t="s">
        <v>65</v>
      </c>
    </row>
    <row r="7130">
      <c r="A7130" s="5" t="s">
        <v>4037</v>
      </c>
      <c r="B7130" s="8">
        <v>10.0</v>
      </c>
      <c r="C7130" s="7" t="s">
        <v>67</v>
      </c>
      <c r="D7130" s="5" t="s">
        <v>4098</v>
      </c>
      <c r="E7130" s="7" t="s">
        <v>1671</v>
      </c>
      <c r="F7130" s="7" t="s">
        <v>65</v>
      </c>
    </row>
    <row r="7131">
      <c r="A7131" s="7" t="s">
        <v>2319</v>
      </c>
      <c r="B7131" s="8">
        <v>10.0</v>
      </c>
      <c r="C7131" s="7" t="s">
        <v>67</v>
      </c>
      <c r="D7131" s="5" t="s">
        <v>4098</v>
      </c>
      <c r="E7131" s="7" t="s">
        <v>1671</v>
      </c>
      <c r="F7131" s="7" t="s">
        <v>65</v>
      </c>
    </row>
    <row r="7132">
      <c r="A7132" s="5" t="s">
        <v>3795</v>
      </c>
      <c r="B7132" s="8">
        <v>10.0</v>
      </c>
      <c r="C7132" s="7" t="s">
        <v>67</v>
      </c>
      <c r="D7132" s="5" t="s">
        <v>4098</v>
      </c>
      <c r="E7132" s="7" t="s">
        <v>1671</v>
      </c>
      <c r="F7132" s="7" t="s">
        <v>65</v>
      </c>
    </row>
    <row r="7133">
      <c r="A7133" s="7" t="s">
        <v>868</v>
      </c>
      <c r="B7133" s="8">
        <v>10.0</v>
      </c>
      <c r="C7133" s="7" t="s">
        <v>67</v>
      </c>
      <c r="D7133" s="5" t="s">
        <v>4098</v>
      </c>
      <c r="E7133" s="7" t="s">
        <v>1671</v>
      </c>
      <c r="F7133" s="7" t="s">
        <v>65</v>
      </c>
    </row>
    <row r="7134">
      <c r="A7134" s="5" t="s">
        <v>3087</v>
      </c>
      <c r="B7134" s="8">
        <v>10.0</v>
      </c>
      <c r="C7134" s="7" t="s">
        <v>67</v>
      </c>
      <c r="D7134" s="5" t="s">
        <v>4098</v>
      </c>
      <c r="E7134" s="7" t="s">
        <v>1671</v>
      </c>
      <c r="F7134" s="7" t="s">
        <v>66</v>
      </c>
    </row>
    <row r="7135">
      <c r="A7135" s="5" t="s">
        <v>3088</v>
      </c>
      <c r="B7135" s="8">
        <v>10.0</v>
      </c>
      <c r="C7135" s="7" t="s">
        <v>67</v>
      </c>
      <c r="D7135" s="5" t="s">
        <v>4098</v>
      </c>
      <c r="E7135" s="7" t="s">
        <v>1671</v>
      </c>
      <c r="F7135" s="7" t="s">
        <v>65</v>
      </c>
    </row>
    <row r="7136">
      <c r="A7136" s="5" t="s">
        <v>3388</v>
      </c>
      <c r="B7136" s="8">
        <v>10.0</v>
      </c>
      <c r="C7136" s="7" t="s">
        <v>67</v>
      </c>
      <c r="D7136" s="5" t="s">
        <v>4098</v>
      </c>
      <c r="E7136" s="7" t="s">
        <v>1671</v>
      </c>
      <c r="F7136" s="7" t="s">
        <v>65</v>
      </c>
    </row>
    <row r="7137">
      <c r="A7137" s="5" t="s">
        <v>2927</v>
      </c>
      <c r="B7137" s="8">
        <v>10.0</v>
      </c>
      <c r="C7137" s="7" t="s">
        <v>67</v>
      </c>
      <c r="D7137" s="5" t="s">
        <v>4098</v>
      </c>
      <c r="E7137" s="7" t="s">
        <v>1671</v>
      </c>
      <c r="F7137" s="7" t="s">
        <v>65</v>
      </c>
    </row>
    <row r="7138">
      <c r="A7138" s="5" t="s">
        <v>3089</v>
      </c>
      <c r="B7138" s="8">
        <v>10.0</v>
      </c>
      <c r="C7138" s="7" t="s">
        <v>67</v>
      </c>
      <c r="D7138" s="5" t="s">
        <v>4098</v>
      </c>
      <c r="E7138" s="7" t="s">
        <v>1671</v>
      </c>
      <c r="F7138" s="7" t="s">
        <v>65</v>
      </c>
    </row>
    <row r="7139">
      <c r="A7139" s="5" t="s">
        <v>2928</v>
      </c>
      <c r="B7139" s="8">
        <v>10.0</v>
      </c>
      <c r="C7139" s="7" t="s">
        <v>67</v>
      </c>
      <c r="D7139" s="5" t="s">
        <v>4098</v>
      </c>
      <c r="E7139" s="7" t="s">
        <v>1671</v>
      </c>
      <c r="F7139" s="7" t="s">
        <v>65</v>
      </c>
    </row>
    <row r="7140">
      <c r="A7140" s="7" t="s">
        <v>603</v>
      </c>
      <c r="B7140" s="8">
        <v>10.0</v>
      </c>
      <c r="C7140" s="7" t="s">
        <v>67</v>
      </c>
      <c r="D7140" s="5" t="s">
        <v>4098</v>
      </c>
      <c r="E7140" s="7" t="s">
        <v>1671</v>
      </c>
      <c r="F7140" s="7" t="s">
        <v>66</v>
      </c>
    </row>
    <row r="7141">
      <c r="A7141" s="5" t="s">
        <v>2929</v>
      </c>
      <c r="B7141" s="8">
        <v>10.0</v>
      </c>
      <c r="C7141" s="7" t="s">
        <v>67</v>
      </c>
      <c r="D7141" s="5" t="s">
        <v>4098</v>
      </c>
      <c r="E7141" s="7" t="s">
        <v>1671</v>
      </c>
      <c r="F7141" s="7" t="s">
        <v>65</v>
      </c>
    </row>
    <row r="7142">
      <c r="A7142" s="5" t="s">
        <v>2702</v>
      </c>
      <c r="B7142" s="8">
        <v>10.0</v>
      </c>
      <c r="C7142" s="7" t="s">
        <v>67</v>
      </c>
      <c r="D7142" s="5" t="s">
        <v>4098</v>
      </c>
      <c r="E7142" s="7" t="s">
        <v>1671</v>
      </c>
      <c r="F7142" s="7" t="s">
        <v>65</v>
      </c>
    </row>
    <row r="7143">
      <c r="A7143" s="5" t="s">
        <v>2930</v>
      </c>
      <c r="B7143" s="8">
        <v>10.0</v>
      </c>
      <c r="C7143" s="7" t="s">
        <v>67</v>
      </c>
      <c r="D7143" s="5" t="s">
        <v>4098</v>
      </c>
      <c r="E7143" s="7" t="s">
        <v>1671</v>
      </c>
      <c r="F7143" s="7" t="s">
        <v>65</v>
      </c>
    </row>
    <row r="7144">
      <c r="A7144" s="5" t="s">
        <v>2600</v>
      </c>
      <c r="B7144" s="8">
        <v>10.0</v>
      </c>
      <c r="C7144" s="7" t="s">
        <v>67</v>
      </c>
      <c r="D7144" s="5" t="s">
        <v>4098</v>
      </c>
      <c r="E7144" s="7" t="s">
        <v>1671</v>
      </c>
      <c r="F7144" s="7" t="s">
        <v>65</v>
      </c>
    </row>
    <row r="7145">
      <c r="A7145" s="5" t="s">
        <v>3802</v>
      </c>
      <c r="B7145" s="8">
        <v>10.0</v>
      </c>
      <c r="C7145" s="7" t="s">
        <v>67</v>
      </c>
      <c r="D7145" s="5" t="s">
        <v>4098</v>
      </c>
      <c r="E7145" s="7" t="s">
        <v>1671</v>
      </c>
      <c r="F7145" s="7" t="s">
        <v>65</v>
      </c>
    </row>
    <row r="7146">
      <c r="A7146" s="5" t="s">
        <v>3090</v>
      </c>
      <c r="B7146" s="8">
        <v>10.0</v>
      </c>
      <c r="C7146" s="7" t="s">
        <v>67</v>
      </c>
      <c r="D7146" s="5" t="s">
        <v>4098</v>
      </c>
      <c r="E7146" s="7" t="s">
        <v>1671</v>
      </c>
      <c r="F7146" s="7" t="s">
        <v>71</v>
      </c>
    </row>
    <row r="7147">
      <c r="A7147" s="7" t="s">
        <v>606</v>
      </c>
      <c r="B7147" s="8">
        <v>10.0</v>
      </c>
      <c r="C7147" s="7" t="s">
        <v>67</v>
      </c>
      <c r="D7147" s="5" t="s">
        <v>4098</v>
      </c>
      <c r="E7147" s="7" t="s">
        <v>1671</v>
      </c>
      <c r="F7147" s="7" t="s">
        <v>65</v>
      </c>
    </row>
    <row r="7148">
      <c r="A7148" s="5" t="s">
        <v>2602</v>
      </c>
      <c r="B7148" s="8">
        <v>10.0</v>
      </c>
      <c r="C7148" s="7" t="s">
        <v>67</v>
      </c>
      <c r="D7148" s="5" t="s">
        <v>4098</v>
      </c>
      <c r="E7148" s="7" t="s">
        <v>1671</v>
      </c>
      <c r="F7148" s="7" t="s">
        <v>65</v>
      </c>
    </row>
    <row r="7149">
      <c r="A7149" s="5" t="s">
        <v>2932</v>
      </c>
      <c r="B7149" s="8">
        <v>10.0</v>
      </c>
      <c r="C7149" s="7" t="s">
        <v>67</v>
      </c>
      <c r="D7149" s="5" t="s">
        <v>4098</v>
      </c>
      <c r="E7149" s="7" t="s">
        <v>1671</v>
      </c>
      <c r="F7149" s="7" t="s">
        <v>65</v>
      </c>
    </row>
    <row r="7150">
      <c r="A7150" s="5" t="s">
        <v>3091</v>
      </c>
      <c r="B7150" s="8">
        <v>10.0</v>
      </c>
      <c r="C7150" s="7" t="s">
        <v>67</v>
      </c>
      <c r="D7150" s="5" t="s">
        <v>4098</v>
      </c>
      <c r="E7150" s="7" t="s">
        <v>1671</v>
      </c>
      <c r="F7150" s="7" t="s">
        <v>65</v>
      </c>
    </row>
    <row r="7151">
      <c r="A7151" s="5" t="s">
        <v>2605</v>
      </c>
      <c r="B7151" s="8">
        <v>10.0</v>
      </c>
      <c r="C7151" s="7" t="s">
        <v>67</v>
      </c>
      <c r="D7151" s="5" t="s">
        <v>4098</v>
      </c>
      <c r="E7151" s="7" t="s">
        <v>1671</v>
      </c>
      <c r="F7151" s="7" t="s">
        <v>65</v>
      </c>
    </row>
    <row r="7152">
      <c r="A7152" s="7" t="s">
        <v>1989</v>
      </c>
      <c r="B7152" s="8">
        <v>10.0</v>
      </c>
      <c r="C7152" s="7" t="s">
        <v>67</v>
      </c>
      <c r="D7152" s="5" t="s">
        <v>4098</v>
      </c>
      <c r="E7152" s="7" t="s">
        <v>1671</v>
      </c>
      <c r="F7152" s="7" t="s">
        <v>65</v>
      </c>
    </row>
    <row r="7153">
      <c r="A7153" s="5" t="s">
        <v>2606</v>
      </c>
      <c r="B7153" s="8">
        <v>10.0</v>
      </c>
      <c r="C7153" s="7" t="s">
        <v>67</v>
      </c>
      <c r="D7153" s="5" t="s">
        <v>4098</v>
      </c>
      <c r="E7153" s="7" t="s">
        <v>1671</v>
      </c>
      <c r="F7153" s="7" t="s">
        <v>65</v>
      </c>
    </row>
    <row r="7154">
      <c r="A7154" s="5" t="s">
        <v>2607</v>
      </c>
      <c r="B7154" s="8">
        <v>10.0</v>
      </c>
      <c r="C7154" s="7" t="s">
        <v>67</v>
      </c>
      <c r="D7154" s="5" t="s">
        <v>4098</v>
      </c>
      <c r="E7154" s="7" t="s">
        <v>1671</v>
      </c>
      <c r="F7154" s="7" t="s">
        <v>65</v>
      </c>
    </row>
    <row r="7155">
      <c r="A7155" s="7" t="s">
        <v>1990</v>
      </c>
      <c r="B7155" s="8">
        <v>10.0</v>
      </c>
      <c r="C7155" s="7" t="s">
        <v>67</v>
      </c>
      <c r="D7155" s="5" t="s">
        <v>4098</v>
      </c>
      <c r="E7155" s="7" t="s">
        <v>1671</v>
      </c>
      <c r="F7155" s="7" t="s">
        <v>65</v>
      </c>
    </row>
    <row r="7156">
      <c r="A7156" s="5" t="s">
        <v>2935</v>
      </c>
      <c r="B7156" s="8">
        <v>10.0</v>
      </c>
      <c r="C7156" s="7" t="s">
        <v>67</v>
      </c>
      <c r="D7156" s="5" t="s">
        <v>4098</v>
      </c>
      <c r="E7156" s="7" t="s">
        <v>1671</v>
      </c>
      <c r="F7156" s="7" t="s">
        <v>65</v>
      </c>
    </row>
    <row r="7157">
      <c r="A7157" s="5" t="s">
        <v>2936</v>
      </c>
      <c r="B7157" s="8">
        <v>10.0</v>
      </c>
      <c r="C7157" s="7" t="s">
        <v>67</v>
      </c>
      <c r="D7157" s="5" t="s">
        <v>4098</v>
      </c>
      <c r="E7157" s="7" t="s">
        <v>1671</v>
      </c>
      <c r="F7157" s="7" t="s">
        <v>65</v>
      </c>
    </row>
    <row r="7158">
      <c r="A7158" s="5" t="s">
        <v>2608</v>
      </c>
      <c r="B7158" s="8">
        <v>10.0</v>
      </c>
      <c r="C7158" s="7" t="s">
        <v>67</v>
      </c>
      <c r="D7158" s="5" t="s">
        <v>4098</v>
      </c>
      <c r="E7158" s="7" t="s">
        <v>1671</v>
      </c>
      <c r="F7158" s="7" t="s">
        <v>65</v>
      </c>
    </row>
    <row r="7159">
      <c r="A7159" s="5" t="s">
        <v>2609</v>
      </c>
      <c r="B7159" s="8">
        <v>10.0</v>
      </c>
      <c r="C7159" s="7" t="s">
        <v>67</v>
      </c>
      <c r="D7159" s="5" t="s">
        <v>4098</v>
      </c>
      <c r="E7159" s="7" t="s">
        <v>1671</v>
      </c>
      <c r="F7159" s="7" t="s">
        <v>65</v>
      </c>
    </row>
    <row r="7160">
      <c r="A7160" s="5" t="s">
        <v>3791</v>
      </c>
      <c r="B7160" s="8">
        <v>10.0</v>
      </c>
      <c r="C7160" s="7" t="s">
        <v>72</v>
      </c>
      <c r="D7160" s="7" t="s">
        <v>2408</v>
      </c>
      <c r="E7160" s="5" t="s">
        <v>2981</v>
      </c>
      <c r="F7160" s="5" t="s">
        <v>76</v>
      </c>
    </row>
    <row r="7161">
      <c r="A7161" s="7" t="s">
        <v>188</v>
      </c>
      <c r="B7161" s="8">
        <v>10.0</v>
      </c>
      <c r="C7161" s="7" t="s">
        <v>72</v>
      </c>
      <c r="D7161" s="7" t="s">
        <v>2408</v>
      </c>
      <c r="E7161" s="5" t="s">
        <v>2981</v>
      </c>
      <c r="F7161" s="5" t="s">
        <v>76</v>
      </c>
    </row>
    <row r="7162">
      <c r="A7162" s="5" t="s">
        <v>2924</v>
      </c>
      <c r="B7162" s="8">
        <v>10.0</v>
      </c>
      <c r="C7162" s="7" t="s">
        <v>72</v>
      </c>
      <c r="D7162" s="7" t="s">
        <v>2408</v>
      </c>
      <c r="E7162" s="5" t="s">
        <v>2981</v>
      </c>
      <c r="F7162" s="5" t="s">
        <v>77</v>
      </c>
    </row>
    <row r="7163">
      <c r="A7163" s="5" t="s">
        <v>2925</v>
      </c>
      <c r="B7163" s="8">
        <v>10.0</v>
      </c>
      <c r="C7163" s="7" t="s">
        <v>72</v>
      </c>
      <c r="D7163" s="7" t="s">
        <v>2408</v>
      </c>
      <c r="E7163" s="5" t="s">
        <v>2981</v>
      </c>
      <c r="F7163" s="5" t="s">
        <v>76</v>
      </c>
    </row>
    <row r="7164">
      <c r="A7164" s="5" t="s">
        <v>3086</v>
      </c>
      <c r="B7164" s="8">
        <v>10.0</v>
      </c>
      <c r="C7164" s="7" t="s">
        <v>72</v>
      </c>
      <c r="D7164" s="7" t="s">
        <v>2408</v>
      </c>
      <c r="E7164" s="5" t="s">
        <v>2981</v>
      </c>
      <c r="F7164" s="5" t="s">
        <v>76</v>
      </c>
    </row>
    <row r="7165">
      <c r="A7165" s="5" t="s">
        <v>4037</v>
      </c>
      <c r="B7165" s="8">
        <v>10.0</v>
      </c>
      <c r="C7165" s="7" t="s">
        <v>72</v>
      </c>
      <c r="D7165" s="7" t="s">
        <v>2408</v>
      </c>
      <c r="E7165" s="5" t="s">
        <v>2981</v>
      </c>
      <c r="F7165" s="5" t="s">
        <v>76</v>
      </c>
    </row>
    <row r="7166">
      <c r="A7166" s="7" t="s">
        <v>2319</v>
      </c>
      <c r="B7166" s="8">
        <v>10.0</v>
      </c>
      <c r="C7166" s="7" t="s">
        <v>72</v>
      </c>
      <c r="D7166" s="7" t="s">
        <v>2408</v>
      </c>
      <c r="E7166" s="5" t="s">
        <v>2981</v>
      </c>
      <c r="F7166" s="5" t="s">
        <v>76</v>
      </c>
    </row>
    <row r="7167">
      <c r="A7167" s="5" t="s">
        <v>3795</v>
      </c>
      <c r="B7167" s="8">
        <v>10.0</v>
      </c>
      <c r="C7167" s="7" t="s">
        <v>72</v>
      </c>
      <c r="D7167" s="7" t="s">
        <v>2408</v>
      </c>
      <c r="E7167" s="5" t="s">
        <v>2981</v>
      </c>
      <c r="F7167" s="5" t="s">
        <v>76</v>
      </c>
    </row>
    <row r="7168">
      <c r="A7168" s="7" t="s">
        <v>868</v>
      </c>
      <c r="B7168" s="8">
        <v>10.0</v>
      </c>
      <c r="C7168" s="7" t="s">
        <v>72</v>
      </c>
      <c r="D7168" s="7" t="s">
        <v>2408</v>
      </c>
      <c r="E7168" s="5" t="s">
        <v>2981</v>
      </c>
      <c r="F7168" s="5" t="s">
        <v>76</v>
      </c>
    </row>
    <row r="7169">
      <c r="A7169" s="5" t="s">
        <v>3087</v>
      </c>
      <c r="B7169" s="8">
        <v>10.0</v>
      </c>
      <c r="C7169" s="7" t="s">
        <v>72</v>
      </c>
      <c r="D7169" s="7" t="s">
        <v>2408</v>
      </c>
      <c r="E7169" s="5" t="s">
        <v>2981</v>
      </c>
      <c r="F7169" s="5" t="s">
        <v>77</v>
      </c>
    </row>
    <row r="7170">
      <c r="A7170" s="5" t="s">
        <v>3088</v>
      </c>
      <c r="B7170" s="8">
        <v>10.0</v>
      </c>
      <c r="C7170" s="7" t="s">
        <v>72</v>
      </c>
      <c r="D7170" s="7" t="s">
        <v>2408</v>
      </c>
      <c r="E7170" s="5" t="s">
        <v>2981</v>
      </c>
      <c r="F7170" s="5" t="s">
        <v>76</v>
      </c>
    </row>
    <row r="7171">
      <c r="A7171" s="5" t="s">
        <v>3388</v>
      </c>
      <c r="B7171" s="8">
        <v>10.0</v>
      </c>
      <c r="C7171" s="7" t="s">
        <v>72</v>
      </c>
      <c r="D7171" s="7" t="s">
        <v>2408</v>
      </c>
      <c r="E7171" s="5" t="s">
        <v>2981</v>
      </c>
      <c r="F7171" s="5" t="s">
        <v>76</v>
      </c>
    </row>
    <row r="7172">
      <c r="A7172" s="5" t="s">
        <v>2927</v>
      </c>
      <c r="B7172" s="8">
        <v>10.0</v>
      </c>
      <c r="C7172" s="7" t="s">
        <v>72</v>
      </c>
      <c r="D7172" s="7" t="s">
        <v>2408</v>
      </c>
      <c r="E7172" s="5" t="s">
        <v>2981</v>
      </c>
      <c r="F7172" s="5" t="s">
        <v>77</v>
      </c>
    </row>
    <row r="7173">
      <c r="A7173" s="5" t="s">
        <v>3089</v>
      </c>
      <c r="B7173" s="8">
        <v>10.0</v>
      </c>
      <c r="C7173" s="7" t="s">
        <v>72</v>
      </c>
      <c r="D7173" s="7" t="s">
        <v>2408</v>
      </c>
      <c r="E7173" s="5" t="s">
        <v>2981</v>
      </c>
      <c r="F7173" s="5" t="s">
        <v>4099</v>
      </c>
    </row>
    <row r="7174">
      <c r="A7174" s="5" t="s">
        <v>2928</v>
      </c>
      <c r="B7174" s="8">
        <v>10.0</v>
      </c>
      <c r="C7174" s="7" t="s">
        <v>72</v>
      </c>
      <c r="D7174" s="7" t="s">
        <v>2408</v>
      </c>
      <c r="E7174" s="5" t="s">
        <v>2981</v>
      </c>
      <c r="F7174" s="5" t="s">
        <v>77</v>
      </c>
    </row>
    <row r="7175">
      <c r="A7175" s="7" t="s">
        <v>603</v>
      </c>
      <c r="B7175" s="8">
        <v>10.0</v>
      </c>
      <c r="C7175" s="7" t="s">
        <v>72</v>
      </c>
      <c r="D7175" s="7" t="s">
        <v>2408</v>
      </c>
      <c r="E7175" s="5" t="s">
        <v>2981</v>
      </c>
      <c r="F7175" s="5" t="s">
        <v>77</v>
      </c>
    </row>
    <row r="7176">
      <c r="A7176" s="5" t="s">
        <v>2929</v>
      </c>
      <c r="B7176" s="8">
        <v>10.0</v>
      </c>
      <c r="C7176" s="7" t="s">
        <v>72</v>
      </c>
      <c r="D7176" s="7" t="s">
        <v>2408</v>
      </c>
      <c r="E7176" s="5" t="s">
        <v>2981</v>
      </c>
      <c r="F7176" s="5" t="s">
        <v>2983</v>
      </c>
    </row>
    <row r="7177">
      <c r="A7177" s="5" t="s">
        <v>2702</v>
      </c>
      <c r="B7177" s="8">
        <v>10.0</v>
      </c>
      <c r="C7177" s="7" t="s">
        <v>72</v>
      </c>
      <c r="D7177" s="7" t="s">
        <v>2408</v>
      </c>
      <c r="E7177" s="5" t="s">
        <v>2981</v>
      </c>
      <c r="F7177" s="5" t="s">
        <v>76</v>
      </c>
    </row>
    <row r="7178">
      <c r="A7178" s="5" t="s">
        <v>2930</v>
      </c>
      <c r="B7178" s="8">
        <v>10.0</v>
      </c>
      <c r="C7178" s="7" t="s">
        <v>72</v>
      </c>
      <c r="D7178" s="7" t="s">
        <v>2408</v>
      </c>
      <c r="E7178" s="5" t="s">
        <v>2981</v>
      </c>
      <c r="F7178" s="5" t="s">
        <v>77</v>
      </c>
    </row>
    <row r="7179">
      <c r="A7179" s="5" t="s">
        <v>2600</v>
      </c>
      <c r="B7179" s="8">
        <v>10.0</v>
      </c>
      <c r="C7179" s="7" t="s">
        <v>72</v>
      </c>
      <c r="D7179" s="7" t="s">
        <v>2408</v>
      </c>
      <c r="E7179" s="5" t="s">
        <v>2981</v>
      </c>
      <c r="F7179" s="5" t="s">
        <v>4099</v>
      </c>
    </row>
    <row r="7180">
      <c r="A7180" s="5" t="s">
        <v>3802</v>
      </c>
      <c r="B7180" s="8">
        <v>10.0</v>
      </c>
      <c r="C7180" s="7" t="s">
        <v>72</v>
      </c>
      <c r="D7180" s="7" t="s">
        <v>2408</v>
      </c>
      <c r="E7180" s="5" t="s">
        <v>2981</v>
      </c>
      <c r="F7180" s="5" t="s">
        <v>76</v>
      </c>
    </row>
    <row r="7181">
      <c r="A7181" s="5" t="s">
        <v>3090</v>
      </c>
      <c r="B7181" s="8">
        <v>10.0</v>
      </c>
      <c r="C7181" s="7" t="s">
        <v>72</v>
      </c>
      <c r="D7181" s="7" t="s">
        <v>2408</v>
      </c>
      <c r="E7181" s="5" t="s">
        <v>2981</v>
      </c>
      <c r="F7181" s="5" t="s">
        <v>76</v>
      </c>
    </row>
    <row r="7182">
      <c r="A7182" s="7" t="s">
        <v>606</v>
      </c>
      <c r="B7182" s="8">
        <v>10.0</v>
      </c>
      <c r="C7182" s="7" t="s">
        <v>72</v>
      </c>
      <c r="D7182" s="7" t="s">
        <v>2408</v>
      </c>
      <c r="E7182" s="5" t="s">
        <v>2981</v>
      </c>
      <c r="F7182" s="5" t="s">
        <v>77</v>
      </c>
    </row>
    <row r="7183">
      <c r="A7183" s="5" t="s">
        <v>2602</v>
      </c>
      <c r="B7183" s="8">
        <v>10.0</v>
      </c>
      <c r="C7183" s="7" t="s">
        <v>72</v>
      </c>
      <c r="D7183" s="7" t="s">
        <v>2408</v>
      </c>
      <c r="E7183" s="5" t="s">
        <v>2981</v>
      </c>
      <c r="F7183" s="5" t="s">
        <v>77</v>
      </c>
    </row>
    <row r="7184">
      <c r="A7184" s="5" t="s">
        <v>2931</v>
      </c>
      <c r="B7184" s="8">
        <v>10.0</v>
      </c>
      <c r="C7184" s="7" t="s">
        <v>72</v>
      </c>
      <c r="D7184" s="7" t="s">
        <v>2408</v>
      </c>
      <c r="E7184" s="5" t="s">
        <v>2981</v>
      </c>
      <c r="F7184" s="5" t="s">
        <v>76</v>
      </c>
    </row>
    <row r="7185">
      <c r="A7185" s="5" t="s">
        <v>2932</v>
      </c>
      <c r="B7185" s="8">
        <v>10.0</v>
      </c>
      <c r="C7185" s="7" t="s">
        <v>72</v>
      </c>
      <c r="D7185" s="7" t="s">
        <v>2408</v>
      </c>
      <c r="E7185" s="5" t="s">
        <v>2981</v>
      </c>
      <c r="F7185" s="5" t="s">
        <v>76</v>
      </c>
    </row>
    <row r="7186">
      <c r="A7186" s="5" t="s">
        <v>3091</v>
      </c>
      <c r="B7186" s="8">
        <v>10.0</v>
      </c>
      <c r="C7186" s="7" t="s">
        <v>72</v>
      </c>
      <c r="D7186" s="7" t="s">
        <v>2408</v>
      </c>
      <c r="E7186" s="5" t="s">
        <v>2981</v>
      </c>
      <c r="F7186" s="5" t="s">
        <v>76</v>
      </c>
    </row>
    <row r="7187">
      <c r="A7187" s="5" t="s">
        <v>2605</v>
      </c>
      <c r="B7187" s="8">
        <v>10.0</v>
      </c>
      <c r="C7187" s="7" t="s">
        <v>72</v>
      </c>
      <c r="D7187" s="7" t="s">
        <v>2408</v>
      </c>
      <c r="E7187" s="5" t="s">
        <v>2981</v>
      </c>
      <c r="F7187" s="5" t="s">
        <v>76</v>
      </c>
    </row>
    <row r="7188">
      <c r="A7188" s="7" t="s">
        <v>1989</v>
      </c>
      <c r="B7188" s="8">
        <v>10.0</v>
      </c>
      <c r="C7188" s="7" t="s">
        <v>72</v>
      </c>
      <c r="D7188" s="7" t="s">
        <v>2408</v>
      </c>
      <c r="E7188" s="5" t="s">
        <v>2981</v>
      </c>
      <c r="F7188" s="5" t="s">
        <v>76</v>
      </c>
    </row>
    <row r="7189">
      <c r="A7189" s="5" t="s">
        <v>2606</v>
      </c>
      <c r="B7189" s="8">
        <v>10.0</v>
      </c>
      <c r="C7189" s="7" t="s">
        <v>72</v>
      </c>
      <c r="D7189" s="7" t="s">
        <v>2408</v>
      </c>
      <c r="E7189" s="5" t="s">
        <v>2981</v>
      </c>
      <c r="F7189" s="5" t="s">
        <v>2410</v>
      </c>
    </row>
    <row r="7190">
      <c r="A7190" s="5" t="s">
        <v>2607</v>
      </c>
      <c r="B7190" s="8">
        <v>10.0</v>
      </c>
      <c r="C7190" s="7" t="s">
        <v>72</v>
      </c>
      <c r="D7190" s="7" t="s">
        <v>2408</v>
      </c>
      <c r="E7190" s="5" t="s">
        <v>2981</v>
      </c>
      <c r="F7190" s="5" t="s">
        <v>2410</v>
      </c>
    </row>
    <row r="7191">
      <c r="A7191" s="7" t="s">
        <v>1990</v>
      </c>
      <c r="B7191" s="8">
        <v>10.0</v>
      </c>
      <c r="C7191" s="7" t="s">
        <v>72</v>
      </c>
      <c r="D7191" s="7" t="s">
        <v>2408</v>
      </c>
      <c r="E7191" s="5" t="s">
        <v>2981</v>
      </c>
      <c r="F7191" s="5" t="s">
        <v>76</v>
      </c>
    </row>
    <row r="7192">
      <c r="A7192" s="5" t="s">
        <v>2935</v>
      </c>
      <c r="B7192" s="8">
        <v>10.0</v>
      </c>
      <c r="C7192" s="7" t="s">
        <v>72</v>
      </c>
      <c r="D7192" s="7" t="s">
        <v>2408</v>
      </c>
      <c r="E7192" s="5" t="s">
        <v>2981</v>
      </c>
      <c r="F7192" s="5" t="s">
        <v>4100</v>
      </c>
    </row>
    <row r="7193">
      <c r="A7193" s="5" t="s">
        <v>2936</v>
      </c>
      <c r="B7193" s="8">
        <v>10.0</v>
      </c>
      <c r="C7193" s="7" t="s">
        <v>72</v>
      </c>
      <c r="D7193" s="7" t="s">
        <v>2408</v>
      </c>
      <c r="E7193" s="5" t="s">
        <v>2981</v>
      </c>
      <c r="F7193" s="5" t="s">
        <v>77</v>
      </c>
    </row>
    <row r="7194">
      <c r="A7194" s="5" t="s">
        <v>2608</v>
      </c>
      <c r="B7194" s="8">
        <v>10.0</v>
      </c>
      <c r="C7194" s="7" t="s">
        <v>72</v>
      </c>
      <c r="D7194" s="7" t="s">
        <v>2408</v>
      </c>
      <c r="E7194" s="5" t="s">
        <v>2981</v>
      </c>
      <c r="F7194" s="5" t="s">
        <v>77</v>
      </c>
    </row>
    <row r="7195">
      <c r="A7195" s="5" t="s">
        <v>2609</v>
      </c>
      <c r="B7195" s="8">
        <v>10.0</v>
      </c>
      <c r="C7195" s="7" t="s">
        <v>72</v>
      </c>
      <c r="D7195" s="7" t="s">
        <v>2408</v>
      </c>
      <c r="E7195" s="5" t="s">
        <v>2981</v>
      </c>
      <c r="F7195" s="5" t="s">
        <v>77</v>
      </c>
    </row>
    <row r="7196">
      <c r="A7196" s="5" t="s">
        <v>3791</v>
      </c>
      <c r="B7196" s="8">
        <v>10.0</v>
      </c>
      <c r="C7196" s="7" t="s">
        <v>78</v>
      </c>
      <c r="D7196" s="7" t="s">
        <v>2412</v>
      </c>
      <c r="E7196" s="5" t="s">
        <v>2984</v>
      </c>
      <c r="F7196" s="5" t="s">
        <v>4101</v>
      </c>
    </row>
    <row r="7197">
      <c r="A7197" s="7" t="s">
        <v>188</v>
      </c>
      <c r="B7197" s="8">
        <v>10.0</v>
      </c>
      <c r="C7197" s="7" t="s">
        <v>78</v>
      </c>
      <c r="D7197" s="7" t="s">
        <v>2412</v>
      </c>
      <c r="E7197" s="5" t="s">
        <v>2984</v>
      </c>
      <c r="F7197" s="5" t="s">
        <v>2724</v>
      </c>
    </row>
    <row r="7198">
      <c r="A7198" s="5" t="s">
        <v>2924</v>
      </c>
      <c r="B7198" s="8">
        <v>10.0</v>
      </c>
      <c r="C7198" s="7" t="s">
        <v>78</v>
      </c>
      <c r="D7198" s="7" t="s">
        <v>2412</v>
      </c>
      <c r="E7198" s="5" t="s">
        <v>2984</v>
      </c>
      <c r="F7198" s="5" t="s">
        <v>3905</v>
      </c>
    </row>
    <row r="7199">
      <c r="A7199" s="5" t="s">
        <v>2925</v>
      </c>
      <c r="B7199" s="8">
        <v>10.0</v>
      </c>
      <c r="C7199" s="7" t="s">
        <v>78</v>
      </c>
      <c r="D7199" s="7" t="s">
        <v>2412</v>
      </c>
      <c r="E7199" s="5" t="s">
        <v>2984</v>
      </c>
      <c r="F7199" s="5" t="s">
        <v>4102</v>
      </c>
    </row>
    <row r="7200">
      <c r="A7200" s="5" t="s">
        <v>3086</v>
      </c>
      <c r="B7200" s="8">
        <v>10.0</v>
      </c>
      <c r="C7200" s="7" t="s">
        <v>78</v>
      </c>
      <c r="D7200" s="7" t="s">
        <v>2412</v>
      </c>
      <c r="E7200" s="5" t="s">
        <v>2984</v>
      </c>
      <c r="F7200" s="5" t="s">
        <v>4103</v>
      </c>
    </row>
    <row r="7201">
      <c r="A7201" s="5" t="s">
        <v>4037</v>
      </c>
      <c r="B7201" s="8">
        <v>10.0</v>
      </c>
      <c r="C7201" s="7" t="s">
        <v>78</v>
      </c>
      <c r="D7201" s="7" t="s">
        <v>2412</v>
      </c>
      <c r="E7201" s="5" t="s">
        <v>2984</v>
      </c>
      <c r="F7201" s="5" t="s">
        <v>4104</v>
      </c>
    </row>
    <row r="7202">
      <c r="A7202" s="7" t="s">
        <v>2319</v>
      </c>
      <c r="B7202" s="8">
        <v>10.0</v>
      </c>
      <c r="C7202" s="7" t="s">
        <v>78</v>
      </c>
      <c r="D7202" s="7" t="s">
        <v>2412</v>
      </c>
      <c r="E7202" s="5" t="s">
        <v>2984</v>
      </c>
      <c r="F7202" s="5" t="s">
        <v>3414</v>
      </c>
    </row>
    <row r="7203">
      <c r="A7203" s="5" t="s">
        <v>3795</v>
      </c>
      <c r="B7203" s="8">
        <v>10.0</v>
      </c>
      <c r="C7203" s="7" t="s">
        <v>78</v>
      </c>
      <c r="D7203" s="7" t="s">
        <v>2412</v>
      </c>
      <c r="E7203" s="5" t="s">
        <v>2984</v>
      </c>
      <c r="F7203" s="5" t="s">
        <v>3155</v>
      </c>
    </row>
    <row r="7204">
      <c r="A7204" s="7" t="s">
        <v>868</v>
      </c>
      <c r="B7204" s="8">
        <v>10.0</v>
      </c>
      <c r="C7204" s="7" t="s">
        <v>78</v>
      </c>
      <c r="D7204" s="7" t="s">
        <v>2412</v>
      </c>
      <c r="E7204" s="5" t="s">
        <v>2984</v>
      </c>
      <c r="F7204" s="5" t="s">
        <v>3155</v>
      </c>
    </row>
    <row r="7205">
      <c r="A7205" s="5" t="s">
        <v>3087</v>
      </c>
      <c r="B7205" s="8">
        <v>10.0</v>
      </c>
      <c r="C7205" s="7" t="s">
        <v>78</v>
      </c>
      <c r="D7205" s="7" t="s">
        <v>2412</v>
      </c>
      <c r="E7205" s="5" t="s">
        <v>2984</v>
      </c>
      <c r="F7205" s="5" t="s">
        <v>3157</v>
      </c>
    </row>
    <row r="7206">
      <c r="A7206" s="5" t="s">
        <v>3088</v>
      </c>
      <c r="B7206" s="8">
        <v>10.0</v>
      </c>
      <c r="C7206" s="7" t="s">
        <v>78</v>
      </c>
      <c r="D7206" s="7" t="s">
        <v>2412</v>
      </c>
      <c r="E7206" s="5" t="s">
        <v>2984</v>
      </c>
      <c r="F7206" s="5" t="s">
        <v>4105</v>
      </c>
    </row>
    <row r="7207">
      <c r="A7207" s="5" t="s">
        <v>3388</v>
      </c>
      <c r="B7207" s="8">
        <v>10.0</v>
      </c>
      <c r="C7207" s="7" t="s">
        <v>78</v>
      </c>
      <c r="D7207" s="7" t="s">
        <v>2412</v>
      </c>
      <c r="E7207" s="5" t="s">
        <v>2984</v>
      </c>
      <c r="F7207" s="5" t="s">
        <v>3155</v>
      </c>
    </row>
    <row r="7208">
      <c r="A7208" s="5" t="s">
        <v>2927</v>
      </c>
      <c r="B7208" s="8">
        <v>10.0</v>
      </c>
      <c r="C7208" s="7" t="s">
        <v>78</v>
      </c>
      <c r="D7208" s="7" t="s">
        <v>2412</v>
      </c>
      <c r="E7208" s="5" t="s">
        <v>2984</v>
      </c>
      <c r="F7208" s="5" t="s">
        <v>3637</v>
      </c>
    </row>
    <row r="7209">
      <c r="A7209" s="5" t="s">
        <v>3089</v>
      </c>
      <c r="B7209" s="8">
        <v>10.0</v>
      </c>
      <c r="C7209" s="7" t="s">
        <v>78</v>
      </c>
      <c r="D7209" s="7" t="s">
        <v>2412</v>
      </c>
      <c r="E7209" s="5" t="s">
        <v>2984</v>
      </c>
      <c r="F7209" s="5" t="s">
        <v>4106</v>
      </c>
    </row>
    <row r="7210">
      <c r="A7210" s="5" t="s">
        <v>2928</v>
      </c>
      <c r="B7210" s="8">
        <v>10.0</v>
      </c>
      <c r="C7210" s="7" t="s">
        <v>78</v>
      </c>
      <c r="D7210" s="7" t="s">
        <v>2412</v>
      </c>
      <c r="E7210" s="5" t="s">
        <v>2984</v>
      </c>
      <c r="F7210" s="5" t="s">
        <v>3632</v>
      </c>
    </row>
    <row r="7211">
      <c r="A7211" s="7" t="s">
        <v>603</v>
      </c>
      <c r="B7211" s="8">
        <v>10.0</v>
      </c>
      <c r="C7211" s="7" t="s">
        <v>78</v>
      </c>
      <c r="D7211" s="7" t="s">
        <v>2412</v>
      </c>
      <c r="E7211" s="5" t="s">
        <v>2984</v>
      </c>
      <c r="F7211" s="5" t="s">
        <v>3905</v>
      </c>
    </row>
    <row r="7212">
      <c r="A7212" s="5" t="s">
        <v>2929</v>
      </c>
      <c r="B7212" s="8">
        <v>10.0</v>
      </c>
      <c r="C7212" s="7" t="s">
        <v>78</v>
      </c>
      <c r="D7212" s="7" t="s">
        <v>2412</v>
      </c>
      <c r="E7212" s="5" t="s">
        <v>2984</v>
      </c>
      <c r="F7212" s="5" t="s">
        <v>1683</v>
      </c>
    </row>
    <row r="7213">
      <c r="A7213" s="5" t="s">
        <v>2702</v>
      </c>
      <c r="B7213" s="8">
        <v>10.0</v>
      </c>
      <c r="C7213" s="7" t="s">
        <v>78</v>
      </c>
      <c r="D7213" s="7" t="s">
        <v>2412</v>
      </c>
      <c r="E7213" s="5" t="s">
        <v>2984</v>
      </c>
      <c r="F7213" s="5" t="s">
        <v>3155</v>
      </c>
    </row>
    <row r="7214">
      <c r="A7214" s="5" t="s">
        <v>2930</v>
      </c>
      <c r="B7214" s="8">
        <v>10.0</v>
      </c>
      <c r="C7214" s="7" t="s">
        <v>78</v>
      </c>
      <c r="D7214" s="7" t="s">
        <v>2412</v>
      </c>
      <c r="E7214" s="5" t="s">
        <v>2984</v>
      </c>
      <c r="F7214" s="5" t="s">
        <v>3416</v>
      </c>
    </row>
    <row r="7215">
      <c r="A7215" s="5" t="s">
        <v>2600</v>
      </c>
      <c r="B7215" s="8">
        <v>10.0</v>
      </c>
      <c r="C7215" s="7" t="s">
        <v>78</v>
      </c>
      <c r="D7215" s="7" t="s">
        <v>2412</v>
      </c>
      <c r="E7215" s="5" t="s">
        <v>2984</v>
      </c>
      <c r="F7215" s="5" t="s">
        <v>4107</v>
      </c>
    </row>
    <row r="7216">
      <c r="A7216" s="5" t="s">
        <v>3802</v>
      </c>
      <c r="B7216" s="8">
        <v>10.0</v>
      </c>
      <c r="C7216" s="7" t="s">
        <v>78</v>
      </c>
      <c r="D7216" s="7" t="s">
        <v>2412</v>
      </c>
      <c r="E7216" s="5" t="s">
        <v>2984</v>
      </c>
      <c r="F7216" s="5" t="s">
        <v>3155</v>
      </c>
    </row>
    <row r="7217">
      <c r="A7217" s="5" t="s">
        <v>3090</v>
      </c>
      <c r="B7217" s="8">
        <v>10.0</v>
      </c>
      <c r="C7217" s="7" t="s">
        <v>78</v>
      </c>
      <c r="D7217" s="7" t="s">
        <v>2412</v>
      </c>
      <c r="E7217" s="5" t="s">
        <v>2984</v>
      </c>
      <c r="F7217" s="5" t="s">
        <v>3911</v>
      </c>
    </row>
    <row r="7218">
      <c r="A7218" s="5" t="s">
        <v>2602</v>
      </c>
      <c r="B7218" s="8">
        <v>10.0</v>
      </c>
      <c r="C7218" s="7" t="s">
        <v>78</v>
      </c>
      <c r="D7218" s="7" t="s">
        <v>2412</v>
      </c>
      <c r="E7218" s="5" t="s">
        <v>2984</v>
      </c>
      <c r="F7218" s="5" t="s">
        <v>2420</v>
      </c>
    </row>
    <row r="7219">
      <c r="A7219" s="5" t="s">
        <v>2931</v>
      </c>
      <c r="B7219" s="8">
        <v>10.0</v>
      </c>
      <c r="C7219" s="7" t="s">
        <v>78</v>
      </c>
      <c r="D7219" s="7" t="s">
        <v>2412</v>
      </c>
      <c r="E7219" s="5" t="s">
        <v>2984</v>
      </c>
      <c r="F7219" s="5" t="s">
        <v>4108</v>
      </c>
    </row>
    <row r="7220">
      <c r="A7220" s="5" t="s">
        <v>2932</v>
      </c>
      <c r="B7220" s="8">
        <v>10.0</v>
      </c>
      <c r="C7220" s="7" t="s">
        <v>78</v>
      </c>
      <c r="D7220" s="7" t="s">
        <v>2412</v>
      </c>
      <c r="E7220" s="5" t="s">
        <v>2984</v>
      </c>
      <c r="F7220" s="5" t="s">
        <v>4109</v>
      </c>
    </row>
    <row r="7221">
      <c r="A7221" s="5" t="s">
        <v>3091</v>
      </c>
      <c r="B7221" s="8">
        <v>10.0</v>
      </c>
      <c r="C7221" s="7" t="s">
        <v>78</v>
      </c>
      <c r="D7221" s="7" t="s">
        <v>2412</v>
      </c>
      <c r="E7221" s="5" t="s">
        <v>2984</v>
      </c>
      <c r="F7221" s="5" t="s">
        <v>4110</v>
      </c>
    </row>
    <row r="7222">
      <c r="A7222" s="5" t="s">
        <v>2605</v>
      </c>
      <c r="B7222" s="8">
        <v>10.0</v>
      </c>
      <c r="C7222" s="7" t="s">
        <v>78</v>
      </c>
      <c r="D7222" s="7" t="s">
        <v>2412</v>
      </c>
      <c r="E7222" s="5" t="s">
        <v>2984</v>
      </c>
      <c r="F7222" s="5" t="s">
        <v>2424</v>
      </c>
    </row>
    <row r="7223">
      <c r="A7223" s="7" t="s">
        <v>1989</v>
      </c>
      <c r="B7223" s="8">
        <v>10.0</v>
      </c>
      <c r="C7223" s="7" t="s">
        <v>78</v>
      </c>
      <c r="D7223" s="7" t="s">
        <v>2412</v>
      </c>
      <c r="E7223" s="5" t="s">
        <v>2984</v>
      </c>
      <c r="F7223" s="5" t="s">
        <v>4111</v>
      </c>
    </row>
    <row r="7224">
      <c r="A7224" s="5" t="s">
        <v>2606</v>
      </c>
      <c r="B7224" s="8">
        <v>10.0</v>
      </c>
      <c r="C7224" s="7" t="s">
        <v>78</v>
      </c>
      <c r="D7224" s="7" t="s">
        <v>2412</v>
      </c>
      <c r="E7224" s="5" t="s">
        <v>2984</v>
      </c>
      <c r="F7224" s="5" t="s">
        <v>4112</v>
      </c>
    </row>
    <row r="7225">
      <c r="A7225" s="5" t="s">
        <v>2607</v>
      </c>
      <c r="B7225" s="8">
        <v>10.0</v>
      </c>
      <c r="C7225" s="7" t="s">
        <v>78</v>
      </c>
      <c r="D7225" s="7" t="s">
        <v>2412</v>
      </c>
      <c r="E7225" s="5" t="s">
        <v>2984</v>
      </c>
      <c r="F7225" s="5" t="s">
        <v>4113</v>
      </c>
    </row>
    <row r="7226">
      <c r="A7226" s="7" t="s">
        <v>1990</v>
      </c>
      <c r="B7226" s="8">
        <v>10.0</v>
      </c>
      <c r="C7226" s="7" t="s">
        <v>78</v>
      </c>
      <c r="D7226" s="7" t="s">
        <v>2412</v>
      </c>
      <c r="E7226" s="5" t="s">
        <v>2984</v>
      </c>
      <c r="F7226" s="5" t="s">
        <v>4109</v>
      </c>
    </row>
    <row r="7227">
      <c r="A7227" s="5" t="s">
        <v>2935</v>
      </c>
      <c r="B7227" s="8">
        <v>10.0</v>
      </c>
      <c r="C7227" s="7" t="s">
        <v>78</v>
      </c>
      <c r="D7227" s="7" t="s">
        <v>2412</v>
      </c>
      <c r="E7227" s="5" t="s">
        <v>2984</v>
      </c>
      <c r="F7227" s="5" t="s">
        <v>4114</v>
      </c>
    </row>
    <row r="7228">
      <c r="A7228" s="5" t="s">
        <v>2936</v>
      </c>
      <c r="B7228" s="8">
        <v>10.0</v>
      </c>
      <c r="C7228" s="7" t="s">
        <v>78</v>
      </c>
      <c r="D7228" s="7" t="s">
        <v>2412</v>
      </c>
      <c r="E7228" s="5" t="s">
        <v>2984</v>
      </c>
      <c r="F7228" s="5" t="s">
        <v>4115</v>
      </c>
    </row>
    <row r="7229">
      <c r="A7229" s="5" t="s">
        <v>2608</v>
      </c>
      <c r="B7229" s="8">
        <v>10.0</v>
      </c>
      <c r="C7229" s="7" t="s">
        <v>78</v>
      </c>
      <c r="D7229" s="7" t="s">
        <v>2412</v>
      </c>
      <c r="E7229" s="5" t="s">
        <v>2984</v>
      </c>
      <c r="F7229" s="5" t="s">
        <v>4116</v>
      </c>
    </row>
    <row r="7230">
      <c r="A7230" s="5" t="s">
        <v>2609</v>
      </c>
      <c r="B7230" s="8">
        <v>10.0</v>
      </c>
      <c r="C7230" s="7" t="s">
        <v>78</v>
      </c>
      <c r="D7230" s="7" t="s">
        <v>2412</v>
      </c>
      <c r="E7230" s="5" t="s">
        <v>2984</v>
      </c>
      <c r="F7230" s="5" t="s">
        <v>4117</v>
      </c>
    </row>
    <row r="7231">
      <c r="A7231" s="7" t="s">
        <v>188</v>
      </c>
      <c r="B7231" s="8">
        <v>10.0</v>
      </c>
      <c r="C7231" s="7" t="s">
        <v>101</v>
      </c>
      <c r="D7231" s="7" t="s">
        <v>2432</v>
      </c>
      <c r="E7231" s="5" t="s">
        <v>3012</v>
      </c>
      <c r="F7231" s="5" t="s">
        <v>3920</v>
      </c>
    </row>
    <row r="7232">
      <c r="A7232" s="5" t="s">
        <v>2924</v>
      </c>
      <c r="B7232" s="8">
        <v>10.0</v>
      </c>
      <c r="C7232" s="7" t="s">
        <v>101</v>
      </c>
      <c r="D7232" s="7" t="s">
        <v>2432</v>
      </c>
      <c r="E7232" s="5" t="s">
        <v>3012</v>
      </c>
      <c r="F7232" s="5" t="s">
        <v>4118</v>
      </c>
    </row>
    <row r="7233">
      <c r="A7233" s="5" t="s">
        <v>2925</v>
      </c>
      <c r="B7233" s="8">
        <v>10.0</v>
      </c>
      <c r="C7233" s="7" t="s">
        <v>101</v>
      </c>
      <c r="D7233" s="7" t="s">
        <v>2432</v>
      </c>
      <c r="E7233" s="5" t="s">
        <v>3012</v>
      </c>
      <c r="F7233" s="5" t="s">
        <v>4118</v>
      </c>
    </row>
    <row r="7234">
      <c r="A7234" s="5" t="s">
        <v>3086</v>
      </c>
      <c r="B7234" s="8">
        <v>10.0</v>
      </c>
      <c r="C7234" s="7" t="s">
        <v>101</v>
      </c>
      <c r="D7234" s="7" t="s">
        <v>2432</v>
      </c>
      <c r="E7234" s="5" t="s">
        <v>3012</v>
      </c>
      <c r="F7234" s="5" t="s">
        <v>4118</v>
      </c>
    </row>
    <row r="7235">
      <c r="A7235" s="5" t="s">
        <v>4037</v>
      </c>
      <c r="B7235" s="8">
        <v>10.0</v>
      </c>
      <c r="C7235" s="7" t="s">
        <v>101</v>
      </c>
      <c r="D7235" s="7" t="s">
        <v>2432</v>
      </c>
      <c r="E7235" s="5" t="s">
        <v>3012</v>
      </c>
      <c r="F7235" s="5" t="s">
        <v>4118</v>
      </c>
    </row>
    <row r="7236">
      <c r="A7236" s="7" t="s">
        <v>2319</v>
      </c>
      <c r="B7236" s="8">
        <v>10.0</v>
      </c>
      <c r="C7236" s="7" t="s">
        <v>101</v>
      </c>
      <c r="D7236" s="7" t="s">
        <v>2432</v>
      </c>
      <c r="E7236" s="5" t="s">
        <v>3012</v>
      </c>
      <c r="F7236" s="5" t="s">
        <v>4118</v>
      </c>
    </row>
    <row r="7237">
      <c r="A7237" s="5" t="s">
        <v>3795</v>
      </c>
      <c r="B7237" s="8">
        <v>10.0</v>
      </c>
      <c r="C7237" s="7" t="s">
        <v>101</v>
      </c>
      <c r="D7237" s="7" t="s">
        <v>2432</v>
      </c>
      <c r="E7237" s="5" t="s">
        <v>3012</v>
      </c>
      <c r="F7237" s="5" t="s">
        <v>4118</v>
      </c>
    </row>
    <row r="7238">
      <c r="A7238" s="7" t="s">
        <v>868</v>
      </c>
      <c r="B7238" s="8">
        <v>10.0</v>
      </c>
      <c r="C7238" s="7" t="s">
        <v>101</v>
      </c>
      <c r="D7238" s="7" t="s">
        <v>2432</v>
      </c>
      <c r="E7238" s="5" t="s">
        <v>3012</v>
      </c>
      <c r="F7238" s="5" t="s">
        <v>4118</v>
      </c>
    </row>
    <row r="7239">
      <c r="A7239" s="5" t="s">
        <v>3087</v>
      </c>
      <c r="B7239" s="8">
        <v>10.0</v>
      </c>
      <c r="C7239" s="7" t="s">
        <v>101</v>
      </c>
      <c r="D7239" s="7" t="s">
        <v>2432</v>
      </c>
      <c r="E7239" s="5" t="s">
        <v>3012</v>
      </c>
      <c r="F7239" s="5" t="s">
        <v>4118</v>
      </c>
    </row>
    <row r="7240">
      <c r="A7240" s="5" t="s">
        <v>3088</v>
      </c>
      <c r="B7240" s="8">
        <v>10.0</v>
      </c>
      <c r="C7240" s="7" t="s">
        <v>101</v>
      </c>
      <c r="D7240" s="7" t="s">
        <v>2432</v>
      </c>
      <c r="E7240" s="5" t="s">
        <v>3012</v>
      </c>
      <c r="F7240" s="5" t="s">
        <v>4118</v>
      </c>
    </row>
    <row r="7241">
      <c r="A7241" s="5" t="s">
        <v>3388</v>
      </c>
      <c r="B7241" s="8">
        <v>10.0</v>
      </c>
      <c r="C7241" s="7" t="s">
        <v>101</v>
      </c>
      <c r="D7241" s="7" t="s">
        <v>2432</v>
      </c>
      <c r="E7241" s="5" t="s">
        <v>3012</v>
      </c>
      <c r="F7241" s="5" t="s">
        <v>4118</v>
      </c>
    </row>
    <row r="7242">
      <c r="A7242" s="5" t="s">
        <v>2927</v>
      </c>
      <c r="B7242" s="8">
        <v>10.0</v>
      </c>
      <c r="C7242" s="7" t="s">
        <v>101</v>
      </c>
      <c r="D7242" s="7" t="s">
        <v>2432</v>
      </c>
      <c r="E7242" s="5" t="s">
        <v>3012</v>
      </c>
      <c r="F7242" s="5" t="s">
        <v>4118</v>
      </c>
    </row>
    <row r="7243">
      <c r="A7243" s="5" t="s">
        <v>3089</v>
      </c>
      <c r="B7243" s="8">
        <v>10.0</v>
      </c>
      <c r="C7243" s="7" t="s">
        <v>101</v>
      </c>
      <c r="D7243" s="7" t="s">
        <v>2432</v>
      </c>
      <c r="E7243" s="5" t="s">
        <v>3012</v>
      </c>
      <c r="F7243" s="5" t="s">
        <v>2730</v>
      </c>
    </row>
    <row r="7244">
      <c r="A7244" s="5" t="s">
        <v>2928</v>
      </c>
      <c r="B7244" s="8">
        <v>10.0</v>
      </c>
      <c r="C7244" s="7" t="s">
        <v>101</v>
      </c>
      <c r="D7244" s="7" t="s">
        <v>2432</v>
      </c>
      <c r="E7244" s="5" t="s">
        <v>3012</v>
      </c>
      <c r="F7244" s="5" t="s">
        <v>4119</v>
      </c>
    </row>
    <row r="7245">
      <c r="A7245" s="7" t="s">
        <v>603</v>
      </c>
      <c r="B7245" s="8">
        <v>10.0</v>
      </c>
      <c r="C7245" s="7" t="s">
        <v>101</v>
      </c>
      <c r="D7245" s="7" t="s">
        <v>2432</v>
      </c>
      <c r="E7245" s="5" t="s">
        <v>3012</v>
      </c>
      <c r="F7245" s="5" t="s">
        <v>4120</v>
      </c>
    </row>
    <row r="7246">
      <c r="A7246" s="5" t="s">
        <v>2929</v>
      </c>
      <c r="B7246" s="8">
        <v>10.0</v>
      </c>
      <c r="C7246" s="7" t="s">
        <v>101</v>
      </c>
      <c r="D7246" s="7" t="s">
        <v>2432</v>
      </c>
      <c r="E7246" s="5" t="s">
        <v>3012</v>
      </c>
      <c r="F7246" s="5" t="s">
        <v>2646</v>
      </c>
    </row>
    <row r="7247">
      <c r="A7247" s="5" t="s">
        <v>2702</v>
      </c>
      <c r="B7247" s="8">
        <v>10.0</v>
      </c>
      <c r="C7247" s="7" t="s">
        <v>101</v>
      </c>
      <c r="D7247" s="7" t="s">
        <v>2432</v>
      </c>
      <c r="E7247" s="5" t="s">
        <v>3012</v>
      </c>
      <c r="F7247" s="5" t="s">
        <v>2730</v>
      </c>
    </row>
    <row r="7248">
      <c r="A7248" s="5" t="s">
        <v>2930</v>
      </c>
      <c r="B7248" s="8">
        <v>10.0</v>
      </c>
      <c r="C7248" s="7" t="s">
        <v>101</v>
      </c>
      <c r="D7248" s="7" t="s">
        <v>2432</v>
      </c>
      <c r="E7248" s="5" t="s">
        <v>3012</v>
      </c>
      <c r="F7248" s="5" t="s">
        <v>4118</v>
      </c>
    </row>
    <row r="7249">
      <c r="A7249" s="5" t="s">
        <v>2600</v>
      </c>
      <c r="B7249" s="8">
        <v>10.0</v>
      </c>
      <c r="C7249" s="7" t="s">
        <v>101</v>
      </c>
      <c r="D7249" s="7" t="s">
        <v>2432</v>
      </c>
      <c r="E7249" s="5" t="s">
        <v>3012</v>
      </c>
      <c r="F7249" s="5" t="s">
        <v>2730</v>
      </c>
    </row>
    <row r="7250">
      <c r="A7250" s="5" t="s">
        <v>3802</v>
      </c>
      <c r="B7250" s="8">
        <v>10.0</v>
      </c>
      <c r="C7250" s="7" t="s">
        <v>101</v>
      </c>
      <c r="D7250" s="7" t="s">
        <v>2432</v>
      </c>
      <c r="E7250" s="5" t="s">
        <v>3012</v>
      </c>
      <c r="F7250" s="5" t="s">
        <v>2730</v>
      </c>
    </row>
    <row r="7251">
      <c r="A7251" s="5" t="s">
        <v>3090</v>
      </c>
      <c r="B7251" s="8">
        <v>10.0</v>
      </c>
      <c r="C7251" s="7" t="s">
        <v>101</v>
      </c>
      <c r="D7251" s="7" t="s">
        <v>2432</v>
      </c>
      <c r="E7251" s="5" t="s">
        <v>3012</v>
      </c>
      <c r="F7251" s="5" t="s">
        <v>4121</v>
      </c>
    </row>
    <row r="7252">
      <c r="A7252" s="7" t="s">
        <v>606</v>
      </c>
      <c r="B7252" s="8">
        <v>10.0</v>
      </c>
      <c r="C7252" s="7" t="s">
        <v>101</v>
      </c>
      <c r="D7252" s="7" t="s">
        <v>2432</v>
      </c>
      <c r="E7252" s="5" t="s">
        <v>3012</v>
      </c>
      <c r="F7252" s="5" t="s">
        <v>3929</v>
      </c>
    </row>
    <row r="7253">
      <c r="A7253" s="5" t="s">
        <v>2602</v>
      </c>
      <c r="B7253" s="8">
        <v>10.0</v>
      </c>
      <c r="C7253" s="7" t="s">
        <v>101</v>
      </c>
      <c r="D7253" s="7" t="s">
        <v>2432</v>
      </c>
      <c r="E7253" s="5" t="s">
        <v>3012</v>
      </c>
      <c r="F7253" s="5" t="s">
        <v>3644</v>
      </c>
    </row>
    <row r="7254">
      <c r="A7254" s="5" t="s">
        <v>2931</v>
      </c>
      <c r="B7254" s="8">
        <v>10.0</v>
      </c>
      <c r="C7254" s="7" t="s">
        <v>101</v>
      </c>
      <c r="D7254" s="7" t="s">
        <v>2432</v>
      </c>
      <c r="E7254" s="5" t="s">
        <v>3012</v>
      </c>
      <c r="F7254" s="5" t="s">
        <v>4122</v>
      </c>
    </row>
    <row r="7255">
      <c r="A7255" s="5" t="s">
        <v>2932</v>
      </c>
      <c r="B7255" s="8">
        <v>10.0</v>
      </c>
      <c r="C7255" s="7" t="s">
        <v>101</v>
      </c>
      <c r="D7255" s="7" t="s">
        <v>2432</v>
      </c>
      <c r="E7255" s="5" t="s">
        <v>3012</v>
      </c>
      <c r="F7255" s="5" t="s">
        <v>4118</v>
      </c>
    </row>
    <row r="7256">
      <c r="A7256" s="5" t="s">
        <v>3091</v>
      </c>
      <c r="B7256" s="8">
        <v>10.0</v>
      </c>
      <c r="C7256" s="7" t="s">
        <v>101</v>
      </c>
      <c r="D7256" s="7" t="s">
        <v>2432</v>
      </c>
      <c r="E7256" s="5" t="s">
        <v>3012</v>
      </c>
      <c r="F7256" s="5" t="s">
        <v>4118</v>
      </c>
    </row>
    <row r="7257">
      <c r="A7257" s="5" t="s">
        <v>2605</v>
      </c>
      <c r="B7257" s="8">
        <v>10.0</v>
      </c>
      <c r="C7257" s="7" t="s">
        <v>101</v>
      </c>
      <c r="D7257" s="7" t="s">
        <v>2432</v>
      </c>
      <c r="E7257" s="5" t="s">
        <v>3012</v>
      </c>
      <c r="F7257" s="5" t="s">
        <v>2730</v>
      </c>
    </row>
    <row r="7258">
      <c r="A7258" s="7" t="s">
        <v>1989</v>
      </c>
      <c r="B7258" s="8">
        <v>10.0</v>
      </c>
      <c r="C7258" s="7" t="s">
        <v>101</v>
      </c>
      <c r="D7258" s="7" t="s">
        <v>2432</v>
      </c>
      <c r="E7258" s="5" t="s">
        <v>3012</v>
      </c>
      <c r="F7258" s="5" t="s">
        <v>4123</v>
      </c>
    </row>
    <row r="7259">
      <c r="A7259" s="5" t="s">
        <v>2606</v>
      </c>
      <c r="B7259" s="8">
        <v>10.0</v>
      </c>
      <c r="C7259" s="7" t="s">
        <v>101</v>
      </c>
      <c r="D7259" s="7" t="s">
        <v>2432</v>
      </c>
      <c r="E7259" s="5" t="s">
        <v>3012</v>
      </c>
      <c r="F7259" s="5" t="s">
        <v>3921</v>
      </c>
    </row>
    <row r="7260">
      <c r="A7260" s="5" t="s">
        <v>2607</v>
      </c>
      <c r="B7260" s="8">
        <v>10.0</v>
      </c>
      <c r="C7260" s="7" t="s">
        <v>101</v>
      </c>
      <c r="D7260" s="7" t="s">
        <v>2432</v>
      </c>
      <c r="E7260" s="5" t="s">
        <v>3012</v>
      </c>
      <c r="F7260" s="5" t="s">
        <v>3921</v>
      </c>
    </row>
    <row r="7261">
      <c r="A7261" s="7" t="s">
        <v>1990</v>
      </c>
      <c r="B7261" s="8">
        <v>10.0</v>
      </c>
      <c r="C7261" s="7" t="s">
        <v>101</v>
      </c>
      <c r="D7261" s="7" t="s">
        <v>2432</v>
      </c>
      <c r="E7261" s="5" t="s">
        <v>3012</v>
      </c>
      <c r="F7261" s="5" t="s">
        <v>2730</v>
      </c>
    </row>
    <row r="7262">
      <c r="A7262" s="5" t="s">
        <v>2936</v>
      </c>
      <c r="B7262" s="8">
        <v>10.0</v>
      </c>
      <c r="C7262" s="7" t="s">
        <v>101</v>
      </c>
      <c r="D7262" s="7" t="s">
        <v>2432</v>
      </c>
      <c r="E7262" s="5" t="s">
        <v>3012</v>
      </c>
      <c r="F7262" s="5" t="s">
        <v>4124</v>
      </c>
    </row>
    <row r="7263">
      <c r="A7263" s="5" t="s">
        <v>2608</v>
      </c>
      <c r="B7263" s="8">
        <v>10.0</v>
      </c>
      <c r="C7263" s="7" t="s">
        <v>101</v>
      </c>
      <c r="D7263" s="7" t="s">
        <v>2432</v>
      </c>
      <c r="E7263" s="5" t="s">
        <v>3012</v>
      </c>
      <c r="F7263" s="5" t="s">
        <v>3921</v>
      </c>
    </row>
    <row r="7264">
      <c r="A7264" s="5" t="s">
        <v>2609</v>
      </c>
      <c r="B7264" s="8">
        <v>10.0</v>
      </c>
      <c r="C7264" s="7" t="s">
        <v>101</v>
      </c>
      <c r="D7264" s="7" t="s">
        <v>2432</v>
      </c>
      <c r="E7264" s="5" t="s">
        <v>3012</v>
      </c>
      <c r="F7264" s="5" t="s">
        <v>3921</v>
      </c>
    </row>
    <row r="7265">
      <c r="A7265" s="5" t="s">
        <v>3791</v>
      </c>
      <c r="B7265" s="8">
        <v>10.0</v>
      </c>
      <c r="C7265" s="7" t="s">
        <v>2441</v>
      </c>
      <c r="D7265" s="7" t="s">
        <v>2442</v>
      </c>
      <c r="E7265" s="5" t="s">
        <v>4125</v>
      </c>
      <c r="F7265" s="5" t="s">
        <v>4126</v>
      </c>
    </row>
    <row r="7266">
      <c r="A7266" s="7" t="s">
        <v>188</v>
      </c>
      <c r="B7266" s="8">
        <v>10.0</v>
      </c>
      <c r="C7266" s="7" t="s">
        <v>2441</v>
      </c>
      <c r="D7266" s="7" t="s">
        <v>2442</v>
      </c>
      <c r="E7266" s="5" t="s">
        <v>4125</v>
      </c>
      <c r="F7266" s="5" t="s">
        <v>4126</v>
      </c>
    </row>
    <row r="7267">
      <c r="A7267" s="5" t="s">
        <v>2924</v>
      </c>
      <c r="B7267" s="8">
        <v>10.0</v>
      </c>
      <c r="C7267" s="7" t="s">
        <v>2441</v>
      </c>
      <c r="D7267" s="7" t="s">
        <v>2442</v>
      </c>
      <c r="E7267" s="5" t="s">
        <v>4125</v>
      </c>
      <c r="F7267" s="5" t="s">
        <v>4126</v>
      </c>
    </row>
    <row r="7268">
      <c r="A7268" s="5" t="s">
        <v>2925</v>
      </c>
      <c r="B7268" s="8">
        <v>10.0</v>
      </c>
      <c r="C7268" s="7" t="s">
        <v>2441</v>
      </c>
      <c r="D7268" s="7" t="s">
        <v>2442</v>
      </c>
      <c r="E7268" s="5" t="s">
        <v>4125</v>
      </c>
      <c r="F7268" s="5" t="s">
        <v>4126</v>
      </c>
    </row>
    <row r="7269">
      <c r="A7269" s="5" t="s">
        <v>3086</v>
      </c>
      <c r="B7269" s="8">
        <v>10.0</v>
      </c>
      <c r="C7269" s="7" t="s">
        <v>2441</v>
      </c>
      <c r="D7269" s="7" t="s">
        <v>2442</v>
      </c>
      <c r="E7269" s="5" t="s">
        <v>4125</v>
      </c>
      <c r="F7269" s="5" t="s">
        <v>4126</v>
      </c>
    </row>
    <row r="7270">
      <c r="A7270" s="5" t="s">
        <v>4037</v>
      </c>
      <c r="B7270" s="8">
        <v>10.0</v>
      </c>
      <c r="C7270" s="7" t="s">
        <v>2441</v>
      </c>
      <c r="D7270" s="7" t="s">
        <v>2442</v>
      </c>
      <c r="E7270" s="5" t="s">
        <v>4125</v>
      </c>
      <c r="F7270" s="5" t="s">
        <v>4127</v>
      </c>
    </row>
    <row r="7271">
      <c r="A7271" s="7" t="s">
        <v>2319</v>
      </c>
      <c r="B7271" s="8">
        <v>10.0</v>
      </c>
      <c r="C7271" s="7" t="s">
        <v>2441</v>
      </c>
      <c r="D7271" s="7" t="s">
        <v>2442</v>
      </c>
      <c r="E7271" s="5" t="s">
        <v>4125</v>
      </c>
      <c r="F7271" s="5" t="s">
        <v>4126</v>
      </c>
    </row>
    <row r="7272">
      <c r="A7272" s="5" t="s">
        <v>3795</v>
      </c>
      <c r="B7272" s="8">
        <v>10.0</v>
      </c>
      <c r="C7272" s="7" t="s">
        <v>2441</v>
      </c>
      <c r="D7272" s="7" t="s">
        <v>2442</v>
      </c>
      <c r="E7272" s="5" t="s">
        <v>4125</v>
      </c>
      <c r="F7272" s="5" t="s">
        <v>4128</v>
      </c>
    </row>
    <row r="7273">
      <c r="A7273" s="7" t="s">
        <v>868</v>
      </c>
      <c r="B7273" s="8">
        <v>10.0</v>
      </c>
      <c r="C7273" s="7" t="s">
        <v>2441</v>
      </c>
      <c r="D7273" s="7" t="s">
        <v>2442</v>
      </c>
      <c r="E7273" s="5" t="s">
        <v>4125</v>
      </c>
      <c r="F7273" s="5" t="s">
        <v>4129</v>
      </c>
    </row>
    <row r="7274">
      <c r="A7274" s="5" t="s">
        <v>3087</v>
      </c>
      <c r="B7274" s="8">
        <v>10.0</v>
      </c>
      <c r="C7274" s="7" t="s">
        <v>2441</v>
      </c>
      <c r="D7274" s="7" t="s">
        <v>2442</v>
      </c>
      <c r="E7274" s="5" t="s">
        <v>4125</v>
      </c>
      <c r="F7274" s="5" t="s">
        <v>4126</v>
      </c>
    </row>
    <row r="7275">
      <c r="A7275" s="5" t="s">
        <v>3088</v>
      </c>
      <c r="B7275" s="8">
        <v>10.0</v>
      </c>
      <c r="C7275" s="7" t="s">
        <v>2441</v>
      </c>
      <c r="D7275" s="7" t="s">
        <v>2442</v>
      </c>
      <c r="E7275" s="5" t="s">
        <v>4125</v>
      </c>
      <c r="F7275" s="5" t="s">
        <v>4126</v>
      </c>
    </row>
    <row r="7276">
      <c r="A7276" s="5" t="s">
        <v>3388</v>
      </c>
      <c r="B7276" s="8">
        <v>10.0</v>
      </c>
      <c r="C7276" s="7" t="s">
        <v>2441</v>
      </c>
      <c r="D7276" s="7" t="s">
        <v>2442</v>
      </c>
      <c r="E7276" s="5" t="s">
        <v>4125</v>
      </c>
      <c r="F7276" s="5" t="s">
        <v>4126</v>
      </c>
    </row>
    <row r="7277">
      <c r="A7277" s="5" t="s">
        <v>2927</v>
      </c>
      <c r="B7277" s="8">
        <v>10.0</v>
      </c>
      <c r="C7277" s="7" t="s">
        <v>2441</v>
      </c>
      <c r="D7277" s="7" t="s">
        <v>2442</v>
      </c>
      <c r="E7277" s="5" t="s">
        <v>4125</v>
      </c>
      <c r="F7277" s="5" t="s">
        <v>4126</v>
      </c>
    </row>
    <row r="7278">
      <c r="A7278" s="5" t="s">
        <v>3089</v>
      </c>
      <c r="B7278" s="8">
        <v>10.0</v>
      </c>
      <c r="C7278" s="7" t="s">
        <v>2441</v>
      </c>
      <c r="D7278" s="7" t="s">
        <v>2442</v>
      </c>
      <c r="E7278" s="5" t="s">
        <v>4125</v>
      </c>
      <c r="F7278" s="5" t="s">
        <v>4130</v>
      </c>
    </row>
    <row r="7279">
      <c r="A7279" s="5" t="s">
        <v>2928</v>
      </c>
      <c r="B7279" s="8">
        <v>10.0</v>
      </c>
      <c r="C7279" s="7" t="s">
        <v>2441</v>
      </c>
      <c r="D7279" s="7" t="s">
        <v>2442</v>
      </c>
      <c r="E7279" s="5" t="s">
        <v>4125</v>
      </c>
      <c r="F7279" s="5" t="s">
        <v>4126</v>
      </c>
    </row>
    <row r="7280">
      <c r="A7280" s="7" t="s">
        <v>603</v>
      </c>
      <c r="B7280" s="8">
        <v>10.0</v>
      </c>
      <c r="C7280" s="7" t="s">
        <v>2441</v>
      </c>
      <c r="D7280" s="7" t="s">
        <v>2442</v>
      </c>
      <c r="E7280" s="5" t="s">
        <v>4125</v>
      </c>
      <c r="F7280" s="5" t="s">
        <v>4131</v>
      </c>
    </row>
    <row r="7281">
      <c r="A7281" s="5" t="s">
        <v>2929</v>
      </c>
      <c r="B7281" s="8">
        <v>10.0</v>
      </c>
      <c r="C7281" s="7" t="s">
        <v>2441</v>
      </c>
      <c r="D7281" s="7" t="s">
        <v>2442</v>
      </c>
      <c r="E7281" s="5" t="s">
        <v>4125</v>
      </c>
      <c r="F7281" s="5" t="s">
        <v>4126</v>
      </c>
    </row>
    <row r="7282">
      <c r="A7282" s="5" t="s">
        <v>2702</v>
      </c>
      <c r="B7282" s="8">
        <v>10.0</v>
      </c>
      <c r="C7282" s="7" t="s">
        <v>2441</v>
      </c>
      <c r="D7282" s="7" t="s">
        <v>2442</v>
      </c>
      <c r="E7282" s="5" t="s">
        <v>4125</v>
      </c>
      <c r="F7282" s="5" t="s">
        <v>4127</v>
      </c>
    </row>
    <row r="7283">
      <c r="A7283" s="5" t="s">
        <v>2930</v>
      </c>
      <c r="B7283" s="8">
        <v>10.0</v>
      </c>
      <c r="C7283" s="7" t="s">
        <v>2441</v>
      </c>
      <c r="D7283" s="7" t="s">
        <v>2442</v>
      </c>
      <c r="E7283" s="5" t="s">
        <v>4125</v>
      </c>
      <c r="F7283" s="5" t="s">
        <v>4126</v>
      </c>
    </row>
    <row r="7284">
      <c r="A7284" s="5" t="s">
        <v>2600</v>
      </c>
      <c r="B7284" s="8">
        <v>10.0</v>
      </c>
      <c r="C7284" s="7" t="s">
        <v>2441</v>
      </c>
      <c r="D7284" s="7" t="s">
        <v>2442</v>
      </c>
      <c r="E7284" s="5" t="s">
        <v>4125</v>
      </c>
      <c r="F7284" s="5" t="s">
        <v>4126</v>
      </c>
    </row>
    <row r="7285">
      <c r="A7285" s="5" t="s">
        <v>3802</v>
      </c>
      <c r="B7285" s="8">
        <v>10.0</v>
      </c>
      <c r="C7285" s="7" t="s">
        <v>2441</v>
      </c>
      <c r="D7285" s="7" t="s">
        <v>2442</v>
      </c>
      <c r="E7285" s="5" t="s">
        <v>4125</v>
      </c>
      <c r="F7285" s="5" t="s">
        <v>4131</v>
      </c>
    </row>
    <row r="7286">
      <c r="A7286" s="5" t="s">
        <v>3090</v>
      </c>
      <c r="B7286" s="8">
        <v>10.0</v>
      </c>
      <c r="C7286" s="7" t="s">
        <v>2441</v>
      </c>
      <c r="D7286" s="7" t="s">
        <v>2442</v>
      </c>
      <c r="E7286" s="5" t="s">
        <v>4125</v>
      </c>
      <c r="F7286" s="5" t="s">
        <v>4132</v>
      </c>
    </row>
    <row r="7287">
      <c r="A7287" s="7" t="s">
        <v>606</v>
      </c>
      <c r="B7287" s="8">
        <v>10.0</v>
      </c>
      <c r="C7287" s="7" t="s">
        <v>2441</v>
      </c>
      <c r="D7287" s="7" t="s">
        <v>2442</v>
      </c>
      <c r="E7287" s="5" t="s">
        <v>4125</v>
      </c>
      <c r="F7287" s="5" t="s">
        <v>4133</v>
      </c>
    </row>
    <row r="7288">
      <c r="A7288" s="5" t="s">
        <v>2602</v>
      </c>
      <c r="B7288" s="8">
        <v>10.0</v>
      </c>
      <c r="C7288" s="7" t="s">
        <v>2441</v>
      </c>
      <c r="D7288" s="7" t="s">
        <v>2442</v>
      </c>
      <c r="E7288" s="5" t="s">
        <v>4125</v>
      </c>
      <c r="F7288" s="5" t="s">
        <v>4134</v>
      </c>
    </row>
    <row r="7289">
      <c r="A7289" s="5" t="s">
        <v>2931</v>
      </c>
      <c r="B7289" s="8">
        <v>10.0</v>
      </c>
      <c r="C7289" s="7" t="s">
        <v>2441</v>
      </c>
      <c r="D7289" s="7" t="s">
        <v>2442</v>
      </c>
      <c r="E7289" s="5" t="s">
        <v>4125</v>
      </c>
      <c r="F7289" s="5" t="s">
        <v>4135</v>
      </c>
    </row>
    <row r="7290">
      <c r="A7290" s="5" t="s">
        <v>2932</v>
      </c>
      <c r="B7290" s="8">
        <v>10.0</v>
      </c>
      <c r="C7290" s="7" t="s">
        <v>2441</v>
      </c>
      <c r="D7290" s="7" t="s">
        <v>2442</v>
      </c>
      <c r="E7290" s="5" t="s">
        <v>4125</v>
      </c>
      <c r="F7290" s="5" t="s">
        <v>4136</v>
      </c>
    </row>
    <row r="7291">
      <c r="A7291" s="5" t="s">
        <v>3091</v>
      </c>
      <c r="B7291" s="8">
        <v>10.0</v>
      </c>
      <c r="C7291" s="7" t="s">
        <v>2441</v>
      </c>
      <c r="D7291" s="7" t="s">
        <v>2442</v>
      </c>
      <c r="E7291" s="5" t="s">
        <v>4125</v>
      </c>
      <c r="F7291" s="5" t="s">
        <v>4137</v>
      </c>
    </row>
    <row r="7292">
      <c r="A7292" s="5" t="s">
        <v>2605</v>
      </c>
      <c r="B7292" s="8">
        <v>10.0</v>
      </c>
      <c r="C7292" s="7" t="s">
        <v>2441</v>
      </c>
      <c r="D7292" s="7" t="s">
        <v>2442</v>
      </c>
      <c r="E7292" s="5" t="s">
        <v>4125</v>
      </c>
      <c r="F7292" s="5" t="s">
        <v>4138</v>
      </c>
    </row>
    <row r="7293">
      <c r="A7293" s="7" t="s">
        <v>1989</v>
      </c>
      <c r="B7293" s="8">
        <v>10.0</v>
      </c>
      <c r="C7293" s="7" t="s">
        <v>2441</v>
      </c>
      <c r="D7293" s="7" t="s">
        <v>2442</v>
      </c>
      <c r="E7293" s="5" t="s">
        <v>4125</v>
      </c>
      <c r="F7293" s="5" t="s">
        <v>4126</v>
      </c>
    </row>
    <row r="7294">
      <c r="A7294" s="5" t="s">
        <v>2606</v>
      </c>
      <c r="B7294" s="8">
        <v>10.0</v>
      </c>
      <c r="C7294" s="7" t="s">
        <v>2441</v>
      </c>
      <c r="D7294" s="7" t="s">
        <v>2442</v>
      </c>
      <c r="E7294" s="5" t="s">
        <v>4125</v>
      </c>
      <c r="F7294" s="5" t="s">
        <v>4139</v>
      </c>
    </row>
    <row r="7295">
      <c r="A7295" s="5" t="s">
        <v>2607</v>
      </c>
      <c r="B7295" s="8">
        <v>10.0</v>
      </c>
      <c r="C7295" s="7" t="s">
        <v>2441</v>
      </c>
      <c r="D7295" s="7" t="s">
        <v>2442</v>
      </c>
      <c r="E7295" s="5" t="s">
        <v>4125</v>
      </c>
      <c r="F7295" s="5" t="s">
        <v>4140</v>
      </c>
    </row>
    <row r="7296">
      <c r="A7296" s="7" t="s">
        <v>1990</v>
      </c>
      <c r="B7296" s="8">
        <v>10.0</v>
      </c>
      <c r="C7296" s="7" t="s">
        <v>2441</v>
      </c>
      <c r="D7296" s="7" t="s">
        <v>2442</v>
      </c>
      <c r="E7296" s="5" t="s">
        <v>4125</v>
      </c>
      <c r="F7296" s="5" t="s">
        <v>4130</v>
      </c>
    </row>
    <row r="7297">
      <c r="A7297" s="5" t="s">
        <v>2935</v>
      </c>
      <c r="B7297" s="8">
        <v>10.0</v>
      </c>
      <c r="C7297" s="7" t="s">
        <v>2441</v>
      </c>
      <c r="D7297" s="7" t="s">
        <v>2442</v>
      </c>
      <c r="E7297" s="5" t="s">
        <v>4125</v>
      </c>
      <c r="F7297" s="5" t="s">
        <v>4141</v>
      </c>
    </row>
    <row r="7298">
      <c r="A7298" s="5" t="s">
        <v>2936</v>
      </c>
      <c r="B7298" s="8">
        <v>10.0</v>
      </c>
      <c r="C7298" s="7" t="s">
        <v>2441</v>
      </c>
      <c r="D7298" s="7" t="s">
        <v>2442</v>
      </c>
      <c r="E7298" s="5" t="s">
        <v>4125</v>
      </c>
      <c r="F7298" s="5" t="s">
        <v>4142</v>
      </c>
    </row>
    <row r="7299">
      <c r="A7299" s="5" t="s">
        <v>2608</v>
      </c>
      <c r="B7299" s="8">
        <v>10.0</v>
      </c>
      <c r="C7299" s="7" t="s">
        <v>2441</v>
      </c>
      <c r="D7299" s="7" t="s">
        <v>2442</v>
      </c>
      <c r="E7299" s="5" t="s">
        <v>4125</v>
      </c>
      <c r="F7299" s="5" t="s">
        <v>4142</v>
      </c>
    </row>
    <row r="7300">
      <c r="A7300" s="5" t="s">
        <v>2609</v>
      </c>
      <c r="B7300" s="8">
        <v>10.0</v>
      </c>
      <c r="C7300" s="7" t="s">
        <v>2441</v>
      </c>
      <c r="D7300" s="7" t="s">
        <v>2442</v>
      </c>
      <c r="E7300" s="5" t="s">
        <v>4125</v>
      </c>
      <c r="F7300" s="5" t="s">
        <v>4143</v>
      </c>
    </row>
    <row r="7301">
      <c r="A7301" s="5" t="s">
        <v>3791</v>
      </c>
      <c r="B7301" s="8">
        <v>10.0</v>
      </c>
      <c r="C7301" s="7" t="s">
        <v>172</v>
      </c>
      <c r="D7301" s="5" t="s">
        <v>4144</v>
      </c>
      <c r="E7301" s="7" t="s">
        <v>1761</v>
      </c>
      <c r="F7301" s="7" t="s">
        <v>175</v>
      </c>
    </row>
    <row r="7302">
      <c r="A7302" s="7" t="s">
        <v>188</v>
      </c>
      <c r="B7302" s="8">
        <v>10.0</v>
      </c>
      <c r="C7302" s="7" t="s">
        <v>172</v>
      </c>
      <c r="D7302" s="5" t="s">
        <v>4144</v>
      </c>
      <c r="E7302" s="7" t="s">
        <v>1761</v>
      </c>
      <c r="F7302" s="7" t="s">
        <v>175</v>
      </c>
    </row>
    <row r="7303">
      <c r="A7303" s="5" t="s">
        <v>2924</v>
      </c>
      <c r="B7303" s="8">
        <v>10.0</v>
      </c>
      <c r="C7303" s="7" t="s">
        <v>172</v>
      </c>
      <c r="D7303" s="5" t="s">
        <v>4144</v>
      </c>
      <c r="E7303" s="7" t="s">
        <v>1761</v>
      </c>
      <c r="F7303" s="7" t="s">
        <v>175</v>
      </c>
    </row>
    <row r="7304">
      <c r="A7304" s="5" t="s">
        <v>2925</v>
      </c>
      <c r="B7304" s="8">
        <v>10.0</v>
      </c>
      <c r="C7304" s="7" t="s">
        <v>172</v>
      </c>
      <c r="D7304" s="5" t="s">
        <v>4144</v>
      </c>
      <c r="E7304" s="7" t="s">
        <v>1761</v>
      </c>
      <c r="F7304" s="7" t="s">
        <v>175</v>
      </c>
    </row>
    <row r="7305">
      <c r="A7305" s="5" t="s">
        <v>3086</v>
      </c>
      <c r="B7305" s="8">
        <v>10.0</v>
      </c>
      <c r="C7305" s="7" t="s">
        <v>172</v>
      </c>
      <c r="D7305" s="5" t="s">
        <v>4144</v>
      </c>
      <c r="E7305" s="7" t="s">
        <v>1761</v>
      </c>
      <c r="F7305" s="7" t="s">
        <v>175</v>
      </c>
    </row>
    <row r="7306">
      <c r="A7306" s="5" t="s">
        <v>4037</v>
      </c>
      <c r="B7306" s="8">
        <v>10.0</v>
      </c>
      <c r="C7306" s="7" t="s">
        <v>172</v>
      </c>
      <c r="D7306" s="5" t="s">
        <v>4144</v>
      </c>
      <c r="E7306" s="7" t="s">
        <v>1761</v>
      </c>
      <c r="F7306" s="7" t="s">
        <v>175</v>
      </c>
    </row>
    <row r="7307">
      <c r="A7307" s="7" t="s">
        <v>2319</v>
      </c>
      <c r="B7307" s="8">
        <v>10.0</v>
      </c>
      <c r="C7307" s="7" t="s">
        <v>172</v>
      </c>
      <c r="D7307" s="5" t="s">
        <v>4144</v>
      </c>
      <c r="E7307" s="7" t="s">
        <v>1761</v>
      </c>
      <c r="F7307" s="7" t="s">
        <v>175</v>
      </c>
    </row>
    <row r="7308">
      <c r="A7308" s="5" t="s">
        <v>3795</v>
      </c>
      <c r="B7308" s="8">
        <v>10.0</v>
      </c>
      <c r="C7308" s="7" t="s">
        <v>172</v>
      </c>
      <c r="D7308" s="5" t="s">
        <v>4144</v>
      </c>
      <c r="E7308" s="7" t="s">
        <v>1761</v>
      </c>
      <c r="F7308" s="7" t="s">
        <v>175</v>
      </c>
    </row>
    <row r="7309">
      <c r="A7309" s="7" t="s">
        <v>868</v>
      </c>
      <c r="B7309" s="8">
        <v>10.0</v>
      </c>
      <c r="C7309" s="7" t="s">
        <v>172</v>
      </c>
      <c r="D7309" s="5" t="s">
        <v>4144</v>
      </c>
      <c r="E7309" s="7" t="s">
        <v>1761</v>
      </c>
      <c r="F7309" s="7" t="s">
        <v>175</v>
      </c>
    </row>
    <row r="7310">
      <c r="A7310" s="5" t="s">
        <v>3087</v>
      </c>
      <c r="B7310" s="8">
        <v>10.0</v>
      </c>
      <c r="C7310" s="7" t="s">
        <v>172</v>
      </c>
      <c r="D7310" s="5" t="s">
        <v>4144</v>
      </c>
      <c r="E7310" s="7" t="s">
        <v>1761</v>
      </c>
      <c r="F7310" s="7" t="s">
        <v>66</v>
      </c>
    </row>
    <row r="7311">
      <c r="A7311" s="5" t="s">
        <v>3088</v>
      </c>
      <c r="B7311" s="8">
        <v>10.0</v>
      </c>
      <c r="C7311" s="7" t="s">
        <v>172</v>
      </c>
      <c r="D7311" s="5" t="s">
        <v>4144</v>
      </c>
      <c r="E7311" s="7" t="s">
        <v>1761</v>
      </c>
      <c r="F7311" s="7" t="s">
        <v>175</v>
      </c>
    </row>
    <row r="7312">
      <c r="A7312" s="5" t="s">
        <v>3388</v>
      </c>
      <c r="B7312" s="8">
        <v>10.0</v>
      </c>
      <c r="C7312" s="7" t="s">
        <v>172</v>
      </c>
      <c r="D7312" s="5" t="s">
        <v>4144</v>
      </c>
      <c r="E7312" s="7" t="s">
        <v>1761</v>
      </c>
      <c r="F7312" s="7" t="s">
        <v>175</v>
      </c>
    </row>
    <row r="7313">
      <c r="A7313" s="5" t="s">
        <v>2927</v>
      </c>
      <c r="B7313" s="8">
        <v>10.0</v>
      </c>
      <c r="C7313" s="7" t="s">
        <v>172</v>
      </c>
      <c r="D7313" s="5" t="s">
        <v>4144</v>
      </c>
      <c r="E7313" s="7" t="s">
        <v>1761</v>
      </c>
      <c r="F7313" s="7" t="s">
        <v>175</v>
      </c>
    </row>
    <row r="7314">
      <c r="A7314" s="5" t="s">
        <v>3089</v>
      </c>
      <c r="B7314" s="8">
        <v>10.0</v>
      </c>
      <c r="C7314" s="7" t="s">
        <v>172</v>
      </c>
      <c r="D7314" s="5" t="s">
        <v>4144</v>
      </c>
      <c r="E7314" s="7" t="s">
        <v>1761</v>
      </c>
      <c r="F7314" s="7" t="s">
        <v>175</v>
      </c>
    </row>
    <row r="7315">
      <c r="A7315" s="5" t="s">
        <v>2928</v>
      </c>
      <c r="B7315" s="8">
        <v>10.0</v>
      </c>
      <c r="C7315" s="7" t="s">
        <v>172</v>
      </c>
      <c r="D7315" s="5" t="s">
        <v>4144</v>
      </c>
      <c r="E7315" s="7" t="s">
        <v>1761</v>
      </c>
      <c r="F7315" s="7" t="s">
        <v>175</v>
      </c>
    </row>
    <row r="7316">
      <c r="A7316" s="7" t="s">
        <v>603</v>
      </c>
      <c r="B7316" s="8">
        <v>10.0</v>
      </c>
      <c r="C7316" s="7" t="s">
        <v>172</v>
      </c>
      <c r="D7316" s="5" t="s">
        <v>4144</v>
      </c>
      <c r="E7316" s="7" t="s">
        <v>1761</v>
      </c>
      <c r="F7316" s="7" t="s">
        <v>66</v>
      </c>
    </row>
    <row r="7317">
      <c r="A7317" s="5" t="s">
        <v>2929</v>
      </c>
      <c r="B7317" s="8">
        <v>10.0</v>
      </c>
      <c r="C7317" s="7" t="s">
        <v>172</v>
      </c>
      <c r="D7317" s="5" t="s">
        <v>4144</v>
      </c>
      <c r="E7317" s="7" t="s">
        <v>1761</v>
      </c>
      <c r="F7317" s="7" t="s">
        <v>65</v>
      </c>
    </row>
    <row r="7318">
      <c r="A7318" s="5" t="s">
        <v>2702</v>
      </c>
      <c r="B7318" s="8">
        <v>10.0</v>
      </c>
      <c r="C7318" s="7" t="s">
        <v>172</v>
      </c>
      <c r="D7318" s="5" t="s">
        <v>4144</v>
      </c>
      <c r="E7318" s="7" t="s">
        <v>1761</v>
      </c>
      <c r="F7318" s="7" t="s">
        <v>175</v>
      </c>
    </row>
    <row r="7319">
      <c r="A7319" s="5" t="s">
        <v>2930</v>
      </c>
      <c r="B7319" s="8">
        <v>10.0</v>
      </c>
      <c r="C7319" s="7" t="s">
        <v>172</v>
      </c>
      <c r="D7319" s="5" t="s">
        <v>4144</v>
      </c>
      <c r="E7319" s="7" t="s">
        <v>1761</v>
      </c>
      <c r="F7319" s="7" t="s">
        <v>175</v>
      </c>
    </row>
    <row r="7320">
      <c r="A7320" s="5" t="s">
        <v>2600</v>
      </c>
      <c r="B7320" s="8">
        <v>10.0</v>
      </c>
      <c r="C7320" s="7" t="s">
        <v>172</v>
      </c>
      <c r="D7320" s="5" t="s">
        <v>4144</v>
      </c>
      <c r="E7320" s="7" t="s">
        <v>1761</v>
      </c>
      <c r="F7320" s="5" t="s">
        <v>4145</v>
      </c>
    </row>
    <row r="7321">
      <c r="A7321" s="5" t="s">
        <v>3802</v>
      </c>
      <c r="B7321" s="8">
        <v>10.0</v>
      </c>
      <c r="C7321" s="7" t="s">
        <v>172</v>
      </c>
      <c r="D7321" s="5" t="s">
        <v>4144</v>
      </c>
      <c r="E7321" s="7" t="s">
        <v>1761</v>
      </c>
      <c r="F7321" s="7" t="s">
        <v>175</v>
      </c>
    </row>
    <row r="7322">
      <c r="A7322" s="5" t="s">
        <v>3090</v>
      </c>
      <c r="B7322" s="8">
        <v>10.0</v>
      </c>
      <c r="C7322" s="7" t="s">
        <v>172</v>
      </c>
      <c r="D7322" s="5" t="s">
        <v>4144</v>
      </c>
      <c r="E7322" s="7" t="s">
        <v>1761</v>
      </c>
      <c r="F7322" s="7" t="s">
        <v>71</v>
      </c>
    </row>
    <row r="7323">
      <c r="A7323" s="7" t="s">
        <v>606</v>
      </c>
      <c r="B7323" s="8">
        <v>10.0</v>
      </c>
      <c r="C7323" s="7" t="s">
        <v>172</v>
      </c>
      <c r="D7323" s="5" t="s">
        <v>4144</v>
      </c>
      <c r="E7323" s="7" t="s">
        <v>1761</v>
      </c>
      <c r="F7323" s="7" t="s">
        <v>175</v>
      </c>
    </row>
    <row r="7324">
      <c r="A7324" s="5" t="s">
        <v>2602</v>
      </c>
      <c r="B7324" s="8">
        <v>10.0</v>
      </c>
      <c r="C7324" s="7" t="s">
        <v>172</v>
      </c>
      <c r="D7324" s="5" t="s">
        <v>4144</v>
      </c>
      <c r="E7324" s="7" t="s">
        <v>1761</v>
      </c>
      <c r="F7324" s="7" t="s">
        <v>175</v>
      </c>
    </row>
    <row r="7325">
      <c r="A7325" s="5" t="s">
        <v>2932</v>
      </c>
      <c r="B7325" s="8">
        <v>10.0</v>
      </c>
      <c r="C7325" s="7" t="s">
        <v>172</v>
      </c>
      <c r="D7325" s="5" t="s">
        <v>4144</v>
      </c>
      <c r="E7325" s="7" t="s">
        <v>1761</v>
      </c>
      <c r="F7325" s="7" t="s">
        <v>175</v>
      </c>
    </row>
    <row r="7326">
      <c r="A7326" s="5" t="s">
        <v>3091</v>
      </c>
      <c r="B7326" s="8">
        <v>10.0</v>
      </c>
      <c r="C7326" s="7" t="s">
        <v>172</v>
      </c>
      <c r="D7326" s="5" t="s">
        <v>4144</v>
      </c>
      <c r="E7326" s="7" t="s">
        <v>1761</v>
      </c>
      <c r="F7326" s="7" t="s">
        <v>175</v>
      </c>
    </row>
    <row r="7327">
      <c r="A7327" s="5" t="s">
        <v>2605</v>
      </c>
      <c r="B7327" s="8">
        <v>10.0</v>
      </c>
      <c r="C7327" s="7" t="s">
        <v>172</v>
      </c>
      <c r="D7327" s="5" t="s">
        <v>4144</v>
      </c>
      <c r="E7327" s="7" t="s">
        <v>1761</v>
      </c>
      <c r="F7327" s="7" t="s">
        <v>175</v>
      </c>
    </row>
    <row r="7328">
      <c r="A7328" s="7" t="s">
        <v>1989</v>
      </c>
      <c r="B7328" s="8">
        <v>10.0</v>
      </c>
      <c r="C7328" s="7" t="s">
        <v>172</v>
      </c>
      <c r="D7328" s="5" t="s">
        <v>4144</v>
      </c>
      <c r="E7328" s="7" t="s">
        <v>1761</v>
      </c>
      <c r="F7328" s="7" t="s">
        <v>175</v>
      </c>
    </row>
    <row r="7329">
      <c r="A7329" s="5" t="s">
        <v>2606</v>
      </c>
      <c r="B7329" s="8">
        <v>10.0</v>
      </c>
      <c r="C7329" s="7" t="s">
        <v>172</v>
      </c>
      <c r="D7329" s="5" t="s">
        <v>4144</v>
      </c>
      <c r="E7329" s="7" t="s">
        <v>1761</v>
      </c>
      <c r="F7329" s="7" t="s">
        <v>175</v>
      </c>
    </row>
    <row r="7330">
      <c r="A7330" s="5" t="s">
        <v>2607</v>
      </c>
      <c r="B7330" s="8">
        <v>10.0</v>
      </c>
      <c r="C7330" s="7" t="s">
        <v>172</v>
      </c>
      <c r="D7330" s="5" t="s">
        <v>4144</v>
      </c>
      <c r="E7330" s="7" t="s">
        <v>1761</v>
      </c>
      <c r="F7330" s="7" t="s">
        <v>2359</v>
      </c>
    </row>
    <row r="7331">
      <c r="A7331" s="7" t="s">
        <v>1990</v>
      </c>
      <c r="B7331" s="8">
        <v>10.0</v>
      </c>
      <c r="C7331" s="7" t="s">
        <v>172</v>
      </c>
      <c r="D7331" s="5" t="s">
        <v>4144</v>
      </c>
      <c r="E7331" s="7" t="s">
        <v>1761</v>
      </c>
      <c r="F7331" s="7" t="s">
        <v>175</v>
      </c>
    </row>
    <row r="7332">
      <c r="A7332" s="5" t="s">
        <v>2935</v>
      </c>
      <c r="B7332" s="8">
        <v>10.0</v>
      </c>
      <c r="C7332" s="7" t="s">
        <v>172</v>
      </c>
      <c r="D7332" s="5" t="s">
        <v>4144</v>
      </c>
      <c r="E7332" s="7" t="s">
        <v>1761</v>
      </c>
      <c r="F7332" s="7" t="s">
        <v>175</v>
      </c>
    </row>
    <row r="7333">
      <c r="A7333" s="5" t="s">
        <v>2936</v>
      </c>
      <c r="B7333" s="8">
        <v>10.0</v>
      </c>
      <c r="C7333" s="7" t="s">
        <v>172</v>
      </c>
      <c r="D7333" s="5" t="s">
        <v>4144</v>
      </c>
      <c r="E7333" s="7" t="s">
        <v>1761</v>
      </c>
      <c r="F7333" s="7" t="s">
        <v>175</v>
      </c>
    </row>
    <row r="7334">
      <c r="A7334" s="5" t="s">
        <v>2608</v>
      </c>
      <c r="B7334" s="8">
        <v>10.0</v>
      </c>
      <c r="C7334" s="7" t="s">
        <v>172</v>
      </c>
      <c r="D7334" s="5" t="s">
        <v>4144</v>
      </c>
      <c r="E7334" s="7" t="s">
        <v>1761</v>
      </c>
      <c r="F7334" s="7" t="s">
        <v>175</v>
      </c>
    </row>
    <row r="7335">
      <c r="A7335" s="5" t="s">
        <v>2609</v>
      </c>
      <c r="B7335" s="8">
        <v>10.0</v>
      </c>
      <c r="C7335" s="7" t="s">
        <v>172</v>
      </c>
      <c r="D7335" s="5" t="s">
        <v>4144</v>
      </c>
      <c r="E7335" s="7" t="s">
        <v>1761</v>
      </c>
      <c r="F7335" s="7" t="s">
        <v>175</v>
      </c>
    </row>
    <row r="7336">
      <c r="A7336" s="5" t="s">
        <v>3791</v>
      </c>
      <c r="B7336" s="8">
        <v>10.0</v>
      </c>
      <c r="C7336" s="7" t="s">
        <v>267</v>
      </c>
      <c r="D7336" s="7" t="s">
        <v>2464</v>
      </c>
      <c r="E7336" s="5" t="s">
        <v>767</v>
      </c>
      <c r="F7336" s="5" t="s">
        <v>271</v>
      </c>
    </row>
    <row r="7337">
      <c r="A7337" s="7" t="s">
        <v>188</v>
      </c>
      <c r="B7337" s="8">
        <v>10.0</v>
      </c>
      <c r="C7337" s="7" t="s">
        <v>267</v>
      </c>
      <c r="D7337" s="7" t="s">
        <v>2464</v>
      </c>
      <c r="E7337" s="5" t="s">
        <v>767</v>
      </c>
      <c r="F7337" s="5" t="s">
        <v>271</v>
      </c>
    </row>
    <row r="7338">
      <c r="A7338" s="5" t="s">
        <v>2924</v>
      </c>
      <c r="B7338" s="8">
        <v>10.0</v>
      </c>
      <c r="C7338" s="7" t="s">
        <v>267</v>
      </c>
      <c r="D7338" s="7" t="s">
        <v>2464</v>
      </c>
      <c r="E7338" s="5" t="s">
        <v>767</v>
      </c>
      <c r="F7338" s="5" t="s">
        <v>238</v>
      </c>
    </row>
    <row r="7339">
      <c r="A7339" s="5" t="s">
        <v>2925</v>
      </c>
      <c r="B7339" s="8">
        <v>10.0</v>
      </c>
      <c r="C7339" s="7" t="s">
        <v>267</v>
      </c>
      <c r="D7339" s="7" t="s">
        <v>2464</v>
      </c>
      <c r="E7339" s="5" t="s">
        <v>767</v>
      </c>
      <c r="F7339" s="5" t="s">
        <v>271</v>
      </c>
    </row>
    <row r="7340">
      <c r="A7340" s="5" t="s">
        <v>3086</v>
      </c>
      <c r="B7340" s="8">
        <v>10.0</v>
      </c>
      <c r="C7340" s="7" t="s">
        <v>267</v>
      </c>
      <c r="D7340" s="7" t="s">
        <v>2464</v>
      </c>
      <c r="E7340" s="5" t="s">
        <v>767</v>
      </c>
      <c r="F7340" s="5" t="s">
        <v>271</v>
      </c>
    </row>
    <row r="7341">
      <c r="A7341" s="5" t="s">
        <v>4037</v>
      </c>
      <c r="B7341" s="8">
        <v>10.0</v>
      </c>
      <c r="C7341" s="7" t="s">
        <v>267</v>
      </c>
      <c r="D7341" s="7" t="s">
        <v>2464</v>
      </c>
      <c r="E7341" s="5" t="s">
        <v>767</v>
      </c>
      <c r="F7341" s="5" t="s">
        <v>271</v>
      </c>
    </row>
    <row r="7342">
      <c r="A7342" s="7" t="s">
        <v>2319</v>
      </c>
      <c r="B7342" s="8">
        <v>10.0</v>
      </c>
      <c r="C7342" s="7" t="s">
        <v>267</v>
      </c>
      <c r="D7342" s="7" t="s">
        <v>2464</v>
      </c>
      <c r="E7342" s="5" t="s">
        <v>767</v>
      </c>
      <c r="F7342" s="5" t="s">
        <v>271</v>
      </c>
    </row>
    <row r="7343">
      <c r="A7343" s="5" t="s">
        <v>3795</v>
      </c>
      <c r="B7343" s="8">
        <v>10.0</v>
      </c>
      <c r="C7343" s="7" t="s">
        <v>267</v>
      </c>
      <c r="D7343" s="7" t="s">
        <v>2464</v>
      </c>
      <c r="E7343" s="5" t="s">
        <v>767</v>
      </c>
      <c r="F7343" s="5" t="s">
        <v>271</v>
      </c>
    </row>
    <row r="7344">
      <c r="A7344" s="7" t="s">
        <v>868</v>
      </c>
      <c r="B7344" s="8">
        <v>10.0</v>
      </c>
      <c r="C7344" s="7" t="s">
        <v>267</v>
      </c>
      <c r="D7344" s="7" t="s">
        <v>2464</v>
      </c>
      <c r="E7344" s="5" t="s">
        <v>767</v>
      </c>
      <c r="F7344" s="5" t="s">
        <v>271</v>
      </c>
    </row>
    <row r="7345">
      <c r="A7345" s="5" t="s">
        <v>3087</v>
      </c>
      <c r="B7345" s="8">
        <v>10.0</v>
      </c>
      <c r="C7345" s="7" t="s">
        <v>267</v>
      </c>
      <c r="D7345" s="7" t="s">
        <v>2464</v>
      </c>
      <c r="E7345" s="5" t="s">
        <v>767</v>
      </c>
      <c r="F7345" s="5" t="s">
        <v>238</v>
      </c>
    </row>
    <row r="7346">
      <c r="A7346" s="5" t="s">
        <v>3088</v>
      </c>
      <c r="B7346" s="8">
        <v>10.0</v>
      </c>
      <c r="C7346" s="7" t="s">
        <v>267</v>
      </c>
      <c r="D7346" s="7" t="s">
        <v>2464</v>
      </c>
      <c r="E7346" s="5" t="s">
        <v>767</v>
      </c>
      <c r="F7346" s="5" t="s">
        <v>271</v>
      </c>
    </row>
    <row r="7347">
      <c r="A7347" s="5" t="s">
        <v>3388</v>
      </c>
      <c r="B7347" s="8">
        <v>10.0</v>
      </c>
      <c r="C7347" s="7" t="s">
        <v>267</v>
      </c>
      <c r="D7347" s="7" t="s">
        <v>2464</v>
      </c>
      <c r="E7347" s="5" t="s">
        <v>767</v>
      </c>
      <c r="F7347" s="5" t="s">
        <v>271</v>
      </c>
    </row>
    <row r="7348">
      <c r="A7348" s="5" t="s">
        <v>2927</v>
      </c>
      <c r="B7348" s="8">
        <v>10.0</v>
      </c>
      <c r="C7348" s="7" t="s">
        <v>267</v>
      </c>
      <c r="D7348" s="7" t="s">
        <v>2464</v>
      </c>
      <c r="E7348" s="5" t="s">
        <v>767</v>
      </c>
      <c r="F7348" s="5" t="s">
        <v>238</v>
      </c>
    </row>
    <row r="7349">
      <c r="A7349" s="5" t="s">
        <v>3089</v>
      </c>
      <c r="B7349" s="8">
        <v>10.0</v>
      </c>
      <c r="C7349" s="7" t="s">
        <v>267</v>
      </c>
      <c r="D7349" s="7" t="s">
        <v>2464</v>
      </c>
      <c r="E7349" s="5" t="s">
        <v>767</v>
      </c>
      <c r="F7349" s="5" t="s">
        <v>4090</v>
      </c>
    </row>
    <row r="7350">
      <c r="A7350" s="5" t="s">
        <v>2928</v>
      </c>
      <c r="B7350" s="8">
        <v>10.0</v>
      </c>
      <c r="C7350" s="7" t="s">
        <v>267</v>
      </c>
      <c r="D7350" s="7" t="s">
        <v>2464</v>
      </c>
      <c r="E7350" s="5" t="s">
        <v>767</v>
      </c>
      <c r="F7350" s="5" t="s">
        <v>238</v>
      </c>
    </row>
    <row r="7351">
      <c r="A7351" s="7" t="s">
        <v>603</v>
      </c>
      <c r="B7351" s="8">
        <v>10.0</v>
      </c>
      <c r="C7351" s="7" t="s">
        <v>267</v>
      </c>
      <c r="D7351" s="7" t="s">
        <v>2464</v>
      </c>
      <c r="E7351" s="5" t="s">
        <v>767</v>
      </c>
      <c r="F7351" s="5" t="s">
        <v>238</v>
      </c>
    </row>
    <row r="7352">
      <c r="A7352" s="5" t="s">
        <v>2929</v>
      </c>
      <c r="B7352" s="8">
        <v>10.0</v>
      </c>
      <c r="C7352" s="7" t="s">
        <v>267</v>
      </c>
      <c r="D7352" s="7" t="s">
        <v>2464</v>
      </c>
      <c r="E7352" s="5" t="s">
        <v>767</v>
      </c>
      <c r="F7352" s="5" t="s">
        <v>4146</v>
      </c>
    </row>
    <row r="7353">
      <c r="A7353" s="5" t="s">
        <v>2702</v>
      </c>
      <c r="B7353" s="8">
        <v>10.0</v>
      </c>
      <c r="C7353" s="7" t="s">
        <v>267</v>
      </c>
      <c r="D7353" s="7" t="s">
        <v>2464</v>
      </c>
      <c r="E7353" s="5" t="s">
        <v>767</v>
      </c>
      <c r="F7353" s="5" t="s">
        <v>271</v>
      </c>
    </row>
    <row r="7354">
      <c r="A7354" s="5" t="s">
        <v>2930</v>
      </c>
      <c r="B7354" s="8">
        <v>10.0</v>
      </c>
      <c r="C7354" s="7" t="s">
        <v>267</v>
      </c>
      <c r="D7354" s="7" t="s">
        <v>2464</v>
      </c>
      <c r="E7354" s="5" t="s">
        <v>767</v>
      </c>
      <c r="F7354" s="5" t="s">
        <v>238</v>
      </c>
    </row>
    <row r="7355">
      <c r="A7355" s="5" t="s">
        <v>2600</v>
      </c>
      <c r="B7355" s="8">
        <v>10.0</v>
      </c>
      <c r="C7355" s="7" t="s">
        <v>267</v>
      </c>
      <c r="D7355" s="7" t="s">
        <v>2464</v>
      </c>
      <c r="E7355" s="5" t="s">
        <v>767</v>
      </c>
      <c r="F7355" s="5" t="s">
        <v>4090</v>
      </c>
    </row>
    <row r="7356">
      <c r="A7356" s="5" t="s">
        <v>3802</v>
      </c>
      <c r="B7356" s="8">
        <v>10.0</v>
      </c>
      <c r="C7356" s="7" t="s">
        <v>267</v>
      </c>
      <c r="D7356" s="7" t="s">
        <v>2464</v>
      </c>
      <c r="E7356" s="5" t="s">
        <v>767</v>
      </c>
      <c r="F7356" s="5" t="s">
        <v>271</v>
      </c>
    </row>
    <row r="7357">
      <c r="A7357" s="5" t="s">
        <v>3090</v>
      </c>
      <c r="B7357" s="8">
        <v>10.0</v>
      </c>
      <c r="C7357" s="7" t="s">
        <v>267</v>
      </c>
      <c r="D7357" s="7" t="s">
        <v>2464</v>
      </c>
      <c r="E7357" s="5" t="s">
        <v>767</v>
      </c>
      <c r="F7357" s="5" t="s">
        <v>271</v>
      </c>
    </row>
    <row r="7358">
      <c r="A7358" s="7" t="s">
        <v>606</v>
      </c>
      <c r="B7358" s="8">
        <v>10.0</v>
      </c>
      <c r="C7358" s="7" t="s">
        <v>267</v>
      </c>
      <c r="D7358" s="7" t="s">
        <v>2464</v>
      </c>
      <c r="E7358" s="5" t="s">
        <v>767</v>
      </c>
      <c r="F7358" s="5" t="s">
        <v>238</v>
      </c>
    </row>
    <row r="7359">
      <c r="A7359" s="5" t="s">
        <v>2602</v>
      </c>
      <c r="B7359" s="8">
        <v>10.0</v>
      </c>
      <c r="C7359" s="7" t="s">
        <v>267</v>
      </c>
      <c r="D7359" s="7" t="s">
        <v>2464</v>
      </c>
      <c r="E7359" s="5" t="s">
        <v>767</v>
      </c>
      <c r="F7359" s="5" t="s">
        <v>238</v>
      </c>
    </row>
    <row r="7360">
      <c r="A7360" s="5" t="s">
        <v>2931</v>
      </c>
      <c r="B7360" s="8">
        <v>10.0</v>
      </c>
      <c r="C7360" s="7" t="s">
        <v>267</v>
      </c>
      <c r="D7360" s="7" t="s">
        <v>2464</v>
      </c>
      <c r="E7360" s="5" t="s">
        <v>767</v>
      </c>
      <c r="F7360" s="5" t="s">
        <v>271</v>
      </c>
    </row>
    <row r="7361">
      <c r="A7361" s="5" t="s">
        <v>2932</v>
      </c>
      <c r="B7361" s="8">
        <v>10.0</v>
      </c>
      <c r="C7361" s="7" t="s">
        <v>267</v>
      </c>
      <c r="D7361" s="7" t="s">
        <v>2464</v>
      </c>
      <c r="E7361" s="5" t="s">
        <v>767</v>
      </c>
      <c r="F7361" s="5" t="s">
        <v>271</v>
      </c>
    </row>
    <row r="7362">
      <c r="A7362" s="5" t="s">
        <v>3091</v>
      </c>
      <c r="B7362" s="8">
        <v>10.0</v>
      </c>
      <c r="C7362" s="7" t="s">
        <v>267</v>
      </c>
      <c r="D7362" s="7" t="s">
        <v>2464</v>
      </c>
      <c r="E7362" s="5" t="s">
        <v>767</v>
      </c>
      <c r="F7362" s="5" t="s">
        <v>271</v>
      </c>
    </row>
    <row r="7363">
      <c r="A7363" s="5" t="s">
        <v>2605</v>
      </c>
      <c r="B7363" s="8">
        <v>10.0</v>
      </c>
      <c r="C7363" s="7" t="s">
        <v>267</v>
      </c>
      <c r="D7363" s="7" t="s">
        <v>2464</v>
      </c>
      <c r="E7363" s="5" t="s">
        <v>767</v>
      </c>
      <c r="F7363" s="5" t="s">
        <v>271</v>
      </c>
    </row>
    <row r="7364">
      <c r="A7364" s="7" t="s">
        <v>1989</v>
      </c>
      <c r="B7364" s="8">
        <v>10.0</v>
      </c>
      <c r="C7364" s="7" t="s">
        <v>267</v>
      </c>
      <c r="D7364" s="7" t="s">
        <v>2464</v>
      </c>
      <c r="E7364" s="5" t="s">
        <v>767</v>
      </c>
      <c r="F7364" s="5" t="s">
        <v>271</v>
      </c>
    </row>
    <row r="7365">
      <c r="A7365" s="5" t="s">
        <v>2606</v>
      </c>
      <c r="B7365" s="8">
        <v>10.0</v>
      </c>
      <c r="C7365" s="7" t="s">
        <v>267</v>
      </c>
      <c r="D7365" s="7" t="s">
        <v>2464</v>
      </c>
      <c r="E7365" s="5" t="s">
        <v>767</v>
      </c>
      <c r="F7365" s="5" t="s">
        <v>238</v>
      </c>
    </row>
    <row r="7366">
      <c r="A7366" s="5" t="s">
        <v>2607</v>
      </c>
      <c r="B7366" s="8">
        <v>10.0</v>
      </c>
      <c r="C7366" s="7" t="s">
        <v>267</v>
      </c>
      <c r="D7366" s="7" t="s">
        <v>2464</v>
      </c>
      <c r="E7366" s="5" t="s">
        <v>767</v>
      </c>
      <c r="F7366" s="5" t="s">
        <v>238</v>
      </c>
    </row>
    <row r="7367">
      <c r="A7367" s="7" t="s">
        <v>1990</v>
      </c>
      <c r="B7367" s="8">
        <v>10.0</v>
      </c>
      <c r="C7367" s="7" t="s">
        <v>267</v>
      </c>
      <c r="D7367" s="7" t="s">
        <v>2464</v>
      </c>
      <c r="E7367" s="5" t="s">
        <v>767</v>
      </c>
      <c r="F7367" s="5" t="s">
        <v>271</v>
      </c>
    </row>
    <row r="7368">
      <c r="A7368" s="5" t="s">
        <v>2935</v>
      </c>
      <c r="B7368" s="8">
        <v>10.0</v>
      </c>
      <c r="C7368" s="7" t="s">
        <v>267</v>
      </c>
      <c r="D7368" s="7" t="s">
        <v>2464</v>
      </c>
      <c r="E7368" s="5" t="s">
        <v>767</v>
      </c>
      <c r="F7368" s="5" t="s">
        <v>4147</v>
      </c>
    </row>
    <row r="7369">
      <c r="A7369" s="5" t="s">
        <v>2936</v>
      </c>
      <c r="B7369" s="8">
        <v>10.0</v>
      </c>
      <c r="C7369" s="7" t="s">
        <v>267</v>
      </c>
      <c r="D7369" s="7" t="s">
        <v>2464</v>
      </c>
      <c r="E7369" s="5" t="s">
        <v>767</v>
      </c>
      <c r="F7369" s="5" t="s">
        <v>238</v>
      </c>
    </row>
    <row r="7370">
      <c r="A7370" s="5" t="s">
        <v>2608</v>
      </c>
      <c r="B7370" s="8">
        <v>10.0</v>
      </c>
      <c r="C7370" s="7" t="s">
        <v>267</v>
      </c>
      <c r="D7370" s="7" t="s">
        <v>2464</v>
      </c>
      <c r="E7370" s="5" t="s">
        <v>767</v>
      </c>
      <c r="F7370" s="5" t="s">
        <v>238</v>
      </c>
    </row>
    <row r="7371">
      <c r="A7371" s="5" t="s">
        <v>2609</v>
      </c>
      <c r="B7371" s="8">
        <v>10.0</v>
      </c>
      <c r="C7371" s="7" t="s">
        <v>267</v>
      </c>
      <c r="D7371" s="7" t="s">
        <v>2464</v>
      </c>
      <c r="E7371" s="5" t="s">
        <v>767</v>
      </c>
      <c r="F7371" s="5" t="s">
        <v>238</v>
      </c>
    </row>
    <row r="7372">
      <c r="A7372" s="7" t="s">
        <v>188</v>
      </c>
      <c r="B7372" s="8">
        <v>10.0</v>
      </c>
      <c r="C7372" s="7" t="s">
        <v>274</v>
      </c>
      <c r="D7372" s="7" t="s">
        <v>2467</v>
      </c>
      <c r="E7372" s="5" t="s">
        <v>3039</v>
      </c>
      <c r="F7372" s="5" t="s">
        <v>3478</v>
      </c>
    </row>
    <row r="7373">
      <c r="A7373" s="5" t="s">
        <v>2924</v>
      </c>
      <c r="B7373" s="8">
        <v>10.0</v>
      </c>
      <c r="C7373" s="7" t="s">
        <v>274</v>
      </c>
      <c r="D7373" s="7" t="s">
        <v>2467</v>
      </c>
      <c r="E7373" s="5" t="s">
        <v>3039</v>
      </c>
      <c r="F7373" s="5" t="s">
        <v>1104</v>
      </c>
    </row>
    <row r="7374">
      <c r="A7374" s="5" t="s">
        <v>2925</v>
      </c>
      <c r="B7374" s="8">
        <v>10.0</v>
      </c>
      <c r="C7374" s="7" t="s">
        <v>274</v>
      </c>
      <c r="D7374" s="7" t="s">
        <v>2467</v>
      </c>
      <c r="E7374" s="5" t="s">
        <v>3039</v>
      </c>
      <c r="F7374" s="5" t="s">
        <v>1104</v>
      </c>
    </row>
    <row r="7375">
      <c r="A7375" s="5" t="s">
        <v>3086</v>
      </c>
      <c r="B7375" s="8">
        <v>10.0</v>
      </c>
      <c r="C7375" s="7" t="s">
        <v>274</v>
      </c>
      <c r="D7375" s="7" t="s">
        <v>2467</v>
      </c>
      <c r="E7375" s="5" t="s">
        <v>3039</v>
      </c>
      <c r="F7375" s="5" t="s">
        <v>1104</v>
      </c>
    </row>
    <row r="7376">
      <c r="A7376" s="5" t="s">
        <v>4037</v>
      </c>
      <c r="B7376" s="8">
        <v>10.0</v>
      </c>
      <c r="C7376" s="7" t="s">
        <v>274</v>
      </c>
      <c r="D7376" s="7" t="s">
        <v>2467</v>
      </c>
      <c r="E7376" s="5" t="s">
        <v>3039</v>
      </c>
      <c r="F7376" s="5" t="s">
        <v>1104</v>
      </c>
    </row>
    <row r="7377">
      <c r="A7377" s="7" t="s">
        <v>2319</v>
      </c>
      <c r="B7377" s="8">
        <v>10.0</v>
      </c>
      <c r="C7377" s="7" t="s">
        <v>274</v>
      </c>
      <c r="D7377" s="7" t="s">
        <v>2467</v>
      </c>
      <c r="E7377" s="5" t="s">
        <v>3039</v>
      </c>
      <c r="F7377" s="5" t="s">
        <v>1104</v>
      </c>
    </row>
    <row r="7378">
      <c r="A7378" s="5" t="s">
        <v>3795</v>
      </c>
      <c r="B7378" s="8">
        <v>10.0</v>
      </c>
      <c r="C7378" s="7" t="s">
        <v>274</v>
      </c>
      <c r="D7378" s="7" t="s">
        <v>2467</v>
      </c>
      <c r="E7378" s="5" t="s">
        <v>3039</v>
      </c>
      <c r="F7378" s="5" t="s">
        <v>1104</v>
      </c>
    </row>
    <row r="7379">
      <c r="A7379" s="7" t="s">
        <v>868</v>
      </c>
      <c r="B7379" s="8">
        <v>10.0</v>
      </c>
      <c r="C7379" s="7" t="s">
        <v>274</v>
      </c>
      <c r="D7379" s="7" t="s">
        <v>2467</v>
      </c>
      <c r="E7379" s="5" t="s">
        <v>3039</v>
      </c>
      <c r="F7379" s="5" t="s">
        <v>1104</v>
      </c>
    </row>
    <row r="7380">
      <c r="A7380" s="5" t="s">
        <v>3087</v>
      </c>
      <c r="B7380" s="8">
        <v>10.0</v>
      </c>
      <c r="C7380" s="7" t="s">
        <v>274</v>
      </c>
      <c r="D7380" s="7" t="s">
        <v>2467</v>
      </c>
      <c r="E7380" s="5" t="s">
        <v>3039</v>
      </c>
      <c r="F7380" s="5" t="s">
        <v>1104</v>
      </c>
    </row>
    <row r="7381">
      <c r="A7381" s="5" t="s">
        <v>3088</v>
      </c>
      <c r="B7381" s="8">
        <v>10.0</v>
      </c>
      <c r="C7381" s="7" t="s">
        <v>274</v>
      </c>
      <c r="D7381" s="7" t="s">
        <v>2467</v>
      </c>
      <c r="E7381" s="5" t="s">
        <v>3039</v>
      </c>
      <c r="F7381" s="5" t="s">
        <v>1104</v>
      </c>
    </row>
    <row r="7382">
      <c r="A7382" s="5" t="s">
        <v>3388</v>
      </c>
      <c r="B7382" s="8">
        <v>10.0</v>
      </c>
      <c r="C7382" s="7" t="s">
        <v>274</v>
      </c>
      <c r="D7382" s="7" t="s">
        <v>2467</v>
      </c>
      <c r="E7382" s="5" t="s">
        <v>3039</v>
      </c>
      <c r="F7382" s="5" t="s">
        <v>1104</v>
      </c>
    </row>
    <row r="7383">
      <c r="A7383" s="5" t="s">
        <v>2927</v>
      </c>
      <c r="B7383" s="8">
        <v>10.0</v>
      </c>
      <c r="C7383" s="7" t="s">
        <v>274</v>
      </c>
      <c r="D7383" s="7" t="s">
        <v>2467</v>
      </c>
      <c r="E7383" s="5" t="s">
        <v>3039</v>
      </c>
      <c r="F7383" s="5" t="s">
        <v>3064</v>
      </c>
    </row>
    <row r="7384">
      <c r="A7384" s="5" t="s">
        <v>3089</v>
      </c>
      <c r="B7384" s="8">
        <v>10.0</v>
      </c>
      <c r="C7384" s="7" t="s">
        <v>274</v>
      </c>
      <c r="D7384" s="7" t="s">
        <v>2467</v>
      </c>
      <c r="E7384" s="5" t="s">
        <v>3039</v>
      </c>
      <c r="F7384" s="5" t="s">
        <v>2398</v>
      </c>
    </row>
    <row r="7385">
      <c r="A7385" s="5" t="s">
        <v>2928</v>
      </c>
      <c r="B7385" s="8">
        <v>10.0</v>
      </c>
      <c r="C7385" s="7" t="s">
        <v>274</v>
      </c>
      <c r="D7385" s="7" t="s">
        <v>2467</v>
      </c>
      <c r="E7385" s="5" t="s">
        <v>3039</v>
      </c>
      <c r="F7385" s="5" t="s">
        <v>4148</v>
      </c>
    </row>
    <row r="7386">
      <c r="A7386" s="7" t="s">
        <v>603</v>
      </c>
      <c r="B7386" s="8">
        <v>10.0</v>
      </c>
      <c r="C7386" s="7" t="s">
        <v>274</v>
      </c>
      <c r="D7386" s="7" t="s">
        <v>2467</v>
      </c>
      <c r="E7386" s="5" t="s">
        <v>3039</v>
      </c>
      <c r="F7386" s="5" t="s">
        <v>4149</v>
      </c>
    </row>
    <row r="7387">
      <c r="A7387" s="5" t="s">
        <v>2929</v>
      </c>
      <c r="B7387" s="8">
        <v>10.0</v>
      </c>
      <c r="C7387" s="7" t="s">
        <v>274</v>
      </c>
      <c r="D7387" s="7" t="s">
        <v>2467</v>
      </c>
      <c r="E7387" s="5" t="s">
        <v>3039</v>
      </c>
      <c r="F7387" s="5" t="s">
        <v>4093</v>
      </c>
    </row>
    <row r="7388">
      <c r="A7388" s="5" t="s">
        <v>2702</v>
      </c>
      <c r="B7388" s="8">
        <v>10.0</v>
      </c>
      <c r="C7388" s="7" t="s">
        <v>274</v>
      </c>
      <c r="D7388" s="7" t="s">
        <v>2467</v>
      </c>
      <c r="E7388" s="5" t="s">
        <v>3039</v>
      </c>
      <c r="F7388" s="5" t="s">
        <v>1213</v>
      </c>
    </row>
    <row r="7389">
      <c r="A7389" s="5" t="s">
        <v>2930</v>
      </c>
      <c r="B7389" s="8">
        <v>10.0</v>
      </c>
      <c r="C7389" s="7" t="s">
        <v>274</v>
      </c>
      <c r="D7389" s="7" t="s">
        <v>2467</v>
      </c>
      <c r="E7389" s="5" t="s">
        <v>3039</v>
      </c>
      <c r="F7389" s="5" t="s">
        <v>780</v>
      </c>
    </row>
    <row r="7390">
      <c r="A7390" s="5" t="s">
        <v>2600</v>
      </c>
      <c r="B7390" s="8">
        <v>10.0</v>
      </c>
      <c r="C7390" s="7" t="s">
        <v>274</v>
      </c>
      <c r="D7390" s="7" t="s">
        <v>2467</v>
      </c>
      <c r="E7390" s="5" t="s">
        <v>3039</v>
      </c>
      <c r="F7390" s="5" t="s">
        <v>2398</v>
      </c>
    </row>
    <row r="7391">
      <c r="A7391" s="5" t="s">
        <v>3802</v>
      </c>
      <c r="B7391" s="8">
        <v>10.0</v>
      </c>
      <c r="C7391" s="7" t="s">
        <v>274</v>
      </c>
      <c r="D7391" s="7" t="s">
        <v>2467</v>
      </c>
      <c r="E7391" s="5" t="s">
        <v>3039</v>
      </c>
      <c r="F7391" s="5" t="s">
        <v>1213</v>
      </c>
    </row>
    <row r="7392">
      <c r="A7392" s="5" t="s">
        <v>3090</v>
      </c>
      <c r="B7392" s="8">
        <v>10.0</v>
      </c>
      <c r="C7392" s="7" t="s">
        <v>274</v>
      </c>
      <c r="D7392" s="7" t="s">
        <v>2467</v>
      </c>
      <c r="E7392" s="5" t="s">
        <v>3039</v>
      </c>
      <c r="F7392" s="5" t="s">
        <v>4094</v>
      </c>
    </row>
    <row r="7393">
      <c r="A7393" s="7" t="s">
        <v>606</v>
      </c>
      <c r="B7393" s="8">
        <v>10.0</v>
      </c>
      <c r="C7393" s="7" t="s">
        <v>274</v>
      </c>
      <c r="D7393" s="7" t="s">
        <v>2467</v>
      </c>
      <c r="E7393" s="5" t="s">
        <v>3039</v>
      </c>
      <c r="F7393" s="5" t="s">
        <v>3938</v>
      </c>
    </row>
    <row r="7394">
      <c r="A7394" s="5" t="s">
        <v>2602</v>
      </c>
      <c r="B7394" s="8">
        <v>10.0</v>
      </c>
      <c r="C7394" s="7" t="s">
        <v>274</v>
      </c>
      <c r="D7394" s="7" t="s">
        <v>2467</v>
      </c>
      <c r="E7394" s="5" t="s">
        <v>3039</v>
      </c>
      <c r="F7394" s="5" t="s">
        <v>4150</v>
      </c>
    </row>
    <row r="7395">
      <c r="A7395" s="5" t="s">
        <v>2931</v>
      </c>
      <c r="B7395" s="8">
        <v>10.0</v>
      </c>
      <c r="C7395" s="7" t="s">
        <v>274</v>
      </c>
      <c r="D7395" s="7" t="s">
        <v>2467</v>
      </c>
      <c r="E7395" s="5" t="s">
        <v>3039</v>
      </c>
      <c r="F7395" s="5" t="s">
        <v>3043</v>
      </c>
    </row>
    <row r="7396">
      <c r="A7396" s="5" t="s">
        <v>2932</v>
      </c>
      <c r="B7396" s="8">
        <v>10.0</v>
      </c>
      <c r="C7396" s="7" t="s">
        <v>274</v>
      </c>
      <c r="D7396" s="7" t="s">
        <v>2467</v>
      </c>
      <c r="E7396" s="5" t="s">
        <v>3039</v>
      </c>
      <c r="F7396" s="5" t="s">
        <v>1104</v>
      </c>
    </row>
    <row r="7397">
      <c r="A7397" s="5" t="s">
        <v>3091</v>
      </c>
      <c r="B7397" s="8">
        <v>10.0</v>
      </c>
      <c r="C7397" s="7" t="s">
        <v>274</v>
      </c>
      <c r="D7397" s="7" t="s">
        <v>2467</v>
      </c>
      <c r="E7397" s="5" t="s">
        <v>3039</v>
      </c>
      <c r="F7397" s="5" t="s">
        <v>1104</v>
      </c>
    </row>
    <row r="7398">
      <c r="A7398" s="5" t="s">
        <v>2605</v>
      </c>
      <c r="B7398" s="8">
        <v>10.0</v>
      </c>
      <c r="C7398" s="7" t="s">
        <v>274</v>
      </c>
      <c r="D7398" s="7" t="s">
        <v>2467</v>
      </c>
      <c r="E7398" s="5" t="s">
        <v>3039</v>
      </c>
      <c r="F7398" s="5" t="s">
        <v>3889</v>
      </c>
    </row>
    <row r="7399">
      <c r="A7399" s="7" t="s">
        <v>1989</v>
      </c>
      <c r="B7399" s="8">
        <v>10.0</v>
      </c>
      <c r="C7399" s="7" t="s">
        <v>274</v>
      </c>
      <c r="D7399" s="7" t="s">
        <v>2467</v>
      </c>
      <c r="E7399" s="5" t="s">
        <v>3039</v>
      </c>
      <c r="F7399" s="5" t="s">
        <v>4151</v>
      </c>
    </row>
    <row r="7400">
      <c r="A7400" s="5" t="s">
        <v>2606</v>
      </c>
      <c r="B7400" s="8">
        <v>10.0</v>
      </c>
      <c r="C7400" s="7" t="s">
        <v>274</v>
      </c>
      <c r="D7400" s="7" t="s">
        <v>2467</v>
      </c>
      <c r="E7400" s="5" t="s">
        <v>3039</v>
      </c>
      <c r="F7400" s="5" t="s">
        <v>1104</v>
      </c>
    </row>
    <row r="7401">
      <c r="A7401" s="5" t="s">
        <v>2607</v>
      </c>
      <c r="B7401" s="8">
        <v>10.0</v>
      </c>
      <c r="C7401" s="7" t="s">
        <v>274</v>
      </c>
      <c r="D7401" s="7" t="s">
        <v>2467</v>
      </c>
      <c r="E7401" s="5" t="s">
        <v>3039</v>
      </c>
      <c r="F7401" s="7" t="s">
        <v>2472</v>
      </c>
    </row>
    <row r="7402">
      <c r="A7402" s="7" t="s">
        <v>1990</v>
      </c>
      <c r="B7402" s="8">
        <v>10.0</v>
      </c>
      <c r="C7402" s="7" t="s">
        <v>274</v>
      </c>
      <c r="D7402" s="7" t="s">
        <v>2467</v>
      </c>
      <c r="E7402" s="5" t="s">
        <v>3039</v>
      </c>
      <c r="F7402" s="5" t="s">
        <v>3896</v>
      </c>
    </row>
    <row r="7403">
      <c r="A7403" s="5" t="s">
        <v>2936</v>
      </c>
      <c r="B7403" s="8">
        <v>10.0</v>
      </c>
      <c r="C7403" s="7" t="s">
        <v>274</v>
      </c>
      <c r="D7403" s="7" t="s">
        <v>2467</v>
      </c>
      <c r="E7403" s="5" t="s">
        <v>3039</v>
      </c>
      <c r="F7403" s="7" t="s">
        <v>2473</v>
      </c>
    </row>
    <row r="7404">
      <c r="A7404" s="5" t="s">
        <v>2608</v>
      </c>
      <c r="B7404" s="8">
        <v>10.0</v>
      </c>
      <c r="C7404" s="7" t="s">
        <v>274</v>
      </c>
      <c r="D7404" s="7" t="s">
        <v>2467</v>
      </c>
      <c r="E7404" s="5" t="s">
        <v>3039</v>
      </c>
      <c r="F7404" s="5" t="s">
        <v>1104</v>
      </c>
    </row>
    <row r="7405">
      <c r="A7405" s="5" t="s">
        <v>2609</v>
      </c>
      <c r="B7405" s="8">
        <v>10.0</v>
      </c>
      <c r="C7405" s="7" t="s">
        <v>274</v>
      </c>
      <c r="D7405" s="7" t="s">
        <v>2467</v>
      </c>
      <c r="E7405" s="5" t="s">
        <v>3039</v>
      </c>
      <c r="F7405" s="5" t="s">
        <v>1104</v>
      </c>
    </row>
    <row r="7406">
      <c r="A7406" s="5" t="s">
        <v>3791</v>
      </c>
      <c r="B7406" s="8">
        <v>10.0</v>
      </c>
      <c r="C7406" s="7" t="s">
        <v>794</v>
      </c>
      <c r="D7406" s="7" t="s">
        <v>2474</v>
      </c>
      <c r="E7406" s="5" t="s">
        <v>1788</v>
      </c>
      <c r="F7406" s="5" t="s">
        <v>4152</v>
      </c>
    </row>
    <row r="7407">
      <c r="A7407" s="7" t="s">
        <v>188</v>
      </c>
      <c r="B7407" s="8">
        <v>10.0</v>
      </c>
      <c r="C7407" s="7" t="s">
        <v>794</v>
      </c>
      <c r="D7407" s="7" t="s">
        <v>2474</v>
      </c>
      <c r="E7407" s="5" t="s">
        <v>1788</v>
      </c>
      <c r="F7407" s="5" t="s">
        <v>2476</v>
      </c>
    </row>
    <row r="7408">
      <c r="A7408" s="5" t="s">
        <v>2924</v>
      </c>
      <c r="B7408" s="8">
        <v>10.0</v>
      </c>
      <c r="C7408" s="7" t="s">
        <v>794</v>
      </c>
      <c r="D7408" s="7" t="s">
        <v>2474</v>
      </c>
      <c r="E7408" s="5" t="s">
        <v>1788</v>
      </c>
      <c r="F7408" s="5" t="s">
        <v>4153</v>
      </c>
    </row>
    <row r="7409">
      <c r="A7409" s="5" t="s">
        <v>2925</v>
      </c>
      <c r="B7409" s="8">
        <v>10.0</v>
      </c>
      <c r="C7409" s="7" t="s">
        <v>794</v>
      </c>
      <c r="D7409" s="7" t="s">
        <v>2474</v>
      </c>
      <c r="E7409" s="5" t="s">
        <v>1788</v>
      </c>
      <c r="F7409" s="5" t="s">
        <v>4154</v>
      </c>
    </row>
    <row r="7410">
      <c r="A7410" s="5" t="s">
        <v>3086</v>
      </c>
      <c r="B7410" s="8">
        <v>10.0</v>
      </c>
      <c r="C7410" s="7" t="s">
        <v>794</v>
      </c>
      <c r="D7410" s="7" t="s">
        <v>2474</v>
      </c>
      <c r="E7410" s="5" t="s">
        <v>1788</v>
      </c>
      <c r="F7410" s="5" t="s">
        <v>2201</v>
      </c>
    </row>
    <row r="7411">
      <c r="A7411" s="5" t="s">
        <v>4037</v>
      </c>
      <c r="B7411" s="8">
        <v>10.0</v>
      </c>
      <c r="C7411" s="7" t="s">
        <v>794</v>
      </c>
      <c r="D7411" s="7" t="s">
        <v>2474</v>
      </c>
      <c r="E7411" s="5" t="s">
        <v>1788</v>
      </c>
      <c r="F7411" s="5" t="s">
        <v>2201</v>
      </c>
    </row>
    <row r="7412">
      <c r="A7412" s="7" t="s">
        <v>2319</v>
      </c>
      <c r="B7412" s="8">
        <v>10.0</v>
      </c>
      <c r="C7412" s="7" t="s">
        <v>794</v>
      </c>
      <c r="D7412" s="7" t="s">
        <v>2474</v>
      </c>
      <c r="E7412" s="5" t="s">
        <v>1788</v>
      </c>
      <c r="F7412" s="5" t="s">
        <v>2201</v>
      </c>
    </row>
    <row r="7413">
      <c r="A7413" s="5" t="s">
        <v>3795</v>
      </c>
      <c r="B7413" s="8">
        <v>10.0</v>
      </c>
      <c r="C7413" s="7" t="s">
        <v>794</v>
      </c>
      <c r="D7413" s="7" t="s">
        <v>2474</v>
      </c>
      <c r="E7413" s="5" t="s">
        <v>1788</v>
      </c>
      <c r="F7413" s="5" t="s">
        <v>2201</v>
      </c>
    </row>
    <row r="7414">
      <c r="A7414" s="7" t="s">
        <v>868</v>
      </c>
      <c r="B7414" s="8">
        <v>10.0</v>
      </c>
      <c r="C7414" s="7" t="s">
        <v>794</v>
      </c>
      <c r="D7414" s="7" t="s">
        <v>2474</v>
      </c>
      <c r="E7414" s="5" t="s">
        <v>1788</v>
      </c>
      <c r="F7414" s="5" t="s">
        <v>2201</v>
      </c>
    </row>
    <row r="7415">
      <c r="A7415" s="5" t="s">
        <v>3087</v>
      </c>
      <c r="B7415" s="8">
        <v>10.0</v>
      </c>
      <c r="C7415" s="7" t="s">
        <v>794</v>
      </c>
      <c r="D7415" s="7" t="s">
        <v>2474</v>
      </c>
      <c r="E7415" s="5" t="s">
        <v>1788</v>
      </c>
      <c r="F7415" s="5" t="s">
        <v>4155</v>
      </c>
    </row>
    <row r="7416">
      <c r="A7416" s="5" t="s">
        <v>3088</v>
      </c>
      <c r="B7416" s="8">
        <v>10.0</v>
      </c>
      <c r="C7416" s="7" t="s">
        <v>794</v>
      </c>
      <c r="D7416" s="7" t="s">
        <v>2474</v>
      </c>
      <c r="E7416" s="5" t="s">
        <v>1788</v>
      </c>
      <c r="F7416" s="5" t="s">
        <v>2201</v>
      </c>
    </row>
    <row r="7417">
      <c r="A7417" s="5" t="s">
        <v>3388</v>
      </c>
      <c r="B7417" s="8">
        <v>10.0</v>
      </c>
      <c r="C7417" s="7" t="s">
        <v>794</v>
      </c>
      <c r="D7417" s="7" t="s">
        <v>2474</v>
      </c>
      <c r="E7417" s="5" t="s">
        <v>1788</v>
      </c>
      <c r="F7417" s="5" t="s">
        <v>3946</v>
      </c>
    </row>
    <row r="7418">
      <c r="A7418" s="5" t="s">
        <v>2927</v>
      </c>
      <c r="B7418" s="8">
        <v>10.0</v>
      </c>
      <c r="C7418" s="7" t="s">
        <v>794</v>
      </c>
      <c r="D7418" s="7" t="s">
        <v>2474</v>
      </c>
      <c r="E7418" s="5" t="s">
        <v>1788</v>
      </c>
      <c r="F7418" s="5" t="s">
        <v>3690</v>
      </c>
    </row>
    <row r="7419">
      <c r="A7419" s="5" t="s">
        <v>3089</v>
      </c>
      <c r="B7419" s="8">
        <v>10.0</v>
      </c>
      <c r="C7419" s="7" t="s">
        <v>794</v>
      </c>
      <c r="D7419" s="7" t="s">
        <v>2474</v>
      </c>
      <c r="E7419" s="5" t="s">
        <v>1788</v>
      </c>
      <c r="F7419" s="5" t="s">
        <v>2201</v>
      </c>
    </row>
    <row r="7420">
      <c r="A7420" s="5" t="s">
        <v>2928</v>
      </c>
      <c r="B7420" s="8">
        <v>10.0</v>
      </c>
      <c r="C7420" s="7" t="s">
        <v>794</v>
      </c>
      <c r="D7420" s="7" t="s">
        <v>2474</v>
      </c>
      <c r="E7420" s="5" t="s">
        <v>1788</v>
      </c>
      <c r="F7420" s="5" t="s">
        <v>3691</v>
      </c>
    </row>
    <row r="7421">
      <c r="A7421" s="7" t="s">
        <v>603</v>
      </c>
      <c r="B7421" s="8">
        <v>10.0</v>
      </c>
      <c r="C7421" s="7" t="s">
        <v>794</v>
      </c>
      <c r="D7421" s="7" t="s">
        <v>2474</v>
      </c>
      <c r="E7421" s="5" t="s">
        <v>1788</v>
      </c>
      <c r="F7421" s="5" t="s">
        <v>4156</v>
      </c>
    </row>
    <row r="7422">
      <c r="A7422" s="5" t="s">
        <v>2929</v>
      </c>
      <c r="B7422" s="8">
        <v>10.0</v>
      </c>
      <c r="C7422" s="7" t="s">
        <v>794</v>
      </c>
      <c r="D7422" s="7" t="s">
        <v>2474</v>
      </c>
      <c r="E7422" s="5" t="s">
        <v>1788</v>
      </c>
      <c r="F7422" s="5" t="s">
        <v>3948</v>
      </c>
    </row>
    <row r="7423">
      <c r="A7423" s="5" t="s">
        <v>2702</v>
      </c>
      <c r="B7423" s="8">
        <v>10.0</v>
      </c>
      <c r="C7423" s="7" t="s">
        <v>794</v>
      </c>
      <c r="D7423" s="7" t="s">
        <v>2474</v>
      </c>
      <c r="E7423" s="5" t="s">
        <v>1788</v>
      </c>
      <c r="F7423" s="5" t="s">
        <v>2201</v>
      </c>
    </row>
    <row r="7424">
      <c r="A7424" s="5" t="s">
        <v>2930</v>
      </c>
      <c r="B7424" s="8">
        <v>10.0</v>
      </c>
      <c r="C7424" s="7" t="s">
        <v>794</v>
      </c>
      <c r="D7424" s="7" t="s">
        <v>2474</v>
      </c>
      <c r="E7424" s="5" t="s">
        <v>1788</v>
      </c>
      <c r="F7424" s="5" t="s">
        <v>4157</v>
      </c>
    </row>
    <row r="7425">
      <c r="A7425" s="5" t="s">
        <v>2600</v>
      </c>
      <c r="B7425" s="8">
        <v>10.0</v>
      </c>
      <c r="C7425" s="7" t="s">
        <v>794</v>
      </c>
      <c r="D7425" s="7" t="s">
        <v>2474</v>
      </c>
      <c r="E7425" s="5" t="s">
        <v>1788</v>
      </c>
      <c r="F7425" s="5" t="s">
        <v>2201</v>
      </c>
    </row>
    <row r="7426">
      <c r="A7426" s="5" t="s">
        <v>3802</v>
      </c>
      <c r="B7426" s="8">
        <v>10.0</v>
      </c>
      <c r="C7426" s="7" t="s">
        <v>794</v>
      </c>
      <c r="D7426" s="7" t="s">
        <v>2474</v>
      </c>
      <c r="E7426" s="5" t="s">
        <v>1788</v>
      </c>
      <c r="F7426" s="5" t="s">
        <v>2201</v>
      </c>
    </row>
    <row r="7427">
      <c r="A7427" s="5" t="s">
        <v>3090</v>
      </c>
      <c r="B7427" s="8">
        <v>10.0</v>
      </c>
      <c r="C7427" s="7" t="s">
        <v>794</v>
      </c>
      <c r="D7427" s="7" t="s">
        <v>2474</v>
      </c>
      <c r="E7427" s="5" t="s">
        <v>1788</v>
      </c>
      <c r="F7427" s="5" t="s">
        <v>4158</v>
      </c>
    </row>
    <row r="7428">
      <c r="A7428" s="7" t="s">
        <v>606</v>
      </c>
      <c r="B7428" s="8">
        <v>10.0</v>
      </c>
      <c r="C7428" s="7" t="s">
        <v>794</v>
      </c>
      <c r="D7428" s="7" t="s">
        <v>2474</v>
      </c>
      <c r="E7428" s="5" t="s">
        <v>1788</v>
      </c>
      <c r="F7428" s="5" t="s">
        <v>2201</v>
      </c>
    </row>
    <row r="7429">
      <c r="A7429" s="5" t="s">
        <v>2602</v>
      </c>
      <c r="B7429" s="8">
        <v>10.0</v>
      </c>
      <c r="C7429" s="7" t="s">
        <v>794</v>
      </c>
      <c r="D7429" s="7" t="s">
        <v>2474</v>
      </c>
      <c r="E7429" s="5" t="s">
        <v>1788</v>
      </c>
      <c r="F7429" s="5" t="s">
        <v>3695</v>
      </c>
    </row>
    <row r="7430">
      <c r="A7430" s="5" t="s">
        <v>2931</v>
      </c>
      <c r="B7430" s="8">
        <v>10.0</v>
      </c>
      <c r="C7430" s="7" t="s">
        <v>794</v>
      </c>
      <c r="D7430" s="7" t="s">
        <v>2474</v>
      </c>
      <c r="E7430" s="5" t="s">
        <v>1788</v>
      </c>
      <c r="F7430" s="5" t="s">
        <v>3696</v>
      </c>
    </row>
    <row r="7431">
      <c r="A7431" s="5" t="s">
        <v>2932</v>
      </c>
      <c r="B7431" s="8">
        <v>10.0</v>
      </c>
      <c r="C7431" s="7" t="s">
        <v>794</v>
      </c>
      <c r="D7431" s="7" t="s">
        <v>2474</v>
      </c>
      <c r="E7431" s="5" t="s">
        <v>1788</v>
      </c>
      <c r="F7431" s="5" t="s">
        <v>3697</v>
      </c>
    </row>
    <row r="7432">
      <c r="A7432" s="5" t="s">
        <v>3091</v>
      </c>
      <c r="B7432" s="8">
        <v>10.0</v>
      </c>
      <c r="C7432" s="7" t="s">
        <v>794</v>
      </c>
      <c r="D7432" s="7" t="s">
        <v>2474</v>
      </c>
      <c r="E7432" s="5" t="s">
        <v>1788</v>
      </c>
      <c r="F7432" s="5" t="s">
        <v>4159</v>
      </c>
    </row>
    <row r="7433">
      <c r="A7433" s="5" t="s">
        <v>2605</v>
      </c>
      <c r="B7433" s="8">
        <v>10.0</v>
      </c>
      <c r="C7433" s="7" t="s">
        <v>794</v>
      </c>
      <c r="D7433" s="7" t="s">
        <v>2474</v>
      </c>
      <c r="E7433" s="5" t="s">
        <v>1788</v>
      </c>
      <c r="F7433" s="5" t="s">
        <v>2201</v>
      </c>
    </row>
    <row r="7434">
      <c r="A7434" s="7" t="s">
        <v>1989</v>
      </c>
      <c r="B7434" s="8">
        <v>10.0</v>
      </c>
      <c r="C7434" s="7" t="s">
        <v>794</v>
      </c>
      <c r="D7434" s="7" t="s">
        <v>2474</v>
      </c>
      <c r="E7434" s="5" t="s">
        <v>1788</v>
      </c>
      <c r="F7434" s="7" t="s">
        <v>2216</v>
      </c>
    </row>
    <row r="7435">
      <c r="A7435" s="5" t="s">
        <v>2606</v>
      </c>
      <c r="B7435" s="8">
        <v>10.0</v>
      </c>
      <c r="C7435" s="7" t="s">
        <v>794</v>
      </c>
      <c r="D7435" s="7" t="s">
        <v>2474</v>
      </c>
      <c r="E7435" s="5" t="s">
        <v>1788</v>
      </c>
      <c r="F7435" s="5" t="s">
        <v>3954</v>
      </c>
    </row>
    <row r="7436">
      <c r="A7436" s="5" t="s">
        <v>2607</v>
      </c>
      <c r="B7436" s="8">
        <v>10.0</v>
      </c>
      <c r="C7436" s="7" t="s">
        <v>794</v>
      </c>
      <c r="D7436" s="7" t="s">
        <v>2474</v>
      </c>
      <c r="E7436" s="5" t="s">
        <v>1788</v>
      </c>
      <c r="F7436" s="5" t="s">
        <v>3956</v>
      </c>
    </row>
    <row r="7437">
      <c r="A7437" s="7" t="s">
        <v>1990</v>
      </c>
      <c r="B7437" s="8">
        <v>10.0</v>
      </c>
      <c r="C7437" s="7" t="s">
        <v>794</v>
      </c>
      <c r="D7437" s="7" t="s">
        <v>2474</v>
      </c>
      <c r="E7437" s="5" t="s">
        <v>1788</v>
      </c>
      <c r="F7437" s="7" t="s">
        <v>2486</v>
      </c>
    </row>
    <row r="7438">
      <c r="A7438" s="5" t="s">
        <v>2935</v>
      </c>
      <c r="B7438" s="8">
        <v>10.0</v>
      </c>
      <c r="C7438" s="7" t="s">
        <v>794</v>
      </c>
      <c r="D7438" s="7" t="s">
        <v>2474</v>
      </c>
      <c r="E7438" s="5" t="s">
        <v>1788</v>
      </c>
      <c r="F7438" s="5" t="s">
        <v>3702</v>
      </c>
    </row>
    <row r="7439">
      <c r="A7439" s="5" t="s">
        <v>2936</v>
      </c>
      <c r="B7439" s="8">
        <v>10.0</v>
      </c>
      <c r="C7439" s="7" t="s">
        <v>794</v>
      </c>
      <c r="D7439" s="7" t="s">
        <v>2474</v>
      </c>
      <c r="E7439" s="5" t="s">
        <v>1788</v>
      </c>
      <c r="F7439" s="5" t="s">
        <v>4160</v>
      </c>
    </row>
    <row r="7440">
      <c r="A7440" s="5" t="s">
        <v>2608</v>
      </c>
      <c r="B7440" s="8">
        <v>10.0</v>
      </c>
      <c r="C7440" s="7" t="s">
        <v>794</v>
      </c>
      <c r="D7440" s="7" t="s">
        <v>2474</v>
      </c>
      <c r="E7440" s="5" t="s">
        <v>1788</v>
      </c>
      <c r="F7440" s="5" t="s">
        <v>4161</v>
      </c>
    </row>
    <row r="7441">
      <c r="A7441" s="5" t="s">
        <v>2609</v>
      </c>
      <c r="B7441" s="8">
        <v>10.0</v>
      </c>
      <c r="C7441" s="7" t="s">
        <v>794</v>
      </c>
      <c r="D7441" s="7" t="s">
        <v>2474</v>
      </c>
      <c r="E7441" s="5" t="s">
        <v>1788</v>
      </c>
      <c r="F7441" s="5" t="s">
        <v>3705</v>
      </c>
    </row>
    <row r="7442">
      <c r="A7442" s="5" t="s">
        <v>3791</v>
      </c>
      <c r="B7442" s="8">
        <v>10.0</v>
      </c>
      <c r="C7442" s="7" t="s">
        <v>122</v>
      </c>
      <c r="D7442" s="5" t="s">
        <v>4162</v>
      </c>
      <c r="E7442" s="5" t="s">
        <v>3707</v>
      </c>
      <c r="F7442" s="7" t="s">
        <v>2227</v>
      </c>
    </row>
    <row r="7443">
      <c r="A7443" s="7" t="s">
        <v>188</v>
      </c>
      <c r="B7443" s="8">
        <v>10.0</v>
      </c>
      <c r="C7443" s="7" t="s">
        <v>122</v>
      </c>
      <c r="D7443" s="5" t="s">
        <v>4162</v>
      </c>
      <c r="E7443" s="5" t="s">
        <v>3707</v>
      </c>
      <c r="F7443" s="5" t="s">
        <v>3961</v>
      </c>
    </row>
    <row r="7444">
      <c r="A7444" s="5" t="s">
        <v>2924</v>
      </c>
      <c r="B7444" s="8">
        <v>10.0</v>
      </c>
      <c r="C7444" s="7" t="s">
        <v>122</v>
      </c>
      <c r="D7444" s="5" t="s">
        <v>4162</v>
      </c>
      <c r="E7444" s="5" t="s">
        <v>3707</v>
      </c>
      <c r="F7444" s="5" t="s">
        <v>4163</v>
      </c>
    </row>
    <row r="7445">
      <c r="A7445" s="5" t="s">
        <v>2925</v>
      </c>
      <c r="B7445" s="8">
        <v>10.0</v>
      </c>
      <c r="C7445" s="7" t="s">
        <v>122</v>
      </c>
      <c r="D7445" s="5" t="s">
        <v>4162</v>
      </c>
      <c r="E7445" s="5" t="s">
        <v>3707</v>
      </c>
      <c r="F7445" s="5" t="s">
        <v>4164</v>
      </c>
    </row>
    <row r="7446">
      <c r="A7446" s="5" t="s">
        <v>3086</v>
      </c>
      <c r="B7446" s="8">
        <v>10.0</v>
      </c>
      <c r="C7446" s="7" t="s">
        <v>122</v>
      </c>
      <c r="D7446" s="5" t="s">
        <v>4162</v>
      </c>
      <c r="E7446" s="5" t="s">
        <v>3707</v>
      </c>
      <c r="F7446" s="5" t="s">
        <v>3289</v>
      </c>
    </row>
    <row r="7447">
      <c r="A7447" s="5" t="s">
        <v>4037</v>
      </c>
      <c r="B7447" s="8">
        <v>10.0</v>
      </c>
      <c r="C7447" s="7" t="s">
        <v>122</v>
      </c>
      <c r="D7447" s="5" t="s">
        <v>4162</v>
      </c>
      <c r="E7447" s="5" t="s">
        <v>3707</v>
      </c>
      <c r="F7447" s="5" t="s">
        <v>4165</v>
      </c>
    </row>
    <row r="7448">
      <c r="A7448" s="7" t="s">
        <v>2319</v>
      </c>
      <c r="B7448" s="8">
        <v>10.0</v>
      </c>
      <c r="C7448" s="7" t="s">
        <v>122</v>
      </c>
      <c r="D7448" s="5" t="s">
        <v>4162</v>
      </c>
      <c r="E7448" s="5" t="s">
        <v>3707</v>
      </c>
      <c r="F7448" s="5" t="s">
        <v>4166</v>
      </c>
    </row>
    <row r="7449">
      <c r="A7449" s="5" t="s">
        <v>3795</v>
      </c>
      <c r="B7449" s="8">
        <v>10.0</v>
      </c>
      <c r="C7449" s="7" t="s">
        <v>122</v>
      </c>
      <c r="D7449" s="5" t="s">
        <v>4162</v>
      </c>
      <c r="E7449" s="5" t="s">
        <v>3707</v>
      </c>
      <c r="F7449" s="5" t="s">
        <v>4167</v>
      </c>
    </row>
    <row r="7450">
      <c r="A7450" s="7" t="s">
        <v>868</v>
      </c>
      <c r="B7450" s="8">
        <v>10.0</v>
      </c>
      <c r="C7450" s="7" t="s">
        <v>122</v>
      </c>
      <c r="D7450" s="5" t="s">
        <v>4162</v>
      </c>
      <c r="E7450" s="5" t="s">
        <v>3707</v>
      </c>
      <c r="F7450" s="5" t="s">
        <v>3290</v>
      </c>
    </row>
    <row r="7451">
      <c r="A7451" s="5" t="s">
        <v>3087</v>
      </c>
      <c r="B7451" s="8">
        <v>10.0</v>
      </c>
      <c r="C7451" s="7" t="s">
        <v>122</v>
      </c>
      <c r="D7451" s="5" t="s">
        <v>4162</v>
      </c>
      <c r="E7451" s="5" t="s">
        <v>3707</v>
      </c>
      <c r="F7451" s="5" t="s">
        <v>4168</v>
      </c>
    </row>
    <row r="7452">
      <c r="A7452" s="5" t="s">
        <v>3088</v>
      </c>
      <c r="B7452" s="8">
        <v>10.0</v>
      </c>
      <c r="C7452" s="7" t="s">
        <v>122</v>
      </c>
      <c r="D7452" s="5" t="s">
        <v>4162</v>
      </c>
      <c r="E7452" s="5" t="s">
        <v>3707</v>
      </c>
      <c r="F7452" s="5" t="s">
        <v>4169</v>
      </c>
    </row>
    <row r="7453">
      <c r="A7453" s="5" t="s">
        <v>3388</v>
      </c>
      <c r="B7453" s="8">
        <v>10.0</v>
      </c>
      <c r="C7453" s="7" t="s">
        <v>122</v>
      </c>
      <c r="D7453" s="5" t="s">
        <v>4162</v>
      </c>
      <c r="E7453" s="5" t="s">
        <v>3707</v>
      </c>
      <c r="F7453" s="5" t="s">
        <v>3496</v>
      </c>
    </row>
    <row r="7454">
      <c r="A7454" s="5" t="s">
        <v>2927</v>
      </c>
      <c r="B7454" s="8">
        <v>10.0</v>
      </c>
      <c r="C7454" s="7" t="s">
        <v>122</v>
      </c>
      <c r="D7454" s="5" t="s">
        <v>4162</v>
      </c>
      <c r="E7454" s="5" t="s">
        <v>3707</v>
      </c>
      <c r="F7454" s="5" t="s">
        <v>4170</v>
      </c>
    </row>
    <row r="7455">
      <c r="A7455" s="5" t="s">
        <v>3089</v>
      </c>
      <c r="B7455" s="8">
        <v>10.0</v>
      </c>
      <c r="C7455" s="7" t="s">
        <v>122</v>
      </c>
      <c r="D7455" s="5" t="s">
        <v>4162</v>
      </c>
      <c r="E7455" s="5" t="s">
        <v>3707</v>
      </c>
      <c r="F7455" s="5" t="s">
        <v>4171</v>
      </c>
    </row>
    <row r="7456">
      <c r="A7456" s="5" t="s">
        <v>2928</v>
      </c>
      <c r="B7456" s="8">
        <v>10.0</v>
      </c>
      <c r="C7456" s="7" t="s">
        <v>122</v>
      </c>
      <c r="D7456" s="5" t="s">
        <v>4162</v>
      </c>
      <c r="E7456" s="5" t="s">
        <v>3707</v>
      </c>
      <c r="F7456" s="5" t="s">
        <v>4172</v>
      </c>
    </row>
    <row r="7457">
      <c r="A7457" s="7" t="s">
        <v>603</v>
      </c>
      <c r="B7457" s="8">
        <v>10.0</v>
      </c>
      <c r="C7457" s="7" t="s">
        <v>122</v>
      </c>
      <c r="D7457" s="5" t="s">
        <v>4162</v>
      </c>
      <c r="E7457" s="5" t="s">
        <v>3707</v>
      </c>
      <c r="F7457" s="5" t="s">
        <v>4173</v>
      </c>
    </row>
    <row r="7458">
      <c r="A7458" s="5" t="s">
        <v>2929</v>
      </c>
      <c r="B7458" s="8">
        <v>10.0</v>
      </c>
      <c r="C7458" s="7" t="s">
        <v>122</v>
      </c>
      <c r="D7458" s="5" t="s">
        <v>4162</v>
      </c>
      <c r="E7458" s="5" t="s">
        <v>3707</v>
      </c>
      <c r="F7458" s="5" t="s">
        <v>4174</v>
      </c>
    </row>
    <row r="7459">
      <c r="A7459" s="5" t="s">
        <v>2702</v>
      </c>
      <c r="B7459" s="8">
        <v>10.0</v>
      </c>
      <c r="C7459" s="7" t="s">
        <v>122</v>
      </c>
      <c r="D7459" s="5" t="s">
        <v>4162</v>
      </c>
      <c r="E7459" s="5" t="s">
        <v>3707</v>
      </c>
      <c r="F7459" s="5" t="s">
        <v>3969</v>
      </c>
    </row>
    <row r="7460">
      <c r="A7460" s="5" t="s">
        <v>2930</v>
      </c>
      <c r="B7460" s="8">
        <v>10.0</v>
      </c>
      <c r="C7460" s="7" t="s">
        <v>122</v>
      </c>
      <c r="D7460" s="5" t="s">
        <v>4162</v>
      </c>
      <c r="E7460" s="5" t="s">
        <v>3707</v>
      </c>
      <c r="F7460" s="5" t="s">
        <v>3970</v>
      </c>
    </row>
    <row r="7461">
      <c r="A7461" s="5" t="s">
        <v>2600</v>
      </c>
      <c r="B7461" s="8">
        <v>10.0</v>
      </c>
      <c r="C7461" s="7" t="s">
        <v>122</v>
      </c>
      <c r="D7461" s="5" t="s">
        <v>4162</v>
      </c>
      <c r="E7461" s="5" t="s">
        <v>3707</v>
      </c>
      <c r="F7461" s="5" t="s">
        <v>4175</v>
      </c>
    </row>
    <row r="7462">
      <c r="A7462" s="5" t="s">
        <v>3802</v>
      </c>
      <c r="B7462" s="8">
        <v>10.0</v>
      </c>
      <c r="C7462" s="7" t="s">
        <v>122</v>
      </c>
      <c r="D7462" s="5" t="s">
        <v>4162</v>
      </c>
      <c r="E7462" s="5" t="s">
        <v>3707</v>
      </c>
      <c r="F7462" s="5" t="s">
        <v>4176</v>
      </c>
    </row>
    <row r="7463">
      <c r="A7463" s="5" t="s">
        <v>3090</v>
      </c>
      <c r="B7463" s="8">
        <v>10.0</v>
      </c>
      <c r="C7463" s="7" t="s">
        <v>122</v>
      </c>
      <c r="D7463" s="5" t="s">
        <v>4162</v>
      </c>
      <c r="E7463" s="5" t="s">
        <v>3707</v>
      </c>
      <c r="F7463" s="5" t="s">
        <v>4177</v>
      </c>
    </row>
    <row r="7464">
      <c r="A7464" s="7" t="s">
        <v>606</v>
      </c>
      <c r="B7464" s="8">
        <v>10.0</v>
      </c>
      <c r="C7464" s="7" t="s">
        <v>122</v>
      </c>
      <c r="D7464" s="5" t="s">
        <v>4162</v>
      </c>
      <c r="E7464" s="5" t="s">
        <v>3707</v>
      </c>
      <c r="F7464" s="5" t="s">
        <v>4178</v>
      </c>
    </row>
    <row r="7465">
      <c r="A7465" s="5" t="s">
        <v>2602</v>
      </c>
      <c r="B7465" s="8">
        <v>10.0</v>
      </c>
      <c r="C7465" s="7" t="s">
        <v>122</v>
      </c>
      <c r="D7465" s="5" t="s">
        <v>4162</v>
      </c>
      <c r="E7465" s="5" t="s">
        <v>3707</v>
      </c>
      <c r="F7465" s="5" t="s">
        <v>4179</v>
      </c>
    </row>
    <row r="7466">
      <c r="A7466" s="5" t="s">
        <v>2932</v>
      </c>
      <c r="B7466" s="8">
        <v>10.0</v>
      </c>
      <c r="C7466" s="7" t="s">
        <v>122</v>
      </c>
      <c r="D7466" s="5" t="s">
        <v>4162</v>
      </c>
      <c r="E7466" s="5" t="s">
        <v>3707</v>
      </c>
      <c r="F7466" s="5" t="s">
        <v>4180</v>
      </c>
    </row>
    <row r="7467">
      <c r="A7467" s="5" t="s">
        <v>3091</v>
      </c>
      <c r="B7467" s="8">
        <v>10.0</v>
      </c>
      <c r="C7467" s="7" t="s">
        <v>122</v>
      </c>
      <c r="D7467" s="5" t="s">
        <v>4162</v>
      </c>
      <c r="E7467" s="5" t="s">
        <v>3707</v>
      </c>
      <c r="F7467" s="5" t="s">
        <v>4181</v>
      </c>
    </row>
    <row r="7468">
      <c r="A7468" s="5" t="s">
        <v>2605</v>
      </c>
      <c r="B7468" s="8">
        <v>10.0</v>
      </c>
      <c r="C7468" s="7" t="s">
        <v>122</v>
      </c>
      <c r="D7468" s="5" t="s">
        <v>4162</v>
      </c>
      <c r="E7468" s="5" t="s">
        <v>3707</v>
      </c>
      <c r="F7468" s="5" t="s">
        <v>4182</v>
      </c>
    </row>
    <row r="7469">
      <c r="A7469" s="7" t="s">
        <v>1989</v>
      </c>
      <c r="B7469" s="8">
        <v>10.0</v>
      </c>
      <c r="C7469" s="7" t="s">
        <v>122</v>
      </c>
      <c r="D7469" s="5" t="s">
        <v>4162</v>
      </c>
      <c r="E7469" s="5" t="s">
        <v>3707</v>
      </c>
      <c r="F7469" s="5" t="s">
        <v>4183</v>
      </c>
    </row>
    <row r="7470">
      <c r="A7470" s="5" t="s">
        <v>2606</v>
      </c>
      <c r="B7470" s="8">
        <v>10.0</v>
      </c>
      <c r="C7470" s="7" t="s">
        <v>122</v>
      </c>
      <c r="D7470" s="5" t="s">
        <v>4162</v>
      </c>
      <c r="E7470" s="5" t="s">
        <v>3707</v>
      </c>
      <c r="F7470" s="5" t="s">
        <v>4184</v>
      </c>
    </row>
    <row r="7471">
      <c r="A7471" s="5" t="s">
        <v>2607</v>
      </c>
      <c r="B7471" s="8">
        <v>10.0</v>
      </c>
      <c r="C7471" s="7" t="s">
        <v>122</v>
      </c>
      <c r="D7471" s="5" t="s">
        <v>4162</v>
      </c>
      <c r="E7471" s="5" t="s">
        <v>3707</v>
      </c>
      <c r="F7471" s="5" t="s">
        <v>4185</v>
      </c>
    </row>
    <row r="7472">
      <c r="A7472" s="7" t="s">
        <v>1990</v>
      </c>
      <c r="B7472" s="8">
        <v>10.0</v>
      </c>
      <c r="C7472" s="7" t="s">
        <v>122</v>
      </c>
      <c r="D7472" s="5" t="s">
        <v>4162</v>
      </c>
      <c r="E7472" s="5" t="s">
        <v>3707</v>
      </c>
      <c r="F7472" s="5" t="s">
        <v>3982</v>
      </c>
    </row>
    <row r="7473">
      <c r="A7473" s="5" t="s">
        <v>2935</v>
      </c>
      <c r="B7473" s="8">
        <v>10.0</v>
      </c>
      <c r="C7473" s="7" t="s">
        <v>122</v>
      </c>
      <c r="D7473" s="5" t="s">
        <v>4162</v>
      </c>
      <c r="E7473" s="5" t="s">
        <v>3707</v>
      </c>
      <c r="F7473" s="5" t="s">
        <v>4186</v>
      </c>
    </row>
    <row r="7474">
      <c r="A7474" s="5" t="s">
        <v>2936</v>
      </c>
      <c r="B7474" s="8">
        <v>10.0</v>
      </c>
      <c r="C7474" s="7" t="s">
        <v>122</v>
      </c>
      <c r="D7474" s="5" t="s">
        <v>4162</v>
      </c>
      <c r="E7474" s="5" t="s">
        <v>3707</v>
      </c>
      <c r="F7474" s="5" t="s">
        <v>4187</v>
      </c>
    </row>
    <row r="7475">
      <c r="A7475" s="5" t="s">
        <v>2608</v>
      </c>
      <c r="B7475" s="8">
        <v>10.0</v>
      </c>
      <c r="C7475" s="7" t="s">
        <v>122</v>
      </c>
      <c r="D7475" s="5" t="s">
        <v>4162</v>
      </c>
      <c r="E7475" s="5" t="s">
        <v>3707</v>
      </c>
      <c r="F7475" s="5" t="s">
        <v>4188</v>
      </c>
    </row>
    <row r="7476">
      <c r="A7476" s="5" t="s">
        <v>2609</v>
      </c>
      <c r="B7476" s="8">
        <v>10.0</v>
      </c>
      <c r="C7476" s="7" t="s">
        <v>122</v>
      </c>
      <c r="D7476" s="5" t="s">
        <v>4162</v>
      </c>
      <c r="E7476" s="5" t="s">
        <v>3707</v>
      </c>
      <c r="F7476" s="5" t="s">
        <v>4189</v>
      </c>
    </row>
    <row r="7477">
      <c r="A7477" s="5" t="s">
        <v>3791</v>
      </c>
      <c r="B7477" s="8">
        <v>10.0</v>
      </c>
      <c r="C7477" s="7" t="s">
        <v>139</v>
      </c>
      <c r="D7477" s="7" t="s">
        <v>2517</v>
      </c>
      <c r="E7477" s="5" t="s">
        <v>3073</v>
      </c>
      <c r="F7477" s="5" t="s">
        <v>271</v>
      </c>
    </row>
    <row r="7478">
      <c r="A7478" s="7" t="s">
        <v>188</v>
      </c>
      <c r="B7478" s="8">
        <v>10.0</v>
      </c>
      <c r="C7478" s="7" t="s">
        <v>139</v>
      </c>
      <c r="D7478" s="7" t="s">
        <v>2517</v>
      </c>
      <c r="E7478" s="5" t="s">
        <v>3073</v>
      </c>
      <c r="F7478" s="5" t="s">
        <v>271</v>
      </c>
    </row>
    <row r="7479">
      <c r="A7479" s="5" t="s">
        <v>2924</v>
      </c>
      <c r="B7479" s="8">
        <v>10.0</v>
      </c>
      <c r="C7479" s="7" t="s">
        <v>139</v>
      </c>
      <c r="D7479" s="7" t="s">
        <v>2517</v>
      </c>
      <c r="E7479" s="5" t="s">
        <v>3073</v>
      </c>
      <c r="F7479" s="5" t="s">
        <v>238</v>
      </c>
    </row>
    <row r="7480">
      <c r="A7480" s="5" t="s">
        <v>2925</v>
      </c>
      <c r="B7480" s="8">
        <v>10.0</v>
      </c>
      <c r="C7480" s="7" t="s">
        <v>139</v>
      </c>
      <c r="D7480" s="7" t="s">
        <v>2517</v>
      </c>
      <c r="E7480" s="5" t="s">
        <v>3073</v>
      </c>
      <c r="F7480" s="5" t="s">
        <v>271</v>
      </c>
    </row>
    <row r="7481">
      <c r="A7481" s="5" t="s">
        <v>3086</v>
      </c>
      <c r="B7481" s="8">
        <v>10.0</v>
      </c>
      <c r="C7481" s="7" t="s">
        <v>139</v>
      </c>
      <c r="D7481" s="7" t="s">
        <v>2517</v>
      </c>
      <c r="E7481" s="5" t="s">
        <v>3073</v>
      </c>
      <c r="F7481" s="5" t="s">
        <v>271</v>
      </c>
    </row>
    <row r="7482">
      <c r="A7482" s="5" t="s">
        <v>4037</v>
      </c>
      <c r="B7482" s="8">
        <v>10.0</v>
      </c>
      <c r="C7482" s="7" t="s">
        <v>139</v>
      </c>
      <c r="D7482" s="7" t="s">
        <v>2517</v>
      </c>
      <c r="E7482" s="5" t="s">
        <v>3073</v>
      </c>
      <c r="F7482" s="5" t="s">
        <v>271</v>
      </c>
    </row>
    <row r="7483">
      <c r="A7483" s="7" t="s">
        <v>2319</v>
      </c>
      <c r="B7483" s="8">
        <v>10.0</v>
      </c>
      <c r="C7483" s="7" t="s">
        <v>139</v>
      </c>
      <c r="D7483" s="7" t="s">
        <v>2517</v>
      </c>
      <c r="E7483" s="5" t="s">
        <v>3073</v>
      </c>
      <c r="F7483" s="5" t="s">
        <v>271</v>
      </c>
    </row>
    <row r="7484">
      <c r="A7484" s="5" t="s">
        <v>3795</v>
      </c>
      <c r="B7484" s="8">
        <v>10.0</v>
      </c>
      <c r="C7484" s="7" t="s">
        <v>139</v>
      </c>
      <c r="D7484" s="7" t="s">
        <v>2517</v>
      </c>
      <c r="E7484" s="5" t="s">
        <v>3073</v>
      </c>
      <c r="F7484" s="5" t="s">
        <v>271</v>
      </c>
    </row>
    <row r="7485">
      <c r="A7485" s="7" t="s">
        <v>868</v>
      </c>
      <c r="B7485" s="8">
        <v>10.0</v>
      </c>
      <c r="C7485" s="7" t="s">
        <v>139</v>
      </c>
      <c r="D7485" s="7" t="s">
        <v>2517</v>
      </c>
      <c r="E7485" s="5" t="s">
        <v>3073</v>
      </c>
      <c r="F7485" s="5" t="s">
        <v>271</v>
      </c>
    </row>
    <row r="7486">
      <c r="A7486" s="5" t="s">
        <v>3087</v>
      </c>
      <c r="B7486" s="8">
        <v>10.0</v>
      </c>
      <c r="C7486" s="7" t="s">
        <v>139</v>
      </c>
      <c r="D7486" s="7" t="s">
        <v>2517</v>
      </c>
      <c r="E7486" s="5" t="s">
        <v>3073</v>
      </c>
      <c r="F7486" s="5" t="s">
        <v>238</v>
      </c>
    </row>
    <row r="7487">
      <c r="A7487" s="5" t="s">
        <v>3088</v>
      </c>
      <c r="B7487" s="8">
        <v>10.0</v>
      </c>
      <c r="C7487" s="7" t="s">
        <v>139</v>
      </c>
      <c r="D7487" s="7" t="s">
        <v>2517</v>
      </c>
      <c r="E7487" s="5" t="s">
        <v>3073</v>
      </c>
      <c r="F7487" s="5" t="s">
        <v>271</v>
      </c>
    </row>
    <row r="7488">
      <c r="A7488" s="5" t="s">
        <v>3388</v>
      </c>
      <c r="B7488" s="8">
        <v>10.0</v>
      </c>
      <c r="C7488" s="7" t="s">
        <v>139</v>
      </c>
      <c r="D7488" s="7" t="s">
        <v>2517</v>
      </c>
      <c r="E7488" s="5" t="s">
        <v>3073</v>
      </c>
      <c r="F7488" s="5" t="s">
        <v>271</v>
      </c>
    </row>
    <row r="7489">
      <c r="A7489" s="5" t="s">
        <v>2927</v>
      </c>
      <c r="B7489" s="8">
        <v>10.0</v>
      </c>
      <c r="C7489" s="7" t="s">
        <v>139</v>
      </c>
      <c r="D7489" s="7" t="s">
        <v>2517</v>
      </c>
      <c r="E7489" s="5" t="s">
        <v>3073</v>
      </c>
      <c r="F7489" s="5" t="s">
        <v>238</v>
      </c>
    </row>
    <row r="7490">
      <c r="A7490" s="5" t="s">
        <v>3089</v>
      </c>
      <c r="B7490" s="8">
        <v>10.0</v>
      </c>
      <c r="C7490" s="7" t="s">
        <v>139</v>
      </c>
      <c r="D7490" s="7" t="s">
        <v>2517</v>
      </c>
      <c r="E7490" s="5" t="s">
        <v>3073</v>
      </c>
      <c r="F7490" s="5" t="s">
        <v>4090</v>
      </c>
    </row>
    <row r="7491">
      <c r="A7491" s="5" t="s">
        <v>2928</v>
      </c>
      <c r="B7491" s="8">
        <v>10.0</v>
      </c>
      <c r="C7491" s="7" t="s">
        <v>139</v>
      </c>
      <c r="D7491" s="7" t="s">
        <v>2517</v>
      </c>
      <c r="E7491" s="5" t="s">
        <v>3073</v>
      </c>
      <c r="F7491" s="5" t="s">
        <v>238</v>
      </c>
    </row>
    <row r="7492">
      <c r="A7492" s="7" t="s">
        <v>603</v>
      </c>
      <c r="B7492" s="8">
        <v>10.0</v>
      </c>
      <c r="C7492" s="7" t="s">
        <v>139</v>
      </c>
      <c r="D7492" s="7" t="s">
        <v>2517</v>
      </c>
      <c r="E7492" s="5" t="s">
        <v>3073</v>
      </c>
      <c r="F7492" s="5" t="s">
        <v>238</v>
      </c>
    </row>
    <row r="7493">
      <c r="A7493" s="5" t="s">
        <v>2929</v>
      </c>
      <c r="B7493" s="8">
        <v>10.0</v>
      </c>
      <c r="C7493" s="7" t="s">
        <v>139</v>
      </c>
      <c r="D7493" s="7" t="s">
        <v>2517</v>
      </c>
      <c r="E7493" s="5" t="s">
        <v>3073</v>
      </c>
      <c r="F7493" s="5" t="s">
        <v>3037</v>
      </c>
    </row>
    <row r="7494">
      <c r="A7494" s="5" t="s">
        <v>2702</v>
      </c>
      <c r="B7494" s="8">
        <v>10.0</v>
      </c>
      <c r="C7494" s="7" t="s">
        <v>139</v>
      </c>
      <c r="D7494" s="7" t="s">
        <v>2517</v>
      </c>
      <c r="E7494" s="5" t="s">
        <v>3073</v>
      </c>
      <c r="F7494" s="5" t="s">
        <v>271</v>
      </c>
    </row>
    <row r="7495">
      <c r="A7495" s="5" t="s">
        <v>2930</v>
      </c>
      <c r="B7495" s="8">
        <v>10.0</v>
      </c>
      <c r="C7495" s="7" t="s">
        <v>139</v>
      </c>
      <c r="D7495" s="7" t="s">
        <v>2517</v>
      </c>
      <c r="E7495" s="5" t="s">
        <v>3073</v>
      </c>
      <c r="F7495" s="5" t="s">
        <v>238</v>
      </c>
    </row>
    <row r="7496">
      <c r="A7496" s="5" t="s">
        <v>2600</v>
      </c>
      <c r="B7496" s="8">
        <v>10.0</v>
      </c>
      <c r="C7496" s="7" t="s">
        <v>139</v>
      </c>
      <c r="D7496" s="7" t="s">
        <v>2517</v>
      </c>
      <c r="E7496" s="5" t="s">
        <v>3073</v>
      </c>
      <c r="F7496" s="5" t="s">
        <v>4090</v>
      </c>
    </row>
    <row r="7497">
      <c r="A7497" s="5" t="s">
        <v>3802</v>
      </c>
      <c r="B7497" s="8">
        <v>10.0</v>
      </c>
      <c r="C7497" s="7" t="s">
        <v>139</v>
      </c>
      <c r="D7497" s="7" t="s">
        <v>2517</v>
      </c>
      <c r="E7497" s="5" t="s">
        <v>3073</v>
      </c>
      <c r="F7497" s="5" t="s">
        <v>271</v>
      </c>
    </row>
    <row r="7498">
      <c r="A7498" s="5" t="s">
        <v>3090</v>
      </c>
      <c r="B7498" s="8">
        <v>10.0</v>
      </c>
      <c r="C7498" s="7" t="s">
        <v>139</v>
      </c>
      <c r="D7498" s="7" t="s">
        <v>2517</v>
      </c>
      <c r="E7498" s="5" t="s">
        <v>3073</v>
      </c>
      <c r="F7498" s="5" t="s">
        <v>271</v>
      </c>
    </row>
    <row r="7499">
      <c r="A7499" s="7" t="s">
        <v>606</v>
      </c>
      <c r="B7499" s="8">
        <v>10.0</v>
      </c>
      <c r="C7499" s="7" t="s">
        <v>139</v>
      </c>
      <c r="D7499" s="7" t="s">
        <v>2517</v>
      </c>
      <c r="E7499" s="5" t="s">
        <v>3073</v>
      </c>
      <c r="F7499" s="5" t="s">
        <v>238</v>
      </c>
    </row>
    <row r="7500">
      <c r="A7500" s="5" t="s">
        <v>2602</v>
      </c>
      <c r="B7500" s="8">
        <v>10.0</v>
      </c>
      <c r="C7500" s="7" t="s">
        <v>139</v>
      </c>
      <c r="D7500" s="7" t="s">
        <v>2517</v>
      </c>
      <c r="E7500" s="5" t="s">
        <v>3073</v>
      </c>
      <c r="F7500" s="5" t="s">
        <v>238</v>
      </c>
    </row>
    <row r="7501">
      <c r="A7501" s="5" t="s">
        <v>2931</v>
      </c>
      <c r="B7501" s="8">
        <v>10.0</v>
      </c>
      <c r="C7501" s="7" t="s">
        <v>139</v>
      </c>
      <c r="D7501" s="7" t="s">
        <v>2517</v>
      </c>
      <c r="E7501" s="5" t="s">
        <v>3073</v>
      </c>
      <c r="F7501" s="5" t="s">
        <v>271</v>
      </c>
    </row>
    <row r="7502">
      <c r="A7502" s="5" t="s">
        <v>2932</v>
      </c>
      <c r="B7502" s="8">
        <v>10.0</v>
      </c>
      <c r="C7502" s="7" t="s">
        <v>139</v>
      </c>
      <c r="D7502" s="7" t="s">
        <v>2517</v>
      </c>
      <c r="E7502" s="5" t="s">
        <v>3073</v>
      </c>
      <c r="F7502" s="5" t="s">
        <v>271</v>
      </c>
    </row>
    <row r="7503">
      <c r="A7503" s="5" t="s">
        <v>3091</v>
      </c>
      <c r="B7503" s="8">
        <v>10.0</v>
      </c>
      <c r="C7503" s="7" t="s">
        <v>139</v>
      </c>
      <c r="D7503" s="7" t="s">
        <v>2517</v>
      </c>
      <c r="E7503" s="5" t="s">
        <v>3073</v>
      </c>
      <c r="F7503" s="5" t="s">
        <v>271</v>
      </c>
    </row>
    <row r="7504">
      <c r="A7504" s="5" t="s">
        <v>2605</v>
      </c>
      <c r="B7504" s="8">
        <v>10.0</v>
      </c>
      <c r="C7504" s="7" t="s">
        <v>139</v>
      </c>
      <c r="D7504" s="7" t="s">
        <v>2517</v>
      </c>
      <c r="E7504" s="5" t="s">
        <v>3073</v>
      </c>
      <c r="F7504" s="5" t="s">
        <v>271</v>
      </c>
    </row>
    <row r="7505">
      <c r="A7505" s="7" t="s">
        <v>1989</v>
      </c>
      <c r="B7505" s="8">
        <v>10.0</v>
      </c>
      <c r="C7505" s="7" t="s">
        <v>139</v>
      </c>
      <c r="D7505" s="7" t="s">
        <v>2517</v>
      </c>
      <c r="E7505" s="5" t="s">
        <v>3073</v>
      </c>
      <c r="F7505" s="5" t="s">
        <v>271</v>
      </c>
    </row>
    <row r="7506">
      <c r="A7506" s="5" t="s">
        <v>2606</v>
      </c>
      <c r="B7506" s="8">
        <v>10.0</v>
      </c>
      <c r="C7506" s="7" t="s">
        <v>139</v>
      </c>
      <c r="D7506" s="7" t="s">
        <v>2517</v>
      </c>
      <c r="E7506" s="5" t="s">
        <v>3073</v>
      </c>
      <c r="F7506" s="5" t="s">
        <v>2518</v>
      </c>
    </row>
    <row r="7507">
      <c r="A7507" s="5" t="s">
        <v>2607</v>
      </c>
      <c r="B7507" s="8">
        <v>10.0</v>
      </c>
      <c r="C7507" s="7" t="s">
        <v>139</v>
      </c>
      <c r="D7507" s="7" t="s">
        <v>2517</v>
      </c>
      <c r="E7507" s="5" t="s">
        <v>3073</v>
      </c>
      <c r="F7507" s="5" t="s">
        <v>2518</v>
      </c>
    </row>
    <row r="7508">
      <c r="A7508" s="7" t="s">
        <v>1990</v>
      </c>
      <c r="B7508" s="8">
        <v>10.0</v>
      </c>
      <c r="C7508" s="7" t="s">
        <v>139</v>
      </c>
      <c r="D7508" s="7" t="s">
        <v>2517</v>
      </c>
      <c r="E7508" s="5" t="s">
        <v>3073</v>
      </c>
      <c r="F7508" s="5" t="s">
        <v>271</v>
      </c>
    </row>
    <row r="7509">
      <c r="A7509" s="5" t="s">
        <v>2935</v>
      </c>
      <c r="B7509" s="8">
        <v>10.0</v>
      </c>
      <c r="C7509" s="7" t="s">
        <v>139</v>
      </c>
      <c r="D7509" s="7" t="s">
        <v>2517</v>
      </c>
      <c r="E7509" s="5" t="s">
        <v>3073</v>
      </c>
      <c r="F7509" s="5" t="s">
        <v>4190</v>
      </c>
    </row>
    <row r="7510">
      <c r="A7510" s="5" t="s">
        <v>2936</v>
      </c>
      <c r="B7510" s="8">
        <v>10.0</v>
      </c>
      <c r="C7510" s="7" t="s">
        <v>139</v>
      </c>
      <c r="D7510" s="7" t="s">
        <v>2517</v>
      </c>
      <c r="E7510" s="5" t="s">
        <v>3073</v>
      </c>
      <c r="F7510" s="5" t="s">
        <v>2518</v>
      </c>
    </row>
    <row r="7511">
      <c r="A7511" s="5" t="s">
        <v>2608</v>
      </c>
      <c r="B7511" s="8">
        <v>10.0</v>
      </c>
      <c r="C7511" s="7" t="s">
        <v>139</v>
      </c>
      <c r="D7511" s="7" t="s">
        <v>2517</v>
      </c>
      <c r="E7511" s="5" t="s">
        <v>3073</v>
      </c>
      <c r="F7511" s="5" t="s">
        <v>2518</v>
      </c>
    </row>
    <row r="7512">
      <c r="A7512" s="5" t="s">
        <v>2609</v>
      </c>
      <c r="B7512" s="8">
        <v>10.0</v>
      </c>
      <c r="C7512" s="7" t="s">
        <v>139</v>
      </c>
      <c r="D7512" s="7" t="s">
        <v>2517</v>
      </c>
      <c r="E7512" s="5" t="s">
        <v>3073</v>
      </c>
      <c r="F7512" s="5" t="s">
        <v>2518</v>
      </c>
    </row>
    <row r="7513">
      <c r="A7513" s="5" t="s">
        <v>3791</v>
      </c>
      <c r="B7513" s="8">
        <v>10.0</v>
      </c>
      <c r="C7513" s="7" t="s">
        <v>2521</v>
      </c>
      <c r="D7513" s="5" t="s">
        <v>4191</v>
      </c>
      <c r="E7513" s="5" t="s">
        <v>4192</v>
      </c>
      <c r="F7513" s="5" t="s">
        <v>4193</v>
      </c>
    </row>
    <row r="7514">
      <c r="A7514" s="7" t="s">
        <v>188</v>
      </c>
      <c r="B7514" s="8">
        <v>10.0</v>
      </c>
      <c r="C7514" s="7" t="s">
        <v>2521</v>
      </c>
      <c r="D7514" s="5" t="s">
        <v>4191</v>
      </c>
      <c r="E7514" s="5" t="s">
        <v>4192</v>
      </c>
      <c r="F7514" s="5" t="s">
        <v>4194</v>
      </c>
    </row>
    <row r="7515">
      <c r="A7515" s="5" t="s">
        <v>2924</v>
      </c>
      <c r="B7515" s="8">
        <v>10.0</v>
      </c>
      <c r="C7515" s="7" t="s">
        <v>2521</v>
      </c>
      <c r="D7515" s="5" t="s">
        <v>4191</v>
      </c>
      <c r="E7515" s="5" t="s">
        <v>4192</v>
      </c>
      <c r="F7515" s="5" t="s">
        <v>4195</v>
      </c>
    </row>
    <row r="7516">
      <c r="A7516" s="5" t="s">
        <v>2925</v>
      </c>
      <c r="B7516" s="8">
        <v>10.0</v>
      </c>
      <c r="C7516" s="7" t="s">
        <v>2521</v>
      </c>
      <c r="D7516" s="5" t="s">
        <v>4191</v>
      </c>
      <c r="E7516" s="5" t="s">
        <v>4192</v>
      </c>
      <c r="F7516" s="5" t="s">
        <v>4193</v>
      </c>
    </row>
    <row r="7517">
      <c r="A7517" s="5" t="s">
        <v>3086</v>
      </c>
      <c r="B7517" s="8">
        <v>10.0</v>
      </c>
      <c r="C7517" s="7" t="s">
        <v>2521</v>
      </c>
      <c r="D7517" s="5" t="s">
        <v>4191</v>
      </c>
      <c r="E7517" s="5" t="s">
        <v>4192</v>
      </c>
      <c r="F7517" s="5" t="s">
        <v>4194</v>
      </c>
    </row>
    <row r="7518">
      <c r="A7518" s="5" t="s">
        <v>4037</v>
      </c>
      <c r="B7518" s="8">
        <v>10.0</v>
      </c>
      <c r="C7518" s="7" t="s">
        <v>2521</v>
      </c>
      <c r="D7518" s="5" t="s">
        <v>4191</v>
      </c>
      <c r="E7518" s="5" t="s">
        <v>4192</v>
      </c>
      <c r="F7518" s="5" t="s">
        <v>4194</v>
      </c>
    </row>
    <row r="7519">
      <c r="A7519" s="7" t="s">
        <v>2319</v>
      </c>
      <c r="B7519" s="8">
        <v>10.0</v>
      </c>
      <c r="C7519" s="7" t="s">
        <v>2521</v>
      </c>
      <c r="D7519" s="5" t="s">
        <v>4191</v>
      </c>
      <c r="E7519" s="5" t="s">
        <v>4192</v>
      </c>
      <c r="F7519" s="5" t="s">
        <v>4194</v>
      </c>
    </row>
    <row r="7520">
      <c r="A7520" s="5" t="s">
        <v>3795</v>
      </c>
      <c r="B7520" s="8">
        <v>10.0</v>
      </c>
      <c r="C7520" s="7" t="s">
        <v>2521</v>
      </c>
      <c r="D7520" s="5" t="s">
        <v>4191</v>
      </c>
      <c r="E7520" s="5" t="s">
        <v>4192</v>
      </c>
      <c r="F7520" s="5" t="s">
        <v>4194</v>
      </c>
    </row>
    <row r="7521">
      <c r="A7521" s="7" t="s">
        <v>868</v>
      </c>
      <c r="B7521" s="8">
        <v>10.0</v>
      </c>
      <c r="C7521" s="7" t="s">
        <v>2521</v>
      </c>
      <c r="D7521" s="5" t="s">
        <v>4191</v>
      </c>
      <c r="E7521" s="5" t="s">
        <v>4192</v>
      </c>
      <c r="F7521" s="5" t="s">
        <v>4194</v>
      </c>
    </row>
    <row r="7522">
      <c r="A7522" s="5" t="s">
        <v>3087</v>
      </c>
      <c r="B7522" s="8">
        <v>10.0</v>
      </c>
      <c r="C7522" s="7" t="s">
        <v>2521</v>
      </c>
      <c r="D7522" s="5" t="s">
        <v>4191</v>
      </c>
      <c r="E7522" s="5" t="s">
        <v>4192</v>
      </c>
      <c r="F7522" s="5" t="s">
        <v>4196</v>
      </c>
    </row>
    <row r="7523">
      <c r="A7523" s="5" t="s">
        <v>3088</v>
      </c>
      <c r="B7523" s="8">
        <v>10.0</v>
      </c>
      <c r="C7523" s="7" t="s">
        <v>2521</v>
      </c>
      <c r="D7523" s="5" t="s">
        <v>4191</v>
      </c>
      <c r="E7523" s="5" t="s">
        <v>4192</v>
      </c>
      <c r="F7523" s="5" t="s">
        <v>4194</v>
      </c>
    </row>
    <row r="7524">
      <c r="A7524" s="5" t="s">
        <v>3388</v>
      </c>
      <c r="B7524" s="8">
        <v>10.0</v>
      </c>
      <c r="C7524" s="7" t="s">
        <v>2521</v>
      </c>
      <c r="D7524" s="5" t="s">
        <v>4191</v>
      </c>
      <c r="E7524" s="5" t="s">
        <v>4192</v>
      </c>
      <c r="F7524" s="5" t="s">
        <v>4196</v>
      </c>
    </row>
    <row r="7525">
      <c r="A7525" s="5" t="s">
        <v>2927</v>
      </c>
      <c r="B7525" s="8">
        <v>10.0</v>
      </c>
      <c r="C7525" s="7" t="s">
        <v>2521</v>
      </c>
      <c r="D7525" s="5" t="s">
        <v>4191</v>
      </c>
      <c r="E7525" s="5" t="s">
        <v>4192</v>
      </c>
      <c r="F7525" s="5" t="s">
        <v>4196</v>
      </c>
    </row>
    <row r="7526">
      <c r="A7526" s="5" t="s">
        <v>3089</v>
      </c>
      <c r="B7526" s="8">
        <v>10.0</v>
      </c>
      <c r="C7526" s="7" t="s">
        <v>2521</v>
      </c>
      <c r="D7526" s="5" t="s">
        <v>4191</v>
      </c>
      <c r="E7526" s="5" t="s">
        <v>4192</v>
      </c>
      <c r="F7526" s="5" t="s">
        <v>4194</v>
      </c>
    </row>
    <row r="7527">
      <c r="A7527" s="5" t="s">
        <v>2928</v>
      </c>
      <c r="B7527" s="8">
        <v>10.0</v>
      </c>
      <c r="C7527" s="7" t="s">
        <v>2521</v>
      </c>
      <c r="D7527" s="5" t="s">
        <v>4191</v>
      </c>
      <c r="E7527" s="5" t="s">
        <v>4192</v>
      </c>
      <c r="F7527" s="5" t="s">
        <v>4196</v>
      </c>
    </row>
    <row r="7528">
      <c r="A7528" s="7" t="s">
        <v>603</v>
      </c>
      <c r="B7528" s="8">
        <v>10.0</v>
      </c>
      <c r="C7528" s="7" t="s">
        <v>2521</v>
      </c>
      <c r="D7528" s="5" t="s">
        <v>4191</v>
      </c>
      <c r="E7528" s="5" t="s">
        <v>4192</v>
      </c>
      <c r="F7528" s="5" t="s">
        <v>4196</v>
      </c>
    </row>
    <row r="7529">
      <c r="A7529" s="5" t="s">
        <v>2702</v>
      </c>
      <c r="B7529" s="8">
        <v>10.0</v>
      </c>
      <c r="C7529" s="7" t="s">
        <v>2521</v>
      </c>
      <c r="D7529" s="5" t="s">
        <v>4191</v>
      </c>
      <c r="E7529" s="5" t="s">
        <v>4192</v>
      </c>
      <c r="F7529" s="5" t="s">
        <v>4194</v>
      </c>
    </row>
    <row r="7530">
      <c r="A7530" s="5" t="s">
        <v>2930</v>
      </c>
      <c r="B7530" s="8">
        <v>10.0</v>
      </c>
      <c r="C7530" s="7" t="s">
        <v>2521</v>
      </c>
      <c r="D7530" s="5" t="s">
        <v>4191</v>
      </c>
      <c r="E7530" s="5" t="s">
        <v>4192</v>
      </c>
      <c r="F7530" s="5" t="s">
        <v>4196</v>
      </c>
    </row>
    <row r="7531">
      <c r="A7531" s="5" t="s">
        <v>2600</v>
      </c>
      <c r="B7531" s="8">
        <v>10.0</v>
      </c>
      <c r="C7531" s="7" t="s">
        <v>2521</v>
      </c>
      <c r="D7531" s="5" t="s">
        <v>4191</v>
      </c>
      <c r="E7531" s="5" t="s">
        <v>4192</v>
      </c>
      <c r="F7531" s="5" t="s">
        <v>4194</v>
      </c>
    </row>
    <row r="7532">
      <c r="A7532" s="5" t="s">
        <v>3802</v>
      </c>
      <c r="B7532" s="8">
        <v>10.0</v>
      </c>
      <c r="C7532" s="7" t="s">
        <v>2521</v>
      </c>
      <c r="D7532" s="5" t="s">
        <v>4191</v>
      </c>
      <c r="E7532" s="5" t="s">
        <v>4192</v>
      </c>
      <c r="F7532" s="5" t="s">
        <v>4194</v>
      </c>
    </row>
    <row r="7533">
      <c r="A7533" s="5" t="s">
        <v>3090</v>
      </c>
      <c r="B7533" s="8">
        <v>10.0</v>
      </c>
      <c r="C7533" s="7" t="s">
        <v>2521</v>
      </c>
      <c r="D7533" s="5" t="s">
        <v>4191</v>
      </c>
      <c r="E7533" s="5" t="s">
        <v>4192</v>
      </c>
      <c r="F7533" s="5" t="s">
        <v>4196</v>
      </c>
    </row>
    <row r="7534">
      <c r="A7534" s="7" t="s">
        <v>606</v>
      </c>
      <c r="B7534" s="8">
        <v>10.0</v>
      </c>
      <c r="C7534" s="7" t="s">
        <v>2521</v>
      </c>
      <c r="D7534" s="5" t="s">
        <v>4191</v>
      </c>
      <c r="E7534" s="5" t="s">
        <v>4192</v>
      </c>
      <c r="F7534" s="5" t="s">
        <v>4194</v>
      </c>
    </row>
    <row r="7535">
      <c r="A7535" s="5" t="s">
        <v>2602</v>
      </c>
      <c r="B7535" s="8">
        <v>10.0</v>
      </c>
      <c r="C7535" s="7" t="s">
        <v>2521</v>
      </c>
      <c r="D7535" s="5" t="s">
        <v>4191</v>
      </c>
      <c r="E7535" s="5" t="s">
        <v>4192</v>
      </c>
      <c r="F7535" s="5" t="s">
        <v>4193</v>
      </c>
    </row>
    <row r="7536">
      <c r="A7536" s="5" t="s">
        <v>2931</v>
      </c>
      <c r="B7536" s="8">
        <v>10.0</v>
      </c>
      <c r="C7536" s="7" t="s">
        <v>2521</v>
      </c>
      <c r="D7536" s="5" t="s">
        <v>4191</v>
      </c>
      <c r="E7536" s="5" t="s">
        <v>4192</v>
      </c>
      <c r="F7536" s="5" t="s">
        <v>4197</v>
      </c>
    </row>
    <row r="7537">
      <c r="A7537" s="5" t="s">
        <v>2932</v>
      </c>
      <c r="B7537" s="8">
        <v>10.0</v>
      </c>
      <c r="C7537" s="7" t="s">
        <v>2521</v>
      </c>
      <c r="D7537" s="5" t="s">
        <v>4191</v>
      </c>
      <c r="E7537" s="5" t="s">
        <v>4192</v>
      </c>
      <c r="F7537" s="5" t="s">
        <v>4196</v>
      </c>
    </row>
    <row r="7538">
      <c r="A7538" s="5" t="s">
        <v>3091</v>
      </c>
      <c r="B7538" s="8">
        <v>10.0</v>
      </c>
      <c r="C7538" s="7" t="s">
        <v>2521</v>
      </c>
      <c r="D7538" s="5" t="s">
        <v>4191</v>
      </c>
      <c r="E7538" s="5" t="s">
        <v>4192</v>
      </c>
      <c r="F7538" s="5" t="s">
        <v>4198</v>
      </c>
    </row>
    <row r="7539">
      <c r="A7539" s="5" t="s">
        <v>2605</v>
      </c>
      <c r="B7539" s="8">
        <v>10.0</v>
      </c>
      <c r="C7539" s="7" t="s">
        <v>2521</v>
      </c>
      <c r="D7539" s="5" t="s">
        <v>4191</v>
      </c>
      <c r="E7539" s="5" t="s">
        <v>4192</v>
      </c>
      <c r="F7539" s="5" t="s">
        <v>4194</v>
      </c>
    </row>
    <row r="7540">
      <c r="A7540" s="7" t="s">
        <v>1989</v>
      </c>
      <c r="B7540" s="8">
        <v>10.0</v>
      </c>
      <c r="C7540" s="7" t="s">
        <v>2521</v>
      </c>
      <c r="D7540" s="5" t="s">
        <v>4191</v>
      </c>
      <c r="E7540" s="5" t="s">
        <v>4192</v>
      </c>
      <c r="F7540" s="5" t="s">
        <v>4199</v>
      </c>
    </row>
    <row r="7541">
      <c r="A7541" s="5" t="s">
        <v>2606</v>
      </c>
      <c r="B7541" s="8">
        <v>10.0</v>
      </c>
      <c r="C7541" s="7" t="s">
        <v>2521</v>
      </c>
      <c r="D7541" s="5" t="s">
        <v>4191</v>
      </c>
      <c r="E7541" s="5" t="s">
        <v>4192</v>
      </c>
      <c r="F7541" s="5" t="s">
        <v>4196</v>
      </c>
    </row>
    <row r="7542">
      <c r="A7542" s="5" t="s">
        <v>2607</v>
      </c>
      <c r="B7542" s="8">
        <v>10.0</v>
      </c>
      <c r="C7542" s="7" t="s">
        <v>2521</v>
      </c>
      <c r="D7542" s="5" t="s">
        <v>4191</v>
      </c>
      <c r="E7542" s="5" t="s">
        <v>4192</v>
      </c>
      <c r="F7542" s="5" t="s">
        <v>4196</v>
      </c>
    </row>
    <row r="7543">
      <c r="A7543" s="7" t="s">
        <v>1990</v>
      </c>
      <c r="B7543" s="8">
        <v>10.0</v>
      </c>
      <c r="C7543" s="7" t="s">
        <v>2521</v>
      </c>
      <c r="D7543" s="5" t="s">
        <v>4191</v>
      </c>
      <c r="E7543" s="5" t="s">
        <v>4192</v>
      </c>
      <c r="F7543" s="5" t="s">
        <v>4194</v>
      </c>
    </row>
    <row r="7544">
      <c r="A7544" s="5" t="s">
        <v>2935</v>
      </c>
      <c r="B7544" s="8">
        <v>10.0</v>
      </c>
      <c r="C7544" s="7" t="s">
        <v>2521</v>
      </c>
      <c r="D7544" s="5" t="s">
        <v>4191</v>
      </c>
      <c r="E7544" s="5" t="s">
        <v>4192</v>
      </c>
      <c r="F7544" s="5" t="s">
        <v>4194</v>
      </c>
    </row>
    <row r="7545">
      <c r="A7545" s="5" t="s">
        <v>2936</v>
      </c>
      <c r="B7545" s="8">
        <v>10.0</v>
      </c>
      <c r="C7545" s="7" t="s">
        <v>2521</v>
      </c>
      <c r="D7545" s="5" t="s">
        <v>4191</v>
      </c>
      <c r="E7545" s="5" t="s">
        <v>4192</v>
      </c>
      <c r="F7545" s="5" t="s">
        <v>4196</v>
      </c>
    </row>
    <row r="7546">
      <c r="A7546" s="5" t="s">
        <v>2608</v>
      </c>
      <c r="B7546" s="8">
        <v>10.0</v>
      </c>
      <c r="C7546" s="7" t="s">
        <v>2521</v>
      </c>
      <c r="D7546" s="5" t="s">
        <v>4191</v>
      </c>
      <c r="E7546" s="5" t="s">
        <v>4192</v>
      </c>
      <c r="F7546" s="5" t="s">
        <v>4196</v>
      </c>
    </row>
    <row r="7547">
      <c r="A7547" s="5" t="s">
        <v>2609</v>
      </c>
      <c r="B7547" s="8">
        <v>10.0</v>
      </c>
      <c r="C7547" s="7" t="s">
        <v>2521</v>
      </c>
      <c r="D7547" s="5" t="s">
        <v>4191</v>
      </c>
      <c r="E7547" s="5" t="s">
        <v>4192</v>
      </c>
      <c r="F7547" s="5" t="s">
        <v>4196</v>
      </c>
    </row>
    <row r="7548">
      <c r="A7548" s="5" t="s">
        <v>3791</v>
      </c>
      <c r="B7548" s="8">
        <v>10.0</v>
      </c>
      <c r="C7548" s="7" t="s">
        <v>2526</v>
      </c>
      <c r="D7548" s="7" t="s">
        <v>2527</v>
      </c>
      <c r="E7548" s="5" t="s">
        <v>4200</v>
      </c>
      <c r="F7548" s="5" t="s">
        <v>3375</v>
      </c>
    </row>
    <row r="7549">
      <c r="A7549" s="7" t="s">
        <v>188</v>
      </c>
      <c r="B7549" s="8">
        <v>10.0</v>
      </c>
      <c r="C7549" s="7" t="s">
        <v>2526</v>
      </c>
      <c r="D7549" s="7" t="s">
        <v>2527</v>
      </c>
      <c r="E7549" s="5" t="s">
        <v>4200</v>
      </c>
      <c r="F7549" s="5" t="s">
        <v>3368</v>
      </c>
    </row>
    <row r="7550">
      <c r="A7550" s="5" t="s">
        <v>2924</v>
      </c>
      <c r="B7550" s="8">
        <v>10.0</v>
      </c>
      <c r="C7550" s="7" t="s">
        <v>2526</v>
      </c>
      <c r="D7550" s="7" t="s">
        <v>2527</v>
      </c>
      <c r="E7550" s="5" t="s">
        <v>4200</v>
      </c>
      <c r="F7550" s="5" t="s">
        <v>3375</v>
      </c>
    </row>
    <row r="7551">
      <c r="A7551" s="5" t="s">
        <v>2925</v>
      </c>
      <c r="B7551" s="8">
        <v>10.0</v>
      </c>
      <c r="C7551" s="7" t="s">
        <v>2526</v>
      </c>
      <c r="D7551" s="7" t="s">
        <v>2527</v>
      </c>
      <c r="E7551" s="5" t="s">
        <v>4200</v>
      </c>
      <c r="F7551" s="5" t="s">
        <v>3368</v>
      </c>
    </row>
    <row r="7552">
      <c r="A7552" s="5" t="s">
        <v>3086</v>
      </c>
      <c r="B7552" s="8">
        <v>10.0</v>
      </c>
      <c r="C7552" s="7" t="s">
        <v>2526</v>
      </c>
      <c r="D7552" s="7" t="s">
        <v>2527</v>
      </c>
      <c r="E7552" s="5" t="s">
        <v>4200</v>
      </c>
      <c r="F7552" s="5" t="s">
        <v>4201</v>
      </c>
    </row>
    <row r="7553">
      <c r="A7553" s="5" t="s">
        <v>4037</v>
      </c>
      <c r="B7553" s="8">
        <v>10.0</v>
      </c>
      <c r="C7553" s="7" t="s">
        <v>2526</v>
      </c>
      <c r="D7553" s="7" t="s">
        <v>2527</v>
      </c>
      <c r="E7553" s="5" t="s">
        <v>4200</v>
      </c>
      <c r="F7553" s="5" t="s">
        <v>4201</v>
      </c>
    </row>
    <row r="7554">
      <c r="A7554" s="7" t="s">
        <v>2319</v>
      </c>
      <c r="B7554" s="8">
        <v>10.0</v>
      </c>
      <c r="C7554" s="7" t="s">
        <v>2526</v>
      </c>
      <c r="D7554" s="7" t="s">
        <v>2527</v>
      </c>
      <c r="E7554" s="5" t="s">
        <v>4200</v>
      </c>
      <c r="F7554" s="5" t="s">
        <v>3375</v>
      </c>
    </row>
    <row r="7555">
      <c r="A7555" s="5" t="s">
        <v>3795</v>
      </c>
      <c r="B7555" s="8">
        <v>10.0</v>
      </c>
      <c r="C7555" s="7" t="s">
        <v>2526</v>
      </c>
      <c r="D7555" s="7" t="s">
        <v>2527</v>
      </c>
      <c r="E7555" s="5" t="s">
        <v>4200</v>
      </c>
      <c r="F7555" s="5" t="s">
        <v>4201</v>
      </c>
    </row>
    <row r="7556">
      <c r="A7556" s="7" t="s">
        <v>868</v>
      </c>
      <c r="B7556" s="8">
        <v>10.0</v>
      </c>
      <c r="C7556" s="7" t="s">
        <v>2526</v>
      </c>
      <c r="D7556" s="7" t="s">
        <v>2527</v>
      </c>
      <c r="E7556" s="5" t="s">
        <v>4200</v>
      </c>
      <c r="F7556" s="5" t="s">
        <v>3368</v>
      </c>
    </row>
    <row r="7557">
      <c r="A7557" s="5" t="s">
        <v>3087</v>
      </c>
      <c r="B7557" s="8">
        <v>10.0</v>
      </c>
      <c r="C7557" s="7" t="s">
        <v>2526</v>
      </c>
      <c r="D7557" s="7" t="s">
        <v>2527</v>
      </c>
      <c r="E7557" s="5" t="s">
        <v>4200</v>
      </c>
      <c r="F7557" s="5" t="s">
        <v>3375</v>
      </c>
    </row>
    <row r="7558">
      <c r="A7558" s="5" t="s">
        <v>3088</v>
      </c>
      <c r="B7558" s="8">
        <v>10.0</v>
      </c>
      <c r="C7558" s="7" t="s">
        <v>2526</v>
      </c>
      <c r="D7558" s="7" t="s">
        <v>2527</v>
      </c>
      <c r="E7558" s="5" t="s">
        <v>4200</v>
      </c>
      <c r="F7558" s="5" t="s">
        <v>4201</v>
      </c>
    </row>
    <row r="7559">
      <c r="A7559" s="5" t="s">
        <v>3388</v>
      </c>
      <c r="B7559" s="8">
        <v>10.0</v>
      </c>
      <c r="C7559" s="7" t="s">
        <v>2526</v>
      </c>
      <c r="D7559" s="7" t="s">
        <v>2527</v>
      </c>
      <c r="E7559" s="5" t="s">
        <v>4200</v>
      </c>
      <c r="F7559" s="5" t="s">
        <v>3368</v>
      </c>
    </row>
    <row r="7560">
      <c r="A7560" s="5" t="s">
        <v>2927</v>
      </c>
      <c r="B7560" s="8">
        <v>10.0</v>
      </c>
      <c r="C7560" s="7" t="s">
        <v>2526</v>
      </c>
      <c r="D7560" s="7" t="s">
        <v>2527</v>
      </c>
      <c r="E7560" s="5" t="s">
        <v>4200</v>
      </c>
      <c r="F7560" s="5" t="s">
        <v>3368</v>
      </c>
    </row>
    <row r="7561">
      <c r="A7561" s="5" t="s">
        <v>3089</v>
      </c>
      <c r="B7561" s="8">
        <v>10.0</v>
      </c>
      <c r="C7561" s="7" t="s">
        <v>2526</v>
      </c>
      <c r="D7561" s="7" t="s">
        <v>2527</v>
      </c>
      <c r="E7561" s="5" t="s">
        <v>4200</v>
      </c>
      <c r="F7561" s="5" t="s">
        <v>3368</v>
      </c>
    </row>
    <row r="7562">
      <c r="A7562" s="5" t="s">
        <v>2928</v>
      </c>
      <c r="B7562" s="8">
        <v>10.0</v>
      </c>
      <c r="C7562" s="7" t="s">
        <v>2526</v>
      </c>
      <c r="D7562" s="7" t="s">
        <v>2527</v>
      </c>
      <c r="E7562" s="5" t="s">
        <v>4200</v>
      </c>
      <c r="F7562" s="5" t="s">
        <v>4202</v>
      </c>
    </row>
    <row r="7563">
      <c r="A7563" s="7" t="s">
        <v>603</v>
      </c>
      <c r="B7563" s="8">
        <v>10.0</v>
      </c>
      <c r="C7563" s="7" t="s">
        <v>2526</v>
      </c>
      <c r="D7563" s="7" t="s">
        <v>2527</v>
      </c>
      <c r="E7563" s="5" t="s">
        <v>4200</v>
      </c>
      <c r="F7563" s="5" t="s">
        <v>3375</v>
      </c>
    </row>
    <row r="7564">
      <c r="A7564" s="5" t="s">
        <v>2929</v>
      </c>
      <c r="B7564" s="8">
        <v>10.0</v>
      </c>
      <c r="C7564" s="7" t="s">
        <v>2526</v>
      </c>
      <c r="D7564" s="7" t="s">
        <v>2527</v>
      </c>
      <c r="E7564" s="5" t="s">
        <v>4200</v>
      </c>
      <c r="F7564" s="5" t="s">
        <v>3368</v>
      </c>
    </row>
    <row r="7565">
      <c r="A7565" s="5" t="s">
        <v>2702</v>
      </c>
      <c r="B7565" s="8">
        <v>10.0</v>
      </c>
      <c r="C7565" s="7" t="s">
        <v>2526</v>
      </c>
      <c r="D7565" s="7" t="s">
        <v>2527</v>
      </c>
      <c r="E7565" s="5" t="s">
        <v>4200</v>
      </c>
      <c r="F7565" s="5" t="s">
        <v>3375</v>
      </c>
    </row>
    <row r="7566">
      <c r="A7566" s="5" t="s">
        <v>2930</v>
      </c>
      <c r="B7566" s="8">
        <v>10.0</v>
      </c>
      <c r="C7566" s="7" t="s">
        <v>2526</v>
      </c>
      <c r="D7566" s="7" t="s">
        <v>2527</v>
      </c>
      <c r="E7566" s="5" t="s">
        <v>4200</v>
      </c>
      <c r="F7566" s="5" t="s">
        <v>3375</v>
      </c>
    </row>
    <row r="7567">
      <c r="A7567" s="5" t="s">
        <v>2600</v>
      </c>
      <c r="B7567" s="8">
        <v>10.0</v>
      </c>
      <c r="C7567" s="7" t="s">
        <v>2526</v>
      </c>
      <c r="D7567" s="7" t="s">
        <v>2527</v>
      </c>
      <c r="E7567" s="5" t="s">
        <v>4200</v>
      </c>
      <c r="F7567" s="5" t="s">
        <v>3368</v>
      </c>
    </row>
    <row r="7568">
      <c r="A7568" s="5" t="s">
        <v>3090</v>
      </c>
      <c r="B7568" s="8">
        <v>10.0</v>
      </c>
      <c r="C7568" s="7" t="s">
        <v>2526</v>
      </c>
      <c r="D7568" s="7" t="s">
        <v>2527</v>
      </c>
      <c r="E7568" s="5" t="s">
        <v>4200</v>
      </c>
      <c r="F7568" s="5" t="s">
        <v>3375</v>
      </c>
    </row>
    <row r="7569">
      <c r="A7569" s="7" t="s">
        <v>606</v>
      </c>
      <c r="B7569" s="8">
        <v>10.0</v>
      </c>
      <c r="C7569" s="7" t="s">
        <v>2526</v>
      </c>
      <c r="D7569" s="7" t="s">
        <v>2527</v>
      </c>
      <c r="E7569" s="5" t="s">
        <v>4200</v>
      </c>
      <c r="F7569" s="5" t="s">
        <v>4203</v>
      </c>
    </row>
    <row r="7570">
      <c r="A7570" s="5" t="s">
        <v>2602</v>
      </c>
      <c r="B7570" s="8">
        <v>10.0</v>
      </c>
      <c r="C7570" s="7" t="s">
        <v>2526</v>
      </c>
      <c r="D7570" s="7" t="s">
        <v>2527</v>
      </c>
      <c r="E7570" s="5" t="s">
        <v>4200</v>
      </c>
      <c r="F7570" s="5" t="s">
        <v>3375</v>
      </c>
    </row>
    <row r="7571">
      <c r="A7571" s="5" t="s">
        <v>2931</v>
      </c>
      <c r="B7571" s="8">
        <v>10.0</v>
      </c>
      <c r="C7571" s="7" t="s">
        <v>2526</v>
      </c>
      <c r="D7571" s="7" t="s">
        <v>2527</v>
      </c>
      <c r="E7571" s="5" t="s">
        <v>4200</v>
      </c>
      <c r="F7571" s="5" t="s">
        <v>3375</v>
      </c>
    </row>
    <row r="7572">
      <c r="A7572" s="5" t="s">
        <v>2932</v>
      </c>
      <c r="B7572" s="8">
        <v>10.0</v>
      </c>
      <c r="C7572" s="7" t="s">
        <v>2526</v>
      </c>
      <c r="D7572" s="7" t="s">
        <v>2527</v>
      </c>
      <c r="E7572" s="5" t="s">
        <v>4200</v>
      </c>
      <c r="F7572" s="5" t="s">
        <v>3368</v>
      </c>
    </row>
    <row r="7573">
      <c r="A7573" s="5" t="s">
        <v>3091</v>
      </c>
      <c r="B7573" s="8">
        <v>10.0</v>
      </c>
      <c r="C7573" s="7" t="s">
        <v>2526</v>
      </c>
      <c r="D7573" s="7" t="s">
        <v>2527</v>
      </c>
      <c r="E7573" s="5" t="s">
        <v>4200</v>
      </c>
      <c r="F7573" s="5" t="s">
        <v>4204</v>
      </c>
    </row>
    <row r="7574">
      <c r="A7574" s="5" t="s">
        <v>2605</v>
      </c>
      <c r="B7574" s="8">
        <v>10.0</v>
      </c>
      <c r="C7574" s="7" t="s">
        <v>2526</v>
      </c>
      <c r="D7574" s="7" t="s">
        <v>2527</v>
      </c>
      <c r="E7574" s="5" t="s">
        <v>4200</v>
      </c>
      <c r="F7574" s="5" t="s">
        <v>3368</v>
      </c>
    </row>
    <row r="7575">
      <c r="A7575" s="7" t="s">
        <v>1989</v>
      </c>
      <c r="B7575" s="8">
        <v>10.0</v>
      </c>
      <c r="C7575" s="7" t="s">
        <v>2526</v>
      </c>
      <c r="D7575" s="7" t="s">
        <v>2527</v>
      </c>
      <c r="E7575" s="5" t="s">
        <v>4200</v>
      </c>
      <c r="F7575" s="5" t="s">
        <v>3375</v>
      </c>
    </row>
    <row r="7576">
      <c r="A7576" s="5" t="s">
        <v>2606</v>
      </c>
      <c r="B7576" s="8">
        <v>10.0</v>
      </c>
      <c r="C7576" s="7" t="s">
        <v>2526</v>
      </c>
      <c r="D7576" s="7" t="s">
        <v>2527</v>
      </c>
      <c r="E7576" s="5" t="s">
        <v>4200</v>
      </c>
      <c r="F7576" s="5" t="s">
        <v>3375</v>
      </c>
    </row>
    <row r="7577">
      <c r="A7577" s="5" t="s">
        <v>2607</v>
      </c>
      <c r="B7577" s="8">
        <v>10.0</v>
      </c>
      <c r="C7577" s="7" t="s">
        <v>2526</v>
      </c>
      <c r="D7577" s="7" t="s">
        <v>2527</v>
      </c>
      <c r="E7577" s="5" t="s">
        <v>4200</v>
      </c>
      <c r="F7577" s="5" t="s">
        <v>4205</v>
      </c>
    </row>
    <row r="7578">
      <c r="A7578" s="7" t="s">
        <v>1990</v>
      </c>
      <c r="B7578" s="8">
        <v>10.0</v>
      </c>
      <c r="C7578" s="7" t="s">
        <v>2526</v>
      </c>
      <c r="D7578" s="7" t="s">
        <v>2527</v>
      </c>
      <c r="E7578" s="5" t="s">
        <v>4200</v>
      </c>
      <c r="F7578" s="5" t="s">
        <v>3368</v>
      </c>
    </row>
    <row r="7579">
      <c r="A7579" s="5" t="s">
        <v>2935</v>
      </c>
      <c r="B7579" s="8">
        <v>10.0</v>
      </c>
      <c r="C7579" s="7" t="s">
        <v>2526</v>
      </c>
      <c r="D7579" s="7" t="s">
        <v>2527</v>
      </c>
      <c r="E7579" s="5" t="s">
        <v>4200</v>
      </c>
      <c r="F7579" s="5" t="s">
        <v>4206</v>
      </c>
    </row>
    <row r="7580">
      <c r="A7580" s="5" t="s">
        <v>2936</v>
      </c>
      <c r="B7580" s="8">
        <v>10.0</v>
      </c>
      <c r="C7580" s="7" t="s">
        <v>2526</v>
      </c>
      <c r="D7580" s="7" t="s">
        <v>2527</v>
      </c>
      <c r="E7580" s="5" t="s">
        <v>4200</v>
      </c>
      <c r="F7580" s="5" t="s">
        <v>4202</v>
      </c>
    </row>
    <row r="7581">
      <c r="A7581" s="5" t="s">
        <v>2608</v>
      </c>
      <c r="B7581" s="8">
        <v>10.0</v>
      </c>
      <c r="C7581" s="7" t="s">
        <v>2526</v>
      </c>
      <c r="D7581" s="7" t="s">
        <v>2527</v>
      </c>
      <c r="E7581" s="5" t="s">
        <v>4200</v>
      </c>
      <c r="F7581" s="5" t="s">
        <v>3375</v>
      </c>
    </row>
    <row r="7582">
      <c r="A7582" s="5" t="s">
        <v>2609</v>
      </c>
      <c r="B7582" s="8">
        <v>10.0</v>
      </c>
      <c r="C7582" s="7" t="s">
        <v>2526</v>
      </c>
      <c r="D7582" s="7" t="s">
        <v>2527</v>
      </c>
      <c r="E7582" s="5" t="s">
        <v>4200</v>
      </c>
      <c r="F7582" s="5" t="s">
        <v>3375</v>
      </c>
    </row>
    <row r="7583">
      <c r="A7583" s="5" t="s">
        <v>3791</v>
      </c>
      <c r="B7583" s="8">
        <v>10.0</v>
      </c>
      <c r="C7583" s="7" t="s">
        <v>2534</v>
      </c>
      <c r="D7583" s="5" t="s">
        <v>4207</v>
      </c>
      <c r="E7583" s="5" t="s">
        <v>4208</v>
      </c>
      <c r="F7583" s="5" t="s">
        <v>3375</v>
      </c>
    </row>
    <row r="7584">
      <c r="A7584" s="7" t="s">
        <v>188</v>
      </c>
      <c r="B7584" s="8">
        <v>10.0</v>
      </c>
      <c r="C7584" s="7" t="s">
        <v>2534</v>
      </c>
      <c r="D7584" s="5" t="s">
        <v>4207</v>
      </c>
      <c r="E7584" s="5" t="s">
        <v>4208</v>
      </c>
      <c r="F7584" s="5" t="s">
        <v>3368</v>
      </c>
    </row>
    <row r="7585">
      <c r="A7585" s="5" t="s">
        <v>2924</v>
      </c>
      <c r="B7585" s="8">
        <v>10.0</v>
      </c>
      <c r="C7585" s="7" t="s">
        <v>2534</v>
      </c>
      <c r="D7585" s="5" t="s">
        <v>4207</v>
      </c>
      <c r="E7585" s="5" t="s">
        <v>4208</v>
      </c>
      <c r="F7585" s="5" t="s">
        <v>3375</v>
      </c>
    </row>
    <row r="7586">
      <c r="A7586" s="5" t="s">
        <v>2925</v>
      </c>
      <c r="B7586" s="8">
        <v>10.0</v>
      </c>
      <c r="C7586" s="7" t="s">
        <v>2534</v>
      </c>
      <c r="D7586" s="5" t="s">
        <v>4207</v>
      </c>
      <c r="E7586" s="5" t="s">
        <v>4208</v>
      </c>
      <c r="F7586" s="5" t="s">
        <v>3368</v>
      </c>
    </row>
    <row r="7587">
      <c r="A7587" s="5" t="s">
        <v>3086</v>
      </c>
      <c r="B7587" s="8">
        <v>10.0</v>
      </c>
      <c r="C7587" s="7" t="s">
        <v>2534</v>
      </c>
      <c r="D7587" s="5" t="s">
        <v>4207</v>
      </c>
      <c r="E7587" s="5" t="s">
        <v>4208</v>
      </c>
      <c r="F7587" s="5" t="s">
        <v>4201</v>
      </c>
    </row>
    <row r="7588">
      <c r="A7588" s="5" t="s">
        <v>4037</v>
      </c>
      <c r="B7588" s="8">
        <v>10.0</v>
      </c>
      <c r="C7588" s="7" t="s">
        <v>2534</v>
      </c>
      <c r="D7588" s="5" t="s">
        <v>4207</v>
      </c>
      <c r="E7588" s="5" t="s">
        <v>4208</v>
      </c>
      <c r="F7588" s="5" t="s">
        <v>4201</v>
      </c>
    </row>
    <row r="7589">
      <c r="A7589" s="7" t="s">
        <v>2319</v>
      </c>
      <c r="B7589" s="8">
        <v>10.0</v>
      </c>
      <c r="C7589" s="7" t="s">
        <v>2534</v>
      </c>
      <c r="D7589" s="5" t="s">
        <v>4207</v>
      </c>
      <c r="E7589" s="5" t="s">
        <v>4208</v>
      </c>
      <c r="F7589" s="5" t="s">
        <v>3375</v>
      </c>
    </row>
    <row r="7590">
      <c r="A7590" s="5" t="s">
        <v>3795</v>
      </c>
      <c r="B7590" s="8">
        <v>10.0</v>
      </c>
      <c r="C7590" s="7" t="s">
        <v>2534</v>
      </c>
      <c r="D7590" s="5" t="s">
        <v>4207</v>
      </c>
      <c r="E7590" s="5" t="s">
        <v>4208</v>
      </c>
      <c r="F7590" s="5" t="s">
        <v>4201</v>
      </c>
    </row>
    <row r="7591">
      <c r="A7591" s="7" t="s">
        <v>868</v>
      </c>
      <c r="B7591" s="8">
        <v>10.0</v>
      </c>
      <c r="C7591" s="7" t="s">
        <v>2534</v>
      </c>
      <c r="D7591" s="5" t="s">
        <v>4207</v>
      </c>
      <c r="E7591" s="5" t="s">
        <v>4208</v>
      </c>
      <c r="F7591" s="5" t="s">
        <v>3368</v>
      </c>
    </row>
    <row r="7592">
      <c r="A7592" s="5" t="s">
        <v>3087</v>
      </c>
      <c r="B7592" s="8">
        <v>10.0</v>
      </c>
      <c r="C7592" s="7" t="s">
        <v>2534</v>
      </c>
      <c r="D7592" s="5" t="s">
        <v>4207</v>
      </c>
      <c r="E7592" s="5" t="s">
        <v>4208</v>
      </c>
      <c r="F7592" s="5" t="s">
        <v>3375</v>
      </c>
    </row>
    <row r="7593">
      <c r="A7593" s="5" t="s">
        <v>3088</v>
      </c>
      <c r="B7593" s="8">
        <v>10.0</v>
      </c>
      <c r="C7593" s="7" t="s">
        <v>2534</v>
      </c>
      <c r="D7593" s="5" t="s">
        <v>4207</v>
      </c>
      <c r="E7593" s="5" t="s">
        <v>4208</v>
      </c>
      <c r="F7593" s="5" t="s">
        <v>4201</v>
      </c>
    </row>
    <row r="7594">
      <c r="A7594" s="5" t="s">
        <v>3388</v>
      </c>
      <c r="B7594" s="8">
        <v>10.0</v>
      </c>
      <c r="C7594" s="7" t="s">
        <v>2534</v>
      </c>
      <c r="D7594" s="5" t="s">
        <v>4207</v>
      </c>
      <c r="E7594" s="5" t="s">
        <v>4208</v>
      </c>
      <c r="F7594" s="5" t="s">
        <v>3368</v>
      </c>
    </row>
    <row r="7595">
      <c r="A7595" s="5" t="s">
        <v>2927</v>
      </c>
      <c r="B7595" s="8">
        <v>10.0</v>
      </c>
      <c r="C7595" s="7" t="s">
        <v>2534</v>
      </c>
      <c r="D7595" s="5" t="s">
        <v>4207</v>
      </c>
      <c r="E7595" s="5" t="s">
        <v>4208</v>
      </c>
      <c r="F7595" s="5" t="s">
        <v>3368</v>
      </c>
    </row>
    <row r="7596">
      <c r="A7596" s="5" t="s">
        <v>3089</v>
      </c>
      <c r="B7596" s="8">
        <v>10.0</v>
      </c>
      <c r="C7596" s="7" t="s">
        <v>2534</v>
      </c>
      <c r="D7596" s="5" t="s">
        <v>4207</v>
      </c>
      <c r="E7596" s="5" t="s">
        <v>4208</v>
      </c>
      <c r="F7596" s="5" t="s">
        <v>3368</v>
      </c>
    </row>
    <row r="7597">
      <c r="A7597" s="5" t="s">
        <v>2928</v>
      </c>
      <c r="B7597" s="8">
        <v>10.0</v>
      </c>
      <c r="C7597" s="7" t="s">
        <v>2534</v>
      </c>
      <c r="D7597" s="5" t="s">
        <v>4207</v>
      </c>
      <c r="E7597" s="5" t="s">
        <v>4208</v>
      </c>
      <c r="F7597" s="5" t="s">
        <v>4202</v>
      </c>
    </row>
    <row r="7598">
      <c r="A7598" s="7" t="s">
        <v>603</v>
      </c>
      <c r="B7598" s="8">
        <v>10.0</v>
      </c>
      <c r="C7598" s="7" t="s">
        <v>2534</v>
      </c>
      <c r="D7598" s="5" t="s">
        <v>4207</v>
      </c>
      <c r="E7598" s="5" t="s">
        <v>4208</v>
      </c>
      <c r="F7598" s="5" t="s">
        <v>3375</v>
      </c>
    </row>
    <row r="7599">
      <c r="A7599" s="5" t="s">
        <v>2929</v>
      </c>
      <c r="B7599" s="8">
        <v>10.0</v>
      </c>
      <c r="C7599" s="7" t="s">
        <v>2534</v>
      </c>
      <c r="D7599" s="5" t="s">
        <v>4207</v>
      </c>
      <c r="E7599" s="5" t="s">
        <v>4208</v>
      </c>
      <c r="F7599" s="5" t="s">
        <v>3368</v>
      </c>
    </row>
    <row r="7600">
      <c r="A7600" s="5" t="s">
        <v>2702</v>
      </c>
      <c r="B7600" s="8">
        <v>10.0</v>
      </c>
      <c r="C7600" s="7" t="s">
        <v>2534</v>
      </c>
      <c r="D7600" s="5" t="s">
        <v>4207</v>
      </c>
      <c r="E7600" s="5" t="s">
        <v>4208</v>
      </c>
      <c r="F7600" s="5" t="s">
        <v>3375</v>
      </c>
    </row>
    <row r="7601">
      <c r="A7601" s="5" t="s">
        <v>2930</v>
      </c>
      <c r="B7601" s="8">
        <v>10.0</v>
      </c>
      <c r="C7601" s="7" t="s">
        <v>2534</v>
      </c>
      <c r="D7601" s="5" t="s">
        <v>4207</v>
      </c>
      <c r="E7601" s="5" t="s">
        <v>4208</v>
      </c>
      <c r="F7601" s="5" t="s">
        <v>3375</v>
      </c>
    </row>
    <row r="7602">
      <c r="A7602" s="5" t="s">
        <v>2600</v>
      </c>
      <c r="B7602" s="8">
        <v>10.0</v>
      </c>
      <c r="C7602" s="7" t="s">
        <v>2534</v>
      </c>
      <c r="D7602" s="5" t="s">
        <v>4207</v>
      </c>
      <c r="E7602" s="5" t="s">
        <v>4208</v>
      </c>
      <c r="F7602" s="5" t="s">
        <v>3368</v>
      </c>
    </row>
    <row r="7603">
      <c r="A7603" s="5" t="s">
        <v>3090</v>
      </c>
      <c r="B7603" s="8">
        <v>10.0</v>
      </c>
      <c r="C7603" s="7" t="s">
        <v>2534</v>
      </c>
      <c r="D7603" s="5" t="s">
        <v>4207</v>
      </c>
      <c r="E7603" s="5" t="s">
        <v>4208</v>
      </c>
      <c r="F7603" s="5" t="s">
        <v>3375</v>
      </c>
    </row>
    <row r="7604">
      <c r="A7604" s="7" t="s">
        <v>606</v>
      </c>
      <c r="B7604" s="8">
        <v>10.0</v>
      </c>
      <c r="C7604" s="7" t="s">
        <v>2534</v>
      </c>
      <c r="D7604" s="5" t="s">
        <v>4207</v>
      </c>
      <c r="E7604" s="5" t="s">
        <v>4208</v>
      </c>
      <c r="F7604" s="5" t="s">
        <v>4203</v>
      </c>
    </row>
    <row r="7605">
      <c r="A7605" s="5" t="s">
        <v>2602</v>
      </c>
      <c r="B7605" s="8">
        <v>10.0</v>
      </c>
      <c r="C7605" s="7" t="s">
        <v>2534</v>
      </c>
      <c r="D7605" s="5" t="s">
        <v>4207</v>
      </c>
      <c r="E7605" s="5" t="s">
        <v>4208</v>
      </c>
      <c r="F7605" s="5" t="s">
        <v>3375</v>
      </c>
    </row>
    <row r="7606">
      <c r="A7606" s="5" t="s">
        <v>2931</v>
      </c>
      <c r="B7606" s="8">
        <v>10.0</v>
      </c>
      <c r="C7606" s="7" t="s">
        <v>2534</v>
      </c>
      <c r="D7606" s="5" t="s">
        <v>4207</v>
      </c>
      <c r="E7606" s="5" t="s">
        <v>4208</v>
      </c>
      <c r="F7606" s="5" t="s">
        <v>3375</v>
      </c>
    </row>
    <row r="7607">
      <c r="A7607" s="5" t="s">
        <v>2932</v>
      </c>
      <c r="B7607" s="8">
        <v>10.0</v>
      </c>
      <c r="C7607" s="7" t="s">
        <v>2534</v>
      </c>
      <c r="D7607" s="5" t="s">
        <v>4207</v>
      </c>
      <c r="E7607" s="5" t="s">
        <v>4208</v>
      </c>
      <c r="F7607" s="5" t="s">
        <v>3368</v>
      </c>
    </row>
    <row r="7608">
      <c r="A7608" s="5" t="s">
        <v>3091</v>
      </c>
      <c r="B7608" s="8">
        <v>10.0</v>
      </c>
      <c r="C7608" s="7" t="s">
        <v>2534</v>
      </c>
      <c r="D7608" s="5" t="s">
        <v>4207</v>
      </c>
      <c r="E7608" s="5" t="s">
        <v>4208</v>
      </c>
      <c r="F7608" s="5" t="s">
        <v>4204</v>
      </c>
    </row>
    <row r="7609">
      <c r="A7609" s="5" t="s">
        <v>2605</v>
      </c>
      <c r="B7609" s="8">
        <v>10.0</v>
      </c>
      <c r="C7609" s="7" t="s">
        <v>2534</v>
      </c>
      <c r="D7609" s="5" t="s">
        <v>4207</v>
      </c>
      <c r="E7609" s="5" t="s">
        <v>4208</v>
      </c>
      <c r="F7609" s="5" t="s">
        <v>3368</v>
      </c>
    </row>
    <row r="7610">
      <c r="A7610" s="7" t="s">
        <v>1989</v>
      </c>
      <c r="B7610" s="8">
        <v>10.0</v>
      </c>
      <c r="C7610" s="7" t="s">
        <v>2534</v>
      </c>
      <c r="D7610" s="5" t="s">
        <v>4207</v>
      </c>
      <c r="E7610" s="5" t="s">
        <v>4208</v>
      </c>
      <c r="F7610" s="5" t="s">
        <v>3375</v>
      </c>
    </row>
    <row r="7611">
      <c r="A7611" s="5" t="s">
        <v>2606</v>
      </c>
      <c r="B7611" s="8">
        <v>10.0</v>
      </c>
      <c r="C7611" s="7" t="s">
        <v>2534</v>
      </c>
      <c r="D7611" s="5" t="s">
        <v>4207</v>
      </c>
      <c r="E7611" s="5" t="s">
        <v>4208</v>
      </c>
      <c r="F7611" s="5" t="s">
        <v>3375</v>
      </c>
    </row>
    <row r="7612">
      <c r="A7612" s="5" t="s">
        <v>2607</v>
      </c>
      <c r="B7612" s="8">
        <v>10.0</v>
      </c>
      <c r="C7612" s="7" t="s">
        <v>2534</v>
      </c>
      <c r="D7612" s="5" t="s">
        <v>4207</v>
      </c>
      <c r="E7612" s="5" t="s">
        <v>4208</v>
      </c>
      <c r="F7612" s="5" t="s">
        <v>4205</v>
      </c>
    </row>
    <row r="7613">
      <c r="A7613" s="7" t="s">
        <v>1990</v>
      </c>
      <c r="B7613" s="8">
        <v>10.0</v>
      </c>
      <c r="C7613" s="7" t="s">
        <v>2534</v>
      </c>
      <c r="D7613" s="5" t="s">
        <v>4207</v>
      </c>
      <c r="E7613" s="5" t="s">
        <v>4208</v>
      </c>
      <c r="F7613" s="5" t="s">
        <v>3368</v>
      </c>
    </row>
    <row r="7614">
      <c r="A7614" s="5" t="s">
        <v>2935</v>
      </c>
      <c r="B7614" s="8">
        <v>10.0</v>
      </c>
      <c r="C7614" s="7" t="s">
        <v>2534</v>
      </c>
      <c r="D7614" s="5" t="s">
        <v>4207</v>
      </c>
      <c r="E7614" s="5" t="s">
        <v>4208</v>
      </c>
      <c r="F7614" s="5" t="s">
        <v>4206</v>
      </c>
    </row>
    <row r="7615">
      <c r="A7615" s="5" t="s">
        <v>2936</v>
      </c>
      <c r="B7615" s="8">
        <v>10.0</v>
      </c>
      <c r="C7615" s="7" t="s">
        <v>2534</v>
      </c>
      <c r="D7615" s="5" t="s">
        <v>4207</v>
      </c>
      <c r="E7615" s="5" t="s">
        <v>4208</v>
      </c>
      <c r="F7615" s="5" t="s">
        <v>4205</v>
      </c>
    </row>
    <row r="7616">
      <c r="A7616" s="5" t="s">
        <v>2608</v>
      </c>
      <c r="B7616" s="8">
        <v>10.0</v>
      </c>
      <c r="C7616" s="7" t="s">
        <v>2534</v>
      </c>
      <c r="D7616" s="5" t="s">
        <v>4207</v>
      </c>
      <c r="E7616" s="5" t="s">
        <v>4208</v>
      </c>
      <c r="F7616" s="5" t="s">
        <v>3375</v>
      </c>
    </row>
    <row r="7617">
      <c r="A7617" s="5" t="s">
        <v>2609</v>
      </c>
      <c r="B7617" s="8">
        <v>10.0</v>
      </c>
      <c r="C7617" s="7" t="s">
        <v>2534</v>
      </c>
      <c r="D7617" s="5" t="s">
        <v>4207</v>
      </c>
      <c r="E7617" s="5" t="s">
        <v>4208</v>
      </c>
      <c r="F7617" s="5" t="s">
        <v>3375</v>
      </c>
    </row>
    <row r="7618">
      <c r="A7618" s="5" t="s">
        <v>3791</v>
      </c>
      <c r="B7618" s="8">
        <v>10.0</v>
      </c>
      <c r="C7618" s="5" t="s">
        <v>4209</v>
      </c>
      <c r="D7618" s="7" t="s">
        <v>2538</v>
      </c>
      <c r="E7618" s="5" t="s">
        <v>3738</v>
      </c>
      <c r="F7618" s="5" t="s">
        <v>4210</v>
      </c>
    </row>
    <row r="7619">
      <c r="A7619" s="7" t="s">
        <v>188</v>
      </c>
      <c r="B7619" s="8">
        <v>10.0</v>
      </c>
      <c r="C7619" s="5" t="s">
        <v>4209</v>
      </c>
      <c r="D7619" s="7" t="s">
        <v>2538</v>
      </c>
      <c r="E7619" s="5" t="s">
        <v>3738</v>
      </c>
      <c r="F7619" s="5" t="s">
        <v>4211</v>
      </c>
    </row>
    <row r="7620">
      <c r="A7620" s="5" t="s">
        <v>2924</v>
      </c>
      <c r="B7620" s="8">
        <v>10.0</v>
      </c>
      <c r="C7620" s="5" t="s">
        <v>4209</v>
      </c>
      <c r="D7620" s="7" t="s">
        <v>2538</v>
      </c>
      <c r="E7620" s="5" t="s">
        <v>3738</v>
      </c>
      <c r="F7620" s="5" t="s">
        <v>4210</v>
      </c>
    </row>
    <row r="7621">
      <c r="A7621" s="5" t="s">
        <v>2925</v>
      </c>
      <c r="B7621" s="8">
        <v>10.0</v>
      </c>
      <c r="C7621" s="5" t="s">
        <v>4209</v>
      </c>
      <c r="D7621" s="7" t="s">
        <v>2538</v>
      </c>
      <c r="E7621" s="5" t="s">
        <v>3738</v>
      </c>
      <c r="F7621" s="5" t="s">
        <v>4211</v>
      </c>
    </row>
    <row r="7622">
      <c r="A7622" s="5" t="s">
        <v>3086</v>
      </c>
      <c r="B7622" s="8">
        <v>10.0</v>
      </c>
      <c r="C7622" s="5" t="s">
        <v>4209</v>
      </c>
      <c r="D7622" s="7" t="s">
        <v>2538</v>
      </c>
      <c r="E7622" s="5" t="s">
        <v>3738</v>
      </c>
      <c r="F7622" s="5" t="s">
        <v>4212</v>
      </c>
    </row>
    <row r="7623">
      <c r="A7623" s="5" t="s">
        <v>4037</v>
      </c>
      <c r="B7623" s="8">
        <v>10.0</v>
      </c>
      <c r="C7623" s="5" t="s">
        <v>4209</v>
      </c>
      <c r="D7623" s="7" t="s">
        <v>2538</v>
      </c>
      <c r="E7623" s="5" t="s">
        <v>3738</v>
      </c>
      <c r="F7623" s="5" t="s">
        <v>4212</v>
      </c>
    </row>
    <row r="7624">
      <c r="A7624" s="7" t="s">
        <v>2319</v>
      </c>
      <c r="B7624" s="8">
        <v>10.0</v>
      </c>
      <c r="C7624" s="5" t="s">
        <v>4209</v>
      </c>
      <c r="D7624" s="7" t="s">
        <v>2538</v>
      </c>
      <c r="E7624" s="5" t="s">
        <v>3738</v>
      </c>
      <c r="F7624" s="5" t="s">
        <v>4210</v>
      </c>
    </row>
    <row r="7625">
      <c r="A7625" s="5" t="s">
        <v>3795</v>
      </c>
      <c r="B7625" s="8">
        <v>10.0</v>
      </c>
      <c r="C7625" s="5" t="s">
        <v>4209</v>
      </c>
      <c r="D7625" s="7" t="s">
        <v>2538</v>
      </c>
      <c r="E7625" s="5" t="s">
        <v>3738</v>
      </c>
      <c r="F7625" s="5" t="s">
        <v>4212</v>
      </c>
    </row>
    <row r="7626">
      <c r="A7626" s="7" t="s">
        <v>868</v>
      </c>
      <c r="B7626" s="8">
        <v>10.0</v>
      </c>
      <c r="C7626" s="5" t="s">
        <v>4209</v>
      </c>
      <c r="D7626" s="7" t="s">
        <v>2538</v>
      </c>
      <c r="E7626" s="5" t="s">
        <v>3738</v>
      </c>
      <c r="F7626" s="5" t="s">
        <v>4211</v>
      </c>
    </row>
    <row r="7627">
      <c r="A7627" s="5" t="s">
        <v>3087</v>
      </c>
      <c r="B7627" s="8">
        <v>10.0</v>
      </c>
      <c r="C7627" s="5" t="s">
        <v>4209</v>
      </c>
      <c r="D7627" s="7" t="s">
        <v>2538</v>
      </c>
      <c r="E7627" s="5" t="s">
        <v>3738</v>
      </c>
      <c r="F7627" s="5" t="s">
        <v>4210</v>
      </c>
    </row>
    <row r="7628">
      <c r="A7628" s="5" t="s">
        <v>3088</v>
      </c>
      <c r="B7628" s="8">
        <v>10.0</v>
      </c>
      <c r="C7628" s="5" t="s">
        <v>4209</v>
      </c>
      <c r="D7628" s="7" t="s">
        <v>2538</v>
      </c>
      <c r="E7628" s="5" t="s">
        <v>3738</v>
      </c>
      <c r="F7628" s="5" t="s">
        <v>4212</v>
      </c>
    </row>
    <row r="7629">
      <c r="A7629" s="5" t="s">
        <v>3388</v>
      </c>
      <c r="B7629" s="8">
        <v>10.0</v>
      </c>
      <c r="C7629" s="5" t="s">
        <v>4209</v>
      </c>
      <c r="D7629" s="7" t="s">
        <v>2538</v>
      </c>
      <c r="E7629" s="5" t="s">
        <v>3738</v>
      </c>
      <c r="F7629" s="5" t="s">
        <v>4211</v>
      </c>
    </row>
    <row r="7630">
      <c r="A7630" s="5" t="s">
        <v>2927</v>
      </c>
      <c r="B7630" s="8">
        <v>10.0</v>
      </c>
      <c r="C7630" s="5" t="s">
        <v>4209</v>
      </c>
      <c r="D7630" s="7" t="s">
        <v>2538</v>
      </c>
      <c r="E7630" s="5" t="s">
        <v>3738</v>
      </c>
      <c r="F7630" s="5" t="s">
        <v>4211</v>
      </c>
    </row>
    <row r="7631">
      <c r="A7631" s="5" t="s">
        <v>3089</v>
      </c>
      <c r="B7631" s="8">
        <v>10.0</v>
      </c>
      <c r="C7631" s="5" t="s">
        <v>4209</v>
      </c>
      <c r="D7631" s="7" t="s">
        <v>2538</v>
      </c>
      <c r="E7631" s="5" t="s">
        <v>3738</v>
      </c>
      <c r="F7631" s="5" t="s">
        <v>4211</v>
      </c>
    </row>
    <row r="7632">
      <c r="A7632" s="5" t="s">
        <v>2928</v>
      </c>
      <c r="B7632" s="8">
        <v>10.0</v>
      </c>
      <c r="C7632" s="5" t="s">
        <v>4209</v>
      </c>
      <c r="D7632" s="7" t="s">
        <v>2538</v>
      </c>
      <c r="E7632" s="5" t="s">
        <v>3738</v>
      </c>
      <c r="F7632" s="5" t="s">
        <v>4213</v>
      </c>
    </row>
    <row r="7633">
      <c r="A7633" s="7" t="s">
        <v>603</v>
      </c>
      <c r="B7633" s="8">
        <v>10.0</v>
      </c>
      <c r="C7633" s="5" t="s">
        <v>4209</v>
      </c>
      <c r="D7633" s="7" t="s">
        <v>2538</v>
      </c>
      <c r="E7633" s="5" t="s">
        <v>3738</v>
      </c>
      <c r="F7633" s="5" t="s">
        <v>4210</v>
      </c>
    </row>
    <row r="7634">
      <c r="A7634" s="5" t="s">
        <v>2929</v>
      </c>
      <c r="B7634" s="8">
        <v>10.0</v>
      </c>
      <c r="C7634" s="5" t="s">
        <v>4209</v>
      </c>
      <c r="D7634" s="7" t="s">
        <v>2538</v>
      </c>
      <c r="E7634" s="5" t="s">
        <v>3738</v>
      </c>
      <c r="F7634" s="5" t="s">
        <v>3359</v>
      </c>
    </row>
    <row r="7635">
      <c r="A7635" s="5" t="s">
        <v>2702</v>
      </c>
      <c r="B7635" s="8">
        <v>10.0</v>
      </c>
      <c r="C7635" s="5" t="s">
        <v>4209</v>
      </c>
      <c r="D7635" s="7" t="s">
        <v>2538</v>
      </c>
      <c r="E7635" s="5" t="s">
        <v>3738</v>
      </c>
      <c r="F7635" s="5" t="s">
        <v>4210</v>
      </c>
    </row>
    <row r="7636">
      <c r="A7636" s="5" t="s">
        <v>2930</v>
      </c>
      <c r="B7636" s="8">
        <v>10.0</v>
      </c>
      <c r="C7636" s="5" t="s">
        <v>4209</v>
      </c>
      <c r="D7636" s="7" t="s">
        <v>2538</v>
      </c>
      <c r="E7636" s="5" t="s">
        <v>3738</v>
      </c>
      <c r="F7636" s="5" t="s">
        <v>4210</v>
      </c>
    </row>
    <row r="7637">
      <c r="A7637" s="5" t="s">
        <v>2600</v>
      </c>
      <c r="B7637" s="8">
        <v>10.0</v>
      </c>
      <c r="C7637" s="5" t="s">
        <v>4209</v>
      </c>
      <c r="D7637" s="7" t="s">
        <v>2538</v>
      </c>
      <c r="E7637" s="5" t="s">
        <v>3738</v>
      </c>
      <c r="F7637" s="5" t="s">
        <v>3359</v>
      </c>
    </row>
    <row r="7638">
      <c r="A7638" s="5" t="s">
        <v>3802</v>
      </c>
      <c r="B7638" s="8">
        <v>10.0</v>
      </c>
      <c r="C7638" s="5" t="s">
        <v>4209</v>
      </c>
      <c r="D7638" s="7" t="s">
        <v>2538</v>
      </c>
      <c r="E7638" s="5" t="s">
        <v>3738</v>
      </c>
      <c r="F7638" s="5" t="s">
        <v>3359</v>
      </c>
    </row>
    <row r="7639">
      <c r="A7639" s="5" t="s">
        <v>3090</v>
      </c>
      <c r="B7639" s="8">
        <v>10.0</v>
      </c>
      <c r="C7639" s="5" t="s">
        <v>4209</v>
      </c>
      <c r="D7639" s="7" t="s">
        <v>2538</v>
      </c>
      <c r="E7639" s="5" t="s">
        <v>3738</v>
      </c>
      <c r="F7639" s="5" t="s">
        <v>4210</v>
      </c>
    </row>
    <row r="7640">
      <c r="A7640" s="7" t="s">
        <v>606</v>
      </c>
      <c r="B7640" s="8">
        <v>10.0</v>
      </c>
      <c r="C7640" s="5" t="s">
        <v>4209</v>
      </c>
      <c r="D7640" s="7" t="s">
        <v>2538</v>
      </c>
      <c r="E7640" s="5" t="s">
        <v>3738</v>
      </c>
      <c r="F7640" s="5" t="s">
        <v>4214</v>
      </c>
    </row>
    <row r="7641">
      <c r="A7641" s="5" t="s">
        <v>2602</v>
      </c>
      <c r="B7641" s="8">
        <v>10.0</v>
      </c>
      <c r="C7641" s="5" t="s">
        <v>4209</v>
      </c>
      <c r="D7641" s="7" t="s">
        <v>2538</v>
      </c>
      <c r="E7641" s="5" t="s">
        <v>3738</v>
      </c>
      <c r="F7641" s="5" t="s">
        <v>4210</v>
      </c>
    </row>
    <row r="7642">
      <c r="A7642" s="5" t="s">
        <v>2931</v>
      </c>
      <c r="B7642" s="8">
        <v>10.0</v>
      </c>
      <c r="C7642" s="5" t="s">
        <v>4209</v>
      </c>
      <c r="D7642" s="7" t="s">
        <v>2538</v>
      </c>
      <c r="E7642" s="5" t="s">
        <v>3738</v>
      </c>
      <c r="F7642" s="5" t="s">
        <v>4210</v>
      </c>
    </row>
    <row r="7643">
      <c r="A7643" s="5" t="s">
        <v>2932</v>
      </c>
      <c r="B7643" s="8">
        <v>10.0</v>
      </c>
      <c r="C7643" s="5" t="s">
        <v>4209</v>
      </c>
      <c r="D7643" s="7" t="s">
        <v>2538</v>
      </c>
      <c r="E7643" s="5" t="s">
        <v>3738</v>
      </c>
      <c r="F7643" s="5" t="s">
        <v>4211</v>
      </c>
    </row>
    <row r="7644">
      <c r="A7644" s="5" t="s">
        <v>3091</v>
      </c>
      <c r="B7644" s="8">
        <v>10.0</v>
      </c>
      <c r="C7644" s="5" t="s">
        <v>4209</v>
      </c>
      <c r="D7644" s="7" t="s">
        <v>2538</v>
      </c>
      <c r="E7644" s="5" t="s">
        <v>3738</v>
      </c>
      <c r="F7644" s="5" t="s">
        <v>3362</v>
      </c>
    </row>
    <row r="7645">
      <c r="A7645" s="5" t="s">
        <v>2605</v>
      </c>
      <c r="B7645" s="8">
        <v>10.0</v>
      </c>
      <c r="C7645" s="5" t="s">
        <v>4209</v>
      </c>
      <c r="D7645" s="7" t="s">
        <v>2538</v>
      </c>
      <c r="E7645" s="5" t="s">
        <v>3738</v>
      </c>
      <c r="F7645" s="5" t="s">
        <v>4211</v>
      </c>
    </row>
    <row r="7646">
      <c r="A7646" s="7" t="s">
        <v>1989</v>
      </c>
      <c r="B7646" s="8">
        <v>10.0</v>
      </c>
      <c r="C7646" s="5" t="s">
        <v>4209</v>
      </c>
      <c r="D7646" s="7" t="s">
        <v>2538</v>
      </c>
      <c r="E7646" s="5" t="s">
        <v>3738</v>
      </c>
      <c r="F7646" s="5" t="s">
        <v>4210</v>
      </c>
    </row>
    <row r="7647">
      <c r="A7647" s="5" t="s">
        <v>2606</v>
      </c>
      <c r="B7647" s="8">
        <v>10.0</v>
      </c>
      <c r="C7647" s="5" t="s">
        <v>4209</v>
      </c>
      <c r="D7647" s="7" t="s">
        <v>2538</v>
      </c>
      <c r="E7647" s="5" t="s">
        <v>3738</v>
      </c>
      <c r="F7647" s="5" t="s">
        <v>4210</v>
      </c>
    </row>
    <row r="7648">
      <c r="A7648" s="5" t="s">
        <v>2607</v>
      </c>
      <c r="B7648" s="8">
        <v>10.0</v>
      </c>
      <c r="C7648" s="5" t="s">
        <v>4209</v>
      </c>
      <c r="D7648" s="7" t="s">
        <v>2538</v>
      </c>
      <c r="E7648" s="5" t="s">
        <v>3738</v>
      </c>
      <c r="F7648" s="5" t="s">
        <v>3361</v>
      </c>
    </row>
    <row r="7649">
      <c r="A7649" s="7" t="s">
        <v>1990</v>
      </c>
      <c r="B7649" s="8">
        <v>10.0</v>
      </c>
      <c r="C7649" s="5" t="s">
        <v>4209</v>
      </c>
      <c r="D7649" s="7" t="s">
        <v>2538</v>
      </c>
      <c r="E7649" s="5" t="s">
        <v>3738</v>
      </c>
      <c r="F7649" s="5" t="s">
        <v>4211</v>
      </c>
    </row>
    <row r="7650">
      <c r="A7650" s="5" t="s">
        <v>2935</v>
      </c>
      <c r="B7650" s="8">
        <v>10.0</v>
      </c>
      <c r="C7650" s="5" t="s">
        <v>4209</v>
      </c>
      <c r="D7650" s="7" t="s">
        <v>2538</v>
      </c>
      <c r="E7650" s="5" t="s">
        <v>3738</v>
      </c>
      <c r="F7650" s="5" t="s">
        <v>3358</v>
      </c>
    </row>
    <row r="7651">
      <c r="A7651" s="5" t="s">
        <v>2936</v>
      </c>
      <c r="B7651" s="8">
        <v>10.0</v>
      </c>
      <c r="C7651" s="5" t="s">
        <v>4209</v>
      </c>
      <c r="D7651" s="7" t="s">
        <v>2538</v>
      </c>
      <c r="E7651" s="5" t="s">
        <v>3738</v>
      </c>
      <c r="F7651" s="5" t="s">
        <v>3361</v>
      </c>
    </row>
    <row r="7652">
      <c r="A7652" s="5" t="s">
        <v>2608</v>
      </c>
      <c r="B7652" s="8">
        <v>10.0</v>
      </c>
      <c r="C7652" s="5" t="s">
        <v>4209</v>
      </c>
      <c r="D7652" s="7" t="s">
        <v>2538</v>
      </c>
      <c r="E7652" s="5" t="s">
        <v>3738</v>
      </c>
      <c r="F7652" s="5" t="s">
        <v>4210</v>
      </c>
    </row>
    <row r="7653">
      <c r="A7653" s="5" t="s">
        <v>2609</v>
      </c>
      <c r="B7653" s="8">
        <v>10.0</v>
      </c>
      <c r="C7653" s="5" t="s">
        <v>4209</v>
      </c>
      <c r="D7653" s="7" t="s">
        <v>2538</v>
      </c>
      <c r="E7653" s="5" t="s">
        <v>3738</v>
      </c>
      <c r="F7653" s="5" t="s">
        <v>4210</v>
      </c>
    </row>
    <row r="7654">
      <c r="A7654" s="5" t="s">
        <v>3791</v>
      </c>
      <c r="B7654" s="8">
        <v>10.0</v>
      </c>
      <c r="C7654" s="7" t="s">
        <v>2544</v>
      </c>
      <c r="D7654" s="7" t="s">
        <v>2545</v>
      </c>
      <c r="E7654" s="5" t="s">
        <v>4215</v>
      </c>
      <c r="F7654" s="5" t="s">
        <v>4216</v>
      </c>
    </row>
    <row r="7655">
      <c r="A7655" s="7" t="s">
        <v>188</v>
      </c>
      <c r="B7655" s="8">
        <v>10.0</v>
      </c>
      <c r="C7655" s="7" t="s">
        <v>2544</v>
      </c>
      <c r="D7655" s="7" t="s">
        <v>2545</v>
      </c>
      <c r="E7655" s="5" t="s">
        <v>4215</v>
      </c>
      <c r="F7655" s="5" t="s">
        <v>4217</v>
      </c>
    </row>
    <row r="7656">
      <c r="A7656" s="5" t="s">
        <v>2924</v>
      </c>
      <c r="B7656" s="8">
        <v>10.0</v>
      </c>
      <c r="C7656" s="7" t="s">
        <v>2544</v>
      </c>
      <c r="D7656" s="7" t="s">
        <v>2545</v>
      </c>
      <c r="E7656" s="5" t="s">
        <v>4215</v>
      </c>
      <c r="F7656" s="5" t="s">
        <v>4216</v>
      </c>
    </row>
    <row r="7657">
      <c r="A7657" s="5" t="s">
        <v>2925</v>
      </c>
      <c r="B7657" s="8">
        <v>10.0</v>
      </c>
      <c r="C7657" s="7" t="s">
        <v>2544</v>
      </c>
      <c r="D7657" s="7" t="s">
        <v>2545</v>
      </c>
      <c r="E7657" s="5" t="s">
        <v>4215</v>
      </c>
      <c r="F7657" s="5" t="s">
        <v>4217</v>
      </c>
    </row>
    <row r="7658">
      <c r="A7658" s="5" t="s">
        <v>3086</v>
      </c>
      <c r="B7658" s="8">
        <v>10.0</v>
      </c>
      <c r="C7658" s="7" t="s">
        <v>2544</v>
      </c>
      <c r="D7658" s="7" t="s">
        <v>2545</v>
      </c>
      <c r="E7658" s="5" t="s">
        <v>4215</v>
      </c>
      <c r="F7658" s="5" t="s">
        <v>4218</v>
      </c>
    </row>
    <row r="7659">
      <c r="A7659" s="5" t="s">
        <v>4037</v>
      </c>
      <c r="B7659" s="8">
        <v>10.0</v>
      </c>
      <c r="C7659" s="7" t="s">
        <v>2544</v>
      </c>
      <c r="D7659" s="7" t="s">
        <v>2545</v>
      </c>
      <c r="E7659" s="5" t="s">
        <v>4215</v>
      </c>
      <c r="F7659" s="5" t="s">
        <v>4212</v>
      </c>
    </row>
    <row r="7660">
      <c r="A7660" s="7" t="s">
        <v>2319</v>
      </c>
      <c r="B7660" s="8">
        <v>10.0</v>
      </c>
      <c r="C7660" s="7" t="s">
        <v>2544</v>
      </c>
      <c r="D7660" s="7" t="s">
        <v>2545</v>
      </c>
      <c r="E7660" s="5" t="s">
        <v>4215</v>
      </c>
      <c r="F7660" s="5" t="s">
        <v>4216</v>
      </c>
    </row>
    <row r="7661">
      <c r="A7661" s="5" t="s">
        <v>3795</v>
      </c>
      <c r="B7661" s="8">
        <v>10.0</v>
      </c>
      <c r="C7661" s="7" t="s">
        <v>2544</v>
      </c>
      <c r="D7661" s="7" t="s">
        <v>2545</v>
      </c>
      <c r="E7661" s="5" t="s">
        <v>4215</v>
      </c>
      <c r="F7661" s="5" t="s">
        <v>4212</v>
      </c>
    </row>
    <row r="7662">
      <c r="A7662" s="7" t="s">
        <v>868</v>
      </c>
      <c r="B7662" s="8">
        <v>10.0</v>
      </c>
      <c r="C7662" s="7" t="s">
        <v>2544</v>
      </c>
      <c r="D7662" s="7" t="s">
        <v>2545</v>
      </c>
      <c r="E7662" s="5" t="s">
        <v>4215</v>
      </c>
      <c r="F7662" s="5" t="s">
        <v>4217</v>
      </c>
    </row>
    <row r="7663">
      <c r="A7663" s="5" t="s">
        <v>3087</v>
      </c>
      <c r="B7663" s="8">
        <v>10.0</v>
      </c>
      <c r="C7663" s="7" t="s">
        <v>2544</v>
      </c>
      <c r="D7663" s="7" t="s">
        <v>2545</v>
      </c>
      <c r="E7663" s="5" t="s">
        <v>4215</v>
      </c>
      <c r="F7663" s="5" t="s">
        <v>4216</v>
      </c>
    </row>
    <row r="7664">
      <c r="A7664" s="5" t="s">
        <v>3088</v>
      </c>
      <c r="B7664" s="8">
        <v>10.0</v>
      </c>
      <c r="C7664" s="7" t="s">
        <v>2544</v>
      </c>
      <c r="D7664" s="7" t="s">
        <v>2545</v>
      </c>
      <c r="E7664" s="5" t="s">
        <v>4215</v>
      </c>
      <c r="F7664" s="5" t="s">
        <v>4212</v>
      </c>
    </row>
    <row r="7665">
      <c r="A7665" s="5" t="s">
        <v>3388</v>
      </c>
      <c r="B7665" s="8">
        <v>10.0</v>
      </c>
      <c r="C7665" s="7" t="s">
        <v>2544</v>
      </c>
      <c r="D7665" s="7" t="s">
        <v>2545</v>
      </c>
      <c r="E7665" s="5" t="s">
        <v>4215</v>
      </c>
      <c r="F7665" s="5" t="s">
        <v>4217</v>
      </c>
    </row>
    <row r="7666">
      <c r="A7666" s="5" t="s">
        <v>2927</v>
      </c>
      <c r="B7666" s="8">
        <v>10.0</v>
      </c>
      <c r="C7666" s="7" t="s">
        <v>2544</v>
      </c>
      <c r="D7666" s="7" t="s">
        <v>2545</v>
      </c>
      <c r="E7666" s="5" t="s">
        <v>4215</v>
      </c>
      <c r="F7666" s="5" t="s">
        <v>4217</v>
      </c>
    </row>
    <row r="7667">
      <c r="A7667" s="5" t="s">
        <v>3089</v>
      </c>
      <c r="B7667" s="8">
        <v>10.0</v>
      </c>
      <c r="C7667" s="7" t="s">
        <v>2544</v>
      </c>
      <c r="D7667" s="7" t="s">
        <v>2545</v>
      </c>
      <c r="E7667" s="5" t="s">
        <v>4215</v>
      </c>
      <c r="F7667" s="5" t="s">
        <v>4217</v>
      </c>
    </row>
    <row r="7668">
      <c r="A7668" s="5" t="s">
        <v>2928</v>
      </c>
      <c r="B7668" s="8">
        <v>10.0</v>
      </c>
      <c r="C7668" s="7" t="s">
        <v>2544</v>
      </c>
      <c r="D7668" s="7" t="s">
        <v>2545</v>
      </c>
      <c r="E7668" s="5" t="s">
        <v>4215</v>
      </c>
      <c r="F7668" s="5" t="s">
        <v>4219</v>
      </c>
    </row>
    <row r="7669">
      <c r="A7669" s="7" t="s">
        <v>603</v>
      </c>
      <c r="B7669" s="8">
        <v>10.0</v>
      </c>
      <c r="C7669" s="7" t="s">
        <v>2544</v>
      </c>
      <c r="D7669" s="7" t="s">
        <v>2545</v>
      </c>
      <c r="E7669" s="5" t="s">
        <v>4215</v>
      </c>
      <c r="F7669" s="5" t="s">
        <v>4216</v>
      </c>
    </row>
    <row r="7670">
      <c r="A7670" s="5" t="s">
        <v>2929</v>
      </c>
      <c r="B7670" s="8">
        <v>10.0</v>
      </c>
      <c r="C7670" s="7" t="s">
        <v>2544</v>
      </c>
      <c r="D7670" s="7" t="s">
        <v>2545</v>
      </c>
      <c r="E7670" s="5" t="s">
        <v>4215</v>
      </c>
      <c r="F7670" s="5" t="s">
        <v>4217</v>
      </c>
    </row>
    <row r="7671">
      <c r="A7671" s="5" t="s">
        <v>2702</v>
      </c>
      <c r="B7671" s="8">
        <v>10.0</v>
      </c>
      <c r="C7671" s="7" t="s">
        <v>2544</v>
      </c>
      <c r="D7671" s="7" t="s">
        <v>2545</v>
      </c>
      <c r="E7671" s="5" t="s">
        <v>4215</v>
      </c>
      <c r="F7671" s="5" t="s">
        <v>4216</v>
      </c>
    </row>
    <row r="7672">
      <c r="A7672" s="5" t="s">
        <v>2930</v>
      </c>
      <c r="B7672" s="8">
        <v>10.0</v>
      </c>
      <c r="C7672" s="7" t="s">
        <v>2544</v>
      </c>
      <c r="D7672" s="7" t="s">
        <v>2545</v>
      </c>
      <c r="E7672" s="5" t="s">
        <v>4215</v>
      </c>
      <c r="F7672" s="5" t="s">
        <v>4216</v>
      </c>
    </row>
    <row r="7673">
      <c r="A7673" s="5" t="s">
        <v>2600</v>
      </c>
      <c r="B7673" s="8">
        <v>10.0</v>
      </c>
      <c r="C7673" s="7" t="s">
        <v>2544</v>
      </c>
      <c r="D7673" s="7" t="s">
        <v>2545</v>
      </c>
      <c r="E7673" s="5" t="s">
        <v>4215</v>
      </c>
      <c r="F7673" s="5" t="s">
        <v>4217</v>
      </c>
    </row>
    <row r="7674">
      <c r="A7674" s="5" t="s">
        <v>3802</v>
      </c>
      <c r="B7674" s="8">
        <v>10.0</v>
      </c>
      <c r="C7674" s="7" t="s">
        <v>2544</v>
      </c>
      <c r="D7674" s="7" t="s">
        <v>2545</v>
      </c>
      <c r="E7674" s="5" t="s">
        <v>4215</v>
      </c>
      <c r="F7674" s="5" t="s">
        <v>4217</v>
      </c>
    </row>
    <row r="7675">
      <c r="A7675" s="5" t="s">
        <v>3090</v>
      </c>
      <c r="B7675" s="8">
        <v>10.0</v>
      </c>
      <c r="C7675" s="7" t="s">
        <v>2544</v>
      </c>
      <c r="D7675" s="7" t="s">
        <v>2545</v>
      </c>
      <c r="E7675" s="5" t="s">
        <v>4215</v>
      </c>
      <c r="F7675" s="5" t="s">
        <v>4216</v>
      </c>
    </row>
    <row r="7676">
      <c r="A7676" s="7" t="s">
        <v>606</v>
      </c>
      <c r="B7676" s="8">
        <v>10.0</v>
      </c>
      <c r="C7676" s="7" t="s">
        <v>2544</v>
      </c>
      <c r="D7676" s="7" t="s">
        <v>2545</v>
      </c>
      <c r="E7676" s="5" t="s">
        <v>4215</v>
      </c>
      <c r="F7676" s="5" t="s">
        <v>4220</v>
      </c>
    </row>
    <row r="7677">
      <c r="A7677" s="5" t="s">
        <v>2602</v>
      </c>
      <c r="B7677" s="8">
        <v>10.0</v>
      </c>
      <c r="C7677" s="7" t="s">
        <v>2544</v>
      </c>
      <c r="D7677" s="7" t="s">
        <v>2545</v>
      </c>
      <c r="E7677" s="5" t="s">
        <v>4215</v>
      </c>
      <c r="F7677" s="5" t="s">
        <v>4216</v>
      </c>
    </row>
    <row r="7678">
      <c r="A7678" s="5" t="s">
        <v>2931</v>
      </c>
      <c r="B7678" s="8">
        <v>10.0</v>
      </c>
      <c r="C7678" s="7" t="s">
        <v>2544</v>
      </c>
      <c r="D7678" s="7" t="s">
        <v>2545</v>
      </c>
      <c r="E7678" s="5" t="s">
        <v>4215</v>
      </c>
      <c r="F7678" s="5" t="s">
        <v>4216</v>
      </c>
    </row>
    <row r="7679">
      <c r="A7679" s="5" t="s">
        <v>2932</v>
      </c>
      <c r="B7679" s="8">
        <v>10.0</v>
      </c>
      <c r="C7679" s="7" t="s">
        <v>2544</v>
      </c>
      <c r="D7679" s="7" t="s">
        <v>2545</v>
      </c>
      <c r="E7679" s="5" t="s">
        <v>4215</v>
      </c>
      <c r="F7679" s="5" t="s">
        <v>4217</v>
      </c>
    </row>
    <row r="7680">
      <c r="A7680" s="5" t="s">
        <v>3091</v>
      </c>
      <c r="B7680" s="8">
        <v>10.0</v>
      </c>
      <c r="C7680" s="7" t="s">
        <v>2544</v>
      </c>
      <c r="D7680" s="7" t="s">
        <v>2545</v>
      </c>
      <c r="E7680" s="5" t="s">
        <v>4215</v>
      </c>
      <c r="F7680" s="5" t="s">
        <v>4218</v>
      </c>
    </row>
    <row r="7681">
      <c r="A7681" s="5" t="s">
        <v>2605</v>
      </c>
      <c r="B7681" s="8">
        <v>10.0</v>
      </c>
      <c r="C7681" s="7" t="s">
        <v>2544</v>
      </c>
      <c r="D7681" s="7" t="s">
        <v>2545</v>
      </c>
      <c r="E7681" s="5" t="s">
        <v>4215</v>
      </c>
      <c r="F7681" s="5" t="s">
        <v>4217</v>
      </c>
    </row>
    <row r="7682">
      <c r="A7682" s="7" t="s">
        <v>1989</v>
      </c>
      <c r="B7682" s="8">
        <v>10.0</v>
      </c>
      <c r="C7682" s="7" t="s">
        <v>2544</v>
      </c>
      <c r="D7682" s="7" t="s">
        <v>2545</v>
      </c>
      <c r="E7682" s="5" t="s">
        <v>4215</v>
      </c>
      <c r="F7682" s="5" t="s">
        <v>4216</v>
      </c>
    </row>
    <row r="7683">
      <c r="A7683" s="5" t="s">
        <v>2606</v>
      </c>
      <c r="B7683" s="8">
        <v>10.0</v>
      </c>
      <c r="C7683" s="7" t="s">
        <v>2544</v>
      </c>
      <c r="D7683" s="7" t="s">
        <v>2545</v>
      </c>
      <c r="E7683" s="5" t="s">
        <v>4215</v>
      </c>
      <c r="F7683" s="5" t="s">
        <v>4216</v>
      </c>
    </row>
    <row r="7684">
      <c r="A7684" s="5" t="s">
        <v>2607</v>
      </c>
      <c r="B7684" s="8">
        <v>10.0</v>
      </c>
      <c r="C7684" s="7" t="s">
        <v>2544</v>
      </c>
      <c r="D7684" s="7" t="s">
        <v>2545</v>
      </c>
      <c r="E7684" s="5" t="s">
        <v>4215</v>
      </c>
      <c r="F7684" s="5" t="s">
        <v>4221</v>
      </c>
    </row>
    <row r="7685">
      <c r="A7685" s="7" t="s">
        <v>1990</v>
      </c>
      <c r="B7685" s="8">
        <v>10.0</v>
      </c>
      <c r="C7685" s="7" t="s">
        <v>2544</v>
      </c>
      <c r="D7685" s="7" t="s">
        <v>2545</v>
      </c>
      <c r="E7685" s="5" t="s">
        <v>4215</v>
      </c>
      <c r="F7685" s="5" t="s">
        <v>4217</v>
      </c>
    </row>
    <row r="7686">
      <c r="A7686" s="5" t="s">
        <v>2935</v>
      </c>
      <c r="B7686" s="8">
        <v>10.0</v>
      </c>
      <c r="C7686" s="7" t="s">
        <v>2544</v>
      </c>
      <c r="D7686" s="7" t="s">
        <v>2545</v>
      </c>
      <c r="E7686" s="5" t="s">
        <v>4215</v>
      </c>
      <c r="F7686" s="5" t="s">
        <v>4222</v>
      </c>
    </row>
    <row r="7687">
      <c r="A7687" s="5" t="s">
        <v>2936</v>
      </c>
      <c r="B7687" s="8">
        <v>10.0</v>
      </c>
      <c r="C7687" s="7" t="s">
        <v>2544</v>
      </c>
      <c r="D7687" s="7" t="s">
        <v>2545</v>
      </c>
      <c r="E7687" s="5" t="s">
        <v>4215</v>
      </c>
      <c r="F7687" s="5" t="s">
        <v>4221</v>
      </c>
    </row>
    <row r="7688">
      <c r="A7688" s="5" t="s">
        <v>2608</v>
      </c>
      <c r="B7688" s="8">
        <v>10.0</v>
      </c>
      <c r="C7688" s="7" t="s">
        <v>2544</v>
      </c>
      <c r="D7688" s="7" t="s">
        <v>2545</v>
      </c>
      <c r="E7688" s="5" t="s">
        <v>4215</v>
      </c>
      <c r="F7688" s="5" t="s">
        <v>4216</v>
      </c>
    </row>
    <row r="7689">
      <c r="A7689" s="5" t="s">
        <v>2609</v>
      </c>
      <c r="B7689" s="8">
        <v>10.0</v>
      </c>
      <c r="C7689" s="7" t="s">
        <v>2544</v>
      </c>
      <c r="D7689" s="7" t="s">
        <v>2545</v>
      </c>
      <c r="E7689" s="5" t="s">
        <v>4215</v>
      </c>
      <c r="F7689" s="5" t="s">
        <v>4216</v>
      </c>
    </row>
    <row r="7690">
      <c r="A7690" s="5" t="s">
        <v>3791</v>
      </c>
      <c r="B7690" s="8">
        <v>10.0</v>
      </c>
      <c r="C7690" s="7" t="s">
        <v>2554</v>
      </c>
      <c r="D7690" s="7" t="s">
        <v>2555</v>
      </c>
      <c r="E7690" s="5" t="s">
        <v>4223</v>
      </c>
      <c r="F7690" s="5" t="s">
        <v>3360</v>
      </c>
    </row>
    <row r="7691">
      <c r="A7691" s="7" t="s">
        <v>188</v>
      </c>
      <c r="B7691" s="8">
        <v>10.0</v>
      </c>
      <c r="C7691" s="7" t="s">
        <v>2554</v>
      </c>
      <c r="D7691" s="7" t="s">
        <v>2555</v>
      </c>
      <c r="E7691" s="5" t="s">
        <v>4223</v>
      </c>
      <c r="F7691" s="5" t="s">
        <v>3359</v>
      </c>
    </row>
    <row r="7692">
      <c r="A7692" s="5" t="s">
        <v>2924</v>
      </c>
      <c r="B7692" s="8">
        <v>10.0</v>
      </c>
      <c r="C7692" s="7" t="s">
        <v>2554</v>
      </c>
      <c r="D7692" s="7" t="s">
        <v>2555</v>
      </c>
      <c r="E7692" s="5" t="s">
        <v>4223</v>
      </c>
      <c r="F7692" s="5" t="s">
        <v>3360</v>
      </c>
    </row>
    <row r="7693">
      <c r="A7693" s="5" t="s">
        <v>2925</v>
      </c>
      <c r="B7693" s="8">
        <v>10.0</v>
      </c>
      <c r="C7693" s="7" t="s">
        <v>2554</v>
      </c>
      <c r="D7693" s="7" t="s">
        <v>2555</v>
      </c>
      <c r="E7693" s="5" t="s">
        <v>4223</v>
      </c>
      <c r="F7693" s="5" t="s">
        <v>3359</v>
      </c>
    </row>
    <row r="7694">
      <c r="A7694" s="5" t="s">
        <v>3086</v>
      </c>
      <c r="B7694" s="8">
        <v>10.0</v>
      </c>
      <c r="C7694" s="7" t="s">
        <v>2554</v>
      </c>
      <c r="D7694" s="7" t="s">
        <v>2555</v>
      </c>
      <c r="E7694" s="5" t="s">
        <v>4223</v>
      </c>
      <c r="F7694" s="5" t="s">
        <v>3362</v>
      </c>
    </row>
    <row r="7695">
      <c r="A7695" s="5" t="s">
        <v>4037</v>
      </c>
      <c r="B7695" s="8">
        <v>10.0</v>
      </c>
      <c r="C7695" s="7" t="s">
        <v>2554</v>
      </c>
      <c r="D7695" s="7" t="s">
        <v>2555</v>
      </c>
      <c r="E7695" s="5" t="s">
        <v>4223</v>
      </c>
      <c r="F7695" s="5" t="s">
        <v>3362</v>
      </c>
    </row>
    <row r="7696">
      <c r="A7696" s="7" t="s">
        <v>2319</v>
      </c>
      <c r="B7696" s="8">
        <v>10.0</v>
      </c>
      <c r="C7696" s="7" t="s">
        <v>2554</v>
      </c>
      <c r="D7696" s="7" t="s">
        <v>2555</v>
      </c>
      <c r="E7696" s="5" t="s">
        <v>4223</v>
      </c>
      <c r="F7696" s="5" t="s">
        <v>3360</v>
      </c>
    </row>
    <row r="7697">
      <c r="A7697" s="5" t="s">
        <v>3795</v>
      </c>
      <c r="B7697" s="8">
        <v>10.0</v>
      </c>
      <c r="C7697" s="7" t="s">
        <v>2554</v>
      </c>
      <c r="D7697" s="7" t="s">
        <v>2555</v>
      </c>
      <c r="E7697" s="5" t="s">
        <v>4223</v>
      </c>
      <c r="F7697" s="5" t="s">
        <v>3362</v>
      </c>
    </row>
    <row r="7698">
      <c r="A7698" s="7" t="s">
        <v>868</v>
      </c>
      <c r="B7698" s="8">
        <v>10.0</v>
      </c>
      <c r="C7698" s="7" t="s">
        <v>2554</v>
      </c>
      <c r="D7698" s="7" t="s">
        <v>2555</v>
      </c>
      <c r="E7698" s="5" t="s">
        <v>4223</v>
      </c>
      <c r="F7698" s="5" t="s">
        <v>3359</v>
      </c>
    </row>
    <row r="7699">
      <c r="A7699" s="5" t="s">
        <v>3087</v>
      </c>
      <c r="B7699" s="8">
        <v>10.0</v>
      </c>
      <c r="C7699" s="7" t="s">
        <v>2554</v>
      </c>
      <c r="D7699" s="7" t="s">
        <v>2555</v>
      </c>
      <c r="E7699" s="5" t="s">
        <v>4223</v>
      </c>
      <c r="F7699" s="5" t="s">
        <v>3360</v>
      </c>
    </row>
    <row r="7700">
      <c r="A7700" s="5" t="s">
        <v>3088</v>
      </c>
      <c r="B7700" s="8">
        <v>10.0</v>
      </c>
      <c r="C7700" s="7" t="s">
        <v>2554</v>
      </c>
      <c r="D7700" s="7" t="s">
        <v>2555</v>
      </c>
      <c r="E7700" s="5" t="s">
        <v>4223</v>
      </c>
      <c r="F7700" s="5" t="s">
        <v>3362</v>
      </c>
    </row>
    <row r="7701">
      <c r="A7701" s="5" t="s">
        <v>3388</v>
      </c>
      <c r="B7701" s="8">
        <v>10.0</v>
      </c>
      <c r="C7701" s="7" t="s">
        <v>2554</v>
      </c>
      <c r="D7701" s="7" t="s">
        <v>2555</v>
      </c>
      <c r="E7701" s="5" t="s">
        <v>4223</v>
      </c>
      <c r="F7701" s="5" t="s">
        <v>3359</v>
      </c>
    </row>
    <row r="7702">
      <c r="A7702" s="5" t="s">
        <v>2927</v>
      </c>
      <c r="B7702" s="8">
        <v>10.0</v>
      </c>
      <c r="C7702" s="7" t="s">
        <v>2554</v>
      </c>
      <c r="D7702" s="7" t="s">
        <v>2555</v>
      </c>
      <c r="E7702" s="5" t="s">
        <v>4223</v>
      </c>
      <c r="F7702" s="5" t="s">
        <v>3359</v>
      </c>
    </row>
    <row r="7703">
      <c r="A7703" s="5" t="s">
        <v>3089</v>
      </c>
      <c r="B7703" s="8">
        <v>10.0</v>
      </c>
      <c r="C7703" s="7" t="s">
        <v>2554</v>
      </c>
      <c r="D7703" s="7" t="s">
        <v>2555</v>
      </c>
      <c r="E7703" s="5" t="s">
        <v>4223</v>
      </c>
      <c r="F7703" s="5" t="s">
        <v>3359</v>
      </c>
    </row>
    <row r="7704">
      <c r="A7704" s="5" t="s">
        <v>2928</v>
      </c>
      <c r="B7704" s="8">
        <v>10.0</v>
      </c>
      <c r="C7704" s="7" t="s">
        <v>2554</v>
      </c>
      <c r="D7704" s="7" t="s">
        <v>2555</v>
      </c>
      <c r="E7704" s="5" t="s">
        <v>4223</v>
      </c>
      <c r="F7704" s="5" t="s">
        <v>3361</v>
      </c>
    </row>
    <row r="7705">
      <c r="A7705" s="7" t="s">
        <v>603</v>
      </c>
      <c r="B7705" s="8">
        <v>10.0</v>
      </c>
      <c r="C7705" s="7" t="s">
        <v>2554</v>
      </c>
      <c r="D7705" s="7" t="s">
        <v>2555</v>
      </c>
      <c r="E7705" s="5" t="s">
        <v>4223</v>
      </c>
      <c r="F7705" s="5" t="s">
        <v>3360</v>
      </c>
    </row>
    <row r="7706">
      <c r="A7706" s="5" t="s">
        <v>2929</v>
      </c>
      <c r="B7706" s="8">
        <v>10.0</v>
      </c>
      <c r="C7706" s="7" t="s">
        <v>2554</v>
      </c>
      <c r="D7706" s="7" t="s">
        <v>2555</v>
      </c>
      <c r="E7706" s="5" t="s">
        <v>4223</v>
      </c>
      <c r="F7706" s="5" t="s">
        <v>3359</v>
      </c>
    </row>
    <row r="7707">
      <c r="A7707" s="5" t="s">
        <v>2702</v>
      </c>
      <c r="B7707" s="8">
        <v>10.0</v>
      </c>
      <c r="C7707" s="7" t="s">
        <v>2554</v>
      </c>
      <c r="D7707" s="7" t="s">
        <v>2555</v>
      </c>
      <c r="E7707" s="5" t="s">
        <v>4223</v>
      </c>
      <c r="F7707" s="5" t="s">
        <v>3360</v>
      </c>
    </row>
    <row r="7708">
      <c r="A7708" s="5" t="s">
        <v>2930</v>
      </c>
      <c r="B7708" s="8">
        <v>10.0</v>
      </c>
      <c r="C7708" s="7" t="s">
        <v>2554</v>
      </c>
      <c r="D7708" s="7" t="s">
        <v>2555</v>
      </c>
      <c r="E7708" s="5" t="s">
        <v>4223</v>
      </c>
      <c r="F7708" s="5" t="s">
        <v>3360</v>
      </c>
    </row>
    <row r="7709">
      <c r="A7709" s="5" t="s">
        <v>2600</v>
      </c>
      <c r="B7709" s="8">
        <v>10.0</v>
      </c>
      <c r="C7709" s="7" t="s">
        <v>2554</v>
      </c>
      <c r="D7709" s="7" t="s">
        <v>2555</v>
      </c>
      <c r="E7709" s="5" t="s">
        <v>4223</v>
      </c>
      <c r="F7709" s="5" t="s">
        <v>3359</v>
      </c>
    </row>
    <row r="7710">
      <c r="A7710" s="5" t="s">
        <v>3802</v>
      </c>
      <c r="B7710" s="8">
        <v>10.0</v>
      </c>
      <c r="C7710" s="7" t="s">
        <v>2554</v>
      </c>
      <c r="D7710" s="7" t="s">
        <v>2555</v>
      </c>
      <c r="E7710" s="5" t="s">
        <v>4223</v>
      </c>
      <c r="F7710" s="5" t="s">
        <v>3359</v>
      </c>
    </row>
    <row r="7711">
      <c r="A7711" s="5" t="s">
        <v>3090</v>
      </c>
      <c r="B7711" s="8">
        <v>10.0</v>
      </c>
      <c r="C7711" s="7" t="s">
        <v>2554</v>
      </c>
      <c r="D7711" s="7" t="s">
        <v>2555</v>
      </c>
      <c r="E7711" s="5" t="s">
        <v>4223</v>
      </c>
      <c r="F7711" s="5" t="s">
        <v>3360</v>
      </c>
    </row>
    <row r="7712">
      <c r="A7712" s="7" t="s">
        <v>606</v>
      </c>
      <c r="B7712" s="8">
        <v>10.0</v>
      </c>
      <c r="C7712" s="7" t="s">
        <v>2554</v>
      </c>
      <c r="D7712" s="7" t="s">
        <v>2555</v>
      </c>
      <c r="E7712" s="5" t="s">
        <v>4223</v>
      </c>
      <c r="F7712" s="5" t="s">
        <v>3358</v>
      </c>
    </row>
    <row r="7713">
      <c r="A7713" s="5" t="s">
        <v>2602</v>
      </c>
      <c r="B7713" s="8">
        <v>10.0</v>
      </c>
      <c r="C7713" s="7" t="s">
        <v>2554</v>
      </c>
      <c r="D7713" s="7" t="s">
        <v>2555</v>
      </c>
      <c r="E7713" s="5" t="s">
        <v>4223</v>
      </c>
      <c r="F7713" s="5" t="s">
        <v>3360</v>
      </c>
    </row>
    <row r="7714">
      <c r="A7714" s="5" t="s">
        <v>2931</v>
      </c>
      <c r="B7714" s="8">
        <v>10.0</v>
      </c>
      <c r="C7714" s="7" t="s">
        <v>2554</v>
      </c>
      <c r="D7714" s="7" t="s">
        <v>2555</v>
      </c>
      <c r="E7714" s="5" t="s">
        <v>4223</v>
      </c>
      <c r="F7714" s="5" t="s">
        <v>3360</v>
      </c>
    </row>
    <row r="7715">
      <c r="A7715" s="5" t="s">
        <v>2932</v>
      </c>
      <c r="B7715" s="8">
        <v>10.0</v>
      </c>
      <c r="C7715" s="7" t="s">
        <v>2554</v>
      </c>
      <c r="D7715" s="7" t="s">
        <v>2555</v>
      </c>
      <c r="E7715" s="5" t="s">
        <v>4223</v>
      </c>
      <c r="F7715" s="5" t="s">
        <v>3359</v>
      </c>
    </row>
    <row r="7716">
      <c r="A7716" s="5" t="s">
        <v>3091</v>
      </c>
      <c r="B7716" s="8">
        <v>10.0</v>
      </c>
      <c r="C7716" s="7" t="s">
        <v>2554</v>
      </c>
      <c r="D7716" s="7" t="s">
        <v>2555</v>
      </c>
      <c r="E7716" s="5" t="s">
        <v>4223</v>
      </c>
      <c r="F7716" s="5" t="s">
        <v>3362</v>
      </c>
    </row>
    <row r="7717">
      <c r="A7717" s="5" t="s">
        <v>2605</v>
      </c>
      <c r="B7717" s="8">
        <v>10.0</v>
      </c>
      <c r="C7717" s="7" t="s">
        <v>2554</v>
      </c>
      <c r="D7717" s="7" t="s">
        <v>2555</v>
      </c>
      <c r="E7717" s="5" t="s">
        <v>4223</v>
      </c>
      <c r="F7717" s="5" t="s">
        <v>3359</v>
      </c>
    </row>
    <row r="7718">
      <c r="A7718" s="7" t="s">
        <v>1989</v>
      </c>
      <c r="B7718" s="8">
        <v>10.0</v>
      </c>
      <c r="C7718" s="7" t="s">
        <v>2554</v>
      </c>
      <c r="D7718" s="7" t="s">
        <v>2555</v>
      </c>
      <c r="E7718" s="5" t="s">
        <v>4223</v>
      </c>
      <c r="F7718" s="5" t="s">
        <v>3360</v>
      </c>
    </row>
    <row r="7719">
      <c r="A7719" s="5" t="s">
        <v>2606</v>
      </c>
      <c r="B7719" s="8">
        <v>10.0</v>
      </c>
      <c r="C7719" s="7" t="s">
        <v>2554</v>
      </c>
      <c r="D7719" s="7" t="s">
        <v>2555</v>
      </c>
      <c r="E7719" s="5" t="s">
        <v>4223</v>
      </c>
      <c r="F7719" s="5" t="s">
        <v>3360</v>
      </c>
    </row>
    <row r="7720">
      <c r="A7720" s="5" t="s">
        <v>2607</v>
      </c>
      <c r="B7720" s="8">
        <v>10.0</v>
      </c>
      <c r="C7720" s="7" t="s">
        <v>2554</v>
      </c>
      <c r="D7720" s="7" t="s">
        <v>2555</v>
      </c>
      <c r="E7720" s="5" t="s">
        <v>4223</v>
      </c>
      <c r="F7720" s="5" t="s">
        <v>3361</v>
      </c>
    </row>
    <row r="7721">
      <c r="A7721" s="7" t="s">
        <v>1990</v>
      </c>
      <c r="B7721" s="8">
        <v>10.0</v>
      </c>
      <c r="C7721" s="7" t="s">
        <v>2554</v>
      </c>
      <c r="D7721" s="7" t="s">
        <v>2555</v>
      </c>
      <c r="E7721" s="5" t="s">
        <v>4223</v>
      </c>
      <c r="F7721" s="5" t="s">
        <v>3359</v>
      </c>
    </row>
    <row r="7722">
      <c r="A7722" s="5" t="s">
        <v>2935</v>
      </c>
      <c r="B7722" s="8">
        <v>10.0</v>
      </c>
      <c r="C7722" s="7" t="s">
        <v>2554</v>
      </c>
      <c r="D7722" s="7" t="s">
        <v>2555</v>
      </c>
      <c r="E7722" s="5" t="s">
        <v>4223</v>
      </c>
      <c r="F7722" s="5" t="s">
        <v>3358</v>
      </c>
    </row>
    <row r="7723">
      <c r="A7723" s="5" t="s">
        <v>2936</v>
      </c>
      <c r="B7723" s="8">
        <v>10.0</v>
      </c>
      <c r="C7723" s="7" t="s">
        <v>2554</v>
      </c>
      <c r="D7723" s="7" t="s">
        <v>2555</v>
      </c>
      <c r="E7723" s="5" t="s">
        <v>4223</v>
      </c>
      <c r="F7723" s="5" t="s">
        <v>3361</v>
      </c>
    </row>
    <row r="7724">
      <c r="A7724" s="5" t="s">
        <v>2608</v>
      </c>
      <c r="B7724" s="8">
        <v>10.0</v>
      </c>
      <c r="C7724" s="7" t="s">
        <v>2554</v>
      </c>
      <c r="D7724" s="7" t="s">
        <v>2555</v>
      </c>
      <c r="E7724" s="5" t="s">
        <v>4223</v>
      </c>
      <c r="F7724" s="5" t="s">
        <v>3360</v>
      </c>
    </row>
    <row r="7725">
      <c r="A7725" s="5" t="s">
        <v>2609</v>
      </c>
      <c r="B7725" s="8">
        <v>10.0</v>
      </c>
      <c r="C7725" s="7" t="s">
        <v>2554</v>
      </c>
      <c r="D7725" s="7" t="s">
        <v>2555</v>
      </c>
      <c r="E7725" s="5" t="s">
        <v>4223</v>
      </c>
      <c r="F7725" s="5" t="s">
        <v>3360</v>
      </c>
    </row>
    <row r="7726">
      <c r="A7726" s="5" t="s">
        <v>3791</v>
      </c>
      <c r="B7726" s="8">
        <v>10.0</v>
      </c>
      <c r="C7726" s="7" t="s">
        <v>2277</v>
      </c>
      <c r="D7726" s="5" t="s">
        <v>4224</v>
      </c>
      <c r="E7726" s="5" t="s">
        <v>3758</v>
      </c>
      <c r="F7726" s="5" t="s">
        <v>4006</v>
      </c>
    </row>
    <row r="7727">
      <c r="A7727" s="7" t="s">
        <v>188</v>
      </c>
      <c r="B7727" s="8">
        <v>10.0</v>
      </c>
      <c r="C7727" s="7" t="s">
        <v>2277</v>
      </c>
      <c r="D7727" s="5" t="s">
        <v>4224</v>
      </c>
      <c r="E7727" s="5" t="s">
        <v>3758</v>
      </c>
      <c r="F7727" s="5" t="s">
        <v>4225</v>
      </c>
    </row>
    <row r="7728">
      <c r="A7728" s="5" t="s">
        <v>2924</v>
      </c>
      <c r="B7728" s="8">
        <v>10.0</v>
      </c>
      <c r="C7728" s="7" t="s">
        <v>2277</v>
      </c>
      <c r="D7728" s="5" t="s">
        <v>4224</v>
      </c>
      <c r="E7728" s="5" t="s">
        <v>3758</v>
      </c>
      <c r="F7728" s="5" t="s">
        <v>4008</v>
      </c>
    </row>
    <row r="7729">
      <c r="A7729" s="5" t="s">
        <v>2925</v>
      </c>
      <c r="B7729" s="8">
        <v>10.0</v>
      </c>
      <c r="C7729" s="7" t="s">
        <v>2277</v>
      </c>
      <c r="D7729" s="5" t="s">
        <v>4224</v>
      </c>
      <c r="E7729" s="5" t="s">
        <v>3758</v>
      </c>
      <c r="F7729" s="5" t="s">
        <v>4226</v>
      </c>
    </row>
    <row r="7730">
      <c r="A7730" s="5" t="s">
        <v>3086</v>
      </c>
      <c r="B7730" s="8">
        <v>10.0</v>
      </c>
      <c r="C7730" s="7" t="s">
        <v>2277</v>
      </c>
      <c r="D7730" s="5" t="s">
        <v>4224</v>
      </c>
      <c r="E7730" s="5" t="s">
        <v>3758</v>
      </c>
      <c r="F7730" s="5" t="s">
        <v>4227</v>
      </c>
    </row>
    <row r="7731">
      <c r="A7731" s="5" t="s">
        <v>4037</v>
      </c>
      <c r="B7731" s="8">
        <v>10.0</v>
      </c>
      <c r="C7731" s="7" t="s">
        <v>2277</v>
      </c>
      <c r="D7731" s="5" t="s">
        <v>4224</v>
      </c>
      <c r="E7731" s="5" t="s">
        <v>3758</v>
      </c>
      <c r="F7731" s="5" t="s">
        <v>4228</v>
      </c>
    </row>
    <row r="7732">
      <c r="A7732" s="7" t="s">
        <v>2319</v>
      </c>
      <c r="B7732" s="8">
        <v>10.0</v>
      </c>
      <c r="C7732" s="7" t="s">
        <v>2277</v>
      </c>
      <c r="D7732" s="5" t="s">
        <v>4224</v>
      </c>
      <c r="E7732" s="5" t="s">
        <v>3758</v>
      </c>
      <c r="F7732" s="5" t="s">
        <v>4229</v>
      </c>
    </row>
    <row r="7733">
      <c r="A7733" s="5" t="s">
        <v>3795</v>
      </c>
      <c r="B7733" s="8">
        <v>10.0</v>
      </c>
      <c r="C7733" s="7" t="s">
        <v>2277</v>
      </c>
      <c r="D7733" s="5" t="s">
        <v>4224</v>
      </c>
      <c r="E7733" s="5" t="s">
        <v>3758</v>
      </c>
      <c r="F7733" s="7" t="s">
        <v>2562</v>
      </c>
    </row>
    <row r="7734">
      <c r="A7734" s="7" t="s">
        <v>868</v>
      </c>
      <c r="B7734" s="8">
        <v>10.0</v>
      </c>
      <c r="C7734" s="7" t="s">
        <v>2277</v>
      </c>
      <c r="D7734" s="5" t="s">
        <v>4224</v>
      </c>
      <c r="E7734" s="5" t="s">
        <v>3758</v>
      </c>
      <c r="F7734" s="5" t="s">
        <v>4230</v>
      </c>
    </row>
    <row r="7735">
      <c r="A7735" s="5" t="s">
        <v>3087</v>
      </c>
      <c r="B7735" s="8">
        <v>10.0</v>
      </c>
      <c r="C7735" s="7" t="s">
        <v>2277</v>
      </c>
      <c r="D7735" s="5" t="s">
        <v>4224</v>
      </c>
      <c r="E7735" s="5" t="s">
        <v>3758</v>
      </c>
      <c r="F7735" s="5" t="s">
        <v>4231</v>
      </c>
    </row>
    <row r="7736">
      <c r="A7736" s="5" t="s">
        <v>3088</v>
      </c>
      <c r="B7736" s="8">
        <v>10.0</v>
      </c>
      <c r="C7736" s="7" t="s">
        <v>2277</v>
      </c>
      <c r="D7736" s="5" t="s">
        <v>4224</v>
      </c>
      <c r="E7736" s="5" t="s">
        <v>3758</v>
      </c>
      <c r="F7736" s="5" t="s">
        <v>4232</v>
      </c>
    </row>
    <row r="7737">
      <c r="A7737" s="5" t="s">
        <v>3388</v>
      </c>
      <c r="B7737" s="8">
        <v>10.0</v>
      </c>
      <c r="C7737" s="7" t="s">
        <v>2277</v>
      </c>
      <c r="D7737" s="5" t="s">
        <v>4224</v>
      </c>
      <c r="E7737" s="5" t="s">
        <v>3758</v>
      </c>
      <c r="F7737" s="5" t="s">
        <v>4015</v>
      </c>
    </row>
    <row r="7738">
      <c r="A7738" s="5" t="s">
        <v>2927</v>
      </c>
      <c r="B7738" s="8">
        <v>10.0</v>
      </c>
      <c r="C7738" s="7" t="s">
        <v>2277</v>
      </c>
      <c r="D7738" s="5" t="s">
        <v>4224</v>
      </c>
      <c r="E7738" s="5" t="s">
        <v>3758</v>
      </c>
      <c r="F7738" s="5" t="s">
        <v>4233</v>
      </c>
    </row>
    <row r="7739">
      <c r="A7739" s="5" t="s">
        <v>3089</v>
      </c>
      <c r="B7739" s="8">
        <v>10.0</v>
      </c>
      <c r="C7739" s="7" t="s">
        <v>2277</v>
      </c>
      <c r="D7739" s="5" t="s">
        <v>4224</v>
      </c>
      <c r="E7739" s="5" t="s">
        <v>3758</v>
      </c>
      <c r="F7739" s="5" t="s">
        <v>4234</v>
      </c>
    </row>
    <row r="7740">
      <c r="A7740" s="5" t="s">
        <v>2928</v>
      </c>
      <c r="B7740" s="8">
        <v>10.0</v>
      </c>
      <c r="C7740" s="7" t="s">
        <v>2277</v>
      </c>
      <c r="D7740" s="5" t="s">
        <v>4224</v>
      </c>
      <c r="E7740" s="5" t="s">
        <v>3758</v>
      </c>
      <c r="F7740" s="5" t="s">
        <v>4235</v>
      </c>
    </row>
    <row r="7741">
      <c r="A7741" s="7" t="s">
        <v>603</v>
      </c>
      <c r="B7741" s="8">
        <v>10.0</v>
      </c>
      <c r="C7741" s="7" t="s">
        <v>2277</v>
      </c>
      <c r="D7741" s="5" t="s">
        <v>4224</v>
      </c>
      <c r="E7741" s="5" t="s">
        <v>3758</v>
      </c>
      <c r="F7741" s="5" t="s">
        <v>3765</v>
      </c>
    </row>
    <row r="7742">
      <c r="A7742" s="5" t="s">
        <v>2929</v>
      </c>
      <c r="B7742" s="8">
        <v>10.0</v>
      </c>
      <c r="C7742" s="7" t="s">
        <v>2277</v>
      </c>
      <c r="D7742" s="5" t="s">
        <v>4224</v>
      </c>
      <c r="E7742" s="5" t="s">
        <v>3758</v>
      </c>
      <c r="F7742" s="5" t="s">
        <v>4019</v>
      </c>
    </row>
    <row r="7743">
      <c r="A7743" s="5" t="s">
        <v>2702</v>
      </c>
      <c r="B7743" s="8">
        <v>10.0</v>
      </c>
      <c r="C7743" s="7" t="s">
        <v>2277</v>
      </c>
      <c r="D7743" s="5" t="s">
        <v>4224</v>
      </c>
      <c r="E7743" s="5" t="s">
        <v>3758</v>
      </c>
      <c r="F7743" s="5" t="s">
        <v>4236</v>
      </c>
    </row>
    <row r="7744">
      <c r="A7744" s="5" t="s">
        <v>2930</v>
      </c>
      <c r="B7744" s="8">
        <v>10.0</v>
      </c>
      <c r="C7744" s="7" t="s">
        <v>2277</v>
      </c>
      <c r="D7744" s="5" t="s">
        <v>4224</v>
      </c>
      <c r="E7744" s="5" t="s">
        <v>3758</v>
      </c>
      <c r="F7744" s="5" t="s">
        <v>4237</v>
      </c>
    </row>
    <row r="7745">
      <c r="A7745" s="5" t="s">
        <v>2600</v>
      </c>
      <c r="B7745" s="8">
        <v>10.0</v>
      </c>
      <c r="C7745" s="7" t="s">
        <v>2277</v>
      </c>
      <c r="D7745" s="5" t="s">
        <v>4224</v>
      </c>
      <c r="E7745" s="5" t="s">
        <v>3758</v>
      </c>
      <c r="F7745" s="5" t="s">
        <v>4238</v>
      </c>
    </row>
    <row r="7746">
      <c r="A7746" s="5" t="s">
        <v>3802</v>
      </c>
      <c r="B7746" s="8">
        <v>10.0</v>
      </c>
      <c r="C7746" s="7" t="s">
        <v>2277</v>
      </c>
      <c r="D7746" s="5" t="s">
        <v>4224</v>
      </c>
      <c r="E7746" s="5" t="s">
        <v>3758</v>
      </c>
      <c r="F7746" s="5" t="s">
        <v>4239</v>
      </c>
    </row>
    <row r="7747">
      <c r="A7747" s="5" t="s">
        <v>3090</v>
      </c>
      <c r="B7747" s="8">
        <v>10.0</v>
      </c>
      <c r="C7747" s="7" t="s">
        <v>2277</v>
      </c>
      <c r="D7747" s="5" t="s">
        <v>4224</v>
      </c>
      <c r="E7747" s="5" t="s">
        <v>3758</v>
      </c>
      <c r="F7747" s="5" t="s">
        <v>4240</v>
      </c>
    </row>
    <row r="7748">
      <c r="A7748" s="7" t="s">
        <v>606</v>
      </c>
      <c r="B7748" s="8">
        <v>10.0</v>
      </c>
      <c r="C7748" s="7" t="s">
        <v>2277</v>
      </c>
      <c r="D7748" s="5" t="s">
        <v>4224</v>
      </c>
      <c r="E7748" s="5" t="s">
        <v>3758</v>
      </c>
      <c r="F7748" s="5" t="s">
        <v>4025</v>
      </c>
    </row>
    <row r="7749">
      <c r="A7749" s="5" t="s">
        <v>2602</v>
      </c>
      <c r="B7749" s="8">
        <v>10.0</v>
      </c>
      <c r="C7749" s="7" t="s">
        <v>2277</v>
      </c>
      <c r="D7749" s="5" t="s">
        <v>4224</v>
      </c>
      <c r="E7749" s="5" t="s">
        <v>3758</v>
      </c>
      <c r="F7749" s="5" t="s">
        <v>4241</v>
      </c>
    </row>
    <row r="7750">
      <c r="A7750" s="5" t="s">
        <v>2931</v>
      </c>
      <c r="B7750" s="8">
        <v>10.0</v>
      </c>
      <c r="C7750" s="7" t="s">
        <v>2277</v>
      </c>
      <c r="D7750" s="5" t="s">
        <v>4224</v>
      </c>
      <c r="E7750" s="5" t="s">
        <v>3758</v>
      </c>
      <c r="F7750" s="5" t="s">
        <v>4242</v>
      </c>
    </row>
    <row r="7751">
      <c r="A7751" s="5" t="s">
        <v>2932</v>
      </c>
      <c r="B7751" s="8">
        <v>10.0</v>
      </c>
      <c r="C7751" s="7" t="s">
        <v>2277</v>
      </c>
      <c r="D7751" s="5" t="s">
        <v>4224</v>
      </c>
      <c r="E7751" s="5" t="s">
        <v>3758</v>
      </c>
      <c r="F7751" s="5" t="s">
        <v>4243</v>
      </c>
    </row>
    <row r="7752">
      <c r="A7752" s="5" t="s">
        <v>3091</v>
      </c>
      <c r="B7752" s="8">
        <v>10.0</v>
      </c>
      <c r="C7752" s="7" t="s">
        <v>2277</v>
      </c>
      <c r="D7752" s="5" t="s">
        <v>4224</v>
      </c>
      <c r="E7752" s="5" t="s">
        <v>3758</v>
      </c>
      <c r="F7752" s="5" t="s">
        <v>4244</v>
      </c>
    </row>
    <row r="7753">
      <c r="A7753" s="5" t="s">
        <v>2605</v>
      </c>
      <c r="B7753" s="8">
        <v>10.0</v>
      </c>
      <c r="C7753" s="7" t="s">
        <v>2277</v>
      </c>
      <c r="D7753" s="5" t="s">
        <v>4224</v>
      </c>
      <c r="E7753" s="5" t="s">
        <v>3758</v>
      </c>
      <c r="F7753" s="5" t="s">
        <v>4245</v>
      </c>
    </row>
    <row r="7754">
      <c r="A7754" s="7" t="s">
        <v>1989</v>
      </c>
      <c r="B7754" s="8">
        <v>10.0</v>
      </c>
      <c r="C7754" s="7" t="s">
        <v>2277</v>
      </c>
      <c r="D7754" s="5" t="s">
        <v>4224</v>
      </c>
      <c r="E7754" s="5" t="s">
        <v>3758</v>
      </c>
      <c r="F7754" s="5" t="s">
        <v>4246</v>
      </c>
    </row>
    <row r="7755">
      <c r="A7755" s="5" t="s">
        <v>2606</v>
      </c>
      <c r="B7755" s="8">
        <v>10.0</v>
      </c>
      <c r="C7755" s="7" t="s">
        <v>2277</v>
      </c>
      <c r="D7755" s="5" t="s">
        <v>4224</v>
      </c>
      <c r="E7755" s="5" t="s">
        <v>3758</v>
      </c>
      <c r="F7755" s="7" t="s">
        <v>1958</v>
      </c>
    </row>
    <row r="7756">
      <c r="A7756" s="5" t="s">
        <v>2607</v>
      </c>
      <c r="B7756" s="8">
        <v>10.0</v>
      </c>
      <c r="C7756" s="7" t="s">
        <v>2277</v>
      </c>
      <c r="D7756" s="5" t="s">
        <v>4224</v>
      </c>
      <c r="E7756" s="5" t="s">
        <v>3758</v>
      </c>
      <c r="F7756" s="5" t="s">
        <v>4247</v>
      </c>
    </row>
    <row r="7757">
      <c r="A7757" s="7" t="s">
        <v>1990</v>
      </c>
      <c r="B7757" s="8">
        <v>10.0</v>
      </c>
      <c r="C7757" s="7" t="s">
        <v>2277</v>
      </c>
      <c r="D7757" s="5" t="s">
        <v>4224</v>
      </c>
      <c r="E7757" s="5" t="s">
        <v>3758</v>
      </c>
      <c r="F7757" s="5" t="s">
        <v>4248</v>
      </c>
    </row>
    <row r="7758">
      <c r="A7758" s="5" t="s">
        <v>2935</v>
      </c>
      <c r="B7758" s="8">
        <v>10.0</v>
      </c>
      <c r="C7758" s="7" t="s">
        <v>2277</v>
      </c>
      <c r="D7758" s="5" t="s">
        <v>4224</v>
      </c>
      <c r="E7758" s="5" t="s">
        <v>3758</v>
      </c>
      <c r="F7758" s="5" t="s">
        <v>4033</v>
      </c>
    </row>
    <row r="7759">
      <c r="A7759" s="5" t="s">
        <v>2936</v>
      </c>
      <c r="B7759" s="8">
        <v>10.0</v>
      </c>
      <c r="C7759" s="7" t="s">
        <v>2277</v>
      </c>
      <c r="D7759" s="5" t="s">
        <v>4224</v>
      </c>
      <c r="E7759" s="5" t="s">
        <v>3758</v>
      </c>
      <c r="F7759" s="5" t="s">
        <v>4249</v>
      </c>
    </row>
    <row r="7760">
      <c r="A7760" s="5" t="s">
        <v>2608</v>
      </c>
      <c r="B7760" s="8">
        <v>10.0</v>
      </c>
      <c r="C7760" s="7" t="s">
        <v>2277</v>
      </c>
      <c r="D7760" s="5" t="s">
        <v>4224</v>
      </c>
      <c r="E7760" s="5" t="s">
        <v>3758</v>
      </c>
      <c r="F7760" s="5" t="s">
        <v>3773</v>
      </c>
    </row>
    <row r="7761">
      <c r="A7761" s="5" t="s">
        <v>2609</v>
      </c>
      <c r="B7761" s="8">
        <v>10.0</v>
      </c>
      <c r="C7761" s="7" t="s">
        <v>2277</v>
      </c>
      <c r="D7761" s="5" t="s">
        <v>4224</v>
      </c>
      <c r="E7761" s="5" t="s">
        <v>3758</v>
      </c>
      <c r="F7761" s="5" t="s">
        <v>3774</v>
      </c>
    </row>
    <row r="7762">
      <c r="A7762" s="5" t="s">
        <v>3791</v>
      </c>
      <c r="B7762" s="8">
        <v>10.0</v>
      </c>
      <c r="C7762" s="7" t="s">
        <v>2583</v>
      </c>
      <c r="D7762" s="7" t="s">
        <v>2584</v>
      </c>
      <c r="E7762" s="5" t="s">
        <v>4250</v>
      </c>
      <c r="F7762" s="5" t="s">
        <v>4006</v>
      </c>
    </row>
    <row r="7763">
      <c r="A7763" s="7" t="s">
        <v>188</v>
      </c>
      <c r="B7763" s="8">
        <v>10.0</v>
      </c>
      <c r="C7763" s="7" t="s">
        <v>2583</v>
      </c>
      <c r="D7763" s="7" t="s">
        <v>2584</v>
      </c>
      <c r="E7763" s="5" t="s">
        <v>4250</v>
      </c>
      <c r="F7763" s="5" t="s">
        <v>4225</v>
      </c>
    </row>
    <row r="7764">
      <c r="A7764" s="5" t="s">
        <v>2924</v>
      </c>
      <c r="B7764" s="8">
        <v>10.0</v>
      </c>
      <c r="C7764" s="7" t="s">
        <v>2583</v>
      </c>
      <c r="D7764" s="7" t="s">
        <v>2584</v>
      </c>
      <c r="E7764" s="5" t="s">
        <v>4250</v>
      </c>
      <c r="F7764" s="5" t="s">
        <v>4008</v>
      </c>
    </row>
    <row r="7765">
      <c r="A7765" s="5" t="s">
        <v>2925</v>
      </c>
      <c r="B7765" s="8">
        <v>10.0</v>
      </c>
      <c r="C7765" s="7" t="s">
        <v>2583</v>
      </c>
      <c r="D7765" s="7" t="s">
        <v>2584</v>
      </c>
      <c r="E7765" s="5" t="s">
        <v>4250</v>
      </c>
      <c r="F7765" s="5" t="s">
        <v>4226</v>
      </c>
    </row>
    <row r="7766">
      <c r="A7766" s="5" t="s">
        <v>3086</v>
      </c>
      <c r="B7766" s="8">
        <v>10.0</v>
      </c>
      <c r="C7766" s="7" t="s">
        <v>2583</v>
      </c>
      <c r="D7766" s="7" t="s">
        <v>2584</v>
      </c>
      <c r="E7766" s="5" t="s">
        <v>4250</v>
      </c>
      <c r="F7766" s="5" t="s">
        <v>4227</v>
      </c>
    </row>
    <row r="7767">
      <c r="A7767" s="5" t="s">
        <v>4037</v>
      </c>
      <c r="B7767" s="8">
        <v>10.0</v>
      </c>
      <c r="C7767" s="7" t="s">
        <v>2583</v>
      </c>
      <c r="D7767" s="7" t="s">
        <v>2584</v>
      </c>
      <c r="E7767" s="5" t="s">
        <v>4250</v>
      </c>
      <c r="F7767" s="5" t="s">
        <v>4228</v>
      </c>
    </row>
    <row r="7768">
      <c r="A7768" s="7" t="s">
        <v>2319</v>
      </c>
      <c r="B7768" s="8">
        <v>10.0</v>
      </c>
      <c r="C7768" s="7" t="s">
        <v>2583</v>
      </c>
      <c r="D7768" s="7" t="s">
        <v>2584</v>
      </c>
      <c r="E7768" s="5" t="s">
        <v>4250</v>
      </c>
      <c r="F7768" s="5" t="s">
        <v>4229</v>
      </c>
    </row>
    <row r="7769">
      <c r="A7769" s="5" t="s">
        <v>3795</v>
      </c>
      <c r="B7769" s="8">
        <v>10.0</v>
      </c>
      <c r="C7769" s="7" t="s">
        <v>2583</v>
      </c>
      <c r="D7769" s="7" t="s">
        <v>2584</v>
      </c>
      <c r="E7769" s="5" t="s">
        <v>4250</v>
      </c>
      <c r="F7769" s="7" t="s">
        <v>2562</v>
      </c>
    </row>
    <row r="7770">
      <c r="A7770" s="7" t="s">
        <v>868</v>
      </c>
      <c r="B7770" s="8">
        <v>10.0</v>
      </c>
      <c r="C7770" s="7" t="s">
        <v>2583</v>
      </c>
      <c r="D7770" s="7" t="s">
        <v>2584</v>
      </c>
      <c r="E7770" s="5" t="s">
        <v>4250</v>
      </c>
      <c r="F7770" s="5" t="s">
        <v>4230</v>
      </c>
    </row>
    <row r="7771">
      <c r="A7771" s="5" t="s">
        <v>3087</v>
      </c>
      <c r="B7771" s="8">
        <v>10.0</v>
      </c>
      <c r="C7771" s="7" t="s">
        <v>2583</v>
      </c>
      <c r="D7771" s="7" t="s">
        <v>2584</v>
      </c>
      <c r="E7771" s="5" t="s">
        <v>4250</v>
      </c>
      <c r="F7771" s="5" t="s">
        <v>4231</v>
      </c>
    </row>
    <row r="7772">
      <c r="A7772" s="5" t="s">
        <v>3088</v>
      </c>
      <c r="B7772" s="8">
        <v>10.0</v>
      </c>
      <c r="C7772" s="7" t="s">
        <v>2583</v>
      </c>
      <c r="D7772" s="7" t="s">
        <v>2584</v>
      </c>
      <c r="E7772" s="5" t="s">
        <v>4250</v>
      </c>
      <c r="F7772" s="5" t="s">
        <v>4232</v>
      </c>
    </row>
    <row r="7773">
      <c r="A7773" s="5" t="s">
        <v>3388</v>
      </c>
      <c r="B7773" s="8">
        <v>10.0</v>
      </c>
      <c r="C7773" s="7" t="s">
        <v>2583</v>
      </c>
      <c r="D7773" s="7" t="s">
        <v>2584</v>
      </c>
      <c r="E7773" s="5" t="s">
        <v>4250</v>
      </c>
      <c r="F7773" s="5" t="s">
        <v>4015</v>
      </c>
    </row>
    <row r="7774">
      <c r="A7774" s="5" t="s">
        <v>2927</v>
      </c>
      <c r="B7774" s="8">
        <v>10.0</v>
      </c>
      <c r="C7774" s="7" t="s">
        <v>2583</v>
      </c>
      <c r="D7774" s="7" t="s">
        <v>2584</v>
      </c>
      <c r="E7774" s="5" t="s">
        <v>4250</v>
      </c>
      <c r="F7774" s="5" t="s">
        <v>4233</v>
      </c>
    </row>
    <row r="7775">
      <c r="A7775" s="5" t="s">
        <v>3089</v>
      </c>
      <c r="B7775" s="8">
        <v>10.0</v>
      </c>
      <c r="C7775" s="7" t="s">
        <v>2583</v>
      </c>
      <c r="D7775" s="7" t="s">
        <v>2584</v>
      </c>
      <c r="E7775" s="5" t="s">
        <v>4250</v>
      </c>
      <c r="F7775" s="5" t="s">
        <v>4234</v>
      </c>
    </row>
    <row r="7776">
      <c r="A7776" s="5" t="s">
        <v>2928</v>
      </c>
      <c r="B7776" s="8">
        <v>10.0</v>
      </c>
      <c r="C7776" s="7" t="s">
        <v>2583</v>
      </c>
      <c r="D7776" s="7" t="s">
        <v>2584</v>
      </c>
      <c r="E7776" s="5" t="s">
        <v>4250</v>
      </c>
      <c r="F7776" s="5" t="s">
        <v>4235</v>
      </c>
    </row>
    <row r="7777">
      <c r="A7777" s="7" t="s">
        <v>603</v>
      </c>
      <c r="B7777" s="8">
        <v>10.0</v>
      </c>
      <c r="C7777" s="7" t="s">
        <v>2583</v>
      </c>
      <c r="D7777" s="7" t="s">
        <v>2584</v>
      </c>
      <c r="E7777" s="5" t="s">
        <v>4250</v>
      </c>
      <c r="F7777" s="5" t="s">
        <v>3765</v>
      </c>
    </row>
    <row r="7778">
      <c r="A7778" s="5" t="s">
        <v>2929</v>
      </c>
      <c r="B7778" s="8">
        <v>10.0</v>
      </c>
      <c r="C7778" s="7" t="s">
        <v>2583</v>
      </c>
      <c r="D7778" s="7" t="s">
        <v>2584</v>
      </c>
      <c r="E7778" s="5" t="s">
        <v>4250</v>
      </c>
      <c r="F7778" s="5" t="s">
        <v>4019</v>
      </c>
    </row>
    <row r="7779">
      <c r="A7779" s="5" t="s">
        <v>2702</v>
      </c>
      <c r="B7779" s="8">
        <v>10.0</v>
      </c>
      <c r="C7779" s="7" t="s">
        <v>2583</v>
      </c>
      <c r="D7779" s="7" t="s">
        <v>2584</v>
      </c>
      <c r="E7779" s="5" t="s">
        <v>4250</v>
      </c>
      <c r="F7779" s="5" t="s">
        <v>4236</v>
      </c>
    </row>
    <row r="7780">
      <c r="A7780" s="5" t="s">
        <v>2930</v>
      </c>
      <c r="B7780" s="8">
        <v>10.0</v>
      </c>
      <c r="C7780" s="7" t="s">
        <v>2583</v>
      </c>
      <c r="D7780" s="7" t="s">
        <v>2584</v>
      </c>
      <c r="E7780" s="5" t="s">
        <v>4250</v>
      </c>
      <c r="F7780" s="5" t="s">
        <v>4237</v>
      </c>
    </row>
    <row r="7781">
      <c r="A7781" s="5" t="s">
        <v>2600</v>
      </c>
      <c r="B7781" s="8">
        <v>10.0</v>
      </c>
      <c r="C7781" s="7" t="s">
        <v>2583</v>
      </c>
      <c r="D7781" s="7" t="s">
        <v>2584</v>
      </c>
      <c r="E7781" s="5" t="s">
        <v>4250</v>
      </c>
      <c r="F7781" s="5" t="s">
        <v>4238</v>
      </c>
    </row>
    <row r="7782">
      <c r="A7782" s="5" t="s">
        <v>3802</v>
      </c>
      <c r="B7782" s="8">
        <v>10.0</v>
      </c>
      <c r="C7782" s="7" t="s">
        <v>2583</v>
      </c>
      <c r="D7782" s="7" t="s">
        <v>2584</v>
      </c>
      <c r="E7782" s="5" t="s">
        <v>4250</v>
      </c>
      <c r="F7782" s="5" t="s">
        <v>4239</v>
      </c>
    </row>
    <row r="7783">
      <c r="A7783" s="5" t="s">
        <v>3090</v>
      </c>
      <c r="B7783" s="8">
        <v>10.0</v>
      </c>
      <c r="C7783" s="7" t="s">
        <v>2583</v>
      </c>
      <c r="D7783" s="7" t="s">
        <v>2584</v>
      </c>
      <c r="E7783" s="5" t="s">
        <v>4250</v>
      </c>
      <c r="F7783" s="5" t="s">
        <v>4240</v>
      </c>
    </row>
    <row r="7784">
      <c r="A7784" s="7" t="s">
        <v>606</v>
      </c>
      <c r="B7784" s="8">
        <v>10.0</v>
      </c>
      <c r="C7784" s="7" t="s">
        <v>2583</v>
      </c>
      <c r="D7784" s="7" t="s">
        <v>2584</v>
      </c>
      <c r="E7784" s="5" t="s">
        <v>4250</v>
      </c>
      <c r="F7784" s="5" t="s">
        <v>4025</v>
      </c>
    </row>
    <row r="7785">
      <c r="A7785" s="5" t="s">
        <v>2602</v>
      </c>
      <c r="B7785" s="8">
        <v>10.0</v>
      </c>
      <c r="C7785" s="7" t="s">
        <v>2583</v>
      </c>
      <c r="D7785" s="7" t="s">
        <v>2584</v>
      </c>
      <c r="E7785" s="5" t="s">
        <v>4250</v>
      </c>
      <c r="F7785" s="5" t="s">
        <v>4241</v>
      </c>
    </row>
    <row r="7786">
      <c r="A7786" s="5" t="s">
        <v>2931</v>
      </c>
      <c r="B7786" s="8">
        <v>10.0</v>
      </c>
      <c r="C7786" s="7" t="s">
        <v>2583</v>
      </c>
      <c r="D7786" s="7" t="s">
        <v>2584</v>
      </c>
      <c r="E7786" s="5" t="s">
        <v>4250</v>
      </c>
      <c r="F7786" s="5" t="s">
        <v>4242</v>
      </c>
    </row>
    <row r="7787">
      <c r="A7787" s="5" t="s">
        <v>2932</v>
      </c>
      <c r="B7787" s="8">
        <v>10.0</v>
      </c>
      <c r="C7787" s="7" t="s">
        <v>2583</v>
      </c>
      <c r="D7787" s="7" t="s">
        <v>2584</v>
      </c>
      <c r="E7787" s="5" t="s">
        <v>4250</v>
      </c>
      <c r="F7787" s="5" t="s">
        <v>4243</v>
      </c>
    </row>
    <row r="7788">
      <c r="A7788" s="5" t="s">
        <v>3091</v>
      </c>
      <c r="B7788" s="8">
        <v>10.0</v>
      </c>
      <c r="C7788" s="7" t="s">
        <v>2583</v>
      </c>
      <c r="D7788" s="7" t="s">
        <v>2584</v>
      </c>
      <c r="E7788" s="5" t="s">
        <v>4250</v>
      </c>
      <c r="F7788" s="5" t="s">
        <v>4244</v>
      </c>
    </row>
    <row r="7789">
      <c r="A7789" s="5" t="s">
        <v>2605</v>
      </c>
      <c r="B7789" s="8">
        <v>10.0</v>
      </c>
      <c r="C7789" s="7" t="s">
        <v>2583</v>
      </c>
      <c r="D7789" s="7" t="s">
        <v>2584</v>
      </c>
      <c r="E7789" s="5" t="s">
        <v>4250</v>
      </c>
      <c r="F7789" s="5" t="s">
        <v>4245</v>
      </c>
    </row>
    <row r="7790">
      <c r="A7790" s="7" t="s">
        <v>1989</v>
      </c>
      <c r="B7790" s="8">
        <v>10.0</v>
      </c>
      <c r="C7790" s="7" t="s">
        <v>2583</v>
      </c>
      <c r="D7790" s="7" t="s">
        <v>2584</v>
      </c>
      <c r="E7790" s="5" t="s">
        <v>4250</v>
      </c>
      <c r="F7790" s="5" t="s">
        <v>4246</v>
      </c>
    </row>
    <row r="7791">
      <c r="A7791" s="5" t="s">
        <v>2606</v>
      </c>
      <c r="B7791" s="8">
        <v>10.0</v>
      </c>
      <c r="C7791" s="7" t="s">
        <v>2583</v>
      </c>
      <c r="D7791" s="7" t="s">
        <v>2584</v>
      </c>
      <c r="E7791" s="5" t="s">
        <v>4250</v>
      </c>
      <c r="F7791" s="7" t="s">
        <v>1958</v>
      </c>
    </row>
    <row r="7792">
      <c r="A7792" s="5" t="s">
        <v>2607</v>
      </c>
      <c r="B7792" s="8">
        <v>10.0</v>
      </c>
      <c r="C7792" s="7" t="s">
        <v>2583</v>
      </c>
      <c r="D7792" s="7" t="s">
        <v>2584</v>
      </c>
      <c r="E7792" s="5" t="s">
        <v>4250</v>
      </c>
      <c r="F7792" s="5" t="s">
        <v>4247</v>
      </c>
    </row>
    <row r="7793">
      <c r="A7793" s="7" t="s">
        <v>1990</v>
      </c>
      <c r="B7793" s="8">
        <v>10.0</v>
      </c>
      <c r="C7793" s="7" t="s">
        <v>2583</v>
      </c>
      <c r="D7793" s="7" t="s">
        <v>2584</v>
      </c>
      <c r="E7793" s="5" t="s">
        <v>4250</v>
      </c>
      <c r="F7793" s="5" t="s">
        <v>4248</v>
      </c>
    </row>
    <row r="7794">
      <c r="A7794" s="5" t="s">
        <v>2935</v>
      </c>
      <c r="B7794" s="8">
        <v>10.0</v>
      </c>
      <c r="C7794" s="7" t="s">
        <v>2583</v>
      </c>
      <c r="D7794" s="7" t="s">
        <v>2584</v>
      </c>
      <c r="E7794" s="5" t="s">
        <v>4250</v>
      </c>
      <c r="F7794" s="5" t="s">
        <v>4033</v>
      </c>
    </row>
    <row r="7795">
      <c r="A7795" s="5" t="s">
        <v>2936</v>
      </c>
      <c r="B7795" s="8">
        <v>10.0</v>
      </c>
      <c r="C7795" s="7" t="s">
        <v>2583</v>
      </c>
      <c r="D7795" s="7" t="s">
        <v>2584</v>
      </c>
      <c r="E7795" s="5" t="s">
        <v>4250</v>
      </c>
      <c r="F7795" s="5" t="s">
        <v>4249</v>
      </c>
    </row>
    <row r="7796">
      <c r="A7796" s="5" t="s">
        <v>2608</v>
      </c>
      <c r="B7796" s="8">
        <v>10.0</v>
      </c>
      <c r="C7796" s="7" t="s">
        <v>2583</v>
      </c>
      <c r="D7796" s="7" t="s">
        <v>2584</v>
      </c>
      <c r="E7796" s="5" t="s">
        <v>4250</v>
      </c>
      <c r="F7796" s="5" t="s">
        <v>3773</v>
      </c>
    </row>
    <row r="7797">
      <c r="A7797" s="5" t="s">
        <v>2609</v>
      </c>
      <c r="B7797" s="8">
        <v>10.0</v>
      </c>
      <c r="C7797" s="7" t="s">
        <v>2583</v>
      </c>
      <c r="D7797" s="7" t="s">
        <v>2584</v>
      </c>
      <c r="E7797" s="5" t="s">
        <v>4250</v>
      </c>
      <c r="F7797" s="5" t="s">
        <v>3774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77"/>
      <c r="B2" s="77"/>
    </row>
    <row r="3">
      <c r="A3" s="78" t="s">
        <v>2592</v>
      </c>
      <c r="B3" s="78" t="s">
        <v>1628</v>
      </c>
    </row>
    <row r="4">
      <c r="A4" s="78" t="s">
        <v>2594</v>
      </c>
      <c r="B4" s="78" t="s">
        <v>1629</v>
      </c>
    </row>
    <row r="5">
      <c r="A5" s="78" t="s">
        <v>2595</v>
      </c>
      <c r="B5" s="78" t="s">
        <v>1634</v>
      </c>
    </row>
    <row r="6">
      <c r="A6" s="78" t="s">
        <v>2597</v>
      </c>
      <c r="B6" s="78" t="s">
        <v>1635</v>
      </c>
    </row>
    <row r="7">
      <c r="A7" s="78" t="s">
        <v>8</v>
      </c>
      <c r="B7" s="78" t="s">
        <v>1636</v>
      </c>
    </row>
    <row r="8">
      <c r="A8" s="78" t="s">
        <v>2599</v>
      </c>
      <c r="B8" s="78" t="s">
        <v>1638</v>
      </c>
    </row>
    <row r="9">
      <c r="A9" s="78" t="s">
        <v>2600</v>
      </c>
      <c r="B9" s="78" t="s">
        <v>4251</v>
      </c>
    </row>
    <row r="10">
      <c r="A10" s="78" t="s">
        <v>2602</v>
      </c>
      <c r="B10" s="78" t="s">
        <v>1640</v>
      </c>
    </row>
    <row r="11">
      <c r="A11" s="78" t="s">
        <v>2603</v>
      </c>
      <c r="B11" s="78" t="s">
        <v>1641</v>
      </c>
    </row>
    <row r="12">
      <c r="A12" s="78" t="s">
        <v>2604</v>
      </c>
      <c r="B12" s="78" t="s">
        <v>1642</v>
      </c>
    </row>
    <row r="13">
      <c r="A13" s="78" t="s">
        <v>2605</v>
      </c>
      <c r="B13" s="78" t="s">
        <v>4252</v>
      </c>
    </row>
    <row r="14">
      <c r="A14" s="78" t="s">
        <v>2606</v>
      </c>
      <c r="B14" s="78" t="s">
        <v>1644</v>
      </c>
    </row>
    <row r="15">
      <c r="A15" s="78" t="s">
        <v>2607</v>
      </c>
      <c r="B15" s="78" t="s">
        <v>1646</v>
      </c>
    </row>
    <row r="16">
      <c r="A16" s="78" t="s">
        <v>2608</v>
      </c>
      <c r="B16" s="78" t="s">
        <v>1649</v>
      </c>
    </row>
    <row r="17">
      <c r="A17" s="78" t="s">
        <v>2609</v>
      </c>
      <c r="B17" s="78" t="s">
        <v>1650</v>
      </c>
    </row>
    <row r="18">
      <c r="A18" s="78" t="s">
        <v>2614</v>
      </c>
      <c r="B18" s="78" t="s">
        <v>1648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2025-08-22T16:26:09Z</dcterms:created>
  <dc:creator>C Logan</dc:creator>
</cp:coreProperties>
</file>